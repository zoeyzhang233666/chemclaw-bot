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-说明" sheetId="1" state="visible" r:id="rId1"/>
    <sheet xmlns:r="http://schemas.openxmlformats.org/officeDocument/2006/relationships" name="01-原始价格" sheetId="2" state="visible" r:id="rId2"/>
    <sheet xmlns:r="http://schemas.openxmlformats.org/officeDocument/2006/relationships" name="02-比价序列" sheetId="3" state="visible" r:id="rId3"/>
    <sheet xmlns:r="http://schemas.openxmlformats.org/officeDocument/2006/relationships" name="03-窗口统计" sheetId="4" state="visible" r:id="rId4"/>
    <sheet xmlns:r="http://schemas.openxmlformats.org/officeDocument/2006/relationships" name="04-分位口径对照" sheetId="5" state="visible" r:id="rId5"/>
    <sheet xmlns:r="http://schemas.openxmlformats.org/officeDocument/2006/relationships" name="05-贡献分解" sheetId="6" state="visible" r:id="rId6"/>
    <sheet xmlns:r="http://schemas.openxmlformats.org/officeDocument/2006/relationships" name="06-异常点" sheetId="7" state="visible" r:id="rId7"/>
    <sheet xmlns:r="http://schemas.openxmlformats.org/officeDocument/2006/relationships" name="07-换月台账" sheetId="8" state="visible" r:id="rId8"/>
    <sheet xmlns:r="http://schemas.openxmlformats.org/officeDocument/2006/relationships" name="08-分年统计" sheetId="9" state="visible" r:id="rId9"/>
    <sheet xmlns:r="http://schemas.openxmlformats.org/officeDocument/2006/relationships" name="09-产业事件台账" sheetId="10" state="visible" r:id="rId10"/>
    <sheet xmlns:r="http://schemas.openxmlformats.org/officeDocument/2006/relationships" name="10-数据来源" sheetId="11" state="visible" r:id="rId11"/>
  </sheets>
  <definedNames>
    <definedName name="_xlnm._FilterDatabase" localSheetId="1" hidden="1">'01-原始价格'!$A$4:$O$4680</definedName>
    <definedName name="_xlnm._FilterDatabase" localSheetId="2" hidden="1">'02-比价序列'!$A$4:$M$3073</definedName>
    <definedName name="_xlnm._FilterDatabase" localSheetId="6" hidden="1">'06-异常点'!$A$4:$F$104</definedName>
    <definedName name="_xlnm._FilterDatabase" localSheetId="7" hidden="1">'07-换月台账'!$A$4:$E$49</definedName>
    <definedName name="_xlnm._FilterDatabase" localSheetId="9" hidden="1">'09-产业事件台账'!$A$4:$F$38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"/>
    <numFmt numFmtId="166" formatCode="+0.00;-0.00"/>
  </numFmts>
  <fonts count="10">
    <font>
      <name val="Calibri"/>
      <family val="2"/>
      <color theme="1"/>
      <sz val="11"/>
      <scheme val="minor"/>
    </font>
    <font>
      <name val="Microsoft YaHei"/>
      <b val="1"/>
      <color rgb="001F3B5C"/>
      <sz val="14"/>
    </font>
    <font>
      <name val="Microsoft YaHei"/>
      <color rgb="0055606E"/>
      <sz val="10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1F3B5C"/>
      <sz val="11"/>
    </font>
    <font>
      <name val="Microsoft YaHei"/>
      <b val="1"/>
      <color rgb="00FFFFFF"/>
      <sz val="10"/>
    </font>
    <font>
      <name val="Consolas"/>
      <sz val="10"/>
    </font>
    <font>
      <name val="Microsoft YaHei"/>
      <b val="1"/>
    </font>
    <font>
      <name val="Microsoft YaHei"/>
      <b val="1"/>
      <color rgb="00C0392B"/>
    </font>
  </fonts>
  <fills count="7">
    <fill>
      <patternFill/>
    </fill>
    <fill>
      <patternFill patternType="gray125"/>
    </fill>
    <fill>
      <patternFill patternType="solid">
        <fgColor rgb="001F3B5C"/>
      </patternFill>
    </fill>
    <fill>
      <patternFill patternType="solid">
        <fgColor rgb="00FFF3D6"/>
      </patternFill>
    </fill>
    <fill>
      <patternFill patternType="solid">
        <fgColor rgb="00FDE9E9"/>
      </patternFill>
    </fill>
    <fill>
      <patternFill patternType="solid">
        <fgColor rgb="00E6F7F1"/>
      </patternFill>
    </fill>
    <fill>
      <patternFill patternType="solid">
        <fgColor rgb="00EAF3FF"/>
      </patternFill>
    </fill>
  </fills>
  <borders count="2">
    <border>
      <left/>
      <right/>
      <top/>
      <bottom/>
      <diagonal/>
    </border>
    <border>
      <left style="thin">
        <color rgb="00D6DEE8"/>
      </left>
      <right style="thin">
        <color rgb="00D6DEE8"/>
      </right>
      <top style="thin">
        <color rgb="00D6DEE8"/>
      </top>
      <bottom style="thin">
        <color rgb="00D6DEE8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0" pivotButton="0" quotePrefix="0" xfId="0"/>
    <xf numFmtId="3" fontId="0" fillId="0" borderId="0" pivotButton="0" quotePrefix="0" xfId="0"/>
    <xf numFmtId="0" fontId="0" fillId="3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0" fillId="4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0" fontId="9" fillId="0" borderId="0" pivotButton="0" quotePrefix="0" xfId="0"/>
    <xf numFmtId="166" fontId="0" fillId="0" borderId="0" pivotButton="0" quotePrefix="0" xfId="0"/>
    <xf numFmtId="166" fontId="0" fillId="3" borderId="0" pivotButton="0" quotePrefix="0" xfId="0"/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5" borderId="0" applyAlignment="1" pivotButton="0" quotePrefix="0" xfId="0">
      <alignment horizontal="center" vertical="top"/>
    </xf>
    <xf numFmtId="0" fontId="0" fillId="6" borderId="0" applyAlignment="1" pivotButton="0" quotePrefix="0" xfId="0">
      <alignment horizontal="center" vertical="top"/>
    </xf>
    <xf numFmtId="0" fontId="0" fillId="3" borderId="0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2" customWidth="1" min="1" max="1"/>
    <col width="96" customWidth="1" min="2" max="2"/>
    <col width="20" customWidth="1" min="3" max="3"/>
  </cols>
  <sheetData>
    <row r="1">
      <c r="A1" s="1" t="inlineStr">
        <is>
          <t>两个相关品种比价分析 · 工作簿说明</t>
        </is>
      </c>
    </row>
    <row r="2" ht="30" customHeight="1">
      <c r="A2" s="2" t="inlineStr">
        <is>
          <t>所有统计列均为 Excel 原生公式，可直接复算；不插值、不回填、不外推缺失数据。</t>
        </is>
      </c>
    </row>
    <row r="3">
      <c r="A3" s="3" t="inlineStr"/>
      <c r="B3" s="4" t="inlineStr"/>
    </row>
    <row r="4">
      <c r="A4" s="5" t="inlineStr">
        <is>
          <t>一、本工作簿回答什么</t>
        </is>
      </c>
    </row>
    <row r="5">
      <c r="A5" s="3" t="inlineStr"/>
      <c r="B5" s="4" t="inlineStr">
        <is>
          <t>两个品种是否存在替代/上下游/共同原料等产业关系；同一口径下的比价水平；</t>
        </is>
      </c>
    </row>
    <row r="6">
      <c r="A6" s="3" t="inlineStr"/>
      <c r="B6" s="4" t="inlineStr">
        <is>
          <t>该水平在过去 1/3/5 年与全样本中的真实分位；比价变化由哪一边主导；</t>
        </is>
      </c>
    </row>
    <row r="7">
      <c r="A7" s="3" t="inlineStr"/>
      <c r="B7" s="4" t="inlineStr">
        <is>
          <t>历史极端阶段的产业背景；比价分布是否因产业结构变化而长期移动。</t>
        </is>
      </c>
    </row>
    <row r="8">
      <c r="A8" s="3" t="inlineStr"/>
      <c r="B8" s="4" t="inlineStr"/>
    </row>
    <row r="9">
      <c r="A9" s="5" t="inlineStr">
        <is>
          <t>二、不回答什么（红线）</t>
        </is>
      </c>
    </row>
    <row r="10">
      <c r="A10" s="3" t="inlineStr"/>
      <c r="B10" s="4" t="inlineStr">
        <is>
          <t>不判断方向、不给目标价、不给交易建议；</t>
        </is>
      </c>
    </row>
    <row r="11">
      <c r="A11" s="3" t="inlineStr"/>
      <c r="B11" s="4" t="inlineStr">
        <is>
          <t>不因为比价处于极端位置就认定必然回归；</t>
        </is>
      </c>
    </row>
    <row r="12">
      <c r="A12" s="3" t="inlineStr"/>
      <c r="B12" s="4" t="inlineStr">
        <is>
          <t>不把相关性说成因果；产业事件只用于解释，不用于证明因果；</t>
        </is>
      </c>
    </row>
    <row r="13">
      <c r="A13" s="3" t="inlineStr"/>
      <c r="B13" s="4" t="inlineStr">
        <is>
          <t>不混用现货与期货口径，不插值填补缺失。</t>
        </is>
      </c>
    </row>
    <row r="14">
      <c r="A14" s="3" t="inlineStr"/>
      <c r="B14" s="4" t="inlineStr"/>
    </row>
    <row r="15">
      <c r="A15" s="5" t="inlineStr">
        <is>
          <t>三、口径（全簿统一）</t>
        </is>
      </c>
    </row>
    <row r="16">
      <c r="A16" s="3" t="inlineStr">
        <is>
          <t>品种 A</t>
        </is>
      </c>
      <c r="B16" s="4" t="inlineStr">
        <is>
          <t>PP</t>
        </is>
      </c>
    </row>
    <row r="17">
      <c r="A17" s="3" t="inlineStr">
        <is>
          <t>品种 B</t>
        </is>
      </c>
      <c r="B17" s="4" t="inlineStr">
        <is>
          <t>L</t>
        </is>
      </c>
    </row>
    <row r="18">
      <c r="A18" s="3" t="inlineStr">
        <is>
          <t>比价方向</t>
        </is>
      </c>
      <c r="B18" s="4" t="inlineStr">
        <is>
          <t>PP/L（逐日收盘价相除）</t>
        </is>
      </c>
    </row>
    <row r="19">
      <c r="A19" s="3" t="inlineStr">
        <is>
          <t>价格类型</t>
        </is>
      </c>
      <c r="B19" s="4" t="inlineStr">
        <is>
          <t>期货主力连续收盘价，元/吨，含增值税、仓库交割基准</t>
        </is>
      </c>
    </row>
    <row r="20">
      <c r="A20" s="3" t="inlineStr">
        <is>
          <t>样本区间</t>
        </is>
      </c>
      <c r="B20" s="4" t="inlineStr">
        <is>
          <t>2014-02-28 → 2026-10-20</t>
        </is>
      </c>
    </row>
    <row r="21">
      <c r="A21" s="3" t="inlineStr">
        <is>
          <t>有效样本量 N</t>
        </is>
      </c>
      <c r="B21" s="4" t="n">
        <v>3069</v>
      </c>
    </row>
    <row r="22">
      <c r="A22" s="3" t="inlineStr">
        <is>
          <t>交易日对齐</t>
        </is>
      </c>
      <c r="B22" s="4" t="inlineStr">
        <is>
          <t>按日期交集逐日对齐；任一侧当日缺失则该日整体剔除</t>
        </is>
      </c>
    </row>
    <row r="23">
      <c r="A23" s="3" t="inlineStr">
        <is>
          <t>换月处理</t>
        </is>
      </c>
      <c r="B23" s="4" t="inlineStr">
        <is>
          <t>主连日线，不做事后复权；换月跳空在 07-换月台账 单列，异常点中标注</t>
        </is>
      </c>
    </row>
    <row r="24">
      <c r="A24" s="3" t="inlineStr">
        <is>
          <t>分位算法</t>
        </is>
      </c>
      <c r="B24" s="4" t="inlineStr">
        <is>
          <t>经验分布分位 ECDF = 样本中 ≤ 当前值的观测占比；非最高/最低价线性反推</t>
        </is>
      </c>
    </row>
    <row r="25">
      <c r="A25" s="3" t="inlineStr">
        <is>
          <t>前序样本分位</t>
        </is>
      </c>
      <c r="B25" s="4" t="inlineStr">
        <is>
          <t>剔除最近 20 个交易日后重新打分，用于消除当前值自评分偏差</t>
        </is>
      </c>
    </row>
    <row r="26">
      <c r="A26" s="3" t="inlineStr">
        <is>
          <t>异常点算法</t>
        </is>
      </c>
      <c r="B26" s="4" t="inlineStr">
        <is>
          <t>稳健 z 分数（滚动 120 日中位数/MAD），|z| &gt; 3.5</t>
        </is>
      </c>
    </row>
    <row r="27">
      <c r="A27" s="3" t="inlineStr"/>
      <c r="B27" s="4" t="inlineStr"/>
    </row>
    <row r="28">
      <c r="A28" s="5" t="inlineStr">
        <is>
          <t>四、数据血缘</t>
        </is>
      </c>
    </row>
    <row r="29">
      <c r="A29" s="3" t="inlineStr">
        <is>
          <t>原始来源</t>
        </is>
      </c>
      <c r="B29" s="4" t="inlineStr">
        <is>
          <t>新浪财经 期货主力连续日线接口 InnerFuturesNewService.getDailyKLine</t>
        </is>
      </c>
    </row>
    <row r="30">
      <c r="A30" s="3" t="inlineStr">
        <is>
          <t>字段</t>
        </is>
      </c>
      <c r="B30" s="4" t="inlineStr">
        <is>
          <t>日期 / 开 / 高 / 低 / 收 / 成交量 / 持仓量</t>
        </is>
      </c>
    </row>
    <row r="31">
      <c r="A31" s="3" t="inlineStr">
        <is>
          <t>已做校验</t>
        </is>
      </c>
      <c r="B31" s="4" t="inlineStr">
        <is>
          <t>日期重复、收盘空值、OHLC 内部矛盾、单日异常涨跌、零成交、合约覆盖</t>
        </is>
      </c>
    </row>
    <row r="32">
      <c r="A32" s="3" t="inlineStr">
        <is>
          <t>校验结果</t>
        </is>
      </c>
      <c r="B32" s="4" t="inlineStr">
        <is>
          <t>见 10-数据来源 与 qc_report.json；ERROR 必须为 0 才进入统计</t>
        </is>
      </c>
    </row>
    <row r="33">
      <c r="A33" s="3" t="inlineStr"/>
      <c r="B33" s="4" t="inlineStr"/>
    </row>
    <row r="34">
      <c r="A34" s="5" t="inlineStr">
        <is>
          <t>五、已知局限（写在结论里）</t>
        </is>
      </c>
    </row>
    <row r="35">
      <c r="A35" s="3" t="inlineStr">
        <is>
          <t>规格差异</t>
        </is>
      </c>
      <c r="B35" s="4" t="inlineStr">
        <is>
          <t>PP 标准品为均聚拉丝级，LLDPE 标准品为薄膜料，比价含牌号价差，非同物比价</t>
        </is>
      </c>
    </row>
    <row r="36">
      <c r="A36" s="3" t="inlineStr">
        <is>
          <t>换月污染</t>
        </is>
      </c>
      <c r="B36" s="4" t="inlineStr">
        <is>
          <t>主连不连续；换月日新旧合约价差可达数个百分点，当日比价变动不可当产业信号</t>
        </is>
      </c>
    </row>
    <row r="37">
      <c r="A37" s="3" t="inlineStr">
        <is>
          <t>近月混合报价</t>
        </is>
      </c>
      <c r="B37" s="4" t="inlineStr">
        <is>
          <t>数据末端连续序列可能来自临近换月的混合报价路径，与单一挂牌合约不一致（见 10-数据来源）</t>
        </is>
      </c>
    </row>
    <row r="38">
      <c r="A38" s="3" t="inlineStr">
        <is>
          <t>结构漂移</t>
        </is>
      </c>
      <c r="B38" s="4" t="inlineStr">
        <is>
          <t>比价中枢在 13 年内至少移动过两次，全样本分位的分母并不稳定</t>
        </is>
      </c>
    </row>
  </sheetData>
  <mergeCells count="38">
    <mergeCell ref="B16:C16"/>
    <mergeCell ref="B7:C7"/>
    <mergeCell ref="B25:C25"/>
    <mergeCell ref="B3:C3"/>
    <mergeCell ref="B22:C22"/>
    <mergeCell ref="B31:C31"/>
    <mergeCell ref="B18:C18"/>
    <mergeCell ref="B27:C27"/>
    <mergeCell ref="A2:C2"/>
    <mergeCell ref="B12:C12"/>
    <mergeCell ref="B21:C21"/>
    <mergeCell ref="B11:C11"/>
    <mergeCell ref="B23:C23"/>
    <mergeCell ref="B14:C14"/>
    <mergeCell ref="B17:C17"/>
    <mergeCell ref="A4:C4"/>
    <mergeCell ref="B8:C8"/>
    <mergeCell ref="B13:C13"/>
    <mergeCell ref="A28:C28"/>
    <mergeCell ref="B38:C38"/>
    <mergeCell ref="B29:C29"/>
    <mergeCell ref="B19:C19"/>
    <mergeCell ref="B37:C37"/>
    <mergeCell ref="B10:C10"/>
    <mergeCell ref="A9:C9"/>
    <mergeCell ref="A34:C34"/>
    <mergeCell ref="A15:C15"/>
    <mergeCell ref="B6:C6"/>
    <mergeCell ref="B24:C24"/>
    <mergeCell ref="B30:C30"/>
    <mergeCell ref="B33:C33"/>
    <mergeCell ref="A1:C1"/>
    <mergeCell ref="B5:C5"/>
    <mergeCell ref="B20:C20"/>
    <mergeCell ref="B36:C36"/>
    <mergeCell ref="B32:C32"/>
    <mergeCell ref="B26:C2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6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2" customWidth="1" min="15" max="15"/>
  </cols>
  <sheetData>
    <row r="1">
      <c r="A1" s="1" t="inlineStr">
        <is>
          <t>原始价格：两侧逐日收盘（元/吨）</t>
        </is>
      </c>
    </row>
    <row r="2" ht="30" customHeight="1">
      <c r="A2" s="2" t="inlineStr">
        <is>
          <t>A = PP，B = L。缺失保持空白，不插值。比价日期取两侧交集。</t>
        </is>
      </c>
    </row>
    <row r="4" ht="28" customHeight="1">
      <c r="A4" s="6" t="inlineStr">
        <is>
          <t>日期</t>
        </is>
      </c>
      <c r="B4" s="6" t="inlineStr">
        <is>
          <t>PP 收盘</t>
        </is>
      </c>
      <c r="C4" s="6" t="inlineStr">
        <is>
          <t>PP 开盘</t>
        </is>
      </c>
      <c r="D4" s="6" t="inlineStr">
        <is>
          <t>PP 最高</t>
        </is>
      </c>
      <c r="E4" s="6" t="inlineStr">
        <is>
          <t>PP 最低</t>
        </is>
      </c>
      <c r="F4" s="6" t="inlineStr">
        <is>
          <t>PP 成交量</t>
        </is>
      </c>
      <c r="G4" s="6" t="inlineStr">
        <is>
          <t>PP 持仓</t>
        </is>
      </c>
      <c r="H4" s="6" t="inlineStr">
        <is>
          <t>L 收盘</t>
        </is>
      </c>
      <c r="I4" s="6" t="inlineStr">
        <is>
          <t>L 开盘</t>
        </is>
      </c>
      <c r="J4" s="6" t="inlineStr">
        <is>
          <t>L 最高</t>
        </is>
      </c>
      <c r="K4" s="6" t="inlineStr">
        <is>
          <t>L 最低</t>
        </is>
      </c>
      <c r="L4" s="6" t="inlineStr">
        <is>
          <t>L 成交量</t>
        </is>
      </c>
      <c r="M4" s="6" t="inlineStr">
        <is>
          <t>L 持仓</t>
        </is>
      </c>
      <c r="N4" s="6" t="inlineStr">
        <is>
          <t>是否两侧齐全</t>
        </is>
      </c>
      <c r="O4" s="6" t="inlineStr">
        <is>
          <t>备注</t>
        </is>
      </c>
    </row>
    <row r="5">
      <c r="A5" s="7" t="inlineStr">
        <is>
          <t>2007-07-31</t>
        </is>
      </c>
      <c r="B5" s="8" t="n"/>
      <c r="C5" s="8" t="n"/>
      <c r="D5" s="8" t="n"/>
      <c r="E5" s="8" t="n"/>
      <c r="F5" s="8" t="n"/>
      <c r="G5" s="8" t="n"/>
      <c r="H5" s="8" t="n">
        <v>12580</v>
      </c>
      <c r="I5" s="8" t="n">
        <v>12780</v>
      </c>
      <c r="J5" s="8" t="n">
        <v>12625</v>
      </c>
      <c r="K5" s="8" t="n">
        <v>12450</v>
      </c>
      <c r="L5" s="8" t="n">
        <v>21556</v>
      </c>
      <c r="M5" s="8" t="n">
        <v>2428</v>
      </c>
      <c r="N5" s="9" t="inlineStr">
        <is>
          <t>否</t>
        </is>
      </c>
      <c r="O5" t="inlineStr">
        <is>
          <t>缺 PP</t>
        </is>
      </c>
    </row>
    <row r="6">
      <c r="A6" s="7" t="inlineStr">
        <is>
          <t>2007-08-01</t>
        </is>
      </c>
      <c r="B6" s="8" t="n"/>
      <c r="C6" s="8" t="n"/>
      <c r="D6" s="8" t="n"/>
      <c r="E6" s="8" t="n"/>
      <c r="F6" s="8" t="n"/>
      <c r="G6" s="8" t="n"/>
      <c r="H6" s="8" t="n">
        <v>12450</v>
      </c>
      <c r="I6" s="8" t="n">
        <v>12650</v>
      </c>
      <c r="J6" s="8" t="n">
        <v>12650</v>
      </c>
      <c r="K6" s="8" t="n">
        <v>12390</v>
      </c>
      <c r="L6" s="8" t="n">
        <v>4728</v>
      </c>
      <c r="M6" s="8" t="n">
        <v>2294</v>
      </c>
      <c r="N6" s="9" t="inlineStr">
        <is>
          <t>否</t>
        </is>
      </c>
      <c r="O6" t="inlineStr">
        <is>
          <t>缺 PP</t>
        </is>
      </c>
    </row>
    <row r="7">
      <c r="A7" s="7" t="inlineStr">
        <is>
          <t>2007-08-02</t>
        </is>
      </c>
      <c r="B7" s="8" t="n"/>
      <c r="C7" s="8" t="n"/>
      <c r="D7" s="8" t="n"/>
      <c r="E7" s="8" t="n"/>
      <c r="F7" s="8" t="n"/>
      <c r="G7" s="8" t="n"/>
      <c r="H7" s="8" t="n">
        <v>12460</v>
      </c>
      <c r="I7" s="8" t="n">
        <v>12410</v>
      </c>
      <c r="J7" s="8" t="n">
        <v>12490</v>
      </c>
      <c r="K7" s="8" t="n">
        <v>12300</v>
      </c>
      <c r="L7" s="8" t="n">
        <v>5116</v>
      </c>
      <c r="M7" s="8" t="n">
        <v>2740</v>
      </c>
      <c r="N7" s="9" t="inlineStr">
        <is>
          <t>否</t>
        </is>
      </c>
      <c r="O7" t="inlineStr">
        <is>
          <t>缺 PP</t>
        </is>
      </c>
    </row>
    <row r="8">
      <c r="A8" s="7" t="inlineStr">
        <is>
          <t>2007-08-03</t>
        </is>
      </c>
      <c r="B8" s="8" t="n"/>
      <c r="C8" s="8" t="n"/>
      <c r="D8" s="8" t="n"/>
      <c r="E8" s="8" t="n"/>
      <c r="F8" s="8" t="n"/>
      <c r="G8" s="8" t="n"/>
      <c r="H8" s="8" t="n">
        <v>12495</v>
      </c>
      <c r="I8" s="8" t="n">
        <v>12440</v>
      </c>
      <c r="J8" s="8" t="n">
        <v>12560</v>
      </c>
      <c r="K8" s="8" t="n">
        <v>12410</v>
      </c>
      <c r="L8" s="8" t="n">
        <v>4810</v>
      </c>
      <c r="M8" s="8" t="n">
        <v>3026</v>
      </c>
      <c r="N8" s="9" t="inlineStr">
        <is>
          <t>否</t>
        </is>
      </c>
      <c r="O8" t="inlineStr">
        <is>
          <t>缺 PP</t>
        </is>
      </c>
    </row>
    <row r="9">
      <c r="A9" s="7" t="inlineStr">
        <is>
          <t>2007-08-06</t>
        </is>
      </c>
      <c r="B9" s="8" t="n"/>
      <c r="C9" s="8" t="n"/>
      <c r="D9" s="8" t="n"/>
      <c r="E9" s="8" t="n"/>
      <c r="F9" s="8" t="n"/>
      <c r="G9" s="8" t="n"/>
      <c r="H9" s="8" t="n">
        <v>12550</v>
      </c>
      <c r="I9" s="8" t="n">
        <v>12420</v>
      </c>
      <c r="J9" s="8" t="n">
        <v>12670</v>
      </c>
      <c r="K9" s="8" t="n">
        <v>12420</v>
      </c>
      <c r="L9" s="8" t="n">
        <v>6480</v>
      </c>
      <c r="M9" s="8" t="n">
        <v>3696</v>
      </c>
      <c r="N9" s="9" t="inlineStr">
        <is>
          <t>否</t>
        </is>
      </c>
      <c r="O9" t="inlineStr">
        <is>
          <t>缺 PP</t>
        </is>
      </c>
    </row>
    <row r="10">
      <c r="A10" s="7" t="inlineStr">
        <is>
          <t>2007-08-07</t>
        </is>
      </c>
      <c r="B10" s="8" t="n"/>
      <c r="C10" s="8" t="n"/>
      <c r="D10" s="8" t="n"/>
      <c r="E10" s="8" t="n"/>
      <c r="F10" s="8" t="n"/>
      <c r="G10" s="8" t="n"/>
      <c r="H10" s="8" t="n">
        <v>12540</v>
      </c>
      <c r="I10" s="8" t="n">
        <v>12455</v>
      </c>
      <c r="J10" s="8" t="n">
        <v>12570</v>
      </c>
      <c r="K10" s="8" t="n">
        <v>12440</v>
      </c>
      <c r="L10" s="8" t="n">
        <v>2600</v>
      </c>
      <c r="M10" s="8" t="n">
        <v>3106</v>
      </c>
      <c r="N10" s="9" t="inlineStr">
        <is>
          <t>否</t>
        </is>
      </c>
      <c r="O10" t="inlineStr">
        <is>
          <t>缺 PP</t>
        </is>
      </c>
    </row>
    <row r="11">
      <c r="A11" s="7" t="inlineStr">
        <is>
          <t>2007-08-08</t>
        </is>
      </c>
      <c r="B11" s="8" t="n"/>
      <c r="C11" s="8" t="n"/>
      <c r="D11" s="8" t="n"/>
      <c r="E11" s="8" t="n"/>
      <c r="F11" s="8" t="n"/>
      <c r="G11" s="8" t="n"/>
      <c r="H11" s="8" t="n">
        <v>12580</v>
      </c>
      <c r="I11" s="8" t="n">
        <v>12540</v>
      </c>
      <c r="J11" s="8" t="n">
        <v>12640</v>
      </c>
      <c r="K11" s="8" t="n">
        <v>12540</v>
      </c>
      <c r="L11" s="8" t="n">
        <v>2124</v>
      </c>
      <c r="M11" s="8" t="n">
        <v>3024</v>
      </c>
      <c r="N11" s="9" t="inlineStr">
        <is>
          <t>否</t>
        </is>
      </c>
      <c r="O11" t="inlineStr">
        <is>
          <t>缺 PP</t>
        </is>
      </c>
    </row>
    <row r="12">
      <c r="A12" s="7" t="inlineStr">
        <is>
          <t>2007-08-09</t>
        </is>
      </c>
      <c r="B12" s="8" t="n"/>
      <c r="C12" s="8" t="n"/>
      <c r="D12" s="8" t="n"/>
      <c r="E12" s="8" t="n"/>
      <c r="F12" s="8" t="n"/>
      <c r="G12" s="8" t="n"/>
      <c r="H12" s="8" t="n">
        <v>12770</v>
      </c>
      <c r="I12" s="8" t="n">
        <v>12575</v>
      </c>
      <c r="J12" s="8" t="n">
        <v>12795</v>
      </c>
      <c r="K12" s="8" t="n">
        <v>12560</v>
      </c>
      <c r="L12" s="8" t="n">
        <v>4630</v>
      </c>
      <c r="M12" s="8" t="n">
        <v>4452</v>
      </c>
      <c r="N12" s="9" t="inlineStr">
        <is>
          <t>否</t>
        </is>
      </c>
      <c r="O12" t="inlineStr">
        <is>
          <t>缺 PP</t>
        </is>
      </c>
    </row>
    <row r="13">
      <c r="A13" s="7" t="inlineStr">
        <is>
          <t>2007-08-10</t>
        </is>
      </c>
      <c r="B13" s="8" t="n"/>
      <c r="C13" s="8" t="n"/>
      <c r="D13" s="8" t="n"/>
      <c r="E13" s="8" t="n"/>
      <c r="F13" s="8" t="n"/>
      <c r="G13" s="8" t="n"/>
      <c r="H13" s="8" t="n">
        <v>12700</v>
      </c>
      <c r="I13" s="8" t="n">
        <v>12710</v>
      </c>
      <c r="J13" s="8" t="n">
        <v>12850</v>
      </c>
      <c r="K13" s="8" t="n">
        <v>12620</v>
      </c>
      <c r="L13" s="8" t="n">
        <v>8224</v>
      </c>
      <c r="M13" s="8" t="n">
        <v>4708</v>
      </c>
      <c r="N13" s="9" t="inlineStr">
        <is>
          <t>否</t>
        </is>
      </c>
      <c r="O13" t="inlineStr">
        <is>
          <t>缺 PP</t>
        </is>
      </c>
    </row>
    <row r="14">
      <c r="A14" s="7" t="inlineStr">
        <is>
          <t>2007-08-13</t>
        </is>
      </c>
      <c r="B14" s="8" t="n"/>
      <c r="C14" s="8" t="n"/>
      <c r="D14" s="8" t="n"/>
      <c r="E14" s="8" t="n"/>
      <c r="F14" s="8" t="n"/>
      <c r="G14" s="8" t="n"/>
      <c r="H14" s="8" t="n">
        <v>12685</v>
      </c>
      <c r="I14" s="8" t="n">
        <v>12745</v>
      </c>
      <c r="J14" s="8" t="n">
        <v>12780</v>
      </c>
      <c r="K14" s="8" t="n">
        <v>12660</v>
      </c>
      <c r="L14" s="8" t="n">
        <v>2740</v>
      </c>
      <c r="M14" s="8" t="n">
        <v>4122</v>
      </c>
      <c r="N14" s="9" t="inlineStr">
        <is>
          <t>否</t>
        </is>
      </c>
      <c r="O14" t="inlineStr">
        <is>
          <t>缺 PP</t>
        </is>
      </c>
    </row>
    <row r="15">
      <c r="A15" s="7" t="inlineStr">
        <is>
          <t>2007-08-14</t>
        </is>
      </c>
      <c r="B15" s="8" t="n"/>
      <c r="C15" s="8" t="n"/>
      <c r="D15" s="8" t="n"/>
      <c r="E15" s="8" t="n"/>
      <c r="F15" s="8" t="n"/>
      <c r="G15" s="8" t="n"/>
      <c r="H15" s="8" t="n">
        <v>12530</v>
      </c>
      <c r="I15" s="8" t="n">
        <v>12665</v>
      </c>
      <c r="J15" s="8" t="n">
        <v>12680</v>
      </c>
      <c r="K15" s="8" t="n">
        <v>12525</v>
      </c>
      <c r="L15" s="8" t="n">
        <v>3116</v>
      </c>
      <c r="M15" s="8" t="n">
        <v>3854</v>
      </c>
      <c r="N15" s="9" t="inlineStr">
        <is>
          <t>否</t>
        </is>
      </c>
      <c r="O15" t="inlineStr">
        <is>
          <t>缺 PP</t>
        </is>
      </c>
    </row>
    <row r="16">
      <c r="A16" s="7" t="inlineStr">
        <is>
          <t>2007-08-15</t>
        </is>
      </c>
      <c r="B16" s="8" t="n"/>
      <c r="C16" s="8" t="n"/>
      <c r="D16" s="8" t="n"/>
      <c r="E16" s="8" t="n"/>
      <c r="F16" s="8" t="n"/>
      <c r="G16" s="8" t="n"/>
      <c r="H16" s="8" t="n">
        <v>12565</v>
      </c>
      <c r="I16" s="8" t="n">
        <v>12530</v>
      </c>
      <c r="J16" s="8" t="n">
        <v>12600</v>
      </c>
      <c r="K16" s="8" t="n">
        <v>12520</v>
      </c>
      <c r="L16" s="8" t="n">
        <v>2166</v>
      </c>
      <c r="M16" s="8" t="n">
        <v>3908</v>
      </c>
      <c r="N16" s="9" t="inlineStr">
        <is>
          <t>否</t>
        </is>
      </c>
      <c r="O16" t="inlineStr">
        <is>
          <t>缺 PP</t>
        </is>
      </c>
    </row>
    <row r="17">
      <c r="A17" s="7" t="inlineStr">
        <is>
          <t>2007-08-16</t>
        </is>
      </c>
      <c r="B17" s="8" t="n"/>
      <c r="C17" s="8" t="n"/>
      <c r="D17" s="8" t="n"/>
      <c r="E17" s="8" t="n"/>
      <c r="F17" s="8" t="n"/>
      <c r="G17" s="8" t="n"/>
      <c r="H17" s="8" t="n">
        <v>12515</v>
      </c>
      <c r="I17" s="8" t="n">
        <v>12595</v>
      </c>
      <c r="J17" s="8" t="n">
        <v>12620</v>
      </c>
      <c r="K17" s="8" t="n">
        <v>12510</v>
      </c>
      <c r="L17" s="8" t="n">
        <v>2528</v>
      </c>
      <c r="M17" s="8" t="n">
        <v>3598</v>
      </c>
      <c r="N17" s="9" t="inlineStr">
        <is>
          <t>否</t>
        </is>
      </c>
      <c r="O17" t="inlineStr">
        <is>
          <t>缺 PP</t>
        </is>
      </c>
    </row>
    <row r="18">
      <c r="A18" s="7" t="inlineStr">
        <is>
          <t>2007-08-17</t>
        </is>
      </c>
      <c r="B18" s="8" t="n"/>
      <c r="C18" s="8" t="n"/>
      <c r="D18" s="8" t="n"/>
      <c r="E18" s="8" t="n"/>
      <c r="F18" s="8" t="n"/>
      <c r="G18" s="8" t="n"/>
      <c r="H18" s="8" t="n">
        <v>12495</v>
      </c>
      <c r="I18" s="8" t="n">
        <v>12480</v>
      </c>
      <c r="J18" s="8" t="n">
        <v>12555</v>
      </c>
      <c r="K18" s="8" t="n">
        <v>12320</v>
      </c>
      <c r="L18" s="8" t="n">
        <v>3214</v>
      </c>
      <c r="M18" s="8" t="n">
        <v>3608</v>
      </c>
      <c r="N18" s="9" t="inlineStr">
        <is>
          <t>否</t>
        </is>
      </c>
      <c r="O18" t="inlineStr">
        <is>
          <t>缺 PP</t>
        </is>
      </c>
    </row>
    <row r="19">
      <c r="A19" s="7" t="inlineStr">
        <is>
          <t>2007-08-20</t>
        </is>
      </c>
      <c r="B19" s="8" t="n"/>
      <c r="C19" s="8" t="n"/>
      <c r="D19" s="8" t="n"/>
      <c r="E19" s="8" t="n"/>
      <c r="F19" s="8" t="n"/>
      <c r="G19" s="8" t="n"/>
      <c r="H19" s="8" t="n">
        <v>12540</v>
      </c>
      <c r="I19" s="8" t="n">
        <v>12480</v>
      </c>
      <c r="J19" s="8" t="n">
        <v>12555</v>
      </c>
      <c r="K19" s="8" t="n">
        <v>12320</v>
      </c>
      <c r="L19" s="8" t="n">
        <v>1294</v>
      </c>
      <c r="M19" s="8" t="n">
        <v>3578</v>
      </c>
      <c r="N19" s="9" t="inlineStr">
        <is>
          <t>否</t>
        </is>
      </c>
      <c r="O19" t="inlineStr">
        <is>
          <t>缺 PP</t>
        </is>
      </c>
    </row>
    <row r="20">
      <c r="A20" s="7" t="inlineStr">
        <is>
          <t>2007-08-21</t>
        </is>
      </c>
      <c r="B20" s="8" t="n"/>
      <c r="C20" s="8" t="n"/>
      <c r="D20" s="8" t="n"/>
      <c r="E20" s="8" t="n"/>
      <c r="F20" s="8" t="n"/>
      <c r="G20" s="8" t="n"/>
      <c r="H20" s="8" t="n">
        <v>12485</v>
      </c>
      <c r="I20" s="8" t="n">
        <v>12480</v>
      </c>
      <c r="J20" s="8" t="n">
        <v>12520</v>
      </c>
      <c r="K20" s="8" t="n">
        <v>12455</v>
      </c>
      <c r="L20" s="8" t="n">
        <v>1562</v>
      </c>
      <c r="M20" s="8" t="n">
        <v>234</v>
      </c>
      <c r="N20" s="9" t="inlineStr">
        <is>
          <t>否</t>
        </is>
      </c>
      <c r="O20" t="inlineStr">
        <is>
          <t>缺 PP</t>
        </is>
      </c>
    </row>
    <row r="21">
      <c r="A21" s="7" t="inlineStr">
        <is>
          <t>2007-08-22</t>
        </is>
      </c>
      <c r="B21" s="8" t="n"/>
      <c r="C21" s="8" t="n"/>
      <c r="D21" s="8" t="n"/>
      <c r="E21" s="8" t="n"/>
      <c r="F21" s="8" t="n"/>
      <c r="G21" s="8" t="n"/>
      <c r="H21" s="8" t="n">
        <v>12510</v>
      </c>
      <c r="I21" s="8" t="n">
        <v>12500</v>
      </c>
      <c r="J21" s="8" t="n">
        <v>12510</v>
      </c>
      <c r="K21" s="8" t="n">
        <v>12465</v>
      </c>
      <c r="L21" s="8" t="n">
        <v>1660</v>
      </c>
      <c r="M21" s="8" t="n">
        <v>234</v>
      </c>
      <c r="N21" s="9" t="inlineStr">
        <is>
          <t>否</t>
        </is>
      </c>
      <c r="O21" t="inlineStr">
        <is>
          <t>缺 PP</t>
        </is>
      </c>
    </row>
    <row r="22">
      <c r="A22" s="7" t="inlineStr">
        <is>
          <t>2007-08-23</t>
        </is>
      </c>
      <c r="B22" s="8" t="n"/>
      <c r="C22" s="8" t="n"/>
      <c r="D22" s="8" t="n"/>
      <c r="E22" s="8" t="n"/>
      <c r="F22" s="8" t="n"/>
      <c r="G22" s="8" t="n"/>
      <c r="H22" s="8" t="n">
        <v>12585</v>
      </c>
      <c r="I22" s="8" t="n">
        <v>12520</v>
      </c>
      <c r="J22" s="8" t="n">
        <v>12595</v>
      </c>
      <c r="K22" s="8" t="n">
        <v>12520</v>
      </c>
      <c r="L22" s="8" t="n">
        <v>1528</v>
      </c>
      <c r="M22" s="8" t="n">
        <v>304</v>
      </c>
      <c r="N22" s="9" t="inlineStr">
        <is>
          <t>否</t>
        </is>
      </c>
      <c r="O22" t="inlineStr">
        <is>
          <t>缺 PP</t>
        </is>
      </c>
    </row>
    <row r="23">
      <c r="A23" s="7" t="inlineStr">
        <is>
          <t>2007-08-24</t>
        </is>
      </c>
      <c r="B23" s="8" t="n"/>
      <c r="C23" s="8" t="n"/>
      <c r="D23" s="8" t="n"/>
      <c r="E23" s="8" t="n"/>
      <c r="F23" s="8" t="n"/>
      <c r="G23" s="8" t="n"/>
      <c r="H23" s="8" t="n">
        <v>12555</v>
      </c>
      <c r="I23" s="8" t="n">
        <v>12550</v>
      </c>
      <c r="J23" s="8" t="n">
        <v>12565</v>
      </c>
      <c r="K23" s="8" t="n">
        <v>12450</v>
      </c>
      <c r="L23" s="8" t="n">
        <v>1154</v>
      </c>
      <c r="M23" s="8" t="n">
        <v>254</v>
      </c>
      <c r="N23" s="9" t="inlineStr">
        <is>
          <t>否</t>
        </is>
      </c>
      <c r="O23" t="inlineStr">
        <is>
          <t>缺 PP</t>
        </is>
      </c>
    </row>
    <row r="24">
      <c r="A24" s="7" t="inlineStr">
        <is>
          <t>2007-08-27</t>
        </is>
      </c>
      <c r="B24" s="8" t="n"/>
      <c r="C24" s="8" t="n"/>
      <c r="D24" s="8" t="n"/>
      <c r="E24" s="8" t="n"/>
      <c r="F24" s="8" t="n"/>
      <c r="G24" s="8" t="n"/>
      <c r="H24" s="8" t="n">
        <v>12455</v>
      </c>
      <c r="I24" s="8" t="n">
        <v>12525</v>
      </c>
      <c r="J24" s="8" t="n">
        <v>12525</v>
      </c>
      <c r="K24" s="8" t="n">
        <v>12450</v>
      </c>
      <c r="L24" s="8" t="n">
        <v>1808</v>
      </c>
      <c r="M24" s="8" t="n">
        <v>3500</v>
      </c>
      <c r="N24" s="9" t="inlineStr">
        <is>
          <t>否</t>
        </is>
      </c>
      <c r="O24" t="inlineStr">
        <is>
          <t>缺 PP</t>
        </is>
      </c>
    </row>
    <row r="25">
      <c r="A25" s="7" t="inlineStr">
        <is>
          <t>2007-08-28</t>
        </is>
      </c>
      <c r="B25" s="8" t="n"/>
      <c r="C25" s="8" t="n"/>
      <c r="D25" s="8" t="n"/>
      <c r="E25" s="8" t="n"/>
      <c r="F25" s="8" t="n"/>
      <c r="G25" s="8" t="n"/>
      <c r="H25" s="8" t="n">
        <v>12440</v>
      </c>
      <c r="I25" s="8" t="n">
        <v>12510</v>
      </c>
      <c r="J25" s="8" t="n">
        <v>12510</v>
      </c>
      <c r="K25" s="8" t="n">
        <v>12400</v>
      </c>
      <c r="L25" s="8" t="n">
        <v>1688</v>
      </c>
      <c r="M25" s="8" t="n">
        <v>380</v>
      </c>
      <c r="N25" s="9" t="inlineStr">
        <is>
          <t>否</t>
        </is>
      </c>
      <c r="O25" t="inlineStr">
        <is>
          <t>缺 PP</t>
        </is>
      </c>
    </row>
    <row r="26">
      <c r="A26" s="7" t="inlineStr">
        <is>
          <t>2007-08-29</t>
        </is>
      </c>
      <c r="B26" s="8" t="n"/>
      <c r="C26" s="8" t="n"/>
      <c r="D26" s="8" t="n"/>
      <c r="E26" s="8" t="n"/>
      <c r="F26" s="8" t="n"/>
      <c r="G26" s="8" t="n"/>
      <c r="H26" s="8" t="n">
        <v>12400</v>
      </c>
      <c r="I26" s="8" t="n">
        <v>12430</v>
      </c>
      <c r="J26" s="8" t="n">
        <v>12430</v>
      </c>
      <c r="K26" s="8" t="n">
        <v>12385</v>
      </c>
      <c r="L26" s="8" t="n">
        <v>1706</v>
      </c>
      <c r="M26" s="8" t="n">
        <v>388</v>
      </c>
      <c r="N26" s="9" t="inlineStr">
        <is>
          <t>否</t>
        </is>
      </c>
      <c r="O26" t="inlineStr">
        <is>
          <t>缺 PP</t>
        </is>
      </c>
    </row>
    <row r="27">
      <c r="A27" s="7" t="inlineStr">
        <is>
          <t>2007-08-30</t>
        </is>
      </c>
      <c r="B27" s="8" t="n"/>
      <c r="C27" s="8" t="n"/>
      <c r="D27" s="8" t="n"/>
      <c r="E27" s="8" t="n"/>
      <c r="F27" s="8" t="n"/>
      <c r="G27" s="8" t="n"/>
      <c r="H27" s="8" t="n">
        <v>12360</v>
      </c>
      <c r="I27" s="8" t="n">
        <v>12480</v>
      </c>
      <c r="J27" s="8" t="n">
        <v>12480</v>
      </c>
      <c r="K27" s="8" t="n">
        <v>12345</v>
      </c>
      <c r="L27" s="8" t="n">
        <v>2076</v>
      </c>
      <c r="M27" s="8" t="n">
        <v>3840</v>
      </c>
      <c r="N27" s="9" t="inlineStr">
        <is>
          <t>否</t>
        </is>
      </c>
      <c r="O27" t="inlineStr">
        <is>
          <t>缺 PP</t>
        </is>
      </c>
    </row>
    <row r="28">
      <c r="A28" s="7" t="inlineStr">
        <is>
          <t>2007-08-31</t>
        </is>
      </c>
      <c r="B28" s="8" t="n"/>
      <c r="C28" s="8" t="n"/>
      <c r="D28" s="8" t="n"/>
      <c r="E28" s="8" t="n"/>
      <c r="F28" s="8" t="n"/>
      <c r="G28" s="8" t="n"/>
      <c r="H28" s="8" t="n">
        <v>12405</v>
      </c>
      <c r="I28" s="8" t="n">
        <v>12360</v>
      </c>
      <c r="J28" s="8" t="n">
        <v>12410</v>
      </c>
      <c r="K28" s="8" t="n">
        <v>12335</v>
      </c>
      <c r="L28" s="8" t="n">
        <v>2494</v>
      </c>
      <c r="M28" s="8" t="n">
        <v>674</v>
      </c>
      <c r="N28" s="9" t="inlineStr">
        <is>
          <t>否</t>
        </is>
      </c>
      <c r="O28" t="inlineStr">
        <is>
          <t>缺 PP</t>
        </is>
      </c>
    </row>
    <row r="29">
      <c r="A29" s="7" t="inlineStr">
        <is>
          <t>2007-09-03</t>
        </is>
      </c>
      <c r="B29" s="8" t="n"/>
      <c r="C29" s="8" t="n"/>
      <c r="D29" s="8" t="n"/>
      <c r="E29" s="8" t="n"/>
      <c r="F29" s="8" t="n"/>
      <c r="G29" s="8" t="n"/>
      <c r="H29" s="8" t="n">
        <v>12455</v>
      </c>
      <c r="I29" s="8" t="n">
        <v>12420</v>
      </c>
      <c r="J29" s="8" t="n">
        <v>12480</v>
      </c>
      <c r="K29" s="8" t="n">
        <v>12395</v>
      </c>
      <c r="L29" s="8" t="n">
        <v>1988</v>
      </c>
      <c r="M29" s="8" t="n">
        <v>780</v>
      </c>
      <c r="N29" s="9" t="inlineStr">
        <is>
          <t>否</t>
        </is>
      </c>
      <c r="O29" t="inlineStr">
        <is>
          <t>缺 PP</t>
        </is>
      </c>
    </row>
    <row r="30">
      <c r="A30" s="7" t="inlineStr">
        <is>
          <t>2007-09-04</t>
        </is>
      </c>
      <c r="B30" s="8" t="n"/>
      <c r="C30" s="8" t="n"/>
      <c r="D30" s="8" t="n"/>
      <c r="E30" s="8" t="n"/>
      <c r="F30" s="8" t="n"/>
      <c r="G30" s="8" t="n"/>
      <c r="H30" s="8" t="n">
        <v>12420</v>
      </c>
      <c r="I30" s="8" t="n">
        <v>12425</v>
      </c>
      <c r="J30" s="8" t="n">
        <v>12495</v>
      </c>
      <c r="K30" s="8" t="n">
        <v>12390</v>
      </c>
      <c r="L30" s="8" t="n">
        <v>2728</v>
      </c>
      <c r="M30" s="8" t="n">
        <v>932</v>
      </c>
      <c r="N30" s="9" t="inlineStr">
        <is>
          <t>否</t>
        </is>
      </c>
      <c r="O30" t="inlineStr">
        <is>
          <t>缺 PP</t>
        </is>
      </c>
    </row>
    <row r="31">
      <c r="A31" s="7" t="inlineStr">
        <is>
          <t>2007-09-05</t>
        </is>
      </c>
      <c r="B31" s="8" t="n"/>
      <c r="C31" s="8" t="n"/>
      <c r="D31" s="8" t="n"/>
      <c r="E31" s="8" t="n"/>
      <c r="F31" s="8" t="n"/>
      <c r="G31" s="8" t="n"/>
      <c r="H31" s="8" t="n">
        <v>12405</v>
      </c>
      <c r="I31" s="8" t="n">
        <v>12450</v>
      </c>
      <c r="J31" s="8" t="n">
        <v>12450</v>
      </c>
      <c r="K31" s="8" t="n">
        <v>12390</v>
      </c>
      <c r="L31" s="8" t="n">
        <v>2294</v>
      </c>
      <c r="M31" s="8" t="n">
        <v>1050</v>
      </c>
      <c r="N31" s="9" t="inlineStr">
        <is>
          <t>否</t>
        </is>
      </c>
      <c r="O31" t="inlineStr">
        <is>
          <t>缺 PP</t>
        </is>
      </c>
    </row>
    <row r="32">
      <c r="A32" s="7" t="inlineStr">
        <is>
          <t>2007-09-06</t>
        </is>
      </c>
      <c r="B32" s="8" t="n"/>
      <c r="C32" s="8" t="n"/>
      <c r="D32" s="8" t="n"/>
      <c r="E32" s="8" t="n"/>
      <c r="F32" s="8" t="n"/>
      <c r="G32" s="8" t="n"/>
      <c r="H32" s="8" t="n">
        <v>12475</v>
      </c>
      <c r="I32" s="8" t="n">
        <v>12430</v>
      </c>
      <c r="J32" s="8" t="n">
        <v>12500</v>
      </c>
      <c r="K32" s="8" t="n">
        <v>12420</v>
      </c>
      <c r="L32" s="8" t="n">
        <v>2938</v>
      </c>
      <c r="M32" s="8" t="n">
        <v>1110</v>
      </c>
      <c r="N32" s="9" t="inlineStr">
        <is>
          <t>否</t>
        </is>
      </c>
      <c r="O32" t="inlineStr">
        <is>
          <t>缺 PP</t>
        </is>
      </c>
    </row>
    <row r="33">
      <c r="A33" s="7" t="inlineStr">
        <is>
          <t>2007-09-07</t>
        </is>
      </c>
      <c r="B33" s="8" t="n"/>
      <c r="C33" s="8" t="n"/>
      <c r="D33" s="8" t="n"/>
      <c r="E33" s="8" t="n"/>
      <c r="F33" s="8" t="n"/>
      <c r="G33" s="8" t="n"/>
      <c r="H33" s="8" t="n">
        <v>12550</v>
      </c>
      <c r="I33" s="8" t="n">
        <v>12490</v>
      </c>
      <c r="J33" s="8" t="n">
        <v>12670</v>
      </c>
      <c r="K33" s="8" t="n">
        <v>12465</v>
      </c>
      <c r="L33" s="8" t="n">
        <v>4562</v>
      </c>
      <c r="M33" s="8" t="n">
        <v>2094</v>
      </c>
      <c r="N33" s="9" t="inlineStr">
        <is>
          <t>否</t>
        </is>
      </c>
      <c r="O33" t="inlineStr">
        <is>
          <t>缺 PP</t>
        </is>
      </c>
    </row>
    <row r="34">
      <c r="A34" s="7" t="inlineStr">
        <is>
          <t>2007-09-10</t>
        </is>
      </c>
      <c r="B34" s="8" t="n"/>
      <c r="C34" s="8" t="n"/>
      <c r="D34" s="8" t="n"/>
      <c r="E34" s="8" t="n"/>
      <c r="F34" s="8" t="n"/>
      <c r="G34" s="8" t="n"/>
      <c r="H34" s="8" t="n">
        <v>12475</v>
      </c>
      <c r="I34" s="8" t="n">
        <v>12545</v>
      </c>
      <c r="J34" s="8" t="n">
        <v>12605</v>
      </c>
      <c r="K34" s="8" t="n">
        <v>12400</v>
      </c>
      <c r="L34" s="8" t="n">
        <v>4354</v>
      </c>
      <c r="M34" s="8" t="n">
        <v>1668</v>
      </c>
      <c r="N34" s="9" t="inlineStr">
        <is>
          <t>否</t>
        </is>
      </c>
      <c r="O34" t="inlineStr">
        <is>
          <t>缺 PP</t>
        </is>
      </c>
    </row>
    <row r="35">
      <c r="A35" s="7" t="inlineStr">
        <is>
          <t>2007-09-11</t>
        </is>
      </c>
      <c r="B35" s="8" t="n"/>
      <c r="C35" s="8" t="n"/>
      <c r="D35" s="8" t="n"/>
      <c r="E35" s="8" t="n"/>
      <c r="F35" s="8" t="n"/>
      <c r="G35" s="8" t="n"/>
      <c r="H35" s="8" t="n">
        <v>12470</v>
      </c>
      <c r="I35" s="8" t="n">
        <v>12510</v>
      </c>
      <c r="J35" s="8" t="n">
        <v>12545</v>
      </c>
      <c r="K35" s="8" t="n">
        <v>12450</v>
      </c>
      <c r="L35" s="8" t="n">
        <v>3738</v>
      </c>
      <c r="M35" s="8" t="n">
        <v>1646</v>
      </c>
      <c r="N35" s="9" t="inlineStr">
        <is>
          <t>否</t>
        </is>
      </c>
      <c r="O35" t="inlineStr">
        <is>
          <t>缺 PP</t>
        </is>
      </c>
    </row>
    <row r="36">
      <c r="A36" s="7" t="inlineStr">
        <is>
          <t>2007-09-12</t>
        </is>
      </c>
      <c r="B36" s="8" t="n"/>
      <c r="C36" s="8" t="n"/>
      <c r="D36" s="8" t="n"/>
      <c r="E36" s="8" t="n"/>
      <c r="F36" s="8" t="n"/>
      <c r="G36" s="8" t="n"/>
      <c r="H36" s="8" t="n">
        <v>12495</v>
      </c>
      <c r="I36" s="8" t="n">
        <v>12515</v>
      </c>
      <c r="J36" s="8" t="n">
        <v>12515</v>
      </c>
      <c r="K36" s="8" t="n">
        <v>12455</v>
      </c>
      <c r="L36" s="8" t="n">
        <v>4610</v>
      </c>
      <c r="M36" s="8" t="n">
        <v>1820</v>
      </c>
      <c r="N36" s="9" t="inlineStr">
        <is>
          <t>否</t>
        </is>
      </c>
      <c r="O36" t="inlineStr">
        <is>
          <t>缺 PP</t>
        </is>
      </c>
    </row>
    <row r="37">
      <c r="A37" s="7" t="inlineStr">
        <is>
          <t>2007-09-13</t>
        </is>
      </c>
      <c r="B37" s="8" t="n"/>
      <c r="C37" s="8" t="n"/>
      <c r="D37" s="8" t="n"/>
      <c r="E37" s="8" t="n"/>
      <c r="F37" s="8" t="n"/>
      <c r="G37" s="8" t="n"/>
      <c r="H37" s="8" t="n">
        <v>12500</v>
      </c>
      <c r="I37" s="8" t="n">
        <v>12510</v>
      </c>
      <c r="J37" s="8" t="n">
        <v>12590</v>
      </c>
      <c r="K37" s="8" t="n">
        <v>12480</v>
      </c>
      <c r="L37" s="8" t="n">
        <v>4352</v>
      </c>
      <c r="M37" s="8" t="n">
        <v>2362</v>
      </c>
      <c r="N37" s="9" t="inlineStr">
        <is>
          <t>否</t>
        </is>
      </c>
      <c r="O37" t="inlineStr">
        <is>
          <t>缺 PP</t>
        </is>
      </c>
    </row>
    <row r="38">
      <c r="A38" s="7" t="inlineStr">
        <is>
          <t>2007-09-14</t>
        </is>
      </c>
      <c r="B38" s="8" t="n"/>
      <c r="C38" s="8" t="n"/>
      <c r="D38" s="8" t="n"/>
      <c r="E38" s="8" t="n"/>
      <c r="F38" s="8" t="n"/>
      <c r="G38" s="8" t="n"/>
      <c r="H38" s="8" t="n">
        <v>12485</v>
      </c>
      <c r="I38" s="8" t="n">
        <v>12485</v>
      </c>
      <c r="J38" s="8" t="n">
        <v>12505</v>
      </c>
      <c r="K38" s="8" t="n">
        <v>12455</v>
      </c>
      <c r="L38" s="8" t="n">
        <v>4748</v>
      </c>
      <c r="M38" s="8" t="n">
        <v>2034</v>
      </c>
      <c r="N38" s="9" t="inlineStr">
        <is>
          <t>否</t>
        </is>
      </c>
      <c r="O38" t="inlineStr">
        <is>
          <t>缺 PP</t>
        </is>
      </c>
    </row>
    <row r="39">
      <c r="A39" s="7" t="inlineStr">
        <is>
          <t>2007-09-17</t>
        </is>
      </c>
      <c r="B39" s="8" t="n"/>
      <c r="C39" s="8" t="n"/>
      <c r="D39" s="8" t="n"/>
      <c r="E39" s="8" t="n"/>
      <c r="F39" s="8" t="n"/>
      <c r="G39" s="8" t="n"/>
      <c r="H39" s="8" t="n">
        <v>12495</v>
      </c>
      <c r="I39" s="8" t="n">
        <v>12440</v>
      </c>
      <c r="J39" s="8" t="n">
        <v>12495</v>
      </c>
      <c r="K39" s="8" t="n">
        <v>12440</v>
      </c>
      <c r="L39" s="8" t="n">
        <v>3856</v>
      </c>
      <c r="M39" s="8" t="n">
        <v>2132</v>
      </c>
      <c r="N39" s="9" t="inlineStr">
        <is>
          <t>否</t>
        </is>
      </c>
      <c r="O39" t="inlineStr">
        <is>
          <t>缺 PP</t>
        </is>
      </c>
    </row>
    <row r="40">
      <c r="A40" s="7" t="inlineStr">
        <is>
          <t>2007-09-18</t>
        </is>
      </c>
      <c r="B40" s="8" t="n"/>
      <c r="C40" s="8" t="n"/>
      <c r="D40" s="8" t="n"/>
      <c r="E40" s="8" t="n"/>
      <c r="F40" s="8" t="n"/>
      <c r="G40" s="8" t="n"/>
      <c r="H40" s="8" t="n">
        <v>12550</v>
      </c>
      <c r="I40" s="8" t="n">
        <v>12550</v>
      </c>
      <c r="J40" s="8" t="n">
        <v>12590</v>
      </c>
      <c r="K40" s="8" t="n">
        <v>12505</v>
      </c>
      <c r="L40" s="8" t="n">
        <v>6654</v>
      </c>
      <c r="M40" s="8" t="n">
        <v>2826</v>
      </c>
      <c r="N40" s="9" t="inlineStr">
        <is>
          <t>否</t>
        </is>
      </c>
      <c r="O40" t="inlineStr">
        <is>
          <t>缺 PP</t>
        </is>
      </c>
    </row>
    <row r="41">
      <c r="A41" s="7" t="inlineStr">
        <is>
          <t>2007-09-19</t>
        </is>
      </c>
      <c r="B41" s="8" t="n"/>
      <c r="C41" s="8" t="n"/>
      <c r="D41" s="8" t="n"/>
      <c r="E41" s="8" t="n"/>
      <c r="F41" s="8" t="n"/>
      <c r="G41" s="8" t="n"/>
      <c r="H41" s="8" t="n">
        <v>12600</v>
      </c>
      <c r="I41" s="8" t="n">
        <v>12590</v>
      </c>
      <c r="J41" s="8" t="n">
        <v>12620</v>
      </c>
      <c r="K41" s="8" t="n">
        <v>12570</v>
      </c>
      <c r="L41" s="8" t="n">
        <v>5834</v>
      </c>
      <c r="M41" s="8" t="n">
        <v>3398</v>
      </c>
      <c r="N41" s="9" t="inlineStr">
        <is>
          <t>否</t>
        </is>
      </c>
      <c r="O41" t="inlineStr">
        <is>
          <t>缺 PP</t>
        </is>
      </c>
    </row>
    <row r="42">
      <c r="A42" s="7" t="inlineStr">
        <is>
          <t>2007-09-20</t>
        </is>
      </c>
      <c r="B42" s="8" t="n"/>
      <c r="C42" s="8" t="n"/>
      <c r="D42" s="8" t="n"/>
      <c r="E42" s="8" t="n"/>
      <c r="F42" s="8" t="n"/>
      <c r="G42" s="8" t="n"/>
      <c r="H42" s="8" t="n">
        <v>12590</v>
      </c>
      <c r="I42" s="8" t="n">
        <v>12595</v>
      </c>
      <c r="J42" s="8" t="n">
        <v>12600</v>
      </c>
      <c r="K42" s="8" t="n">
        <v>12510</v>
      </c>
      <c r="L42" s="8" t="n">
        <v>9494</v>
      </c>
      <c r="M42" s="8" t="n">
        <v>3836</v>
      </c>
      <c r="N42" s="9" t="inlineStr">
        <is>
          <t>否</t>
        </is>
      </c>
      <c r="O42" t="inlineStr">
        <is>
          <t>缺 PP</t>
        </is>
      </c>
    </row>
    <row r="43">
      <c r="A43" s="7" t="inlineStr">
        <is>
          <t>2007-09-21</t>
        </is>
      </c>
      <c r="B43" s="8" t="n"/>
      <c r="C43" s="8" t="n"/>
      <c r="D43" s="8" t="n"/>
      <c r="E43" s="8" t="n"/>
      <c r="F43" s="8" t="n"/>
      <c r="G43" s="8" t="n"/>
      <c r="H43" s="8" t="n">
        <v>12580</v>
      </c>
      <c r="I43" s="8" t="n">
        <v>12610</v>
      </c>
      <c r="J43" s="8" t="n">
        <v>12615</v>
      </c>
      <c r="K43" s="8" t="n">
        <v>12560</v>
      </c>
      <c r="L43" s="8" t="n">
        <v>5954</v>
      </c>
      <c r="M43" s="8" t="n">
        <v>3876</v>
      </c>
      <c r="N43" s="9" t="inlineStr">
        <is>
          <t>否</t>
        </is>
      </c>
      <c r="O43" t="inlineStr">
        <is>
          <t>缺 PP</t>
        </is>
      </c>
    </row>
    <row r="44">
      <c r="A44" s="7" t="inlineStr">
        <is>
          <t>2007-09-24</t>
        </is>
      </c>
      <c r="B44" s="8" t="n"/>
      <c r="C44" s="8" t="n"/>
      <c r="D44" s="8" t="n"/>
      <c r="E44" s="8" t="n"/>
      <c r="F44" s="8" t="n"/>
      <c r="G44" s="8" t="n"/>
      <c r="H44" s="8" t="n">
        <v>12530</v>
      </c>
      <c r="I44" s="8" t="n">
        <v>12595</v>
      </c>
      <c r="J44" s="8" t="n">
        <v>12600</v>
      </c>
      <c r="K44" s="8" t="n">
        <v>12515</v>
      </c>
      <c r="L44" s="8" t="n">
        <v>5190</v>
      </c>
      <c r="M44" s="8" t="n">
        <v>3734</v>
      </c>
      <c r="N44" s="9" t="inlineStr">
        <is>
          <t>否</t>
        </is>
      </c>
      <c r="O44" t="inlineStr">
        <is>
          <t>缺 PP</t>
        </is>
      </c>
    </row>
    <row r="45">
      <c r="A45" s="7" t="inlineStr">
        <is>
          <t>2007-09-25</t>
        </is>
      </c>
      <c r="B45" s="8" t="n"/>
      <c r="C45" s="8" t="n"/>
      <c r="D45" s="8" t="n"/>
      <c r="E45" s="8" t="n"/>
      <c r="F45" s="8" t="n"/>
      <c r="G45" s="8" t="n"/>
      <c r="H45" s="8" t="n">
        <v>12500</v>
      </c>
      <c r="I45" s="8" t="n">
        <v>12500</v>
      </c>
      <c r="J45" s="8" t="n">
        <v>12525</v>
      </c>
      <c r="K45" s="8" t="n">
        <v>12465</v>
      </c>
      <c r="L45" s="8" t="n">
        <v>4356</v>
      </c>
      <c r="M45" s="8" t="n">
        <v>3582</v>
      </c>
      <c r="N45" s="9" t="inlineStr">
        <is>
          <t>否</t>
        </is>
      </c>
      <c r="O45" t="inlineStr">
        <is>
          <t>缺 PP</t>
        </is>
      </c>
    </row>
    <row r="46">
      <c r="A46" s="7" t="inlineStr">
        <is>
          <t>2007-09-26</t>
        </is>
      </c>
      <c r="B46" s="8" t="n"/>
      <c r="C46" s="8" t="n"/>
      <c r="D46" s="8" t="n"/>
      <c r="E46" s="8" t="n"/>
      <c r="F46" s="8" t="n"/>
      <c r="G46" s="8" t="n"/>
      <c r="H46" s="8" t="n">
        <v>12490</v>
      </c>
      <c r="I46" s="8" t="n">
        <v>12495</v>
      </c>
      <c r="J46" s="8" t="n">
        <v>12515</v>
      </c>
      <c r="K46" s="8" t="n">
        <v>12460</v>
      </c>
      <c r="L46" s="8" t="n">
        <v>4924</v>
      </c>
      <c r="M46" s="8" t="n">
        <v>3536</v>
      </c>
      <c r="N46" s="9" t="inlineStr">
        <is>
          <t>否</t>
        </is>
      </c>
      <c r="O46" t="inlineStr">
        <is>
          <t>缺 PP</t>
        </is>
      </c>
    </row>
    <row r="47">
      <c r="A47" s="7" t="inlineStr">
        <is>
          <t>2007-09-27</t>
        </is>
      </c>
      <c r="B47" s="8" t="n"/>
      <c r="C47" s="8" t="n"/>
      <c r="D47" s="8" t="n"/>
      <c r="E47" s="8" t="n"/>
      <c r="F47" s="8" t="n"/>
      <c r="G47" s="8" t="n"/>
      <c r="H47" s="8" t="n">
        <v>12480</v>
      </c>
      <c r="I47" s="8" t="n">
        <v>12520</v>
      </c>
      <c r="J47" s="8" t="n">
        <v>12520</v>
      </c>
      <c r="K47" s="8" t="n">
        <v>12470</v>
      </c>
      <c r="L47" s="8" t="n">
        <v>5062</v>
      </c>
      <c r="M47" s="8" t="n">
        <v>3652</v>
      </c>
      <c r="N47" s="9" t="inlineStr">
        <is>
          <t>否</t>
        </is>
      </c>
      <c r="O47" t="inlineStr">
        <is>
          <t>缺 PP</t>
        </is>
      </c>
    </row>
    <row r="48">
      <c r="A48" s="7" t="inlineStr">
        <is>
          <t>2007-09-28</t>
        </is>
      </c>
      <c r="B48" s="8" t="n"/>
      <c r="C48" s="8" t="n"/>
      <c r="D48" s="8" t="n"/>
      <c r="E48" s="8" t="n"/>
      <c r="F48" s="8" t="n"/>
      <c r="G48" s="8" t="n"/>
      <c r="H48" s="8" t="n">
        <v>12520</v>
      </c>
      <c r="I48" s="8" t="n">
        <v>12500</v>
      </c>
      <c r="J48" s="8" t="n">
        <v>12520</v>
      </c>
      <c r="K48" s="8" t="n">
        <v>12485</v>
      </c>
      <c r="L48" s="8" t="n">
        <v>3720</v>
      </c>
      <c r="M48" s="8" t="n">
        <v>3740</v>
      </c>
      <c r="N48" s="9" t="inlineStr">
        <is>
          <t>否</t>
        </is>
      </c>
      <c r="O48" t="inlineStr">
        <is>
          <t>缺 PP</t>
        </is>
      </c>
    </row>
    <row r="49">
      <c r="A49" s="7" t="inlineStr">
        <is>
          <t>2007-10-08</t>
        </is>
      </c>
      <c r="B49" s="8" t="n"/>
      <c r="C49" s="8" t="n"/>
      <c r="D49" s="8" t="n"/>
      <c r="E49" s="8" t="n"/>
      <c r="F49" s="8" t="n"/>
      <c r="G49" s="8" t="n"/>
      <c r="H49" s="8" t="n">
        <v>12550</v>
      </c>
      <c r="I49" s="8" t="n">
        <v>12520</v>
      </c>
      <c r="J49" s="8" t="n">
        <v>12600</v>
      </c>
      <c r="K49" s="8" t="n">
        <v>12500</v>
      </c>
      <c r="L49" s="8" t="n">
        <v>5346</v>
      </c>
      <c r="M49" s="8" t="n">
        <v>3846</v>
      </c>
      <c r="N49" s="9" t="inlineStr">
        <is>
          <t>否</t>
        </is>
      </c>
      <c r="O49" t="inlineStr">
        <is>
          <t>缺 PP</t>
        </is>
      </c>
    </row>
    <row r="50">
      <c r="A50" s="7" t="inlineStr">
        <is>
          <t>2007-10-09</t>
        </is>
      </c>
      <c r="B50" s="8" t="n"/>
      <c r="C50" s="8" t="n"/>
      <c r="D50" s="8" t="n"/>
      <c r="E50" s="8" t="n"/>
      <c r="F50" s="8" t="n"/>
      <c r="G50" s="8" t="n"/>
      <c r="H50" s="8" t="n">
        <v>12515</v>
      </c>
      <c r="I50" s="8" t="n">
        <v>12500</v>
      </c>
      <c r="J50" s="8" t="n">
        <v>12545</v>
      </c>
      <c r="K50" s="8" t="n">
        <v>12485</v>
      </c>
      <c r="L50" s="8" t="n">
        <v>4252</v>
      </c>
      <c r="M50" s="8" t="n">
        <v>3828</v>
      </c>
      <c r="N50" s="9" t="inlineStr">
        <is>
          <t>否</t>
        </is>
      </c>
      <c r="O50" t="inlineStr">
        <is>
          <t>缺 PP</t>
        </is>
      </c>
    </row>
    <row r="51">
      <c r="A51" s="7" t="inlineStr">
        <is>
          <t>2007-10-10</t>
        </is>
      </c>
      <c r="B51" s="8" t="n"/>
      <c r="C51" s="8" t="n"/>
      <c r="D51" s="8" t="n"/>
      <c r="E51" s="8" t="n"/>
      <c r="F51" s="8" t="n"/>
      <c r="G51" s="8" t="n"/>
      <c r="H51" s="8" t="n">
        <v>12555</v>
      </c>
      <c r="I51" s="8" t="n">
        <v>12530</v>
      </c>
      <c r="J51" s="8" t="n">
        <v>12580</v>
      </c>
      <c r="K51" s="8" t="n">
        <v>12505</v>
      </c>
      <c r="L51" s="8" t="n">
        <v>4242</v>
      </c>
      <c r="M51" s="8" t="n">
        <v>4316</v>
      </c>
      <c r="N51" s="9" t="inlineStr">
        <is>
          <t>否</t>
        </is>
      </c>
      <c r="O51" t="inlineStr">
        <is>
          <t>缺 PP</t>
        </is>
      </c>
    </row>
    <row r="52">
      <c r="A52" s="7" t="inlineStr">
        <is>
          <t>2007-10-11</t>
        </is>
      </c>
      <c r="B52" s="8" t="n"/>
      <c r="C52" s="8" t="n"/>
      <c r="D52" s="8" t="n"/>
      <c r="E52" s="8" t="n"/>
      <c r="F52" s="8" t="n"/>
      <c r="G52" s="8" t="n"/>
      <c r="H52" s="8" t="n">
        <v>12585</v>
      </c>
      <c r="I52" s="8" t="n">
        <v>12595</v>
      </c>
      <c r="J52" s="8" t="n">
        <v>12595</v>
      </c>
      <c r="K52" s="8" t="n">
        <v>12555</v>
      </c>
      <c r="L52" s="8" t="n">
        <v>6432</v>
      </c>
      <c r="M52" s="8" t="n">
        <v>4600</v>
      </c>
      <c r="N52" s="9" t="inlineStr">
        <is>
          <t>否</t>
        </is>
      </c>
      <c r="O52" t="inlineStr">
        <is>
          <t>缺 PP</t>
        </is>
      </c>
    </row>
    <row r="53">
      <c r="A53" s="7" t="inlineStr">
        <is>
          <t>2007-10-12</t>
        </is>
      </c>
      <c r="B53" s="8" t="n"/>
      <c r="C53" s="8" t="n"/>
      <c r="D53" s="8" t="n"/>
      <c r="E53" s="8" t="n"/>
      <c r="F53" s="8" t="n"/>
      <c r="G53" s="8" t="n"/>
      <c r="H53" s="8" t="n">
        <v>12625</v>
      </c>
      <c r="I53" s="8" t="n">
        <v>12600</v>
      </c>
      <c r="J53" s="8" t="n">
        <v>12740</v>
      </c>
      <c r="K53" s="8" t="n">
        <v>12595</v>
      </c>
      <c r="L53" s="8" t="n">
        <v>12472</v>
      </c>
      <c r="M53" s="8" t="n">
        <v>6716</v>
      </c>
      <c r="N53" s="9" t="inlineStr">
        <is>
          <t>否</t>
        </is>
      </c>
      <c r="O53" t="inlineStr">
        <is>
          <t>缺 PP</t>
        </is>
      </c>
    </row>
    <row r="54">
      <c r="A54" s="7" t="inlineStr">
        <is>
          <t>2007-10-15</t>
        </is>
      </c>
      <c r="B54" s="8" t="n"/>
      <c r="C54" s="8" t="n"/>
      <c r="D54" s="8" t="n"/>
      <c r="E54" s="8" t="n"/>
      <c r="F54" s="8" t="n"/>
      <c r="G54" s="8" t="n"/>
      <c r="H54" s="8" t="n">
        <v>12670</v>
      </c>
      <c r="I54" s="8" t="n">
        <v>12650</v>
      </c>
      <c r="J54" s="8" t="n">
        <v>12685</v>
      </c>
      <c r="K54" s="8" t="n">
        <v>12620</v>
      </c>
      <c r="L54" s="8" t="n">
        <v>8636</v>
      </c>
      <c r="M54" s="8" t="n">
        <v>6928</v>
      </c>
      <c r="N54" s="9" t="inlineStr">
        <is>
          <t>否</t>
        </is>
      </c>
      <c r="O54" t="inlineStr">
        <is>
          <t>缺 PP</t>
        </is>
      </c>
    </row>
    <row r="55">
      <c r="A55" s="7" t="inlineStr">
        <is>
          <t>2007-10-16</t>
        </is>
      </c>
      <c r="B55" s="8" t="n"/>
      <c r="C55" s="8" t="n"/>
      <c r="D55" s="8" t="n"/>
      <c r="E55" s="8" t="n"/>
      <c r="F55" s="8" t="n"/>
      <c r="G55" s="8" t="n"/>
      <c r="H55" s="8" t="n">
        <v>12720</v>
      </c>
      <c r="I55" s="8" t="n">
        <v>12700</v>
      </c>
      <c r="J55" s="8" t="n">
        <v>12760</v>
      </c>
      <c r="K55" s="8" t="n">
        <v>12680</v>
      </c>
      <c r="L55" s="8" t="n">
        <v>10532</v>
      </c>
      <c r="M55" s="8" t="n">
        <v>7788</v>
      </c>
      <c r="N55" s="9" t="inlineStr">
        <is>
          <t>否</t>
        </is>
      </c>
      <c r="O55" t="inlineStr">
        <is>
          <t>缺 PP</t>
        </is>
      </c>
    </row>
    <row r="56">
      <c r="A56" s="7" t="inlineStr">
        <is>
          <t>2007-10-17</t>
        </is>
      </c>
      <c r="B56" s="8" t="n"/>
      <c r="C56" s="8" t="n"/>
      <c r="D56" s="8" t="n"/>
      <c r="E56" s="8" t="n"/>
      <c r="F56" s="8" t="n"/>
      <c r="G56" s="8" t="n"/>
      <c r="H56" s="8" t="n">
        <v>12675</v>
      </c>
      <c r="I56" s="8" t="n">
        <v>12725</v>
      </c>
      <c r="J56" s="8" t="n">
        <v>12780</v>
      </c>
      <c r="K56" s="8" t="n">
        <v>12670</v>
      </c>
      <c r="L56" s="8" t="n">
        <v>8736</v>
      </c>
      <c r="M56" s="8" t="n">
        <v>7078</v>
      </c>
      <c r="N56" s="9" t="inlineStr">
        <is>
          <t>否</t>
        </is>
      </c>
      <c r="O56" t="inlineStr">
        <is>
          <t>缺 PP</t>
        </is>
      </c>
    </row>
    <row r="57">
      <c r="A57" s="7" t="inlineStr">
        <is>
          <t>2007-10-18</t>
        </is>
      </c>
      <c r="B57" s="8" t="n"/>
      <c r="C57" s="8" t="n"/>
      <c r="D57" s="8" t="n"/>
      <c r="E57" s="8" t="n"/>
      <c r="F57" s="8" t="n"/>
      <c r="G57" s="8" t="n"/>
      <c r="H57" s="8" t="n">
        <v>12660</v>
      </c>
      <c r="I57" s="8" t="n">
        <v>12635</v>
      </c>
      <c r="J57" s="8" t="n">
        <v>12675</v>
      </c>
      <c r="K57" s="8" t="n">
        <v>12630</v>
      </c>
      <c r="L57" s="8" t="n">
        <v>6272</v>
      </c>
      <c r="M57" s="8" t="n">
        <v>6922</v>
      </c>
      <c r="N57" s="9" t="inlineStr">
        <is>
          <t>否</t>
        </is>
      </c>
      <c r="O57" t="inlineStr">
        <is>
          <t>缺 PP</t>
        </is>
      </c>
    </row>
    <row r="58">
      <c r="A58" s="7" t="inlineStr">
        <is>
          <t>2007-10-19</t>
        </is>
      </c>
      <c r="B58" s="8" t="n"/>
      <c r="C58" s="8" t="n"/>
      <c r="D58" s="8" t="n"/>
      <c r="E58" s="8" t="n"/>
      <c r="F58" s="8" t="n"/>
      <c r="G58" s="8" t="n"/>
      <c r="H58" s="8" t="n">
        <v>12680</v>
      </c>
      <c r="I58" s="8" t="n">
        <v>12700</v>
      </c>
      <c r="J58" s="8" t="n">
        <v>12700</v>
      </c>
      <c r="K58" s="8" t="n">
        <v>12665</v>
      </c>
      <c r="L58" s="8" t="n">
        <v>6664</v>
      </c>
      <c r="M58" s="8" t="n">
        <v>7064</v>
      </c>
      <c r="N58" s="9" t="inlineStr">
        <is>
          <t>否</t>
        </is>
      </c>
      <c r="O58" t="inlineStr">
        <is>
          <t>缺 PP</t>
        </is>
      </c>
    </row>
    <row r="59">
      <c r="A59" s="7" t="inlineStr">
        <is>
          <t>2007-10-22</t>
        </is>
      </c>
      <c r="B59" s="8" t="n"/>
      <c r="C59" s="8" t="n"/>
      <c r="D59" s="8" t="n"/>
      <c r="E59" s="8" t="n"/>
      <c r="F59" s="8" t="n"/>
      <c r="G59" s="8" t="n"/>
      <c r="H59" s="8" t="n">
        <v>12735</v>
      </c>
      <c r="I59" s="8" t="n">
        <v>12625</v>
      </c>
      <c r="J59" s="8" t="n">
        <v>12740</v>
      </c>
      <c r="K59" s="8" t="n">
        <v>12625</v>
      </c>
      <c r="L59" s="8" t="n">
        <v>7644</v>
      </c>
      <c r="M59" s="8" t="n">
        <v>7724</v>
      </c>
      <c r="N59" s="9" t="inlineStr">
        <is>
          <t>否</t>
        </is>
      </c>
      <c r="O59" t="inlineStr">
        <is>
          <t>缺 PP</t>
        </is>
      </c>
    </row>
    <row r="60">
      <c r="A60" s="7" t="inlineStr">
        <is>
          <t>2007-10-23</t>
        </is>
      </c>
      <c r="B60" s="8" t="n"/>
      <c r="C60" s="8" t="n"/>
      <c r="D60" s="8" t="n"/>
      <c r="E60" s="8" t="n"/>
      <c r="F60" s="8" t="n"/>
      <c r="G60" s="8" t="n"/>
      <c r="H60" s="8" t="n">
        <v>12800</v>
      </c>
      <c r="I60" s="8" t="n">
        <v>12730</v>
      </c>
      <c r="J60" s="8" t="n">
        <v>12850</v>
      </c>
      <c r="K60" s="8" t="n">
        <v>12730</v>
      </c>
      <c r="L60" s="8" t="n">
        <v>9818</v>
      </c>
      <c r="M60" s="8" t="n">
        <v>7998</v>
      </c>
      <c r="N60" s="9" t="inlineStr">
        <is>
          <t>否</t>
        </is>
      </c>
      <c r="O60" t="inlineStr">
        <is>
          <t>缺 PP</t>
        </is>
      </c>
    </row>
    <row r="61">
      <c r="A61" s="7" t="inlineStr">
        <is>
          <t>2007-10-24</t>
        </is>
      </c>
      <c r="B61" s="8" t="n"/>
      <c r="C61" s="8" t="n"/>
      <c r="D61" s="8" t="n"/>
      <c r="E61" s="8" t="n"/>
      <c r="F61" s="8" t="n"/>
      <c r="G61" s="8" t="n"/>
      <c r="H61" s="8" t="n">
        <v>12800</v>
      </c>
      <c r="I61" s="8" t="n">
        <v>12780</v>
      </c>
      <c r="J61" s="8" t="n">
        <v>12815</v>
      </c>
      <c r="K61" s="8" t="n">
        <v>12755</v>
      </c>
      <c r="L61" s="8" t="n">
        <v>6554</v>
      </c>
      <c r="M61" s="8" t="n">
        <v>8086</v>
      </c>
      <c r="N61" s="9" t="inlineStr">
        <is>
          <t>否</t>
        </is>
      </c>
      <c r="O61" t="inlineStr">
        <is>
          <t>缺 PP</t>
        </is>
      </c>
    </row>
    <row r="62">
      <c r="A62" s="7" t="inlineStr">
        <is>
          <t>2007-10-25</t>
        </is>
      </c>
      <c r="B62" s="8" t="n"/>
      <c r="C62" s="8" t="n"/>
      <c r="D62" s="8" t="n"/>
      <c r="E62" s="8" t="n"/>
      <c r="F62" s="8" t="n"/>
      <c r="G62" s="8" t="n"/>
      <c r="H62" s="8" t="n">
        <v>12820</v>
      </c>
      <c r="I62" s="8" t="n">
        <v>12830</v>
      </c>
      <c r="J62" s="8" t="n">
        <v>12835</v>
      </c>
      <c r="K62" s="8" t="n">
        <v>12750</v>
      </c>
      <c r="L62" s="8" t="n">
        <v>6496</v>
      </c>
      <c r="M62" s="8" t="n">
        <v>7648</v>
      </c>
      <c r="N62" s="9" t="inlineStr">
        <is>
          <t>否</t>
        </is>
      </c>
      <c r="O62" t="inlineStr">
        <is>
          <t>缺 PP</t>
        </is>
      </c>
    </row>
    <row r="63">
      <c r="A63" s="7" t="inlineStr">
        <is>
          <t>2007-10-26</t>
        </is>
      </c>
      <c r="B63" s="8" t="n"/>
      <c r="C63" s="8" t="n"/>
      <c r="D63" s="8" t="n"/>
      <c r="E63" s="8" t="n"/>
      <c r="F63" s="8" t="n"/>
      <c r="G63" s="8" t="n"/>
      <c r="H63" s="8" t="n">
        <v>12910</v>
      </c>
      <c r="I63" s="8" t="n">
        <v>12850</v>
      </c>
      <c r="J63" s="8" t="n">
        <v>12920</v>
      </c>
      <c r="K63" s="8" t="n">
        <v>12825</v>
      </c>
      <c r="L63" s="8" t="n">
        <v>7954</v>
      </c>
      <c r="M63" s="8" t="n">
        <v>8620</v>
      </c>
      <c r="N63" s="9" t="inlineStr">
        <is>
          <t>否</t>
        </is>
      </c>
      <c r="O63" t="inlineStr">
        <is>
          <t>缺 PP</t>
        </is>
      </c>
    </row>
    <row r="64">
      <c r="A64" s="7" t="inlineStr">
        <is>
          <t>2007-10-29</t>
        </is>
      </c>
      <c r="B64" s="8" t="n"/>
      <c r="C64" s="8" t="n"/>
      <c r="D64" s="8" t="n"/>
      <c r="E64" s="8" t="n"/>
      <c r="F64" s="8" t="n"/>
      <c r="G64" s="8" t="n"/>
      <c r="H64" s="8" t="n">
        <v>13090</v>
      </c>
      <c r="I64" s="8" t="n">
        <v>12960</v>
      </c>
      <c r="J64" s="8" t="n">
        <v>13105</v>
      </c>
      <c r="K64" s="8" t="n">
        <v>12900</v>
      </c>
      <c r="L64" s="8" t="n">
        <v>7804</v>
      </c>
      <c r="M64" s="8" t="n">
        <v>9458</v>
      </c>
      <c r="N64" s="9" t="inlineStr">
        <is>
          <t>否</t>
        </is>
      </c>
      <c r="O64" t="inlineStr">
        <is>
          <t>缺 PP</t>
        </is>
      </c>
    </row>
    <row r="65">
      <c r="A65" s="7" t="inlineStr">
        <is>
          <t>2007-10-30</t>
        </is>
      </c>
      <c r="B65" s="8" t="n"/>
      <c r="C65" s="8" t="n"/>
      <c r="D65" s="8" t="n"/>
      <c r="E65" s="8" t="n"/>
      <c r="F65" s="8" t="n"/>
      <c r="G65" s="8" t="n"/>
      <c r="H65" s="8" t="n">
        <v>13015</v>
      </c>
      <c r="I65" s="8" t="n">
        <v>13090</v>
      </c>
      <c r="J65" s="8" t="n">
        <v>13090</v>
      </c>
      <c r="K65" s="8" t="n">
        <v>12930</v>
      </c>
      <c r="L65" s="8" t="n">
        <v>8684</v>
      </c>
      <c r="M65" s="8" t="n">
        <v>8828</v>
      </c>
      <c r="N65" s="9" t="inlineStr">
        <is>
          <t>否</t>
        </is>
      </c>
      <c r="O65" t="inlineStr">
        <is>
          <t>缺 PP</t>
        </is>
      </c>
    </row>
    <row r="66">
      <c r="A66" s="7" t="inlineStr">
        <is>
          <t>2007-10-31</t>
        </is>
      </c>
      <c r="B66" s="8" t="n"/>
      <c r="C66" s="8" t="n"/>
      <c r="D66" s="8" t="n"/>
      <c r="E66" s="8" t="n"/>
      <c r="F66" s="8" t="n"/>
      <c r="G66" s="8" t="n"/>
      <c r="H66" s="8" t="n">
        <v>13095</v>
      </c>
      <c r="I66" s="8" t="n">
        <v>12930</v>
      </c>
      <c r="J66" s="8" t="n">
        <v>13155</v>
      </c>
      <c r="K66" s="8" t="n">
        <v>12930</v>
      </c>
      <c r="L66" s="8" t="n">
        <v>7764</v>
      </c>
      <c r="M66" s="8" t="n">
        <v>8990</v>
      </c>
      <c r="N66" s="9" t="inlineStr">
        <is>
          <t>否</t>
        </is>
      </c>
      <c r="O66" t="inlineStr">
        <is>
          <t>缺 PP</t>
        </is>
      </c>
    </row>
    <row r="67">
      <c r="A67" s="7" t="inlineStr">
        <is>
          <t>2007-11-01</t>
        </is>
      </c>
      <c r="B67" s="8" t="n"/>
      <c r="C67" s="8" t="n"/>
      <c r="D67" s="8" t="n"/>
      <c r="E67" s="8" t="n"/>
      <c r="F67" s="8" t="n"/>
      <c r="G67" s="8" t="n"/>
      <c r="H67" s="8" t="n">
        <v>13160</v>
      </c>
      <c r="I67" s="8" t="n">
        <v>13185</v>
      </c>
      <c r="J67" s="8" t="n">
        <v>13230</v>
      </c>
      <c r="K67" s="8" t="n">
        <v>13050</v>
      </c>
      <c r="L67" s="8" t="n">
        <v>7112</v>
      </c>
      <c r="M67" s="8" t="n">
        <v>9076</v>
      </c>
      <c r="N67" s="9" t="inlineStr">
        <is>
          <t>否</t>
        </is>
      </c>
      <c r="O67" t="inlineStr">
        <is>
          <t>缺 PP</t>
        </is>
      </c>
    </row>
    <row r="68">
      <c r="A68" s="7" t="inlineStr">
        <is>
          <t>2007-11-02</t>
        </is>
      </c>
      <c r="B68" s="8" t="n"/>
      <c r="C68" s="8" t="n"/>
      <c r="D68" s="8" t="n"/>
      <c r="E68" s="8" t="n"/>
      <c r="F68" s="8" t="n"/>
      <c r="G68" s="8" t="n"/>
      <c r="H68" s="8" t="n">
        <v>13365</v>
      </c>
      <c r="I68" s="8" t="n">
        <v>13100</v>
      </c>
      <c r="J68" s="8" t="n">
        <v>13375</v>
      </c>
      <c r="K68" s="8" t="n">
        <v>13100</v>
      </c>
      <c r="L68" s="8" t="n">
        <v>8938</v>
      </c>
      <c r="M68" s="8" t="n">
        <v>9024</v>
      </c>
      <c r="N68" s="9" t="inlineStr">
        <is>
          <t>否</t>
        </is>
      </c>
      <c r="O68" t="inlineStr">
        <is>
          <t>缺 PP</t>
        </is>
      </c>
    </row>
    <row r="69">
      <c r="A69" s="7" t="inlineStr">
        <is>
          <t>2007-11-05</t>
        </is>
      </c>
      <c r="B69" s="8" t="n"/>
      <c r="C69" s="8" t="n"/>
      <c r="D69" s="8" t="n"/>
      <c r="E69" s="8" t="n"/>
      <c r="F69" s="8" t="n"/>
      <c r="G69" s="8" t="n"/>
      <c r="H69" s="8" t="n">
        <v>13445</v>
      </c>
      <c r="I69" s="8" t="n">
        <v>13400</v>
      </c>
      <c r="J69" s="8" t="n">
        <v>13480</v>
      </c>
      <c r="K69" s="8" t="n">
        <v>13355</v>
      </c>
      <c r="L69" s="8" t="n">
        <v>9622</v>
      </c>
      <c r="M69" s="8" t="n">
        <v>7634</v>
      </c>
      <c r="N69" s="9" t="inlineStr">
        <is>
          <t>否</t>
        </is>
      </c>
      <c r="O69" t="inlineStr">
        <is>
          <t>缺 PP</t>
        </is>
      </c>
    </row>
    <row r="70">
      <c r="A70" s="7" t="inlineStr">
        <is>
          <t>2007-11-06</t>
        </is>
      </c>
      <c r="B70" s="8" t="n"/>
      <c r="C70" s="8" t="n"/>
      <c r="D70" s="8" t="n"/>
      <c r="E70" s="8" t="n"/>
      <c r="F70" s="8" t="n"/>
      <c r="G70" s="8" t="n"/>
      <c r="H70" s="8" t="n">
        <v>13630</v>
      </c>
      <c r="I70" s="8" t="n">
        <v>13475</v>
      </c>
      <c r="J70" s="8" t="n">
        <v>13640</v>
      </c>
      <c r="K70" s="8" t="n">
        <v>13405</v>
      </c>
      <c r="L70" s="8" t="n">
        <v>8632</v>
      </c>
      <c r="M70" s="8" t="n">
        <v>7440</v>
      </c>
      <c r="N70" s="9" t="inlineStr">
        <is>
          <t>否</t>
        </is>
      </c>
      <c r="O70" t="inlineStr">
        <is>
          <t>缺 PP</t>
        </is>
      </c>
    </row>
    <row r="71">
      <c r="A71" s="7" t="inlineStr">
        <is>
          <t>2007-11-07</t>
        </is>
      </c>
      <c r="B71" s="8" t="n"/>
      <c r="C71" s="8" t="n"/>
      <c r="D71" s="8" t="n"/>
      <c r="E71" s="8" t="n"/>
      <c r="F71" s="8" t="n"/>
      <c r="G71" s="8" t="n"/>
      <c r="H71" s="8" t="n">
        <v>13935</v>
      </c>
      <c r="I71" s="8" t="n">
        <v>13685</v>
      </c>
      <c r="J71" s="8" t="n">
        <v>13985</v>
      </c>
      <c r="K71" s="8" t="n">
        <v>13680</v>
      </c>
      <c r="L71" s="8" t="n">
        <v>10520</v>
      </c>
      <c r="M71" s="8" t="n">
        <v>8726</v>
      </c>
      <c r="N71" s="9" t="inlineStr">
        <is>
          <t>否</t>
        </is>
      </c>
      <c r="O71" t="inlineStr">
        <is>
          <t>缺 PP</t>
        </is>
      </c>
    </row>
    <row r="72">
      <c r="A72" s="7" t="inlineStr">
        <is>
          <t>2007-11-08</t>
        </is>
      </c>
      <c r="B72" s="8" t="n"/>
      <c r="C72" s="8" t="n"/>
      <c r="D72" s="8" t="n"/>
      <c r="E72" s="8" t="n"/>
      <c r="F72" s="8" t="n"/>
      <c r="G72" s="8" t="n"/>
      <c r="H72" s="8" t="n">
        <v>13725</v>
      </c>
      <c r="I72" s="8" t="n">
        <v>13860</v>
      </c>
      <c r="J72" s="8" t="n">
        <v>13930</v>
      </c>
      <c r="K72" s="8" t="n">
        <v>13700</v>
      </c>
      <c r="L72" s="8" t="n">
        <v>13750</v>
      </c>
      <c r="M72" s="8" t="n">
        <v>8144</v>
      </c>
      <c r="N72" s="9" t="inlineStr">
        <is>
          <t>否</t>
        </is>
      </c>
      <c r="O72" t="inlineStr">
        <is>
          <t>缺 PP</t>
        </is>
      </c>
    </row>
    <row r="73">
      <c r="A73" s="7" t="inlineStr">
        <is>
          <t>2007-11-09</t>
        </is>
      </c>
      <c r="B73" s="8" t="n"/>
      <c r="C73" s="8" t="n"/>
      <c r="D73" s="8" t="n"/>
      <c r="E73" s="8" t="n"/>
      <c r="F73" s="8" t="n"/>
      <c r="G73" s="8" t="n"/>
      <c r="H73" s="8" t="n">
        <v>13630</v>
      </c>
      <c r="I73" s="8" t="n">
        <v>13750</v>
      </c>
      <c r="J73" s="8" t="n">
        <v>13820</v>
      </c>
      <c r="K73" s="8" t="n">
        <v>13600</v>
      </c>
      <c r="L73" s="8" t="n">
        <v>9364</v>
      </c>
      <c r="M73" s="8" t="n">
        <v>7498</v>
      </c>
      <c r="N73" s="9" t="inlineStr">
        <is>
          <t>否</t>
        </is>
      </c>
      <c r="O73" t="inlineStr">
        <is>
          <t>缺 PP</t>
        </is>
      </c>
    </row>
    <row r="74">
      <c r="A74" s="7" t="inlineStr">
        <is>
          <t>2007-11-12</t>
        </is>
      </c>
      <c r="B74" s="8" t="n"/>
      <c r="C74" s="8" t="n"/>
      <c r="D74" s="8" t="n"/>
      <c r="E74" s="8" t="n"/>
      <c r="F74" s="8" t="n"/>
      <c r="G74" s="8" t="n"/>
      <c r="H74" s="8" t="n">
        <v>13480</v>
      </c>
      <c r="I74" s="8" t="n">
        <v>13590</v>
      </c>
      <c r="J74" s="8" t="n">
        <v>13640</v>
      </c>
      <c r="K74" s="8" t="n">
        <v>13455</v>
      </c>
      <c r="L74" s="8" t="n">
        <v>9100</v>
      </c>
      <c r="M74" s="8" t="n">
        <v>7966</v>
      </c>
      <c r="N74" s="9" t="inlineStr">
        <is>
          <t>否</t>
        </is>
      </c>
      <c r="O74" t="inlineStr">
        <is>
          <t>缺 PP</t>
        </is>
      </c>
    </row>
    <row r="75">
      <c r="A75" s="7" t="inlineStr">
        <is>
          <t>2007-11-13</t>
        </is>
      </c>
      <c r="B75" s="8" t="n"/>
      <c r="C75" s="8" t="n"/>
      <c r="D75" s="8" t="n"/>
      <c r="E75" s="8" t="n"/>
      <c r="F75" s="8" t="n"/>
      <c r="G75" s="8" t="n"/>
      <c r="H75" s="8" t="n">
        <v>13505</v>
      </c>
      <c r="I75" s="8" t="n">
        <v>13455</v>
      </c>
      <c r="J75" s="8" t="n">
        <v>13610</v>
      </c>
      <c r="K75" s="8" t="n">
        <v>13320</v>
      </c>
      <c r="L75" s="8" t="n">
        <v>12468</v>
      </c>
      <c r="M75" s="8" t="n">
        <v>8138</v>
      </c>
      <c r="N75" s="9" t="inlineStr">
        <is>
          <t>否</t>
        </is>
      </c>
      <c r="O75" t="inlineStr">
        <is>
          <t>缺 PP</t>
        </is>
      </c>
    </row>
    <row r="76">
      <c r="A76" s="7" t="inlineStr">
        <is>
          <t>2007-11-14</t>
        </is>
      </c>
      <c r="B76" s="8" t="n"/>
      <c r="C76" s="8" t="n"/>
      <c r="D76" s="8" t="n"/>
      <c r="E76" s="8" t="n"/>
      <c r="F76" s="8" t="n"/>
      <c r="G76" s="8" t="n"/>
      <c r="H76" s="8" t="n">
        <v>13390</v>
      </c>
      <c r="I76" s="8" t="n">
        <v>13400</v>
      </c>
      <c r="J76" s="8" t="n">
        <v>13430</v>
      </c>
      <c r="K76" s="8" t="n">
        <v>13150</v>
      </c>
      <c r="L76" s="8" t="n">
        <v>8826</v>
      </c>
      <c r="M76" s="8" t="n">
        <v>8212</v>
      </c>
      <c r="N76" s="9" t="inlineStr">
        <is>
          <t>否</t>
        </is>
      </c>
      <c r="O76" t="inlineStr">
        <is>
          <t>缺 PP</t>
        </is>
      </c>
    </row>
    <row r="77">
      <c r="A77" s="7" t="inlineStr">
        <is>
          <t>2007-11-15</t>
        </is>
      </c>
      <c r="B77" s="8" t="n"/>
      <c r="C77" s="8" t="n"/>
      <c r="D77" s="8" t="n"/>
      <c r="E77" s="8" t="n"/>
      <c r="F77" s="8" t="n"/>
      <c r="G77" s="8" t="n"/>
      <c r="H77" s="8" t="n">
        <v>13380</v>
      </c>
      <c r="I77" s="8" t="n">
        <v>13455</v>
      </c>
      <c r="J77" s="8" t="n">
        <v>13545</v>
      </c>
      <c r="K77" s="8" t="n">
        <v>13330</v>
      </c>
      <c r="L77" s="8" t="n">
        <v>7176</v>
      </c>
      <c r="M77" s="8" t="n">
        <v>7922</v>
      </c>
      <c r="N77" s="9" t="inlineStr">
        <is>
          <t>否</t>
        </is>
      </c>
      <c r="O77" t="inlineStr">
        <is>
          <t>缺 PP</t>
        </is>
      </c>
    </row>
    <row r="78">
      <c r="A78" s="7" t="inlineStr">
        <is>
          <t>2007-11-16</t>
        </is>
      </c>
      <c r="B78" s="8" t="n"/>
      <c r="C78" s="8" t="n"/>
      <c r="D78" s="8" t="n"/>
      <c r="E78" s="8" t="n"/>
      <c r="F78" s="8" t="n"/>
      <c r="G78" s="8" t="n"/>
      <c r="H78" s="8" t="n">
        <v>13365</v>
      </c>
      <c r="I78" s="8" t="n">
        <v>13380</v>
      </c>
      <c r="J78" s="8" t="n">
        <v>13480</v>
      </c>
      <c r="K78" s="8" t="n">
        <v>13300</v>
      </c>
      <c r="L78" s="8" t="n">
        <v>8470</v>
      </c>
      <c r="M78" s="8" t="n">
        <v>7360</v>
      </c>
      <c r="N78" s="9" t="inlineStr">
        <is>
          <t>否</t>
        </is>
      </c>
      <c r="O78" t="inlineStr">
        <is>
          <t>缺 PP</t>
        </is>
      </c>
    </row>
    <row r="79">
      <c r="A79" s="7" t="inlineStr">
        <is>
          <t>2007-11-19</t>
        </is>
      </c>
      <c r="B79" s="8" t="n"/>
      <c r="C79" s="8" t="n"/>
      <c r="D79" s="8" t="n"/>
      <c r="E79" s="8" t="n"/>
      <c r="F79" s="8" t="n"/>
      <c r="G79" s="8" t="n"/>
      <c r="H79" s="8" t="n">
        <v>13640</v>
      </c>
      <c r="I79" s="8" t="n">
        <v>13455</v>
      </c>
      <c r="J79" s="8" t="n">
        <v>13665</v>
      </c>
      <c r="K79" s="8" t="n">
        <v>13380</v>
      </c>
      <c r="L79" s="8" t="n">
        <v>10168</v>
      </c>
      <c r="M79" s="8" t="n">
        <v>8728</v>
      </c>
      <c r="N79" s="9" t="inlineStr">
        <is>
          <t>否</t>
        </is>
      </c>
      <c r="O79" t="inlineStr">
        <is>
          <t>缺 PP</t>
        </is>
      </c>
    </row>
    <row r="80">
      <c r="A80" s="7" t="inlineStr">
        <is>
          <t>2007-11-20</t>
        </is>
      </c>
      <c r="B80" s="8" t="n"/>
      <c r="C80" s="8" t="n"/>
      <c r="D80" s="8" t="n"/>
      <c r="E80" s="8" t="n"/>
      <c r="F80" s="8" t="n"/>
      <c r="G80" s="8" t="n"/>
      <c r="H80" s="8" t="n">
        <v>13310</v>
      </c>
      <c r="I80" s="8" t="n">
        <v>13565</v>
      </c>
      <c r="J80" s="8" t="n">
        <v>13590</v>
      </c>
      <c r="K80" s="8" t="n">
        <v>13300</v>
      </c>
      <c r="L80" s="8" t="n">
        <v>9764</v>
      </c>
      <c r="M80" s="8" t="n">
        <v>6114</v>
      </c>
      <c r="N80" s="9" t="inlineStr">
        <is>
          <t>否</t>
        </is>
      </c>
      <c r="O80" t="inlineStr">
        <is>
          <t>缺 PP</t>
        </is>
      </c>
    </row>
    <row r="81">
      <c r="A81" s="7" t="inlineStr">
        <is>
          <t>2007-11-21</t>
        </is>
      </c>
      <c r="B81" s="8" t="n"/>
      <c r="C81" s="8" t="n"/>
      <c r="D81" s="8" t="n"/>
      <c r="E81" s="8" t="n"/>
      <c r="F81" s="8" t="n"/>
      <c r="G81" s="8" t="n"/>
      <c r="H81" s="8" t="n">
        <v>13380</v>
      </c>
      <c r="I81" s="8" t="n">
        <v>13455</v>
      </c>
      <c r="J81" s="8" t="n">
        <v>13550</v>
      </c>
      <c r="K81" s="8" t="n">
        <v>13300</v>
      </c>
      <c r="L81" s="8" t="n">
        <v>6310</v>
      </c>
      <c r="M81" s="8" t="n">
        <v>5344</v>
      </c>
      <c r="N81" s="9" t="inlineStr">
        <is>
          <t>否</t>
        </is>
      </c>
      <c r="O81" t="inlineStr">
        <is>
          <t>缺 PP</t>
        </is>
      </c>
    </row>
    <row r="82">
      <c r="A82" s="7" t="inlineStr">
        <is>
          <t>2007-11-22</t>
        </is>
      </c>
      <c r="B82" s="8" t="n"/>
      <c r="C82" s="8" t="n"/>
      <c r="D82" s="8" t="n"/>
      <c r="E82" s="8" t="n"/>
      <c r="F82" s="8" t="n"/>
      <c r="G82" s="8" t="n"/>
      <c r="H82" s="8" t="n">
        <v>13430</v>
      </c>
      <c r="I82" s="8" t="n">
        <v>13330</v>
      </c>
      <c r="J82" s="8" t="n">
        <v>13465</v>
      </c>
      <c r="K82" s="8" t="n">
        <v>13255</v>
      </c>
      <c r="L82" s="8" t="n">
        <v>5814</v>
      </c>
      <c r="M82" s="8" t="n">
        <v>6246</v>
      </c>
      <c r="N82" s="9" t="inlineStr">
        <is>
          <t>否</t>
        </is>
      </c>
      <c r="O82" t="inlineStr">
        <is>
          <t>缺 PP</t>
        </is>
      </c>
    </row>
    <row r="83">
      <c r="A83" s="7" t="inlineStr">
        <is>
          <t>2007-11-23</t>
        </is>
      </c>
      <c r="B83" s="8" t="n"/>
      <c r="C83" s="8" t="n"/>
      <c r="D83" s="8" t="n"/>
      <c r="E83" s="8" t="n"/>
      <c r="F83" s="8" t="n"/>
      <c r="G83" s="8" t="n"/>
      <c r="H83" s="8" t="n">
        <v>13640</v>
      </c>
      <c r="I83" s="8" t="n">
        <v>13415</v>
      </c>
      <c r="J83" s="8" t="n">
        <v>13715</v>
      </c>
      <c r="K83" s="8" t="n">
        <v>13350</v>
      </c>
      <c r="L83" s="8" t="n">
        <v>11346</v>
      </c>
      <c r="M83" s="8" t="n">
        <v>9184</v>
      </c>
      <c r="N83" s="9" t="inlineStr">
        <is>
          <t>否</t>
        </is>
      </c>
      <c r="O83" t="inlineStr">
        <is>
          <t>缺 PP</t>
        </is>
      </c>
    </row>
    <row r="84">
      <c r="A84" s="7" t="inlineStr">
        <is>
          <t>2007-11-26</t>
        </is>
      </c>
      <c r="B84" s="8" t="n"/>
      <c r="C84" s="8" t="n"/>
      <c r="D84" s="8" t="n"/>
      <c r="E84" s="8" t="n"/>
      <c r="F84" s="8" t="n"/>
      <c r="G84" s="8" t="n"/>
      <c r="H84" s="8" t="n">
        <v>13890</v>
      </c>
      <c r="I84" s="8" t="n">
        <v>13700</v>
      </c>
      <c r="J84" s="8" t="n">
        <v>13955</v>
      </c>
      <c r="K84" s="8" t="n">
        <v>13615</v>
      </c>
      <c r="L84" s="8" t="n">
        <v>11006</v>
      </c>
      <c r="M84" s="8" t="n">
        <v>10346</v>
      </c>
      <c r="N84" s="9" t="inlineStr">
        <is>
          <t>否</t>
        </is>
      </c>
      <c r="O84" t="inlineStr">
        <is>
          <t>缺 PP</t>
        </is>
      </c>
    </row>
    <row r="85">
      <c r="A85" s="7" t="inlineStr">
        <is>
          <t>2007-11-27</t>
        </is>
      </c>
      <c r="B85" s="8" t="n"/>
      <c r="C85" s="8" t="n"/>
      <c r="D85" s="8" t="n"/>
      <c r="E85" s="8" t="n"/>
      <c r="F85" s="8" t="n"/>
      <c r="G85" s="8" t="n"/>
      <c r="H85" s="8" t="n">
        <v>13750</v>
      </c>
      <c r="I85" s="8" t="n">
        <v>13800</v>
      </c>
      <c r="J85" s="8" t="n">
        <v>13860</v>
      </c>
      <c r="K85" s="8" t="n">
        <v>13700</v>
      </c>
      <c r="L85" s="8" t="n">
        <v>8148</v>
      </c>
      <c r="M85" s="8" t="n">
        <v>9702</v>
      </c>
      <c r="N85" s="9" t="inlineStr">
        <is>
          <t>否</t>
        </is>
      </c>
      <c r="O85" t="inlineStr">
        <is>
          <t>缺 PP</t>
        </is>
      </c>
    </row>
    <row r="86">
      <c r="A86" s="7" t="inlineStr">
        <is>
          <t>2007-11-28</t>
        </is>
      </c>
      <c r="B86" s="8" t="n"/>
      <c r="C86" s="8" t="n"/>
      <c r="D86" s="8" t="n"/>
      <c r="E86" s="8" t="n"/>
      <c r="F86" s="8" t="n"/>
      <c r="G86" s="8" t="n"/>
      <c r="H86" s="8" t="n">
        <v>13565</v>
      </c>
      <c r="I86" s="8" t="n">
        <v>13650</v>
      </c>
      <c r="J86" s="8" t="n">
        <v>13695</v>
      </c>
      <c r="K86" s="8" t="n">
        <v>13530</v>
      </c>
      <c r="L86" s="8" t="n">
        <v>7072</v>
      </c>
      <c r="M86" s="8" t="n">
        <v>8298</v>
      </c>
      <c r="N86" s="9" t="inlineStr">
        <is>
          <t>否</t>
        </is>
      </c>
      <c r="O86" t="inlineStr">
        <is>
          <t>缺 PP</t>
        </is>
      </c>
    </row>
    <row r="87">
      <c r="A87" s="7" t="inlineStr">
        <is>
          <t>2007-11-29</t>
        </is>
      </c>
      <c r="B87" s="8" t="n"/>
      <c r="C87" s="8" t="n"/>
      <c r="D87" s="8" t="n"/>
      <c r="E87" s="8" t="n"/>
      <c r="F87" s="8" t="n"/>
      <c r="G87" s="8" t="n"/>
      <c r="H87" s="8" t="n">
        <v>13855</v>
      </c>
      <c r="I87" s="8" t="n">
        <v>13465</v>
      </c>
      <c r="J87" s="8" t="n">
        <v>13875</v>
      </c>
      <c r="K87" s="8" t="n">
        <v>13465</v>
      </c>
      <c r="L87" s="8" t="n">
        <v>9372</v>
      </c>
      <c r="M87" s="8" t="n">
        <v>7880</v>
      </c>
      <c r="N87" s="9" t="inlineStr">
        <is>
          <t>否</t>
        </is>
      </c>
      <c r="O87" t="inlineStr">
        <is>
          <t>缺 PP</t>
        </is>
      </c>
    </row>
    <row r="88">
      <c r="A88" s="7" t="inlineStr">
        <is>
          <t>2007-11-30</t>
        </is>
      </c>
      <c r="B88" s="8" t="n"/>
      <c r="C88" s="8" t="n"/>
      <c r="D88" s="8" t="n"/>
      <c r="E88" s="8" t="n"/>
      <c r="F88" s="8" t="n"/>
      <c r="G88" s="8" t="n"/>
      <c r="H88" s="8" t="n">
        <v>13900</v>
      </c>
      <c r="I88" s="8" t="n">
        <v>13780</v>
      </c>
      <c r="J88" s="8" t="n">
        <v>14235</v>
      </c>
      <c r="K88" s="8" t="n">
        <v>13725</v>
      </c>
      <c r="L88" s="8" t="n">
        <v>8194</v>
      </c>
      <c r="M88" s="8" t="n">
        <v>7702</v>
      </c>
      <c r="N88" s="9" t="inlineStr">
        <is>
          <t>否</t>
        </is>
      </c>
      <c r="O88" t="inlineStr">
        <is>
          <t>缺 PP</t>
        </is>
      </c>
    </row>
    <row r="89">
      <c r="A89" s="7" t="inlineStr">
        <is>
          <t>2007-12-03</t>
        </is>
      </c>
      <c r="B89" s="8" t="n"/>
      <c r="C89" s="8" t="n"/>
      <c r="D89" s="8" t="n"/>
      <c r="E89" s="8" t="n"/>
      <c r="F89" s="8" t="n"/>
      <c r="G89" s="8" t="n"/>
      <c r="H89" s="8" t="n">
        <v>13875</v>
      </c>
      <c r="I89" s="8" t="n">
        <v>13840</v>
      </c>
      <c r="J89" s="8" t="n">
        <v>13995</v>
      </c>
      <c r="K89" s="8" t="n">
        <v>13780</v>
      </c>
      <c r="L89" s="8" t="n">
        <v>5944</v>
      </c>
      <c r="M89" s="8" t="n">
        <v>6408</v>
      </c>
      <c r="N89" s="9" t="inlineStr">
        <is>
          <t>否</t>
        </is>
      </c>
      <c r="O89" t="inlineStr">
        <is>
          <t>缺 PP</t>
        </is>
      </c>
    </row>
    <row r="90">
      <c r="A90" s="7" t="inlineStr">
        <is>
          <t>2007-12-04</t>
        </is>
      </c>
      <c r="B90" s="8" t="n"/>
      <c r="C90" s="8" t="n"/>
      <c r="D90" s="8" t="n"/>
      <c r="E90" s="8" t="n"/>
      <c r="F90" s="8" t="n"/>
      <c r="G90" s="8" t="n"/>
      <c r="H90" s="8" t="n">
        <v>14150</v>
      </c>
      <c r="I90" s="8" t="n">
        <v>14300</v>
      </c>
      <c r="J90" s="8" t="n">
        <v>14320</v>
      </c>
      <c r="K90" s="8" t="n">
        <v>14110</v>
      </c>
      <c r="L90" s="8" t="n">
        <v>5090</v>
      </c>
      <c r="M90" s="8" t="n">
        <v>3742</v>
      </c>
      <c r="N90" s="9" t="inlineStr">
        <is>
          <t>否</t>
        </is>
      </c>
      <c r="O90" t="inlineStr">
        <is>
          <t>缺 PP</t>
        </is>
      </c>
    </row>
    <row r="91">
      <c r="A91" s="7" t="inlineStr">
        <is>
          <t>2007-12-05</t>
        </is>
      </c>
      <c r="B91" s="8" t="n"/>
      <c r="C91" s="8" t="n"/>
      <c r="D91" s="8" t="n"/>
      <c r="E91" s="8" t="n"/>
      <c r="F91" s="8" t="n"/>
      <c r="G91" s="8" t="n"/>
      <c r="H91" s="8" t="n">
        <v>14210</v>
      </c>
      <c r="I91" s="8" t="n">
        <v>14130</v>
      </c>
      <c r="J91" s="8" t="n">
        <v>14280</v>
      </c>
      <c r="K91" s="8" t="n">
        <v>14100</v>
      </c>
      <c r="L91" s="8" t="n">
        <v>5334</v>
      </c>
      <c r="M91" s="8" t="n">
        <v>3898</v>
      </c>
      <c r="N91" s="9" t="inlineStr">
        <is>
          <t>否</t>
        </is>
      </c>
      <c r="O91" t="inlineStr">
        <is>
          <t>缺 PP</t>
        </is>
      </c>
    </row>
    <row r="92">
      <c r="A92" s="7" t="inlineStr">
        <is>
          <t>2007-12-06</t>
        </is>
      </c>
      <c r="B92" s="8" t="n"/>
      <c r="C92" s="8" t="n"/>
      <c r="D92" s="8" t="n"/>
      <c r="E92" s="8" t="n"/>
      <c r="F92" s="8" t="n"/>
      <c r="G92" s="8" t="n"/>
      <c r="H92" s="8" t="n">
        <v>13870</v>
      </c>
      <c r="I92" s="8" t="n">
        <v>14130</v>
      </c>
      <c r="J92" s="8" t="n">
        <v>14220</v>
      </c>
      <c r="K92" s="8" t="n">
        <v>13850</v>
      </c>
      <c r="L92" s="8" t="n">
        <v>5272</v>
      </c>
      <c r="M92" s="8" t="n">
        <v>3848</v>
      </c>
      <c r="N92" s="9" t="inlineStr">
        <is>
          <t>否</t>
        </is>
      </c>
      <c r="O92" t="inlineStr">
        <is>
          <t>缺 PP</t>
        </is>
      </c>
    </row>
    <row r="93">
      <c r="A93" s="7" t="inlineStr">
        <is>
          <t>2007-12-07</t>
        </is>
      </c>
      <c r="B93" s="8" t="n"/>
      <c r="C93" s="8" t="n"/>
      <c r="D93" s="8" t="n"/>
      <c r="E93" s="8" t="n"/>
      <c r="F93" s="8" t="n"/>
      <c r="G93" s="8" t="n"/>
      <c r="H93" s="8" t="n">
        <v>13920</v>
      </c>
      <c r="I93" s="8" t="n">
        <v>13910</v>
      </c>
      <c r="J93" s="8" t="n">
        <v>14020</v>
      </c>
      <c r="K93" s="8" t="n">
        <v>13860</v>
      </c>
      <c r="L93" s="8" t="n">
        <v>5630</v>
      </c>
      <c r="M93" s="8" t="n">
        <v>3932</v>
      </c>
      <c r="N93" s="9" t="inlineStr">
        <is>
          <t>否</t>
        </is>
      </c>
      <c r="O93" t="inlineStr">
        <is>
          <t>缺 PP</t>
        </is>
      </c>
    </row>
    <row r="94">
      <c r="A94" s="7" t="inlineStr">
        <is>
          <t>2007-12-10</t>
        </is>
      </c>
      <c r="B94" s="8" t="n"/>
      <c r="C94" s="8" t="n"/>
      <c r="D94" s="8" t="n"/>
      <c r="E94" s="8" t="n"/>
      <c r="F94" s="8" t="n"/>
      <c r="G94" s="8" t="n"/>
      <c r="H94" s="8" t="n">
        <v>13680</v>
      </c>
      <c r="I94" s="8" t="n">
        <v>13900</v>
      </c>
      <c r="J94" s="8" t="n">
        <v>13900</v>
      </c>
      <c r="K94" s="8" t="n">
        <v>13630</v>
      </c>
      <c r="L94" s="8" t="n">
        <v>5662</v>
      </c>
      <c r="M94" s="8" t="n">
        <v>3878</v>
      </c>
      <c r="N94" s="9" t="inlineStr">
        <is>
          <t>否</t>
        </is>
      </c>
      <c r="O94" t="inlineStr">
        <is>
          <t>缺 PP</t>
        </is>
      </c>
    </row>
    <row r="95">
      <c r="A95" s="7" t="inlineStr">
        <is>
          <t>2007-12-11</t>
        </is>
      </c>
      <c r="B95" s="8" t="n"/>
      <c r="C95" s="8" t="n"/>
      <c r="D95" s="8" t="n"/>
      <c r="E95" s="8" t="n"/>
      <c r="F95" s="8" t="n"/>
      <c r="G95" s="8" t="n"/>
      <c r="H95" s="8" t="n">
        <v>13830</v>
      </c>
      <c r="I95" s="8" t="n">
        <v>13650</v>
      </c>
      <c r="J95" s="8" t="n">
        <v>13850</v>
      </c>
      <c r="K95" s="8" t="n">
        <v>13650</v>
      </c>
      <c r="L95" s="8" t="n">
        <v>4676</v>
      </c>
      <c r="M95" s="8" t="n">
        <v>3958</v>
      </c>
      <c r="N95" s="9" t="inlineStr">
        <is>
          <t>否</t>
        </is>
      </c>
      <c r="O95" t="inlineStr">
        <is>
          <t>缺 PP</t>
        </is>
      </c>
    </row>
    <row r="96">
      <c r="A96" s="7" t="inlineStr">
        <is>
          <t>2007-12-12</t>
        </is>
      </c>
      <c r="B96" s="8" t="n"/>
      <c r="C96" s="8" t="n"/>
      <c r="D96" s="8" t="n"/>
      <c r="E96" s="8" t="n"/>
      <c r="F96" s="8" t="n"/>
      <c r="G96" s="8" t="n"/>
      <c r="H96" s="8" t="n">
        <v>13840</v>
      </c>
      <c r="I96" s="8" t="n">
        <v>13830</v>
      </c>
      <c r="J96" s="8" t="n">
        <v>13910</v>
      </c>
      <c r="K96" s="8" t="n">
        <v>13790</v>
      </c>
      <c r="L96" s="8" t="n">
        <v>4838</v>
      </c>
      <c r="M96" s="8" t="n">
        <v>4090</v>
      </c>
      <c r="N96" s="9" t="inlineStr">
        <is>
          <t>否</t>
        </is>
      </c>
      <c r="O96" t="inlineStr">
        <is>
          <t>缺 PP</t>
        </is>
      </c>
    </row>
    <row r="97">
      <c r="A97" s="7" t="inlineStr">
        <is>
          <t>2007-12-13</t>
        </is>
      </c>
      <c r="B97" s="8" t="n"/>
      <c r="C97" s="8" t="n"/>
      <c r="D97" s="8" t="n"/>
      <c r="E97" s="8" t="n"/>
      <c r="F97" s="8" t="n"/>
      <c r="G97" s="8" t="n"/>
      <c r="H97" s="8" t="n">
        <v>13835</v>
      </c>
      <c r="I97" s="8" t="n">
        <v>13980</v>
      </c>
      <c r="J97" s="8" t="n">
        <v>14000</v>
      </c>
      <c r="K97" s="8" t="n">
        <v>13830</v>
      </c>
      <c r="L97" s="8" t="n">
        <v>5140</v>
      </c>
      <c r="M97" s="8" t="n">
        <v>4078</v>
      </c>
      <c r="N97" s="9" t="inlineStr">
        <is>
          <t>否</t>
        </is>
      </c>
      <c r="O97" t="inlineStr">
        <is>
          <t>缺 PP</t>
        </is>
      </c>
    </row>
    <row r="98">
      <c r="A98" s="7" t="inlineStr">
        <is>
          <t>2007-12-14</t>
        </is>
      </c>
      <c r="B98" s="8" t="n"/>
      <c r="C98" s="8" t="n"/>
      <c r="D98" s="8" t="n"/>
      <c r="E98" s="8" t="n"/>
      <c r="F98" s="8" t="n"/>
      <c r="G98" s="8" t="n"/>
      <c r="H98" s="8" t="n">
        <v>13695</v>
      </c>
      <c r="I98" s="8" t="n">
        <v>13785</v>
      </c>
      <c r="J98" s="8" t="n">
        <v>13815</v>
      </c>
      <c r="K98" s="8" t="n">
        <v>13655</v>
      </c>
      <c r="L98" s="8" t="n">
        <v>4968</v>
      </c>
      <c r="M98" s="8" t="n">
        <v>3994</v>
      </c>
      <c r="N98" s="9" t="inlineStr">
        <is>
          <t>否</t>
        </is>
      </c>
      <c r="O98" t="inlineStr">
        <is>
          <t>缺 PP</t>
        </is>
      </c>
    </row>
    <row r="99">
      <c r="A99" s="7" t="inlineStr">
        <is>
          <t>2007-12-17</t>
        </is>
      </c>
      <c r="B99" s="8" t="n"/>
      <c r="C99" s="8" t="n"/>
      <c r="D99" s="8" t="n"/>
      <c r="E99" s="8" t="n"/>
      <c r="F99" s="8" t="n"/>
      <c r="G99" s="8" t="n"/>
      <c r="H99" s="8" t="n">
        <v>13580</v>
      </c>
      <c r="I99" s="8" t="n">
        <v>13695</v>
      </c>
      <c r="J99" s="8" t="n">
        <v>13725</v>
      </c>
      <c r="K99" s="8" t="n">
        <v>13550</v>
      </c>
      <c r="L99" s="8" t="n">
        <v>5966</v>
      </c>
      <c r="M99" s="8" t="n">
        <v>4200</v>
      </c>
      <c r="N99" s="9" t="inlineStr">
        <is>
          <t>否</t>
        </is>
      </c>
      <c r="O99" t="inlineStr">
        <is>
          <t>缺 PP</t>
        </is>
      </c>
    </row>
    <row r="100">
      <c r="A100" s="7" t="inlineStr">
        <is>
          <t>2007-12-18</t>
        </is>
      </c>
      <c r="B100" s="8" t="n"/>
      <c r="C100" s="8" t="n"/>
      <c r="D100" s="8" t="n"/>
      <c r="E100" s="8" t="n"/>
      <c r="F100" s="8" t="n"/>
      <c r="G100" s="8" t="n"/>
      <c r="H100" s="8" t="n">
        <v>13590</v>
      </c>
      <c r="I100" s="8" t="n">
        <v>13495</v>
      </c>
      <c r="J100" s="8" t="n">
        <v>13630</v>
      </c>
      <c r="K100" s="8" t="n">
        <v>13495</v>
      </c>
      <c r="L100" s="8" t="n">
        <v>4462</v>
      </c>
      <c r="M100" s="8" t="n">
        <v>4790</v>
      </c>
      <c r="N100" s="9" t="inlineStr">
        <is>
          <t>否</t>
        </is>
      </c>
      <c r="O100" t="inlineStr">
        <is>
          <t>缺 PP</t>
        </is>
      </c>
    </row>
    <row r="101">
      <c r="A101" s="7" t="inlineStr">
        <is>
          <t>2007-12-19</t>
        </is>
      </c>
      <c r="B101" s="8" t="n"/>
      <c r="C101" s="8" t="n"/>
      <c r="D101" s="8" t="n"/>
      <c r="E101" s="8" t="n"/>
      <c r="F101" s="8" t="n"/>
      <c r="G101" s="8" t="n"/>
      <c r="H101" s="8" t="n">
        <v>13495</v>
      </c>
      <c r="I101" s="8" t="n">
        <v>13600</v>
      </c>
      <c r="J101" s="8" t="n">
        <v>13600</v>
      </c>
      <c r="K101" s="8" t="n">
        <v>13460</v>
      </c>
      <c r="L101" s="8" t="n">
        <v>5316</v>
      </c>
      <c r="M101" s="8" t="n">
        <v>4746</v>
      </c>
      <c r="N101" s="9" t="inlineStr">
        <is>
          <t>否</t>
        </is>
      </c>
      <c r="O101" t="inlineStr">
        <is>
          <t>缺 PP</t>
        </is>
      </c>
    </row>
    <row r="102">
      <c r="A102" s="7" t="inlineStr">
        <is>
          <t>2007-12-20</t>
        </is>
      </c>
      <c r="B102" s="8" t="n"/>
      <c r="C102" s="8" t="n"/>
      <c r="D102" s="8" t="n"/>
      <c r="E102" s="8" t="n"/>
      <c r="F102" s="8" t="n"/>
      <c r="G102" s="8" t="n"/>
      <c r="H102" s="8" t="n">
        <v>13575</v>
      </c>
      <c r="I102" s="8" t="n">
        <v>13500</v>
      </c>
      <c r="J102" s="8" t="n">
        <v>13590</v>
      </c>
      <c r="K102" s="8" t="n">
        <v>13440</v>
      </c>
      <c r="L102" s="8" t="n">
        <v>4268</v>
      </c>
      <c r="M102" s="8" t="n">
        <v>5068</v>
      </c>
      <c r="N102" s="9" t="inlineStr">
        <is>
          <t>否</t>
        </is>
      </c>
      <c r="O102" t="inlineStr">
        <is>
          <t>缺 PP</t>
        </is>
      </c>
    </row>
    <row r="103">
      <c r="A103" s="7" t="inlineStr">
        <is>
          <t>2007-12-21</t>
        </is>
      </c>
      <c r="B103" s="8" t="n"/>
      <c r="C103" s="8" t="n"/>
      <c r="D103" s="8" t="n"/>
      <c r="E103" s="8" t="n"/>
      <c r="F103" s="8" t="n"/>
      <c r="G103" s="8" t="n"/>
      <c r="H103" s="8" t="n">
        <v>13545</v>
      </c>
      <c r="I103" s="8" t="n">
        <v>13555</v>
      </c>
      <c r="J103" s="8" t="n">
        <v>13600</v>
      </c>
      <c r="K103" s="8" t="n">
        <v>13500</v>
      </c>
      <c r="L103" s="8" t="n">
        <v>4118</v>
      </c>
      <c r="M103" s="8" t="n">
        <v>5228</v>
      </c>
      <c r="N103" s="9" t="inlineStr">
        <is>
          <t>否</t>
        </is>
      </c>
      <c r="O103" t="inlineStr">
        <is>
          <t>缺 PP</t>
        </is>
      </c>
    </row>
    <row r="104">
      <c r="A104" s="7" t="inlineStr">
        <is>
          <t>2007-12-24</t>
        </is>
      </c>
      <c r="B104" s="8" t="n"/>
      <c r="C104" s="8" t="n"/>
      <c r="D104" s="8" t="n"/>
      <c r="E104" s="8" t="n"/>
      <c r="F104" s="8" t="n"/>
      <c r="G104" s="8" t="n"/>
      <c r="H104" s="8" t="n">
        <v>13615</v>
      </c>
      <c r="I104" s="8" t="n">
        <v>13610</v>
      </c>
      <c r="J104" s="8" t="n">
        <v>13665</v>
      </c>
      <c r="K104" s="8" t="n">
        <v>13570</v>
      </c>
      <c r="L104" s="8" t="n">
        <v>5482</v>
      </c>
      <c r="M104" s="8" t="n">
        <v>5684</v>
      </c>
      <c r="N104" s="9" t="inlineStr">
        <is>
          <t>否</t>
        </is>
      </c>
      <c r="O104" t="inlineStr">
        <is>
          <t>缺 PP</t>
        </is>
      </c>
    </row>
    <row r="105">
      <c r="A105" s="7" t="inlineStr">
        <is>
          <t>2007-12-25</t>
        </is>
      </c>
      <c r="B105" s="8" t="n"/>
      <c r="C105" s="8" t="n"/>
      <c r="D105" s="8" t="n"/>
      <c r="E105" s="8" t="n"/>
      <c r="F105" s="8" t="n"/>
      <c r="G105" s="8" t="n"/>
      <c r="H105" s="8" t="n">
        <v>13545</v>
      </c>
      <c r="I105" s="8" t="n">
        <v>13630</v>
      </c>
      <c r="J105" s="8" t="n">
        <v>13630</v>
      </c>
      <c r="K105" s="8" t="n">
        <v>13520</v>
      </c>
      <c r="L105" s="8" t="n">
        <v>4050</v>
      </c>
      <c r="M105" s="8" t="n">
        <v>5234</v>
      </c>
      <c r="N105" s="9" t="inlineStr">
        <is>
          <t>否</t>
        </is>
      </c>
      <c r="O105" t="inlineStr">
        <is>
          <t>缺 PP</t>
        </is>
      </c>
    </row>
    <row r="106">
      <c r="A106" s="7" t="inlineStr">
        <is>
          <t>2007-12-26</t>
        </is>
      </c>
      <c r="B106" s="8" t="n"/>
      <c r="C106" s="8" t="n"/>
      <c r="D106" s="8" t="n"/>
      <c r="E106" s="8" t="n"/>
      <c r="F106" s="8" t="n"/>
      <c r="G106" s="8" t="n"/>
      <c r="H106" s="8" t="n">
        <v>13630</v>
      </c>
      <c r="I106" s="8" t="n">
        <v>13550</v>
      </c>
      <c r="J106" s="8" t="n">
        <v>13635</v>
      </c>
      <c r="K106" s="8" t="n">
        <v>13485</v>
      </c>
      <c r="L106" s="8" t="n">
        <v>6370</v>
      </c>
      <c r="M106" s="8" t="n">
        <v>6574</v>
      </c>
      <c r="N106" s="9" t="inlineStr">
        <is>
          <t>否</t>
        </is>
      </c>
      <c r="O106" t="inlineStr">
        <is>
          <t>缺 PP</t>
        </is>
      </c>
    </row>
    <row r="107">
      <c r="A107" s="7" t="inlineStr">
        <is>
          <t>2007-12-27</t>
        </is>
      </c>
      <c r="B107" s="8" t="n"/>
      <c r="C107" s="8" t="n"/>
      <c r="D107" s="8" t="n"/>
      <c r="E107" s="8" t="n"/>
      <c r="F107" s="8" t="n"/>
      <c r="G107" s="8" t="n"/>
      <c r="H107" s="8" t="n">
        <v>13670</v>
      </c>
      <c r="I107" s="8" t="n">
        <v>13650</v>
      </c>
      <c r="J107" s="8" t="n">
        <v>13720</v>
      </c>
      <c r="K107" s="8" t="n">
        <v>13630</v>
      </c>
      <c r="L107" s="8" t="n">
        <v>6540</v>
      </c>
      <c r="M107" s="8" t="n">
        <v>7096</v>
      </c>
      <c r="N107" s="9" t="inlineStr">
        <is>
          <t>否</t>
        </is>
      </c>
      <c r="O107" t="inlineStr">
        <is>
          <t>缺 PP</t>
        </is>
      </c>
    </row>
    <row r="108">
      <c r="A108" s="7" t="inlineStr">
        <is>
          <t>2007-12-28</t>
        </is>
      </c>
      <c r="B108" s="8" t="n"/>
      <c r="C108" s="8" t="n"/>
      <c r="D108" s="8" t="n"/>
      <c r="E108" s="8" t="n"/>
      <c r="F108" s="8" t="n"/>
      <c r="G108" s="8" t="n"/>
      <c r="H108" s="8" t="n">
        <v>13665</v>
      </c>
      <c r="I108" s="8" t="n">
        <v>13690</v>
      </c>
      <c r="J108" s="8" t="n">
        <v>13695</v>
      </c>
      <c r="K108" s="8" t="n">
        <v>13635</v>
      </c>
      <c r="L108" s="8" t="n">
        <v>4614</v>
      </c>
      <c r="M108" s="8" t="n">
        <v>6956</v>
      </c>
      <c r="N108" s="9" t="inlineStr">
        <is>
          <t>否</t>
        </is>
      </c>
      <c r="O108" t="inlineStr">
        <is>
          <t>缺 PP</t>
        </is>
      </c>
    </row>
    <row r="109">
      <c r="A109" s="7" t="inlineStr">
        <is>
          <t>2007-12-31</t>
        </is>
      </c>
      <c r="B109" s="8" t="n"/>
      <c r="C109" s="8" t="n"/>
      <c r="D109" s="8" t="n"/>
      <c r="E109" s="8" t="n"/>
      <c r="F109" s="8" t="n"/>
      <c r="G109" s="8" t="n"/>
      <c r="H109" s="8" t="n">
        <v>13665</v>
      </c>
      <c r="I109" s="8" t="n">
        <v>13690</v>
      </c>
      <c r="J109" s="8" t="n">
        <v>13695</v>
      </c>
      <c r="K109" s="8" t="n">
        <v>13635</v>
      </c>
      <c r="L109" s="8" t="n">
        <v>4614</v>
      </c>
      <c r="M109" s="8" t="n">
        <v>6956</v>
      </c>
      <c r="N109" s="9" t="inlineStr">
        <is>
          <t>否</t>
        </is>
      </c>
      <c r="O109" t="inlineStr">
        <is>
          <t>缺 PP</t>
        </is>
      </c>
    </row>
    <row r="110">
      <c r="A110" s="7" t="inlineStr">
        <is>
          <t>2008-01-01</t>
        </is>
      </c>
      <c r="B110" s="8" t="n"/>
      <c r="C110" s="8" t="n"/>
      <c r="D110" s="8" t="n"/>
      <c r="E110" s="8" t="n"/>
      <c r="F110" s="8" t="n"/>
      <c r="G110" s="8" t="n"/>
      <c r="H110" s="8" t="n">
        <v>13665</v>
      </c>
      <c r="I110" s="8" t="n">
        <v>13690</v>
      </c>
      <c r="J110" s="8" t="n">
        <v>13695</v>
      </c>
      <c r="K110" s="8" t="n">
        <v>13635</v>
      </c>
      <c r="L110" s="8" t="n">
        <v>4614</v>
      </c>
      <c r="M110" s="8" t="n">
        <v>6956</v>
      </c>
      <c r="N110" s="9" t="inlineStr">
        <is>
          <t>否</t>
        </is>
      </c>
      <c r="O110" t="inlineStr">
        <is>
          <t>缺 PP</t>
        </is>
      </c>
    </row>
    <row r="111">
      <c r="A111" s="7" t="inlineStr">
        <is>
          <t>2008-01-02</t>
        </is>
      </c>
      <c r="B111" s="8" t="n"/>
      <c r="C111" s="8" t="n"/>
      <c r="D111" s="8" t="n"/>
      <c r="E111" s="8" t="n"/>
      <c r="F111" s="8" t="n"/>
      <c r="G111" s="8" t="n"/>
      <c r="H111" s="8" t="n">
        <v>13625</v>
      </c>
      <c r="I111" s="8" t="n">
        <v>13685</v>
      </c>
      <c r="J111" s="8" t="n">
        <v>13685</v>
      </c>
      <c r="K111" s="8" t="n">
        <v>13605</v>
      </c>
      <c r="L111" s="8" t="n">
        <v>4280</v>
      </c>
      <c r="M111" s="8" t="n">
        <v>6856</v>
      </c>
      <c r="N111" s="9" t="inlineStr">
        <is>
          <t>否</t>
        </is>
      </c>
      <c r="O111" t="inlineStr">
        <is>
          <t>缺 PP</t>
        </is>
      </c>
    </row>
    <row r="112">
      <c r="A112" s="7" t="inlineStr">
        <is>
          <t>2008-01-03</t>
        </is>
      </c>
      <c r="B112" s="8" t="n"/>
      <c r="C112" s="8" t="n"/>
      <c r="D112" s="8" t="n"/>
      <c r="E112" s="8" t="n"/>
      <c r="F112" s="8" t="n"/>
      <c r="G112" s="8" t="n"/>
      <c r="H112" s="8" t="n">
        <v>13750</v>
      </c>
      <c r="I112" s="8" t="n">
        <v>13680</v>
      </c>
      <c r="J112" s="8" t="n">
        <v>13825</v>
      </c>
      <c r="K112" s="8" t="n">
        <v>13680</v>
      </c>
      <c r="L112" s="8" t="n">
        <v>8612</v>
      </c>
      <c r="M112" s="8" t="n">
        <v>7708</v>
      </c>
      <c r="N112" s="9" t="inlineStr">
        <is>
          <t>否</t>
        </is>
      </c>
      <c r="O112" t="inlineStr">
        <is>
          <t>缺 PP</t>
        </is>
      </c>
    </row>
    <row r="113">
      <c r="A113" s="7" t="inlineStr">
        <is>
          <t>2008-01-04</t>
        </is>
      </c>
      <c r="B113" s="8" t="n"/>
      <c r="C113" s="8" t="n"/>
      <c r="D113" s="8" t="n"/>
      <c r="E113" s="8" t="n"/>
      <c r="F113" s="8" t="n"/>
      <c r="G113" s="8" t="n"/>
      <c r="H113" s="8" t="n">
        <v>13845</v>
      </c>
      <c r="I113" s="8" t="n">
        <v>13775</v>
      </c>
      <c r="J113" s="8" t="n">
        <v>13875</v>
      </c>
      <c r="K113" s="8" t="n">
        <v>13740</v>
      </c>
      <c r="L113" s="8" t="n">
        <v>6522</v>
      </c>
      <c r="M113" s="8" t="n">
        <v>7698</v>
      </c>
      <c r="N113" s="9" t="inlineStr">
        <is>
          <t>否</t>
        </is>
      </c>
      <c r="O113" t="inlineStr">
        <is>
          <t>缺 PP</t>
        </is>
      </c>
    </row>
    <row r="114">
      <c r="A114" s="7" t="inlineStr">
        <is>
          <t>2008-01-07</t>
        </is>
      </c>
      <c r="B114" s="8" t="n"/>
      <c r="C114" s="8" t="n"/>
      <c r="D114" s="8" t="n"/>
      <c r="E114" s="8" t="n"/>
      <c r="F114" s="8" t="n"/>
      <c r="G114" s="8" t="n"/>
      <c r="H114" s="8" t="n">
        <v>13830</v>
      </c>
      <c r="I114" s="8" t="n">
        <v>13800</v>
      </c>
      <c r="J114" s="8" t="n">
        <v>13880</v>
      </c>
      <c r="K114" s="8" t="n">
        <v>13700</v>
      </c>
      <c r="L114" s="8" t="n">
        <v>10026</v>
      </c>
      <c r="M114" s="8" t="n">
        <v>7816</v>
      </c>
      <c r="N114" s="9" t="inlineStr">
        <is>
          <t>否</t>
        </is>
      </c>
      <c r="O114" t="inlineStr">
        <is>
          <t>缺 PP</t>
        </is>
      </c>
    </row>
    <row r="115">
      <c r="A115" s="7" t="inlineStr">
        <is>
          <t>2008-01-08</t>
        </is>
      </c>
      <c r="B115" s="8" t="n"/>
      <c r="C115" s="8" t="n"/>
      <c r="D115" s="8" t="n"/>
      <c r="E115" s="8" t="n"/>
      <c r="F115" s="8" t="n"/>
      <c r="G115" s="8" t="n"/>
      <c r="H115" s="8" t="n">
        <v>13850</v>
      </c>
      <c r="I115" s="8" t="n">
        <v>13800</v>
      </c>
      <c r="J115" s="8" t="n">
        <v>13870</v>
      </c>
      <c r="K115" s="8" t="n">
        <v>13755</v>
      </c>
      <c r="L115" s="8" t="n">
        <v>7462</v>
      </c>
      <c r="M115" s="8" t="n">
        <v>7478</v>
      </c>
      <c r="N115" s="9" t="inlineStr">
        <is>
          <t>否</t>
        </is>
      </c>
      <c r="O115" t="inlineStr">
        <is>
          <t>缺 PP</t>
        </is>
      </c>
    </row>
    <row r="116">
      <c r="A116" s="7" t="inlineStr">
        <is>
          <t>2008-01-09</t>
        </is>
      </c>
      <c r="B116" s="8" t="n"/>
      <c r="C116" s="8" t="n"/>
      <c r="D116" s="8" t="n"/>
      <c r="E116" s="8" t="n"/>
      <c r="F116" s="8" t="n"/>
      <c r="G116" s="8" t="n"/>
      <c r="H116" s="8" t="n">
        <v>13915</v>
      </c>
      <c r="I116" s="8" t="n">
        <v>13820</v>
      </c>
      <c r="J116" s="8" t="n">
        <v>13950</v>
      </c>
      <c r="K116" s="8" t="n">
        <v>13820</v>
      </c>
      <c r="L116" s="8" t="n">
        <v>8978</v>
      </c>
      <c r="M116" s="8" t="n">
        <v>7610</v>
      </c>
      <c r="N116" s="9" t="inlineStr">
        <is>
          <t>否</t>
        </is>
      </c>
      <c r="O116" t="inlineStr">
        <is>
          <t>缺 PP</t>
        </is>
      </c>
    </row>
    <row r="117">
      <c r="A117" s="7" t="inlineStr">
        <is>
          <t>2008-01-10</t>
        </is>
      </c>
      <c r="B117" s="8" t="n"/>
      <c r="C117" s="8" t="n"/>
      <c r="D117" s="8" t="n"/>
      <c r="E117" s="8" t="n"/>
      <c r="F117" s="8" t="n"/>
      <c r="G117" s="8" t="n"/>
      <c r="H117" s="8" t="n">
        <v>13850</v>
      </c>
      <c r="I117" s="8" t="n">
        <v>13900</v>
      </c>
      <c r="J117" s="8" t="n">
        <v>13915</v>
      </c>
      <c r="K117" s="8" t="n">
        <v>13835</v>
      </c>
      <c r="L117" s="8" t="n">
        <v>8680</v>
      </c>
      <c r="M117" s="8" t="n">
        <v>7202</v>
      </c>
      <c r="N117" s="9" t="inlineStr">
        <is>
          <t>否</t>
        </is>
      </c>
      <c r="O117" t="inlineStr">
        <is>
          <t>缺 PP</t>
        </is>
      </c>
    </row>
    <row r="118">
      <c r="A118" s="7" t="inlineStr">
        <is>
          <t>2008-01-11</t>
        </is>
      </c>
      <c r="B118" s="8" t="n"/>
      <c r="C118" s="8" t="n"/>
      <c r="D118" s="8" t="n"/>
      <c r="E118" s="8" t="n"/>
      <c r="F118" s="8" t="n"/>
      <c r="G118" s="8" t="n"/>
      <c r="H118" s="8" t="n">
        <v>13900</v>
      </c>
      <c r="I118" s="8" t="n">
        <v>13830</v>
      </c>
      <c r="J118" s="8" t="n">
        <v>13915</v>
      </c>
      <c r="K118" s="8" t="n">
        <v>13770</v>
      </c>
      <c r="L118" s="8" t="n">
        <v>10770</v>
      </c>
      <c r="M118" s="8" t="n">
        <v>7174</v>
      </c>
      <c r="N118" s="9" t="inlineStr">
        <is>
          <t>否</t>
        </is>
      </c>
      <c r="O118" t="inlineStr">
        <is>
          <t>缺 PP</t>
        </is>
      </c>
    </row>
    <row r="119">
      <c r="A119" s="7" t="inlineStr">
        <is>
          <t>2008-01-14</t>
        </is>
      </c>
      <c r="B119" s="8" t="n"/>
      <c r="C119" s="8" t="n"/>
      <c r="D119" s="8" t="n"/>
      <c r="E119" s="8" t="n"/>
      <c r="F119" s="8" t="n"/>
      <c r="G119" s="8" t="n"/>
      <c r="H119" s="8" t="n">
        <v>14145</v>
      </c>
      <c r="I119" s="8" t="n">
        <v>13880</v>
      </c>
      <c r="J119" s="8" t="n">
        <v>14155</v>
      </c>
      <c r="K119" s="8" t="n">
        <v>13840</v>
      </c>
      <c r="L119" s="8" t="n">
        <v>12436</v>
      </c>
      <c r="M119" s="8" t="n">
        <v>8670</v>
      </c>
      <c r="N119" s="9" t="inlineStr">
        <is>
          <t>否</t>
        </is>
      </c>
      <c r="O119" t="inlineStr">
        <is>
          <t>缺 PP</t>
        </is>
      </c>
    </row>
    <row r="120">
      <c r="A120" s="7" t="inlineStr">
        <is>
          <t>2008-01-15</t>
        </is>
      </c>
      <c r="B120" s="8" t="n"/>
      <c r="C120" s="8" t="n"/>
      <c r="D120" s="8" t="n"/>
      <c r="E120" s="8" t="n"/>
      <c r="F120" s="8" t="n"/>
      <c r="G120" s="8" t="n"/>
      <c r="H120" s="8" t="n">
        <v>14180</v>
      </c>
      <c r="I120" s="8" t="n">
        <v>14195</v>
      </c>
      <c r="J120" s="8" t="n">
        <v>14420</v>
      </c>
      <c r="K120" s="8" t="n">
        <v>14120</v>
      </c>
      <c r="L120" s="8" t="n">
        <v>16042</v>
      </c>
      <c r="M120" s="8" t="n">
        <v>8446</v>
      </c>
      <c r="N120" s="9" t="inlineStr">
        <is>
          <t>否</t>
        </is>
      </c>
      <c r="O120" t="inlineStr">
        <is>
          <t>缺 PP</t>
        </is>
      </c>
    </row>
    <row r="121">
      <c r="A121" s="7" t="inlineStr">
        <is>
          <t>2008-01-16</t>
        </is>
      </c>
      <c r="B121" s="8" t="n"/>
      <c r="C121" s="8" t="n"/>
      <c r="D121" s="8" t="n"/>
      <c r="E121" s="8" t="n"/>
      <c r="F121" s="8" t="n"/>
      <c r="G121" s="8" t="n"/>
      <c r="H121" s="8" t="n">
        <v>13980</v>
      </c>
      <c r="I121" s="8" t="n">
        <v>14120</v>
      </c>
      <c r="J121" s="8" t="n">
        <v>14160</v>
      </c>
      <c r="K121" s="8" t="n">
        <v>13930</v>
      </c>
      <c r="L121" s="8" t="n">
        <v>13644</v>
      </c>
      <c r="M121" s="8" t="n">
        <v>7170</v>
      </c>
      <c r="N121" s="9" t="inlineStr">
        <is>
          <t>否</t>
        </is>
      </c>
      <c r="O121" t="inlineStr">
        <is>
          <t>缺 PP</t>
        </is>
      </c>
    </row>
    <row r="122">
      <c r="A122" s="7" t="inlineStr">
        <is>
          <t>2008-01-17</t>
        </is>
      </c>
      <c r="B122" s="8" t="n"/>
      <c r="C122" s="8" t="n"/>
      <c r="D122" s="8" t="n"/>
      <c r="E122" s="8" t="n"/>
      <c r="F122" s="8" t="n"/>
      <c r="G122" s="8" t="n"/>
      <c r="H122" s="8" t="n">
        <v>13920</v>
      </c>
      <c r="I122" s="8" t="n">
        <v>13970</v>
      </c>
      <c r="J122" s="8" t="n">
        <v>14095</v>
      </c>
      <c r="K122" s="8" t="n">
        <v>13860</v>
      </c>
      <c r="L122" s="8" t="n">
        <v>12158</v>
      </c>
      <c r="M122" s="8" t="n">
        <v>6458</v>
      </c>
      <c r="N122" s="9" t="inlineStr">
        <is>
          <t>否</t>
        </is>
      </c>
      <c r="O122" t="inlineStr">
        <is>
          <t>缺 PP</t>
        </is>
      </c>
    </row>
    <row r="123">
      <c r="A123" s="7" t="inlineStr">
        <is>
          <t>2008-01-18</t>
        </is>
      </c>
      <c r="B123" s="8" t="n"/>
      <c r="C123" s="8" t="n"/>
      <c r="D123" s="8" t="n"/>
      <c r="E123" s="8" t="n"/>
      <c r="F123" s="8" t="n"/>
      <c r="G123" s="8" t="n"/>
      <c r="H123" s="8" t="n">
        <v>13890</v>
      </c>
      <c r="I123" s="8" t="n">
        <v>13870</v>
      </c>
      <c r="J123" s="8" t="n">
        <v>13895</v>
      </c>
      <c r="K123" s="8" t="n">
        <v>13785</v>
      </c>
      <c r="L123" s="8" t="n">
        <v>23020</v>
      </c>
      <c r="M123" s="8" t="n">
        <v>5388</v>
      </c>
      <c r="N123" s="9" t="inlineStr">
        <is>
          <t>否</t>
        </is>
      </c>
      <c r="O123" t="inlineStr">
        <is>
          <t>缺 PP</t>
        </is>
      </c>
    </row>
    <row r="124">
      <c r="A124" s="7" t="inlineStr">
        <is>
          <t>2008-01-21</t>
        </is>
      </c>
      <c r="B124" s="8" t="n"/>
      <c r="C124" s="8" t="n"/>
      <c r="D124" s="8" t="n"/>
      <c r="E124" s="8" t="n"/>
      <c r="F124" s="8" t="n"/>
      <c r="G124" s="8" t="n"/>
      <c r="H124" s="8" t="n">
        <v>13950</v>
      </c>
      <c r="I124" s="8" t="n">
        <v>13900</v>
      </c>
      <c r="J124" s="8" t="n">
        <v>14100</v>
      </c>
      <c r="K124" s="8" t="n">
        <v>13900</v>
      </c>
      <c r="L124" s="8" t="n">
        <v>11546</v>
      </c>
      <c r="M124" s="8" t="n">
        <v>5672</v>
      </c>
      <c r="N124" s="9" t="inlineStr">
        <is>
          <t>否</t>
        </is>
      </c>
      <c r="O124" t="inlineStr">
        <is>
          <t>缺 PP</t>
        </is>
      </c>
    </row>
    <row r="125">
      <c r="A125" s="7" t="inlineStr">
        <is>
          <t>2008-01-22</t>
        </is>
      </c>
      <c r="B125" s="8" t="n"/>
      <c r="C125" s="8" t="n"/>
      <c r="D125" s="8" t="n"/>
      <c r="E125" s="8" t="n"/>
      <c r="F125" s="8" t="n"/>
      <c r="G125" s="8" t="n"/>
      <c r="H125" s="8" t="n">
        <v>13800</v>
      </c>
      <c r="I125" s="8" t="n">
        <v>13850</v>
      </c>
      <c r="J125" s="8" t="n">
        <v>13895</v>
      </c>
      <c r="K125" s="8" t="n">
        <v>13700</v>
      </c>
      <c r="L125" s="8" t="n">
        <v>17512</v>
      </c>
      <c r="M125" s="8" t="n">
        <v>5390</v>
      </c>
      <c r="N125" s="9" t="inlineStr">
        <is>
          <t>否</t>
        </is>
      </c>
      <c r="O125" t="inlineStr">
        <is>
          <t>缺 PP</t>
        </is>
      </c>
    </row>
    <row r="126">
      <c r="A126" s="7" t="inlineStr">
        <is>
          <t>2008-01-23</t>
        </is>
      </c>
      <c r="B126" s="8" t="n"/>
      <c r="C126" s="8" t="n"/>
      <c r="D126" s="8" t="n"/>
      <c r="E126" s="8" t="n"/>
      <c r="F126" s="8" t="n"/>
      <c r="G126" s="8" t="n"/>
      <c r="H126" s="8" t="n">
        <v>13900</v>
      </c>
      <c r="I126" s="8" t="n">
        <v>13880</v>
      </c>
      <c r="J126" s="8" t="n">
        <v>13980</v>
      </c>
      <c r="K126" s="8" t="n">
        <v>13810</v>
      </c>
      <c r="L126" s="8" t="n">
        <v>23522</v>
      </c>
      <c r="M126" s="8" t="n">
        <v>5110</v>
      </c>
      <c r="N126" s="9" t="inlineStr">
        <is>
          <t>否</t>
        </is>
      </c>
      <c r="O126" t="inlineStr">
        <is>
          <t>缺 PP</t>
        </is>
      </c>
    </row>
    <row r="127">
      <c r="A127" s="7" t="inlineStr">
        <is>
          <t>2008-01-24</t>
        </is>
      </c>
      <c r="B127" s="8" t="n"/>
      <c r="C127" s="8" t="n"/>
      <c r="D127" s="8" t="n"/>
      <c r="E127" s="8" t="n"/>
      <c r="F127" s="8" t="n"/>
      <c r="G127" s="8" t="n"/>
      <c r="H127" s="8" t="n">
        <v>13925</v>
      </c>
      <c r="I127" s="8" t="n">
        <v>13830</v>
      </c>
      <c r="J127" s="8" t="n">
        <v>13930</v>
      </c>
      <c r="K127" s="8" t="n">
        <v>13800</v>
      </c>
      <c r="L127" s="8" t="n">
        <v>12622</v>
      </c>
      <c r="M127" s="8" t="n">
        <v>4968</v>
      </c>
      <c r="N127" s="9" t="inlineStr">
        <is>
          <t>否</t>
        </is>
      </c>
      <c r="O127" t="inlineStr">
        <is>
          <t>缺 PP</t>
        </is>
      </c>
    </row>
    <row r="128">
      <c r="A128" s="7" t="inlineStr">
        <is>
          <t>2008-01-25</t>
        </is>
      </c>
      <c r="B128" s="8" t="n"/>
      <c r="C128" s="8" t="n"/>
      <c r="D128" s="8" t="n"/>
      <c r="E128" s="8" t="n"/>
      <c r="F128" s="8" t="n"/>
      <c r="G128" s="8" t="n"/>
      <c r="H128" s="8" t="n">
        <v>13945</v>
      </c>
      <c r="I128" s="8" t="n">
        <v>13900</v>
      </c>
      <c r="J128" s="8" t="n">
        <v>14035</v>
      </c>
      <c r="K128" s="8" t="n">
        <v>13900</v>
      </c>
      <c r="L128" s="8" t="n">
        <v>9828</v>
      </c>
      <c r="M128" s="8" t="n">
        <v>4668</v>
      </c>
      <c r="N128" s="9" t="inlineStr">
        <is>
          <t>否</t>
        </is>
      </c>
      <c r="O128" t="inlineStr">
        <is>
          <t>缺 PP</t>
        </is>
      </c>
    </row>
    <row r="129">
      <c r="A129" s="7" t="inlineStr">
        <is>
          <t>2008-01-28</t>
        </is>
      </c>
      <c r="B129" s="8" t="n"/>
      <c r="C129" s="8" t="n"/>
      <c r="D129" s="8" t="n"/>
      <c r="E129" s="8" t="n"/>
      <c r="F129" s="8" t="n"/>
      <c r="G129" s="8" t="n"/>
      <c r="H129" s="8" t="n">
        <v>13870</v>
      </c>
      <c r="I129" s="8" t="n">
        <v>13980</v>
      </c>
      <c r="J129" s="8" t="n">
        <v>13980</v>
      </c>
      <c r="K129" s="8" t="n">
        <v>13850</v>
      </c>
      <c r="L129" s="8" t="n">
        <v>15516</v>
      </c>
      <c r="M129" s="8" t="n">
        <v>4544</v>
      </c>
      <c r="N129" s="9" t="inlineStr">
        <is>
          <t>否</t>
        </is>
      </c>
      <c r="O129" t="inlineStr">
        <is>
          <t>缺 PP</t>
        </is>
      </c>
    </row>
    <row r="130">
      <c r="A130" s="7" t="inlineStr">
        <is>
          <t>2008-01-29</t>
        </is>
      </c>
      <c r="B130" s="8" t="n"/>
      <c r="C130" s="8" t="n"/>
      <c r="D130" s="8" t="n"/>
      <c r="E130" s="8" t="n"/>
      <c r="F130" s="8" t="n"/>
      <c r="G130" s="8" t="n"/>
      <c r="H130" s="8" t="n">
        <v>13895</v>
      </c>
      <c r="I130" s="8" t="n">
        <v>13895</v>
      </c>
      <c r="J130" s="8" t="n">
        <v>13930</v>
      </c>
      <c r="K130" s="8" t="n">
        <v>13860</v>
      </c>
      <c r="L130" s="8" t="n">
        <v>15358</v>
      </c>
      <c r="M130" s="8" t="n">
        <v>4610</v>
      </c>
      <c r="N130" s="9" t="inlineStr">
        <is>
          <t>否</t>
        </is>
      </c>
      <c r="O130" t="inlineStr">
        <is>
          <t>缺 PP</t>
        </is>
      </c>
    </row>
    <row r="131">
      <c r="A131" s="7" t="inlineStr">
        <is>
          <t>2008-01-31</t>
        </is>
      </c>
      <c r="B131" s="8" t="n"/>
      <c r="C131" s="8" t="n"/>
      <c r="D131" s="8" t="n"/>
      <c r="E131" s="8" t="n"/>
      <c r="F131" s="8" t="n"/>
      <c r="G131" s="8" t="n"/>
      <c r="H131" s="8" t="n">
        <v>13870</v>
      </c>
      <c r="I131" s="8" t="n">
        <v>13825</v>
      </c>
      <c r="J131" s="8" t="n">
        <v>13880</v>
      </c>
      <c r="K131" s="8" t="n">
        <v>13820</v>
      </c>
      <c r="L131" s="8" t="n">
        <v>15536</v>
      </c>
      <c r="M131" s="8" t="n">
        <v>4114</v>
      </c>
      <c r="N131" s="9" t="inlineStr">
        <is>
          <t>否</t>
        </is>
      </c>
      <c r="O131" t="inlineStr">
        <is>
          <t>缺 PP</t>
        </is>
      </c>
    </row>
    <row r="132">
      <c r="A132" s="7" t="inlineStr">
        <is>
          <t>2008-02-01</t>
        </is>
      </c>
      <c r="B132" s="8" t="n"/>
      <c r="C132" s="8" t="n"/>
      <c r="D132" s="8" t="n"/>
      <c r="E132" s="8" t="n"/>
      <c r="F132" s="8" t="n"/>
      <c r="G132" s="8" t="n"/>
      <c r="H132" s="8" t="n">
        <v>13890</v>
      </c>
      <c r="I132" s="8" t="n">
        <v>13870</v>
      </c>
      <c r="J132" s="8" t="n">
        <v>13915</v>
      </c>
      <c r="K132" s="8" t="n">
        <v>13865</v>
      </c>
      <c r="L132" s="8" t="n">
        <v>22424</v>
      </c>
      <c r="M132" s="8" t="n">
        <v>4160</v>
      </c>
      <c r="N132" s="9" t="inlineStr">
        <is>
          <t>否</t>
        </is>
      </c>
      <c r="O132" t="inlineStr">
        <is>
          <t>缺 PP</t>
        </is>
      </c>
    </row>
    <row r="133">
      <c r="A133" s="7" t="inlineStr">
        <is>
          <t>2008-02-04</t>
        </is>
      </c>
      <c r="B133" s="8" t="n"/>
      <c r="C133" s="8" t="n"/>
      <c r="D133" s="8" t="n"/>
      <c r="E133" s="8" t="n"/>
      <c r="F133" s="8" t="n"/>
      <c r="G133" s="8" t="n"/>
      <c r="H133" s="8" t="n">
        <v>13980</v>
      </c>
      <c r="I133" s="8" t="n">
        <v>13855</v>
      </c>
      <c r="J133" s="8" t="n">
        <v>14030</v>
      </c>
      <c r="K133" s="8" t="n">
        <v>13855</v>
      </c>
      <c r="L133" s="8" t="n">
        <v>21298</v>
      </c>
      <c r="M133" s="8" t="n">
        <v>4174</v>
      </c>
      <c r="N133" s="9" t="inlineStr">
        <is>
          <t>否</t>
        </is>
      </c>
      <c r="O133" t="inlineStr">
        <is>
          <t>缺 PP</t>
        </is>
      </c>
    </row>
    <row r="134">
      <c r="A134" s="7" t="inlineStr">
        <is>
          <t>2008-02-05</t>
        </is>
      </c>
      <c r="B134" s="8" t="n"/>
      <c r="C134" s="8" t="n"/>
      <c r="D134" s="8" t="n"/>
      <c r="E134" s="8" t="n"/>
      <c r="F134" s="8" t="n"/>
      <c r="G134" s="8" t="n"/>
      <c r="H134" s="8" t="n">
        <v>14000</v>
      </c>
      <c r="I134" s="8" t="n">
        <v>13965</v>
      </c>
      <c r="J134" s="8" t="n">
        <v>14060</v>
      </c>
      <c r="K134" s="8" t="n">
        <v>13950</v>
      </c>
      <c r="L134" s="8" t="n">
        <v>25582</v>
      </c>
      <c r="M134" s="8" t="n">
        <v>4022</v>
      </c>
      <c r="N134" s="9" t="inlineStr">
        <is>
          <t>否</t>
        </is>
      </c>
      <c r="O134" t="inlineStr">
        <is>
          <t>缺 PP</t>
        </is>
      </c>
    </row>
    <row r="135">
      <c r="A135" s="7" t="inlineStr">
        <is>
          <t>2008-02-13</t>
        </is>
      </c>
      <c r="B135" s="8" t="n"/>
      <c r="C135" s="8" t="n"/>
      <c r="D135" s="8" t="n"/>
      <c r="E135" s="8" t="n"/>
      <c r="F135" s="8" t="n"/>
      <c r="G135" s="8" t="n"/>
      <c r="H135" s="8" t="n">
        <v>14070</v>
      </c>
      <c r="I135" s="8" t="n">
        <v>14050</v>
      </c>
      <c r="J135" s="8" t="n">
        <v>14195</v>
      </c>
      <c r="K135" s="8" t="n">
        <v>14040</v>
      </c>
      <c r="L135" s="8" t="n">
        <v>26864</v>
      </c>
      <c r="M135" s="8" t="n">
        <v>4388</v>
      </c>
      <c r="N135" s="9" t="inlineStr">
        <is>
          <t>否</t>
        </is>
      </c>
      <c r="O135" t="inlineStr">
        <is>
          <t>缺 PP</t>
        </is>
      </c>
    </row>
    <row r="136">
      <c r="A136" s="7" t="inlineStr">
        <is>
          <t>2008-02-14</t>
        </is>
      </c>
      <c r="B136" s="8" t="n"/>
      <c r="C136" s="8" t="n"/>
      <c r="D136" s="8" t="n"/>
      <c r="E136" s="8" t="n"/>
      <c r="F136" s="8" t="n"/>
      <c r="G136" s="8" t="n"/>
      <c r="H136" s="8" t="n">
        <v>13975</v>
      </c>
      <c r="I136" s="8" t="n">
        <v>14120</v>
      </c>
      <c r="J136" s="8" t="n">
        <v>14120</v>
      </c>
      <c r="K136" s="8" t="n">
        <v>13945</v>
      </c>
      <c r="L136" s="8" t="n">
        <v>24740</v>
      </c>
      <c r="M136" s="8" t="n">
        <v>4566</v>
      </c>
      <c r="N136" s="9" t="inlineStr">
        <is>
          <t>否</t>
        </is>
      </c>
      <c r="O136" t="inlineStr">
        <is>
          <t>缺 PP</t>
        </is>
      </c>
    </row>
    <row r="137">
      <c r="A137" s="7" t="inlineStr">
        <is>
          <t>2008-02-15</t>
        </is>
      </c>
      <c r="B137" s="8" t="n"/>
      <c r="C137" s="8" t="n"/>
      <c r="D137" s="8" t="n"/>
      <c r="E137" s="8" t="n"/>
      <c r="F137" s="8" t="n"/>
      <c r="G137" s="8" t="n"/>
      <c r="H137" s="8" t="n">
        <v>13930</v>
      </c>
      <c r="I137" s="8" t="n">
        <v>13980</v>
      </c>
      <c r="J137" s="8" t="n">
        <v>14030</v>
      </c>
      <c r="K137" s="8" t="n">
        <v>13910</v>
      </c>
      <c r="L137" s="8" t="n">
        <v>25834</v>
      </c>
      <c r="M137" s="8" t="n">
        <v>4192</v>
      </c>
      <c r="N137" s="9" t="inlineStr">
        <is>
          <t>否</t>
        </is>
      </c>
      <c r="O137" t="inlineStr">
        <is>
          <t>缺 PP</t>
        </is>
      </c>
    </row>
    <row r="138">
      <c r="A138" s="7" t="inlineStr">
        <is>
          <t>2008-02-18</t>
        </is>
      </c>
      <c r="B138" s="8" t="n"/>
      <c r="C138" s="8" t="n"/>
      <c r="D138" s="8" t="n"/>
      <c r="E138" s="8" t="n"/>
      <c r="F138" s="8" t="n"/>
      <c r="G138" s="8" t="n"/>
      <c r="H138" s="8" t="n">
        <v>13930</v>
      </c>
      <c r="I138" s="8" t="n">
        <v>13890</v>
      </c>
      <c r="J138" s="8" t="n">
        <v>13980</v>
      </c>
      <c r="K138" s="8" t="n">
        <v>13865</v>
      </c>
      <c r="L138" s="8" t="n">
        <v>8900</v>
      </c>
      <c r="M138" s="8" t="n">
        <v>4734</v>
      </c>
      <c r="N138" s="9" t="inlineStr">
        <is>
          <t>否</t>
        </is>
      </c>
      <c r="O138" t="inlineStr">
        <is>
          <t>缺 PP</t>
        </is>
      </c>
    </row>
    <row r="139">
      <c r="A139" s="7" t="inlineStr">
        <is>
          <t>2008-02-19</t>
        </is>
      </c>
      <c r="B139" s="8" t="n"/>
      <c r="C139" s="8" t="n"/>
      <c r="D139" s="8" t="n"/>
      <c r="E139" s="8" t="n"/>
      <c r="F139" s="8" t="n"/>
      <c r="G139" s="8" t="n"/>
      <c r="H139" s="8" t="n">
        <v>13955</v>
      </c>
      <c r="I139" s="8" t="n">
        <v>13920</v>
      </c>
      <c r="J139" s="8" t="n">
        <v>13970</v>
      </c>
      <c r="K139" s="8" t="n">
        <v>13880</v>
      </c>
      <c r="L139" s="8" t="n">
        <v>7556</v>
      </c>
      <c r="M139" s="8" t="n">
        <v>4604</v>
      </c>
      <c r="N139" s="9" t="inlineStr">
        <is>
          <t>否</t>
        </is>
      </c>
      <c r="O139" t="inlineStr">
        <is>
          <t>缺 PP</t>
        </is>
      </c>
    </row>
    <row r="140">
      <c r="A140" s="7" t="inlineStr">
        <is>
          <t>2008-02-20</t>
        </is>
      </c>
      <c r="B140" s="8" t="n"/>
      <c r="C140" s="8" t="n"/>
      <c r="D140" s="8" t="n"/>
      <c r="E140" s="8" t="n"/>
      <c r="F140" s="8" t="n"/>
      <c r="G140" s="8" t="n"/>
      <c r="H140" s="8" t="n">
        <v>13960</v>
      </c>
      <c r="I140" s="8" t="n">
        <v>13990</v>
      </c>
      <c r="J140" s="8" t="n">
        <v>14150</v>
      </c>
      <c r="K140" s="8" t="n">
        <v>13950</v>
      </c>
      <c r="L140" s="8" t="n">
        <v>8670</v>
      </c>
      <c r="M140" s="8" t="n">
        <v>4448</v>
      </c>
      <c r="N140" s="9" t="inlineStr">
        <is>
          <t>否</t>
        </is>
      </c>
      <c r="O140" t="inlineStr">
        <is>
          <t>缺 PP</t>
        </is>
      </c>
    </row>
    <row r="141">
      <c r="A141" s="7" t="inlineStr">
        <is>
          <t>2008-02-21</t>
        </is>
      </c>
      <c r="B141" s="8" t="n"/>
      <c r="C141" s="8" t="n"/>
      <c r="D141" s="8" t="n"/>
      <c r="E141" s="8" t="n"/>
      <c r="F141" s="8" t="n"/>
      <c r="G141" s="8" t="n"/>
      <c r="H141" s="8" t="n">
        <v>14045</v>
      </c>
      <c r="I141" s="8" t="n">
        <v>13990</v>
      </c>
      <c r="J141" s="8" t="n">
        <v>14075</v>
      </c>
      <c r="K141" s="8" t="n">
        <v>13950</v>
      </c>
      <c r="L141" s="8" t="n">
        <v>6682</v>
      </c>
      <c r="M141" s="8" t="n">
        <v>5086</v>
      </c>
      <c r="N141" s="9" t="inlineStr">
        <is>
          <t>否</t>
        </is>
      </c>
      <c r="O141" t="inlineStr">
        <is>
          <t>缺 PP</t>
        </is>
      </c>
    </row>
    <row r="142">
      <c r="A142" s="7" t="inlineStr">
        <is>
          <t>2008-02-22</t>
        </is>
      </c>
      <c r="B142" s="8" t="n"/>
      <c r="C142" s="8" t="n"/>
      <c r="D142" s="8" t="n"/>
      <c r="E142" s="8" t="n"/>
      <c r="F142" s="8" t="n"/>
      <c r="G142" s="8" t="n"/>
      <c r="H142" s="8" t="n">
        <v>14125</v>
      </c>
      <c r="I142" s="8" t="n">
        <v>14000</v>
      </c>
      <c r="J142" s="8" t="n">
        <v>14150</v>
      </c>
      <c r="K142" s="8" t="n">
        <v>13990</v>
      </c>
      <c r="L142" s="8" t="n">
        <v>5156</v>
      </c>
      <c r="M142" s="8" t="n">
        <v>5938</v>
      </c>
      <c r="N142" s="9" t="inlineStr">
        <is>
          <t>否</t>
        </is>
      </c>
      <c r="O142" t="inlineStr">
        <is>
          <t>缺 PP</t>
        </is>
      </c>
    </row>
    <row r="143">
      <c r="A143" s="7" t="inlineStr">
        <is>
          <t>2008-02-25</t>
        </is>
      </c>
      <c r="B143" s="8" t="n"/>
      <c r="C143" s="8" t="n"/>
      <c r="D143" s="8" t="n"/>
      <c r="E143" s="8" t="n"/>
      <c r="F143" s="8" t="n"/>
      <c r="G143" s="8" t="n"/>
      <c r="H143" s="8" t="n">
        <v>14215</v>
      </c>
      <c r="I143" s="8" t="n">
        <v>14150</v>
      </c>
      <c r="J143" s="8" t="n">
        <v>14320</v>
      </c>
      <c r="K143" s="8" t="n">
        <v>14150</v>
      </c>
      <c r="L143" s="8" t="n">
        <v>8364</v>
      </c>
      <c r="M143" s="8" t="n">
        <v>6628</v>
      </c>
      <c r="N143" s="9" t="inlineStr">
        <is>
          <t>否</t>
        </is>
      </c>
      <c r="O143" t="inlineStr">
        <is>
          <t>缺 PP</t>
        </is>
      </c>
    </row>
    <row r="144">
      <c r="A144" s="7" t="inlineStr">
        <is>
          <t>2008-02-26</t>
        </is>
      </c>
      <c r="B144" s="8" t="n"/>
      <c r="C144" s="8" t="n"/>
      <c r="D144" s="8" t="n"/>
      <c r="E144" s="8" t="n"/>
      <c r="F144" s="8" t="n"/>
      <c r="G144" s="8" t="n"/>
      <c r="H144" s="8" t="n">
        <v>14125</v>
      </c>
      <c r="I144" s="8" t="n">
        <v>14300</v>
      </c>
      <c r="J144" s="8" t="n">
        <v>14300</v>
      </c>
      <c r="K144" s="8" t="n">
        <v>14065</v>
      </c>
      <c r="L144" s="8" t="n">
        <v>3370</v>
      </c>
      <c r="M144" s="8" t="n">
        <v>5926</v>
      </c>
      <c r="N144" s="9" t="inlineStr">
        <is>
          <t>否</t>
        </is>
      </c>
      <c r="O144" t="inlineStr">
        <is>
          <t>缺 PP</t>
        </is>
      </c>
    </row>
    <row r="145">
      <c r="A145" s="7" t="inlineStr">
        <is>
          <t>2008-02-27</t>
        </is>
      </c>
      <c r="B145" s="8" t="n"/>
      <c r="C145" s="8" t="n"/>
      <c r="D145" s="8" t="n"/>
      <c r="E145" s="8" t="n"/>
      <c r="F145" s="8" t="n"/>
      <c r="G145" s="8" t="n"/>
      <c r="H145" s="8" t="n">
        <v>14280</v>
      </c>
      <c r="I145" s="8" t="n">
        <v>14210</v>
      </c>
      <c r="J145" s="8" t="n">
        <v>14280</v>
      </c>
      <c r="K145" s="8" t="n">
        <v>14150</v>
      </c>
      <c r="L145" s="8" t="n">
        <v>11842</v>
      </c>
      <c r="M145" s="8" t="n">
        <v>6724</v>
      </c>
      <c r="N145" s="9" t="inlineStr">
        <is>
          <t>否</t>
        </is>
      </c>
      <c r="O145" t="inlineStr">
        <is>
          <t>缺 PP</t>
        </is>
      </c>
    </row>
    <row r="146">
      <c r="A146" s="7" t="inlineStr">
        <is>
          <t>2008-02-28</t>
        </is>
      </c>
      <c r="B146" s="8" t="n"/>
      <c r="C146" s="8" t="n"/>
      <c r="D146" s="8" t="n"/>
      <c r="E146" s="8" t="n"/>
      <c r="F146" s="8" t="n"/>
      <c r="G146" s="8" t="n"/>
      <c r="H146" s="8" t="n">
        <v>14590</v>
      </c>
      <c r="I146" s="8" t="n">
        <v>14250</v>
      </c>
      <c r="J146" s="8" t="n">
        <v>14625</v>
      </c>
      <c r="K146" s="8" t="n">
        <v>14250</v>
      </c>
      <c r="L146" s="8" t="n">
        <v>27026</v>
      </c>
      <c r="M146" s="8" t="n">
        <v>11922</v>
      </c>
      <c r="N146" s="9" t="inlineStr">
        <is>
          <t>否</t>
        </is>
      </c>
      <c r="O146" t="inlineStr">
        <is>
          <t>缺 PP</t>
        </is>
      </c>
    </row>
    <row r="147">
      <c r="A147" s="7" t="inlineStr">
        <is>
          <t>2008-02-29</t>
        </is>
      </c>
      <c r="B147" s="8" t="n"/>
      <c r="C147" s="8" t="n"/>
      <c r="D147" s="8" t="n"/>
      <c r="E147" s="8" t="n"/>
      <c r="F147" s="8" t="n"/>
      <c r="G147" s="8" t="n"/>
      <c r="H147" s="8" t="n">
        <v>14540</v>
      </c>
      <c r="I147" s="8" t="n">
        <v>14650</v>
      </c>
      <c r="J147" s="8" t="n">
        <v>14760</v>
      </c>
      <c r="K147" s="8" t="n">
        <v>14515</v>
      </c>
      <c r="L147" s="8" t="n">
        <v>23052</v>
      </c>
      <c r="M147" s="8" t="n">
        <v>12246</v>
      </c>
      <c r="N147" s="9" t="inlineStr">
        <is>
          <t>否</t>
        </is>
      </c>
      <c r="O147" t="inlineStr">
        <is>
          <t>缺 PP</t>
        </is>
      </c>
    </row>
    <row r="148">
      <c r="A148" s="7" t="inlineStr">
        <is>
          <t>2008-03-03</t>
        </is>
      </c>
      <c r="B148" s="8" t="n"/>
      <c r="C148" s="8" t="n"/>
      <c r="D148" s="8" t="n"/>
      <c r="E148" s="8" t="n"/>
      <c r="F148" s="8" t="n"/>
      <c r="G148" s="8" t="n"/>
      <c r="H148" s="8" t="n">
        <v>14835</v>
      </c>
      <c r="I148" s="8" t="n">
        <v>14605</v>
      </c>
      <c r="J148" s="8" t="n">
        <v>14845</v>
      </c>
      <c r="K148" s="8" t="n">
        <v>14460</v>
      </c>
      <c r="L148" s="8" t="n">
        <v>28902</v>
      </c>
      <c r="M148" s="8" t="n">
        <v>14340</v>
      </c>
      <c r="N148" s="9" t="inlineStr">
        <is>
          <t>否</t>
        </is>
      </c>
      <c r="O148" t="inlineStr">
        <is>
          <t>缺 PP</t>
        </is>
      </c>
    </row>
    <row r="149">
      <c r="A149" s="7" t="inlineStr">
        <is>
          <t>2008-03-04</t>
        </is>
      </c>
      <c r="B149" s="8" t="n"/>
      <c r="C149" s="8" t="n"/>
      <c r="D149" s="8" t="n"/>
      <c r="E149" s="8" t="n"/>
      <c r="F149" s="8" t="n"/>
      <c r="G149" s="8" t="n"/>
      <c r="H149" s="8" t="n">
        <v>14540</v>
      </c>
      <c r="I149" s="8" t="n">
        <v>14810</v>
      </c>
      <c r="J149" s="8" t="n">
        <v>14925</v>
      </c>
      <c r="K149" s="8" t="n">
        <v>14120</v>
      </c>
      <c r="L149" s="8" t="n">
        <v>26172</v>
      </c>
      <c r="M149" s="8" t="n">
        <v>10834</v>
      </c>
      <c r="N149" s="9" t="inlineStr">
        <is>
          <t>否</t>
        </is>
      </c>
      <c r="O149" t="inlineStr">
        <is>
          <t>缺 PP</t>
        </is>
      </c>
    </row>
    <row r="150">
      <c r="A150" s="7" t="inlineStr">
        <is>
          <t>2008-03-05</t>
        </is>
      </c>
      <c r="B150" s="8" t="n"/>
      <c r="C150" s="8" t="n"/>
      <c r="D150" s="8" t="n"/>
      <c r="E150" s="8" t="n"/>
      <c r="F150" s="8" t="n"/>
      <c r="G150" s="8" t="n"/>
      <c r="H150" s="8" t="n">
        <v>14505</v>
      </c>
      <c r="I150" s="8" t="n">
        <v>14300</v>
      </c>
      <c r="J150" s="8" t="n">
        <v>14600</v>
      </c>
      <c r="K150" s="8" t="n">
        <v>14260</v>
      </c>
      <c r="L150" s="8" t="n">
        <v>18640</v>
      </c>
      <c r="M150" s="8" t="n">
        <v>10150</v>
      </c>
      <c r="N150" s="9" t="inlineStr">
        <is>
          <t>否</t>
        </is>
      </c>
      <c r="O150" t="inlineStr">
        <is>
          <t>缺 PP</t>
        </is>
      </c>
    </row>
    <row r="151">
      <c r="A151" s="7" t="inlineStr">
        <is>
          <t>2008-03-06</t>
        </is>
      </c>
      <c r="B151" s="8" t="n"/>
      <c r="C151" s="8" t="n"/>
      <c r="D151" s="8" t="n"/>
      <c r="E151" s="8" t="n"/>
      <c r="F151" s="8" t="n"/>
      <c r="G151" s="8" t="n"/>
      <c r="H151" s="8" t="n">
        <v>14630</v>
      </c>
      <c r="I151" s="8" t="n">
        <v>14705</v>
      </c>
      <c r="J151" s="8" t="n">
        <v>14750</v>
      </c>
      <c r="K151" s="8" t="n">
        <v>14550</v>
      </c>
      <c r="L151" s="8" t="n">
        <v>18960</v>
      </c>
      <c r="M151" s="8" t="n">
        <v>10100</v>
      </c>
      <c r="N151" s="9" t="inlineStr">
        <is>
          <t>否</t>
        </is>
      </c>
      <c r="O151" t="inlineStr">
        <is>
          <t>缺 PP</t>
        </is>
      </c>
    </row>
    <row r="152">
      <c r="A152" s="7" t="inlineStr">
        <is>
          <t>2008-03-07</t>
        </is>
      </c>
      <c r="B152" s="8" t="n"/>
      <c r="C152" s="8" t="n"/>
      <c r="D152" s="8" t="n"/>
      <c r="E152" s="8" t="n"/>
      <c r="F152" s="8" t="n"/>
      <c r="G152" s="8" t="n"/>
      <c r="H152" s="8" t="n">
        <v>14905</v>
      </c>
      <c r="I152" s="8" t="n">
        <v>14600</v>
      </c>
      <c r="J152" s="8" t="n">
        <v>14950</v>
      </c>
      <c r="K152" s="8" t="n">
        <v>14560</v>
      </c>
      <c r="L152" s="8" t="n">
        <v>33900</v>
      </c>
      <c r="M152" s="8" t="n">
        <v>14474</v>
      </c>
      <c r="N152" s="9" t="inlineStr">
        <is>
          <t>否</t>
        </is>
      </c>
      <c r="O152" t="inlineStr">
        <is>
          <t>缺 PP</t>
        </is>
      </c>
    </row>
    <row r="153">
      <c r="A153" s="7" t="inlineStr">
        <is>
          <t>2008-03-10</t>
        </is>
      </c>
      <c r="B153" s="8" t="n"/>
      <c r="C153" s="8" t="n"/>
      <c r="D153" s="8" t="n"/>
      <c r="E153" s="8" t="n"/>
      <c r="F153" s="8" t="n"/>
      <c r="G153" s="8" t="n"/>
      <c r="H153" s="8" t="n">
        <v>14650</v>
      </c>
      <c r="I153" s="8" t="n">
        <v>14840</v>
      </c>
      <c r="J153" s="8" t="n">
        <v>14895</v>
      </c>
      <c r="K153" s="8" t="n">
        <v>14550</v>
      </c>
      <c r="L153" s="8" t="n">
        <v>19512</v>
      </c>
      <c r="M153" s="8" t="n">
        <v>10110</v>
      </c>
      <c r="N153" s="9" t="inlineStr">
        <is>
          <t>否</t>
        </is>
      </c>
      <c r="O153" t="inlineStr">
        <is>
          <t>缺 PP</t>
        </is>
      </c>
    </row>
    <row r="154">
      <c r="A154" s="7" t="inlineStr">
        <is>
          <t>2008-03-11</t>
        </is>
      </c>
      <c r="B154" s="8" t="n"/>
      <c r="C154" s="8" t="n"/>
      <c r="D154" s="8" t="n"/>
      <c r="E154" s="8" t="n"/>
      <c r="F154" s="8" t="n"/>
      <c r="G154" s="8" t="n"/>
      <c r="H154" s="8" t="n">
        <v>14860</v>
      </c>
      <c r="I154" s="8" t="n">
        <v>14750</v>
      </c>
      <c r="J154" s="8" t="n">
        <v>14980</v>
      </c>
      <c r="K154" s="8" t="n">
        <v>14715</v>
      </c>
      <c r="L154" s="8" t="n">
        <v>28018</v>
      </c>
      <c r="M154" s="8" t="n">
        <v>14016</v>
      </c>
      <c r="N154" s="9" t="inlineStr">
        <is>
          <t>否</t>
        </is>
      </c>
      <c r="O154" t="inlineStr">
        <is>
          <t>缺 PP</t>
        </is>
      </c>
    </row>
    <row r="155">
      <c r="A155" s="7" t="inlineStr">
        <is>
          <t>2008-03-12</t>
        </is>
      </c>
      <c r="B155" s="8" t="n"/>
      <c r="C155" s="8" t="n"/>
      <c r="D155" s="8" t="n"/>
      <c r="E155" s="8" t="n"/>
      <c r="F155" s="8" t="n"/>
      <c r="G155" s="8" t="n"/>
      <c r="H155" s="8" t="n">
        <v>14680</v>
      </c>
      <c r="I155" s="8" t="n">
        <v>14955</v>
      </c>
      <c r="J155" s="8" t="n">
        <v>14955</v>
      </c>
      <c r="K155" s="8" t="n">
        <v>14610</v>
      </c>
      <c r="L155" s="8" t="n">
        <v>17494</v>
      </c>
      <c r="M155" s="8" t="n">
        <v>10304</v>
      </c>
      <c r="N155" s="9" t="inlineStr">
        <is>
          <t>否</t>
        </is>
      </c>
      <c r="O155" t="inlineStr">
        <is>
          <t>缺 PP</t>
        </is>
      </c>
    </row>
    <row r="156">
      <c r="A156" s="7" t="inlineStr">
        <is>
          <t>2008-03-13</t>
        </is>
      </c>
      <c r="B156" s="8" t="n"/>
      <c r="C156" s="8" t="n"/>
      <c r="D156" s="8" t="n"/>
      <c r="E156" s="8" t="n"/>
      <c r="F156" s="8" t="n"/>
      <c r="G156" s="8" t="n"/>
      <c r="H156" s="8" t="n">
        <v>14600</v>
      </c>
      <c r="I156" s="8" t="n">
        <v>14765</v>
      </c>
      <c r="J156" s="8" t="n">
        <v>14765</v>
      </c>
      <c r="K156" s="8" t="n">
        <v>14500</v>
      </c>
      <c r="L156" s="8" t="n">
        <v>10190</v>
      </c>
      <c r="M156" s="8" t="n">
        <v>8402</v>
      </c>
      <c r="N156" s="9" t="inlineStr">
        <is>
          <t>否</t>
        </is>
      </c>
      <c r="O156" t="inlineStr">
        <is>
          <t>缺 PP</t>
        </is>
      </c>
    </row>
    <row r="157">
      <c r="A157" s="7" t="inlineStr">
        <is>
          <t>2008-03-14</t>
        </is>
      </c>
      <c r="B157" s="8" t="n"/>
      <c r="C157" s="8" t="n"/>
      <c r="D157" s="8" t="n"/>
      <c r="E157" s="8" t="n"/>
      <c r="F157" s="8" t="n"/>
      <c r="G157" s="8" t="n"/>
      <c r="H157" s="8" t="n">
        <v>14550</v>
      </c>
      <c r="I157" s="8" t="n">
        <v>14600</v>
      </c>
      <c r="J157" s="8" t="n">
        <v>14650</v>
      </c>
      <c r="K157" s="8" t="n">
        <v>14510</v>
      </c>
      <c r="L157" s="8" t="n">
        <v>9402</v>
      </c>
      <c r="M157" s="8" t="n">
        <v>8224</v>
      </c>
      <c r="N157" s="9" t="inlineStr">
        <is>
          <t>否</t>
        </is>
      </c>
      <c r="O157" t="inlineStr">
        <is>
          <t>缺 PP</t>
        </is>
      </c>
    </row>
    <row r="158">
      <c r="A158" s="7" t="inlineStr">
        <is>
          <t>2008-03-17</t>
        </is>
      </c>
      <c r="B158" s="8" t="n"/>
      <c r="C158" s="8" t="n"/>
      <c r="D158" s="8" t="n"/>
      <c r="E158" s="8" t="n"/>
      <c r="F158" s="8" t="n"/>
      <c r="G158" s="8" t="n"/>
      <c r="H158" s="8" t="n">
        <v>14590</v>
      </c>
      <c r="I158" s="8" t="n">
        <v>14530</v>
      </c>
      <c r="J158" s="8" t="n">
        <v>14650</v>
      </c>
      <c r="K158" s="8" t="n">
        <v>14460</v>
      </c>
      <c r="L158" s="8" t="n">
        <v>8208</v>
      </c>
      <c r="M158" s="8" t="n">
        <v>8266</v>
      </c>
      <c r="N158" s="9" t="inlineStr">
        <is>
          <t>否</t>
        </is>
      </c>
      <c r="O158" t="inlineStr">
        <is>
          <t>缺 PP</t>
        </is>
      </c>
    </row>
    <row r="159">
      <c r="A159" s="7" t="inlineStr">
        <is>
          <t>2008-03-18</t>
        </is>
      </c>
      <c r="B159" s="8" t="n"/>
      <c r="C159" s="8" t="n"/>
      <c r="D159" s="8" t="n"/>
      <c r="E159" s="8" t="n"/>
      <c r="F159" s="8" t="n"/>
      <c r="G159" s="8" t="n"/>
      <c r="H159" s="8" t="n">
        <v>14320</v>
      </c>
      <c r="I159" s="8" t="n">
        <v>14360</v>
      </c>
      <c r="J159" s="8" t="n">
        <v>14470</v>
      </c>
      <c r="K159" s="8" t="n">
        <v>14260</v>
      </c>
      <c r="L159" s="8" t="n">
        <v>12012</v>
      </c>
      <c r="M159" s="8" t="n">
        <v>6282</v>
      </c>
      <c r="N159" s="9" t="inlineStr">
        <is>
          <t>否</t>
        </is>
      </c>
      <c r="O159" t="inlineStr">
        <is>
          <t>缺 PP</t>
        </is>
      </c>
    </row>
    <row r="160">
      <c r="A160" s="7" t="inlineStr">
        <is>
          <t>2008-03-19</t>
        </is>
      </c>
      <c r="B160" s="8" t="n"/>
      <c r="C160" s="8" t="n"/>
      <c r="D160" s="8" t="n"/>
      <c r="E160" s="8" t="n"/>
      <c r="F160" s="8" t="n"/>
      <c r="G160" s="8" t="n"/>
      <c r="H160" s="8" t="n">
        <v>14320</v>
      </c>
      <c r="I160" s="8" t="n">
        <v>14410</v>
      </c>
      <c r="J160" s="8" t="n">
        <v>14410</v>
      </c>
      <c r="K160" s="8" t="n">
        <v>14295</v>
      </c>
      <c r="L160" s="8" t="n">
        <v>4020</v>
      </c>
      <c r="M160" s="8" t="n">
        <v>6064</v>
      </c>
      <c r="N160" s="9" t="inlineStr">
        <is>
          <t>否</t>
        </is>
      </c>
      <c r="O160" t="inlineStr">
        <is>
          <t>缺 PP</t>
        </is>
      </c>
    </row>
    <row r="161">
      <c r="A161" s="7" t="inlineStr">
        <is>
          <t>2008-03-20</t>
        </is>
      </c>
      <c r="B161" s="8" t="n"/>
      <c r="C161" s="8" t="n"/>
      <c r="D161" s="8" t="n"/>
      <c r="E161" s="8" t="n"/>
      <c r="F161" s="8" t="n"/>
      <c r="G161" s="8" t="n"/>
      <c r="H161" s="8" t="n">
        <v>14065</v>
      </c>
      <c r="I161" s="8" t="n">
        <v>14080</v>
      </c>
      <c r="J161" s="8" t="n">
        <v>14150</v>
      </c>
      <c r="K161" s="8" t="n">
        <v>13860</v>
      </c>
      <c r="L161" s="8" t="n">
        <v>4996</v>
      </c>
      <c r="M161" s="8" t="n">
        <v>5104</v>
      </c>
      <c r="N161" s="9" t="inlineStr">
        <is>
          <t>否</t>
        </is>
      </c>
      <c r="O161" t="inlineStr">
        <is>
          <t>缺 PP</t>
        </is>
      </c>
    </row>
    <row r="162">
      <c r="A162" s="7" t="inlineStr">
        <is>
          <t>2008-03-21</t>
        </is>
      </c>
      <c r="B162" s="8" t="n"/>
      <c r="C162" s="8" t="n"/>
      <c r="D162" s="8" t="n"/>
      <c r="E162" s="8" t="n"/>
      <c r="F162" s="8" t="n"/>
      <c r="G162" s="8" t="n"/>
      <c r="H162" s="8" t="n">
        <v>13905</v>
      </c>
      <c r="I162" s="8" t="n">
        <v>14055</v>
      </c>
      <c r="J162" s="8" t="n">
        <v>14150</v>
      </c>
      <c r="K162" s="8" t="n">
        <v>13905</v>
      </c>
      <c r="L162" s="8" t="n">
        <v>4062</v>
      </c>
      <c r="M162" s="8" t="n">
        <v>4178</v>
      </c>
      <c r="N162" s="9" t="inlineStr">
        <is>
          <t>否</t>
        </is>
      </c>
      <c r="O162" t="inlineStr">
        <is>
          <t>缺 PP</t>
        </is>
      </c>
    </row>
    <row r="163">
      <c r="A163" s="7" t="inlineStr">
        <is>
          <t>2008-03-24</t>
        </is>
      </c>
      <c r="B163" s="8" t="n"/>
      <c r="C163" s="8" t="n"/>
      <c r="D163" s="8" t="n"/>
      <c r="E163" s="8" t="n"/>
      <c r="F163" s="8" t="n"/>
      <c r="G163" s="8" t="n"/>
      <c r="H163" s="8" t="n">
        <v>13770</v>
      </c>
      <c r="I163" s="8" t="n">
        <v>13900</v>
      </c>
      <c r="J163" s="8" t="n">
        <v>13900</v>
      </c>
      <c r="K163" s="8" t="n">
        <v>13720</v>
      </c>
      <c r="L163" s="8" t="n">
        <v>3926</v>
      </c>
      <c r="M163" s="8" t="n">
        <v>3784</v>
      </c>
      <c r="N163" s="9" t="inlineStr">
        <is>
          <t>否</t>
        </is>
      </c>
      <c r="O163" t="inlineStr">
        <is>
          <t>缺 PP</t>
        </is>
      </c>
    </row>
    <row r="164">
      <c r="A164" s="7" t="inlineStr">
        <is>
          <t>2008-03-25</t>
        </is>
      </c>
      <c r="B164" s="8" t="n"/>
      <c r="C164" s="8" t="n"/>
      <c r="D164" s="8" t="n"/>
      <c r="E164" s="8" t="n"/>
      <c r="F164" s="8" t="n"/>
      <c r="G164" s="8" t="n"/>
      <c r="H164" s="8" t="n">
        <v>13815</v>
      </c>
      <c r="I164" s="8" t="n">
        <v>13750</v>
      </c>
      <c r="J164" s="8" t="n">
        <v>13850</v>
      </c>
      <c r="K164" s="8" t="n">
        <v>13750</v>
      </c>
      <c r="L164" s="8" t="n">
        <v>2296</v>
      </c>
      <c r="M164" s="8" t="n">
        <v>3256</v>
      </c>
      <c r="N164" s="9" t="inlineStr">
        <is>
          <t>否</t>
        </is>
      </c>
      <c r="O164" t="inlineStr">
        <is>
          <t>缺 PP</t>
        </is>
      </c>
    </row>
    <row r="165">
      <c r="A165" s="7" t="inlineStr">
        <is>
          <t>2008-03-26</t>
        </is>
      </c>
      <c r="B165" s="8" t="n"/>
      <c r="C165" s="8" t="n"/>
      <c r="D165" s="8" t="n"/>
      <c r="E165" s="8" t="n"/>
      <c r="F165" s="8" t="n"/>
      <c r="G165" s="8" t="n"/>
      <c r="H165" s="8" t="n">
        <v>13775</v>
      </c>
      <c r="I165" s="8" t="n">
        <v>13840</v>
      </c>
      <c r="J165" s="8" t="n">
        <v>13885</v>
      </c>
      <c r="K165" s="8" t="n">
        <v>13765</v>
      </c>
      <c r="L165" s="8" t="n">
        <v>1208</v>
      </c>
      <c r="M165" s="8" t="n">
        <v>2738</v>
      </c>
      <c r="N165" s="9" t="inlineStr">
        <is>
          <t>否</t>
        </is>
      </c>
      <c r="O165" t="inlineStr">
        <is>
          <t>缺 PP</t>
        </is>
      </c>
    </row>
    <row r="166">
      <c r="A166" s="7" t="inlineStr">
        <is>
          <t>2008-03-27</t>
        </is>
      </c>
      <c r="B166" s="8" t="n"/>
      <c r="C166" s="8" t="n"/>
      <c r="D166" s="8" t="n"/>
      <c r="E166" s="8" t="n"/>
      <c r="F166" s="8" t="n"/>
      <c r="G166" s="8" t="n"/>
      <c r="H166" s="8" t="n">
        <v>13800</v>
      </c>
      <c r="I166" s="8" t="n">
        <v>13900</v>
      </c>
      <c r="J166" s="8" t="n">
        <v>13900</v>
      </c>
      <c r="K166" s="8" t="n">
        <v>13790</v>
      </c>
      <c r="L166" s="8" t="n">
        <v>1374</v>
      </c>
      <c r="M166" s="8" t="n">
        <v>2432</v>
      </c>
      <c r="N166" s="9" t="inlineStr">
        <is>
          <t>否</t>
        </is>
      </c>
      <c r="O166" t="inlineStr">
        <is>
          <t>缺 PP</t>
        </is>
      </c>
    </row>
    <row r="167">
      <c r="A167" s="7" t="inlineStr">
        <is>
          <t>2008-03-28</t>
        </is>
      </c>
      <c r="B167" s="8" t="n"/>
      <c r="C167" s="8" t="n"/>
      <c r="D167" s="8" t="n"/>
      <c r="E167" s="8" t="n"/>
      <c r="F167" s="8" t="n"/>
      <c r="G167" s="8" t="n"/>
      <c r="H167" s="8" t="n">
        <v>13690</v>
      </c>
      <c r="I167" s="8" t="n">
        <v>13810</v>
      </c>
      <c r="J167" s="8" t="n">
        <v>13830</v>
      </c>
      <c r="K167" s="8" t="n">
        <v>13665</v>
      </c>
      <c r="L167" s="8" t="n">
        <v>1244</v>
      </c>
      <c r="M167" s="8" t="n">
        <v>2304</v>
      </c>
      <c r="N167" s="9" t="inlineStr">
        <is>
          <t>否</t>
        </is>
      </c>
      <c r="O167" t="inlineStr">
        <is>
          <t>缺 PP</t>
        </is>
      </c>
    </row>
    <row r="168">
      <c r="A168" s="7" t="inlineStr">
        <is>
          <t>2008-03-31</t>
        </is>
      </c>
      <c r="B168" s="8" t="n"/>
      <c r="C168" s="8" t="n"/>
      <c r="D168" s="8" t="n"/>
      <c r="E168" s="8" t="n"/>
      <c r="F168" s="8" t="n"/>
      <c r="G168" s="8" t="n"/>
      <c r="H168" s="8" t="n">
        <v>13535</v>
      </c>
      <c r="I168" s="8" t="n">
        <v>13530</v>
      </c>
      <c r="J168" s="8" t="n">
        <v>13575</v>
      </c>
      <c r="K168" s="8" t="n">
        <v>13480</v>
      </c>
      <c r="L168" s="8" t="n">
        <v>826</v>
      </c>
      <c r="M168" s="8" t="n">
        <v>1518</v>
      </c>
      <c r="N168" s="9" t="inlineStr">
        <is>
          <t>否</t>
        </is>
      </c>
      <c r="O168" t="inlineStr">
        <is>
          <t>缺 PP</t>
        </is>
      </c>
    </row>
    <row r="169">
      <c r="A169" s="7" t="inlineStr">
        <is>
          <t>2008-04-01</t>
        </is>
      </c>
      <c r="B169" s="8" t="n"/>
      <c r="C169" s="8" t="n"/>
      <c r="D169" s="8" t="n"/>
      <c r="E169" s="8" t="n"/>
      <c r="F169" s="8" t="n"/>
      <c r="G169" s="8" t="n"/>
      <c r="H169" s="8" t="n">
        <v>13540</v>
      </c>
      <c r="I169" s="8" t="n">
        <v>13535</v>
      </c>
      <c r="J169" s="8" t="n">
        <v>13645</v>
      </c>
      <c r="K169" s="8" t="n">
        <v>13440</v>
      </c>
      <c r="L169" s="8" t="n">
        <v>1604</v>
      </c>
      <c r="M169" s="8" t="n">
        <v>2022</v>
      </c>
      <c r="N169" s="9" t="inlineStr">
        <is>
          <t>否</t>
        </is>
      </c>
      <c r="O169" t="inlineStr">
        <is>
          <t>缺 PP</t>
        </is>
      </c>
    </row>
    <row r="170">
      <c r="A170" s="7" t="inlineStr">
        <is>
          <t>2008-04-02</t>
        </is>
      </c>
      <c r="B170" s="8" t="n"/>
      <c r="C170" s="8" t="n"/>
      <c r="D170" s="8" t="n"/>
      <c r="E170" s="8" t="n"/>
      <c r="F170" s="8" t="n"/>
      <c r="G170" s="8" t="n"/>
      <c r="H170" s="8" t="n">
        <v>13620</v>
      </c>
      <c r="I170" s="8" t="n">
        <v>13650</v>
      </c>
      <c r="J170" s="8" t="n">
        <v>13650</v>
      </c>
      <c r="K170" s="8" t="n">
        <v>13530</v>
      </c>
      <c r="L170" s="8" t="n">
        <v>502</v>
      </c>
      <c r="M170" s="8" t="n">
        <v>1982</v>
      </c>
      <c r="N170" s="9" t="inlineStr">
        <is>
          <t>否</t>
        </is>
      </c>
      <c r="O170" t="inlineStr">
        <is>
          <t>缺 PP</t>
        </is>
      </c>
    </row>
    <row r="171">
      <c r="A171" s="7" t="inlineStr">
        <is>
          <t>2008-04-03</t>
        </is>
      </c>
      <c r="B171" s="8" t="n"/>
      <c r="C171" s="8" t="n"/>
      <c r="D171" s="8" t="n"/>
      <c r="E171" s="8" t="n"/>
      <c r="F171" s="8" t="n"/>
      <c r="G171" s="8" t="n"/>
      <c r="H171" s="8" t="n">
        <v>13590</v>
      </c>
      <c r="I171" s="8" t="n">
        <v>13620</v>
      </c>
      <c r="J171" s="8" t="n">
        <v>13650</v>
      </c>
      <c r="K171" s="8" t="n">
        <v>13585</v>
      </c>
      <c r="L171" s="8" t="n">
        <v>978</v>
      </c>
      <c r="M171" s="8" t="n">
        <v>1960</v>
      </c>
      <c r="N171" s="9" t="inlineStr">
        <is>
          <t>否</t>
        </is>
      </c>
      <c r="O171" t="inlineStr">
        <is>
          <t>缺 PP</t>
        </is>
      </c>
    </row>
    <row r="172">
      <c r="A172" s="7" t="inlineStr">
        <is>
          <t>2008-04-04</t>
        </is>
      </c>
      <c r="B172" s="8" t="n"/>
      <c r="C172" s="8" t="n"/>
      <c r="D172" s="8" t="n"/>
      <c r="E172" s="8" t="n"/>
      <c r="F172" s="8" t="n"/>
      <c r="G172" s="8" t="n"/>
      <c r="H172" s="8" t="n">
        <v>13590</v>
      </c>
      <c r="I172" s="8" t="n">
        <v>13620</v>
      </c>
      <c r="J172" s="8" t="n">
        <v>13650</v>
      </c>
      <c r="K172" s="8" t="n">
        <v>13585</v>
      </c>
      <c r="L172" s="8" t="n">
        <v>978</v>
      </c>
      <c r="M172" s="8" t="n">
        <v>1960</v>
      </c>
      <c r="N172" s="9" t="inlineStr">
        <is>
          <t>否</t>
        </is>
      </c>
      <c r="O172" t="inlineStr">
        <is>
          <t>缺 PP</t>
        </is>
      </c>
    </row>
    <row r="173">
      <c r="A173" s="7" t="inlineStr">
        <is>
          <t>2008-04-07</t>
        </is>
      </c>
      <c r="B173" s="8" t="n"/>
      <c r="C173" s="8" t="n"/>
      <c r="D173" s="8" t="n"/>
      <c r="E173" s="8" t="n"/>
      <c r="F173" s="8" t="n"/>
      <c r="G173" s="8" t="n"/>
      <c r="H173" s="8" t="n">
        <v>13585</v>
      </c>
      <c r="I173" s="8" t="n">
        <v>13610</v>
      </c>
      <c r="J173" s="8" t="n">
        <v>13610</v>
      </c>
      <c r="K173" s="8" t="n">
        <v>13580</v>
      </c>
      <c r="L173" s="8" t="n">
        <v>332</v>
      </c>
      <c r="M173" s="8" t="n">
        <v>1892</v>
      </c>
      <c r="N173" s="9" t="inlineStr">
        <is>
          <t>否</t>
        </is>
      </c>
      <c r="O173" t="inlineStr">
        <is>
          <t>缺 PP</t>
        </is>
      </c>
    </row>
    <row r="174">
      <c r="A174" s="7" t="inlineStr">
        <is>
          <t>2008-04-08</t>
        </is>
      </c>
      <c r="B174" s="8" t="n"/>
      <c r="C174" s="8" t="n"/>
      <c r="D174" s="8" t="n"/>
      <c r="E174" s="8" t="n"/>
      <c r="F174" s="8" t="n"/>
      <c r="G174" s="8" t="n"/>
      <c r="H174" s="8" t="n">
        <v>13610</v>
      </c>
      <c r="I174" s="8" t="n">
        <v>13620</v>
      </c>
      <c r="J174" s="8" t="n">
        <v>13680</v>
      </c>
      <c r="K174" s="8" t="n">
        <v>13590</v>
      </c>
      <c r="L174" s="8" t="n">
        <v>898</v>
      </c>
      <c r="M174" s="8" t="n">
        <v>2128</v>
      </c>
      <c r="N174" s="9" t="inlineStr">
        <is>
          <t>否</t>
        </is>
      </c>
      <c r="O174" t="inlineStr">
        <is>
          <t>缺 PP</t>
        </is>
      </c>
    </row>
    <row r="175">
      <c r="A175" s="7" t="inlineStr">
        <is>
          <t>2008-04-09</t>
        </is>
      </c>
      <c r="B175" s="8" t="n"/>
      <c r="C175" s="8" t="n"/>
      <c r="D175" s="8" t="n"/>
      <c r="E175" s="8" t="n"/>
      <c r="F175" s="8" t="n"/>
      <c r="G175" s="8" t="n"/>
      <c r="H175" s="8" t="n">
        <v>13610</v>
      </c>
      <c r="I175" s="8" t="n">
        <v>13610</v>
      </c>
      <c r="J175" s="8" t="n">
        <v>13640</v>
      </c>
      <c r="K175" s="8" t="n">
        <v>13600</v>
      </c>
      <c r="L175" s="8" t="n">
        <v>470</v>
      </c>
      <c r="M175" s="8" t="n">
        <v>2084</v>
      </c>
      <c r="N175" s="9" t="inlineStr">
        <is>
          <t>否</t>
        </is>
      </c>
      <c r="O175" t="inlineStr">
        <is>
          <t>缺 PP</t>
        </is>
      </c>
    </row>
    <row r="176">
      <c r="A176" s="7" t="inlineStr">
        <is>
          <t>2008-04-10</t>
        </is>
      </c>
      <c r="B176" s="8" t="n"/>
      <c r="C176" s="8" t="n"/>
      <c r="D176" s="8" t="n"/>
      <c r="E176" s="8" t="n"/>
      <c r="F176" s="8" t="n"/>
      <c r="G176" s="8" t="n"/>
      <c r="H176" s="8" t="n">
        <v>13690</v>
      </c>
      <c r="I176" s="8" t="n">
        <v>13660</v>
      </c>
      <c r="J176" s="8" t="n">
        <v>13730</v>
      </c>
      <c r="K176" s="8" t="n">
        <v>13625</v>
      </c>
      <c r="L176" s="8" t="n">
        <v>858</v>
      </c>
      <c r="M176" s="8" t="n">
        <v>2254</v>
      </c>
      <c r="N176" s="9" t="inlineStr">
        <is>
          <t>否</t>
        </is>
      </c>
      <c r="O176" t="inlineStr">
        <is>
          <t>缺 PP</t>
        </is>
      </c>
    </row>
    <row r="177">
      <c r="A177" s="7" t="inlineStr">
        <is>
          <t>2008-04-11</t>
        </is>
      </c>
      <c r="B177" s="8" t="n"/>
      <c r="C177" s="8" t="n"/>
      <c r="D177" s="8" t="n"/>
      <c r="E177" s="8" t="n"/>
      <c r="F177" s="8" t="n"/>
      <c r="G177" s="8" t="n"/>
      <c r="H177" s="8" t="n">
        <v>13665</v>
      </c>
      <c r="I177" s="8" t="n">
        <v>13665</v>
      </c>
      <c r="J177" s="8" t="n">
        <v>13685</v>
      </c>
      <c r="K177" s="8" t="n">
        <v>13640</v>
      </c>
      <c r="L177" s="8" t="n">
        <v>388</v>
      </c>
      <c r="M177" s="8" t="n">
        <v>2240</v>
      </c>
      <c r="N177" s="9" t="inlineStr">
        <is>
          <t>否</t>
        </is>
      </c>
      <c r="O177" t="inlineStr">
        <is>
          <t>缺 PP</t>
        </is>
      </c>
    </row>
    <row r="178">
      <c r="A178" s="7" t="inlineStr">
        <is>
          <t>2008-04-14</t>
        </is>
      </c>
      <c r="B178" s="8" t="n"/>
      <c r="C178" s="8" t="n"/>
      <c r="D178" s="8" t="n"/>
      <c r="E178" s="8" t="n"/>
      <c r="F178" s="8" t="n"/>
      <c r="G178" s="8" t="n"/>
      <c r="H178" s="8" t="n">
        <v>13690</v>
      </c>
      <c r="I178" s="8" t="n">
        <v>13615</v>
      </c>
      <c r="J178" s="8" t="n">
        <v>13700</v>
      </c>
      <c r="K178" s="8" t="n">
        <v>13615</v>
      </c>
      <c r="L178" s="8" t="n">
        <v>450</v>
      </c>
      <c r="M178" s="8" t="n">
        <v>2116</v>
      </c>
      <c r="N178" s="9" t="inlineStr">
        <is>
          <t>否</t>
        </is>
      </c>
      <c r="O178" t="inlineStr">
        <is>
          <t>缺 PP</t>
        </is>
      </c>
    </row>
    <row r="179">
      <c r="A179" s="7" t="inlineStr">
        <is>
          <t>2008-04-15</t>
        </is>
      </c>
      <c r="B179" s="8" t="n"/>
      <c r="C179" s="8" t="n"/>
      <c r="D179" s="8" t="n"/>
      <c r="E179" s="8" t="n"/>
      <c r="F179" s="8" t="n"/>
      <c r="G179" s="8" t="n"/>
      <c r="H179" s="8" t="n">
        <v>13890</v>
      </c>
      <c r="I179" s="8" t="n">
        <v>13700</v>
      </c>
      <c r="J179" s="8" t="n">
        <v>13910</v>
      </c>
      <c r="K179" s="8" t="n">
        <v>13700</v>
      </c>
      <c r="L179" s="8" t="n">
        <v>2466</v>
      </c>
      <c r="M179" s="8" t="n">
        <v>2364</v>
      </c>
      <c r="N179" s="9" t="inlineStr">
        <is>
          <t>否</t>
        </is>
      </c>
      <c r="O179" t="inlineStr">
        <is>
          <t>缺 PP</t>
        </is>
      </c>
    </row>
    <row r="180">
      <c r="A180" s="7" t="inlineStr">
        <is>
          <t>2008-04-16</t>
        </is>
      </c>
      <c r="B180" s="8" t="n"/>
      <c r="C180" s="8" t="n"/>
      <c r="D180" s="8" t="n"/>
      <c r="E180" s="8" t="n"/>
      <c r="F180" s="8" t="n"/>
      <c r="G180" s="8" t="n"/>
      <c r="H180" s="8" t="n">
        <v>14065</v>
      </c>
      <c r="I180" s="8" t="n">
        <v>13960</v>
      </c>
      <c r="J180" s="8" t="n">
        <v>14080</v>
      </c>
      <c r="K180" s="8" t="n">
        <v>13920</v>
      </c>
      <c r="L180" s="8" t="n">
        <v>2994</v>
      </c>
      <c r="M180" s="8" t="n">
        <v>2764</v>
      </c>
      <c r="N180" s="9" t="inlineStr">
        <is>
          <t>否</t>
        </is>
      </c>
      <c r="O180" t="inlineStr">
        <is>
          <t>缺 PP</t>
        </is>
      </c>
    </row>
    <row r="181">
      <c r="A181" s="7" t="inlineStr">
        <is>
          <t>2008-04-17</t>
        </is>
      </c>
      <c r="B181" s="8" t="n"/>
      <c r="C181" s="8" t="n"/>
      <c r="D181" s="8" t="n"/>
      <c r="E181" s="8" t="n"/>
      <c r="F181" s="8" t="n"/>
      <c r="G181" s="8" t="n"/>
      <c r="H181" s="8" t="n">
        <v>14090</v>
      </c>
      <c r="I181" s="8" t="n">
        <v>14080</v>
      </c>
      <c r="J181" s="8" t="n">
        <v>14130</v>
      </c>
      <c r="K181" s="8" t="n">
        <v>14025</v>
      </c>
      <c r="L181" s="8" t="n">
        <v>1634</v>
      </c>
      <c r="M181" s="8" t="n">
        <v>2788</v>
      </c>
      <c r="N181" s="9" t="inlineStr">
        <is>
          <t>否</t>
        </is>
      </c>
      <c r="O181" t="inlineStr">
        <is>
          <t>缺 PP</t>
        </is>
      </c>
    </row>
    <row r="182">
      <c r="A182" s="7" t="inlineStr">
        <is>
          <t>2008-04-18</t>
        </is>
      </c>
      <c r="B182" s="8" t="n"/>
      <c r="C182" s="8" t="n"/>
      <c r="D182" s="8" t="n"/>
      <c r="E182" s="8" t="n"/>
      <c r="F182" s="8" t="n"/>
      <c r="G182" s="8" t="n"/>
      <c r="H182" s="8" t="n">
        <v>14075</v>
      </c>
      <c r="I182" s="8" t="n">
        <v>14050</v>
      </c>
      <c r="J182" s="8" t="n">
        <v>14175</v>
      </c>
      <c r="K182" s="8" t="n">
        <v>14045</v>
      </c>
      <c r="L182" s="8" t="n">
        <v>1826</v>
      </c>
      <c r="M182" s="8" t="n">
        <v>3006</v>
      </c>
      <c r="N182" s="9" t="inlineStr">
        <is>
          <t>否</t>
        </is>
      </c>
      <c r="O182" t="inlineStr">
        <is>
          <t>缺 PP</t>
        </is>
      </c>
    </row>
    <row r="183">
      <c r="A183" s="7" t="inlineStr">
        <is>
          <t>2008-04-21</t>
        </is>
      </c>
      <c r="B183" s="8" t="n"/>
      <c r="C183" s="8" t="n"/>
      <c r="D183" s="8" t="n"/>
      <c r="E183" s="8" t="n"/>
      <c r="F183" s="8" t="n"/>
      <c r="G183" s="8" t="n"/>
      <c r="H183" s="8" t="n">
        <v>13980</v>
      </c>
      <c r="I183" s="8" t="n">
        <v>14100</v>
      </c>
      <c r="J183" s="8" t="n">
        <v>14120</v>
      </c>
      <c r="K183" s="8" t="n">
        <v>13965</v>
      </c>
      <c r="L183" s="8" t="n">
        <v>1500</v>
      </c>
      <c r="M183" s="8" t="n">
        <v>2806</v>
      </c>
      <c r="N183" s="9" t="inlineStr">
        <is>
          <t>否</t>
        </is>
      </c>
      <c r="O183" t="inlineStr">
        <is>
          <t>缺 PP</t>
        </is>
      </c>
    </row>
    <row r="184">
      <c r="A184" s="7" t="inlineStr">
        <is>
          <t>2008-04-22</t>
        </is>
      </c>
      <c r="B184" s="8" t="n"/>
      <c r="C184" s="8" t="n"/>
      <c r="D184" s="8" t="n"/>
      <c r="E184" s="8" t="n"/>
      <c r="F184" s="8" t="n"/>
      <c r="G184" s="8" t="n"/>
      <c r="H184" s="8" t="n">
        <v>14190</v>
      </c>
      <c r="I184" s="8" t="n">
        <v>13960</v>
      </c>
      <c r="J184" s="8" t="n">
        <v>14225</v>
      </c>
      <c r="K184" s="8" t="n">
        <v>13960</v>
      </c>
      <c r="L184" s="8" t="n">
        <v>3084</v>
      </c>
      <c r="M184" s="8" t="n">
        <v>3328</v>
      </c>
      <c r="N184" s="9" t="inlineStr">
        <is>
          <t>否</t>
        </is>
      </c>
      <c r="O184" t="inlineStr">
        <is>
          <t>缺 PP</t>
        </is>
      </c>
    </row>
    <row r="185">
      <c r="A185" s="7" t="inlineStr">
        <is>
          <t>2008-04-23</t>
        </is>
      </c>
      <c r="B185" s="8" t="n"/>
      <c r="C185" s="8" t="n"/>
      <c r="D185" s="8" t="n"/>
      <c r="E185" s="8" t="n"/>
      <c r="F185" s="8" t="n"/>
      <c r="G185" s="8" t="n"/>
      <c r="H185" s="8" t="n">
        <v>14275</v>
      </c>
      <c r="I185" s="8" t="n">
        <v>14280</v>
      </c>
      <c r="J185" s="8" t="n">
        <v>14340</v>
      </c>
      <c r="K185" s="8" t="n">
        <v>14210</v>
      </c>
      <c r="L185" s="8" t="n">
        <v>3024</v>
      </c>
      <c r="M185" s="8" t="n">
        <v>3376</v>
      </c>
      <c r="N185" s="9" t="inlineStr">
        <is>
          <t>否</t>
        </is>
      </c>
      <c r="O185" t="inlineStr">
        <is>
          <t>缺 PP</t>
        </is>
      </c>
    </row>
    <row r="186">
      <c r="A186" s="7" t="inlineStr">
        <is>
          <t>2008-04-24</t>
        </is>
      </c>
      <c r="B186" s="8" t="n"/>
      <c r="C186" s="8" t="n"/>
      <c r="D186" s="8" t="n"/>
      <c r="E186" s="8" t="n"/>
      <c r="F186" s="8" t="n"/>
      <c r="G186" s="8" t="n"/>
      <c r="H186" s="8" t="n">
        <v>14185</v>
      </c>
      <c r="I186" s="8" t="n">
        <v>14350</v>
      </c>
      <c r="J186" s="8" t="n">
        <v>14350</v>
      </c>
      <c r="K186" s="8" t="n">
        <v>14130</v>
      </c>
      <c r="L186" s="8" t="n">
        <v>1436</v>
      </c>
      <c r="M186" s="8" t="n">
        <v>3144</v>
      </c>
      <c r="N186" s="9" t="inlineStr">
        <is>
          <t>否</t>
        </is>
      </c>
      <c r="O186" t="inlineStr">
        <is>
          <t>缺 PP</t>
        </is>
      </c>
    </row>
    <row r="187">
      <c r="A187" s="7" t="inlineStr">
        <is>
          <t>2008-04-25</t>
        </is>
      </c>
      <c r="B187" s="8" t="n"/>
      <c r="C187" s="8" t="n"/>
      <c r="D187" s="8" t="n"/>
      <c r="E187" s="8" t="n"/>
      <c r="F187" s="8" t="n"/>
      <c r="G187" s="8" t="n"/>
      <c r="H187" s="8" t="n">
        <v>14085</v>
      </c>
      <c r="I187" s="8" t="n">
        <v>14150</v>
      </c>
      <c r="J187" s="8" t="n">
        <v>14185</v>
      </c>
      <c r="K187" s="8" t="n">
        <v>14060</v>
      </c>
      <c r="L187" s="8" t="n">
        <v>1408</v>
      </c>
      <c r="M187" s="8" t="n">
        <v>3208</v>
      </c>
      <c r="N187" s="9" t="inlineStr">
        <is>
          <t>否</t>
        </is>
      </c>
      <c r="O187" t="inlineStr">
        <is>
          <t>缺 PP</t>
        </is>
      </c>
    </row>
    <row r="188">
      <c r="A188" s="7" t="inlineStr">
        <is>
          <t>2008-04-28</t>
        </is>
      </c>
      <c r="B188" s="8" t="n"/>
      <c r="C188" s="8" t="n"/>
      <c r="D188" s="8" t="n"/>
      <c r="E188" s="8" t="n"/>
      <c r="F188" s="8" t="n"/>
      <c r="G188" s="8" t="n"/>
      <c r="H188" s="8" t="n">
        <v>14230</v>
      </c>
      <c r="I188" s="8" t="n">
        <v>14130</v>
      </c>
      <c r="J188" s="8" t="n">
        <v>14250</v>
      </c>
      <c r="K188" s="8" t="n">
        <v>14125</v>
      </c>
      <c r="L188" s="8" t="n">
        <v>1570</v>
      </c>
      <c r="M188" s="8" t="n">
        <v>3392</v>
      </c>
      <c r="N188" s="9" t="inlineStr">
        <is>
          <t>否</t>
        </is>
      </c>
      <c r="O188" t="inlineStr">
        <is>
          <t>缺 PP</t>
        </is>
      </c>
    </row>
    <row r="189">
      <c r="A189" s="7" t="inlineStr">
        <is>
          <t>2008-04-29</t>
        </is>
      </c>
      <c r="B189" s="8" t="n"/>
      <c r="C189" s="8" t="n"/>
      <c r="D189" s="8" t="n"/>
      <c r="E189" s="8" t="n"/>
      <c r="F189" s="8" t="n"/>
      <c r="G189" s="8" t="n"/>
      <c r="H189" s="8" t="n">
        <v>14135</v>
      </c>
      <c r="I189" s="8" t="n">
        <v>14200</v>
      </c>
      <c r="J189" s="8" t="n">
        <v>14225</v>
      </c>
      <c r="K189" s="8" t="n">
        <v>14105</v>
      </c>
      <c r="L189" s="8" t="n">
        <v>1192</v>
      </c>
      <c r="M189" s="8" t="n">
        <v>3216</v>
      </c>
      <c r="N189" s="9" t="inlineStr">
        <is>
          <t>否</t>
        </is>
      </c>
      <c r="O189" t="inlineStr">
        <is>
          <t>缺 PP</t>
        </is>
      </c>
    </row>
    <row r="190">
      <c r="A190" s="7" t="inlineStr">
        <is>
          <t>2008-04-30</t>
        </is>
      </c>
      <c r="B190" s="8" t="n"/>
      <c r="C190" s="8" t="n"/>
      <c r="D190" s="8" t="n"/>
      <c r="E190" s="8" t="n"/>
      <c r="F190" s="8" t="n"/>
      <c r="G190" s="8" t="n"/>
      <c r="H190" s="8" t="n">
        <v>14200</v>
      </c>
      <c r="I190" s="8" t="n">
        <v>14080</v>
      </c>
      <c r="J190" s="8" t="n">
        <v>14200</v>
      </c>
      <c r="K190" s="8" t="n">
        <v>14005</v>
      </c>
      <c r="L190" s="8" t="n">
        <v>1884</v>
      </c>
      <c r="M190" s="8" t="n">
        <v>3334</v>
      </c>
      <c r="N190" s="9" t="inlineStr">
        <is>
          <t>否</t>
        </is>
      </c>
      <c r="O190" t="inlineStr">
        <is>
          <t>缺 PP</t>
        </is>
      </c>
    </row>
    <row r="191">
      <c r="A191" s="7" t="inlineStr">
        <is>
          <t>2008-05-01</t>
        </is>
      </c>
      <c r="B191" s="8" t="n"/>
      <c r="C191" s="8" t="n"/>
      <c r="D191" s="8" t="n"/>
      <c r="E191" s="8" t="n"/>
      <c r="F191" s="8" t="n"/>
      <c r="G191" s="8" t="n"/>
      <c r="H191" s="8" t="n">
        <v>14200</v>
      </c>
      <c r="I191" s="8" t="n">
        <v>14080</v>
      </c>
      <c r="J191" s="8" t="n">
        <v>14200</v>
      </c>
      <c r="K191" s="8" t="n">
        <v>14005</v>
      </c>
      <c r="L191" s="8" t="n">
        <v>1884</v>
      </c>
      <c r="M191" s="8" t="n">
        <v>3334</v>
      </c>
      <c r="N191" s="9" t="inlineStr">
        <is>
          <t>否</t>
        </is>
      </c>
      <c r="O191" t="inlineStr">
        <is>
          <t>缺 PP</t>
        </is>
      </c>
    </row>
    <row r="192">
      <c r="A192" s="7" t="inlineStr">
        <is>
          <t>2008-05-02</t>
        </is>
      </c>
      <c r="B192" s="8" t="n"/>
      <c r="C192" s="8" t="n"/>
      <c r="D192" s="8" t="n"/>
      <c r="E192" s="8" t="n"/>
      <c r="F192" s="8" t="n"/>
      <c r="G192" s="8" t="n"/>
      <c r="H192" s="8" t="n">
        <v>14200</v>
      </c>
      <c r="I192" s="8" t="n">
        <v>14080</v>
      </c>
      <c r="J192" s="8" t="n">
        <v>14200</v>
      </c>
      <c r="K192" s="8" t="n">
        <v>14005</v>
      </c>
      <c r="L192" s="8" t="n">
        <v>1884</v>
      </c>
      <c r="M192" s="8" t="n">
        <v>3334</v>
      </c>
      <c r="N192" s="9" t="inlineStr">
        <is>
          <t>否</t>
        </is>
      </c>
      <c r="O192" t="inlineStr">
        <is>
          <t>缺 PP</t>
        </is>
      </c>
    </row>
    <row r="193">
      <c r="A193" s="7" t="inlineStr">
        <is>
          <t>2008-05-05</t>
        </is>
      </c>
      <c r="B193" s="8" t="n"/>
      <c r="C193" s="8" t="n"/>
      <c r="D193" s="8" t="n"/>
      <c r="E193" s="8" t="n"/>
      <c r="F193" s="8" t="n"/>
      <c r="G193" s="8" t="n"/>
      <c r="H193" s="8" t="n">
        <v>14465</v>
      </c>
      <c r="I193" s="8" t="n">
        <v>14230</v>
      </c>
      <c r="J193" s="8" t="n">
        <v>14480</v>
      </c>
      <c r="K193" s="8" t="n">
        <v>14230</v>
      </c>
      <c r="L193" s="8" t="n">
        <v>4374</v>
      </c>
      <c r="M193" s="8" t="n">
        <v>4124</v>
      </c>
      <c r="N193" s="9" t="inlineStr">
        <is>
          <t>否</t>
        </is>
      </c>
      <c r="O193" t="inlineStr">
        <is>
          <t>缺 PP</t>
        </is>
      </c>
    </row>
    <row r="194">
      <c r="A194" s="7" t="inlineStr">
        <is>
          <t>2008-05-06</t>
        </is>
      </c>
      <c r="B194" s="8" t="n"/>
      <c r="C194" s="8" t="n"/>
      <c r="D194" s="8" t="n"/>
      <c r="E194" s="8" t="n"/>
      <c r="F194" s="8" t="n"/>
      <c r="G194" s="8" t="n"/>
      <c r="H194" s="8" t="n">
        <v>14475</v>
      </c>
      <c r="I194" s="8" t="n">
        <v>14590</v>
      </c>
      <c r="J194" s="8" t="n">
        <v>14590</v>
      </c>
      <c r="K194" s="8" t="n">
        <v>14465</v>
      </c>
      <c r="L194" s="8" t="n">
        <v>3786</v>
      </c>
      <c r="M194" s="8" t="n">
        <v>4118</v>
      </c>
      <c r="N194" s="9" t="inlineStr">
        <is>
          <t>否</t>
        </is>
      </c>
      <c r="O194" t="inlineStr">
        <is>
          <t>缺 PP</t>
        </is>
      </c>
    </row>
    <row r="195">
      <c r="A195" s="7" t="inlineStr">
        <is>
          <t>2008-05-07</t>
        </is>
      </c>
      <c r="B195" s="8" t="n"/>
      <c r="C195" s="8" t="n"/>
      <c r="D195" s="8" t="n"/>
      <c r="E195" s="8" t="n"/>
      <c r="F195" s="8" t="n"/>
      <c r="G195" s="8" t="n"/>
      <c r="H195" s="8" t="n">
        <v>14465</v>
      </c>
      <c r="I195" s="8" t="n">
        <v>14515</v>
      </c>
      <c r="J195" s="8" t="n">
        <v>14560</v>
      </c>
      <c r="K195" s="8" t="n">
        <v>14410</v>
      </c>
      <c r="L195" s="8" t="n">
        <v>2862</v>
      </c>
      <c r="M195" s="8" t="n">
        <v>4034</v>
      </c>
      <c r="N195" s="9" t="inlineStr">
        <is>
          <t>否</t>
        </is>
      </c>
      <c r="O195" t="inlineStr">
        <is>
          <t>缺 PP</t>
        </is>
      </c>
    </row>
    <row r="196">
      <c r="A196" s="7" t="inlineStr">
        <is>
          <t>2008-05-08</t>
        </is>
      </c>
      <c r="B196" s="8" t="n"/>
      <c r="C196" s="8" t="n"/>
      <c r="D196" s="8" t="n"/>
      <c r="E196" s="8" t="n"/>
      <c r="F196" s="8" t="n"/>
      <c r="G196" s="8" t="n"/>
      <c r="H196" s="8" t="n">
        <v>14495</v>
      </c>
      <c r="I196" s="8" t="n">
        <v>14525</v>
      </c>
      <c r="J196" s="8" t="n">
        <v>14550</v>
      </c>
      <c r="K196" s="8" t="n">
        <v>14420</v>
      </c>
      <c r="L196" s="8" t="n">
        <v>4760</v>
      </c>
      <c r="M196" s="8" t="n">
        <v>4402</v>
      </c>
      <c r="N196" s="9" t="inlineStr">
        <is>
          <t>否</t>
        </is>
      </c>
      <c r="O196" t="inlineStr">
        <is>
          <t>缺 PP</t>
        </is>
      </c>
    </row>
    <row r="197">
      <c r="A197" s="7" t="inlineStr">
        <is>
          <t>2008-05-09</t>
        </is>
      </c>
      <c r="B197" s="8" t="n"/>
      <c r="C197" s="8" t="n"/>
      <c r="D197" s="8" t="n"/>
      <c r="E197" s="8" t="n"/>
      <c r="F197" s="8" t="n"/>
      <c r="G197" s="8" t="n"/>
      <c r="H197" s="8" t="n">
        <v>14395</v>
      </c>
      <c r="I197" s="8" t="n">
        <v>14510</v>
      </c>
      <c r="J197" s="8" t="n">
        <v>14510</v>
      </c>
      <c r="K197" s="8" t="n">
        <v>14335</v>
      </c>
      <c r="L197" s="8" t="n">
        <v>2730</v>
      </c>
      <c r="M197" s="8" t="n">
        <v>3954</v>
      </c>
      <c r="N197" s="9" t="inlineStr">
        <is>
          <t>否</t>
        </is>
      </c>
      <c r="O197" t="inlineStr">
        <is>
          <t>缺 PP</t>
        </is>
      </c>
    </row>
    <row r="198">
      <c r="A198" s="7" t="inlineStr">
        <is>
          <t>2008-05-12</t>
        </is>
      </c>
      <c r="B198" s="8" t="n"/>
      <c r="C198" s="8" t="n"/>
      <c r="D198" s="8" t="n"/>
      <c r="E198" s="8" t="n"/>
      <c r="F198" s="8" t="n"/>
      <c r="G198" s="8" t="n"/>
      <c r="H198" s="8" t="n">
        <v>14585</v>
      </c>
      <c r="I198" s="8" t="n">
        <v>14420</v>
      </c>
      <c r="J198" s="8" t="n">
        <v>14620</v>
      </c>
      <c r="K198" s="8" t="n">
        <v>14420</v>
      </c>
      <c r="L198" s="8" t="n">
        <v>3804</v>
      </c>
      <c r="M198" s="8" t="n">
        <v>4428</v>
      </c>
      <c r="N198" s="9" t="inlineStr">
        <is>
          <t>否</t>
        </is>
      </c>
      <c r="O198" t="inlineStr">
        <is>
          <t>缺 PP</t>
        </is>
      </c>
    </row>
    <row r="199">
      <c r="A199" s="7" t="inlineStr">
        <is>
          <t>2008-05-13</t>
        </is>
      </c>
      <c r="B199" s="8" t="n"/>
      <c r="C199" s="8" t="n"/>
      <c r="D199" s="8" t="n"/>
      <c r="E199" s="8" t="n"/>
      <c r="F199" s="8" t="n"/>
      <c r="G199" s="8" t="n"/>
      <c r="H199" s="8" t="n">
        <v>14475</v>
      </c>
      <c r="I199" s="8" t="n">
        <v>14550</v>
      </c>
      <c r="J199" s="8" t="n">
        <v>14550</v>
      </c>
      <c r="K199" s="8" t="n">
        <v>14460</v>
      </c>
      <c r="L199" s="8" t="n">
        <v>2548</v>
      </c>
      <c r="M199" s="8" t="n">
        <v>4450</v>
      </c>
      <c r="N199" s="9" t="inlineStr">
        <is>
          <t>否</t>
        </is>
      </c>
      <c r="O199" t="inlineStr">
        <is>
          <t>缺 PP</t>
        </is>
      </c>
    </row>
    <row r="200">
      <c r="A200" s="7" t="inlineStr">
        <is>
          <t>2008-05-14</t>
        </is>
      </c>
      <c r="B200" s="8" t="n"/>
      <c r="C200" s="8" t="n"/>
      <c r="D200" s="8" t="n"/>
      <c r="E200" s="8" t="n"/>
      <c r="F200" s="8" t="n"/>
      <c r="G200" s="8" t="n"/>
      <c r="H200" s="8" t="n">
        <v>14665</v>
      </c>
      <c r="I200" s="8" t="n">
        <v>14525</v>
      </c>
      <c r="J200" s="8" t="n">
        <v>14680</v>
      </c>
      <c r="K200" s="8" t="n">
        <v>14520</v>
      </c>
      <c r="L200" s="8" t="n">
        <v>2876</v>
      </c>
      <c r="M200" s="8" t="n">
        <v>5056</v>
      </c>
      <c r="N200" s="9" t="inlineStr">
        <is>
          <t>否</t>
        </is>
      </c>
      <c r="O200" t="inlineStr">
        <is>
          <t>缺 PP</t>
        </is>
      </c>
    </row>
    <row r="201">
      <c r="A201" s="7" t="inlineStr">
        <is>
          <t>2008-05-15</t>
        </is>
      </c>
      <c r="B201" s="8" t="n"/>
      <c r="C201" s="8" t="n"/>
      <c r="D201" s="8" t="n"/>
      <c r="E201" s="8" t="n"/>
      <c r="F201" s="8" t="n"/>
      <c r="G201" s="8" t="n"/>
      <c r="H201" s="8" t="n">
        <v>14590</v>
      </c>
      <c r="I201" s="8" t="n">
        <v>14580</v>
      </c>
      <c r="J201" s="8" t="n">
        <v>14615</v>
      </c>
      <c r="K201" s="8" t="n">
        <v>14535</v>
      </c>
      <c r="L201" s="8" t="n">
        <v>2094</v>
      </c>
      <c r="M201" s="8" t="n">
        <v>4930</v>
      </c>
      <c r="N201" s="9" t="inlineStr">
        <is>
          <t>否</t>
        </is>
      </c>
      <c r="O201" t="inlineStr">
        <is>
          <t>缺 PP</t>
        </is>
      </c>
    </row>
    <row r="202">
      <c r="A202" s="7" t="inlineStr">
        <is>
          <t>2008-05-16</t>
        </is>
      </c>
      <c r="B202" s="8" t="n"/>
      <c r="C202" s="8" t="n"/>
      <c r="D202" s="8" t="n"/>
      <c r="E202" s="8" t="n"/>
      <c r="F202" s="8" t="n"/>
      <c r="G202" s="8" t="n"/>
      <c r="H202" s="8" t="n">
        <v>14585</v>
      </c>
      <c r="I202" s="8" t="n">
        <v>14605</v>
      </c>
      <c r="J202" s="8" t="n">
        <v>14690</v>
      </c>
      <c r="K202" s="8" t="n">
        <v>14580</v>
      </c>
      <c r="L202" s="8" t="n">
        <v>2556</v>
      </c>
      <c r="M202" s="8" t="n">
        <v>5246</v>
      </c>
      <c r="N202" s="9" t="inlineStr">
        <is>
          <t>否</t>
        </is>
      </c>
      <c r="O202" t="inlineStr">
        <is>
          <t>缺 PP</t>
        </is>
      </c>
    </row>
    <row r="203">
      <c r="A203" s="7" t="inlineStr">
        <is>
          <t>2008-05-19</t>
        </is>
      </c>
      <c r="B203" s="8" t="n"/>
      <c r="C203" s="8" t="n"/>
      <c r="D203" s="8" t="n"/>
      <c r="E203" s="8" t="n"/>
      <c r="F203" s="8" t="n"/>
      <c r="G203" s="8" t="n"/>
      <c r="H203" s="8" t="n">
        <v>14490</v>
      </c>
      <c r="I203" s="8" t="n">
        <v>14650</v>
      </c>
      <c r="J203" s="8" t="n">
        <v>14715</v>
      </c>
      <c r="K203" s="8" t="n">
        <v>14430</v>
      </c>
      <c r="L203" s="8" t="n">
        <v>2912</v>
      </c>
      <c r="M203" s="8" t="n">
        <v>4868</v>
      </c>
      <c r="N203" s="9" t="inlineStr">
        <is>
          <t>否</t>
        </is>
      </c>
      <c r="O203" t="inlineStr">
        <is>
          <t>缺 PP</t>
        </is>
      </c>
    </row>
    <row r="204">
      <c r="A204" s="7" t="inlineStr">
        <is>
          <t>2008-05-20</t>
        </is>
      </c>
      <c r="B204" s="8" t="n"/>
      <c r="C204" s="8" t="n"/>
      <c r="D204" s="8" t="n"/>
      <c r="E204" s="8" t="n"/>
      <c r="F204" s="8" t="n"/>
      <c r="G204" s="8" t="n"/>
      <c r="H204" s="8" t="n">
        <v>14260</v>
      </c>
      <c r="I204" s="8" t="n">
        <v>14480</v>
      </c>
      <c r="J204" s="8" t="n">
        <v>14490</v>
      </c>
      <c r="K204" s="8" t="n">
        <v>14260</v>
      </c>
      <c r="L204" s="8" t="n">
        <v>4048</v>
      </c>
      <c r="M204" s="8" t="n">
        <v>4248</v>
      </c>
      <c r="N204" s="9" t="inlineStr">
        <is>
          <t>否</t>
        </is>
      </c>
      <c r="O204" t="inlineStr">
        <is>
          <t>缺 PP</t>
        </is>
      </c>
    </row>
    <row r="205">
      <c r="A205" s="7" t="inlineStr">
        <is>
          <t>2008-05-21</t>
        </is>
      </c>
      <c r="B205" s="8" t="n"/>
      <c r="C205" s="8" t="n"/>
      <c r="D205" s="8" t="n"/>
      <c r="E205" s="8" t="n"/>
      <c r="F205" s="8" t="n"/>
      <c r="G205" s="8" t="n"/>
      <c r="H205" s="8" t="n">
        <v>14405</v>
      </c>
      <c r="I205" s="8" t="n">
        <v>14170</v>
      </c>
      <c r="J205" s="8" t="n">
        <v>14450</v>
      </c>
      <c r="K205" s="8" t="n">
        <v>14170</v>
      </c>
      <c r="L205" s="8" t="n">
        <v>4100</v>
      </c>
      <c r="M205" s="8" t="n">
        <v>4034</v>
      </c>
      <c r="N205" s="9" t="inlineStr">
        <is>
          <t>否</t>
        </is>
      </c>
      <c r="O205" t="inlineStr">
        <is>
          <t>缺 PP</t>
        </is>
      </c>
    </row>
    <row r="206">
      <c r="A206" s="7" t="inlineStr">
        <is>
          <t>2008-05-22</t>
        </is>
      </c>
      <c r="B206" s="8" t="n"/>
      <c r="C206" s="8" t="n"/>
      <c r="D206" s="8" t="n"/>
      <c r="E206" s="8" t="n"/>
      <c r="F206" s="8" t="n"/>
      <c r="G206" s="8" t="n"/>
      <c r="H206" s="8" t="n">
        <v>14550</v>
      </c>
      <c r="I206" s="8" t="n">
        <v>14680</v>
      </c>
      <c r="J206" s="8" t="n">
        <v>14680</v>
      </c>
      <c r="K206" s="8" t="n">
        <v>14455</v>
      </c>
      <c r="L206" s="8" t="n">
        <v>3570</v>
      </c>
      <c r="M206" s="8" t="n">
        <v>4024</v>
      </c>
      <c r="N206" s="9" t="inlineStr">
        <is>
          <t>否</t>
        </is>
      </c>
      <c r="O206" t="inlineStr">
        <is>
          <t>缺 PP</t>
        </is>
      </c>
    </row>
    <row r="207">
      <c r="A207" s="7" t="inlineStr">
        <is>
          <t>2008-05-23</t>
        </is>
      </c>
      <c r="B207" s="8" t="n"/>
      <c r="C207" s="8" t="n"/>
      <c r="D207" s="8" t="n"/>
      <c r="E207" s="8" t="n"/>
      <c r="F207" s="8" t="n"/>
      <c r="G207" s="8" t="n"/>
      <c r="H207" s="8" t="n">
        <v>14435</v>
      </c>
      <c r="I207" s="8" t="n">
        <v>14430</v>
      </c>
      <c r="J207" s="8" t="n">
        <v>14480</v>
      </c>
      <c r="K207" s="8" t="n">
        <v>14360</v>
      </c>
      <c r="L207" s="8" t="n">
        <v>3050</v>
      </c>
      <c r="M207" s="8" t="n">
        <v>3782</v>
      </c>
      <c r="N207" s="9" t="inlineStr">
        <is>
          <t>否</t>
        </is>
      </c>
      <c r="O207" t="inlineStr">
        <is>
          <t>缺 PP</t>
        </is>
      </c>
    </row>
    <row r="208">
      <c r="A208" s="7" t="inlineStr">
        <is>
          <t>2008-05-26</t>
        </is>
      </c>
      <c r="B208" s="8" t="n"/>
      <c r="C208" s="8" t="n"/>
      <c r="D208" s="8" t="n"/>
      <c r="E208" s="8" t="n"/>
      <c r="F208" s="8" t="n"/>
      <c r="G208" s="8" t="n"/>
      <c r="H208" s="8" t="n">
        <v>14620</v>
      </c>
      <c r="I208" s="8" t="n">
        <v>14500</v>
      </c>
      <c r="J208" s="8" t="n">
        <v>14630</v>
      </c>
      <c r="K208" s="8" t="n">
        <v>14485</v>
      </c>
      <c r="L208" s="8" t="n">
        <v>3126</v>
      </c>
      <c r="M208" s="8" t="n">
        <v>3980</v>
      </c>
      <c r="N208" s="9" t="inlineStr">
        <is>
          <t>否</t>
        </is>
      </c>
      <c r="O208" t="inlineStr">
        <is>
          <t>缺 PP</t>
        </is>
      </c>
    </row>
    <row r="209">
      <c r="A209" s="7" t="inlineStr">
        <is>
          <t>2008-05-27</t>
        </is>
      </c>
      <c r="B209" s="8" t="n"/>
      <c r="C209" s="8" t="n"/>
      <c r="D209" s="8" t="n"/>
      <c r="E209" s="8" t="n"/>
      <c r="F209" s="8" t="n"/>
      <c r="G209" s="8" t="n"/>
      <c r="H209" s="8" t="n">
        <v>14870</v>
      </c>
      <c r="I209" s="8" t="n">
        <v>14660</v>
      </c>
      <c r="J209" s="8" t="n">
        <v>15005</v>
      </c>
      <c r="K209" s="8" t="n">
        <v>14625</v>
      </c>
      <c r="L209" s="8" t="n">
        <v>13444</v>
      </c>
      <c r="M209" s="8" t="n">
        <v>6552</v>
      </c>
      <c r="N209" s="9" t="inlineStr">
        <is>
          <t>否</t>
        </is>
      </c>
      <c r="O209" t="inlineStr">
        <is>
          <t>缺 PP</t>
        </is>
      </c>
    </row>
    <row r="210">
      <c r="A210" s="7" t="inlineStr">
        <is>
          <t>2008-05-28</t>
        </is>
      </c>
      <c r="B210" s="8" t="n"/>
      <c r="C210" s="8" t="n"/>
      <c r="D210" s="8" t="n"/>
      <c r="E210" s="8" t="n"/>
      <c r="F210" s="8" t="n"/>
      <c r="G210" s="8" t="n"/>
      <c r="H210" s="8" t="n">
        <v>15125</v>
      </c>
      <c r="I210" s="8" t="n">
        <v>14800</v>
      </c>
      <c r="J210" s="8" t="n">
        <v>15175</v>
      </c>
      <c r="K210" s="8" t="n">
        <v>14765</v>
      </c>
      <c r="L210" s="8" t="n">
        <v>22552</v>
      </c>
      <c r="M210" s="8" t="n">
        <v>9548</v>
      </c>
      <c r="N210" s="9" t="inlineStr">
        <is>
          <t>否</t>
        </is>
      </c>
      <c r="O210" t="inlineStr">
        <is>
          <t>缺 PP</t>
        </is>
      </c>
    </row>
    <row r="211">
      <c r="A211" s="7" t="inlineStr">
        <is>
          <t>2008-05-29</t>
        </is>
      </c>
      <c r="B211" s="8" t="n"/>
      <c r="C211" s="8" t="n"/>
      <c r="D211" s="8" t="n"/>
      <c r="E211" s="8" t="n"/>
      <c r="F211" s="8" t="n"/>
      <c r="G211" s="8" t="n"/>
      <c r="H211" s="8" t="n">
        <v>15075</v>
      </c>
      <c r="I211" s="8" t="n">
        <v>15160</v>
      </c>
      <c r="J211" s="8" t="n">
        <v>15295</v>
      </c>
      <c r="K211" s="8" t="n">
        <v>15055</v>
      </c>
      <c r="L211" s="8" t="n">
        <v>16014</v>
      </c>
      <c r="M211" s="8" t="n">
        <v>9102</v>
      </c>
      <c r="N211" s="9" t="inlineStr">
        <is>
          <t>否</t>
        </is>
      </c>
      <c r="O211" t="inlineStr">
        <is>
          <t>缺 PP</t>
        </is>
      </c>
    </row>
    <row r="212">
      <c r="A212" s="7" t="inlineStr">
        <is>
          <t>2008-05-30</t>
        </is>
      </c>
      <c r="B212" s="8" t="n"/>
      <c r="C212" s="8" t="n"/>
      <c r="D212" s="8" t="n"/>
      <c r="E212" s="8" t="n"/>
      <c r="F212" s="8" t="n"/>
      <c r="G212" s="8" t="n"/>
      <c r="H212" s="8" t="n">
        <v>15000</v>
      </c>
      <c r="I212" s="8" t="n">
        <v>14950</v>
      </c>
      <c r="J212" s="8" t="n">
        <v>15110</v>
      </c>
      <c r="K212" s="8" t="n">
        <v>14900</v>
      </c>
      <c r="L212" s="8" t="n">
        <v>9544</v>
      </c>
      <c r="M212" s="8" t="n">
        <v>8058</v>
      </c>
      <c r="N212" s="9" t="inlineStr">
        <is>
          <t>否</t>
        </is>
      </c>
      <c r="O212" t="inlineStr">
        <is>
          <t>缺 PP</t>
        </is>
      </c>
    </row>
    <row r="213">
      <c r="A213" s="7" t="inlineStr">
        <is>
          <t>2008-06-02</t>
        </is>
      </c>
      <c r="B213" s="8" t="n"/>
      <c r="C213" s="8" t="n"/>
      <c r="D213" s="8" t="n"/>
      <c r="E213" s="8" t="n"/>
      <c r="F213" s="8" t="n"/>
      <c r="G213" s="8" t="n"/>
      <c r="H213" s="8" t="n">
        <v>15620</v>
      </c>
      <c r="I213" s="8" t="n">
        <v>15030</v>
      </c>
      <c r="J213" s="8" t="n">
        <v>15620</v>
      </c>
      <c r="K213" s="8" t="n">
        <v>15020</v>
      </c>
      <c r="L213" s="8" t="n">
        <v>15226</v>
      </c>
      <c r="M213" s="8" t="n">
        <v>11868</v>
      </c>
      <c r="N213" s="9" t="inlineStr">
        <is>
          <t>否</t>
        </is>
      </c>
      <c r="O213" t="inlineStr">
        <is>
          <t>缺 PP</t>
        </is>
      </c>
    </row>
    <row r="214">
      <c r="A214" s="7" t="inlineStr">
        <is>
          <t>2008-06-03</t>
        </is>
      </c>
      <c r="B214" s="8" t="n"/>
      <c r="C214" s="8" t="n"/>
      <c r="D214" s="8" t="n"/>
      <c r="E214" s="8" t="n"/>
      <c r="F214" s="8" t="n"/>
      <c r="G214" s="8" t="n"/>
      <c r="H214" s="8" t="n">
        <v>15865</v>
      </c>
      <c r="I214" s="8" t="n">
        <v>15880</v>
      </c>
      <c r="J214" s="8" t="n">
        <v>15980</v>
      </c>
      <c r="K214" s="8" t="n">
        <v>15655</v>
      </c>
      <c r="L214" s="8" t="n">
        <v>28550</v>
      </c>
      <c r="M214" s="8" t="n">
        <v>12730</v>
      </c>
      <c r="N214" s="9" t="inlineStr">
        <is>
          <t>否</t>
        </is>
      </c>
      <c r="O214" t="inlineStr">
        <is>
          <t>缺 PP</t>
        </is>
      </c>
    </row>
    <row r="215">
      <c r="A215" s="7" t="inlineStr">
        <is>
          <t>2008-06-04</t>
        </is>
      </c>
      <c r="B215" s="8" t="n"/>
      <c r="C215" s="8" t="n"/>
      <c r="D215" s="8" t="n"/>
      <c r="E215" s="8" t="n"/>
      <c r="F215" s="8" t="n"/>
      <c r="G215" s="8" t="n"/>
      <c r="H215" s="8" t="n">
        <v>16410</v>
      </c>
      <c r="I215" s="8" t="n">
        <v>15830</v>
      </c>
      <c r="J215" s="8" t="n">
        <v>16460</v>
      </c>
      <c r="K215" s="8" t="n">
        <v>15830</v>
      </c>
      <c r="L215" s="8" t="n">
        <v>72078</v>
      </c>
      <c r="M215" s="8" t="n">
        <v>16610</v>
      </c>
      <c r="N215" s="9" t="inlineStr">
        <is>
          <t>否</t>
        </is>
      </c>
      <c r="O215" t="inlineStr">
        <is>
          <t>缺 PP</t>
        </is>
      </c>
    </row>
    <row r="216">
      <c r="A216" s="7" t="inlineStr">
        <is>
          <t>2008-06-05</t>
        </is>
      </c>
      <c r="B216" s="8" t="n"/>
      <c r="C216" s="8" t="n"/>
      <c r="D216" s="8" t="n"/>
      <c r="E216" s="8" t="n"/>
      <c r="F216" s="8" t="n"/>
      <c r="G216" s="8" t="n"/>
      <c r="H216" s="8" t="n">
        <v>16340</v>
      </c>
      <c r="I216" s="8" t="n">
        <v>16500</v>
      </c>
      <c r="J216" s="8" t="n">
        <v>16575</v>
      </c>
      <c r="K216" s="8" t="n">
        <v>16130</v>
      </c>
      <c r="L216" s="8" t="n">
        <v>102756</v>
      </c>
      <c r="M216" s="8" t="n">
        <v>19408</v>
      </c>
      <c r="N216" s="9" t="inlineStr">
        <is>
          <t>否</t>
        </is>
      </c>
      <c r="O216" t="inlineStr">
        <is>
          <t>缺 PP</t>
        </is>
      </c>
    </row>
    <row r="217">
      <c r="A217" s="7" t="inlineStr">
        <is>
          <t>2008-06-06</t>
        </is>
      </c>
      <c r="B217" s="8" t="n"/>
      <c r="C217" s="8" t="n"/>
      <c r="D217" s="8" t="n"/>
      <c r="E217" s="8" t="n"/>
      <c r="F217" s="8" t="n"/>
      <c r="G217" s="8" t="n"/>
      <c r="H217" s="8" t="n">
        <v>16085</v>
      </c>
      <c r="I217" s="8" t="n">
        <v>16570</v>
      </c>
      <c r="J217" s="8" t="n">
        <v>16780</v>
      </c>
      <c r="K217" s="8" t="n">
        <v>16050</v>
      </c>
      <c r="L217" s="8" t="n">
        <v>120164</v>
      </c>
      <c r="M217" s="8" t="n">
        <v>19658</v>
      </c>
      <c r="N217" s="9" t="inlineStr">
        <is>
          <t>否</t>
        </is>
      </c>
      <c r="O217" t="inlineStr">
        <is>
          <t>缺 PP</t>
        </is>
      </c>
    </row>
    <row r="218">
      <c r="A218" s="7" t="inlineStr">
        <is>
          <t>2008-06-09</t>
        </is>
      </c>
      <c r="B218" s="8" t="n"/>
      <c r="C218" s="8" t="n"/>
      <c r="D218" s="8" t="n"/>
      <c r="E218" s="8" t="n"/>
      <c r="F218" s="8" t="n"/>
      <c r="G218" s="8" t="n"/>
      <c r="H218" s="8" t="n">
        <v>16085</v>
      </c>
      <c r="I218" s="8" t="n">
        <v>16570</v>
      </c>
      <c r="J218" s="8" t="n">
        <v>16780</v>
      </c>
      <c r="K218" s="8" t="n">
        <v>16050</v>
      </c>
      <c r="L218" s="8" t="n">
        <v>120164</v>
      </c>
      <c r="M218" s="8" t="n">
        <v>19658</v>
      </c>
      <c r="N218" s="9" t="inlineStr">
        <is>
          <t>否</t>
        </is>
      </c>
      <c r="O218" t="inlineStr">
        <is>
          <t>缺 PP</t>
        </is>
      </c>
    </row>
    <row r="219">
      <c r="A219" s="7" t="inlineStr">
        <is>
          <t>2008-06-10</t>
        </is>
      </c>
      <c r="B219" s="8" t="n"/>
      <c r="C219" s="8" t="n"/>
      <c r="D219" s="8" t="n"/>
      <c r="E219" s="8" t="n"/>
      <c r="F219" s="8" t="n"/>
      <c r="G219" s="8" t="n"/>
      <c r="H219" s="8" t="n">
        <v>16560</v>
      </c>
      <c r="I219" s="8" t="n">
        <v>16200</v>
      </c>
      <c r="J219" s="8" t="n">
        <v>16615</v>
      </c>
      <c r="K219" s="8" t="n">
        <v>16050</v>
      </c>
      <c r="L219" s="8" t="n">
        <v>102120</v>
      </c>
      <c r="M219" s="8" t="n">
        <v>18834</v>
      </c>
      <c r="N219" s="9" t="inlineStr">
        <is>
          <t>否</t>
        </is>
      </c>
      <c r="O219" t="inlineStr">
        <is>
          <t>缺 PP</t>
        </is>
      </c>
    </row>
    <row r="220">
      <c r="A220" s="7" t="inlineStr">
        <is>
          <t>2008-06-11</t>
        </is>
      </c>
      <c r="B220" s="8" t="n"/>
      <c r="C220" s="8" t="n"/>
      <c r="D220" s="8" t="n"/>
      <c r="E220" s="8" t="n"/>
      <c r="F220" s="8" t="n"/>
      <c r="G220" s="8" t="n"/>
      <c r="H220" s="8" t="n">
        <v>16015</v>
      </c>
      <c r="I220" s="8" t="n">
        <v>16525</v>
      </c>
      <c r="J220" s="8" t="n">
        <v>16640</v>
      </c>
      <c r="K220" s="8" t="n">
        <v>15810</v>
      </c>
      <c r="L220" s="8" t="n">
        <v>131168</v>
      </c>
      <c r="M220" s="8" t="n">
        <v>16218</v>
      </c>
      <c r="N220" s="9" t="inlineStr">
        <is>
          <t>否</t>
        </is>
      </c>
      <c r="O220" t="inlineStr">
        <is>
          <t>缺 PP</t>
        </is>
      </c>
    </row>
    <row r="221">
      <c r="A221" s="7" t="inlineStr">
        <is>
          <t>2008-06-12</t>
        </is>
      </c>
      <c r="B221" s="8" t="n"/>
      <c r="C221" s="8" t="n"/>
      <c r="D221" s="8" t="n"/>
      <c r="E221" s="8" t="n"/>
      <c r="F221" s="8" t="n"/>
      <c r="G221" s="8" t="n"/>
      <c r="H221" s="8" t="n">
        <v>15555</v>
      </c>
      <c r="I221" s="8" t="n">
        <v>16200</v>
      </c>
      <c r="J221" s="8" t="n">
        <v>16400</v>
      </c>
      <c r="K221" s="8" t="n">
        <v>15555</v>
      </c>
      <c r="L221" s="8" t="n">
        <v>130886</v>
      </c>
      <c r="M221" s="8" t="n">
        <v>17760</v>
      </c>
      <c r="N221" s="9" t="inlineStr">
        <is>
          <t>否</t>
        </is>
      </c>
      <c r="O221" t="inlineStr">
        <is>
          <t>缺 PP</t>
        </is>
      </c>
    </row>
    <row r="222">
      <c r="A222" s="7" t="inlineStr">
        <is>
          <t>2008-06-13</t>
        </is>
      </c>
      <c r="B222" s="8" t="n"/>
      <c r="C222" s="8" t="n"/>
      <c r="D222" s="8" t="n"/>
      <c r="E222" s="8" t="n"/>
      <c r="F222" s="8" t="n"/>
      <c r="G222" s="8" t="n"/>
      <c r="H222" s="8" t="n">
        <v>15675</v>
      </c>
      <c r="I222" s="8" t="n">
        <v>15520</v>
      </c>
      <c r="J222" s="8" t="n">
        <v>15815</v>
      </c>
      <c r="K222" s="8" t="n">
        <v>15355</v>
      </c>
      <c r="L222" s="8" t="n">
        <v>127446</v>
      </c>
      <c r="M222" s="8" t="n">
        <v>15546</v>
      </c>
      <c r="N222" s="9" t="inlineStr">
        <is>
          <t>否</t>
        </is>
      </c>
      <c r="O222" t="inlineStr">
        <is>
          <t>缺 PP</t>
        </is>
      </c>
    </row>
    <row r="223">
      <c r="A223" s="7" t="inlineStr">
        <is>
          <t>2008-06-16</t>
        </is>
      </c>
      <c r="B223" s="8" t="n"/>
      <c r="C223" s="8" t="n"/>
      <c r="D223" s="8" t="n"/>
      <c r="E223" s="8" t="n"/>
      <c r="F223" s="8" t="n"/>
      <c r="G223" s="8" t="n"/>
      <c r="H223" s="8" t="n">
        <v>15780</v>
      </c>
      <c r="I223" s="8" t="n">
        <v>15690</v>
      </c>
      <c r="J223" s="8" t="n">
        <v>15950</v>
      </c>
      <c r="K223" s="8" t="n">
        <v>15370</v>
      </c>
      <c r="L223" s="8" t="n">
        <v>141650</v>
      </c>
      <c r="M223" s="8" t="n">
        <v>18122</v>
      </c>
      <c r="N223" s="9" t="inlineStr">
        <is>
          <t>否</t>
        </is>
      </c>
      <c r="O223" t="inlineStr">
        <is>
          <t>缺 PP</t>
        </is>
      </c>
    </row>
    <row r="224">
      <c r="A224" s="7" t="inlineStr">
        <is>
          <t>2008-06-17</t>
        </is>
      </c>
      <c r="B224" s="8" t="n"/>
      <c r="C224" s="8" t="n"/>
      <c r="D224" s="8" t="n"/>
      <c r="E224" s="8" t="n"/>
      <c r="F224" s="8" t="n"/>
      <c r="G224" s="8" t="n"/>
      <c r="H224" s="8" t="n">
        <v>15805</v>
      </c>
      <c r="I224" s="8" t="n">
        <v>15700</v>
      </c>
      <c r="J224" s="8" t="n">
        <v>16075</v>
      </c>
      <c r="K224" s="8" t="n">
        <v>15600</v>
      </c>
      <c r="L224" s="8" t="n">
        <v>134634</v>
      </c>
      <c r="M224" s="8" t="n">
        <v>19884</v>
      </c>
      <c r="N224" s="9" t="inlineStr">
        <is>
          <t>否</t>
        </is>
      </c>
      <c r="O224" t="inlineStr">
        <is>
          <t>缺 PP</t>
        </is>
      </c>
    </row>
    <row r="225">
      <c r="A225" s="7" t="inlineStr">
        <is>
          <t>2008-06-18</t>
        </is>
      </c>
      <c r="B225" s="8" t="n"/>
      <c r="C225" s="8" t="n"/>
      <c r="D225" s="8" t="n"/>
      <c r="E225" s="8" t="n"/>
      <c r="F225" s="8" t="n"/>
      <c r="G225" s="8" t="n"/>
      <c r="H225" s="8" t="n">
        <v>15640</v>
      </c>
      <c r="I225" s="8" t="n">
        <v>15750</v>
      </c>
      <c r="J225" s="8" t="n">
        <v>15920</v>
      </c>
      <c r="K225" s="8" t="n">
        <v>15480</v>
      </c>
      <c r="L225" s="8" t="n">
        <v>109830</v>
      </c>
      <c r="M225" s="8" t="n">
        <v>22128</v>
      </c>
      <c r="N225" s="9" t="inlineStr">
        <is>
          <t>否</t>
        </is>
      </c>
      <c r="O225" t="inlineStr">
        <is>
          <t>缺 PP</t>
        </is>
      </c>
    </row>
    <row r="226">
      <c r="A226" s="7" t="inlineStr">
        <is>
          <t>2008-06-19</t>
        </is>
      </c>
      <c r="B226" s="8" t="n"/>
      <c r="C226" s="8" t="n"/>
      <c r="D226" s="8" t="n"/>
      <c r="E226" s="8" t="n"/>
      <c r="F226" s="8" t="n"/>
      <c r="G226" s="8" t="n"/>
      <c r="H226" s="8" t="n">
        <v>15640</v>
      </c>
      <c r="I226" s="8" t="n">
        <v>15740</v>
      </c>
      <c r="J226" s="8" t="n">
        <v>15890</v>
      </c>
      <c r="K226" s="8" t="n">
        <v>15580</v>
      </c>
      <c r="L226" s="8" t="n">
        <v>108034</v>
      </c>
      <c r="M226" s="8" t="n">
        <v>23572</v>
      </c>
      <c r="N226" s="9" t="inlineStr">
        <is>
          <t>否</t>
        </is>
      </c>
      <c r="O226" t="inlineStr">
        <is>
          <t>缺 PP</t>
        </is>
      </c>
    </row>
    <row r="227">
      <c r="A227" s="7" t="inlineStr">
        <is>
          <t>2008-06-20</t>
        </is>
      </c>
      <c r="B227" s="8" t="n"/>
      <c r="C227" s="8" t="n"/>
      <c r="D227" s="8" t="n"/>
      <c r="E227" s="8" t="n"/>
      <c r="F227" s="8" t="n"/>
      <c r="G227" s="8" t="n"/>
      <c r="H227" s="8" t="n">
        <v>15110</v>
      </c>
      <c r="I227" s="8" t="n">
        <v>15530</v>
      </c>
      <c r="J227" s="8" t="n">
        <v>15540</v>
      </c>
      <c r="K227" s="8" t="n">
        <v>15110</v>
      </c>
      <c r="L227" s="8" t="n">
        <v>13696</v>
      </c>
      <c r="M227" s="8" t="n">
        <v>18088</v>
      </c>
      <c r="N227" s="9" t="inlineStr">
        <is>
          <t>否</t>
        </is>
      </c>
      <c r="O227" t="inlineStr">
        <is>
          <t>缺 PP</t>
        </is>
      </c>
    </row>
    <row r="228">
      <c r="A228" s="7" t="inlineStr">
        <is>
          <t>2008-06-23</t>
        </is>
      </c>
      <c r="B228" s="8" t="n"/>
      <c r="C228" s="8" t="n"/>
      <c r="D228" s="8" t="n"/>
      <c r="E228" s="8" t="n"/>
      <c r="F228" s="8" t="n"/>
      <c r="G228" s="8" t="n"/>
      <c r="H228" s="8" t="n">
        <v>14880</v>
      </c>
      <c r="I228" s="8" t="n">
        <v>14760</v>
      </c>
      <c r="J228" s="8" t="n">
        <v>15205</v>
      </c>
      <c r="K228" s="8" t="n">
        <v>14750</v>
      </c>
      <c r="L228" s="8" t="n">
        <v>101954</v>
      </c>
      <c r="M228" s="8" t="n">
        <v>13232</v>
      </c>
      <c r="N228" s="9" t="inlineStr">
        <is>
          <t>否</t>
        </is>
      </c>
      <c r="O228" t="inlineStr">
        <is>
          <t>缺 PP</t>
        </is>
      </c>
    </row>
    <row r="229">
      <c r="A229" s="7" t="inlineStr">
        <is>
          <t>2008-06-24</t>
        </is>
      </c>
      <c r="B229" s="8" t="n"/>
      <c r="C229" s="8" t="n"/>
      <c r="D229" s="8" t="n"/>
      <c r="E229" s="8" t="n"/>
      <c r="F229" s="8" t="n"/>
      <c r="G229" s="8" t="n"/>
      <c r="H229" s="8" t="n">
        <v>14925</v>
      </c>
      <c r="I229" s="8" t="n">
        <v>14900</v>
      </c>
      <c r="J229" s="8" t="n">
        <v>15120</v>
      </c>
      <c r="K229" s="8" t="n">
        <v>14825</v>
      </c>
      <c r="L229" s="8" t="n">
        <v>85486</v>
      </c>
      <c r="M229" s="8" t="n">
        <v>11544</v>
      </c>
      <c r="N229" s="9" t="inlineStr">
        <is>
          <t>否</t>
        </is>
      </c>
      <c r="O229" t="inlineStr">
        <is>
          <t>缺 PP</t>
        </is>
      </c>
    </row>
    <row r="230">
      <c r="A230" s="7" t="inlineStr">
        <is>
          <t>2008-06-25</t>
        </is>
      </c>
      <c r="B230" s="8" t="n"/>
      <c r="C230" s="8" t="n"/>
      <c r="D230" s="8" t="n"/>
      <c r="E230" s="8" t="n"/>
      <c r="F230" s="8" t="n"/>
      <c r="G230" s="8" t="n"/>
      <c r="H230" s="8" t="n">
        <v>14980</v>
      </c>
      <c r="I230" s="8" t="n">
        <v>14900</v>
      </c>
      <c r="J230" s="8" t="n">
        <v>15050</v>
      </c>
      <c r="K230" s="8" t="n">
        <v>14830</v>
      </c>
      <c r="L230" s="8" t="n">
        <v>62442</v>
      </c>
      <c r="M230" s="8" t="n">
        <v>10306</v>
      </c>
      <c r="N230" s="9" t="inlineStr">
        <is>
          <t>否</t>
        </is>
      </c>
      <c r="O230" t="inlineStr">
        <is>
          <t>缺 PP</t>
        </is>
      </c>
    </row>
    <row r="231">
      <c r="A231" s="7" t="inlineStr">
        <is>
          <t>2008-06-26</t>
        </is>
      </c>
      <c r="B231" s="8" t="n"/>
      <c r="C231" s="8" t="n"/>
      <c r="D231" s="8" t="n"/>
      <c r="E231" s="8" t="n"/>
      <c r="F231" s="8" t="n"/>
      <c r="G231" s="8" t="n"/>
      <c r="H231" s="8" t="n">
        <v>15520</v>
      </c>
      <c r="I231" s="8" t="n">
        <v>14950</v>
      </c>
      <c r="J231" s="8" t="n">
        <v>15530</v>
      </c>
      <c r="K231" s="8" t="n">
        <v>14950</v>
      </c>
      <c r="L231" s="8" t="n">
        <v>83990</v>
      </c>
      <c r="M231" s="8" t="n">
        <v>13320</v>
      </c>
      <c r="N231" s="9" t="inlineStr">
        <is>
          <t>否</t>
        </is>
      </c>
      <c r="O231" t="inlineStr">
        <is>
          <t>缺 PP</t>
        </is>
      </c>
    </row>
    <row r="232">
      <c r="A232" s="7" t="inlineStr">
        <is>
          <t>2008-06-27</t>
        </is>
      </c>
      <c r="B232" s="8" t="n"/>
      <c r="C232" s="8" t="n"/>
      <c r="D232" s="8" t="n"/>
      <c r="E232" s="8" t="n"/>
      <c r="F232" s="8" t="n"/>
      <c r="G232" s="8" t="n"/>
      <c r="H232" s="8" t="n">
        <v>15815</v>
      </c>
      <c r="I232" s="8" t="n">
        <v>15700</v>
      </c>
      <c r="J232" s="8" t="n">
        <v>15910</v>
      </c>
      <c r="K232" s="8" t="n">
        <v>15485</v>
      </c>
      <c r="L232" s="8" t="n">
        <v>108088</v>
      </c>
      <c r="M232" s="8" t="n">
        <v>13530</v>
      </c>
      <c r="N232" s="9" t="inlineStr">
        <is>
          <t>否</t>
        </is>
      </c>
      <c r="O232" t="inlineStr">
        <is>
          <t>缺 PP</t>
        </is>
      </c>
    </row>
    <row r="233">
      <c r="A233" s="7" t="inlineStr">
        <is>
          <t>2008-06-30</t>
        </is>
      </c>
      <c r="B233" s="8" t="n"/>
      <c r="C233" s="8" t="n"/>
      <c r="D233" s="8" t="n"/>
      <c r="E233" s="8" t="n"/>
      <c r="F233" s="8" t="n"/>
      <c r="G233" s="8" t="n"/>
      <c r="H233" s="8" t="n">
        <v>15855</v>
      </c>
      <c r="I233" s="8" t="n">
        <v>15935</v>
      </c>
      <c r="J233" s="8" t="n">
        <v>15970</v>
      </c>
      <c r="K233" s="8" t="n">
        <v>15740</v>
      </c>
      <c r="L233" s="8" t="n">
        <v>80412</v>
      </c>
      <c r="M233" s="8" t="n">
        <v>12668</v>
      </c>
      <c r="N233" s="9" t="inlineStr">
        <is>
          <t>否</t>
        </is>
      </c>
      <c r="O233" t="inlineStr">
        <is>
          <t>缺 PP</t>
        </is>
      </c>
    </row>
    <row r="234">
      <c r="A234" s="7" t="inlineStr">
        <is>
          <t>2008-07-01</t>
        </is>
      </c>
      <c r="B234" s="8" t="n"/>
      <c r="C234" s="8" t="n"/>
      <c r="D234" s="8" t="n"/>
      <c r="E234" s="8" t="n"/>
      <c r="F234" s="8" t="n"/>
      <c r="G234" s="8" t="n"/>
      <c r="H234" s="8" t="n">
        <v>15755</v>
      </c>
      <c r="I234" s="8" t="n">
        <v>15790</v>
      </c>
      <c r="J234" s="8" t="n">
        <v>15870</v>
      </c>
      <c r="K234" s="8" t="n">
        <v>15660</v>
      </c>
      <c r="L234" s="8" t="n">
        <v>57836</v>
      </c>
      <c r="M234" s="8" t="n">
        <v>12768</v>
      </c>
      <c r="N234" s="9" t="inlineStr">
        <is>
          <t>否</t>
        </is>
      </c>
      <c r="O234" t="inlineStr">
        <is>
          <t>缺 PP</t>
        </is>
      </c>
    </row>
    <row r="235">
      <c r="A235" s="7" t="inlineStr">
        <is>
          <t>2008-07-02</t>
        </is>
      </c>
      <c r="B235" s="8" t="n"/>
      <c r="C235" s="8" t="n"/>
      <c r="D235" s="8" t="n"/>
      <c r="E235" s="8" t="n"/>
      <c r="F235" s="8" t="n"/>
      <c r="G235" s="8" t="n"/>
      <c r="H235" s="8" t="n">
        <v>15600</v>
      </c>
      <c r="I235" s="8" t="n">
        <v>15800</v>
      </c>
      <c r="J235" s="8" t="n">
        <v>15825</v>
      </c>
      <c r="K235" s="8" t="n">
        <v>15510</v>
      </c>
      <c r="L235" s="8" t="n">
        <v>60112</v>
      </c>
      <c r="M235" s="8" t="n">
        <v>14354</v>
      </c>
      <c r="N235" s="9" t="inlineStr">
        <is>
          <t>否</t>
        </is>
      </c>
      <c r="O235" t="inlineStr">
        <is>
          <t>缺 PP</t>
        </is>
      </c>
    </row>
    <row r="236">
      <c r="A236" s="7" t="inlineStr">
        <is>
          <t>2008-07-03</t>
        </is>
      </c>
      <c r="B236" s="8" t="n"/>
      <c r="C236" s="8" t="n"/>
      <c r="D236" s="8" t="n"/>
      <c r="E236" s="8" t="n"/>
      <c r="F236" s="8" t="n"/>
      <c r="G236" s="8" t="n"/>
      <c r="H236" s="8" t="n">
        <v>15190</v>
      </c>
      <c r="I236" s="8" t="n">
        <v>15680</v>
      </c>
      <c r="J236" s="8" t="n">
        <v>15700</v>
      </c>
      <c r="K236" s="8" t="n">
        <v>15110</v>
      </c>
      <c r="L236" s="8" t="n">
        <v>68452</v>
      </c>
      <c r="M236" s="8" t="n">
        <v>12992</v>
      </c>
      <c r="N236" s="9" t="inlineStr">
        <is>
          <t>否</t>
        </is>
      </c>
      <c r="O236" t="inlineStr">
        <is>
          <t>缺 PP</t>
        </is>
      </c>
    </row>
    <row r="237">
      <c r="A237" s="7" t="inlineStr">
        <is>
          <t>2008-07-04</t>
        </is>
      </c>
      <c r="B237" s="8" t="n"/>
      <c r="C237" s="8" t="n"/>
      <c r="D237" s="8" t="n"/>
      <c r="E237" s="8" t="n"/>
      <c r="F237" s="8" t="n"/>
      <c r="G237" s="8" t="n"/>
      <c r="H237" s="8" t="n">
        <v>15170</v>
      </c>
      <c r="I237" s="8" t="n">
        <v>15200</v>
      </c>
      <c r="J237" s="8" t="n">
        <v>15260</v>
      </c>
      <c r="K237" s="8" t="n">
        <v>15010</v>
      </c>
      <c r="L237" s="8" t="n">
        <v>47182</v>
      </c>
      <c r="M237" s="8" t="n">
        <v>13988</v>
      </c>
      <c r="N237" s="9" t="inlineStr">
        <is>
          <t>否</t>
        </is>
      </c>
      <c r="O237" t="inlineStr">
        <is>
          <t>缺 PP</t>
        </is>
      </c>
    </row>
    <row r="238">
      <c r="A238" s="7" t="inlineStr">
        <is>
          <t>2008-07-07</t>
        </is>
      </c>
      <c r="B238" s="8" t="n"/>
      <c r="C238" s="8" t="n"/>
      <c r="D238" s="8" t="n"/>
      <c r="E238" s="8" t="n"/>
      <c r="F238" s="8" t="n"/>
      <c r="G238" s="8" t="n"/>
      <c r="H238" s="8" t="n">
        <v>15105</v>
      </c>
      <c r="I238" s="8" t="n">
        <v>15150</v>
      </c>
      <c r="J238" s="8" t="n">
        <v>15350</v>
      </c>
      <c r="K238" s="8" t="n">
        <v>14970</v>
      </c>
      <c r="L238" s="8" t="n">
        <v>82508</v>
      </c>
      <c r="M238" s="8" t="n">
        <v>17124</v>
      </c>
      <c r="N238" s="9" t="inlineStr">
        <is>
          <t>否</t>
        </is>
      </c>
      <c r="O238" t="inlineStr">
        <is>
          <t>缺 PP</t>
        </is>
      </c>
    </row>
    <row r="239">
      <c r="A239" s="7" t="inlineStr">
        <is>
          <t>2008-07-08</t>
        </is>
      </c>
      <c r="B239" s="8" t="n"/>
      <c r="C239" s="8" t="n"/>
      <c r="D239" s="8" t="n"/>
      <c r="E239" s="8" t="n"/>
      <c r="F239" s="8" t="n"/>
      <c r="G239" s="8" t="n"/>
      <c r="H239" s="8" t="n">
        <v>14980</v>
      </c>
      <c r="I239" s="8" t="n">
        <v>14955</v>
      </c>
      <c r="J239" s="8" t="n">
        <v>15070</v>
      </c>
      <c r="K239" s="8" t="n">
        <v>14910</v>
      </c>
      <c r="L239" s="8" t="n">
        <v>39710</v>
      </c>
      <c r="M239" s="8" t="n">
        <v>17552</v>
      </c>
      <c r="N239" s="9" t="inlineStr">
        <is>
          <t>否</t>
        </is>
      </c>
      <c r="O239" t="inlineStr">
        <is>
          <t>缺 PP</t>
        </is>
      </c>
    </row>
    <row r="240">
      <c r="A240" s="7" t="inlineStr">
        <is>
          <t>2008-07-09</t>
        </is>
      </c>
      <c r="B240" s="8" t="n"/>
      <c r="C240" s="8" t="n"/>
      <c r="D240" s="8" t="n"/>
      <c r="E240" s="8" t="n"/>
      <c r="F240" s="8" t="n"/>
      <c r="G240" s="8" t="n"/>
      <c r="H240" s="8" t="n">
        <v>14580</v>
      </c>
      <c r="I240" s="8" t="n">
        <v>14910</v>
      </c>
      <c r="J240" s="8" t="n">
        <v>14910</v>
      </c>
      <c r="K240" s="8" t="n">
        <v>14555</v>
      </c>
      <c r="L240" s="8" t="n">
        <v>59690</v>
      </c>
      <c r="M240" s="8" t="n">
        <v>18158</v>
      </c>
      <c r="N240" s="9" t="inlineStr">
        <is>
          <t>否</t>
        </is>
      </c>
      <c r="O240" t="inlineStr">
        <is>
          <t>缺 PP</t>
        </is>
      </c>
    </row>
    <row r="241">
      <c r="A241" s="7" t="inlineStr">
        <is>
          <t>2008-07-10</t>
        </is>
      </c>
      <c r="B241" s="8" t="n"/>
      <c r="C241" s="8" t="n"/>
      <c r="D241" s="8" t="n"/>
      <c r="E241" s="8" t="n"/>
      <c r="F241" s="8" t="n"/>
      <c r="G241" s="8" t="n"/>
      <c r="H241" s="8" t="n">
        <v>14600</v>
      </c>
      <c r="I241" s="8" t="n">
        <v>14610</v>
      </c>
      <c r="J241" s="8" t="n">
        <v>14640</v>
      </c>
      <c r="K241" s="8" t="n">
        <v>14480</v>
      </c>
      <c r="L241" s="8" t="n">
        <v>48208</v>
      </c>
      <c r="M241" s="8" t="n">
        <v>17816</v>
      </c>
      <c r="N241" s="9" t="inlineStr">
        <is>
          <t>否</t>
        </is>
      </c>
      <c r="O241" t="inlineStr">
        <is>
          <t>缺 PP</t>
        </is>
      </c>
    </row>
    <row r="242">
      <c r="A242" s="7" t="inlineStr">
        <is>
          <t>2008-07-11</t>
        </is>
      </c>
      <c r="B242" s="8" t="n"/>
      <c r="C242" s="8" t="n"/>
      <c r="D242" s="8" t="n"/>
      <c r="E242" s="8" t="n"/>
      <c r="F242" s="8" t="n"/>
      <c r="G242" s="8" t="n"/>
      <c r="H242" s="8" t="n">
        <v>14700</v>
      </c>
      <c r="I242" s="8" t="n">
        <v>14760</v>
      </c>
      <c r="J242" s="8" t="n">
        <v>14825</v>
      </c>
      <c r="K242" s="8" t="n">
        <v>14610</v>
      </c>
      <c r="L242" s="8" t="n">
        <v>43204</v>
      </c>
      <c r="M242" s="8" t="n">
        <v>16692</v>
      </c>
      <c r="N242" s="9" t="inlineStr">
        <is>
          <t>否</t>
        </is>
      </c>
      <c r="O242" t="inlineStr">
        <is>
          <t>缺 PP</t>
        </is>
      </c>
    </row>
    <row r="243">
      <c r="A243" s="7" t="inlineStr">
        <is>
          <t>2008-07-14</t>
        </is>
      </c>
      <c r="B243" s="8" t="n"/>
      <c r="C243" s="8" t="n"/>
      <c r="D243" s="8" t="n"/>
      <c r="E243" s="8" t="n"/>
      <c r="F243" s="8" t="n"/>
      <c r="G243" s="8" t="n"/>
      <c r="H243" s="8" t="n">
        <v>14680</v>
      </c>
      <c r="I243" s="8" t="n">
        <v>14700</v>
      </c>
      <c r="J243" s="8" t="n">
        <v>14850</v>
      </c>
      <c r="K243" s="8" t="n">
        <v>14630</v>
      </c>
      <c r="L243" s="8" t="n">
        <v>47904</v>
      </c>
      <c r="M243" s="8" t="n">
        <v>18690</v>
      </c>
      <c r="N243" s="9" t="inlineStr">
        <is>
          <t>否</t>
        </is>
      </c>
      <c r="O243" t="inlineStr">
        <is>
          <t>缺 PP</t>
        </is>
      </c>
    </row>
    <row r="244">
      <c r="A244" s="7" t="inlineStr">
        <is>
          <t>2008-07-15</t>
        </is>
      </c>
      <c r="B244" s="8" t="n"/>
      <c r="C244" s="8" t="n"/>
      <c r="D244" s="8" t="n"/>
      <c r="E244" s="8" t="n"/>
      <c r="F244" s="8" t="n"/>
      <c r="G244" s="8" t="n"/>
      <c r="H244" s="8" t="n">
        <v>14530</v>
      </c>
      <c r="I244" s="8" t="n">
        <v>14600</v>
      </c>
      <c r="J244" s="8" t="n">
        <v>14685</v>
      </c>
      <c r="K244" s="8" t="n">
        <v>14450</v>
      </c>
      <c r="L244" s="8" t="n">
        <v>46954</v>
      </c>
      <c r="M244" s="8" t="n">
        <v>19158</v>
      </c>
      <c r="N244" s="9" t="inlineStr">
        <is>
          <t>否</t>
        </is>
      </c>
      <c r="O244" t="inlineStr">
        <is>
          <t>缺 PP</t>
        </is>
      </c>
    </row>
    <row r="245">
      <c r="A245" s="7" t="inlineStr">
        <is>
          <t>2008-07-16</t>
        </is>
      </c>
      <c r="B245" s="8" t="n"/>
      <c r="C245" s="8" t="n"/>
      <c r="D245" s="8" t="n"/>
      <c r="E245" s="8" t="n"/>
      <c r="F245" s="8" t="n"/>
      <c r="G245" s="8" t="n"/>
      <c r="H245" s="8" t="n">
        <v>14505</v>
      </c>
      <c r="I245" s="8" t="n">
        <v>14450</v>
      </c>
      <c r="J245" s="8" t="n">
        <v>14530</v>
      </c>
      <c r="K245" s="8" t="n">
        <v>14365</v>
      </c>
      <c r="L245" s="8" t="n">
        <v>33278</v>
      </c>
      <c r="M245" s="8" t="n">
        <v>17710</v>
      </c>
      <c r="N245" s="9" t="inlineStr">
        <is>
          <t>否</t>
        </is>
      </c>
      <c r="O245" t="inlineStr">
        <is>
          <t>缺 PP</t>
        </is>
      </c>
    </row>
    <row r="246">
      <c r="A246" s="7" t="inlineStr">
        <is>
          <t>2008-07-17</t>
        </is>
      </c>
      <c r="B246" s="8" t="n"/>
      <c r="C246" s="8" t="n"/>
      <c r="D246" s="8" t="n"/>
      <c r="E246" s="8" t="n"/>
      <c r="F246" s="8" t="n"/>
      <c r="G246" s="8" t="n"/>
      <c r="H246" s="8" t="n">
        <v>14705</v>
      </c>
      <c r="I246" s="8" t="n">
        <v>14500</v>
      </c>
      <c r="J246" s="8" t="n">
        <v>14740</v>
      </c>
      <c r="K246" s="8" t="n">
        <v>14480</v>
      </c>
      <c r="L246" s="8" t="n">
        <v>32208</v>
      </c>
      <c r="M246" s="8" t="n">
        <v>20322</v>
      </c>
      <c r="N246" s="9" t="inlineStr">
        <is>
          <t>否</t>
        </is>
      </c>
      <c r="O246" t="inlineStr">
        <is>
          <t>缺 PP</t>
        </is>
      </c>
    </row>
    <row r="247">
      <c r="A247" s="7" t="inlineStr">
        <is>
          <t>2008-07-20</t>
        </is>
      </c>
      <c r="B247" s="8" t="n"/>
      <c r="C247" s="8" t="n"/>
      <c r="D247" s="8" t="n"/>
      <c r="E247" s="8" t="n"/>
      <c r="F247" s="8" t="n"/>
      <c r="G247" s="8" t="n"/>
      <c r="H247" s="8" t="n">
        <v>14590</v>
      </c>
      <c r="I247" s="8" t="n">
        <v>14650</v>
      </c>
      <c r="J247" s="8" t="n">
        <v>14690</v>
      </c>
      <c r="K247" s="8" t="n">
        <v>14465</v>
      </c>
      <c r="L247" s="8" t="n">
        <v>43024</v>
      </c>
      <c r="M247" s="8" t="n">
        <v>13884</v>
      </c>
      <c r="N247" s="9" t="inlineStr">
        <is>
          <t>否</t>
        </is>
      </c>
      <c r="O247" t="inlineStr">
        <is>
          <t>缺 PP</t>
        </is>
      </c>
    </row>
    <row r="248">
      <c r="A248" s="7" t="inlineStr">
        <is>
          <t>2008-07-21</t>
        </is>
      </c>
      <c r="B248" s="8" t="n"/>
      <c r="C248" s="8" t="n"/>
      <c r="D248" s="8" t="n"/>
      <c r="E248" s="8" t="n"/>
      <c r="F248" s="8" t="n"/>
      <c r="G248" s="8" t="n"/>
      <c r="H248" s="8" t="n">
        <v>14145</v>
      </c>
      <c r="I248" s="8" t="n">
        <v>14545</v>
      </c>
      <c r="J248" s="8" t="n">
        <v>14575</v>
      </c>
      <c r="K248" s="8" t="n">
        <v>14090</v>
      </c>
      <c r="L248" s="8" t="n">
        <v>49652</v>
      </c>
      <c r="M248" s="8" t="n">
        <v>15398</v>
      </c>
      <c r="N248" s="9" t="inlineStr">
        <is>
          <t>否</t>
        </is>
      </c>
      <c r="O248" t="inlineStr">
        <is>
          <t>缺 PP</t>
        </is>
      </c>
    </row>
    <row r="249">
      <c r="A249" s="7" t="inlineStr">
        <is>
          <t>2008-07-22</t>
        </is>
      </c>
      <c r="B249" s="8" t="n"/>
      <c r="C249" s="8" t="n"/>
      <c r="D249" s="8" t="n"/>
      <c r="E249" s="8" t="n"/>
      <c r="F249" s="8" t="n"/>
      <c r="G249" s="8" t="n"/>
      <c r="H249" s="8" t="n">
        <v>14100</v>
      </c>
      <c r="I249" s="8" t="n">
        <v>14130</v>
      </c>
      <c r="J249" s="8" t="n">
        <v>14160</v>
      </c>
      <c r="K249" s="8" t="n">
        <v>14020</v>
      </c>
      <c r="L249" s="8" t="n">
        <v>33050</v>
      </c>
      <c r="M249" s="8" t="n">
        <v>15264</v>
      </c>
      <c r="N249" s="9" t="inlineStr">
        <is>
          <t>否</t>
        </is>
      </c>
      <c r="O249" t="inlineStr">
        <is>
          <t>缺 PP</t>
        </is>
      </c>
    </row>
    <row r="250">
      <c r="A250" s="7" t="inlineStr">
        <is>
          <t>2008-07-23</t>
        </is>
      </c>
      <c r="B250" s="8" t="n"/>
      <c r="C250" s="8" t="n"/>
      <c r="D250" s="8" t="n"/>
      <c r="E250" s="8" t="n"/>
      <c r="F250" s="8" t="n"/>
      <c r="G250" s="8" t="n"/>
      <c r="H250" s="8" t="n">
        <v>13840</v>
      </c>
      <c r="I250" s="8" t="n">
        <v>14000</v>
      </c>
      <c r="J250" s="8" t="n">
        <v>14000</v>
      </c>
      <c r="K250" s="8" t="n">
        <v>13800</v>
      </c>
      <c r="L250" s="8" t="n">
        <v>27184</v>
      </c>
      <c r="M250" s="8" t="n">
        <v>13944</v>
      </c>
      <c r="N250" s="9" t="inlineStr">
        <is>
          <t>否</t>
        </is>
      </c>
      <c r="O250" t="inlineStr">
        <is>
          <t>缺 PP</t>
        </is>
      </c>
    </row>
    <row r="251">
      <c r="A251" s="7" t="inlineStr">
        <is>
          <t>2008-07-24</t>
        </is>
      </c>
      <c r="B251" s="8" t="n"/>
      <c r="C251" s="8" t="n"/>
      <c r="D251" s="8" t="n"/>
      <c r="E251" s="8" t="n"/>
      <c r="F251" s="8" t="n"/>
      <c r="G251" s="8" t="n"/>
      <c r="H251" s="8" t="n">
        <v>13920</v>
      </c>
      <c r="I251" s="8" t="n">
        <v>13700</v>
      </c>
      <c r="J251" s="8" t="n">
        <v>13975</v>
      </c>
      <c r="K251" s="8" t="n">
        <v>13660</v>
      </c>
      <c r="L251" s="8" t="n">
        <v>31360</v>
      </c>
      <c r="M251" s="8" t="n">
        <v>15364</v>
      </c>
      <c r="N251" s="9" t="inlineStr">
        <is>
          <t>否</t>
        </is>
      </c>
      <c r="O251" t="inlineStr">
        <is>
          <t>缺 PP</t>
        </is>
      </c>
    </row>
    <row r="252">
      <c r="A252" s="7" t="inlineStr">
        <is>
          <t>2008-07-25</t>
        </is>
      </c>
      <c r="B252" s="8" t="n"/>
      <c r="C252" s="8" t="n"/>
      <c r="D252" s="8" t="n"/>
      <c r="E252" s="8" t="n"/>
      <c r="F252" s="8" t="n"/>
      <c r="G252" s="8" t="n"/>
      <c r="H252" s="8" t="n">
        <v>13795</v>
      </c>
      <c r="I252" s="8" t="n">
        <v>13860</v>
      </c>
      <c r="J252" s="8" t="n">
        <v>13985</v>
      </c>
      <c r="K252" s="8" t="n">
        <v>13790</v>
      </c>
      <c r="L252" s="8" t="n">
        <v>26652</v>
      </c>
      <c r="M252" s="8" t="n">
        <v>13554</v>
      </c>
      <c r="N252" s="9" t="inlineStr">
        <is>
          <t>否</t>
        </is>
      </c>
      <c r="O252" t="inlineStr">
        <is>
          <t>缺 PP</t>
        </is>
      </c>
    </row>
    <row r="253">
      <c r="A253" s="7" t="inlineStr">
        <is>
          <t>2008-07-28</t>
        </is>
      </c>
      <c r="B253" s="8" t="n"/>
      <c r="C253" s="8" t="n"/>
      <c r="D253" s="8" t="n"/>
      <c r="E253" s="8" t="n"/>
      <c r="F253" s="8" t="n"/>
      <c r="G253" s="8" t="n"/>
      <c r="H253" s="8" t="n">
        <v>13455</v>
      </c>
      <c r="I253" s="8" t="n">
        <v>13835</v>
      </c>
      <c r="J253" s="8" t="n">
        <v>13835</v>
      </c>
      <c r="K253" s="8" t="n">
        <v>13430</v>
      </c>
      <c r="L253" s="8" t="n">
        <v>40228</v>
      </c>
      <c r="M253" s="8" t="n">
        <v>16224</v>
      </c>
      <c r="N253" s="9" t="inlineStr">
        <is>
          <t>否</t>
        </is>
      </c>
      <c r="O253" t="inlineStr">
        <is>
          <t>缺 PP</t>
        </is>
      </c>
    </row>
    <row r="254">
      <c r="A254" s="7" t="inlineStr">
        <is>
          <t>2008-07-29</t>
        </is>
      </c>
      <c r="B254" s="8" t="n"/>
      <c r="C254" s="8" t="n"/>
      <c r="D254" s="8" t="n"/>
      <c r="E254" s="8" t="n"/>
      <c r="F254" s="8" t="n"/>
      <c r="G254" s="8" t="n"/>
      <c r="H254" s="8" t="n">
        <v>13520</v>
      </c>
      <c r="I254" s="8" t="n">
        <v>13495</v>
      </c>
      <c r="J254" s="8" t="n">
        <v>13615</v>
      </c>
      <c r="K254" s="8" t="n">
        <v>13455</v>
      </c>
      <c r="L254" s="8" t="n">
        <v>29756</v>
      </c>
      <c r="M254" s="8" t="n">
        <v>14552</v>
      </c>
      <c r="N254" s="9" t="inlineStr">
        <is>
          <t>否</t>
        </is>
      </c>
      <c r="O254" t="inlineStr">
        <is>
          <t>缺 PP</t>
        </is>
      </c>
    </row>
    <row r="255">
      <c r="A255" s="7" t="inlineStr">
        <is>
          <t>2008-07-30</t>
        </is>
      </c>
      <c r="B255" s="8" t="n"/>
      <c r="C255" s="8" t="n"/>
      <c r="D255" s="8" t="n"/>
      <c r="E255" s="8" t="n"/>
      <c r="F255" s="8" t="n"/>
      <c r="G255" s="8" t="n"/>
      <c r="H255" s="8" t="n">
        <v>13200</v>
      </c>
      <c r="I255" s="8" t="n">
        <v>13450</v>
      </c>
      <c r="J255" s="8" t="n">
        <v>13450</v>
      </c>
      <c r="K255" s="8" t="n">
        <v>13110</v>
      </c>
      <c r="L255" s="8" t="n">
        <v>29828</v>
      </c>
      <c r="M255" s="8" t="n">
        <v>14128</v>
      </c>
      <c r="N255" s="9" t="inlineStr">
        <is>
          <t>否</t>
        </is>
      </c>
      <c r="O255" t="inlineStr">
        <is>
          <t>缺 PP</t>
        </is>
      </c>
    </row>
    <row r="256">
      <c r="A256" s="7" t="inlineStr">
        <is>
          <t>2008-07-31</t>
        </is>
      </c>
      <c r="B256" s="8" t="n"/>
      <c r="C256" s="8" t="n"/>
      <c r="D256" s="8" t="n"/>
      <c r="E256" s="8" t="n"/>
      <c r="F256" s="8" t="n"/>
      <c r="G256" s="8" t="n"/>
      <c r="H256" s="8" t="n">
        <v>13150</v>
      </c>
      <c r="I256" s="8" t="n">
        <v>13375</v>
      </c>
      <c r="J256" s="8" t="n">
        <v>13375</v>
      </c>
      <c r="K256" s="8" t="n">
        <v>13035</v>
      </c>
      <c r="L256" s="8" t="n">
        <v>44614</v>
      </c>
      <c r="M256" s="8" t="n">
        <v>14236</v>
      </c>
      <c r="N256" s="9" t="inlineStr">
        <is>
          <t>否</t>
        </is>
      </c>
      <c r="O256" t="inlineStr">
        <is>
          <t>缺 PP</t>
        </is>
      </c>
    </row>
    <row r="257">
      <c r="A257" s="7" t="inlineStr">
        <is>
          <t>2008-08-01</t>
        </is>
      </c>
      <c r="B257" s="8" t="n"/>
      <c r="C257" s="8" t="n"/>
      <c r="D257" s="8" t="n"/>
      <c r="E257" s="8" t="n"/>
      <c r="F257" s="8" t="n"/>
      <c r="G257" s="8" t="n"/>
      <c r="H257" s="8" t="n">
        <v>13000</v>
      </c>
      <c r="I257" s="8" t="n">
        <v>13095</v>
      </c>
      <c r="J257" s="8" t="n">
        <v>13150</v>
      </c>
      <c r="K257" s="8" t="n">
        <v>12875</v>
      </c>
      <c r="L257" s="8" t="n">
        <v>25324</v>
      </c>
      <c r="M257" s="8" t="n">
        <v>11906</v>
      </c>
      <c r="N257" s="9" t="inlineStr">
        <is>
          <t>否</t>
        </is>
      </c>
      <c r="O257" t="inlineStr">
        <is>
          <t>缺 PP</t>
        </is>
      </c>
    </row>
    <row r="258">
      <c r="A258" s="7" t="inlineStr">
        <is>
          <t>2008-08-04</t>
        </is>
      </c>
      <c r="B258" s="8" t="n"/>
      <c r="C258" s="8" t="n"/>
      <c r="D258" s="8" t="n"/>
      <c r="E258" s="8" t="n"/>
      <c r="F258" s="8" t="n"/>
      <c r="G258" s="8" t="n"/>
      <c r="H258" s="8" t="n">
        <v>13070</v>
      </c>
      <c r="I258" s="8" t="n">
        <v>13040</v>
      </c>
      <c r="J258" s="8" t="n">
        <v>13180</v>
      </c>
      <c r="K258" s="8" t="n">
        <v>12955</v>
      </c>
      <c r="L258" s="8" t="n">
        <v>19158</v>
      </c>
      <c r="M258" s="8" t="n">
        <v>11168</v>
      </c>
      <c r="N258" s="9" t="inlineStr">
        <is>
          <t>否</t>
        </is>
      </c>
      <c r="O258" t="inlineStr">
        <is>
          <t>缺 PP</t>
        </is>
      </c>
    </row>
    <row r="259">
      <c r="A259" s="7" t="inlineStr">
        <is>
          <t>2008-08-05</t>
        </is>
      </c>
      <c r="B259" s="8" t="n"/>
      <c r="C259" s="8" t="n"/>
      <c r="D259" s="8" t="n"/>
      <c r="E259" s="8" t="n"/>
      <c r="F259" s="8" t="n"/>
      <c r="G259" s="8" t="n"/>
      <c r="H259" s="8" t="n">
        <v>12710</v>
      </c>
      <c r="I259" s="8" t="n">
        <v>12830</v>
      </c>
      <c r="J259" s="8" t="n">
        <v>12875</v>
      </c>
      <c r="K259" s="8" t="n">
        <v>12615</v>
      </c>
      <c r="L259" s="8" t="n">
        <v>14798</v>
      </c>
      <c r="M259" s="8" t="n">
        <v>10790</v>
      </c>
      <c r="N259" s="9" t="inlineStr">
        <is>
          <t>否</t>
        </is>
      </c>
      <c r="O259" t="inlineStr">
        <is>
          <t>缺 PP</t>
        </is>
      </c>
    </row>
    <row r="260">
      <c r="A260" s="7" t="inlineStr">
        <is>
          <t>2008-08-06</t>
        </is>
      </c>
      <c r="B260" s="8" t="n"/>
      <c r="C260" s="8" t="n"/>
      <c r="D260" s="8" t="n"/>
      <c r="E260" s="8" t="n"/>
      <c r="F260" s="8" t="n"/>
      <c r="G260" s="8" t="n"/>
      <c r="H260" s="8" t="n">
        <v>13020</v>
      </c>
      <c r="I260" s="8" t="n">
        <v>12780</v>
      </c>
      <c r="J260" s="8" t="n">
        <v>13245</v>
      </c>
      <c r="K260" s="8" t="n">
        <v>12710</v>
      </c>
      <c r="L260" s="8" t="n">
        <v>19922</v>
      </c>
      <c r="M260" s="8" t="n">
        <v>9442</v>
      </c>
      <c r="N260" s="9" t="inlineStr">
        <is>
          <t>否</t>
        </is>
      </c>
      <c r="O260" t="inlineStr">
        <is>
          <t>缺 PP</t>
        </is>
      </c>
    </row>
    <row r="261">
      <c r="A261" s="7" t="inlineStr">
        <is>
          <t>2008-08-07</t>
        </is>
      </c>
      <c r="B261" s="8" t="n"/>
      <c r="C261" s="8" t="n"/>
      <c r="D261" s="8" t="n"/>
      <c r="E261" s="8" t="n"/>
      <c r="F261" s="8" t="n"/>
      <c r="G261" s="8" t="n"/>
      <c r="H261" s="8" t="n">
        <v>12610</v>
      </c>
      <c r="I261" s="8" t="n">
        <v>12945</v>
      </c>
      <c r="J261" s="8" t="n">
        <v>12945</v>
      </c>
      <c r="K261" s="8" t="n">
        <v>12410</v>
      </c>
      <c r="L261" s="8" t="n">
        <v>8734</v>
      </c>
      <c r="M261" s="8" t="n">
        <v>8628</v>
      </c>
      <c r="N261" s="9" t="inlineStr">
        <is>
          <t>否</t>
        </is>
      </c>
      <c r="O261" t="inlineStr">
        <is>
          <t>缺 PP</t>
        </is>
      </c>
    </row>
    <row r="262">
      <c r="A262" s="7" t="inlineStr">
        <is>
          <t>2008-08-08</t>
        </is>
      </c>
      <c r="B262" s="8" t="n"/>
      <c r="C262" s="8" t="n"/>
      <c r="D262" s="8" t="n"/>
      <c r="E262" s="8" t="n"/>
      <c r="F262" s="8" t="n"/>
      <c r="G262" s="8" t="n"/>
      <c r="H262" s="8" t="n">
        <v>12625</v>
      </c>
      <c r="I262" s="8" t="n">
        <v>12550</v>
      </c>
      <c r="J262" s="8" t="n">
        <v>12725</v>
      </c>
      <c r="K262" s="8" t="n">
        <v>12470</v>
      </c>
      <c r="L262" s="8" t="n">
        <v>12710</v>
      </c>
      <c r="M262" s="8" t="n">
        <v>10444</v>
      </c>
      <c r="N262" s="9" t="inlineStr">
        <is>
          <t>否</t>
        </is>
      </c>
      <c r="O262" t="inlineStr">
        <is>
          <t>缺 PP</t>
        </is>
      </c>
    </row>
    <row r="263">
      <c r="A263" s="7" t="inlineStr">
        <is>
          <t>2008-08-11</t>
        </is>
      </c>
      <c r="B263" s="8" t="n"/>
      <c r="C263" s="8" t="n"/>
      <c r="D263" s="8" t="n"/>
      <c r="E263" s="8" t="n"/>
      <c r="F263" s="8" t="n"/>
      <c r="G263" s="8" t="n"/>
      <c r="H263" s="8" t="n">
        <v>12610</v>
      </c>
      <c r="I263" s="8" t="n">
        <v>12400</v>
      </c>
      <c r="J263" s="8" t="n">
        <v>12810</v>
      </c>
      <c r="K263" s="8" t="n">
        <v>12375</v>
      </c>
      <c r="L263" s="8" t="n">
        <v>32732</v>
      </c>
      <c r="M263" s="8" t="n">
        <v>12804</v>
      </c>
      <c r="N263" s="9" t="inlineStr">
        <is>
          <t>否</t>
        </is>
      </c>
      <c r="O263" t="inlineStr">
        <is>
          <t>缺 PP</t>
        </is>
      </c>
    </row>
    <row r="264">
      <c r="A264" s="7" t="inlineStr">
        <is>
          <t>2008-08-12</t>
        </is>
      </c>
      <c r="B264" s="8" t="n"/>
      <c r="C264" s="8" t="n"/>
      <c r="D264" s="8" t="n"/>
      <c r="E264" s="8" t="n"/>
      <c r="F264" s="8" t="n"/>
      <c r="G264" s="8" t="n"/>
      <c r="H264" s="8" t="n">
        <v>12785</v>
      </c>
      <c r="I264" s="8" t="n">
        <v>12580</v>
      </c>
      <c r="J264" s="8" t="n">
        <v>12825</v>
      </c>
      <c r="K264" s="8" t="n">
        <v>12540</v>
      </c>
      <c r="L264" s="8" t="n">
        <v>29112</v>
      </c>
      <c r="M264" s="8" t="n">
        <v>13696</v>
      </c>
      <c r="N264" s="9" t="inlineStr">
        <is>
          <t>否</t>
        </is>
      </c>
      <c r="O264" t="inlineStr">
        <is>
          <t>缺 PP</t>
        </is>
      </c>
    </row>
    <row r="265">
      <c r="A265" s="7" t="inlineStr">
        <is>
          <t>2008-08-13</t>
        </is>
      </c>
      <c r="B265" s="8" t="n"/>
      <c r="C265" s="8" t="n"/>
      <c r="D265" s="8" t="n"/>
      <c r="E265" s="8" t="n"/>
      <c r="F265" s="8" t="n"/>
      <c r="G265" s="8" t="n"/>
      <c r="H265" s="8" t="n">
        <v>13205</v>
      </c>
      <c r="I265" s="8" t="n">
        <v>12795</v>
      </c>
      <c r="J265" s="8" t="n">
        <v>13205</v>
      </c>
      <c r="K265" s="8" t="n">
        <v>12780</v>
      </c>
      <c r="L265" s="8" t="n">
        <v>14010</v>
      </c>
      <c r="M265" s="8" t="n">
        <v>13188</v>
      </c>
      <c r="N265" s="9" t="inlineStr">
        <is>
          <t>否</t>
        </is>
      </c>
      <c r="O265" t="inlineStr">
        <is>
          <t>缺 PP</t>
        </is>
      </c>
    </row>
    <row r="266">
      <c r="A266" s="7" t="inlineStr">
        <is>
          <t>2008-08-14</t>
        </is>
      </c>
      <c r="B266" s="8" t="n"/>
      <c r="C266" s="8" t="n"/>
      <c r="D266" s="8" t="n"/>
      <c r="E266" s="8" t="n"/>
      <c r="F266" s="8" t="n"/>
      <c r="G266" s="8" t="n"/>
      <c r="H266" s="8" t="n">
        <v>13575</v>
      </c>
      <c r="I266" s="8" t="n">
        <v>13500</v>
      </c>
      <c r="J266" s="8" t="n">
        <v>13575</v>
      </c>
      <c r="K266" s="8" t="n">
        <v>13255</v>
      </c>
      <c r="L266" s="8" t="n">
        <v>36904</v>
      </c>
      <c r="M266" s="8" t="n">
        <v>12696</v>
      </c>
      <c r="N266" s="9" t="inlineStr">
        <is>
          <t>否</t>
        </is>
      </c>
      <c r="O266" t="inlineStr">
        <is>
          <t>缺 PP</t>
        </is>
      </c>
    </row>
    <row r="267">
      <c r="A267" s="7" t="inlineStr">
        <is>
          <t>2008-08-15</t>
        </is>
      </c>
      <c r="B267" s="8" t="n"/>
      <c r="C267" s="8" t="n"/>
      <c r="D267" s="8" t="n"/>
      <c r="E267" s="8" t="n"/>
      <c r="F267" s="8" t="n"/>
      <c r="G267" s="8" t="n"/>
      <c r="H267" s="8" t="n">
        <v>13280</v>
      </c>
      <c r="I267" s="8" t="n">
        <v>13370</v>
      </c>
      <c r="J267" s="8" t="n">
        <v>13505</v>
      </c>
      <c r="K267" s="8" t="n">
        <v>13190</v>
      </c>
      <c r="L267" s="8" t="n">
        <v>97774</v>
      </c>
      <c r="M267" s="8" t="n">
        <v>19254</v>
      </c>
      <c r="N267" s="9" t="inlineStr">
        <is>
          <t>否</t>
        </is>
      </c>
      <c r="O267" t="inlineStr">
        <is>
          <t>缺 PP</t>
        </is>
      </c>
    </row>
    <row r="268">
      <c r="A268" s="7" t="inlineStr">
        <is>
          <t>2008-08-18</t>
        </is>
      </c>
      <c r="B268" s="8" t="n"/>
      <c r="C268" s="8" t="n"/>
      <c r="D268" s="8" t="n"/>
      <c r="E268" s="8" t="n"/>
      <c r="F268" s="8" t="n"/>
      <c r="G268" s="8" t="n"/>
      <c r="H268" s="8" t="n">
        <v>13880</v>
      </c>
      <c r="I268" s="8" t="n">
        <v>13500</v>
      </c>
      <c r="J268" s="8" t="n">
        <v>13880</v>
      </c>
      <c r="K268" s="8" t="n">
        <v>13370</v>
      </c>
      <c r="L268" s="8" t="n">
        <v>78220</v>
      </c>
      <c r="M268" s="8" t="n">
        <v>18162</v>
      </c>
      <c r="N268" s="9" t="inlineStr">
        <is>
          <t>否</t>
        </is>
      </c>
      <c r="O268" t="inlineStr">
        <is>
          <t>缺 PP</t>
        </is>
      </c>
    </row>
    <row r="269">
      <c r="A269" s="7" t="inlineStr">
        <is>
          <t>2008-08-19</t>
        </is>
      </c>
      <c r="B269" s="8" t="n"/>
      <c r="C269" s="8" t="n"/>
      <c r="D269" s="8" t="n"/>
      <c r="E269" s="8" t="n"/>
      <c r="F269" s="8" t="n"/>
      <c r="G269" s="8" t="n"/>
      <c r="H269" s="8" t="n">
        <v>13765</v>
      </c>
      <c r="I269" s="8" t="n">
        <v>13750</v>
      </c>
      <c r="J269" s="8" t="n">
        <v>13920</v>
      </c>
      <c r="K269" s="8" t="n">
        <v>13640</v>
      </c>
      <c r="L269" s="8" t="n">
        <v>81780</v>
      </c>
      <c r="M269" s="8" t="n">
        <v>18284</v>
      </c>
      <c r="N269" s="9" t="inlineStr">
        <is>
          <t>否</t>
        </is>
      </c>
      <c r="O269" t="inlineStr">
        <is>
          <t>缺 PP</t>
        </is>
      </c>
    </row>
    <row r="270">
      <c r="A270" s="7" t="inlineStr">
        <is>
          <t>2008-08-20</t>
        </is>
      </c>
      <c r="B270" s="8" t="n"/>
      <c r="C270" s="8" t="n"/>
      <c r="D270" s="8" t="n"/>
      <c r="E270" s="8" t="n"/>
      <c r="F270" s="8" t="n"/>
      <c r="G270" s="8" t="n"/>
      <c r="H270" s="8" t="n">
        <v>13930</v>
      </c>
      <c r="I270" s="8" t="n">
        <v>13815</v>
      </c>
      <c r="J270" s="8" t="n">
        <v>13995</v>
      </c>
      <c r="K270" s="8" t="n">
        <v>13700</v>
      </c>
      <c r="L270" s="8" t="n">
        <v>80754</v>
      </c>
      <c r="M270" s="8" t="n">
        <v>17452</v>
      </c>
      <c r="N270" s="9" t="inlineStr">
        <is>
          <t>否</t>
        </is>
      </c>
      <c r="O270" t="inlineStr">
        <is>
          <t>缺 PP</t>
        </is>
      </c>
    </row>
    <row r="271">
      <c r="A271" s="7" t="inlineStr">
        <is>
          <t>2008-08-21</t>
        </is>
      </c>
      <c r="B271" s="8" t="n"/>
      <c r="C271" s="8" t="n"/>
      <c r="D271" s="8" t="n"/>
      <c r="E271" s="8" t="n"/>
      <c r="F271" s="8" t="n"/>
      <c r="G271" s="8" t="n"/>
      <c r="H271" s="8" t="n">
        <v>14245</v>
      </c>
      <c r="I271" s="8" t="n">
        <v>14000</v>
      </c>
      <c r="J271" s="8" t="n">
        <v>14275</v>
      </c>
      <c r="K271" s="8" t="n">
        <v>13980</v>
      </c>
      <c r="L271" s="8" t="n">
        <v>67924</v>
      </c>
      <c r="M271" s="8" t="n">
        <v>17824</v>
      </c>
      <c r="N271" s="9" t="inlineStr">
        <is>
          <t>否</t>
        </is>
      </c>
      <c r="O271" t="inlineStr">
        <is>
          <t>缺 PP</t>
        </is>
      </c>
    </row>
    <row r="272">
      <c r="A272" s="7" t="inlineStr">
        <is>
          <t>2008-08-22</t>
        </is>
      </c>
      <c r="B272" s="8" t="n"/>
      <c r="C272" s="8" t="n"/>
      <c r="D272" s="8" t="n"/>
      <c r="E272" s="8" t="n"/>
      <c r="F272" s="8" t="n"/>
      <c r="G272" s="8" t="n"/>
      <c r="H272" s="8" t="n">
        <v>14300</v>
      </c>
      <c r="I272" s="8" t="n">
        <v>14400</v>
      </c>
      <c r="J272" s="8" t="n">
        <v>14455</v>
      </c>
      <c r="K272" s="8" t="n">
        <v>14115</v>
      </c>
      <c r="L272" s="8" t="n">
        <v>62484</v>
      </c>
      <c r="M272" s="8" t="n">
        <v>18494</v>
      </c>
      <c r="N272" s="9" t="inlineStr">
        <is>
          <t>否</t>
        </is>
      </c>
      <c r="O272" t="inlineStr">
        <is>
          <t>缺 PP</t>
        </is>
      </c>
    </row>
    <row r="273">
      <c r="A273" s="7" t="inlineStr">
        <is>
          <t>2008-08-25</t>
        </is>
      </c>
      <c r="B273" s="8" t="n"/>
      <c r="C273" s="8" t="n"/>
      <c r="D273" s="8" t="n"/>
      <c r="E273" s="8" t="n"/>
      <c r="F273" s="8" t="n"/>
      <c r="G273" s="8" t="n"/>
      <c r="H273" s="8" t="n">
        <v>13820</v>
      </c>
      <c r="I273" s="8" t="n">
        <v>14195</v>
      </c>
      <c r="J273" s="8" t="n">
        <v>14210</v>
      </c>
      <c r="K273" s="8" t="n">
        <v>13795</v>
      </c>
      <c r="L273" s="8" t="n">
        <v>94304</v>
      </c>
      <c r="M273" s="8" t="n">
        <v>20970</v>
      </c>
      <c r="N273" s="9" t="inlineStr">
        <is>
          <t>否</t>
        </is>
      </c>
      <c r="O273" t="inlineStr">
        <is>
          <t>缺 PP</t>
        </is>
      </c>
    </row>
    <row r="274">
      <c r="A274" s="7" t="inlineStr">
        <is>
          <t>2008-08-26</t>
        </is>
      </c>
      <c r="B274" s="8" t="n"/>
      <c r="C274" s="8" t="n"/>
      <c r="D274" s="8" t="n"/>
      <c r="E274" s="8" t="n"/>
      <c r="F274" s="8" t="n"/>
      <c r="G274" s="8" t="n"/>
      <c r="H274" s="8" t="n">
        <v>13515</v>
      </c>
      <c r="I274" s="8" t="n">
        <v>13860</v>
      </c>
      <c r="J274" s="8" t="n">
        <v>13935</v>
      </c>
      <c r="K274" s="8" t="n">
        <v>13460</v>
      </c>
      <c r="L274" s="8" t="n">
        <v>90374</v>
      </c>
      <c r="M274" s="8" t="n">
        <v>18002</v>
      </c>
      <c r="N274" s="9" t="inlineStr">
        <is>
          <t>否</t>
        </is>
      </c>
      <c r="O274" t="inlineStr">
        <is>
          <t>缺 PP</t>
        </is>
      </c>
    </row>
    <row r="275">
      <c r="A275" s="7" t="inlineStr">
        <is>
          <t>2008-08-27</t>
        </is>
      </c>
      <c r="B275" s="8" t="n"/>
      <c r="C275" s="8" t="n"/>
      <c r="D275" s="8" t="n"/>
      <c r="E275" s="8" t="n"/>
      <c r="F275" s="8" t="n"/>
      <c r="G275" s="8" t="n"/>
      <c r="H275" s="8" t="n">
        <v>13465</v>
      </c>
      <c r="I275" s="8" t="n">
        <v>13680</v>
      </c>
      <c r="J275" s="8" t="n">
        <v>13690</v>
      </c>
      <c r="K275" s="8" t="n">
        <v>13330</v>
      </c>
      <c r="L275" s="8" t="n">
        <v>74980</v>
      </c>
      <c r="M275" s="8" t="n">
        <v>17442</v>
      </c>
      <c r="N275" s="9" t="inlineStr">
        <is>
          <t>否</t>
        </is>
      </c>
      <c r="O275" t="inlineStr">
        <is>
          <t>缺 PP</t>
        </is>
      </c>
    </row>
    <row r="276">
      <c r="A276" s="7" t="inlineStr">
        <is>
          <t>2008-08-28</t>
        </is>
      </c>
      <c r="B276" s="8" t="n"/>
      <c r="C276" s="8" t="n"/>
      <c r="D276" s="8" t="n"/>
      <c r="E276" s="8" t="n"/>
      <c r="F276" s="8" t="n"/>
      <c r="G276" s="8" t="n"/>
      <c r="H276" s="8" t="n">
        <v>13575</v>
      </c>
      <c r="I276" s="8" t="n">
        <v>13490</v>
      </c>
      <c r="J276" s="8" t="n">
        <v>13680</v>
      </c>
      <c r="K276" s="8" t="n">
        <v>13390</v>
      </c>
      <c r="L276" s="8" t="n">
        <v>84746</v>
      </c>
      <c r="M276" s="8" t="n">
        <v>16898</v>
      </c>
      <c r="N276" s="9" t="inlineStr">
        <is>
          <t>否</t>
        </is>
      </c>
      <c r="O276" t="inlineStr">
        <is>
          <t>缺 PP</t>
        </is>
      </c>
    </row>
    <row r="277">
      <c r="A277" s="7" t="inlineStr">
        <is>
          <t>2008-08-29</t>
        </is>
      </c>
      <c r="B277" s="8" t="n"/>
      <c r="C277" s="8" t="n"/>
      <c r="D277" s="8" t="n"/>
      <c r="E277" s="8" t="n"/>
      <c r="F277" s="8" t="n"/>
      <c r="G277" s="8" t="n"/>
      <c r="H277" s="8" t="n">
        <v>13525</v>
      </c>
      <c r="I277" s="8" t="n">
        <v>13420</v>
      </c>
      <c r="J277" s="8" t="n">
        <v>13680</v>
      </c>
      <c r="K277" s="8" t="n">
        <v>13395</v>
      </c>
      <c r="L277" s="8" t="n">
        <v>56108</v>
      </c>
      <c r="M277" s="8" t="n">
        <v>16616</v>
      </c>
      <c r="N277" s="9" t="inlineStr">
        <is>
          <t>否</t>
        </is>
      </c>
      <c r="O277" t="inlineStr">
        <is>
          <t>缺 PP</t>
        </is>
      </c>
    </row>
    <row r="278">
      <c r="A278" s="7" t="inlineStr">
        <is>
          <t>2008-09-01</t>
        </is>
      </c>
      <c r="B278" s="8" t="n"/>
      <c r="C278" s="8" t="n"/>
      <c r="D278" s="8" t="n"/>
      <c r="E278" s="8" t="n"/>
      <c r="F278" s="8" t="n"/>
      <c r="G278" s="8" t="n"/>
      <c r="H278" s="8" t="n">
        <v>13500</v>
      </c>
      <c r="I278" s="8" t="n">
        <v>13500</v>
      </c>
      <c r="J278" s="8" t="n">
        <v>13675</v>
      </c>
      <c r="K278" s="8" t="n">
        <v>13390</v>
      </c>
      <c r="L278" s="8" t="n">
        <v>57006</v>
      </c>
      <c r="M278" s="8" t="n">
        <v>16936</v>
      </c>
      <c r="N278" s="9" t="inlineStr">
        <is>
          <t>否</t>
        </is>
      </c>
      <c r="O278" t="inlineStr">
        <is>
          <t>缺 PP</t>
        </is>
      </c>
    </row>
    <row r="279">
      <c r="A279" s="7" t="inlineStr">
        <is>
          <t>2008-09-02</t>
        </is>
      </c>
      <c r="B279" s="8" t="n"/>
      <c r="C279" s="8" t="n"/>
      <c r="D279" s="8" t="n"/>
      <c r="E279" s="8" t="n"/>
      <c r="F279" s="8" t="n"/>
      <c r="G279" s="8" t="n"/>
      <c r="H279" s="8" t="n">
        <v>12990</v>
      </c>
      <c r="I279" s="8" t="n">
        <v>13380</v>
      </c>
      <c r="J279" s="8" t="n">
        <v>13380</v>
      </c>
      <c r="K279" s="8" t="n">
        <v>12990</v>
      </c>
      <c r="L279" s="8" t="n">
        <v>31186</v>
      </c>
      <c r="M279" s="8" t="n">
        <v>15732</v>
      </c>
      <c r="N279" s="9" t="inlineStr">
        <is>
          <t>否</t>
        </is>
      </c>
      <c r="O279" t="inlineStr">
        <is>
          <t>缺 PP</t>
        </is>
      </c>
    </row>
    <row r="280">
      <c r="A280" s="7" t="inlineStr">
        <is>
          <t>2008-09-03</t>
        </is>
      </c>
      <c r="B280" s="8" t="n"/>
      <c r="C280" s="8" t="n"/>
      <c r="D280" s="8" t="n"/>
      <c r="E280" s="8" t="n"/>
      <c r="F280" s="8" t="n"/>
      <c r="G280" s="8" t="n"/>
      <c r="H280" s="8" t="n">
        <v>12695</v>
      </c>
      <c r="I280" s="8" t="n">
        <v>12825</v>
      </c>
      <c r="J280" s="8" t="n">
        <v>12860</v>
      </c>
      <c r="K280" s="8" t="n">
        <v>12635</v>
      </c>
      <c r="L280" s="8" t="n">
        <v>58466</v>
      </c>
      <c r="M280" s="8" t="n">
        <v>13962</v>
      </c>
      <c r="N280" s="9" t="inlineStr">
        <is>
          <t>否</t>
        </is>
      </c>
      <c r="O280" t="inlineStr">
        <is>
          <t>缺 PP</t>
        </is>
      </c>
    </row>
    <row r="281">
      <c r="A281" s="7" t="inlineStr">
        <is>
          <t>2008-09-04</t>
        </is>
      </c>
      <c r="B281" s="8" t="n"/>
      <c r="C281" s="8" t="n"/>
      <c r="D281" s="8" t="n"/>
      <c r="E281" s="8" t="n"/>
      <c r="F281" s="8" t="n"/>
      <c r="G281" s="8" t="n"/>
      <c r="H281" s="8" t="n">
        <v>12740</v>
      </c>
      <c r="I281" s="8" t="n">
        <v>12720</v>
      </c>
      <c r="J281" s="8" t="n">
        <v>12795</v>
      </c>
      <c r="K281" s="8" t="n">
        <v>12640</v>
      </c>
      <c r="L281" s="8" t="n">
        <v>56702</v>
      </c>
      <c r="M281" s="8" t="n">
        <v>14390</v>
      </c>
      <c r="N281" s="9" t="inlineStr">
        <is>
          <t>否</t>
        </is>
      </c>
      <c r="O281" t="inlineStr">
        <is>
          <t>缺 PP</t>
        </is>
      </c>
    </row>
    <row r="282">
      <c r="A282" s="7" t="inlineStr">
        <is>
          <t>2008-09-05</t>
        </is>
      </c>
      <c r="B282" s="8" t="n"/>
      <c r="C282" s="8" t="n"/>
      <c r="D282" s="8" t="n"/>
      <c r="E282" s="8" t="n"/>
      <c r="F282" s="8" t="n"/>
      <c r="G282" s="8" t="n"/>
      <c r="H282" s="8" t="n">
        <v>12750</v>
      </c>
      <c r="I282" s="8" t="n">
        <v>12600</v>
      </c>
      <c r="J282" s="8" t="n">
        <v>12850</v>
      </c>
      <c r="K282" s="8" t="n">
        <v>12550</v>
      </c>
      <c r="L282" s="8" t="n">
        <v>62504</v>
      </c>
      <c r="M282" s="8" t="n">
        <v>15670</v>
      </c>
      <c r="N282" s="9" t="inlineStr">
        <is>
          <t>否</t>
        </is>
      </c>
      <c r="O282" t="inlineStr">
        <is>
          <t>缺 PP</t>
        </is>
      </c>
    </row>
    <row r="283">
      <c r="A283" s="7" t="inlineStr">
        <is>
          <t>2008-09-08</t>
        </is>
      </c>
      <c r="B283" s="8" t="n"/>
      <c r="C283" s="8" t="n"/>
      <c r="D283" s="8" t="n"/>
      <c r="E283" s="8" t="n"/>
      <c r="F283" s="8" t="n"/>
      <c r="G283" s="8" t="n"/>
      <c r="H283" s="8" t="n">
        <v>12555</v>
      </c>
      <c r="I283" s="8" t="n">
        <v>12860</v>
      </c>
      <c r="J283" s="8" t="n">
        <v>12970</v>
      </c>
      <c r="K283" s="8" t="n">
        <v>12550</v>
      </c>
      <c r="L283" s="8" t="n">
        <v>89520</v>
      </c>
      <c r="M283" s="8" t="n">
        <v>20414</v>
      </c>
      <c r="N283" s="9" t="inlineStr">
        <is>
          <t>否</t>
        </is>
      </c>
      <c r="O283" t="inlineStr">
        <is>
          <t>缺 PP</t>
        </is>
      </c>
    </row>
    <row r="284">
      <c r="A284" s="7" t="inlineStr">
        <is>
          <t>2008-09-09</t>
        </is>
      </c>
      <c r="B284" s="8" t="n"/>
      <c r="C284" s="8" t="n"/>
      <c r="D284" s="8" t="n"/>
      <c r="E284" s="8" t="n"/>
      <c r="F284" s="8" t="n"/>
      <c r="G284" s="8" t="n"/>
      <c r="H284" s="8" t="n">
        <v>12295</v>
      </c>
      <c r="I284" s="8" t="n">
        <v>12460</v>
      </c>
      <c r="J284" s="8" t="n">
        <v>12500</v>
      </c>
      <c r="K284" s="8" t="n">
        <v>12235</v>
      </c>
      <c r="L284" s="8" t="n">
        <v>87492</v>
      </c>
      <c r="M284" s="8" t="n">
        <v>19568</v>
      </c>
      <c r="N284" s="9" t="inlineStr">
        <is>
          <t>否</t>
        </is>
      </c>
      <c r="O284" t="inlineStr">
        <is>
          <t>缺 PP</t>
        </is>
      </c>
    </row>
    <row r="285">
      <c r="A285" s="7" t="inlineStr">
        <is>
          <t>2008-09-10</t>
        </is>
      </c>
      <c r="B285" s="8" t="n"/>
      <c r="C285" s="8" t="n"/>
      <c r="D285" s="8" t="n"/>
      <c r="E285" s="8" t="n"/>
      <c r="F285" s="8" t="n"/>
      <c r="G285" s="8" t="n"/>
      <c r="H285" s="8" t="n">
        <v>12400</v>
      </c>
      <c r="I285" s="8" t="n">
        <v>12075</v>
      </c>
      <c r="J285" s="8" t="n">
        <v>12405</v>
      </c>
      <c r="K285" s="8" t="n">
        <v>12075</v>
      </c>
      <c r="L285" s="8" t="n">
        <v>85444</v>
      </c>
      <c r="M285" s="8" t="n">
        <v>19906</v>
      </c>
      <c r="N285" s="9" t="inlineStr">
        <is>
          <t>否</t>
        </is>
      </c>
      <c r="O285" t="inlineStr">
        <is>
          <t>缺 PP</t>
        </is>
      </c>
    </row>
    <row r="286">
      <c r="A286" s="7" t="inlineStr">
        <is>
          <t>2008-09-11</t>
        </is>
      </c>
      <c r="B286" s="8" t="n"/>
      <c r="C286" s="8" t="n"/>
      <c r="D286" s="8" t="n"/>
      <c r="E286" s="8" t="n"/>
      <c r="F286" s="8" t="n"/>
      <c r="G286" s="8" t="n"/>
      <c r="H286" s="8" t="n">
        <v>12325</v>
      </c>
      <c r="I286" s="8" t="n">
        <v>12435</v>
      </c>
      <c r="J286" s="8" t="n">
        <v>12435</v>
      </c>
      <c r="K286" s="8" t="n">
        <v>12220</v>
      </c>
      <c r="L286" s="8" t="n">
        <v>89618</v>
      </c>
      <c r="M286" s="8" t="n">
        <v>20712</v>
      </c>
      <c r="N286" s="9" t="inlineStr">
        <is>
          <t>否</t>
        </is>
      </c>
      <c r="O286" t="inlineStr">
        <is>
          <t>缺 PP</t>
        </is>
      </c>
    </row>
    <row r="287">
      <c r="A287" s="7" t="inlineStr">
        <is>
          <t>2008-09-12</t>
        </is>
      </c>
      <c r="B287" s="8" t="n"/>
      <c r="C287" s="8" t="n"/>
      <c r="D287" s="8" t="n"/>
      <c r="E287" s="8" t="n"/>
      <c r="F287" s="8" t="n"/>
      <c r="G287" s="8" t="n"/>
      <c r="H287" s="8" t="n">
        <v>12645</v>
      </c>
      <c r="I287" s="8" t="n">
        <v>12350</v>
      </c>
      <c r="J287" s="8" t="n">
        <v>12650</v>
      </c>
      <c r="K287" s="8" t="n">
        <v>12280</v>
      </c>
      <c r="L287" s="8" t="n">
        <v>124966</v>
      </c>
      <c r="M287" s="8" t="n">
        <v>24330</v>
      </c>
      <c r="N287" s="9" t="inlineStr">
        <is>
          <t>否</t>
        </is>
      </c>
      <c r="O287" t="inlineStr">
        <is>
          <t>缺 PP</t>
        </is>
      </c>
    </row>
    <row r="288">
      <c r="A288" s="7" t="inlineStr">
        <is>
          <t>2008-09-15</t>
        </is>
      </c>
      <c r="B288" s="8" t="n"/>
      <c r="C288" s="8" t="n"/>
      <c r="D288" s="8" t="n"/>
      <c r="E288" s="8" t="n"/>
      <c r="F288" s="8" t="n"/>
      <c r="G288" s="8" t="n"/>
      <c r="H288" s="8" t="n">
        <v>12655</v>
      </c>
      <c r="I288" s="8" t="n">
        <v>12350</v>
      </c>
      <c r="J288" s="8" t="n">
        <v>12655</v>
      </c>
      <c r="K288" s="8" t="n">
        <v>12280</v>
      </c>
      <c r="L288" s="8" t="n">
        <v>127164</v>
      </c>
      <c r="M288" s="8" t="n">
        <v>23084</v>
      </c>
      <c r="N288" s="9" t="inlineStr">
        <is>
          <t>否</t>
        </is>
      </c>
      <c r="O288" t="inlineStr">
        <is>
          <t>缺 PP</t>
        </is>
      </c>
    </row>
    <row r="289">
      <c r="A289" s="7" t="inlineStr">
        <is>
          <t>2008-09-16</t>
        </is>
      </c>
      <c r="B289" s="8" t="n"/>
      <c r="C289" s="8" t="n"/>
      <c r="D289" s="8" t="n"/>
      <c r="E289" s="8" t="n"/>
      <c r="F289" s="8" t="n"/>
      <c r="G289" s="8" t="n"/>
      <c r="H289" s="8" t="n">
        <v>11970</v>
      </c>
      <c r="I289" s="8" t="n">
        <v>12100</v>
      </c>
      <c r="J289" s="8" t="n">
        <v>12230</v>
      </c>
      <c r="K289" s="8" t="n">
        <v>11970</v>
      </c>
      <c r="L289" s="8" t="n">
        <v>64834</v>
      </c>
      <c r="M289" s="8" t="n">
        <v>18818</v>
      </c>
      <c r="N289" s="9" t="inlineStr">
        <is>
          <t>否</t>
        </is>
      </c>
      <c r="O289" t="inlineStr">
        <is>
          <t>缺 PP</t>
        </is>
      </c>
    </row>
    <row r="290">
      <c r="A290" s="7" t="inlineStr">
        <is>
          <t>2008-09-17</t>
        </is>
      </c>
      <c r="B290" s="8" t="n"/>
      <c r="C290" s="8" t="n"/>
      <c r="D290" s="8" t="n"/>
      <c r="E290" s="8" t="n"/>
      <c r="F290" s="8" t="n"/>
      <c r="G290" s="8" t="n"/>
      <c r="H290" s="8" t="n">
        <v>11850</v>
      </c>
      <c r="I290" s="8" t="n">
        <v>12005</v>
      </c>
      <c r="J290" s="8" t="n">
        <v>12055</v>
      </c>
      <c r="K290" s="8" t="n">
        <v>11765</v>
      </c>
      <c r="L290" s="8" t="n">
        <v>81428</v>
      </c>
      <c r="M290" s="8" t="n">
        <v>19778</v>
      </c>
      <c r="N290" s="9" t="inlineStr">
        <is>
          <t>否</t>
        </is>
      </c>
      <c r="O290" t="inlineStr">
        <is>
          <t>缺 PP</t>
        </is>
      </c>
    </row>
    <row r="291">
      <c r="A291" s="7" t="inlineStr">
        <is>
          <t>2008-09-18</t>
        </is>
      </c>
      <c r="B291" s="8" t="n"/>
      <c r="C291" s="8" t="n"/>
      <c r="D291" s="8" t="n"/>
      <c r="E291" s="8" t="n"/>
      <c r="F291" s="8" t="n"/>
      <c r="G291" s="8" t="n"/>
      <c r="H291" s="8" t="n">
        <v>11620</v>
      </c>
      <c r="I291" s="8" t="n">
        <v>12050</v>
      </c>
      <c r="J291" s="8" t="n">
        <v>12360</v>
      </c>
      <c r="K291" s="8" t="n">
        <v>11550</v>
      </c>
      <c r="L291" s="8" t="n">
        <v>89380</v>
      </c>
      <c r="M291" s="8" t="n">
        <v>19656</v>
      </c>
      <c r="N291" s="9" t="inlineStr">
        <is>
          <t>否</t>
        </is>
      </c>
      <c r="O291" t="inlineStr">
        <is>
          <t>缺 PP</t>
        </is>
      </c>
    </row>
    <row r="292">
      <c r="A292" s="7" t="inlineStr">
        <is>
          <t>2008-09-19</t>
        </is>
      </c>
      <c r="B292" s="8" t="n"/>
      <c r="C292" s="8" t="n"/>
      <c r="D292" s="8" t="n"/>
      <c r="E292" s="8" t="n"/>
      <c r="F292" s="8" t="n"/>
      <c r="G292" s="8" t="n"/>
      <c r="H292" s="8" t="n">
        <v>11665</v>
      </c>
      <c r="I292" s="8" t="n">
        <v>11750</v>
      </c>
      <c r="J292" s="8" t="n">
        <v>11750</v>
      </c>
      <c r="K292" s="8" t="n">
        <v>11525</v>
      </c>
      <c r="L292" s="8" t="n">
        <v>69366</v>
      </c>
      <c r="M292" s="8" t="n">
        <v>19170</v>
      </c>
      <c r="N292" s="9" t="inlineStr">
        <is>
          <t>否</t>
        </is>
      </c>
      <c r="O292" t="inlineStr">
        <is>
          <t>缺 PP</t>
        </is>
      </c>
    </row>
    <row r="293">
      <c r="A293" s="7" t="inlineStr">
        <is>
          <t>2008-09-22</t>
        </is>
      </c>
      <c r="B293" s="8" t="n"/>
      <c r="C293" s="8" t="n"/>
      <c r="D293" s="8" t="n"/>
      <c r="E293" s="8" t="n"/>
      <c r="F293" s="8" t="n"/>
      <c r="G293" s="8" t="n"/>
      <c r="H293" s="8" t="n">
        <v>12125</v>
      </c>
      <c r="I293" s="8" t="n">
        <v>11960</v>
      </c>
      <c r="J293" s="8" t="n">
        <v>12125</v>
      </c>
      <c r="K293" s="8" t="n">
        <v>11900</v>
      </c>
      <c r="L293" s="8" t="n">
        <v>54884</v>
      </c>
      <c r="M293" s="8" t="n">
        <v>21686</v>
      </c>
      <c r="N293" s="9" t="inlineStr">
        <is>
          <t>否</t>
        </is>
      </c>
      <c r="O293" t="inlineStr">
        <is>
          <t>缺 PP</t>
        </is>
      </c>
    </row>
    <row r="294">
      <c r="A294" s="7" t="inlineStr">
        <is>
          <t>2008-09-23</t>
        </is>
      </c>
      <c r="B294" s="8" t="n"/>
      <c r="C294" s="8" t="n"/>
      <c r="D294" s="8" t="n"/>
      <c r="E294" s="8" t="n"/>
      <c r="F294" s="8" t="n"/>
      <c r="G294" s="8" t="n"/>
      <c r="H294" s="8" t="n">
        <v>12160</v>
      </c>
      <c r="I294" s="8" t="n">
        <v>12470</v>
      </c>
      <c r="J294" s="8" t="n">
        <v>12470</v>
      </c>
      <c r="K294" s="8" t="n">
        <v>12150</v>
      </c>
      <c r="L294" s="8" t="n">
        <v>70086</v>
      </c>
      <c r="M294" s="8" t="n">
        <v>20858</v>
      </c>
      <c r="N294" s="9" t="inlineStr">
        <is>
          <t>否</t>
        </is>
      </c>
      <c r="O294" t="inlineStr">
        <is>
          <t>缺 PP</t>
        </is>
      </c>
    </row>
    <row r="295">
      <c r="A295" s="7" t="inlineStr">
        <is>
          <t>2008-09-24</t>
        </is>
      </c>
      <c r="B295" s="8" t="n"/>
      <c r="C295" s="8" t="n"/>
      <c r="D295" s="8" t="n"/>
      <c r="E295" s="8" t="n"/>
      <c r="F295" s="8" t="n"/>
      <c r="G295" s="8" t="n"/>
      <c r="H295" s="8" t="n">
        <v>12015</v>
      </c>
      <c r="I295" s="8" t="n">
        <v>12100</v>
      </c>
      <c r="J295" s="8" t="n">
        <v>12180</v>
      </c>
      <c r="K295" s="8" t="n">
        <v>11845</v>
      </c>
      <c r="L295" s="8" t="n">
        <v>87664</v>
      </c>
      <c r="M295" s="8" t="n">
        <v>21680</v>
      </c>
      <c r="N295" s="9" t="inlineStr">
        <is>
          <t>否</t>
        </is>
      </c>
      <c r="O295" t="inlineStr">
        <is>
          <t>缺 PP</t>
        </is>
      </c>
    </row>
    <row r="296">
      <c r="A296" s="7" t="inlineStr">
        <is>
          <t>2008-09-25</t>
        </is>
      </c>
      <c r="B296" s="8" t="n"/>
      <c r="C296" s="8" t="n"/>
      <c r="D296" s="8" t="n"/>
      <c r="E296" s="8" t="n"/>
      <c r="F296" s="8" t="n"/>
      <c r="G296" s="8" t="n"/>
      <c r="H296" s="8" t="n">
        <v>11855</v>
      </c>
      <c r="I296" s="8" t="n">
        <v>11880</v>
      </c>
      <c r="J296" s="8" t="n">
        <v>11935</v>
      </c>
      <c r="K296" s="8" t="n">
        <v>11730</v>
      </c>
      <c r="L296" s="8" t="n">
        <v>63832</v>
      </c>
      <c r="M296" s="8" t="n">
        <v>17782</v>
      </c>
      <c r="N296" s="9" t="inlineStr">
        <is>
          <t>否</t>
        </is>
      </c>
      <c r="O296" t="inlineStr">
        <is>
          <t>缺 PP</t>
        </is>
      </c>
    </row>
    <row r="297">
      <c r="A297" s="7" t="inlineStr">
        <is>
          <t>2008-09-26</t>
        </is>
      </c>
      <c r="B297" s="8" t="n"/>
      <c r="C297" s="8" t="n"/>
      <c r="D297" s="8" t="n"/>
      <c r="E297" s="8" t="n"/>
      <c r="F297" s="8" t="n"/>
      <c r="G297" s="8" t="n"/>
      <c r="H297" s="8" t="n">
        <v>11605</v>
      </c>
      <c r="I297" s="8" t="n">
        <v>11750</v>
      </c>
      <c r="J297" s="8" t="n">
        <v>11850</v>
      </c>
      <c r="K297" s="8" t="n">
        <v>11550</v>
      </c>
      <c r="L297" s="8" t="n">
        <v>54994</v>
      </c>
      <c r="M297" s="8" t="n">
        <v>19154</v>
      </c>
      <c r="N297" s="9" t="inlineStr">
        <is>
          <t>否</t>
        </is>
      </c>
      <c r="O297" t="inlineStr">
        <is>
          <t>缺 PP</t>
        </is>
      </c>
    </row>
    <row r="298">
      <c r="A298" s="7" t="inlineStr">
        <is>
          <t>2008-10-06</t>
        </is>
      </c>
      <c r="B298" s="8" t="n"/>
      <c r="C298" s="8" t="n"/>
      <c r="D298" s="8" t="n"/>
      <c r="E298" s="8" t="n"/>
      <c r="F298" s="8" t="n"/>
      <c r="G298" s="8" t="n"/>
      <c r="H298" s="8" t="n">
        <v>11090</v>
      </c>
      <c r="I298" s="8" t="n">
        <v>11090</v>
      </c>
      <c r="J298" s="8" t="n">
        <v>11120</v>
      </c>
      <c r="K298" s="8" t="n">
        <v>11090</v>
      </c>
      <c r="L298" s="8" t="n">
        <v>6488</v>
      </c>
      <c r="M298" s="8" t="n">
        <v>20132</v>
      </c>
      <c r="N298" s="9" t="inlineStr">
        <is>
          <t>否</t>
        </is>
      </c>
      <c r="O298" t="inlineStr">
        <is>
          <t>缺 PP</t>
        </is>
      </c>
    </row>
    <row r="299">
      <c r="A299" s="7" t="inlineStr">
        <is>
          <t>2008-10-07</t>
        </is>
      </c>
      <c r="B299" s="8" t="n"/>
      <c r="C299" s="8" t="n"/>
      <c r="D299" s="8" t="n"/>
      <c r="E299" s="8" t="n"/>
      <c r="F299" s="8" t="n"/>
      <c r="G299" s="8" t="n"/>
      <c r="H299" s="8" t="n">
        <v>10810</v>
      </c>
      <c r="I299" s="8" t="n">
        <v>10540</v>
      </c>
      <c r="J299" s="8" t="n">
        <v>10825</v>
      </c>
      <c r="K299" s="8" t="n">
        <v>10540</v>
      </c>
      <c r="L299" s="8" t="n">
        <v>73642</v>
      </c>
      <c r="M299" s="8" t="n">
        <v>22900</v>
      </c>
      <c r="N299" s="9" t="inlineStr">
        <is>
          <t>否</t>
        </is>
      </c>
      <c r="O299" t="inlineStr">
        <is>
          <t>缺 PP</t>
        </is>
      </c>
    </row>
    <row r="300">
      <c r="A300" s="7" t="inlineStr">
        <is>
          <t>2008-10-08</t>
        </is>
      </c>
      <c r="B300" s="8" t="n"/>
      <c r="C300" s="8" t="n"/>
      <c r="D300" s="8" t="n"/>
      <c r="E300" s="8" t="n"/>
      <c r="F300" s="8" t="n"/>
      <c r="G300" s="8" t="n"/>
      <c r="H300" s="8" t="n">
        <v>10130</v>
      </c>
      <c r="I300" s="8" t="n">
        <v>10660</v>
      </c>
      <c r="J300" s="8" t="n">
        <v>10810</v>
      </c>
      <c r="K300" s="8" t="n">
        <v>10130</v>
      </c>
      <c r="L300" s="8" t="n">
        <v>100980</v>
      </c>
      <c r="M300" s="8" t="n">
        <v>27450</v>
      </c>
      <c r="N300" s="9" t="inlineStr">
        <is>
          <t>否</t>
        </is>
      </c>
      <c r="O300" t="inlineStr">
        <is>
          <t>缺 PP</t>
        </is>
      </c>
    </row>
    <row r="301">
      <c r="A301" s="7" t="inlineStr">
        <is>
          <t>2008-10-09</t>
        </is>
      </c>
      <c r="B301" s="8" t="n"/>
      <c r="C301" s="8" t="n"/>
      <c r="D301" s="8" t="n"/>
      <c r="E301" s="8" t="n"/>
      <c r="F301" s="8" t="n"/>
      <c r="G301" s="8" t="n"/>
      <c r="H301" s="8" t="n">
        <v>9870</v>
      </c>
      <c r="I301" s="8" t="n">
        <v>10200</v>
      </c>
      <c r="J301" s="8" t="n">
        <v>10240</v>
      </c>
      <c r="K301" s="8" t="n">
        <v>9870</v>
      </c>
      <c r="L301" s="8" t="n">
        <v>101072</v>
      </c>
      <c r="M301" s="8" t="n">
        <v>27758</v>
      </c>
      <c r="N301" s="9" t="inlineStr">
        <is>
          <t>否</t>
        </is>
      </c>
      <c r="O301" t="inlineStr">
        <is>
          <t>缺 PP</t>
        </is>
      </c>
    </row>
    <row r="302">
      <c r="A302" s="7" t="inlineStr">
        <is>
          <t>2008-10-10</t>
        </is>
      </c>
      <c r="B302" s="8" t="n"/>
      <c r="C302" s="8" t="n"/>
      <c r="D302" s="8" t="n"/>
      <c r="E302" s="8" t="n"/>
      <c r="F302" s="8" t="n"/>
      <c r="G302" s="8" t="n"/>
      <c r="H302" s="8" t="n">
        <v>9495</v>
      </c>
      <c r="I302" s="8" t="n">
        <v>9495</v>
      </c>
      <c r="J302" s="8" t="n">
        <v>9520</v>
      </c>
      <c r="K302" s="8" t="n">
        <v>9495</v>
      </c>
      <c r="L302" s="8" t="n">
        <v>4892</v>
      </c>
      <c r="M302" s="8" t="n">
        <v>27860</v>
      </c>
      <c r="N302" s="9" t="inlineStr">
        <is>
          <t>否</t>
        </is>
      </c>
      <c r="O302" t="inlineStr">
        <is>
          <t>缺 PP</t>
        </is>
      </c>
    </row>
    <row r="303">
      <c r="A303" s="7" t="inlineStr">
        <is>
          <t>2008-10-13</t>
        </is>
      </c>
      <c r="B303" s="8" t="n"/>
      <c r="C303" s="8" t="n"/>
      <c r="D303" s="8" t="n"/>
      <c r="E303" s="8" t="n"/>
      <c r="F303" s="8" t="n"/>
      <c r="G303" s="8" t="n"/>
      <c r="H303" s="8" t="n">
        <v>9025</v>
      </c>
      <c r="I303" s="8" t="n">
        <v>9025</v>
      </c>
      <c r="J303" s="8" t="n">
        <v>9370</v>
      </c>
      <c r="K303" s="8" t="n">
        <v>9025</v>
      </c>
      <c r="L303" s="8" t="n">
        <v>58594</v>
      </c>
      <c r="M303" s="8" t="n">
        <v>25886</v>
      </c>
      <c r="N303" s="9" t="inlineStr">
        <is>
          <t>否</t>
        </is>
      </c>
      <c r="O303" t="inlineStr">
        <is>
          <t>缺 PP</t>
        </is>
      </c>
    </row>
    <row r="304">
      <c r="A304" s="7" t="inlineStr">
        <is>
          <t>2008-10-14</t>
        </is>
      </c>
      <c r="B304" s="8" t="n"/>
      <c r="C304" s="8" t="n"/>
      <c r="D304" s="8" t="n"/>
      <c r="E304" s="8" t="n"/>
      <c r="F304" s="8" t="n"/>
      <c r="G304" s="8" t="n"/>
      <c r="H304" s="8" t="n">
        <v>8895</v>
      </c>
      <c r="I304" s="8" t="n">
        <v>9490</v>
      </c>
      <c r="J304" s="8" t="n">
        <v>9510</v>
      </c>
      <c r="K304" s="8" t="n">
        <v>8775</v>
      </c>
      <c r="L304" s="8" t="n">
        <v>190300</v>
      </c>
      <c r="M304" s="8" t="n">
        <v>32442</v>
      </c>
      <c r="N304" s="9" t="inlineStr">
        <is>
          <t>否</t>
        </is>
      </c>
      <c r="O304" t="inlineStr">
        <is>
          <t>缺 PP</t>
        </is>
      </c>
    </row>
    <row r="305">
      <c r="A305" s="7" t="inlineStr">
        <is>
          <t>2008-10-15</t>
        </is>
      </c>
      <c r="B305" s="8" t="n"/>
      <c r="C305" s="8" t="n"/>
      <c r="D305" s="8" t="n"/>
      <c r="E305" s="8" t="n"/>
      <c r="F305" s="8" t="n"/>
      <c r="G305" s="8" t="n"/>
      <c r="H305" s="8" t="n">
        <v>8545</v>
      </c>
      <c r="I305" s="8" t="n">
        <v>8545</v>
      </c>
      <c r="J305" s="8" t="n">
        <v>8600</v>
      </c>
      <c r="K305" s="8" t="n">
        <v>8545</v>
      </c>
      <c r="L305" s="8" t="n">
        <v>13276</v>
      </c>
      <c r="M305" s="8" t="n">
        <v>29396</v>
      </c>
      <c r="N305" s="9" t="inlineStr">
        <is>
          <t>否</t>
        </is>
      </c>
      <c r="O305" t="inlineStr">
        <is>
          <t>缺 PP</t>
        </is>
      </c>
    </row>
    <row r="306">
      <c r="A306" s="7" t="inlineStr">
        <is>
          <t>2008-10-16</t>
        </is>
      </c>
      <c r="B306" s="8" t="n"/>
      <c r="C306" s="8" t="n"/>
      <c r="D306" s="8" t="n"/>
      <c r="E306" s="8" t="n"/>
      <c r="F306" s="8" t="n"/>
      <c r="G306" s="8" t="n"/>
      <c r="H306" s="8" t="n">
        <v>8120</v>
      </c>
      <c r="I306" s="8" t="n">
        <v>8120</v>
      </c>
      <c r="J306" s="8" t="n">
        <v>8120</v>
      </c>
      <c r="K306" s="8" t="n">
        <v>8120</v>
      </c>
      <c r="L306" s="8" t="n">
        <v>1282</v>
      </c>
      <c r="M306" s="8" t="n">
        <v>29298</v>
      </c>
      <c r="N306" s="9" t="inlineStr">
        <is>
          <t>否</t>
        </is>
      </c>
      <c r="O306" t="inlineStr">
        <is>
          <t>缺 PP</t>
        </is>
      </c>
    </row>
    <row r="307">
      <c r="A307" s="7" t="inlineStr">
        <is>
          <t>2008-10-17</t>
        </is>
      </c>
      <c r="B307" s="8" t="n"/>
      <c r="C307" s="8" t="n"/>
      <c r="D307" s="8" t="n"/>
      <c r="E307" s="8" t="n"/>
      <c r="F307" s="8" t="n"/>
      <c r="G307" s="8" t="n"/>
      <c r="H307" s="8" t="n">
        <v>8060</v>
      </c>
      <c r="I307" s="8" t="n">
        <v>7920</v>
      </c>
      <c r="J307" s="8" t="n">
        <v>8390</v>
      </c>
      <c r="K307" s="8" t="n">
        <v>7715</v>
      </c>
      <c r="L307" s="8" t="n">
        <v>186546</v>
      </c>
      <c r="M307" s="8" t="n">
        <v>33876</v>
      </c>
      <c r="N307" s="9" t="inlineStr">
        <is>
          <t>否</t>
        </is>
      </c>
      <c r="O307" t="inlineStr">
        <is>
          <t>缺 PP</t>
        </is>
      </c>
    </row>
    <row r="308">
      <c r="A308" s="7" t="inlineStr">
        <is>
          <t>2008-10-20</t>
        </is>
      </c>
      <c r="B308" s="8" t="n"/>
      <c r="C308" s="8" t="n"/>
      <c r="D308" s="8" t="n"/>
      <c r="E308" s="8" t="n"/>
      <c r="F308" s="8" t="n"/>
      <c r="G308" s="8" t="n"/>
      <c r="H308" s="8" t="n">
        <v>8380</v>
      </c>
      <c r="I308" s="8" t="n">
        <v>8200</v>
      </c>
      <c r="J308" s="8" t="n">
        <v>8400</v>
      </c>
      <c r="K308" s="8" t="n">
        <v>7880</v>
      </c>
      <c r="L308" s="8" t="n">
        <v>199388</v>
      </c>
      <c r="M308" s="8" t="n">
        <v>35950</v>
      </c>
      <c r="N308" s="9" t="inlineStr">
        <is>
          <t>否</t>
        </is>
      </c>
      <c r="O308" t="inlineStr">
        <is>
          <t>缺 PP</t>
        </is>
      </c>
    </row>
    <row r="309">
      <c r="A309" s="7" t="inlineStr">
        <is>
          <t>2008-10-21</t>
        </is>
      </c>
      <c r="B309" s="8" t="n"/>
      <c r="C309" s="8" t="n"/>
      <c r="D309" s="8" t="n"/>
      <c r="E309" s="8" t="n"/>
      <c r="F309" s="8" t="n"/>
      <c r="G309" s="8" t="n"/>
      <c r="H309" s="8" t="n">
        <v>7970</v>
      </c>
      <c r="I309" s="8" t="n">
        <v>8400</v>
      </c>
      <c r="J309" s="8" t="n">
        <v>8580</v>
      </c>
      <c r="K309" s="8" t="n">
        <v>7785</v>
      </c>
      <c r="L309" s="8" t="n">
        <v>273486</v>
      </c>
      <c r="M309" s="8" t="n">
        <v>31664</v>
      </c>
      <c r="N309" s="9" t="inlineStr">
        <is>
          <t>否</t>
        </is>
      </c>
      <c r="O309" t="inlineStr">
        <is>
          <t>缺 PP</t>
        </is>
      </c>
    </row>
    <row r="310">
      <c r="A310" s="7" t="inlineStr">
        <is>
          <t>2008-10-22</t>
        </is>
      </c>
      <c r="B310" s="8" t="n"/>
      <c r="C310" s="8" t="n"/>
      <c r="D310" s="8" t="n"/>
      <c r="E310" s="8" t="n"/>
      <c r="F310" s="8" t="n"/>
      <c r="G310" s="8" t="n"/>
      <c r="H310" s="8" t="n">
        <v>7730</v>
      </c>
      <c r="I310" s="8" t="n">
        <v>7730</v>
      </c>
      <c r="J310" s="8" t="n">
        <v>7915</v>
      </c>
      <c r="K310" s="8" t="n">
        <v>7730</v>
      </c>
      <c r="L310" s="8" t="n">
        <v>82110</v>
      </c>
      <c r="M310" s="8" t="n">
        <v>31362</v>
      </c>
      <c r="N310" s="9" t="inlineStr">
        <is>
          <t>否</t>
        </is>
      </c>
      <c r="O310" t="inlineStr">
        <is>
          <t>缺 PP</t>
        </is>
      </c>
    </row>
    <row r="311">
      <c r="A311" s="7" t="inlineStr">
        <is>
          <t>2008-10-23</t>
        </is>
      </c>
      <c r="B311" s="8" t="n"/>
      <c r="C311" s="8" t="n"/>
      <c r="D311" s="8" t="n"/>
      <c r="E311" s="8" t="n"/>
      <c r="F311" s="8" t="n"/>
      <c r="G311" s="8" t="n"/>
      <c r="H311" s="8" t="n">
        <v>7495</v>
      </c>
      <c r="I311" s="8" t="n">
        <v>7420</v>
      </c>
      <c r="J311" s="8" t="n">
        <v>7570</v>
      </c>
      <c r="K311" s="8" t="n">
        <v>7420</v>
      </c>
      <c r="L311" s="8" t="n">
        <v>27796</v>
      </c>
      <c r="M311" s="8" t="n">
        <v>28174</v>
      </c>
      <c r="N311" s="9" t="inlineStr">
        <is>
          <t>否</t>
        </is>
      </c>
      <c r="O311" t="inlineStr">
        <is>
          <t>缺 PP</t>
        </is>
      </c>
    </row>
    <row r="312">
      <c r="A312" s="7" t="inlineStr">
        <is>
          <t>2008-10-24</t>
        </is>
      </c>
      <c r="B312" s="8" t="n"/>
      <c r="C312" s="8" t="n"/>
      <c r="D312" s="8" t="n"/>
      <c r="E312" s="8" t="n"/>
      <c r="F312" s="8" t="n"/>
      <c r="G312" s="8" t="n"/>
      <c r="H312" s="8" t="n">
        <v>7085</v>
      </c>
      <c r="I312" s="8" t="n">
        <v>7620</v>
      </c>
      <c r="J312" s="8" t="n">
        <v>7745</v>
      </c>
      <c r="K312" s="8" t="n">
        <v>7085</v>
      </c>
      <c r="L312" s="8" t="n">
        <v>262230</v>
      </c>
      <c r="M312" s="8" t="n">
        <v>34514</v>
      </c>
      <c r="N312" s="9" t="inlineStr">
        <is>
          <t>否</t>
        </is>
      </c>
      <c r="O312" t="inlineStr">
        <is>
          <t>缺 PP</t>
        </is>
      </c>
    </row>
    <row r="313">
      <c r="A313" s="7" t="inlineStr">
        <is>
          <t>2008-10-27</t>
        </is>
      </c>
      <c r="B313" s="8" t="n"/>
      <c r="C313" s="8" t="n"/>
      <c r="D313" s="8" t="n"/>
      <c r="E313" s="8" t="n"/>
      <c r="F313" s="8" t="n"/>
      <c r="G313" s="8" t="n"/>
      <c r="H313" s="8" t="n">
        <v>6890</v>
      </c>
      <c r="I313" s="8" t="n">
        <v>6890</v>
      </c>
      <c r="J313" s="8" t="n">
        <v>7085</v>
      </c>
      <c r="K313" s="8" t="n">
        <v>6890</v>
      </c>
      <c r="L313" s="8" t="n">
        <v>63060</v>
      </c>
      <c r="M313" s="8" t="n">
        <v>32214</v>
      </c>
      <c r="N313" s="9" t="inlineStr">
        <is>
          <t>否</t>
        </is>
      </c>
      <c r="O313" t="inlineStr">
        <is>
          <t>缺 PP</t>
        </is>
      </c>
    </row>
    <row r="314">
      <c r="A314" s="7" t="inlineStr">
        <is>
          <t>2008-10-28</t>
        </is>
      </c>
      <c r="B314" s="8" t="n"/>
      <c r="C314" s="8" t="n"/>
      <c r="D314" s="8" t="n"/>
      <c r="E314" s="8" t="n"/>
      <c r="F314" s="8" t="n"/>
      <c r="G314" s="8" t="n"/>
      <c r="H314" s="8" t="n">
        <v>6765</v>
      </c>
      <c r="I314" s="8" t="n">
        <v>6880</v>
      </c>
      <c r="J314" s="8" t="n">
        <v>6980</v>
      </c>
      <c r="K314" s="8" t="n">
        <v>6620</v>
      </c>
      <c r="L314" s="8" t="n">
        <v>130368</v>
      </c>
      <c r="M314" s="8" t="n">
        <v>34006</v>
      </c>
      <c r="N314" s="9" t="inlineStr">
        <is>
          <t>否</t>
        </is>
      </c>
      <c r="O314" t="inlineStr">
        <is>
          <t>缺 PP</t>
        </is>
      </c>
    </row>
    <row r="315">
      <c r="A315" s="7" t="inlineStr">
        <is>
          <t>2008-10-29</t>
        </is>
      </c>
      <c r="B315" s="8" t="n"/>
      <c r="C315" s="8" t="n"/>
      <c r="D315" s="8" t="n"/>
      <c r="E315" s="8" t="n"/>
      <c r="F315" s="8" t="n"/>
      <c r="G315" s="8" t="n"/>
      <c r="H315" s="8" t="n">
        <v>6590</v>
      </c>
      <c r="I315" s="8" t="n">
        <v>6815</v>
      </c>
      <c r="J315" s="8" t="n">
        <v>6850</v>
      </c>
      <c r="K315" s="8" t="n">
        <v>6435</v>
      </c>
      <c r="L315" s="8" t="n">
        <v>254194</v>
      </c>
      <c r="M315" s="8" t="n">
        <v>33176</v>
      </c>
      <c r="N315" s="9" t="inlineStr">
        <is>
          <t>否</t>
        </is>
      </c>
      <c r="O315" t="inlineStr">
        <is>
          <t>缺 PP</t>
        </is>
      </c>
    </row>
    <row r="316">
      <c r="A316" s="7" t="inlineStr">
        <is>
          <t>2008-10-30</t>
        </is>
      </c>
      <c r="B316" s="8" t="n"/>
      <c r="C316" s="8" t="n"/>
      <c r="D316" s="8" t="n"/>
      <c r="E316" s="8" t="n"/>
      <c r="F316" s="8" t="n"/>
      <c r="G316" s="8" t="n"/>
      <c r="H316" s="8" t="n">
        <v>6920</v>
      </c>
      <c r="I316" s="8" t="n">
        <v>6920</v>
      </c>
      <c r="J316" s="8" t="n">
        <v>6920</v>
      </c>
      <c r="K316" s="8" t="n">
        <v>6685</v>
      </c>
      <c r="L316" s="8" t="n">
        <v>177416</v>
      </c>
      <c r="M316" s="8" t="n">
        <v>32716</v>
      </c>
      <c r="N316" s="9" t="inlineStr">
        <is>
          <t>否</t>
        </is>
      </c>
      <c r="O316" t="inlineStr">
        <is>
          <t>缺 PP</t>
        </is>
      </c>
    </row>
    <row r="317">
      <c r="A317" s="7" t="inlineStr">
        <is>
          <t>2008-10-31</t>
        </is>
      </c>
      <c r="B317" s="8" t="n"/>
      <c r="C317" s="8" t="n"/>
      <c r="D317" s="8" t="n"/>
      <c r="E317" s="8" t="n"/>
      <c r="F317" s="8" t="n"/>
      <c r="G317" s="8" t="n"/>
      <c r="H317" s="8" t="n">
        <v>6495</v>
      </c>
      <c r="I317" s="8" t="n">
        <v>6495</v>
      </c>
      <c r="J317" s="8" t="n">
        <v>6550</v>
      </c>
      <c r="K317" s="8" t="n">
        <v>6495</v>
      </c>
      <c r="L317" s="8" t="n">
        <v>23102</v>
      </c>
      <c r="M317" s="8" t="n">
        <v>31036</v>
      </c>
      <c r="N317" s="9" t="inlineStr">
        <is>
          <t>否</t>
        </is>
      </c>
      <c r="O317" t="inlineStr">
        <is>
          <t>缺 PP</t>
        </is>
      </c>
    </row>
    <row r="318">
      <c r="A318" s="7" t="inlineStr">
        <is>
          <t>2008-11-03</t>
        </is>
      </c>
      <c r="B318" s="8" t="n"/>
      <c r="C318" s="8" t="n"/>
      <c r="D318" s="8" t="n"/>
      <c r="E318" s="8" t="n"/>
      <c r="F318" s="8" t="n"/>
      <c r="G318" s="8" t="n"/>
      <c r="H318" s="8" t="n">
        <v>6555</v>
      </c>
      <c r="I318" s="8" t="n">
        <v>6515</v>
      </c>
      <c r="J318" s="8" t="n">
        <v>6730</v>
      </c>
      <c r="K318" s="8" t="n">
        <v>6260</v>
      </c>
      <c r="L318" s="8" t="n">
        <v>352394</v>
      </c>
      <c r="M318" s="8" t="n">
        <v>43096</v>
      </c>
      <c r="N318" s="9" t="inlineStr">
        <is>
          <t>否</t>
        </is>
      </c>
      <c r="O318" t="inlineStr">
        <is>
          <t>缺 PP</t>
        </is>
      </c>
    </row>
    <row r="319">
      <c r="A319" s="7" t="inlineStr">
        <is>
          <t>2008-11-04</t>
        </is>
      </c>
      <c r="B319" s="8" t="n"/>
      <c r="C319" s="8" t="n"/>
      <c r="D319" s="8" t="n"/>
      <c r="E319" s="8" t="n"/>
      <c r="F319" s="8" t="n"/>
      <c r="G319" s="8" t="n"/>
      <c r="H319" s="8" t="n">
        <v>6335</v>
      </c>
      <c r="I319" s="8" t="n">
        <v>6250</v>
      </c>
      <c r="J319" s="8" t="n">
        <v>6455</v>
      </c>
      <c r="K319" s="8" t="n">
        <v>6250</v>
      </c>
      <c r="L319" s="8" t="n">
        <v>187558</v>
      </c>
      <c r="M319" s="8" t="n">
        <v>38320</v>
      </c>
      <c r="N319" s="9" t="inlineStr">
        <is>
          <t>否</t>
        </is>
      </c>
      <c r="O319" t="inlineStr">
        <is>
          <t>缺 PP</t>
        </is>
      </c>
    </row>
    <row r="320">
      <c r="A320" s="7" t="inlineStr">
        <is>
          <t>2008-11-05</t>
        </is>
      </c>
      <c r="B320" s="8" t="n"/>
      <c r="C320" s="8" t="n"/>
      <c r="D320" s="8" t="n"/>
      <c r="E320" s="8" t="n"/>
      <c r="F320" s="8" t="n"/>
      <c r="G320" s="8" t="n"/>
      <c r="H320" s="8" t="n">
        <v>6480</v>
      </c>
      <c r="I320" s="8" t="n">
        <v>6620</v>
      </c>
      <c r="J320" s="8" t="n">
        <v>6630</v>
      </c>
      <c r="K320" s="8" t="n">
        <v>6440</v>
      </c>
      <c r="L320" s="8" t="n">
        <v>216690</v>
      </c>
      <c r="M320" s="8" t="n">
        <v>37538</v>
      </c>
      <c r="N320" s="9" t="inlineStr">
        <is>
          <t>否</t>
        </is>
      </c>
      <c r="O320" t="inlineStr">
        <is>
          <t>缺 PP</t>
        </is>
      </c>
    </row>
    <row r="321">
      <c r="A321" s="7" t="inlineStr">
        <is>
          <t>2008-11-06</t>
        </is>
      </c>
      <c r="B321" s="8" t="n"/>
      <c r="C321" s="8" t="n"/>
      <c r="D321" s="8" t="n"/>
      <c r="E321" s="8" t="n"/>
      <c r="F321" s="8" t="n"/>
      <c r="G321" s="8" t="n"/>
      <c r="H321" s="8" t="n">
        <v>6190</v>
      </c>
      <c r="I321" s="8" t="n">
        <v>6290</v>
      </c>
      <c r="J321" s="8" t="n">
        <v>6390</v>
      </c>
      <c r="K321" s="8" t="n">
        <v>6190</v>
      </c>
      <c r="L321" s="8" t="n">
        <v>128812</v>
      </c>
      <c r="M321" s="8" t="n">
        <v>36462</v>
      </c>
      <c r="N321" s="9" t="inlineStr">
        <is>
          <t>否</t>
        </is>
      </c>
      <c r="O321" t="inlineStr">
        <is>
          <t>缺 PP</t>
        </is>
      </c>
    </row>
    <row r="322">
      <c r="A322" s="7" t="inlineStr">
        <is>
          <t>2008-11-07</t>
        </is>
      </c>
      <c r="B322" s="8" t="n"/>
      <c r="C322" s="8" t="n"/>
      <c r="D322" s="8" t="n"/>
      <c r="E322" s="8" t="n"/>
      <c r="F322" s="8" t="n"/>
      <c r="G322" s="8" t="n"/>
      <c r="H322" s="8" t="n">
        <v>5985</v>
      </c>
      <c r="I322" s="8" t="n">
        <v>5985</v>
      </c>
      <c r="J322" s="8" t="n">
        <v>6020</v>
      </c>
      <c r="K322" s="8" t="n">
        <v>5985</v>
      </c>
      <c r="L322" s="8" t="n">
        <v>39384</v>
      </c>
      <c r="M322" s="8" t="n">
        <v>39010</v>
      </c>
      <c r="N322" s="9" t="inlineStr">
        <is>
          <t>否</t>
        </is>
      </c>
      <c r="O322" t="inlineStr">
        <is>
          <t>缺 PP</t>
        </is>
      </c>
    </row>
    <row r="323">
      <c r="A323" s="7" t="inlineStr">
        <is>
          <t>2008-11-10</t>
        </is>
      </c>
      <c r="B323" s="8" t="n"/>
      <c r="C323" s="8" t="n"/>
      <c r="D323" s="8" t="n"/>
      <c r="E323" s="8" t="n"/>
      <c r="F323" s="8" t="n"/>
      <c r="G323" s="8" t="n"/>
      <c r="H323" s="8" t="n">
        <v>6145</v>
      </c>
      <c r="I323" s="8" t="n">
        <v>6000</v>
      </c>
      <c r="J323" s="8" t="n">
        <v>6235</v>
      </c>
      <c r="K323" s="8" t="n">
        <v>5920</v>
      </c>
      <c r="L323" s="8" t="n">
        <v>307436</v>
      </c>
      <c r="M323" s="8" t="n">
        <v>52662</v>
      </c>
      <c r="N323" s="9" t="inlineStr">
        <is>
          <t>否</t>
        </is>
      </c>
      <c r="O323" t="inlineStr">
        <is>
          <t>缺 PP</t>
        </is>
      </c>
    </row>
    <row r="324">
      <c r="A324" s="7" t="inlineStr">
        <is>
          <t>2008-11-11</t>
        </is>
      </c>
      <c r="B324" s="8" t="n"/>
      <c r="C324" s="8" t="n"/>
      <c r="D324" s="8" t="n"/>
      <c r="E324" s="8" t="n"/>
      <c r="F324" s="8" t="n"/>
      <c r="G324" s="8" t="n"/>
      <c r="H324" s="8" t="n">
        <v>5925</v>
      </c>
      <c r="I324" s="8" t="n">
        <v>5990</v>
      </c>
      <c r="J324" s="8" t="n">
        <v>5995</v>
      </c>
      <c r="K324" s="8" t="n">
        <v>5820</v>
      </c>
      <c r="L324" s="8" t="n">
        <v>241322</v>
      </c>
      <c r="M324" s="8" t="n">
        <v>55690</v>
      </c>
      <c r="N324" s="9" t="inlineStr">
        <is>
          <t>否</t>
        </is>
      </c>
      <c r="O324" t="inlineStr">
        <is>
          <t>缺 PP</t>
        </is>
      </c>
    </row>
    <row r="325">
      <c r="A325" s="7" t="inlineStr">
        <is>
          <t>2008-11-12</t>
        </is>
      </c>
      <c r="B325" s="8" t="n"/>
      <c r="C325" s="8" t="n"/>
      <c r="D325" s="8" t="n"/>
      <c r="E325" s="8" t="n"/>
      <c r="F325" s="8" t="n"/>
      <c r="G325" s="8" t="n"/>
      <c r="H325" s="8" t="n">
        <v>6100</v>
      </c>
      <c r="I325" s="8" t="n">
        <v>5785</v>
      </c>
      <c r="J325" s="8" t="n">
        <v>6160</v>
      </c>
      <c r="K325" s="8" t="n">
        <v>5760</v>
      </c>
      <c r="L325" s="8" t="n">
        <v>326336</v>
      </c>
      <c r="M325" s="8" t="n">
        <v>56658</v>
      </c>
      <c r="N325" s="9" t="inlineStr">
        <is>
          <t>否</t>
        </is>
      </c>
      <c r="O325" t="inlineStr">
        <is>
          <t>缺 PP</t>
        </is>
      </c>
    </row>
    <row r="326">
      <c r="A326" s="7" t="inlineStr">
        <is>
          <t>2008-11-13</t>
        </is>
      </c>
      <c r="B326" s="8" t="n"/>
      <c r="C326" s="8" t="n"/>
      <c r="D326" s="8" t="n"/>
      <c r="E326" s="8" t="n"/>
      <c r="F326" s="8" t="n"/>
      <c r="G326" s="8" t="n"/>
      <c r="H326" s="8" t="n">
        <v>6275</v>
      </c>
      <c r="I326" s="8" t="n">
        <v>6010</v>
      </c>
      <c r="J326" s="8" t="n">
        <v>6275</v>
      </c>
      <c r="K326" s="8" t="n">
        <v>6010</v>
      </c>
      <c r="L326" s="8" t="n">
        <v>124122</v>
      </c>
      <c r="M326" s="8" t="n">
        <v>55354</v>
      </c>
      <c r="N326" s="9" t="inlineStr">
        <is>
          <t>否</t>
        </is>
      </c>
      <c r="O326" t="inlineStr">
        <is>
          <t>缺 PP</t>
        </is>
      </c>
    </row>
    <row r="327">
      <c r="A327" s="7" t="inlineStr">
        <is>
          <t>2008-11-14</t>
        </is>
      </c>
      <c r="B327" s="8" t="n"/>
      <c r="C327" s="8" t="n"/>
      <c r="D327" s="8" t="n"/>
      <c r="E327" s="8" t="n"/>
      <c r="F327" s="8" t="n"/>
      <c r="G327" s="8" t="n"/>
      <c r="H327" s="8" t="n">
        <v>6465</v>
      </c>
      <c r="I327" s="8" t="n">
        <v>6465</v>
      </c>
      <c r="J327" s="8" t="n">
        <v>6465</v>
      </c>
      <c r="K327" s="8" t="n">
        <v>6465</v>
      </c>
      <c r="L327" s="8" t="n">
        <v>2218</v>
      </c>
      <c r="M327" s="8" t="n">
        <v>54140</v>
      </c>
      <c r="N327" s="9" t="inlineStr">
        <is>
          <t>否</t>
        </is>
      </c>
      <c r="O327" t="inlineStr">
        <is>
          <t>缺 PP</t>
        </is>
      </c>
    </row>
    <row r="328">
      <c r="A328" s="7" t="inlineStr">
        <is>
          <t>2008-11-17</t>
        </is>
      </c>
      <c r="B328" s="8" t="n"/>
      <c r="C328" s="8" t="n"/>
      <c r="D328" s="8" t="n"/>
      <c r="E328" s="8" t="n"/>
      <c r="F328" s="8" t="n"/>
      <c r="G328" s="8" t="n"/>
      <c r="H328" s="8" t="n">
        <v>6785</v>
      </c>
      <c r="I328" s="8" t="n">
        <v>6785</v>
      </c>
      <c r="J328" s="8" t="n">
        <v>6785</v>
      </c>
      <c r="K328" s="8" t="n">
        <v>6700</v>
      </c>
      <c r="L328" s="8" t="n">
        <v>23154</v>
      </c>
      <c r="M328" s="8" t="n">
        <v>56010</v>
      </c>
      <c r="N328" s="9" t="inlineStr">
        <is>
          <t>否</t>
        </is>
      </c>
      <c r="O328" t="inlineStr">
        <is>
          <t>缺 PP</t>
        </is>
      </c>
    </row>
    <row r="329">
      <c r="A329" s="7" t="inlineStr">
        <is>
          <t>2008-11-18</t>
        </is>
      </c>
      <c r="B329" s="8" t="n"/>
      <c r="C329" s="8" t="n"/>
      <c r="D329" s="8" t="n"/>
      <c r="E329" s="8" t="n"/>
      <c r="F329" s="8" t="n"/>
      <c r="G329" s="8" t="n"/>
      <c r="H329" s="8" t="n">
        <v>7115</v>
      </c>
      <c r="I329" s="8" t="n">
        <v>7115</v>
      </c>
      <c r="J329" s="8" t="n">
        <v>7115</v>
      </c>
      <c r="K329" s="8" t="n">
        <v>7115</v>
      </c>
      <c r="L329" s="8" t="n">
        <v>4554</v>
      </c>
      <c r="M329" s="8" t="n">
        <v>27024</v>
      </c>
      <c r="N329" s="9" t="inlineStr">
        <is>
          <t>否</t>
        </is>
      </c>
      <c r="O329" t="inlineStr">
        <is>
          <t>缺 PP</t>
        </is>
      </c>
    </row>
    <row r="330">
      <c r="A330" s="7" t="inlineStr">
        <is>
          <t>2008-11-19</t>
        </is>
      </c>
      <c r="B330" s="8" t="n"/>
      <c r="C330" s="8" t="n"/>
      <c r="D330" s="8" t="n"/>
      <c r="E330" s="8" t="n"/>
      <c r="F330" s="8" t="n"/>
      <c r="G330" s="8" t="n"/>
      <c r="H330" s="8" t="n">
        <v>6805</v>
      </c>
      <c r="I330" s="8" t="n">
        <v>7450</v>
      </c>
      <c r="J330" s="8" t="n">
        <v>7450</v>
      </c>
      <c r="K330" s="8" t="n">
        <v>6760</v>
      </c>
      <c r="L330" s="8" t="n">
        <v>513910</v>
      </c>
      <c r="M330" s="8" t="n">
        <v>38196</v>
      </c>
      <c r="N330" s="9" t="inlineStr">
        <is>
          <t>否</t>
        </is>
      </c>
      <c r="O330" t="inlineStr">
        <is>
          <t>缺 PP</t>
        </is>
      </c>
    </row>
    <row r="331">
      <c r="A331" s="7" t="inlineStr">
        <is>
          <t>2008-11-20</t>
        </is>
      </c>
      <c r="B331" s="8" t="n"/>
      <c r="C331" s="8" t="n"/>
      <c r="D331" s="8" t="n"/>
      <c r="E331" s="8" t="n"/>
      <c r="F331" s="8" t="n"/>
      <c r="G331" s="8" t="n"/>
      <c r="H331" s="8" t="n">
        <v>6625</v>
      </c>
      <c r="I331" s="8" t="n">
        <v>6695</v>
      </c>
      <c r="J331" s="8" t="n">
        <v>6695</v>
      </c>
      <c r="K331" s="8" t="n">
        <v>6625</v>
      </c>
      <c r="L331" s="8" t="n">
        <v>10486</v>
      </c>
      <c r="M331" s="8" t="n">
        <v>35940</v>
      </c>
      <c r="N331" s="9" t="inlineStr">
        <is>
          <t>否</t>
        </is>
      </c>
      <c r="O331" t="inlineStr">
        <is>
          <t>缺 PP</t>
        </is>
      </c>
    </row>
    <row r="332">
      <c r="A332" s="7" t="inlineStr">
        <is>
          <t>2008-11-21</t>
        </is>
      </c>
      <c r="B332" s="8" t="n"/>
      <c r="C332" s="8" t="n"/>
      <c r="D332" s="8" t="n"/>
      <c r="E332" s="8" t="n"/>
      <c r="F332" s="8" t="n"/>
      <c r="G332" s="8" t="n"/>
      <c r="H332" s="8" t="n">
        <v>6305</v>
      </c>
      <c r="I332" s="8" t="n">
        <v>6305</v>
      </c>
      <c r="J332" s="8" t="n">
        <v>6350</v>
      </c>
      <c r="K332" s="8" t="n">
        <v>6305</v>
      </c>
      <c r="L332" s="8" t="n">
        <v>32972</v>
      </c>
      <c r="M332" s="8" t="n">
        <v>26170</v>
      </c>
      <c r="N332" s="9" t="inlineStr">
        <is>
          <t>否</t>
        </is>
      </c>
      <c r="O332" t="inlineStr">
        <is>
          <t>缺 PP</t>
        </is>
      </c>
    </row>
    <row r="333">
      <c r="A333" s="7" t="inlineStr">
        <is>
          <t>2008-11-24</t>
        </is>
      </c>
      <c r="B333" s="8" t="n"/>
      <c r="C333" s="8" t="n"/>
      <c r="D333" s="8" t="n"/>
      <c r="E333" s="8" t="n"/>
      <c r="F333" s="8" t="n"/>
      <c r="G333" s="8" t="n"/>
      <c r="H333" s="8" t="n">
        <v>6435</v>
      </c>
      <c r="I333" s="8" t="n">
        <v>6210</v>
      </c>
      <c r="J333" s="8" t="n">
        <v>6515</v>
      </c>
      <c r="K333" s="8" t="n">
        <v>6195</v>
      </c>
      <c r="L333" s="8" t="n">
        <v>398926</v>
      </c>
      <c r="M333" s="8" t="n">
        <v>37376</v>
      </c>
      <c r="N333" s="9" t="inlineStr">
        <is>
          <t>否</t>
        </is>
      </c>
      <c r="O333" t="inlineStr">
        <is>
          <t>缺 PP</t>
        </is>
      </c>
    </row>
    <row r="334">
      <c r="A334" s="7" t="inlineStr">
        <is>
          <t>2008-11-25</t>
        </is>
      </c>
      <c r="B334" s="8" t="n"/>
      <c r="C334" s="8" t="n"/>
      <c r="D334" s="8" t="n"/>
      <c r="E334" s="8" t="n"/>
      <c r="F334" s="8" t="n"/>
      <c r="G334" s="8" t="n"/>
      <c r="H334" s="8" t="n">
        <v>6685</v>
      </c>
      <c r="I334" s="8" t="n">
        <v>6685</v>
      </c>
      <c r="J334" s="8" t="n">
        <v>6685</v>
      </c>
      <c r="K334" s="8" t="n">
        <v>6560</v>
      </c>
      <c r="L334" s="8" t="n">
        <v>129884</v>
      </c>
      <c r="M334" s="8" t="n">
        <v>35342</v>
      </c>
      <c r="N334" s="9" t="inlineStr">
        <is>
          <t>否</t>
        </is>
      </c>
      <c r="O334" t="inlineStr">
        <is>
          <t>缺 PP</t>
        </is>
      </c>
    </row>
    <row r="335">
      <c r="A335" s="7" t="inlineStr">
        <is>
          <t>2008-11-26</t>
        </is>
      </c>
      <c r="B335" s="8" t="n"/>
      <c r="C335" s="8" t="n"/>
      <c r="D335" s="8" t="n"/>
      <c r="E335" s="8" t="n"/>
      <c r="F335" s="8" t="n"/>
      <c r="G335" s="8" t="n"/>
      <c r="H335" s="8" t="n">
        <v>6970</v>
      </c>
      <c r="I335" s="8" t="n">
        <v>6600</v>
      </c>
      <c r="J335" s="8" t="n">
        <v>6970</v>
      </c>
      <c r="K335" s="8" t="n">
        <v>6595</v>
      </c>
      <c r="L335" s="8" t="n">
        <v>429018</v>
      </c>
      <c r="M335" s="8" t="n">
        <v>50000</v>
      </c>
      <c r="N335" s="9" t="inlineStr">
        <is>
          <t>否</t>
        </is>
      </c>
      <c r="O335" t="inlineStr">
        <is>
          <t>缺 PP</t>
        </is>
      </c>
    </row>
    <row r="336">
      <c r="A336" s="7" t="inlineStr">
        <is>
          <t>2008-11-27</t>
        </is>
      </c>
      <c r="B336" s="8" t="n"/>
      <c r="C336" s="8" t="n"/>
      <c r="D336" s="8" t="n"/>
      <c r="E336" s="8" t="n"/>
      <c r="F336" s="8" t="n"/>
      <c r="G336" s="8" t="n"/>
      <c r="H336" s="8" t="n">
        <v>7030</v>
      </c>
      <c r="I336" s="8" t="n">
        <v>7155</v>
      </c>
      <c r="J336" s="8" t="n">
        <v>7155</v>
      </c>
      <c r="K336" s="8" t="n">
        <v>6905</v>
      </c>
      <c r="L336" s="8" t="n">
        <v>434904</v>
      </c>
      <c r="M336" s="8" t="n">
        <v>61390</v>
      </c>
      <c r="N336" s="9" t="inlineStr">
        <is>
          <t>否</t>
        </is>
      </c>
      <c r="O336" t="inlineStr">
        <is>
          <t>缺 PP</t>
        </is>
      </c>
    </row>
    <row r="337">
      <c r="A337" s="7" t="inlineStr">
        <is>
          <t>2008-11-28</t>
        </is>
      </c>
      <c r="B337" s="8" t="n"/>
      <c r="C337" s="8" t="n"/>
      <c r="D337" s="8" t="n"/>
      <c r="E337" s="8" t="n"/>
      <c r="F337" s="8" t="n"/>
      <c r="G337" s="8" t="n"/>
      <c r="H337" s="8" t="n">
        <v>7240</v>
      </c>
      <c r="I337" s="8" t="n">
        <v>7140</v>
      </c>
      <c r="J337" s="8" t="n">
        <v>7280</v>
      </c>
      <c r="K337" s="8" t="n">
        <v>6740</v>
      </c>
      <c r="L337" s="8" t="n">
        <v>951830</v>
      </c>
      <c r="M337" s="8" t="n">
        <v>82754</v>
      </c>
      <c r="N337" s="9" t="inlineStr">
        <is>
          <t>否</t>
        </is>
      </c>
      <c r="O337" t="inlineStr">
        <is>
          <t>缺 PP</t>
        </is>
      </c>
    </row>
    <row r="338">
      <c r="A338" s="7" t="inlineStr">
        <is>
          <t>2008-12-01</t>
        </is>
      </c>
      <c r="B338" s="8" t="n"/>
      <c r="C338" s="8" t="n"/>
      <c r="D338" s="8" t="n"/>
      <c r="E338" s="8" t="n"/>
      <c r="F338" s="8" t="n"/>
      <c r="G338" s="8" t="n"/>
      <c r="H338" s="8" t="n">
        <v>7395</v>
      </c>
      <c r="I338" s="8" t="n">
        <v>7150</v>
      </c>
      <c r="J338" s="8" t="n">
        <v>7395</v>
      </c>
      <c r="K338" s="8" t="n">
        <v>7085</v>
      </c>
      <c r="L338" s="8" t="n">
        <v>509704</v>
      </c>
      <c r="M338" s="8" t="n">
        <v>70204</v>
      </c>
      <c r="N338" s="9" t="inlineStr">
        <is>
          <t>否</t>
        </is>
      </c>
      <c r="O338" t="inlineStr">
        <is>
          <t>缺 PP</t>
        </is>
      </c>
    </row>
    <row r="339">
      <c r="A339" s="7" t="inlineStr">
        <is>
          <t>2008-12-02</t>
        </is>
      </c>
      <c r="B339" s="8" t="n"/>
      <c r="C339" s="8" t="n"/>
      <c r="D339" s="8" t="n"/>
      <c r="E339" s="8" t="n"/>
      <c r="F339" s="8" t="n"/>
      <c r="G339" s="8" t="n"/>
      <c r="H339" s="8" t="n">
        <v>7170</v>
      </c>
      <c r="I339" s="8" t="n">
        <v>7200</v>
      </c>
      <c r="J339" s="8" t="n">
        <v>7500</v>
      </c>
      <c r="K339" s="8" t="n">
        <v>7015</v>
      </c>
      <c r="L339" s="8" t="n">
        <v>1046192</v>
      </c>
      <c r="M339" s="8" t="n">
        <v>79602</v>
      </c>
      <c r="N339" s="9" t="inlineStr">
        <is>
          <t>否</t>
        </is>
      </c>
      <c r="O339" t="inlineStr">
        <is>
          <t>缺 PP</t>
        </is>
      </c>
    </row>
    <row r="340">
      <c r="A340" s="7" t="inlineStr">
        <is>
          <t>2008-12-03</t>
        </is>
      </c>
      <c r="B340" s="8" t="n"/>
      <c r="C340" s="8" t="n"/>
      <c r="D340" s="8" t="n"/>
      <c r="E340" s="8" t="n"/>
      <c r="F340" s="8" t="n"/>
      <c r="G340" s="8" t="n"/>
      <c r="H340" s="8" t="n">
        <v>7260</v>
      </c>
      <c r="I340" s="8" t="n">
        <v>7200</v>
      </c>
      <c r="J340" s="8" t="n">
        <v>7325</v>
      </c>
      <c r="K340" s="8" t="n">
        <v>7090</v>
      </c>
      <c r="L340" s="8" t="n">
        <v>475980</v>
      </c>
      <c r="M340" s="8" t="n">
        <v>63426</v>
      </c>
      <c r="N340" s="9" t="inlineStr">
        <is>
          <t>否</t>
        </is>
      </c>
      <c r="O340" t="inlineStr">
        <is>
          <t>缺 PP</t>
        </is>
      </c>
    </row>
    <row r="341">
      <c r="A341" s="7" t="inlineStr">
        <is>
          <t>2008-12-04</t>
        </is>
      </c>
      <c r="B341" s="8" t="n"/>
      <c r="C341" s="8" t="n"/>
      <c r="D341" s="8" t="n"/>
      <c r="E341" s="8" t="n"/>
      <c r="F341" s="8" t="n"/>
      <c r="G341" s="8" t="n"/>
      <c r="H341" s="8" t="n">
        <v>6600</v>
      </c>
      <c r="I341" s="8" t="n">
        <v>7030</v>
      </c>
      <c r="J341" s="8" t="n">
        <v>7045</v>
      </c>
      <c r="K341" s="8" t="n">
        <v>6520</v>
      </c>
      <c r="L341" s="8" t="n">
        <v>373720</v>
      </c>
      <c r="M341" s="8" t="n">
        <v>35884</v>
      </c>
      <c r="N341" s="9" t="inlineStr">
        <is>
          <t>否</t>
        </is>
      </c>
      <c r="O341" t="inlineStr">
        <is>
          <t>缺 PP</t>
        </is>
      </c>
    </row>
    <row r="342">
      <c r="A342" s="7" t="inlineStr">
        <is>
          <t>2008-12-05</t>
        </is>
      </c>
      <c r="B342" s="8" t="n"/>
      <c r="C342" s="8" t="n"/>
      <c r="D342" s="8" t="n"/>
      <c r="E342" s="8" t="n"/>
      <c r="F342" s="8" t="n"/>
      <c r="G342" s="8" t="n"/>
      <c r="H342" s="8" t="n">
        <v>7045</v>
      </c>
      <c r="I342" s="8" t="n">
        <v>7150</v>
      </c>
      <c r="J342" s="8" t="n">
        <v>7160</v>
      </c>
      <c r="K342" s="8" t="n">
        <v>6880</v>
      </c>
      <c r="L342" s="8" t="n">
        <v>204282</v>
      </c>
      <c r="M342" s="8" t="n">
        <v>42724</v>
      </c>
      <c r="N342" s="9" t="inlineStr">
        <is>
          <t>否</t>
        </is>
      </c>
      <c r="O342" t="inlineStr">
        <is>
          <t>缺 PP</t>
        </is>
      </c>
    </row>
    <row r="343">
      <c r="A343" s="7" t="inlineStr">
        <is>
          <t>2008-12-08</t>
        </is>
      </c>
      <c r="B343" s="8" t="n"/>
      <c r="C343" s="8" t="n"/>
      <c r="D343" s="8" t="n"/>
      <c r="E343" s="8" t="n"/>
      <c r="F343" s="8" t="n"/>
      <c r="G343" s="8" t="n"/>
      <c r="H343" s="8" t="n">
        <v>6760</v>
      </c>
      <c r="I343" s="8" t="n">
        <v>6255</v>
      </c>
      <c r="J343" s="8" t="n">
        <v>6760</v>
      </c>
      <c r="K343" s="8" t="n">
        <v>6255</v>
      </c>
      <c r="L343" s="8" t="n">
        <v>118010</v>
      </c>
      <c r="M343" s="8" t="n">
        <v>31432</v>
      </c>
      <c r="N343" s="9" t="inlineStr">
        <is>
          <t>否</t>
        </is>
      </c>
      <c r="O343" t="inlineStr">
        <is>
          <t>缺 PP</t>
        </is>
      </c>
    </row>
    <row r="344">
      <c r="A344" s="7" t="inlineStr">
        <is>
          <t>2008-12-09</t>
        </is>
      </c>
      <c r="B344" s="8" t="n"/>
      <c r="C344" s="8" t="n"/>
      <c r="D344" s="8" t="n"/>
      <c r="E344" s="8" t="n"/>
      <c r="F344" s="8" t="n"/>
      <c r="G344" s="8" t="n"/>
      <c r="H344" s="8" t="n">
        <v>6745</v>
      </c>
      <c r="I344" s="8" t="n">
        <v>6880</v>
      </c>
      <c r="J344" s="8" t="n">
        <v>6935</v>
      </c>
      <c r="K344" s="8" t="n">
        <v>6610</v>
      </c>
      <c r="L344" s="8" t="n">
        <v>314756</v>
      </c>
      <c r="M344" s="8" t="n">
        <v>37936</v>
      </c>
      <c r="N344" s="9" t="inlineStr">
        <is>
          <t>否</t>
        </is>
      </c>
      <c r="O344" t="inlineStr">
        <is>
          <t>缺 PP</t>
        </is>
      </c>
    </row>
    <row r="345">
      <c r="A345" s="7" t="inlineStr">
        <is>
          <t>2008-12-10</t>
        </is>
      </c>
      <c r="B345" s="8" t="n"/>
      <c r="C345" s="8" t="n"/>
      <c r="D345" s="8" t="n"/>
      <c r="E345" s="8" t="n"/>
      <c r="F345" s="8" t="n"/>
      <c r="G345" s="8" t="n"/>
      <c r="H345" s="8" t="n">
        <v>6760</v>
      </c>
      <c r="I345" s="8" t="n">
        <v>6740</v>
      </c>
      <c r="J345" s="8" t="n">
        <v>6850</v>
      </c>
      <c r="K345" s="8" t="n">
        <v>6500</v>
      </c>
      <c r="L345" s="8" t="n">
        <v>505526</v>
      </c>
      <c r="M345" s="8" t="n">
        <v>50186</v>
      </c>
      <c r="N345" s="9" t="inlineStr">
        <is>
          <t>否</t>
        </is>
      </c>
      <c r="O345" t="inlineStr">
        <is>
          <t>缺 PP</t>
        </is>
      </c>
    </row>
    <row r="346">
      <c r="A346" s="7" t="inlineStr">
        <is>
          <t>2008-12-11</t>
        </is>
      </c>
      <c r="B346" s="8" t="n"/>
      <c r="C346" s="8" t="n"/>
      <c r="D346" s="8" t="n"/>
      <c r="E346" s="8" t="n"/>
      <c r="F346" s="8" t="n"/>
      <c r="G346" s="8" t="n"/>
      <c r="H346" s="8" t="n">
        <v>6845</v>
      </c>
      <c r="I346" s="8" t="n">
        <v>6770</v>
      </c>
      <c r="J346" s="8" t="n">
        <v>6930</v>
      </c>
      <c r="K346" s="8" t="n">
        <v>6660</v>
      </c>
      <c r="L346" s="8" t="n">
        <v>305448</v>
      </c>
      <c r="M346" s="8" t="n">
        <v>41556</v>
      </c>
      <c r="N346" s="9" t="inlineStr">
        <is>
          <t>否</t>
        </is>
      </c>
      <c r="O346" t="inlineStr">
        <is>
          <t>缺 PP</t>
        </is>
      </c>
    </row>
    <row r="347">
      <c r="A347" s="7" t="inlineStr">
        <is>
          <t>2008-12-12</t>
        </is>
      </c>
      <c r="B347" s="8" t="n"/>
      <c r="C347" s="8" t="n"/>
      <c r="D347" s="8" t="n"/>
      <c r="E347" s="8" t="n"/>
      <c r="F347" s="8" t="n"/>
      <c r="G347" s="8" t="n"/>
      <c r="H347" s="8" t="n">
        <v>7040</v>
      </c>
      <c r="I347" s="8" t="n">
        <v>7030</v>
      </c>
      <c r="J347" s="8" t="n">
        <v>7120</v>
      </c>
      <c r="K347" s="8" t="n">
        <v>6815</v>
      </c>
      <c r="L347" s="8" t="n">
        <v>318024</v>
      </c>
      <c r="M347" s="8" t="n">
        <v>43342</v>
      </c>
      <c r="N347" s="9" t="inlineStr">
        <is>
          <t>否</t>
        </is>
      </c>
      <c r="O347" t="inlineStr">
        <is>
          <t>缺 PP</t>
        </is>
      </c>
    </row>
    <row r="348">
      <c r="A348" s="7" t="inlineStr">
        <is>
          <t>2008-12-15</t>
        </is>
      </c>
      <c r="B348" s="8" t="n"/>
      <c r="C348" s="8" t="n"/>
      <c r="D348" s="8" t="n"/>
      <c r="E348" s="8" t="n"/>
      <c r="F348" s="8" t="n"/>
      <c r="G348" s="8" t="n"/>
      <c r="H348" s="8" t="n">
        <v>8195</v>
      </c>
      <c r="I348" s="8" t="n">
        <v>8100</v>
      </c>
      <c r="J348" s="8" t="n">
        <v>8195</v>
      </c>
      <c r="K348" s="8" t="n">
        <v>7850</v>
      </c>
      <c r="L348" s="8" t="n">
        <v>5988</v>
      </c>
      <c r="M348" s="8" t="n">
        <v>6418</v>
      </c>
      <c r="N348" s="9" t="inlineStr">
        <is>
          <t>否</t>
        </is>
      </c>
      <c r="O348" t="inlineStr">
        <is>
          <t>缺 PP</t>
        </is>
      </c>
    </row>
    <row r="349">
      <c r="A349" s="7" t="inlineStr">
        <is>
          <t>2008-12-16</t>
        </is>
      </c>
      <c r="B349" s="8" t="n"/>
      <c r="C349" s="8" t="n"/>
      <c r="D349" s="8" t="n"/>
      <c r="E349" s="8" t="n"/>
      <c r="F349" s="8" t="n"/>
      <c r="G349" s="8" t="n"/>
      <c r="H349" s="8" t="n">
        <v>7570</v>
      </c>
      <c r="I349" s="8" t="n">
        <v>7330</v>
      </c>
      <c r="J349" s="8" t="n">
        <v>7660</v>
      </c>
      <c r="K349" s="8" t="n">
        <v>7260</v>
      </c>
      <c r="L349" s="8" t="n">
        <v>582854</v>
      </c>
      <c r="M349" s="8" t="n">
        <v>52398</v>
      </c>
      <c r="N349" s="9" t="inlineStr">
        <is>
          <t>否</t>
        </is>
      </c>
      <c r="O349" t="inlineStr">
        <is>
          <t>缺 PP</t>
        </is>
      </c>
    </row>
    <row r="350">
      <c r="A350" s="7" t="inlineStr">
        <is>
          <t>2008-12-17</t>
        </is>
      </c>
      <c r="B350" s="8" t="n"/>
      <c r="C350" s="8" t="n"/>
      <c r="D350" s="8" t="n"/>
      <c r="E350" s="8" t="n"/>
      <c r="F350" s="8" t="n"/>
      <c r="G350" s="8" t="n"/>
      <c r="H350" s="8" t="n">
        <v>7805</v>
      </c>
      <c r="I350" s="8" t="n">
        <v>7585</v>
      </c>
      <c r="J350" s="8" t="n">
        <v>7805</v>
      </c>
      <c r="K350" s="8" t="n">
        <v>7530</v>
      </c>
      <c r="L350" s="8" t="n">
        <v>413970</v>
      </c>
      <c r="M350" s="8" t="n">
        <v>56234</v>
      </c>
      <c r="N350" s="9" t="inlineStr">
        <is>
          <t>否</t>
        </is>
      </c>
      <c r="O350" t="inlineStr">
        <is>
          <t>缺 PP</t>
        </is>
      </c>
    </row>
    <row r="351">
      <c r="A351" s="7" t="inlineStr">
        <is>
          <t>2008-12-18</t>
        </is>
      </c>
      <c r="B351" s="8" t="n"/>
      <c r="C351" s="8" t="n"/>
      <c r="D351" s="8" t="n"/>
      <c r="E351" s="8" t="n"/>
      <c r="F351" s="8" t="n"/>
      <c r="G351" s="8" t="n"/>
      <c r="H351" s="8" t="n">
        <v>7570</v>
      </c>
      <c r="I351" s="8" t="n">
        <v>7700</v>
      </c>
      <c r="J351" s="8" t="n">
        <v>7725</v>
      </c>
      <c r="K351" s="8" t="n">
        <v>7455</v>
      </c>
      <c r="L351" s="8" t="n">
        <v>599690</v>
      </c>
      <c r="M351" s="8" t="n">
        <v>62250</v>
      </c>
      <c r="N351" s="9" t="inlineStr">
        <is>
          <t>否</t>
        </is>
      </c>
      <c r="O351" t="inlineStr">
        <is>
          <t>缺 PP</t>
        </is>
      </c>
    </row>
    <row r="352">
      <c r="A352" s="7" t="inlineStr">
        <is>
          <t>2008-12-19</t>
        </is>
      </c>
      <c r="B352" s="8" t="n"/>
      <c r="C352" s="8" t="n"/>
      <c r="D352" s="8" t="n"/>
      <c r="E352" s="8" t="n"/>
      <c r="F352" s="8" t="n"/>
      <c r="G352" s="8" t="n"/>
      <c r="H352" s="8" t="n">
        <v>7750</v>
      </c>
      <c r="I352" s="8" t="n">
        <v>7370</v>
      </c>
      <c r="J352" s="8" t="n">
        <v>7880</v>
      </c>
      <c r="K352" s="8" t="n">
        <v>7360</v>
      </c>
      <c r="L352" s="8" t="n">
        <v>583866</v>
      </c>
      <c r="M352" s="8" t="n">
        <v>60340</v>
      </c>
      <c r="N352" s="9" t="inlineStr">
        <is>
          <t>否</t>
        </is>
      </c>
      <c r="O352" t="inlineStr">
        <is>
          <t>缺 PP</t>
        </is>
      </c>
    </row>
    <row r="353">
      <c r="A353" s="7" t="inlineStr">
        <is>
          <t>2008-12-22</t>
        </is>
      </c>
      <c r="B353" s="8" t="n"/>
      <c r="C353" s="8" t="n"/>
      <c r="D353" s="8" t="n"/>
      <c r="E353" s="8" t="n"/>
      <c r="F353" s="8" t="n"/>
      <c r="G353" s="8" t="n"/>
      <c r="H353" s="8" t="n">
        <v>7530</v>
      </c>
      <c r="I353" s="8" t="n">
        <v>7850</v>
      </c>
      <c r="J353" s="8" t="n">
        <v>8030</v>
      </c>
      <c r="K353" s="8" t="n">
        <v>7500</v>
      </c>
      <c r="L353" s="8" t="n">
        <v>882110</v>
      </c>
      <c r="M353" s="8" t="n">
        <v>66666</v>
      </c>
      <c r="N353" s="9" t="inlineStr">
        <is>
          <t>否</t>
        </is>
      </c>
      <c r="O353" t="inlineStr">
        <is>
          <t>缺 PP</t>
        </is>
      </c>
    </row>
    <row r="354">
      <c r="A354" s="7" t="inlineStr">
        <is>
          <t>2008-12-23</t>
        </is>
      </c>
      <c r="B354" s="8" t="n"/>
      <c r="C354" s="8" t="n"/>
      <c r="D354" s="8" t="n"/>
      <c r="E354" s="8" t="n"/>
      <c r="F354" s="8" t="n"/>
      <c r="G354" s="8" t="n"/>
      <c r="H354" s="8" t="n">
        <v>7325</v>
      </c>
      <c r="I354" s="8" t="n">
        <v>7450</v>
      </c>
      <c r="J354" s="8" t="n">
        <v>7550</v>
      </c>
      <c r="K354" s="8" t="n">
        <v>7325</v>
      </c>
      <c r="L354" s="8" t="n">
        <v>382282</v>
      </c>
      <c r="M354" s="8" t="n">
        <v>64738</v>
      </c>
      <c r="N354" s="9" t="inlineStr">
        <is>
          <t>否</t>
        </is>
      </c>
      <c r="O354" t="inlineStr">
        <is>
          <t>缺 PP</t>
        </is>
      </c>
    </row>
    <row r="355">
      <c r="A355" s="7" t="inlineStr">
        <is>
          <t>2008-12-24</t>
        </is>
      </c>
      <c r="B355" s="8" t="n"/>
      <c r="C355" s="8" t="n"/>
      <c r="D355" s="8" t="n"/>
      <c r="E355" s="8" t="n"/>
      <c r="F355" s="8" t="n"/>
      <c r="G355" s="8" t="n"/>
      <c r="H355" s="8" t="n">
        <v>7385</v>
      </c>
      <c r="I355" s="8" t="n">
        <v>7300</v>
      </c>
      <c r="J355" s="8" t="n">
        <v>7520</v>
      </c>
      <c r="K355" s="8" t="n">
        <v>7205</v>
      </c>
      <c r="L355" s="8" t="n">
        <v>836962</v>
      </c>
      <c r="M355" s="8" t="n">
        <v>69290</v>
      </c>
      <c r="N355" s="9" t="inlineStr">
        <is>
          <t>否</t>
        </is>
      </c>
      <c r="O355" t="inlineStr">
        <is>
          <t>缺 PP</t>
        </is>
      </c>
    </row>
    <row r="356">
      <c r="A356" s="7" t="inlineStr">
        <is>
          <t>2008-12-25</t>
        </is>
      </c>
      <c r="B356" s="8" t="n"/>
      <c r="C356" s="8" t="n"/>
      <c r="D356" s="8" t="n"/>
      <c r="E356" s="8" t="n"/>
      <c r="F356" s="8" t="n"/>
      <c r="G356" s="8" t="n"/>
      <c r="H356" s="8" t="n">
        <v>7335</v>
      </c>
      <c r="I356" s="8" t="n">
        <v>7250</v>
      </c>
      <c r="J356" s="8" t="n">
        <v>7420</v>
      </c>
      <c r="K356" s="8" t="n">
        <v>7250</v>
      </c>
      <c r="L356" s="8" t="n">
        <v>379278</v>
      </c>
      <c r="M356" s="8" t="n">
        <v>63684</v>
      </c>
      <c r="N356" s="9" t="inlineStr">
        <is>
          <t>否</t>
        </is>
      </c>
      <c r="O356" t="inlineStr">
        <is>
          <t>缺 PP</t>
        </is>
      </c>
    </row>
    <row r="357">
      <c r="A357" s="7" t="inlineStr">
        <is>
          <t>2008-12-26</t>
        </is>
      </c>
      <c r="B357" s="8" t="n"/>
      <c r="C357" s="8" t="n"/>
      <c r="D357" s="8" t="n"/>
      <c r="E357" s="8" t="n"/>
      <c r="F357" s="8" t="n"/>
      <c r="G357" s="8" t="n"/>
      <c r="H357" s="8" t="n">
        <v>7375</v>
      </c>
      <c r="I357" s="8" t="n">
        <v>7370</v>
      </c>
      <c r="J357" s="8" t="n">
        <v>7490</v>
      </c>
      <c r="K357" s="8" t="n">
        <v>7280</v>
      </c>
      <c r="L357" s="8" t="n">
        <v>454352</v>
      </c>
      <c r="M357" s="8" t="n">
        <v>56846</v>
      </c>
      <c r="N357" s="9" t="inlineStr">
        <is>
          <t>否</t>
        </is>
      </c>
      <c r="O357" t="inlineStr">
        <is>
          <t>缺 PP</t>
        </is>
      </c>
    </row>
    <row r="358">
      <c r="A358" s="7" t="inlineStr">
        <is>
          <t>2008-12-29</t>
        </is>
      </c>
      <c r="B358" s="8" t="n"/>
      <c r="C358" s="8" t="n"/>
      <c r="D358" s="8" t="n"/>
      <c r="E358" s="8" t="n"/>
      <c r="F358" s="8" t="n"/>
      <c r="G358" s="8" t="n"/>
      <c r="H358" s="8" t="n">
        <v>7345</v>
      </c>
      <c r="I358" s="8" t="n">
        <v>7650</v>
      </c>
      <c r="J358" s="8" t="n">
        <v>7690</v>
      </c>
      <c r="K358" s="8" t="n">
        <v>7320</v>
      </c>
      <c r="L358" s="8" t="n">
        <v>301618</v>
      </c>
      <c r="M358" s="8" t="n">
        <v>51032</v>
      </c>
      <c r="N358" s="9" t="inlineStr">
        <is>
          <t>否</t>
        </is>
      </c>
      <c r="O358" t="inlineStr">
        <is>
          <t>缺 PP</t>
        </is>
      </c>
    </row>
    <row r="359">
      <c r="A359" s="7" t="inlineStr">
        <is>
          <t>2008-12-30</t>
        </is>
      </c>
      <c r="B359" s="8" t="n"/>
      <c r="C359" s="8" t="n"/>
      <c r="D359" s="8" t="n"/>
      <c r="E359" s="8" t="n"/>
      <c r="F359" s="8" t="n"/>
      <c r="G359" s="8" t="n"/>
      <c r="H359" s="8" t="n">
        <v>7195</v>
      </c>
      <c r="I359" s="8" t="n">
        <v>7360</v>
      </c>
      <c r="J359" s="8" t="n">
        <v>7425</v>
      </c>
      <c r="K359" s="8" t="n">
        <v>7145</v>
      </c>
      <c r="L359" s="8" t="n">
        <v>387892</v>
      </c>
      <c r="M359" s="8" t="n">
        <v>55506</v>
      </c>
      <c r="N359" s="9" t="inlineStr">
        <is>
          <t>否</t>
        </is>
      </c>
      <c r="O359" t="inlineStr">
        <is>
          <t>缺 PP</t>
        </is>
      </c>
    </row>
    <row r="360">
      <c r="A360" s="7" t="inlineStr">
        <is>
          <t>2008-12-31</t>
        </is>
      </c>
      <c r="B360" s="8" t="n"/>
      <c r="C360" s="8" t="n"/>
      <c r="D360" s="8" t="n"/>
      <c r="E360" s="8" t="n"/>
      <c r="F360" s="8" t="n"/>
      <c r="G360" s="8" t="n"/>
      <c r="H360" s="8" t="n">
        <v>7145</v>
      </c>
      <c r="I360" s="8" t="n">
        <v>7180</v>
      </c>
      <c r="J360" s="8" t="n">
        <v>7230</v>
      </c>
      <c r="K360" s="8" t="n">
        <v>7030</v>
      </c>
      <c r="L360" s="8" t="n">
        <v>346444</v>
      </c>
      <c r="M360" s="8" t="n">
        <v>46330</v>
      </c>
      <c r="N360" s="9" t="inlineStr">
        <is>
          <t>否</t>
        </is>
      </c>
      <c r="O360" t="inlineStr">
        <is>
          <t>缺 PP</t>
        </is>
      </c>
    </row>
    <row r="361">
      <c r="A361" s="7" t="inlineStr">
        <is>
          <t>2009-01-05</t>
        </is>
      </c>
      <c r="B361" s="8" t="n"/>
      <c r="C361" s="8" t="n"/>
      <c r="D361" s="8" t="n"/>
      <c r="E361" s="8" t="n"/>
      <c r="F361" s="8" t="n"/>
      <c r="G361" s="8" t="n"/>
      <c r="H361" s="8" t="n">
        <v>7475</v>
      </c>
      <c r="I361" s="8" t="n">
        <v>7475</v>
      </c>
      <c r="J361" s="8" t="n">
        <v>7475</v>
      </c>
      <c r="K361" s="8" t="n">
        <v>7340</v>
      </c>
      <c r="L361" s="8" t="n">
        <v>165762</v>
      </c>
      <c r="M361" s="8" t="n">
        <v>40994</v>
      </c>
      <c r="N361" s="9" t="inlineStr">
        <is>
          <t>否</t>
        </is>
      </c>
      <c r="O361" t="inlineStr">
        <is>
          <t>缺 PP</t>
        </is>
      </c>
    </row>
    <row r="362">
      <c r="A362" s="7" t="inlineStr">
        <is>
          <t>2009-01-06</t>
        </is>
      </c>
      <c r="B362" s="8" t="n"/>
      <c r="C362" s="8" t="n"/>
      <c r="D362" s="8" t="n"/>
      <c r="E362" s="8" t="n"/>
      <c r="F362" s="8" t="n"/>
      <c r="G362" s="8" t="n"/>
      <c r="H362" s="8" t="n">
        <v>7735</v>
      </c>
      <c r="I362" s="8" t="n">
        <v>7500</v>
      </c>
      <c r="J362" s="8" t="n">
        <v>7800</v>
      </c>
      <c r="K362" s="8" t="n">
        <v>7440</v>
      </c>
      <c r="L362" s="8" t="n">
        <v>247954</v>
      </c>
      <c r="M362" s="8" t="n">
        <v>33570</v>
      </c>
      <c r="N362" s="9" t="inlineStr">
        <is>
          <t>否</t>
        </is>
      </c>
      <c r="O362" t="inlineStr">
        <is>
          <t>缺 PP</t>
        </is>
      </c>
    </row>
    <row r="363">
      <c r="A363" s="7" t="inlineStr">
        <is>
          <t>2009-01-07</t>
        </is>
      </c>
      <c r="B363" s="8" t="n"/>
      <c r="C363" s="8" t="n"/>
      <c r="D363" s="8" t="n"/>
      <c r="E363" s="8" t="n"/>
      <c r="F363" s="8" t="n"/>
      <c r="G363" s="8" t="n"/>
      <c r="H363" s="8" t="n">
        <v>7860</v>
      </c>
      <c r="I363" s="8" t="n">
        <v>7700</v>
      </c>
      <c r="J363" s="8" t="n">
        <v>8000</v>
      </c>
      <c r="K363" s="8" t="n">
        <v>7700</v>
      </c>
      <c r="L363" s="8" t="n">
        <v>250798</v>
      </c>
      <c r="M363" s="8" t="n">
        <v>26868</v>
      </c>
      <c r="N363" s="9" t="inlineStr">
        <is>
          <t>否</t>
        </is>
      </c>
      <c r="O363" t="inlineStr">
        <is>
          <t>缺 PP</t>
        </is>
      </c>
    </row>
    <row r="364">
      <c r="A364" s="7" t="inlineStr">
        <is>
          <t>2009-01-08</t>
        </is>
      </c>
      <c r="B364" s="8" t="n"/>
      <c r="C364" s="8" t="n"/>
      <c r="D364" s="8" t="n"/>
      <c r="E364" s="8" t="n"/>
      <c r="F364" s="8" t="n"/>
      <c r="G364" s="8" t="n"/>
      <c r="H364" s="8" t="n">
        <v>7655</v>
      </c>
      <c r="I364" s="8" t="n">
        <v>7655</v>
      </c>
      <c r="J364" s="8" t="n">
        <v>7725</v>
      </c>
      <c r="K364" s="8" t="n">
        <v>7585</v>
      </c>
      <c r="L364" s="8" t="n">
        <v>98030</v>
      </c>
      <c r="M364" s="8" t="n">
        <v>45524</v>
      </c>
      <c r="N364" s="9" t="inlineStr">
        <is>
          <t>否</t>
        </is>
      </c>
      <c r="O364" t="inlineStr">
        <is>
          <t>缺 PP</t>
        </is>
      </c>
    </row>
    <row r="365">
      <c r="A365" s="7" t="inlineStr">
        <is>
          <t>2009-01-09</t>
        </is>
      </c>
      <c r="B365" s="8" t="n"/>
      <c r="C365" s="8" t="n"/>
      <c r="D365" s="8" t="n"/>
      <c r="E365" s="8" t="n"/>
      <c r="F365" s="8" t="n"/>
      <c r="G365" s="8" t="n"/>
      <c r="H365" s="8" t="n">
        <v>7995</v>
      </c>
      <c r="I365" s="8" t="n">
        <v>7680</v>
      </c>
      <c r="J365" s="8" t="n">
        <v>8020</v>
      </c>
      <c r="K365" s="8" t="n">
        <v>7670</v>
      </c>
      <c r="L365" s="8" t="n">
        <v>183024</v>
      </c>
      <c r="M365" s="8" t="n">
        <v>51788</v>
      </c>
      <c r="N365" s="9" t="inlineStr">
        <is>
          <t>否</t>
        </is>
      </c>
      <c r="O365" t="inlineStr">
        <is>
          <t>缺 PP</t>
        </is>
      </c>
    </row>
    <row r="366">
      <c r="A366" s="7" t="inlineStr">
        <is>
          <t>2009-01-12</t>
        </is>
      </c>
      <c r="B366" s="8" t="n"/>
      <c r="C366" s="8" t="n"/>
      <c r="D366" s="8" t="n"/>
      <c r="E366" s="8" t="n"/>
      <c r="F366" s="8" t="n"/>
      <c r="G366" s="8" t="n"/>
      <c r="H366" s="8" t="n">
        <v>7960</v>
      </c>
      <c r="I366" s="8" t="n">
        <v>8000</v>
      </c>
      <c r="J366" s="8" t="n">
        <v>8175</v>
      </c>
      <c r="K366" s="8" t="n">
        <v>7890</v>
      </c>
      <c r="L366" s="8" t="n">
        <v>222844</v>
      </c>
      <c r="M366" s="8" t="n">
        <v>49884</v>
      </c>
      <c r="N366" s="9" t="inlineStr">
        <is>
          <t>否</t>
        </is>
      </c>
      <c r="O366" t="inlineStr">
        <is>
          <t>缺 PP</t>
        </is>
      </c>
    </row>
    <row r="367">
      <c r="A367" s="7" t="inlineStr">
        <is>
          <t>2009-01-13</t>
        </is>
      </c>
      <c r="B367" s="8" t="n"/>
      <c r="C367" s="8" t="n"/>
      <c r="D367" s="8" t="n"/>
      <c r="E367" s="8" t="n"/>
      <c r="F367" s="8" t="n"/>
      <c r="G367" s="8" t="n"/>
      <c r="H367" s="8" t="n">
        <v>8070</v>
      </c>
      <c r="I367" s="8" t="n">
        <v>7730</v>
      </c>
      <c r="J367" s="8" t="n">
        <v>8080</v>
      </c>
      <c r="K367" s="8" t="n">
        <v>7730</v>
      </c>
      <c r="L367" s="8" t="n">
        <v>204422</v>
      </c>
      <c r="M367" s="8" t="n">
        <v>58238</v>
      </c>
      <c r="N367" s="9" t="inlineStr">
        <is>
          <t>否</t>
        </is>
      </c>
      <c r="O367" t="inlineStr">
        <is>
          <t>缺 PP</t>
        </is>
      </c>
    </row>
    <row r="368">
      <c r="A368" s="7" t="inlineStr">
        <is>
          <t>2009-01-14</t>
        </is>
      </c>
      <c r="B368" s="8" t="n"/>
      <c r="C368" s="8" t="n"/>
      <c r="D368" s="8" t="n"/>
      <c r="E368" s="8" t="n"/>
      <c r="F368" s="8" t="n"/>
      <c r="G368" s="8" t="n"/>
      <c r="H368" s="8" t="n">
        <v>8310</v>
      </c>
      <c r="I368" s="8" t="n">
        <v>8200</v>
      </c>
      <c r="J368" s="8" t="n">
        <v>8310</v>
      </c>
      <c r="K368" s="8" t="n">
        <v>8120</v>
      </c>
      <c r="L368" s="8" t="n">
        <v>177776</v>
      </c>
      <c r="M368" s="8" t="n">
        <v>58314</v>
      </c>
      <c r="N368" s="9" t="inlineStr">
        <is>
          <t>否</t>
        </is>
      </c>
      <c r="O368" t="inlineStr">
        <is>
          <t>缺 PP</t>
        </is>
      </c>
    </row>
    <row r="369">
      <c r="A369" s="7" t="inlineStr">
        <is>
          <t>2009-01-15</t>
        </is>
      </c>
      <c r="B369" s="8" t="n"/>
      <c r="C369" s="8" t="n"/>
      <c r="D369" s="8" t="n"/>
      <c r="E369" s="8" t="n"/>
      <c r="F369" s="8" t="n"/>
      <c r="G369" s="8" t="n"/>
      <c r="H369" s="8" t="n">
        <v>8345</v>
      </c>
      <c r="I369" s="8" t="n">
        <v>8300</v>
      </c>
      <c r="J369" s="8" t="n">
        <v>8550</v>
      </c>
      <c r="K369" s="8" t="n">
        <v>8200</v>
      </c>
      <c r="L369" s="8" t="n">
        <v>436634</v>
      </c>
      <c r="M369" s="8" t="n">
        <v>57974</v>
      </c>
      <c r="N369" s="9" t="inlineStr">
        <is>
          <t>否</t>
        </is>
      </c>
      <c r="O369" t="inlineStr">
        <is>
          <t>缺 PP</t>
        </is>
      </c>
    </row>
    <row r="370">
      <c r="A370" s="7" t="inlineStr">
        <is>
          <t>2009-01-16</t>
        </is>
      </c>
      <c r="B370" s="8" t="n"/>
      <c r="C370" s="8" t="n"/>
      <c r="D370" s="8" t="n"/>
      <c r="E370" s="8" t="n"/>
      <c r="F370" s="8" t="n"/>
      <c r="G370" s="8" t="n"/>
      <c r="H370" s="8" t="n">
        <v>8490</v>
      </c>
      <c r="I370" s="8" t="n">
        <v>8470</v>
      </c>
      <c r="J370" s="8" t="n">
        <v>8535</v>
      </c>
      <c r="K370" s="8" t="n">
        <v>8300</v>
      </c>
      <c r="L370" s="8" t="n">
        <v>320734</v>
      </c>
      <c r="M370" s="8" t="n">
        <v>53414</v>
      </c>
      <c r="N370" s="9" t="inlineStr">
        <is>
          <t>否</t>
        </is>
      </c>
      <c r="O370" t="inlineStr">
        <is>
          <t>缺 PP</t>
        </is>
      </c>
    </row>
    <row r="371">
      <c r="A371" s="7" t="inlineStr">
        <is>
          <t>2009-01-19</t>
        </is>
      </c>
      <c r="B371" s="8" t="n"/>
      <c r="C371" s="8" t="n"/>
      <c r="D371" s="8" t="n"/>
      <c r="E371" s="8" t="n"/>
      <c r="F371" s="8" t="n"/>
      <c r="G371" s="8" t="n"/>
      <c r="H371" s="8" t="n">
        <v>8610</v>
      </c>
      <c r="I371" s="8" t="n">
        <v>8450</v>
      </c>
      <c r="J371" s="8" t="n">
        <v>8650</v>
      </c>
      <c r="K371" s="8" t="n">
        <v>8450</v>
      </c>
      <c r="L371" s="8" t="n">
        <v>278592</v>
      </c>
      <c r="M371" s="8" t="n">
        <v>55872</v>
      </c>
      <c r="N371" s="9" t="inlineStr">
        <is>
          <t>否</t>
        </is>
      </c>
      <c r="O371" t="inlineStr">
        <is>
          <t>缺 PP</t>
        </is>
      </c>
    </row>
    <row r="372">
      <c r="A372" s="7" t="inlineStr">
        <is>
          <t>2009-01-20</t>
        </is>
      </c>
      <c r="B372" s="8" t="n"/>
      <c r="C372" s="8" t="n"/>
      <c r="D372" s="8" t="n"/>
      <c r="E372" s="8" t="n"/>
      <c r="F372" s="8" t="n"/>
      <c r="G372" s="8" t="n"/>
      <c r="H372" s="8" t="n">
        <v>8585</v>
      </c>
      <c r="I372" s="8" t="n">
        <v>8575</v>
      </c>
      <c r="J372" s="8" t="n">
        <v>8645</v>
      </c>
      <c r="K372" s="8" t="n">
        <v>8525</v>
      </c>
      <c r="L372" s="8" t="n">
        <v>155534</v>
      </c>
      <c r="M372" s="8" t="n">
        <v>47258</v>
      </c>
      <c r="N372" s="9" t="inlineStr">
        <is>
          <t>否</t>
        </is>
      </c>
      <c r="O372" t="inlineStr">
        <is>
          <t>缺 PP</t>
        </is>
      </c>
    </row>
    <row r="373">
      <c r="A373" s="7" t="inlineStr">
        <is>
          <t>2009-01-21</t>
        </is>
      </c>
      <c r="B373" s="8" t="n"/>
      <c r="C373" s="8" t="n"/>
      <c r="D373" s="8" t="n"/>
      <c r="E373" s="8" t="n"/>
      <c r="F373" s="8" t="n"/>
      <c r="G373" s="8" t="n"/>
      <c r="H373" s="8" t="n">
        <v>8395</v>
      </c>
      <c r="I373" s="8" t="n">
        <v>8595</v>
      </c>
      <c r="J373" s="8" t="n">
        <v>8625</v>
      </c>
      <c r="K373" s="8" t="n">
        <v>8350</v>
      </c>
      <c r="L373" s="8" t="n">
        <v>243298</v>
      </c>
      <c r="M373" s="8" t="n">
        <v>46408</v>
      </c>
      <c r="N373" s="9" t="inlineStr">
        <is>
          <t>否</t>
        </is>
      </c>
      <c r="O373" t="inlineStr">
        <is>
          <t>缺 PP</t>
        </is>
      </c>
    </row>
    <row r="374">
      <c r="A374" s="7" t="inlineStr">
        <is>
          <t>2009-01-22</t>
        </is>
      </c>
      <c r="B374" s="8" t="n"/>
      <c r="C374" s="8" t="n"/>
      <c r="D374" s="8" t="n"/>
      <c r="E374" s="8" t="n"/>
      <c r="F374" s="8" t="n"/>
      <c r="G374" s="8" t="n"/>
      <c r="H374" s="8" t="n">
        <v>8480</v>
      </c>
      <c r="I374" s="8" t="n">
        <v>8490</v>
      </c>
      <c r="J374" s="8" t="n">
        <v>8510</v>
      </c>
      <c r="K374" s="8" t="n">
        <v>8190</v>
      </c>
      <c r="L374" s="8" t="n">
        <v>219596</v>
      </c>
      <c r="M374" s="8" t="n">
        <v>43876</v>
      </c>
      <c r="N374" s="9" t="inlineStr">
        <is>
          <t>否</t>
        </is>
      </c>
      <c r="O374" t="inlineStr">
        <is>
          <t>缺 PP</t>
        </is>
      </c>
    </row>
    <row r="375">
      <c r="A375" s="7" t="inlineStr">
        <is>
          <t>2009-01-23</t>
        </is>
      </c>
      <c r="B375" s="8" t="n"/>
      <c r="C375" s="8" t="n"/>
      <c r="D375" s="8" t="n"/>
      <c r="E375" s="8" t="n"/>
      <c r="F375" s="8" t="n"/>
      <c r="G375" s="8" t="n"/>
      <c r="H375" s="8" t="n">
        <v>8780</v>
      </c>
      <c r="I375" s="8" t="n">
        <v>8430</v>
      </c>
      <c r="J375" s="8" t="n">
        <v>8780</v>
      </c>
      <c r="K375" s="8" t="n">
        <v>8410</v>
      </c>
      <c r="L375" s="8" t="n">
        <v>198854</v>
      </c>
      <c r="M375" s="8" t="n">
        <v>45422</v>
      </c>
      <c r="N375" s="9" t="inlineStr">
        <is>
          <t>否</t>
        </is>
      </c>
      <c r="O375" t="inlineStr">
        <is>
          <t>缺 PP</t>
        </is>
      </c>
    </row>
    <row r="376">
      <c r="A376" s="7" t="inlineStr">
        <is>
          <t>2009-02-02</t>
        </is>
      </c>
      <c r="B376" s="8" t="n"/>
      <c r="C376" s="8" t="n"/>
      <c r="D376" s="8" t="n"/>
      <c r="E376" s="8" t="n"/>
      <c r="F376" s="8" t="n"/>
      <c r="G376" s="8" t="n"/>
      <c r="H376" s="8" t="n">
        <v>8915</v>
      </c>
      <c r="I376" s="8" t="n">
        <v>8800</v>
      </c>
      <c r="J376" s="8" t="n">
        <v>8955</v>
      </c>
      <c r="K376" s="8" t="n">
        <v>8720</v>
      </c>
      <c r="L376" s="8" t="n">
        <v>198850</v>
      </c>
      <c r="M376" s="8" t="n">
        <v>50348</v>
      </c>
      <c r="N376" s="9" t="inlineStr">
        <is>
          <t>否</t>
        </is>
      </c>
      <c r="O376" t="inlineStr">
        <is>
          <t>缺 PP</t>
        </is>
      </c>
    </row>
    <row r="377">
      <c r="A377" s="7" t="inlineStr">
        <is>
          <t>2009-02-03</t>
        </is>
      </c>
      <c r="B377" s="8" t="n"/>
      <c r="C377" s="8" t="n"/>
      <c r="D377" s="8" t="n"/>
      <c r="E377" s="8" t="n"/>
      <c r="F377" s="8" t="n"/>
      <c r="G377" s="8" t="n"/>
      <c r="H377" s="8" t="n">
        <v>8905</v>
      </c>
      <c r="I377" s="8" t="n">
        <v>8900</v>
      </c>
      <c r="J377" s="8" t="n">
        <v>8935</v>
      </c>
      <c r="K377" s="8" t="n">
        <v>8800</v>
      </c>
      <c r="L377" s="8" t="n">
        <v>204688</v>
      </c>
      <c r="M377" s="8" t="n">
        <v>52940</v>
      </c>
      <c r="N377" s="9" t="inlineStr">
        <is>
          <t>否</t>
        </is>
      </c>
      <c r="O377" t="inlineStr">
        <is>
          <t>缺 PP</t>
        </is>
      </c>
    </row>
    <row r="378">
      <c r="A378" s="7" t="inlineStr">
        <is>
          <t>2009-02-04</t>
        </is>
      </c>
      <c r="B378" s="8" t="n"/>
      <c r="C378" s="8" t="n"/>
      <c r="D378" s="8" t="n"/>
      <c r="E378" s="8" t="n"/>
      <c r="F378" s="8" t="n"/>
      <c r="G378" s="8" t="n"/>
      <c r="H378" s="8" t="n">
        <v>9170</v>
      </c>
      <c r="I378" s="8" t="n">
        <v>8940</v>
      </c>
      <c r="J378" s="8" t="n">
        <v>9250</v>
      </c>
      <c r="K378" s="8" t="n">
        <v>8910</v>
      </c>
      <c r="L378" s="8" t="n">
        <v>244542</v>
      </c>
      <c r="M378" s="8" t="n">
        <v>55880</v>
      </c>
      <c r="N378" s="9" t="inlineStr">
        <is>
          <t>否</t>
        </is>
      </c>
      <c r="O378" t="inlineStr">
        <is>
          <t>缺 PP</t>
        </is>
      </c>
    </row>
    <row r="379">
      <c r="A379" s="7" t="inlineStr">
        <is>
          <t>2009-02-05</t>
        </is>
      </c>
      <c r="B379" s="8" t="n"/>
      <c r="C379" s="8" t="n"/>
      <c r="D379" s="8" t="n"/>
      <c r="E379" s="8" t="n"/>
      <c r="F379" s="8" t="n"/>
      <c r="G379" s="8" t="n"/>
      <c r="H379" s="8" t="n">
        <v>9165</v>
      </c>
      <c r="I379" s="8" t="n">
        <v>9150</v>
      </c>
      <c r="J379" s="8" t="n">
        <v>9275</v>
      </c>
      <c r="K379" s="8" t="n">
        <v>9125</v>
      </c>
      <c r="L379" s="8" t="n">
        <v>214506</v>
      </c>
      <c r="M379" s="8" t="n">
        <v>63916</v>
      </c>
      <c r="N379" s="9" t="inlineStr">
        <is>
          <t>否</t>
        </is>
      </c>
      <c r="O379" t="inlineStr">
        <is>
          <t>缺 PP</t>
        </is>
      </c>
    </row>
    <row r="380">
      <c r="A380" s="7" t="inlineStr">
        <is>
          <t>2009-02-06</t>
        </is>
      </c>
      <c r="B380" s="8" t="n"/>
      <c r="C380" s="8" t="n"/>
      <c r="D380" s="8" t="n"/>
      <c r="E380" s="8" t="n"/>
      <c r="F380" s="8" t="n"/>
      <c r="G380" s="8" t="n"/>
      <c r="H380" s="8" t="n">
        <v>9225</v>
      </c>
      <c r="I380" s="8" t="n">
        <v>9195</v>
      </c>
      <c r="J380" s="8" t="n">
        <v>9295</v>
      </c>
      <c r="K380" s="8" t="n">
        <v>9120</v>
      </c>
      <c r="L380" s="8" t="n">
        <v>176202</v>
      </c>
      <c r="M380" s="8" t="n">
        <v>59042</v>
      </c>
      <c r="N380" s="9" t="inlineStr">
        <is>
          <t>否</t>
        </is>
      </c>
      <c r="O380" t="inlineStr">
        <is>
          <t>缺 PP</t>
        </is>
      </c>
    </row>
    <row r="381">
      <c r="A381" s="7" t="inlineStr">
        <is>
          <t>2009-02-09</t>
        </is>
      </c>
      <c r="B381" s="8" t="n"/>
      <c r="C381" s="8" t="n"/>
      <c r="D381" s="8" t="n"/>
      <c r="E381" s="8" t="n"/>
      <c r="F381" s="8" t="n"/>
      <c r="G381" s="8" t="n"/>
      <c r="H381" s="8" t="n">
        <v>9295</v>
      </c>
      <c r="I381" s="8" t="n">
        <v>9250</v>
      </c>
      <c r="J381" s="8" t="n">
        <v>9380</v>
      </c>
      <c r="K381" s="8" t="n">
        <v>9235</v>
      </c>
      <c r="L381" s="8" t="n">
        <v>200426</v>
      </c>
      <c r="M381" s="8" t="n">
        <v>63522</v>
      </c>
      <c r="N381" s="9" t="inlineStr">
        <is>
          <t>否</t>
        </is>
      </c>
      <c r="O381" t="inlineStr">
        <is>
          <t>缺 PP</t>
        </is>
      </c>
    </row>
    <row r="382">
      <c r="A382" s="7" t="inlineStr">
        <is>
          <t>2009-02-10</t>
        </is>
      </c>
      <c r="B382" s="8" t="n"/>
      <c r="C382" s="8" t="n"/>
      <c r="D382" s="8" t="n"/>
      <c r="E382" s="8" t="n"/>
      <c r="F382" s="8" t="n"/>
      <c r="G382" s="8" t="n"/>
      <c r="H382" s="8" t="n">
        <v>9135</v>
      </c>
      <c r="I382" s="8" t="n">
        <v>9250</v>
      </c>
      <c r="J382" s="8" t="n">
        <v>9310</v>
      </c>
      <c r="K382" s="8" t="n">
        <v>9025</v>
      </c>
      <c r="L382" s="8" t="n">
        <v>254172</v>
      </c>
      <c r="M382" s="8" t="n">
        <v>63246</v>
      </c>
      <c r="N382" s="9" t="inlineStr">
        <is>
          <t>否</t>
        </is>
      </c>
      <c r="O382" t="inlineStr">
        <is>
          <t>缺 PP</t>
        </is>
      </c>
    </row>
    <row r="383">
      <c r="A383" s="7" t="inlineStr">
        <is>
          <t>2009-02-11</t>
        </is>
      </c>
      <c r="B383" s="8" t="n"/>
      <c r="C383" s="8" t="n"/>
      <c r="D383" s="8" t="n"/>
      <c r="E383" s="8" t="n"/>
      <c r="F383" s="8" t="n"/>
      <c r="G383" s="8" t="n"/>
      <c r="H383" s="8" t="n">
        <v>8705</v>
      </c>
      <c r="I383" s="8" t="n">
        <v>8990</v>
      </c>
      <c r="J383" s="8" t="n">
        <v>9040</v>
      </c>
      <c r="K383" s="8" t="n">
        <v>8705</v>
      </c>
      <c r="L383" s="8" t="n">
        <v>213898</v>
      </c>
      <c r="M383" s="8" t="n">
        <v>63478</v>
      </c>
      <c r="N383" s="9" t="inlineStr">
        <is>
          <t>否</t>
        </is>
      </c>
      <c r="O383" t="inlineStr">
        <is>
          <t>缺 PP</t>
        </is>
      </c>
    </row>
    <row r="384">
      <c r="A384" s="7" t="inlineStr">
        <is>
          <t>2009-02-12</t>
        </is>
      </c>
      <c r="B384" s="8" t="n"/>
      <c r="C384" s="8" t="n"/>
      <c r="D384" s="8" t="n"/>
      <c r="E384" s="8" t="n"/>
      <c r="F384" s="8" t="n"/>
      <c r="G384" s="8" t="n"/>
      <c r="H384" s="8" t="n">
        <v>8695</v>
      </c>
      <c r="I384" s="8" t="n">
        <v>8615</v>
      </c>
      <c r="J384" s="8" t="n">
        <v>8740</v>
      </c>
      <c r="K384" s="8" t="n">
        <v>8505</v>
      </c>
      <c r="L384" s="8" t="n">
        <v>263404</v>
      </c>
      <c r="M384" s="8" t="n">
        <v>51176</v>
      </c>
      <c r="N384" s="9" t="inlineStr">
        <is>
          <t>否</t>
        </is>
      </c>
      <c r="O384" t="inlineStr">
        <is>
          <t>缺 PP</t>
        </is>
      </c>
    </row>
    <row r="385">
      <c r="A385" s="7" t="inlineStr">
        <is>
          <t>2009-02-13</t>
        </is>
      </c>
      <c r="B385" s="8" t="n"/>
      <c r="C385" s="8" t="n"/>
      <c r="D385" s="8" t="n"/>
      <c r="E385" s="8" t="n"/>
      <c r="F385" s="8" t="n"/>
      <c r="G385" s="8" t="n"/>
      <c r="H385" s="8" t="n">
        <v>8665</v>
      </c>
      <c r="I385" s="8" t="n">
        <v>8705</v>
      </c>
      <c r="J385" s="8" t="n">
        <v>8870</v>
      </c>
      <c r="K385" s="8" t="n">
        <v>8480</v>
      </c>
      <c r="L385" s="8" t="n">
        <v>473600</v>
      </c>
      <c r="M385" s="8" t="n">
        <v>58620</v>
      </c>
      <c r="N385" s="9" t="inlineStr">
        <is>
          <t>否</t>
        </is>
      </c>
      <c r="O385" t="inlineStr">
        <is>
          <t>缺 PP</t>
        </is>
      </c>
    </row>
    <row r="386">
      <c r="A386" s="7" t="inlineStr">
        <is>
          <t>2009-02-16</t>
        </is>
      </c>
      <c r="B386" s="8" t="n"/>
      <c r="C386" s="8" t="n"/>
      <c r="D386" s="8" t="n"/>
      <c r="E386" s="8" t="n"/>
      <c r="F386" s="8" t="n"/>
      <c r="G386" s="8" t="n"/>
      <c r="H386" s="8" t="n">
        <v>8325</v>
      </c>
      <c r="I386" s="8" t="n">
        <v>8700</v>
      </c>
      <c r="J386" s="8" t="n">
        <v>8725</v>
      </c>
      <c r="K386" s="8" t="n">
        <v>8305</v>
      </c>
      <c r="L386" s="8" t="n">
        <v>281018</v>
      </c>
      <c r="M386" s="8" t="n">
        <v>66734</v>
      </c>
      <c r="N386" s="9" t="inlineStr">
        <is>
          <t>否</t>
        </is>
      </c>
      <c r="O386" t="inlineStr">
        <is>
          <t>缺 PP</t>
        </is>
      </c>
    </row>
    <row r="387">
      <c r="A387" s="7" t="inlineStr">
        <is>
          <t>2009-02-17</t>
        </is>
      </c>
      <c r="B387" s="8" t="n"/>
      <c r="C387" s="8" t="n"/>
      <c r="D387" s="8" t="n"/>
      <c r="E387" s="8" t="n"/>
      <c r="F387" s="8" t="n"/>
      <c r="G387" s="8" t="n"/>
      <c r="H387" s="8" t="n">
        <v>8250</v>
      </c>
      <c r="I387" s="8" t="n">
        <v>8350</v>
      </c>
      <c r="J387" s="8" t="n">
        <v>8480</v>
      </c>
      <c r="K387" s="8" t="n">
        <v>8235</v>
      </c>
      <c r="L387" s="8" t="n">
        <v>339198</v>
      </c>
      <c r="M387" s="8" t="n">
        <v>67204</v>
      </c>
      <c r="N387" s="9" t="inlineStr">
        <is>
          <t>否</t>
        </is>
      </c>
      <c r="O387" t="inlineStr">
        <is>
          <t>缺 PP</t>
        </is>
      </c>
    </row>
    <row r="388">
      <c r="A388" s="7" t="inlineStr">
        <is>
          <t>2009-02-18</t>
        </is>
      </c>
      <c r="B388" s="8" t="n"/>
      <c r="C388" s="8" t="n"/>
      <c r="D388" s="8" t="n"/>
      <c r="E388" s="8" t="n"/>
      <c r="F388" s="8" t="n"/>
      <c r="G388" s="8" t="n"/>
      <c r="H388" s="8" t="n">
        <v>7930</v>
      </c>
      <c r="I388" s="8" t="n">
        <v>8085</v>
      </c>
      <c r="J388" s="8" t="n">
        <v>8100</v>
      </c>
      <c r="K388" s="8" t="n">
        <v>7930</v>
      </c>
      <c r="L388" s="8" t="n">
        <v>30210</v>
      </c>
      <c r="M388" s="8" t="n">
        <v>59810</v>
      </c>
      <c r="N388" s="9" t="inlineStr">
        <is>
          <t>否</t>
        </is>
      </c>
      <c r="O388" t="inlineStr">
        <is>
          <t>缺 PP</t>
        </is>
      </c>
    </row>
    <row r="389">
      <c r="A389" s="7" t="inlineStr">
        <is>
          <t>2009-02-19</t>
        </is>
      </c>
      <c r="B389" s="8" t="n"/>
      <c r="C389" s="8" t="n"/>
      <c r="D389" s="8" t="n"/>
      <c r="E389" s="8" t="n"/>
      <c r="F389" s="8" t="n"/>
      <c r="G389" s="8" t="n"/>
      <c r="H389" s="8" t="n">
        <v>7885</v>
      </c>
      <c r="I389" s="8" t="n">
        <v>7830</v>
      </c>
      <c r="J389" s="8" t="n">
        <v>8015</v>
      </c>
      <c r="K389" s="8" t="n">
        <v>7750</v>
      </c>
      <c r="L389" s="8" t="n">
        <v>358544</v>
      </c>
      <c r="M389" s="8" t="n">
        <v>62466</v>
      </c>
      <c r="N389" s="9" t="inlineStr">
        <is>
          <t>否</t>
        </is>
      </c>
      <c r="O389" t="inlineStr">
        <is>
          <t>缺 PP</t>
        </is>
      </c>
    </row>
    <row r="390">
      <c r="A390" s="7" t="inlineStr">
        <is>
          <t>2009-02-20</t>
        </is>
      </c>
      <c r="B390" s="8" t="n"/>
      <c r="C390" s="8" t="n"/>
      <c r="D390" s="8" t="n"/>
      <c r="E390" s="8" t="n"/>
      <c r="F390" s="8" t="n"/>
      <c r="G390" s="8" t="n"/>
      <c r="H390" s="8" t="n">
        <v>7820</v>
      </c>
      <c r="I390" s="8" t="n">
        <v>7980</v>
      </c>
      <c r="J390" s="8" t="n">
        <v>8080</v>
      </c>
      <c r="K390" s="8" t="n">
        <v>7805</v>
      </c>
      <c r="L390" s="8" t="n">
        <v>298424</v>
      </c>
      <c r="M390" s="8" t="n">
        <v>69880</v>
      </c>
      <c r="N390" s="9" t="inlineStr">
        <is>
          <t>否</t>
        </is>
      </c>
      <c r="O390" t="inlineStr">
        <is>
          <t>缺 PP</t>
        </is>
      </c>
    </row>
    <row r="391">
      <c r="A391" s="7" t="inlineStr">
        <is>
          <t>2009-02-23</t>
        </is>
      </c>
      <c r="B391" s="8" t="n"/>
      <c r="C391" s="8" t="n"/>
      <c r="D391" s="8" t="n"/>
      <c r="E391" s="8" t="n"/>
      <c r="F391" s="8" t="n"/>
      <c r="G391" s="8" t="n"/>
      <c r="H391" s="8" t="n">
        <v>8220</v>
      </c>
      <c r="I391" s="8" t="n">
        <v>7800</v>
      </c>
      <c r="J391" s="8" t="n">
        <v>8265</v>
      </c>
      <c r="K391" s="8" t="n">
        <v>7760</v>
      </c>
      <c r="L391" s="8" t="n">
        <v>376342</v>
      </c>
      <c r="M391" s="8" t="n">
        <v>65464</v>
      </c>
      <c r="N391" s="9" t="inlineStr">
        <is>
          <t>否</t>
        </is>
      </c>
      <c r="O391" t="inlineStr">
        <is>
          <t>缺 PP</t>
        </is>
      </c>
    </row>
    <row r="392">
      <c r="A392" s="7" t="inlineStr">
        <is>
          <t>2009-02-24</t>
        </is>
      </c>
      <c r="B392" s="8" t="n"/>
      <c r="C392" s="8" t="n"/>
      <c r="D392" s="8" t="n"/>
      <c r="E392" s="8" t="n"/>
      <c r="F392" s="8" t="n"/>
      <c r="G392" s="8" t="n"/>
      <c r="H392" s="8" t="n">
        <v>8120</v>
      </c>
      <c r="I392" s="8" t="n">
        <v>8100</v>
      </c>
      <c r="J392" s="8" t="n">
        <v>8210</v>
      </c>
      <c r="K392" s="8" t="n">
        <v>7960</v>
      </c>
      <c r="L392" s="8" t="n">
        <v>342578</v>
      </c>
      <c r="M392" s="8" t="n">
        <v>60310</v>
      </c>
      <c r="N392" s="9" t="inlineStr">
        <is>
          <t>否</t>
        </is>
      </c>
      <c r="O392" t="inlineStr">
        <is>
          <t>缺 PP</t>
        </is>
      </c>
    </row>
    <row r="393">
      <c r="A393" s="7" t="inlineStr">
        <is>
          <t>2009-02-25</t>
        </is>
      </c>
      <c r="B393" s="8" t="n"/>
      <c r="C393" s="8" t="n"/>
      <c r="D393" s="8" t="n"/>
      <c r="E393" s="8" t="n"/>
      <c r="F393" s="8" t="n"/>
      <c r="G393" s="8" t="n"/>
      <c r="H393" s="8" t="n">
        <v>8355</v>
      </c>
      <c r="I393" s="8" t="n">
        <v>8400</v>
      </c>
      <c r="J393" s="8" t="n">
        <v>8450</v>
      </c>
      <c r="K393" s="8" t="n">
        <v>8230</v>
      </c>
      <c r="L393" s="8" t="n">
        <v>269804</v>
      </c>
      <c r="M393" s="8" t="n">
        <v>56322</v>
      </c>
      <c r="N393" s="9" t="inlineStr">
        <is>
          <t>否</t>
        </is>
      </c>
      <c r="O393" t="inlineStr">
        <is>
          <t>缺 PP</t>
        </is>
      </c>
    </row>
    <row r="394">
      <c r="A394" s="7" t="inlineStr">
        <is>
          <t>2009-02-26</t>
        </is>
      </c>
      <c r="B394" s="8" t="n"/>
      <c r="C394" s="8" t="n"/>
      <c r="D394" s="8" t="n"/>
      <c r="E394" s="8" t="n"/>
      <c r="F394" s="8" t="n"/>
      <c r="G394" s="8" t="n"/>
      <c r="H394" s="8" t="n">
        <v>8230</v>
      </c>
      <c r="I394" s="8" t="n">
        <v>8460</v>
      </c>
      <c r="J394" s="8" t="n">
        <v>8500</v>
      </c>
      <c r="K394" s="8" t="n">
        <v>8210</v>
      </c>
      <c r="L394" s="8" t="n">
        <v>320946</v>
      </c>
      <c r="M394" s="8" t="n">
        <v>57094</v>
      </c>
      <c r="N394" s="9" t="inlineStr">
        <is>
          <t>否</t>
        </is>
      </c>
      <c r="O394" t="inlineStr">
        <is>
          <t>缺 PP</t>
        </is>
      </c>
    </row>
    <row r="395">
      <c r="A395" s="7" t="inlineStr">
        <is>
          <t>2009-02-27</t>
        </is>
      </c>
      <c r="B395" s="8" t="n"/>
      <c r="C395" s="8" t="n"/>
      <c r="D395" s="8" t="n"/>
      <c r="E395" s="8" t="n"/>
      <c r="F395" s="8" t="n"/>
      <c r="G395" s="8" t="n"/>
      <c r="H395" s="8" t="n">
        <v>8140</v>
      </c>
      <c r="I395" s="8" t="n">
        <v>8300</v>
      </c>
      <c r="J395" s="8" t="n">
        <v>8375</v>
      </c>
      <c r="K395" s="8" t="n">
        <v>8120</v>
      </c>
      <c r="L395" s="8" t="n">
        <v>313396</v>
      </c>
      <c r="M395" s="8" t="n">
        <v>56584</v>
      </c>
      <c r="N395" s="9" t="inlineStr">
        <is>
          <t>否</t>
        </is>
      </c>
      <c r="O395" t="inlineStr">
        <is>
          <t>缺 PP</t>
        </is>
      </c>
    </row>
    <row r="396">
      <c r="A396" s="7" t="inlineStr">
        <is>
          <t>2009-03-02</t>
        </is>
      </c>
      <c r="B396" s="8" t="n"/>
      <c r="C396" s="8" t="n"/>
      <c r="D396" s="8" t="n"/>
      <c r="E396" s="8" t="n"/>
      <c r="F396" s="8" t="n"/>
      <c r="G396" s="8" t="n"/>
      <c r="H396" s="8" t="n">
        <v>7970</v>
      </c>
      <c r="I396" s="8" t="n">
        <v>8100</v>
      </c>
      <c r="J396" s="8" t="n">
        <v>8120</v>
      </c>
      <c r="K396" s="8" t="n">
        <v>7905</v>
      </c>
      <c r="L396" s="8" t="n">
        <v>339220</v>
      </c>
      <c r="M396" s="8" t="n">
        <v>59336</v>
      </c>
      <c r="N396" s="9" t="inlineStr">
        <is>
          <t>否</t>
        </is>
      </c>
      <c r="O396" t="inlineStr">
        <is>
          <t>缺 PP</t>
        </is>
      </c>
    </row>
    <row r="397">
      <c r="A397" s="7" t="inlineStr">
        <is>
          <t>2009-03-03</t>
        </is>
      </c>
      <c r="B397" s="8" t="n"/>
      <c r="C397" s="8" t="n"/>
      <c r="D397" s="8" t="n"/>
      <c r="E397" s="8" t="n"/>
      <c r="F397" s="8" t="n"/>
      <c r="G397" s="8" t="n"/>
      <c r="H397" s="8" t="n">
        <v>7740</v>
      </c>
      <c r="I397" s="8" t="n">
        <v>7700</v>
      </c>
      <c r="J397" s="8" t="n">
        <v>7840</v>
      </c>
      <c r="K397" s="8" t="n">
        <v>7655</v>
      </c>
      <c r="L397" s="8" t="n">
        <v>311054</v>
      </c>
      <c r="M397" s="8" t="n">
        <v>68268</v>
      </c>
      <c r="N397" s="9" t="inlineStr">
        <is>
          <t>否</t>
        </is>
      </c>
      <c r="O397" t="inlineStr">
        <is>
          <t>缺 PP</t>
        </is>
      </c>
    </row>
    <row r="398">
      <c r="A398" s="7" t="inlineStr">
        <is>
          <t>2009-03-04</t>
        </is>
      </c>
      <c r="B398" s="8" t="n"/>
      <c r="C398" s="8" t="n"/>
      <c r="D398" s="8" t="n"/>
      <c r="E398" s="8" t="n"/>
      <c r="F398" s="8" t="n"/>
      <c r="G398" s="8" t="n"/>
      <c r="H398" s="8" t="n">
        <v>7860</v>
      </c>
      <c r="I398" s="8" t="n">
        <v>7770</v>
      </c>
      <c r="J398" s="8" t="n">
        <v>7880</v>
      </c>
      <c r="K398" s="8" t="n">
        <v>7720</v>
      </c>
      <c r="L398" s="8" t="n">
        <v>248306</v>
      </c>
      <c r="M398" s="8" t="n">
        <v>67328</v>
      </c>
      <c r="N398" s="9" t="inlineStr">
        <is>
          <t>否</t>
        </is>
      </c>
      <c r="O398" t="inlineStr">
        <is>
          <t>缺 PP</t>
        </is>
      </c>
    </row>
    <row r="399">
      <c r="A399" s="7" t="inlineStr">
        <is>
          <t>2009-03-05</t>
        </is>
      </c>
      <c r="B399" s="8" t="n"/>
      <c r="C399" s="8" t="n"/>
      <c r="D399" s="8" t="n"/>
      <c r="E399" s="8" t="n"/>
      <c r="F399" s="8" t="n"/>
      <c r="G399" s="8" t="n"/>
      <c r="H399" s="8" t="n">
        <v>7610</v>
      </c>
      <c r="I399" s="8" t="n">
        <v>8050</v>
      </c>
      <c r="J399" s="8" t="n">
        <v>8050</v>
      </c>
      <c r="K399" s="8" t="n">
        <v>7600</v>
      </c>
      <c r="L399" s="8" t="n">
        <v>371092</v>
      </c>
      <c r="M399" s="8" t="n">
        <v>90178</v>
      </c>
      <c r="N399" s="9" t="inlineStr">
        <is>
          <t>否</t>
        </is>
      </c>
      <c r="O399" t="inlineStr">
        <is>
          <t>缺 PP</t>
        </is>
      </c>
    </row>
    <row r="400">
      <c r="A400" s="7" t="inlineStr">
        <is>
          <t>2009-03-06</t>
        </is>
      </c>
      <c r="B400" s="8" t="n"/>
      <c r="C400" s="8" t="n"/>
      <c r="D400" s="8" t="n"/>
      <c r="E400" s="8" t="n"/>
      <c r="F400" s="8" t="n"/>
      <c r="G400" s="8" t="n"/>
      <c r="H400" s="8" t="n">
        <v>7710</v>
      </c>
      <c r="I400" s="8" t="n">
        <v>7560</v>
      </c>
      <c r="J400" s="8" t="n">
        <v>7735</v>
      </c>
      <c r="K400" s="8" t="n">
        <v>7505</v>
      </c>
      <c r="L400" s="8" t="n">
        <v>522592</v>
      </c>
      <c r="M400" s="8" t="n">
        <v>82612</v>
      </c>
      <c r="N400" s="9" t="inlineStr">
        <is>
          <t>否</t>
        </is>
      </c>
      <c r="O400" t="inlineStr">
        <is>
          <t>缺 PP</t>
        </is>
      </c>
    </row>
    <row r="401">
      <c r="A401" s="7" t="inlineStr">
        <is>
          <t>2009-03-09</t>
        </is>
      </c>
      <c r="B401" s="8" t="n"/>
      <c r="C401" s="8" t="n"/>
      <c r="D401" s="8" t="n"/>
      <c r="E401" s="8" t="n"/>
      <c r="F401" s="8" t="n"/>
      <c r="G401" s="8" t="n"/>
      <c r="H401" s="8" t="n">
        <v>7845</v>
      </c>
      <c r="I401" s="8" t="n">
        <v>7820</v>
      </c>
      <c r="J401" s="8" t="n">
        <v>7910</v>
      </c>
      <c r="K401" s="8" t="n">
        <v>7705</v>
      </c>
      <c r="L401" s="8" t="n">
        <v>424286</v>
      </c>
      <c r="M401" s="8" t="n">
        <v>85926</v>
      </c>
      <c r="N401" s="9" t="inlineStr">
        <is>
          <t>否</t>
        </is>
      </c>
      <c r="O401" t="inlineStr">
        <is>
          <t>缺 PP</t>
        </is>
      </c>
    </row>
    <row r="402">
      <c r="A402" s="7" t="inlineStr">
        <is>
          <t>2009-03-10</t>
        </is>
      </c>
      <c r="B402" s="8" t="n"/>
      <c r="C402" s="8" t="n"/>
      <c r="D402" s="8" t="n"/>
      <c r="E402" s="8" t="n"/>
      <c r="F402" s="8" t="n"/>
      <c r="G402" s="8" t="n"/>
      <c r="H402" s="8" t="n">
        <v>8035</v>
      </c>
      <c r="I402" s="8" t="n">
        <v>7860</v>
      </c>
      <c r="J402" s="8" t="n">
        <v>8080</v>
      </c>
      <c r="K402" s="8" t="n">
        <v>7860</v>
      </c>
      <c r="L402" s="8" t="n">
        <v>410732</v>
      </c>
      <c r="M402" s="8" t="n">
        <v>79942</v>
      </c>
      <c r="N402" s="9" t="inlineStr">
        <is>
          <t>否</t>
        </is>
      </c>
      <c r="O402" t="inlineStr">
        <is>
          <t>缺 PP</t>
        </is>
      </c>
    </row>
    <row r="403">
      <c r="A403" s="7" t="inlineStr">
        <is>
          <t>2009-03-11</t>
        </is>
      </c>
      <c r="B403" s="8" t="n"/>
      <c r="C403" s="8" t="n"/>
      <c r="D403" s="8" t="n"/>
      <c r="E403" s="8" t="n"/>
      <c r="F403" s="8" t="n"/>
      <c r="G403" s="8" t="n"/>
      <c r="H403" s="8" t="n">
        <v>7885</v>
      </c>
      <c r="I403" s="8" t="n">
        <v>8035</v>
      </c>
      <c r="J403" s="8" t="n">
        <v>8035</v>
      </c>
      <c r="K403" s="8" t="n">
        <v>7825</v>
      </c>
      <c r="L403" s="8" t="n">
        <v>340846</v>
      </c>
      <c r="M403" s="8" t="n">
        <v>79238</v>
      </c>
      <c r="N403" s="9" t="inlineStr">
        <is>
          <t>否</t>
        </is>
      </c>
      <c r="O403" t="inlineStr">
        <is>
          <t>缺 PP</t>
        </is>
      </c>
    </row>
    <row r="404">
      <c r="A404" s="7" t="inlineStr">
        <is>
          <t>2009-03-12</t>
        </is>
      </c>
      <c r="B404" s="8" t="n"/>
      <c r="C404" s="8" t="n"/>
      <c r="D404" s="8" t="n"/>
      <c r="E404" s="8" t="n"/>
      <c r="F404" s="8" t="n"/>
      <c r="G404" s="8" t="n"/>
      <c r="H404" s="8" t="n">
        <v>8120</v>
      </c>
      <c r="I404" s="8" t="n">
        <v>7840</v>
      </c>
      <c r="J404" s="8" t="n">
        <v>8125</v>
      </c>
      <c r="K404" s="8" t="n">
        <v>7765</v>
      </c>
      <c r="L404" s="8" t="n">
        <v>489062</v>
      </c>
      <c r="M404" s="8" t="n">
        <v>85190</v>
      </c>
      <c r="N404" s="9" t="inlineStr">
        <is>
          <t>否</t>
        </is>
      </c>
      <c r="O404" t="inlineStr">
        <is>
          <t>缺 PP</t>
        </is>
      </c>
    </row>
    <row r="405">
      <c r="A405" s="7" t="inlineStr">
        <is>
          <t>2009-03-13</t>
        </is>
      </c>
      <c r="B405" s="8" t="n"/>
      <c r="C405" s="8" t="n"/>
      <c r="D405" s="8" t="n"/>
      <c r="E405" s="8" t="n"/>
      <c r="F405" s="8" t="n"/>
      <c r="G405" s="8" t="n"/>
      <c r="H405" s="8" t="n">
        <v>8090</v>
      </c>
      <c r="I405" s="8" t="n">
        <v>8200</v>
      </c>
      <c r="J405" s="8" t="n">
        <v>8250</v>
      </c>
      <c r="K405" s="8" t="n">
        <v>8080</v>
      </c>
      <c r="L405" s="8" t="n">
        <v>443502</v>
      </c>
      <c r="M405" s="8" t="n">
        <v>72720</v>
      </c>
      <c r="N405" s="9" t="inlineStr">
        <is>
          <t>否</t>
        </is>
      </c>
      <c r="O405" t="inlineStr">
        <is>
          <t>缺 PP</t>
        </is>
      </c>
    </row>
    <row r="406">
      <c r="A406" s="7" t="inlineStr">
        <is>
          <t>2009-03-16</t>
        </is>
      </c>
      <c r="B406" s="8" t="n"/>
      <c r="C406" s="8" t="n"/>
      <c r="D406" s="8" t="n"/>
      <c r="E406" s="8" t="n"/>
      <c r="F406" s="8" t="n"/>
      <c r="G406" s="8" t="n"/>
      <c r="H406" s="8" t="n">
        <v>8105</v>
      </c>
      <c r="I406" s="8" t="n">
        <v>8030</v>
      </c>
      <c r="J406" s="8" t="n">
        <v>8275</v>
      </c>
      <c r="K406" s="8" t="n">
        <v>8030</v>
      </c>
      <c r="L406" s="8" t="n">
        <v>391080</v>
      </c>
      <c r="M406" s="8" t="n">
        <v>70680</v>
      </c>
      <c r="N406" s="9" t="inlineStr">
        <is>
          <t>否</t>
        </is>
      </c>
      <c r="O406" t="inlineStr">
        <is>
          <t>缺 PP</t>
        </is>
      </c>
    </row>
    <row r="407">
      <c r="A407" s="7" t="inlineStr">
        <is>
          <t>2009-03-17</t>
        </is>
      </c>
      <c r="B407" s="8" t="n"/>
      <c r="C407" s="8" t="n"/>
      <c r="D407" s="8" t="n"/>
      <c r="E407" s="8" t="n"/>
      <c r="F407" s="8" t="n"/>
      <c r="G407" s="8" t="n"/>
      <c r="H407" s="8" t="n">
        <v>8265</v>
      </c>
      <c r="I407" s="8" t="n">
        <v>8150</v>
      </c>
      <c r="J407" s="8" t="n">
        <v>8350</v>
      </c>
      <c r="K407" s="8" t="n">
        <v>8145</v>
      </c>
      <c r="L407" s="8" t="n">
        <v>441130</v>
      </c>
      <c r="M407" s="8" t="n">
        <v>68228</v>
      </c>
      <c r="N407" s="9" t="inlineStr">
        <is>
          <t>否</t>
        </is>
      </c>
      <c r="O407" t="inlineStr">
        <is>
          <t>缺 PP</t>
        </is>
      </c>
    </row>
    <row r="408">
      <c r="A408" s="7" t="inlineStr">
        <is>
          <t>2009-03-18</t>
        </is>
      </c>
      <c r="B408" s="8" t="n"/>
      <c r="C408" s="8" t="n"/>
      <c r="D408" s="8" t="n"/>
      <c r="E408" s="8" t="n"/>
      <c r="F408" s="8" t="n"/>
      <c r="G408" s="8" t="n"/>
      <c r="H408" s="8" t="n">
        <v>8500</v>
      </c>
      <c r="I408" s="8" t="n">
        <v>8280</v>
      </c>
      <c r="J408" s="8" t="n">
        <v>8540</v>
      </c>
      <c r="K408" s="8" t="n">
        <v>8280</v>
      </c>
      <c r="L408" s="8" t="n">
        <v>454376</v>
      </c>
      <c r="M408" s="8" t="n">
        <v>71406</v>
      </c>
      <c r="N408" s="9" t="inlineStr">
        <is>
          <t>否</t>
        </is>
      </c>
      <c r="O408" t="inlineStr">
        <is>
          <t>缺 PP</t>
        </is>
      </c>
    </row>
    <row r="409">
      <c r="A409" s="7" t="inlineStr">
        <is>
          <t>2009-03-19</t>
        </is>
      </c>
      <c r="B409" s="8" t="n"/>
      <c r="C409" s="8" t="n"/>
      <c r="D409" s="8" t="n"/>
      <c r="E409" s="8" t="n"/>
      <c r="F409" s="8" t="n"/>
      <c r="G409" s="8" t="n"/>
      <c r="H409" s="8" t="n">
        <v>8560</v>
      </c>
      <c r="I409" s="8" t="n">
        <v>8550</v>
      </c>
      <c r="J409" s="8" t="n">
        <v>8625</v>
      </c>
      <c r="K409" s="8" t="n">
        <v>8490</v>
      </c>
      <c r="L409" s="8" t="n">
        <v>411284</v>
      </c>
      <c r="M409" s="8" t="n">
        <v>67176</v>
      </c>
      <c r="N409" s="9" t="inlineStr">
        <is>
          <t>否</t>
        </is>
      </c>
      <c r="O409" t="inlineStr">
        <is>
          <t>缺 PP</t>
        </is>
      </c>
    </row>
    <row r="410">
      <c r="A410" s="7" t="inlineStr">
        <is>
          <t>2009-03-20</t>
        </is>
      </c>
      <c r="B410" s="8" t="n"/>
      <c r="C410" s="8" t="n"/>
      <c r="D410" s="8" t="n"/>
      <c r="E410" s="8" t="n"/>
      <c r="F410" s="8" t="n"/>
      <c r="G410" s="8" t="n"/>
      <c r="H410" s="8" t="n">
        <v>8820</v>
      </c>
      <c r="I410" s="8" t="n">
        <v>8650</v>
      </c>
      <c r="J410" s="8" t="n">
        <v>8825</v>
      </c>
      <c r="K410" s="8" t="n">
        <v>8620</v>
      </c>
      <c r="L410" s="8" t="n">
        <v>360002</v>
      </c>
      <c r="M410" s="8" t="n">
        <v>64320</v>
      </c>
      <c r="N410" s="9" t="inlineStr">
        <is>
          <t>否</t>
        </is>
      </c>
      <c r="O410" t="inlineStr">
        <is>
          <t>缺 PP</t>
        </is>
      </c>
    </row>
    <row r="411">
      <c r="A411" s="7" t="inlineStr">
        <is>
          <t>2009-03-23</t>
        </is>
      </c>
      <c r="B411" s="8" t="n"/>
      <c r="C411" s="8" t="n"/>
      <c r="D411" s="8" t="n"/>
      <c r="E411" s="8" t="n"/>
      <c r="F411" s="8" t="n"/>
      <c r="G411" s="8" t="n"/>
      <c r="H411" s="8" t="n">
        <v>9170</v>
      </c>
      <c r="I411" s="8" t="n">
        <v>8850</v>
      </c>
      <c r="J411" s="8" t="n">
        <v>9170</v>
      </c>
      <c r="K411" s="8" t="n">
        <v>8840</v>
      </c>
      <c r="L411" s="8" t="n">
        <v>171092</v>
      </c>
      <c r="M411" s="8" t="n">
        <v>61012</v>
      </c>
      <c r="N411" s="9" t="inlineStr">
        <is>
          <t>否</t>
        </is>
      </c>
      <c r="O411" t="inlineStr">
        <is>
          <t>缺 PP</t>
        </is>
      </c>
    </row>
    <row r="412">
      <c r="A412" s="7" t="inlineStr">
        <is>
          <t>2009-03-24</t>
        </is>
      </c>
      <c r="B412" s="8" t="n"/>
      <c r="C412" s="8" t="n"/>
      <c r="D412" s="8" t="n"/>
      <c r="E412" s="8" t="n"/>
      <c r="F412" s="8" t="n"/>
      <c r="G412" s="8" t="n"/>
      <c r="H412" s="8" t="n">
        <v>9055</v>
      </c>
      <c r="I412" s="8" t="n">
        <v>9215</v>
      </c>
      <c r="J412" s="8" t="n">
        <v>9345</v>
      </c>
      <c r="K412" s="8" t="n">
        <v>8610</v>
      </c>
      <c r="L412" s="8" t="n">
        <v>658744</v>
      </c>
      <c r="M412" s="8" t="n">
        <v>59056</v>
      </c>
      <c r="N412" s="9" t="inlineStr">
        <is>
          <t>否</t>
        </is>
      </c>
      <c r="O412" t="inlineStr">
        <is>
          <t>缺 PP</t>
        </is>
      </c>
    </row>
    <row r="413">
      <c r="A413" s="7" t="inlineStr">
        <is>
          <t>2009-03-25</t>
        </is>
      </c>
      <c r="B413" s="8" t="n"/>
      <c r="C413" s="8" t="n"/>
      <c r="D413" s="8" t="n"/>
      <c r="E413" s="8" t="n"/>
      <c r="F413" s="8" t="n"/>
      <c r="G413" s="8" t="n"/>
      <c r="H413" s="8" t="n">
        <v>8980</v>
      </c>
      <c r="I413" s="8" t="n">
        <v>9080</v>
      </c>
      <c r="J413" s="8" t="n">
        <v>9200</v>
      </c>
      <c r="K413" s="8" t="n">
        <v>8965</v>
      </c>
      <c r="L413" s="8" t="n">
        <v>454184</v>
      </c>
      <c r="M413" s="8" t="n">
        <v>46662</v>
      </c>
      <c r="N413" s="9" t="inlineStr">
        <is>
          <t>否</t>
        </is>
      </c>
      <c r="O413" t="inlineStr">
        <is>
          <t>缺 PP</t>
        </is>
      </c>
    </row>
    <row r="414">
      <c r="A414" s="7" t="inlineStr">
        <is>
          <t>2009-03-26</t>
        </is>
      </c>
      <c r="B414" s="8" t="n"/>
      <c r="C414" s="8" t="n"/>
      <c r="D414" s="8" t="n"/>
      <c r="E414" s="8" t="n"/>
      <c r="F414" s="8" t="n"/>
      <c r="G414" s="8" t="n"/>
      <c r="H414" s="8" t="n">
        <v>9335</v>
      </c>
      <c r="I414" s="8" t="n">
        <v>9060</v>
      </c>
      <c r="J414" s="8" t="n">
        <v>9415</v>
      </c>
      <c r="K414" s="8" t="n">
        <v>8935</v>
      </c>
      <c r="L414" s="8" t="n">
        <v>439708</v>
      </c>
      <c r="M414" s="8" t="n">
        <v>46060</v>
      </c>
      <c r="N414" s="9" t="inlineStr">
        <is>
          <t>否</t>
        </is>
      </c>
      <c r="O414" t="inlineStr">
        <is>
          <t>缺 PP</t>
        </is>
      </c>
    </row>
    <row r="415">
      <c r="A415" s="7" t="inlineStr">
        <is>
          <t>2009-03-27</t>
        </is>
      </c>
      <c r="B415" s="8" t="n"/>
      <c r="C415" s="8" t="n"/>
      <c r="D415" s="8" t="n"/>
      <c r="E415" s="8" t="n"/>
      <c r="F415" s="8" t="n"/>
      <c r="G415" s="8" t="n"/>
      <c r="H415" s="8" t="n">
        <v>9270</v>
      </c>
      <c r="I415" s="8" t="n">
        <v>9380</v>
      </c>
      <c r="J415" s="8" t="n">
        <v>9515</v>
      </c>
      <c r="K415" s="8" t="n">
        <v>9105</v>
      </c>
      <c r="L415" s="8" t="n">
        <v>460422</v>
      </c>
      <c r="M415" s="8" t="n">
        <v>31572</v>
      </c>
      <c r="N415" s="9" t="inlineStr">
        <is>
          <t>否</t>
        </is>
      </c>
      <c r="O415" t="inlineStr">
        <is>
          <t>缺 PP</t>
        </is>
      </c>
    </row>
    <row r="416">
      <c r="A416" s="7" t="inlineStr">
        <is>
          <t>2009-03-30</t>
        </is>
      </c>
      <c r="B416" s="8" t="n"/>
      <c r="C416" s="8" t="n"/>
      <c r="D416" s="8" t="n"/>
      <c r="E416" s="8" t="n"/>
      <c r="F416" s="8" t="n"/>
      <c r="G416" s="8" t="n"/>
      <c r="H416" s="8" t="n">
        <v>9185</v>
      </c>
      <c r="I416" s="8" t="n">
        <v>9220</v>
      </c>
      <c r="J416" s="8" t="n">
        <v>9410</v>
      </c>
      <c r="K416" s="8" t="n">
        <v>9035</v>
      </c>
      <c r="L416" s="8" t="n">
        <v>431944</v>
      </c>
      <c r="M416" s="8" t="n">
        <v>29668</v>
      </c>
      <c r="N416" s="9" t="inlineStr">
        <is>
          <t>否</t>
        </is>
      </c>
      <c r="O416" t="inlineStr">
        <is>
          <t>缺 PP</t>
        </is>
      </c>
    </row>
    <row r="417">
      <c r="A417" s="7" t="inlineStr">
        <is>
          <t>2009-03-31</t>
        </is>
      </c>
      <c r="B417" s="8" t="n"/>
      <c r="C417" s="8" t="n"/>
      <c r="D417" s="8" t="n"/>
      <c r="E417" s="8" t="n"/>
      <c r="F417" s="8" t="n"/>
      <c r="G417" s="8" t="n"/>
      <c r="H417" s="8" t="n">
        <v>9275</v>
      </c>
      <c r="I417" s="8" t="n">
        <v>9020</v>
      </c>
      <c r="J417" s="8" t="n">
        <v>9330</v>
      </c>
      <c r="K417" s="8" t="n">
        <v>8855</v>
      </c>
      <c r="L417" s="8" t="n">
        <v>587968</v>
      </c>
      <c r="M417" s="8" t="n">
        <v>56558</v>
      </c>
      <c r="N417" s="9" t="inlineStr">
        <is>
          <t>否</t>
        </is>
      </c>
      <c r="O417" t="inlineStr">
        <is>
          <t>缺 PP</t>
        </is>
      </c>
    </row>
    <row r="418">
      <c r="A418" s="7" t="inlineStr">
        <is>
          <t>2009-04-01</t>
        </is>
      </c>
      <c r="B418" s="8" t="n"/>
      <c r="C418" s="8" t="n"/>
      <c r="D418" s="8" t="n"/>
      <c r="E418" s="8" t="n"/>
      <c r="F418" s="8" t="n"/>
      <c r="G418" s="8" t="n"/>
      <c r="H418" s="8" t="n">
        <v>9440</v>
      </c>
      <c r="I418" s="8" t="n">
        <v>9290</v>
      </c>
      <c r="J418" s="8" t="n">
        <v>9475</v>
      </c>
      <c r="K418" s="8" t="n">
        <v>9240</v>
      </c>
      <c r="L418" s="8" t="n">
        <v>586586</v>
      </c>
      <c r="M418" s="8" t="n">
        <v>75856</v>
      </c>
      <c r="N418" s="9" t="inlineStr">
        <is>
          <t>否</t>
        </is>
      </c>
      <c r="O418" t="inlineStr">
        <is>
          <t>缺 PP</t>
        </is>
      </c>
    </row>
    <row r="419">
      <c r="A419" s="7" t="inlineStr">
        <is>
          <t>2009-04-02</t>
        </is>
      </c>
      <c r="B419" s="8" t="n"/>
      <c r="C419" s="8" t="n"/>
      <c r="D419" s="8" t="n"/>
      <c r="E419" s="8" t="n"/>
      <c r="F419" s="8" t="n"/>
      <c r="G419" s="8" t="n"/>
      <c r="H419" s="8" t="n">
        <v>9510</v>
      </c>
      <c r="I419" s="8" t="n">
        <v>9545</v>
      </c>
      <c r="J419" s="8" t="n">
        <v>9550</v>
      </c>
      <c r="K419" s="8" t="n">
        <v>9330</v>
      </c>
      <c r="L419" s="8" t="n">
        <v>572166</v>
      </c>
      <c r="M419" s="8" t="n">
        <v>76232</v>
      </c>
      <c r="N419" s="9" t="inlineStr">
        <is>
          <t>否</t>
        </is>
      </c>
      <c r="O419" t="inlineStr">
        <is>
          <t>缺 PP</t>
        </is>
      </c>
    </row>
    <row r="420">
      <c r="A420" s="7" t="inlineStr">
        <is>
          <t>2009-04-03</t>
        </is>
      </c>
      <c r="B420" s="8" t="n"/>
      <c r="C420" s="8" t="n"/>
      <c r="D420" s="8" t="n"/>
      <c r="E420" s="8" t="n"/>
      <c r="F420" s="8" t="n"/>
      <c r="G420" s="8" t="n"/>
      <c r="H420" s="8" t="n">
        <v>9575</v>
      </c>
      <c r="I420" s="8" t="n">
        <v>9560</v>
      </c>
      <c r="J420" s="8" t="n">
        <v>9640</v>
      </c>
      <c r="K420" s="8" t="n">
        <v>9500</v>
      </c>
      <c r="L420" s="8" t="n">
        <v>436402</v>
      </c>
      <c r="M420" s="8" t="n">
        <v>73308</v>
      </c>
      <c r="N420" s="9" t="inlineStr">
        <is>
          <t>否</t>
        </is>
      </c>
      <c r="O420" t="inlineStr">
        <is>
          <t>缺 PP</t>
        </is>
      </c>
    </row>
    <row r="421">
      <c r="A421" s="7" t="inlineStr">
        <is>
          <t>2009-04-07</t>
        </is>
      </c>
      <c r="B421" s="8" t="n"/>
      <c r="C421" s="8" t="n"/>
      <c r="D421" s="8" t="n"/>
      <c r="E421" s="8" t="n"/>
      <c r="F421" s="8" t="n"/>
      <c r="G421" s="8" t="n"/>
      <c r="H421" s="8" t="n">
        <v>9610</v>
      </c>
      <c r="I421" s="8" t="n">
        <v>9585</v>
      </c>
      <c r="J421" s="8" t="n">
        <v>9750</v>
      </c>
      <c r="K421" s="8" t="n">
        <v>9425</v>
      </c>
      <c r="L421" s="8" t="n">
        <v>553692</v>
      </c>
      <c r="M421" s="8" t="n">
        <v>82044</v>
      </c>
      <c r="N421" s="9" t="inlineStr">
        <is>
          <t>否</t>
        </is>
      </c>
      <c r="O421" t="inlineStr">
        <is>
          <t>缺 PP</t>
        </is>
      </c>
    </row>
    <row r="422">
      <c r="A422" s="7" t="inlineStr">
        <is>
          <t>2009-04-08</t>
        </is>
      </c>
      <c r="B422" s="8" t="n"/>
      <c r="C422" s="8" t="n"/>
      <c r="D422" s="8" t="n"/>
      <c r="E422" s="8" t="n"/>
      <c r="F422" s="8" t="n"/>
      <c r="G422" s="8" t="n"/>
      <c r="H422" s="8" t="n">
        <v>9125</v>
      </c>
      <c r="I422" s="8" t="n">
        <v>9420</v>
      </c>
      <c r="J422" s="8" t="n">
        <v>9485</v>
      </c>
      <c r="K422" s="8" t="n">
        <v>9125</v>
      </c>
      <c r="L422" s="8" t="n">
        <v>460792</v>
      </c>
      <c r="M422" s="8" t="n">
        <v>109812</v>
      </c>
      <c r="N422" s="9" t="inlineStr">
        <is>
          <t>否</t>
        </is>
      </c>
      <c r="O422" t="inlineStr">
        <is>
          <t>缺 PP</t>
        </is>
      </c>
    </row>
    <row r="423">
      <c r="A423" s="7" t="inlineStr">
        <is>
          <t>2009-04-09</t>
        </is>
      </c>
      <c r="B423" s="8" t="n"/>
      <c r="C423" s="8" t="n"/>
      <c r="D423" s="8" t="n"/>
      <c r="E423" s="8" t="n"/>
      <c r="F423" s="8" t="n"/>
      <c r="G423" s="8" t="n"/>
      <c r="H423" s="8" t="n">
        <v>9180</v>
      </c>
      <c r="I423" s="8" t="n">
        <v>9175</v>
      </c>
      <c r="J423" s="8" t="n">
        <v>9285</v>
      </c>
      <c r="K423" s="8" t="n">
        <v>9060</v>
      </c>
      <c r="L423" s="8" t="n">
        <v>992682</v>
      </c>
      <c r="M423" s="8" t="n">
        <v>124916</v>
      </c>
      <c r="N423" s="9" t="inlineStr">
        <is>
          <t>否</t>
        </is>
      </c>
      <c r="O423" t="inlineStr">
        <is>
          <t>缺 PP</t>
        </is>
      </c>
    </row>
    <row r="424">
      <c r="A424" s="7" t="inlineStr">
        <is>
          <t>2009-04-10</t>
        </is>
      </c>
      <c r="B424" s="8" t="n"/>
      <c r="C424" s="8" t="n"/>
      <c r="D424" s="8" t="n"/>
      <c r="E424" s="8" t="n"/>
      <c r="F424" s="8" t="n"/>
      <c r="G424" s="8" t="n"/>
      <c r="H424" s="8" t="n">
        <v>9400</v>
      </c>
      <c r="I424" s="8" t="n">
        <v>9270</v>
      </c>
      <c r="J424" s="8" t="n">
        <v>9475</v>
      </c>
      <c r="K424" s="8" t="n">
        <v>9260</v>
      </c>
      <c r="L424" s="8" t="n">
        <v>787560</v>
      </c>
      <c r="M424" s="8" t="n">
        <v>113328</v>
      </c>
      <c r="N424" s="9" t="inlineStr">
        <is>
          <t>否</t>
        </is>
      </c>
      <c r="O424" t="inlineStr">
        <is>
          <t>缺 PP</t>
        </is>
      </c>
    </row>
    <row r="425">
      <c r="A425" s="7" t="inlineStr">
        <is>
          <t>2009-04-13</t>
        </is>
      </c>
      <c r="B425" s="8" t="n"/>
      <c r="C425" s="8" t="n"/>
      <c r="D425" s="8" t="n"/>
      <c r="E425" s="8" t="n"/>
      <c r="F425" s="8" t="n"/>
      <c r="G425" s="8" t="n"/>
      <c r="H425" s="8" t="n">
        <v>9115</v>
      </c>
      <c r="I425" s="8" t="n">
        <v>9370</v>
      </c>
      <c r="J425" s="8" t="n">
        <v>9405</v>
      </c>
      <c r="K425" s="8" t="n">
        <v>9075</v>
      </c>
      <c r="L425" s="8" t="n">
        <v>785014</v>
      </c>
      <c r="M425" s="8" t="n">
        <v>125976</v>
      </c>
      <c r="N425" s="9" t="inlineStr">
        <is>
          <t>否</t>
        </is>
      </c>
      <c r="O425" t="inlineStr">
        <is>
          <t>缺 PP</t>
        </is>
      </c>
    </row>
    <row r="426">
      <c r="A426" s="7" t="inlineStr">
        <is>
          <t>2009-04-14</t>
        </is>
      </c>
      <c r="B426" s="8" t="n"/>
      <c r="C426" s="8" t="n"/>
      <c r="D426" s="8" t="n"/>
      <c r="E426" s="8" t="n"/>
      <c r="F426" s="8" t="n"/>
      <c r="G426" s="8" t="n"/>
      <c r="H426" s="8" t="n">
        <v>9140</v>
      </c>
      <c r="I426" s="8" t="n">
        <v>9105</v>
      </c>
      <c r="J426" s="8" t="n">
        <v>9325</v>
      </c>
      <c r="K426" s="8" t="n">
        <v>8885</v>
      </c>
      <c r="L426" s="8" t="n">
        <v>1016956</v>
      </c>
      <c r="M426" s="8" t="n">
        <v>143508</v>
      </c>
      <c r="N426" s="9" t="inlineStr">
        <is>
          <t>否</t>
        </is>
      </c>
      <c r="O426" t="inlineStr">
        <is>
          <t>缺 PP</t>
        </is>
      </c>
    </row>
    <row r="427">
      <c r="A427" s="7" t="inlineStr">
        <is>
          <t>2009-04-15</t>
        </is>
      </c>
      <c r="B427" s="8" t="n"/>
      <c r="C427" s="8" t="n"/>
      <c r="D427" s="8" t="n"/>
      <c r="E427" s="8" t="n"/>
      <c r="F427" s="8" t="n"/>
      <c r="G427" s="8" t="n"/>
      <c r="H427" s="8" t="n">
        <v>9230</v>
      </c>
      <c r="I427" s="8" t="n">
        <v>9070</v>
      </c>
      <c r="J427" s="8" t="n">
        <v>9295</v>
      </c>
      <c r="K427" s="8" t="n">
        <v>9010</v>
      </c>
      <c r="L427" s="8" t="n">
        <v>768096</v>
      </c>
      <c r="M427" s="8" t="n">
        <v>141924</v>
      </c>
      <c r="N427" s="9" t="inlineStr">
        <is>
          <t>否</t>
        </is>
      </c>
      <c r="O427" t="inlineStr">
        <is>
          <t>缺 PP</t>
        </is>
      </c>
    </row>
    <row r="428">
      <c r="A428" s="7" t="inlineStr">
        <is>
          <t>2009-04-16</t>
        </is>
      </c>
      <c r="B428" s="8" t="n"/>
      <c r="C428" s="8" t="n"/>
      <c r="D428" s="8" t="n"/>
      <c r="E428" s="8" t="n"/>
      <c r="F428" s="8" t="n"/>
      <c r="G428" s="8" t="n"/>
      <c r="H428" s="8" t="n">
        <v>9420</v>
      </c>
      <c r="I428" s="8" t="n">
        <v>9300</v>
      </c>
      <c r="J428" s="8" t="n">
        <v>9520</v>
      </c>
      <c r="K428" s="8" t="n">
        <v>9280</v>
      </c>
      <c r="L428" s="8" t="n">
        <v>827570</v>
      </c>
      <c r="M428" s="8" t="n">
        <v>157004</v>
      </c>
      <c r="N428" s="9" t="inlineStr">
        <is>
          <t>否</t>
        </is>
      </c>
      <c r="O428" t="inlineStr">
        <is>
          <t>缺 PP</t>
        </is>
      </c>
    </row>
    <row r="429">
      <c r="A429" s="7" t="inlineStr">
        <is>
          <t>2009-04-17</t>
        </is>
      </c>
      <c r="B429" s="8" t="n"/>
      <c r="C429" s="8" t="n"/>
      <c r="D429" s="8" t="n"/>
      <c r="E429" s="8" t="n"/>
      <c r="F429" s="8" t="n"/>
      <c r="G429" s="8" t="n"/>
      <c r="H429" s="8" t="n">
        <v>9415</v>
      </c>
      <c r="I429" s="8" t="n">
        <v>9405</v>
      </c>
      <c r="J429" s="8" t="n">
        <v>9605</v>
      </c>
      <c r="K429" s="8" t="n">
        <v>9360</v>
      </c>
      <c r="L429" s="8" t="n">
        <v>765896</v>
      </c>
      <c r="M429" s="8" t="n">
        <v>130696</v>
      </c>
      <c r="N429" s="9" t="inlineStr">
        <is>
          <t>否</t>
        </is>
      </c>
      <c r="O429" t="inlineStr">
        <is>
          <t>缺 PP</t>
        </is>
      </c>
    </row>
    <row r="430">
      <c r="A430" s="7" t="inlineStr">
        <is>
          <t>2009-04-20</t>
        </is>
      </c>
      <c r="B430" s="8" t="n"/>
      <c r="C430" s="8" t="n"/>
      <c r="D430" s="8" t="n"/>
      <c r="E430" s="8" t="n"/>
      <c r="F430" s="8" t="n"/>
      <c r="G430" s="8" t="n"/>
      <c r="H430" s="8" t="n">
        <v>9510</v>
      </c>
      <c r="I430" s="8" t="n">
        <v>9435</v>
      </c>
      <c r="J430" s="8" t="n">
        <v>9575</v>
      </c>
      <c r="K430" s="8" t="n">
        <v>9380</v>
      </c>
      <c r="L430" s="8" t="n">
        <v>560022</v>
      </c>
      <c r="M430" s="8" t="n">
        <v>119118</v>
      </c>
      <c r="N430" s="9" t="inlineStr">
        <is>
          <t>否</t>
        </is>
      </c>
      <c r="O430" t="inlineStr">
        <is>
          <t>缺 PP</t>
        </is>
      </c>
    </row>
    <row r="431">
      <c r="A431" s="7" t="inlineStr">
        <is>
          <t>2009-04-21</t>
        </is>
      </c>
      <c r="B431" s="8" t="n"/>
      <c r="C431" s="8" t="n"/>
      <c r="D431" s="8" t="n"/>
      <c r="E431" s="8" t="n"/>
      <c r="F431" s="8" t="n"/>
      <c r="G431" s="8" t="n"/>
      <c r="H431" s="8" t="n">
        <v>9210</v>
      </c>
      <c r="I431" s="8" t="n">
        <v>9310</v>
      </c>
      <c r="J431" s="8" t="n">
        <v>9345</v>
      </c>
      <c r="K431" s="8" t="n">
        <v>9050</v>
      </c>
      <c r="L431" s="8" t="n">
        <v>703074</v>
      </c>
      <c r="M431" s="8" t="n">
        <v>107434</v>
      </c>
      <c r="N431" s="9" t="inlineStr">
        <is>
          <t>否</t>
        </is>
      </c>
      <c r="O431" t="inlineStr">
        <is>
          <t>缺 PP</t>
        </is>
      </c>
    </row>
    <row r="432">
      <c r="A432" s="7" t="inlineStr">
        <is>
          <t>2009-04-22</t>
        </is>
      </c>
      <c r="B432" s="8" t="n"/>
      <c r="C432" s="8" t="n"/>
      <c r="D432" s="8" t="n"/>
      <c r="E432" s="8" t="n"/>
      <c r="F432" s="8" t="n"/>
      <c r="G432" s="8" t="n"/>
      <c r="H432" s="8" t="n">
        <v>9590</v>
      </c>
      <c r="I432" s="8" t="n">
        <v>9360</v>
      </c>
      <c r="J432" s="8" t="n">
        <v>9640</v>
      </c>
      <c r="K432" s="8" t="n">
        <v>9360</v>
      </c>
      <c r="L432" s="8" t="n">
        <v>837274</v>
      </c>
      <c r="M432" s="8" t="n">
        <v>111890</v>
      </c>
      <c r="N432" s="9" t="inlineStr">
        <is>
          <t>否</t>
        </is>
      </c>
      <c r="O432" t="inlineStr">
        <is>
          <t>缺 PP</t>
        </is>
      </c>
    </row>
    <row r="433">
      <c r="A433" s="7" t="inlineStr">
        <is>
          <t>2009-04-23</t>
        </is>
      </c>
      <c r="B433" s="8" t="n"/>
      <c r="C433" s="8" t="n"/>
      <c r="D433" s="8" t="n"/>
      <c r="E433" s="8" t="n"/>
      <c r="F433" s="8" t="n"/>
      <c r="G433" s="8" t="n"/>
      <c r="H433" s="8" t="n">
        <v>9525</v>
      </c>
      <c r="I433" s="8" t="n">
        <v>9610</v>
      </c>
      <c r="J433" s="8" t="n">
        <v>9690</v>
      </c>
      <c r="K433" s="8" t="n">
        <v>9480</v>
      </c>
      <c r="L433" s="8" t="n">
        <v>851458</v>
      </c>
      <c r="M433" s="8" t="n">
        <v>101060</v>
      </c>
      <c r="N433" s="9" t="inlineStr">
        <is>
          <t>否</t>
        </is>
      </c>
      <c r="O433" t="inlineStr">
        <is>
          <t>缺 PP</t>
        </is>
      </c>
    </row>
    <row r="434">
      <c r="A434" s="7" t="inlineStr">
        <is>
          <t>2009-04-24</t>
        </is>
      </c>
      <c r="B434" s="8" t="n"/>
      <c r="C434" s="8" t="n"/>
      <c r="D434" s="8" t="n"/>
      <c r="E434" s="8" t="n"/>
      <c r="F434" s="8" t="n"/>
      <c r="G434" s="8" t="n"/>
      <c r="H434" s="8" t="n">
        <v>9210</v>
      </c>
      <c r="I434" s="8" t="n">
        <v>9485</v>
      </c>
      <c r="J434" s="8" t="n">
        <v>9580</v>
      </c>
      <c r="K434" s="8" t="n">
        <v>9160</v>
      </c>
      <c r="L434" s="8" t="n">
        <v>759950</v>
      </c>
      <c r="M434" s="8" t="n">
        <v>91776</v>
      </c>
      <c r="N434" s="9" t="inlineStr">
        <is>
          <t>否</t>
        </is>
      </c>
      <c r="O434" t="inlineStr">
        <is>
          <t>缺 PP</t>
        </is>
      </c>
    </row>
    <row r="435">
      <c r="A435" s="7" t="inlineStr">
        <is>
          <t>2009-04-27</t>
        </is>
      </c>
      <c r="B435" s="8" t="n"/>
      <c r="C435" s="8" t="n"/>
      <c r="D435" s="8" t="n"/>
      <c r="E435" s="8" t="n"/>
      <c r="F435" s="8" t="n"/>
      <c r="G435" s="8" t="n"/>
      <c r="H435" s="8" t="n">
        <v>9235</v>
      </c>
      <c r="I435" s="8" t="n">
        <v>9245</v>
      </c>
      <c r="J435" s="8" t="n">
        <v>9350</v>
      </c>
      <c r="K435" s="8" t="n">
        <v>9150</v>
      </c>
      <c r="L435" s="8" t="n">
        <v>740426</v>
      </c>
      <c r="M435" s="8" t="n">
        <v>95030</v>
      </c>
      <c r="N435" s="9" t="inlineStr">
        <is>
          <t>否</t>
        </is>
      </c>
      <c r="O435" t="inlineStr">
        <is>
          <t>缺 PP</t>
        </is>
      </c>
    </row>
    <row r="436">
      <c r="A436" s="7" t="inlineStr">
        <is>
          <t>2009-04-28</t>
        </is>
      </c>
      <c r="B436" s="8" t="n"/>
      <c r="C436" s="8" t="n"/>
      <c r="D436" s="8" t="n"/>
      <c r="E436" s="8" t="n"/>
      <c r="F436" s="8" t="n"/>
      <c r="G436" s="8" t="n"/>
      <c r="H436" s="8" t="n">
        <v>9125</v>
      </c>
      <c r="I436" s="8" t="n">
        <v>9265</v>
      </c>
      <c r="J436" s="8" t="n">
        <v>9440</v>
      </c>
      <c r="K436" s="8" t="n">
        <v>9010</v>
      </c>
      <c r="L436" s="8" t="n">
        <v>876176</v>
      </c>
      <c r="M436" s="8" t="n">
        <v>98964</v>
      </c>
      <c r="N436" s="9" t="inlineStr">
        <is>
          <t>否</t>
        </is>
      </c>
      <c r="O436" t="inlineStr">
        <is>
          <t>缺 PP</t>
        </is>
      </c>
    </row>
    <row r="437">
      <c r="A437" s="7" t="inlineStr">
        <is>
          <t>2009-04-29</t>
        </is>
      </c>
      <c r="B437" s="8" t="n"/>
      <c r="C437" s="8" t="n"/>
      <c r="D437" s="8" t="n"/>
      <c r="E437" s="8" t="n"/>
      <c r="F437" s="8" t="n"/>
      <c r="G437" s="8" t="n"/>
      <c r="H437" s="8" t="n">
        <v>8970</v>
      </c>
      <c r="I437" s="8" t="n">
        <v>9140</v>
      </c>
      <c r="J437" s="8" t="n">
        <v>9160</v>
      </c>
      <c r="K437" s="8" t="n">
        <v>8820</v>
      </c>
      <c r="L437" s="8" t="n">
        <v>587998</v>
      </c>
      <c r="M437" s="8" t="n">
        <v>96280</v>
      </c>
      <c r="N437" s="9" t="inlineStr">
        <is>
          <t>否</t>
        </is>
      </c>
      <c r="O437" t="inlineStr">
        <is>
          <t>缺 PP</t>
        </is>
      </c>
    </row>
    <row r="438">
      <c r="A438" s="7" t="inlineStr">
        <is>
          <t>2009-04-30</t>
        </is>
      </c>
      <c r="B438" s="8" t="n"/>
      <c r="C438" s="8" t="n"/>
      <c r="D438" s="8" t="n"/>
      <c r="E438" s="8" t="n"/>
      <c r="F438" s="8" t="n"/>
      <c r="G438" s="8" t="n"/>
      <c r="H438" s="8" t="n">
        <v>9065</v>
      </c>
      <c r="I438" s="8" t="n">
        <v>9025</v>
      </c>
      <c r="J438" s="8" t="n">
        <v>9140</v>
      </c>
      <c r="K438" s="8" t="n">
        <v>8955</v>
      </c>
      <c r="L438" s="8" t="n">
        <v>571288</v>
      </c>
      <c r="M438" s="8" t="n">
        <v>90166</v>
      </c>
      <c r="N438" s="9" t="inlineStr">
        <is>
          <t>否</t>
        </is>
      </c>
      <c r="O438" t="inlineStr">
        <is>
          <t>缺 PP</t>
        </is>
      </c>
    </row>
    <row r="439">
      <c r="A439" s="7" t="inlineStr">
        <is>
          <t>2009-05-01</t>
        </is>
      </c>
      <c r="B439" s="8" t="n"/>
      <c r="C439" s="8" t="n"/>
      <c r="D439" s="8" t="n"/>
      <c r="E439" s="8" t="n"/>
      <c r="F439" s="8" t="n"/>
      <c r="G439" s="8" t="n"/>
      <c r="H439" s="8" t="n">
        <v>9065</v>
      </c>
      <c r="I439" s="8" t="n">
        <v>9025</v>
      </c>
      <c r="J439" s="8" t="n">
        <v>9140</v>
      </c>
      <c r="K439" s="8" t="n">
        <v>8955</v>
      </c>
      <c r="L439" s="8" t="n">
        <v>571288</v>
      </c>
      <c r="M439" s="8" t="n">
        <v>90166</v>
      </c>
      <c r="N439" s="9" t="inlineStr">
        <is>
          <t>否</t>
        </is>
      </c>
      <c r="O439" t="inlineStr">
        <is>
          <t>缺 PP</t>
        </is>
      </c>
    </row>
    <row r="440">
      <c r="A440" s="7" t="inlineStr">
        <is>
          <t>2009-05-04</t>
        </is>
      </c>
      <c r="B440" s="8" t="n"/>
      <c r="C440" s="8" t="n"/>
      <c r="D440" s="8" t="n"/>
      <c r="E440" s="8" t="n"/>
      <c r="F440" s="8" t="n"/>
      <c r="G440" s="8" t="n"/>
      <c r="H440" s="8" t="n">
        <v>9495</v>
      </c>
      <c r="I440" s="8" t="n">
        <v>9280</v>
      </c>
      <c r="J440" s="8" t="n">
        <v>9495</v>
      </c>
      <c r="K440" s="8" t="n">
        <v>9280</v>
      </c>
      <c r="L440" s="8" t="n">
        <v>535150</v>
      </c>
      <c r="M440" s="8" t="n">
        <v>109322</v>
      </c>
      <c r="N440" s="9" t="inlineStr">
        <is>
          <t>否</t>
        </is>
      </c>
      <c r="O440" t="inlineStr">
        <is>
          <t>缺 PP</t>
        </is>
      </c>
    </row>
    <row r="441">
      <c r="A441" s="7" t="inlineStr">
        <is>
          <t>2009-05-05</t>
        </is>
      </c>
      <c r="B441" s="8" t="n"/>
      <c r="C441" s="8" t="n"/>
      <c r="D441" s="8" t="n"/>
      <c r="E441" s="8" t="n"/>
      <c r="F441" s="8" t="n"/>
      <c r="G441" s="8" t="n"/>
      <c r="H441" s="8" t="n">
        <v>9300</v>
      </c>
      <c r="I441" s="8" t="n">
        <v>9530</v>
      </c>
      <c r="J441" s="8" t="n">
        <v>9530</v>
      </c>
      <c r="K441" s="8" t="n">
        <v>9290</v>
      </c>
      <c r="L441" s="8" t="n">
        <v>469736</v>
      </c>
      <c r="M441" s="8" t="n">
        <v>99088</v>
      </c>
      <c r="N441" s="9" t="inlineStr">
        <is>
          <t>否</t>
        </is>
      </c>
      <c r="O441" t="inlineStr">
        <is>
          <t>缺 PP</t>
        </is>
      </c>
    </row>
    <row r="442">
      <c r="A442" s="7" t="inlineStr">
        <is>
          <t>2009-05-06</t>
        </is>
      </c>
      <c r="B442" s="8" t="n"/>
      <c r="C442" s="8" t="n"/>
      <c r="D442" s="8" t="n"/>
      <c r="E442" s="8" t="n"/>
      <c r="F442" s="8" t="n"/>
      <c r="G442" s="8" t="n"/>
      <c r="H442" s="8" t="n">
        <v>9375</v>
      </c>
      <c r="I442" s="8" t="n">
        <v>9310</v>
      </c>
      <c r="J442" s="8" t="n">
        <v>9420</v>
      </c>
      <c r="K442" s="8" t="n">
        <v>9285</v>
      </c>
      <c r="L442" s="8" t="n">
        <v>296528</v>
      </c>
      <c r="M442" s="8" t="n">
        <v>93844</v>
      </c>
      <c r="N442" s="9" t="inlineStr">
        <is>
          <t>否</t>
        </is>
      </c>
      <c r="O442" t="inlineStr">
        <is>
          <t>缺 PP</t>
        </is>
      </c>
    </row>
    <row r="443">
      <c r="A443" s="7" t="inlineStr">
        <is>
          <t>2009-05-07</t>
        </is>
      </c>
      <c r="B443" s="8" t="n"/>
      <c r="C443" s="8" t="n"/>
      <c r="D443" s="8" t="n"/>
      <c r="E443" s="8" t="n"/>
      <c r="F443" s="8" t="n"/>
      <c r="G443" s="8" t="n"/>
      <c r="H443" s="8" t="n">
        <v>9565</v>
      </c>
      <c r="I443" s="8" t="n">
        <v>9510</v>
      </c>
      <c r="J443" s="8" t="n">
        <v>9810</v>
      </c>
      <c r="K443" s="8" t="n">
        <v>9430</v>
      </c>
      <c r="L443" s="8" t="n">
        <v>737214</v>
      </c>
      <c r="M443" s="8" t="n">
        <v>94096</v>
      </c>
      <c r="N443" s="9" t="inlineStr">
        <is>
          <t>否</t>
        </is>
      </c>
      <c r="O443" t="inlineStr">
        <is>
          <t>缺 PP</t>
        </is>
      </c>
    </row>
    <row r="444">
      <c r="A444" s="7" t="inlineStr">
        <is>
          <t>2009-05-08</t>
        </is>
      </c>
      <c r="B444" s="8" t="n"/>
      <c r="C444" s="8" t="n"/>
      <c r="D444" s="8" t="n"/>
      <c r="E444" s="8" t="n"/>
      <c r="F444" s="8" t="n"/>
      <c r="G444" s="8" t="n"/>
      <c r="H444" s="8" t="n">
        <v>9915</v>
      </c>
      <c r="I444" s="8" t="n">
        <v>9595</v>
      </c>
      <c r="J444" s="8" t="n">
        <v>9945</v>
      </c>
      <c r="K444" s="8" t="n">
        <v>9520</v>
      </c>
      <c r="L444" s="8" t="n">
        <v>1000748</v>
      </c>
      <c r="M444" s="8" t="n">
        <v>135160</v>
      </c>
      <c r="N444" s="9" t="inlineStr">
        <is>
          <t>否</t>
        </is>
      </c>
      <c r="O444" t="inlineStr">
        <is>
          <t>缺 PP</t>
        </is>
      </c>
    </row>
    <row r="445">
      <c r="A445" s="7" t="inlineStr">
        <is>
          <t>2009-05-11</t>
        </is>
      </c>
      <c r="B445" s="8" t="n"/>
      <c r="C445" s="8" t="n"/>
      <c r="D445" s="8" t="n"/>
      <c r="E445" s="8" t="n"/>
      <c r="F445" s="8" t="n"/>
      <c r="G445" s="8" t="n"/>
      <c r="H445" s="8" t="n">
        <v>9705</v>
      </c>
      <c r="I445" s="8" t="n">
        <v>9900</v>
      </c>
      <c r="J445" s="8" t="n">
        <v>9995</v>
      </c>
      <c r="K445" s="8" t="n">
        <v>9690</v>
      </c>
      <c r="L445" s="8" t="n">
        <v>669916</v>
      </c>
      <c r="M445" s="8" t="n">
        <v>103914</v>
      </c>
      <c r="N445" s="9" t="inlineStr">
        <is>
          <t>否</t>
        </is>
      </c>
      <c r="O445" t="inlineStr">
        <is>
          <t>缺 PP</t>
        </is>
      </c>
    </row>
    <row r="446">
      <c r="A446" s="7" t="inlineStr">
        <is>
          <t>2009-05-12</t>
        </is>
      </c>
      <c r="B446" s="8" t="n"/>
      <c r="C446" s="8" t="n"/>
      <c r="D446" s="8" t="n"/>
      <c r="E446" s="8" t="n"/>
      <c r="F446" s="8" t="n"/>
      <c r="G446" s="8" t="n"/>
      <c r="H446" s="8" t="n">
        <v>9650</v>
      </c>
      <c r="I446" s="8" t="n">
        <v>9760</v>
      </c>
      <c r="J446" s="8" t="n">
        <v>9840</v>
      </c>
      <c r="K446" s="8" t="n">
        <v>9605</v>
      </c>
      <c r="L446" s="8" t="n">
        <v>419024</v>
      </c>
      <c r="M446" s="8" t="n">
        <v>73854</v>
      </c>
      <c r="N446" s="9" t="inlineStr">
        <is>
          <t>否</t>
        </is>
      </c>
      <c r="O446" t="inlineStr">
        <is>
          <t>缺 PP</t>
        </is>
      </c>
    </row>
    <row r="447">
      <c r="A447" s="7" t="inlineStr">
        <is>
          <t>2009-05-13</t>
        </is>
      </c>
      <c r="B447" s="8" t="n"/>
      <c r="C447" s="8" t="n"/>
      <c r="D447" s="8" t="n"/>
      <c r="E447" s="8" t="n"/>
      <c r="F447" s="8" t="n"/>
      <c r="G447" s="8" t="n"/>
      <c r="H447" s="8" t="n">
        <v>9950</v>
      </c>
      <c r="I447" s="8" t="n">
        <v>9770</v>
      </c>
      <c r="J447" s="8" t="n">
        <v>9990</v>
      </c>
      <c r="K447" s="8" t="n">
        <v>9760</v>
      </c>
      <c r="L447" s="8" t="n">
        <v>402066</v>
      </c>
      <c r="M447" s="8" t="n">
        <v>94166</v>
      </c>
      <c r="N447" s="9" t="inlineStr">
        <is>
          <t>否</t>
        </is>
      </c>
      <c r="O447" t="inlineStr">
        <is>
          <t>缺 PP</t>
        </is>
      </c>
    </row>
    <row r="448">
      <c r="A448" s="7" t="inlineStr">
        <is>
          <t>2009-05-14</t>
        </is>
      </c>
      <c r="B448" s="8" t="n"/>
      <c r="C448" s="8" t="n"/>
      <c r="D448" s="8" t="n"/>
      <c r="E448" s="8" t="n"/>
      <c r="F448" s="8" t="n"/>
      <c r="G448" s="8" t="n"/>
      <c r="H448" s="8" t="n">
        <v>9770</v>
      </c>
      <c r="I448" s="8" t="n">
        <v>9740</v>
      </c>
      <c r="J448" s="8" t="n">
        <v>9835</v>
      </c>
      <c r="K448" s="8" t="n">
        <v>9595</v>
      </c>
      <c r="L448" s="8" t="n">
        <v>459624</v>
      </c>
      <c r="M448" s="8" t="n">
        <v>102498</v>
      </c>
      <c r="N448" s="9" t="inlineStr">
        <is>
          <t>否</t>
        </is>
      </c>
      <c r="O448" t="inlineStr">
        <is>
          <t>缺 PP</t>
        </is>
      </c>
    </row>
    <row r="449">
      <c r="A449" s="7" t="inlineStr">
        <is>
          <t>2009-05-15</t>
        </is>
      </c>
      <c r="B449" s="8" t="n"/>
      <c r="C449" s="8" t="n"/>
      <c r="D449" s="8" t="n"/>
      <c r="E449" s="8" t="n"/>
      <c r="F449" s="8" t="n"/>
      <c r="G449" s="8" t="n"/>
      <c r="H449" s="8" t="n">
        <v>9790</v>
      </c>
      <c r="I449" s="8" t="n">
        <v>9900</v>
      </c>
      <c r="J449" s="8" t="n">
        <v>9920</v>
      </c>
      <c r="K449" s="8" t="n">
        <v>9620</v>
      </c>
      <c r="L449" s="8" t="n">
        <v>573536</v>
      </c>
      <c r="M449" s="8" t="n">
        <v>116206</v>
      </c>
      <c r="N449" s="9" t="inlineStr">
        <is>
          <t>否</t>
        </is>
      </c>
      <c r="O449" t="inlineStr">
        <is>
          <t>缺 PP</t>
        </is>
      </c>
    </row>
    <row r="450">
      <c r="A450" s="7" t="inlineStr">
        <is>
          <t>2009-05-18</t>
        </is>
      </c>
      <c r="B450" s="8" t="n"/>
      <c r="C450" s="8" t="n"/>
      <c r="D450" s="8" t="n"/>
      <c r="E450" s="8" t="n"/>
      <c r="F450" s="8" t="n"/>
      <c r="G450" s="8" t="n"/>
      <c r="H450" s="8" t="n">
        <v>9665</v>
      </c>
      <c r="I450" s="8" t="n">
        <v>9600</v>
      </c>
      <c r="J450" s="8" t="n">
        <v>9690</v>
      </c>
      <c r="K450" s="8" t="n">
        <v>9460</v>
      </c>
      <c r="L450" s="8" t="n">
        <v>399350</v>
      </c>
      <c r="M450" s="8" t="n">
        <v>102554</v>
      </c>
      <c r="N450" s="9" t="inlineStr">
        <is>
          <t>否</t>
        </is>
      </c>
      <c r="O450" t="inlineStr">
        <is>
          <t>缺 PP</t>
        </is>
      </c>
    </row>
    <row r="451">
      <c r="A451" s="7" t="inlineStr">
        <is>
          <t>2009-05-19</t>
        </is>
      </c>
      <c r="B451" s="8" t="n"/>
      <c r="C451" s="8" t="n"/>
      <c r="D451" s="8" t="n"/>
      <c r="E451" s="8" t="n"/>
      <c r="F451" s="8" t="n"/>
      <c r="G451" s="8" t="n"/>
      <c r="H451" s="8" t="n">
        <v>9740</v>
      </c>
      <c r="I451" s="8" t="n">
        <v>9810</v>
      </c>
      <c r="J451" s="8" t="n">
        <v>9850</v>
      </c>
      <c r="K451" s="8" t="n">
        <v>9675</v>
      </c>
      <c r="L451" s="8" t="n">
        <v>418986</v>
      </c>
      <c r="M451" s="8" t="n">
        <v>103024</v>
      </c>
      <c r="N451" s="9" t="inlineStr">
        <is>
          <t>否</t>
        </is>
      </c>
      <c r="O451" t="inlineStr">
        <is>
          <t>缺 PP</t>
        </is>
      </c>
    </row>
    <row r="452">
      <c r="A452" s="7" t="inlineStr">
        <is>
          <t>2009-05-20</t>
        </is>
      </c>
      <c r="B452" s="8" t="n"/>
      <c r="C452" s="8" t="n"/>
      <c r="D452" s="8" t="n"/>
      <c r="E452" s="8" t="n"/>
      <c r="F452" s="8" t="n"/>
      <c r="G452" s="8" t="n"/>
      <c r="H452" s="8" t="n">
        <v>9515</v>
      </c>
      <c r="I452" s="8" t="n">
        <v>9600</v>
      </c>
      <c r="J452" s="8" t="n">
        <v>9655</v>
      </c>
      <c r="K452" s="8" t="n">
        <v>9505</v>
      </c>
      <c r="L452" s="8" t="n">
        <v>406560</v>
      </c>
      <c r="M452" s="8" t="n">
        <v>102550</v>
      </c>
      <c r="N452" s="9" t="inlineStr">
        <is>
          <t>否</t>
        </is>
      </c>
      <c r="O452" t="inlineStr">
        <is>
          <t>缺 PP</t>
        </is>
      </c>
    </row>
    <row r="453">
      <c r="A453" s="7" t="inlineStr">
        <is>
          <t>2009-05-21</t>
        </is>
      </c>
      <c r="B453" s="8" t="n"/>
      <c r="C453" s="8" t="n"/>
      <c r="D453" s="8" t="n"/>
      <c r="E453" s="8" t="n"/>
      <c r="F453" s="8" t="n"/>
      <c r="G453" s="8" t="n"/>
      <c r="H453" s="8" t="n">
        <v>9460</v>
      </c>
      <c r="I453" s="8" t="n">
        <v>9560</v>
      </c>
      <c r="J453" s="8" t="n">
        <v>9585</v>
      </c>
      <c r="K453" s="8" t="n">
        <v>9435</v>
      </c>
      <c r="L453" s="8" t="n">
        <v>413072</v>
      </c>
      <c r="M453" s="8" t="n">
        <v>98842</v>
      </c>
      <c r="N453" s="9" t="inlineStr">
        <is>
          <t>否</t>
        </is>
      </c>
      <c r="O453" t="inlineStr">
        <is>
          <t>缺 PP</t>
        </is>
      </c>
    </row>
    <row r="454">
      <c r="A454" s="7" t="inlineStr">
        <is>
          <t>2009-05-22</t>
        </is>
      </c>
      <c r="B454" s="8" t="n"/>
      <c r="C454" s="8" t="n"/>
      <c r="D454" s="8" t="n"/>
      <c r="E454" s="8" t="n"/>
      <c r="F454" s="8" t="n"/>
      <c r="G454" s="8" t="n"/>
      <c r="H454" s="8" t="n">
        <v>9485</v>
      </c>
      <c r="I454" s="8" t="n">
        <v>9495</v>
      </c>
      <c r="J454" s="8" t="n">
        <v>9570</v>
      </c>
      <c r="K454" s="8" t="n">
        <v>9445</v>
      </c>
      <c r="L454" s="8" t="n">
        <v>344404</v>
      </c>
      <c r="M454" s="8" t="n">
        <v>111330</v>
      </c>
      <c r="N454" s="9" t="inlineStr">
        <is>
          <t>否</t>
        </is>
      </c>
      <c r="O454" t="inlineStr">
        <is>
          <t>缺 PP</t>
        </is>
      </c>
    </row>
    <row r="455">
      <c r="A455" s="7" t="inlineStr">
        <is>
          <t>2009-05-25</t>
        </is>
      </c>
      <c r="B455" s="8" t="n"/>
      <c r="C455" s="8" t="n"/>
      <c r="D455" s="8" t="n"/>
      <c r="E455" s="8" t="n"/>
      <c r="F455" s="8" t="n"/>
      <c r="G455" s="8" t="n"/>
      <c r="H455" s="8" t="n">
        <v>9325</v>
      </c>
      <c r="I455" s="8" t="n">
        <v>9550</v>
      </c>
      <c r="J455" s="8" t="n">
        <v>9560</v>
      </c>
      <c r="K455" s="8" t="n">
        <v>9270</v>
      </c>
      <c r="L455" s="8" t="n">
        <v>385938</v>
      </c>
      <c r="M455" s="8" t="n">
        <v>125638</v>
      </c>
      <c r="N455" s="9" t="inlineStr">
        <is>
          <t>否</t>
        </is>
      </c>
      <c r="O455" t="inlineStr">
        <is>
          <t>缺 PP</t>
        </is>
      </c>
    </row>
    <row r="456">
      <c r="A456" s="7" t="inlineStr">
        <is>
          <t>2009-05-26</t>
        </is>
      </c>
      <c r="B456" s="8" t="n"/>
      <c r="C456" s="8" t="n"/>
      <c r="D456" s="8" t="n"/>
      <c r="E456" s="8" t="n"/>
      <c r="F456" s="8" t="n"/>
      <c r="G456" s="8" t="n"/>
      <c r="H456" s="8" t="n">
        <v>9310</v>
      </c>
      <c r="I456" s="8" t="n">
        <v>9275</v>
      </c>
      <c r="J456" s="8" t="n">
        <v>9410</v>
      </c>
      <c r="K456" s="8" t="n">
        <v>9235</v>
      </c>
      <c r="L456" s="8" t="n">
        <v>424406</v>
      </c>
      <c r="M456" s="8" t="n">
        <v>112686</v>
      </c>
      <c r="N456" s="9" t="inlineStr">
        <is>
          <t>否</t>
        </is>
      </c>
      <c r="O456" t="inlineStr">
        <is>
          <t>缺 PP</t>
        </is>
      </c>
    </row>
    <row r="457">
      <c r="A457" s="7" t="inlineStr">
        <is>
          <t>2009-05-27</t>
        </is>
      </c>
      <c r="B457" s="8" t="n"/>
      <c r="C457" s="8" t="n"/>
      <c r="D457" s="8" t="n"/>
      <c r="E457" s="8" t="n"/>
      <c r="F457" s="8" t="n"/>
      <c r="G457" s="8" t="n"/>
      <c r="H457" s="8" t="n">
        <v>9350</v>
      </c>
      <c r="I457" s="8" t="n">
        <v>9400</v>
      </c>
      <c r="J457" s="8" t="n">
        <v>9425</v>
      </c>
      <c r="K457" s="8" t="n">
        <v>9315</v>
      </c>
      <c r="L457" s="8" t="n">
        <v>162848</v>
      </c>
      <c r="M457" s="8" t="n">
        <v>104588</v>
      </c>
      <c r="N457" s="9" t="inlineStr">
        <is>
          <t>否</t>
        </is>
      </c>
      <c r="O457" t="inlineStr">
        <is>
          <t>缺 PP</t>
        </is>
      </c>
    </row>
    <row r="458">
      <c r="A458" s="7" t="inlineStr">
        <is>
          <t>2009-06-01</t>
        </is>
      </c>
      <c r="B458" s="8" t="n"/>
      <c r="C458" s="8" t="n"/>
      <c r="D458" s="8" t="n"/>
      <c r="E458" s="8" t="n"/>
      <c r="F458" s="8" t="n"/>
      <c r="G458" s="8" t="n"/>
      <c r="H458" s="8" t="n">
        <v>9695</v>
      </c>
      <c r="I458" s="8" t="n">
        <v>9555</v>
      </c>
      <c r="J458" s="8" t="n">
        <v>9845</v>
      </c>
      <c r="K458" s="8" t="n">
        <v>9555</v>
      </c>
      <c r="L458" s="8" t="n">
        <v>366670</v>
      </c>
      <c r="M458" s="8" t="n">
        <v>104458</v>
      </c>
      <c r="N458" s="9" t="inlineStr">
        <is>
          <t>否</t>
        </is>
      </c>
      <c r="O458" t="inlineStr">
        <is>
          <t>缺 PP</t>
        </is>
      </c>
    </row>
    <row r="459">
      <c r="A459" s="7" t="inlineStr">
        <is>
          <t>2009-06-02</t>
        </is>
      </c>
      <c r="B459" s="8" t="n"/>
      <c r="C459" s="8" t="n"/>
      <c r="D459" s="8" t="n"/>
      <c r="E459" s="8" t="n"/>
      <c r="F459" s="8" t="n"/>
      <c r="G459" s="8" t="n"/>
      <c r="H459" s="8" t="n">
        <v>9675</v>
      </c>
      <c r="I459" s="8" t="n">
        <v>9750</v>
      </c>
      <c r="J459" s="8" t="n">
        <v>9795</v>
      </c>
      <c r="K459" s="8" t="n">
        <v>9650</v>
      </c>
      <c r="L459" s="8" t="n">
        <v>336388</v>
      </c>
      <c r="M459" s="8" t="n">
        <v>103200</v>
      </c>
      <c r="N459" s="9" t="inlineStr">
        <is>
          <t>否</t>
        </is>
      </c>
      <c r="O459" t="inlineStr">
        <is>
          <t>缺 PP</t>
        </is>
      </c>
    </row>
    <row r="460">
      <c r="A460" s="7" t="inlineStr">
        <is>
          <t>2009-06-03</t>
        </is>
      </c>
      <c r="B460" s="8" t="n"/>
      <c r="C460" s="8" t="n"/>
      <c r="D460" s="8" t="n"/>
      <c r="E460" s="8" t="n"/>
      <c r="F460" s="8" t="n"/>
      <c r="G460" s="8" t="n"/>
      <c r="H460" s="8" t="n">
        <v>9840</v>
      </c>
      <c r="I460" s="8" t="n">
        <v>9710</v>
      </c>
      <c r="J460" s="8" t="n">
        <v>9870</v>
      </c>
      <c r="K460" s="8" t="n">
        <v>9640</v>
      </c>
      <c r="L460" s="8" t="n">
        <v>441264</v>
      </c>
      <c r="M460" s="8" t="n">
        <v>126338</v>
      </c>
      <c r="N460" s="9" t="inlineStr">
        <is>
          <t>否</t>
        </is>
      </c>
      <c r="O460" t="inlineStr">
        <is>
          <t>缺 PP</t>
        </is>
      </c>
    </row>
    <row r="461">
      <c r="A461" s="7" t="inlineStr">
        <is>
          <t>2009-06-04</t>
        </is>
      </c>
      <c r="B461" s="8" t="n"/>
      <c r="C461" s="8" t="n"/>
      <c r="D461" s="8" t="n"/>
      <c r="E461" s="8" t="n"/>
      <c r="F461" s="8" t="n"/>
      <c r="G461" s="8" t="n"/>
      <c r="H461" s="8" t="n">
        <v>9775</v>
      </c>
      <c r="I461" s="8" t="n">
        <v>9690</v>
      </c>
      <c r="J461" s="8" t="n">
        <v>9820</v>
      </c>
      <c r="K461" s="8" t="n">
        <v>9670</v>
      </c>
      <c r="L461" s="8" t="n">
        <v>316550</v>
      </c>
      <c r="M461" s="8" t="n">
        <v>110706</v>
      </c>
      <c r="N461" s="9" t="inlineStr">
        <is>
          <t>否</t>
        </is>
      </c>
      <c r="O461" t="inlineStr">
        <is>
          <t>缺 PP</t>
        </is>
      </c>
    </row>
    <row r="462">
      <c r="A462" s="7" t="inlineStr">
        <is>
          <t>2009-06-05</t>
        </is>
      </c>
      <c r="B462" s="8" t="n"/>
      <c r="C462" s="8" t="n"/>
      <c r="D462" s="8" t="n"/>
      <c r="E462" s="8" t="n"/>
      <c r="F462" s="8" t="n"/>
      <c r="G462" s="8" t="n"/>
      <c r="H462" s="8" t="n">
        <v>9990</v>
      </c>
      <c r="I462" s="8" t="n">
        <v>9930</v>
      </c>
      <c r="J462" s="8" t="n">
        <v>10070</v>
      </c>
      <c r="K462" s="8" t="n">
        <v>9915</v>
      </c>
      <c r="L462" s="8" t="n">
        <v>341040</v>
      </c>
      <c r="M462" s="8" t="n">
        <v>114086</v>
      </c>
      <c r="N462" s="9" t="inlineStr">
        <is>
          <t>否</t>
        </is>
      </c>
      <c r="O462" t="inlineStr">
        <is>
          <t>缺 PP</t>
        </is>
      </c>
    </row>
    <row r="463">
      <c r="A463" s="7" t="inlineStr">
        <is>
          <t>2009-06-08</t>
        </is>
      </c>
      <c r="B463" s="8" t="n"/>
      <c r="C463" s="8" t="n"/>
      <c r="D463" s="8" t="n"/>
      <c r="E463" s="8" t="n"/>
      <c r="F463" s="8" t="n"/>
      <c r="G463" s="8" t="n"/>
      <c r="H463" s="8" t="n">
        <v>10035</v>
      </c>
      <c r="I463" s="8" t="n">
        <v>9920</v>
      </c>
      <c r="J463" s="8" t="n">
        <v>10180</v>
      </c>
      <c r="K463" s="8" t="n">
        <v>9915</v>
      </c>
      <c r="L463" s="8" t="n">
        <v>574648</v>
      </c>
      <c r="M463" s="8" t="n">
        <v>126192</v>
      </c>
      <c r="N463" s="9" t="inlineStr">
        <is>
          <t>否</t>
        </is>
      </c>
      <c r="O463" t="inlineStr">
        <is>
          <t>缺 PP</t>
        </is>
      </c>
    </row>
    <row r="464">
      <c r="A464" s="7" t="inlineStr">
        <is>
          <t>2009-06-09</t>
        </is>
      </c>
      <c r="B464" s="8" t="n"/>
      <c r="C464" s="8" t="n"/>
      <c r="D464" s="8" t="n"/>
      <c r="E464" s="8" t="n"/>
      <c r="F464" s="8" t="n"/>
      <c r="G464" s="8" t="n"/>
      <c r="H464" s="8" t="n">
        <v>10095</v>
      </c>
      <c r="I464" s="8" t="n">
        <v>10165</v>
      </c>
      <c r="J464" s="8" t="n">
        <v>10165</v>
      </c>
      <c r="K464" s="8" t="n">
        <v>9960</v>
      </c>
      <c r="L464" s="8" t="n">
        <v>474752</v>
      </c>
      <c r="M464" s="8" t="n">
        <v>121902</v>
      </c>
      <c r="N464" s="9" t="inlineStr">
        <is>
          <t>否</t>
        </is>
      </c>
      <c r="O464" t="inlineStr">
        <is>
          <t>缺 PP</t>
        </is>
      </c>
    </row>
    <row r="465">
      <c r="A465" s="7" t="inlineStr">
        <is>
          <t>2009-06-10</t>
        </is>
      </c>
      <c r="B465" s="8" t="n"/>
      <c r="C465" s="8" t="n"/>
      <c r="D465" s="8" t="n"/>
      <c r="E465" s="8" t="n"/>
      <c r="F465" s="8" t="n"/>
      <c r="G465" s="8" t="n"/>
      <c r="H465" s="8" t="n">
        <v>10140</v>
      </c>
      <c r="I465" s="8" t="n">
        <v>10210</v>
      </c>
      <c r="J465" s="8" t="n">
        <v>10250</v>
      </c>
      <c r="K465" s="8" t="n">
        <v>10100</v>
      </c>
      <c r="L465" s="8" t="n">
        <v>401168</v>
      </c>
      <c r="M465" s="8" t="n">
        <v>115534</v>
      </c>
      <c r="N465" s="9" t="inlineStr">
        <is>
          <t>否</t>
        </is>
      </c>
      <c r="O465" t="inlineStr">
        <is>
          <t>缺 PP</t>
        </is>
      </c>
    </row>
    <row r="466">
      <c r="A466" s="7" t="inlineStr">
        <is>
          <t>2009-06-11</t>
        </is>
      </c>
      <c r="B466" s="8" t="n"/>
      <c r="C466" s="8" t="n"/>
      <c r="D466" s="8" t="n"/>
      <c r="E466" s="8" t="n"/>
      <c r="F466" s="8" t="n"/>
      <c r="G466" s="8" t="n"/>
      <c r="H466" s="8" t="n">
        <v>10145</v>
      </c>
      <c r="I466" s="8" t="n">
        <v>10110</v>
      </c>
      <c r="J466" s="8" t="n">
        <v>10190</v>
      </c>
      <c r="K466" s="8" t="n">
        <v>10110</v>
      </c>
      <c r="L466" s="8" t="n">
        <v>210050</v>
      </c>
      <c r="M466" s="8" t="n">
        <v>110896</v>
      </c>
      <c r="N466" s="9" t="inlineStr">
        <is>
          <t>否</t>
        </is>
      </c>
      <c r="O466" t="inlineStr">
        <is>
          <t>缺 PP</t>
        </is>
      </c>
    </row>
    <row r="467">
      <c r="A467" s="7" t="inlineStr">
        <is>
          <t>2009-06-12</t>
        </is>
      </c>
      <c r="B467" s="8" t="n"/>
      <c r="C467" s="8" t="n"/>
      <c r="D467" s="8" t="n"/>
      <c r="E467" s="8" t="n"/>
      <c r="F467" s="8" t="n"/>
      <c r="G467" s="8" t="n"/>
      <c r="H467" s="8" t="n">
        <v>10020</v>
      </c>
      <c r="I467" s="8" t="n">
        <v>10205</v>
      </c>
      <c r="J467" s="8" t="n">
        <v>10225</v>
      </c>
      <c r="K467" s="8" t="n">
        <v>10015</v>
      </c>
      <c r="L467" s="8" t="n">
        <v>211344</v>
      </c>
      <c r="M467" s="8" t="n">
        <v>105316</v>
      </c>
      <c r="N467" s="9" t="inlineStr">
        <is>
          <t>否</t>
        </is>
      </c>
      <c r="O467" t="inlineStr">
        <is>
          <t>缺 PP</t>
        </is>
      </c>
    </row>
    <row r="468">
      <c r="A468" s="7" t="inlineStr">
        <is>
          <t>2009-06-15</t>
        </is>
      </c>
      <c r="B468" s="8" t="n"/>
      <c r="C468" s="8" t="n"/>
      <c r="D468" s="8" t="n"/>
      <c r="E468" s="8" t="n"/>
      <c r="F468" s="8" t="n"/>
      <c r="G468" s="8" t="n"/>
      <c r="H468" s="8" t="n">
        <v>9885</v>
      </c>
      <c r="I468" s="8" t="n">
        <v>10000</v>
      </c>
      <c r="J468" s="8" t="n">
        <v>10050</v>
      </c>
      <c r="K468" s="8" t="n">
        <v>9815</v>
      </c>
      <c r="L468" s="8" t="n">
        <v>274898</v>
      </c>
      <c r="M468" s="8" t="n">
        <v>107286</v>
      </c>
      <c r="N468" s="9" t="inlineStr">
        <is>
          <t>否</t>
        </is>
      </c>
      <c r="O468" t="inlineStr">
        <is>
          <t>缺 PP</t>
        </is>
      </c>
    </row>
    <row r="469">
      <c r="A469" s="7" t="inlineStr">
        <is>
          <t>2009-06-16</t>
        </is>
      </c>
      <c r="B469" s="8" t="n"/>
      <c r="C469" s="8" t="n"/>
      <c r="D469" s="8" t="n"/>
      <c r="E469" s="8" t="n"/>
      <c r="F469" s="8" t="n"/>
      <c r="G469" s="8" t="n"/>
      <c r="H469" s="8" t="n">
        <v>9910</v>
      </c>
      <c r="I469" s="8" t="n">
        <v>9800</v>
      </c>
      <c r="J469" s="8" t="n">
        <v>9935</v>
      </c>
      <c r="K469" s="8" t="n">
        <v>9785</v>
      </c>
      <c r="L469" s="8" t="n">
        <v>191930</v>
      </c>
      <c r="M469" s="8" t="n">
        <v>103236</v>
      </c>
      <c r="N469" s="9" t="inlineStr">
        <is>
          <t>否</t>
        </is>
      </c>
      <c r="O469" t="inlineStr">
        <is>
          <t>缺 PP</t>
        </is>
      </c>
    </row>
    <row r="470">
      <c r="A470" s="7" t="inlineStr">
        <is>
          <t>2009-06-17</t>
        </is>
      </c>
      <c r="B470" s="8" t="n"/>
      <c r="C470" s="8" t="n"/>
      <c r="D470" s="8" t="n"/>
      <c r="E470" s="8" t="n"/>
      <c r="F470" s="8" t="n"/>
      <c r="G470" s="8" t="n"/>
      <c r="H470" s="8" t="n">
        <v>9915</v>
      </c>
      <c r="I470" s="8" t="n">
        <v>9870</v>
      </c>
      <c r="J470" s="8" t="n">
        <v>9930</v>
      </c>
      <c r="K470" s="8" t="n">
        <v>9820</v>
      </c>
      <c r="L470" s="8" t="n">
        <v>170680</v>
      </c>
      <c r="M470" s="8" t="n">
        <v>96614</v>
      </c>
      <c r="N470" s="9" t="inlineStr">
        <is>
          <t>否</t>
        </is>
      </c>
      <c r="O470" t="inlineStr">
        <is>
          <t>缺 PP</t>
        </is>
      </c>
    </row>
    <row r="471">
      <c r="A471" s="7" t="inlineStr">
        <is>
          <t>2009-06-18</t>
        </is>
      </c>
      <c r="B471" s="8" t="n"/>
      <c r="C471" s="8" t="n"/>
      <c r="D471" s="8" t="n"/>
      <c r="E471" s="8" t="n"/>
      <c r="F471" s="8" t="n"/>
      <c r="G471" s="8" t="n"/>
      <c r="H471" s="8" t="n">
        <v>10000</v>
      </c>
      <c r="I471" s="8" t="n">
        <v>9920</v>
      </c>
      <c r="J471" s="8" t="n">
        <v>10090</v>
      </c>
      <c r="K471" s="8" t="n">
        <v>9915</v>
      </c>
      <c r="L471" s="8" t="n">
        <v>293364</v>
      </c>
      <c r="M471" s="8" t="n">
        <v>97914</v>
      </c>
      <c r="N471" s="9" t="inlineStr">
        <is>
          <t>否</t>
        </is>
      </c>
      <c r="O471" t="inlineStr">
        <is>
          <t>缺 PP</t>
        </is>
      </c>
    </row>
    <row r="472">
      <c r="A472" s="7" t="inlineStr">
        <is>
          <t>2009-06-19</t>
        </is>
      </c>
      <c r="B472" s="8" t="n"/>
      <c r="C472" s="8" t="n"/>
      <c r="D472" s="8" t="n"/>
      <c r="E472" s="8" t="n"/>
      <c r="F472" s="8" t="n"/>
      <c r="G472" s="8" t="n"/>
      <c r="H472" s="8" t="n">
        <v>10035</v>
      </c>
      <c r="I472" s="8" t="n">
        <v>10030</v>
      </c>
      <c r="J472" s="8" t="n">
        <v>10105</v>
      </c>
      <c r="K472" s="8" t="n">
        <v>9980</v>
      </c>
      <c r="L472" s="8" t="n">
        <v>170344</v>
      </c>
      <c r="M472" s="8" t="n">
        <v>102600</v>
      </c>
      <c r="N472" s="9" t="inlineStr">
        <is>
          <t>否</t>
        </is>
      </c>
      <c r="O472" t="inlineStr">
        <is>
          <t>缺 PP</t>
        </is>
      </c>
    </row>
    <row r="473">
      <c r="A473" s="7" t="inlineStr">
        <is>
          <t>2009-06-22</t>
        </is>
      </c>
      <c r="B473" s="8" t="n"/>
      <c r="C473" s="8" t="n"/>
      <c r="D473" s="8" t="n"/>
      <c r="E473" s="8" t="n"/>
      <c r="F473" s="8" t="n"/>
      <c r="G473" s="8" t="n"/>
      <c r="H473" s="8" t="n">
        <v>9865</v>
      </c>
      <c r="I473" s="8" t="n">
        <v>9880</v>
      </c>
      <c r="J473" s="8" t="n">
        <v>9935</v>
      </c>
      <c r="K473" s="8" t="n">
        <v>9845</v>
      </c>
      <c r="L473" s="8" t="n">
        <v>147124</v>
      </c>
      <c r="M473" s="8" t="n">
        <v>102370</v>
      </c>
      <c r="N473" s="9" t="inlineStr">
        <is>
          <t>否</t>
        </is>
      </c>
      <c r="O473" t="inlineStr">
        <is>
          <t>缺 PP</t>
        </is>
      </c>
    </row>
    <row r="474">
      <c r="A474" s="7" t="inlineStr">
        <is>
          <t>2009-06-23</t>
        </is>
      </c>
      <c r="B474" s="8" t="n"/>
      <c r="C474" s="8" t="n"/>
      <c r="D474" s="8" t="n"/>
      <c r="E474" s="8" t="n"/>
      <c r="F474" s="8" t="n"/>
      <c r="G474" s="8" t="n"/>
      <c r="H474" s="8" t="n">
        <v>9675</v>
      </c>
      <c r="I474" s="8" t="n">
        <v>9700</v>
      </c>
      <c r="J474" s="8" t="n">
        <v>9730</v>
      </c>
      <c r="K474" s="8" t="n">
        <v>9610</v>
      </c>
      <c r="L474" s="8" t="n">
        <v>230472</v>
      </c>
      <c r="M474" s="8" t="n">
        <v>98572</v>
      </c>
      <c r="N474" s="9" t="inlineStr">
        <is>
          <t>否</t>
        </is>
      </c>
      <c r="O474" t="inlineStr">
        <is>
          <t>缺 PP</t>
        </is>
      </c>
    </row>
    <row r="475">
      <c r="A475" s="7" t="inlineStr">
        <is>
          <t>2009-06-24</t>
        </is>
      </c>
      <c r="B475" s="8" t="n"/>
      <c r="C475" s="8" t="n"/>
      <c r="D475" s="8" t="n"/>
      <c r="E475" s="8" t="n"/>
      <c r="F475" s="8" t="n"/>
      <c r="G475" s="8" t="n"/>
      <c r="H475" s="8" t="n">
        <v>9735</v>
      </c>
      <c r="I475" s="8" t="n">
        <v>9700</v>
      </c>
      <c r="J475" s="8" t="n">
        <v>9750</v>
      </c>
      <c r="K475" s="8" t="n">
        <v>9670</v>
      </c>
      <c r="L475" s="8" t="n">
        <v>165364</v>
      </c>
      <c r="M475" s="8" t="n">
        <v>99498</v>
      </c>
      <c r="N475" s="9" t="inlineStr">
        <is>
          <t>否</t>
        </is>
      </c>
      <c r="O475" t="inlineStr">
        <is>
          <t>缺 PP</t>
        </is>
      </c>
    </row>
    <row r="476">
      <c r="A476" s="7" t="inlineStr">
        <is>
          <t>2009-06-25</t>
        </is>
      </c>
      <c r="B476" s="8" t="n"/>
      <c r="C476" s="8" t="n"/>
      <c r="D476" s="8" t="n"/>
      <c r="E476" s="8" t="n"/>
      <c r="F476" s="8" t="n"/>
      <c r="G476" s="8" t="n"/>
      <c r="H476" s="8" t="n">
        <v>9835</v>
      </c>
      <c r="I476" s="8" t="n">
        <v>9720</v>
      </c>
      <c r="J476" s="8" t="n">
        <v>9845</v>
      </c>
      <c r="K476" s="8" t="n">
        <v>9680</v>
      </c>
      <c r="L476" s="8" t="n">
        <v>192916</v>
      </c>
      <c r="M476" s="8" t="n">
        <v>95722</v>
      </c>
      <c r="N476" s="9" t="inlineStr">
        <is>
          <t>否</t>
        </is>
      </c>
      <c r="O476" t="inlineStr">
        <is>
          <t>缺 PP</t>
        </is>
      </c>
    </row>
    <row r="477">
      <c r="A477" s="7" t="inlineStr">
        <is>
          <t>2009-06-26</t>
        </is>
      </c>
      <c r="B477" s="8" t="n"/>
      <c r="C477" s="8" t="n"/>
      <c r="D477" s="8" t="n"/>
      <c r="E477" s="8" t="n"/>
      <c r="F477" s="8" t="n"/>
      <c r="G477" s="8" t="n"/>
      <c r="H477" s="8" t="n">
        <v>10045</v>
      </c>
      <c r="I477" s="8" t="n">
        <v>9915</v>
      </c>
      <c r="J477" s="8" t="n">
        <v>10045</v>
      </c>
      <c r="K477" s="8" t="n">
        <v>9900</v>
      </c>
      <c r="L477" s="8" t="n">
        <v>147176</v>
      </c>
      <c r="M477" s="8" t="n">
        <v>97830</v>
      </c>
      <c r="N477" s="9" t="inlineStr">
        <is>
          <t>否</t>
        </is>
      </c>
      <c r="O477" t="inlineStr">
        <is>
          <t>缺 PP</t>
        </is>
      </c>
    </row>
    <row r="478">
      <c r="A478" s="7" t="inlineStr">
        <is>
          <t>2009-06-29</t>
        </is>
      </c>
      <c r="B478" s="8" t="n"/>
      <c r="C478" s="8" t="n"/>
      <c r="D478" s="8" t="n"/>
      <c r="E478" s="8" t="n"/>
      <c r="F478" s="8" t="n"/>
      <c r="G478" s="8" t="n"/>
      <c r="H478" s="8" t="n">
        <v>9930</v>
      </c>
      <c r="I478" s="8" t="n">
        <v>9980</v>
      </c>
      <c r="J478" s="8" t="n">
        <v>10045</v>
      </c>
      <c r="K478" s="8" t="n">
        <v>9900</v>
      </c>
      <c r="L478" s="8" t="n">
        <v>176648</v>
      </c>
      <c r="M478" s="8" t="n">
        <v>94058</v>
      </c>
      <c r="N478" s="9" t="inlineStr">
        <is>
          <t>否</t>
        </is>
      </c>
      <c r="O478" t="inlineStr">
        <is>
          <t>缺 PP</t>
        </is>
      </c>
    </row>
    <row r="479">
      <c r="A479" s="7" t="inlineStr">
        <is>
          <t>2009-06-30</t>
        </is>
      </c>
      <c r="B479" s="8" t="n"/>
      <c r="C479" s="8" t="n"/>
      <c r="D479" s="8" t="n"/>
      <c r="E479" s="8" t="n"/>
      <c r="F479" s="8" t="n"/>
      <c r="G479" s="8" t="n"/>
      <c r="H479" s="8" t="n">
        <v>10025</v>
      </c>
      <c r="I479" s="8" t="n">
        <v>10045</v>
      </c>
      <c r="J479" s="8" t="n">
        <v>10145</v>
      </c>
      <c r="K479" s="8" t="n">
        <v>10005</v>
      </c>
      <c r="L479" s="8" t="n">
        <v>161436</v>
      </c>
      <c r="M479" s="8" t="n">
        <v>87962</v>
      </c>
      <c r="N479" s="9" t="inlineStr">
        <is>
          <t>否</t>
        </is>
      </c>
      <c r="O479" t="inlineStr">
        <is>
          <t>缺 PP</t>
        </is>
      </c>
    </row>
    <row r="480">
      <c r="A480" s="7" t="inlineStr">
        <is>
          <t>2009-07-01</t>
        </is>
      </c>
      <c r="B480" s="8" t="n"/>
      <c r="C480" s="8" t="n"/>
      <c r="D480" s="8" t="n"/>
      <c r="E480" s="8" t="n"/>
      <c r="F480" s="8" t="n"/>
      <c r="G480" s="8" t="n"/>
      <c r="H480" s="8" t="n">
        <v>10035</v>
      </c>
      <c r="I480" s="8" t="n">
        <v>9995</v>
      </c>
      <c r="J480" s="8" t="n">
        <v>10040</v>
      </c>
      <c r="K480" s="8" t="n">
        <v>9920</v>
      </c>
      <c r="L480" s="8" t="n">
        <v>120344</v>
      </c>
      <c r="M480" s="8" t="n">
        <v>89580</v>
      </c>
      <c r="N480" s="9" t="inlineStr">
        <is>
          <t>否</t>
        </is>
      </c>
      <c r="O480" t="inlineStr">
        <is>
          <t>缺 PP</t>
        </is>
      </c>
    </row>
    <row r="481">
      <c r="A481" s="7" t="inlineStr">
        <is>
          <t>2009-07-02</t>
        </is>
      </c>
      <c r="B481" s="8" t="n"/>
      <c r="C481" s="8" t="n"/>
      <c r="D481" s="8" t="n"/>
      <c r="E481" s="8" t="n"/>
      <c r="F481" s="8" t="n"/>
      <c r="G481" s="8" t="n"/>
      <c r="H481" s="8" t="n">
        <v>10020</v>
      </c>
      <c r="I481" s="8" t="n">
        <v>10025</v>
      </c>
      <c r="J481" s="8" t="n">
        <v>10125</v>
      </c>
      <c r="K481" s="8" t="n">
        <v>9975</v>
      </c>
      <c r="L481" s="8" t="n">
        <v>198026</v>
      </c>
      <c r="M481" s="8" t="n">
        <v>85568</v>
      </c>
      <c r="N481" s="9" t="inlineStr">
        <is>
          <t>否</t>
        </is>
      </c>
      <c r="O481" t="inlineStr">
        <is>
          <t>缺 PP</t>
        </is>
      </c>
    </row>
    <row r="482">
      <c r="A482" s="7" t="inlineStr">
        <is>
          <t>2009-07-03</t>
        </is>
      </c>
      <c r="B482" s="8" t="n"/>
      <c r="C482" s="8" t="n"/>
      <c r="D482" s="8" t="n"/>
      <c r="E482" s="8" t="n"/>
      <c r="F482" s="8" t="n"/>
      <c r="G482" s="8" t="n"/>
      <c r="H482" s="8" t="n">
        <v>10175</v>
      </c>
      <c r="I482" s="8" t="n">
        <v>9925</v>
      </c>
      <c r="J482" s="8" t="n">
        <v>10215</v>
      </c>
      <c r="K482" s="8" t="n">
        <v>9900</v>
      </c>
      <c r="L482" s="8" t="n">
        <v>264890</v>
      </c>
      <c r="M482" s="8" t="n">
        <v>105302</v>
      </c>
      <c r="N482" s="9" t="inlineStr">
        <is>
          <t>否</t>
        </is>
      </c>
      <c r="O482" t="inlineStr">
        <is>
          <t>缺 PP</t>
        </is>
      </c>
    </row>
    <row r="483">
      <c r="A483" s="7" t="inlineStr">
        <is>
          <t>2009-07-06</t>
        </is>
      </c>
      <c r="B483" s="8" t="n"/>
      <c r="C483" s="8" t="n"/>
      <c r="D483" s="8" t="n"/>
      <c r="E483" s="8" t="n"/>
      <c r="F483" s="8" t="n"/>
      <c r="G483" s="8" t="n"/>
      <c r="H483" s="8" t="n">
        <v>10345</v>
      </c>
      <c r="I483" s="8" t="n">
        <v>10175</v>
      </c>
      <c r="J483" s="8" t="n">
        <v>10430</v>
      </c>
      <c r="K483" s="8" t="n">
        <v>10150</v>
      </c>
      <c r="L483" s="8" t="n">
        <v>649390</v>
      </c>
      <c r="M483" s="8" t="n">
        <v>117382</v>
      </c>
      <c r="N483" s="9" t="inlineStr">
        <is>
          <t>否</t>
        </is>
      </c>
      <c r="O483" t="inlineStr">
        <is>
          <t>缺 PP</t>
        </is>
      </c>
    </row>
    <row r="484">
      <c r="A484" s="7" t="inlineStr">
        <is>
          <t>2009-07-07</t>
        </is>
      </c>
      <c r="B484" s="8" t="n"/>
      <c r="C484" s="8" t="n"/>
      <c r="D484" s="8" t="n"/>
      <c r="E484" s="8" t="n"/>
      <c r="F484" s="8" t="n"/>
      <c r="G484" s="8" t="n"/>
      <c r="H484" s="8" t="n">
        <v>10495</v>
      </c>
      <c r="I484" s="8" t="n">
        <v>10400</v>
      </c>
      <c r="J484" s="8" t="n">
        <v>10525</v>
      </c>
      <c r="K484" s="8" t="n">
        <v>10400</v>
      </c>
      <c r="L484" s="8" t="n">
        <v>400414</v>
      </c>
      <c r="M484" s="8" t="n">
        <v>124360</v>
      </c>
      <c r="N484" s="9" t="inlineStr">
        <is>
          <t>否</t>
        </is>
      </c>
      <c r="O484" t="inlineStr">
        <is>
          <t>缺 PP</t>
        </is>
      </c>
    </row>
    <row r="485">
      <c r="A485" s="7" t="inlineStr">
        <is>
          <t>2009-07-08</t>
        </is>
      </c>
      <c r="B485" s="8" t="n"/>
      <c r="C485" s="8" t="n"/>
      <c r="D485" s="8" t="n"/>
      <c r="E485" s="8" t="n"/>
      <c r="F485" s="8" t="n"/>
      <c r="G485" s="8" t="n"/>
      <c r="H485" s="8" t="n">
        <v>10325</v>
      </c>
      <c r="I485" s="8" t="n">
        <v>10400</v>
      </c>
      <c r="J485" s="8" t="n">
        <v>10400</v>
      </c>
      <c r="K485" s="8" t="n">
        <v>10270</v>
      </c>
      <c r="L485" s="8" t="n">
        <v>393284</v>
      </c>
      <c r="M485" s="8" t="n">
        <v>113000</v>
      </c>
      <c r="N485" s="9" t="inlineStr">
        <is>
          <t>否</t>
        </is>
      </c>
      <c r="O485" t="inlineStr">
        <is>
          <t>缺 PP</t>
        </is>
      </c>
    </row>
    <row r="486">
      <c r="A486" s="7" t="inlineStr">
        <is>
          <t>2009-07-09</t>
        </is>
      </c>
      <c r="B486" s="8" t="n"/>
      <c r="C486" s="8" t="n"/>
      <c r="D486" s="8" t="n"/>
      <c r="E486" s="8" t="n"/>
      <c r="F486" s="8" t="n"/>
      <c r="G486" s="8" t="n"/>
      <c r="H486" s="8" t="n">
        <v>10315</v>
      </c>
      <c r="I486" s="8" t="n">
        <v>10250</v>
      </c>
      <c r="J486" s="8" t="n">
        <v>10375</v>
      </c>
      <c r="K486" s="8" t="n">
        <v>10175</v>
      </c>
      <c r="L486" s="8" t="n">
        <v>374890</v>
      </c>
      <c r="M486" s="8" t="n">
        <v>107000</v>
      </c>
      <c r="N486" s="9" t="inlineStr">
        <is>
          <t>否</t>
        </is>
      </c>
      <c r="O486" t="inlineStr">
        <is>
          <t>缺 PP</t>
        </is>
      </c>
    </row>
    <row r="487">
      <c r="A487" s="7" t="inlineStr">
        <is>
          <t>2009-07-10</t>
        </is>
      </c>
      <c r="B487" s="8" t="n"/>
      <c r="C487" s="8" t="n"/>
      <c r="D487" s="8" t="n"/>
      <c r="E487" s="8" t="n"/>
      <c r="F487" s="8" t="n"/>
      <c r="G487" s="8" t="n"/>
      <c r="H487" s="8" t="n">
        <v>10260</v>
      </c>
      <c r="I487" s="8" t="n">
        <v>10340</v>
      </c>
      <c r="J487" s="8" t="n">
        <v>10465</v>
      </c>
      <c r="K487" s="8" t="n">
        <v>10260</v>
      </c>
      <c r="L487" s="8" t="n">
        <v>398130</v>
      </c>
      <c r="M487" s="8" t="n">
        <v>99830</v>
      </c>
      <c r="N487" s="9" t="inlineStr">
        <is>
          <t>否</t>
        </is>
      </c>
      <c r="O487" t="inlineStr">
        <is>
          <t>缺 PP</t>
        </is>
      </c>
    </row>
    <row r="488">
      <c r="A488" s="7" t="inlineStr">
        <is>
          <t>2009-07-13</t>
        </is>
      </c>
      <c r="B488" s="8" t="n"/>
      <c r="C488" s="8" t="n"/>
      <c r="D488" s="8" t="n"/>
      <c r="E488" s="8" t="n"/>
      <c r="F488" s="8" t="n"/>
      <c r="G488" s="8" t="n"/>
      <c r="H488" s="8" t="n">
        <v>10050</v>
      </c>
      <c r="I488" s="8" t="n">
        <v>10340</v>
      </c>
      <c r="J488" s="8" t="n">
        <v>10345</v>
      </c>
      <c r="K488" s="8" t="n">
        <v>10045</v>
      </c>
      <c r="L488" s="8" t="n">
        <v>326966</v>
      </c>
      <c r="M488" s="8" t="n">
        <v>83212</v>
      </c>
      <c r="N488" s="9" t="inlineStr">
        <is>
          <t>否</t>
        </is>
      </c>
      <c r="O488" t="inlineStr">
        <is>
          <t>缺 PP</t>
        </is>
      </c>
    </row>
    <row r="489">
      <c r="A489" s="7" t="inlineStr">
        <is>
          <t>2009-07-14</t>
        </is>
      </c>
      <c r="B489" s="8" t="n"/>
      <c r="C489" s="8" t="n"/>
      <c r="D489" s="8" t="n"/>
      <c r="E489" s="8" t="n"/>
      <c r="F489" s="8" t="n"/>
      <c r="G489" s="8" t="n"/>
      <c r="H489" s="8" t="n">
        <v>10180</v>
      </c>
      <c r="I489" s="8" t="n">
        <v>10065</v>
      </c>
      <c r="J489" s="8" t="n">
        <v>10200</v>
      </c>
      <c r="K489" s="8" t="n">
        <v>10055</v>
      </c>
      <c r="L489" s="8" t="n">
        <v>236128</v>
      </c>
      <c r="M489" s="8" t="n">
        <v>82424</v>
      </c>
      <c r="N489" s="9" t="inlineStr">
        <is>
          <t>否</t>
        </is>
      </c>
      <c r="O489" t="inlineStr">
        <is>
          <t>缺 PP</t>
        </is>
      </c>
    </row>
    <row r="490">
      <c r="A490" s="7" t="inlineStr">
        <is>
          <t>2009-07-15</t>
        </is>
      </c>
      <c r="B490" s="8" t="n"/>
      <c r="C490" s="8" t="n"/>
      <c r="D490" s="8" t="n"/>
      <c r="E490" s="8" t="n"/>
      <c r="F490" s="8" t="n"/>
      <c r="G490" s="8" t="n"/>
      <c r="H490" s="8" t="n">
        <v>10245</v>
      </c>
      <c r="I490" s="8" t="n">
        <v>10205</v>
      </c>
      <c r="J490" s="8" t="n">
        <v>10245</v>
      </c>
      <c r="K490" s="8" t="n">
        <v>10135</v>
      </c>
      <c r="L490" s="8" t="n">
        <v>195462</v>
      </c>
      <c r="M490" s="8" t="n">
        <v>64004</v>
      </c>
      <c r="N490" s="9" t="inlineStr">
        <is>
          <t>否</t>
        </is>
      </c>
      <c r="O490" t="inlineStr">
        <is>
          <t>缺 PP</t>
        </is>
      </c>
    </row>
    <row r="491">
      <c r="A491" s="7" t="inlineStr">
        <is>
          <t>2009-07-16</t>
        </is>
      </c>
      <c r="B491" s="8" t="n"/>
      <c r="C491" s="8" t="n"/>
      <c r="D491" s="8" t="n"/>
      <c r="E491" s="8" t="n"/>
      <c r="F491" s="8" t="n"/>
      <c r="G491" s="8" t="n"/>
      <c r="H491" s="8" t="n">
        <v>10390</v>
      </c>
      <c r="I491" s="8" t="n">
        <v>10310</v>
      </c>
      <c r="J491" s="8" t="n">
        <v>10480</v>
      </c>
      <c r="K491" s="8" t="n">
        <v>10285</v>
      </c>
      <c r="L491" s="8" t="n">
        <v>273950</v>
      </c>
      <c r="M491" s="8" t="n">
        <v>76140</v>
      </c>
      <c r="N491" s="9" t="inlineStr">
        <is>
          <t>否</t>
        </is>
      </c>
      <c r="O491" t="inlineStr">
        <is>
          <t>缺 PP</t>
        </is>
      </c>
    </row>
    <row r="492">
      <c r="A492" s="7" t="inlineStr">
        <is>
          <t>2009-07-17</t>
        </is>
      </c>
      <c r="B492" s="8" t="n"/>
      <c r="C492" s="8" t="n"/>
      <c r="D492" s="8" t="n"/>
      <c r="E492" s="8" t="n"/>
      <c r="F492" s="8" t="n"/>
      <c r="G492" s="8" t="n"/>
      <c r="H492" s="8" t="n">
        <v>10355</v>
      </c>
      <c r="I492" s="8" t="n">
        <v>10425</v>
      </c>
      <c r="J492" s="8" t="n">
        <v>10465</v>
      </c>
      <c r="K492" s="8" t="n">
        <v>10340</v>
      </c>
      <c r="L492" s="8" t="n">
        <v>174652</v>
      </c>
      <c r="M492" s="8" t="n">
        <v>53612</v>
      </c>
      <c r="N492" s="9" t="inlineStr">
        <is>
          <t>否</t>
        </is>
      </c>
      <c r="O492" t="inlineStr">
        <is>
          <t>缺 PP</t>
        </is>
      </c>
    </row>
    <row r="493">
      <c r="A493" s="7" t="inlineStr">
        <is>
          <t>2009-07-20</t>
        </is>
      </c>
      <c r="B493" s="8" t="n"/>
      <c r="C493" s="8" t="n"/>
      <c r="D493" s="8" t="n"/>
      <c r="E493" s="8" t="n"/>
      <c r="F493" s="8" t="n"/>
      <c r="G493" s="8" t="n"/>
      <c r="H493" s="8" t="n">
        <v>10465</v>
      </c>
      <c r="I493" s="8" t="n">
        <v>10430</v>
      </c>
      <c r="J493" s="8" t="n">
        <v>10535</v>
      </c>
      <c r="K493" s="8" t="n">
        <v>10405</v>
      </c>
      <c r="L493" s="8" t="n">
        <v>126586</v>
      </c>
      <c r="M493" s="8" t="n">
        <v>45160</v>
      </c>
      <c r="N493" s="9" t="inlineStr">
        <is>
          <t>否</t>
        </is>
      </c>
      <c r="O493" t="inlineStr">
        <is>
          <t>缺 PP</t>
        </is>
      </c>
    </row>
    <row r="494">
      <c r="A494" s="7" t="inlineStr">
        <is>
          <t>2009-07-21</t>
        </is>
      </c>
      <c r="B494" s="8" t="n"/>
      <c r="C494" s="8" t="n"/>
      <c r="D494" s="8" t="n"/>
      <c r="E494" s="8" t="n"/>
      <c r="F494" s="8" t="n"/>
      <c r="G494" s="8" t="n"/>
      <c r="H494" s="8" t="n">
        <v>10370</v>
      </c>
      <c r="I494" s="8" t="n">
        <v>10630</v>
      </c>
      <c r="J494" s="8" t="n">
        <v>10645</v>
      </c>
      <c r="K494" s="8" t="n">
        <v>10345</v>
      </c>
      <c r="L494" s="8" t="n">
        <v>149642</v>
      </c>
      <c r="M494" s="8" t="n">
        <v>41000</v>
      </c>
      <c r="N494" s="9" t="inlineStr">
        <is>
          <t>否</t>
        </is>
      </c>
      <c r="O494" t="inlineStr">
        <is>
          <t>缺 PP</t>
        </is>
      </c>
    </row>
    <row r="495">
      <c r="A495" s="7" t="inlineStr">
        <is>
          <t>2009-07-22</t>
        </is>
      </c>
      <c r="B495" s="8" t="n"/>
      <c r="C495" s="8" t="n"/>
      <c r="D495" s="8" t="n"/>
      <c r="E495" s="8" t="n"/>
      <c r="F495" s="8" t="n"/>
      <c r="G495" s="8" t="n"/>
      <c r="H495" s="8" t="n">
        <v>10390</v>
      </c>
      <c r="I495" s="8" t="n">
        <v>10340</v>
      </c>
      <c r="J495" s="8" t="n">
        <v>10475</v>
      </c>
      <c r="K495" s="8" t="n">
        <v>10330</v>
      </c>
      <c r="L495" s="8" t="n">
        <v>132184</v>
      </c>
      <c r="M495" s="8" t="n">
        <v>41224</v>
      </c>
      <c r="N495" s="9" t="inlineStr">
        <is>
          <t>否</t>
        </is>
      </c>
      <c r="O495" t="inlineStr">
        <is>
          <t>缺 PP</t>
        </is>
      </c>
    </row>
    <row r="496">
      <c r="A496" s="7" t="inlineStr">
        <is>
          <t>2009-07-23</t>
        </is>
      </c>
      <c r="B496" s="8" t="n"/>
      <c r="C496" s="8" t="n"/>
      <c r="D496" s="8" t="n"/>
      <c r="E496" s="8" t="n"/>
      <c r="F496" s="8" t="n"/>
      <c r="G496" s="8" t="n"/>
      <c r="H496" s="8" t="n">
        <v>10520</v>
      </c>
      <c r="I496" s="8" t="n">
        <v>10410</v>
      </c>
      <c r="J496" s="8" t="n">
        <v>10565</v>
      </c>
      <c r="K496" s="8" t="n">
        <v>10365</v>
      </c>
      <c r="L496" s="8" t="n">
        <v>233436</v>
      </c>
      <c r="M496" s="8" t="n">
        <v>59902</v>
      </c>
      <c r="N496" s="9" t="inlineStr">
        <is>
          <t>否</t>
        </is>
      </c>
      <c r="O496" t="inlineStr">
        <is>
          <t>缺 PP</t>
        </is>
      </c>
    </row>
    <row r="497">
      <c r="A497" s="7" t="inlineStr">
        <is>
          <t>2009-07-24</t>
        </is>
      </c>
      <c r="B497" s="8" t="n"/>
      <c r="C497" s="8" t="n"/>
      <c r="D497" s="8" t="n"/>
      <c r="E497" s="8" t="n"/>
      <c r="F497" s="8" t="n"/>
      <c r="G497" s="8" t="n"/>
      <c r="H497" s="8" t="n">
        <v>10570</v>
      </c>
      <c r="I497" s="8" t="n">
        <v>10575</v>
      </c>
      <c r="J497" s="8" t="n">
        <v>10610</v>
      </c>
      <c r="K497" s="8" t="n">
        <v>10485</v>
      </c>
      <c r="L497" s="8" t="n">
        <v>181310</v>
      </c>
      <c r="M497" s="8" t="n">
        <v>53780</v>
      </c>
      <c r="N497" s="9" t="inlineStr">
        <is>
          <t>否</t>
        </is>
      </c>
      <c r="O497" t="inlineStr">
        <is>
          <t>缺 PP</t>
        </is>
      </c>
    </row>
    <row r="498">
      <c r="A498" s="7" t="inlineStr">
        <is>
          <t>2009-07-27</t>
        </is>
      </c>
      <c r="B498" s="8" t="n"/>
      <c r="C498" s="8" t="n"/>
      <c r="D498" s="8" t="n"/>
      <c r="E498" s="8" t="n"/>
      <c r="F498" s="8" t="n"/>
      <c r="G498" s="8" t="n"/>
      <c r="H498" s="8" t="n">
        <v>10735</v>
      </c>
      <c r="I498" s="8" t="n">
        <v>10600</v>
      </c>
      <c r="J498" s="8" t="n">
        <v>10775</v>
      </c>
      <c r="K498" s="8" t="n">
        <v>10600</v>
      </c>
      <c r="L498" s="8" t="n">
        <v>194438</v>
      </c>
      <c r="M498" s="8" t="n">
        <v>65306</v>
      </c>
      <c r="N498" s="9" t="inlineStr">
        <is>
          <t>否</t>
        </is>
      </c>
      <c r="O498" t="inlineStr">
        <is>
          <t>缺 PP</t>
        </is>
      </c>
    </row>
    <row r="499">
      <c r="A499" s="7" t="inlineStr">
        <is>
          <t>2009-07-28</t>
        </is>
      </c>
      <c r="B499" s="8" t="n"/>
      <c r="C499" s="8" t="n"/>
      <c r="D499" s="8" t="n"/>
      <c r="E499" s="8" t="n"/>
      <c r="F499" s="8" t="n"/>
      <c r="G499" s="8" t="n"/>
      <c r="H499" s="8" t="n">
        <v>10840</v>
      </c>
      <c r="I499" s="8" t="n">
        <v>10680</v>
      </c>
      <c r="J499" s="8" t="n">
        <v>10880</v>
      </c>
      <c r="K499" s="8" t="n">
        <v>10645</v>
      </c>
      <c r="L499" s="8" t="n">
        <v>239670</v>
      </c>
      <c r="M499" s="8" t="n">
        <v>77734</v>
      </c>
      <c r="N499" s="9" t="inlineStr">
        <is>
          <t>否</t>
        </is>
      </c>
      <c r="O499" t="inlineStr">
        <is>
          <t>缺 PP</t>
        </is>
      </c>
    </row>
    <row r="500">
      <c r="A500" s="7" t="inlineStr">
        <is>
          <t>2009-07-29</t>
        </is>
      </c>
      <c r="B500" s="8" t="n"/>
      <c r="C500" s="8" t="n"/>
      <c r="D500" s="8" t="n"/>
      <c r="E500" s="8" t="n"/>
      <c r="F500" s="8" t="n"/>
      <c r="G500" s="8" t="n"/>
      <c r="H500" s="8" t="n">
        <v>10640</v>
      </c>
      <c r="I500" s="8" t="n">
        <v>10800</v>
      </c>
      <c r="J500" s="8" t="n">
        <v>10965</v>
      </c>
      <c r="K500" s="8" t="n">
        <v>10585</v>
      </c>
      <c r="L500" s="8" t="n">
        <v>275616</v>
      </c>
      <c r="M500" s="8" t="n">
        <v>64482</v>
      </c>
      <c r="N500" s="9" t="inlineStr">
        <is>
          <t>否</t>
        </is>
      </c>
      <c r="O500" t="inlineStr">
        <is>
          <t>缺 PP</t>
        </is>
      </c>
    </row>
    <row r="501">
      <c r="A501" s="7" t="inlineStr">
        <is>
          <t>2009-07-30</t>
        </is>
      </c>
      <c r="B501" s="8" t="n"/>
      <c r="C501" s="8" t="n"/>
      <c r="D501" s="8" t="n"/>
      <c r="E501" s="8" t="n"/>
      <c r="F501" s="8" t="n"/>
      <c r="G501" s="8" t="n"/>
      <c r="H501" s="8" t="n">
        <v>10760</v>
      </c>
      <c r="I501" s="8" t="n">
        <v>10585</v>
      </c>
      <c r="J501" s="8" t="n">
        <v>10770</v>
      </c>
      <c r="K501" s="8" t="n">
        <v>10470</v>
      </c>
      <c r="L501" s="8" t="n">
        <v>257250</v>
      </c>
      <c r="M501" s="8" t="n">
        <v>62910</v>
      </c>
      <c r="N501" s="9" t="inlineStr">
        <is>
          <t>否</t>
        </is>
      </c>
      <c r="O501" t="inlineStr">
        <is>
          <t>缺 PP</t>
        </is>
      </c>
    </row>
    <row r="502">
      <c r="A502" s="7" t="inlineStr">
        <is>
          <t>2009-07-31</t>
        </is>
      </c>
      <c r="B502" s="8" t="n"/>
      <c r="C502" s="8" t="n"/>
      <c r="D502" s="8" t="n"/>
      <c r="E502" s="8" t="n"/>
      <c r="F502" s="8" t="n"/>
      <c r="G502" s="8" t="n"/>
      <c r="H502" s="8" t="n">
        <v>11160</v>
      </c>
      <c r="I502" s="8" t="n">
        <v>10970</v>
      </c>
      <c r="J502" s="8" t="n">
        <v>11210</v>
      </c>
      <c r="K502" s="8" t="n">
        <v>10875</v>
      </c>
      <c r="L502" s="8" t="n">
        <v>317850</v>
      </c>
      <c r="M502" s="8" t="n">
        <v>77924</v>
      </c>
      <c r="N502" s="9" t="inlineStr">
        <is>
          <t>否</t>
        </is>
      </c>
      <c r="O502" t="inlineStr">
        <is>
          <t>缺 PP</t>
        </is>
      </c>
    </row>
    <row r="503">
      <c r="A503" s="7" t="inlineStr">
        <is>
          <t>2009-08-03</t>
        </is>
      </c>
      <c r="B503" s="8" t="n"/>
      <c r="C503" s="8" t="n"/>
      <c r="D503" s="8" t="n"/>
      <c r="E503" s="8" t="n"/>
      <c r="F503" s="8" t="n"/>
      <c r="G503" s="8" t="n"/>
      <c r="H503" s="8" t="n">
        <v>11575</v>
      </c>
      <c r="I503" s="8" t="n">
        <v>11260</v>
      </c>
      <c r="J503" s="8" t="n">
        <v>11585</v>
      </c>
      <c r="K503" s="8" t="n">
        <v>11235</v>
      </c>
      <c r="L503" s="8" t="n">
        <v>218544</v>
      </c>
      <c r="M503" s="8" t="n">
        <v>81576</v>
      </c>
      <c r="N503" s="9" t="inlineStr">
        <is>
          <t>否</t>
        </is>
      </c>
      <c r="O503" t="inlineStr">
        <is>
          <t>缺 PP</t>
        </is>
      </c>
    </row>
    <row r="504">
      <c r="A504" s="7" t="inlineStr">
        <is>
          <t>2009-08-04</t>
        </is>
      </c>
      <c r="B504" s="8" t="n"/>
      <c r="C504" s="8" t="n"/>
      <c r="D504" s="8" t="n"/>
      <c r="E504" s="8" t="n"/>
      <c r="F504" s="8" t="n"/>
      <c r="G504" s="8" t="n"/>
      <c r="H504" s="8" t="n">
        <v>11500</v>
      </c>
      <c r="I504" s="8" t="n">
        <v>11700</v>
      </c>
      <c r="J504" s="8" t="n">
        <v>11735</v>
      </c>
      <c r="K504" s="8" t="n">
        <v>11355</v>
      </c>
      <c r="L504" s="8" t="n">
        <v>225340</v>
      </c>
      <c r="M504" s="8" t="n">
        <v>72226</v>
      </c>
      <c r="N504" s="9" t="inlineStr">
        <is>
          <t>否</t>
        </is>
      </c>
      <c r="O504" t="inlineStr">
        <is>
          <t>缺 PP</t>
        </is>
      </c>
    </row>
    <row r="505">
      <c r="A505" s="7" t="inlineStr">
        <is>
          <t>2009-08-05</t>
        </is>
      </c>
      <c r="B505" s="8" t="n"/>
      <c r="C505" s="8" t="n"/>
      <c r="D505" s="8" t="n"/>
      <c r="E505" s="8" t="n"/>
      <c r="F505" s="8" t="n"/>
      <c r="G505" s="8" t="n"/>
      <c r="H505" s="8" t="n">
        <v>11750</v>
      </c>
      <c r="I505" s="8" t="n">
        <v>11600</v>
      </c>
      <c r="J505" s="8" t="n">
        <v>11880</v>
      </c>
      <c r="K505" s="8" t="n">
        <v>11545</v>
      </c>
      <c r="L505" s="8" t="n">
        <v>338884</v>
      </c>
      <c r="M505" s="8" t="n">
        <v>86640</v>
      </c>
      <c r="N505" s="9" t="inlineStr">
        <is>
          <t>否</t>
        </is>
      </c>
      <c r="O505" t="inlineStr">
        <is>
          <t>缺 PP</t>
        </is>
      </c>
    </row>
    <row r="506">
      <c r="A506" s="7" t="inlineStr">
        <is>
          <t>2009-08-06</t>
        </is>
      </c>
      <c r="B506" s="8" t="n"/>
      <c r="C506" s="8" t="n"/>
      <c r="D506" s="8" t="n"/>
      <c r="E506" s="8" t="n"/>
      <c r="F506" s="8" t="n"/>
      <c r="G506" s="8" t="n"/>
      <c r="H506" s="8" t="n">
        <v>11770</v>
      </c>
      <c r="I506" s="8" t="n">
        <v>11735</v>
      </c>
      <c r="J506" s="8" t="n">
        <v>11840</v>
      </c>
      <c r="K506" s="8" t="n">
        <v>11660</v>
      </c>
      <c r="L506" s="8" t="n">
        <v>252664</v>
      </c>
      <c r="M506" s="8" t="n">
        <v>77606</v>
      </c>
      <c r="N506" s="9" t="inlineStr">
        <is>
          <t>否</t>
        </is>
      </c>
      <c r="O506" t="inlineStr">
        <is>
          <t>缺 PP</t>
        </is>
      </c>
    </row>
    <row r="507">
      <c r="A507" s="7" t="inlineStr">
        <is>
          <t>2009-08-07</t>
        </is>
      </c>
      <c r="B507" s="8" t="n"/>
      <c r="C507" s="8" t="n"/>
      <c r="D507" s="8" t="n"/>
      <c r="E507" s="8" t="n"/>
      <c r="F507" s="8" t="n"/>
      <c r="G507" s="8" t="n"/>
      <c r="H507" s="8" t="n">
        <v>11345</v>
      </c>
      <c r="I507" s="8" t="n">
        <v>11700</v>
      </c>
      <c r="J507" s="8" t="n">
        <v>11720</v>
      </c>
      <c r="K507" s="8" t="n">
        <v>11330</v>
      </c>
      <c r="L507" s="8" t="n">
        <v>283966</v>
      </c>
      <c r="M507" s="8" t="n">
        <v>69614</v>
      </c>
      <c r="N507" s="9" t="inlineStr">
        <is>
          <t>否</t>
        </is>
      </c>
      <c r="O507" t="inlineStr">
        <is>
          <t>缺 PP</t>
        </is>
      </c>
    </row>
    <row r="508">
      <c r="A508" s="7" t="inlineStr">
        <is>
          <t>2009-08-10</t>
        </is>
      </c>
      <c r="B508" s="8" t="n"/>
      <c r="C508" s="8" t="n"/>
      <c r="D508" s="8" t="n"/>
      <c r="E508" s="8" t="n"/>
      <c r="F508" s="8" t="n"/>
      <c r="G508" s="8" t="n"/>
      <c r="H508" s="8" t="n">
        <v>11495</v>
      </c>
      <c r="I508" s="8" t="n">
        <v>11400</v>
      </c>
      <c r="J508" s="8" t="n">
        <v>11620</v>
      </c>
      <c r="K508" s="8" t="n">
        <v>11340</v>
      </c>
      <c r="L508" s="8" t="n">
        <v>251906</v>
      </c>
      <c r="M508" s="8" t="n">
        <v>60392</v>
      </c>
      <c r="N508" s="9" t="inlineStr">
        <is>
          <t>否</t>
        </is>
      </c>
      <c r="O508" t="inlineStr">
        <is>
          <t>缺 PP</t>
        </is>
      </c>
    </row>
    <row r="509">
      <c r="A509" s="7" t="inlineStr">
        <is>
          <t>2009-08-11</t>
        </is>
      </c>
      <c r="B509" s="8" t="n"/>
      <c r="C509" s="8" t="n"/>
      <c r="D509" s="8" t="n"/>
      <c r="E509" s="8" t="n"/>
      <c r="F509" s="8" t="n"/>
      <c r="G509" s="8" t="n"/>
      <c r="H509" s="8" t="n">
        <v>11700</v>
      </c>
      <c r="I509" s="8" t="n">
        <v>11450</v>
      </c>
      <c r="J509" s="8" t="n">
        <v>11790</v>
      </c>
      <c r="K509" s="8" t="n">
        <v>11400</v>
      </c>
      <c r="L509" s="8" t="n">
        <v>334750</v>
      </c>
      <c r="M509" s="8" t="n">
        <v>68948</v>
      </c>
      <c r="N509" s="9" t="inlineStr">
        <is>
          <t>否</t>
        </is>
      </c>
      <c r="O509" t="inlineStr">
        <is>
          <t>缺 PP</t>
        </is>
      </c>
    </row>
    <row r="510">
      <c r="A510" s="7" t="inlineStr">
        <is>
          <t>2009-08-12</t>
        </is>
      </c>
      <c r="B510" s="8" t="n"/>
      <c r="C510" s="8" t="n"/>
      <c r="D510" s="8" t="n"/>
      <c r="E510" s="8" t="n"/>
      <c r="F510" s="8" t="n"/>
      <c r="G510" s="8" t="n"/>
      <c r="H510" s="8" t="n">
        <v>11630</v>
      </c>
      <c r="I510" s="8" t="n">
        <v>11620</v>
      </c>
      <c r="J510" s="8" t="n">
        <v>11775</v>
      </c>
      <c r="K510" s="8" t="n">
        <v>11605</v>
      </c>
      <c r="L510" s="8" t="n">
        <v>304648</v>
      </c>
      <c r="M510" s="8" t="n">
        <v>67714</v>
      </c>
      <c r="N510" s="9" t="inlineStr">
        <is>
          <t>否</t>
        </is>
      </c>
      <c r="O510" t="inlineStr">
        <is>
          <t>缺 PP</t>
        </is>
      </c>
    </row>
    <row r="511">
      <c r="A511" s="7" t="inlineStr">
        <is>
          <t>2009-08-13</t>
        </is>
      </c>
      <c r="B511" s="8" t="n"/>
      <c r="C511" s="8" t="n"/>
      <c r="D511" s="8" t="n"/>
      <c r="E511" s="8" t="n"/>
      <c r="F511" s="8" t="n"/>
      <c r="G511" s="8" t="n"/>
      <c r="H511" s="8" t="n">
        <v>11875</v>
      </c>
      <c r="I511" s="8" t="n">
        <v>11780</v>
      </c>
      <c r="J511" s="8" t="n">
        <v>11980</v>
      </c>
      <c r="K511" s="8" t="n">
        <v>11715</v>
      </c>
      <c r="L511" s="8" t="n">
        <v>372240</v>
      </c>
      <c r="M511" s="8" t="n">
        <v>75498</v>
      </c>
      <c r="N511" s="9" t="inlineStr">
        <is>
          <t>否</t>
        </is>
      </c>
      <c r="O511" t="inlineStr">
        <is>
          <t>缺 PP</t>
        </is>
      </c>
    </row>
    <row r="512">
      <c r="A512" s="7" t="inlineStr">
        <is>
          <t>2009-08-14</t>
        </is>
      </c>
      <c r="B512" s="8" t="n"/>
      <c r="C512" s="8" t="n"/>
      <c r="D512" s="8" t="n"/>
      <c r="E512" s="8" t="n"/>
      <c r="F512" s="8" t="n"/>
      <c r="G512" s="8" t="n"/>
      <c r="H512" s="8" t="n">
        <v>11745</v>
      </c>
      <c r="I512" s="8" t="n">
        <v>11905</v>
      </c>
      <c r="J512" s="8" t="n">
        <v>11960</v>
      </c>
      <c r="K512" s="8" t="n">
        <v>11650</v>
      </c>
      <c r="L512" s="8" t="n">
        <v>235654</v>
      </c>
      <c r="M512" s="8" t="n">
        <v>67678</v>
      </c>
      <c r="N512" s="9" t="inlineStr">
        <is>
          <t>否</t>
        </is>
      </c>
      <c r="O512" t="inlineStr">
        <is>
          <t>缺 PP</t>
        </is>
      </c>
    </row>
    <row r="513">
      <c r="A513" s="7" t="inlineStr">
        <is>
          <t>2009-08-17</t>
        </is>
      </c>
      <c r="B513" s="8" t="n"/>
      <c r="C513" s="8" t="n"/>
      <c r="D513" s="8" t="n"/>
      <c r="E513" s="8" t="n"/>
      <c r="F513" s="8" t="n"/>
      <c r="G513" s="8" t="n"/>
      <c r="H513" s="8" t="n">
        <v>11190</v>
      </c>
      <c r="I513" s="8" t="n">
        <v>11450</v>
      </c>
      <c r="J513" s="8" t="n">
        <v>11480</v>
      </c>
      <c r="K513" s="8" t="n">
        <v>11190</v>
      </c>
      <c r="L513" s="8" t="n">
        <v>143356</v>
      </c>
      <c r="M513" s="8" t="n">
        <v>55360</v>
      </c>
      <c r="N513" s="9" t="inlineStr">
        <is>
          <t>否</t>
        </is>
      </c>
      <c r="O513" t="inlineStr">
        <is>
          <t>缺 PP</t>
        </is>
      </c>
    </row>
    <row r="514">
      <c r="A514" s="7" t="inlineStr">
        <is>
          <t>2009-08-18</t>
        </is>
      </c>
      <c r="B514" s="8" t="n"/>
      <c r="C514" s="8" t="n"/>
      <c r="D514" s="8" t="n"/>
      <c r="E514" s="8" t="n"/>
      <c r="F514" s="8" t="n"/>
      <c r="G514" s="8" t="n"/>
      <c r="H514" s="8" t="n">
        <v>11365</v>
      </c>
      <c r="I514" s="8" t="n">
        <v>11200</v>
      </c>
      <c r="J514" s="8" t="n">
        <v>11400</v>
      </c>
      <c r="K514" s="8" t="n">
        <v>11130</v>
      </c>
      <c r="L514" s="8" t="n">
        <v>240276</v>
      </c>
      <c r="M514" s="8" t="n">
        <v>61360</v>
      </c>
      <c r="N514" s="9" t="inlineStr">
        <is>
          <t>否</t>
        </is>
      </c>
      <c r="O514" t="inlineStr">
        <is>
          <t>缺 PP</t>
        </is>
      </c>
    </row>
    <row r="515">
      <c r="A515" s="7" t="inlineStr">
        <is>
          <t>2009-08-19</t>
        </is>
      </c>
      <c r="B515" s="8" t="n"/>
      <c r="C515" s="8" t="n"/>
      <c r="D515" s="8" t="n"/>
      <c r="E515" s="8" t="n"/>
      <c r="F515" s="8" t="n"/>
      <c r="G515" s="8" t="n"/>
      <c r="H515" s="8" t="n">
        <v>11095</v>
      </c>
      <c r="I515" s="8" t="n">
        <v>11550</v>
      </c>
      <c r="J515" s="8" t="n">
        <v>11580</v>
      </c>
      <c r="K515" s="8" t="n">
        <v>11050</v>
      </c>
      <c r="L515" s="8" t="n">
        <v>300682</v>
      </c>
      <c r="M515" s="8" t="n">
        <v>64052</v>
      </c>
      <c r="N515" s="9" t="inlineStr">
        <is>
          <t>否</t>
        </is>
      </c>
      <c r="O515" t="inlineStr">
        <is>
          <t>缺 PP</t>
        </is>
      </c>
    </row>
    <row r="516">
      <c r="A516" s="7" t="inlineStr">
        <is>
          <t>2009-08-20</t>
        </is>
      </c>
      <c r="B516" s="8" t="n"/>
      <c r="C516" s="8" t="n"/>
      <c r="D516" s="8" t="n"/>
      <c r="E516" s="8" t="n"/>
      <c r="F516" s="8" t="n"/>
      <c r="G516" s="8" t="n"/>
      <c r="H516" s="8" t="n">
        <v>11245</v>
      </c>
      <c r="I516" s="8" t="n">
        <v>11380</v>
      </c>
      <c r="J516" s="8" t="n">
        <v>11380</v>
      </c>
      <c r="K516" s="8" t="n">
        <v>10965</v>
      </c>
      <c r="L516" s="8" t="n">
        <v>339752</v>
      </c>
      <c r="M516" s="8" t="n">
        <v>61660</v>
      </c>
      <c r="N516" s="9" t="inlineStr">
        <is>
          <t>否</t>
        </is>
      </c>
      <c r="O516" t="inlineStr">
        <is>
          <t>缺 PP</t>
        </is>
      </c>
    </row>
    <row r="517">
      <c r="A517" s="7" t="inlineStr">
        <is>
          <t>2009-08-21</t>
        </is>
      </c>
      <c r="B517" s="8" t="n"/>
      <c r="C517" s="8" t="n"/>
      <c r="D517" s="8" t="n"/>
      <c r="E517" s="8" t="n"/>
      <c r="F517" s="8" t="n"/>
      <c r="G517" s="8" t="n"/>
      <c r="H517" s="8" t="n">
        <v>11095</v>
      </c>
      <c r="I517" s="8" t="n">
        <v>11100</v>
      </c>
      <c r="J517" s="8" t="n">
        <v>11215</v>
      </c>
      <c r="K517" s="8" t="n">
        <v>11025</v>
      </c>
      <c r="L517" s="8" t="n">
        <v>254476</v>
      </c>
      <c r="M517" s="8" t="n">
        <v>58372</v>
      </c>
      <c r="N517" s="9" t="inlineStr">
        <is>
          <t>否</t>
        </is>
      </c>
      <c r="O517" t="inlineStr">
        <is>
          <t>缺 PP</t>
        </is>
      </c>
    </row>
    <row r="518">
      <c r="A518" s="7" t="inlineStr">
        <is>
          <t>2009-08-24</t>
        </is>
      </c>
      <c r="B518" s="8" t="n"/>
      <c r="C518" s="8" t="n"/>
      <c r="D518" s="8" t="n"/>
      <c r="E518" s="8" t="n"/>
      <c r="F518" s="8" t="n"/>
      <c r="G518" s="8" t="n"/>
      <c r="H518" s="8" t="n">
        <v>11350</v>
      </c>
      <c r="I518" s="8" t="n">
        <v>11400</v>
      </c>
      <c r="J518" s="8" t="n">
        <v>11480</v>
      </c>
      <c r="K518" s="8" t="n">
        <v>11265</v>
      </c>
      <c r="L518" s="8" t="n">
        <v>178394</v>
      </c>
      <c r="M518" s="8" t="n">
        <v>57280</v>
      </c>
      <c r="N518" s="9" t="inlineStr">
        <is>
          <t>否</t>
        </is>
      </c>
      <c r="O518" t="inlineStr">
        <is>
          <t>缺 PP</t>
        </is>
      </c>
    </row>
    <row r="519">
      <c r="A519" s="7" t="inlineStr">
        <is>
          <t>2009-08-25</t>
        </is>
      </c>
      <c r="B519" s="8" t="n"/>
      <c r="C519" s="8" t="n"/>
      <c r="D519" s="8" t="n"/>
      <c r="E519" s="8" t="n"/>
      <c r="F519" s="8" t="n"/>
      <c r="G519" s="8" t="n"/>
      <c r="H519" s="8" t="n">
        <v>11085</v>
      </c>
      <c r="I519" s="8" t="n">
        <v>11250</v>
      </c>
      <c r="J519" s="8" t="n">
        <v>11325</v>
      </c>
      <c r="K519" s="8" t="n">
        <v>10985</v>
      </c>
      <c r="L519" s="8" t="n">
        <v>260084</v>
      </c>
      <c r="M519" s="8" t="n">
        <v>66022</v>
      </c>
      <c r="N519" s="9" t="inlineStr">
        <is>
          <t>否</t>
        </is>
      </c>
      <c r="O519" t="inlineStr">
        <is>
          <t>缺 PP</t>
        </is>
      </c>
    </row>
    <row r="520">
      <c r="A520" s="7" t="inlineStr">
        <is>
          <t>2009-08-26</t>
        </is>
      </c>
      <c r="B520" s="8" t="n"/>
      <c r="C520" s="8" t="n"/>
      <c r="D520" s="8" t="n"/>
      <c r="E520" s="8" t="n"/>
      <c r="F520" s="8" t="n"/>
      <c r="G520" s="8" t="n"/>
      <c r="H520" s="8" t="n">
        <v>11090</v>
      </c>
      <c r="I520" s="8" t="n">
        <v>10950</v>
      </c>
      <c r="J520" s="8" t="n">
        <v>11210</v>
      </c>
      <c r="K520" s="8" t="n">
        <v>10890</v>
      </c>
      <c r="L520" s="8" t="n">
        <v>239972</v>
      </c>
      <c r="M520" s="8" t="n">
        <v>64658</v>
      </c>
      <c r="N520" s="9" t="inlineStr">
        <is>
          <t>否</t>
        </is>
      </c>
      <c r="O520" t="inlineStr">
        <is>
          <t>缺 PP</t>
        </is>
      </c>
    </row>
    <row r="521">
      <c r="A521" s="7" t="inlineStr">
        <is>
          <t>2009-08-27</t>
        </is>
      </c>
      <c r="B521" s="8" t="n"/>
      <c r="C521" s="8" t="n"/>
      <c r="D521" s="8" t="n"/>
      <c r="E521" s="8" t="n"/>
      <c r="F521" s="8" t="n"/>
      <c r="G521" s="8" t="n"/>
      <c r="H521" s="8" t="n">
        <v>10885</v>
      </c>
      <c r="I521" s="8" t="n">
        <v>11050</v>
      </c>
      <c r="J521" s="8" t="n">
        <v>11070</v>
      </c>
      <c r="K521" s="8" t="n">
        <v>10855</v>
      </c>
      <c r="L521" s="8" t="n">
        <v>277018</v>
      </c>
      <c r="M521" s="8" t="n">
        <v>76740</v>
      </c>
      <c r="N521" s="9" t="inlineStr">
        <is>
          <t>否</t>
        </is>
      </c>
      <c r="O521" t="inlineStr">
        <is>
          <t>缺 PP</t>
        </is>
      </c>
    </row>
    <row r="522">
      <c r="A522" s="7" t="inlineStr">
        <is>
          <t>2009-08-28</t>
        </is>
      </c>
      <c r="B522" s="8" t="n"/>
      <c r="C522" s="8" t="n"/>
      <c r="D522" s="8" t="n"/>
      <c r="E522" s="8" t="n"/>
      <c r="F522" s="8" t="n"/>
      <c r="G522" s="8" t="n"/>
      <c r="H522" s="8" t="n">
        <v>11000</v>
      </c>
      <c r="I522" s="8" t="n">
        <v>11030</v>
      </c>
      <c r="J522" s="8" t="n">
        <v>11080</v>
      </c>
      <c r="K522" s="8" t="n">
        <v>10885</v>
      </c>
      <c r="L522" s="8" t="n">
        <v>291838</v>
      </c>
      <c r="M522" s="8" t="n">
        <v>64724</v>
      </c>
      <c r="N522" s="9" t="inlineStr">
        <is>
          <t>否</t>
        </is>
      </c>
      <c r="O522" t="inlineStr">
        <is>
          <t>缺 PP</t>
        </is>
      </c>
    </row>
    <row r="523">
      <c r="A523" s="7" t="inlineStr">
        <is>
          <t>2009-08-31</t>
        </is>
      </c>
      <c r="B523" s="8" t="n"/>
      <c r="C523" s="8" t="n"/>
      <c r="D523" s="8" t="n"/>
      <c r="E523" s="8" t="n"/>
      <c r="F523" s="8" t="n"/>
      <c r="G523" s="8" t="n"/>
      <c r="H523" s="8" t="n">
        <v>10680</v>
      </c>
      <c r="I523" s="8" t="n">
        <v>11030</v>
      </c>
      <c r="J523" s="8" t="n">
        <v>11030</v>
      </c>
      <c r="K523" s="8" t="n">
        <v>10635</v>
      </c>
      <c r="L523" s="8" t="n">
        <v>225168</v>
      </c>
      <c r="M523" s="8" t="n">
        <v>69384</v>
      </c>
      <c r="N523" s="9" t="inlineStr">
        <is>
          <t>否</t>
        </is>
      </c>
      <c r="O523" t="inlineStr">
        <is>
          <t>缺 PP</t>
        </is>
      </c>
    </row>
    <row r="524">
      <c r="A524" s="7" t="inlineStr">
        <is>
          <t>2009-09-01</t>
        </is>
      </c>
      <c r="B524" s="8" t="n"/>
      <c r="C524" s="8" t="n"/>
      <c r="D524" s="8" t="n"/>
      <c r="E524" s="8" t="n"/>
      <c r="F524" s="8" t="n"/>
      <c r="G524" s="8" t="n"/>
      <c r="H524" s="8" t="n">
        <v>10590</v>
      </c>
      <c r="I524" s="8" t="n">
        <v>10700</v>
      </c>
      <c r="J524" s="8" t="n">
        <v>10700</v>
      </c>
      <c r="K524" s="8" t="n">
        <v>10530</v>
      </c>
      <c r="L524" s="8" t="n">
        <v>160178</v>
      </c>
      <c r="M524" s="8" t="n">
        <v>64476</v>
      </c>
      <c r="N524" s="9" t="inlineStr">
        <is>
          <t>否</t>
        </is>
      </c>
      <c r="O524" t="inlineStr">
        <is>
          <t>缺 PP</t>
        </is>
      </c>
    </row>
    <row r="525">
      <c r="A525" s="7" t="inlineStr">
        <is>
          <t>2009-09-02</t>
        </is>
      </c>
      <c r="B525" s="8" t="n"/>
      <c r="C525" s="8" t="n"/>
      <c r="D525" s="8" t="n"/>
      <c r="E525" s="8" t="n"/>
      <c r="F525" s="8" t="n"/>
      <c r="G525" s="8" t="n"/>
      <c r="H525" s="8" t="n">
        <v>10200</v>
      </c>
      <c r="I525" s="8" t="n">
        <v>10420</v>
      </c>
      <c r="J525" s="8" t="n">
        <v>10475</v>
      </c>
      <c r="K525" s="8" t="n">
        <v>10070</v>
      </c>
      <c r="L525" s="8" t="n">
        <v>273124</v>
      </c>
      <c r="M525" s="8" t="n">
        <v>65246</v>
      </c>
      <c r="N525" s="9" t="inlineStr">
        <is>
          <t>否</t>
        </is>
      </c>
      <c r="O525" t="inlineStr">
        <is>
          <t>缺 PP</t>
        </is>
      </c>
    </row>
    <row r="526">
      <c r="A526" s="7" t="inlineStr">
        <is>
          <t>2009-09-03</t>
        </is>
      </c>
      <c r="B526" s="8" t="n"/>
      <c r="C526" s="8" t="n"/>
      <c r="D526" s="8" t="n"/>
      <c r="E526" s="8" t="n"/>
      <c r="F526" s="8" t="n"/>
      <c r="G526" s="8" t="n"/>
      <c r="H526" s="8" t="n">
        <v>10340</v>
      </c>
      <c r="I526" s="8" t="n">
        <v>10165</v>
      </c>
      <c r="J526" s="8" t="n">
        <v>10395</v>
      </c>
      <c r="K526" s="8" t="n">
        <v>10035</v>
      </c>
      <c r="L526" s="8" t="n">
        <v>316600</v>
      </c>
      <c r="M526" s="8" t="n">
        <v>67052</v>
      </c>
      <c r="N526" s="9" t="inlineStr">
        <is>
          <t>否</t>
        </is>
      </c>
      <c r="O526" t="inlineStr">
        <is>
          <t>缺 PP</t>
        </is>
      </c>
    </row>
    <row r="527">
      <c r="A527" s="7" t="inlineStr">
        <is>
          <t>2009-09-04</t>
        </is>
      </c>
      <c r="B527" s="8" t="n"/>
      <c r="C527" s="8" t="n"/>
      <c r="D527" s="8" t="n"/>
      <c r="E527" s="8" t="n"/>
      <c r="F527" s="8" t="n"/>
      <c r="G527" s="8" t="n"/>
      <c r="H527" s="8" t="n">
        <v>10275</v>
      </c>
      <c r="I527" s="8" t="n">
        <v>10390</v>
      </c>
      <c r="J527" s="8" t="n">
        <v>10415</v>
      </c>
      <c r="K527" s="8" t="n">
        <v>10165</v>
      </c>
      <c r="L527" s="8" t="n">
        <v>300948</v>
      </c>
      <c r="M527" s="8" t="n">
        <v>66298</v>
      </c>
      <c r="N527" s="9" t="inlineStr">
        <is>
          <t>否</t>
        </is>
      </c>
      <c r="O527" t="inlineStr">
        <is>
          <t>缺 PP</t>
        </is>
      </c>
    </row>
    <row r="528">
      <c r="A528" s="7" t="inlineStr">
        <is>
          <t>2009-09-07</t>
        </is>
      </c>
      <c r="B528" s="8" t="n"/>
      <c r="C528" s="8" t="n"/>
      <c r="D528" s="8" t="n"/>
      <c r="E528" s="8" t="n"/>
      <c r="F528" s="8" t="n"/>
      <c r="G528" s="8" t="n"/>
      <c r="H528" s="8" t="n">
        <v>10345</v>
      </c>
      <c r="I528" s="8" t="n">
        <v>10260</v>
      </c>
      <c r="J528" s="8" t="n">
        <v>10480</v>
      </c>
      <c r="K528" s="8" t="n">
        <v>10195</v>
      </c>
      <c r="L528" s="8" t="n">
        <v>325276</v>
      </c>
      <c r="M528" s="8" t="n">
        <v>65676</v>
      </c>
      <c r="N528" s="9" t="inlineStr">
        <is>
          <t>否</t>
        </is>
      </c>
      <c r="O528" t="inlineStr">
        <is>
          <t>缺 PP</t>
        </is>
      </c>
    </row>
    <row r="529">
      <c r="A529" s="7" t="inlineStr">
        <is>
          <t>2009-09-08</t>
        </is>
      </c>
      <c r="B529" s="8" t="n"/>
      <c r="C529" s="8" t="n"/>
      <c r="D529" s="8" t="n"/>
      <c r="E529" s="8" t="n"/>
      <c r="F529" s="8" t="n"/>
      <c r="G529" s="8" t="n"/>
      <c r="H529" s="8" t="n">
        <v>10330</v>
      </c>
      <c r="I529" s="8" t="n">
        <v>10300</v>
      </c>
      <c r="J529" s="8" t="n">
        <v>10340</v>
      </c>
      <c r="K529" s="8" t="n">
        <v>10125</v>
      </c>
      <c r="L529" s="8" t="n">
        <v>283164</v>
      </c>
      <c r="M529" s="8" t="n">
        <v>65042</v>
      </c>
      <c r="N529" s="9" t="inlineStr">
        <is>
          <t>否</t>
        </is>
      </c>
      <c r="O529" t="inlineStr">
        <is>
          <t>缺 PP</t>
        </is>
      </c>
    </row>
    <row r="530">
      <c r="A530" s="7" t="inlineStr">
        <is>
          <t>2009-09-09</t>
        </is>
      </c>
      <c r="B530" s="8" t="n"/>
      <c r="C530" s="8" t="n"/>
      <c r="D530" s="8" t="n"/>
      <c r="E530" s="8" t="n"/>
      <c r="F530" s="8" t="n"/>
      <c r="G530" s="8" t="n"/>
      <c r="H530" s="8" t="n">
        <v>10405</v>
      </c>
      <c r="I530" s="8" t="n">
        <v>10420</v>
      </c>
      <c r="J530" s="8" t="n">
        <v>10575</v>
      </c>
      <c r="K530" s="8" t="n">
        <v>10365</v>
      </c>
      <c r="L530" s="8" t="n">
        <v>251214</v>
      </c>
      <c r="M530" s="8" t="n">
        <v>62334</v>
      </c>
      <c r="N530" s="9" t="inlineStr">
        <is>
          <t>否</t>
        </is>
      </c>
      <c r="O530" t="inlineStr">
        <is>
          <t>缺 PP</t>
        </is>
      </c>
    </row>
    <row r="531">
      <c r="A531" s="7" t="inlineStr">
        <is>
          <t>2009-09-10</t>
        </is>
      </c>
      <c r="B531" s="8" t="n"/>
      <c r="C531" s="8" t="n"/>
      <c r="D531" s="8" t="n"/>
      <c r="E531" s="8" t="n"/>
      <c r="F531" s="8" t="n"/>
      <c r="G531" s="8" t="n"/>
      <c r="H531" s="8" t="n">
        <v>10455</v>
      </c>
      <c r="I531" s="8" t="n">
        <v>10450</v>
      </c>
      <c r="J531" s="8" t="n">
        <v>10485</v>
      </c>
      <c r="K531" s="8" t="n">
        <v>10330</v>
      </c>
      <c r="L531" s="8" t="n">
        <v>178036</v>
      </c>
      <c r="M531" s="8" t="n">
        <v>61600</v>
      </c>
      <c r="N531" s="9" t="inlineStr">
        <is>
          <t>否</t>
        </is>
      </c>
      <c r="O531" t="inlineStr">
        <is>
          <t>缺 PP</t>
        </is>
      </c>
    </row>
    <row r="532">
      <c r="A532" s="7" t="inlineStr">
        <is>
          <t>2009-09-11</t>
        </is>
      </c>
      <c r="B532" s="8" t="n"/>
      <c r="C532" s="8" t="n"/>
      <c r="D532" s="8" t="n"/>
      <c r="E532" s="8" t="n"/>
      <c r="F532" s="8" t="n"/>
      <c r="G532" s="8" t="n"/>
      <c r="H532" s="8" t="n">
        <v>10480</v>
      </c>
      <c r="I532" s="8" t="n">
        <v>10420</v>
      </c>
      <c r="J532" s="8" t="n">
        <v>10565</v>
      </c>
      <c r="K532" s="8" t="n">
        <v>10405</v>
      </c>
      <c r="L532" s="8" t="n">
        <v>236640</v>
      </c>
      <c r="M532" s="8" t="n">
        <v>61148</v>
      </c>
      <c r="N532" s="9" t="inlineStr">
        <is>
          <t>否</t>
        </is>
      </c>
      <c r="O532" t="inlineStr">
        <is>
          <t>缺 PP</t>
        </is>
      </c>
    </row>
    <row r="533">
      <c r="A533" s="7" t="inlineStr">
        <is>
          <t>2009-09-14</t>
        </is>
      </c>
      <c r="B533" s="8" t="n"/>
      <c r="C533" s="8" t="n"/>
      <c r="D533" s="8" t="n"/>
      <c r="E533" s="8" t="n"/>
      <c r="F533" s="8" t="n"/>
      <c r="G533" s="8" t="n"/>
      <c r="H533" s="8" t="n">
        <v>9975</v>
      </c>
      <c r="I533" s="8" t="n">
        <v>10050</v>
      </c>
      <c r="J533" s="8" t="n">
        <v>10180</v>
      </c>
      <c r="K533" s="8" t="n">
        <v>9975</v>
      </c>
      <c r="L533" s="8" t="n">
        <v>184906</v>
      </c>
      <c r="M533" s="8" t="n">
        <v>68156</v>
      </c>
      <c r="N533" s="9" t="inlineStr">
        <is>
          <t>否</t>
        </is>
      </c>
      <c r="O533" t="inlineStr">
        <is>
          <t>缺 PP</t>
        </is>
      </c>
    </row>
    <row r="534">
      <c r="A534" s="7" t="inlineStr">
        <is>
          <t>2009-09-15</t>
        </is>
      </c>
      <c r="B534" s="8" t="n"/>
      <c r="C534" s="8" t="n"/>
      <c r="D534" s="8" t="n"/>
      <c r="E534" s="8" t="n"/>
      <c r="F534" s="8" t="n"/>
      <c r="G534" s="8" t="n"/>
      <c r="H534" s="8" t="n">
        <v>9985</v>
      </c>
      <c r="I534" s="8" t="n">
        <v>10080</v>
      </c>
      <c r="J534" s="8" t="n">
        <v>10100</v>
      </c>
      <c r="K534" s="8" t="n">
        <v>9920</v>
      </c>
      <c r="L534" s="8" t="n">
        <v>239564</v>
      </c>
      <c r="M534" s="8" t="n">
        <v>71880</v>
      </c>
      <c r="N534" s="9" t="inlineStr">
        <is>
          <t>否</t>
        </is>
      </c>
      <c r="O534" t="inlineStr">
        <is>
          <t>缺 PP</t>
        </is>
      </c>
    </row>
    <row r="535">
      <c r="A535" s="7" t="inlineStr">
        <is>
          <t>2009-09-16</t>
        </is>
      </c>
      <c r="B535" s="8" t="n"/>
      <c r="C535" s="8" t="n"/>
      <c r="D535" s="8" t="n"/>
      <c r="E535" s="8" t="n"/>
      <c r="F535" s="8" t="n"/>
      <c r="G535" s="8" t="n"/>
      <c r="H535" s="8" t="n">
        <v>10040</v>
      </c>
      <c r="I535" s="8" t="n">
        <v>10125</v>
      </c>
      <c r="J535" s="8" t="n">
        <v>10150</v>
      </c>
      <c r="K535" s="8" t="n">
        <v>9980</v>
      </c>
      <c r="L535" s="8" t="n">
        <v>174918</v>
      </c>
      <c r="M535" s="8" t="n">
        <v>70750</v>
      </c>
      <c r="N535" s="9" t="inlineStr">
        <is>
          <t>否</t>
        </is>
      </c>
      <c r="O535" t="inlineStr">
        <is>
          <t>缺 PP</t>
        </is>
      </c>
    </row>
    <row r="536">
      <c r="A536" s="7" t="inlineStr">
        <is>
          <t>2009-09-17</t>
        </is>
      </c>
      <c r="B536" s="8" t="n"/>
      <c r="C536" s="8" t="n"/>
      <c r="D536" s="8" t="n"/>
      <c r="E536" s="8" t="n"/>
      <c r="F536" s="8" t="n"/>
      <c r="G536" s="8" t="n"/>
      <c r="H536" s="8" t="n">
        <v>10005</v>
      </c>
      <c r="I536" s="8" t="n">
        <v>10145</v>
      </c>
      <c r="J536" s="8" t="n">
        <v>10150</v>
      </c>
      <c r="K536" s="8" t="n">
        <v>9980</v>
      </c>
      <c r="L536" s="8" t="n">
        <v>215082</v>
      </c>
      <c r="M536" s="8" t="n">
        <v>74256</v>
      </c>
      <c r="N536" s="9" t="inlineStr">
        <is>
          <t>否</t>
        </is>
      </c>
      <c r="O536" t="inlineStr">
        <is>
          <t>缺 PP</t>
        </is>
      </c>
    </row>
    <row r="537">
      <c r="A537" s="7" t="inlineStr">
        <is>
          <t>2009-09-18</t>
        </is>
      </c>
      <c r="B537" s="8" t="n"/>
      <c r="C537" s="8" t="n"/>
      <c r="D537" s="8" t="n"/>
      <c r="E537" s="8" t="n"/>
      <c r="F537" s="8" t="n"/>
      <c r="G537" s="8" t="n"/>
      <c r="H537" s="8" t="n">
        <v>9790</v>
      </c>
      <c r="I537" s="8" t="n">
        <v>9980</v>
      </c>
      <c r="J537" s="8" t="n">
        <v>9995</v>
      </c>
      <c r="K537" s="8" t="n">
        <v>9760</v>
      </c>
      <c r="L537" s="8" t="n">
        <v>259786</v>
      </c>
      <c r="M537" s="8" t="n">
        <v>88734</v>
      </c>
      <c r="N537" s="9" t="inlineStr">
        <is>
          <t>否</t>
        </is>
      </c>
      <c r="O537" t="inlineStr">
        <is>
          <t>缺 PP</t>
        </is>
      </c>
    </row>
    <row r="538">
      <c r="A538" s="7" t="inlineStr">
        <is>
          <t>2009-09-21</t>
        </is>
      </c>
      <c r="B538" s="8" t="n"/>
      <c r="C538" s="8" t="n"/>
      <c r="D538" s="8" t="n"/>
      <c r="E538" s="8" t="n"/>
      <c r="F538" s="8" t="n"/>
      <c r="G538" s="8" t="n"/>
      <c r="H538" s="8" t="n">
        <v>9760</v>
      </c>
      <c r="I538" s="8" t="n">
        <v>9800</v>
      </c>
      <c r="J538" s="8" t="n">
        <v>9880</v>
      </c>
      <c r="K538" s="8" t="n">
        <v>9715</v>
      </c>
      <c r="L538" s="8" t="n">
        <v>221604</v>
      </c>
      <c r="M538" s="8" t="n">
        <v>83370</v>
      </c>
      <c r="N538" s="9" t="inlineStr">
        <is>
          <t>否</t>
        </is>
      </c>
      <c r="O538" t="inlineStr">
        <is>
          <t>缺 PP</t>
        </is>
      </c>
    </row>
    <row r="539">
      <c r="A539" s="7" t="inlineStr">
        <is>
          <t>2009-09-22</t>
        </is>
      </c>
      <c r="B539" s="8" t="n"/>
      <c r="C539" s="8" t="n"/>
      <c r="D539" s="8" t="n"/>
      <c r="E539" s="8" t="n"/>
      <c r="F539" s="8" t="n"/>
      <c r="G539" s="8" t="n"/>
      <c r="H539" s="8" t="n">
        <v>9800</v>
      </c>
      <c r="I539" s="8" t="n">
        <v>9700</v>
      </c>
      <c r="J539" s="8" t="n">
        <v>9865</v>
      </c>
      <c r="K539" s="8" t="n">
        <v>9665</v>
      </c>
      <c r="L539" s="8" t="n">
        <v>264180</v>
      </c>
      <c r="M539" s="8" t="n">
        <v>80738</v>
      </c>
      <c r="N539" s="9" t="inlineStr">
        <is>
          <t>否</t>
        </is>
      </c>
      <c r="O539" t="inlineStr">
        <is>
          <t>缺 PP</t>
        </is>
      </c>
    </row>
    <row r="540">
      <c r="A540" s="7" t="inlineStr">
        <is>
          <t>2009-09-23</t>
        </is>
      </c>
      <c r="B540" s="8" t="n"/>
      <c r="C540" s="8" t="n"/>
      <c r="D540" s="8" t="n"/>
      <c r="E540" s="8" t="n"/>
      <c r="F540" s="8" t="n"/>
      <c r="G540" s="8" t="n"/>
      <c r="H540" s="8" t="n">
        <v>9755</v>
      </c>
      <c r="I540" s="8" t="n">
        <v>9830</v>
      </c>
      <c r="J540" s="8" t="n">
        <v>9900</v>
      </c>
      <c r="K540" s="8" t="n">
        <v>9745</v>
      </c>
      <c r="L540" s="8" t="n">
        <v>267446</v>
      </c>
      <c r="M540" s="8" t="n">
        <v>67580</v>
      </c>
      <c r="N540" s="9" t="inlineStr">
        <is>
          <t>否</t>
        </is>
      </c>
      <c r="O540" t="inlineStr">
        <is>
          <t>缺 PP</t>
        </is>
      </c>
    </row>
    <row r="541">
      <c r="A541" s="7" t="inlineStr">
        <is>
          <t>2009-09-24</t>
        </is>
      </c>
      <c r="B541" s="8" t="n"/>
      <c r="C541" s="8" t="n"/>
      <c r="D541" s="8" t="n"/>
      <c r="E541" s="8" t="n"/>
      <c r="F541" s="8" t="n"/>
      <c r="G541" s="8" t="n"/>
      <c r="H541" s="8" t="n">
        <v>9630</v>
      </c>
      <c r="I541" s="8" t="n">
        <v>9700</v>
      </c>
      <c r="J541" s="8" t="n">
        <v>9760</v>
      </c>
      <c r="K541" s="8" t="n">
        <v>9600</v>
      </c>
      <c r="L541" s="8" t="n">
        <v>194152</v>
      </c>
      <c r="M541" s="8" t="n">
        <v>64058</v>
      </c>
      <c r="N541" s="9" t="inlineStr">
        <is>
          <t>否</t>
        </is>
      </c>
      <c r="O541" t="inlineStr">
        <is>
          <t>缺 PP</t>
        </is>
      </c>
    </row>
    <row r="542">
      <c r="A542" s="7" t="inlineStr">
        <is>
          <t>2009-09-25</t>
        </is>
      </c>
      <c r="B542" s="8" t="n"/>
      <c r="C542" s="8" t="n"/>
      <c r="D542" s="8" t="n"/>
      <c r="E542" s="8" t="n"/>
      <c r="F542" s="8" t="n"/>
      <c r="G542" s="8" t="n"/>
      <c r="H542" s="8" t="n">
        <v>9520</v>
      </c>
      <c r="I542" s="8" t="n">
        <v>9560</v>
      </c>
      <c r="J542" s="8" t="n">
        <v>9575</v>
      </c>
      <c r="K542" s="8" t="n">
        <v>9490</v>
      </c>
      <c r="L542" s="8" t="n">
        <v>115630</v>
      </c>
      <c r="M542" s="8" t="n">
        <v>55744</v>
      </c>
      <c r="N542" s="9" t="inlineStr">
        <is>
          <t>否</t>
        </is>
      </c>
      <c r="O542" t="inlineStr">
        <is>
          <t>缺 PP</t>
        </is>
      </c>
    </row>
    <row r="543">
      <c r="A543" s="7" t="inlineStr">
        <is>
          <t>2009-09-28</t>
        </is>
      </c>
      <c r="B543" s="8" t="n"/>
      <c r="C543" s="8" t="n"/>
      <c r="D543" s="8" t="n"/>
      <c r="E543" s="8" t="n"/>
      <c r="F543" s="8" t="n"/>
      <c r="G543" s="8" t="n"/>
      <c r="H543" s="8" t="n">
        <v>9540</v>
      </c>
      <c r="I543" s="8" t="n">
        <v>9480</v>
      </c>
      <c r="J543" s="8" t="n">
        <v>9605</v>
      </c>
      <c r="K543" s="8" t="n">
        <v>9460</v>
      </c>
      <c r="L543" s="8" t="n">
        <v>145184</v>
      </c>
      <c r="M543" s="8" t="n">
        <v>55958</v>
      </c>
      <c r="N543" s="9" t="inlineStr">
        <is>
          <t>否</t>
        </is>
      </c>
      <c r="O543" t="inlineStr">
        <is>
          <t>缺 PP</t>
        </is>
      </c>
    </row>
    <row r="544">
      <c r="A544" s="7" t="inlineStr">
        <is>
          <t>2009-09-29</t>
        </is>
      </c>
      <c r="B544" s="8" t="n"/>
      <c r="C544" s="8" t="n"/>
      <c r="D544" s="8" t="n"/>
      <c r="E544" s="8" t="n"/>
      <c r="F544" s="8" t="n"/>
      <c r="G544" s="8" t="n"/>
      <c r="H544" s="8" t="n">
        <v>9585</v>
      </c>
      <c r="I544" s="8" t="n">
        <v>9580</v>
      </c>
      <c r="J544" s="8" t="n">
        <v>9620</v>
      </c>
      <c r="K544" s="8" t="n">
        <v>9535</v>
      </c>
      <c r="L544" s="8" t="n">
        <v>58020</v>
      </c>
      <c r="M544" s="8" t="n">
        <v>44792</v>
      </c>
      <c r="N544" s="9" t="inlineStr">
        <is>
          <t>否</t>
        </is>
      </c>
      <c r="O544" t="inlineStr">
        <is>
          <t>缺 PP</t>
        </is>
      </c>
    </row>
    <row r="545">
      <c r="A545" s="7" t="inlineStr">
        <is>
          <t>2009-09-30</t>
        </is>
      </c>
      <c r="B545" s="8" t="n"/>
      <c r="C545" s="8" t="n"/>
      <c r="D545" s="8" t="n"/>
      <c r="E545" s="8" t="n"/>
      <c r="F545" s="8" t="n"/>
      <c r="G545" s="8" t="n"/>
      <c r="H545" s="8" t="n">
        <v>9825</v>
      </c>
      <c r="I545" s="8" t="n">
        <v>9410</v>
      </c>
      <c r="J545" s="8" t="n">
        <v>9830</v>
      </c>
      <c r="K545" s="8" t="n">
        <v>9410</v>
      </c>
      <c r="L545" s="8" t="n">
        <v>74496</v>
      </c>
      <c r="M545" s="8" t="n">
        <v>49122</v>
      </c>
      <c r="N545" s="9" t="inlineStr">
        <is>
          <t>否</t>
        </is>
      </c>
      <c r="O545" t="inlineStr">
        <is>
          <t>缺 PP</t>
        </is>
      </c>
    </row>
    <row r="546">
      <c r="A546" s="7" t="inlineStr">
        <is>
          <t>2009-10-09</t>
        </is>
      </c>
      <c r="B546" s="8" t="n"/>
      <c r="C546" s="8" t="n"/>
      <c r="D546" s="8" t="n"/>
      <c r="E546" s="8" t="n"/>
      <c r="F546" s="8" t="n"/>
      <c r="G546" s="8" t="n"/>
      <c r="H546" s="8" t="n">
        <v>10080</v>
      </c>
      <c r="I546" s="8" t="n">
        <v>10000</v>
      </c>
      <c r="J546" s="8" t="n">
        <v>10170</v>
      </c>
      <c r="K546" s="8" t="n">
        <v>9980</v>
      </c>
      <c r="L546" s="8" t="n">
        <v>97318</v>
      </c>
      <c r="M546" s="8" t="n">
        <v>60074</v>
      </c>
      <c r="N546" s="9" t="inlineStr">
        <is>
          <t>否</t>
        </is>
      </c>
      <c r="O546" t="inlineStr">
        <is>
          <t>缺 PP</t>
        </is>
      </c>
    </row>
    <row r="547">
      <c r="A547" s="7" t="inlineStr">
        <is>
          <t>2009-10-12</t>
        </is>
      </c>
      <c r="B547" s="8" t="n"/>
      <c r="C547" s="8" t="n"/>
      <c r="D547" s="8" t="n"/>
      <c r="E547" s="8" t="n"/>
      <c r="F547" s="8" t="n"/>
      <c r="G547" s="8" t="n"/>
      <c r="H547" s="8" t="n">
        <v>10255</v>
      </c>
      <c r="I547" s="8" t="n">
        <v>10160</v>
      </c>
      <c r="J547" s="8" t="n">
        <v>10365</v>
      </c>
      <c r="K547" s="8" t="n">
        <v>10120</v>
      </c>
      <c r="L547" s="8" t="n">
        <v>161572</v>
      </c>
      <c r="M547" s="8" t="n">
        <v>64476</v>
      </c>
      <c r="N547" s="9" t="inlineStr">
        <is>
          <t>否</t>
        </is>
      </c>
      <c r="O547" t="inlineStr">
        <is>
          <t>缺 PP</t>
        </is>
      </c>
    </row>
    <row r="548">
      <c r="A548" s="7" t="inlineStr">
        <is>
          <t>2009-10-13</t>
        </is>
      </c>
      <c r="B548" s="8" t="n"/>
      <c r="C548" s="8" t="n"/>
      <c r="D548" s="8" t="n"/>
      <c r="E548" s="8" t="n"/>
      <c r="F548" s="8" t="n"/>
      <c r="G548" s="8" t="n"/>
      <c r="H548" s="8" t="n">
        <v>10135</v>
      </c>
      <c r="I548" s="8" t="n">
        <v>10205</v>
      </c>
      <c r="J548" s="8" t="n">
        <v>10255</v>
      </c>
      <c r="K548" s="8" t="n">
        <v>10090</v>
      </c>
      <c r="L548" s="8" t="n">
        <v>210762</v>
      </c>
      <c r="M548" s="8" t="n">
        <v>69332</v>
      </c>
      <c r="N548" s="9" t="inlineStr">
        <is>
          <t>否</t>
        </is>
      </c>
      <c r="O548" t="inlineStr">
        <is>
          <t>缺 PP</t>
        </is>
      </c>
    </row>
    <row r="549">
      <c r="A549" s="7" t="inlineStr">
        <is>
          <t>2009-10-14</t>
        </is>
      </c>
      <c r="B549" s="8" t="n"/>
      <c r="C549" s="8" t="n"/>
      <c r="D549" s="8" t="n"/>
      <c r="E549" s="8" t="n"/>
      <c r="F549" s="8" t="n"/>
      <c r="G549" s="8" t="n"/>
      <c r="H549" s="8" t="n">
        <v>10315</v>
      </c>
      <c r="I549" s="8" t="n">
        <v>10155</v>
      </c>
      <c r="J549" s="8" t="n">
        <v>10550</v>
      </c>
      <c r="K549" s="8" t="n">
        <v>10155</v>
      </c>
      <c r="L549" s="8" t="n">
        <v>202580</v>
      </c>
      <c r="M549" s="8" t="n">
        <v>74628</v>
      </c>
      <c r="N549" s="9" t="inlineStr">
        <is>
          <t>否</t>
        </is>
      </c>
      <c r="O549" t="inlineStr">
        <is>
          <t>缺 PP</t>
        </is>
      </c>
    </row>
    <row r="550">
      <c r="A550" s="7" t="inlineStr">
        <is>
          <t>2009-10-15</t>
        </is>
      </c>
      <c r="B550" s="8" t="n"/>
      <c r="C550" s="8" t="n"/>
      <c r="D550" s="8" t="n"/>
      <c r="E550" s="8" t="n"/>
      <c r="F550" s="8" t="n"/>
      <c r="G550" s="8" t="n"/>
      <c r="H550" s="8" t="n">
        <v>10270</v>
      </c>
      <c r="I550" s="8" t="n">
        <v>10375</v>
      </c>
      <c r="J550" s="8" t="n">
        <v>10430</v>
      </c>
      <c r="K550" s="8" t="n">
        <v>10255</v>
      </c>
      <c r="L550" s="8" t="n">
        <v>147288</v>
      </c>
      <c r="M550" s="8" t="n">
        <v>82616</v>
      </c>
      <c r="N550" s="9" t="inlineStr">
        <is>
          <t>否</t>
        </is>
      </c>
      <c r="O550" t="inlineStr">
        <is>
          <t>缺 PP</t>
        </is>
      </c>
    </row>
    <row r="551">
      <c r="A551" s="7" t="inlineStr">
        <is>
          <t>2009-10-16</t>
        </is>
      </c>
      <c r="B551" s="8" t="n"/>
      <c r="C551" s="8" t="n"/>
      <c r="D551" s="8" t="n"/>
      <c r="E551" s="8" t="n"/>
      <c r="F551" s="8" t="n"/>
      <c r="G551" s="8" t="n"/>
      <c r="H551" s="8" t="n">
        <v>10250</v>
      </c>
      <c r="I551" s="8" t="n">
        <v>10370</v>
      </c>
      <c r="J551" s="8" t="n">
        <v>10410</v>
      </c>
      <c r="K551" s="8" t="n">
        <v>10220</v>
      </c>
      <c r="L551" s="8" t="n">
        <v>131290</v>
      </c>
      <c r="M551" s="8" t="n">
        <v>79728</v>
      </c>
      <c r="N551" s="9" t="inlineStr">
        <is>
          <t>否</t>
        </is>
      </c>
      <c r="O551" t="inlineStr">
        <is>
          <t>缺 PP</t>
        </is>
      </c>
    </row>
    <row r="552">
      <c r="A552" s="7" t="inlineStr">
        <is>
          <t>2009-10-19</t>
        </is>
      </c>
      <c r="B552" s="8" t="n"/>
      <c r="C552" s="8" t="n"/>
      <c r="D552" s="8" t="n"/>
      <c r="E552" s="8" t="n"/>
      <c r="F552" s="8" t="n"/>
      <c r="G552" s="8" t="n"/>
      <c r="H552" s="8" t="n">
        <v>10455</v>
      </c>
      <c r="I552" s="8" t="n">
        <v>10220</v>
      </c>
      <c r="J552" s="8" t="n">
        <v>10525</v>
      </c>
      <c r="K552" s="8" t="n">
        <v>10220</v>
      </c>
      <c r="L552" s="8" t="n">
        <v>197908</v>
      </c>
      <c r="M552" s="8" t="n">
        <v>76722</v>
      </c>
      <c r="N552" s="9" t="inlineStr">
        <is>
          <t>否</t>
        </is>
      </c>
      <c r="O552" t="inlineStr">
        <is>
          <t>缺 PP</t>
        </is>
      </c>
    </row>
    <row r="553">
      <c r="A553" s="7" t="inlineStr">
        <is>
          <t>2009-10-20</t>
        </is>
      </c>
      <c r="B553" s="8" t="n"/>
      <c r="C553" s="8" t="n"/>
      <c r="D553" s="8" t="n"/>
      <c r="E553" s="8" t="n"/>
      <c r="F553" s="8" t="n"/>
      <c r="G553" s="8" t="n"/>
      <c r="H553" s="8" t="n">
        <v>10510</v>
      </c>
      <c r="I553" s="8" t="n">
        <v>10540</v>
      </c>
      <c r="J553" s="8" t="n">
        <v>10625</v>
      </c>
      <c r="K553" s="8" t="n">
        <v>10420</v>
      </c>
      <c r="L553" s="8" t="n">
        <v>142428</v>
      </c>
      <c r="M553" s="8" t="n">
        <v>68532</v>
      </c>
      <c r="N553" s="9" t="inlineStr">
        <is>
          <t>否</t>
        </is>
      </c>
      <c r="O553" t="inlineStr">
        <is>
          <t>缺 PP</t>
        </is>
      </c>
    </row>
    <row r="554">
      <c r="A554" s="7" t="inlineStr">
        <is>
          <t>2009-10-21</t>
        </is>
      </c>
      <c r="B554" s="8" t="n"/>
      <c r="C554" s="8" t="n"/>
      <c r="D554" s="8" t="n"/>
      <c r="E554" s="8" t="n"/>
      <c r="F554" s="8" t="n"/>
      <c r="G554" s="8" t="n"/>
      <c r="H554" s="8" t="n">
        <v>10425</v>
      </c>
      <c r="I554" s="8" t="n">
        <v>10450</v>
      </c>
      <c r="J554" s="8" t="n">
        <v>10475</v>
      </c>
      <c r="K554" s="8" t="n">
        <v>10315</v>
      </c>
      <c r="L554" s="8" t="n">
        <v>151044</v>
      </c>
      <c r="M554" s="8" t="n">
        <v>72272</v>
      </c>
      <c r="N554" s="9" t="inlineStr">
        <is>
          <t>否</t>
        </is>
      </c>
      <c r="O554" t="inlineStr">
        <is>
          <t>缺 PP</t>
        </is>
      </c>
    </row>
    <row r="555">
      <c r="A555" s="7" t="inlineStr">
        <is>
          <t>2009-10-22</t>
        </is>
      </c>
      <c r="B555" s="8" t="n"/>
      <c r="C555" s="8" t="n"/>
      <c r="D555" s="8" t="n"/>
      <c r="E555" s="8" t="n"/>
      <c r="F555" s="8" t="n"/>
      <c r="G555" s="8" t="n"/>
      <c r="H555" s="8" t="n">
        <v>10485</v>
      </c>
      <c r="I555" s="8" t="n">
        <v>10630</v>
      </c>
      <c r="J555" s="8" t="n">
        <v>10630</v>
      </c>
      <c r="K555" s="8" t="n">
        <v>10475</v>
      </c>
      <c r="L555" s="8" t="n">
        <v>131734</v>
      </c>
      <c r="M555" s="8" t="n">
        <v>66830</v>
      </c>
      <c r="N555" s="9" t="inlineStr">
        <is>
          <t>否</t>
        </is>
      </c>
      <c r="O555" t="inlineStr">
        <is>
          <t>缺 PP</t>
        </is>
      </c>
    </row>
    <row r="556">
      <c r="A556" s="7" t="inlineStr">
        <is>
          <t>2009-10-23</t>
        </is>
      </c>
      <c r="B556" s="8" t="n"/>
      <c r="C556" s="8" t="n"/>
      <c r="D556" s="8" t="n"/>
      <c r="E556" s="8" t="n"/>
      <c r="F556" s="8" t="n"/>
      <c r="G556" s="8" t="n"/>
      <c r="H556" s="8" t="n">
        <v>10780</v>
      </c>
      <c r="I556" s="8" t="n">
        <v>10525</v>
      </c>
      <c r="J556" s="8" t="n">
        <v>10785</v>
      </c>
      <c r="K556" s="8" t="n">
        <v>10490</v>
      </c>
      <c r="L556" s="8" t="n">
        <v>163624</v>
      </c>
      <c r="M556" s="8" t="n">
        <v>76528</v>
      </c>
      <c r="N556" s="9" t="inlineStr">
        <is>
          <t>否</t>
        </is>
      </c>
      <c r="O556" t="inlineStr">
        <is>
          <t>缺 PP</t>
        </is>
      </c>
    </row>
    <row r="557">
      <c r="A557" s="7" t="inlineStr">
        <is>
          <t>2009-10-26</t>
        </is>
      </c>
      <c r="B557" s="8" t="n"/>
      <c r="C557" s="8" t="n"/>
      <c r="D557" s="8" t="n"/>
      <c r="E557" s="8" t="n"/>
      <c r="F557" s="8" t="n"/>
      <c r="G557" s="8" t="n"/>
      <c r="H557" s="8" t="n">
        <v>10820</v>
      </c>
      <c r="I557" s="8" t="n">
        <v>10725</v>
      </c>
      <c r="J557" s="8" t="n">
        <v>10850</v>
      </c>
      <c r="K557" s="8" t="n">
        <v>10665</v>
      </c>
      <c r="L557" s="8" t="n">
        <v>147382</v>
      </c>
      <c r="M557" s="8" t="n">
        <v>68656</v>
      </c>
      <c r="N557" s="9" t="inlineStr">
        <is>
          <t>否</t>
        </is>
      </c>
      <c r="O557" t="inlineStr">
        <is>
          <t>缺 PP</t>
        </is>
      </c>
    </row>
    <row r="558">
      <c r="A558" s="7" t="inlineStr">
        <is>
          <t>2009-10-27</t>
        </is>
      </c>
      <c r="B558" s="8" t="n"/>
      <c r="C558" s="8" t="n"/>
      <c r="D558" s="8" t="n"/>
      <c r="E558" s="8" t="n"/>
      <c r="F558" s="8" t="n"/>
      <c r="G558" s="8" t="n"/>
      <c r="H558" s="8" t="n">
        <v>10735</v>
      </c>
      <c r="I558" s="8" t="n">
        <v>10705</v>
      </c>
      <c r="J558" s="8" t="n">
        <v>10785</v>
      </c>
      <c r="K558" s="8" t="n">
        <v>10630</v>
      </c>
      <c r="L558" s="8" t="n">
        <v>152424</v>
      </c>
      <c r="M558" s="8" t="n">
        <v>64924</v>
      </c>
      <c r="N558" s="9" t="inlineStr">
        <is>
          <t>否</t>
        </is>
      </c>
      <c r="O558" t="inlineStr">
        <is>
          <t>缺 PP</t>
        </is>
      </c>
    </row>
    <row r="559">
      <c r="A559" s="7" t="inlineStr">
        <is>
          <t>2009-10-28</t>
        </is>
      </c>
      <c r="B559" s="8" t="n"/>
      <c r="C559" s="8" t="n"/>
      <c r="D559" s="8" t="n"/>
      <c r="E559" s="8" t="n"/>
      <c r="F559" s="8" t="n"/>
      <c r="G559" s="8" t="n"/>
      <c r="H559" s="8" t="n">
        <v>10740</v>
      </c>
      <c r="I559" s="8" t="n">
        <v>10750</v>
      </c>
      <c r="J559" s="8" t="n">
        <v>10885</v>
      </c>
      <c r="K559" s="8" t="n">
        <v>10680</v>
      </c>
      <c r="L559" s="8" t="n">
        <v>164002</v>
      </c>
      <c r="M559" s="8" t="n">
        <v>67140</v>
      </c>
      <c r="N559" s="9" t="inlineStr">
        <is>
          <t>否</t>
        </is>
      </c>
      <c r="O559" t="inlineStr">
        <is>
          <t>缺 PP</t>
        </is>
      </c>
    </row>
    <row r="560">
      <c r="A560" s="7" t="inlineStr">
        <is>
          <t>2009-10-29</t>
        </is>
      </c>
      <c r="B560" s="8" t="n"/>
      <c r="C560" s="8" t="n"/>
      <c r="D560" s="8" t="n"/>
      <c r="E560" s="8" t="n"/>
      <c r="F560" s="8" t="n"/>
      <c r="G560" s="8" t="n"/>
      <c r="H560" s="8" t="n">
        <v>10455</v>
      </c>
      <c r="I560" s="8" t="n">
        <v>10600</v>
      </c>
      <c r="J560" s="8" t="n">
        <v>10620</v>
      </c>
      <c r="K560" s="8" t="n">
        <v>10420</v>
      </c>
      <c r="L560" s="8" t="n">
        <v>182300</v>
      </c>
      <c r="M560" s="8" t="n">
        <v>59456</v>
      </c>
      <c r="N560" s="9" t="inlineStr">
        <is>
          <t>否</t>
        </is>
      </c>
      <c r="O560" t="inlineStr">
        <is>
          <t>缺 PP</t>
        </is>
      </c>
    </row>
    <row r="561">
      <c r="A561" s="7" t="inlineStr">
        <is>
          <t>2009-10-30</t>
        </is>
      </c>
      <c r="B561" s="8" t="n"/>
      <c r="C561" s="8" t="n"/>
      <c r="D561" s="8" t="n"/>
      <c r="E561" s="8" t="n"/>
      <c r="F561" s="8" t="n"/>
      <c r="G561" s="8" t="n"/>
      <c r="H561" s="8" t="n">
        <v>10615</v>
      </c>
      <c r="I561" s="8" t="n">
        <v>10650</v>
      </c>
      <c r="J561" s="8" t="n">
        <v>10730</v>
      </c>
      <c r="K561" s="8" t="n">
        <v>10610</v>
      </c>
      <c r="L561" s="8" t="n">
        <v>120166</v>
      </c>
      <c r="M561" s="8" t="n">
        <v>55772</v>
      </c>
      <c r="N561" s="9" t="inlineStr">
        <is>
          <t>否</t>
        </is>
      </c>
      <c r="O561" t="inlineStr">
        <is>
          <t>缺 PP</t>
        </is>
      </c>
    </row>
    <row r="562">
      <c r="A562" s="7" t="inlineStr">
        <is>
          <t>2009-11-02</t>
        </is>
      </c>
      <c r="B562" s="8" t="n"/>
      <c r="C562" s="8" t="n"/>
      <c r="D562" s="8" t="n"/>
      <c r="E562" s="8" t="n"/>
      <c r="F562" s="8" t="n"/>
      <c r="G562" s="8" t="n"/>
      <c r="H562" s="8" t="n">
        <v>10570</v>
      </c>
      <c r="I562" s="8" t="n">
        <v>10450</v>
      </c>
      <c r="J562" s="8" t="n">
        <v>10575</v>
      </c>
      <c r="K562" s="8" t="n">
        <v>10380</v>
      </c>
      <c r="L562" s="8" t="n">
        <v>114004</v>
      </c>
      <c r="M562" s="8" t="n">
        <v>54102</v>
      </c>
      <c r="N562" s="9" t="inlineStr">
        <is>
          <t>否</t>
        </is>
      </c>
      <c r="O562" t="inlineStr">
        <is>
          <t>缺 PP</t>
        </is>
      </c>
    </row>
    <row r="563">
      <c r="A563" s="7" t="inlineStr">
        <is>
          <t>2009-11-03</t>
        </is>
      </c>
      <c r="B563" s="8" t="n"/>
      <c r="C563" s="8" t="n"/>
      <c r="D563" s="8" t="n"/>
      <c r="E563" s="8" t="n"/>
      <c r="F563" s="8" t="n"/>
      <c r="G563" s="8" t="n"/>
      <c r="H563" s="8" t="n">
        <v>10460</v>
      </c>
      <c r="I563" s="8" t="n">
        <v>10630</v>
      </c>
      <c r="J563" s="8" t="n">
        <v>10675</v>
      </c>
      <c r="K563" s="8" t="n">
        <v>10450</v>
      </c>
      <c r="L563" s="8" t="n">
        <v>122976</v>
      </c>
      <c r="M563" s="8" t="n">
        <v>64488</v>
      </c>
      <c r="N563" s="9" t="inlineStr">
        <is>
          <t>否</t>
        </is>
      </c>
      <c r="O563" t="inlineStr">
        <is>
          <t>缺 PP</t>
        </is>
      </c>
    </row>
    <row r="564">
      <c r="A564" s="7" t="inlineStr">
        <is>
          <t>2009-11-04</t>
        </is>
      </c>
      <c r="B564" s="8" t="n"/>
      <c r="C564" s="8" t="n"/>
      <c r="D564" s="8" t="n"/>
      <c r="E564" s="8" t="n"/>
      <c r="F564" s="8" t="n"/>
      <c r="G564" s="8" t="n"/>
      <c r="H564" s="8" t="n">
        <v>10545</v>
      </c>
      <c r="I564" s="8" t="n">
        <v>10535</v>
      </c>
      <c r="J564" s="8" t="n">
        <v>10565</v>
      </c>
      <c r="K564" s="8" t="n">
        <v>10485</v>
      </c>
      <c r="L564" s="8" t="n">
        <v>122908</v>
      </c>
      <c r="M564" s="8" t="n">
        <v>59416</v>
      </c>
      <c r="N564" s="9" t="inlineStr">
        <is>
          <t>否</t>
        </is>
      </c>
      <c r="O564" t="inlineStr">
        <is>
          <t>缺 PP</t>
        </is>
      </c>
    </row>
    <row r="565">
      <c r="A565" s="7" t="inlineStr">
        <is>
          <t>2009-11-05</t>
        </is>
      </c>
      <c r="B565" s="8" t="n"/>
      <c r="C565" s="8" t="n"/>
      <c r="D565" s="8" t="n"/>
      <c r="E565" s="8" t="n"/>
      <c r="F565" s="8" t="n"/>
      <c r="G565" s="8" t="n"/>
      <c r="H565" s="8" t="n">
        <v>10545</v>
      </c>
      <c r="I565" s="8" t="n">
        <v>10565</v>
      </c>
      <c r="J565" s="8" t="n">
        <v>10615</v>
      </c>
      <c r="K565" s="8" t="n">
        <v>10530</v>
      </c>
      <c r="L565" s="8" t="n">
        <v>109848</v>
      </c>
      <c r="M565" s="8" t="n">
        <v>57296</v>
      </c>
      <c r="N565" s="9" t="inlineStr">
        <is>
          <t>否</t>
        </is>
      </c>
      <c r="O565" t="inlineStr">
        <is>
          <t>缺 PP</t>
        </is>
      </c>
    </row>
    <row r="566">
      <c r="A566" s="7" t="inlineStr">
        <is>
          <t>2009-11-06</t>
        </is>
      </c>
      <c r="B566" s="8" t="n"/>
      <c r="C566" s="8" t="n"/>
      <c r="D566" s="8" t="n"/>
      <c r="E566" s="8" t="n"/>
      <c r="F566" s="8" t="n"/>
      <c r="G566" s="8" t="n"/>
      <c r="H566" s="8" t="n">
        <v>10790</v>
      </c>
      <c r="I566" s="8" t="n">
        <v>10580</v>
      </c>
      <c r="J566" s="8" t="n">
        <v>10795</v>
      </c>
      <c r="K566" s="8" t="n">
        <v>10565</v>
      </c>
      <c r="L566" s="8" t="n">
        <v>232106</v>
      </c>
      <c r="M566" s="8" t="n">
        <v>78304</v>
      </c>
      <c r="N566" s="9" t="inlineStr">
        <is>
          <t>否</t>
        </is>
      </c>
      <c r="O566" t="inlineStr">
        <is>
          <t>缺 PP</t>
        </is>
      </c>
    </row>
    <row r="567">
      <c r="A567" s="7" t="inlineStr">
        <is>
          <t>2009-11-09</t>
        </is>
      </c>
      <c r="B567" s="8" t="n"/>
      <c r="C567" s="8" t="n"/>
      <c r="D567" s="8" t="n"/>
      <c r="E567" s="8" t="n"/>
      <c r="F567" s="8" t="n"/>
      <c r="G567" s="8" t="n"/>
      <c r="H567" s="8" t="n">
        <v>10830</v>
      </c>
      <c r="I567" s="8" t="n">
        <v>10755</v>
      </c>
      <c r="J567" s="8" t="n">
        <v>10845</v>
      </c>
      <c r="K567" s="8" t="n">
        <v>10750</v>
      </c>
      <c r="L567" s="8" t="n">
        <v>191290</v>
      </c>
      <c r="M567" s="8" t="n">
        <v>71094</v>
      </c>
      <c r="N567" s="9" t="inlineStr">
        <is>
          <t>否</t>
        </is>
      </c>
      <c r="O567" t="inlineStr">
        <is>
          <t>缺 PP</t>
        </is>
      </c>
    </row>
    <row r="568">
      <c r="A568" s="7" t="inlineStr">
        <is>
          <t>2009-11-10</t>
        </is>
      </c>
      <c r="B568" s="8" t="n"/>
      <c r="C568" s="8" t="n"/>
      <c r="D568" s="8" t="n"/>
      <c r="E568" s="8" t="n"/>
      <c r="F568" s="8" t="n"/>
      <c r="G568" s="8" t="n"/>
      <c r="H568" s="8" t="n">
        <v>10865</v>
      </c>
      <c r="I568" s="8" t="n">
        <v>10880</v>
      </c>
      <c r="J568" s="8" t="n">
        <v>10955</v>
      </c>
      <c r="K568" s="8" t="n">
        <v>10845</v>
      </c>
      <c r="L568" s="8" t="n">
        <v>156438</v>
      </c>
      <c r="M568" s="8" t="n">
        <v>66682</v>
      </c>
      <c r="N568" s="9" t="inlineStr">
        <is>
          <t>否</t>
        </is>
      </c>
      <c r="O568" t="inlineStr">
        <is>
          <t>缺 PP</t>
        </is>
      </c>
    </row>
    <row r="569">
      <c r="A569" s="7" t="inlineStr">
        <is>
          <t>2009-11-11</t>
        </is>
      </c>
      <c r="B569" s="8" t="n"/>
      <c r="C569" s="8" t="n"/>
      <c r="D569" s="8" t="n"/>
      <c r="E569" s="8" t="n"/>
      <c r="F569" s="8" t="n"/>
      <c r="G569" s="8" t="n"/>
      <c r="H569" s="8" t="n">
        <v>10995</v>
      </c>
      <c r="I569" s="8" t="n">
        <v>10910</v>
      </c>
      <c r="J569" s="8" t="n">
        <v>11065</v>
      </c>
      <c r="K569" s="8" t="n">
        <v>10870</v>
      </c>
      <c r="L569" s="8" t="n">
        <v>210984</v>
      </c>
      <c r="M569" s="8" t="n">
        <v>72676</v>
      </c>
      <c r="N569" s="9" t="inlineStr">
        <is>
          <t>否</t>
        </is>
      </c>
      <c r="O569" t="inlineStr">
        <is>
          <t>缺 PP</t>
        </is>
      </c>
    </row>
    <row r="570">
      <c r="A570" s="7" t="inlineStr">
        <is>
          <t>2009-11-12</t>
        </is>
      </c>
      <c r="B570" s="8" t="n"/>
      <c r="C570" s="8" t="n"/>
      <c r="D570" s="8" t="n"/>
      <c r="E570" s="8" t="n"/>
      <c r="F570" s="8" t="n"/>
      <c r="G570" s="8" t="n"/>
      <c r="H570" s="8" t="n">
        <v>11255</v>
      </c>
      <c r="I570" s="8" t="n">
        <v>11035</v>
      </c>
      <c r="J570" s="8" t="n">
        <v>11280</v>
      </c>
      <c r="K570" s="8" t="n">
        <v>11030</v>
      </c>
      <c r="L570" s="8" t="n">
        <v>248994</v>
      </c>
      <c r="M570" s="8" t="n">
        <v>72272</v>
      </c>
      <c r="N570" s="9" t="inlineStr">
        <is>
          <t>否</t>
        </is>
      </c>
      <c r="O570" t="inlineStr">
        <is>
          <t>缺 PP</t>
        </is>
      </c>
    </row>
    <row r="571">
      <c r="A571" s="7" t="inlineStr">
        <is>
          <t>2009-11-13</t>
        </is>
      </c>
      <c r="B571" s="8" t="n"/>
      <c r="C571" s="8" t="n"/>
      <c r="D571" s="8" t="n"/>
      <c r="E571" s="8" t="n"/>
      <c r="F571" s="8" t="n"/>
      <c r="G571" s="8" t="n"/>
      <c r="H571" s="8" t="n">
        <v>11460</v>
      </c>
      <c r="I571" s="8" t="n">
        <v>11130</v>
      </c>
      <c r="J571" s="8" t="n">
        <v>11465</v>
      </c>
      <c r="K571" s="8" t="n">
        <v>11085</v>
      </c>
      <c r="L571" s="8" t="n">
        <v>324170</v>
      </c>
      <c r="M571" s="8" t="n">
        <v>80830</v>
      </c>
      <c r="N571" s="9" t="inlineStr">
        <is>
          <t>否</t>
        </is>
      </c>
      <c r="O571" t="inlineStr">
        <is>
          <t>缺 PP</t>
        </is>
      </c>
    </row>
    <row r="572">
      <c r="A572" s="7" t="inlineStr">
        <is>
          <t>2009-11-16</t>
        </is>
      </c>
      <c r="B572" s="8" t="n"/>
      <c r="C572" s="8" t="n"/>
      <c r="D572" s="8" t="n"/>
      <c r="E572" s="8" t="n"/>
      <c r="F572" s="8" t="n"/>
      <c r="G572" s="8" t="n"/>
      <c r="H572" s="8" t="n">
        <v>11505</v>
      </c>
      <c r="I572" s="8" t="n">
        <v>11550</v>
      </c>
      <c r="J572" s="8" t="n">
        <v>11640</v>
      </c>
      <c r="K572" s="8" t="n">
        <v>11480</v>
      </c>
      <c r="L572" s="8" t="n">
        <v>212882</v>
      </c>
      <c r="M572" s="8" t="n">
        <v>77598</v>
      </c>
      <c r="N572" s="9" t="inlineStr">
        <is>
          <t>否</t>
        </is>
      </c>
      <c r="O572" t="inlineStr">
        <is>
          <t>缺 PP</t>
        </is>
      </c>
    </row>
    <row r="573">
      <c r="A573" s="7" t="inlineStr">
        <is>
          <t>2009-11-17</t>
        </is>
      </c>
      <c r="B573" s="8" t="n"/>
      <c r="C573" s="8" t="n"/>
      <c r="D573" s="8" t="n"/>
      <c r="E573" s="8" t="n"/>
      <c r="F573" s="8" t="n"/>
      <c r="G573" s="8" t="n"/>
      <c r="H573" s="8" t="n">
        <v>11515</v>
      </c>
      <c r="I573" s="8" t="n">
        <v>11600</v>
      </c>
      <c r="J573" s="8" t="n">
        <v>11645</v>
      </c>
      <c r="K573" s="8" t="n">
        <v>11485</v>
      </c>
      <c r="L573" s="8" t="n">
        <v>239000</v>
      </c>
      <c r="M573" s="8" t="n">
        <v>79490</v>
      </c>
      <c r="N573" s="9" t="inlineStr">
        <is>
          <t>否</t>
        </is>
      </c>
      <c r="O573" t="inlineStr">
        <is>
          <t>缺 PP</t>
        </is>
      </c>
    </row>
    <row r="574">
      <c r="A574" s="7" t="inlineStr">
        <is>
          <t>2009-11-18</t>
        </is>
      </c>
      <c r="B574" s="8" t="n"/>
      <c r="C574" s="8" t="n"/>
      <c r="D574" s="8" t="n"/>
      <c r="E574" s="8" t="n"/>
      <c r="F574" s="8" t="n"/>
      <c r="G574" s="8" t="n"/>
      <c r="H574" s="8" t="n">
        <v>11675</v>
      </c>
      <c r="I574" s="8" t="n">
        <v>11575</v>
      </c>
      <c r="J574" s="8" t="n">
        <v>11730</v>
      </c>
      <c r="K574" s="8" t="n">
        <v>11530</v>
      </c>
      <c r="L574" s="8" t="n">
        <v>250024</v>
      </c>
      <c r="M574" s="8" t="n">
        <v>79316</v>
      </c>
      <c r="N574" s="9" t="inlineStr">
        <is>
          <t>否</t>
        </is>
      </c>
      <c r="O574" t="inlineStr">
        <is>
          <t>缺 PP</t>
        </is>
      </c>
    </row>
    <row r="575">
      <c r="A575" s="7" t="inlineStr">
        <is>
          <t>2009-11-19</t>
        </is>
      </c>
      <c r="B575" s="8" t="n"/>
      <c r="C575" s="8" t="n"/>
      <c r="D575" s="8" t="n"/>
      <c r="E575" s="8" t="n"/>
      <c r="F575" s="8" t="n"/>
      <c r="G575" s="8" t="n"/>
      <c r="H575" s="8" t="n">
        <v>11570</v>
      </c>
      <c r="I575" s="8" t="n">
        <v>11700</v>
      </c>
      <c r="J575" s="8" t="n">
        <v>11700</v>
      </c>
      <c r="K575" s="8" t="n">
        <v>11550</v>
      </c>
      <c r="L575" s="8" t="n">
        <v>185198</v>
      </c>
      <c r="M575" s="8" t="n">
        <v>78898</v>
      </c>
      <c r="N575" s="9" t="inlineStr">
        <is>
          <t>否</t>
        </is>
      </c>
      <c r="O575" t="inlineStr">
        <is>
          <t>缺 PP</t>
        </is>
      </c>
    </row>
    <row r="576">
      <c r="A576" s="7" t="inlineStr">
        <is>
          <t>2009-11-20</t>
        </is>
      </c>
      <c r="B576" s="8" t="n"/>
      <c r="C576" s="8" t="n"/>
      <c r="D576" s="8" t="n"/>
      <c r="E576" s="8" t="n"/>
      <c r="F576" s="8" t="n"/>
      <c r="G576" s="8" t="n"/>
      <c r="H576" s="8" t="n">
        <v>11770</v>
      </c>
      <c r="I576" s="8" t="n">
        <v>11500</v>
      </c>
      <c r="J576" s="8" t="n">
        <v>11795</v>
      </c>
      <c r="K576" s="8" t="n">
        <v>11495</v>
      </c>
      <c r="L576" s="8" t="n">
        <v>304374</v>
      </c>
      <c r="M576" s="8" t="n">
        <v>97034</v>
      </c>
      <c r="N576" s="9" t="inlineStr">
        <is>
          <t>否</t>
        </is>
      </c>
      <c r="O576" t="inlineStr">
        <is>
          <t>缺 PP</t>
        </is>
      </c>
    </row>
    <row r="577">
      <c r="A577" s="7" t="inlineStr">
        <is>
          <t>2009-11-23</t>
        </is>
      </c>
      <c r="B577" s="8" t="n"/>
      <c r="C577" s="8" t="n"/>
      <c r="D577" s="8" t="n"/>
      <c r="E577" s="8" t="n"/>
      <c r="F577" s="8" t="n"/>
      <c r="G577" s="8" t="n"/>
      <c r="H577" s="8" t="n">
        <v>11795</v>
      </c>
      <c r="I577" s="8" t="n">
        <v>11800</v>
      </c>
      <c r="J577" s="8" t="n">
        <v>11845</v>
      </c>
      <c r="K577" s="8" t="n">
        <v>11700</v>
      </c>
      <c r="L577" s="8" t="n">
        <v>231510</v>
      </c>
      <c r="M577" s="8" t="n">
        <v>76844</v>
      </c>
      <c r="N577" s="9" t="inlineStr">
        <is>
          <t>否</t>
        </is>
      </c>
      <c r="O577" t="inlineStr">
        <is>
          <t>缺 PP</t>
        </is>
      </c>
    </row>
    <row r="578">
      <c r="A578" s="7" t="inlineStr">
        <is>
          <t>2009-11-24</t>
        </is>
      </c>
      <c r="B578" s="8" t="n"/>
      <c r="C578" s="8" t="n"/>
      <c r="D578" s="8" t="n"/>
      <c r="E578" s="8" t="n"/>
      <c r="F578" s="8" t="n"/>
      <c r="G578" s="8" t="n"/>
      <c r="H578" s="8" t="n">
        <v>11560</v>
      </c>
      <c r="I578" s="8" t="n">
        <v>11735</v>
      </c>
      <c r="J578" s="8" t="n">
        <v>11850</v>
      </c>
      <c r="K578" s="8" t="n">
        <v>11545</v>
      </c>
      <c r="L578" s="8" t="n">
        <v>287132</v>
      </c>
      <c r="M578" s="8" t="n">
        <v>72826</v>
      </c>
      <c r="N578" s="9" t="inlineStr">
        <is>
          <t>否</t>
        </is>
      </c>
      <c r="O578" t="inlineStr">
        <is>
          <t>缺 PP</t>
        </is>
      </c>
    </row>
    <row r="579">
      <c r="A579" s="7" t="inlineStr">
        <is>
          <t>2009-11-25</t>
        </is>
      </c>
      <c r="B579" s="8" t="n"/>
      <c r="C579" s="8" t="n"/>
      <c r="D579" s="8" t="n"/>
      <c r="E579" s="8" t="n"/>
      <c r="F579" s="8" t="n"/>
      <c r="G579" s="8" t="n"/>
      <c r="H579" s="8" t="n">
        <v>11690</v>
      </c>
      <c r="I579" s="8" t="n">
        <v>11560</v>
      </c>
      <c r="J579" s="8" t="n">
        <v>11735</v>
      </c>
      <c r="K579" s="8" t="n">
        <v>11560</v>
      </c>
      <c r="L579" s="8" t="n">
        <v>301346</v>
      </c>
      <c r="M579" s="8" t="n">
        <v>69490</v>
      </c>
      <c r="N579" s="9" t="inlineStr">
        <is>
          <t>否</t>
        </is>
      </c>
      <c r="O579" t="inlineStr">
        <is>
          <t>缺 PP</t>
        </is>
      </c>
    </row>
    <row r="580">
      <c r="A580" s="7" t="inlineStr">
        <is>
          <t>2009-11-26</t>
        </is>
      </c>
      <c r="B580" s="8" t="n"/>
      <c r="C580" s="8" t="n"/>
      <c r="D580" s="8" t="n"/>
      <c r="E580" s="8" t="n"/>
      <c r="F580" s="8" t="n"/>
      <c r="G580" s="8" t="n"/>
      <c r="H580" s="8" t="n">
        <v>11480</v>
      </c>
      <c r="I580" s="8" t="n">
        <v>11750</v>
      </c>
      <c r="J580" s="8" t="n">
        <v>11820</v>
      </c>
      <c r="K580" s="8" t="n">
        <v>11440</v>
      </c>
      <c r="L580" s="8" t="n">
        <v>335094</v>
      </c>
      <c r="M580" s="8" t="n">
        <v>71294</v>
      </c>
      <c r="N580" s="9" t="inlineStr">
        <is>
          <t>否</t>
        </is>
      </c>
      <c r="O580" t="inlineStr">
        <is>
          <t>缺 PP</t>
        </is>
      </c>
    </row>
    <row r="581">
      <c r="A581" s="7" t="inlineStr">
        <is>
          <t>2009-11-27</t>
        </is>
      </c>
      <c r="B581" s="8" t="n"/>
      <c r="C581" s="8" t="n"/>
      <c r="D581" s="8" t="n"/>
      <c r="E581" s="8" t="n"/>
      <c r="F581" s="8" t="n"/>
      <c r="G581" s="8" t="n"/>
      <c r="H581" s="8" t="n">
        <v>11015</v>
      </c>
      <c r="I581" s="8" t="n">
        <v>11400</v>
      </c>
      <c r="J581" s="8" t="n">
        <v>11420</v>
      </c>
      <c r="K581" s="8" t="n">
        <v>11015</v>
      </c>
      <c r="L581" s="8" t="n">
        <v>280690</v>
      </c>
      <c r="M581" s="8" t="n">
        <v>59700</v>
      </c>
      <c r="N581" s="9" t="inlineStr">
        <is>
          <t>否</t>
        </is>
      </c>
      <c r="O581" t="inlineStr">
        <is>
          <t>缺 PP</t>
        </is>
      </c>
    </row>
    <row r="582">
      <c r="A582" s="7" t="inlineStr">
        <is>
          <t>2009-11-30</t>
        </is>
      </c>
      <c r="B582" s="8" t="n"/>
      <c r="C582" s="8" t="n"/>
      <c r="D582" s="8" t="n"/>
      <c r="E582" s="8" t="n"/>
      <c r="F582" s="8" t="n"/>
      <c r="G582" s="8" t="n"/>
      <c r="H582" s="8" t="n">
        <v>11095</v>
      </c>
      <c r="I582" s="8" t="n">
        <v>11125</v>
      </c>
      <c r="J582" s="8" t="n">
        <v>11340</v>
      </c>
      <c r="K582" s="8" t="n">
        <v>10970</v>
      </c>
      <c r="L582" s="8" t="n">
        <v>366668</v>
      </c>
      <c r="M582" s="8" t="n">
        <v>56016</v>
      </c>
      <c r="N582" s="9" t="inlineStr">
        <is>
          <t>否</t>
        </is>
      </c>
      <c r="O582" t="inlineStr">
        <is>
          <t>缺 PP</t>
        </is>
      </c>
    </row>
    <row r="583">
      <c r="A583" s="7" t="inlineStr">
        <is>
          <t>2009-12-01</t>
        </is>
      </c>
      <c r="B583" s="8" t="n"/>
      <c r="C583" s="8" t="n"/>
      <c r="D583" s="8" t="n"/>
      <c r="E583" s="8" t="n"/>
      <c r="F583" s="8" t="n"/>
      <c r="G583" s="8" t="n"/>
      <c r="H583" s="8" t="n">
        <v>11155</v>
      </c>
      <c r="I583" s="8" t="n">
        <v>11170</v>
      </c>
      <c r="J583" s="8" t="n">
        <v>11220</v>
      </c>
      <c r="K583" s="8" t="n">
        <v>11010</v>
      </c>
      <c r="L583" s="8" t="n">
        <v>227084</v>
      </c>
      <c r="M583" s="8" t="n">
        <v>38570</v>
      </c>
      <c r="N583" s="9" t="inlineStr">
        <is>
          <t>否</t>
        </is>
      </c>
      <c r="O583" t="inlineStr">
        <is>
          <t>缺 PP</t>
        </is>
      </c>
    </row>
    <row r="584">
      <c r="A584" s="7" t="inlineStr">
        <is>
          <t>2009-12-02</t>
        </is>
      </c>
      <c r="B584" s="8" t="n"/>
      <c r="C584" s="8" t="n"/>
      <c r="D584" s="8" t="n"/>
      <c r="E584" s="8" t="n"/>
      <c r="F584" s="8" t="n"/>
      <c r="G584" s="8" t="n"/>
      <c r="H584" s="8" t="n">
        <v>11805</v>
      </c>
      <c r="I584" s="8" t="n">
        <v>11755</v>
      </c>
      <c r="J584" s="8" t="n">
        <v>11865</v>
      </c>
      <c r="K584" s="8" t="n">
        <v>11665</v>
      </c>
      <c r="L584" s="8" t="n">
        <v>213220</v>
      </c>
      <c r="M584" s="8" t="n">
        <v>39618</v>
      </c>
      <c r="N584" s="9" t="inlineStr">
        <is>
          <t>否</t>
        </is>
      </c>
      <c r="O584" t="inlineStr">
        <is>
          <t>缺 PP</t>
        </is>
      </c>
    </row>
    <row r="585">
      <c r="A585" s="7" t="inlineStr">
        <is>
          <t>2009-12-03</t>
        </is>
      </c>
      <c r="B585" s="8" t="n"/>
      <c r="C585" s="8" t="n"/>
      <c r="D585" s="8" t="n"/>
      <c r="E585" s="8" t="n"/>
      <c r="F585" s="8" t="n"/>
      <c r="G585" s="8" t="n"/>
      <c r="H585" s="8" t="n">
        <v>11835</v>
      </c>
      <c r="I585" s="8" t="n">
        <v>11770</v>
      </c>
      <c r="J585" s="8" t="n">
        <v>11850</v>
      </c>
      <c r="K585" s="8" t="n">
        <v>11645</v>
      </c>
      <c r="L585" s="8" t="n">
        <v>288748</v>
      </c>
      <c r="M585" s="8" t="n">
        <v>46160</v>
      </c>
      <c r="N585" s="9" t="inlineStr">
        <is>
          <t>否</t>
        </is>
      </c>
      <c r="O585" t="inlineStr">
        <is>
          <t>缺 PP</t>
        </is>
      </c>
    </row>
    <row r="586">
      <c r="A586" s="7" t="inlineStr">
        <is>
          <t>2009-12-04</t>
        </is>
      </c>
      <c r="B586" s="8" t="n"/>
      <c r="C586" s="8" t="n"/>
      <c r="D586" s="8" t="n"/>
      <c r="E586" s="8" t="n"/>
      <c r="F586" s="8" t="n"/>
      <c r="G586" s="8" t="n"/>
      <c r="H586" s="8" t="n">
        <v>11785</v>
      </c>
      <c r="I586" s="8" t="n">
        <v>11780</v>
      </c>
      <c r="J586" s="8" t="n">
        <v>11845</v>
      </c>
      <c r="K586" s="8" t="n">
        <v>11700</v>
      </c>
      <c r="L586" s="8" t="n">
        <v>236184</v>
      </c>
      <c r="M586" s="8" t="n">
        <v>42360</v>
      </c>
      <c r="N586" s="9" t="inlineStr">
        <is>
          <t>否</t>
        </is>
      </c>
      <c r="O586" t="inlineStr">
        <is>
          <t>缺 PP</t>
        </is>
      </c>
    </row>
    <row r="587">
      <c r="A587" s="7" t="inlineStr">
        <is>
          <t>2009-12-07</t>
        </is>
      </c>
      <c r="B587" s="8" t="n"/>
      <c r="C587" s="8" t="n"/>
      <c r="D587" s="8" t="n"/>
      <c r="E587" s="8" t="n"/>
      <c r="F587" s="8" t="n"/>
      <c r="G587" s="8" t="n"/>
      <c r="H587" s="8" t="n">
        <v>11480</v>
      </c>
      <c r="I587" s="8" t="n">
        <v>11755</v>
      </c>
      <c r="J587" s="8" t="n">
        <v>11810</v>
      </c>
      <c r="K587" s="8" t="n">
        <v>11380</v>
      </c>
      <c r="L587" s="8" t="n">
        <v>403670</v>
      </c>
      <c r="M587" s="8" t="n">
        <v>61892</v>
      </c>
      <c r="N587" s="9" t="inlineStr">
        <is>
          <t>否</t>
        </is>
      </c>
      <c r="O587" t="inlineStr">
        <is>
          <t>缺 PP</t>
        </is>
      </c>
    </row>
    <row r="588">
      <c r="A588" s="7" t="inlineStr">
        <is>
          <t>2009-12-08</t>
        </is>
      </c>
      <c r="B588" s="8" t="n"/>
      <c r="C588" s="8" t="n"/>
      <c r="D588" s="8" t="n"/>
      <c r="E588" s="8" t="n"/>
      <c r="F588" s="8" t="n"/>
      <c r="G588" s="8" t="n"/>
      <c r="H588" s="8" t="n">
        <v>11560</v>
      </c>
      <c r="I588" s="8" t="n">
        <v>11480</v>
      </c>
      <c r="J588" s="8" t="n">
        <v>11670</v>
      </c>
      <c r="K588" s="8" t="n">
        <v>11345</v>
      </c>
      <c r="L588" s="8" t="n">
        <v>495734</v>
      </c>
      <c r="M588" s="8" t="n">
        <v>66224</v>
      </c>
      <c r="N588" s="9" t="inlineStr">
        <is>
          <t>否</t>
        </is>
      </c>
      <c r="O588" t="inlineStr">
        <is>
          <t>缺 PP</t>
        </is>
      </c>
    </row>
    <row r="589">
      <c r="A589" s="7" t="inlineStr">
        <is>
          <t>2009-12-09</t>
        </is>
      </c>
      <c r="B589" s="8" t="n"/>
      <c r="C589" s="8" t="n"/>
      <c r="D589" s="8" t="n"/>
      <c r="E589" s="8" t="n"/>
      <c r="F589" s="8" t="n"/>
      <c r="G589" s="8" t="n"/>
      <c r="H589" s="8" t="n">
        <v>11475</v>
      </c>
      <c r="I589" s="8" t="n">
        <v>11400</v>
      </c>
      <c r="J589" s="8" t="n">
        <v>11685</v>
      </c>
      <c r="K589" s="8" t="n">
        <v>11300</v>
      </c>
      <c r="L589" s="8" t="n">
        <v>569424</v>
      </c>
      <c r="M589" s="8" t="n">
        <v>83568</v>
      </c>
      <c r="N589" s="9" t="inlineStr">
        <is>
          <t>否</t>
        </is>
      </c>
      <c r="O589" t="inlineStr">
        <is>
          <t>缺 PP</t>
        </is>
      </c>
    </row>
    <row r="590">
      <c r="A590" s="7" t="inlineStr">
        <is>
          <t>2009-12-10</t>
        </is>
      </c>
      <c r="B590" s="8" t="n"/>
      <c r="C590" s="8" t="n"/>
      <c r="D590" s="8" t="n"/>
      <c r="E590" s="8" t="n"/>
      <c r="F590" s="8" t="n"/>
      <c r="G590" s="8" t="n"/>
      <c r="H590" s="8" t="n">
        <v>11265</v>
      </c>
      <c r="I590" s="8" t="n">
        <v>11420</v>
      </c>
      <c r="J590" s="8" t="n">
        <v>11470</v>
      </c>
      <c r="K590" s="8" t="n">
        <v>11180</v>
      </c>
      <c r="L590" s="8" t="n">
        <v>464902</v>
      </c>
      <c r="M590" s="8" t="n">
        <v>60344</v>
      </c>
      <c r="N590" s="9" t="inlineStr">
        <is>
          <t>否</t>
        </is>
      </c>
      <c r="O590" t="inlineStr">
        <is>
          <t>缺 PP</t>
        </is>
      </c>
    </row>
    <row r="591">
      <c r="A591" s="7" t="inlineStr">
        <is>
          <t>2009-12-11</t>
        </is>
      </c>
      <c r="B591" s="8" t="n"/>
      <c r="C591" s="8" t="n"/>
      <c r="D591" s="8" t="n"/>
      <c r="E591" s="8" t="n"/>
      <c r="F591" s="8" t="n"/>
      <c r="G591" s="8" t="n"/>
      <c r="H591" s="8" t="n">
        <v>11330</v>
      </c>
      <c r="I591" s="8" t="n">
        <v>11290</v>
      </c>
      <c r="J591" s="8" t="n">
        <v>11380</v>
      </c>
      <c r="K591" s="8" t="n">
        <v>11250</v>
      </c>
      <c r="L591" s="8" t="n">
        <v>263314</v>
      </c>
      <c r="M591" s="8" t="n">
        <v>52982</v>
      </c>
      <c r="N591" s="9" t="inlineStr">
        <is>
          <t>否</t>
        </is>
      </c>
      <c r="O591" t="inlineStr">
        <is>
          <t>缺 PP</t>
        </is>
      </c>
    </row>
    <row r="592">
      <c r="A592" s="7" t="inlineStr">
        <is>
          <t>2009-12-14</t>
        </is>
      </c>
      <c r="B592" s="8" t="n"/>
      <c r="C592" s="8" t="n"/>
      <c r="D592" s="8" t="n"/>
      <c r="E592" s="8" t="n"/>
      <c r="F592" s="8" t="n"/>
      <c r="G592" s="8" t="n"/>
      <c r="H592" s="8" t="n">
        <v>11555</v>
      </c>
      <c r="I592" s="8" t="n">
        <v>11295</v>
      </c>
      <c r="J592" s="8" t="n">
        <v>11580</v>
      </c>
      <c r="K592" s="8" t="n">
        <v>11225</v>
      </c>
      <c r="L592" s="8" t="n">
        <v>434160</v>
      </c>
      <c r="M592" s="8" t="n">
        <v>68188</v>
      </c>
      <c r="N592" s="9" t="inlineStr">
        <is>
          <t>否</t>
        </is>
      </c>
      <c r="O592" t="inlineStr">
        <is>
          <t>缺 PP</t>
        </is>
      </c>
    </row>
    <row r="593">
      <c r="A593" s="7" t="inlineStr">
        <is>
          <t>2009-12-15</t>
        </is>
      </c>
      <c r="B593" s="8" t="n"/>
      <c r="C593" s="8" t="n"/>
      <c r="D593" s="8" t="n"/>
      <c r="E593" s="8" t="n"/>
      <c r="F593" s="8" t="n"/>
      <c r="G593" s="8" t="n"/>
      <c r="H593" s="8" t="n">
        <v>11595</v>
      </c>
      <c r="I593" s="8" t="n">
        <v>11570</v>
      </c>
      <c r="J593" s="8" t="n">
        <v>11670</v>
      </c>
      <c r="K593" s="8" t="n">
        <v>11525</v>
      </c>
      <c r="L593" s="8" t="n">
        <v>281182</v>
      </c>
      <c r="M593" s="8" t="n">
        <v>60130</v>
      </c>
      <c r="N593" s="9" t="inlineStr">
        <is>
          <t>否</t>
        </is>
      </c>
      <c r="O593" t="inlineStr">
        <is>
          <t>缺 PP</t>
        </is>
      </c>
    </row>
    <row r="594">
      <c r="A594" s="7" t="inlineStr">
        <is>
          <t>2009-12-16</t>
        </is>
      </c>
      <c r="B594" s="8" t="n"/>
      <c r="C594" s="8" t="n"/>
      <c r="D594" s="8" t="n"/>
      <c r="E594" s="8" t="n"/>
      <c r="F594" s="8" t="n"/>
      <c r="G594" s="8" t="n"/>
      <c r="H594" s="8" t="n">
        <v>11775</v>
      </c>
      <c r="I594" s="8" t="n">
        <v>11650</v>
      </c>
      <c r="J594" s="8" t="n">
        <v>11795</v>
      </c>
      <c r="K594" s="8" t="n">
        <v>11630</v>
      </c>
      <c r="L594" s="8" t="n">
        <v>273430</v>
      </c>
      <c r="M594" s="8" t="n">
        <v>58754</v>
      </c>
      <c r="N594" s="9" t="inlineStr">
        <is>
          <t>否</t>
        </is>
      </c>
      <c r="O594" t="inlineStr">
        <is>
          <t>缺 PP</t>
        </is>
      </c>
    </row>
    <row r="595">
      <c r="A595" s="7" t="inlineStr">
        <is>
          <t>2009-12-17</t>
        </is>
      </c>
      <c r="B595" s="8" t="n"/>
      <c r="C595" s="8" t="n"/>
      <c r="D595" s="8" t="n"/>
      <c r="E595" s="8" t="n"/>
      <c r="F595" s="8" t="n"/>
      <c r="G595" s="8" t="n"/>
      <c r="H595" s="8" t="n">
        <v>11770</v>
      </c>
      <c r="I595" s="8" t="n">
        <v>11900</v>
      </c>
      <c r="J595" s="8" t="n">
        <v>11945</v>
      </c>
      <c r="K595" s="8" t="n">
        <v>11715</v>
      </c>
      <c r="L595" s="8" t="n">
        <v>244318</v>
      </c>
      <c r="M595" s="8" t="n">
        <v>54898</v>
      </c>
      <c r="N595" s="9" t="inlineStr">
        <is>
          <t>否</t>
        </is>
      </c>
      <c r="O595" t="inlineStr">
        <is>
          <t>缺 PP</t>
        </is>
      </c>
    </row>
    <row r="596">
      <c r="A596" s="7" t="inlineStr">
        <is>
          <t>2009-12-18</t>
        </is>
      </c>
      <c r="B596" s="8" t="n"/>
      <c r="C596" s="8" t="n"/>
      <c r="D596" s="8" t="n"/>
      <c r="E596" s="8" t="n"/>
      <c r="F596" s="8" t="n"/>
      <c r="G596" s="8" t="n"/>
      <c r="H596" s="8" t="n">
        <v>12075</v>
      </c>
      <c r="I596" s="8" t="n">
        <v>11725</v>
      </c>
      <c r="J596" s="8" t="n">
        <v>12090</v>
      </c>
      <c r="K596" s="8" t="n">
        <v>11675</v>
      </c>
      <c r="L596" s="8" t="n">
        <v>596470</v>
      </c>
      <c r="M596" s="8" t="n">
        <v>95418</v>
      </c>
      <c r="N596" s="9" t="inlineStr">
        <is>
          <t>否</t>
        </is>
      </c>
      <c r="O596" t="inlineStr">
        <is>
          <t>缺 PP</t>
        </is>
      </c>
    </row>
    <row r="597">
      <c r="A597" s="7" t="inlineStr">
        <is>
          <t>2009-12-21</t>
        </is>
      </c>
      <c r="B597" s="8" t="n"/>
      <c r="C597" s="8" t="n"/>
      <c r="D597" s="8" t="n"/>
      <c r="E597" s="8" t="n"/>
      <c r="F597" s="8" t="n"/>
      <c r="G597" s="8" t="n"/>
      <c r="H597" s="8" t="n">
        <v>11920</v>
      </c>
      <c r="I597" s="8" t="n">
        <v>12120</v>
      </c>
      <c r="J597" s="8" t="n">
        <v>12165</v>
      </c>
      <c r="K597" s="8" t="n">
        <v>11900</v>
      </c>
      <c r="L597" s="8" t="n">
        <v>409184</v>
      </c>
      <c r="M597" s="8" t="n">
        <v>74616</v>
      </c>
      <c r="N597" s="9" t="inlineStr">
        <is>
          <t>否</t>
        </is>
      </c>
      <c r="O597" t="inlineStr">
        <is>
          <t>缺 PP</t>
        </is>
      </c>
    </row>
    <row r="598">
      <c r="A598" s="7" t="inlineStr">
        <is>
          <t>2009-12-22</t>
        </is>
      </c>
      <c r="B598" s="8" t="n"/>
      <c r="C598" s="8" t="n"/>
      <c r="D598" s="8" t="n"/>
      <c r="E598" s="8" t="n"/>
      <c r="F598" s="8" t="n"/>
      <c r="G598" s="8" t="n"/>
      <c r="H598" s="8" t="n">
        <v>11865</v>
      </c>
      <c r="I598" s="8" t="n">
        <v>11860</v>
      </c>
      <c r="J598" s="8" t="n">
        <v>11940</v>
      </c>
      <c r="K598" s="8" t="n">
        <v>11755</v>
      </c>
      <c r="L598" s="8" t="n">
        <v>320330</v>
      </c>
      <c r="M598" s="8" t="n">
        <v>66724</v>
      </c>
      <c r="N598" s="9" t="inlineStr">
        <is>
          <t>否</t>
        </is>
      </c>
      <c r="O598" t="inlineStr">
        <is>
          <t>缺 PP</t>
        </is>
      </c>
    </row>
    <row r="599">
      <c r="A599" s="7" t="inlineStr">
        <is>
          <t>2009-12-23</t>
        </is>
      </c>
      <c r="B599" s="8" t="n"/>
      <c r="C599" s="8" t="n"/>
      <c r="D599" s="8" t="n"/>
      <c r="E599" s="8" t="n"/>
      <c r="F599" s="8" t="n"/>
      <c r="G599" s="8" t="n"/>
      <c r="H599" s="8" t="n">
        <v>12125</v>
      </c>
      <c r="I599" s="8" t="n">
        <v>11940</v>
      </c>
      <c r="J599" s="8" t="n">
        <v>12145</v>
      </c>
      <c r="K599" s="8" t="n">
        <v>11880</v>
      </c>
      <c r="L599" s="8" t="n">
        <v>562652</v>
      </c>
      <c r="M599" s="8" t="n">
        <v>108988</v>
      </c>
      <c r="N599" s="9" t="inlineStr">
        <is>
          <t>否</t>
        </is>
      </c>
      <c r="O599" t="inlineStr">
        <is>
          <t>缺 PP</t>
        </is>
      </c>
    </row>
    <row r="600">
      <c r="A600" s="7" t="inlineStr">
        <is>
          <t>2009-12-24</t>
        </is>
      </c>
      <c r="B600" s="8" t="n"/>
      <c r="C600" s="8" t="n"/>
      <c r="D600" s="8" t="n"/>
      <c r="E600" s="8" t="n"/>
      <c r="F600" s="8" t="n"/>
      <c r="G600" s="8" t="n"/>
      <c r="H600" s="8" t="n">
        <v>12170</v>
      </c>
      <c r="I600" s="8" t="n">
        <v>12245</v>
      </c>
      <c r="J600" s="8" t="n">
        <v>12250</v>
      </c>
      <c r="K600" s="8" t="n">
        <v>12090</v>
      </c>
      <c r="L600" s="8" t="n">
        <v>394614</v>
      </c>
      <c r="M600" s="8" t="n">
        <v>96442</v>
      </c>
      <c r="N600" s="9" t="inlineStr">
        <is>
          <t>否</t>
        </is>
      </c>
      <c r="O600" t="inlineStr">
        <is>
          <t>缺 PP</t>
        </is>
      </c>
    </row>
    <row r="601">
      <c r="A601" s="7" t="inlineStr">
        <is>
          <t>2009-12-25</t>
        </is>
      </c>
      <c r="B601" s="8" t="n"/>
      <c r="C601" s="8" t="n"/>
      <c r="D601" s="8" t="n"/>
      <c r="E601" s="8" t="n"/>
      <c r="F601" s="8" t="n"/>
      <c r="G601" s="8" t="n"/>
      <c r="H601" s="8" t="n">
        <v>12290</v>
      </c>
      <c r="I601" s="8" t="n">
        <v>12170</v>
      </c>
      <c r="J601" s="8" t="n">
        <v>12380</v>
      </c>
      <c r="K601" s="8" t="n">
        <v>12170</v>
      </c>
      <c r="L601" s="8" t="n">
        <v>362454</v>
      </c>
      <c r="M601" s="8" t="n">
        <v>101946</v>
      </c>
      <c r="N601" s="9" t="inlineStr">
        <is>
          <t>否</t>
        </is>
      </c>
      <c r="O601" t="inlineStr">
        <is>
          <t>缺 PP</t>
        </is>
      </c>
    </row>
    <row r="602">
      <c r="A602" s="7" t="inlineStr">
        <is>
          <t>2009-12-28</t>
        </is>
      </c>
      <c r="B602" s="8" t="n"/>
      <c r="C602" s="8" t="n"/>
      <c r="D602" s="8" t="n"/>
      <c r="E602" s="8" t="n"/>
      <c r="F602" s="8" t="n"/>
      <c r="G602" s="8" t="n"/>
      <c r="H602" s="8" t="n">
        <v>12295</v>
      </c>
      <c r="I602" s="8" t="n">
        <v>12305</v>
      </c>
      <c r="J602" s="8" t="n">
        <v>12425</v>
      </c>
      <c r="K602" s="8" t="n">
        <v>12195</v>
      </c>
      <c r="L602" s="8" t="n">
        <v>362060</v>
      </c>
      <c r="M602" s="8" t="n">
        <v>92590</v>
      </c>
      <c r="N602" s="9" t="inlineStr">
        <is>
          <t>否</t>
        </is>
      </c>
      <c r="O602" t="inlineStr">
        <is>
          <t>缺 PP</t>
        </is>
      </c>
    </row>
    <row r="603">
      <c r="A603" s="7" t="inlineStr">
        <is>
          <t>2009-12-29</t>
        </is>
      </c>
      <c r="B603" s="8" t="n"/>
      <c r="C603" s="8" t="n"/>
      <c r="D603" s="8" t="n"/>
      <c r="E603" s="8" t="n"/>
      <c r="F603" s="8" t="n"/>
      <c r="G603" s="8" t="n"/>
      <c r="H603" s="8" t="n">
        <v>12185</v>
      </c>
      <c r="I603" s="8" t="n">
        <v>12280</v>
      </c>
      <c r="J603" s="8" t="n">
        <v>12350</v>
      </c>
      <c r="K603" s="8" t="n">
        <v>12125</v>
      </c>
      <c r="L603" s="8" t="n">
        <v>386604</v>
      </c>
      <c r="M603" s="8" t="n">
        <v>92222</v>
      </c>
      <c r="N603" s="9" t="inlineStr">
        <is>
          <t>否</t>
        </is>
      </c>
      <c r="O603" t="inlineStr">
        <is>
          <t>缺 PP</t>
        </is>
      </c>
    </row>
    <row r="604">
      <c r="A604" s="7" t="inlineStr">
        <is>
          <t>2009-12-30</t>
        </is>
      </c>
      <c r="B604" s="8" t="n"/>
      <c r="C604" s="8" t="n"/>
      <c r="D604" s="8" t="n"/>
      <c r="E604" s="8" t="n"/>
      <c r="F604" s="8" t="n"/>
      <c r="G604" s="8" t="n"/>
      <c r="H604" s="8" t="n">
        <v>12315</v>
      </c>
      <c r="I604" s="8" t="n">
        <v>12180</v>
      </c>
      <c r="J604" s="8" t="n">
        <v>12325</v>
      </c>
      <c r="K604" s="8" t="n">
        <v>12160</v>
      </c>
      <c r="L604" s="8" t="n">
        <v>286266</v>
      </c>
      <c r="M604" s="8" t="n">
        <v>84020</v>
      </c>
      <c r="N604" s="9" t="inlineStr">
        <is>
          <t>否</t>
        </is>
      </c>
      <c r="O604" t="inlineStr">
        <is>
          <t>缺 PP</t>
        </is>
      </c>
    </row>
    <row r="605">
      <c r="A605" s="7" t="inlineStr">
        <is>
          <t>2009-12-31</t>
        </is>
      </c>
      <c r="B605" s="8" t="n"/>
      <c r="C605" s="8" t="n"/>
      <c r="D605" s="8" t="n"/>
      <c r="E605" s="8" t="n"/>
      <c r="F605" s="8" t="n"/>
      <c r="G605" s="8" t="n"/>
      <c r="H605" s="8" t="n">
        <v>12495</v>
      </c>
      <c r="I605" s="8" t="n">
        <v>12360</v>
      </c>
      <c r="J605" s="8" t="n">
        <v>12520</v>
      </c>
      <c r="K605" s="8" t="n">
        <v>12330</v>
      </c>
      <c r="L605" s="8" t="n">
        <v>279576</v>
      </c>
      <c r="M605" s="8" t="n">
        <v>85790</v>
      </c>
      <c r="N605" s="9" t="inlineStr">
        <is>
          <t>否</t>
        </is>
      </c>
      <c r="O605" t="inlineStr">
        <is>
          <t>缺 PP</t>
        </is>
      </c>
    </row>
    <row r="606">
      <c r="A606" s="7" t="inlineStr">
        <is>
          <t>2010-01-04</t>
        </is>
      </c>
      <c r="B606" s="8" t="n"/>
      <c r="C606" s="8" t="n"/>
      <c r="D606" s="8" t="n"/>
      <c r="E606" s="8" t="n"/>
      <c r="F606" s="8" t="n"/>
      <c r="G606" s="8" t="n"/>
      <c r="H606" s="8" t="n">
        <v>12635</v>
      </c>
      <c r="I606" s="8" t="n">
        <v>12600</v>
      </c>
      <c r="J606" s="8" t="n">
        <v>12695</v>
      </c>
      <c r="K606" s="8" t="n">
        <v>12550</v>
      </c>
      <c r="L606" s="8" t="n">
        <v>190792</v>
      </c>
      <c r="M606" s="8" t="n">
        <v>90050</v>
      </c>
      <c r="N606" s="9" t="inlineStr">
        <is>
          <t>否</t>
        </is>
      </c>
      <c r="O606" t="inlineStr">
        <is>
          <t>缺 PP</t>
        </is>
      </c>
    </row>
    <row r="607">
      <c r="A607" s="7" t="inlineStr">
        <is>
          <t>2010-01-05</t>
        </is>
      </c>
      <c r="B607" s="8" t="n"/>
      <c r="C607" s="8" t="n"/>
      <c r="D607" s="8" t="n"/>
      <c r="E607" s="8" t="n"/>
      <c r="F607" s="8" t="n"/>
      <c r="G607" s="8" t="n"/>
      <c r="H607" s="8" t="n">
        <v>12660</v>
      </c>
      <c r="I607" s="8" t="n">
        <v>12720</v>
      </c>
      <c r="J607" s="8" t="n">
        <v>12745</v>
      </c>
      <c r="K607" s="8" t="n">
        <v>12620</v>
      </c>
      <c r="L607" s="8" t="n">
        <v>158990</v>
      </c>
      <c r="M607" s="8" t="n">
        <v>84230</v>
      </c>
      <c r="N607" s="9" t="inlineStr">
        <is>
          <t>否</t>
        </is>
      </c>
      <c r="O607" t="inlineStr">
        <is>
          <t>缺 PP</t>
        </is>
      </c>
    </row>
    <row r="608">
      <c r="A608" s="7" t="inlineStr">
        <is>
          <t>2010-01-06</t>
        </is>
      </c>
      <c r="B608" s="8" t="n"/>
      <c r="C608" s="8" t="n"/>
      <c r="D608" s="8" t="n"/>
      <c r="E608" s="8" t="n"/>
      <c r="F608" s="8" t="n"/>
      <c r="G608" s="8" t="n"/>
      <c r="H608" s="8" t="n">
        <v>12605</v>
      </c>
      <c r="I608" s="8" t="n">
        <v>12650</v>
      </c>
      <c r="J608" s="8" t="n">
        <v>12700</v>
      </c>
      <c r="K608" s="8" t="n">
        <v>12560</v>
      </c>
      <c r="L608" s="8" t="n">
        <v>257520</v>
      </c>
      <c r="M608" s="8" t="n">
        <v>84866</v>
      </c>
      <c r="N608" s="9" t="inlineStr">
        <is>
          <t>否</t>
        </is>
      </c>
      <c r="O608" t="inlineStr">
        <is>
          <t>缺 PP</t>
        </is>
      </c>
    </row>
    <row r="609">
      <c r="A609" s="7" t="inlineStr">
        <is>
          <t>2010-01-07</t>
        </is>
      </c>
      <c r="B609" s="8" t="n"/>
      <c r="C609" s="8" t="n"/>
      <c r="D609" s="8" t="n"/>
      <c r="E609" s="8" t="n"/>
      <c r="F609" s="8" t="n"/>
      <c r="G609" s="8" t="n"/>
      <c r="H609" s="8" t="n">
        <v>12235</v>
      </c>
      <c r="I609" s="8" t="n">
        <v>12705</v>
      </c>
      <c r="J609" s="8" t="n">
        <v>12840</v>
      </c>
      <c r="K609" s="8" t="n">
        <v>12000</v>
      </c>
      <c r="L609" s="8" t="n">
        <v>326148</v>
      </c>
      <c r="M609" s="8" t="n">
        <v>66252</v>
      </c>
      <c r="N609" s="9" t="inlineStr">
        <is>
          <t>否</t>
        </is>
      </c>
      <c r="O609" t="inlineStr">
        <is>
          <t>缺 PP</t>
        </is>
      </c>
    </row>
    <row r="610">
      <c r="A610" s="7" t="inlineStr">
        <is>
          <t>2010-01-08</t>
        </is>
      </c>
      <c r="B610" s="8" t="n"/>
      <c r="C610" s="8" t="n"/>
      <c r="D610" s="8" t="n"/>
      <c r="E610" s="8" t="n"/>
      <c r="F610" s="8" t="n"/>
      <c r="G610" s="8" t="n"/>
      <c r="H610" s="8" t="n">
        <v>12175</v>
      </c>
      <c r="I610" s="8" t="n">
        <v>12300</v>
      </c>
      <c r="J610" s="8" t="n">
        <v>12365</v>
      </c>
      <c r="K610" s="8" t="n">
        <v>12040</v>
      </c>
      <c r="L610" s="8" t="n">
        <v>251674</v>
      </c>
      <c r="M610" s="8" t="n">
        <v>57566</v>
      </c>
      <c r="N610" s="9" t="inlineStr">
        <is>
          <t>否</t>
        </is>
      </c>
      <c r="O610" t="inlineStr">
        <is>
          <t>缺 PP</t>
        </is>
      </c>
    </row>
    <row r="611">
      <c r="A611" s="7" t="inlineStr">
        <is>
          <t>2010-01-11</t>
        </is>
      </c>
      <c r="B611" s="8" t="n"/>
      <c r="C611" s="8" t="n"/>
      <c r="D611" s="8" t="n"/>
      <c r="E611" s="8" t="n"/>
      <c r="F611" s="8" t="n"/>
      <c r="G611" s="8" t="n"/>
      <c r="H611" s="8" t="n">
        <v>12490</v>
      </c>
      <c r="I611" s="8" t="n">
        <v>12310</v>
      </c>
      <c r="J611" s="8" t="n">
        <v>12495</v>
      </c>
      <c r="K611" s="8" t="n">
        <v>12310</v>
      </c>
      <c r="L611" s="8" t="n">
        <v>194252</v>
      </c>
      <c r="M611" s="8" t="n">
        <v>63628</v>
      </c>
      <c r="N611" s="9" t="inlineStr">
        <is>
          <t>否</t>
        </is>
      </c>
      <c r="O611" t="inlineStr">
        <is>
          <t>缺 PP</t>
        </is>
      </c>
    </row>
    <row r="612">
      <c r="A612" s="7" t="inlineStr">
        <is>
          <t>2010-01-12</t>
        </is>
      </c>
      <c r="B612" s="8" t="n"/>
      <c r="C612" s="8" t="n"/>
      <c r="D612" s="8" t="n"/>
      <c r="E612" s="8" t="n"/>
      <c r="F612" s="8" t="n"/>
      <c r="G612" s="8" t="n"/>
      <c r="H612" s="8" t="n">
        <v>12255</v>
      </c>
      <c r="I612" s="8" t="n">
        <v>12415</v>
      </c>
      <c r="J612" s="8" t="n">
        <v>12445</v>
      </c>
      <c r="K612" s="8" t="n">
        <v>12230</v>
      </c>
      <c r="L612" s="8" t="n">
        <v>179180</v>
      </c>
      <c r="M612" s="8" t="n">
        <v>58786</v>
      </c>
      <c r="N612" s="9" t="inlineStr">
        <is>
          <t>否</t>
        </is>
      </c>
      <c r="O612" t="inlineStr">
        <is>
          <t>缺 PP</t>
        </is>
      </c>
    </row>
    <row r="613">
      <c r="A613" s="7" t="inlineStr">
        <is>
          <t>2010-01-13</t>
        </is>
      </c>
      <c r="B613" s="8" t="n"/>
      <c r="C613" s="8" t="n"/>
      <c r="D613" s="8" t="n"/>
      <c r="E613" s="8" t="n"/>
      <c r="F613" s="8" t="n"/>
      <c r="G613" s="8" t="n"/>
      <c r="H613" s="8" t="n">
        <v>11765</v>
      </c>
      <c r="I613" s="8" t="n">
        <v>11995</v>
      </c>
      <c r="J613" s="8" t="n">
        <v>11995</v>
      </c>
      <c r="K613" s="8" t="n">
        <v>11740</v>
      </c>
      <c r="L613" s="8" t="n">
        <v>158518</v>
      </c>
      <c r="M613" s="8" t="n">
        <v>52806</v>
      </c>
      <c r="N613" s="9" t="inlineStr">
        <is>
          <t>否</t>
        </is>
      </c>
      <c r="O613" t="inlineStr">
        <is>
          <t>缺 PP</t>
        </is>
      </c>
    </row>
    <row r="614">
      <c r="A614" s="7" t="inlineStr">
        <is>
          <t>2010-01-14</t>
        </is>
      </c>
      <c r="B614" s="8" t="n"/>
      <c r="C614" s="8" t="n"/>
      <c r="D614" s="8" t="n"/>
      <c r="E614" s="8" t="n"/>
      <c r="F614" s="8" t="n"/>
      <c r="G614" s="8" t="n"/>
      <c r="H614" s="8" t="n">
        <v>12065</v>
      </c>
      <c r="I614" s="8" t="n">
        <v>11900</v>
      </c>
      <c r="J614" s="8" t="n">
        <v>12150</v>
      </c>
      <c r="K614" s="8" t="n">
        <v>11850</v>
      </c>
      <c r="L614" s="8" t="n">
        <v>334574</v>
      </c>
      <c r="M614" s="8" t="n">
        <v>64460</v>
      </c>
      <c r="N614" s="9" t="inlineStr">
        <is>
          <t>否</t>
        </is>
      </c>
      <c r="O614" t="inlineStr">
        <is>
          <t>缺 PP</t>
        </is>
      </c>
    </row>
    <row r="615">
      <c r="A615" s="7" t="inlineStr">
        <is>
          <t>2010-01-15</t>
        </is>
      </c>
      <c r="B615" s="8" t="n"/>
      <c r="C615" s="8" t="n"/>
      <c r="D615" s="8" t="n"/>
      <c r="E615" s="8" t="n"/>
      <c r="F615" s="8" t="n"/>
      <c r="G615" s="8" t="n"/>
      <c r="H615" s="8" t="n">
        <v>11840</v>
      </c>
      <c r="I615" s="8" t="n">
        <v>12035</v>
      </c>
      <c r="J615" s="8" t="n">
        <v>12055</v>
      </c>
      <c r="K615" s="8" t="n">
        <v>11770</v>
      </c>
      <c r="L615" s="8" t="n">
        <v>212622</v>
      </c>
      <c r="M615" s="8" t="n">
        <v>57490</v>
      </c>
      <c r="N615" s="9" t="inlineStr">
        <is>
          <t>否</t>
        </is>
      </c>
      <c r="O615" t="inlineStr">
        <is>
          <t>缺 PP</t>
        </is>
      </c>
    </row>
    <row r="616">
      <c r="A616" s="7" t="inlineStr">
        <is>
          <t>2010-01-18</t>
        </is>
      </c>
      <c r="B616" s="8" t="n"/>
      <c r="C616" s="8" t="n"/>
      <c r="D616" s="8" t="n"/>
      <c r="E616" s="8" t="n"/>
      <c r="F616" s="8" t="n"/>
      <c r="G616" s="8" t="n"/>
      <c r="H616" s="8" t="n">
        <v>11985</v>
      </c>
      <c r="I616" s="8" t="n">
        <v>11685</v>
      </c>
      <c r="J616" s="8" t="n">
        <v>12040</v>
      </c>
      <c r="K616" s="8" t="n">
        <v>11680</v>
      </c>
      <c r="L616" s="8" t="n">
        <v>378828</v>
      </c>
      <c r="M616" s="8" t="n">
        <v>73890</v>
      </c>
      <c r="N616" s="9" t="inlineStr">
        <is>
          <t>否</t>
        </is>
      </c>
      <c r="O616" t="inlineStr">
        <is>
          <t>缺 PP</t>
        </is>
      </c>
    </row>
    <row r="617">
      <c r="A617" s="7" t="inlineStr">
        <is>
          <t>2010-01-19</t>
        </is>
      </c>
      <c r="B617" s="8" t="n"/>
      <c r="C617" s="8" t="n"/>
      <c r="D617" s="8" t="n"/>
      <c r="E617" s="8" t="n"/>
      <c r="F617" s="8" t="n"/>
      <c r="G617" s="8" t="n"/>
      <c r="H617" s="8" t="n">
        <v>12000</v>
      </c>
      <c r="I617" s="8" t="n">
        <v>12030</v>
      </c>
      <c r="J617" s="8" t="n">
        <v>12075</v>
      </c>
      <c r="K617" s="8" t="n">
        <v>11920</v>
      </c>
      <c r="L617" s="8" t="n">
        <v>268256</v>
      </c>
      <c r="M617" s="8" t="n">
        <v>74398</v>
      </c>
      <c r="N617" s="9" t="inlineStr">
        <is>
          <t>否</t>
        </is>
      </c>
      <c r="O617" t="inlineStr">
        <is>
          <t>缺 PP</t>
        </is>
      </c>
    </row>
    <row r="618">
      <c r="A618" s="7" t="inlineStr">
        <is>
          <t>2010-01-20</t>
        </is>
      </c>
      <c r="B618" s="8" t="n"/>
      <c r="C618" s="8" t="n"/>
      <c r="D618" s="8" t="n"/>
      <c r="E618" s="8" t="n"/>
      <c r="F618" s="8" t="n"/>
      <c r="G618" s="8" t="n"/>
      <c r="H618" s="8" t="n">
        <v>12100</v>
      </c>
      <c r="I618" s="8" t="n">
        <v>12100</v>
      </c>
      <c r="J618" s="8" t="n">
        <v>12205</v>
      </c>
      <c r="K618" s="8" t="n">
        <v>12000</v>
      </c>
      <c r="L618" s="8" t="n">
        <v>353290</v>
      </c>
      <c r="M618" s="8" t="n">
        <v>73472</v>
      </c>
      <c r="N618" s="9" t="inlineStr">
        <is>
          <t>否</t>
        </is>
      </c>
      <c r="O618" t="inlineStr">
        <is>
          <t>缺 PP</t>
        </is>
      </c>
    </row>
    <row r="619">
      <c r="A619" s="7" t="inlineStr">
        <is>
          <t>2010-01-21</t>
        </is>
      </c>
      <c r="B619" s="8" t="n"/>
      <c r="C619" s="8" t="n"/>
      <c r="D619" s="8" t="n"/>
      <c r="E619" s="8" t="n"/>
      <c r="F619" s="8" t="n"/>
      <c r="G619" s="8" t="n"/>
      <c r="H619" s="8" t="n">
        <v>12335</v>
      </c>
      <c r="I619" s="8" t="n">
        <v>12100</v>
      </c>
      <c r="J619" s="8" t="n">
        <v>12335</v>
      </c>
      <c r="K619" s="8" t="n">
        <v>12065</v>
      </c>
      <c r="L619" s="8" t="n">
        <v>366340</v>
      </c>
      <c r="M619" s="8" t="n">
        <v>81580</v>
      </c>
      <c r="N619" s="9" t="inlineStr">
        <is>
          <t>否</t>
        </is>
      </c>
      <c r="O619" t="inlineStr">
        <is>
          <t>缺 PP</t>
        </is>
      </c>
    </row>
    <row r="620">
      <c r="A620" s="7" t="inlineStr">
        <is>
          <t>2010-01-22</t>
        </is>
      </c>
      <c r="B620" s="8" t="n"/>
      <c r="C620" s="8" t="n"/>
      <c r="D620" s="8" t="n"/>
      <c r="E620" s="8" t="n"/>
      <c r="F620" s="8" t="n"/>
      <c r="G620" s="8" t="n"/>
      <c r="H620" s="8" t="n">
        <v>12070</v>
      </c>
      <c r="I620" s="8" t="n">
        <v>12135</v>
      </c>
      <c r="J620" s="8" t="n">
        <v>12315</v>
      </c>
      <c r="K620" s="8" t="n">
        <v>11920</v>
      </c>
      <c r="L620" s="8" t="n">
        <v>429676</v>
      </c>
      <c r="M620" s="8" t="n">
        <v>65192</v>
      </c>
      <c r="N620" s="9" t="inlineStr">
        <is>
          <t>否</t>
        </is>
      </c>
      <c r="O620" t="inlineStr">
        <is>
          <t>缺 PP</t>
        </is>
      </c>
    </row>
    <row r="621">
      <c r="A621" s="7" t="inlineStr">
        <is>
          <t>2010-01-25</t>
        </is>
      </c>
      <c r="B621" s="8" t="n"/>
      <c r="C621" s="8" t="n"/>
      <c r="D621" s="8" t="n"/>
      <c r="E621" s="8" t="n"/>
      <c r="F621" s="8" t="n"/>
      <c r="G621" s="8" t="n"/>
      <c r="H621" s="8" t="n">
        <v>11945</v>
      </c>
      <c r="I621" s="8" t="n">
        <v>12030</v>
      </c>
      <c r="J621" s="8" t="n">
        <v>12070</v>
      </c>
      <c r="K621" s="8" t="n">
        <v>11880</v>
      </c>
      <c r="L621" s="8" t="n">
        <v>319172</v>
      </c>
      <c r="M621" s="8" t="n">
        <v>67690</v>
      </c>
      <c r="N621" s="9" t="inlineStr">
        <is>
          <t>否</t>
        </is>
      </c>
      <c r="O621" t="inlineStr">
        <is>
          <t>缺 PP</t>
        </is>
      </c>
    </row>
    <row r="622">
      <c r="A622" s="7" t="inlineStr">
        <is>
          <t>2010-01-26</t>
        </is>
      </c>
      <c r="B622" s="8" t="n"/>
      <c r="C622" s="8" t="n"/>
      <c r="D622" s="8" t="n"/>
      <c r="E622" s="8" t="n"/>
      <c r="F622" s="8" t="n"/>
      <c r="G622" s="8" t="n"/>
      <c r="H622" s="8" t="n">
        <v>11775</v>
      </c>
      <c r="I622" s="8" t="n">
        <v>12000</v>
      </c>
      <c r="J622" s="8" t="n">
        <v>12050</v>
      </c>
      <c r="K622" s="8" t="n">
        <v>11775</v>
      </c>
      <c r="L622" s="8" t="n">
        <v>279996</v>
      </c>
      <c r="M622" s="8" t="n">
        <v>65778</v>
      </c>
      <c r="N622" s="9" t="inlineStr">
        <is>
          <t>否</t>
        </is>
      </c>
      <c r="O622" t="inlineStr">
        <is>
          <t>缺 PP</t>
        </is>
      </c>
    </row>
    <row r="623">
      <c r="A623" s="7" t="inlineStr">
        <is>
          <t>2010-01-27</t>
        </is>
      </c>
      <c r="B623" s="8" t="n"/>
      <c r="C623" s="8" t="n"/>
      <c r="D623" s="8" t="n"/>
      <c r="E623" s="8" t="n"/>
      <c r="F623" s="8" t="n"/>
      <c r="G623" s="8" t="n"/>
      <c r="H623" s="8" t="n">
        <v>11575</v>
      </c>
      <c r="I623" s="8" t="n">
        <v>11835</v>
      </c>
      <c r="J623" s="8" t="n">
        <v>11845</v>
      </c>
      <c r="K623" s="8" t="n">
        <v>11535</v>
      </c>
      <c r="L623" s="8" t="n">
        <v>392762</v>
      </c>
      <c r="M623" s="8" t="n">
        <v>79610</v>
      </c>
      <c r="N623" s="9" t="inlineStr">
        <is>
          <t>否</t>
        </is>
      </c>
      <c r="O623" t="inlineStr">
        <is>
          <t>缺 PP</t>
        </is>
      </c>
    </row>
    <row r="624">
      <c r="A624" s="7" t="inlineStr">
        <is>
          <t>2010-01-28</t>
        </is>
      </c>
      <c r="B624" s="8" t="n"/>
      <c r="C624" s="8" t="n"/>
      <c r="D624" s="8" t="n"/>
      <c r="E624" s="8" t="n"/>
      <c r="F624" s="8" t="n"/>
      <c r="G624" s="8" t="n"/>
      <c r="H624" s="8" t="n">
        <v>11450</v>
      </c>
      <c r="I624" s="8" t="n">
        <v>11445</v>
      </c>
      <c r="J624" s="8" t="n">
        <v>11520</v>
      </c>
      <c r="K624" s="8" t="n">
        <v>11330</v>
      </c>
      <c r="L624" s="8" t="n">
        <v>346678</v>
      </c>
      <c r="M624" s="8" t="n">
        <v>77622</v>
      </c>
      <c r="N624" s="9" t="inlineStr">
        <is>
          <t>否</t>
        </is>
      </c>
      <c r="O624" t="inlineStr">
        <is>
          <t>缺 PP</t>
        </is>
      </c>
    </row>
    <row r="625">
      <c r="A625" s="7" t="inlineStr">
        <is>
          <t>2010-01-29</t>
        </is>
      </c>
      <c r="B625" s="8" t="n"/>
      <c r="C625" s="8" t="n"/>
      <c r="D625" s="8" t="n"/>
      <c r="E625" s="8" t="n"/>
      <c r="F625" s="8" t="n"/>
      <c r="G625" s="8" t="n"/>
      <c r="H625" s="8" t="n">
        <v>11450</v>
      </c>
      <c r="I625" s="8" t="n">
        <v>11425</v>
      </c>
      <c r="J625" s="8" t="n">
        <v>11500</v>
      </c>
      <c r="K625" s="8" t="n">
        <v>11360</v>
      </c>
      <c r="L625" s="8" t="n">
        <v>233502</v>
      </c>
      <c r="M625" s="8" t="n">
        <v>70530</v>
      </c>
      <c r="N625" s="9" t="inlineStr">
        <is>
          <t>否</t>
        </is>
      </c>
      <c r="O625" t="inlineStr">
        <is>
          <t>缺 PP</t>
        </is>
      </c>
    </row>
    <row r="626">
      <c r="A626" s="7" t="inlineStr">
        <is>
          <t>2010-02-01</t>
        </is>
      </c>
      <c r="B626" s="8" t="n"/>
      <c r="C626" s="8" t="n"/>
      <c r="D626" s="8" t="n"/>
      <c r="E626" s="8" t="n"/>
      <c r="F626" s="8" t="n"/>
      <c r="G626" s="8" t="n"/>
      <c r="H626" s="8" t="n">
        <v>11375</v>
      </c>
      <c r="I626" s="8" t="n">
        <v>11415</v>
      </c>
      <c r="J626" s="8" t="n">
        <v>11495</v>
      </c>
      <c r="K626" s="8" t="n">
        <v>11245</v>
      </c>
      <c r="L626" s="8" t="n">
        <v>279494</v>
      </c>
      <c r="M626" s="8" t="n">
        <v>71662</v>
      </c>
      <c r="N626" s="9" t="inlineStr">
        <is>
          <t>否</t>
        </is>
      </c>
      <c r="O626" t="inlineStr">
        <is>
          <t>缺 PP</t>
        </is>
      </c>
    </row>
    <row r="627">
      <c r="A627" s="7" t="inlineStr">
        <is>
          <t>2010-02-02</t>
        </is>
      </c>
      <c r="B627" s="8" t="n"/>
      <c r="C627" s="8" t="n"/>
      <c r="D627" s="8" t="n"/>
      <c r="E627" s="8" t="n"/>
      <c r="F627" s="8" t="n"/>
      <c r="G627" s="8" t="n"/>
      <c r="H627" s="8" t="n">
        <v>11285</v>
      </c>
      <c r="I627" s="8" t="n">
        <v>11500</v>
      </c>
      <c r="J627" s="8" t="n">
        <v>11600</v>
      </c>
      <c r="K627" s="8" t="n">
        <v>11150</v>
      </c>
      <c r="L627" s="8" t="n">
        <v>285564</v>
      </c>
      <c r="M627" s="8" t="n">
        <v>75532</v>
      </c>
      <c r="N627" s="9" t="inlineStr">
        <is>
          <t>否</t>
        </is>
      </c>
      <c r="O627" t="inlineStr">
        <is>
          <t>缺 PP</t>
        </is>
      </c>
    </row>
    <row r="628">
      <c r="A628" s="7" t="inlineStr">
        <is>
          <t>2010-02-03</t>
        </is>
      </c>
      <c r="B628" s="8" t="n"/>
      <c r="C628" s="8" t="n"/>
      <c r="D628" s="8" t="n"/>
      <c r="E628" s="8" t="n"/>
      <c r="F628" s="8" t="n"/>
      <c r="G628" s="8" t="n"/>
      <c r="H628" s="8" t="n">
        <v>11475</v>
      </c>
      <c r="I628" s="8" t="n">
        <v>11480</v>
      </c>
      <c r="J628" s="8" t="n">
        <v>11500</v>
      </c>
      <c r="K628" s="8" t="n">
        <v>11215</v>
      </c>
      <c r="L628" s="8" t="n">
        <v>350400</v>
      </c>
      <c r="M628" s="8" t="n">
        <v>73476</v>
      </c>
      <c r="N628" s="9" t="inlineStr">
        <is>
          <t>否</t>
        </is>
      </c>
      <c r="O628" t="inlineStr">
        <is>
          <t>缺 PP</t>
        </is>
      </c>
    </row>
    <row r="629">
      <c r="A629" s="7" t="inlineStr">
        <is>
          <t>2010-02-04</t>
        </is>
      </c>
      <c r="B629" s="8" t="n"/>
      <c r="C629" s="8" t="n"/>
      <c r="D629" s="8" t="n"/>
      <c r="E629" s="8" t="n"/>
      <c r="F629" s="8" t="n"/>
      <c r="G629" s="8" t="n"/>
      <c r="H629" s="8" t="n">
        <v>11390</v>
      </c>
      <c r="I629" s="8" t="n">
        <v>11370</v>
      </c>
      <c r="J629" s="8" t="n">
        <v>11485</v>
      </c>
      <c r="K629" s="8" t="n">
        <v>11330</v>
      </c>
      <c r="L629" s="8" t="n">
        <v>324340</v>
      </c>
      <c r="M629" s="8" t="n">
        <v>74554</v>
      </c>
      <c r="N629" s="9" t="inlineStr">
        <is>
          <t>否</t>
        </is>
      </c>
      <c r="O629" t="inlineStr">
        <is>
          <t>缺 PP</t>
        </is>
      </c>
    </row>
    <row r="630">
      <c r="A630" s="7" t="inlineStr">
        <is>
          <t>2010-02-05</t>
        </is>
      </c>
      <c r="B630" s="8" t="n"/>
      <c r="C630" s="8" t="n"/>
      <c r="D630" s="8" t="n"/>
      <c r="E630" s="8" t="n"/>
      <c r="F630" s="8" t="n"/>
      <c r="G630" s="8" t="n"/>
      <c r="H630" s="8" t="n">
        <v>11285</v>
      </c>
      <c r="I630" s="8" t="n">
        <v>11140</v>
      </c>
      <c r="J630" s="8" t="n">
        <v>11310</v>
      </c>
      <c r="K630" s="8" t="n">
        <v>11050</v>
      </c>
      <c r="L630" s="8" t="n">
        <v>262388</v>
      </c>
      <c r="M630" s="8" t="n">
        <v>65524</v>
      </c>
      <c r="N630" s="9" t="inlineStr">
        <is>
          <t>否</t>
        </is>
      </c>
      <c r="O630" t="inlineStr">
        <is>
          <t>缺 PP</t>
        </is>
      </c>
    </row>
    <row r="631">
      <c r="A631" s="7" t="inlineStr">
        <is>
          <t>2010-02-08</t>
        </is>
      </c>
      <c r="B631" s="8" t="n"/>
      <c r="C631" s="8" t="n"/>
      <c r="D631" s="8" t="n"/>
      <c r="E631" s="8" t="n"/>
      <c r="F631" s="8" t="n"/>
      <c r="G631" s="8" t="n"/>
      <c r="H631" s="8" t="n">
        <v>11395</v>
      </c>
      <c r="I631" s="8" t="n">
        <v>11300</v>
      </c>
      <c r="J631" s="8" t="n">
        <v>11480</v>
      </c>
      <c r="K631" s="8" t="n">
        <v>11285</v>
      </c>
      <c r="L631" s="8" t="n">
        <v>238000</v>
      </c>
      <c r="M631" s="8" t="n">
        <v>64572</v>
      </c>
      <c r="N631" s="9" t="inlineStr">
        <is>
          <t>否</t>
        </is>
      </c>
      <c r="O631" t="inlineStr">
        <is>
          <t>缺 PP</t>
        </is>
      </c>
    </row>
    <row r="632">
      <c r="A632" s="7" t="inlineStr">
        <is>
          <t>2010-02-09</t>
        </is>
      </c>
      <c r="B632" s="8" t="n"/>
      <c r="C632" s="8" t="n"/>
      <c r="D632" s="8" t="n"/>
      <c r="E632" s="8" t="n"/>
      <c r="F632" s="8" t="n"/>
      <c r="G632" s="8" t="n"/>
      <c r="H632" s="8" t="n">
        <v>11520</v>
      </c>
      <c r="I632" s="8" t="n">
        <v>11375</v>
      </c>
      <c r="J632" s="8" t="n">
        <v>11550</v>
      </c>
      <c r="K632" s="8" t="n">
        <v>11305</v>
      </c>
      <c r="L632" s="8" t="n">
        <v>215600</v>
      </c>
      <c r="M632" s="8" t="n">
        <v>64720</v>
      </c>
      <c r="N632" s="9" t="inlineStr">
        <is>
          <t>否</t>
        </is>
      </c>
      <c r="O632" t="inlineStr">
        <is>
          <t>缺 PP</t>
        </is>
      </c>
    </row>
    <row r="633">
      <c r="A633" s="7" t="inlineStr">
        <is>
          <t>2010-02-10</t>
        </is>
      </c>
      <c r="B633" s="8" t="n"/>
      <c r="C633" s="8" t="n"/>
      <c r="D633" s="8" t="n"/>
      <c r="E633" s="8" t="n"/>
      <c r="F633" s="8" t="n"/>
      <c r="G633" s="8" t="n"/>
      <c r="H633" s="8" t="n">
        <v>11645</v>
      </c>
      <c r="I633" s="8" t="n">
        <v>11580</v>
      </c>
      <c r="J633" s="8" t="n">
        <v>11695</v>
      </c>
      <c r="K633" s="8" t="n">
        <v>11520</v>
      </c>
      <c r="L633" s="8" t="n">
        <v>162576</v>
      </c>
      <c r="M633" s="8" t="n">
        <v>53314</v>
      </c>
      <c r="N633" s="9" t="inlineStr">
        <is>
          <t>否</t>
        </is>
      </c>
      <c r="O633" t="inlineStr">
        <is>
          <t>缺 PP</t>
        </is>
      </c>
    </row>
    <row r="634">
      <c r="A634" s="7" t="inlineStr">
        <is>
          <t>2010-02-11</t>
        </is>
      </c>
      <c r="B634" s="8" t="n"/>
      <c r="C634" s="8" t="n"/>
      <c r="D634" s="8" t="n"/>
      <c r="E634" s="8" t="n"/>
      <c r="F634" s="8" t="n"/>
      <c r="G634" s="8" t="n"/>
      <c r="H634" s="8" t="n">
        <v>11690</v>
      </c>
      <c r="I634" s="8" t="n">
        <v>11715</v>
      </c>
      <c r="J634" s="8" t="n">
        <v>11780</v>
      </c>
      <c r="K634" s="8" t="n">
        <v>11630</v>
      </c>
      <c r="L634" s="8" t="n">
        <v>103400</v>
      </c>
      <c r="M634" s="8" t="n">
        <v>49270</v>
      </c>
      <c r="N634" s="9" t="inlineStr">
        <is>
          <t>否</t>
        </is>
      </c>
      <c r="O634" t="inlineStr">
        <is>
          <t>缺 PP</t>
        </is>
      </c>
    </row>
    <row r="635">
      <c r="A635" s="7" t="inlineStr">
        <is>
          <t>2010-02-12</t>
        </is>
      </c>
      <c r="B635" s="8" t="n"/>
      <c r="C635" s="8" t="n"/>
      <c r="D635" s="8" t="n"/>
      <c r="E635" s="8" t="n"/>
      <c r="F635" s="8" t="n"/>
      <c r="G635" s="8" t="n"/>
      <c r="H635" s="8" t="n">
        <v>11790</v>
      </c>
      <c r="I635" s="8" t="n">
        <v>11715</v>
      </c>
      <c r="J635" s="8" t="n">
        <v>11810</v>
      </c>
      <c r="K635" s="8" t="n">
        <v>11625</v>
      </c>
      <c r="L635" s="8" t="n">
        <v>56974</v>
      </c>
      <c r="M635" s="8" t="n">
        <v>45262</v>
      </c>
      <c r="N635" s="9" t="inlineStr">
        <is>
          <t>否</t>
        </is>
      </c>
      <c r="O635" t="inlineStr">
        <is>
          <t>缺 PP</t>
        </is>
      </c>
    </row>
    <row r="636">
      <c r="A636" s="7" t="inlineStr">
        <is>
          <t>2010-02-22</t>
        </is>
      </c>
      <c r="B636" s="8" t="n"/>
      <c r="C636" s="8" t="n"/>
      <c r="D636" s="8" t="n"/>
      <c r="E636" s="8" t="n"/>
      <c r="F636" s="8" t="n"/>
      <c r="G636" s="8" t="n"/>
      <c r="H636" s="8" t="n">
        <v>12095</v>
      </c>
      <c r="I636" s="8" t="n">
        <v>12300</v>
      </c>
      <c r="J636" s="8" t="n">
        <v>12320</v>
      </c>
      <c r="K636" s="8" t="n">
        <v>12010</v>
      </c>
      <c r="L636" s="8" t="n">
        <v>71674</v>
      </c>
      <c r="M636" s="8" t="n">
        <v>40434</v>
      </c>
      <c r="N636" s="9" t="inlineStr">
        <is>
          <t>否</t>
        </is>
      </c>
      <c r="O636" t="inlineStr">
        <is>
          <t>缺 PP</t>
        </is>
      </c>
    </row>
    <row r="637">
      <c r="A637" s="7" t="inlineStr">
        <is>
          <t>2010-02-23</t>
        </is>
      </c>
      <c r="B637" s="8" t="n"/>
      <c r="C637" s="8" t="n"/>
      <c r="D637" s="8" t="n"/>
      <c r="E637" s="8" t="n"/>
      <c r="F637" s="8" t="n"/>
      <c r="G637" s="8" t="n"/>
      <c r="H637" s="8" t="n">
        <v>12125</v>
      </c>
      <c r="I637" s="8" t="n">
        <v>12075</v>
      </c>
      <c r="J637" s="8" t="n">
        <v>12155</v>
      </c>
      <c r="K637" s="8" t="n">
        <v>12015</v>
      </c>
      <c r="L637" s="8" t="n">
        <v>84224</v>
      </c>
      <c r="M637" s="8" t="n">
        <v>48004</v>
      </c>
      <c r="N637" s="9" t="inlineStr">
        <is>
          <t>否</t>
        </is>
      </c>
      <c r="O637" t="inlineStr">
        <is>
          <t>缺 PP</t>
        </is>
      </c>
    </row>
    <row r="638">
      <c r="A638" s="7" t="inlineStr">
        <is>
          <t>2010-02-24</t>
        </is>
      </c>
      <c r="B638" s="8" t="n"/>
      <c r="C638" s="8" t="n"/>
      <c r="D638" s="8" t="n"/>
      <c r="E638" s="8" t="n"/>
      <c r="F638" s="8" t="n"/>
      <c r="G638" s="8" t="n"/>
      <c r="H638" s="8" t="n">
        <v>12060</v>
      </c>
      <c r="I638" s="8" t="n">
        <v>12025</v>
      </c>
      <c r="J638" s="8" t="n">
        <v>12160</v>
      </c>
      <c r="K638" s="8" t="n">
        <v>12020</v>
      </c>
      <c r="L638" s="8" t="n">
        <v>84108</v>
      </c>
      <c r="M638" s="8" t="n">
        <v>49434</v>
      </c>
      <c r="N638" s="9" t="inlineStr">
        <is>
          <t>否</t>
        </is>
      </c>
      <c r="O638" t="inlineStr">
        <is>
          <t>缺 PP</t>
        </is>
      </c>
    </row>
    <row r="639">
      <c r="A639" s="7" t="inlineStr">
        <is>
          <t>2010-02-25</t>
        </is>
      </c>
      <c r="B639" s="8" t="n"/>
      <c r="C639" s="8" t="n"/>
      <c r="D639" s="8" t="n"/>
      <c r="E639" s="8" t="n"/>
      <c r="F639" s="8" t="n"/>
      <c r="G639" s="8" t="n"/>
      <c r="H639" s="8" t="n">
        <v>11855</v>
      </c>
      <c r="I639" s="8" t="n">
        <v>12055</v>
      </c>
      <c r="J639" s="8" t="n">
        <v>12145</v>
      </c>
      <c r="K639" s="8" t="n">
        <v>11835</v>
      </c>
      <c r="L639" s="8" t="n">
        <v>155272</v>
      </c>
      <c r="M639" s="8" t="n">
        <v>55300</v>
      </c>
      <c r="N639" s="9" t="inlineStr">
        <is>
          <t>否</t>
        </is>
      </c>
      <c r="O639" t="inlineStr">
        <is>
          <t>缺 PP</t>
        </is>
      </c>
    </row>
    <row r="640">
      <c r="A640" s="7" t="inlineStr">
        <is>
          <t>2010-02-26</t>
        </is>
      </c>
      <c r="B640" s="8" t="n"/>
      <c r="C640" s="8" t="n"/>
      <c r="D640" s="8" t="n"/>
      <c r="E640" s="8" t="n"/>
      <c r="F640" s="8" t="n"/>
      <c r="G640" s="8" t="n"/>
      <c r="H640" s="8" t="n">
        <v>11890</v>
      </c>
      <c r="I640" s="8" t="n">
        <v>11835</v>
      </c>
      <c r="J640" s="8" t="n">
        <v>11945</v>
      </c>
      <c r="K640" s="8" t="n">
        <v>11810</v>
      </c>
      <c r="L640" s="8" t="n">
        <v>100704</v>
      </c>
      <c r="M640" s="8" t="n">
        <v>53354</v>
      </c>
      <c r="N640" s="9" t="inlineStr">
        <is>
          <t>否</t>
        </is>
      </c>
      <c r="O640" t="inlineStr">
        <is>
          <t>缺 PP</t>
        </is>
      </c>
    </row>
    <row r="641">
      <c r="A641" s="7" t="inlineStr">
        <is>
          <t>2010-03-01</t>
        </is>
      </c>
      <c r="B641" s="8" t="n"/>
      <c r="C641" s="8" t="n"/>
      <c r="D641" s="8" t="n"/>
      <c r="E641" s="8" t="n"/>
      <c r="F641" s="8" t="n"/>
      <c r="G641" s="8" t="n"/>
      <c r="H641" s="8" t="n">
        <v>11915</v>
      </c>
      <c r="I641" s="8" t="n">
        <v>12010</v>
      </c>
      <c r="J641" s="8" t="n">
        <v>12055</v>
      </c>
      <c r="K641" s="8" t="n">
        <v>11835</v>
      </c>
      <c r="L641" s="8" t="n">
        <v>104138</v>
      </c>
      <c r="M641" s="8" t="n">
        <v>55320</v>
      </c>
      <c r="N641" s="9" t="inlineStr">
        <is>
          <t>否</t>
        </is>
      </c>
      <c r="O641" t="inlineStr">
        <is>
          <t>缺 PP</t>
        </is>
      </c>
    </row>
    <row r="642">
      <c r="A642" s="7" t="inlineStr">
        <is>
          <t>2010-03-02</t>
        </is>
      </c>
      <c r="B642" s="8" t="n"/>
      <c r="C642" s="8" t="n"/>
      <c r="D642" s="8" t="n"/>
      <c r="E642" s="8" t="n"/>
      <c r="F642" s="8" t="n"/>
      <c r="G642" s="8" t="n"/>
      <c r="H642" s="8" t="n">
        <v>11640</v>
      </c>
      <c r="I642" s="8" t="n">
        <v>11870</v>
      </c>
      <c r="J642" s="8" t="n">
        <v>11910</v>
      </c>
      <c r="K642" s="8" t="n">
        <v>11625</v>
      </c>
      <c r="L642" s="8" t="n">
        <v>165540</v>
      </c>
      <c r="M642" s="8" t="n">
        <v>62790</v>
      </c>
      <c r="N642" s="9" t="inlineStr">
        <is>
          <t>否</t>
        </is>
      </c>
      <c r="O642" t="inlineStr">
        <is>
          <t>缺 PP</t>
        </is>
      </c>
    </row>
    <row r="643">
      <c r="A643" s="7" t="inlineStr">
        <is>
          <t>2010-03-03</t>
        </is>
      </c>
      <c r="B643" s="8" t="n"/>
      <c r="C643" s="8" t="n"/>
      <c r="D643" s="8" t="n"/>
      <c r="E643" s="8" t="n"/>
      <c r="F643" s="8" t="n"/>
      <c r="G643" s="8" t="n"/>
      <c r="H643" s="8" t="n">
        <v>11695</v>
      </c>
      <c r="I643" s="8" t="n">
        <v>11720</v>
      </c>
      <c r="J643" s="8" t="n">
        <v>11755</v>
      </c>
      <c r="K643" s="8" t="n">
        <v>11655</v>
      </c>
      <c r="L643" s="8" t="n">
        <v>141562</v>
      </c>
      <c r="M643" s="8" t="n">
        <v>71466</v>
      </c>
      <c r="N643" s="9" t="inlineStr">
        <is>
          <t>否</t>
        </is>
      </c>
      <c r="O643" t="inlineStr">
        <is>
          <t>缺 PP</t>
        </is>
      </c>
    </row>
    <row r="644">
      <c r="A644" s="7" t="inlineStr">
        <is>
          <t>2010-03-04</t>
        </is>
      </c>
      <c r="B644" s="8" t="n"/>
      <c r="C644" s="8" t="n"/>
      <c r="D644" s="8" t="n"/>
      <c r="E644" s="8" t="n"/>
      <c r="F644" s="8" t="n"/>
      <c r="G644" s="8" t="n"/>
      <c r="H644" s="8" t="n">
        <v>11520</v>
      </c>
      <c r="I644" s="8" t="n">
        <v>11755</v>
      </c>
      <c r="J644" s="8" t="n">
        <v>11810</v>
      </c>
      <c r="K644" s="8" t="n">
        <v>11480</v>
      </c>
      <c r="L644" s="8" t="n">
        <v>221452</v>
      </c>
      <c r="M644" s="8" t="n">
        <v>75936</v>
      </c>
      <c r="N644" s="9" t="inlineStr">
        <is>
          <t>否</t>
        </is>
      </c>
      <c r="O644" t="inlineStr">
        <is>
          <t>缺 PP</t>
        </is>
      </c>
    </row>
    <row r="645">
      <c r="A645" s="7" t="inlineStr">
        <is>
          <t>2010-03-05</t>
        </is>
      </c>
      <c r="B645" s="8" t="n"/>
      <c r="C645" s="8" t="n"/>
      <c r="D645" s="8" t="n"/>
      <c r="E645" s="8" t="n"/>
      <c r="F645" s="8" t="n"/>
      <c r="G645" s="8" t="n"/>
      <c r="H645" s="8" t="n">
        <v>11495</v>
      </c>
      <c r="I645" s="8" t="n">
        <v>11525</v>
      </c>
      <c r="J645" s="8" t="n">
        <v>11555</v>
      </c>
      <c r="K645" s="8" t="n">
        <v>11445</v>
      </c>
      <c r="L645" s="8" t="n">
        <v>180914</v>
      </c>
      <c r="M645" s="8" t="n">
        <v>81786</v>
      </c>
      <c r="N645" s="9" t="inlineStr">
        <is>
          <t>否</t>
        </is>
      </c>
      <c r="O645" t="inlineStr">
        <is>
          <t>缺 PP</t>
        </is>
      </c>
    </row>
    <row r="646">
      <c r="A646" s="7" t="inlineStr">
        <is>
          <t>2010-03-08</t>
        </is>
      </c>
      <c r="B646" s="8" t="n"/>
      <c r="C646" s="8" t="n"/>
      <c r="D646" s="8" t="n"/>
      <c r="E646" s="8" t="n"/>
      <c r="F646" s="8" t="n"/>
      <c r="G646" s="8" t="n"/>
      <c r="H646" s="8" t="n">
        <v>11620</v>
      </c>
      <c r="I646" s="8" t="n">
        <v>11550</v>
      </c>
      <c r="J646" s="8" t="n">
        <v>11685</v>
      </c>
      <c r="K646" s="8" t="n">
        <v>11400</v>
      </c>
      <c r="L646" s="8" t="n">
        <v>323210</v>
      </c>
      <c r="M646" s="8" t="n">
        <v>102354</v>
      </c>
      <c r="N646" s="9" t="inlineStr">
        <is>
          <t>否</t>
        </is>
      </c>
      <c r="O646" t="inlineStr">
        <is>
          <t>缺 PP</t>
        </is>
      </c>
    </row>
    <row r="647">
      <c r="A647" s="7" t="inlineStr">
        <is>
          <t>2010-03-09</t>
        </is>
      </c>
      <c r="B647" s="8" t="n"/>
      <c r="C647" s="8" t="n"/>
      <c r="D647" s="8" t="n"/>
      <c r="E647" s="8" t="n"/>
      <c r="F647" s="8" t="n"/>
      <c r="G647" s="8" t="n"/>
      <c r="H647" s="8" t="n">
        <v>11540</v>
      </c>
      <c r="I647" s="8" t="n">
        <v>11580</v>
      </c>
      <c r="J647" s="8" t="n">
        <v>11640</v>
      </c>
      <c r="K647" s="8" t="n">
        <v>11520</v>
      </c>
      <c r="L647" s="8" t="n">
        <v>204934</v>
      </c>
      <c r="M647" s="8" t="n">
        <v>107764</v>
      </c>
      <c r="N647" s="9" t="inlineStr">
        <is>
          <t>否</t>
        </is>
      </c>
      <c r="O647" t="inlineStr">
        <is>
          <t>缺 PP</t>
        </is>
      </c>
    </row>
    <row r="648">
      <c r="A648" s="7" t="inlineStr">
        <is>
          <t>2010-03-10</t>
        </is>
      </c>
      <c r="B648" s="8" t="n"/>
      <c r="C648" s="8" t="n"/>
      <c r="D648" s="8" t="n"/>
      <c r="E648" s="8" t="n"/>
      <c r="F648" s="8" t="n"/>
      <c r="G648" s="8" t="n"/>
      <c r="H648" s="8" t="n">
        <v>11535</v>
      </c>
      <c r="I648" s="8" t="n">
        <v>11500</v>
      </c>
      <c r="J648" s="8" t="n">
        <v>11660</v>
      </c>
      <c r="K648" s="8" t="n">
        <v>11480</v>
      </c>
      <c r="L648" s="8" t="n">
        <v>262132</v>
      </c>
      <c r="M648" s="8" t="n">
        <v>110308</v>
      </c>
      <c r="N648" s="9" t="inlineStr">
        <is>
          <t>否</t>
        </is>
      </c>
      <c r="O648" t="inlineStr">
        <is>
          <t>缺 PP</t>
        </is>
      </c>
    </row>
    <row r="649">
      <c r="A649" s="7" t="inlineStr">
        <is>
          <t>2010-03-11</t>
        </is>
      </c>
      <c r="B649" s="8" t="n"/>
      <c r="C649" s="8" t="n"/>
      <c r="D649" s="8" t="n"/>
      <c r="E649" s="8" t="n"/>
      <c r="F649" s="8" t="n"/>
      <c r="G649" s="8" t="n"/>
      <c r="H649" s="8" t="n">
        <v>11270</v>
      </c>
      <c r="I649" s="8" t="n">
        <v>11550</v>
      </c>
      <c r="J649" s="8" t="n">
        <v>11595</v>
      </c>
      <c r="K649" s="8" t="n">
        <v>11250</v>
      </c>
      <c r="L649" s="8" t="n">
        <v>304614</v>
      </c>
      <c r="M649" s="8" t="n">
        <v>118390</v>
      </c>
      <c r="N649" s="9" t="inlineStr">
        <is>
          <t>否</t>
        </is>
      </c>
      <c r="O649" t="inlineStr">
        <is>
          <t>缺 PP</t>
        </is>
      </c>
    </row>
    <row r="650">
      <c r="A650" s="7" t="inlineStr">
        <is>
          <t>2010-03-12</t>
        </is>
      </c>
      <c r="B650" s="8" t="n"/>
      <c r="C650" s="8" t="n"/>
      <c r="D650" s="8" t="n"/>
      <c r="E650" s="8" t="n"/>
      <c r="F650" s="8" t="n"/>
      <c r="G650" s="8" t="n"/>
      <c r="H650" s="8" t="n">
        <v>11345</v>
      </c>
      <c r="I650" s="8" t="n">
        <v>11295</v>
      </c>
      <c r="J650" s="8" t="n">
        <v>11370</v>
      </c>
      <c r="K650" s="8" t="n">
        <v>11200</v>
      </c>
      <c r="L650" s="8" t="n">
        <v>300704</v>
      </c>
      <c r="M650" s="8" t="n">
        <v>116204</v>
      </c>
      <c r="N650" s="9" t="inlineStr">
        <is>
          <t>否</t>
        </is>
      </c>
      <c r="O650" t="inlineStr">
        <is>
          <t>缺 PP</t>
        </is>
      </c>
    </row>
    <row r="651">
      <c r="A651" s="7" t="inlineStr">
        <is>
          <t>2010-03-15</t>
        </is>
      </c>
      <c r="B651" s="8" t="n"/>
      <c r="C651" s="8" t="n"/>
      <c r="D651" s="8" t="n"/>
      <c r="E651" s="8" t="n"/>
      <c r="F651" s="8" t="n"/>
      <c r="G651" s="8" t="n"/>
      <c r="H651" s="8" t="n">
        <v>10960</v>
      </c>
      <c r="I651" s="8" t="n">
        <v>11330</v>
      </c>
      <c r="J651" s="8" t="n">
        <v>11330</v>
      </c>
      <c r="K651" s="8" t="n">
        <v>10920</v>
      </c>
      <c r="L651" s="8" t="n">
        <v>314430</v>
      </c>
      <c r="M651" s="8" t="n">
        <v>128760</v>
      </c>
      <c r="N651" s="9" t="inlineStr">
        <is>
          <t>否</t>
        </is>
      </c>
      <c r="O651" t="inlineStr">
        <is>
          <t>缺 PP</t>
        </is>
      </c>
    </row>
    <row r="652">
      <c r="A652" s="7" t="inlineStr">
        <is>
          <t>2010-03-16</t>
        </is>
      </c>
      <c r="B652" s="8" t="n"/>
      <c r="C652" s="8" t="n"/>
      <c r="D652" s="8" t="n"/>
      <c r="E652" s="8" t="n"/>
      <c r="F652" s="8" t="n"/>
      <c r="G652" s="8" t="n"/>
      <c r="H652" s="8" t="n">
        <v>10920</v>
      </c>
      <c r="I652" s="8" t="n">
        <v>10865</v>
      </c>
      <c r="J652" s="8" t="n">
        <v>11000</v>
      </c>
      <c r="K652" s="8" t="n">
        <v>10835</v>
      </c>
      <c r="L652" s="8" t="n">
        <v>359740</v>
      </c>
      <c r="M652" s="8" t="n">
        <v>129098</v>
      </c>
      <c r="N652" s="9" t="inlineStr">
        <is>
          <t>否</t>
        </is>
      </c>
      <c r="O652" t="inlineStr">
        <is>
          <t>缺 PP</t>
        </is>
      </c>
    </row>
    <row r="653">
      <c r="A653" s="7" t="inlineStr">
        <is>
          <t>2010-03-17</t>
        </is>
      </c>
      <c r="B653" s="8" t="n"/>
      <c r="C653" s="8" t="n"/>
      <c r="D653" s="8" t="n"/>
      <c r="E653" s="8" t="n"/>
      <c r="F653" s="8" t="n"/>
      <c r="G653" s="8" t="n"/>
      <c r="H653" s="8" t="n">
        <v>11220</v>
      </c>
      <c r="I653" s="8" t="n">
        <v>11000</v>
      </c>
      <c r="J653" s="8" t="n">
        <v>11250</v>
      </c>
      <c r="K653" s="8" t="n">
        <v>10950</v>
      </c>
      <c r="L653" s="8" t="n">
        <v>380610</v>
      </c>
      <c r="M653" s="8" t="n">
        <v>117738</v>
      </c>
      <c r="N653" s="9" t="inlineStr">
        <is>
          <t>否</t>
        </is>
      </c>
      <c r="O653" t="inlineStr">
        <is>
          <t>缺 PP</t>
        </is>
      </c>
    </row>
    <row r="654">
      <c r="A654" s="7" t="inlineStr">
        <is>
          <t>2010-03-18</t>
        </is>
      </c>
      <c r="B654" s="8" t="n"/>
      <c r="C654" s="8" t="n"/>
      <c r="D654" s="8" t="n"/>
      <c r="E654" s="8" t="n"/>
      <c r="F654" s="8" t="n"/>
      <c r="G654" s="8" t="n"/>
      <c r="H654" s="8" t="n">
        <v>11100</v>
      </c>
      <c r="I654" s="8" t="n">
        <v>11175</v>
      </c>
      <c r="J654" s="8" t="n">
        <v>11305</v>
      </c>
      <c r="K654" s="8" t="n">
        <v>11060</v>
      </c>
      <c r="L654" s="8" t="n">
        <v>368450</v>
      </c>
      <c r="M654" s="8" t="n">
        <v>117884</v>
      </c>
      <c r="N654" s="9" t="inlineStr">
        <is>
          <t>否</t>
        </is>
      </c>
      <c r="O654" t="inlineStr">
        <is>
          <t>缺 PP</t>
        </is>
      </c>
    </row>
    <row r="655">
      <c r="A655" s="7" t="inlineStr">
        <is>
          <t>2010-03-19</t>
        </is>
      </c>
      <c r="B655" s="8" t="n"/>
      <c r="C655" s="8" t="n"/>
      <c r="D655" s="8" t="n"/>
      <c r="E655" s="8" t="n"/>
      <c r="F655" s="8" t="n"/>
      <c r="G655" s="8" t="n"/>
      <c r="H655" s="8" t="n">
        <v>11245</v>
      </c>
      <c r="I655" s="8" t="n">
        <v>11095</v>
      </c>
      <c r="J655" s="8" t="n">
        <v>11260</v>
      </c>
      <c r="K655" s="8" t="n">
        <v>11065</v>
      </c>
      <c r="L655" s="8" t="n">
        <v>306790</v>
      </c>
      <c r="M655" s="8" t="n">
        <v>107696</v>
      </c>
      <c r="N655" s="9" t="inlineStr">
        <is>
          <t>否</t>
        </is>
      </c>
      <c r="O655" t="inlineStr">
        <is>
          <t>缺 PP</t>
        </is>
      </c>
    </row>
    <row r="656">
      <c r="A656" s="7" t="inlineStr">
        <is>
          <t>2010-03-22</t>
        </is>
      </c>
      <c r="B656" s="8" t="n"/>
      <c r="C656" s="8" t="n"/>
      <c r="D656" s="8" t="n"/>
      <c r="E656" s="8" t="n"/>
      <c r="F656" s="8" t="n"/>
      <c r="G656" s="8" t="n"/>
      <c r="H656" s="8" t="n">
        <v>11335</v>
      </c>
      <c r="I656" s="8" t="n">
        <v>11160</v>
      </c>
      <c r="J656" s="8" t="n">
        <v>11370</v>
      </c>
      <c r="K656" s="8" t="n">
        <v>11145</v>
      </c>
      <c r="L656" s="8" t="n">
        <v>317170</v>
      </c>
      <c r="M656" s="8" t="n">
        <v>94830</v>
      </c>
      <c r="N656" s="9" t="inlineStr">
        <is>
          <t>否</t>
        </is>
      </c>
      <c r="O656" t="inlineStr">
        <is>
          <t>缺 PP</t>
        </is>
      </c>
    </row>
    <row r="657">
      <c r="A657" s="7" t="inlineStr">
        <is>
          <t>2010-03-23</t>
        </is>
      </c>
      <c r="B657" s="8" t="n"/>
      <c r="C657" s="8" t="n"/>
      <c r="D657" s="8" t="n"/>
      <c r="E657" s="8" t="n"/>
      <c r="F657" s="8" t="n"/>
      <c r="G657" s="8" t="n"/>
      <c r="H657" s="8" t="n">
        <v>11355</v>
      </c>
      <c r="I657" s="8" t="n">
        <v>11400</v>
      </c>
      <c r="J657" s="8" t="n">
        <v>11465</v>
      </c>
      <c r="K657" s="8" t="n">
        <v>11285</v>
      </c>
      <c r="L657" s="8" t="n">
        <v>302550</v>
      </c>
      <c r="M657" s="8" t="n">
        <v>88460</v>
      </c>
      <c r="N657" s="9" t="inlineStr">
        <is>
          <t>否</t>
        </is>
      </c>
      <c r="O657" t="inlineStr">
        <is>
          <t>缺 PP</t>
        </is>
      </c>
    </row>
    <row r="658">
      <c r="A658" s="7" t="inlineStr">
        <is>
          <t>2010-03-24</t>
        </is>
      </c>
      <c r="B658" s="8" t="n"/>
      <c r="C658" s="8" t="n"/>
      <c r="D658" s="8" t="n"/>
      <c r="E658" s="8" t="n"/>
      <c r="F658" s="8" t="n"/>
      <c r="G658" s="8" t="n"/>
      <c r="H658" s="8" t="n">
        <v>11275</v>
      </c>
      <c r="I658" s="8" t="n">
        <v>11355</v>
      </c>
      <c r="J658" s="8" t="n">
        <v>11435</v>
      </c>
      <c r="K658" s="8" t="n">
        <v>11205</v>
      </c>
      <c r="L658" s="8" t="n">
        <v>310814</v>
      </c>
      <c r="M658" s="8" t="n">
        <v>77556</v>
      </c>
      <c r="N658" s="9" t="inlineStr">
        <is>
          <t>否</t>
        </is>
      </c>
      <c r="O658" t="inlineStr">
        <is>
          <t>缺 PP</t>
        </is>
      </c>
    </row>
    <row r="659">
      <c r="A659" s="7" t="inlineStr">
        <is>
          <t>2010-03-25</t>
        </is>
      </c>
      <c r="B659" s="8" t="n"/>
      <c r="C659" s="8" t="n"/>
      <c r="D659" s="8" t="n"/>
      <c r="E659" s="8" t="n"/>
      <c r="F659" s="8" t="n"/>
      <c r="G659" s="8" t="n"/>
      <c r="H659" s="8" t="n">
        <v>11450</v>
      </c>
      <c r="I659" s="8" t="n">
        <v>11360</v>
      </c>
      <c r="J659" s="8" t="n">
        <v>11525</v>
      </c>
      <c r="K659" s="8" t="n">
        <v>11335</v>
      </c>
      <c r="L659" s="8" t="n">
        <v>155476</v>
      </c>
      <c r="M659" s="8" t="n">
        <v>58508</v>
      </c>
      <c r="N659" s="9" t="inlineStr">
        <is>
          <t>否</t>
        </is>
      </c>
      <c r="O659" t="inlineStr">
        <is>
          <t>缺 PP</t>
        </is>
      </c>
    </row>
    <row r="660">
      <c r="A660" s="7" t="inlineStr">
        <is>
          <t>2010-03-26</t>
        </is>
      </c>
      <c r="B660" s="8" t="n"/>
      <c r="C660" s="8" t="n"/>
      <c r="D660" s="8" t="n"/>
      <c r="E660" s="8" t="n"/>
      <c r="F660" s="8" t="n"/>
      <c r="G660" s="8" t="n"/>
      <c r="H660" s="8" t="n">
        <v>11575</v>
      </c>
      <c r="I660" s="8" t="n">
        <v>11440</v>
      </c>
      <c r="J660" s="8" t="n">
        <v>11650</v>
      </c>
      <c r="K660" s="8" t="n">
        <v>11430</v>
      </c>
      <c r="L660" s="8" t="n">
        <v>226196</v>
      </c>
      <c r="M660" s="8" t="n">
        <v>70962</v>
      </c>
      <c r="N660" s="9" t="inlineStr">
        <is>
          <t>否</t>
        </is>
      </c>
      <c r="O660" t="inlineStr">
        <is>
          <t>缺 PP</t>
        </is>
      </c>
    </row>
    <row r="661">
      <c r="A661" s="7" t="inlineStr">
        <is>
          <t>2010-03-29</t>
        </is>
      </c>
      <c r="B661" s="8" t="n"/>
      <c r="C661" s="8" t="n"/>
      <c r="D661" s="8" t="n"/>
      <c r="E661" s="8" t="n"/>
      <c r="F661" s="8" t="n"/>
      <c r="G661" s="8" t="n"/>
      <c r="H661" s="8" t="n">
        <v>11635</v>
      </c>
      <c r="I661" s="8" t="n">
        <v>11620</v>
      </c>
      <c r="J661" s="8" t="n">
        <v>11680</v>
      </c>
      <c r="K661" s="8" t="n">
        <v>11540</v>
      </c>
      <c r="L661" s="8" t="n">
        <v>217654</v>
      </c>
      <c r="M661" s="8" t="n">
        <v>76084</v>
      </c>
      <c r="N661" s="9" t="inlineStr">
        <is>
          <t>否</t>
        </is>
      </c>
      <c r="O661" t="inlineStr">
        <is>
          <t>缺 PP</t>
        </is>
      </c>
    </row>
    <row r="662">
      <c r="A662" s="7" t="inlineStr">
        <is>
          <t>2010-03-30</t>
        </is>
      </c>
      <c r="B662" s="8" t="n"/>
      <c r="C662" s="8" t="n"/>
      <c r="D662" s="8" t="n"/>
      <c r="E662" s="8" t="n"/>
      <c r="F662" s="8" t="n"/>
      <c r="G662" s="8" t="n"/>
      <c r="H662" s="8" t="n">
        <v>11500</v>
      </c>
      <c r="I662" s="8" t="n">
        <v>11695</v>
      </c>
      <c r="J662" s="8" t="n">
        <v>11700</v>
      </c>
      <c r="K662" s="8" t="n">
        <v>11435</v>
      </c>
      <c r="L662" s="8" t="n">
        <v>249828</v>
      </c>
      <c r="M662" s="8" t="n">
        <v>84378</v>
      </c>
      <c r="N662" s="9" t="inlineStr">
        <is>
          <t>否</t>
        </is>
      </c>
      <c r="O662" t="inlineStr">
        <is>
          <t>缺 PP</t>
        </is>
      </c>
    </row>
    <row r="663">
      <c r="A663" s="7" t="inlineStr">
        <is>
          <t>2010-03-31</t>
        </is>
      </c>
      <c r="B663" s="8" t="n"/>
      <c r="C663" s="8" t="n"/>
      <c r="D663" s="8" t="n"/>
      <c r="E663" s="8" t="n"/>
      <c r="F663" s="8" t="n"/>
      <c r="G663" s="8" t="n"/>
      <c r="H663" s="8" t="n">
        <v>11380</v>
      </c>
      <c r="I663" s="8" t="n">
        <v>11500</v>
      </c>
      <c r="J663" s="8" t="n">
        <v>11530</v>
      </c>
      <c r="K663" s="8" t="n">
        <v>11355</v>
      </c>
      <c r="L663" s="8" t="n">
        <v>308014</v>
      </c>
      <c r="M663" s="8" t="n">
        <v>95742</v>
      </c>
      <c r="N663" s="9" t="inlineStr">
        <is>
          <t>否</t>
        </is>
      </c>
      <c r="O663" t="inlineStr">
        <is>
          <t>缺 PP</t>
        </is>
      </c>
    </row>
    <row r="664">
      <c r="A664" s="7" t="inlineStr">
        <is>
          <t>2010-04-01</t>
        </is>
      </c>
      <c r="B664" s="8" t="n"/>
      <c r="C664" s="8" t="n"/>
      <c r="D664" s="8" t="n"/>
      <c r="E664" s="8" t="n"/>
      <c r="F664" s="8" t="n"/>
      <c r="G664" s="8" t="n"/>
      <c r="H664" s="8" t="n">
        <v>11430</v>
      </c>
      <c r="I664" s="8" t="n">
        <v>11415</v>
      </c>
      <c r="J664" s="8" t="n">
        <v>11520</v>
      </c>
      <c r="K664" s="8" t="n">
        <v>11405</v>
      </c>
      <c r="L664" s="8" t="n">
        <v>192020</v>
      </c>
      <c r="M664" s="8" t="n">
        <v>88506</v>
      </c>
      <c r="N664" s="9" t="inlineStr">
        <is>
          <t>否</t>
        </is>
      </c>
      <c r="O664" t="inlineStr">
        <is>
          <t>缺 PP</t>
        </is>
      </c>
    </row>
    <row r="665">
      <c r="A665" s="7" t="inlineStr">
        <is>
          <t>2010-04-02</t>
        </is>
      </c>
      <c r="B665" s="8" t="n"/>
      <c r="C665" s="8" t="n"/>
      <c r="D665" s="8" t="n"/>
      <c r="E665" s="8" t="n"/>
      <c r="F665" s="8" t="n"/>
      <c r="G665" s="8" t="n"/>
      <c r="H665" s="8" t="n">
        <v>11565</v>
      </c>
      <c r="I665" s="8" t="n">
        <v>11500</v>
      </c>
      <c r="J665" s="8" t="n">
        <v>11580</v>
      </c>
      <c r="K665" s="8" t="n">
        <v>11475</v>
      </c>
      <c r="L665" s="8" t="n">
        <v>207342</v>
      </c>
      <c r="M665" s="8" t="n">
        <v>89796</v>
      </c>
      <c r="N665" s="9" t="inlineStr">
        <is>
          <t>否</t>
        </is>
      </c>
      <c r="O665" t="inlineStr">
        <is>
          <t>缺 PP</t>
        </is>
      </c>
    </row>
    <row r="666">
      <c r="A666" s="7" t="inlineStr">
        <is>
          <t>2010-04-06</t>
        </is>
      </c>
      <c r="B666" s="8" t="n"/>
      <c r="C666" s="8" t="n"/>
      <c r="D666" s="8" t="n"/>
      <c r="E666" s="8" t="n"/>
      <c r="F666" s="8" t="n"/>
      <c r="G666" s="8" t="n"/>
      <c r="H666" s="8" t="n">
        <v>11775</v>
      </c>
      <c r="I666" s="8" t="n">
        <v>11660</v>
      </c>
      <c r="J666" s="8" t="n">
        <v>11875</v>
      </c>
      <c r="K666" s="8" t="n">
        <v>11610</v>
      </c>
      <c r="L666" s="8" t="n">
        <v>296042</v>
      </c>
      <c r="M666" s="8" t="n">
        <v>92684</v>
      </c>
      <c r="N666" s="9" t="inlineStr">
        <is>
          <t>否</t>
        </is>
      </c>
      <c r="O666" t="inlineStr">
        <is>
          <t>缺 PP</t>
        </is>
      </c>
    </row>
    <row r="667">
      <c r="A667" s="7" t="inlineStr">
        <is>
          <t>2010-04-07</t>
        </is>
      </c>
      <c r="B667" s="8" t="n"/>
      <c r="C667" s="8" t="n"/>
      <c r="D667" s="8" t="n"/>
      <c r="E667" s="8" t="n"/>
      <c r="F667" s="8" t="n"/>
      <c r="G667" s="8" t="n"/>
      <c r="H667" s="8" t="n">
        <v>11785</v>
      </c>
      <c r="I667" s="8" t="n">
        <v>11800</v>
      </c>
      <c r="J667" s="8" t="n">
        <v>11835</v>
      </c>
      <c r="K667" s="8" t="n">
        <v>11760</v>
      </c>
      <c r="L667" s="8" t="n">
        <v>161752</v>
      </c>
      <c r="M667" s="8" t="n">
        <v>90524</v>
      </c>
      <c r="N667" s="9" t="inlineStr">
        <is>
          <t>否</t>
        </is>
      </c>
      <c r="O667" t="inlineStr">
        <is>
          <t>缺 PP</t>
        </is>
      </c>
    </row>
    <row r="668">
      <c r="A668" s="7" t="inlineStr">
        <is>
          <t>2010-04-08</t>
        </is>
      </c>
      <c r="B668" s="8" t="n"/>
      <c r="C668" s="8" t="n"/>
      <c r="D668" s="8" t="n"/>
      <c r="E668" s="8" t="n"/>
      <c r="F668" s="8" t="n"/>
      <c r="G668" s="8" t="n"/>
      <c r="H668" s="8" t="n">
        <v>11665</v>
      </c>
      <c r="I668" s="8" t="n">
        <v>11730</v>
      </c>
      <c r="J668" s="8" t="n">
        <v>11740</v>
      </c>
      <c r="K668" s="8" t="n">
        <v>11635</v>
      </c>
      <c r="L668" s="8" t="n">
        <v>155486</v>
      </c>
      <c r="M668" s="8" t="n">
        <v>93124</v>
      </c>
      <c r="N668" s="9" t="inlineStr">
        <is>
          <t>否</t>
        </is>
      </c>
      <c r="O668" t="inlineStr">
        <is>
          <t>缺 PP</t>
        </is>
      </c>
    </row>
    <row r="669">
      <c r="A669" s="7" t="inlineStr">
        <is>
          <t>2010-04-09</t>
        </is>
      </c>
      <c r="B669" s="8" t="n"/>
      <c r="C669" s="8" t="n"/>
      <c r="D669" s="8" t="n"/>
      <c r="E669" s="8" t="n"/>
      <c r="F669" s="8" t="n"/>
      <c r="G669" s="8" t="n"/>
      <c r="H669" s="8" t="n">
        <v>11775</v>
      </c>
      <c r="I669" s="8" t="n">
        <v>11700</v>
      </c>
      <c r="J669" s="8" t="n">
        <v>11780</v>
      </c>
      <c r="K669" s="8" t="n">
        <v>11685</v>
      </c>
      <c r="L669" s="8" t="n">
        <v>161048</v>
      </c>
      <c r="M669" s="8" t="n">
        <v>89986</v>
      </c>
      <c r="N669" s="9" t="inlineStr">
        <is>
          <t>否</t>
        </is>
      </c>
      <c r="O669" t="inlineStr">
        <is>
          <t>缺 PP</t>
        </is>
      </c>
    </row>
    <row r="670">
      <c r="A670" s="7" t="inlineStr">
        <is>
          <t>2010-04-12</t>
        </is>
      </c>
      <c r="B670" s="8" t="n"/>
      <c r="C670" s="8" t="n"/>
      <c r="D670" s="8" t="n"/>
      <c r="E670" s="8" t="n"/>
      <c r="F670" s="8" t="n"/>
      <c r="G670" s="8" t="n"/>
      <c r="H670" s="8" t="n">
        <v>11740</v>
      </c>
      <c r="I670" s="8" t="n">
        <v>11820</v>
      </c>
      <c r="J670" s="8" t="n">
        <v>11855</v>
      </c>
      <c r="K670" s="8" t="n">
        <v>11695</v>
      </c>
      <c r="L670" s="8" t="n">
        <v>225410</v>
      </c>
      <c r="M670" s="8" t="n">
        <v>93746</v>
      </c>
      <c r="N670" s="9" t="inlineStr">
        <is>
          <t>否</t>
        </is>
      </c>
      <c r="O670" t="inlineStr">
        <is>
          <t>缺 PP</t>
        </is>
      </c>
    </row>
    <row r="671">
      <c r="A671" s="7" t="inlineStr">
        <is>
          <t>2010-04-13</t>
        </is>
      </c>
      <c r="B671" s="8" t="n"/>
      <c r="C671" s="8" t="n"/>
      <c r="D671" s="8" t="n"/>
      <c r="E671" s="8" t="n"/>
      <c r="F671" s="8" t="n"/>
      <c r="G671" s="8" t="n"/>
      <c r="H671" s="8" t="n">
        <v>11750</v>
      </c>
      <c r="I671" s="8" t="n">
        <v>11700</v>
      </c>
      <c r="J671" s="8" t="n">
        <v>11750</v>
      </c>
      <c r="K671" s="8" t="n">
        <v>11660</v>
      </c>
      <c r="L671" s="8" t="n">
        <v>185732</v>
      </c>
      <c r="M671" s="8" t="n">
        <v>87612</v>
      </c>
      <c r="N671" s="9" t="inlineStr">
        <is>
          <t>否</t>
        </is>
      </c>
      <c r="O671" t="inlineStr">
        <is>
          <t>缺 PP</t>
        </is>
      </c>
    </row>
    <row r="672">
      <c r="A672" s="7" t="inlineStr">
        <is>
          <t>2010-04-14</t>
        </is>
      </c>
      <c r="B672" s="8" t="n"/>
      <c r="C672" s="8" t="n"/>
      <c r="D672" s="8" t="n"/>
      <c r="E672" s="8" t="n"/>
      <c r="F672" s="8" t="n"/>
      <c r="G672" s="8" t="n"/>
      <c r="H672" s="8" t="n">
        <v>11890</v>
      </c>
      <c r="I672" s="8" t="n">
        <v>11780</v>
      </c>
      <c r="J672" s="8" t="n">
        <v>11935</v>
      </c>
      <c r="K672" s="8" t="n">
        <v>11755</v>
      </c>
      <c r="L672" s="8" t="n">
        <v>343244</v>
      </c>
      <c r="M672" s="8" t="n">
        <v>106608</v>
      </c>
      <c r="N672" s="9" t="inlineStr">
        <is>
          <t>否</t>
        </is>
      </c>
      <c r="O672" t="inlineStr">
        <is>
          <t>缺 PP</t>
        </is>
      </c>
    </row>
    <row r="673">
      <c r="A673" s="7" t="inlineStr">
        <is>
          <t>2010-04-15</t>
        </is>
      </c>
      <c r="B673" s="8" t="n"/>
      <c r="C673" s="8" t="n"/>
      <c r="D673" s="8" t="n"/>
      <c r="E673" s="8" t="n"/>
      <c r="F673" s="8" t="n"/>
      <c r="G673" s="8" t="n"/>
      <c r="H673" s="8" t="n">
        <v>11880</v>
      </c>
      <c r="I673" s="8" t="n">
        <v>11950</v>
      </c>
      <c r="J673" s="8" t="n">
        <v>11965</v>
      </c>
      <c r="K673" s="8" t="n">
        <v>11860</v>
      </c>
      <c r="L673" s="8" t="n">
        <v>238140</v>
      </c>
      <c r="M673" s="8" t="n">
        <v>96124</v>
      </c>
      <c r="N673" s="9" t="inlineStr">
        <is>
          <t>否</t>
        </is>
      </c>
      <c r="O673" t="inlineStr">
        <is>
          <t>缺 PP</t>
        </is>
      </c>
    </row>
    <row r="674">
      <c r="A674" s="7" t="inlineStr">
        <is>
          <t>2010-04-16</t>
        </is>
      </c>
      <c r="B674" s="8" t="n"/>
      <c r="C674" s="8" t="n"/>
      <c r="D674" s="8" t="n"/>
      <c r="E674" s="8" t="n"/>
      <c r="F674" s="8" t="n"/>
      <c r="G674" s="8" t="n"/>
      <c r="H674" s="8" t="n">
        <v>11850</v>
      </c>
      <c r="I674" s="8" t="n">
        <v>11900</v>
      </c>
      <c r="J674" s="8" t="n">
        <v>11905</v>
      </c>
      <c r="K674" s="8" t="n">
        <v>11780</v>
      </c>
      <c r="L674" s="8" t="n">
        <v>180048</v>
      </c>
      <c r="M674" s="8" t="n">
        <v>91172</v>
      </c>
      <c r="N674" s="9" t="inlineStr">
        <is>
          <t>否</t>
        </is>
      </c>
      <c r="O674" t="inlineStr">
        <is>
          <t>缺 PP</t>
        </is>
      </c>
    </row>
    <row r="675">
      <c r="A675" s="7" t="inlineStr">
        <is>
          <t>2010-04-19</t>
        </is>
      </c>
      <c r="B675" s="8" t="n"/>
      <c r="C675" s="8" t="n"/>
      <c r="D675" s="8" t="n"/>
      <c r="E675" s="8" t="n"/>
      <c r="F675" s="8" t="n"/>
      <c r="G675" s="8" t="n"/>
      <c r="H675" s="8" t="n">
        <v>11515</v>
      </c>
      <c r="I675" s="8" t="n">
        <v>11650</v>
      </c>
      <c r="J675" s="8" t="n">
        <v>11710</v>
      </c>
      <c r="K675" s="8" t="n">
        <v>11510</v>
      </c>
      <c r="L675" s="8" t="n">
        <v>183310</v>
      </c>
      <c r="M675" s="8" t="n">
        <v>87708</v>
      </c>
      <c r="N675" s="9" t="inlineStr">
        <is>
          <t>否</t>
        </is>
      </c>
      <c r="O675" t="inlineStr">
        <is>
          <t>缺 PP</t>
        </is>
      </c>
    </row>
    <row r="676">
      <c r="A676" s="7" t="inlineStr">
        <is>
          <t>2010-04-20</t>
        </is>
      </c>
      <c r="B676" s="8" t="n"/>
      <c r="C676" s="8" t="n"/>
      <c r="D676" s="8" t="n"/>
      <c r="E676" s="8" t="n"/>
      <c r="F676" s="8" t="n"/>
      <c r="G676" s="8" t="n"/>
      <c r="H676" s="8" t="n">
        <v>11665</v>
      </c>
      <c r="I676" s="8" t="n">
        <v>11580</v>
      </c>
      <c r="J676" s="8" t="n">
        <v>11675</v>
      </c>
      <c r="K676" s="8" t="n">
        <v>11575</v>
      </c>
      <c r="L676" s="8" t="n">
        <v>146390</v>
      </c>
      <c r="M676" s="8" t="n">
        <v>81450</v>
      </c>
      <c r="N676" s="9" t="inlineStr">
        <is>
          <t>否</t>
        </is>
      </c>
      <c r="O676" t="inlineStr">
        <is>
          <t>缺 PP</t>
        </is>
      </c>
    </row>
    <row r="677">
      <c r="A677" s="7" t="inlineStr">
        <is>
          <t>2010-04-21</t>
        </is>
      </c>
      <c r="B677" s="8" t="n"/>
      <c r="C677" s="8" t="n"/>
      <c r="D677" s="8" t="n"/>
      <c r="E677" s="8" t="n"/>
      <c r="F677" s="8" t="n"/>
      <c r="G677" s="8" t="n"/>
      <c r="H677" s="8" t="n">
        <v>11670</v>
      </c>
      <c r="I677" s="8" t="n">
        <v>11680</v>
      </c>
      <c r="J677" s="8" t="n">
        <v>11695</v>
      </c>
      <c r="K677" s="8" t="n">
        <v>11590</v>
      </c>
      <c r="L677" s="8" t="n">
        <v>152690</v>
      </c>
      <c r="M677" s="8" t="n">
        <v>81054</v>
      </c>
      <c r="N677" s="9" t="inlineStr">
        <is>
          <t>否</t>
        </is>
      </c>
      <c r="O677" t="inlineStr">
        <is>
          <t>缺 PP</t>
        </is>
      </c>
    </row>
    <row r="678">
      <c r="A678" s="7" t="inlineStr">
        <is>
          <t>2010-04-22</t>
        </is>
      </c>
      <c r="B678" s="8" t="n"/>
      <c r="C678" s="8" t="n"/>
      <c r="D678" s="8" t="n"/>
      <c r="E678" s="8" t="n"/>
      <c r="F678" s="8" t="n"/>
      <c r="G678" s="8" t="n"/>
      <c r="H678" s="8" t="n">
        <v>11535</v>
      </c>
      <c r="I678" s="8" t="n">
        <v>11630</v>
      </c>
      <c r="J678" s="8" t="n">
        <v>11640</v>
      </c>
      <c r="K678" s="8" t="n">
        <v>11530</v>
      </c>
      <c r="L678" s="8" t="n">
        <v>180872</v>
      </c>
      <c r="M678" s="8" t="n">
        <v>92440</v>
      </c>
      <c r="N678" s="9" t="inlineStr">
        <is>
          <t>否</t>
        </is>
      </c>
      <c r="O678" t="inlineStr">
        <is>
          <t>缺 PP</t>
        </is>
      </c>
    </row>
    <row r="679">
      <c r="A679" s="7" t="inlineStr">
        <is>
          <t>2010-04-23</t>
        </is>
      </c>
      <c r="B679" s="8" t="n"/>
      <c r="C679" s="8" t="n"/>
      <c r="D679" s="8" t="n"/>
      <c r="E679" s="8" t="n"/>
      <c r="F679" s="8" t="n"/>
      <c r="G679" s="8" t="n"/>
      <c r="H679" s="8" t="n">
        <v>11565</v>
      </c>
      <c r="I679" s="8" t="n">
        <v>11545</v>
      </c>
      <c r="J679" s="8" t="n">
        <v>11615</v>
      </c>
      <c r="K679" s="8" t="n">
        <v>11535</v>
      </c>
      <c r="L679" s="8" t="n">
        <v>140780</v>
      </c>
      <c r="M679" s="8" t="n">
        <v>88176</v>
      </c>
      <c r="N679" s="9" t="inlineStr">
        <is>
          <t>否</t>
        </is>
      </c>
      <c r="O679" t="inlineStr">
        <is>
          <t>缺 PP</t>
        </is>
      </c>
    </row>
    <row r="680">
      <c r="A680" s="7" t="inlineStr">
        <is>
          <t>2010-04-26</t>
        </is>
      </c>
      <c r="B680" s="8" t="n"/>
      <c r="C680" s="8" t="n"/>
      <c r="D680" s="8" t="n"/>
      <c r="E680" s="8" t="n"/>
      <c r="F680" s="8" t="n"/>
      <c r="G680" s="8" t="n"/>
      <c r="H680" s="8" t="n">
        <v>11620</v>
      </c>
      <c r="I680" s="8" t="n">
        <v>11635</v>
      </c>
      <c r="J680" s="8" t="n">
        <v>11700</v>
      </c>
      <c r="K680" s="8" t="n">
        <v>11605</v>
      </c>
      <c r="L680" s="8" t="n">
        <v>114808</v>
      </c>
      <c r="M680" s="8" t="n">
        <v>90242</v>
      </c>
      <c r="N680" s="9" t="inlineStr">
        <is>
          <t>否</t>
        </is>
      </c>
      <c r="O680" t="inlineStr">
        <is>
          <t>缺 PP</t>
        </is>
      </c>
    </row>
    <row r="681">
      <c r="A681" s="7" t="inlineStr">
        <is>
          <t>2010-04-27</t>
        </is>
      </c>
      <c r="B681" s="8" t="n"/>
      <c r="C681" s="8" t="n"/>
      <c r="D681" s="8" t="n"/>
      <c r="E681" s="8" t="n"/>
      <c r="F681" s="8" t="n"/>
      <c r="G681" s="8" t="n"/>
      <c r="H681" s="8" t="n">
        <v>11435</v>
      </c>
      <c r="I681" s="8" t="n">
        <v>11590</v>
      </c>
      <c r="J681" s="8" t="n">
        <v>11595</v>
      </c>
      <c r="K681" s="8" t="n">
        <v>11385</v>
      </c>
      <c r="L681" s="8" t="n">
        <v>213308</v>
      </c>
      <c r="M681" s="8" t="n">
        <v>100476</v>
      </c>
      <c r="N681" s="9" t="inlineStr">
        <is>
          <t>否</t>
        </is>
      </c>
      <c r="O681" t="inlineStr">
        <is>
          <t>缺 PP</t>
        </is>
      </c>
    </row>
    <row r="682">
      <c r="A682" s="7" t="inlineStr">
        <is>
          <t>2010-04-28</t>
        </is>
      </c>
      <c r="B682" s="8" t="n"/>
      <c r="C682" s="8" t="n"/>
      <c r="D682" s="8" t="n"/>
      <c r="E682" s="8" t="n"/>
      <c r="F682" s="8" t="n"/>
      <c r="G682" s="8" t="n"/>
      <c r="H682" s="8" t="n">
        <v>11370</v>
      </c>
      <c r="I682" s="8" t="n">
        <v>11250</v>
      </c>
      <c r="J682" s="8" t="n">
        <v>11440</v>
      </c>
      <c r="K682" s="8" t="n">
        <v>11250</v>
      </c>
      <c r="L682" s="8" t="n">
        <v>198384</v>
      </c>
      <c r="M682" s="8" t="n">
        <v>94822</v>
      </c>
      <c r="N682" s="9" t="inlineStr">
        <is>
          <t>否</t>
        </is>
      </c>
      <c r="O682" t="inlineStr">
        <is>
          <t>缺 PP</t>
        </is>
      </c>
    </row>
    <row r="683">
      <c r="A683" s="7" t="inlineStr">
        <is>
          <t>2010-04-29</t>
        </is>
      </c>
      <c r="B683" s="8" t="n"/>
      <c r="C683" s="8" t="n"/>
      <c r="D683" s="8" t="n"/>
      <c r="E683" s="8" t="n"/>
      <c r="F683" s="8" t="n"/>
      <c r="G683" s="8" t="n"/>
      <c r="H683" s="8" t="n">
        <v>11360</v>
      </c>
      <c r="I683" s="8" t="n">
        <v>11415</v>
      </c>
      <c r="J683" s="8" t="n">
        <v>11470</v>
      </c>
      <c r="K683" s="8" t="n">
        <v>11330</v>
      </c>
      <c r="L683" s="8" t="n">
        <v>199492</v>
      </c>
      <c r="M683" s="8" t="n">
        <v>103222</v>
      </c>
      <c r="N683" s="9" t="inlineStr">
        <is>
          <t>否</t>
        </is>
      </c>
      <c r="O683" t="inlineStr">
        <is>
          <t>缺 PP</t>
        </is>
      </c>
    </row>
    <row r="684">
      <c r="A684" s="7" t="inlineStr">
        <is>
          <t>2010-04-30</t>
        </is>
      </c>
      <c r="B684" s="8" t="n"/>
      <c r="C684" s="8" t="n"/>
      <c r="D684" s="8" t="n"/>
      <c r="E684" s="8" t="n"/>
      <c r="F684" s="8" t="n"/>
      <c r="G684" s="8" t="n"/>
      <c r="H684" s="8" t="n">
        <v>11450</v>
      </c>
      <c r="I684" s="8" t="n">
        <v>11450</v>
      </c>
      <c r="J684" s="8" t="n">
        <v>11470</v>
      </c>
      <c r="K684" s="8" t="n">
        <v>11350</v>
      </c>
      <c r="L684" s="8" t="n">
        <v>176418</v>
      </c>
      <c r="M684" s="8" t="n">
        <v>93700</v>
      </c>
      <c r="N684" s="9" t="inlineStr">
        <is>
          <t>否</t>
        </is>
      </c>
      <c r="O684" t="inlineStr">
        <is>
          <t>缺 PP</t>
        </is>
      </c>
    </row>
    <row r="685">
      <c r="A685" s="7" t="inlineStr">
        <is>
          <t>2010-05-04</t>
        </is>
      </c>
      <c r="B685" s="8" t="n"/>
      <c r="C685" s="8" t="n"/>
      <c r="D685" s="8" t="n"/>
      <c r="E685" s="8" t="n"/>
      <c r="F685" s="8" t="n"/>
      <c r="G685" s="8" t="n"/>
      <c r="H685" s="8" t="n">
        <v>11445</v>
      </c>
      <c r="I685" s="8" t="n">
        <v>11400</v>
      </c>
      <c r="J685" s="8" t="n">
        <v>11495</v>
      </c>
      <c r="K685" s="8" t="n">
        <v>11370</v>
      </c>
      <c r="L685" s="8" t="n">
        <v>170382</v>
      </c>
      <c r="M685" s="8" t="n">
        <v>95198</v>
      </c>
      <c r="N685" s="9" t="inlineStr">
        <is>
          <t>否</t>
        </is>
      </c>
      <c r="O685" t="inlineStr">
        <is>
          <t>缺 PP</t>
        </is>
      </c>
    </row>
    <row r="686">
      <c r="A686" s="7" t="inlineStr">
        <is>
          <t>2010-05-05</t>
        </is>
      </c>
      <c r="B686" s="8" t="n"/>
      <c r="C686" s="8" t="n"/>
      <c r="D686" s="8" t="n"/>
      <c r="E686" s="8" t="n"/>
      <c r="F686" s="8" t="n"/>
      <c r="G686" s="8" t="n"/>
      <c r="H686" s="8" t="n">
        <v>11410</v>
      </c>
      <c r="I686" s="8" t="n">
        <v>11250</v>
      </c>
      <c r="J686" s="8" t="n">
        <v>11410</v>
      </c>
      <c r="K686" s="8" t="n">
        <v>11250</v>
      </c>
      <c r="L686" s="8" t="n">
        <v>149206</v>
      </c>
      <c r="M686" s="8" t="n">
        <v>96736</v>
      </c>
      <c r="N686" s="9" t="inlineStr">
        <is>
          <t>否</t>
        </is>
      </c>
      <c r="O686" t="inlineStr">
        <is>
          <t>缺 PP</t>
        </is>
      </c>
    </row>
    <row r="687">
      <c r="A687" s="7" t="inlineStr">
        <is>
          <t>2010-05-06</t>
        </is>
      </c>
      <c r="B687" s="8" t="n"/>
      <c r="C687" s="8" t="n"/>
      <c r="D687" s="8" t="n"/>
      <c r="E687" s="8" t="n"/>
      <c r="F687" s="8" t="n"/>
      <c r="G687" s="8" t="n"/>
      <c r="H687" s="8" t="n">
        <v>11345</v>
      </c>
      <c r="I687" s="8" t="n">
        <v>11400</v>
      </c>
      <c r="J687" s="8" t="n">
        <v>11440</v>
      </c>
      <c r="K687" s="8" t="n">
        <v>11330</v>
      </c>
      <c r="L687" s="8" t="n">
        <v>132880</v>
      </c>
      <c r="M687" s="8" t="n">
        <v>100064</v>
      </c>
      <c r="N687" s="9" t="inlineStr">
        <is>
          <t>否</t>
        </is>
      </c>
      <c r="O687" t="inlineStr">
        <is>
          <t>缺 PP</t>
        </is>
      </c>
    </row>
    <row r="688">
      <c r="A688" s="7" t="inlineStr">
        <is>
          <t>2010-05-07</t>
        </is>
      </c>
      <c r="B688" s="8" t="n"/>
      <c r="C688" s="8" t="n"/>
      <c r="D688" s="8" t="n"/>
      <c r="E688" s="8" t="n"/>
      <c r="F688" s="8" t="n"/>
      <c r="G688" s="8" t="n"/>
      <c r="H688" s="8" t="n">
        <v>11005</v>
      </c>
      <c r="I688" s="8" t="n">
        <v>11255</v>
      </c>
      <c r="J688" s="8" t="n">
        <v>11260</v>
      </c>
      <c r="K688" s="8" t="n">
        <v>11000</v>
      </c>
      <c r="L688" s="8" t="n">
        <v>254012</v>
      </c>
      <c r="M688" s="8" t="n">
        <v>107822</v>
      </c>
      <c r="N688" s="9" t="inlineStr">
        <is>
          <t>否</t>
        </is>
      </c>
      <c r="O688" t="inlineStr">
        <is>
          <t>缺 PP</t>
        </is>
      </c>
    </row>
    <row r="689">
      <c r="A689" s="7" t="inlineStr">
        <is>
          <t>2010-05-10</t>
        </is>
      </c>
      <c r="B689" s="8" t="n"/>
      <c r="C689" s="8" t="n"/>
      <c r="D689" s="8" t="n"/>
      <c r="E689" s="8" t="n"/>
      <c r="F689" s="8" t="n"/>
      <c r="G689" s="8" t="n"/>
      <c r="H689" s="8" t="n">
        <v>11120</v>
      </c>
      <c r="I689" s="8" t="n">
        <v>11100</v>
      </c>
      <c r="J689" s="8" t="n">
        <v>11120</v>
      </c>
      <c r="K689" s="8" t="n">
        <v>10965</v>
      </c>
      <c r="L689" s="8" t="n">
        <v>222712</v>
      </c>
      <c r="M689" s="8" t="n">
        <v>105798</v>
      </c>
      <c r="N689" s="9" t="inlineStr">
        <is>
          <t>否</t>
        </is>
      </c>
      <c r="O689" t="inlineStr">
        <is>
          <t>缺 PP</t>
        </is>
      </c>
    </row>
    <row r="690">
      <c r="A690" s="7" t="inlineStr">
        <is>
          <t>2010-05-11</t>
        </is>
      </c>
      <c r="B690" s="8" t="n"/>
      <c r="C690" s="8" t="n"/>
      <c r="D690" s="8" t="n"/>
      <c r="E690" s="8" t="n"/>
      <c r="F690" s="8" t="n"/>
      <c r="G690" s="8" t="n"/>
      <c r="H690" s="8" t="n">
        <v>10895</v>
      </c>
      <c r="I690" s="8" t="n">
        <v>11100</v>
      </c>
      <c r="J690" s="8" t="n">
        <v>11125</v>
      </c>
      <c r="K690" s="8" t="n">
        <v>10885</v>
      </c>
      <c r="L690" s="8" t="n">
        <v>241300</v>
      </c>
      <c r="M690" s="8" t="n">
        <v>112214</v>
      </c>
      <c r="N690" s="9" t="inlineStr">
        <is>
          <t>否</t>
        </is>
      </c>
      <c r="O690" t="inlineStr">
        <is>
          <t>缺 PP</t>
        </is>
      </c>
    </row>
    <row r="691">
      <c r="A691" s="7" t="inlineStr">
        <is>
          <t>2010-05-12</t>
        </is>
      </c>
      <c r="B691" s="8" t="n"/>
      <c r="C691" s="8" t="n"/>
      <c r="D691" s="8" t="n"/>
      <c r="E691" s="8" t="n"/>
      <c r="F691" s="8" t="n"/>
      <c r="G691" s="8" t="n"/>
      <c r="H691" s="8" t="n">
        <v>10805</v>
      </c>
      <c r="I691" s="8" t="n">
        <v>10900</v>
      </c>
      <c r="J691" s="8" t="n">
        <v>10950</v>
      </c>
      <c r="K691" s="8" t="n">
        <v>10750</v>
      </c>
      <c r="L691" s="8" t="n">
        <v>372728</v>
      </c>
      <c r="M691" s="8" t="n">
        <v>112142</v>
      </c>
      <c r="N691" s="9" t="inlineStr">
        <is>
          <t>否</t>
        </is>
      </c>
      <c r="O691" t="inlineStr">
        <is>
          <t>缺 PP</t>
        </is>
      </c>
    </row>
    <row r="692">
      <c r="A692" s="7" t="inlineStr">
        <is>
          <t>2010-05-13</t>
        </is>
      </c>
      <c r="B692" s="8" t="n"/>
      <c r="C692" s="8" t="n"/>
      <c r="D692" s="8" t="n"/>
      <c r="E692" s="8" t="n"/>
      <c r="F692" s="8" t="n"/>
      <c r="G692" s="8" t="n"/>
      <c r="H692" s="8" t="n">
        <v>10885</v>
      </c>
      <c r="I692" s="8" t="n">
        <v>10820</v>
      </c>
      <c r="J692" s="8" t="n">
        <v>10895</v>
      </c>
      <c r="K692" s="8" t="n">
        <v>10700</v>
      </c>
      <c r="L692" s="8" t="n">
        <v>363508</v>
      </c>
      <c r="M692" s="8" t="n">
        <v>103712</v>
      </c>
      <c r="N692" s="9" t="inlineStr">
        <is>
          <t>否</t>
        </is>
      </c>
      <c r="O692" t="inlineStr">
        <is>
          <t>缺 PP</t>
        </is>
      </c>
    </row>
    <row r="693">
      <c r="A693" s="7" t="inlineStr">
        <is>
          <t>2010-05-14</t>
        </is>
      </c>
      <c r="B693" s="8" t="n"/>
      <c r="C693" s="8" t="n"/>
      <c r="D693" s="8" t="n"/>
      <c r="E693" s="8" t="n"/>
      <c r="F693" s="8" t="n"/>
      <c r="G693" s="8" t="n"/>
      <c r="H693" s="8" t="n">
        <v>10690</v>
      </c>
      <c r="I693" s="8" t="n">
        <v>10820</v>
      </c>
      <c r="J693" s="8" t="n">
        <v>10830</v>
      </c>
      <c r="K693" s="8" t="n">
        <v>10660</v>
      </c>
      <c r="L693" s="8" t="n">
        <v>410414</v>
      </c>
      <c r="M693" s="8" t="n">
        <v>101034</v>
      </c>
      <c r="N693" s="9" t="inlineStr">
        <is>
          <t>否</t>
        </is>
      </c>
      <c r="O693" t="inlineStr">
        <is>
          <t>缺 PP</t>
        </is>
      </c>
    </row>
    <row r="694">
      <c r="A694" s="7" t="inlineStr">
        <is>
          <t>2010-05-17</t>
        </is>
      </c>
      <c r="B694" s="8" t="n"/>
      <c r="C694" s="8" t="n"/>
      <c r="D694" s="8" t="n"/>
      <c r="E694" s="8" t="n"/>
      <c r="F694" s="8" t="n"/>
      <c r="G694" s="8" t="n"/>
      <c r="H694" s="8" t="n">
        <v>10210</v>
      </c>
      <c r="I694" s="8" t="n">
        <v>10500</v>
      </c>
      <c r="J694" s="8" t="n">
        <v>10545</v>
      </c>
      <c r="K694" s="8" t="n">
        <v>10210</v>
      </c>
      <c r="L694" s="8" t="n">
        <v>249100</v>
      </c>
      <c r="M694" s="8" t="n">
        <v>93638</v>
      </c>
      <c r="N694" s="9" t="inlineStr">
        <is>
          <t>否</t>
        </is>
      </c>
      <c r="O694" t="inlineStr">
        <is>
          <t>缺 PP</t>
        </is>
      </c>
    </row>
    <row r="695">
      <c r="A695" s="7" t="inlineStr">
        <is>
          <t>2010-05-18</t>
        </is>
      </c>
      <c r="B695" s="8" t="n"/>
      <c r="C695" s="8" t="n"/>
      <c r="D695" s="8" t="n"/>
      <c r="E695" s="8" t="n"/>
      <c r="F695" s="8" t="n"/>
      <c r="G695" s="8" t="n"/>
      <c r="H695" s="8" t="n">
        <v>10305</v>
      </c>
      <c r="I695" s="8" t="n">
        <v>10210</v>
      </c>
      <c r="J695" s="8" t="n">
        <v>10320</v>
      </c>
      <c r="K695" s="8" t="n">
        <v>10050</v>
      </c>
      <c r="L695" s="8" t="n">
        <v>371532</v>
      </c>
      <c r="M695" s="8" t="n">
        <v>91838</v>
      </c>
      <c r="N695" s="9" t="inlineStr">
        <is>
          <t>否</t>
        </is>
      </c>
      <c r="O695" t="inlineStr">
        <is>
          <t>缺 PP</t>
        </is>
      </c>
    </row>
    <row r="696">
      <c r="A696" s="7" t="inlineStr">
        <is>
          <t>2010-05-19</t>
        </is>
      </c>
      <c r="B696" s="8" t="n"/>
      <c r="C696" s="8" t="n"/>
      <c r="D696" s="8" t="n"/>
      <c r="E696" s="8" t="n"/>
      <c r="F696" s="8" t="n"/>
      <c r="G696" s="8" t="n"/>
      <c r="H696" s="8" t="n">
        <v>10200</v>
      </c>
      <c r="I696" s="8" t="n">
        <v>10010</v>
      </c>
      <c r="J696" s="8" t="n">
        <v>10350</v>
      </c>
      <c r="K696" s="8" t="n">
        <v>9970</v>
      </c>
      <c r="L696" s="8" t="n">
        <v>379424</v>
      </c>
      <c r="M696" s="8" t="n">
        <v>89976</v>
      </c>
      <c r="N696" s="9" t="inlineStr">
        <is>
          <t>否</t>
        </is>
      </c>
      <c r="O696" t="inlineStr">
        <is>
          <t>缺 PP</t>
        </is>
      </c>
    </row>
    <row r="697">
      <c r="A697" s="7" t="inlineStr">
        <is>
          <t>2010-05-20</t>
        </is>
      </c>
      <c r="B697" s="8" t="n"/>
      <c r="C697" s="8" t="n"/>
      <c r="D697" s="8" t="n"/>
      <c r="E697" s="8" t="n"/>
      <c r="F697" s="8" t="n"/>
      <c r="G697" s="8" t="n"/>
      <c r="H697" s="8" t="n">
        <v>10350</v>
      </c>
      <c r="I697" s="8" t="n">
        <v>10270</v>
      </c>
      <c r="J697" s="8" t="n">
        <v>10415</v>
      </c>
      <c r="K697" s="8" t="n">
        <v>10265</v>
      </c>
      <c r="L697" s="8" t="n">
        <v>338454</v>
      </c>
      <c r="M697" s="8" t="n">
        <v>95398</v>
      </c>
      <c r="N697" s="9" t="inlineStr">
        <is>
          <t>否</t>
        </is>
      </c>
      <c r="O697" t="inlineStr">
        <is>
          <t>缺 PP</t>
        </is>
      </c>
    </row>
    <row r="698">
      <c r="A698" s="7" t="inlineStr">
        <is>
          <t>2010-05-21</t>
        </is>
      </c>
      <c r="B698" s="8" t="n"/>
      <c r="C698" s="8" t="n"/>
      <c r="D698" s="8" t="n"/>
      <c r="E698" s="8" t="n"/>
      <c r="F698" s="8" t="n"/>
      <c r="G698" s="8" t="n"/>
      <c r="H698" s="8" t="n">
        <v>10235</v>
      </c>
      <c r="I698" s="8" t="n">
        <v>10200</v>
      </c>
      <c r="J698" s="8" t="n">
        <v>10260</v>
      </c>
      <c r="K698" s="8" t="n">
        <v>10110</v>
      </c>
      <c r="L698" s="8" t="n">
        <v>272510</v>
      </c>
      <c r="M698" s="8" t="n">
        <v>92374</v>
      </c>
      <c r="N698" s="9" t="inlineStr">
        <is>
          <t>否</t>
        </is>
      </c>
      <c r="O698" t="inlineStr">
        <is>
          <t>缺 PP</t>
        </is>
      </c>
    </row>
    <row r="699">
      <c r="A699" s="7" t="inlineStr">
        <is>
          <t>2010-05-24</t>
        </is>
      </c>
      <c r="B699" s="8" t="n"/>
      <c r="C699" s="8" t="n"/>
      <c r="D699" s="8" t="n"/>
      <c r="E699" s="8" t="n"/>
      <c r="F699" s="8" t="n"/>
      <c r="G699" s="8" t="n"/>
      <c r="H699" s="8" t="n">
        <v>10445</v>
      </c>
      <c r="I699" s="8" t="n">
        <v>10260</v>
      </c>
      <c r="J699" s="8" t="n">
        <v>10460</v>
      </c>
      <c r="K699" s="8" t="n">
        <v>10260</v>
      </c>
      <c r="L699" s="8" t="n">
        <v>275842</v>
      </c>
      <c r="M699" s="8" t="n">
        <v>96788</v>
      </c>
      <c r="N699" s="9" t="inlineStr">
        <is>
          <t>否</t>
        </is>
      </c>
      <c r="O699" t="inlineStr">
        <is>
          <t>缺 PP</t>
        </is>
      </c>
    </row>
    <row r="700">
      <c r="A700" s="7" t="inlineStr">
        <is>
          <t>2010-05-25</t>
        </is>
      </c>
      <c r="B700" s="8" t="n"/>
      <c r="C700" s="8" t="n"/>
      <c r="D700" s="8" t="n"/>
      <c r="E700" s="8" t="n"/>
      <c r="F700" s="8" t="n"/>
      <c r="G700" s="8" t="n"/>
      <c r="H700" s="8" t="n">
        <v>10215</v>
      </c>
      <c r="I700" s="8" t="n">
        <v>10340</v>
      </c>
      <c r="J700" s="8" t="n">
        <v>10405</v>
      </c>
      <c r="K700" s="8" t="n">
        <v>10205</v>
      </c>
      <c r="L700" s="8" t="n">
        <v>294920</v>
      </c>
      <c r="M700" s="8" t="n">
        <v>100192</v>
      </c>
      <c r="N700" s="9" t="inlineStr">
        <is>
          <t>否</t>
        </is>
      </c>
      <c r="O700" t="inlineStr">
        <is>
          <t>缺 PP</t>
        </is>
      </c>
    </row>
    <row r="701">
      <c r="A701" s="7" t="inlineStr">
        <is>
          <t>2010-05-26</t>
        </is>
      </c>
      <c r="B701" s="8" t="n"/>
      <c r="C701" s="8" t="n"/>
      <c r="D701" s="8" t="n"/>
      <c r="E701" s="8" t="n"/>
      <c r="F701" s="8" t="n"/>
      <c r="G701" s="8" t="n"/>
      <c r="H701" s="8" t="n">
        <v>10375</v>
      </c>
      <c r="I701" s="8" t="n">
        <v>10280</v>
      </c>
      <c r="J701" s="8" t="n">
        <v>10390</v>
      </c>
      <c r="K701" s="8" t="n">
        <v>10280</v>
      </c>
      <c r="L701" s="8" t="n">
        <v>223216</v>
      </c>
      <c r="M701" s="8" t="n">
        <v>97760</v>
      </c>
      <c r="N701" s="9" t="inlineStr">
        <is>
          <t>否</t>
        </is>
      </c>
      <c r="O701" t="inlineStr">
        <is>
          <t>缺 PP</t>
        </is>
      </c>
    </row>
    <row r="702">
      <c r="A702" s="7" t="inlineStr">
        <is>
          <t>2010-05-27</t>
        </is>
      </c>
      <c r="B702" s="8" t="n"/>
      <c r="C702" s="8" t="n"/>
      <c r="D702" s="8" t="n"/>
      <c r="E702" s="8" t="n"/>
      <c r="F702" s="8" t="n"/>
      <c r="G702" s="8" t="n"/>
      <c r="H702" s="8" t="n">
        <v>10465</v>
      </c>
      <c r="I702" s="8" t="n">
        <v>10400</v>
      </c>
      <c r="J702" s="8" t="n">
        <v>10475</v>
      </c>
      <c r="K702" s="8" t="n">
        <v>10325</v>
      </c>
      <c r="L702" s="8" t="n">
        <v>213392</v>
      </c>
      <c r="M702" s="8" t="n">
        <v>105278</v>
      </c>
      <c r="N702" s="9" t="inlineStr">
        <is>
          <t>否</t>
        </is>
      </c>
      <c r="O702" t="inlineStr">
        <is>
          <t>缺 PP</t>
        </is>
      </c>
    </row>
    <row r="703">
      <c r="A703" s="7" t="inlineStr">
        <is>
          <t>2010-05-28</t>
        </is>
      </c>
      <c r="B703" s="8" t="n"/>
      <c r="C703" s="8" t="n"/>
      <c r="D703" s="8" t="n"/>
      <c r="E703" s="8" t="n"/>
      <c r="F703" s="8" t="n"/>
      <c r="G703" s="8" t="n"/>
      <c r="H703" s="8" t="n">
        <v>10440</v>
      </c>
      <c r="I703" s="8" t="n">
        <v>10580</v>
      </c>
      <c r="J703" s="8" t="n">
        <v>10580</v>
      </c>
      <c r="K703" s="8" t="n">
        <v>10420</v>
      </c>
      <c r="L703" s="8" t="n">
        <v>201886</v>
      </c>
      <c r="M703" s="8" t="n">
        <v>100508</v>
      </c>
      <c r="N703" s="9" t="inlineStr">
        <is>
          <t>否</t>
        </is>
      </c>
      <c r="O703" t="inlineStr">
        <is>
          <t>缺 PP</t>
        </is>
      </c>
    </row>
    <row r="704">
      <c r="A704" s="7" t="inlineStr">
        <is>
          <t>2010-05-31</t>
        </is>
      </c>
      <c r="B704" s="8" t="n"/>
      <c r="C704" s="8" t="n"/>
      <c r="D704" s="8" t="n"/>
      <c r="E704" s="8" t="n"/>
      <c r="F704" s="8" t="n"/>
      <c r="G704" s="8" t="n"/>
      <c r="H704" s="8" t="n">
        <v>10425</v>
      </c>
      <c r="I704" s="8" t="n">
        <v>10400</v>
      </c>
      <c r="J704" s="8" t="n">
        <v>10510</v>
      </c>
      <c r="K704" s="8" t="n">
        <v>10365</v>
      </c>
      <c r="L704" s="8" t="n">
        <v>218638</v>
      </c>
      <c r="M704" s="8" t="n">
        <v>99022</v>
      </c>
      <c r="N704" s="9" t="inlineStr">
        <is>
          <t>否</t>
        </is>
      </c>
      <c r="O704" t="inlineStr">
        <is>
          <t>缺 PP</t>
        </is>
      </c>
    </row>
    <row r="705">
      <c r="A705" s="7" t="inlineStr">
        <is>
          <t>2010-06-01</t>
        </is>
      </c>
      <c r="B705" s="8" t="n"/>
      <c r="C705" s="8" t="n"/>
      <c r="D705" s="8" t="n"/>
      <c r="E705" s="8" t="n"/>
      <c r="F705" s="8" t="n"/>
      <c r="G705" s="8" t="n"/>
      <c r="H705" s="8" t="n">
        <v>10235</v>
      </c>
      <c r="I705" s="8" t="n">
        <v>10405</v>
      </c>
      <c r="J705" s="8" t="n">
        <v>10435</v>
      </c>
      <c r="K705" s="8" t="n">
        <v>10220</v>
      </c>
      <c r="L705" s="8" t="n">
        <v>295724</v>
      </c>
      <c r="M705" s="8" t="n">
        <v>102670</v>
      </c>
      <c r="N705" s="9" t="inlineStr">
        <is>
          <t>否</t>
        </is>
      </c>
      <c r="O705" t="inlineStr">
        <is>
          <t>缺 PP</t>
        </is>
      </c>
    </row>
    <row r="706">
      <c r="A706" s="7" t="inlineStr">
        <is>
          <t>2010-06-02</t>
        </is>
      </c>
      <c r="B706" s="8" t="n"/>
      <c r="C706" s="8" t="n"/>
      <c r="D706" s="8" t="n"/>
      <c r="E706" s="8" t="n"/>
      <c r="F706" s="8" t="n"/>
      <c r="G706" s="8" t="n"/>
      <c r="H706" s="8" t="n">
        <v>10015</v>
      </c>
      <c r="I706" s="8" t="n">
        <v>10220</v>
      </c>
      <c r="J706" s="8" t="n">
        <v>10235</v>
      </c>
      <c r="K706" s="8" t="n">
        <v>9860</v>
      </c>
      <c r="L706" s="8" t="n">
        <v>457822</v>
      </c>
      <c r="M706" s="8" t="n">
        <v>110038</v>
      </c>
      <c r="N706" s="9" t="inlineStr">
        <is>
          <t>否</t>
        </is>
      </c>
      <c r="O706" t="inlineStr">
        <is>
          <t>缺 PP</t>
        </is>
      </c>
    </row>
    <row r="707">
      <c r="A707" s="7" t="inlineStr">
        <is>
          <t>2010-06-03</t>
        </is>
      </c>
      <c r="B707" s="8" t="n"/>
      <c r="C707" s="8" t="n"/>
      <c r="D707" s="8" t="n"/>
      <c r="E707" s="8" t="n"/>
      <c r="F707" s="8" t="n"/>
      <c r="G707" s="8" t="n"/>
      <c r="H707" s="8" t="n">
        <v>10040</v>
      </c>
      <c r="I707" s="8" t="n">
        <v>10100</v>
      </c>
      <c r="J707" s="8" t="n">
        <v>10130</v>
      </c>
      <c r="K707" s="8" t="n">
        <v>9975</v>
      </c>
      <c r="L707" s="8" t="n">
        <v>315100</v>
      </c>
      <c r="M707" s="8" t="n">
        <v>105210</v>
      </c>
      <c r="N707" s="9" t="inlineStr">
        <is>
          <t>否</t>
        </is>
      </c>
      <c r="O707" t="inlineStr">
        <is>
          <t>缺 PP</t>
        </is>
      </c>
    </row>
    <row r="708">
      <c r="A708" s="7" t="inlineStr">
        <is>
          <t>2010-06-04</t>
        </is>
      </c>
      <c r="B708" s="8" t="n"/>
      <c r="C708" s="8" t="n"/>
      <c r="D708" s="8" t="n"/>
      <c r="E708" s="8" t="n"/>
      <c r="F708" s="8" t="n"/>
      <c r="G708" s="8" t="n"/>
      <c r="H708" s="8" t="n">
        <v>9870</v>
      </c>
      <c r="I708" s="8" t="n">
        <v>9990</v>
      </c>
      <c r="J708" s="8" t="n">
        <v>9995</v>
      </c>
      <c r="K708" s="8" t="n">
        <v>9825</v>
      </c>
      <c r="L708" s="8" t="n">
        <v>341326</v>
      </c>
      <c r="M708" s="8" t="n">
        <v>114290</v>
      </c>
      <c r="N708" s="9" t="inlineStr">
        <is>
          <t>否</t>
        </is>
      </c>
      <c r="O708" t="inlineStr">
        <is>
          <t>缺 PP</t>
        </is>
      </c>
    </row>
    <row r="709">
      <c r="A709" s="7" t="inlineStr">
        <is>
          <t>2010-06-07</t>
        </is>
      </c>
      <c r="B709" s="8" t="n"/>
      <c r="C709" s="8" t="n"/>
      <c r="D709" s="8" t="n"/>
      <c r="E709" s="8" t="n"/>
      <c r="F709" s="8" t="n"/>
      <c r="G709" s="8" t="n"/>
      <c r="H709" s="8" t="n">
        <v>9415</v>
      </c>
      <c r="I709" s="8" t="n">
        <v>9420</v>
      </c>
      <c r="J709" s="8" t="n">
        <v>9500</v>
      </c>
      <c r="K709" s="8" t="n">
        <v>9415</v>
      </c>
      <c r="L709" s="8" t="n">
        <v>57830</v>
      </c>
      <c r="M709" s="8" t="n">
        <v>113840</v>
      </c>
      <c r="N709" s="9" t="inlineStr">
        <is>
          <t>否</t>
        </is>
      </c>
      <c r="O709" t="inlineStr">
        <is>
          <t>缺 PP</t>
        </is>
      </c>
    </row>
    <row r="710">
      <c r="A710" s="7" t="inlineStr">
        <is>
          <t>2010-06-08</t>
        </is>
      </c>
      <c r="B710" s="8" t="n"/>
      <c r="C710" s="8" t="n"/>
      <c r="D710" s="8" t="n"/>
      <c r="E710" s="8" t="n"/>
      <c r="F710" s="8" t="n"/>
      <c r="G710" s="8" t="n"/>
      <c r="H710" s="8" t="n">
        <v>9445</v>
      </c>
      <c r="I710" s="8" t="n">
        <v>9400</v>
      </c>
      <c r="J710" s="8" t="n">
        <v>9455</v>
      </c>
      <c r="K710" s="8" t="n">
        <v>9280</v>
      </c>
      <c r="L710" s="8" t="n">
        <v>391336</v>
      </c>
      <c r="M710" s="8" t="n">
        <v>111736</v>
      </c>
      <c r="N710" s="9" t="inlineStr">
        <is>
          <t>否</t>
        </is>
      </c>
      <c r="O710" t="inlineStr">
        <is>
          <t>缺 PP</t>
        </is>
      </c>
    </row>
    <row r="711">
      <c r="A711" s="7" t="inlineStr">
        <is>
          <t>2010-06-09</t>
        </is>
      </c>
      <c r="B711" s="8" t="n"/>
      <c r="C711" s="8" t="n"/>
      <c r="D711" s="8" t="n"/>
      <c r="E711" s="8" t="n"/>
      <c r="F711" s="8" t="n"/>
      <c r="G711" s="8" t="n"/>
      <c r="H711" s="8" t="n">
        <v>9600</v>
      </c>
      <c r="I711" s="8" t="n">
        <v>9440</v>
      </c>
      <c r="J711" s="8" t="n">
        <v>9610</v>
      </c>
      <c r="K711" s="8" t="n">
        <v>9390</v>
      </c>
      <c r="L711" s="8" t="n">
        <v>392226</v>
      </c>
      <c r="M711" s="8" t="n">
        <v>101006</v>
      </c>
      <c r="N711" s="9" t="inlineStr">
        <is>
          <t>否</t>
        </is>
      </c>
      <c r="O711" t="inlineStr">
        <is>
          <t>缺 PP</t>
        </is>
      </c>
    </row>
    <row r="712">
      <c r="A712" s="7" t="inlineStr">
        <is>
          <t>2010-06-10</t>
        </is>
      </c>
      <c r="B712" s="8" t="n"/>
      <c r="C712" s="8" t="n"/>
      <c r="D712" s="8" t="n"/>
      <c r="E712" s="8" t="n"/>
      <c r="F712" s="8" t="n"/>
      <c r="G712" s="8" t="n"/>
      <c r="H712" s="8" t="n">
        <v>9595</v>
      </c>
      <c r="I712" s="8" t="n">
        <v>9580</v>
      </c>
      <c r="J712" s="8" t="n">
        <v>9675</v>
      </c>
      <c r="K712" s="8" t="n">
        <v>9525</v>
      </c>
      <c r="L712" s="8" t="n">
        <v>316376</v>
      </c>
      <c r="M712" s="8" t="n">
        <v>96406</v>
      </c>
      <c r="N712" s="9" t="inlineStr">
        <is>
          <t>否</t>
        </is>
      </c>
      <c r="O712" t="inlineStr">
        <is>
          <t>缺 PP</t>
        </is>
      </c>
    </row>
    <row r="713">
      <c r="A713" s="7" t="inlineStr">
        <is>
          <t>2010-06-11</t>
        </is>
      </c>
      <c r="B713" s="8" t="n"/>
      <c r="C713" s="8" t="n"/>
      <c r="D713" s="8" t="n"/>
      <c r="E713" s="8" t="n"/>
      <c r="F713" s="8" t="n"/>
      <c r="G713" s="8" t="n"/>
      <c r="H713" s="8" t="n">
        <v>9720</v>
      </c>
      <c r="I713" s="8" t="n">
        <v>9670</v>
      </c>
      <c r="J713" s="8" t="n">
        <v>9745</v>
      </c>
      <c r="K713" s="8" t="n">
        <v>9655</v>
      </c>
      <c r="L713" s="8" t="n">
        <v>203510</v>
      </c>
      <c r="M713" s="8" t="n">
        <v>92392</v>
      </c>
      <c r="N713" s="9" t="inlineStr">
        <is>
          <t>否</t>
        </is>
      </c>
      <c r="O713" t="inlineStr">
        <is>
          <t>缺 PP</t>
        </is>
      </c>
    </row>
    <row r="714">
      <c r="A714" s="7" t="inlineStr">
        <is>
          <t>2010-06-17</t>
        </is>
      </c>
      <c r="B714" s="8" t="n"/>
      <c r="C714" s="8" t="n"/>
      <c r="D714" s="8" t="n"/>
      <c r="E714" s="8" t="n"/>
      <c r="F714" s="8" t="n"/>
      <c r="G714" s="8" t="n"/>
      <c r="H714" s="8" t="n">
        <v>9565</v>
      </c>
      <c r="I714" s="8" t="n">
        <v>9850</v>
      </c>
      <c r="J714" s="8" t="n">
        <v>9880</v>
      </c>
      <c r="K714" s="8" t="n">
        <v>9525</v>
      </c>
      <c r="L714" s="8" t="n">
        <v>284950</v>
      </c>
      <c r="M714" s="8" t="n">
        <v>111572</v>
      </c>
      <c r="N714" s="9" t="inlineStr">
        <is>
          <t>否</t>
        </is>
      </c>
      <c r="O714" t="inlineStr">
        <is>
          <t>缺 PP</t>
        </is>
      </c>
    </row>
    <row r="715">
      <c r="A715" s="7" t="inlineStr">
        <is>
          <t>2010-06-18</t>
        </is>
      </c>
      <c r="B715" s="8" t="n"/>
      <c r="C715" s="8" t="n"/>
      <c r="D715" s="8" t="n"/>
      <c r="E715" s="8" t="n"/>
      <c r="F715" s="8" t="n"/>
      <c r="G715" s="8" t="n"/>
      <c r="H715" s="8" t="n">
        <v>9350</v>
      </c>
      <c r="I715" s="8" t="n">
        <v>9560</v>
      </c>
      <c r="J715" s="8" t="n">
        <v>9585</v>
      </c>
      <c r="K715" s="8" t="n">
        <v>9345</v>
      </c>
      <c r="L715" s="8" t="n">
        <v>531668</v>
      </c>
      <c r="M715" s="8" t="n">
        <v>136240</v>
      </c>
      <c r="N715" s="9" t="inlineStr">
        <is>
          <t>否</t>
        </is>
      </c>
      <c r="O715" t="inlineStr">
        <is>
          <t>缺 PP</t>
        </is>
      </c>
    </row>
    <row r="716">
      <c r="A716" s="7" t="inlineStr">
        <is>
          <t>2010-06-21</t>
        </is>
      </c>
      <c r="B716" s="8" t="n"/>
      <c r="C716" s="8" t="n"/>
      <c r="D716" s="8" t="n"/>
      <c r="E716" s="8" t="n"/>
      <c r="F716" s="8" t="n"/>
      <c r="G716" s="8" t="n"/>
      <c r="H716" s="8" t="n">
        <v>9770</v>
      </c>
      <c r="I716" s="8" t="n">
        <v>9430</v>
      </c>
      <c r="J716" s="8" t="n">
        <v>9855</v>
      </c>
      <c r="K716" s="8" t="n">
        <v>9355</v>
      </c>
      <c r="L716" s="8" t="n">
        <v>929864</v>
      </c>
      <c r="M716" s="8" t="n">
        <v>131822</v>
      </c>
      <c r="N716" s="9" t="inlineStr">
        <is>
          <t>否</t>
        </is>
      </c>
      <c r="O716" t="inlineStr">
        <is>
          <t>缺 PP</t>
        </is>
      </c>
    </row>
    <row r="717">
      <c r="A717" s="7" t="inlineStr">
        <is>
          <t>2010-06-22</t>
        </is>
      </c>
      <c r="B717" s="8" t="n"/>
      <c r="C717" s="8" t="n"/>
      <c r="D717" s="8" t="n"/>
      <c r="E717" s="8" t="n"/>
      <c r="F717" s="8" t="n"/>
      <c r="G717" s="8" t="n"/>
      <c r="H717" s="8" t="n">
        <v>9650</v>
      </c>
      <c r="I717" s="8" t="n">
        <v>9625</v>
      </c>
      <c r="J717" s="8" t="n">
        <v>9730</v>
      </c>
      <c r="K717" s="8" t="n">
        <v>9605</v>
      </c>
      <c r="L717" s="8" t="n">
        <v>717320</v>
      </c>
      <c r="M717" s="8" t="n">
        <v>136884</v>
      </c>
      <c r="N717" s="9" t="inlineStr">
        <is>
          <t>否</t>
        </is>
      </c>
      <c r="O717" t="inlineStr">
        <is>
          <t>缺 PP</t>
        </is>
      </c>
    </row>
    <row r="718">
      <c r="A718" s="7" t="inlineStr">
        <is>
          <t>2010-06-23</t>
        </is>
      </c>
      <c r="B718" s="8" t="n"/>
      <c r="C718" s="8" t="n"/>
      <c r="D718" s="8" t="n"/>
      <c r="E718" s="8" t="n"/>
      <c r="F718" s="8" t="n"/>
      <c r="G718" s="8" t="n"/>
      <c r="H718" s="8" t="n">
        <v>9615</v>
      </c>
      <c r="I718" s="8" t="n">
        <v>9580</v>
      </c>
      <c r="J718" s="8" t="n">
        <v>9740</v>
      </c>
      <c r="K718" s="8" t="n">
        <v>9475</v>
      </c>
      <c r="L718" s="8" t="n">
        <v>938634</v>
      </c>
      <c r="M718" s="8" t="n">
        <v>147076</v>
      </c>
      <c r="N718" s="9" t="inlineStr">
        <is>
          <t>否</t>
        </is>
      </c>
      <c r="O718" t="inlineStr">
        <is>
          <t>缺 PP</t>
        </is>
      </c>
    </row>
    <row r="719">
      <c r="A719" s="7" t="inlineStr">
        <is>
          <t>2010-06-24</t>
        </is>
      </c>
      <c r="B719" s="8" t="n"/>
      <c r="C719" s="8" t="n"/>
      <c r="D719" s="8" t="n"/>
      <c r="E719" s="8" t="n"/>
      <c r="F719" s="8" t="n"/>
      <c r="G719" s="8" t="n"/>
      <c r="H719" s="8" t="n">
        <v>9805</v>
      </c>
      <c r="I719" s="8" t="n">
        <v>9625</v>
      </c>
      <c r="J719" s="8" t="n">
        <v>9865</v>
      </c>
      <c r="K719" s="8" t="n">
        <v>9620</v>
      </c>
      <c r="L719" s="8" t="n">
        <v>990786</v>
      </c>
      <c r="M719" s="8" t="n">
        <v>168138</v>
      </c>
      <c r="N719" s="9" t="inlineStr">
        <is>
          <t>否</t>
        </is>
      </c>
      <c r="O719" t="inlineStr">
        <is>
          <t>缺 PP</t>
        </is>
      </c>
    </row>
    <row r="720">
      <c r="A720" s="7" t="inlineStr">
        <is>
          <t>2010-06-25</t>
        </is>
      </c>
      <c r="B720" s="8" t="n"/>
      <c r="C720" s="8" t="n"/>
      <c r="D720" s="8" t="n"/>
      <c r="E720" s="8" t="n"/>
      <c r="F720" s="8" t="n"/>
      <c r="G720" s="8" t="n"/>
      <c r="H720" s="8" t="n">
        <v>9715</v>
      </c>
      <c r="I720" s="8" t="n">
        <v>9840</v>
      </c>
      <c r="J720" s="8" t="n">
        <v>9845</v>
      </c>
      <c r="K720" s="8" t="n">
        <v>9675</v>
      </c>
      <c r="L720" s="8" t="n">
        <v>803316</v>
      </c>
      <c r="M720" s="8" t="n">
        <v>152320</v>
      </c>
      <c r="N720" s="9" t="inlineStr">
        <is>
          <t>否</t>
        </is>
      </c>
      <c r="O720" t="inlineStr">
        <is>
          <t>缺 PP</t>
        </is>
      </c>
    </row>
    <row r="721">
      <c r="A721" s="7" t="inlineStr">
        <is>
          <t>2010-06-28</t>
        </is>
      </c>
      <c r="B721" s="8" t="n"/>
      <c r="C721" s="8" t="n"/>
      <c r="D721" s="8" t="n"/>
      <c r="E721" s="8" t="n"/>
      <c r="F721" s="8" t="n"/>
      <c r="G721" s="8" t="n"/>
      <c r="H721" s="8" t="n">
        <v>9790</v>
      </c>
      <c r="I721" s="8" t="n">
        <v>9780</v>
      </c>
      <c r="J721" s="8" t="n">
        <v>9945</v>
      </c>
      <c r="K721" s="8" t="n">
        <v>9775</v>
      </c>
      <c r="L721" s="8" t="n">
        <v>845690</v>
      </c>
      <c r="M721" s="8" t="n">
        <v>148236</v>
      </c>
      <c r="N721" s="9" t="inlineStr">
        <is>
          <t>否</t>
        </is>
      </c>
      <c r="O721" t="inlineStr">
        <is>
          <t>缺 PP</t>
        </is>
      </c>
    </row>
    <row r="722">
      <c r="A722" s="7" t="inlineStr">
        <is>
          <t>2010-06-29</t>
        </is>
      </c>
      <c r="B722" s="8" t="n"/>
      <c r="C722" s="8" t="n"/>
      <c r="D722" s="8" t="n"/>
      <c r="E722" s="8" t="n"/>
      <c r="F722" s="8" t="n"/>
      <c r="G722" s="8" t="n"/>
      <c r="H722" s="8" t="n">
        <v>9510</v>
      </c>
      <c r="I722" s="8" t="n">
        <v>9700</v>
      </c>
      <c r="J722" s="8" t="n">
        <v>9775</v>
      </c>
      <c r="K722" s="8" t="n">
        <v>9475</v>
      </c>
      <c r="L722" s="8" t="n">
        <v>826810</v>
      </c>
      <c r="M722" s="8" t="n">
        <v>148348</v>
      </c>
      <c r="N722" s="9" t="inlineStr">
        <is>
          <t>否</t>
        </is>
      </c>
      <c r="O722" t="inlineStr">
        <is>
          <t>缺 PP</t>
        </is>
      </c>
    </row>
    <row r="723">
      <c r="A723" s="7" t="inlineStr">
        <is>
          <t>2010-06-30</t>
        </is>
      </c>
      <c r="B723" s="8" t="n"/>
      <c r="C723" s="8" t="n"/>
      <c r="D723" s="8" t="n"/>
      <c r="E723" s="8" t="n"/>
      <c r="F723" s="8" t="n"/>
      <c r="G723" s="8" t="n"/>
      <c r="H723" s="8" t="n">
        <v>9485</v>
      </c>
      <c r="I723" s="8" t="n">
        <v>9400</v>
      </c>
      <c r="J723" s="8" t="n">
        <v>9505</v>
      </c>
      <c r="K723" s="8" t="n">
        <v>9375</v>
      </c>
      <c r="L723" s="8" t="n">
        <v>633084</v>
      </c>
      <c r="M723" s="8" t="n">
        <v>151308</v>
      </c>
      <c r="N723" s="9" t="inlineStr">
        <is>
          <t>否</t>
        </is>
      </c>
      <c r="O723" t="inlineStr">
        <is>
          <t>缺 PP</t>
        </is>
      </c>
    </row>
    <row r="724">
      <c r="A724" s="7" t="inlineStr">
        <is>
          <t>2010-07-01</t>
        </is>
      </c>
      <c r="B724" s="8" t="n"/>
      <c r="C724" s="8" t="n"/>
      <c r="D724" s="8" t="n"/>
      <c r="E724" s="8" t="n"/>
      <c r="F724" s="8" t="n"/>
      <c r="G724" s="8" t="n"/>
      <c r="H724" s="8" t="n">
        <v>9215</v>
      </c>
      <c r="I724" s="8" t="n">
        <v>9445</v>
      </c>
      <c r="J724" s="8" t="n">
        <v>9475</v>
      </c>
      <c r="K724" s="8" t="n">
        <v>9205</v>
      </c>
      <c r="L724" s="8" t="n">
        <v>870946</v>
      </c>
      <c r="M724" s="8" t="n">
        <v>182396</v>
      </c>
      <c r="N724" s="9" t="inlineStr">
        <is>
          <t>否</t>
        </is>
      </c>
      <c r="O724" t="inlineStr">
        <is>
          <t>缺 PP</t>
        </is>
      </c>
    </row>
    <row r="725">
      <c r="A725" s="7" t="inlineStr">
        <is>
          <t>2010-07-02</t>
        </is>
      </c>
      <c r="B725" s="8" t="n"/>
      <c r="C725" s="8" t="n"/>
      <c r="D725" s="8" t="n"/>
      <c r="E725" s="8" t="n"/>
      <c r="F725" s="8" t="n"/>
      <c r="G725" s="8" t="n"/>
      <c r="H725" s="8" t="n">
        <v>9385</v>
      </c>
      <c r="I725" s="8" t="n">
        <v>9205</v>
      </c>
      <c r="J725" s="8" t="n">
        <v>9410</v>
      </c>
      <c r="K725" s="8" t="n">
        <v>9170</v>
      </c>
      <c r="L725" s="8" t="n">
        <v>1080018</v>
      </c>
      <c r="M725" s="8" t="n">
        <v>168806</v>
      </c>
      <c r="N725" s="9" t="inlineStr">
        <is>
          <t>否</t>
        </is>
      </c>
      <c r="O725" t="inlineStr">
        <is>
          <t>缺 PP</t>
        </is>
      </c>
    </row>
    <row r="726">
      <c r="A726" s="7" t="inlineStr">
        <is>
          <t>2010-07-05</t>
        </is>
      </c>
      <c r="B726" s="8" t="n"/>
      <c r="C726" s="8" t="n"/>
      <c r="D726" s="8" t="n"/>
      <c r="E726" s="8" t="n"/>
      <c r="F726" s="8" t="n"/>
      <c r="G726" s="8" t="n"/>
      <c r="H726" s="8" t="n">
        <v>9400</v>
      </c>
      <c r="I726" s="8" t="n">
        <v>9370</v>
      </c>
      <c r="J726" s="8" t="n">
        <v>9450</v>
      </c>
      <c r="K726" s="8" t="n">
        <v>9280</v>
      </c>
      <c r="L726" s="8" t="n">
        <v>825508</v>
      </c>
      <c r="M726" s="8" t="n">
        <v>178644</v>
      </c>
      <c r="N726" s="9" t="inlineStr">
        <is>
          <t>否</t>
        </is>
      </c>
      <c r="O726" t="inlineStr">
        <is>
          <t>缺 PP</t>
        </is>
      </c>
    </row>
    <row r="727">
      <c r="A727" s="7" t="inlineStr">
        <is>
          <t>2010-07-06</t>
        </is>
      </c>
      <c r="B727" s="8" t="n"/>
      <c r="C727" s="8" t="n"/>
      <c r="D727" s="8" t="n"/>
      <c r="E727" s="8" t="n"/>
      <c r="F727" s="8" t="n"/>
      <c r="G727" s="8" t="n"/>
      <c r="H727" s="8" t="n">
        <v>9365</v>
      </c>
      <c r="I727" s="8" t="n">
        <v>9300</v>
      </c>
      <c r="J727" s="8" t="n">
        <v>9365</v>
      </c>
      <c r="K727" s="8" t="n">
        <v>9210</v>
      </c>
      <c r="L727" s="8" t="n">
        <v>928788</v>
      </c>
      <c r="M727" s="8" t="n">
        <v>189062</v>
      </c>
      <c r="N727" s="9" t="inlineStr">
        <is>
          <t>否</t>
        </is>
      </c>
      <c r="O727" t="inlineStr">
        <is>
          <t>缺 PP</t>
        </is>
      </c>
    </row>
    <row r="728">
      <c r="A728" s="7" t="inlineStr">
        <is>
          <t>2010-07-07</t>
        </is>
      </c>
      <c r="B728" s="8" t="n"/>
      <c r="C728" s="8" t="n"/>
      <c r="D728" s="8" t="n"/>
      <c r="E728" s="8" t="n"/>
      <c r="F728" s="8" t="n"/>
      <c r="G728" s="8" t="n"/>
      <c r="H728" s="8" t="n">
        <v>9260</v>
      </c>
      <c r="I728" s="8" t="n">
        <v>9355</v>
      </c>
      <c r="J728" s="8" t="n">
        <v>9400</v>
      </c>
      <c r="K728" s="8" t="n">
        <v>9235</v>
      </c>
      <c r="L728" s="8" t="n">
        <v>808648</v>
      </c>
      <c r="M728" s="8" t="n">
        <v>207094</v>
      </c>
      <c r="N728" s="9" t="inlineStr">
        <is>
          <t>否</t>
        </is>
      </c>
      <c r="O728" t="inlineStr">
        <is>
          <t>缺 PP</t>
        </is>
      </c>
    </row>
    <row r="729">
      <c r="A729" s="7" t="inlineStr">
        <is>
          <t>2010-07-08</t>
        </is>
      </c>
      <c r="B729" s="8" t="n"/>
      <c r="C729" s="8" t="n"/>
      <c r="D729" s="8" t="n"/>
      <c r="E729" s="8" t="n"/>
      <c r="F729" s="8" t="n"/>
      <c r="G729" s="8" t="n"/>
      <c r="H729" s="8" t="n">
        <v>9325</v>
      </c>
      <c r="I729" s="8" t="n">
        <v>9410</v>
      </c>
      <c r="J729" s="8" t="n">
        <v>9445</v>
      </c>
      <c r="K729" s="8" t="n">
        <v>9305</v>
      </c>
      <c r="L729" s="8" t="n">
        <v>777578</v>
      </c>
      <c r="M729" s="8" t="n">
        <v>208670</v>
      </c>
      <c r="N729" s="9" t="inlineStr">
        <is>
          <t>否</t>
        </is>
      </c>
      <c r="O729" t="inlineStr">
        <is>
          <t>缺 PP</t>
        </is>
      </c>
    </row>
    <row r="730">
      <c r="A730" s="7" t="inlineStr">
        <is>
          <t>2010-07-09</t>
        </is>
      </c>
      <c r="B730" s="8" t="n"/>
      <c r="C730" s="8" t="n"/>
      <c r="D730" s="8" t="n"/>
      <c r="E730" s="8" t="n"/>
      <c r="F730" s="8" t="n"/>
      <c r="G730" s="8" t="n"/>
      <c r="H730" s="8" t="n">
        <v>9395</v>
      </c>
      <c r="I730" s="8" t="n">
        <v>9350</v>
      </c>
      <c r="J730" s="8" t="n">
        <v>9410</v>
      </c>
      <c r="K730" s="8" t="n">
        <v>9300</v>
      </c>
      <c r="L730" s="8" t="n">
        <v>765598</v>
      </c>
      <c r="M730" s="8" t="n">
        <v>210200</v>
      </c>
      <c r="N730" s="9" t="inlineStr">
        <is>
          <t>否</t>
        </is>
      </c>
      <c r="O730" t="inlineStr">
        <is>
          <t>缺 PP</t>
        </is>
      </c>
    </row>
    <row r="731">
      <c r="A731" s="7" t="inlineStr">
        <is>
          <t>2010-07-12</t>
        </is>
      </c>
      <c r="B731" s="8" t="n"/>
      <c r="C731" s="8" t="n"/>
      <c r="D731" s="8" t="n"/>
      <c r="E731" s="8" t="n"/>
      <c r="F731" s="8" t="n"/>
      <c r="G731" s="8" t="n"/>
      <c r="H731" s="8" t="n">
        <v>9370</v>
      </c>
      <c r="I731" s="8" t="n">
        <v>9415</v>
      </c>
      <c r="J731" s="8" t="n">
        <v>9530</v>
      </c>
      <c r="K731" s="8" t="n">
        <v>9360</v>
      </c>
      <c r="L731" s="8" t="n">
        <v>851288</v>
      </c>
      <c r="M731" s="8" t="n">
        <v>198926</v>
      </c>
      <c r="N731" s="9" t="inlineStr">
        <is>
          <t>否</t>
        </is>
      </c>
      <c r="O731" t="inlineStr">
        <is>
          <t>缺 PP</t>
        </is>
      </c>
    </row>
    <row r="732">
      <c r="A732" s="7" t="inlineStr">
        <is>
          <t>2010-07-13</t>
        </is>
      </c>
      <c r="B732" s="8" t="n"/>
      <c r="C732" s="8" t="n"/>
      <c r="D732" s="8" t="n"/>
      <c r="E732" s="8" t="n"/>
      <c r="F732" s="8" t="n"/>
      <c r="G732" s="8" t="n"/>
      <c r="H732" s="8" t="n">
        <v>9305</v>
      </c>
      <c r="I732" s="8" t="n">
        <v>9385</v>
      </c>
      <c r="J732" s="8" t="n">
        <v>9415</v>
      </c>
      <c r="K732" s="8" t="n">
        <v>9270</v>
      </c>
      <c r="L732" s="8" t="n">
        <v>963294</v>
      </c>
      <c r="M732" s="8" t="n">
        <v>203848</v>
      </c>
      <c r="N732" s="9" t="inlineStr">
        <is>
          <t>否</t>
        </is>
      </c>
      <c r="O732" t="inlineStr">
        <is>
          <t>缺 PP</t>
        </is>
      </c>
    </row>
    <row r="733">
      <c r="A733" s="7" t="inlineStr">
        <is>
          <t>2010-07-14</t>
        </is>
      </c>
      <c r="B733" s="8" t="n"/>
      <c r="C733" s="8" t="n"/>
      <c r="D733" s="8" t="n"/>
      <c r="E733" s="8" t="n"/>
      <c r="F733" s="8" t="n"/>
      <c r="G733" s="8" t="n"/>
      <c r="H733" s="8" t="n">
        <v>9330</v>
      </c>
      <c r="I733" s="8" t="n">
        <v>9410</v>
      </c>
      <c r="J733" s="8" t="n">
        <v>9425</v>
      </c>
      <c r="K733" s="8" t="n">
        <v>9315</v>
      </c>
      <c r="L733" s="8" t="n">
        <v>783326</v>
      </c>
      <c r="M733" s="8" t="n">
        <v>192972</v>
      </c>
      <c r="N733" s="9" t="inlineStr">
        <is>
          <t>否</t>
        </is>
      </c>
      <c r="O733" t="inlineStr">
        <is>
          <t>缺 PP</t>
        </is>
      </c>
    </row>
    <row r="734">
      <c r="A734" s="7" t="inlineStr">
        <is>
          <t>2010-07-15</t>
        </is>
      </c>
      <c r="B734" s="8" t="n"/>
      <c r="C734" s="8" t="n"/>
      <c r="D734" s="8" t="n"/>
      <c r="E734" s="8" t="n"/>
      <c r="F734" s="8" t="n"/>
      <c r="G734" s="8" t="n"/>
      <c r="H734" s="8" t="n">
        <v>9205</v>
      </c>
      <c r="I734" s="8" t="n">
        <v>9300</v>
      </c>
      <c r="J734" s="8" t="n">
        <v>9330</v>
      </c>
      <c r="K734" s="8" t="n">
        <v>9140</v>
      </c>
      <c r="L734" s="8" t="n">
        <v>1180906</v>
      </c>
      <c r="M734" s="8" t="n">
        <v>204538</v>
      </c>
      <c r="N734" s="9" t="inlineStr">
        <is>
          <t>否</t>
        </is>
      </c>
      <c r="O734" t="inlineStr">
        <is>
          <t>缺 PP</t>
        </is>
      </c>
    </row>
    <row r="735">
      <c r="A735" s="7" t="inlineStr">
        <is>
          <t>2010-07-16</t>
        </is>
      </c>
      <c r="B735" s="8" t="n"/>
      <c r="C735" s="8" t="n"/>
      <c r="D735" s="8" t="n"/>
      <c r="E735" s="8" t="n"/>
      <c r="F735" s="8" t="n"/>
      <c r="G735" s="8" t="n"/>
      <c r="H735" s="8" t="n">
        <v>9180</v>
      </c>
      <c r="I735" s="8" t="n">
        <v>9250</v>
      </c>
      <c r="J735" s="8" t="n">
        <v>9280</v>
      </c>
      <c r="K735" s="8" t="n">
        <v>9115</v>
      </c>
      <c r="L735" s="8" t="n">
        <v>846540</v>
      </c>
      <c r="M735" s="8" t="n">
        <v>212914</v>
      </c>
      <c r="N735" s="9" t="inlineStr">
        <is>
          <t>否</t>
        </is>
      </c>
      <c r="O735" t="inlineStr">
        <is>
          <t>缺 PP</t>
        </is>
      </c>
    </row>
    <row r="736">
      <c r="A736" s="7" t="inlineStr">
        <is>
          <t>2010-07-19</t>
        </is>
      </c>
      <c r="B736" s="8" t="n"/>
      <c r="C736" s="8" t="n"/>
      <c r="D736" s="8" t="n"/>
      <c r="E736" s="8" t="n"/>
      <c r="F736" s="8" t="n"/>
      <c r="G736" s="8" t="n"/>
      <c r="H736" s="8" t="n">
        <v>9175</v>
      </c>
      <c r="I736" s="8" t="n">
        <v>9080</v>
      </c>
      <c r="J736" s="8" t="n">
        <v>9210</v>
      </c>
      <c r="K736" s="8" t="n">
        <v>9060</v>
      </c>
      <c r="L736" s="8" t="n">
        <v>673940</v>
      </c>
      <c r="M736" s="8" t="n">
        <v>205520</v>
      </c>
      <c r="N736" s="9" t="inlineStr">
        <is>
          <t>否</t>
        </is>
      </c>
      <c r="O736" t="inlineStr">
        <is>
          <t>缺 PP</t>
        </is>
      </c>
    </row>
    <row r="737">
      <c r="A737" s="7" t="inlineStr">
        <is>
          <t>2010-07-20</t>
        </is>
      </c>
      <c r="B737" s="8" t="n"/>
      <c r="C737" s="8" t="n"/>
      <c r="D737" s="8" t="n"/>
      <c r="E737" s="8" t="n"/>
      <c r="F737" s="8" t="n"/>
      <c r="G737" s="8" t="n"/>
      <c r="H737" s="8" t="n">
        <v>9335</v>
      </c>
      <c r="I737" s="8" t="n">
        <v>9180</v>
      </c>
      <c r="J737" s="8" t="n">
        <v>9345</v>
      </c>
      <c r="K737" s="8" t="n">
        <v>9180</v>
      </c>
      <c r="L737" s="8" t="n">
        <v>581670</v>
      </c>
      <c r="M737" s="8" t="n">
        <v>186948</v>
      </c>
      <c r="N737" s="9" t="inlineStr">
        <is>
          <t>否</t>
        </is>
      </c>
      <c r="O737" t="inlineStr">
        <is>
          <t>缺 PP</t>
        </is>
      </c>
    </row>
    <row r="738">
      <c r="A738" s="7" t="inlineStr">
        <is>
          <t>2010-07-21</t>
        </is>
      </c>
      <c r="B738" s="8" t="n"/>
      <c r="C738" s="8" t="n"/>
      <c r="D738" s="8" t="n"/>
      <c r="E738" s="8" t="n"/>
      <c r="F738" s="8" t="n"/>
      <c r="G738" s="8" t="n"/>
      <c r="H738" s="8" t="n">
        <v>9350</v>
      </c>
      <c r="I738" s="8" t="n">
        <v>9345</v>
      </c>
      <c r="J738" s="8" t="n">
        <v>9385</v>
      </c>
      <c r="K738" s="8" t="n">
        <v>9310</v>
      </c>
      <c r="L738" s="8" t="n">
        <v>472560</v>
      </c>
      <c r="M738" s="8" t="n">
        <v>177260</v>
      </c>
      <c r="N738" s="9" t="inlineStr">
        <is>
          <t>否</t>
        </is>
      </c>
      <c r="O738" t="inlineStr">
        <is>
          <t>缺 PP</t>
        </is>
      </c>
    </row>
    <row r="739">
      <c r="A739" s="7" t="inlineStr">
        <is>
          <t>2010-07-22</t>
        </is>
      </c>
      <c r="B739" s="8" t="n"/>
      <c r="C739" s="8" t="n"/>
      <c r="D739" s="8" t="n"/>
      <c r="E739" s="8" t="n"/>
      <c r="F739" s="8" t="n"/>
      <c r="G739" s="8" t="n"/>
      <c r="H739" s="8" t="n">
        <v>9540</v>
      </c>
      <c r="I739" s="8" t="n">
        <v>9310</v>
      </c>
      <c r="J739" s="8" t="n">
        <v>9545</v>
      </c>
      <c r="K739" s="8" t="n">
        <v>9310</v>
      </c>
      <c r="L739" s="8" t="n">
        <v>973978</v>
      </c>
      <c r="M739" s="8" t="n">
        <v>196610</v>
      </c>
      <c r="N739" s="9" t="inlineStr">
        <is>
          <t>否</t>
        </is>
      </c>
      <c r="O739" t="inlineStr">
        <is>
          <t>缺 PP</t>
        </is>
      </c>
    </row>
    <row r="740">
      <c r="A740" s="7" t="inlineStr">
        <is>
          <t>2010-07-23</t>
        </is>
      </c>
      <c r="B740" s="8" t="n"/>
      <c r="C740" s="8" t="n"/>
      <c r="D740" s="8" t="n"/>
      <c r="E740" s="8" t="n"/>
      <c r="F740" s="8" t="n"/>
      <c r="G740" s="8" t="n"/>
      <c r="H740" s="8" t="n">
        <v>9730</v>
      </c>
      <c r="I740" s="8" t="n">
        <v>9650</v>
      </c>
      <c r="J740" s="8" t="n">
        <v>9770</v>
      </c>
      <c r="K740" s="8" t="n">
        <v>9630</v>
      </c>
      <c r="L740" s="8" t="n">
        <v>737446</v>
      </c>
      <c r="M740" s="8" t="n">
        <v>161646</v>
      </c>
      <c r="N740" s="9" t="inlineStr">
        <is>
          <t>否</t>
        </is>
      </c>
      <c r="O740" t="inlineStr">
        <is>
          <t>缺 PP</t>
        </is>
      </c>
    </row>
    <row r="741">
      <c r="A741" s="7" t="inlineStr">
        <is>
          <t>2010-07-26</t>
        </is>
      </c>
      <c r="B741" s="8" t="n"/>
      <c r="C741" s="8" t="n"/>
      <c r="D741" s="8" t="n"/>
      <c r="E741" s="8" t="n"/>
      <c r="F741" s="8" t="n"/>
      <c r="G741" s="8" t="n"/>
      <c r="H741" s="8" t="n">
        <v>9805</v>
      </c>
      <c r="I741" s="8" t="n">
        <v>9750</v>
      </c>
      <c r="J741" s="8" t="n">
        <v>9820</v>
      </c>
      <c r="K741" s="8" t="n">
        <v>9710</v>
      </c>
      <c r="L741" s="8" t="n">
        <v>555454</v>
      </c>
      <c r="M741" s="8" t="n">
        <v>150692</v>
      </c>
      <c r="N741" s="9" t="inlineStr">
        <is>
          <t>否</t>
        </is>
      </c>
      <c r="O741" t="inlineStr">
        <is>
          <t>缺 PP</t>
        </is>
      </c>
    </row>
    <row r="742">
      <c r="A742" s="7" t="inlineStr">
        <is>
          <t>2010-07-27</t>
        </is>
      </c>
      <c r="B742" s="8" t="n"/>
      <c r="C742" s="8" t="n"/>
      <c r="D742" s="8" t="n"/>
      <c r="E742" s="8" t="n"/>
      <c r="F742" s="8" t="n"/>
      <c r="G742" s="8" t="n"/>
      <c r="H742" s="8" t="n">
        <v>9705</v>
      </c>
      <c r="I742" s="8" t="n">
        <v>9800</v>
      </c>
      <c r="J742" s="8" t="n">
        <v>9810</v>
      </c>
      <c r="K742" s="8" t="n">
        <v>9670</v>
      </c>
      <c r="L742" s="8" t="n">
        <v>648410</v>
      </c>
      <c r="M742" s="8" t="n">
        <v>138952</v>
      </c>
      <c r="N742" s="9" t="inlineStr">
        <is>
          <t>否</t>
        </is>
      </c>
      <c r="O742" t="inlineStr">
        <is>
          <t>缺 PP</t>
        </is>
      </c>
    </row>
    <row r="743">
      <c r="A743" s="7" t="inlineStr">
        <is>
          <t>2010-07-28</t>
        </is>
      </c>
      <c r="B743" s="8" t="n"/>
      <c r="C743" s="8" t="n"/>
      <c r="D743" s="8" t="n"/>
      <c r="E743" s="8" t="n"/>
      <c r="F743" s="8" t="n"/>
      <c r="G743" s="8" t="n"/>
      <c r="H743" s="8" t="n">
        <v>9790</v>
      </c>
      <c r="I743" s="8" t="n">
        <v>9650</v>
      </c>
      <c r="J743" s="8" t="n">
        <v>9835</v>
      </c>
      <c r="K743" s="8" t="n">
        <v>9640</v>
      </c>
      <c r="L743" s="8" t="n">
        <v>568066</v>
      </c>
      <c r="M743" s="8" t="n">
        <v>133704</v>
      </c>
      <c r="N743" s="9" t="inlineStr">
        <is>
          <t>否</t>
        </is>
      </c>
      <c r="O743" t="inlineStr">
        <is>
          <t>缺 PP</t>
        </is>
      </c>
    </row>
    <row r="744">
      <c r="A744" s="7" t="inlineStr">
        <is>
          <t>2010-07-29</t>
        </is>
      </c>
      <c r="B744" s="8" t="n"/>
      <c r="C744" s="8" t="n"/>
      <c r="D744" s="8" t="n"/>
      <c r="E744" s="8" t="n"/>
      <c r="F744" s="8" t="n"/>
      <c r="G744" s="8" t="n"/>
      <c r="H744" s="8" t="n">
        <v>10265</v>
      </c>
      <c r="I744" s="8" t="n">
        <v>10220</v>
      </c>
      <c r="J744" s="8" t="n">
        <v>10320</v>
      </c>
      <c r="K744" s="8" t="n">
        <v>10135</v>
      </c>
      <c r="L744" s="8" t="n">
        <v>460482</v>
      </c>
      <c r="M744" s="8" t="n">
        <v>103116</v>
      </c>
      <c r="N744" s="9" t="inlineStr">
        <is>
          <t>否</t>
        </is>
      </c>
      <c r="O744" t="inlineStr">
        <is>
          <t>缺 PP</t>
        </is>
      </c>
    </row>
    <row r="745">
      <c r="A745" s="7" t="inlineStr">
        <is>
          <t>2010-07-30</t>
        </is>
      </c>
      <c r="B745" s="8" t="n"/>
      <c r="C745" s="8" t="n"/>
      <c r="D745" s="8" t="n"/>
      <c r="E745" s="8" t="n"/>
      <c r="F745" s="8" t="n"/>
      <c r="G745" s="8" t="n"/>
      <c r="H745" s="8" t="n">
        <v>10335</v>
      </c>
      <c r="I745" s="8" t="n">
        <v>10275</v>
      </c>
      <c r="J745" s="8" t="n">
        <v>10350</v>
      </c>
      <c r="K745" s="8" t="n">
        <v>10235</v>
      </c>
      <c r="L745" s="8" t="n">
        <v>563880</v>
      </c>
      <c r="M745" s="8" t="n">
        <v>113166</v>
      </c>
      <c r="N745" s="9" t="inlineStr">
        <is>
          <t>否</t>
        </is>
      </c>
      <c r="O745" t="inlineStr">
        <is>
          <t>缺 PP</t>
        </is>
      </c>
    </row>
    <row r="746">
      <c r="A746" s="7" t="inlineStr">
        <is>
          <t>2010-08-02</t>
        </is>
      </c>
      <c r="B746" s="8" t="n"/>
      <c r="C746" s="8" t="n"/>
      <c r="D746" s="8" t="n"/>
      <c r="E746" s="8" t="n"/>
      <c r="F746" s="8" t="n"/>
      <c r="G746" s="8" t="n"/>
      <c r="H746" s="8" t="n">
        <v>10505</v>
      </c>
      <c r="I746" s="8" t="n">
        <v>10400</v>
      </c>
      <c r="J746" s="8" t="n">
        <v>10535</v>
      </c>
      <c r="K746" s="8" t="n">
        <v>10380</v>
      </c>
      <c r="L746" s="8" t="n">
        <v>590258</v>
      </c>
      <c r="M746" s="8" t="n">
        <v>131806</v>
      </c>
      <c r="N746" s="9" t="inlineStr">
        <is>
          <t>否</t>
        </is>
      </c>
      <c r="O746" t="inlineStr">
        <is>
          <t>缺 PP</t>
        </is>
      </c>
    </row>
    <row r="747">
      <c r="A747" s="7" t="inlineStr">
        <is>
          <t>2010-08-03</t>
        </is>
      </c>
      <c r="B747" s="8" t="n"/>
      <c r="C747" s="8" t="n"/>
      <c r="D747" s="8" t="n"/>
      <c r="E747" s="8" t="n"/>
      <c r="F747" s="8" t="n"/>
      <c r="G747" s="8" t="n"/>
      <c r="H747" s="8" t="n">
        <v>10485</v>
      </c>
      <c r="I747" s="8" t="n">
        <v>10650</v>
      </c>
      <c r="J747" s="8" t="n">
        <v>10660</v>
      </c>
      <c r="K747" s="8" t="n">
        <v>10480</v>
      </c>
      <c r="L747" s="8" t="n">
        <v>688366</v>
      </c>
      <c r="M747" s="8" t="n">
        <v>138440</v>
      </c>
      <c r="N747" s="9" t="inlineStr">
        <is>
          <t>否</t>
        </is>
      </c>
      <c r="O747" t="inlineStr">
        <is>
          <t>缺 PP</t>
        </is>
      </c>
    </row>
    <row r="748">
      <c r="A748" s="7" t="inlineStr">
        <is>
          <t>2010-08-04</t>
        </is>
      </c>
      <c r="B748" s="8" t="n"/>
      <c r="C748" s="8" t="n"/>
      <c r="D748" s="8" t="n"/>
      <c r="E748" s="8" t="n"/>
      <c r="F748" s="8" t="n"/>
      <c r="G748" s="8" t="n"/>
      <c r="H748" s="8" t="n">
        <v>10525</v>
      </c>
      <c r="I748" s="8" t="n">
        <v>10510</v>
      </c>
      <c r="J748" s="8" t="n">
        <v>10570</v>
      </c>
      <c r="K748" s="8" t="n">
        <v>10415</v>
      </c>
      <c r="L748" s="8" t="n">
        <v>656388</v>
      </c>
      <c r="M748" s="8" t="n">
        <v>144132</v>
      </c>
      <c r="N748" s="9" t="inlineStr">
        <is>
          <t>否</t>
        </is>
      </c>
      <c r="O748" t="inlineStr">
        <is>
          <t>缺 PP</t>
        </is>
      </c>
    </row>
    <row r="749">
      <c r="A749" s="7" t="inlineStr">
        <is>
          <t>2010-08-05</t>
        </is>
      </c>
      <c r="B749" s="8" t="n"/>
      <c r="C749" s="8" t="n"/>
      <c r="D749" s="8" t="n"/>
      <c r="E749" s="8" t="n"/>
      <c r="F749" s="8" t="n"/>
      <c r="G749" s="8" t="n"/>
      <c r="H749" s="8" t="n">
        <v>10365</v>
      </c>
      <c r="I749" s="8" t="n">
        <v>10560</v>
      </c>
      <c r="J749" s="8" t="n">
        <v>10595</v>
      </c>
      <c r="K749" s="8" t="n">
        <v>10330</v>
      </c>
      <c r="L749" s="8" t="n">
        <v>857148</v>
      </c>
      <c r="M749" s="8" t="n">
        <v>154012</v>
      </c>
      <c r="N749" s="9" t="inlineStr">
        <is>
          <t>否</t>
        </is>
      </c>
      <c r="O749" t="inlineStr">
        <is>
          <t>缺 PP</t>
        </is>
      </c>
    </row>
    <row r="750">
      <c r="A750" s="7" t="inlineStr">
        <is>
          <t>2010-08-06</t>
        </is>
      </c>
      <c r="B750" s="8" t="n"/>
      <c r="C750" s="8" t="n"/>
      <c r="D750" s="8" t="n"/>
      <c r="E750" s="8" t="n"/>
      <c r="F750" s="8" t="n"/>
      <c r="G750" s="8" t="n"/>
      <c r="H750" s="8" t="n">
        <v>10435</v>
      </c>
      <c r="I750" s="8" t="n">
        <v>10345</v>
      </c>
      <c r="J750" s="8" t="n">
        <v>10465</v>
      </c>
      <c r="K750" s="8" t="n">
        <v>10330</v>
      </c>
      <c r="L750" s="8" t="n">
        <v>543228</v>
      </c>
      <c r="M750" s="8" t="n">
        <v>143720</v>
      </c>
      <c r="N750" s="9" t="inlineStr">
        <is>
          <t>否</t>
        </is>
      </c>
      <c r="O750" t="inlineStr">
        <is>
          <t>缺 PP</t>
        </is>
      </c>
    </row>
    <row r="751">
      <c r="A751" s="7" t="inlineStr">
        <is>
          <t>2010-08-09</t>
        </is>
      </c>
      <c r="B751" s="8" t="n"/>
      <c r="C751" s="8" t="n"/>
      <c r="D751" s="8" t="n"/>
      <c r="E751" s="8" t="n"/>
      <c r="F751" s="8" t="n"/>
      <c r="G751" s="8" t="n"/>
      <c r="H751" s="8" t="n">
        <v>10600</v>
      </c>
      <c r="I751" s="8" t="n">
        <v>10440</v>
      </c>
      <c r="J751" s="8" t="n">
        <v>10610</v>
      </c>
      <c r="K751" s="8" t="n">
        <v>10420</v>
      </c>
      <c r="L751" s="8" t="n">
        <v>536368</v>
      </c>
      <c r="M751" s="8" t="n">
        <v>154276</v>
      </c>
      <c r="N751" s="9" t="inlineStr">
        <is>
          <t>否</t>
        </is>
      </c>
      <c r="O751" t="inlineStr">
        <is>
          <t>缺 PP</t>
        </is>
      </c>
    </row>
    <row r="752">
      <c r="A752" s="7" t="inlineStr">
        <is>
          <t>2010-08-10</t>
        </is>
      </c>
      <c r="B752" s="8" t="n"/>
      <c r="C752" s="8" t="n"/>
      <c r="D752" s="8" t="n"/>
      <c r="E752" s="8" t="n"/>
      <c r="F752" s="8" t="n"/>
      <c r="G752" s="8" t="n"/>
      <c r="H752" s="8" t="n">
        <v>10535</v>
      </c>
      <c r="I752" s="8" t="n">
        <v>10580</v>
      </c>
      <c r="J752" s="8" t="n">
        <v>10695</v>
      </c>
      <c r="K752" s="8" t="n">
        <v>10495</v>
      </c>
      <c r="L752" s="8" t="n">
        <v>727110</v>
      </c>
      <c r="M752" s="8" t="n">
        <v>144996</v>
      </c>
      <c r="N752" s="9" t="inlineStr">
        <is>
          <t>否</t>
        </is>
      </c>
      <c r="O752" t="inlineStr">
        <is>
          <t>缺 PP</t>
        </is>
      </c>
    </row>
    <row r="753">
      <c r="A753" s="7" t="inlineStr">
        <is>
          <t>2010-08-11</t>
        </is>
      </c>
      <c r="B753" s="8" t="n"/>
      <c r="C753" s="8" t="n"/>
      <c r="D753" s="8" t="n"/>
      <c r="E753" s="8" t="n"/>
      <c r="F753" s="8" t="n"/>
      <c r="G753" s="8" t="n"/>
      <c r="H753" s="8" t="n">
        <v>10390</v>
      </c>
      <c r="I753" s="8" t="n">
        <v>10500</v>
      </c>
      <c r="J753" s="8" t="n">
        <v>10585</v>
      </c>
      <c r="K753" s="8" t="n">
        <v>10375</v>
      </c>
      <c r="L753" s="8" t="n">
        <v>655252</v>
      </c>
      <c r="M753" s="8" t="n">
        <v>150972</v>
      </c>
      <c r="N753" s="9" t="inlineStr">
        <is>
          <t>否</t>
        </is>
      </c>
      <c r="O753" t="inlineStr">
        <is>
          <t>缺 PP</t>
        </is>
      </c>
    </row>
    <row r="754">
      <c r="A754" s="7" t="inlineStr">
        <is>
          <t>2010-08-12</t>
        </is>
      </c>
      <c r="B754" s="8" t="n"/>
      <c r="C754" s="8" t="n"/>
      <c r="D754" s="8" t="n"/>
      <c r="E754" s="8" t="n"/>
      <c r="F754" s="8" t="n"/>
      <c r="G754" s="8" t="n"/>
      <c r="H754" s="8" t="n">
        <v>10220</v>
      </c>
      <c r="I754" s="8" t="n">
        <v>10295</v>
      </c>
      <c r="J754" s="8" t="n">
        <v>10325</v>
      </c>
      <c r="K754" s="8" t="n">
        <v>10190</v>
      </c>
      <c r="L754" s="8" t="n">
        <v>713604</v>
      </c>
      <c r="M754" s="8" t="n">
        <v>152112</v>
      </c>
      <c r="N754" s="9" t="inlineStr">
        <is>
          <t>否</t>
        </is>
      </c>
      <c r="O754" t="inlineStr">
        <is>
          <t>缺 PP</t>
        </is>
      </c>
    </row>
    <row r="755">
      <c r="A755" s="7" t="inlineStr">
        <is>
          <t>2010-08-13</t>
        </is>
      </c>
      <c r="B755" s="8" t="n"/>
      <c r="C755" s="8" t="n"/>
      <c r="D755" s="8" t="n"/>
      <c r="E755" s="8" t="n"/>
      <c r="F755" s="8" t="n"/>
      <c r="G755" s="8" t="n"/>
      <c r="H755" s="8" t="n">
        <v>10395</v>
      </c>
      <c r="I755" s="8" t="n">
        <v>10235</v>
      </c>
      <c r="J755" s="8" t="n">
        <v>10400</v>
      </c>
      <c r="K755" s="8" t="n">
        <v>10235</v>
      </c>
      <c r="L755" s="8" t="n">
        <v>584168</v>
      </c>
      <c r="M755" s="8" t="n">
        <v>154350</v>
      </c>
      <c r="N755" s="9" t="inlineStr">
        <is>
          <t>否</t>
        </is>
      </c>
      <c r="O755" t="inlineStr">
        <is>
          <t>缺 PP</t>
        </is>
      </c>
    </row>
    <row r="756">
      <c r="A756" s="7" t="inlineStr">
        <is>
          <t>2010-08-16</t>
        </is>
      </c>
      <c r="B756" s="8" t="n"/>
      <c r="C756" s="8" t="n"/>
      <c r="D756" s="8" t="n"/>
      <c r="E756" s="8" t="n"/>
      <c r="F756" s="8" t="n"/>
      <c r="G756" s="8" t="n"/>
      <c r="H756" s="8" t="n">
        <v>10540</v>
      </c>
      <c r="I756" s="8" t="n">
        <v>10350</v>
      </c>
      <c r="J756" s="8" t="n">
        <v>10590</v>
      </c>
      <c r="K756" s="8" t="n">
        <v>10280</v>
      </c>
      <c r="L756" s="8" t="n">
        <v>874740</v>
      </c>
      <c r="M756" s="8" t="n">
        <v>184464</v>
      </c>
      <c r="N756" s="9" t="inlineStr">
        <is>
          <t>否</t>
        </is>
      </c>
      <c r="O756" t="inlineStr">
        <is>
          <t>缺 PP</t>
        </is>
      </c>
    </row>
    <row r="757">
      <c r="A757" s="7" t="inlineStr">
        <is>
          <t>2010-08-17</t>
        </is>
      </c>
      <c r="B757" s="8" t="n"/>
      <c r="C757" s="8" t="n"/>
      <c r="D757" s="8" t="n"/>
      <c r="E757" s="8" t="n"/>
      <c r="F757" s="8" t="n"/>
      <c r="G757" s="8" t="n"/>
      <c r="H757" s="8" t="n">
        <v>10625</v>
      </c>
      <c r="I757" s="8" t="n">
        <v>10540</v>
      </c>
      <c r="J757" s="8" t="n">
        <v>10650</v>
      </c>
      <c r="K757" s="8" t="n">
        <v>10500</v>
      </c>
      <c r="L757" s="8" t="n">
        <v>911482</v>
      </c>
      <c r="M757" s="8" t="n">
        <v>193498</v>
      </c>
      <c r="N757" s="9" t="inlineStr">
        <is>
          <t>否</t>
        </is>
      </c>
      <c r="O757" t="inlineStr">
        <is>
          <t>缺 PP</t>
        </is>
      </c>
    </row>
    <row r="758">
      <c r="A758" s="7" t="inlineStr">
        <is>
          <t>2010-08-18</t>
        </is>
      </c>
      <c r="B758" s="8" t="n"/>
      <c r="C758" s="8" t="n"/>
      <c r="D758" s="8" t="n"/>
      <c r="E758" s="8" t="n"/>
      <c r="F758" s="8" t="n"/>
      <c r="G758" s="8" t="n"/>
      <c r="H758" s="8" t="n">
        <v>10585</v>
      </c>
      <c r="I758" s="8" t="n">
        <v>10685</v>
      </c>
      <c r="J758" s="8" t="n">
        <v>10720</v>
      </c>
      <c r="K758" s="8" t="n">
        <v>10550</v>
      </c>
      <c r="L758" s="8" t="n">
        <v>757604</v>
      </c>
      <c r="M758" s="8" t="n">
        <v>192378</v>
      </c>
      <c r="N758" s="9" t="inlineStr">
        <is>
          <t>否</t>
        </is>
      </c>
      <c r="O758" t="inlineStr">
        <is>
          <t>缺 PP</t>
        </is>
      </c>
    </row>
    <row r="759">
      <c r="A759" s="7" t="inlineStr">
        <is>
          <t>2010-08-19</t>
        </is>
      </c>
      <c r="B759" s="8" t="n"/>
      <c r="C759" s="8" t="n"/>
      <c r="D759" s="8" t="n"/>
      <c r="E759" s="8" t="n"/>
      <c r="F759" s="8" t="n"/>
      <c r="G759" s="8" t="n"/>
      <c r="H759" s="8" t="n">
        <v>10715</v>
      </c>
      <c r="I759" s="8" t="n">
        <v>10620</v>
      </c>
      <c r="J759" s="8" t="n">
        <v>10730</v>
      </c>
      <c r="K759" s="8" t="n">
        <v>10570</v>
      </c>
      <c r="L759" s="8" t="n">
        <v>981318</v>
      </c>
      <c r="M759" s="8" t="n">
        <v>209864</v>
      </c>
      <c r="N759" s="9" t="inlineStr">
        <is>
          <t>否</t>
        </is>
      </c>
      <c r="O759" t="inlineStr">
        <is>
          <t>缺 PP</t>
        </is>
      </c>
    </row>
    <row r="760">
      <c r="A760" s="7" t="inlineStr">
        <is>
          <t>2010-08-20</t>
        </is>
      </c>
      <c r="B760" s="8" t="n"/>
      <c r="C760" s="8" t="n"/>
      <c r="D760" s="8" t="n"/>
      <c r="E760" s="8" t="n"/>
      <c r="F760" s="8" t="n"/>
      <c r="G760" s="8" t="n"/>
      <c r="H760" s="8" t="n">
        <v>10415</v>
      </c>
      <c r="I760" s="8" t="n">
        <v>10650</v>
      </c>
      <c r="J760" s="8" t="n">
        <v>10670</v>
      </c>
      <c r="K760" s="8" t="n">
        <v>10410</v>
      </c>
      <c r="L760" s="8" t="n">
        <v>838558</v>
      </c>
      <c r="M760" s="8" t="n">
        <v>182400</v>
      </c>
      <c r="N760" s="9" t="inlineStr">
        <is>
          <t>否</t>
        </is>
      </c>
      <c r="O760" t="inlineStr">
        <is>
          <t>缺 PP</t>
        </is>
      </c>
    </row>
    <row r="761">
      <c r="A761" s="7" t="inlineStr">
        <is>
          <t>2010-08-23</t>
        </is>
      </c>
      <c r="B761" s="8" t="n"/>
      <c r="C761" s="8" t="n"/>
      <c r="D761" s="8" t="n"/>
      <c r="E761" s="8" t="n"/>
      <c r="F761" s="8" t="n"/>
      <c r="G761" s="8" t="n"/>
      <c r="H761" s="8" t="n">
        <v>10325</v>
      </c>
      <c r="I761" s="8" t="n">
        <v>10415</v>
      </c>
      <c r="J761" s="8" t="n">
        <v>10430</v>
      </c>
      <c r="K761" s="8" t="n">
        <v>10280</v>
      </c>
      <c r="L761" s="8" t="n">
        <v>695534</v>
      </c>
      <c r="M761" s="8" t="n">
        <v>189420</v>
      </c>
      <c r="N761" s="9" t="inlineStr">
        <is>
          <t>否</t>
        </is>
      </c>
      <c r="O761" t="inlineStr">
        <is>
          <t>缺 PP</t>
        </is>
      </c>
    </row>
    <row r="762">
      <c r="A762" s="7" t="inlineStr">
        <is>
          <t>2010-08-24</t>
        </is>
      </c>
      <c r="B762" s="8" t="n"/>
      <c r="C762" s="8" t="n"/>
      <c r="D762" s="8" t="n"/>
      <c r="E762" s="8" t="n"/>
      <c r="F762" s="8" t="n"/>
      <c r="G762" s="8" t="n"/>
      <c r="H762" s="8" t="n">
        <v>10240</v>
      </c>
      <c r="I762" s="8" t="n">
        <v>10275</v>
      </c>
      <c r="J762" s="8" t="n">
        <v>10325</v>
      </c>
      <c r="K762" s="8" t="n">
        <v>10205</v>
      </c>
      <c r="L762" s="8" t="n">
        <v>649236</v>
      </c>
      <c r="M762" s="8" t="n">
        <v>190024</v>
      </c>
      <c r="N762" s="9" t="inlineStr">
        <is>
          <t>否</t>
        </is>
      </c>
      <c r="O762" t="inlineStr">
        <is>
          <t>缺 PP</t>
        </is>
      </c>
    </row>
    <row r="763">
      <c r="A763" s="7" t="inlineStr">
        <is>
          <t>2010-08-25</t>
        </is>
      </c>
      <c r="B763" s="8" t="n"/>
      <c r="C763" s="8" t="n"/>
      <c r="D763" s="8" t="n"/>
      <c r="E763" s="8" t="n"/>
      <c r="F763" s="8" t="n"/>
      <c r="G763" s="8" t="n"/>
      <c r="H763" s="8" t="n">
        <v>10345</v>
      </c>
      <c r="I763" s="8" t="n">
        <v>10220</v>
      </c>
      <c r="J763" s="8" t="n">
        <v>10355</v>
      </c>
      <c r="K763" s="8" t="n">
        <v>10180</v>
      </c>
      <c r="L763" s="8" t="n">
        <v>794008</v>
      </c>
      <c r="M763" s="8" t="n">
        <v>200198</v>
      </c>
      <c r="N763" s="9" t="inlineStr">
        <is>
          <t>否</t>
        </is>
      </c>
      <c r="O763" t="inlineStr">
        <is>
          <t>缺 PP</t>
        </is>
      </c>
    </row>
    <row r="764">
      <c r="A764" s="7" t="inlineStr">
        <is>
          <t>2010-08-26</t>
        </is>
      </c>
      <c r="B764" s="8" t="n"/>
      <c r="C764" s="8" t="n"/>
      <c r="D764" s="8" t="n"/>
      <c r="E764" s="8" t="n"/>
      <c r="F764" s="8" t="n"/>
      <c r="G764" s="8" t="n"/>
      <c r="H764" s="8" t="n">
        <v>10510</v>
      </c>
      <c r="I764" s="8" t="n">
        <v>10405</v>
      </c>
      <c r="J764" s="8" t="n">
        <v>10520</v>
      </c>
      <c r="K764" s="8" t="n">
        <v>10395</v>
      </c>
      <c r="L764" s="8" t="n">
        <v>735500</v>
      </c>
      <c r="M764" s="8" t="n">
        <v>188036</v>
      </c>
      <c r="N764" s="9" t="inlineStr">
        <is>
          <t>否</t>
        </is>
      </c>
      <c r="O764" t="inlineStr">
        <is>
          <t>缺 PP</t>
        </is>
      </c>
    </row>
    <row r="765">
      <c r="A765" s="7" t="inlineStr">
        <is>
          <t>2010-08-27</t>
        </is>
      </c>
      <c r="B765" s="8" t="n"/>
      <c r="C765" s="8" t="n"/>
      <c r="D765" s="8" t="n"/>
      <c r="E765" s="8" t="n"/>
      <c r="F765" s="8" t="n"/>
      <c r="G765" s="8" t="n"/>
      <c r="H765" s="8" t="n">
        <v>10465</v>
      </c>
      <c r="I765" s="8" t="n">
        <v>10510</v>
      </c>
      <c r="J765" s="8" t="n">
        <v>10525</v>
      </c>
      <c r="K765" s="8" t="n">
        <v>10390</v>
      </c>
      <c r="L765" s="8" t="n">
        <v>653728</v>
      </c>
      <c r="M765" s="8" t="n">
        <v>191836</v>
      </c>
      <c r="N765" s="9" t="inlineStr">
        <is>
          <t>否</t>
        </is>
      </c>
      <c r="O765" t="inlineStr">
        <is>
          <t>缺 PP</t>
        </is>
      </c>
    </row>
    <row r="766">
      <c r="A766" s="7" t="inlineStr">
        <is>
          <t>2010-08-30</t>
        </is>
      </c>
      <c r="B766" s="8" t="n"/>
      <c r="C766" s="8" t="n"/>
      <c r="D766" s="8" t="n"/>
      <c r="E766" s="8" t="n"/>
      <c r="F766" s="8" t="n"/>
      <c r="G766" s="8" t="n"/>
      <c r="H766" s="8" t="n">
        <v>10545</v>
      </c>
      <c r="I766" s="8" t="n">
        <v>10550</v>
      </c>
      <c r="J766" s="8" t="n">
        <v>10655</v>
      </c>
      <c r="K766" s="8" t="n">
        <v>10535</v>
      </c>
      <c r="L766" s="8" t="n">
        <v>561620</v>
      </c>
      <c r="M766" s="8" t="n">
        <v>178406</v>
      </c>
      <c r="N766" s="9" t="inlineStr">
        <is>
          <t>否</t>
        </is>
      </c>
      <c r="O766" t="inlineStr">
        <is>
          <t>缺 PP</t>
        </is>
      </c>
    </row>
    <row r="767">
      <c r="A767" s="7" t="inlineStr">
        <is>
          <t>2010-08-31</t>
        </is>
      </c>
      <c r="B767" s="8" t="n"/>
      <c r="C767" s="8" t="n"/>
      <c r="D767" s="8" t="n"/>
      <c r="E767" s="8" t="n"/>
      <c r="F767" s="8" t="n"/>
      <c r="G767" s="8" t="n"/>
      <c r="H767" s="8" t="n">
        <v>10260</v>
      </c>
      <c r="I767" s="8" t="n">
        <v>10470</v>
      </c>
      <c r="J767" s="8" t="n">
        <v>10480</v>
      </c>
      <c r="K767" s="8" t="n">
        <v>10255</v>
      </c>
      <c r="L767" s="8" t="n">
        <v>589234</v>
      </c>
      <c r="M767" s="8" t="n">
        <v>192746</v>
      </c>
      <c r="N767" s="9" t="inlineStr">
        <is>
          <t>否</t>
        </is>
      </c>
      <c r="O767" t="inlineStr">
        <is>
          <t>缺 PP</t>
        </is>
      </c>
    </row>
    <row r="768">
      <c r="A768" s="7" t="inlineStr">
        <is>
          <t>2010-09-01</t>
        </is>
      </c>
      <c r="B768" s="8" t="n"/>
      <c r="C768" s="8" t="n"/>
      <c r="D768" s="8" t="n"/>
      <c r="E768" s="8" t="n"/>
      <c r="F768" s="8" t="n"/>
      <c r="G768" s="8" t="n"/>
      <c r="H768" s="8" t="n">
        <v>10375</v>
      </c>
      <c r="I768" s="8" t="n">
        <v>10260</v>
      </c>
      <c r="J768" s="8" t="n">
        <v>10425</v>
      </c>
      <c r="K768" s="8" t="n">
        <v>10250</v>
      </c>
      <c r="L768" s="8" t="n">
        <v>715386</v>
      </c>
      <c r="M768" s="8" t="n">
        <v>186184</v>
      </c>
      <c r="N768" s="9" t="inlineStr">
        <is>
          <t>否</t>
        </is>
      </c>
      <c r="O768" t="inlineStr">
        <is>
          <t>缺 PP</t>
        </is>
      </c>
    </row>
    <row r="769">
      <c r="A769" s="7" t="inlineStr">
        <is>
          <t>2010-09-02</t>
        </is>
      </c>
      <c r="B769" s="8" t="n"/>
      <c r="C769" s="8" t="n"/>
      <c r="D769" s="8" t="n"/>
      <c r="E769" s="8" t="n"/>
      <c r="F769" s="8" t="n"/>
      <c r="G769" s="8" t="n"/>
      <c r="H769" s="8" t="n">
        <v>10590</v>
      </c>
      <c r="I769" s="8" t="n">
        <v>10490</v>
      </c>
      <c r="J769" s="8" t="n">
        <v>10605</v>
      </c>
      <c r="K769" s="8" t="n">
        <v>10390</v>
      </c>
      <c r="L769" s="8" t="n">
        <v>846254</v>
      </c>
      <c r="M769" s="8" t="n">
        <v>230326</v>
      </c>
      <c r="N769" s="9" t="inlineStr">
        <is>
          <t>否</t>
        </is>
      </c>
      <c r="O769" t="inlineStr">
        <is>
          <t>缺 PP</t>
        </is>
      </c>
    </row>
    <row r="770">
      <c r="A770" s="7" t="inlineStr">
        <is>
          <t>2010-09-03</t>
        </is>
      </c>
      <c r="B770" s="8" t="n"/>
      <c r="C770" s="8" t="n"/>
      <c r="D770" s="8" t="n"/>
      <c r="E770" s="8" t="n"/>
      <c r="F770" s="8" t="n"/>
      <c r="G770" s="8" t="n"/>
      <c r="H770" s="8" t="n">
        <v>10520</v>
      </c>
      <c r="I770" s="8" t="n">
        <v>10630</v>
      </c>
      <c r="J770" s="8" t="n">
        <v>10650</v>
      </c>
      <c r="K770" s="8" t="n">
        <v>10460</v>
      </c>
      <c r="L770" s="8" t="n">
        <v>961328</v>
      </c>
      <c r="M770" s="8" t="n">
        <v>207946</v>
      </c>
      <c r="N770" s="9" t="inlineStr">
        <is>
          <t>否</t>
        </is>
      </c>
      <c r="O770" t="inlineStr">
        <is>
          <t>缺 PP</t>
        </is>
      </c>
    </row>
    <row r="771">
      <c r="A771" s="7" t="inlineStr">
        <is>
          <t>2010-09-06</t>
        </is>
      </c>
      <c r="B771" s="8" t="n"/>
      <c r="C771" s="8" t="n"/>
      <c r="D771" s="8" t="n"/>
      <c r="E771" s="8" t="n"/>
      <c r="F771" s="8" t="n"/>
      <c r="G771" s="8" t="n"/>
      <c r="H771" s="8" t="n">
        <v>10735</v>
      </c>
      <c r="I771" s="8" t="n">
        <v>10515</v>
      </c>
      <c r="J771" s="8" t="n">
        <v>10790</v>
      </c>
      <c r="K771" s="8" t="n">
        <v>10490</v>
      </c>
      <c r="L771" s="8" t="n">
        <v>1181806</v>
      </c>
      <c r="M771" s="8" t="n">
        <v>258932</v>
      </c>
      <c r="N771" s="9" t="inlineStr">
        <is>
          <t>否</t>
        </is>
      </c>
      <c r="O771" t="inlineStr">
        <is>
          <t>缺 PP</t>
        </is>
      </c>
    </row>
    <row r="772">
      <c r="A772" s="7" t="inlineStr">
        <is>
          <t>2010-09-07</t>
        </is>
      </c>
      <c r="B772" s="8" t="n"/>
      <c r="C772" s="8" t="n"/>
      <c r="D772" s="8" t="n"/>
      <c r="E772" s="8" t="n"/>
      <c r="F772" s="8" t="n"/>
      <c r="G772" s="8" t="n"/>
      <c r="H772" s="8" t="n">
        <v>10700</v>
      </c>
      <c r="I772" s="8" t="n">
        <v>10705</v>
      </c>
      <c r="J772" s="8" t="n">
        <v>10755</v>
      </c>
      <c r="K772" s="8" t="n">
        <v>10625</v>
      </c>
      <c r="L772" s="8" t="n">
        <v>894044</v>
      </c>
      <c r="M772" s="8" t="n">
        <v>259574</v>
      </c>
      <c r="N772" s="9" t="inlineStr">
        <is>
          <t>否</t>
        </is>
      </c>
      <c r="O772" t="inlineStr">
        <is>
          <t>缺 PP</t>
        </is>
      </c>
    </row>
    <row r="773">
      <c r="A773" s="7" t="inlineStr">
        <is>
          <t>2010-09-08</t>
        </is>
      </c>
      <c r="B773" s="8" t="n"/>
      <c r="C773" s="8" t="n"/>
      <c r="D773" s="8" t="n"/>
      <c r="E773" s="8" t="n"/>
      <c r="F773" s="8" t="n"/>
      <c r="G773" s="8" t="n"/>
      <c r="H773" s="8" t="n">
        <v>10810</v>
      </c>
      <c r="I773" s="8" t="n">
        <v>10710</v>
      </c>
      <c r="J773" s="8" t="n">
        <v>10855</v>
      </c>
      <c r="K773" s="8" t="n">
        <v>10665</v>
      </c>
      <c r="L773" s="8" t="n">
        <v>1251826</v>
      </c>
      <c r="M773" s="8" t="n">
        <v>295420</v>
      </c>
      <c r="N773" s="9" t="inlineStr">
        <is>
          <t>否</t>
        </is>
      </c>
      <c r="O773" t="inlineStr">
        <is>
          <t>缺 PP</t>
        </is>
      </c>
    </row>
    <row r="774">
      <c r="A774" s="7" t="inlineStr">
        <is>
          <t>2010-09-09</t>
        </is>
      </c>
      <c r="B774" s="8" t="n"/>
      <c r="C774" s="8" t="n"/>
      <c r="D774" s="8" t="n"/>
      <c r="E774" s="8" t="n"/>
      <c r="F774" s="8" t="n"/>
      <c r="G774" s="8" t="n"/>
      <c r="H774" s="8" t="n">
        <v>10475</v>
      </c>
      <c r="I774" s="8" t="n">
        <v>10880</v>
      </c>
      <c r="J774" s="8" t="n">
        <v>10890</v>
      </c>
      <c r="K774" s="8" t="n">
        <v>10250</v>
      </c>
      <c r="L774" s="8" t="n">
        <v>1256618</v>
      </c>
      <c r="M774" s="8" t="n">
        <v>213516</v>
      </c>
      <c r="N774" s="9" t="inlineStr">
        <is>
          <t>否</t>
        </is>
      </c>
      <c r="O774" t="inlineStr">
        <is>
          <t>缺 PP</t>
        </is>
      </c>
    </row>
    <row r="775">
      <c r="A775" s="7" t="inlineStr">
        <is>
          <t>2010-09-10</t>
        </is>
      </c>
      <c r="B775" s="8" t="n"/>
      <c r="C775" s="8" t="n"/>
      <c r="D775" s="8" t="n"/>
      <c r="E775" s="8" t="n"/>
      <c r="F775" s="8" t="n"/>
      <c r="G775" s="8" t="n"/>
      <c r="H775" s="8" t="n">
        <v>10525</v>
      </c>
      <c r="I775" s="8" t="n">
        <v>10515</v>
      </c>
      <c r="J775" s="8" t="n">
        <v>10565</v>
      </c>
      <c r="K775" s="8" t="n">
        <v>10445</v>
      </c>
      <c r="L775" s="8" t="n">
        <v>883730</v>
      </c>
      <c r="M775" s="8" t="n">
        <v>208536</v>
      </c>
      <c r="N775" s="9" t="inlineStr">
        <is>
          <t>否</t>
        </is>
      </c>
      <c r="O775" t="inlineStr">
        <is>
          <t>缺 PP</t>
        </is>
      </c>
    </row>
    <row r="776">
      <c r="A776" s="7" t="inlineStr">
        <is>
          <t>2010-09-13</t>
        </is>
      </c>
      <c r="B776" s="8" t="n"/>
      <c r="C776" s="8" t="n"/>
      <c r="D776" s="8" t="n"/>
      <c r="E776" s="8" t="n"/>
      <c r="F776" s="8" t="n"/>
      <c r="G776" s="8" t="n"/>
      <c r="H776" s="8" t="n">
        <v>10620</v>
      </c>
      <c r="I776" s="8" t="n">
        <v>10615</v>
      </c>
      <c r="J776" s="8" t="n">
        <v>10650</v>
      </c>
      <c r="K776" s="8" t="n">
        <v>10550</v>
      </c>
      <c r="L776" s="8" t="n">
        <v>734972</v>
      </c>
      <c r="M776" s="8" t="n">
        <v>222144</v>
      </c>
      <c r="N776" s="9" t="inlineStr">
        <is>
          <t>否</t>
        </is>
      </c>
      <c r="O776" t="inlineStr">
        <is>
          <t>缺 PP</t>
        </is>
      </c>
    </row>
    <row r="777">
      <c r="A777" s="7" t="inlineStr">
        <is>
          <t>2010-09-14</t>
        </is>
      </c>
      <c r="B777" s="8" t="n"/>
      <c r="C777" s="8" t="n"/>
      <c r="D777" s="8" t="n"/>
      <c r="E777" s="8" t="n"/>
      <c r="F777" s="8" t="n"/>
      <c r="G777" s="8" t="n"/>
      <c r="H777" s="8" t="n">
        <v>10555</v>
      </c>
      <c r="I777" s="8" t="n">
        <v>10600</v>
      </c>
      <c r="J777" s="8" t="n">
        <v>10680</v>
      </c>
      <c r="K777" s="8" t="n">
        <v>10510</v>
      </c>
      <c r="L777" s="8" t="n">
        <v>727994</v>
      </c>
      <c r="M777" s="8" t="n">
        <v>217464</v>
      </c>
      <c r="N777" s="9" t="inlineStr">
        <is>
          <t>否</t>
        </is>
      </c>
      <c r="O777" t="inlineStr">
        <is>
          <t>缺 PP</t>
        </is>
      </c>
    </row>
    <row r="778">
      <c r="A778" s="7" t="inlineStr">
        <is>
          <t>2010-09-15</t>
        </is>
      </c>
      <c r="B778" s="8" t="n"/>
      <c r="C778" s="8" t="n"/>
      <c r="D778" s="8" t="n"/>
      <c r="E778" s="8" t="n"/>
      <c r="F778" s="8" t="n"/>
      <c r="G778" s="8" t="n"/>
      <c r="H778" s="8" t="n">
        <v>10445</v>
      </c>
      <c r="I778" s="8" t="n">
        <v>10560</v>
      </c>
      <c r="J778" s="8" t="n">
        <v>10625</v>
      </c>
      <c r="K778" s="8" t="n">
        <v>10430</v>
      </c>
      <c r="L778" s="8" t="n">
        <v>713952</v>
      </c>
      <c r="M778" s="8" t="n">
        <v>217298</v>
      </c>
      <c r="N778" s="9" t="inlineStr">
        <is>
          <t>否</t>
        </is>
      </c>
      <c r="O778" t="inlineStr">
        <is>
          <t>缺 PP</t>
        </is>
      </c>
    </row>
    <row r="779">
      <c r="A779" s="7" t="inlineStr">
        <is>
          <t>2010-09-16</t>
        </is>
      </c>
      <c r="B779" s="8" t="n"/>
      <c r="C779" s="8" t="n"/>
      <c r="D779" s="8" t="n"/>
      <c r="E779" s="8" t="n"/>
      <c r="F779" s="8" t="n"/>
      <c r="G779" s="8" t="n"/>
      <c r="H779" s="8" t="n">
        <v>10400</v>
      </c>
      <c r="I779" s="8" t="n">
        <v>10435</v>
      </c>
      <c r="J779" s="8" t="n">
        <v>10490</v>
      </c>
      <c r="K779" s="8" t="n">
        <v>10340</v>
      </c>
      <c r="L779" s="8" t="n">
        <v>603592</v>
      </c>
      <c r="M779" s="8" t="n">
        <v>203502</v>
      </c>
      <c r="N779" s="9" t="inlineStr">
        <is>
          <t>否</t>
        </is>
      </c>
      <c r="O779" t="inlineStr">
        <is>
          <t>缺 PP</t>
        </is>
      </c>
    </row>
    <row r="780">
      <c r="A780" s="7" t="inlineStr">
        <is>
          <t>2010-09-17</t>
        </is>
      </c>
      <c r="B780" s="8" t="n"/>
      <c r="C780" s="8" t="n"/>
      <c r="D780" s="8" t="n"/>
      <c r="E780" s="8" t="n"/>
      <c r="F780" s="8" t="n"/>
      <c r="G780" s="8" t="n"/>
      <c r="H780" s="8" t="n">
        <v>10460</v>
      </c>
      <c r="I780" s="8" t="n">
        <v>10415</v>
      </c>
      <c r="J780" s="8" t="n">
        <v>10485</v>
      </c>
      <c r="K780" s="8" t="n">
        <v>10380</v>
      </c>
      <c r="L780" s="8" t="n">
        <v>442496</v>
      </c>
      <c r="M780" s="8" t="n">
        <v>442496</v>
      </c>
      <c r="N780" s="9" t="inlineStr">
        <is>
          <t>否</t>
        </is>
      </c>
      <c r="O780" t="inlineStr">
        <is>
          <t>缺 PP</t>
        </is>
      </c>
    </row>
    <row r="781">
      <c r="A781" s="7" t="inlineStr">
        <is>
          <t>2010-09-20</t>
        </is>
      </c>
      <c r="B781" s="8" t="n"/>
      <c r="C781" s="8" t="n"/>
      <c r="D781" s="8" t="n"/>
      <c r="E781" s="8" t="n"/>
      <c r="F781" s="8" t="n"/>
      <c r="G781" s="8" t="n"/>
      <c r="H781" s="8" t="n">
        <v>10545</v>
      </c>
      <c r="I781" s="8" t="n">
        <v>10500</v>
      </c>
      <c r="J781" s="8" t="n">
        <v>10620</v>
      </c>
      <c r="K781" s="8" t="n">
        <v>10475</v>
      </c>
      <c r="L781" s="8" t="n">
        <v>407264</v>
      </c>
      <c r="M781" s="8" t="n">
        <v>188526</v>
      </c>
      <c r="N781" s="9" t="inlineStr">
        <is>
          <t>否</t>
        </is>
      </c>
      <c r="O781" t="inlineStr">
        <is>
          <t>缺 PP</t>
        </is>
      </c>
    </row>
    <row r="782">
      <c r="A782" s="7" t="inlineStr">
        <is>
          <t>2010-09-21</t>
        </is>
      </c>
      <c r="B782" s="8" t="n"/>
      <c r="C782" s="8" t="n"/>
      <c r="D782" s="8" t="n"/>
      <c r="E782" s="8" t="n"/>
      <c r="F782" s="8" t="n"/>
      <c r="G782" s="8" t="n"/>
      <c r="H782" s="8" t="n">
        <v>10445</v>
      </c>
      <c r="I782" s="8" t="n">
        <v>10575</v>
      </c>
      <c r="J782" s="8" t="n">
        <v>10580</v>
      </c>
      <c r="K782" s="8" t="n">
        <v>10400</v>
      </c>
      <c r="L782" s="8" t="n">
        <v>301974</v>
      </c>
      <c r="M782" s="8" t="n">
        <v>161844</v>
      </c>
      <c r="N782" s="9" t="inlineStr">
        <is>
          <t>否</t>
        </is>
      </c>
      <c r="O782" t="inlineStr">
        <is>
          <t>缺 PP</t>
        </is>
      </c>
    </row>
    <row r="783">
      <c r="A783" s="7" t="inlineStr">
        <is>
          <t>2010-09-24</t>
        </is>
      </c>
      <c r="B783" s="8" t="n"/>
      <c r="C783" s="8" t="n"/>
      <c r="D783" s="8" t="n"/>
      <c r="E783" s="8" t="n"/>
      <c r="F783" s="8" t="n"/>
      <c r="G783" s="8" t="n"/>
      <c r="H783" s="8" t="n">
        <v>10810</v>
      </c>
      <c r="I783" s="8" t="n">
        <v>10960</v>
      </c>
      <c r="J783" s="8" t="n">
        <v>10960</v>
      </c>
      <c r="K783" s="8" t="n">
        <v>10800</v>
      </c>
      <c r="L783" s="8" t="n">
        <v>446</v>
      </c>
      <c r="M783" s="8" t="n">
        <v>3362</v>
      </c>
      <c r="N783" s="9" t="inlineStr">
        <is>
          <t>否</t>
        </is>
      </c>
      <c r="O783" t="inlineStr">
        <is>
          <t>缺 PP</t>
        </is>
      </c>
    </row>
    <row r="784">
      <c r="A784" s="7" t="inlineStr">
        <is>
          <t>2010-09-27</t>
        </is>
      </c>
      <c r="B784" s="8" t="n"/>
      <c r="C784" s="8" t="n"/>
      <c r="D784" s="8" t="n"/>
      <c r="E784" s="8" t="n"/>
      <c r="F784" s="8" t="n"/>
      <c r="G784" s="8" t="n"/>
      <c r="H784" s="8" t="n">
        <v>10695</v>
      </c>
      <c r="I784" s="8" t="n">
        <v>10620</v>
      </c>
      <c r="J784" s="8" t="n">
        <v>10745</v>
      </c>
      <c r="K784" s="8" t="n">
        <v>10565</v>
      </c>
      <c r="L784" s="8" t="n">
        <v>478954</v>
      </c>
      <c r="M784" s="8" t="n">
        <v>182150</v>
      </c>
      <c r="N784" s="9" t="inlineStr">
        <is>
          <t>否</t>
        </is>
      </c>
      <c r="O784" t="inlineStr">
        <is>
          <t>缺 PP</t>
        </is>
      </c>
    </row>
    <row r="785">
      <c r="A785" s="7" t="inlineStr">
        <is>
          <t>2010-09-28</t>
        </is>
      </c>
      <c r="B785" s="8" t="n"/>
      <c r="C785" s="8" t="n"/>
      <c r="D785" s="8" t="n"/>
      <c r="E785" s="8" t="n"/>
      <c r="F785" s="8" t="n"/>
      <c r="G785" s="8" t="n"/>
      <c r="H785" s="8" t="n">
        <v>10685</v>
      </c>
      <c r="I785" s="8" t="n">
        <v>10680</v>
      </c>
      <c r="J785" s="8" t="n">
        <v>10780</v>
      </c>
      <c r="K785" s="8" t="n">
        <v>10595</v>
      </c>
      <c r="L785" s="8" t="n">
        <v>386806</v>
      </c>
      <c r="M785" s="8" t="n">
        <v>178730</v>
      </c>
      <c r="N785" s="9" t="inlineStr">
        <is>
          <t>否</t>
        </is>
      </c>
      <c r="O785" t="inlineStr">
        <is>
          <t>缺 PP</t>
        </is>
      </c>
    </row>
    <row r="786">
      <c r="A786" s="7" t="inlineStr">
        <is>
          <t>2010-09-29</t>
        </is>
      </c>
      <c r="B786" s="8" t="n"/>
      <c r="C786" s="8" t="n"/>
      <c r="D786" s="8" t="n"/>
      <c r="E786" s="8" t="n"/>
      <c r="F786" s="8" t="n"/>
      <c r="G786" s="8" t="n"/>
      <c r="H786" s="8" t="n">
        <v>10740</v>
      </c>
      <c r="I786" s="8" t="n">
        <v>10725</v>
      </c>
      <c r="J786" s="8" t="n">
        <v>10780</v>
      </c>
      <c r="K786" s="8" t="n">
        <v>10585</v>
      </c>
      <c r="L786" s="8" t="n">
        <v>444472</v>
      </c>
      <c r="M786" s="8" t="n">
        <v>171236</v>
      </c>
      <c r="N786" s="9" t="inlineStr">
        <is>
          <t>否</t>
        </is>
      </c>
      <c r="O786" t="inlineStr">
        <is>
          <t>缺 PP</t>
        </is>
      </c>
    </row>
    <row r="787">
      <c r="A787" s="7" t="inlineStr">
        <is>
          <t>2010-09-30</t>
        </is>
      </c>
      <c r="B787" s="8" t="n"/>
      <c r="C787" s="8" t="n"/>
      <c r="D787" s="8" t="n"/>
      <c r="E787" s="8" t="n"/>
      <c r="F787" s="8" t="n"/>
      <c r="G787" s="8" t="n"/>
      <c r="H787" s="8" t="n">
        <v>10830</v>
      </c>
      <c r="I787" s="8" t="n">
        <v>10775</v>
      </c>
      <c r="J787" s="8" t="n">
        <v>10855</v>
      </c>
      <c r="K787" s="8" t="n">
        <v>10630</v>
      </c>
      <c r="L787" s="8" t="n">
        <v>462264</v>
      </c>
      <c r="M787" s="8" t="n">
        <v>168448</v>
      </c>
      <c r="N787" s="9" t="inlineStr">
        <is>
          <t>否</t>
        </is>
      </c>
      <c r="O787" t="inlineStr">
        <is>
          <t>缺 PP</t>
        </is>
      </c>
    </row>
    <row r="788">
      <c r="A788" s="7" t="inlineStr">
        <is>
          <t>2010-10-07</t>
        </is>
      </c>
      <c r="B788" s="8" t="n"/>
      <c r="C788" s="8" t="n"/>
      <c r="D788" s="8" t="n"/>
      <c r="E788" s="8" t="n"/>
      <c r="F788" s="8" t="n"/>
      <c r="G788" s="8" t="n"/>
      <c r="H788" s="8" t="n">
        <v>10830</v>
      </c>
      <c r="I788" s="8" t="n">
        <v>10775</v>
      </c>
      <c r="J788" s="8" t="n">
        <v>10855</v>
      </c>
      <c r="K788" s="8" t="n">
        <v>10630</v>
      </c>
      <c r="L788" s="8" t="n">
        <v>462264</v>
      </c>
      <c r="M788" s="8" t="n">
        <v>168448</v>
      </c>
      <c r="N788" s="9" t="inlineStr">
        <is>
          <t>否</t>
        </is>
      </c>
      <c r="O788" t="inlineStr">
        <is>
          <t>缺 PP</t>
        </is>
      </c>
    </row>
    <row r="789">
      <c r="A789" s="7" t="inlineStr">
        <is>
          <t>2010-10-08</t>
        </is>
      </c>
      <c r="B789" s="8" t="n"/>
      <c r="C789" s="8" t="n"/>
      <c r="D789" s="8" t="n"/>
      <c r="E789" s="8" t="n"/>
      <c r="F789" s="8" t="n"/>
      <c r="G789" s="8" t="n"/>
      <c r="H789" s="8" t="n">
        <v>11060</v>
      </c>
      <c r="I789" s="8" t="n">
        <v>10920</v>
      </c>
      <c r="J789" s="8" t="n">
        <v>11130</v>
      </c>
      <c r="K789" s="8" t="n">
        <v>10850</v>
      </c>
      <c r="L789" s="8" t="n">
        <v>326950</v>
      </c>
      <c r="M789" s="8" t="n">
        <v>174048</v>
      </c>
      <c r="N789" s="9" t="inlineStr">
        <is>
          <t>否</t>
        </is>
      </c>
      <c r="O789" t="inlineStr">
        <is>
          <t>缺 PP</t>
        </is>
      </c>
    </row>
    <row r="790">
      <c r="A790" s="7" t="inlineStr">
        <is>
          <t>2010-10-11</t>
        </is>
      </c>
      <c r="B790" s="8" t="n"/>
      <c r="C790" s="8" t="n"/>
      <c r="D790" s="8" t="n"/>
      <c r="E790" s="8" t="n"/>
      <c r="F790" s="8" t="n"/>
      <c r="G790" s="8" t="n"/>
      <c r="H790" s="8" t="n">
        <v>11490</v>
      </c>
      <c r="I790" s="8" t="n">
        <v>11300</v>
      </c>
      <c r="J790" s="8" t="n">
        <v>11565</v>
      </c>
      <c r="K790" s="8" t="n">
        <v>11235</v>
      </c>
      <c r="L790" s="8" t="n">
        <v>663610</v>
      </c>
      <c r="M790" s="8" t="n">
        <v>200016</v>
      </c>
      <c r="N790" s="9" t="inlineStr">
        <is>
          <t>否</t>
        </is>
      </c>
      <c r="O790" t="inlineStr">
        <is>
          <t>缺 PP</t>
        </is>
      </c>
    </row>
    <row r="791">
      <c r="A791" s="7" t="inlineStr">
        <is>
          <t>2010-10-12</t>
        </is>
      </c>
      <c r="B791" s="8" t="n"/>
      <c r="C791" s="8" t="n"/>
      <c r="D791" s="8" t="n"/>
      <c r="E791" s="8" t="n"/>
      <c r="F791" s="8" t="n"/>
      <c r="G791" s="8" t="n"/>
      <c r="H791" s="8" t="n">
        <v>11330</v>
      </c>
      <c r="I791" s="8" t="n">
        <v>11350</v>
      </c>
      <c r="J791" s="8" t="n">
        <v>11435</v>
      </c>
      <c r="K791" s="8" t="n">
        <v>11280</v>
      </c>
      <c r="L791" s="8" t="n">
        <v>613938</v>
      </c>
      <c r="M791" s="8" t="n">
        <v>196656</v>
      </c>
      <c r="N791" s="9" t="inlineStr">
        <is>
          <t>否</t>
        </is>
      </c>
      <c r="O791" t="inlineStr">
        <is>
          <t>缺 PP</t>
        </is>
      </c>
    </row>
    <row r="792">
      <c r="A792" s="7" t="inlineStr">
        <is>
          <t>2010-10-13</t>
        </is>
      </c>
      <c r="B792" s="8" t="n"/>
      <c r="C792" s="8" t="n"/>
      <c r="D792" s="8" t="n"/>
      <c r="E792" s="8" t="n"/>
      <c r="F792" s="8" t="n"/>
      <c r="G792" s="8" t="n"/>
      <c r="H792" s="8" t="n">
        <v>11435</v>
      </c>
      <c r="I792" s="8" t="n">
        <v>11410</v>
      </c>
      <c r="J792" s="8" t="n">
        <v>11515</v>
      </c>
      <c r="K792" s="8" t="n">
        <v>11360</v>
      </c>
      <c r="L792" s="8" t="n">
        <v>552698</v>
      </c>
      <c r="M792" s="8" t="n">
        <v>190428</v>
      </c>
      <c r="N792" s="9" t="inlineStr">
        <is>
          <t>否</t>
        </is>
      </c>
      <c r="O792" t="inlineStr">
        <is>
          <t>缺 PP</t>
        </is>
      </c>
    </row>
    <row r="793">
      <c r="A793" s="7" t="inlineStr">
        <is>
          <t>2010-10-14</t>
        </is>
      </c>
      <c r="B793" s="8" t="n"/>
      <c r="C793" s="8" t="n"/>
      <c r="D793" s="8" t="n"/>
      <c r="E793" s="8" t="n"/>
      <c r="F793" s="8" t="n"/>
      <c r="G793" s="8" t="n"/>
      <c r="H793" s="8" t="n">
        <v>11540</v>
      </c>
      <c r="I793" s="8" t="n">
        <v>11555</v>
      </c>
      <c r="J793" s="8" t="n">
        <v>11660</v>
      </c>
      <c r="K793" s="8" t="n">
        <v>11450</v>
      </c>
      <c r="L793" s="8" t="n">
        <v>734408</v>
      </c>
      <c r="M793" s="8" t="n">
        <v>197748</v>
      </c>
      <c r="N793" s="9" t="inlineStr">
        <is>
          <t>否</t>
        </is>
      </c>
      <c r="O793" t="inlineStr">
        <is>
          <t>缺 PP</t>
        </is>
      </c>
    </row>
    <row r="794">
      <c r="A794" s="7" t="inlineStr">
        <is>
          <t>2010-10-15</t>
        </is>
      </c>
      <c r="B794" s="8" t="n"/>
      <c r="C794" s="8" t="n"/>
      <c r="D794" s="8" t="n"/>
      <c r="E794" s="8" t="n"/>
      <c r="F794" s="8" t="n"/>
      <c r="G794" s="8" t="n"/>
      <c r="H794" s="8" t="n">
        <v>11415</v>
      </c>
      <c r="I794" s="8" t="n">
        <v>11450</v>
      </c>
      <c r="J794" s="8" t="n">
        <v>11480</v>
      </c>
      <c r="K794" s="8" t="n">
        <v>11335</v>
      </c>
      <c r="L794" s="8" t="n">
        <v>655926</v>
      </c>
      <c r="M794" s="8" t="n">
        <v>202280</v>
      </c>
      <c r="N794" s="9" t="inlineStr">
        <is>
          <t>否</t>
        </is>
      </c>
      <c r="O794" t="inlineStr">
        <is>
          <t>缺 PP</t>
        </is>
      </c>
    </row>
    <row r="795">
      <c r="A795" s="7" t="inlineStr">
        <is>
          <t>2010-10-18</t>
        </is>
      </c>
      <c r="B795" s="8" t="n"/>
      <c r="C795" s="8" t="n"/>
      <c r="D795" s="8" t="n"/>
      <c r="E795" s="8" t="n"/>
      <c r="F795" s="8" t="n"/>
      <c r="G795" s="8" t="n"/>
      <c r="H795" s="8" t="n">
        <v>11185</v>
      </c>
      <c r="I795" s="8" t="n">
        <v>11300</v>
      </c>
      <c r="J795" s="8" t="n">
        <v>11300</v>
      </c>
      <c r="K795" s="8" t="n">
        <v>11170</v>
      </c>
      <c r="L795" s="8" t="n">
        <v>545510</v>
      </c>
      <c r="M795" s="8" t="n">
        <v>191072</v>
      </c>
      <c r="N795" s="9" t="inlineStr">
        <is>
          <t>否</t>
        </is>
      </c>
      <c r="O795" t="inlineStr">
        <is>
          <t>缺 PP</t>
        </is>
      </c>
    </row>
    <row r="796">
      <c r="A796" s="7" t="inlineStr">
        <is>
          <t>2010-10-19</t>
        </is>
      </c>
      <c r="B796" s="8" t="n"/>
      <c r="C796" s="8" t="n"/>
      <c r="D796" s="8" t="n"/>
      <c r="E796" s="8" t="n"/>
      <c r="F796" s="8" t="n"/>
      <c r="G796" s="8" t="n"/>
      <c r="H796" s="8" t="n">
        <v>11285</v>
      </c>
      <c r="I796" s="8" t="n">
        <v>11305</v>
      </c>
      <c r="J796" s="8" t="n">
        <v>11415</v>
      </c>
      <c r="K796" s="8" t="n">
        <v>11190</v>
      </c>
      <c r="L796" s="8" t="n">
        <v>547652</v>
      </c>
      <c r="M796" s="8" t="n">
        <v>194204</v>
      </c>
      <c r="N796" s="9" t="inlineStr">
        <is>
          <t>否</t>
        </is>
      </c>
      <c r="O796" t="inlineStr">
        <is>
          <t>缺 PP</t>
        </is>
      </c>
    </row>
    <row r="797">
      <c r="A797" s="7" t="inlineStr">
        <is>
          <t>2010-10-20</t>
        </is>
      </c>
      <c r="B797" s="8" t="n"/>
      <c r="C797" s="8" t="n"/>
      <c r="D797" s="8" t="n"/>
      <c r="E797" s="8" t="n"/>
      <c r="F797" s="8" t="n"/>
      <c r="G797" s="8" t="n"/>
      <c r="H797" s="8" t="n">
        <v>11140</v>
      </c>
      <c r="I797" s="8" t="n">
        <v>10900</v>
      </c>
      <c r="J797" s="8" t="n">
        <v>11170</v>
      </c>
      <c r="K797" s="8" t="n">
        <v>10900</v>
      </c>
      <c r="L797" s="8" t="n">
        <v>434664</v>
      </c>
      <c r="M797" s="8" t="n">
        <v>188066</v>
      </c>
      <c r="N797" s="9" t="inlineStr">
        <is>
          <t>否</t>
        </is>
      </c>
      <c r="O797" t="inlineStr">
        <is>
          <t>缺 PP</t>
        </is>
      </c>
    </row>
    <row r="798">
      <c r="A798" s="7" t="inlineStr">
        <is>
          <t>2010-10-21</t>
        </is>
      </c>
      <c r="B798" s="8" t="n"/>
      <c r="C798" s="8" t="n"/>
      <c r="D798" s="8" t="n"/>
      <c r="E798" s="8" t="n"/>
      <c r="F798" s="8" t="n"/>
      <c r="G798" s="8" t="n"/>
      <c r="H798" s="8" t="n">
        <v>11210</v>
      </c>
      <c r="I798" s="8" t="n">
        <v>11290</v>
      </c>
      <c r="J798" s="8" t="n">
        <v>11325</v>
      </c>
      <c r="K798" s="8" t="n">
        <v>11170</v>
      </c>
      <c r="L798" s="8" t="n">
        <v>431388</v>
      </c>
      <c r="M798" s="8" t="n">
        <v>187824</v>
      </c>
      <c r="N798" s="9" t="inlineStr">
        <is>
          <t>否</t>
        </is>
      </c>
      <c r="O798" t="inlineStr">
        <is>
          <t>缺 PP</t>
        </is>
      </c>
    </row>
    <row r="799">
      <c r="A799" s="7" t="inlineStr">
        <is>
          <t>2010-10-22</t>
        </is>
      </c>
      <c r="B799" s="8" t="n"/>
      <c r="C799" s="8" t="n"/>
      <c r="D799" s="8" t="n"/>
      <c r="E799" s="8" t="n"/>
      <c r="F799" s="8" t="n"/>
      <c r="G799" s="8" t="n"/>
      <c r="H799" s="8" t="n">
        <v>11430</v>
      </c>
      <c r="I799" s="8" t="n">
        <v>11200</v>
      </c>
      <c r="J799" s="8" t="n">
        <v>11480</v>
      </c>
      <c r="K799" s="8" t="n">
        <v>11150</v>
      </c>
      <c r="L799" s="8" t="n">
        <v>642132</v>
      </c>
      <c r="M799" s="8" t="n">
        <v>215326</v>
      </c>
      <c r="N799" s="9" t="inlineStr">
        <is>
          <t>否</t>
        </is>
      </c>
      <c r="O799" t="inlineStr">
        <is>
          <t>缺 PP</t>
        </is>
      </c>
    </row>
    <row r="800">
      <c r="A800" s="7" t="inlineStr">
        <is>
          <t>2010-10-25</t>
        </is>
      </c>
      <c r="B800" s="8" t="n"/>
      <c r="C800" s="8" t="n"/>
      <c r="D800" s="8" t="n"/>
      <c r="E800" s="8" t="n"/>
      <c r="F800" s="8" t="n"/>
      <c r="G800" s="8" t="n"/>
      <c r="H800" s="8" t="n">
        <v>11605</v>
      </c>
      <c r="I800" s="8" t="n">
        <v>11520</v>
      </c>
      <c r="J800" s="8" t="n">
        <v>11650</v>
      </c>
      <c r="K800" s="8" t="n">
        <v>11490</v>
      </c>
      <c r="L800" s="8" t="n">
        <v>370886</v>
      </c>
      <c r="M800" s="8" t="n">
        <v>217812</v>
      </c>
      <c r="N800" s="9" t="inlineStr">
        <is>
          <t>否</t>
        </is>
      </c>
      <c r="O800" t="inlineStr">
        <is>
          <t>缺 PP</t>
        </is>
      </c>
    </row>
    <row r="801">
      <c r="A801" s="7" t="inlineStr">
        <is>
          <t>2010-10-26</t>
        </is>
      </c>
      <c r="B801" s="8" t="n"/>
      <c r="C801" s="8" t="n"/>
      <c r="D801" s="8" t="n"/>
      <c r="E801" s="8" t="n"/>
      <c r="F801" s="8" t="n"/>
      <c r="G801" s="8" t="n"/>
      <c r="H801" s="8" t="n">
        <v>11535</v>
      </c>
      <c r="I801" s="8" t="n">
        <v>11600</v>
      </c>
      <c r="J801" s="8" t="n">
        <v>11630</v>
      </c>
      <c r="K801" s="8" t="n">
        <v>11405</v>
      </c>
      <c r="L801" s="8" t="n">
        <v>533898</v>
      </c>
      <c r="M801" s="8" t="n">
        <v>204482</v>
      </c>
      <c r="N801" s="9" t="inlineStr">
        <is>
          <t>否</t>
        </is>
      </c>
      <c r="O801" t="inlineStr">
        <is>
          <t>缺 PP</t>
        </is>
      </c>
    </row>
    <row r="802">
      <c r="A802" s="7" t="inlineStr">
        <is>
          <t>2010-10-27</t>
        </is>
      </c>
      <c r="B802" s="8" t="n"/>
      <c r="C802" s="8" t="n"/>
      <c r="D802" s="8" t="n"/>
      <c r="E802" s="8" t="n"/>
      <c r="F802" s="8" t="n"/>
      <c r="G802" s="8" t="n"/>
      <c r="H802" s="8" t="n">
        <v>11325</v>
      </c>
      <c r="I802" s="8" t="n">
        <v>11595</v>
      </c>
      <c r="J802" s="8" t="n">
        <v>11630</v>
      </c>
      <c r="K802" s="8" t="n">
        <v>11200</v>
      </c>
      <c r="L802" s="8" t="n">
        <v>567888</v>
      </c>
      <c r="M802" s="8" t="n">
        <v>183444</v>
      </c>
      <c r="N802" s="9" t="inlineStr">
        <is>
          <t>否</t>
        </is>
      </c>
      <c r="O802" t="inlineStr">
        <is>
          <t>缺 PP</t>
        </is>
      </c>
    </row>
    <row r="803">
      <c r="A803" s="7" t="inlineStr">
        <is>
          <t>2010-10-28</t>
        </is>
      </c>
      <c r="B803" s="8" t="n"/>
      <c r="C803" s="8" t="n"/>
      <c r="D803" s="8" t="n"/>
      <c r="E803" s="8" t="n"/>
      <c r="F803" s="8" t="n"/>
      <c r="G803" s="8" t="n"/>
      <c r="H803" s="8" t="n">
        <v>11460</v>
      </c>
      <c r="I803" s="8" t="n">
        <v>11390</v>
      </c>
      <c r="J803" s="8" t="n">
        <v>11475</v>
      </c>
      <c r="K803" s="8" t="n">
        <v>11330</v>
      </c>
      <c r="L803" s="8" t="n">
        <v>250550</v>
      </c>
      <c r="M803" s="8" t="n">
        <v>182006</v>
      </c>
      <c r="N803" s="9" t="inlineStr">
        <is>
          <t>否</t>
        </is>
      </c>
      <c r="O803" t="inlineStr">
        <is>
          <t>缺 PP</t>
        </is>
      </c>
    </row>
    <row r="804">
      <c r="A804" s="7" t="inlineStr">
        <is>
          <t>2010-10-29</t>
        </is>
      </c>
      <c r="B804" s="8" t="n"/>
      <c r="C804" s="8" t="n"/>
      <c r="D804" s="8" t="n"/>
      <c r="E804" s="8" t="n"/>
      <c r="F804" s="8" t="n"/>
      <c r="G804" s="8" t="n"/>
      <c r="H804" s="8" t="n">
        <v>11590</v>
      </c>
      <c r="I804" s="8" t="n">
        <v>11420</v>
      </c>
      <c r="J804" s="8" t="n">
        <v>11715</v>
      </c>
      <c r="K804" s="8" t="n">
        <v>11330</v>
      </c>
      <c r="L804" s="8" t="n">
        <v>877884</v>
      </c>
      <c r="M804" s="8" t="n">
        <v>189312</v>
      </c>
      <c r="N804" s="9" t="inlineStr">
        <is>
          <t>否</t>
        </is>
      </c>
      <c r="O804" t="inlineStr">
        <is>
          <t>缺 PP</t>
        </is>
      </c>
    </row>
    <row r="805">
      <c r="A805" s="7" t="inlineStr">
        <is>
          <t>2010-11-01</t>
        </is>
      </c>
      <c r="B805" s="8" t="n"/>
      <c r="C805" s="8" t="n"/>
      <c r="D805" s="8" t="n"/>
      <c r="E805" s="8" t="n"/>
      <c r="F805" s="8" t="n"/>
      <c r="G805" s="8" t="n"/>
      <c r="H805" s="8" t="n">
        <v>11730</v>
      </c>
      <c r="I805" s="8" t="n">
        <v>11690</v>
      </c>
      <c r="J805" s="8" t="n">
        <v>11835</v>
      </c>
      <c r="K805" s="8" t="n">
        <v>11685</v>
      </c>
      <c r="L805" s="8" t="n">
        <v>457926</v>
      </c>
      <c r="M805" s="8" t="n">
        <v>196550</v>
      </c>
      <c r="N805" s="9" t="inlineStr">
        <is>
          <t>否</t>
        </is>
      </c>
      <c r="O805" t="inlineStr">
        <is>
          <t>缺 PP</t>
        </is>
      </c>
    </row>
    <row r="806">
      <c r="A806" s="7" t="inlineStr">
        <is>
          <t>2010-11-02</t>
        </is>
      </c>
      <c r="B806" s="8" t="n"/>
      <c r="C806" s="8" t="n"/>
      <c r="D806" s="8" t="n"/>
      <c r="E806" s="8" t="n"/>
      <c r="F806" s="8" t="n"/>
      <c r="G806" s="8" t="n"/>
      <c r="H806" s="8" t="n">
        <v>11665</v>
      </c>
      <c r="I806" s="8" t="n">
        <v>11790</v>
      </c>
      <c r="J806" s="8" t="n">
        <v>11815</v>
      </c>
      <c r="K806" s="8" t="n">
        <v>11620</v>
      </c>
      <c r="L806" s="8" t="n">
        <v>360184</v>
      </c>
      <c r="M806" s="8" t="n">
        <v>182714</v>
      </c>
      <c r="N806" s="9" t="inlineStr">
        <is>
          <t>否</t>
        </is>
      </c>
      <c r="O806" t="inlineStr">
        <is>
          <t>缺 PP</t>
        </is>
      </c>
    </row>
    <row r="807">
      <c r="A807" s="7" t="inlineStr">
        <is>
          <t>2010-11-03</t>
        </is>
      </c>
      <c r="B807" s="8" t="n"/>
      <c r="C807" s="8" t="n"/>
      <c r="D807" s="8" t="n"/>
      <c r="E807" s="8" t="n"/>
      <c r="F807" s="8" t="n"/>
      <c r="G807" s="8" t="n"/>
      <c r="H807" s="8" t="n">
        <v>11650</v>
      </c>
      <c r="I807" s="8" t="n">
        <v>11750</v>
      </c>
      <c r="J807" s="8" t="n">
        <v>11800</v>
      </c>
      <c r="K807" s="8" t="n">
        <v>11610</v>
      </c>
      <c r="L807" s="8" t="n">
        <v>380032</v>
      </c>
      <c r="M807" s="8" t="n">
        <v>175644</v>
      </c>
      <c r="N807" s="9" t="inlineStr">
        <is>
          <t>否</t>
        </is>
      </c>
      <c r="O807" t="inlineStr">
        <is>
          <t>缺 PP</t>
        </is>
      </c>
    </row>
    <row r="808">
      <c r="A808" s="7" t="inlineStr">
        <is>
          <t>2010-11-04</t>
        </is>
      </c>
      <c r="B808" s="8" t="n"/>
      <c r="C808" s="8" t="n"/>
      <c r="D808" s="8" t="n"/>
      <c r="E808" s="8" t="n"/>
      <c r="F808" s="8" t="n"/>
      <c r="G808" s="8" t="n"/>
      <c r="H808" s="8" t="n">
        <v>11875</v>
      </c>
      <c r="I808" s="8" t="n">
        <v>11735</v>
      </c>
      <c r="J808" s="8" t="n">
        <v>11940</v>
      </c>
      <c r="K808" s="8" t="n">
        <v>11640</v>
      </c>
      <c r="L808" s="8" t="n">
        <v>544344</v>
      </c>
      <c r="M808" s="8" t="n">
        <v>179032</v>
      </c>
      <c r="N808" s="9" t="inlineStr">
        <is>
          <t>否</t>
        </is>
      </c>
      <c r="O808" t="inlineStr">
        <is>
          <t>缺 PP</t>
        </is>
      </c>
    </row>
    <row r="809">
      <c r="A809" s="7" t="inlineStr">
        <is>
          <t>2010-11-05</t>
        </is>
      </c>
      <c r="B809" s="8" t="n"/>
      <c r="C809" s="8" t="n"/>
      <c r="D809" s="8" t="n"/>
      <c r="E809" s="8" t="n"/>
      <c r="F809" s="8" t="n"/>
      <c r="G809" s="8" t="n"/>
      <c r="H809" s="8" t="n">
        <v>12260</v>
      </c>
      <c r="I809" s="8" t="n">
        <v>11995</v>
      </c>
      <c r="J809" s="8" t="n">
        <v>12310</v>
      </c>
      <c r="K809" s="8" t="n">
        <v>11995</v>
      </c>
      <c r="L809" s="8" t="n">
        <v>436198</v>
      </c>
      <c r="M809" s="8" t="n">
        <v>174678</v>
      </c>
      <c r="N809" s="9" t="inlineStr">
        <is>
          <t>否</t>
        </is>
      </c>
      <c r="O809" t="inlineStr">
        <is>
          <t>缺 PP</t>
        </is>
      </c>
    </row>
    <row r="810">
      <c r="A810" s="7" t="inlineStr">
        <is>
          <t>2010-11-08</t>
        </is>
      </c>
      <c r="B810" s="8" t="n"/>
      <c r="C810" s="8" t="n"/>
      <c r="D810" s="8" t="n"/>
      <c r="E810" s="8" t="n"/>
      <c r="F810" s="8" t="n"/>
      <c r="G810" s="8" t="n"/>
      <c r="H810" s="8" t="n">
        <v>12270</v>
      </c>
      <c r="I810" s="8" t="n">
        <v>12200</v>
      </c>
      <c r="J810" s="8" t="n">
        <v>12680</v>
      </c>
      <c r="K810" s="8" t="n">
        <v>12070</v>
      </c>
      <c r="L810" s="8" t="n">
        <v>564716</v>
      </c>
      <c r="M810" s="8" t="n">
        <v>150378</v>
      </c>
      <c r="N810" s="9" t="inlineStr">
        <is>
          <t>否</t>
        </is>
      </c>
      <c r="O810" t="inlineStr">
        <is>
          <t>缺 PP</t>
        </is>
      </c>
    </row>
    <row r="811">
      <c r="A811" s="7" t="inlineStr">
        <is>
          <t>2010-11-09</t>
        </is>
      </c>
      <c r="B811" s="8" t="n"/>
      <c r="C811" s="8" t="n"/>
      <c r="D811" s="8" t="n"/>
      <c r="E811" s="8" t="n"/>
      <c r="F811" s="8" t="n"/>
      <c r="G811" s="8" t="n"/>
      <c r="H811" s="8" t="n">
        <v>12960</v>
      </c>
      <c r="I811" s="8" t="n">
        <v>12160</v>
      </c>
      <c r="J811" s="8" t="n">
        <v>12960</v>
      </c>
      <c r="K811" s="8" t="n">
        <v>12130</v>
      </c>
      <c r="L811" s="8" t="n">
        <v>574790</v>
      </c>
      <c r="M811" s="8" t="n">
        <v>134038</v>
      </c>
      <c r="N811" s="9" t="inlineStr">
        <is>
          <t>否</t>
        </is>
      </c>
      <c r="O811" t="inlineStr">
        <is>
          <t>缺 PP</t>
        </is>
      </c>
    </row>
    <row r="812">
      <c r="A812" s="7" t="inlineStr">
        <is>
          <t>2010-11-10</t>
        </is>
      </c>
      <c r="B812" s="8" t="n"/>
      <c r="C812" s="8" t="n"/>
      <c r="D812" s="8" t="n"/>
      <c r="E812" s="8" t="n"/>
      <c r="F812" s="8" t="n"/>
      <c r="G812" s="8" t="n"/>
      <c r="H812" s="8" t="n">
        <v>13800</v>
      </c>
      <c r="I812" s="8" t="n">
        <v>14250</v>
      </c>
      <c r="J812" s="8" t="n">
        <v>14280</v>
      </c>
      <c r="K812" s="8" t="n">
        <v>13640</v>
      </c>
      <c r="L812" s="8" t="n">
        <v>967110</v>
      </c>
      <c r="M812" s="8" t="n">
        <v>172520</v>
      </c>
      <c r="N812" s="9" t="inlineStr">
        <is>
          <t>否</t>
        </is>
      </c>
      <c r="O812" t="inlineStr">
        <is>
          <t>缺 PP</t>
        </is>
      </c>
    </row>
    <row r="813">
      <c r="A813" s="7" t="inlineStr">
        <is>
          <t>2010-11-11</t>
        </is>
      </c>
      <c r="B813" s="8" t="n"/>
      <c r="C813" s="8" t="n"/>
      <c r="D813" s="8" t="n"/>
      <c r="E813" s="8" t="n"/>
      <c r="F813" s="8" t="n"/>
      <c r="G813" s="8" t="n"/>
      <c r="H813" s="8" t="n">
        <v>13300</v>
      </c>
      <c r="I813" s="8" t="n">
        <v>14000</v>
      </c>
      <c r="J813" s="8" t="n">
        <v>14020</v>
      </c>
      <c r="K813" s="8" t="n">
        <v>13300</v>
      </c>
      <c r="L813" s="8" t="n">
        <v>1062088</v>
      </c>
      <c r="M813" s="8" t="n">
        <v>153762</v>
      </c>
      <c r="N813" s="9" t="inlineStr">
        <is>
          <t>否</t>
        </is>
      </c>
      <c r="O813" t="inlineStr">
        <is>
          <t>缺 PP</t>
        </is>
      </c>
    </row>
    <row r="814">
      <c r="A814" s="7" t="inlineStr">
        <is>
          <t>2010-11-12</t>
        </is>
      </c>
      <c r="B814" s="8" t="n"/>
      <c r="C814" s="8" t="n"/>
      <c r="D814" s="8" t="n"/>
      <c r="E814" s="8" t="n"/>
      <c r="F814" s="8" t="n"/>
      <c r="G814" s="8" t="n"/>
      <c r="H814" s="8" t="n">
        <v>12895</v>
      </c>
      <c r="I814" s="8" t="n">
        <v>13130</v>
      </c>
      <c r="J814" s="8" t="n">
        <v>13150</v>
      </c>
      <c r="K814" s="8" t="n">
        <v>12895</v>
      </c>
      <c r="L814" s="8" t="n">
        <v>31496</v>
      </c>
      <c r="M814" s="8" t="n">
        <v>151230</v>
      </c>
      <c r="N814" s="9" t="inlineStr">
        <is>
          <t>否</t>
        </is>
      </c>
      <c r="O814" t="inlineStr">
        <is>
          <t>缺 PP</t>
        </is>
      </c>
    </row>
    <row r="815">
      <c r="A815" s="7" t="inlineStr">
        <is>
          <t>2010-11-15</t>
        </is>
      </c>
      <c r="B815" s="8" t="n"/>
      <c r="C815" s="8" t="n"/>
      <c r="D815" s="8" t="n"/>
      <c r="E815" s="8" t="n"/>
      <c r="F815" s="8" t="n"/>
      <c r="G815" s="8" t="n"/>
      <c r="H815" s="8" t="n">
        <v>12295</v>
      </c>
      <c r="I815" s="8" t="n">
        <v>12295</v>
      </c>
      <c r="J815" s="8" t="n">
        <v>12740</v>
      </c>
      <c r="K815" s="8" t="n">
        <v>12295</v>
      </c>
      <c r="L815" s="8" t="n">
        <v>626052</v>
      </c>
      <c r="M815" s="8" t="n">
        <v>106514</v>
      </c>
      <c r="N815" s="9" t="inlineStr">
        <is>
          <t>否</t>
        </is>
      </c>
      <c r="O815" t="inlineStr">
        <is>
          <t>缺 PP</t>
        </is>
      </c>
    </row>
    <row r="816">
      <c r="A816" s="7" t="inlineStr">
        <is>
          <t>2010-11-16</t>
        </is>
      </c>
      <c r="B816" s="8" t="n"/>
      <c r="C816" s="8" t="n"/>
      <c r="D816" s="8" t="n"/>
      <c r="E816" s="8" t="n"/>
      <c r="F816" s="8" t="n"/>
      <c r="G816" s="8" t="n"/>
      <c r="H816" s="8" t="n">
        <v>12055</v>
      </c>
      <c r="I816" s="8" t="n">
        <v>12405</v>
      </c>
      <c r="J816" s="8" t="n">
        <v>12705</v>
      </c>
      <c r="K816" s="8" t="n">
        <v>12015</v>
      </c>
      <c r="L816" s="8" t="n">
        <v>1204966</v>
      </c>
      <c r="M816" s="8" t="n">
        <v>1204900</v>
      </c>
      <c r="N816" s="9" t="inlineStr">
        <is>
          <t>否</t>
        </is>
      </c>
      <c r="O816" t="inlineStr">
        <is>
          <t>缺 PP</t>
        </is>
      </c>
    </row>
    <row r="817">
      <c r="A817" s="7" t="inlineStr">
        <is>
          <t>2010-11-17</t>
        </is>
      </c>
      <c r="B817" s="8" t="n"/>
      <c r="C817" s="8" t="n"/>
      <c r="D817" s="8" t="n"/>
      <c r="E817" s="8" t="n"/>
      <c r="F817" s="8" t="n"/>
      <c r="G817" s="8" t="n"/>
      <c r="H817" s="8" t="n">
        <v>11755</v>
      </c>
      <c r="I817" s="8" t="n">
        <v>11755</v>
      </c>
      <c r="J817" s="8" t="n">
        <v>11870</v>
      </c>
      <c r="K817" s="8" t="n">
        <v>11755</v>
      </c>
      <c r="L817" s="8" t="n">
        <v>258298</v>
      </c>
      <c r="M817" s="8" t="n">
        <v>120402</v>
      </c>
      <c r="N817" s="9" t="inlineStr">
        <is>
          <t>否</t>
        </is>
      </c>
      <c r="O817" t="inlineStr">
        <is>
          <t>缺 PP</t>
        </is>
      </c>
    </row>
    <row r="818">
      <c r="A818" s="7" t="inlineStr">
        <is>
          <t>2010-11-18</t>
        </is>
      </c>
      <c r="B818" s="8" t="n"/>
      <c r="C818" s="8" t="n"/>
      <c r="D818" s="8" t="n"/>
      <c r="E818" s="8" t="n"/>
      <c r="F818" s="8" t="n"/>
      <c r="G818" s="8" t="n"/>
      <c r="H818" s="8" t="n">
        <v>12220</v>
      </c>
      <c r="I818" s="8" t="n">
        <v>11895</v>
      </c>
      <c r="J818" s="8" t="n">
        <v>12320</v>
      </c>
      <c r="K818" s="8" t="n">
        <v>11710</v>
      </c>
      <c r="L818" s="8" t="n">
        <v>1493806</v>
      </c>
      <c r="M818" s="8" t="n">
        <v>137368</v>
      </c>
      <c r="N818" s="9" t="inlineStr">
        <is>
          <t>否</t>
        </is>
      </c>
      <c r="O818" t="inlineStr">
        <is>
          <t>缺 PP</t>
        </is>
      </c>
    </row>
    <row r="819">
      <c r="A819" s="7" t="inlineStr">
        <is>
          <t>2010-11-19</t>
        </is>
      </c>
      <c r="B819" s="8" t="n"/>
      <c r="C819" s="8" t="n"/>
      <c r="D819" s="8" t="n"/>
      <c r="E819" s="8" t="n"/>
      <c r="F819" s="8" t="n"/>
      <c r="G819" s="8" t="n"/>
      <c r="H819" s="8" t="n">
        <v>12210</v>
      </c>
      <c r="I819" s="8" t="n">
        <v>12445</v>
      </c>
      <c r="J819" s="8" t="n">
        <v>12475</v>
      </c>
      <c r="K819" s="8" t="n">
        <v>11930</v>
      </c>
      <c r="L819" s="8" t="n">
        <v>1309336</v>
      </c>
      <c r="M819" s="8" t="n">
        <v>120816</v>
      </c>
      <c r="N819" s="9" t="inlineStr">
        <is>
          <t>否</t>
        </is>
      </c>
      <c r="O819" t="inlineStr">
        <is>
          <t>缺 PP</t>
        </is>
      </c>
    </row>
    <row r="820">
      <c r="A820" s="7" t="inlineStr">
        <is>
          <t>2010-11-22</t>
        </is>
      </c>
      <c r="B820" s="8" t="n"/>
      <c r="C820" s="8" t="n"/>
      <c r="D820" s="8" t="n"/>
      <c r="E820" s="8" t="n"/>
      <c r="F820" s="8" t="n"/>
      <c r="G820" s="8" t="n"/>
      <c r="H820" s="8" t="n">
        <v>12115</v>
      </c>
      <c r="I820" s="8" t="n">
        <v>12015</v>
      </c>
      <c r="J820" s="8" t="n">
        <v>12330</v>
      </c>
      <c r="K820" s="8" t="n">
        <v>12015</v>
      </c>
      <c r="L820" s="8" t="n">
        <v>888520</v>
      </c>
      <c r="M820" s="8" t="n">
        <v>127392</v>
      </c>
      <c r="N820" s="9" t="inlineStr">
        <is>
          <t>否</t>
        </is>
      </c>
      <c r="O820" t="inlineStr">
        <is>
          <t>缺 PP</t>
        </is>
      </c>
    </row>
    <row r="821">
      <c r="A821" s="7" t="inlineStr">
        <is>
          <t>2010-11-23</t>
        </is>
      </c>
      <c r="B821" s="8" t="n"/>
      <c r="C821" s="8" t="n"/>
      <c r="D821" s="8" t="n"/>
      <c r="E821" s="8" t="n"/>
      <c r="F821" s="8" t="n"/>
      <c r="G821" s="8" t="n"/>
      <c r="H821" s="8" t="n">
        <v>11610</v>
      </c>
      <c r="I821" s="8" t="n">
        <v>12120</v>
      </c>
      <c r="J821" s="8" t="n">
        <v>12205</v>
      </c>
      <c r="K821" s="8" t="n">
        <v>11610</v>
      </c>
      <c r="L821" s="8" t="n">
        <v>643172</v>
      </c>
      <c r="M821" s="8" t="n">
        <v>123938</v>
      </c>
      <c r="N821" s="9" t="inlineStr">
        <is>
          <t>否</t>
        </is>
      </c>
      <c r="O821" t="inlineStr">
        <is>
          <t>缺 PP</t>
        </is>
      </c>
    </row>
    <row r="822">
      <c r="A822" s="7" t="inlineStr">
        <is>
          <t>2010-11-24</t>
        </is>
      </c>
      <c r="B822" s="8" t="n"/>
      <c r="C822" s="8" t="n"/>
      <c r="D822" s="8" t="n"/>
      <c r="E822" s="8" t="n"/>
      <c r="F822" s="8" t="n"/>
      <c r="G822" s="8" t="n"/>
      <c r="H822" s="8" t="n">
        <v>11765</v>
      </c>
      <c r="I822" s="8" t="n">
        <v>11620</v>
      </c>
      <c r="J822" s="8" t="n">
        <v>11790</v>
      </c>
      <c r="K822" s="8" t="n">
        <v>11435</v>
      </c>
      <c r="L822" s="8" t="n">
        <v>989566</v>
      </c>
      <c r="M822" s="8" t="n">
        <v>121926</v>
      </c>
      <c r="N822" s="9" t="inlineStr">
        <is>
          <t>否</t>
        </is>
      </c>
      <c r="O822" t="inlineStr">
        <is>
          <t>缺 PP</t>
        </is>
      </c>
    </row>
    <row r="823">
      <c r="A823" s="7" t="inlineStr">
        <is>
          <t>2010-11-25</t>
        </is>
      </c>
      <c r="B823" s="8" t="n"/>
      <c r="C823" s="8" t="n"/>
      <c r="D823" s="8" t="n"/>
      <c r="E823" s="8" t="n"/>
      <c r="F823" s="8" t="n"/>
      <c r="G823" s="8" t="n"/>
      <c r="H823" s="8" t="n">
        <v>11655</v>
      </c>
      <c r="I823" s="8" t="n">
        <v>11905</v>
      </c>
      <c r="J823" s="8" t="n">
        <v>11970</v>
      </c>
      <c r="K823" s="8" t="n">
        <v>11650</v>
      </c>
      <c r="L823" s="8" t="n">
        <v>802424</v>
      </c>
      <c r="M823" s="8" t="n">
        <v>118204</v>
      </c>
      <c r="N823" s="9" t="inlineStr">
        <is>
          <t>否</t>
        </is>
      </c>
      <c r="O823" t="inlineStr">
        <is>
          <t>缺 PP</t>
        </is>
      </c>
    </row>
    <row r="824">
      <c r="A824" s="7" t="inlineStr">
        <is>
          <t>2010-11-26</t>
        </is>
      </c>
      <c r="B824" s="8" t="n"/>
      <c r="C824" s="8" t="n"/>
      <c r="D824" s="8" t="n"/>
      <c r="E824" s="8" t="n"/>
      <c r="F824" s="8" t="n"/>
      <c r="G824" s="8" t="n"/>
      <c r="H824" s="8" t="n">
        <v>11300</v>
      </c>
      <c r="I824" s="8" t="n">
        <v>11680</v>
      </c>
      <c r="J824" s="8" t="n">
        <v>11695</v>
      </c>
      <c r="K824" s="8" t="n">
        <v>11220</v>
      </c>
      <c r="L824" s="8" t="n">
        <v>675554</v>
      </c>
      <c r="M824" s="8" t="n">
        <v>108580</v>
      </c>
      <c r="N824" s="9" t="inlineStr">
        <is>
          <t>否</t>
        </is>
      </c>
      <c r="O824" t="inlineStr">
        <is>
          <t>缺 PP</t>
        </is>
      </c>
    </row>
    <row r="825">
      <c r="A825" s="7" t="inlineStr">
        <is>
          <t>2010-11-29</t>
        </is>
      </c>
      <c r="B825" s="8" t="n"/>
      <c r="C825" s="8" t="n"/>
      <c r="D825" s="8" t="n"/>
      <c r="E825" s="8" t="n"/>
      <c r="F825" s="8" t="n"/>
      <c r="G825" s="8" t="n"/>
      <c r="H825" s="8" t="n">
        <v>11510</v>
      </c>
      <c r="I825" s="8" t="n">
        <v>11250</v>
      </c>
      <c r="J825" s="8" t="n">
        <v>11575</v>
      </c>
      <c r="K825" s="8" t="n">
        <v>11250</v>
      </c>
      <c r="L825" s="8" t="n">
        <v>740320</v>
      </c>
      <c r="M825" s="8" t="n">
        <v>106054</v>
      </c>
      <c r="N825" s="9" t="inlineStr">
        <is>
          <t>否</t>
        </is>
      </c>
      <c r="O825" t="inlineStr">
        <is>
          <t>缺 PP</t>
        </is>
      </c>
    </row>
    <row r="826">
      <c r="A826" s="7" t="inlineStr">
        <is>
          <t>2010-11-30</t>
        </is>
      </c>
      <c r="B826" s="8" t="n"/>
      <c r="C826" s="8" t="n"/>
      <c r="D826" s="8" t="n"/>
      <c r="E826" s="8" t="n"/>
      <c r="F826" s="8" t="n"/>
      <c r="G826" s="8" t="n"/>
      <c r="H826" s="8" t="n">
        <v>11375</v>
      </c>
      <c r="I826" s="8" t="n">
        <v>11550</v>
      </c>
      <c r="J826" s="8" t="n">
        <v>11560</v>
      </c>
      <c r="K826" s="8" t="n">
        <v>11145</v>
      </c>
      <c r="L826" s="8" t="n">
        <v>790308</v>
      </c>
      <c r="M826" s="8" t="n">
        <v>101274</v>
      </c>
      <c r="N826" s="9" t="inlineStr">
        <is>
          <t>否</t>
        </is>
      </c>
      <c r="O826" t="inlineStr">
        <is>
          <t>缺 PP</t>
        </is>
      </c>
    </row>
    <row r="827">
      <c r="A827" s="7" t="inlineStr">
        <is>
          <t>2010-12-01</t>
        </is>
      </c>
      <c r="B827" s="8" t="n"/>
      <c r="C827" s="8" t="n"/>
      <c r="D827" s="8" t="n"/>
      <c r="E827" s="8" t="n"/>
      <c r="F827" s="8" t="n"/>
      <c r="G827" s="8" t="n"/>
      <c r="H827" s="8" t="n">
        <v>11555</v>
      </c>
      <c r="I827" s="8" t="n">
        <v>11340</v>
      </c>
      <c r="J827" s="8" t="n">
        <v>11560</v>
      </c>
      <c r="K827" s="8" t="n">
        <v>11275</v>
      </c>
      <c r="L827" s="8" t="n">
        <v>518328</v>
      </c>
      <c r="M827" s="8" t="n">
        <v>106790</v>
      </c>
      <c r="N827" s="9" t="inlineStr">
        <is>
          <t>否</t>
        </is>
      </c>
      <c r="O827" t="inlineStr">
        <is>
          <t>缺 PP</t>
        </is>
      </c>
    </row>
    <row r="828">
      <c r="A828" s="7" t="inlineStr">
        <is>
          <t>2010-12-02</t>
        </is>
      </c>
      <c r="B828" s="8" t="n"/>
      <c r="C828" s="8" t="n"/>
      <c r="D828" s="8" t="n"/>
      <c r="E828" s="8" t="n"/>
      <c r="F828" s="8" t="n"/>
      <c r="G828" s="8" t="n"/>
      <c r="H828" s="8" t="n">
        <v>11710</v>
      </c>
      <c r="I828" s="8" t="n">
        <v>11740</v>
      </c>
      <c r="J828" s="8" t="n">
        <v>11830</v>
      </c>
      <c r="K828" s="8" t="n">
        <v>11670</v>
      </c>
      <c r="L828" s="8" t="n">
        <v>460390</v>
      </c>
      <c r="M828" s="8" t="n">
        <v>107748</v>
      </c>
      <c r="N828" s="9" t="inlineStr">
        <is>
          <t>否</t>
        </is>
      </c>
      <c r="O828" t="inlineStr">
        <is>
          <t>缺 PP</t>
        </is>
      </c>
    </row>
    <row r="829">
      <c r="A829" s="7" t="inlineStr">
        <is>
          <t>2010-12-03</t>
        </is>
      </c>
      <c r="B829" s="8" t="n"/>
      <c r="C829" s="8" t="n"/>
      <c r="D829" s="8" t="n"/>
      <c r="E829" s="8" t="n"/>
      <c r="F829" s="8" t="n"/>
      <c r="G829" s="8" t="n"/>
      <c r="H829" s="8" t="n">
        <v>11775</v>
      </c>
      <c r="I829" s="8" t="n">
        <v>11725</v>
      </c>
      <c r="J829" s="8" t="n">
        <v>11900</v>
      </c>
      <c r="K829" s="8" t="n">
        <v>11660</v>
      </c>
      <c r="L829" s="8" t="n">
        <v>546758</v>
      </c>
      <c r="M829" s="8" t="n">
        <v>112114</v>
      </c>
      <c r="N829" s="9" t="inlineStr">
        <is>
          <t>否</t>
        </is>
      </c>
      <c r="O829" t="inlineStr">
        <is>
          <t>缺 PP</t>
        </is>
      </c>
    </row>
    <row r="830">
      <c r="A830" s="7" t="inlineStr">
        <is>
          <t>2010-12-06</t>
        </is>
      </c>
      <c r="B830" s="8" t="n"/>
      <c r="C830" s="8" t="n"/>
      <c r="D830" s="8" t="n"/>
      <c r="E830" s="8" t="n"/>
      <c r="F830" s="8" t="n"/>
      <c r="G830" s="8" t="n"/>
      <c r="H830" s="8" t="n">
        <v>11800</v>
      </c>
      <c r="I830" s="8" t="n">
        <v>11880</v>
      </c>
      <c r="J830" s="8" t="n">
        <v>11960</v>
      </c>
      <c r="K830" s="8" t="n">
        <v>11765</v>
      </c>
      <c r="L830" s="8" t="n">
        <v>381330</v>
      </c>
      <c r="M830" s="8" t="n">
        <v>119564</v>
      </c>
      <c r="N830" s="9" t="inlineStr">
        <is>
          <t>否</t>
        </is>
      </c>
      <c r="O830" t="inlineStr">
        <is>
          <t>缺 PP</t>
        </is>
      </c>
    </row>
    <row r="831">
      <c r="A831" s="7" t="inlineStr">
        <is>
          <t>2010-12-07</t>
        </is>
      </c>
      <c r="B831" s="8" t="n"/>
      <c r="C831" s="8" t="n"/>
      <c r="D831" s="8" t="n"/>
      <c r="E831" s="8" t="n"/>
      <c r="F831" s="8" t="n"/>
      <c r="G831" s="8" t="n"/>
      <c r="H831" s="8" t="n">
        <v>11700</v>
      </c>
      <c r="I831" s="8" t="n">
        <v>11750</v>
      </c>
      <c r="J831" s="8" t="n">
        <v>11760</v>
      </c>
      <c r="K831" s="8" t="n">
        <v>11465</v>
      </c>
      <c r="L831" s="8" t="n">
        <v>548912</v>
      </c>
      <c r="M831" s="8" t="n">
        <v>121014</v>
      </c>
      <c r="N831" s="9" t="inlineStr">
        <is>
          <t>否</t>
        </is>
      </c>
      <c r="O831" t="inlineStr">
        <is>
          <t>缺 PP</t>
        </is>
      </c>
    </row>
    <row r="832">
      <c r="A832" s="7" t="inlineStr">
        <is>
          <t>2010-12-08</t>
        </is>
      </c>
      <c r="B832" s="8" t="n"/>
      <c r="C832" s="8" t="n"/>
      <c r="D832" s="8" t="n"/>
      <c r="E832" s="8" t="n"/>
      <c r="F832" s="8" t="n"/>
      <c r="G832" s="8" t="n"/>
      <c r="H832" s="8" t="n">
        <v>11640</v>
      </c>
      <c r="I832" s="8" t="n">
        <v>11520</v>
      </c>
      <c r="J832" s="8" t="n">
        <v>11760</v>
      </c>
      <c r="K832" s="8" t="n">
        <v>11400</v>
      </c>
      <c r="L832" s="8" t="n">
        <v>1140578</v>
      </c>
      <c r="M832" s="8" t="n">
        <v>153782</v>
      </c>
      <c r="N832" s="9" t="inlineStr">
        <is>
          <t>否</t>
        </is>
      </c>
      <c r="O832" t="inlineStr">
        <is>
          <t>缺 PP</t>
        </is>
      </c>
    </row>
    <row r="833">
      <c r="A833" s="7" t="inlineStr">
        <is>
          <t>2010-12-09</t>
        </is>
      </c>
      <c r="B833" s="8" t="n"/>
      <c r="C833" s="8" t="n"/>
      <c r="D833" s="8" t="n"/>
      <c r="E833" s="8" t="n"/>
      <c r="F833" s="8" t="n"/>
      <c r="G833" s="8" t="n"/>
      <c r="H833" s="8" t="n">
        <v>11795</v>
      </c>
      <c r="I833" s="8" t="n">
        <v>11820</v>
      </c>
      <c r="J833" s="8" t="n">
        <v>11920</v>
      </c>
      <c r="K833" s="8" t="n">
        <v>11745</v>
      </c>
      <c r="L833" s="8" t="n">
        <v>810076</v>
      </c>
      <c r="M833" s="8" t="n">
        <v>127920</v>
      </c>
      <c r="N833" s="9" t="inlineStr">
        <is>
          <t>否</t>
        </is>
      </c>
      <c r="O833" t="inlineStr">
        <is>
          <t>缺 PP</t>
        </is>
      </c>
    </row>
    <row r="834">
      <c r="A834" s="7" t="inlineStr">
        <is>
          <t>2010-12-10</t>
        </is>
      </c>
      <c r="B834" s="8" t="n"/>
      <c r="C834" s="8" t="n"/>
      <c r="D834" s="8" t="n"/>
      <c r="E834" s="8" t="n"/>
      <c r="F834" s="8" t="n"/>
      <c r="G834" s="8" t="n"/>
      <c r="H834" s="8" t="n">
        <v>11865</v>
      </c>
      <c r="I834" s="8" t="n">
        <v>11730</v>
      </c>
      <c r="J834" s="8" t="n">
        <v>11865</v>
      </c>
      <c r="K834" s="8" t="n">
        <v>11660</v>
      </c>
      <c r="L834" s="8" t="n">
        <v>481250</v>
      </c>
      <c r="M834" s="8" t="n">
        <v>134710</v>
      </c>
      <c r="N834" s="9" t="inlineStr">
        <is>
          <t>否</t>
        </is>
      </c>
      <c r="O834" t="inlineStr">
        <is>
          <t>缺 PP</t>
        </is>
      </c>
    </row>
    <row r="835">
      <c r="A835" s="7" t="inlineStr">
        <is>
          <t>2010-12-13</t>
        </is>
      </c>
      <c r="B835" s="8" t="n"/>
      <c r="C835" s="8" t="n"/>
      <c r="D835" s="8" t="n"/>
      <c r="E835" s="8" t="n"/>
      <c r="F835" s="8" t="n"/>
      <c r="G835" s="8" t="n"/>
      <c r="H835" s="8" t="n">
        <v>12370</v>
      </c>
      <c r="I835" s="8" t="n">
        <v>11880</v>
      </c>
      <c r="J835" s="8" t="n">
        <v>12440</v>
      </c>
      <c r="K835" s="8" t="n">
        <v>11825</v>
      </c>
      <c r="L835" s="8" t="n">
        <v>611186</v>
      </c>
      <c r="M835" s="8" t="n">
        <v>159478</v>
      </c>
      <c r="N835" s="9" t="inlineStr">
        <is>
          <t>否</t>
        </is>
      </c>
      <c r="O835" t="inlineStr">
        <is>
          <t>缺 PP</t>
        </is>
      </c>
    </row>
    <row r="836">
      <c r="A836" s="7" t="inlineStr">
        <is>
          <t>2010-12-14</t>
        </is>
      </c>
      <c r="B836" s="8" t="n"/>
      <c r="C836" s="8" t="n"/>
      <c r="D836" s="8" t="n"/>
      <c r="E836" s="8" t="n"/>
      <c r="F836" s="8" t="n"/>
      <c r="G836" s="8" t="n"/>
      <c r="H836" s="8" t="n">
        <v>12395</v>
      </c>
      <c r="I836" s="8" t="n">
        <v>12360</v>
      </c>
      <c r="J836" s="8" t="n">
        <v>12455</v>
      </c>
      <c r="K836" s="8" t="n">
        <v>12220</v>
      </c>
      <c r="L836" s="8" t="n">
        <v>633936</v>
      </c>
      <c r="M836" s="8" t="n">
        <v>173416</v>
      </c>
      <c r="N836" s="9" t="inlineStr">
        <is>
          <t>否</t>
        </is>
      </c>
      <c r="O836" t="inlineStr">
        <is>
          <t>缺 PP</t>
        </is>
      </c>
    </row>
    <row r="837">
      <c r="A837" s="7" t="inlineStr">
        <is>
          <t>2010-12-15</t>
        </is>
      </c>
      <c r="B837" s="8" t="n"/>
      <c r="C837" s="8" t="n"/>
      <c r="D837" s="8" t="n"/>
      <c r="E837" s="8" t="n"/>
      <c r="F837" s="8" t="n"/>
      <c r="G837" s="8" t="n"/>
      <c r="H837" s="8" t="n">
        <v>12310</v>
      </c>
      <c r="I837" s="8" t="n">
        <v>12350</v>
      </c>
      <c r="J837" s="8" t="n">
        <v>12395</v>
      </c>
      <c r="K837" s="8" t="n">
        <v>12155</v>
      </c>
      <c r="L837" s="8" t="n">
        <v>797160</v>
      </c>
      <c r="M837" s="8" t="n">
        <v>202434</v>
      </c>
      <c r="N837" s="9" t="inlineStr">
        <is>
          <t>否</t>
        </is>
      </c>
      <c r="O837" t="inlineStr">
        <is>
          <t>缺 PP</t>
        </is>
      </c>
    </row>
    <row r="838">
      <c r="A838" s="7" t="inlineStr">
        <is>
          <t>2010-12-16</t>
        </is>
      </c>
      <c r="B838" s="8" t="n"/>
      <c r="C838" s="8" t="n"/>
      <c r="D838" s="8" t="n"/>
      <c r="E838" s="8" t="n"/>
      <c r="F838" s="8" t="n"/>
      <c r="G838" s="8" t="n"/>
      <c r="H838" s="8" t="n">
        <v>12245</v>
      </c>
      <c r="I838" s="8" t="n">
        <v>12360</v>
      </c>
      <c r="J838" s="8" t="n">
        <v>12545</v>
      </c>
      <c r="K838" s="8" t="n">
        <v>12240</v>
      </c>
      <c r="L838" s="8" t="n">
        <v>792406</v>
      </c>
      <c r="M838" s="8" t="n">
        <v>190656</v>
      </c>
      <c r="N838" s="9" t="inlineStr">
        <is>
          <t>否</t>
        </is>
      </c>
      <c r="O838" t="inlineStr">
        <is>
          <t>缺 PP</t>
        </is>
      </c>
    </row>
    <row r="839">
      <c r="A839" s="7" t="inlineStr">
        <is>
          <t>2010-12-17</t>
        </is>
      </c>
      <c r="B839" s="8" t="n"/>
      <c r="C839" s="8" t="n"/>
      <c r="D839" s="8" t="n"/>
      <c r="E839" s="8" t="n"/>
      <c r="F839" s="8" t="n"/>
      <c r="G839" s="8" t="n"/>
      <c r="H839" s="8" t="n">
        <v>12350</v>
      </c>
      <c r="I839" s="8" t="n">
        <v>12260</v>
      </c>
      <c r="J839" s="8" t="n">
        <v>12435</v>
      </c>
      <c r="K839" s="8" t="n">
        <v>12230</v>
      </c>
      <c r="L839" s="8" t="n">
        <v>675262</v>
      </c>
      <c r="M839" s="8" t="n">
        <v>185492</v>
      </c>
      <c r="N839" s="9" t="inlineStr">
        <is>
          <t>否</t>
        </is>
      </c>
      <c r="O839" t="inlineStr">
        <is>
          <t>缺 PP</t>
        </is>
      </c>
    </row>
    <row r="840">
      <c r="A840" s="7" t="inlineStr">
        <is>
          <t>2010-12-20</t>
        </is>
      </c>
      <c r="B840" s="8" t="n"/>
      <c r="C840" s="8" t="n"/>
      <c r="D840" s="8" t="n"/>
      <c r="E840" s="8" t="n"/>
      <c r="F840" s="8" t="n"/>
      <c r="G840" s="8" t="n"/>
      <c r="H840" s="8" t="n">
        <v>12235</v>
      </c>
      <c r="I840" s="8" t="n">
        <v>12455</v>
      </c>
      <c r="J840" s="8" t="n">
        <v>12630</v>
      </c>
      <c r="K840" s="8" t="n">
        <v>12125</v>
      </c>
      <c r="L840" s="8" t="n">
        <v>838406</v>
      </c>
      <c r="M840" s="8" t="n">
        <v>182866</v>
      </c>
      <c r="N840" s="9" t="inlineStr">
        <is>
          <t>否</t>
        </is>
      </c>
      <c r="O840" t="inlineStr">
        <is>
          <t>缺 PP</t>
        </is>
      </c>
    </row>
    <row r="841">
      <c r="A841" s="7" t="inlineStr">
        <is>
          <t>2010-12-21</t>
        </is>
      </c>
      <c r="B841" s="8" t="n"/>
      <c r="C841" s="8" t="n"/>
      <c r="D841" s="8" t="n"/>
      <c r="E841" s="8" t="n"/>
      <c r="F841" s="8" t="n"/>
      <c r="G841" s="8" t="n"/>
      <c r="H841" s="8" t="n">
        <v>12345</v>
      </c>
      <c r="I841" s="8" t="n">
        <v>12310</v>
      </c>
      <c r="J841" s="8" t="n">
        <v>12400</v>
      </c>
      <c r="K841" s="8" t="n">
        <v>12195</v>
      </c>
      <c r="L841" s="8" t="n">
        <v>698374</v>
      </c>
      <c r="M841" s="8" t="n">
        <v>174956</v>
      </c>
      <c r="N841" s="9" t="inlineStr">
        <is>
          <t>否</t>
        </is>
      </c>
      <c r="O841" t="inlineStr">
        <is>
          <t>缺 PP</t>
        </is>
      </c>
    </row>
    <row r="842">
      <c r="A842" s="7" t="inlineStr">
        <is>
          <t>2010-12-22</t>
        </is>
      </c>
      <c r="B842" s="8" t="n"/>
      <c r="C842" s="8" t="n"/>
      <c r="D842" s="8" t="n"/>
      <c r="E842" s="8" t="n"/>
      <c r="F842" s="8" t="n"/>
      <c r="G842" s="8" t="n"/>
      <c r="H842" s="8" t="n">
        <v>12295</v>
      </c>
      <c r="I842" s="8" t="n">
        <v>12420</v>
      </c>
      <c r="J842" s="8" t="n">
        <v>12480</v>
      </c>
      <c r="K842" s="8" t="n">
        <v>12250</v>
      </c>
      <c r="L842" s="8" t="n">
        <v>701038</v>
      </c>
      <c r="M842" s="8" t="n">
        <v>167000</v>
      </c>
      <c r="N842" s="9" t="inlineStr">
        <is>
          <t>否</t>
        </is>
      </c>
      <c r="O842" t="inlineStr">
        <is>
          <t>缺 PP</t>
        </is>
      </c>
    </row>
    <row r="843">
      <c r="A843" s="7" t="inlineStr">
        <is>
          <t>2010-12-23</t>
        </is>
      </c>
      <c r="B843" s="8" t="n"/>
      <c r="C843" s="8" t="n"/>
      <c r="D843" s="8" t="n"/>
      <c r="E843" s="8" t="n"/>
      <c r="F843" s="8" t="n"/>
      <c r="G843" s="8" t="n"/>
      <c r="H843" s="8" t="n">
        <v>12650</v>
      </c>
      <c r="I843" s="8" t="n">
        <v>12350</v>
      </c>
      <c r="J843" s="8" t="n">
        <v>12690</v>
      </c>
      <c r="K843" s="8" t="n">
        <v>12330</v>
      </c>
      <c r="L843" s="8" t="n">
        <v>676316</v>
      </c>
      <c r="M843" s="8" t="n">
        <v>209682</v>
      </c>
      <c r="N843" s="9" t="inlineStr">
        <is>
          <t>否</t>
        </is>
      </c>
      <c r="O843" t="inlineStr">
        <is>
          <t>缺 PP</t>
        </is>
      </c>
    </row>
    <row r="844">
      <c r="A844" s="7" t="inlineStr">
        <is>
          <t>2010-12-24</t>
        </is>
      </c>
      <c r="B844" s="8" t="n"/>
      <c r="C844" s="8" t="n"/>
      <c r="D844" s="8" t="n"/>
      <c r="E844" s="8" t="n"/>
      <c r="F844" s="8" t="n"/>
      <c r="G844" s="8" t="n"/>
      <c r="H844" s="8" t="n">
        <v>12660</v>
      </c>
      <c r="I844" s="8" t="n">
        <v>12740</v>
      </c>
      <c r="J844" s="8" t="n">
        <v>12770</v>
      </c>
      <c r="K844" s="8" t="n">
        <v>12470</v>
      </c>
      <c r="L844" s="8" t="n">
        <v>625500</v>
      </c>
      <c r="M844" s="8" t="n">
        <v>182216</v>
      </c>
      <c r="N844" s="9" t="inlineStr">
        <is>
          <t>否</t>
        </is>
      </c>
      <c r="O844" t="inlineStr">
        <is>
          <t>缺 PP</t>
        </is>
      </c>
    </row>
    <row r="845">
      <c r="A845" s="7" t="inlineStr">
        <is>
          <t>2010-12-27</t>
        </is>
      </c>
      <c r="B845" s="8" t="n"/>
      <c r="C845" s="8" t="n"/>
      <c r="D845" s="8" t="n"/>
      <c r="E845" s="8" t="n"/>
      <c r="F845" s="8" t="n"/>
      <c r="G845" s="8" t="n"/>
      <c r="H845" s="8" t="n">
        <v>12725</v>
      </c>
      <c r="I845" s="8" t="n">
        <v>12550</v>
      </c>
      <c r="J845" s="8" t="n">
        <v>12740</v>
      </c>
      <c r="K845" s="8" t="n">
        <v>12480</v>
      </c>
      <c r="L845" s="8" t="n">
        <v>617824</v>
      </c>
      <c r="M845" s="8" t="n">
        <v>194152</v>
      </c>
      <c r="N845" s="9" t="inlineStr">
        <is>
          <t>否</t>
        </is>
      </c>
      <c r="O845" t="inlineStr">
        <is>
          <t>缺 PP</t>
        </is>
      </c>
    </row>
    <row r="846">
      <c r="A846" s="7" t="inlineStr">
        <is>
          <t>2010-12-28</t>
        </is>
      </c>
      <c r="B846" s="8" t="n"/>
      <c r="C846" s="8" t="n"/>
      <c r="D846" s="8" t="n"/>
      <c r="E846" s="8" t="n"/>
      <c r="F846" s="8" t="n"/>
      <c r="G846" s="8" t="n"/>
      <c r="H846" s="8" t="n">
        <v>12595</v>
      </c>
      <c r="I846" s="8" t="n">
        <v>12730</v>
      </c>
      <c r="J846" s="8" t="n">
        <v>12790</v>
      </c>
      <c r="K846" s="8" t="n">
        <v>12580</v>
      </c>
      <c r="L846" s="8" t="n">
        <v>510006</v>
      </c>
      <c r="M846" s="8" t="n">
        <v>184136</v>
      </c>
      <c r="N846" s="9" t="inlineStr">
        <is>
          <t>否</t>
        </is>
      </c>
      <c r="O846" t="inlineStr">
        <is>
          <t>缺 PP</t>
        </is>
      </c>
    </row>
    <row r="847">
      <c r="A847" s="7" t="inlineStr">
        <is>
          <t>2010-12-29</t>
        </is>
      </c>
      <c r="B847" s="8" t="n"/>
      <c r="C847" s="8" t="n"/>
      <c r="D847" s="8" t="n"/>
      <c r="E847" s="8" t="n"/>
      <c r="F847" s="8" t="n"/>
      <c r="G847" s="8" t="n"/>
      <c r="H847" s="8" t="n">
        <v>12425</v>
      </c>
      <c r="I847" s="8" t="n">
        <v>12610</v>
      </c>
      <c r="J847" s="8" t="n">
        <v>12650</v>
      </c>
      <c r="K847" s="8" t="n">
        <v>12340</v>
      </c>
      <c r="L847" s="8" t="n">
        <v>453776</v>
      </c>
      <c r="M847" s="8" t="n">
        <v>169904</v>
      </c>
      <c r="N847" s="9" t="inlineStr">
        <is>
          <t>否</t>
        </is>
      </c>
      <c r="O847" t="inlineStr">
        <is>
          <t>缺 PP</t>
        </is>
      </c>
    </row>
    <row r="848">
      <c r="A848" s="7" t="inlineStr">
        <is>
          <t>2010-12-30</t>
        </is>
      </c>
      <c r="B848" s="8" t="n"/>
      <c r="C848" s="8" t="n"/>
      <c r="D848" s="8" t="n"/>
      <c r="E848" s="8" t="n"/>
      <c r="F848" s="8" t="n"/>
      <c r="G848" s="8" t="n"/>
      <c r="H848" s="8" t="n">
        <v>12545</v>
      </c>
      <c r="I848" s="8" t="n">
        <v>12400</v>
      </c>
      <c r="J848" s="8" t="n">
        <v>12570</v>
      </c>
      <c r="K848" s="8" t="n">
        <v>12355</v>
      </c>
      <c r="L848" s="8" t="n">
        <v>430418</v>
      </c>
      <c r="M848" s="8" t="n">
        <v>171434</v>
      </c>
      <c r="N848" s="9" t="inlineStr">
        <is>
          <t>否</t>
        </is>
      </c>
      <c r="O848" t="inlineStr">
        <is>
          <t>缺 PP</t>
        </is>
      </c>
    </row>
    <row r="849">
      <c r="A849" s="7" t="inlineStr">
        <is>
          <t>2010-12-31</t>
        </is>
      </c>
      <c r="B849" s="8" t="n"/>
      <c r="C849" s="8" t="n"/>
      <c r="D849" s="8" t="n"/>
      <c r="E849" s="8" t="n"/>
      <c r="F849" s="8" t="n"/>
      <c r="G849" s="8" t="n"/>
      <c r="H849" s="8" t="n">
        <v>12370</v>
      </c>
      <c r="I849" s="8" t="n">
        <v>12430</v>
      </c>
      <c r="J849" s="8" t="n">
        <v>12530</v>
      </c>
      <c r="K849" s="8" t="n">
        <v>12350</v>
      </c>
      <c r="L849" s="8" t="n">
        <v>368210</v>
      </c>
      <c r="M849" s="8" t="n">
        <v>156484</v>
      </c>
      <c r="N849" s="9" t="inlineStr">
        <is>
          <t>否</t>
        </is>
      </c>
      <c r="O849" t="inlineStr">
        <is>
          <t>缺 PP</t>
        </is>
      </c>
    </row>
    <row r="850">
      <c r="A850" s="7" t="inlineStr">
        <is>
          <t>2011-01-04</t>
        </is>
      </c>
      <c r="B850" s="8" t="n"/>
      <c r="C850" s="8" t="n"/>
      <c r="D850" s="8" t="n"/>
      <c r="E850" s="8" t="n"/>
      <c r="F850" s="8" t="n"/>
      <c r="G850" s="8" t="n"/>
      <c r="H850" s="8" t="n">
        <v>12665</v>
      </c>
      <c r="I850" s="8" t="n">
        <v>12510</v>
      </c>
      <c r="J850" s="8" t="n">
        <v>12735</v>
      </c>
      <c r="K850" s="8" t="n">
        <v>12440</v>
      </c>
      <c r="L850" s="8" t="n">
        <v>404558</v>
      </c>
      <c r="M850" s="8" t="n">
        <v>180850</v>
      </c>
      <c r="N850" s="9" t="inlineStr">
        <is>
          <t>否</t>
        </is>
      </c>
      <c r="O850" t="inlineStr">
        <is>
          <t>缺 PP</t>
        </is>
      </c>
    </row>
    <row r="851">
      <c r="A851" s="7" t="inlineStr">
        <is>
          <t>2011-01-05</t>
        </is>
      </c>
      <c r="B851" s="8" t="n"/>
      <c r="C851" s="8" t="n"/>
      <c r="D851" s="8" t="n"/>
      <c r="E851" s="8" t="n"/>
      <c r="F851" s="8" t="n"/>
      <c r="G851" s="8" t="n"/>
      <c r="H851" s="8" t="n">
        <v>12610</v>
      </c>
      <c r="I851" s="8" t="n">
        <v>12530</v>
      </c>
      <c r="J851" s="8" t="n">
        <v>12710</v>
      </c>
      <c r="K851" s="8" t="n">
        <v>12525</v>
      </c>
      <c r="L851" s="8" t="n">
        <v>359372</v>
      </c>
      <c r="M851" s="8" t="n">
        <v>178290</v>
      </c>
      <c r="N851" s="9" t="inlineStr">
        <is>
          <t>否</t>
        </is>
      </c>
      <c r="O851" t="inlineStr">
        <is>
          <t>缺 PP</t>
        </is>
      </c>
    </row>
    <row r="852">
      <c r="A852" s="7" t="inlineStr">
        <is>
          <t>2011-01-06</t>
        </is>
      </c>
      <c r="B852" s="8" t="n"/>
      <c r="C852" s="8" t="n"/>
      <c r="D852" s="8" t="n"/>
      <c r="E852" s="8" t="n"/>
      <c r="F852" s="8" t="n"/>
      <c r="G852" s="8" t="n"/>
      <c r="H852" s="8" t="n">
        <v>12730</v>
      </c>
      <c r="I852" s="8" t="n">
        <v>12700</v>
      </c>
      <c r="J852" s="8" t="n">
        <v>12845</v>
      </c>
      <c r="K852" s="8" t="n">
        <v>12700</v>
      </c>
      <c r="L852" s="8" t="n">
        <v>414116</v>
      </c>
      <c r="M852" s="8" t="n">
        <v>201524</v>
      </c>
      <c r="N852" s="9" t="inlineStr">
        <is>
          <t>否</t>
        </is>
      </c>
      <c r="O852" t="inlineStr">
        <is>
          <t>缺 PP</t>
        </is>
      </c>
    </row>
    <row r="853">
      <c r="A853" s="7" t="inlineStr">
        <is>
          <t>2011-01-07</t>
        </is>
      </c>
      <c r="B853" s="8" t="n"/>
      <c r="C853" s="8" t="n"/>
      <c r="D853" s="8" t="n"/>
      <c r="E853" s="8" t="n"/>
      <c r="F853" s="8" t="n"/>
      <c r="G853" s="8" t="n"/>
      <c r="H853" s="8" t="n">
        <v>12255</v>
      </c>
      <c r="I853" s="8" t="n">
        <v>12600</v>
      </c>
      <c r="J853" s="8" t="n">
        <v>12670</v>
      </c>
      <c r="K853" s="8" t="n">
        <v>12075</v>
      </c>
      <c r="L853" s="8" t="n">
        <v>440432</v>
      </c>
      <c r="M853" s="8" t="n">
        <v>191624</v>
      </c>
      <c r="N853" s="9" t="inlineStr">
        <is>
          <t>否</t>
        </is>
      </c>
      <c r="O853" t="inlineStr">
        <is>
          <t>缺 PP</t>
        </is>
      </c>
    </row>
    <row r="854">
      <c r="A854" s="7" t="inlineStr">
        <is>
          <t>2011-01-10</t>
        </is>
      </c>
      <c r="B854" s="8" t="n"/>
      <c r="C854" s="8" t="n"/>
      <c r="D854" s="8" t="n"/>
      <c r="E854" s="8" t="n"/>
      <c r="F854" s="8" t="n"/>
      <c r="G854" s="8" t="n"/>
      <c r="H854" s="8" t="n">
        <v>12220</v>
      </c>
      <c r="I854" s="8" t="n">
        <v>12365</v>
      </c>
      <c r="J854" s="8" t="n">
        <v>12385</v>
      </c>
      <c r="K854" s="8" t="n">
        <v>12180</v>
      </c>
      <c r="L854" s="8" t="n">
        <v>351536</v>
      </c>
      <c r="M854" s="8" t="n">
        <v>195658</v>
      </c>
      <c r="N854" s="9" t="inlineStr">
        <is>
          <t>否</t>
        </is>
      </c>
      <c r="O854" t="inlineStr">
        <is>
          <t>缺 PP</t>
        </is>
      </c>
    </row>
    <row r="855">
      <c r="A855" s="7" t="inlineStr">
        <is>
          <t>2011-01-11</t>
        </is>
      </c>
      <c r="B855" s="8" t="n"/>
      <c r="C855" s="8" t="n"/>
      <c r="D855" s="8" t="n"/>
      <c r="E855" s="8" t="n"/>
      <c r="F855" s="8" t="n"/>
      <c r="G855" s="8" t="n"/>
      <c r="H855" s="8" t="n">
        <v>12210</v>
      </c>
      <c r="I855" s="8" t="n">
        <v>12305</v>
      </c>
      <c r="J855" s="8" t="n">
        <v>12320</v>
      </c>
      <c r="K855" s="8" t="n">
        <v>12080</v>
      </c>
      <c r="L855" s="8" t="n">
        <v>319034</v>
      </c>
      <c r="M855" s="8" t="n">
        <v>199696</v>
      </c>
      <c r="N855" s="9" t="inlineStr">
        <is>
          <t>否</t>
        </is>
      </c>
      <c r="O855" t="inlineStr">
        <is>
          <t>缺 PP</t>
        </is>
      </c>
    </row>
    <row r="856">
      <c r="A856" s="7" t="inlineStr">
        <is>
          <t>2011-01-12</t>
        </is>
      </c>
      <c r="B856" s="8" t="n"/>
      <c r="C856" s="8" t="n"/>
      <c r="D856" s="8" t="n"/>
      <c r="E856" s="8" t="n"/>
      <c r="F856" s="8" t="n"/>
      <c r="G856" s="8" t="n"/>
      <c r="H856" s="8" t="n">
        <v>12270</v>
      </c>
      <c r="I856" s="8" t="n">
        <v>12310</v>
      </c>
      <c r="J856" s="8" t="n">
        <v>12390</v>
      </c>
      <c r="K856" s="8" t="n">
        <v>12120</v>
      </c>
      <c r="L856" s="8" t="n">
        <v>447266</v>
      </c>
      <c r="M856" s="8" t="n">
        <v>201464</v>
      </c>
      <c r="N856" s="9" t="inlineStr">
        <is>
          <t>否</t>
        </is>
      </c>
      <c r="O856" t="inlineStr">
        <is>
          <t>缺 PP</t>
        </is>
      </c>
    </row>
    <row r="857">
      <c r="A857" s="7" t="inlineStr">
        <is>
          <t>2011-01-13</t>
        </is>
      </c>
      <c r="B857" s="8" t="n"/>
      <c r="C857" s="8" t="n"/>
      <c r="D857" s="8" t="n"/>
      <c r="E857" s="8" t="n"/>
      <c r="F857" s="8" t="n"/>
      <c r="G857" s="8" t="n"/>
      <c r="H857" s="8" t="n">
        <v>12300</v>
      </c>
      <c r="I857" s="8" t="n">
        <v>12365</v>
      </c>
      <c r="J857" s="8" t="n">
        <v>12475</v>
      </c>
      <c r="K857" s="8" t="n">
        <v>12285</v>
      </c>
      <c r="L857" s="8" t="n">
        <v>419170</v>
      </c>
      <c r="M857" s="8" t="n">
        <v>188576</v>
      </c>
      <c r="N857" s="9" t="inlineStr">
        <is>
          <t>否</t>
        </is>
      </c>
      <c r="O857" t="inlineStr">
        <is>
          <t>缺 PP</t>
        </is>
      </c>
    </row>
    <row r="858">
      <c r="A858" s="7" t="inlineStr">
        <is>
          <t>2011-01-14</t>
        </is>
      </c>
      <c r="B858" s="8" t="n"/>
      <c r="C858" s="8" t="n"/>
      <c r="D858" s="8" t="n"/>
      <c r="E858" s="8" t="n"/>
      <c r="F858" s="8" t="n"/>
      <c r="G858" s="8" t="n"/>
      <c r="H858" s="8" t="n">
        <v>12320</v>
      </c>
      <c r="I858" s="8" t="n">
        <v>12245</v>
      </c>
      <c r="J858" s="8" t="n">
        <v>12365</v>
      </c>
      <c r="K858" s="8" t="n">
        <v>12185</v>
      </c>
      <c r="L858" s="8" t="n">
        <v>361532</v>
      </c>
      <c r="M858" s="8" t="n">
        <v>197936</v>
      </c>
      <c r="N858" s="9" t="inlineStr">
        <is>
          <t>否</t>
        </is>
      </c>
      <c r="O858" t="inlineStr">
        <is>
          <t>缺 PP</t>
        </is>
      </c>
    </row>
    <row r="859">
      <c r="A859" s="7" t="inlineStr">
        <is>
          <t>2011-01-17</t>
        </is>
      </c>
      <c r="B859" s="8" t="n"/>
      <c r="C859" s="8" t="n"/>
      <c r="D859" s="8" t="n"/>
      <c r="E859" s="8" t="n"/>
      <c r="F859" s="8" t="n"/>
      <c r="G859" s="8" t="n"/>
      <c r="H859" s="8" t="n">
        <v>12130</v>
      </c>
      <c r="I859" s="8" t="n">
        <v>12355</v>
      </c>
      <c r="J859" s="8" t="n">
        <v>12385</v>
      </c>
      <c r="K859" s="8" t="n">
        <v>12095</v>
      </c>
      <c r="L859" s="8" t="n">
        <v>408182</v>
      </c>
      <c r="M859" s="8" t="n">
        <v>202374</v>
      </c>
      <c r="N859" s="9" t="inlineStr">
        <is>
          <t>否</t>
        </is>
      </c>
      <c r="O859" t="inlineStr">
        <is>
          <t>缺 PP</t>
        </is>
      </c>
    </row>
    <row r="860">
      <c r="A860" s="7" t="inlineStr">
        <is>
          <t>2011-01-18</t>
        </is>
      </c>
      <c r="B860" s="8" t="n"/>
      <c r="C860" s="8" t="n"/>
      <c r="D860" s="8" t="n"/>
      <c r="E860" s="8" t="n"/>
      <c r="F860" s="8" t="n"/>
      <c r="G860" s="8" t="n"/>
      <c r="H860" s="8" t="n">
        <v>12040</v>
      </c>
      <c r="I860" s="8" t="n">
        <v>12095</v>
      </c>
      <c r="J860" s="8" t="n">
        <v>12130</v>
      </c>
      <c r="K860" s="8" t="n">
        <v>11940</v>
      </c>
      <c r="L860" s="8" t="n">
        <v>426406</v>
      </c>
      <c r="M860" s="8" t="n">
        <v>201462</v>
      </c>
      <c r="N860" s="9" t="inlineStr">
        <is>
          <t>否</t>
        </is>
      </c>
      <c r="O860" t="inlineStr">
        <is>
          <t>缺 PP</t>
        </is>
      </c>
    </row>
    <row r="861">
      <c r="A861" s="7" t="inlineStr">
        <is>
          <t>2011-01-19</t>
        </is>
      </c>
      <c r="B861" s="8" t="n"/>
      <c r="C861" s="8" t="n"/>
      <c r="D861" s="8" t="n"/>
      <c r="E861" s="8" t="n"/>
      <c r="F861" s="8" t="n"/>
      <c r="G861" s="8" t="n"/>
      <c r="H861" s="8" t="n">
        <v>12215</v>
      </c>
      <c r="I861" s="8" t="n">
        <v>12080</v>
      </c>
      <c r="J861" s="8" t="n">
        <v>12230</v>
      </c>
      <c r="K861" s="8" t="n">
        <v>12060</v>
      </c>
      <c r="L861" s="8" t="n">
        <v>331522</v>
      </c>
      <c r="M861" s="8" t="n">
        <v>196404</v>
      </c>
      <c r="N861" s="9" t="inlineStr">
        <is>
          <t>否</t>
        </is>
      </c>
      <c r="O861" t="inlineStr">
        <is>
          <t>缺 PP</t>
        </is>
      </c>
    </row>
    <row r="862">
      <c r="A862" s="7" t="inlineStr">
        <is>
          <t>2011-01-20</t>
        </is>
      </c>
      <c r="B862" s="8" t="n"/>
      <c r="C862" s="8" t="n"/>
      <c r="D862" s="8" t="n"/>
      <c r="E862" s="8" t="n"/>
      <c r="F862" s="8" t="n"/>
      <c r="G862" s="8" t="n"/>
      <c r="H862" s="8" t="n">
        <v>12150</v>
      </c>
      <c r="I862" s="8" t="n">
        <v>12110</v>
      </c>
      <c r="J862" s="8" t="n">
        <v>12340</v>
      </c>
      <c r="K862" s="8" t="n">
        <v>12105</v>
      </c>
      <c r="L862" s="8" t="n">
        <v>448074</v>
      </c>
      <c r="M862" s="8" t="n">
        <v>198182</v>
      </c>
      <c r="N862" s="9" t="inlineStr">
        <is>
          <t>否</t>
        </is>
      </c>
      <c r="O862" t="inlineStr">
        <is>
          <t>缺 PP</t>
        </is>
      </c>
    </row>
    <row r="863">
      <c r="A863" s="7" t="inlineStr">
        <is>
          <t>2011-01-21</t>
        </is>
      </c>
      <c r="B863" s="8" t="n"/>
      <c r="C863" s="8" t="n"/>
      <c r="D863" s="8" t="n"/>
      <c r="E863" s="8" t="n"/>
      <c r="F863" s="8" t="n"/>
      <c r="G863" s="8" t="n"/>
      <c r="H863" s="8" t="n">
        <v>11920</v>
      </c>
      <c r="I863" s="8" t="n">
        <v>12010</v>
      </c>
      <c r="J863" s="8" t="n">
        <v>12135</v>
      </c>
      <c r="K863" s="8" t="n">
        <v>11920</v>
      </c>
      <c r="L863" s="8" t="n">
        <v>400424</v>
      </c>
      <c r="M863" s="8" t="n">
        <v>206200</v>
      </c>
      <c r="N863" s="9" t="inlineStr">
        <is>
          <t>否</t>
        </is>
      </c>
      <c r="O863" t="inlineStr">
        <is>
          <t>缺 PP</t>
        </is>
      </c>
    </row>
    <row r="864">
      <c r="A864" s="7" t="inlineStr">
        <is>
          <t>2011-01-24</t>
        </is>
      </c>
      <c r="B864" s="8" t="n"/>
      <c r="C864" s="8" t="n"/>
      <c r="D864" s="8" t="n"/>
      <c r="E864" s="8" t="n"/>
      <c r="F864" s="8" t="n"/>
      <c r="G864" s="8" t="n"/>
      <c r="H864" s="8" t="n">
        <v>12195</v>
      </c>
      <c r="I864" s="8" t="n">
        <v>11980</v>
      </c>
      <c r="J864" s="8" t="n">
        <v>12380</v>
      </c>
      <c r="K864" s="8" t="n">
        <v>11950</v>
      </c>
      <c r="L864" s="8" t="n">
        <v>572076</v>
      </c>
      <c r="M864" s="8" t="n">
        <v>199356</v>
      </c>
      <c r="N864" s="9" t="inlineStr">
        <is>
          <t>否</t>
        </is>
      </c>
      <c r="O864" t="inlineStr">
        <is>
          <t>缺 PP</t>
        </is>
      </c>
    </row>
    <row r="865">
      <c r="A865" s="7" t="inlineStr">
        <is>
          <t>2011-01-25</t>
        </is>
      </c>
      <c r="B865" s="8" t="n"/>
      <c r="C865" s="8" t="n"/>
      <c r="D865" s="8" t="n"/>
      <c r="E865" s="8" t="n"/>
      <c r="F865" s="8" t="n"/>
      <c r="G865" s="8" t="n"/>
      <c r="H865" s="8" t="n">
        <v>11735</v>
      </c>
      <c r="I865" s="8" t="n">
        <v>12100</v>
      </c>
      <c r="J865" s="8" t="n">
        <v>12160</v>
      </c>
      <c r="K865" s="8" t="n">
        <v>11700</v>
      </c>
      <c r="L865" s="8" t="n">
        <v>500762</v>
      </c>
      <c r="M865" s="8" t="n">
        <v>199014</v>
      </c>
      <c r="N865" s="9" t="inlineStr">
        <is>
          <t>否</t>
        </is>
      </c>
      <c r="O865" t="inlineStr">
        <is>
          <t>缺 PP</t>
        </is>
      </c>
    </row>
    <row r="866">
      <c r="A866" s="7" t="inlineStr">
        <is>
          <t>2011-01-26</t>
        </is>
      </c>
      <c r="B866" s="8" t="n"/>
      <c r="C866" s="8" t="n"/>
      <c r="D866" s="8" t="n"/>
      <c r="E866" s="8" t="n"/>
      <c r="F866" s="8" t="n"/>
      <c r="G866" s="8" t="n"/>
      <c r="H866" s="8" t="n">
        <v>11705</v>
      </c>
      <c r="I866" s="8" t="n">
        <v>11660</v>
      </c>
      <c r="J866" s="8" t="n">
        <v>11735</v>
      </c>
      <c r="K866" s="8" t="n">
        <v>11485</v>
      </c>
      <c r="L866" s="8" t="n">
        <v>440192</v>
      </c>
      <c r="M866" s="8" t="n">
        <v>185214</v>
      </c>
      <c r="N866" s="9" t="inlineStr">
        <is>
          <t>否</t>
        </is>
      </c>
      <c r="O866" t="inlineStr">
        <is>
          <t>缺 PP</t>
        </is>
      </c>
    </row>
    <row r="867">
      <c r="A867" s="7" t="inlineStr">
        <is>
          <t>2011-01-27</t>
        </is>
      </c>
      <c r="B867" s="8" t="n"/>
      <c r="C867" s="8" t="n"/>
      <c r="D867" s="8" t="n"/>
      <c r="E867" s="8" t="n"/>
      <c r="F867" s="8" t="n"/>
      <c r="G867" s="8" t="n"/>
      <c r="H867" s="8" t="n">
        <v>11670</v>
      </c>
      <c r="I867" s="8" t="n">
        <v>11765</v>
      </c>
      <c r="J867" s="8" t="n">
        <v>11890</v>
      </c>
      <c r="K867" s="8" t="n">
        <v>11610</v>
      </c>
      <c r="L867" s="8" t="n">
        <v>425992</v>
      </c>
      <c r="M867" s="8" t="n">
        <v>189232</v>
      </c>
      <c r="N867" s="9" t="inlineStr">
        <is>
          <t>否</t>
        </is>
      </c>
      <c r="O867" t="inlineStr">
        <is>
          <t>缺 PP</t>
        </is>
      </c>
    </row>
    <row r="868">
      <c r="A868" s="7" t="inlineStr">
        <is>
          <t>2011-01-28</t>
        </is>
      </c>
      <c r="B868" s="8" t="n"/>
      <c r="C868" s="8" t="n"/>
      <c r="D868" s="8" t="n"/>
      <c r="E868" s="8" t="n"/>
      <c r="F868" s="8" t="n"/>
      <c r="G868" s="8" t="n"/>
      <c r="H868" s="8" t="n">
        <v>11730</v>
      </c>
      <c r="I868" s="8" t="n">
        <v>11560</v>
      </c>
      <c r="J868" s="8" t="n">
        <v>11820</v>
      </c>
      <c r="K868" s="8" t="n">
        <v>11485</v>
      </c>
      <c r="L868" s="8" t="n">
        <v>517766</v>
      </c>
      <c r="M868" s="8" t="n">
        <v>181216</v>
      </c>
      <c r="N868" s="9" t="inlineStr">
        <is>
          <t>否</t>
        </is>
      </c>
      <c r="O868" t="inlineStr">
        <is>
          <t>缺 PP</t>
        </is>
      </c>
    </row>
    <row r="869">
      <c r="A869" s="7" t="inlineStr">
        <is>
          <t>2011-01-31</t>
        </is>
      </c>
      <c r="B869" s="8" t="n"/>
      <c r="C869" s="8" t="n"/>
      <c r="D869" s="8" t="n"/>
      <c r="E869" s="8" t="n"/>
      <c r="F869" s="8" t="n"/>
      <c r="G869" s="8" t="n"/>
      <c r="H869" s="8" t="n">
        <v>11820</v>
      </c>
      <c r="I869" s="8" t="n">
        <v>11850</v>
      </c>
      <c r="J869" s="8" t="n">
        <v>11950</v>
      </c>
      <c r="K869" s="8" t="n">
        <v>11810</v>
      </c>
      <c r="L869" s="8" t="n">
        <v>294112</v>
      </c>
      <c r="M869" s="8" t="n">
        <v>174144</v>
      </c>
      <c r="N869" s="9" t="inlineStr">
        <is>
          <t>否</t>
        </is>
      </c>
      <c r="O869" t="inlineStr">
        <is>
          <t>缺 PP</t>
        </is>
      </c>
    </row>
    <row r="870">
      <c r="A870" s="7" t="inlineStr">
        <is>
          <t>2011-02-01</t>
        </is>
      </c>
      <c r="B870" s="8" t="n"/>
      <c r="C870" s="8" t="n"/>
      <c r="D870" s="8" t="n"/>
      <c r="E870" s="8" t="n"/>
      <c r="F870" s="8" t="n"/>
      <c r="G870" s="8" t="n"/>
      <c r="H870" s="8" t="n">
        <v>12005</v>
      </c>
      <c r="I870" s="8" t="n">
        <v>11910</v>
      </c>
      <c r="J870" s="8" t="n">
        <v>12045</v>
      </c>
      <c r="K870" s="8" t="n">
        <v>11910</v>
      </c>
      <c r="L870" s="8" t="n">
        <v>183784</v>
      </c>
      <c r="M870" s="8" t="n">
        <v>173338</v>
      </c>
      <c r="N870" s="9" t="inlineStr">
        <is>
          <t>否</t>
        </is>
      </c>
      <c r="O870" t="inlineStr">
        <is>
          <t>缺 PP</t>
        </is>
      </c>
    </row>
    <row r="871">
      <c r="A871" s="7" t="inlineStr">
        <is>
          <t>2011-02-09</t>
        </is>
      </c>
      <c r="B871" s="8" t="n"/>
      <c r="C871" s="8" t="n"/>
      <c r="D871" s="8" t="n"/>
      <c r="E871" s="8" t="n"/>
      <c r="F871" s="8" t="n"/>
      <c r="G871" s="8" t="n"/>
      <c r="H871" s="8" t="n">
        <v>12010</v>
      </c>
      <c r="I871" s="8" t="n">
        <v>11920</v>
      </c>
      <c r="J871" s="8" t="n">
        <v>12110</v>
      </c>
      <c r="K871" s="8" t="n">
        <v>11860</v>
      </c>
      <c r="L871" s="8" t="n">
        <v>313416</v>
      </c>
      <c r="M871" s="8" t="n">
        <v>182412</v>
      </c>
      <c r="N871" s="9" t="inlineStr">
        <is>
          <t>否</t>
        </is>
      </c>
      <c r="O871" t="inlineStr">
        <is>
          <t>缺 PP</t>
        </is>
      </c>
    </row>
    <row r="872">
      <c r="A872" s="7" t="inlineStr">
        <is>
          <t>2011-02-10</t>
        </is>
      </c>
      <c r="B872" s="8" t="n"/>
      <c r="C872" s="8" t="n"/>
      <c r="D872" s="8" t="n"/>
      <c r="E872" s="8" t="n"/>
      <c r="F872" s="8" t="n"/>
      <c r="G872" s="8" t="n"/>
      <c r="H872" s="8" t="n">
        <v>12370</v>
      </c>
      <c r="I872" s="8" t="n">
        <v>12000</v>
      </c>
      <c r="J872" s="8" t="n">
        <v>12390</v>
      </c>
      <c r="K872" s="8" t="n">
        <v>11990</v>
      </c>
      <c r="L872" s="8" t="n">
        <v>487736</v>
      </c>
      <c r="M872" s="8" t="n">
        <v>210762</v>
      </c>
      <c r="N872" s="9" t="inlineStr">
        <is>
          <t>否</t>
        </is>
      </c>
      <c r="O872" t="inlineStr">
        <is>
          <t>缺 PP</t>
        </is>
      </c>
    </row>
    <row r="873">
      <c r="A873" s="7" t="inlineStr">
        <is>
          <t>2011-02-11</t>
        </is>
      </c>
      <c r="B873" s="8" t="n"/>
      <c r="C873" s="8" t="n"/>
      <c r="D873" s="8" t="n"/>
      <c r="E873" s="8" t="n"/>
      <c r="F873" s="8" t="n"/>
      <c r="G873" s="8" t="n"/>
      <c r="H873" s="8" t="n">
        <v>12355</v>
      </c>
      <c r="I873" s="8" t="n">
        <v>12400</v>
      </c>
      <c r="J873" s="8" t="n">
        <v>12455</v>
      </c>
      <c r="K873" s="8" t="n">
        <v>12265</v>
      </c>
      <c r="L873" s="8" t="n">
        <v>491726</v>
      </c>
      <c r="M873" s="8" t="n">
        <v>205526</v>
      </c>
      <c r="N873" s="9" t="inlineStr">
        <is>
          <t>否</t>
        </is>
      </c>
      <c r="O873" t="inlineStr">
        <is>
          <t>缺 PP</t>
        </is>
      </c>
    </row>
    <row r="874">
      <c r="A874" s="7" t="inlineStr">
        <is>
          <t>2011-02-14</t>
        </is>
      </c>
      <c r="B874" s="8" t="n"/>
      <c r="C874" s="8" t="n"/>
      <c r="D874" s="8" t="n"/>
      <c r="E874" s="8" t="n"/>
      <c r="F874" s="8" t="n"/>
      <c r="G874" s="8" t="n"/>
      <c r="H874" s="8" t="n">
        <v>12460</v>
      </c>
      <c r="I874" s="8" t="n">
        <v>12365</v>
      </c>
      <c r="J874" s="8" t="n">
        <v>12505</v>
      </c>
      <c r="K874" s="8" t="n">
        <v>12225</v>
      </c>
      <c r="L874" s="8" t="n">
        <v>533682</v>
      </c>
      <c r="M874" s="8" t="n">
        <v>220724</v>
      </c>
      <c r="N874" s="9" t="inlineStr">
        <is>
          <t>否</t>
        </is>
      </c>
      <c r="O874" t="inlineStr">
        <is>
          <t>缺 PP</t>
        </is>
      </c>
    </row>
    <row r="875">
      <c r="A875" s="7" t="inlineStr">
        <is>
          <t>2011-02-15</t>
        </is>
      </c>
      <c r="B875" s="8" t="n"/>
      <c r="C875" s="8" t="n"/>
      <c r="D875" s="8" t="n"/>
      <c r="E875" s="8" t="n"/>
      <c r="F875" s="8" t="n"/>
      <c r="G875" s="8" t="n"/>
      <c r="H875" s="8" t="n">
        <v>12365</v>
      </c>
      <c r="I875" s="8" t="n">
        <v>12440</v>
      </c>
      <c r="J875" s="8" t="n">
        <v>12500</v>
      </c>
      <c r="K875" s="8" t="n">
        <v>12340</v>
      </c>
      <c r="L875" s="8" t="n">
        <v>430806</v>
      </c>
      <c r="M875" s="8" t="n">
        <v>209654</v>
      </c>
      <c r="N875" s="9" t="inlineStr">
        <is>
          <t>否</t>
        </is>
      </c>
      <c r="O875" t="inlineStr">
        <is>
          <t>缺 PP</t>
        </is>
      </c>
    </row>
    <row r="876">
      <c r="A876" s="7" t="inlineStr">
        <is>
          <t>2011-02-16</t>
        </is>
      </c>
      <c r="B876" s="8" t="n"/>
      <c r="C876" s="8" t="n"/>
      <c r="D876" s="8" t="n"/>
      <c r="E876" s="8" t="n"/>
      <c r="F876" s="8" t="n"/>
      <c r="G876" s="8" t="n"/>
      <c r="H876" s="8" t="n">
        <v>12350</v>
      </c>
      <c r="I876" s="8" t="n">
        <v>12300</v>
      </c>
      <c r="J876" s="8" t="n">
        <v>12350</v>
      </c>
      <c r="K876" s="8" t="n">
        <v>12175</v>
      </c>
      <c r="L876" s="8" t="n">
        <v>457264</v>
      </c>
      <c r="M876" s="8" t="n">
        <v>219608</v>
      </c>
      <c r="N876" s="9" t="inlineStr">
        <is>
          <t>否</t>
        </is>
      </c>
      <c r="O876" t="inlineStr">
        <is>
          <t>缺 PP</t>
        </is>
      </c>
    </row>
    <row r="877">
      <c r="A877" s="7" t="inlineStr">
        <is>
          <t>2011-02-17</t>
        </is>
      </c>
      <c r="B877" s="8" t="n"/>
      <c r="C877" s="8" t="n"/>
      <c r="D877" s="8" t="n"/>
      <c r="E877" s="8" t="n"/>
      <c r="F877" s="8" t="n"/>
      <c r="G877" s="8" t="n"/>
      <c r="H877" s="8" t="n">
        <v>12240</v>
      </c>
      <c r="I877" s="8" t="n">
        <v>12355</v>
      </c>
      <c r="J877" s="8" t="n">
        <v>12490</v>
      </c>
      <c r="K877" s="8" t="n">
        <v>12220</v>
      </c>
      <c r="L877" s="8" t="n">
        <v>545082</v>
      </c>
      <c r="M877" s="8" t="n">
        <v>222384</v>
      </c>
      <c r="N877" s="9" t="inlineStr">
        <is>
          <t>否</t>
        </is>
      </c>
      <c r="O877" t="inlineStr">
        <is>
          <t>缺 PP</t>
        </is>
      </c>
    </row>
    <row r="878">
      <c r="A878" s="7" t="inlineStr">
        <is>
          <t>2011-02-18</t>
        </is>
      </c>
      <c r="B878" s="8" t="n"/>
      <c r="C878" s="8" t="n"/>
      <c r="D878" s="8" t="n"/>
      <c r="E878" s="8" t="n"/>
      <c r="F878" s="8" t="n"/>
      <c r="G878" s="8" t="n"/>
      <c r="H878" s="8" t="n">
        <v>12125</v>
      </c>
      <c r="I878" s="8" t="n">
        <v>12390</v>
      </c>
      <c r="J878" s="8" t="n">
        <v>12395</v>
      </c>
      <c r="K878" s="8" t="n">
        <v>12115</v>
      </c>
      <c r="L878" s="8" t="n">
        <v>569920</v>
      </c>
      <c r="M878" s="8" t="n">
        <v>225744</v>
      </c>
      <c r="N878" s="9" t="inlineStr">
        <is>
          <t>否</t>
        </is>
      </c>
      <c r="O878" t="inlineStr">
        <is>
          <t>缺 PP</t>
        </is>
      </c>
    </row>
    <row r="879">
      <c r="A879" s="7" t="inlineStr">
        <is>
          <t>2011-02-21</t>
        </is>
      </c>
      <c r="B879" s="8" t="n"/>
      <c r="C879" s="8" t="n"/>
      <c r="D879" s="8" t="n"/>
      <c r="E879" s="8" t="n"/>
      <c r="F879" s="8" t="n"/>
      <c r="G879" s="8" t="n"/>
      <c r="H879" s="8" t="n">
        <v>12235</v>
      </c>
      <c r="I879" s="8" t="n">
        <v>12200</v>
      </c>
      <c r="J879" s="8" t="n">
        <v>12250</v>
      </c>
      <c r="K879" s="8" t="n">
        <v>12020</v>
      </c>
      <c r="L879" s="8" t="n">
        <v>469202</v>
      </c>
      <c r="M879" s="8" t="n">
        <v>252740</v>
      </c>
      <c r="N879" s="9" t="inlineStr">
        <is>
          <t>否</t>
        </is>
      </c>
      <c r="O879" t="inlineStr">
        <is>
          <t>缺 PP</t>
        </is>
      </c>
    </row>
    <row r="880">
      <c r="A880" s="7" t="inlineStr">
        <is>
          <t>2011-02-22</t>
        </is>
      </c>
      <c r="B880" s="8" t="n"/>
      <c r="C880" s="8" t="n"/>
      <c r="D880" s="8" t="n"/>
      <c r="E880" s="8" t="n"/>
      <c r="F880" s="8" t="n"/>
      <c r="G880" s="8" t="n"/>
      <c r="H880" s="8" t="n">
        <v>11975</v>
      </c>
      <c r="I880" s="8" t="n">
        <v>12360</v>
      </c>
      <c r="J880" s="8" t="n">
        <v>12445</v>
      </c>
      <c r="K880" s="8" t="n">
        <v>11455</v>
      </c>
      <c r="L880" s="8" t="n">
        <v>764852</v>
      </c>
      <c r="M880" s="8" t="n">
        <v>237470</v>
      </c>
      <c r="N880" s="9" t="inlineStr">
        <is>
          <t>否</t>
        </is>
      </c>
      <c r="O880" t="inlineStr">
        <is>
          <t>缺 PP</t>
        </is>
      </c>
    </row>
    <row r="881">
      <c r="A881" s="7" t="inlineStr">
        <is>
          <t>2011-02-23</t>
        </is>
      </c>
      <c r="B881" s="8" t="n"/>
      <c r="C881" s="8" t="n"/>
      <c r="D881" s="8" t="n"/>
      <c r="E881" s="8" t="n"/>
      <c r="F881" s="8" t="n"/>
      <c r="G881" s="8" t="n"/>
      <c r="H881" s="8" t="n">
        <v>11640</v>
      </c>
      <c r="I881" s="8" t="n">
        <v>11750</v>
      </c>
      <c r="J881" s="8" t="n">
        <v>11835</v>
      </c>
      <c r="K881" s="8" t="n">
        <v>11600</v>
      </c>
      <c r="L881" s="8" t="n">
        <v>500280</v>
      </c>
      <c r="M881" s="8" t="n">
        <v>222638</v>
      </c>
      <c r="N881" s="9" t="inlineStr">
        <is>
          <t>否</t>
        </is>
      </c>
      <c r="O881" t="inlineStr">
        <is>
          <t>缺 PP</t>
        </is>
      </c>
    </row>
    <row r="882">
      <c r="A882" s="7" t="inlineStr">
        <is>
          <t>2011-02-24</t>
        </is>
      </c>
      <c r="B882" s="8" t="n"/>
      <c r="C882" s="8" t="n"/>
      <c r="D882" s="8" t="n"/>
      <c r="E882" s="8" t="n"/>
      <c r="F882" s="8" t="n"/>
      <c r="G882" s="8" t="n"/>
      <c r="H882" s="8" t="n">
        <v>11590</v>
      </c>
      <c r="I882" s="8" t="n">
        <v>11795</v>
      </c>
      <c r="J882" s="8" t="n">
        <v>11825</v>
      </c>
      <c r="K882" s="8" t="n">
        <v>11490</v>
      </c>
      <c r="L882" s="8" t="n">
        <v>470308</v>
      </c>
      <c r="M882" s="8" t="n">
        <v>218114</v>
      </c>
      <c r="N882" s="9" t="inlineStr">
        <is>
          <t>否</t>
        </is>
      </c>
      <c r="O882" t="inlineStr">
        <is>
          <t>缺 PP</t>
        </is>
      </c>
    </row>
    <row r="883">
      <c r="A883" s="7" t="inlineStr">
        <is>
          <t>2011-02-25</t>
        </is>
      </c>
      <c r="B883" s="8" t="n"/>
      <c r="C883" s="8" t="n"/>
      <c r="D883" s="8" t="n"/>
      <c r="E883" s="8" t="n"/>
      <c r="F883" s="8" t="n"/>
      <c r="G883" s="8" t="n"/>
      <c r="H883" s="8" t="n">
        <v>11675</v>
      </c>
      <c r="I883" s="8" t="n">
        <v>11600</v>
      </c>
      <c r="J883" s="8" t="n">
        <v>11740</v>
      </c>
      <c r="K883" s="8" t="n">
        <v>11480</v>
      </c>
      <c r="L883" s="8" t="n">
        <v>493078</v>
      </c>
      <c r="M883" s="8" t="n">
        <v>217182</v>
      </c>
      <c r="N883" s="9" t="inlineStr">
        <is>
          <t>否</t>
        </is>
      </c>
      <c r="O883" t="inlineStr">
        <is>
          <t>缺 PP</t>
        </is>
      </c>
    </row>
    <row r="884">
      <c r="A884" s="7" t="inlineStr">
        <is>
          <t>2011-02-28</t>
        </is>
      </c>
      <c r="B884" s="8" t="n"/>
      <c r="C884" s="8" t="n"/>
      <c r="D884" s="8" t="n"/>
      <c r="E884" s="8" t="n"/>
      <c r="F884" s="8" t="n"/>
      <c r="G884" s="8" t="n"/>
      <c r="H884" s="8" t="n">
        <v>11850</v>
      </c>
      <c r="I884" s="8" t="n">
        <v>11770</v>
      </c>
      <c r="J884" s="8" t="n">
        <v>11860</v>
      </c>
      <c r="K884" s="8" t="n">
        <v>11680</v>
      </c>
      <c r="L884" s="8" t="n">
        <v>365450</v>
      </c>
      <c r="M884" s="8" t="n">
        <v>212128</v>
      </c>
      <c r="N884" s="9" t="inlineStr">
        <is>
          <t>否</t>
        </is>
      </c>
      <c r="O884" t="inlineStr">
        <is>
          <t>缺 PP</t>
        </is>
      </c>
    </row>
    <row r="885">
      <c r="A885" s="7" t="inlineStr">
        <is>
          <t>2011-03-01</t>
        </is>
      </c>
      <c r="B885" s="8" t="n"/>
      <c r="C885" s="8" t="n"/>
      <c r="D885" s="8" t="n"/>
      <c r="E885" s="8" t="n"/>
      <c r="F885" s="8" t="n"/>
      <c r="G885" s="8" t="n"/>
      <c r="H885" s="8" t="n">
        <v>11790</v>
      </c>
      <c r="I885" s="8" t="n">
        <v>11835</v>
      </c>
      <c r="J885" s="8" t="n">
        <v>11870</v>
      </c>
      <c r="K885" s="8" t="n">
        <v>11720</v>
      </c>
      <c r="L885" s="8" t="n">
        <v>347186</v>
      </c>
      <c r="M885" s="8" t="n">
        <v>217252</v>
      </c>
      <c r="N885" s="9" t="inlineStr">
        <is>
          <t>否</t>
        </is>
      </c>
      <c r="O885" t="inlineStr">
        <is>
          <t>缺 PP</t>
        </is>
      </c>
    </row>
    <row r="886">
      <c r="A886" s="7" t="inlineStr">
        <is>
          <t>2011-03-02</t>
        </is>
      </c>
      <c r="B886" s="8" t="n"/>
      <c r="C886" s="8" t="n"/>
      <c r="D886" s="8" t="n"/>
      <c r="E886" s="8" t="n"/>
      <c r="F886" s="8" t="n"/>
      <c r="G886" s="8" t="n"/>
      <c r="H886" s="8" t="n">
        <v>11875</v>
      </c>
      <c r="I886" s="8" t="n">
        <v>11820</v>
      </c>
      <c r="J886" s="8" t="n">
        <v>11925</v>
      </c>
      <c r="K886" s="8" t="n">
        <v>11785</v>
      </c>
      <c r="L886" s="8" t="n">
        <v>336400</v>
      </c>
      <c r="M886" s="8" t="n">
        <v>202510</v>
      </c>
      <c r="N886" s="9" t="inlineStr">
        <is>
          <t>否</t>
        </is>
      </c>
      <c r="O886" t="inlineStr">
        <is>
          <t>缺 PP</t>
        </is>
      </c>
    </row>
    <row r="887">
      <c r="A887" s="7" t="inlineStr">
        <is>
          <t>2011-03-03</t>
        </is>
      </c>
      <c r="B887" s="8" t="n"/>
      <c r="C887" s="8" t="n"/>
      <c r="D887" s="8" t="n"/>
      <c r="E887" s="8" t="n"/>
      <c r="F887" s="8" t="n"/>
      <c r="G887" s="8" t="n"/>
      <c r="H887" s="8" t="n">
        <v>11900</v>
      </c>
      <c r="I887" s="8" t="n">
        <v>11910</v>
      </c>
      <c r="J887" s="8" t="n">
        <v>12150</v>
      </c>
      <c r="K887" s="8" t="n">
        <v>11830</v>
      </c>
      <c r="L887" s="8" t="n">
        <v>487398</v>
      </c>
      <c r="M887" s="8" t="n">
        <v>200470</v>
      </c>
      <c r="N887" s="9" t="inlineStr">
        <is>
          <t>否</t>
        </is>
      </c>
      <c r="O887" t="inlineStr">
        <is>
          <t>缺 PP</t>
        </is>
      </c>
    </row>
    <row r="888">
      <c r="A888" s="7" t="inlineStr">
        <is>
          <t>2011-03-04</t>
        </is>
      </c>
      <c r="B888" s="8" t="n"/>
      <c r="C888" s="8" t="n"/>
      <c r="D888" s="8" t="n"/>
      <c r="E888" s="8" t="n"/>
      <c r="F888" s="8" t="n"/>
      <c r="G888" s="8" t="n"/>
      <c r="H888" s="8" t="n">
        <v>11930</v>
      </c>
      <c r="I888" s="8" t="n">
        <v>11960</v>
      </c>
      <c r="J888" s="8" t="n">
        <v>12055</v>
      </c>
      <c r="K888" s="8" t="n">
        <v>11795</v>
      </c>
      <c r="L888" s="8" t="n">
        <v>366268</v>
      </c>
      <c r="M888" s="8" t="n">
        <v>194928</v>
      </c>
      <c r="N888" s="9" t="inlineStr">
        <is>
          <t>否</t>
        </is>
      </c>
      <c r="O888" t="inlineStr">
        <is>
          <t>缺 PP</t>
        </is>
      </c>
    </row>
    <row r="889">
      <c r="A889" s="7" t="inlineStr">
        <is>
          <t>2011-03-07</t>
        </is>
      </c>
      <c r="B889" s="8" t="n"/>
      <c r="C889" s="8" t="n"/>
      <c r="D889" s="8" t="n"/>
      <c r="E889" s="8" t="n"/>
      <c r="F889" s="8" t="n"/>
      <c r="G889" s="8" t="n"/>
      <c r="H889" s="8" t="n">
        <v>12095</v>
      </c>
      <c r="I889" s="8" t="n">
        <v>11980</v>
      </c>
      <c r="J889" s="8" t="n">
        <v>12115</v>
      </c>
      <c r="K889" s="8" t="n">
        <v>11955</v>
      </c>
      <c r="L889" s="8" t="n">
        <v>362538</v>
      </c>
      <c r="M889" s="8" t="n">
        <v>185874</v>
      </c>
      <c r="N889" s="9" t="inlineStr">
        <is>
          <t>否</t>
        </is>
      </c>
      <c r="O889" t="inlineStr">
        <is>
          <t>缺 PP</t>
        </is>
      </c>
    </row>
    <row r="890">
      <c r="A890" s="7" t="inlineStr">
        <is>
          <t>2011-03-08</t>
        </is>
      </c>
      <c r="B890" s="8" t="n"/>
      <c r="C890" s="8" t="n"/>
      <c r="D890" s="8" t="n"/>
      <c r="E890" s="8" t="n"/>
      <c r="F890" s="8" t="n"/>
      <c r="G890" s="8" t="n"/>
      <c r="H890" s="8" t="n">
        <v>11880</v>
      </c>
      <c r="I890" s="8" t="n">
        <v>11995</v>
      </c>
      <c r="J890" s="8" t="n">
        <v>12025</v>
      </c>
      <c r="K890" s="8" t="n">
        <v>11750</v>
      </c>
      <c r="L890" s="8" t="n">
        <v>419794</v>
      </c>
      <c r="M890" s="8" t="n">
        <v>173238</v>
      </c>
      <c r="N890" s="9" t="inlineStr">
        <is>
          <t>否</t>
        </is>
      </c>
      <c r="O890" t="inlineStr">
        <is>
          <t>缺 PP</t>
        </is>
      </c>
    </row>
    <row r="891">
      <c r="A891" s="7" t="inlineStr">
        <is>
          <t>2011-03-09</t>
        </is>
      </c>
      <c r="B891" s="8" t="n"/>
      <c r="C891" s="8" t="n"/>
      <c r="D891" s="8" t="n"/>
      <c r="E891" s="8" t="n"/>
      <c r="F891" s="8" t="n"/>
      <c r="G891" s="8" t="n"/>
      <c r="H891" s="8" t="n">
        <v>11910</v>
      </c>
      <c r="I891" s="8" t="n">
        <v>11920</v>
      </c>
      <c r="J891" s="8" t="n">
        <v>11950</v>
      </c>
      <c r="K891" s="8" t="n">
        <v>11860</v>
      </c>
      <c r="L891" s="8" t="n">
        <v>215624</v>
      </c>
      <c r="M891" s="8" t="n">
        <v>162316</v>
      </c>
      <c r="N891" s="9" t="inlineStr">
        <is>
          <t>否</t>
        </is>
      </c>
      <c r="O891" t="inlineStr">
        <is>
          <t>缺 PP</t>
        </is>
      </c>
    </row>
    <row r="892">
      <c r="A892" s="7" t="inlineStr">
        <is>
          <t>2011-03-10</t>
        </is>
      </c>
      <c r="B892" s="8" t="n"/>
      <c r="C892" s="8" t="n"/>
      <c r="D892" s="8" t="n"/>
      <c r="E892" s="8" t="n"/>
      <c r="F892" s="8" t="n"/>
      <c r="G892" s="8" t="n"/>
      <c r="H892" s="8" t="n">
        <v>11675</v>
      </c>
      <c r="I892" s="8" t="n">
        <v>11830</v>
      </c>
      <c r="J892" s="8" t="n">
        <v>11860</v>
      </c>
      <c r="K892" s="8" t="n">
        <v>11630</v>
      </c>
      <c r="L892" s="8" t="n">
        <v>271920</v>
      </c>
      <c r="M892" s="8" t="n">
        <v>161650</v>
      </c>
      <c r="N892" s="9" t="inlineStr">
        <is>
          <t>否</t>
        </is>
      </c>
      <c r="O892" t="inlineStr">
        <is>
          <t>缺 PP</t>
        </is>
      </c>
    </row>
    <row r="893">
      <c r="A893" s="7" t="inlineStr">
        <is>
          <t>2011-03-11</t>
        </is>
      </c>
      <c r="B893" s="8" t="n"/>
      <c r="C893" s="8" t="n"/>
      <c r="D893" s="8" t="n"/>
      <c r="E893" s="8" t="n"/>
      <c r="F893" s="8" t="n"/>
      <c r="G893" s="8" t="n"/>
      <c r="H893" s="8" t="n">
        <v>11585</v>
      </c>
      <c r="I893" s="8" t="n">
        <v>11605</v>
      </c>
      <c r="J893" s="8" t="n">
        <v>11680</v>
      </c>
      <c r="K893" s="8" t="n">
        <v>11510</v>
      </c>
      <c r="L893" s="8" t="n">
        <v>245638</v>
      </c>
      <c r="M893" s="8" t="n">
        <v>145452</v>
      </c>
      <c r="N893" s="9" t="inlineStr">
        <is>
          <t>否</t>
        </is>
      </c>
      <c r="O893" t="inlineStr">
        <is>
          <t>缺 PP</t>
        </is>
      </c>
    </row>
    <row r="894">
      <c r="A894" s="7" t="inlineStr">
        <is>
          <t>2011-03-14</t>
        </is>
      </c>
      <c r="B894" s="8" t="n"/>
      <c r="C894" s="8" t="n"/>
      <c r="D894" s="8" t="n"/>
      <c r="E894" s="8" t="n"/>
      <c r="F894" s="8" t="n"/>
      <c r="G894" s="8" t="n"/>
      <c r="H894" s="8" t="n">
        <v>11500</v>
      </c>
      <c r="I894" s="8" t="n">
        <v>11590</v>
      </c>
      <c r="J894" s="8" t="n">
        <v>11895</v>
      </c>
      <c r="K894" s="8" t="n">
        <v>11285</v>
      </c>
      <c r="L894" s="8" t="n">
        <v>325454</v>
      </c>
      <c r="M894" s="8" t="n">
        <v>120456</v>
      </c>
      <c r="N894" s="9" t="inlineStr">
        <is>
          <t>否</t>
        </is>
      </c>
      <c r="O894" t="inlineStr">
        <is>
          <t>缺 PP</t>
        </is>
      </c>
    </row>
    <row r="895">
      <c r="A895" s="7" t="inlineStr">
        <is>
          <t>2011-03-15</t>
        </is>
      </c>
      <c r="B895" s="8" t="n"/>
      <c r="C895" s="8" t="n"/>
      <c r="D895" s="8" t="n"/>
      <c r="E895" s="8" t="n"/>
      <c r="F895" s="8" t="n"/>
      <c r="G895" s="8" t="n"/>
      <c r="H895" s="8" t="n">
        <v>11385</v>
      </c>
      <c r="I895" s="8" t="n">
        <v>11500</v>
      </c>
      <c r="J895" s="8" t="n">
        <v>11575</v>
      </c>
      <c r="K895" s="8" t="n">
        <v>11320</v>
      </c>
      <c r="L895" s="8" t="n">
        <v>284036</v>
      </c>
      <c r="M895" s="8" t="n">
        <v>125578</v>
      </c>
      <c r="N895" s="9" t="inlineStr">
        <is>
          <t>否</t>
        </is>
      </c>
      <c r="O895" t="inlineStr">
        <is>
          <t>缺 PP</t>
        </is>
      </c>
    </row>
    <row r="896">
      <c r="A896" s="7" t="inlineStr">
        <is>
          <t>2011-03-16</t>
        </is>
      </c>
      <c r="B896" s="8" t="n"/>
      <c r="C896" s="8" t="n"/>
      <c r="D896" s="8" t="n"/>
      <c r="E896" s="8" t="n"/>
      <c r="F896" s="8" t="n"/>
      <c r="G896" s="8" t="n"/>
      <c r="H896" s="8" t="n">
        <v>11425</v>
      </c>
      <c r="I896" s="8" t="n">
        <v>11380</v>
      </c>
      <c r="J896" s="8" t="n">
        <v>11430</v>
      </c>
      <c r="K896" s="8" t="n">
        <v>11170</v>
      </c>
      <c r="L896" s="8" t="n">
        <v>244740</v>
      </c>
      <c r="M896" s="8" t="n">
        <v>116572</v>
      </c>
      <c r="N896" s="9" t="inlineStr">
        <is>
          <t>否</t>
        </is>
      </c>
      <c r="O896" t="inlineStr">
        <is>
          <t>缺 PP</t>
        </is>
      </c>
    </row>
    <row r="897">
      <c r="A897" s="7" t="inlineStr">
        <is>
          <t>2011-03-17</t>
        </is>
      </c>
      <c r="B897" s="8" t="n"/>
      <c r="C897" s="8" t="n"/>
      <c r="D897" s="8" t="n"/>
      <c r="E897" s="8" t="n"/>
      <c r="F897" s="8" t="n"/>
      <c r="G897" s="8" t="n"/>
      <c r="H897" s="8" t="n">
        <v>11340</v>
      </c>
      <c r="I897" s="8" t="n">
        <v>11370</v>
      </c>
      <c r="J897" s="8" t="n">
        <v>11450</v>
      </c>
      <c r="K897" s="8" t="n">
        <v>11315</v>
      </c>
      <c r="L897" s="8" t="n">
        <v>187584</v>
      </c>
      <c r="M897" s="8" t="n">
        <v>119804</v>
      </c>
      <c r="N897" s="9" t="inlineStr">
        <is>
          <t>否</t>
        </is>
      </c>
      <c r="O897" t="inlineStr">
        <is>
          <t>缺 PP</t>
        </is>
      </c>
    </row>
    <row r="898">
      <c r="A898" s="7" t="inlineStr">
        <is>
          <t>2011-03-18</t>
        </is>
      </c>
      <c r="B898" s="8" t="n"/>
      <c r="C898" s="8" t="n"/>
      <c r="D898" s="8" t="n"/>
      <c r="E898" s="8" t="n"/>
      <c r="F898" s="8" t="n"/>
      <c r="G898" s="8" t="n"/>
      <c r="H898" s="8" t="n">
        <v>11475</v>
      </c>
      <c r="I898" s="8" t="n">
        <v>11510</v>
      </c>
      <c r="J898" s="8" t="n">
        <v>11565</v>
      </c>
      <c r="K898" s="8" t="n">
        <v>11430</v>
      </c>
      <c r="L898" s="8" t="n">
        <v>145496</v>
      </c>
      <c r="M898" s="8" t="n">
        <v>117194</v>
      </c>
      <c r="N898" s="9" t="inlineStr">
        <is>
          <t>否</t>
        </is>
      </c>
      <c r="O898" t="inlineStr">
        <is>
          <t>缺 PP</t>
        </is>
      </c>
    </row>
    <row r="899">
      <c r="A899" s="7" t="inlineStr">
        <is>
          <t>2011-03-21</t>
        </is>
      </c>
      <c r="B899" s="8" t="n"/>
      <c r="C899" s="8" t="n"/>
      <c r="D899" s="8" t="n"/>
      <c r="E899" s="8" t="n"/>
      <c r="F899" s="8" t="n"/>
      <c r="G899" s="8" t="n"/>
      <c r="H899" s="8" t="n">
        <v>11395</v>
      </c>
      <c r="I899" s="8" t="n">
        <v>11550</v>
      </c>
      <c r="J899" s="8" t="n">
        <v>11570</v>
      </c>
      <c r="K899" s="8" t="n">
        <v>11340</v>
      </c>
      <c r="L899" s="8" t="n">
        <v>155350</v>
      </c>
      <c r="M899" s="8" t="n">
        <v>124138</v>
      </c>
      <c r="N899" s="9" t="inlineStr">
        <is>
          <t>否</t>
        </is>
      </c>
      <c r="O899" t="inlineStr">
        <is>
          <t>缺 PP</t>
        </is>
      </c>
    </row>
    <row r="900">
      <c r="A900" s="7" t="inlineStr">
        <is>
          <t>2011-03-22</t>
        </is>
      </c>
      <c r="B900" s="8" t="n"/>
      <c r="C900" s="8" t="n"/>
      <c r="D900" s="8" t="n"/>
      <c r="E900" s="8" t="n"/>
      <c r="F900" s="8" t="n"/>
      <c r="G900" s="8" t="n"/>
      <c r="H900" s="8" t="n">
        <v>12030</v>
      </c>
      <c r="I900" s="8" t="n">
        <v>11940</v>
      </c>
      <c r="J900" s="8" t="n">
        <v>12050</v>
      </c>
      <c r="K900" s="8" t="n">
        <v>11820</v>
      </c>
      <c r="L900" s="8" t="n">
        <v>152242</v>
      </c>
      <c r="M900" s="8" t="n">
        <v>86094</v>
      </c>
      <c r="N900" s="9" t="inlineStr">
        <is>
          <t>否</t>
        </is>
      </c>
      <c r="O900" t="inlineStr">
        <is>
          <t>缺 PP</t>
        </is>
      </c>
    </row>
    <row r="901">
      <c r="A901" s="7" t="inlineStr">
        <is>
          <t>2011-03-23</t>
        </is>
      </c>
      <c r="B901" s="8" t="n"/>
      <c r="C901" s="8" t="n"/>
      <c r="D901" s="8" t="n"/>
      <c r="E901" s="8" t="n"/>
      <c r="F901" s="8" t="n"/>
      <c r="G901" s="8" t="n"/>
      <c r="H901" s="8" t="n">
        <v>12145</v>
      </c>
      <c r="I901" s="8" t="n">
        <v>12060</v>
      </c>
      <c r="J901" s="8" t="n">
        <v>12175</v>
      </c>
      <c r="K901" s="8" t="n">
        <v>12040</v>
      </c>
      <c r="L901" s="8" t="n">
        <v>160470</v>
      </c>
      <c r="M901" s="8" t="n">
        <v>97282</v>
      </c>
      <c r="N901" s="9" t="inlineStr">
        <is>
          <t>否</t>
        </is>
      </c>
      <c r="O901" t="inlineStr">
        <is>
          <t>缺 PP</t>
        </is>
      </c>
    </row>
    <row r="902">
      <c r="A902" s="7" t="inlineStr">
        <is>
          <t>2011-03-24</t>
        </is>
      </c>
      <c r="B902" s="8" t="n"/>
      <c r="C902" s="8" t="n"/>
      <c r="D902" s="8" t="n"/>
      <c r="E902" s="8" t="n"/>
      <c r="F902" s="8" t="n"/>
      <c r="G902" s="8" t="n"/>
      <c r="H902" s="8" t="n">
        <v>12055</v>
      </c>
      <c r="I902" s="8" t="n">
        <v>12160</v>
      </c>
      <c r="J902" s="8" t="n">
        <v>12200</v>
      </c>
      <c r="K902" s="8" t="n">
        <v>12015</v>
      </c>
      <c r="L902" s="8" t="n">
        <v>160154</v>
      </c>
      <c r="M902" s="8" t="n">
        <v>96786</v>
      </c>
      <c r="N902" s="9" t="inlineStr">
        <is>
          <t>否</t>
        </is>
      </c>
      <c r="O902" t="inlineStr">
        <is>
          <t>缺 PP</t>
        </is>
      </c>
    </row>
    <row r="903">
      <c r="A903" s="7" t="inlineStr">
        <is>
          <t>2011-03-25</t>
        </is>
      </c>
      <c r="B903" s="8" t="n"/>
      <c r="C903" s="8" t="n"/>
      <c r="D903" s="8" t="n"/>
      <c r="E903" s="8" t="n"/>
      <c r="F903" s="8" t="n"/>
      <c r="G903" s="8" t="n"/>
      <c r="H903" s="8" t="n">
        <v>12070</v>
      </c>
      <c r="I903" s="8" t="n">
        <v>12080</v>
      </c>
      <c r="J903" s="8" t="n">
        <v>12145</v>
      </c>
      <c r="K903" s="8" t="n">
        <v>12005</v>
      </c>
      <c r="L903" s="8" t="n">
        <v>168720</v>
      </c>
      <c r="M903" s="8" t="n">
        <v>100862</v>
      </c>
      <c r="N903" s="9" t="inlineStr">
        <is>
          <t>否</t>
        </is>
      </c>
      <c r="O903" t="inlineStr">
        <is>
          <t>缺 PP</t>
        </is>
      </c>
    </row>
    <row r="904">
      <c r="A904" s="7" t="inlineStr">
        <is>
          <t>2011-03-28</t>
        </is>
      </c>
      <c r="B904" s="8" t="n"/>
      <c r="C904" s="8" t="n"/>
      <c r="D904" s="8" t="n"/>
      <c r="E904" s="8" t="n"/>
      <c r="F904" s="8" t="n"/>
      <c r="G904" s="8" t="n"/>
      <c r="H904" s="8" t="n">
        <v>11830</v>
      </c>
      <c r="I904" s="8" t="n">
        <v>12065</v>
      </c>
      <c r="J904" s="8" t="n">
        <v>12090</v>
      </c>
      <c r="K904" s="8" t="n">
        <v>11760</v>
      </c>
      <c r="L904" s="8" t="n">
        <v>255426</v>
      </c>
      <c r="M904" s="8" t="n">
        <v>114018</v>
      </c>
      <c r="N904" s="9" t="inlineStr">
        <is>
          <t>否</t>
        </is>
      </c>
      <c r="O904" t="inlineStr">
        <is>
          <t>缺 PP</t>
        </is>
      </c>
    </row>
    <row r="905">
      <c r="A905" s="7" t="inlineStr">
        <is>
          <t>2011-03-29</t>
        </is>
      </c>
      <c r="B905" s="8" t="n"/>
      <c r="C905" s="8" t="n"/>
      <c r="D905" s="8" t="n"/>
      <c r="E905" s="8" t="n"/>
      <c r="F905" s="8" t="n"/>
      <c r="G905" s="8" t="n"/>
      <c r="H905" s="8" t="n">
        <v>11740</v>
      </c>
      <c r="I905" s="8" t="n">
        <v>11765</v>
      </c>
      <c r="J905" s="8" t="n">
        <v>11810</v>
      </c>
      <c r="K905" s="8" t="n">
        <v>11690</v>
      </c>
      <c r="L905" s="8" t="n">
        <v>228576</v>
      </c>
      <c r="M905" s="8" t="n">
        <v>121112</v>
      </c>
      <c r="N905" s="9" t="inlineStr">
        <is>
          <t>否</t>
        </is>
      </c>
      <c r="O905" t="inlineStr">
        <is>
          <t>缺 PP</t>
        </is>
      </c>
    </row>
    <row r="906">
      <c r="A906" s="7" t="inlineStr">
        <is>
          <t>2011-03-30</t>
        </is>
      </c>
      <c r="B906" s="8" t="n"/>
      <c r="C906" s="8" t="n"/>
      <c r="D906" s="8" t="n"/>
      <c r="E906" s="8" t="n"/>
      <c r="F906" s="8" t="n"/>
      <c r="G906" s="8" t="n"/>
      <c r="H906" s="8" t="n">
        <v>11695</v>
      </c>
      <c r="I906" s="8" t="n">
        <v>11760</v>
      </c>
      <c r="J906" s="8" t="n">
        <v>11795</v>
      </c>
      <c r="K906" s="8" t="n">
        <v>11580</v>
      </c>
      <c r="L906" s="8" t="n">
        <v>404154</v>
      </c>
      <c r="M906" s="8" t="n">
        <v>126644</v>
      </c>
      <c r="N906" s="9" t="inlineStr">
        <is>
          <t>否</t>
        </is>
      </c>
      <c r="O906" t="inlineStr">
        <is>
          <t>缺 PP</t>
        </is>
      </c>
    </row>
    <row r="907">
      <c r="A907" s="7" t="inlineStr">
        <is>
          <t>2011-03-31</t>
        </is>
      </c>
      <c r="B907" s="8" t="n"/>
      <c r="C907" s="8" t="n"/>
      <c r="D907" s="8" t="n"/>
      <c r="E907" s="8" t="n"/>
      <c r="F907" s="8" t="n"/>
      <c r="G907" s="8" t="n"/>
      <c r="H907" s="8" t="n">
        <v>11695</v>
      </c>
      <c r="I907" s="8" t="n">
        <v>11680</v>
      </c>
      <c r="J907" s="8" t="n">
        <v>11775</v>
      </c>
      <c r="K907" s="8" t="n">
        <v>11615</v>
      </c>
      <c r="L907" s="8" t="n">
        <v>293600</v>
      </c>
      <c r="M907" s="8" t="n">
        <v>129188</v>
      </c>
      <c r="N907" s="9" t="inlineStr">
        <is>
          <t>否</t>
        </is>
      </c>
      <c r="O907" t="inlineStr">
        <is>
          <t>缺 PP</t>
        </is>
      </c>
    </row>
    <row r="908">
      <c r="A908" s="7" t="inlineStr">
        <is>
          <t>2011-04-01</t>
        </is>
      </c>
      <c r="B908" s="8" t="n"/>
      <c r="C908" s="8" t="n"/>
      <c r="D908" s="8" t="n"/>
      <c r="E908" s="8" t="n"/>
      <c r="F908" s="8" t="n"/>
      <c r="G908" s="8" t="n"/>
      <c r="H908" s="8" t="n">
        <v>11485</v>
      </c>
      <c r="I908" s="8" t="n">
        <v>11800</v>
      </c>
      <c r="J908" s="8" t="n">
        <v>11810</v>
      </c>
      <c r="K908" s="8" t="n">
        <v>11430</v>
      </c>
      <c r="L908" s="8" t="n">
        <v>374894</v>
      </c>
      <c r="M908" s="8" t="n">
        <v>157452</v>
      </c>
      <c r="N908" s="9" t="inlineStr">
        <is>
          <t>否</t>
        </is>
      </c>
      <c r="O908" t="inlineStr">
        <is>
          <t>缺 PP</t>
        </is>
      </c>
    </row>
    <row r="909">
      <c r="A909" s="7" t="inlineStr">
        <is>
          <t>2011-04-06</t>
        </is>
      </c>
      <c r="B909" s="8" t="n"/>
      <c r="C909" s="8" t="n"/>
      <c r="D909" s="8" t="n"/>
      <c r="E909" s="8" t="n"/>
      <c r="F909" s="8" t="n"/>
      <c r="G909" s="8" t="n"/>
      <c r="H909" s="8" t="n">
        <v>11605</v>
      </c>
      <c r="I909" s="8" t="n">
        <v>11505</v>
      </c>
      <c r="J909" s="8" t="n">
        <v>11620</v>
      </c>
      <c r="K909" s="8" t="n">
        <v>11485</v>
      </c>
      <c r="L909" s="8" t="n">
        <v>263136</v>
      </c>
      <c r="M909" s="8" t="n">
        <v>150232</v>
      </c>
      <c r="N909" s="9" t="inlineStr">
        <is>
          <t>否</t>
        </is>
      </c>
      <c r="O909" t="inlineStr">
        <is>
          <t>缺 PP</t>
        </is>
      </c>
    </row>
    <row r="910">
      <c r="A910" s="7" t="inlineStr">
        <is>
          <t>2011-04-07</t>
        </is>
      </c>
      <c r="B910" s="8" t="n"/>
      <c r="C910" s="8" t="n"/>
      <c r="D910" s="8" t="n"/>
      <c r="E910" s="8" t="n"/>
      <c r="F910" s="8" t="n"/>
      <c r="G910" s="8" t="n"/>
      <c r="H910" s="8" t="n">
        <v>11635</v>
      </c>
      <c r="I910" s="8" t="n">
        <v>11610</v>
      </c>
      <c r="J910" s="8" t="n">
        <v>11695</v>
      </c>
      <c r="K910" s="8" t="n">
        <v>11605</v>
      </c>
      <c r="L910" s="8" t="n">
        <v>249710</v>
      </c>
      <c r="M910" s="8" t="n">
        <v>160342</v>
      </c>
      <c r="N910" s="9" t="inlineStr">
        <is>
          <t>否</t>
        </is>
      </c>
      <c r="O910" t="inlineStr">
        <is>
          <t>缺 PP</t>
        </is>
      </c>
    </row>
    <row r="911">
      <c r="A911" s="7" t="inlineStr">
        <is>
          <t>2011-04-08</t>
        </is>
      </c>
      <c r="B911" s="8" t="n"/>
      <c r="C911" s="8" t="n"/>
      <c r="D911" s="8" t="n"/>
      <c r="E911" s="8" t="n"/>
      <c r="F911" s="8" t="n"/>
      <c r="G911" s="8" t="n"/>
      <c r="H911" s="8" t="n">
        <v>11840</v>
      </c>
      <c r="I911" s="8" t="n">
        <v>11650</v>
      </c>
      <c r="J911" s="8" t="n">
        <v>11855</v>
      </c>
      <c r="K911" s="8" t="n">
        <v>11640</v>
      </c>
      <c r="L911" s="8" t="n">
        <v>327238</v>
      </c>
      <c r="M911" s="8" t="n">
        <v>171378</v>
      </c>
      <c r="N911" s="9" t="inlineStr">
        <is>
          <t>否</t>
        </is>
      </c>
      <c r="O911" t="inlineStr">
        <is>
          <t>缺 PP</t>
        </is>
      </c>
    </row>
    <row r="912">
      <c r="A912" s="7" t="inlineStr">
        <is>
          <t>2011-04-11</t>
        </is>
      </c>
      <c r="B912" s="8" t="n"/>
      <c r="C912" s="8" t="n"/>
      <c r="D912" s="8" t="n"/>
      <c r="E912" s="8" t="n"/>
      <c r="F912" s="8" t="n"/>
      <c r="G912" s="8" t="n"/>
      <c r="H912" s="8" t="n">
        <v>11925</v>
      </c>
      <c r="I912" s="8" t="n">
        <v>11910</v>
      </c>
      <c r="J912" s="8" t="n">
        <v>12085</v>
      </c>
      <c r="K912" s="8" t="n">
        <v>11890</v>
      </c>
      <c r="L912" s="8" t="n">
        <v>474670</v>
      </c>
      <c r="M912" s="8" t="n">
        <v>169618</v>
      </c>
      <c r="N912" s="9" t="inlineStr">
        <is>
          <t>否</t>
        </is>
      </c>
      <c r="O912" t="inlineStr">
        <is>
          <t>缺 PP</t>
        </is>
      </c>
    </row>
    <row r="913">
      <c r="A913" s="7" t="inlineStr">
        <is>
          <t>2011-04-12</t>
        </is>
      </c>
      <c r="B913" s="8" t="n"/>
      <c r="C913" s="8" t="n"/>
      <c r="D913" s="8" t="n"/>
      <c r="E913" s="8" t="n"/>
      <c r="F913" s="8" t="n"/>
      <c r="G913" s="8" t="n"/>
      <c r="H913" s="8" t="n">
        <v>12000</v>
      </c>
      <c r="I913" s="8" t="n">
        <v>11800</v>
      </c>
      <c r="J913" s="8" t="n">
        <v>12110</v>
      </c>
      <c r="K913" s="8" t="n">
        <v>11780</v>
      </c>
      <c r="L913" s="8" t="n">
        <v>788324</v>
      </c>
      <c r="M913" s="8" t="n">
        <v>217010</v>
      </c>
      <c r="N913" s="9" t="inlineStr">
        <is>
          <t>否</t>
        </is>
      </c>
      <c r="O913" t="inlineStr">
        <is>
          <t>缺 PP</t>
        </is>
      </c>
    </row>
    <row r="914">
      <c r="A914" s="7" t="inlineStr">
        <is>
          <t>2011-04-13</t>
        </is>
      </c>
      <c r="B914" s="8" t="n"/>
      <c r="C914" s="8" t="n"/>
      <c r="D914" s="8" t="n"/>
      <c r="E914" s="8" t="n"/>
      <c r="F914" s="8" t="n"/>
      <c r="G914" s="8" t="n"/>
      <c r="H914" s="8" t="n">
        <v>12190</v>
      </c>
      <c r="I914" s="8" t="n">
        <v>11905</v>
      </c>
      <c r="J914" s="8" t="n">
        <v>12215</v>
      </c>
      <c r="K914" s="8" t="n">
        <v>11860</v>
      </c>
      <c r="L914" s="8" t="n">
        <v>1183366</v>
      </c>
      <c r="M914" s="8" t="n">
        <v>287806</v>
      </c>
      <c r="N914" s="9" t="inlineStr">
        <is>
          <t>否</t>
        </is>
      </c>
      <c r="O914" t="inlineStr">
        <is>
          <t>缺 PP</t>
        </is>
      </c>
    </row>
    <row r="915">
      <c r="A915" s="7" t="inlineStr">
        <is>
          <t>2011-04-14</t>
        </is>
      </c>
      <c r="B915" s="8" t="n"/>
      <c r="C915" s="8" t="n"/>
      <c r="D915" s="8" t="n"/>
      <c r="E915" s="8" t="n"/>
      <c r="F915" s="8" t="n"/>
      <c r="G915" s="8" t="n"/>
      <c r="H915" s="8" t="n">
        <v>11940</v>
      </c>
      <c r="I915" s="8" t="n">
        <v>12140</v>
      </c>
      <c r="J915" s="8" t="n">
        <v>12195</v>
      </c>
      <c r="K915" s="8" t="n">
        <v>11920</v>
      </c>
      <c r="L915" s="8" t="n">
        <v>894368</v>
      </c>
      <c r="M915" s="8" t="n">
        <v>229382</v>
      </c>
      <c r="N915" s="9" t="inlineStr">
        <is>
          <t>否</t>
        </is>
      </c>
      <c r="O915" t="inlineStr">
        <is>
          <t>缺 PP</t>
        </is>
      </c>
    </row>
    <row r="916">
      <c r="A916" s="7" t="inlineStr">
        <is>
          <t>2011-04-15</t>
        </is>
      </c>
      <c r="B916" s="8" t="n"/>
      <c r="C916" s="8" t="n"/>
      <c r="D916" s="8" t="n"/>
      <c r="E916" s="8" t="n"/>
      <c r="F916" s="8" t="n"/>
      <c r="G916" s="8" t="n"/>
      <c r="H916" s="8" t="n">
        <v>11800</v>
      </c>
      <c r="I916" s="8" t="n">
        <v>11995</v>
      </c>
      <c r="J916" s="8" t="n">
        <v>11995</v>
      </c>
      <c r="K916" s="8" t="n">
        <v>11755</v>
      </c>
      <c r="L916" s="8" t="n">
        <v>661460</v>
      </c>
      <c r="M916" s="8" t="n">
        <v>206704</v>
      </c>
      <c r="N916" s="9" t="inlineStr">
        <is>
          <t>否</t>
        </is>
      </c>
      <c r="O916" t="inlineStr">
        <is>
          <t>缺 PP</t>
        </is>
      </c>
    </row>
    <row r="917">
      <c r="A917" s="7" t="inlineStr">
        <is>
          <t>2011-04-18</t>
        </is>
      </c>
      <c r="B917" s="8" t="n"/>
      <c r="C917" s="8" t="n"/>
      <c r="D917" s="8" t="n"/>
      <c r="E917" s="8" t="n"/>
      <c r="F917" s="8" t="n"/>
      <c r="G917" s="8" t="n"/>
      <c r="H917" s="8" t="n">
        <v>11860</v>
      </c>
      <c r="I917" s="8" t="n">
        <v>11780</v>
      </c>
      <c r="J917" s="8" t="n">
        <v>11920</v>
      </c>
      <c r="K917" s="8" t="n">
        <v>11760</v>
      </c>
      <c r="L917" s="8" t="n">
        <v>516258</v>
      </c>
      <c r="M917" s="8" t="n">
        <v>208042</v>
      </c>
      <c r="N917" s="9" t="inlineStr">
        <is>
          <t>否</t>
        </is>
      </c>
      <c r="O917" t="inlineStr">
        <is>
          <t>缺 PP</t>
        </is>
      </c>
    </row>
    <row r="918">
      <c r="A918" s="7" t="inlineStr">
        <is>
          <t>2011-04-19</t>
        </is>
      </c>
      <c r="B918" s="8" t="n"/>
      <c r="C918" s="8" t="n"/>
      <c r="D918" s="8" t="n"/>
      <c r="E918" s="8" t="n"/>
      <c r="F918" s="8" t="n"/>
      <c r="G918" s="8" t="n"/>
      <c r="H918" s="8" t="n">
        <v>11650</v>
      </c>
      <c r="I918" s="8" t="n">
        <v>11860</v>
      </c>
      <c r="J918" s="8" t="n">
        <v>11870</v>
      </c>
      <c r="K918" s="8" t="n">
        <v>11620</v>
      </c>
      <c r="L918" s="8" t="n">
        <v>470616</v>
      </c>
      <c r="M918" s="8" t="n">
        <v>208986</v>
      </c>
      <c r="N918" s="9" t="inlineStr">
        <is>
          <t>否</t>
        </is>
      </c>
      <c r="O918" t="inlineStr">
        <is>
          <t>缺 PP</t>
        </is>
      </c>
    </row>
    <row r="919">
      <c r="A919" s="7" t="inlineStr">
        <is>
          <t>2011-04-20</t>
        </is>
      </c>
      <c r="B919" s="8" t="n"/>
      <c r="C919" s="8" t="n"/>
      <c r="D919" s="8" t="n"/>
      <c r="E919" s="8" t="n"/>
      <c r="F919" s="8" t="n"/>
      <c r="G919" s="8" t="n"/>
      <c r="H919" s="8" t="n">
        <v>11775</v>
      </c>
      <c r="I919" s="8" t="n">
        <v>11705</v>
      </c>
      <c r="J919" s="8" t="n">
        <v>11780</v>
      </c>
      <c r="K919" s="8" t="n">
        <v>11665</v>
      </c>
      <c r="L919" s="8" t="n">
        <v>328452</v>
      </c>
      <c r="M919" s="8" t="n">
        <v>195208</v>
      </c>
      <c r="N919" s="9" t="inlineStr">
        <is>
          <t>否</t>
        </is>
      </c>
      <c r="O919" t="inlineStr">
        <is>
          <t>缺 PP</t>
        </is>
      </c>
    </row>
    <row r="920">
      <c r="A920" s="7" t="inlineStr">
        <is>
          <t>2011-04-21</t>
        </is>
      </c>
      <c r="B920" s="8" t="n"/>
      <c r="C920" s="8" t="n"/>
      <c r="D920" s="8" t="n"/>
      <c r="E920" s="8" t="n"/>
      <c r="F920" s="8" t="n"/>
      <c r="G920" s="8" t="n"/>
      <c r="H920" s="8" t="n">
        <v>11890</v>
      </c>
      <c r="I920" s="8" t="n">
        <v>11820</v>
      </c>
      <c r="J920" s="8" t="n">
        <v>11940</v>
      </c>
      <c r="K920" s="8" t="n">
        <v>11820</v>
      </c>
      <c r="L920" s="8" t="n">
        <v>390180</v>
      </c>
      <c r="M920" s="8" t="n">
        <v>199116</v>
      </c>
      <c r="N920" s="9" t="inlineStr">
        <is>
          <t>否</t>
        </is>
      </c>
      <c r="O920" t="inlineStr">
        <is>
          <t>缺 PP</t>
        </is>
      </c>
    </row>
    <row r="921">
      <c r="A921" s="7" t="inlineStr">
        <is>
          <t>2011-04-22</t>
        </is>
      </c>
      <c r="B921" s="8" t="n"/>
      <c r="C921" s="8" t="n"/>
      <c r="D921" s="8" t="n"/>
      <c r="E921" s="8" t="n"/>
      <c r="F921" s="8" t="n"/>
      <c r="G921" s="8" t="n"/>
      <c r="H921" s="8" t="n">
        <v>11945</v>
      </c>
      <c r="I921" s="8" t="n">
        <v>11950</v>
      </c>
      <c r="J921" s="8" t="n">
        <v>12015</v>
      </c>
      <c r="K921" s="8" t="n">
        <v>11835</v>
      </c>
      <c r="L921" s="8" t="n">
        <v>506102</v>
      </c>
      <c r="M921" s="8" t="n">
        <v>198372</v>
      </c>
      <c r="N921" s="9" t="inlineStr">
        <is>
          <t>否</t>
        </is>
      </c>
      <c r="O921" t="inlineStr">
        <is>
          <t>缺 PP</t>
        </is>
      </c>
    </row>
    <row r="922">
      <c r="A922" s="7" t="inlineStr">
        <is>
          <t>2011-04-25</t>
        </is>
      </c>
      <c r="B922" s="8" t="n"/>
      <c r="C922" s="8" t="n"/>
      <c r="D922" s="8" t="n"/>
      <c r="E922" s="8" t="n"/>
      <c r="F922" s="8" t="n"/>
      <c r="G922" s="8" t="n"/>
      <c r="H922" s="8" t="n">
        <v>11930</v>
      </c>
      <c r="I922" s="8" t="n">
        <v>12000</v>
      </c>
      <c r="J922" s="8" t="n">
        <v>12065</v>
      </c>
      <c r="K922" s="8" t="n">
        <v>11905</v>
      </c>
      <c r="L922" s="8" t="n">
        <v>649506</v>
      </c>
      <c r="M922" s="8" t="n">
        <v>213016</v>
      </c>
      <c r="N922" s="9" t="inlineStr">
        <is>
          <t>否</t>
        </is>
      </c>
      <c r="O922" t="inlineStr">
        <is>
          <t>缺 PP</t>
        </is>
      </c>
    </row>
    <row r="923">
      <c r="A923" s="7" t="inlineStr">
        <is>
          <t>2011-04-26</t>
        </is>
      </c>
      <c r="B923" s="8" t="n"/>
      <c r="C923" s="8" t="n"/>
      <c r="D923" s="8" t="n"/>
      <c r="E923" s="8" t="n"/>
      <c r="F923" s="8" t="n"/>
      <c r="G923" s="8" t="n"/>
      <c r="H923" s="8" t="n">
        <v>11825</v>
      </c>
      <c r="I923" s="8" t="n">
        <v>11845</v>
      </c>
      <c r="J923" s="8" t="n">
        <v>11910</v>
      </c>
      <c r="K923" s="8" t="n">
        <v>11805</v>
      </c>
      <c r="L923" s="8" t="n">
        <v>418814</v>
      </c>
      <c r="M923" s="8" t="n">
        <v>219690</v>
      </c>
      <c r="N923" s="9" t="inlineStr">
        <is>
          <t>否</t>
        </is>
      </c>
      <c r="O923" t="inlineStr">
        <is>
          <t>缺 PP</t>
        </is>
      </c>
    </row>
    <row r="924">
      <c r="A924" s="7" t="inlineStr">
        <is>
          <t>2011-04-27</t>
        </is>
      </c>
      <c r="B924" s="8" t="n"/>
      <c r="C924" s="8" t="n"/>
      <c r="D924" s="8" t="n"/>
      <c r="E924" s="8" t="n"/>
      <c r="F924" s="8" t="n"/>
      <c r="G924" s="8" t="n"/>
      <c r="H924" s="8" t="n">
        <v>11740</v>
      </c>
      <c r="I924" s="8" t="n">
        <v>11875</v>
      </c>
      <c r="J924" s="8" t="n">
        <v>11890</v>
      </c>
      <c r="K924" s="8" t="n">
        <v>11710</v>
      </c>
      <c r="L924" s="8" t="n">
        <v>386638</v>
      </c>
      <c r="M924" s="8" t="n">
        <v>225756</v>
      </c>
      <c r="N924" s="9" t="inlineStr">
        <is>
          <t>否</t>
        </is>
      </c>
      <c r="O924" t="inlineStr">
        <is>
          <t>缺 PP</t>
        </is>
      </c>
    </row>
    <row r="925">
      <c r="A925" s="7" t="inlineStr">
        <is>
          <t>2011-04-28</t>
        </is>
      </c>
      <c r="B925" s="8" t="n"/>
      <c r="C925" s="8" t="n"/>
      <c r="D925" s="8" t="n"/>
      <c r="E925" s="8" t="n"/>
      <c r="F925" s="8" t="n"/>
      <c r="G925" s="8" t="n"/>
      <c r="H925" s="8" t="n">
        <v>11870</v>
      </c>
      <c r="I925" s="8" t="n">
        <v>11810</v>
      </c>
      <c r="J925" s="8" t="n">
        <v>11915</v>
      </c>
      <c r="K925" s="8" t="n">
        <v>11780</v>
      </c>
      <c r="L925" s="8" t="n">
        <v>362310</v>
      </c>
      <c r="M925" s="8" t="n">
        <v>206000</v>
      </c>
      <c r="N925" s="9" t="inlineStr">
        <is>
          <t>否</t>
        </is>
      </c>
      <c r="O925" t="inlineStr">
        <is>
          <t>缺 PP</t>
        </is>
      </c>
    </row>
    <row r="926">
      <c r="A926" s="7" t="inlineStr">
        <is>
          <t>2011-04-29</t>
        </is>
      </c>
      <c r="B926" s="8" t="n"/>
      <c r="C926" s="8" t="n"/>
      <c r="D926" s="8" t="n"/>
      <c r="E926" s="8" t="n"/>
      <c r="F926" s="8" t="n"/>
      <c r="G926" s="8" t="n"/>
      <c r="H926" s="8" t="n">
        <v>11760</v>
      </c>
      <c r="I926" s="8" t="n">
        <v>11845</v>
      </c>
      <c r="J926" s="8" t="n">
        <v>11875</v>
      </c>
      <c r="K926" s="8" t="n">
        <v>11745</v>
      </c>
      <c r="L926" s="8" t="n">
        <v>251692</v>
      </c>
      <c r="M926" s="8" t="n">
        <v>192888</v>
      </c>
      <c r="N926" s="9" t="inlineStr">
        <is>
          <t>否</t>
        </is>
      </c>
      <c r="O926" t="inlineStr">
        <is>
          <t>缺 PP</t>
        </is>
      </c>
    </row>
    <row r="927">
      <c r="A927" s="7" t="inlineStr">
        <is>
          <t>2011-05-03</t>
        </is>
      </c>
      <c r="B927" s="8" t="n"/>
      <c r="C927" s="8" t="n"/>
      <c r="D927" s="8" t="n"/>
      <c r="E927" s="8" t="n"/>
      <c r="F927" s="8" t="n"/>
      <c r="G927" s="8" t="n"/>
      <c r="H927" s="8" t="n">
        <v>11735</v>
      </c>
      <c r="I927" s="8" t="n">
        <v>11775</v>
      </c>
      <c r="J927" s="8" t="n">
        <v>11790</v>
      </c>
      <c r="K927" s="8" t="n">
        <v>11615</v>
      </c>
      <c r="L927" s="8" t="n">
        <v>254466</v>
      </c>
      <c r="M927" s="8" t="n">
        <v>199548</v>
      </c>
      <c r="N927" s="9" t="inlineStr">
        <is>
          <t>否</t>
        </is>
      </c>
      <c r="O927" t="inlineStr">
        <is>
          <t>缺 PP</t>
        </is>
      </c>
    </row>
    <row r="928">
      <c r="A928" s="7" t="inlineStr">
        <is>
          <t>2011-05-04</t>
        </is>
      </c>
      <c r="B928" s="8" t="n"/>
      <c r="C928" s="8" t="n"/>
      <c r="D928" s="8" t="n"/>
      <c r="E928" s="8" t="n"/>
      <c r="F928" s="8" t="n"/>
      <c r="G928" s="8" t="n"/>
      <c r="H928" s="8" t="n">
        <v>11595</v>
      </c>
      <c r="I928" s="8" t="n">
        <v>11685</v>
      </c>
      <c r="J928" s="8" t="n">
        <v>11715</v>
      </c>
      <c r="K928" s="8" t="n">
        <v>11570</v>
      </c>
      <c r="L928" s="8" t="n">
        <v>328344</v>
      </c>
      <c r="M928" s="8" t="n">
        <v>198808</v>
      </c>
      <c r="N928" s="9" t="inlineStr">
        <is>
          <t>否</t>
        </is>
      </c>
      <c r="O928" t="inlineStr">
        <is>
          <t>缺 PP</t>
        </is>
      </c>
    </row>
    <row r="929">
      <c r="A929" s="7" t="inlineStr">
        <is>
          <t>2011-05-05</t>
        </is>
      </c>
      <c r="B929" s="8" t="n"/>
      <c r="C929" s="8" t="n"/>
      <c r="D929" s="8" t="n"/>
      <c r="E929" s="8" t="n"/>
      <c r="F929" s="8" t="n"/>
      <c r="G929" s="8" t="n"/>
      <c r="H929" s="8" t="n">
        <v>11460</v>
      </c>
      <c r="I929" s="8" t="n">
        <v>11510</v>
      </c>
      <c r="J929" s="8" t="n">
        <v>11550</v>
      </c>
      <c r="K929" s="8" t="n">
        <v>11410</v>
      </c>
      <c r="L929" s="8" t="n">
        <v>312582</v>
      </c>
      <c r="M929" s="8" t="n">
        <v>204410</v>
      </c>
      <c r="N929" s="9" t="inlineStr">
        <is>
          <t>否</t>
        </is>
      </c>
      <c r="O929" t="inlineStr">
        <is>
          <t>缺 PP</t>
        </is>
      </c>
    </row>
    <row r="930">
      <c r="A930" s="7" t="inlineStr">
        <is>
          <t>2011-05-06</t>
        </is>
      </c>
      <c r="B930" s="8" t="n"/>
      <c r="C930" s="8" t="n"/>
      <c r="D930" s="8" t="n"/>
      <c r="E930" s="8" t="n"/>
      <c r="F930" s="8" t="n"/>
      <c r="G930" s="8" t="n"/>
      <c r="H930" s="8" t="n">
        <v>10930</v>
      </c>
      <c r="I930" s="8" t="n">
        <v>11100</v>
      </c>
      <c r="J930" s="8" t="n">
        <v>11150</v>
      </c>
      <c r="K930" s="8" t="n">
        <v>10925</v>
      </c>
      <c r="L930" s="8" t="n">
        <v>444006</v>
      </c>
      <c r="M930" s="8" t="n">
        <v>216292</v>
      </c>
      <c r="N930" s="9" t="inlineStr">
        <is>
          <t>否</t>
        </is>
      </c>
      <c r="O930" t="inlineStr">
        <is>
          <t>缺 PP</t>
        </is>
      </c>
    </row>
    <row r="931">
      <c r="A931" s="7" t="inlineStr">
        <is>
          <t>2011-05-09</t>
        </is>
      </c>
      <c r="B931" s="8" t="n"/>
      <c r="C931" s="8" t="n"/>
      <c r="D931" s="8" t="n"/>
      <c r="E931" s="8" t="n"/>
      <c r="F931" s="8" t="n"/>
      <c r="G931" s="8" t="n"/>
      <c r="H931" s="8" t="n">
        <v>11070</v>
      </c>
      <c r="I931" s="8" t="n">
        <v>10955</v>
      </c>
      <c r="J931" s="8" t="n">
        <v>11090</v>
      </c>
      <c r="K931" s="8" t="n">
        <v>10935</v>
      </c>
      <c r="L931" s="8" t="n">
        <v>463386</v>
      </c>
      <c r="M931" s="8" t="n">
        <v>218844</v>
      </c>
      <c r="N931" s="9" t="inlineStr">
        <is>
          <t>否</t>
        </is>
      </c>
      <c r="O931" t="inlineStr">
        <is>
          <t>缺 PP</t>
        </is>
      </c>
    </row>
    <row r="932">
      <c r="A932" s="7" t="inlineStr">
        <is>
          <t>2011-05-10</t>
        </is>
      </c>
      <c r="B932" s="8" t="n"/>
      <c r="C932" s="8" t="n"/>
      <c r="D932" s="8" t="n"/>
      <c r="E932" s="8" t="n"/>
      <c r="F932" s="8" t="n"/>
      <c r="G932" s="8" t="n"/>
      <c r="H932" s="8" t="n">
        <v>11145</v>
      </c>
      <c r="I932" s="8" t="n">
        <v>11070</v>
      </c>
      <c r="J932" s="8" t="n">
        <v>11175</v>
      </c>
      <c r="K932" s="8" t="n">
        <v>11015</v>
      </c>
      <c r="L932" s="8" t="n">
        <v>466420</v>
      </c>
      <c r="M932" s="8" t="n">
        <v>206692</v>
      </c>
      <c r="N932" s="9" t="inlineStr">
        <is>
          <t>否</t>
        </is>
      </c>
      <c r="O932" t="inlineStr">
        <is>
          <t>缺 PP</t>
        </is>
      </c>
    </row>
    <row r="933">
      <c r="A933" s="7" t="inlineStr">
        <is>
          <t>2011-05-11</t>
        </is>
      </c>
      <c r="B933" s="8" t="n"/>
      <c r="C933" s="8" t="n"/>
      <c r="D933" s="8" t="n"/>
      <c r="E933" s="8" t="n"/>
      <c r="F933" s="8" t="n"/>
      <c r="G933" s="8" t="n"/>
      <c r="H933" s="8" t="n">
        <v>11055</v>
      </c>
      <c r="I933" s="8" t="n">
        <v>11200</v>
      </c>
      <c r="J933" s="8" t="n">
        <v>11285</v>
      </c>
      <c r="K933" s="8" t="n">
        <v>11055</v>
      </c>
      <c r="L933" s="8" t="n">
        <v>437300</v>
      </c>
      <c r="M933" s="8" t="n">
        <v>221616</v>
      </c>
      <c r="N933" s="9" t="inlineStr">
        <is>
          <t>否</t>
        </is>
      </c>
      <c r="O933" t="inlineStr">
        <is>
          <t>缺 PP</t>
        </is>
      </c>
    </row>
    <row r="934">
      <c r="A934" s="7" t="inlineStr">
        <is>
          <t>2011-05-12</t>
        </is>
      </c>
      <c r="B934" s="8" t="n"/>
      <c r="C934" s="8" t="n"/>
      <c r="D934" s="8" t="n"/>
      <c r="E934" s="8" t="n"/>
      <c r="F934" s="8" t="n"/>
      <c r="G934" s="8" t="n"/>
      <c r="H934" s="8" t="n">
        <v>10605</v>
      </c>
      <c r="I934" s="8" t="n">
        <v>10900</v>
      </c>
      <c r="J934" s="8" t="n">
        <v>10960</v>
      </c>
      <c r="K934" s="8" t="n">
        <v>10605</v>
      </c>
      <c r="L934" s="8" t="n">
        <v>489888</v>
      </c>
      <c r="M934" s="8" t="n">
        <v>253900</v>
      </c>
      <c r="N934" s="9" t="inlineStr">
        <is>
          <t>否</t>
        </is>
      </c>
      <c r="O934" t="inlineStr">
        <is>
          <t>缺 PP</t>
        </is>
      </c>
    </row>
    <row r="935">
      <c r="A935" s="7" t="inlineStr">
        <is>
          <t>2011-05-13</t>
        </is>
      </c>
      <c r="B935" s="8" t="n"/>
      <c r="C935" s="8" t="n"/>
      <c r="D935" s="8" t="n"/>
      <c r="E935" s="8" t="n"/>
      <c r="F935" s="8" t="n"/>
      <c r="G935" s="8" t="n"/>
      <c r="H935" s="8" t="n">
        <v>10800</v>
      </c>
      <c r="I935" s="8" t="n">
        <v>10645</v>
      </c>
      <c r="J935" s="8" t="n">
        <v>10840</v>
      </c>
      <c r="K935" s="8" t="n">
        <v>10535</v>
      </c>
      <c r="L935" s="8" t="n">
        <v>1018126</v>
      </c>
      <c r="M935" s="8" t="n">
        <v>231476</v>
      </c>
      <c r="N935" s="9" t="inlineStr">
        <is>
          <t>否</t>
        </is>
      </c>
      <c r="O935" t="inlineStr">
        <is>
          <t>缺 PP</t>
        </is>
      </c>
    </row>
    <row r="936">
      <c r="A936" s="7" t="inlineStr">
        <is>
          <t>2011-05-16</t>
        </is>
      </c>
      <c r="B936" s="8" t="n"/>
      <c r="C936" s="8" t="n"/>
      <c r="D936" s="8" t="n"/>
      <c r="E936" s="8" t="n"/>
      <c r="F936" s="8" t="n"/>
      <c r="G936" s="8" t="n"/>
      <c r="H936" s="8" t="n">
        <v>10625</v>
      </c>
      <c r="I936" s="8" t="n">
        <v>10700</v>
      </c>
      <c r="J936" s="8" t="n">
        <v>10735</v>
      </c>
      <c r="K936" s="8" t="n">
        <v>10575</v>
      </c>
      <c r="L936" s="8" t="n">
        <v>784744</v>
      </c>
      <c r="M936" s="8" t="n">
        <v>244144</v>
      </c>
      <c r="N936" s="9" t="inlineStr">
        <is>
          <t>否</t>
        </is>
      </c>
      <c r="O936" t="inlineStr">
        <is>
          <t>缺 PP</t>
        </is>
      </c>
    </row>
    <row r="937">
      <c r="A937" s="7" t="inlineStr">
        <is>
          <t>2011-05-17</t>
        </is>
      </c>
      <c r="B937" s="8" t="n"/>
      <c r="C937" s="8" t="n"/>
      <c r="D937" s="8" t="n"/>
      <c r="E937" s="8" t="n"/>
      <c r="F937" s="8" t="n"/>
      <c r="G937" s="8" t="n"/>
      <c r="H937" s="8" t="n">
        <v>10745</v>
      </c>
      <c r="I937" s="8" t="n">
        <v>10600</v>
      </c>
      <c r="J937" s="8" t="n">
        <v>10750</v>
      </c>
      <c r="K937" s="8" t="n">
        <v>10530</v>
      </c>
      <c r="L937" s="8" t="n">
        <v>735540</v>
      </c>
      <c r="M937" s="8" t="n">
        <v>221052</v>
      </c>
      <c r="N937" s="9" t="inlineStr">
        <is>
          <t>否</t>
        </is>
      </c>
      <c r="O937" t="inlineStr">
        <is>
          <t>缺 PP</t>
        </is>
      </c>
    </row>
    <row r="938">
      <c r="A938" s="7" t="inlineStr">
        <is>
          <t>2011-05-18</t>
        </is>
      </c>
      <c r="B938" s="8" t="n"/>
      <c r="C938" s="8" t="n"/>
      <c r="D938" s="8" t="n"/>
      <c r="E938" s="8" t="n"/>
      <c r="F938" s="8" t="n"/>
      <c r="G938" s="8" t="n"/>
      <c r="H938" s="8" t="n">
        <v>10690</v>
      </c>
      <c r="I938" s="8" t="n">
        <v>10775</v>
      </c>
      <c r="J938" s="8" t="n">
        <v>10820</v>
      </c>
      <c r="K938" s="8" t="n">
        <v>10680</v>
      </c>
      <c r="L938" s="8" t="n">
        <v>418962</v>
      </c>
      <c r="M938" s="8" t="n">
        <v>222202</v>
      </c>
      <c r="N938" s="9" t="inlineStr">
        <is>
          <t>否</t>
        </is>
      </c>
      <c r="O938" t="inlineStr">
        <is>
          <t>缺 PP</t>
        </is>
      </c>
    </row>
    <row r="939">
      <c r="A939" s="7" t="inlineStr">
        <is>
          <t>2011-05-19</t>
        </is>
      </c>
      <c r="B939" s="8" t="n"/>
      <c r="C939" s="8" t="n"/>
      <c r="D939" s="8" t="n"/>
      <c r="E939" s="8" t="n"/>
      <c r="F939" s="8" t="n"/>
      <c r="G939" s="8" t="n"/>
      <c r="H939" s="8" t="n">
        <v>10550</v>
      </c>
      <c r="I939" s="8" t="n">
        <v>10805</v>
      </c>
      <c r="J939" s="8" t="n">
        <v>10820</v>
      </c>
      <c r="K939" s="8" t="n">
        <v>10535</v>
      </c>
      <c r="L939" s="8" t="n">
        <v>696020</v>
      </c>
      <c r="M939" s="8" t="n">
        <v>268858</v>
      </c>
      <c r="N939" s="9" t="inlineStr">
        <is>
          <t>否</t>
        </is>
      </c>
      <c r="O939" t="inlineStr">
        <is>
          <t>缺 PP</t>
        </is>
      </c>
    </row>
    <row r="940">
      <c r="A940" s="7" t="inlineStr">
        <is>
          <t>2011-05-20</t>
        </is>
      </c>
      <c r="B940" s="8" t="n"/>
      <c r="C940" s="8" t="n"/>
      <c r="D940" s="8" t="n"/>
      <c r="E940" s="8" t="n"/>
      <c r="F940" s="8" t="n"/>
      <c r="G940" s="8" t="n"/>
      <c r="H940" s="8" t="n">
        <v>10590</v>
      </c>
      <c r="I940" s="8" t="n">
        <v>10505</v>
      </c>
      <c r="J940" s="8" t="n">
        <v>10615</v>
      </c>
      <c r="K940" s="8" t="n">
        <v>10455</v>
      </c>
      <c r="L940" s="8" t="n">
        <v>670264</v>
      </c>
      <c r="M940" s="8" t="n">
        <v>239446</v>
      </c>
      <c r="N940" s="9" t="inlineStr">
        <is>
          <t>否</t>
        </is>
      </c>
      <c r="O940" t="inlineStr">
        <is>
          <t>缺 PP</t>
        </is>
      </c>
    </row>
    <row r="941">
      <c r="A941" s="7" t="inlineStr">
        <is>
          <t>2011-05-23</t>
        </is>
      </c>
      <c r="B941" s="8" t="n"/>
      <c r="C941" s="8" t="n"/>
      <c r="D941" s="8" t="n"/>
      <c r="E941" s="8" t="n"/>
      <c r="F941" s="8" t="n"/>
      <c r="G941" s="8" t="n"/>
      <c r="H941" s="8" t="n">
        <v>10385</v>
      </c>
      <c r="I941" s="8" t="n">
        <v>10560</v>
      </c>
      <c r="J941" s="8" t="n">
        <v>10630</v>
      </c>
      <c r="K941" s="8" t="n">
        <v>10360</v>
      </c>
      <c r="L941" s="8" t="n">
        <v>646998</v>
      </c>
      <c r="M941" s="8" t="n">
        <v>260188</v>
      </c>
      <c r="N941" s="9" t="inlineStr">
        <is>
          <t>否</t>
        </is>
      </c>
      <c r="O941" t="inlineStr">
        <is>
          <t>缺 PP</t>
        </is>
      </c>
    </row>
    <row r="942">
      <c r="A942" s="7" t="inlineStr">
        <is>
          <t>2011-05-24</t>
        </is>
      </c>
      <c r="B942" s="8" t="n"/>
      <c r="C942" s="8" t="n"/>
      <c r="D942" s="8" t="n"/>
      <c r="E942" s="8" t="n"/>
      <c r="F942" s="8" t="n"/>
      <c r="G942" s="8" t="n"/>
      <c r="H942" s="8" t="n">
        <v>10430</v>
      </c>
      <c r="I942" s="8" t="n">
        <v>10415</v>
      </c>
      <c r="J942" s="8" t="n">
        <v>10480</v>
      </c>
      <c r="K942" s="8" t="n">
        <v>10360</v>
      </c>
      <c r="L942" s="8" t="n">
        <v>521822</v>
      </c>
      <c r="M942" s="8" t="n">
        <v>260996</v>
      </c>
      <c r="N942" s="9" t="inlineStr">
        <is>
          <t>否</t>
        </is>
      </c>
      <c r="O942" t="inlineStr">
        <is>
          <t>缺 PP</t>
        </is>
      </c>
    </row>
    <row r="943">
      <c r="A943" s="7" t="inlineStr">
        <is>
          <t>2011-05-25</t>
        </is>
      </c>
      <c r="B943" s="8" t="n"/>
      <c r="C943" s="8" t="n"/>
      <c r="D943" s="8" t="n"/>
      <c r="E943" s="8" t="n"/>
      <c r="F943" s="8" t="n"/>
      <c r="G943" s="8" t="n"/>
      <c r="H943" s="8" t="n">
        <v>10485</v>
      </c>
      <c r="I943" s="8" t="n">
        <v>10450</v>
      </c>
      <c r="J943" s="8" t="n">
        <v>10540</v>
      </c>
      <c r="K943" s="8" t="n">
        <v>10395</v>
      </c>
      <c r="L943" s="8" t="n">
        <v>602722</v>
      </c>
      <c r="M943" s="8" t="n">
        <v>258350</v>
      </c>
      <c r="N943" s="9" t="inlineStr">
        <is>
          <t>否</t>
        </is>
      </c>
      <c r="O943" t="inlineStr">
        <is>
          <t>缺 PP</t>
        </is>
      </c>
    </row>
    <row r="944">
      <c r="A944" s="7" t="inlineStr">
        <is>
          <t>2011-05-26</t>
        </is>
      </c>
      <c r="B944" s="8" t="n"/>
      <c r="C944" s="8" t="n"/>
      <c r="D944" s="8" t="n"/>
      <c r="E944" s="8" t="n"/>
      <c r="F944" s="8" t="n"/>
      <c r="G944" s="8" t="n"/>
      <c r="H944" s="8" t="n">
        <v>10715</v>
      </c>
      <c r="I944" s="8" t="n">
        <v>10575</v>
      </c>
      <c r="J944" s="8" t="n">
        <v>10755</v>
      </c>
      <c r="K944" s="8" t="n">
        <v>10555</v>
      </c>
      <c r="L944" s="8" t="n">
        <v>683778</v>
      </c>
      <c r="M944" s="8" t="n">
        <v>263870</v>
      </c>
      <c r="N944" s="9" t="inlineStr">
        <is>
          <t>否</t>
        </is>
      </c>
      <c r="O944" t="inlineStr">
        <is>
          <t>缺 PP</t>
        </is>
      </c>
    </row>
    <row r="945">
      <c r="A945" s="7" t="inlineStr">
        <is>
          <t>2011-05-27</t>
        </is>
      </c>
      <c r="B945" s="8" t="n"/>
      <c r="C945" s="8" t="n"/>
      <c r="D945" s="8" t="n"/>
      <c r="E945" s="8" t="n"/>
      <c r="F945" s="8" t="n"/>
      <c r="G945" s="8" t="n"/>
      <c r="H945" s="8" t="n">
        <v>10725</v>
      </c>
      <c r="I945" s="8" t="n">
        <v>10700</v>
      </c>
      <c r="J945" s="8" t="n">
        <v>10740</v>
      </c>
      <c r="K945" s="8" t="n">
        <v>10635</v>
      </c>
      <c r="L945" s="8" t="n">
        <v>459228</v>
      </c>
      <c r="M945" s="8" t="n">
        <v>253994</v>
      </c>
      <c r="N945" s="9" t="inlineStr">
        <is>
          <t>否</t>
        </is>
      </c>
      <c r="O945" t="inlineStr">
        <is>
          <t>缺 PP</t>
        </is>
      </c>
    </row>
    <row r="946">
      <c r="A946" s="7" t="inlineStr">
        <is>
          <t>2011-05-30</t>
        </is>
      </c>
      <c r="B946" s="8" t="n"/>
      <c r="C946" s="8" t="n"/>
      <c r="D946" s="8" t="n"/>
      <c r="E946" s="8" t="n"/>
      <c r="F946" s="8" t="n"/>
      <c r="G946" s="8" t="n"/>
      <c r="H946" s="8" t="n">
        <v>10625</v>
      </c>
      <c r="I946" s="8" t="n">
        <v>10725</v>
      </c>
      <c r="J946" s="8" t="n">
        <v>10760</v>
      </c>
      <c r="K946" s="8" t="n">
        <v>10615</v>
      </c>
      <c r="L946" s="8" t="n">
        <v>506840</v>
      </c>
      <c r="M946" s="8" t="n">
        <v>253964</v>
      </c>
      <c r="N946" s="9" t="inlineStr">
        <is>
          <t>否</t>
        </is>
      </c>
      <c r="O946" t="inlineStr">
        <is>
          <t>缺 PP</t>
        </is>
      </c>
    </row>
    <row r="947">
      <c r="A947" s="7" t="inlineStr">
        <is>
          <t>2011-05-31</t>
        </is>
      </c>
      <c r="B947" s="8" t="n"/>
      <c r="C947" s="8" t="n"/>
      <c r="D947" s="8" t="n"/>
      <c r="E947" s="8" t="n"/>
      <c r="F947" s="8" t="n"/>
      <c r="G947" s="8" t="n"/>
      <c r="H947" s="8" t="n">
        <v>10685</v>
      </c>
      <c r="I947" s="8" t="n">
        <v>10640</v>
      </c>
      <c r="J947" s="8" t="n">
        <v>10705</v>
      </c>
      <c r="K947" s="8" t="n">
        <v>10580</v>
      </c>
      <c r="L947" s="8" t="n">
        <v>575290</v>
      </c>
      <c r="M947" s="8" t="n">
        <v>257620</v>
      </c>
      <c r="N947" s="9" t="inlineStr">
        <is>
          <t>否</t>
        </is>
      </c>
      <c r="O947" t="inlineStr">
        <is>
          <t>缺 PP</t>
        </is>
      </c>
    </row>
    <row r="948">
      <c r="A948" s="7" t="inlineStr">
        <is>
          <t>2011-06-01</t>
        </is>
      </c>
      <c r="B948" s="8" t="n"/>
      <c r="C948" s="8" t="n"/>
      <c r="D948" s="8" t="n"/>
      <c r="E948" s="8" t="n"/>
      <c r="F948" s="8" t="n"/>
      <c r="G948" s="8" t="n"/>
      <c r="H948" s="8" t="n">
        <v>10665</v>
      </c>
      <c r="I948" s="8" t="n">
        <v>10730</v>
      </c>
      <c r="J948" s="8" t="n">
        <v>10775</v>
      </c>
      <c r="K948" s="8" t="n">
        <v>10645</v>
      </c>
      <c r="L948" s="8" t="n">
        <v>498108</v>
      </c>
      <c r="M948" s="8" t="n">
        <v>264134</v>
      </c>
      <c r="N948" s="9" t="inlineStr">
        <is>
          <t>否</t>
        </is>
      </c>
      <c r="O948" t="inlineStr">
        <is>
          <t>缺 PP</t>
        </is>
      </c>
    </row>
    <row r="949">
      <c r="A949" s="7" t="inlineStr">
        <is>
          <t>2011-06-02</t>
        </is>
      </c>
      <c r="B949" s="8" t="n"/>
      <c r="C949" s="8" t="n"/>
      <c r="D949" s="8" t="n"/>
      <c r="E949" s="8" t="n"/>
      <c r="F949" s="8" t="n"/>
      <c r="G949" s="8" t="n"/>
      <c r="H949" s="8" t="n">
        <v>10475</v>
      </c>
      <c r="I949" s="8" t="n">
        <v>10565</v>
      </c>
      <c r="J949" s="8" t="n">
        <v>10570</v>
      </c>
      <c r="K949" s="8" t="n">
        <v>10410</v>
      </c>
      <c r="L949" s="8" t="n">
        <v>611536</v>
      </c>
      <c r="M949" s="8" t="n">
        <v>277284</v>
      </c>
      <c r="N949" s="9" t="inlineStr">
        <is>
          <t>否</t>
        </is>
      </c>
      <c r="O949" t="inlineStr">
        <is>
          <t>缺 PP</t>
        </is>
      </c>
    </row>
    <row r="950">
      <c r="A950" s="7" t="inlineStr">
        <is>
          <t>2011-06-03</t>
        </is>
      </c>
      <c r="B950" s="8" t="n"/>
      <c r="C950" s="8" t="n"/>
      <c r="D950" s="8" t="n"/>
      <c r="E950" s="8" t="n"/>
      <c r="F950" s="8" t="n"/>
      <c r="G950" s="8" t="n"/>
      <c r="H950" s="8" t="n">
        <v>10625</v>
      </c>
      <c r="I950" s="8" t="n">
        <v>10515</v>
      </c>
      <c r="J950" s="8" t="n">
        <v>10655</v>
      </c>
      <c r="K950" s="8" t="n">
        <v>10495</v>
      </c>
      <c r="L950" s="8" t="n">
        <v>549118</v>
      </c>
      <c r="M950" s="8" t="n">
        <v>282396</v>
      </c>
      <c r="N950" s="9" t="inlineStr">
        <is>
          <t>否</t>
        </is>
      </c>
      <c r="O950" t="inlineStr">
        <is>
          <t>缺 PP</t>
        </is>
      </c>
    </row>
    <row r="951">
      <c r="A951" s="7" t="inlineStr">
        <is>
          <t>2011-06-07</t>
        </is>
      </c>
      <c r="B951" s="8" t="n"/>
      <c r="C951" s="8" t="n"/>
      <c r="D951" s="8" t="n"/>
      <c r="E951" s="8" t="n"/>
      <c r="F951" s="8" t="n"/>
      <c r="G951" s="8" t="n"/>
      <c r="H951" s="8" t="n">
        <v>10710</v>
      </c>
      <c r="I951" s="8" t="n">
        <v>10560</v>
      </c>
      <c r="J951" s="8" t="n">
        <v>10765</v>
      </c>
      <c r="K951" s="8" t="n">
        <v>10530</v>
      </c>
      <c r="L951" s="8" t="n">
        <v>693976</v>
      </c>
      <c r="M951" s="8" t="n">
        <v>297028</v>
      </c>
      <c r="N951" s="9" t="inlineStr">
        <is>
          <t>否</t>
        </is>
      </c>
      <c r="O951" t="inlineStr">
        <is>
          <t>缺 PP</t>
        </is>
      </c>
    </row>
    <row r="952">
      <c r="A952" s="7" t="inlineStr">
        <is>
          <t>2011-06-08</t>
        </is>
      </c>
      <c r="B952" s="8" t="n"/>
      <c r="C952" s="8" t="n"/>
      <c r="D952" s="8" t="n"/>
      <c r="E952" s="8" t="n"/>
      <c r="F952" s="8" t="n"/>
      <c r="G952" s="8" t="n"/>
      <c r="H952" s="8" t="n">
        <v>10765</v>
      </c>
      <c r="I952" s="8" t="n">
        <v>10700</v>
      </c>
      <c r="J952" s="8" t="n">
        <v>10840</v>
      </c>
      <c r="K952" s="8" t="n">
        <v>10635</v>
      </c>
      <c r="L952" s="8" t="n">
        <v>1172316</v>
      </c>
      <c r="M952" s="8" t="n">
        <v>329632</v>
      </c>
      <c r="N952" s="9" t="inlineStr">
        <is>
          <t>否</t>
        </is>
      </c>
      <c r="O952" t="inlineStr">
        <is>
          <t>缺 PP</t>
        </is>
      </c>
    </row>
    <row r="953">
      <c r="A953" s="7" t="inlineStr">
        <is>
          <t>2011-06-09</t>
        </is>
      </c>
      <c r="B953" s="8" t="n"/>
      <c r="C953" s="8" t="n"/>
      <c r="D953" s="8" t="n"/>
      <c r="E953" s="8" t="n"/>
      <c r="F953" s="8" t="n"/>
      <c r="G953" s="8" t="n"/>
      <c r="H953" s="8" t="n">
        <v>10645</v>
      </c>
      <c r="I953" s="8" t="n">
        <v>10815</v>
      </c>
      <c r="J953" s="8" t="n">
        <v>10870</v>
      </c>
      <c r="K953" s="8" t="n">
        <v>10630</v>
      </c>
      <c r="L953" s="8" t="n">
        <v>743110</v>
      </c>
      <c r="M953" s="8" t="n">
        <v>297512</v>
      </c>
      <c r="N953" s="9" t="inlineStr">
        <is>
          <t>否</t>
        </is>
      </c>
      <c r="O953" t="inlineStr">
        <is>
          <t>缺 PP</t>
        </is>
      </c>
    </row>
    <row r="954">
      <c r="A954" s="7" t="inlineStr">
        <is>
          <t>2011-06-10</t>
        </is>
      </c>
      <c r="B954" s="8" t="n"/>
      <c r="C954" s="8" t="n"/>
      <c r="D954" s="8" t="n"/>
      <c r="E954" s="8" t="n"/>
      <c r="F954" s="8" t="n"/>
      <c r="G954" s="8" t="n"/>
      <c r="H954" s="8" t="n">
        <v>10595</v>
      </c>
      <c r="I954" s="8" t="n">
        <v>10670</v>
      </c>
      <c r="J954" s="8" t="n">
        <v>10715</v>
      </c>
      <c r="K954" s="8" t="n">
        <v>10540</v>
      </c>
      <c r="L954" s="8" t="n">
        <v>649746</v>
      </c>
      <c r="M954" s="8" t="n">
        <v>275190</v>
      </c>
      <c r="N954" s="9" t="inlineStr">
        <is>
          <t>否</t>
        </is>
      </c>
      <c r="O954" t="inlineStr">
        <is>
          <t>缺 PP</t>
        </is>
      </c>
    </row>
    <row r="955">
      <c r="A955" s="7" t="inlineStr">
        <is>
          <t>2011-06-13</t>
        </is>
      </c>
      <c r="B955" s="8" t="n"/>
      <c r="C955" s="8" t="n"/>
      <c r="D955" s="8" t="n"/>
      <c r="E955" s="8" t="n"/>
      <c r="F955" s="8" t="n"/>
      <c r="G955" s="8" t="n"/>
      <c r="H955" s="8" t="n">
        <v>10610</v>
      </c>
      <c r="I955" s="8" t="n">
        <v>10545</v>
      </c>
      <c r="J955" s="8" t="n">
        <v>10680</v>
      </c>
      <c r="K955" s="8" t="n">
        <v>10525</v>
      </c>
      <c r="L955" s="8" t="n">
        <v>605444</v>
      </c>
      <c r="M955" s="8" t="n">
        <v>252410</v>
      </c>
      <c r="N955" s="9" t="inlineStr">
        <is>
          <t>否</t>
        </is>
      </c>
      <c r="O955" t="inlineStr">
        <is>
          <t>缺 PP</t>
        </is>
      </c>
    </row>
    <row r="956">
      <c r="A956" s="7" t="inlineStr">
        <is>
          <t>2011-06-14</t>
        </is>
      </c>
      <c r="B956" s="8" t="n"/>
      <c r="C956" s="8" t="n"/>
      <c r="D956" s="8" t="n"/>
      <c r="E956" s="8" t="n"/>
      <c r="F956" s="8" t="n"/>
      <c r="G956" s="8" t="n"/>
      <c r="H956" s="8" t="n">
        <v>10670</v>
      </c>
      <c r="I956" s="8" t="n">
        <v>10610</v>
      </c>
      <c r="J956" s="8" t="n">
        <v>10695</v>
      </c>
      <c r="K956" s="8" t="n">
        <v>10580</v>
      </c>
      <c r="L956" s="8" t="n">
        <v>612476</v>
      </c>
      <c r="M956" s="8" t="n">
        <v>262690</v>
      </c>
      <c r="N956" s="9" t="inlineStr">
        <is>
          <t>否</t>
        </is>
      </c>
      <c r="O956" t="inlineStr">
        <is>
          <t>缺 PP</t>
        </is>
      </c>
    </row>
    <row r="957">
      <c r="A957" s="7" t="inlineStr">
        <is>
          <t>2011-06-15</t>
        </is>
      </c>
      <c r="B957" s="8" t="n"/>
      <c r="C957" s="8" t="n"/>
      <c r="D957" s="8" t="n"/>
      <c r="E957" s="8" t="n"/>
      <c r="F957" s="8" t="n"/>
      <c r="G957" s="8" t="n"/>
      <c r="H957" s="8" t="n">
        <v>10755</v>
      </c>
      <c r="I957" s="8" t="n">
        <v>10740</v>
      </c>
      <c r="J957" s="8" t="n">
        <v>10785</v>
      </c>
      <c r="K957" s="8" t="n">
        <v>10690</v>
      </c>
      <c r="L957" s="8" t="n">
        <v>508910</v>
      </c>
      <c r="M957" s="8" t="n">
        <v>279134</v>
      </c>
      <c r="N957" s="9" t="inlineStr">
        <is>
          <t>否</t>
        </is>
      </c>
      <c r="O957" t="inlineStr">
        <is>
          <t>缺 PP</t>
        </is>
      </c>
    </row>
    <row r="958">
      <c r="A958" s="7" t="inlineStr">
        <is>
          <t>2011-06-16</t>
        </is>
      </c>
      <c r="B958" s="8" t="n"/>
      <c r="C958" s="8" t="n"/>
      <c r="D958" s="8" t="n"/>
      <c r="E958" s="8" t="n"/>
      <c r="F958" s="8" t="n"/>
      <c r="G958" s="8" t="n"/>
      <c r="H958" s="8" t="n">
        <v>10605</v>
      </c>
      <c r="I958" s="8" t="n">
        <v>10655</v>
      </c>
      <c r="J958" s="8" t="n">
        <v>10705</v>
      </c>
      <c r="K958" s="8" t="n">
        <v>10590</v>
      </c>
      <c r="L958" s="8" t="n">
        <v>673598</v>
      </c>
      <c r="M958" s="8" t="n">
        <v>250050</v>
      </c>
      <c r="N958" s="9" t="inlineStr">
        <is>
          <t>否</t>
        </is>
      </c>
      <c r="O958" t="inlineStr">
        <is>
          <t>缺 PP</t>
        </is>
      </c>
    </row>
    <row r="959">
      <c r="A959" s="7" t="inlineStr">
        <is>
          <t>2011-06-17</t>
        </is>
      </c>
      <c r="B959" s="8" t="n"/>
      <c r="C959" s="8" t="n"/>
      <c r="D959" s="8" t="n"/>
      <c r="E959" s="8" t="n"/>
      <c r="F959" s="8" t="n"/>
      <c r="G959" s="8" t="n"/>
      <c r="H959" s="8" t="n">
        <v>10610</v>
      </c>
      <c r="I959" s="8" t="n">
        <v>10620</v>
      </c>
      <c r="J959" s="8" t="n">
        <v>10665</v>
      </c>
      <c r="K959" s="8" t="n">
        <v>10565</v>
      </c>
      <c r="L959" s="8" t="n">
        <v>491506</v>
      </c>
      <c r="M959" s="8" t="n">
        <v>253190</v>
      </c>
      <c r="N959" s="9" t="inlineStr">
        <is>
          <t>否</t>
        </is>
      </c>
      <c r="O959" t="inlineStr">
        <is>
          <t>缺 PP</t>
        </is>
      </c>
    </row>
    <row r="960">
      <c r="A960" s="7" t="inlineStr">
        <is>
          <t>2011-06-20</t>
        </is>
      </c>
      <c r="B960" s="8" t="n"/>
      <c r="C960" s="8" t="n"/>
      <c r="D960" s="8" t="n"/>
      <c r="E960" s="8" t="n"/>
      <c r="F960" s="8" t="n"/>
      <c r="G960" s="8" t="n"/>
      <c r="H960" s="8" t="n">
        <v>10415</v>
      </c>
      <c r="I960" s="8" t="n">
        <v>10600</v>
      </c>
      <c r="J960" s="8" t="n">
        <v>10610</v>
      </c>
      <c r="K960" s="8" t="n">
        <v>10380</v>
      </c>
      <c r="L960" s="8" t="n">
        <v>847428</v>
      </c>
      <c r="M960" s="8" t="n">
        <v>301098</v>
      </c>
      <c r="N960" s="9" t="inlineStr">
        <is>
          <t>否</t>
        </is>
      </c>
      <c r="O960" t="inlineStr">
        <is>
          <t>缺 PP</t>
        </is>
      </c>
    </row>
    <row r="961">
      <c r="A961" s="7" t="inlineStr">
        <is>
          <t>2011-06-21</t>
        </is>
      </c>
      <c r="B961" s="8" t="n"/>
      <c r="C961" s="8" t="n"/>
      <c r="D961" s="8" t="n"/>
      <c r="E961" s="8" t="n"/>
      <c r="F961" s="8" t="n"/>
      <c r="G961" s="8" t="n"/>
      <c r="H961" s="8" t="n">
        <v>10470</v>
      </c>
      <c r="I961" s="8" t="n">
        <v>10470</v>
      </c>
      <c r="J961" s="8" t="n">
        <v>10480</v>
      </c>
      <c r="K961" s="8" t="n">
        <v>10330</v>
      </c>
      <c r="L961" s="8" t="n">
        <v>740024</v>
      </c>
      <c r="M961" s="8" t="n">
        <v>274176</v>
      </c>
      <c r="N961" s="9" t="inlineStr">
        <is>
          <t>否</t>
        </is>
      </c>
      <c r="O961" t="inlineStr">
        <is>
          <t>缺 PP</t>
        </is>
      </c>
    </row>
    <row r="962">
      <c r="A962" s="7" t="inlineStr">
        <is>
          <t>2011-06-22</t>
        </is>
      </c>
      <c r="B962" s="8" t="n"/>
      <c r="C962" s="8" t="n"/>
      <c r="D962" s="8" t="n"/>
      <c r="E962" s="8" t="n"/>
      <c r="F962" s="8" t="n"/>
      <c r="G962" s="8" t="n"/>
      <c r="H962" s="8" t="n">
        <v>10445</v>
      </c>
      <c r="I962" s="8" t="n">
        <v>10430</v>
      </c>
      <c r="J962" s="8" t="n">
        <v>10510</v>
      </c>
      <c r="K962" s="8" t="n">
        <v>10395</v>
      </c>
      <c r="L962" s="8" t="n">
        <v>570908</v>
      </c>
      <c r="M962" s="8" t="n">
        <v>273866</v>
      </c>
      <c r="N962" s="9" t="inlineStr">
        <is>
          <t>否</t>
        </is>
      </c>
      <c r="O962" t="inlineStr">
        <is>
          <t>缺 PP</t>
        </is>
      </c>
    </row>
    <row r="963">
      <c r="A963" s="7" t="inlineStr">
        <is>
          <t>2011-06-23</t>
        </is>
      </c>
      <c r="B963" s="8" t="n"/>
      <c r="C963" s="8" t="n"/>
      <c r="D963" s="8" t="n"/>
      <c r="E963" s="8" t="n"/>
      <c r="F963" s="8" t="n"/>
      <c r="G963" s="8" t="n"/>
      <c r="H963" s="8" t="n">
        <v>10405</v>
      </c>
      <c r="I963" s="8" t="n">
        <v>10435</v>
      </c>
      <c r="J963" s="8" t="n">
        <v>10470</v>
      </c>
      <c r="K963" s="8" t="n">
        <v>10310</v>
      </c>
      <c r="L963" s="8" t="n">
        <v>734884</v>
      </c>
      <c r="M963" s="8" t="n">
        <v>272854</v>
      </c>
      <c r="N963" s="9" t="inlineStr">
        <is>
          <t>否</t>
        </is>
      </c>
      <c r="O963" t="inlineStr">
        <is>
          <t>缺 PP</t>
        </is>
      </c>
    </row>
    <row r="964">
      <c r="A964" s="7" t="inlineStr">
        <is>
          <t>2011-06-24</t>
        </is>
      </c>
      <c r="B964" s="8" t="n"/>
      <c r="C964" s="8" t="n"/>
      <c r="D964" s="8" t="n"/>
      <c r="E964" s="8" t="n"/>
      <c r="F964" s="8" t="n"/>
      <c r="G964" s="8" t="n"/>
      <c r="H964" s="8" t="n">
        <v>10385</v>
      </c>
      <c r="I964" s="8" t="n">
        <v>10340</v>
      </c>
      <c r="J964" s="8" t="n">
        <v>10395</v>
      </c>
      <c r="K964" s="8" t="n">
        <v>10270</v>
      </c>
      <c r="L964" s="8" t="n">
        <v>684232</v>
      </c>
      <c r="M964" s="8" t="n">
        <v>274080</v>
      </c>
      <c r="N964" s="9" t="inlineStr">
        <is>
          <t>否</t>
        </is>
      </c>
      <c r="O964" t="inlineStr">
        <is>
          <t>缺 PP</t>
        </is>
      </c>
    </row>
    <row r="965">
      <c r="A965" s="7" t="inlineStr">
        <is>
          <t>2011-06-27</t>
        </is>
      </c>
      <c r="B965" s="8" t="n"/>
      <c r="C965" s="8" t="n"/>
      <c r="D965" s="8" t="n"/>
      <c r="E965" s="8" t="n"/>
      <c r="F965" s="8" t="n"/>
      <c r="G965" s="8" t="n"/>
      <c r="H965" s="8" t="n">
        <v>10305</v>
      </c>
      <c r="I965" s="8" t="n">
        <v>10330</v>
      </c>
      <c r="J965" s="8" t="n">
        <v>10415</v>
      </c>
      <c r="K965" s="8" t="n">
        <v>10280</v>
      </c>
      <c r="L965" s="8" t="n">
        <v>786006</v>
      </c>
      <c r="M965" s="8" t="n">
        <v>276294</v>
      </c>
      <c r="N965" s="9" t="inlineStr">
        <is>
          <t>否</t>
        </is>
      </c>
      <c r="O965" t="inlineStr">
        <is>
          <t>缺 PP</t>
        </is>
      </c>
    </row>
    <row r="966">
      <c r="A966" s="7" t="inlineStr">
        <is>
          <t>2011-06-28</t>
        </is>
      </c>
      <c r="B966" s="8" t="n"/>
      <c r="C966" s="8" t="n"/>
      <c r="D966" s="8" t="n"/>
      <c r="E966" s="8" t="n"/>
      <c r="F966" s="8" t="n"/>
      <c r="G966" s="8" t="n"/>
      <c r="H966" s="8" t="n">
        <v>10400</v>
      </c>
      <c r="I966" s="8" t="n">
        <v>10370</v>
      </c>
      <c r="J966" s="8" t="n">
        <v>10450</v>
      </c>
      <c r="K966" s="8" t="n">
        <v>10360</v>
      </c>
      <c r="L966" s="8" t="n">
        <v>547350</v>
      </c>
      <c r="M966" s="8" t="n">
        <v>273730</v>
      </c>
      <c r="N966" s="9" t="inlineStr">
        <is>
          <t>否</t>
        </is>
      </c>
      <c r="O966" t="inlineStr">
        <is>
          <t>缺 PP</t>
        </is>
      </c>
    </row>
    <row r="967">
      <c r="A967" s="7" t="inlineStr">
        <is>
          <t>2011-06-29</t>
        </is>
      </c>
      <c r="B967" s="8" t="n"/>
      <c r="C967" s="8" t="n"/>
      <c r="D967" s="8" t="n"/>
      <c r="E967" s="8" t="n"/>
      <c r="F967" s="8" t="n"/>
      <c r="G967" s="8" t="n"/>
      <c r="H967" s="8" t="n">
        <v>10460</v>
      </c>
      <c r="I967" s="8" t="n">
        <v>10475</v>
      </c>
      <c r="J967" s="8" t="n">
        <v>10485</v>
      </c>
      <c r="K967" s="8" t="n">
        <v>10410</v>
      </c>
      <c r="L967" s="8" t="n">
        <v>341926</v>
      </c>
      <c r="M967" s="8" t="n">
        <v>254504</v>
      </c>
      <c r="N967" s="9" t="inlineStr">
        <is>
          <t>否</t>
        </is>
      </c>
      <c r="O967" t="inlineStr">
        <is>
          <t>缺 PP</t>
        </is>
      </c>
    </row>
    <row r="968">
      <c r="A968" s="7" t="inlineStr">
        <is>
          <t>2011-06-30</t>
        </is>
      </c>
      <c r="B968" s="8" t="n"/>
      <c r="C968" s="8" t="n"/>
      <c r="D968" s="8" t="n"/>
      <c r="E968" s="8" t="n"/>
      <c r="F968" s="8" t="n"/>
      <c r="G968" s="8" t="n"/>
      <c r="H968" s="8" t="n">
        <v>10600</v>
      </c>
      <c r="I968" s="8" t="n">
        <v>10520</v>
      </c>
      <c r="J968" s="8" t="n">
        <v>10600</v>
      </c>
      <c r="K968" s="8" t="n">
        <v>10465</v>
      </c>
      <c r="L968" s="8" t="n">
        <v>361748</v>
      </c>
      <c r="M968" s="8" t="n">
        <v>252740</v>
      </c>
      <c r="N968" s="9" t="inlineStr">
        <is>
          <t>否</t>
        </is>
      </c>
      <c r="O968" t="inlineStr">
        <is>
          <t>缺 PP</t>
        </is>
      </c>
    </row>
    <row r="969">
      <c r="A969" s="7" t="inlineStr">
        <is>
          <t>2011-07-01</t>
        </is>
      </c>
      <c r="B969" s="8" t="n"/>
      <c r="C969" s="8" t="n"/>
      <c r="D969" s="8" t="n"/>
      <c r="E969" s="8" t="n"/>
      <c r="F969" s="8" t="n"/>
      <c r="G969" s="8" t="n"/>
      <c r="H969" s="8" t="n">
        <v>10660</v>
      </c>
      <c r="I969" s="8" t="n">
        <v>10570</v>
      </c>
      <c r="J969" s="8" t="n">
        <v>10670</v>
      </c>
      <c r="K969" s="8" t="n">
        <v>10560</v>
      </c>
      <c r="L969" s="8" t="n">
        <v>387592</v>
      </c>
      <c r="M969" s="8" t="n">
        <v>263632</v>
      </c>
      <c r="N969" s="9" t="inlineStr">
        <is>
          <t>否</t>
        </is>
      </c>
      <c r="O969" t="inlineStr">
        <is>
          <t>缺 PP</t>
        </is>
      </c>
    </row>
    <row r="970">
      <c r="A970" s="7" t="inlineStr">
        <is>
          <t>2011-07-04</t>
        </is>
      </c>
      <c r="B970" s="8" t="n"/>
      <c r="C970" s="8" t="n"/>
      <c r="D970" s="8" t="n"/>
      <c r="E970" s="8" t="n"/>
      <c r="F970" s="8" t="n"/>
      <c r="G970" s="8" t="n"/>
      <c r="H970" s="8" t="n">
        <v>11060</v>
      </c>
      <c r="I970" s="8" t="n">
        <v>10745</v>
      </c>
      <c r="J970" s="8" t="n">
        <v>11150</v>
      </c>
      <c r="K970" s="8" t="n">
        <v>10700</v>
      </c>
      <c r="L970" s="8" t="n">
        <v>718012</v>
      </c>
      <c r="M970" s="8" t="n">
        <v>249648</v>
      </c>
      <c r="N970" s="9" t="inlineStr">
        <is>
          <t>否</t>
        </is>
      </c>
      <c r="O970" t="inlineStr">
        <is>
          <t>缺 PP</t>
        </is>
      </c>
    </row>
    <row r="971">
      <c r="A971" s="7" t="inlineStr">
        <is>
          <t>2011-07-05</t>
        </is>
      </c>
      <c r="B971" s="8" t="n"/>
      <c r="C971" s="8" t="n"/>
      <c r="D971" s="8" t="n"/>
      <c r="E971" s="8" t="n"/>
      <c r="F971" s="8" t="n"/>
      <c r="G971" s="8" t="n"/>
      <c r="H971" s="8" t="n">
        <v>11110</v>
      </c>
      <c r="I971" s="8" t="n">
        <v>11030</v>
      </c>
      <c r="J971" s="8" t="n">
        <v>11170</v>
      </c>
      <c r="K971" s="8" t="n">
        <v>10970</v>
      </c>
      <c r="L971" s="8" t="n">
        <v>803044</v>
      </c>
      <c r="M971" s="8" t="n">
        <v>270174</v>
      </c>
      <c r="N971" s="9" t="inlineStr">
        <is>
          <t>否</t>
        </is>
      </c>
      <c r="O971" t="inlineStr">
        <is>
          <t>缺 PP</t>
        </is>
      </c>
    </row>
    <row r="972">
      <c r="A972" s="7" t="inlineStr">
        <is>
          <t>2011-07-06</t>
        </is>
      </c>
      <c r="B972" s="8" t="n"/>
      <c r="C972" s="8" t="n"/>
      <c r="D972" s="8" t="n"/>
      <c r="E972" s="8" t="n"/>
      <c r="F972" s="8" t="n"/>
      <c r="G972" s="8" t="n"/>
      <c r="H972" s="8" t="n">
        <v>11070</v>
      </c>
      <c r="I972" s="8" t="n">
        <v>11180</v>
      </c>
      <c r="J972" s="8" t="n">
        <v>11205</v>
      </c>
      <c r="K972" s="8" t="n">
        <v>11040</v>
      </c>
      <c r="L972" s="8" t="n">
        <v>574592</v>
      </c>
      <c r="M972" s="8" t="n">
        <v>241744</v>
      </c>
      <c r="N972" s="9" t="inlineStr">
        <is>
          <t>否</t>
        </is>
      </c>
      <c r="O972" t="inlineStr">
        <is>
          <t>缺 PP</t>
        </is>
      </c>
    </row>
    <row r="973">
      <c r="A973" s="7" t="inlineStr">
        <is>
          <t>2011-07-07</t>
        </is>
      </c>
      <c r="B973" s="8" t="n"/>
      <c r="C973" s="8" t="n"/>
      <c r="D973" s="8" t="n"/>
      <c r="E973" s="8" t="n"/>
      <c r="F973" s="8" t="n"/>
      <c r="G973" s="8" t="n"/>
      <c r="H973" s="8" t="n">
        <v>11095</v>
      </c>
      <c r="I973" s="8" t="n">
        <v>11080</v>
      </c>
      <c r="J973" s="8" t="n">
        <v>11185</v>
      </c>
      <c r="K973" s="8" t="n">
        <v>11035</v>
      </c>
      <c r="L973" s="8" t="n">
        <v>510702</v>
      </c>
      <c r="M973" s="8" t="n">
        <v>242194</v>
      </c>
      <c r="N973" s="9" t="inlineStr">
        <is>
          <t>否</t>
        </is>
      </c>
      <c r="O973" t="inlineStr">
        <is>
          <t>缺 PP</t>
        </is>
      </c>
    </row>
    <row r="974">
      <c r="A974" s="7" t="inlineStr">
        <is>
          <t>2011-07-08</t>
        </is>
      </c>
      <c r="B974" s="8" t="n"/>
      <c r="C974" s="8" t="n"/>
      <c r="D974" s="8" t="n"/>
      <c r="E974" s="8" t="n"/>
      <c r="F974" s="8" t="n"/>
      <c r="G974" s="8" t="n"/>
      <c r="H974" s="8" t="n">
        <v>11145</v>
      </c>
      <c r="I974" s="8" t="n">
        <v>11185</v>
      </c>
      <c r="J974" s="8" t="n">
        <v>11260</v>
      </c>
      <c r="K974" s="8" t="n">
        <v>11140</v>
      </c>
      <c r="L974" s="8" t="n">
        <v>457128</v>
      </c>
      <c r="M974" s="8" t="n">
        <v>226272</v>
      </c>
      <c r="N974" s="9" t="inlineStr">
        <is>
          <t>否</t>
        </is>
      </c>
      <c r="O974" t="inlineStr">
        <is>
          <t>缺 PP</t>
        </is>
      </c>
    </row>
    <row r="975">
      <c r="A975" s="7" t="inlineStr">
        <is>
          <t>2011-07-11</t>
        </is>
      </c>
      <c r="B975" s="8" t="n"/>
      <c r="C975" s="8" t="n"/>
      <c r="D975" s="8" t="n"/>
      <c r="E975" s="8" t="n"/>
      <c r="F975" s="8" t="n"/>
      <c r="G975" s="8" t="n"/>
      <c r="H975" s="8" t="n">
        <v>11270</v>
      </c>
      <c r="I975" s="8" t="n">
        <v>11080</v>
      </c>
      <c r="J975" s="8" t="n">
        <v>11350</v>
      </c>
      <c r="K975" s="8" t="n">
        <v>11045</v>
      </c>
      <c r="L975" s="8" t="n">
        <v>651722</v>
      </c>
      <c r="M975" s="8" t="n">
        <v>262384</v>
      </c>
      <c r="N975" s="9" t="inlineStr">
        <is>
          <t>否</t>
        </is>
      </c>
      <c r="O975" t="inlineStr">
        <is>
          <t>缺 PP</t>
        </is>
      </c>
    </row>
    <row r="976">
      <c r="A976" s="7" t="inlineStr">
        <is>
          <t>2011-07-12</t>
        </is>
      </c>
      <c r="B976" s="8" t="n"/>
      <c r="C976" s="8" t="n"/>
      <c r="D976" s="8" t="n"/>
      <c r="E976" s="8" t="n"/>
      <c r="F976" s="8" t="n"/>
      <c r="G976" s="8" t="n"/>
      <c r="H976" s="8" t="n">
        <v>11200</v>
      </c>
      <c r="I976" s="8" t="n">
        <v>11255</v>
      </c>
      <c r="J976" s="8" t="n">
        <v>11320</v>
      </c>
      <c r="K976" s="8" t="n">
        <v>11050</v>
      </c>
      <c r="L976" s="8" t="n">
        <v>627504</v>
      </c>
      <c r="M976" s="8" t="n">
        <v>241936</v>
      </c>
      <c r="N976" s="9" t="inlineStr">
        <is>
          <t>否</t>
        </is>
      </c>
      <c r="O976" t="inlineStr">
        <is>
          <t>缺 PP</t>
        </is>
      </c>
    </row>
    <row r="977">
      <c r="A977" s="7" t="inlineStr">
        <is>
          <t>2011-07-13</t>
        </is>
      </c>
      <c r="B977" s="8" t="n"/>
      <c r="C977" s="8" t="n"/>
      <c r="D977" s="8" t="n"/>
      <c r="E977" s="8" t="n"/>
      <c r="F977" s="8" t="n"/>
      <c r="G977" s="8" t="n"/>
      <c r="H977" s="8" t="n">
        <v>11285</v>
      </c>
      <c r="I977" s="8" t="n">
        <v>11315</v>
      </c>
      <c r="J977" s="8" t="n">
        <v>11360</v>
      </c>
      <c r="K977" s="8" t="n">
        <v>11210</v>
      </c>
      <c r="L977" s="8" t="n">
        <v>497892</v>
      </c>
      <c r="M977" s="8" t="n">
        <v>225002</v>
      </c>
      <c r="N977" s="9" t="inlineStr">
        <is>
          <t>否</t>
        </is>
      </c>
      <c r="O977" t="inlineStr">
        <is>
          <t>缺 PP</t>
        </is>
      </c>
    </row>
    <row r="978">
      <c r="A978" s="7" t="inlineStr">
        <is>
          <t>2011-07-14</t>
        </is>
      </c>
      <c r="B978" s="8" t="n"/>
      <c r="C978" s="8" t="n"/>
      <c r="D978" s="8" t="n"/>
      <c r="E978" s="8" t="n"/>
      <c r="F978" s="8" t="n"/>
      <c r="G978" s="8" t="n"/>
      <c r="H978" s="8" t="n">
        <v>11245</v>
      </c>
      <c r="I978" s="8" t="n">
        <v>11285</v>
      </c>
      <c r="J978" s="8" t="n">
        <v>11305</v>
      </c>
      <c r="K978" s="8" t="n">
        <v>11195</v>
      </c>
      <c r="L978" s="8" t="n">
        <v>400730</v>
      </c>
      <c r="M978" s="8" t="n">
        <v>209954</v>
      </c>
      <c r="N978" s="9" t="inlineStr">
        <is>
          <t>否</t>
        </is>
      </c>
      <c r="O978" t="inlineStr">
        <is>
          <t>缺 PP</t>
        </is>
      </c>
    </row>
    <row r="979">
      <c r="A979" s="7" t="inlineStr">
        <is>
          <t>2011-07-15</t>
        </is>
      </c>
      <c r="B979" s="8" t="n"/>
      <c r="C979" s="8" t="n"/>
      <c r="D979" s="8" t="n"/>
      <c r="E979" s="8" t="n"/>
      <c r="F979" s="8" t="n"/>
      <c r="G979" s="8" t="n"/>
      <c r="H979" s="8" t="n">
        <v>11880</v>
      </c>
      <c r="I979" s="8" t="n">
        <v>11785</v>
      </c>
      <c r="J979" s="8" t="n">
        <v>11940</v>
      </c>
      <c r="K979" s="8" t="n">
        <v>11750</v>
      </c>
      <c r="L979" s="8" t="n">
        <v>479804</v>
      </c>
      <c r="M979" s="8" t="n">
        <v>176164</v>
      </c>
      <c r="N979" s="9" t="inlineStr">
        <is>
          <t>否</t>
        </is>
      </c>
      <c r="O979" t="inlineStr">
        <is>
          <t>缺 PP</t>
        </is>
      </c>
    </row>
    <row r="980">
      <c r="A980" s="7" t="inlineStr">
        <is>
          <t>2011-07-18</t>
        </is>
      </c>
      <c r="B980" s="8" t="n"/>
      <c r="C980" s="8" t="n"/>
      <c r="D980" s="8" t="n"/>
      <c r="E980" s="8" t="n"/>
      <c r="F980" s="8" t="n"/>
      <c r="G980" s="8" t="n"/>
      <c r="H980" s="8" t="n">
        <v>11795</v>
      </c>
      <c r="I980" s="8" t="n">
        <v>11915</v>
      </c>
      <c r="J980" s="8" t="n">
        <v>11970</v>
      </c>
      <c r="K980" s="8" t="n">
        <v>11785</v>
      </c>
      <c r="L980" s="8" t="n">
        <v>488506</v>
      </c>
      <c r="M980" s="8" t="n">
        <v>196420</v>
      </c>
      <c r="N980" s="9" t="inlineStr">
        <is>
          <t>否</t>
        </is>
      </c>
      <c r="O980" t="inlineStr">
        <is>
          <t>缺 PP</t>
        </is>
      </c>
    </row>
    <row r="981">
      <c r="A981" s="7" t="inlineStr">
        <is>
          <t>2011-07-19</t>
        </is>
      </c>
      <c r="B981" s="8" t="n"/>
      <c r="C981" s="8" t="n"/>
      <c r="D981" s="8" t="n"/>
      <c r="E981" s="8" t="n"/>
      <c r="F981" s="8" t="n"/>
      <c r="G981" s="8" t="n"/>
      <c r="H981" s="8" t="n">
        <v>11830</v>
      </c>
      <c r="I981" s="8" t="n">
        <v>11830</v>
      </c>
      <c r="J981" s="8" t="n">
        <v>11865</v>
      </c>
      <c r="K981" s="8" t="n">
        <v>11760</v>
      </c>
      <c r="L981" s="8" t="n">
        <v>476694</v>
      </c>
      <c r="M981" s="8" t="n">
        <v>200772</v>
      </c>
      <c r="N981" s="9" t="inlineStr">
        <is>
          <t>否</t>
        </is>
      </c>
      <c r="O981" t="inlineStr">
        <is>
          <t>缺 PP</t>
        </is>
      </c>
    </row>
    <row r="982">
      <c r="A982" s="7" t="inlineStr">
        <is>
          <t>2011-07-20</t>
        </is>
      </c>
      <c r="B982" s="8" t="n"/>
      <c r="C982" s="8" t="n"/>
      <c r="D982" s="8" t="n"/>
      <c r="E982" s="8" t="n"/>
      <c r="F982" s="8" t="n"/>
      <c r="G982" s="8" t="n"/>
      <c r="H982" s="8" t="n">
        <v>11735</v>
      </c>
      <c r="I982" s="8" t="n">
        <v>11880</v>
      </c>
      <c r="J982" s="8" t="n">
        <v>11930</v>
      </c>
      <c r="K982" s="8" t="n">
        <v>11705</v>
      </c>
      <c r="L982" s="8" t="n">
        <v>539840</v>
      </c>
      <c r="M982" s="8" t="n">
        <v>215354</v>
      </c>
      <c r="N982" s="9" t="inlineStr">
        <is>
          <t>否</t>
        </is>
      </c>
      <c r="O982" t="inlineStr">
        <is>
          <t>缺 PP</t>
        </is>
      </c>
    </row>
    <row r="983">
      <c r="A983" s="7" t="inlineStr">
        <is>
          <t>2011-07-21</t>
        </is>
      </c>
      <c r="B983" s="8" t="n"/>
      <c r="C983" s="8" t="n"/>
      <c r="D983" s="8" t="n"/>
      <c r="E983" s="8" t="n"/>
      <c r="F983" s="8" t="n"/>
      <c r="G983" s="8" t="n"/>
      <c r="H983" s="8" t="n">
        <v>11685</v>
      </c>
      <c r="I983" s="8" t="n">
        <v>11760</v>
      </c>
      <c r="J983" s="8" t="n">
        <v>11770</v>
      </c>
      <c r="K983" s="8" t="n">
        <v>11625</v>
      </c>
      <c r="L983" s="8" t="n">
        <v>521436</v>
      </c>
      <c r="M983" s="8" t="n">
        <v>218546</v>
      </c>
      <c r="N983" s="9" t="inlineStr">
        <is>
          <t>否</t>
        </is>
      </c>
      <c r="O983" t="inlineStr">
        <is>
          <t>缺 PP</t>
        </is>
      </c>
    </row>
    <row r="984">
      <c r="A984" s="7" t="inlineStr">
        <is>
          <t>2011-07-22</t>
        </is>
      </c>
      <c r="B984" s="8" t="n"/>
      <c r="C984" s="8" t="n"/>
      <c r="D984" s="8" t="n"/>
      <c r="E984" s="8" t="n"/>
      <c r="F984" s="8" t="n"/>
      <c r="G984" s="8" t="n"/>
      <c r="H984" s="8" t="n">
        <v>11890</v>
      </c>
      <c r="I984" s="8" t="n">
        <v>11710</v>
      </c>
      <c r="J984" s="8" t="n">
        <v>11890</v>
      </c>
      <c r="K984" s="8" t="n">
        <v>11710</v>
      </c>
      <c r="L984" s="8" t="n">
        <v>572136</v>
      </c>
      <c r="M984" s="8" t="n">
        <v>231494</v>
      </c>
      <c r="N984" s="9" t="inlineStr">
        <is>
          <t>否</t>
        </is>
      </c>
      <c r="O984" t="inlineStr">
        <is>
          <t>缺 PP</t>
        </is>
      </c>
    </row>
    <row r="985">
      <c r="A985" s="7" t="inlineStr">
        <is>
          <t>2011-07-25</t>
        </is>
      </c>
      <c r="B985" s="8" t="n"/>
      <c r="C985" s="8" t="n"/>
      <c r="D985" s="8" t="n"/>
      <c r="E985" s="8" t="n"/>
      <c r="F985" s="8" t="n"/>
      <c r="G985" s="8" t="n"/>
      <c r="H985" s="8" t="n">
        <v>11835</v>
      </c>
      <c r="I985" s="8" t="n">
        <v>11880</v>
      </c>
      <c r="J985" s="8" t="n">
        <v>11945</v>
      </c>
      <c r="K985" s="8" t="n">
        <v>11815</v>
      </c>
      <c r="L985" s="8" t="n">
        <v>490782</v>
      </c>
      <c r="M985" s="8" t="n">
        <v>228080</v>
      </c>
      <c r="N985" s="9" t="inlineStr">
        <is>
          <t>否</t>
        </is>
      </c>
      <c r="O985" t="inlineStr">
        <is>
          <t>缺 PP</t>
        </is>
      </c>
    </row>
    <row r="986">
      <c r="A986" s="7" t="inlineStr">
        <is>
          <t>2011-07-26</t>
        </is>
      </c>
      <c r="B986" s="8" t="n"/>
      <c r="C986" s="8" t="n"/>
      <c r="D986" s="8" t="n"/>
      <c r="E986" s="8" t="n"/>
      <c r="F986" s="8" t="n"/>
      <c r="G986" s="8" t="n"/>
      <c r="H986" s="8" t="n">
        <v>12180</v>
      </c>
      <c r="I986" s="8" t="n">
        <v>11860</v>
      </c>
      <c r="J986" s="8" t="n">
        <v>12210</v>
      </c>
      <c r="K986" s="8" t="n">
        <v>11840</v>
      </c>
      <c r="L986" s="8" t="n">
        <v>1009894</v>
      </c>
      <c r="M986" s="8" t="n">
        <v>311068</v>
      </c>
      <c r="N986" s="9" t="inlineStr">
        <is>
          <t>否</t>
        </is>
      </c>
      <c r="O986" t="inlineStr">
        <is>
          <t>缺 PP</t>
        </is>
      </c>
    </row>
    <row r="987">
      <c r="A987" s="7" t="inlineStr">
        <is>
          <t>2011-07-27</t>
        </is>
      </c>
      <c r="B987" s="8" t="n"/>
      <c r="C987" s="8" t="n"/>
      <c r="D987" s="8" t="n"/>
      <c r="E987" s="8" t="n"/>
      <c r="F987" s="8" t="n"/>
      <c r="G987" s="8" t="n"/>
      <c r="H987" s="8" t="n">
        <v>12185</v>
      </c>
      <c r="I987" s="8" t="n">
        <v>12190</v>
      </c>
      <c r="J987" s="8" t="n">
        <v>12260</v>
      </c>
      <c r="K987" s="8" t="n">
        <v>12130</v>
      </c>
      <c r="L987" s="8" t="n">
        <v>475272</v>
      </c>
      <c r="M987" s="8" t="n">
        <v>274562</v>
      </c>
      <c r="N987" s="9" t="inlineStr">
        <is>
          <t>否</t>
        </is>
      </c>
      <c r="O987" t="inlineStr">
        <is>
          <t>缺 PP</t>
        </is>
      </c>
    </row>
    <row r="988">
      <c r="A988" s="7" t="inlineStr">
        <is>
          <t>2011-07-28</t>
        </is>
      </c>
      <c r="B988" s="8" t="n"/>
      <c r="C988" s="8" t="n"/>
      <c r="D988" s="8" t="n"/>
      <c r="E988" s="8" t="n"/>
      <c r="F988" s="8" t="n"/>
      <c r="G988" s="8" t="n"/>
      <c r="H988" s="8" t="n">
        <v>12145</v>
      </c>
      <c r="I988" s="8" t="n">
        <v>12110</v>
      </c>
      <c r="J988" s="8" t="n">
        <v>12235</v>
      </c>
      <c r="K988" s="8" t="n">
        <v>12105</v>
      </c>
      <c r="L988" s="8" t="n">
        <v>606558</v>
      </c>
      <c r="M988" s="8" t="n">
        <v>276828</v>
      </c>
      <c r="N988" s="9" t="inlineStr">
        <is>
          <t>否</t>
        </is>
      </c>
      <c r="O988" t="inlineStr">
        <is>
          <t>缺 PP</t>
        </is>
      </c>
    </row>
    <row r="989">
      <c r="A989" s="7" t="inlineStr">
        <is>
          <t>2011-07-29</t>
        </is>
      </c>
      <c r="B989" s="8" t="n"/>
      <c r="C989" s="8" t="n"/>
      <c r="D989" s="8" t="n"/>
      <c r="E989" s="8" t="n"/>
      <c r="F989" s="8" t="n"/>
      <c r="G989" s="8" t="n"/>
      <c r="H989" s="8" t="n">
        <v>12095</v>
      </c>
      <c r="I989" s="8" t="n">
        <v>12175</v>
      </c>
      <c r="J989" s="8" t="n">
        <v>12225</v>
      </c>
      <c r="K989" s="8" t="n">
        <v>12075</v>
      </c>
      <c r="L989" s="8" t="n">
        <v>405842</v>
      </c>
      <c r="M989" s="8" t="n">
        <v>260436</v>
      </c>
      <c r="N989" s="9" t="inlineStr">
        <is>
          <t>否</t>
        </is>
      </c>
      <c r="O989" t="inlineStr">
        <is>
          <t>缺 PP</t>
        </is>
      </c>
    </row>
    <row r="990">
      <c r="A990" s="7" t="inlineStr">
        <is>
          <t>2011-08-01</t>
        </is>
      </c>
      <c r="B990" s="8" t="n"/>
      <c r="C990" s="8" t="n"/>
      <c r="D990" s="8" t="n"/>
      <c r="E990" s="8" t="n"/>
      <c r="F990" s="8" t="n"/>
      <c r="G990" s="8" t="n"/>
      <c r="H990" s="8" t="n">
        <v>12180</v>
      </c>
      <c r="I990" s="8" t="n">
        <v>12200</v>
      </c>
      <c r="J990" s="8" t="n">
        <v>12275</v>
      </c>
      <c r="K990" s="8" t="n">
        <v>12130</v>
      </c>
      <c r="L990" s="8" t="n">
        <v>381398</v>
      </c>
      <c r="M990" s="8" t="n">
        <v>253494</v>
      </c>
      <c r="N990" s="9" t="inlineStr">
        <is>
          <t>否</t>
        </is>
      </c>
      <c r="O990" t="inlineStr">
        <is>
          <t>缺 PP</t>
        </is>
      </c>
    </row>
    <row r="991">
      <c r="A991" s="7" t="inlineStr">
        <is>
          <t>2011-08-02</t>
        </is>
      </c>
      <c r="B991" s="8" t="n"/>
      <c r="C991" s="8" t="n"/>
      <c r="D991" s="8" t="n"/>
      <c r="E991" s="8" t="n"/>
      <c r="F991" s="8" t="n"/>
      <c r="G991" s="8" t="n"/>
      <c r="H991" s="8" t="n">
        <v>12145</v>
      </c>
      <c r="I991" s="8" t="n">
        <v>12100</v>
      </c>
      <c r="J991" s="8" t="n">
        <v>12180</v>
      </c>
      <c r="K991" s="8" t="n">
        <v>12080</v>
      </c>
      <c r="L991" s="8" t="n">
        <v>329640</v>
      </c>
      <c r="M991" s="8" t="n">
        <v>274110</v>
      </c>
      <c r="N991" s="9" t="inlineStr">
        <is>
          <t>否</t>
        </is>
      </c>
      <c r="O991" t="inlineStr">
        <is>
          <t>缺 PP</t>
        </is>
      </c>
    </row>
    <row r="992">
      <c r="A992" s="7" t="inlineStr">
        <is>
          <t>2011-08-03</t>
        </is>
      </c>
      <c r="B992" s="8" t="n"/>
      <c r="C992" s="8" t="n"/>
      <c r="D992" s="8" t="n"/>
      <c r="E992" s="8" t="n"/>
      <c r="F992" s="8" t="n"/>
      <c r="G992" s="8" t="n"/>
      <c r="H992" s="8" t="n">
        <v>12060</v>
      </c>
      <c r="I992" s="8" t="n">
        <v>12130</v>
      </c>
      <c r="J992" s="8" t="n">
        <v>12170</v>
      </c>
      <c r="K992" s="8" t="n">
        <v>12040</v>
      </c>
      <c r="L992" s="8" t="n">
        <v>445828</v>
      </c>
      <c r="M992" s="8" t="n">
        <v>280332</v>
      </c>
      <c r="N992" s="9" t="inlineStr">
        <is>
          <t>否</t>
        </is>
      </c>
      <c r="O992" t="inlineStr">
        <is>
          <t>缺 PP</t>
        </is>
      </c>
    </row>
    <row r="993">
      <c r="A993" s="7" t="inlineStr">
        <is>
          <t>2011-08-04</t>
        </is>
      </c>
      <c r="B993" s="8" t="n"/>
      <c r="C993" s="8" t="n"/>
      <c r="D993" s="8" t="n"/>
      <c r="E993" s="8" t="n"/>
      <c r="F993" s="8" t="n"/>
      <c r="G993" s="8" t="n"/>
      <c r="H993" s="8" t="n">
        <v>11800</v>
      </c>
      <c r="I993" s="8" t="n">
        <v>12010</v>
      </c>
      <c r="J993" s="8" t="n">
        <v>12035</v>
      </c>
      <c r="K993" s="8" t="n">
        <v>11745</v>
      </c>
      <c r="L993" s="8" t="n">
        <v>620124</v>
      </c>
      <c r="M993" s="8" t="n">
        <v>266872</v>
      </c>
      <c r="N993" s="9" t="inlineStr">
        <is>
          <t>否</t>
        </is>
      </c>
      <c r="O993" t="inlineStr">
        <is>
          <t>缺 PP</t>
        </is>
      </c>
    </row>
    <row r="994">
      <c r="A994" s="7" t="inlineStr">
        <is>
          <t>2011-08-05</t>
        </is>
      </c>
      <c r="B994" s="8" t="n"/>
      <c r="C994" s="8" t="n"/>
      <c r="D994" s="8" t="n"/>
      <c r="E994" s="8" t="n"/>
      <c r="F994" s="8" t="n"/>
      <c r="G994" s="8" t="n"/>
      <c r="H994" s="8" t="n">
        <v>11255</v>
      </c>
      <c r="I994" s="8" t="n">
        <v>11500</v>
      </c>
      <c r="J994" s="8" t="n">
        <v>11500</v>
      </c>
      <c r="K994" s="8" t="n">
        <v>11255</v>
      </c>
      <c r="L994" s="8" t="n">
        <v>243590</v>
      </c>
      <c r="M994" s="8" t="n">
        <v>238498</v>
      </c>
      <c r="N994" s="9" t="inlineStr">
        <is>
          <t>否</t>
        </is>
      </c>
      <c r="O994" t="inlineStr">
        <is>
          <t>缺 PP</t>
        </is>
      </c>
    </row>
    <row r="995">
      <c r="A995" s="7" t="inlineStr">
        <is>
          <t>2011-08-08</t>
        </is>
      </c>
      <c r="B995" s="8" t="n"/>
      <c r="C995" s="8" t="n"/>
      <c r="D995" s="8" t="n"/>
      <c r="E995" s="8" t="n"/>
      <c r="F995" s="8" t="n"/>
      <c r="G995" s="8" t="n"/>
      <c r="H995" s="8" t="n">
        <v>11005</v>
      </c>
      <c r="I995" s="8" t="n">
        <v>11005</v>
      </c>
      <c r="J995" s="8" t="n">
        <v>11170</v>
      </c>
      <c r="K995" s="8" t="n">
        <v>10855</v>
      </c>
      <c r="L995" s="8" t="n">
        <v>794302</v>
      </c>
      <c r="M995" s="8" t="n">
        <v>231052</v>
      </c>
      <c r="N995" s="9" t="inlineStr">
        <is>
          <t>否</t>
        </is>
      </c>
      <c r="O995" t="inlineStr">
        <is>
          <t>缺 PP</t>
        </is>
      </c>
    </row>
    <row r="996">
      <c r="A996" s="7" t="inlineStr">
        <is>
          <t>2011-08-09</t>
        </is>
      </c>
      <c r="B996" s="8" t="n"/>
      <c r="C996" s="8" t="n"/>
      <c r="D996" s="8" t="n"/>
      <c r="E996" s="8" t="n"/>
      <c r="F996" s="8" t="n"/>
      <c r="G996" s="8" t="n"/>
      <c r="H996" s="8" t="n">
        <v>10660</v>
      </c>
      <c r="I996" s="8" t="n">
        <v>10490</v>
      </c>
      <c r="J996" s="8" t="n">
        <v>10750</v>
      </c>
      <c r="K996" s="8" t="n">
        <v>10490</v>
      </c>
      <c r="L996" s="8" t="n">
        <v>794226</v>
      </c>
      <c r="M996" s="8" t="n">
        <v>236736</v>
      </c>
      <c r="N996" s="9" t="inlineStr">
        <is>
          <t>否</t>
        </is>
      </c>
      <c r="O996" t="inlineStr">
        <is>
          <t>缺 PP</t>
        </is>
      </c>
    </row>
    <row r="997">
      <c r="A997" s="7" t="inlineStr">
        <is>
          <t>2011-08-10</t>
        </is>
      </c>
      <c r="B997" s="8" t="n"/>
      <c r="C997" s="8" t="n"/>
      <c r="D997" s="8" t="n"/>
      <c r="E997" s="8" t="n"/>
      <c r="F997" s="8" t="n"/>
      <c r="G997" s="8" t="n"/>
      <c r="H997" s="8" t="n">
        <v>10845</v>
      </c>
      <c r="I997" s="8" t="n">
        <v>10800</v>
      </c>
      <c r="J997" s="8" t="n">
        <v>10965</v>
      </c>
      <c r="K997" s="8" t="n">
        <v>10750</v>
      </c>
      <c r="L997" s="8" t="n">
        <v>811074</v>
      </c>
      <c r="M997" s="8" t="n">
        <v>249668</v>
      </c>
      <c r="N997" s="9" t="inlineStr">
        <is>
          <t>否</t>
        </is>
      </c>
      <c r="O997" t="inlineStr">
        <is>
          <t>缺 PP</t>
        </is>
      </c>
    </row>
    <row r="998">
      <c r="A998" s="7" t="inlineStr">
        <is>
          <t>2011-08-11</t>
        </is>
      </c>
      <c r="B998" s="8" t="n"/>
      <c r="C998" s="8" t="n"/>
      <c r="D998" s="8" t="n"/>
      <c r="E998" s="8" t="n"/>
      <c r="F998" s="8" t="n"/>
      <c r="G998" s="8" t="n"/>
      <c r="H998" s="8" t="n">
        <v>10955</v>
      </c>
      <c r="I998" s="8" t="n">
        <v>10690</v>
      </c>
      <c r="J998" s="8" t="n">
        <v>10955</v>
      </c>
      <c r="K998" s="8" t="n">
        <v>10690</v>
      </c>
      <c r="L998" s="8" t="n">
        <v>741456</v>
      </c>
      <c r="M998" s="8" t="n">
        <v>255334</v>
      </c>
      <c r="N998" s="9" t="inlineStr">
        <is>
          <t>否</t>
        </is>
      </c>
      <c r="O998" t="inlineStr">
        <is>
          <t>缺 PP</t>
        </is>
      </c>
    </row>
    <row r="999">
      <c r="A999" s="7" t="inlineStr">
        <is>
          <t>2011-08-12</t>
        </is>
      </c>
      <c r="B999" s="8" t="n"/>
      <c r="C999" s="8" t="n"/>
      <c r="D999" s="8" t="n"/>
      <c r="E999" s="8" t="n"/>
      <c r="F999" s="8" t="n"/>
      <c r="G999" s="8" t="n"/>
      <c r="H999" s="8" t="n">
        <v>10995</v>
      </c>
      <c r="I999" s="8" t="n">
        <v>11055</v>
      </c>
      <c r="J999" s="8" t="n">
        <v>11190</v>
      </c>
      <c r="K999" s="8" t="n">
        <v>10970</v>
      </c>
      <c r="L999" s="8" t="n">
        <v>811372</v>
      </c>
      <c r="M999" s="8" t="n">
        <v>236806</v>
      </c>
      <c r="N999" s="9" t="inlineStr">
        <is>
          <t>否</t>
        </is>
      </c>
      <c r="O999" t="inlineStr">
        <is>
          <t>缺 PP</t>
        </is>
      </c>
    </row>
    <row r="1000">
      <c r="A1000" s="7" t="inlineStr">
        <is>
          <t>2011-08-15</t>
        </is>
      </c>
      <c r="B1000" s="8" t="n"/>
      <c r="C1000" s="8" t="n"/>
      <c r="D1000" s="8" t="n"/>
      <c r="E1000" s="8" t="n"/>
      <c r="F1000" s="8" t="n"/>
      <c r="G1000" s="8" t="n"/>
      <c r="H1000" s="8" t="n">
        <v>11050</v>
      </c>
      <c r="I1000" s="8" t="n">
        <v>11150</v>
      </c>
      <c r="J1000" s="8" t="n">
        <v>11220</v>
      </c>
      <c r="K1000" s="8" t="n">
        <v>11050</v>
      </c>
      <c r="L1000" s="8" t="n">
        <v>681000</v>
      </c>
      <c r="M1000" s="8" t="n">
        <v>259590</v>
      </c>
      <c r="N1000" s="9" t="inlineStr">
        <is>
          <t>否</t>
        </is>
      </c>
      <c r="O1000" t="inlineStr">
        <is>
          <t>缺 PP</t>
        </is>
      </c>
    </row>
    <row r="1001">
      <c r="A1001" s="7" t="inlineStr">
        <is>
          <t>2011-08-16</t>
        </is>
      </c>
      <c r="B1001" s="8" t="n"/>
      <c r="C1001" s="8" t="n"/>
      <c r="D1001" s="8" t="n"/>
      <c r="E1001" s="8" t="n"/>
      <c r="F1001" s="8" t="n"/>
      <c r="G1001" s="8" t="n"/>
      <c r="H1001" s="8" t="n">
        <v>10760</v>
      </c>
      <c r="I1001" s="8" t="n">
        <v>11080</v>
      </c>
      <c r="J1001" s="8" t="n">
        <v>11145</v>
      </c>
      <c r="K1001" s="8" t="n">
        <v>10600</v>
      </c>
      <c r="L1001" s="8" t="n">
        <v>929440</v>
      </c>
      <c r="M1001" s="8" t="n">
        <v>257284</v>
      </c>
      <c r="N1001" s="9" t="inlineStr">
        <is>
          <t>否</t>
        </is>
      </c>
      <c r="O1001" t="inlineStr">
        <is>
          <t>缺 PP</t>
        </is>
      </c>
    </row>
    <row r="1002">
      <c r="A1002" s="7" t="inlineStr">
        <is>
          <t>2011-08-17</t>
        </is>
      </c>
      <c r="B1002" s="8" t="n"/>
      <c r="C1002" s="8" t="n"/>
      <c r="D1002" s="8" t="n"/>
      <c r="E1002" s="8" t="n"/>
      <c r="F1002" s="8" t="n"/>
      <c r="G1002" s="8" t="n"/>
      <c r="H1002" s="8" t="n">
        <v>10935</v>
      </c>
      <c r="I1002" s="8" t="n">
        <v>10780</v>
      </c>
      <c r="J1002" s="8" t="n">
        <v>10990</v>
      </c>
      <c r="K1002" s="8" t="n">
        <v>10730</v>
      </c>
      <c r="L1002" s="8" t="n">
        <v>1249442</v>
      </c>
      <c r="M1002" s="8" t="n">
        <v>254926</v>
      </c>
      <c r="N1002" s="9" t="inlineStr">
        <is>
          <t>否</t>
        </is>
      </c>
      <c r="O1002" t="inlineStr">
        <is>
          <t>缺 PP</t>
        </is>
      </c>
    </row>
    <row r="1003">
      <c r="A1003" s="7" t="inlineStr">
        <is>
          <t>2011-08-18</t>
        </is>
      </c>
      <c r="B1003" s="8" t="n"/>
      <c r="C1003" s="8" t="n"/>
      <c r="D1003" s="8" t="n"/>
      <c r="E1003" s="8" t="n"/>
      <c r="F1003" s="8" t="n"/>
      <c r="G1003" s="8" t="n"/>
      <c r="H1003" s="8" t="n">
        <v>10790</v>
      </c>
      <c r="I1003" s="8" t="n">
        <v>10955</v>
      </c>
      <c r="J1003" s="8" t="n">
        <v>11000</v>
      </c>
      <c r="K1003" s="8" t="n">
        <v>10770</v>
      </c>
      <c r="L1003" s="8" t="n">
        <v>1032706</v>
      </c>
      <c r="M1003" s="8" t="n">
        <v>266142</v>
      </c>
      <c r="N1003" s="9" t="inlineStr">
        <is>
          <t>否</t>
        </is>
      </c>
      <c r="O1003" t="inlineStr">
        <is>
          <t>缺 PP</t>
        </is>
      </c>
    </row>
    <row r="1004">
      <c r="A1004" s="7" t="inlineStr">
        <is>
          <t>2011-08-19</t>
        </is>
      </c>
      <c r="B1004" s="8" t="n"/>
      <c r="C1004" s="8" t="n"/>
      <c r="D1004" s="8" t="n"/>
      <c r="E1004" s="8" t="n"/>
      <c r="F1004" s="8" t="n"/>
      <c r="G1004" s="8" t="n"/>
      <c r="H1004" s="8" t="n">
        <v>10695</v>
      </c>
      <c r="I1004" s="8" t="n">
        <v>10500</v>
      </c>
      <c r="J1004" s="8" t="n">
        <v>10750</v>
      </c>
      <c r="K1004" s="8" t="n">
        <v>10450</v>
      </c>
      <c r="L1004" s="8" t="n">
        <v>1554476</v>
      </c>
      <c r="M1004" s="8" t="n">
        <v>290992</v>
      </c>
      <c r="N1004" s="9" t="inlineStr">
        <is>
          <t>否</t>
        </is>
      </c>
      <c r="O1004" t="inlineStr">
        <is>
          <t>缺 PP</t>
        </is>
      </c>
    </row>
    <row r="1005">
      <c r="A1005" s="7" t="inlineStr">
        <is>
          <t>2011-08-22</t>
        </is>
      </c>
      <c r="B1005" s="8" t="n"/>
      <c r="C1005" s="8" t="n"/>
      <c r="D1005" s="8" t="n"/>
      <c r="E1005" s="8" t="n"/>
      <c r="F1005" s="8" t="n"/>
      <c r="G1005" s="8" t="n"/>
      <c r="H1005" s="8" t="n">
        <v>10560</v>
      </c>
      <c r="I1005" s="8" t="n">
        <v>10700</v>
      </c>
      <c r="J1005" s="8" t="n">
        <v>10780</v>
      </c>
      <c r="K1005" s="8" t="n">
        <v>10550</v>
      </c>
      <c r="L1005" s="8" t="n">
        <v>1146614</v>
      </c>
      <c r="M1005" s="8" t="n">
        <v>305408</v>
      </c>
      <c r="N1005" s="9" t="inlineStr">
        <is>
          <t>否</t>
        </is>
      </c>
      <c r="O1005" t="inlineStr">
        <is>
          <t>缺 PP</t>
        </is>
      </c>
    </row>
    <row r="1006">
      <c r="A1006" s="7" t="inlineStr">
        <is>
          <t>2011-08-23</t>
        </is>
      </c>
      <c r="B1006" s="8" t="n"/>
      <c r="C1006" s="8" t="n"/>
      <c r="D1006" s="8" t="n"/>
      <c r="E1006" s="8" t="n"/>
      <c r="F1006" s="8" t="n"/>
      <c r="G1006" s="8" t="n"/>
      <c r="H1006" s="8" t="n">
        <v>10865</v>
      </c>
      <c r="I1006" s="8" t="n">
        <v>10650</v>
      </c>
      <c r="J1006" s="8" t="n">
        <v>10890</v>
      </c>
      <c r="K1006" s="8" t="n">
        <v>10635</v>
      </c>
      <c r="L1006" s="8" t="n">
        <v>1191888</v>
      </c>
      <c r="M1006" s="8" t="n">
        <v>285834</v>
      </c>
      <c r="N1006" s="9" t="inlineStr">
        <is>
          <t>否</t>
        </is>
      </c>
      <c r="O1006" t="inlineStr">
        <is>
          <t>缺 PP</t>
        </is>
      </c>
    </row>
    <row r="1007">
      <c r="A1007" s="7" t="inlineStr">
        <is>
          <t>2011-08-24</t>
        </is>
      </c>
      <c r="B1007" s="8" t="n"/>
      <c r="C1007" s="8" t="n"/>
      <c r="D1007" s="8" t="n"/>
      <c r="E1007" s="8" t="n"/>
      <c r="F1007" s="8" t="n"/>
      <c r="G1007" s="8" t="n"/>
      <c r="H1007" s="8" t="n">
        <v>10860</v>
      </c>
      <c r="I1007" s="8" t="n">
        <v>10900</v>
      </c>
      <c r="J1007" s="8" t="n">
        <v>10930</v>
      </c>
      <c r="K1007" s="8" t="n">
        <v>10810</v>
      </c>
      <c r="L1007" s="8" t="n">
        <v>963398</v>
      </c>
      <c r="M1007" s="8" t="n">
        <v>300130</v>
      </c>
      <c r="N1007" s="9" t="inlineStr">
        <is>
          <t>否</t>
        </is>
      </c>
      <c r="O1007" t="inlineStr">
        <is>
          <t>缺 PP</t>
        </is>
      </c>
    </row>
    <row r="1008">
      <c r="A1008" s="7" t="inlineStr">
        <is>
          <t>2011-08-25</t>
        </is>
      </c>
      <c r="B1008" s="8" t="n"/>
      <c r="C1008" s="8" t="n"/>
      <c r="D1008" s="8" t="n"/>
      <c r="E1008" s="8" t="n"/>
      <c r="F1008" s="8" t="n"/>
      <c r="G1008" s="8" t="n"/>
      <c r="H1008" s="8" t="n">
        <v>10860</v>
      </c>
      <c r="I1008" s="8" t="n">
        <v>10875</v>
      </c>
      <c r="J1008" s="8" t="n">
        <v>10945</v>
      </c>
      <c r="K1008" s="8" t="n">
        <v>10790</v>
      </c>
      <c r="L1008" s="8" t="n">
        <v>905116</v>
      </c>
      <c r="M1008" s="8" t="n">
        <v>272166</v>
      </c>
      <c r="N1008" s="9" t="inlineStr">
        <is>
          <t>否</t>
        </is>
      </c>
      <c r="O1008" t="inlineStr">
        <is>
          <t>缺 PP</t>
        </is>
      </c>
    </row>
    <row r="1009">
      <c r="A1009" s="7" t="inlineStr">
        <is>
          <t>2011-08-26</t>
        </is>
      </c>
      <c r="B1009" s="8" t="n"/>
      <c r="C1009" s="8" t="n"/>
      <c r="D1009" s="8" t="n"/>
      <c r="E1009" s="8" t="n"/>
      <c r="F1009" s="8" t="n"/>
      <c r="G1009" s="8" t="n"/>
      <c r="H1009" s="8" t="n">
        <v>10895</v>
      </c>
      <c r="I1009" s="8" t="n">
        <v>10880</v>
      </c>
      <c r="J1009" s="8" t="n">
        <v>10915</v>
      </c>
      <c r="K1009" s="8" t="n">
        <v>10825</v>
      </c>
      <c r="L1009" s="8" t="n">
        <v>657272</v>
      </c>
      <c r="M1009" s="8" t="n">
        <v>262972</v>
      </c>
      <c r="N1009" s="9" t="inlineStr">
        <is>
          <t>否</t>
        </is>
      </c>
      <c r="O1009" t="inlineStr">
        <is>
          <t>缺 PP</t>
        </is>
      </c>
    </row>
    <row r="1010">
      <c r="A1010" s="7" t="inlineStr">
        <is>
          <t>2011-08-29</t>
        </is>
      </c>
      <c r="B1010" s="8" t="n"/>
      <c r="C1010" s="8" t="n"/>
      <c r="D1010" s="8" t="n"/>
      <c r="E1010" s="8" t="n"/>
      <c r="F1010" s="8" t="n"/>
      <c r="G1010" s="8" t="n"/>
      <c r="H1010" s="8" t="n">
        <v>10900</v>
      </c>
      <c r="I1010" s="8" t="n">
        <v>10915</v>
      </c>
      <c r="J1010" s="8" t="n">
        <v>10950</v>
      </c>
      <c r="K1010" s="8" t="n">
        <v>10835</v>
      </c>
      <c r="L1010" s="8" t="n">
        <v>451772</v>
      </c>
      <c r="M1010" s="8" t="n">
        <v>264706</v>
      </c>
      <c r="N1010" s="9" t="inlineStr">
        <is>
          <t>否</t>
        </is>
      </c>
      <c r="O1010" t="inlineStr">
        <is>
          <t>缺 PP</t>
        </is>
      </c>
    </row>
    <row r="1011">
      <c r="A1011" s="7" t="inlineStr">
        <is>
          <t>2011-08-30</t>
        </is>
      </c>
      <c r="B1011" s="8" t="n"/>
      <c r="C1011" s="8" t="n"/>
      <c r="D1011" s="8" t="n"/>
      <c r="E1011" s="8" t="n"/>
      <c r="F1011" s="8" t="n"/>
      <c r="G1011" s="8" t="n"/>
      <c r="H1011" s="8" t="n">
        <v>11055</v>
      </c>
      <c r="I1011" s="8" t="n">
        <v>10980</v>
      </c>
      <c r="J1011" s="8" t="n">
        <v>11120</v>
      </c>
      <c r="K1011" s="8" t="n">
        <v>10950</v>
      </c>
      <c r="L1011" s="8" t="n">
        <v>740514</v>
      </c>
      <c r="M1011" s="8" t="n">
        <v>260218</v>
      </c>
      <c r="N1011" s="9" t="inlineStr">
        <is>
          <t>否</t>
        </is>
      </c>
      <c r="O1011" t="inlineStr">
        <is>
          <t>缺 PP</t>
        </is>
      </c>
    </row>
    <row r="1012">
      <c r="A1012" s="7" t="inlineStr">
        <is>
          <t>2011-08-31</t>
        </is>
      </c>
      <c r="B1012" s="8" t="n"/>
      <c r="C1012" s="8" t="n"/>
      <c r="D1012" s="8" t="n"/>
      <c r="E1012" s="8" t="n"/>
      <c r="F1012" s="8" t="n"/>
      <c r="G1012" s="8" t="n"/>
      <c r="H1012" s="8" t="n">
        <v>11065</v>
      </c>
      <c r="I1012" s="8" t="n">
        <v>11080</v>
      </c>
      <c r="J1012" s="8" t="n">
        <v>11115</v>
      </c>
      <c r="K1012" s="8" t="n">
        <v>11025</v>
      </c>
      <c r="L1012" s="8" t="n">
        <v>416612</v>
      </c>
      <c r="M1012" s="8" t="n">
        <v>269600</v>
      </c>
      <c r="N1012" s="9" t="inlineStr">
        <is>
          <t>否</t>
        </is>
      </c>
      <c r="O1012" t="inlineStr">
        <is>
          <t>缺 PP</t>
        </is>
      </c>
    </row>
    <row r="1013">
      <c r="A1013" s="7" t="inlineStr">
        <is>
          <t>2011-09-01</t>
        </is>
      </c>
      <c r="B1013" s="8" t="n"/>
      <c r="C1013" s="8" t="n"/>
      <c r="D1013" s="8" t="n"/>
      <c r="E1013" s="8" t="n"/>
      <c r="F1013" s="8" t="n"/>
      <c r="G1013" s="8" t="n"/>
      <c r="H1013" s="8" t="n">
        <v>10815</v>
      </c>
      <c r="I1013" s="8" t="n">
        <v>11075</v>
      </c>
      <c r="J1013" s="8" t="n">
        <v>11080</v>
      </c>
      <c r="K1013" s="8" t="n">
        <v>10810</v>
      </c>
      <c r="L1013" s="8" t="n">
        <v>821460</v>
      </c>
      <c r="M1013" s="8" t="n">
        <v>315612</v>
      </c>
      <c r="N1013" s="9" t="inlineStr">
        <is>
          <t>否</t>
        </is>
      </c>
      <c r="O1013" t="inlineStr">
        <is>
          <t>缺 PP</t>
        </is>
      </c>
    </row>
    <row r="1014">
      <c r="A1014" s="7" t="inlineStr">
        <is>
          <t>2011-09-02</t>
        </is>
      </c>
      <c r="B1014" s="8" t="n"/>
      <c r="C1014" s="8" t="n"/>
      <c r="D1014" s="8" t="n"/>
      <c r="E1014" s="8" t="n"/>
      <c r="F1014" s="8" t="n"/>
      <c r="G1014" s="8" t="n"/>
      <c r="H1014" s="8" t="n">
        <v>10820</v>
      </c>
      <c r="I1014" s="8" t="n">
        <v>10830</v>
      </c>
      <c r="J1014" s="8" t="n">
        <v>10870</v>
      </c>
      <c r="K1014" s="8" t="n">
        <v>10760</v>
      </c>
      <c r="L1014" s="8" t="n">
        <v>610980</v>
      </c>
      <c r="M1014" s="8" t="n">
        <v>294134</v>
      </c>
      <c r="N1014" s="9" t="inlineStr">
        <is>
          <t>否</t>
        </is>
      </c>
      <c r="O1014" t="inlineStr">
        <is>
          <t>缺 PP</t>
        </is>
      </c>
    </row>
    <row r="1015">
      <c r="A1015" s="7" t="inlineStr">
        <is>
          <t>2011-09-05</t>
        </is>
      </c>
      <c r="B1015" s="8" t="n"/>
      <c r="C1015" s="8" t="n"/>
      <c r="D1015" s="8" t="n"/>
      <c r="E1015" s="8" t="n"/>
      <c r="F1015" s="8" t="n"/>
      <c r="G1015" s="8" t="n"/>
      <c r="H1015" s="8" t="n">
        <v>10750</v>
      </c>
      <c r="I1015" s="8" t="n">
        <v>10710</v>
      </c>
      <c r="J1015" s="8" t="n">
        <v>10880</v>
      </c>
      <c r="K1015" s="8" t="n">
        <v>10710</v>
      </c>
      <c r="L1015" s="8" t="n">
        <v>687010</v>
      </c>
      <c r="M1015" s="8" t="n">
        <v>300166</v>
      </c>
      <c r="N1015" s="9" t="inlineStr">
        <is>
          <t>否</t>
        </is>
      </c>
      <c r="O1015" t="inlineStr">
        <is>
          <t>缺 PP</t>
        </is>
      </c>
    </row>
    <row r="1016">
      <c r="A1016" s="7" t="inlineStr">
        <is>
          <t>2011-09-06</t>
        </is>
      </c>
      <c r="B1016" s="8" t="n"/>
      <c r="C1016" s="8" t="n"/>
      <c r="D1016" s="8" t="n"/>
      <c r="E1016" s="8" t="n"/>
      <c r="F1016" s="8" t="n"/>
      <c r="G1016" s="8" t="n"/>
      <c r="H1016" s="8" t="n">
        <v>10770</v>
      </c>
      <c r="I1016" s="8" t="n">
        <v>10750</v>
      </c>
      <c r="J1016" s="8" t="n">
        <v>10825</v>
      </c>
      <c r="K1016" s="8" t="n">
        <v>10610</v>
      </c>
      <c r="L1016" s="8" t="n">
        <v>877098</v>
      </c>
      <c r="M1016" s="8" t="n">
        <v>285236</v>
      </c>
      <c r="N1016" s="9" t="inlineStr">
        <is>
          <t>否</t>
        </is>
      </c>
      <c r="O1016" t="inlineStr">
        <is>
          <t>缺 PP</t>
        </is>
      </c>
    </row>
    <row r="1017">
      <c r="A1017" s="7" t="inlineStr">
        <is>
          <t>2011-09-07</t>
        </is>
      </c>
      <c r="B1017" s="8" t="n"/>
      <c r="C1017" s="8" t="n"/>
      <c r="D1017" s="8" t="n"/>
      <c r="E1017" s="8" t="n"/>
      <c r="F1017" s="8" t="n"/>
      <c r="G1017" s="8" t="n"/>
      <c r="H1017" s="8" t="n">
        <v>10945</v>
      </c>
      <c r="I1017" s="8" t="n">
        <v>10820</v>
      </c>
      <c r="J1017" s="8" t="n">
        <v>10950</v>
      </c>
      <c r="K1017" s="8" t="n">
        <v>10785</v>
      </c>
      <c r="L1017" s="8" t="n">
        <v>618942</v>
      </c>
      <c r="M1017" s="8" t="n">
        <v>278502</v>
      </c>
      <c r="N1017" s="9" t="inlineStr">
        <is>
          <t>否</t>
        </is>
      </c>
      <c r="O1017" t="inlineStr">
        <is>
          <t>缺 PP</t>
        </is>
      </c>
    </row>
    <row r="1018">
      <c r="A1018" s="7" t="inlineStr">
        <is>
          <t>2011-09-08</t>
        </is>
      </c>
      <c r="B1018" s="8" t="n"/>
      <c r="C1018" s="8" t="n"/>
      <c r="D1018" s="8" t="n"/>
      <c r="E1018" s="8" t="n"/>
      <c r="F1018" s="8" t="n"/>
      <c r="G1018" s="8" t="n"/>
      <c r="H1018" s="8" t="n">
        <v>10900</v>
      </c>
      <c r="I1018" s="8" t="n">
        <v>11020</v>
      </c>
      <c r="J1018" s="8" t="n">
        <v>11040</v>
      </c>
      <c r="K1018" s="8" t="n">
        <v>10865</v>
      </c>
      <c r="L1018" s="8" t="n">
        <v>540984</v>
      </c>
      <c r="M1018" s="8" t="n">
        <v>270146</v>
      </c>
      <c r="N1018" s="9" t="inlineStr">
        <is>
          <t>否</t>
        </is>
      </c>
      <c r="O1018" t="inlineStr">
        <is>
          <t>缺 PP</t>
        </is>
      </c>
    </row>
    <row r="1019">
      <c r="A1019" s="7" t="inlineStr">
        <is>
          <t>2011-09-09</t>
        </is>
      </c>
      <c r="B1019" s="8" t="n"/>
      <c r="C1019" s="8" t="n"/>
      <c r="D1019" s="8" t="n"/>
      <c r="E1019" s="8" t="n"/>
      <c r="F1019" s="8" t="n"/>
      <c r="G1019" s="8" t="n"/>
      <c r="H1019" s="8" t="n">
        <v>10895</v>
      </c>
      <c r="I1019" s="8" t="n">
        <v>10910</v>
      </c>
      <c r="J1019" s="8" t="n">
        <v>10955</v>
      </c>
      <c r="K1019" s="8" t="n">
        <v>10830</v>
      </c>
      <c r="L1019" s="8" t="n">
        <v>618020</v>
      </c>
      <c r="M1019" s="8" t="n">
        <v>0</v>
      </c>
      <c r="N1019" s="9" t="inlineStr">
        <is>
          <t>否</t>
        </is>
      </c>
      <c r="O1019" t="inlineStr">
        <is>
          <t>缺 PP</t>
        </is>
      </c>
    </row>
    <row r="1020">
      <c r="A1020" s="7" t="inlineStr">
        <is>
          <t>2011-09-13</t>
        </is>
      </c>
      <c r="B1020" s="8" t="n"/>
      <c r="C1020" s="8" t="n"/>
      <c r="D1020" s="8" t="n"/>
      <c r="E1020" s="8" t="n"/>
      <c r="F1020" s="8" t="n"/>
      <c r="G1020" s="8" t="n"/>
      <c r="H1020" s="8" t="n">
        <v>10845</v>
      </c>
      <c r="I1020" s="8" t="n">
        <v>10900</v>
      </c>
      <c r="J1020" s="8" t="n">
        <v>10925</v>
      </c>
      <c r="K1020" s="8" t="n">
        <v>10735</v>
      </c>
      <c r="L1020" s="8" t="n">
        <v>625868</v>
      </c>
      <c r="M1020" s="8" t="n">
        <v>281920</v>
      </c>
      <c r="N1020" s="9" t="inlineStr">
        <is>
          <t>否</t>
        </is>
      </c>
      <c r="O1020" t="inlineStr">
        <is>
          <t>缺 PP</t>
        </is>
      </c>
    </row>
    <row r="1021">
      <c r="A1021" s="7" t="inlineStr">
        <is>
          <t>2011-09-14</t>
        </is>
      </c>
      <c r="B1021" s="8" t="n"/>
      <c r="C1021" s="8" t="n"/>
      <c r="D1021" s="8" t="n"/>
      <c r="E1021" s="8" t="n"/>
      <c r="F1021" s="8" t="n"/>
      <c r="G1021" s="8" t="n"/>
      <c r="H1021" s="8" t="n">
        <v>10715</v>
      </c>
      <c r="I1021" s="8" t="n">
        <v>10890</v>
      </c>
      <c r="J1021" s="8" t="n">
        <v>10900</v>
      </c>
      <c r="K1021" s="8" t="n">
        <v>10675</v>
      </c>
      <c r="L1021" s="8" t="n">
        <v>766452</v>
      </c>
      <c r="M1021" s="8" t="n">
        <v>322954</v>
      </c>
      <c r="N1021" s="9" t="inlineStr">
        <is>
          <t>否</t>
        </is>
      </c>
      <c r="O1021" t="inlineStr">
        <is>
          <t>缺 PP</t>
        </is>
      </c>
    </row>
    <row r="1022">
      <c r="A1022" s="7" t="inlineStr">
        <is>
          <t>2011-09-15</t>
        </is>
      </c>
      <c r="B1022" s="8" t="n"/>
      <c r="C1022" s="8" t="n"/>
      <c r="D1022" s="8" t="n"/>
      <c r="E1022" s="8" t="n"/>
      <c r="F1022" s="8" t="n"/>
      <c r="G1022" s="8" t="n"/>
      <c r="H1022" s="8" t="n">
        <v>10705</v>
      </c>
      <c r="I1022" s="8" t="n">
        <v>10750</v>
      </c>
      <c r="J1022" s="8" t="n">
        <v>10790</v>
      </c>
      <c r="K1022" s="8" t="n">
        <v>10685</v>
      </c>
      <c r="L1022" s="8" t="n">
        <v>608352</v>
      </c>
      <c r="M1022" s="8" t="n">
        <v>323182</v>
      </c>
      <c r="N1022" s="9" t="inlineStr">
        <is>
          <t>否</t>
        </is>
      </c>
      <c r="O1022" t="inlineStr">
        <is>
          <t>缺 PP</t>
        </is>
      </c>
    </row>
    <row r="1023">
      <c r="A1023" s="7" t="inlineStr">
        <is>
          <t>2011-09-16</t>
        </is>
      </c>
      <c r="B1023" s="8" t="n"/>
      <c r="C1023" s="8" t="n"/>
      <c r="D1023" s="8" t="n"/>
      <c r="E1023" s="8" t="n"/>
      <c r="F1023" s="8" t="n"/>
      <c r="G1023" s="8" t="n"/>
      <c r="H1023" s="8" t="n">
        <v>10745</v>
      </c>
      <c r="I1023" s="8" t="n">
        <v>10740</v>
      </c>
      <c r="J1023" s="8" t="n">
        <v>10770</v>
      </c>
      <c r="K1023" s="8" t="n">
        <v>10640</v>
      </c>
      <c r="L1023" s="8" t="n">
        <v>786528</v>
      </c>
      <c r="M1023" s="8" t="n">
        <v>300248</v>
      </c>
      <c r="N1023" s="9" t="inlineStr">
        <is>
          <t>否</t>
        </is>
      </c>
      <c r="O1023" t="inlineStr">
        <is>
          <t>缺 PP</t>
        </is>
      </c>
    </row>
    <row r="1024">
      <c r="A1024" s="7" t="inlineStr">
        <is>
          <t>2011-09-19</t>
        </is>
      </c>
      <c r="B1024" s="8" t="n"/>
      <c r="C1024" s="8" t="n"/>
      <c r="D1024" s="8" t="n"/>
      <c r="E1024" s="8" t="n"/>
      <c r="F1024" s="8" t="n"/>
      <c r="G1024" s="8" t="n"/>
      <c r="H1024" s="8" t="n">
        <v>10180</v>
      </c>
      <c r="I1024" s="8" t="n">
        <v>10690</v>
      </c>
      <c r="J1024" s="8" t="n">
        <v>10690</v>
      </c>
      <c r="K1024" s="8" t="n">
        <v>10175</v>
      </c>
      <c r="L1024" s="8" t="n">
        <v>1276154</v>
      </c>
      <c r="M1024" s="8" t="n">
        <v>400850</v>
      </c>
      <c r="N1024" s="9" t="inlineStr">
        <is>
          <t>否</t>
        </is>
      </c>
      <c r="O1024" t="inlineStr">
        <is>
          <t>缺 PP</t>
        </is>
      </c>
    </row>
    <row r="1025">
      <c r="A1025" s="7" t="inlineStr">
        <is>
          <t>2011-09-20</t>
        </is>
      </c>
      <c r="B1025" s="8" t="n"/>
      <c r="C1025" s="8" t="n"/>
      <c r="D1025" s="8" t="n"/>
      <c r="E1025" s="8" t="n"/>
      <c r="F1025" s="8" t="n"/>
      <c r="G1025" s="8" t="n"/>
      <c r="H1025" s="8" t="n">
        <v>10145</v>
      </c>
      <c r="I1025" s="8" t="n">
        <v>10180</v>
      </c>
      <c r="J1025" s="8" t="n">
        <v>10240</v>
      </c>
      <c r="K1025" s="8" t="n">
        <v>10095</v>
      </c>
      <c r="L1025" s="8" t="n">
        <v>943282</v>
      </c>
      <c r="M1025" s="8" t="n">
        <v>356782</v>
      </c>
      <c r="N1025" s="9" t="inlineStr">
        <is>
          <t>否</t>
        </is>
      </c>
      <c r="O1025" t="inlineStr">
        <is>
          <t>缺 PP</t>
        </is>
      </c>
    </row>
    <row r="1026">
      <c r="A1026" s="7" t="inlineStr">
        <is>
          <t>2011-09-21</t>
        </is>
      </c>
      <c r="B1026" s="8" t="n"/>
      <c r="C1026" s="8" t="n"/>
      <c r="D1026" s="8" t="n"/>
      <c r="E1026" s="8" t="n"/>
      <c r="F1026" s="8" t="n"/>
      <c r="G1026" s="8" t="n"/>
      <c r="H1026" s="8" t="n">
        <v>10165</v>
      </c>
      <c r="I1026" s="8" t="n">
        <v>10130</v>
      </c>
      <c r="J1026" s="8" t="n">
        <v>10210</v>
      </c>
      <c r="K1026" s="8" t="n">
        <v>9875</v>
      </c>
      <c r="L1026" s="8" t="n">
        <v>1472898</v>
      </c>
      <c r="M1026" s="8" t="n">
        <v>353740</v>
      </c>
      <c r="N1026" s="9" t="inlineStr">
        <is>
          <t>否</t>
        </is>
      </c>
      <c r="O1026" t="inlineStr">
        <is>
          <t>缺 PP</t>
        </is>
      </c>
    </row>
    <row r="1027">
      <c r="A1027" s="7" t="inlineStr">
        <is>
          <t>2011-09-22</t>
        </is>
      </c>
      <c r="B1027" s="8" t="n"/>
      <c r="C1027" s="8" t="n"/>
      <c r="D1027" s="8" t="n"/>
      <c r="E1027" s="8" t="n"/>
      <c r="F1027" s="8" t="n"/>
      <c r="G1027" s="8" t="n"/>
      <c r="H1027" s="8" t="n">
        <v>9645</v>
      </c>
      <c r="I1027" s="8" t="n">
        <v>9900</v>
      </c>
      <c r="J1027" s="8" t="n">
        <v>9945</v>
      </c>
      <c r="K1027" s="8" t="n">
        <v>9565</v>
      </c>
      <c r="L1027" s="8" t="n">
        <v>1246774</v>
      </c>
      <c r="M1027" s="8" t="n">
        <v>371410</v>
      </c>
      <c r="N1027" s="9" t="inlineStr">
        <is>
          <t>否</t>
        </is>
      </c>
      <c r="O1027" t="inlineStr">
        <is>
          <t>缺 PP</t>
        </is>
      </c>
    </row>
    <row r="1028">
      <c r="A1028" s="7" t="inlineStr">
        <is>
          <t>2011-09-23</t>
        </is>
      </c>
      <c r="B1028" s="8" t="n"/>
      <c r="C1028" s="8" t="n"/>
      <c r="D1028" s="8" t="n"/>
      <c r="E1028" s="8" t="n"/>
      <c r="F1028" s="8" t="n"/>
      <c r="G1028" s="8" t="n"/>
      <c r="H1028" s="8" t="n">
        <v>9440</v>
      </c>
      <c r="I1028" s="8" t="n">
        <v>9365</v>
      </c>
      <c r="J1028" s="8" t="n">
        <v>9650</v>
      </c>
      <c r="K1028" s="8" t="n">
        <v>9265</v>
      </c>
      <c r="L1028" s="8" t="n">
        <v>1821382</v>
      </c>
      <c r="M1028" s="8" t="n">
        <v>296996</v>
      </c>
      <c r="N1028" s="9" t="inlineStr">
        <is>
          <t>否</t>
        </is>
      </c>
      <c r="O1028" t="inlineStr">
        <is>
          <t>缺 PP</t>
        </is>
      </c>
    </row>
    <row r="1029">
      <c r="A1029" s="7" t="inlineStr">
        <is>
          <t>2011-09-26</t>
        </is>
      </c>
      <c r="B1029" s="8" t="n"/>
      <c r="C1029" s="8" t="n"/>
      <c r="D1029" s="8" t="n"/>
      <c r="E1029" s="8" t="n"/>
      <c r="F1029" s="8" t="n"/>
      <c r="G1029" s="8" t="n"/>
      <c r="H1029" s="8" t="n">
        <v>9130</v>
      </c>
      <c r="I1029" s="8" t="n">
        <v>9460</v>
      </c>
      <c r="J1029" s="8" t="n">
        <v>9630</v>
      </c>
      <c r="K1029" s="8" t="n">
        <v>8990</v>
      </c>
      <c r="L1029" s="8" t="n">
        <v>2269718</v>
      </c>
      <c r="M1029" s="8" t="n">
        <v>325142</v>
      </c>
      <c r="N1029" s="9" t="inlineStr">
        <is>
          <t>否</t>
        </is>
      </c>
      <c r="O1029" t="inlineStr">
        <is>
          <t>缺 PP</t>
        </is>
      </c>
    </row>
    <row r="1030">
      <c r="A1030" s="7" t="inlineStr">
        <is>
          <t>2011-09-27</t>
        </is>
      </c>
      <c r="B1030" s="8" t="n"/>
      <c r="C1030" s="8" t="n"/>
      <c r="D1030" s="8" t="n"/>
      <c r="E1030" s="8" t="n"/>
      <c r="F1030" s="8" t="n"/>
      <c r="G1030" s="8" t="n"/>
      <c r="H1030" s="8" t="n">
        <v>9560</v>
      </c>
      <c r="I1030" s="8" t="n">
        <v>9535</v>
      </c>
      <c r="J1030" s="8" t="n">
        <v>9625</v>
      </c>
      <c r="K1030" s="8" t="n">
        <v>9365</v>
      </c>
      <c r="L1030" s="8" t="n">
        <v>1614058</v>
      </c>
      <c r="M1030" s="8" t="n">
        <v>275132</v>
      </c>
      <c r="N1030" s="9" t="inlineStr">
        <is>
          <t>否</t>
        </is>
      </c>
      <c r="O1030" t="inlineStr">
        <is>
          <t>缺 PP</t>
        </is>
      </c>
    </row>
    <row r="1031">
      <c r="A1031" s="7" t="inlineStr">
        <is>
          <t>2011-09-28</t>
        </is>
      </c>
      <c r="B1031" s="8" t="n"/>
      <c r="C1031" s="8" t="n"/>
      <c r="D1031" s="8" t="n"/>
      <c r="E1031" s="8" t="n"/>
      <c r="F1031" s="8" t="n"/>
      <c r="G1031" s="8" t="n"/>
      <c r="H1031" s="8" t="n">
        <v>9400</v>
      </c>
      <c r="I1031" s="8" t="n">
        <v>9550</v>
      </c>
      <c r="J1031" s="8" t="n">
        <v>9620</v>
      </c>
      <c r="K1031" s="8" t="n">
        <v>9175</v>
      </c>
      <c r="L1031" s="8" t="n">
        <v>1837482</v>
      </c>
      <c r="M1031" s="8" t="n">
        <v>255120</v>
      </c>
      <c r="N1031" s="9" t="inlineStr">
        <is>
          <t>否</t>
        </is>
      </c>
      <c r="O1031" t="inlineStr">
        <is>
          <t>缺 PP</t>
        </is>
      </c>
    </row>
    <row r="1032">
      <c r="A1032" s="7" t="inlineStr">
        <is>
          <t>2011-09-29</t>
        </is>
      </c>
      <c r="B1032" s="8" t="n"/>
      <c r="C1032" s="8" t="n"/>
      <c r="D1032" s="8" t="n"/>
      <c r="E1032" s="8" t="n"/>
      <c r="F1032" s="8" t="n"/>
      <c r="G1032" s="8" t="n"/>
      <c r="H1032" s="8" t="n">
        <v>9285</v>
      </c>
      <c r="I1032" s="8" t="n">
        <v>9000</v>
      </c>
      <c r="J1032" s="8" t="n">
        <v>9290</v>
      </c>
      <c r="K1032" s="8" t="n">
        <v>8955</v>
      </c>
      <c r="L1032" s="8" t="n">
        <v>1300538</v>
      </c>
      <c r="M1032" s="8" t="n">
        <v>231766</v>
      </c>
      <c r="N1032" s="9" t="inlineStr">
        <is>
          <t>否</t>
        </is>
      </c>
      <c r="O1032" t="inlineStr">
        <is>
          <t>缺 PP</t>
        </is>
      </c>
    </row>
    <row r="1033">
      <c r="A1033" s="7" t="inlineStr">
        <is>
          <t>2011-09-30</t>
        </is>
      </c>
      <c r="B1033" s="8" t="n"/>
      <c r="C1033" s="8" t="n"/>
      <c r="D1033" s="8" t="n"/>
      <c r="E1033" s="8" t="n"/>
      <c r="F1033" s="8" t="n"/>
      <c r="G1033" s="8" t="n"/>
      <c r="H1033" s="8" t="n">
        <v>9485</v>
      </c>
      <c r="I1033" s="8" t="n">
        <v>9355</v>
      </c>
      <c r="J1033" s="8" t="n">
        <v>9490</v>
      </c>
      <c r="K1033" s="8" t="n">
        <v>9225</v>
      </c>
      <c r="L1033" s="8" t="n">
        <v>966926</v>
      </c>
      <c r="M1033" s="8" t="n">
        <v>202062</v>
      </c>
      <c r="N1033" s="9" t="inlineStr">
        <is>
          <t>否</t>
        </is>
      </c>
      <c r="O1033" t="inlineStr">
        <is>
          <t>缺 PP</t>
        </is>
      </c>
    </row>
    <row r="1034">
      <c r="A1034" s="7" t="inlineStr">
        <is>
          <t>2011-10-10</t>
        </is>
      </c>
      <c r="B1034" s="8" t="n"/>
      <c r="C1034" s="8" t="n"/>
      <c r="D1034" s="8" t="n"/>
      <c r="E1034" s="8" t="n"/>
      <c r="F1034" s="8" t="n"/>
      <c r="G1034" s="8" t="n"/>
      <c r="H1034" s="8" t="n">
        <v>9360</v>
      </c>
      <c r="I1034" s="8" t="n">
        <v>9500</v>
      </c>
      <c r="J1034" s="8" t="n">
        <v>9580</v>
      </c>
      <c r="K1034" s="8" t="n">
        <v>9340</v>
      </c>
      <c r="L1034" s="8" t="n">
        <v>735588</v>
      </c>
      <c r="M1034" s="8" t="n">
        <v>230944</v>
      </c>
      <c r="N1034" s="9" t="inlineStr">
        <is>
          <t>否</t>
        </is>
      </c>
      <c r="O1034" t="inlineStr">
        <is>
          <t>缺 PP</t>
        </is>
      </c>
    </row>
    <row r="1035">
      <c r="A1035" s="7" t="inlineStr">
        <is>
          <t>2011-10-11</t>
        </is>
      </c>
      <c r="B1035" s="8" t="n"/>
      <c r="C1035" s="8" t="n"/>
      <c r="D1035" s="8" t="n"/>
      <c r="E1035" s="8" t="n"/>
      <c r="F1035" s="8" t="n"/>
      <c r="G1035" s="8" t="n"/>
      <c r="H1035" s="8" t="n">
        <v>9355</v>
      </c>
      <c r="I1035" s="8" t="n">
        <v>9500</v>
      </c>
      <c r="J1035" s="8" t="n">
        <v>9615</v>
      </c>
      <c r="K1035" s="8" t="n">
        <v>9310</v>
      </c>
      <c r="L1035" s="8" t="n">
        <v>1190394</v>
      </c>
      <c r="M1035" s="8" t="n">
        <v>282454</v>
      </c>
      <c r="N1035" s="9" t="inlineStr">
        <is>
          <t>否</t>
        </is>
      </c>
      <c r="O1035" t="inlineStr">
        <is>
          <t>缺 PP</t>
        </is>
      </c>
    </row>
    <row r="1036">
      <c r="A1036" s="7" t="inlineStr">
        <is>
          <t>2011-10-12</t>
        </is>
      </c>
      <c r="B1036" s="8" t="n"/>
      <c r="C1036" s="8" t="n"/>
      <c r="D1036" s="8" t="n"/>
      <c r="E1036" s="8" t="n"/>
      <c r="F1036" s="8" t="n"/>
      <c r="G1036" s="8" t="n"/>
      <c r="H1036" s="8" t="n">
        <v>9385</v>
      </c>
      <c r="I1036" s="8" t="n">
        <v>9330</v>
      </c>
      <c r="J1036" s="8" t="n">
        <v>9465</v>
      </c>
      <c r="K1036" s="8" t="n">
        <v>9160</v>
      </c>
      <c r="L1036" s="8" t="n">
        <v>1519228</v>
      </c>
      <c r="M1036" s="8" t="n">
        <v>268118</v>
      </c>
      <c r="N1036" s="9" t="inlineStr">
        <is>
          <t>否</t>
        </is>
      </c>
      <c r="O1036" t="inlineStr">
        <is>
          <t>缺 PP</t>
        </is>
      </c>
    </row>
    <row r="1037">
      <c r="A1037" s="7" t="inlineStr">
        <is>
          <t>2011-10-13</t>
        </is>
      </c>
      <c r="B1037" s="8" t="n"/>
      <c r="C1037" s="8" t="n"/>
      <c r="D1037" s="8" t="n"/>
      <c r="E1037" s="8" t="n"/>
      <c r="F1037" s="8" t="n"/>
      <c r="G1037" s="8" t="n"/>
      <c r="H1037" s="8" t="n">
        <v>9250</v>
      </c>
      <c r="I1037" s="8" t="n">
        <v>9350</v>
      </c>
      <c r="J1037" s="8" t="n">
        <v>9395</v>
      </c>
      <c r="K1037" s="8" t="n">
        <v>9210</v>
      </c>
      <c r="L1037" s="8" t="n">
        <v>1422488</v>
      </c>
      <c r="M1037" s="8" t="n">
        <v>289954</v>
      </c>
      <c r="N1037" s="9" t="inlineStr">
        <is>
          <t>否</t>
        </is>
      </c>
      <c r="O1037" t="inlineStr">
        <is>
          <t>缺 PP</t>
        </is>
      </c>
    </row>
    <row r="1038">
      <c r="A1038" s="7" t="inlineStr">
        <is>
          <t>2011-10-14</t>
        </is>
      </c>
      <c r="B1038" s="8" t="n"/>
      <c r="C1038" s="8" t="n"/>
      <c r="D1038" s="8" t="n"/>
      <c r="E1038" s="8" t="n"/>
      <c r="F1038" s="8" t="n"/>
      <c r="G1038" s="8" t="n"/>
      <c r="H1038" s="8" t="n">
        <v>9410</v>
      </c>
      <c r="I1038" s="8" t="n">
        <v>9200</v>
      </c>
      <c r="J1038" s="8" t="n">
        <v>9420</v>
      </c>
      <c r="K1038" s="8" t="n">
        <v>9175</v>
      </c>
      <c r="L1038" s="8" t="n">
        <v>1208644</v>
      </c>
      <c r="M1038" s="8" t="n">
        <v>262980</v>
      </c>
      <c r="N1038" s="9" t="inlineStr">
        <is>
          <t>否</t>
        </is>
      </c>
      <c r="O1038" t="inlineStr">
        <is>
          <t>缺 PP</t>
        </is>
      </c>
    </row>
    <row r="1039">
      <c r="A1039" s="7" t="inlineStr">
        <is>
          <t>2011-10-17</t>
        </is>
      </c>
      <c r="B1039" s="8" t="n"/>
      <c r="C1039" s="8" t="n"/>
      <c r="D1039" s="8" t="n"/>
      <c r="E1039" s="8" t="n"/>
      <c r="F1039" s="8" t="n"/>
      <c r="G1039" s="8" t="n"/>
      <c r="H1039" s="8" t="n">
        <v>9405</v>
      </c>
      <c r="I1039" s="8" t="n">
        <v>9485</v>
      </c>
      <c r="J1039" s="8" t="n">
        <v>9495</v>
      </c>
      <c r="K1039" s="8" t="n">
        <v>9380</v>
      </c>
      <c r="L1039" s="8" t="n">
        <v>961518</v>
      </c>
      <c r="M1039" s="8" t="n">
        <v>260522</v>
      </c>
      <c r="N1039" s="9" t="inlineStr">
        <is>
          <t>否</t>
        </is>
      </c>
      <c r="O1039" t="inlineStr">
        <is>
          <t>缺 PP</t>
        </is>
      </c>
    </row>
    <row r="1040">
      <c r="A1040" s="7" t="inlineStr">
        <is>
          <t>2011-10-18</t>
        </is>
      </c>
      <c r="B1040" s="8" t="n"/>
      <c r="C1040" s="8" t="n"/>
      <c r="D1040" s="8" t="n"/>
      <c r="E1040" s="8" t="n"/>
      <c r="F1040" s="8" t="n"/>
      <c r="G1040" s="8" t="n"/>
      <c r="H1040" s="8" t="n">
        <v>9155</v>
      </c>
      <c r="I1040" s="8" t="n">
        <v>9345</v>
      </c>
      <c r="J1040" s="8" t="n">
        <v>9375</v>
      </c>
      <c r="K1040" s="8" t="n">
        <v>9090</v>
      </c>
      <c r="L1040" s="8" t="n">
        <v>1279182</v>
      </c>
      <c r="M1040" s="8" t="n">
        <v>280640</v>
      </c>
      <c r="N1040" s="9" t="inlineStr">
        <is>
          <t>否</t>
        </is>
      </c>
      <c r="O1040" t="inlineStr">
        <is>
          <t>缺 PP</t>
        </is>
      </c>
    </row>
    <row r="1041">
      <c r="A1041" s="7" t="inlineStr">
        <is>
          <t>2011-10-19</t>
        </is>
      </c>
      <c r="B1041" s="8" t="n"/>
      <c r="C1041" s="8" t="n"/>
      <c r="D1041" s="8" t="n"/>
      <c r="E1041" s="8" t="n"/>
      <c r="F1041" s="8" t="n"/>
      <c r="G1041" s="8" t="n"/>
      <c r="H1041" s="8" t="n">
        <v>9085</v>
      </c>
      <c r="I1041" s="8" t="n">
        <v>9275</v>
      </c>
      <c r="J1041" s="8" t="n">
        <v>9300</v>
      </c>
      <c r="K1041" s="8" t="n">
        <v>9000</v>
      </c>
      <c r="L1041" s="8" t="n">
        <v>1270970</v>
      </c>
      <c r="M1041" s="8" t="n">
        <v>288146</v>
      </c>
      <c r="N1041" s="9" t="inlineStr">
        <is>
          <t>否</t>
        </is>
      </c>
      <c r="O1041" t="inlineStr">
        <is>
          <t>缺 PP</t>
        </is>
      </c>
    </row>
    <row r="1042">
      <c r="A1042" s="7" t="inlineStr">
        <is>
          <t>2011-10-20</t>
        </is>
      </c>
      <c r="B1042" s="8" t="n"/>
      <c r="C1042" s="8" t="n"/>
      <c r="D1042" s="8" t="n"/>
      <c r="E1042" s="8" t="n"/>
      <c r="F1042" s="8" t="n"/>
      <c r="G1042" s="8" t="n"/>
      <c r="H1042" s="8" t="n">
        <v>8705</v>
      </c>
      <c r="I1042" s="8" t="n">
        <v>8900</v>
      </c>
      <c r="J1042" s="8" t="n">
        <v>8900</v>
      </c>
      <c r="K1042" s="8" t="n">
        <v>8705</v>
      </c>
      <c r="L1042" s="8" t="n">
        <v>489466</v>
      </c>
      <c r="M1042" s="8" t="n">
        <v>301012</v>
      </c>
      <c r="N1042" s="9" t="inlineStr">
        <is>
          <t>否</t>
        </is>
      </c>
      <c r="O1042" t="inlineStr">
        <is>
          <t>缺 PP</t>
        </is>
      </c>
    </row>
    <row r="1043">
      <c r="A1043" s="7" t="inlineStr">
        <is>
          <t>2011-10-21</t>
        </is>
      </c>
      <c r="B1043" s="8" t="n"/>
      <c r="C1043" s="8" t="n"/>
      <c r="D1043" s="8" t="n"/>
      <c r="E1043" s="8" t="n"/>
      <c r="F1043" s="8" t="n"/>
      <c r="G1043" s="8" t="n"/>
      <c r="H1043" s="8" t="n">
        <v>8510</v>
      </c>
      <c r="I1043" s="8" t="n">
        <v>8610</v>
      </c>
      <c r="J1043" s="8" t="n">
        <v>8750</v>
      </c>
      <c r="K1043" s="8" t="n">
        <v>8470</v>
      </c>
      <c r="L1043" s="8" t="n">
        <v>1647910</v>
      </c>
      <c r="M1043" s="8" t="n">
        <v>302892</v>
      </c>
      <c r="N1043" s="9" t="inlineStr">
        <is>
          <t>否</t>
        </is>
      </c>
      <c r="O1043" t="inlineStr">
        <is>
          <t>缺 PP</t>
        </is>
      </c>
    </row>
    <row r="1044">
      <c r="A1044" s="7" t="inlineStr">
        <is>
          <t>2011-10-24</t>
        </is>
      </c>
      <c r="B1044" s="8" t="n"/>
      <c r="C1044" s="8" t="n"/>
      <c r="D1044" s="8" t="n"/>
      <c r="E1044" s="8" t="n"/>
      <c r="F1044" s="8" t="n"/>
      <c r="G1044" s="8" t="n"/>
      <c r="H1044" s="8" t="n">
        <v>9010</v>
      </c>
      <c r="I1044" s="8" t="n">
        <v>8655</v>
      </c>
      <c r="J1044" s="8" t="n">
        <v>9055</v>
      </c>
      <c r="K1044" s="8" t="n">
        <v>8510</v>
      </c>
      <c r="L1044" s="8" t="n">
        <v>1477946</v>
      </c>
      <c r="M1044" s="8" t="n">
        <v>224868</v>
      </c>
      <c r="N1044" s="9" t="inlineStr">
        <is>
          <t>否</t>
        </is>
      </c>
      <c r="O1044" t="inlineStr">
        <is>
          <t>缺 PP</t>
        </is>
      </c>
    </row>
    <row r="1045">
      <c r="A1045" s="7" t="inlineStr">
        <is>
          <t>2011-10-25</t>
        </is>
      </c>
      <c r="B1045" s="8" t="n"/>
      <c r="C1045" s="8" t="n"/>
      <c r="D1045" s="8" t="n"/>
      <c r="E1045" s="8" t="n"/>
      <c r="F1045" s="8" t="n"/>
      <c r="G1045" s="8" t="n"/>
      <c r="H1045" s="8" t="n">
        <v>9185</v>
      </c>
      <c r="I1045" s="8" t="n">
        <v>9110</v>
      </c>
      <c r="J1045" s="8" t="n">
        <v>9185</v>
      </c>
      <c r="K1045" s="8" t="n">
        <v>9005</v>
      </c>
      <c r="L1045" s="8" t="n">
        <v>907232</v>
      </c>
      <c r="M1045" s="8" t="n">
        <v>217706</v>
      </c>
      <c r="N1045" s="9" t="inlineStr">
        <is>
          <t>否</t>
        </is>
      </c>
      <c r="O1045" t="inlineStr">
        <is>
          <t>缺 PP</t>
        </is>
      </c>
    </row>
    <row r="1046">
      <c r="A1046" s="7" t="inlineStr">
        <is>
          <t>2011-10-26</t>
        </is>
      </c>
      <c r="B1046" s="8" t="n"/>
      <c r="C1046" s="8" t="n"/>
      <c r="D1046" s="8" t="n"/>
      <c r="E1046" s="8" t="n"/>
      <c r="F1046" s="8" t="n"/>
      <c r="G1046" s="8" t="n"/>
      <c r="H1046" s="8" t="n">
        <v>9395</v>
      </c>
      <c r="I1046" s="8" t="n">
        <v>9150</v>
      </c>
      <c r="J1046" s="8" t="n">
        <v>9500</v>
      </c>
      <c r="K1046" s="8" t="n">
        <v>9100</v>
      </c>
      <c r="L1046" s="8" t="n">
        <v>1519808</v>
      </c>
      <c r="M1046" s="8" t="n">
        <v>219988</v>
      </c>
      <c r="N1046" s="9" t="inlineStr">
        <is>
          <t>否</t>
        </is>
      </c>
      <c r="O1046" t="inlineStr">
        <is>
          <t>缺 PP</t>
        </is>
      </c>
    </row>
    <row r="1047">
      <c r="A1047" s="7" t="inlineStr">
        <is>
          <t>2011-10-27</t>
        </is>
      </c>
      <c r="B1047" s="8" t="n"/>
      <c r="C1047" s="8" t="n"/>
      <c r="D1047" s="8" t="n"/>
      <c r="E1047" s="8" t="n"/>
      <c r="F1047" s="8" t="n"/>
      <c r="G1047" s="8" t="n"/>
      <c r="H1047" s="8" t="n">
        <v>9450</v>
      </c>
      <c r="I1047" s="8" t="n">
        <v>9370</v>
      </c>
      <c r="J1047" s="8" t="n">
        <v>9515</v>
      </c>
      <c r="K1047" s="8" t="n">
        <v>9325</v>
      </c>
      <c r="L1047" s="8" t="n">
        <v>1106186</v>
      </c>
      <c r="M1047" s="8" t="n">
        <v>205752</v>
      </c>
      <c r="N1047" s="9" t="inlineStr">
        <is>
          <t>否</t>
        </is>
      </c>
      <c r="O1047" t="inlineStr">
        <is>
          <t>缺 PP</t>
        </is>
      </c>
    </row>
    <row r="1048">
      <c r="A1048" s="7" t="inlineStr">
        <is>
          <t>2011-10-28</t>
        </is>
      </c>
      <c r="B1048" s="8" t="n"/>
      <c r="C1048" s="8" t="n"/>
      <c r="D1048" s="8" t="n"/>
      <c r="E1048" s="8" t="n"/>
      <c r="F1048" s="8" t="n"/>
      <c r="G1048" s="8" t="n"/>
      <c r="H1048" s="8" t="n">
        <v>9550</v>
      </c>
      <c r="I1048" s="8" t="n">
        <v>9655</v>
      </c>
      <c r="J1048" s="8" t="n">
        <v>9870</v>
      </c>
      <c r="K1048" s="8" t="n">
        <v>9505</v>
      </c>
      <c r="L1048" s="8" t="n">
        <v>1097800</v>
      </c>
      <c r="M1048" s="8" t="n">
        <v>200374</v>
      </c>
      <c r="N1048" s="9" t="inlineStr">
        <is>
          <t>否</t>
        </is>
      </c>
      <c r="O1048" t="inlineStr">
        <is>
          <t>缺 PP</t>
        </is>
      </c>
    </row>
    <row r="1049">
      <c r="A1049" s="7" t="inlineStr">
        <is>
          <t>2011-10-31</t>
        </is>
      </c>
      <c r="B1049" s="8" t="n"/>
      <c r="C1049" s="8" t="n"/>
      <c r="D1049" s="8" t="n"/>
      <c r="E1049" s="8" t="n"/>
      <c r="F1049" s="8" t="n"/>
      <c r="G1049" s="8" t="n"/>
      <c r="H1049" s="8" t="n">
        <v>9325</v>
      </c>
      <c r="I1049" s="8" t="n">
        <v>9540</v>
      </c>
      <c r="J1049" s="8" t="n">
        <v>9570</v>
      </c>
      <c r="K1049" s="8" t="n">
        <v>9260</v>
      </c>
      <c r="L1049" s="8" t="n">
        <v>1173884</v>
      </c>
      <c r="M1049" s="8" t="n">
        <v>197274</v>
      </c>
      <c r="N1049" s="9" t="inlineStr">
        <is>
          <t>否</t>
        </is>
      </c>
      <c r="O1049" t="inlineStr">
        <is>
          <t>缺 PP</t>
        </is>
      </c>
    </row>
    <row r="1050">
      <c r="A1050" s="7" t="inlineStr">
        <is>
          <t>2011-11-01</t>
        </is>
      </c>
      <c r="B1050" s="8" t="n"/>
      <c r="C1050" s="8" t="n"/>
      <c r="D1050" s="8" t="n"/>
      <c r="E1050" s="8" t="n"/>
      <c r="F1050" s="8" t="n"/>
      <c r="G1050" s="8" t="n"/>
      <c r="H1050" s="8" t="n">
        <v>9385</v>
      </c>
      <c r="I1050" s="8" t="n">
        <v>9320</v>
      </c>
      <c r="J1050" s="8" t="n">
        <v>9625</v>
      </c>
      <c r="K1050" s="8" t="n">
        <v>9280</v>
      </c>
      <c r="L1050" s="8" t="n">
        <v>1523868</v>
      </c>
      <c r="M1050" s="8" t="n">
        <v>192664</v>
      </c>
      <c r="N1050" s="9" t="inlineStr">
        <is>
          <t>否</t>
        </is>
      </c>
      <c r="O1050" t="inlineStr">
        <is>
          <t>缺 PP</t>
        </is>
      </c>
    </row>
    <row r="1051">
      <c r="A1051" s="7" t="inlineStr">
        <is>
          <t>2011-11-02</t>
        </is>
      </c>
      <c r="B1051" s="8" t="n"/>
      <c r="C1051" s="8" t="n"/>
      <c r="D1051" s="8" t="n"/>
      <c r="E1051" s="8" t="n"/>
      <c r="F1051" s="8" t="n"/>
      <c r="G1051" s="8" t="n"/>
      <c r="H1051" s="8" t="n">
        <v>9660</v>
      </c>
      <c r="I1051" s="8" t="n">
        <v>9280</v>
      </c>
      <c r="J1051" s="8" t="n">
        <v>9665</v>
      </c>
      <c r="K1051" s="8" t="n">
        <v>9245</v>
      </c>
      <c r="L1051" s="8" t="n">
        <v>1970044</v>
      </c>
      <c r="M1051" s="8" t="n">
        <v>252068</v>
      </c>
      <c r="N1051" s="9" t="inlineStr">
        <is>
          <t>否</t>
        </is>
      </c>
      <c r="O1051" t="inlineStr">
        <is>
          <t>缺 PP</t>
        </is>
      </c>
    </row>
    <row r="1052">
      <c r="A1052" s="7" t="inlineStr">
        <is>
          <t>2011-11-03</t>
        </is>
      </c>
      <c r="B1052" s="8" t="n"/>
      <c r="C1052" s="8" t="n"/>
      <c r="D1052" s="8" t="n"/>
      <c r="E1052" s="8" t="n"/>
      <c r="F1052" s="8" t="n"/>
      <c r="G1052" s="8" t="n"/>
      <c r="H1052" s="8" t="n">
        <v>9495</v>
      </c>
      <c r="I1052" s="8" t="n">
        <v>9615</v>
      </c>
      <c r="J1052" s="8" t="n">
        <v>9665</v>
      </c>
      <c r="K1052" s="8" t="n">
        <v>9455</v>
      </c>
      <c r="L1052" s="8" t="n">
        <v>1517050</v>
      </c>
      <c r="M1052" s="8" t="n">
        <v>214798</v>
      </c>
      <c r="N1052" s="9" t="inlineStr">
        <is>
          <t>否</t>
        </is>
      </c>
      <c r="O1052" t="inlineStr">
        <is>
          <t>缺 PP</t>
        </is>
      </c>
    </row>
    <row r="1053">
      <c r="A1053" s="7" t="inlineStr">
        <is>
          <t>2011-11-04</t>
        </is>
      </c>
      <c r="B1053" s="8" t="n"/>
      <c r="C1053" s="8" t="n"/>
      <c r="D1053" s="8" t="n"/>
      <c r="E1053" s="8" t="n"/>
      <c r="F1053" s="8" t="n"/>
      <c r="G1053" s="8" t="n"/>
      <c r="H1053" s="8" t="n">
        <v>9780</v>
      </c>
      <c r="I1053" s="8" t="n">
        <v>9630</v>
      </c>
      <c r="J1053" s="8" t="n">
        <v>9825</v>
      </c>
      <c r="K1053" s="8" t="n">
        <v>9600</v>
      </c>
      <c r="L1053" s="8" t="n">
        <v>1355430</v>
      </c>
      <c r="M1053" s="8" t="n">
        <v>201678</v>
      </c>
      <c r="N1053" s="9" t="inlineStr">
        <is>
          <t>否</t>
        </is>
      </c>
      <c r="O1053" t="inlineStr">
        <is>
          <t>缺 PP</t>
        </is>
      </c>
    </row>
    <row r="1054">
      <c r="A1054" s="7" t="inlineStr">
        <is>
          <t>2011-11-07</t>
        </is>
      </c>
      <c r="B1054" s="8" t="n"/>
      <c r="C1054" s="8" t="n"/>
      <c r="D1054" s="8" t="n"/>
      <c r="E1054" s="8" t="n"/>
      <c r="F1054" s="8" t="n"/>
      <c r="G1054" s="8" t="n"/>
      <c r="H1054" s="8" t="n">
        <v>9610</v>
      </c>
      <c r="I1054" s="8" t="n">
        <v>9760</v>
      </c>
      <c r="J1054" s="8" t="n">
        <v>9775</v>
      </c>
      <c r="K1054" s="8" t="n">
        <v>9520</v>
      </c>
      <c r="L1054" s="8" t="n">
        <v>1152192</v>
      </c>
      <c r="M1054" s="8" t="n">
        <v>201674</v>
      </c>
      <c r="N1054" s="9" t="inlineStr">
        <is>
          <t>否</t>
        </is>
      </c>
      <c r="O1054" t="inlineStr">
        <is>
          <t>缺 PP</t>
        </is>
      </c>
    </row>
    <row r="1055">
      <c r="A1055" s="7" t="inlineStr">
        <is>
          <t>2011-11-08</t>
        </is>
      </c>
      <c r="B1055" s="8" t="n"/>
      <c r="C1055" s="8" t="n"/>
      <c r="D1055" s="8" t="n"/>
      <c r="E1055" s="8" t="n"/>
      <c r="F1055" s="8" t="n"/>
      <c r="G1055" s="8" t="n"/>
      <c r="H1055" s="8" t="n">
        <v>9640</v>
      </c>
      <c r="I1055" s="8" t="n">
        <v>9700</v>
      </c>
      <c r="J1055" s="8" t="n">
        <v>9720</v>
      </c>
      <c r="K1055" s="8" t="n">
        <v>9565</v>
      </c>
      <c r="L1055" s="8" t="n">
        <v>853074</v>
      </c>
      <c r="M1055" s="8" t="n">
        <v>178426</v>
      </c>
      <c r="N1055" s="9" t="inlineStr">
        <is>
          <t>否</t>
        </is>
      </c>
      <c r="O1055" t="inlineStr">
        <is>
          <t>缺 PP</t>
        </is>
      </c>
    </row>
    <row r="1056">
      <c r="A1056" s="7" t="inlineStr">
        <is>
          <t>2011-11-09</t>
        </is>
      </c>
      <c r="B1056" s="8" t="n"/>
      <c r="C1056" s="8" t="n"/>
      <c r="D1056" s="8" t="n"/>
      <c r="E1056" s="8" t="n"/>
      <c r="F1056" s="8" t="n"/>
      <c r="G1056" s="8" t="n"/>
      <c r="H1056" s="8" t="n">
        <v>10060</v>
      </c>
      <c r="I1056" s="8" t="n">
        <v>10285</v>
      </c>
      <c r="J1056" s="8" t="n">
        <v>10365</v>
      </c>
      <c r="K1056" s="8" t="n">
        <v>10000</v>
      </c>
      <c r="L1056" s="8" t="n">
        <v>1244660</v>
      </c>
      <c r="M1056" s="8" t="n">
        <v>205398</v>
      </c>
      <c r="N1056" s="9" t="inlineStr">
        <is>
          <t>否</t>
        </is>
      </c>
      <c r="O1056" t="inlineStr">
        <is>
          <t>缺 PP</t>
        </is>
      </c>
    </row>
    <row r="1057">
      <c r="A1057" s="7" t="inlineStr">
        <is>
          <t>2011-11-10</t>
        </is>
      </c>
      <c r="B1057" s="8" t="n"/>
      <c r="C1057" s="8" t="n"/>
      <c r="D1057" s="8" t="n"/>
      <c r="E1057" s="8" t="n"/>
      <c r="F1057" s="8" t="n"/>
      <c r="G1057" s="8" t="n"/>
      <c r="H1057" s="8" t="n">
        <v>9160</v>
      </c>
      <c r="I1057" s="8" t="n">
        <v>9335</v>
      </c>
      <c r="J1057" s="8" t="n">
        <v>9335</v>
      </c>
      <c r="K1057" s="8" t="n">
        <v>9160</v>
      </c>
      <c r="L1057" s="8" t="n">
        <v>254896</v>
      </c>
      <c r="M1057" s="8" t="n">
        <v>157940</v>
      </c>
      <c r="N1057" s="9" t="inlineStr">
        <is>
          <t>否</t>
        </is>
      </c>
      <c r="O1057" t="inlineStr">
        <is>
          <t>缺 PP</t>
        </is>
      </c>
    </row>
    <row r="1058">
      <c r="A1058" s="7" t="inlineStr">
        <is>
          <t>2011-11-11</t>
        </is>
      </c>
      <c r="B1058" s="8" t="n"/>
      <c r="C1058" s="8" t="n"/>
      <c r="D1058" s="8" t="n"/>
      <c r="E1058" s="8" t="n"/>
      <c r="F1058" s="8" t="n"/>
      <c r="G1058" s="8" t="n"/>
      <c r="H1058" s="8" t="n">
        <v>9570</v>
      </c>
      <c r="I1058" s="8" t="n">
        <v>9720</v>
      </c>
      <c r="J1058" s="8" t="n">
        <v>9735</v>
      </c>
      <c r="K1058" s="8" t="n">
        <v>9450</v>
      </c>
      <c r="L1058" s="8" t="n">
        <v>1898730</v>
      </c>
      <c r="M1058" s="8" t="n">
        <v>227472</v>
      </c>
      <c r="N1058" s="9" t="inlineStr">
        <is>
          <t>否</t>
        </is>
      </c>
      <c r="O1058" t="inlineStr">
        <is>
          <t>缺 PP</t>
        </is>
      </c>
    </row>
    <row r="1059">
      <c r="A1059" s="7" t="inlineStr">
        <is>
          <t>2011-11-14</t>
        </is>
      </c>
      <c r="B1059" s="8" t="n"/>
      <c r="C1059" s="8" t="n"/>
      <c r="D1059" s="8" t="n"/>
      <c r="E1059" s="8" t="n"/>
      <c r="F1059" s="8" t="n"/>
      <c r="G1059" s="8" t="n"/>
      <c r="H1059" s="8" t="n">
        <v>10010</v>
      </c>
      <c r="I1059" s="8" t="n">
        <v>9795</v>
      </c>
      <c r="J1059" s="8" t="n">
        <v>10035</v>
      </c>
      <c r="K1059" s="8" t="n">
        <v>9680</v>
      </c>
      <c r="L1059" s="8" t="n">
        <v>1537874</v>
      </c>
      <c r="M1059" s="8" t="n">
        <v>214690</v>
      </c>
      <c r="N1059" s="9" t="inlineStr">
        <is>
          <t>否</t>
        </is>
      </c>
      <c r="O1059" t="inlineStr">
        <is>
          <t>缺 PP</t>
        </is>
      </c>
    </row>
    <row r="1060">
      <c r="A1060" s="7" t="inlineStr">
        <is>
          <t>2011-11-15</t>
        </is>
      </c>
      <c r="B1060" s="8" t="n"/>
      <c r="C1060" s="8" t="n"/>
      <c r="D1060" s="8" t="n"/>
      <c r="E1060" s="8" t="n"/>
      <c r="F1060" s="8" t="n"/>
      <c r="G1060" s="8" t="n"/>
      <c r="H1060" s="8" t="n">
        <v>9920</v>
      </c>
      <c r="I1060" s="8" t="n">
        <v>9910</v>
      </c>
      <c r="J1060" s="8" t="n">
        <v>9970</v>
      </c>
      <c r="K1060" s="8" t="n">
        <v>9855</v>
      </c>
      <c r="L1060" s="8" t="n">
        <v>1322242</v>
      </c>
      <c r="M1060" s="8" t="n">
        <v>227172</v>
      </c>
      <c r="N1060" s="9" t="inlineStr">
        <is>
          <t>否</t>
        </is>
      </c>
      <c r="O1060" t="inlineStr">
        <is>
          <t>缺 PP</t>
        </is>
      </c>
    </row>
    <row r="1061">
      <c r="A1061" s="7" t="inlineStr">
        <is>
          <t>2011-11-16</t>
        </is>
      </c>
      <c r="B1061" s="8" t="n"/>
      <c r="C1061" s="8" t="n"/>
      <c r="D1061" s="8" t="n"/>
      <c r="E1061" s="8" t="n"/>
      <c r="F1061" s="8" t="n"/>
      <c r="G1061" s="8" t="n"/>
      <c r="H1061" s="8" t="n">
        <v>9610</v>
      </c>
      <c r="I1061" s="8" t="n">
        <v>10005</v>
      </c>
      <c r="J1061" s="8" t="n">
        <v>10110</v>
      </c>
      <c r="K1061" s="8" t="n">
        <v>9610</v>
      </c>
      <c r="L1061" s="8" t="n">
        <v>1790806</v>
      </c>
      <c r="M1061" s="8" t="n">
        <v>279302</v>
      </c>
      <c r="N1061" s="9" t="inlineStr">
        <is>
          <t>否</t>
        </is>
      </c>
      <c r="O1061" t="inlineStr">
        <is>
          <t>缺 PP</t>
        </is>
      </c>
    </row>
    <row r="1062">
      <c r="A1062" s="7" t="inlineStr">
        <is>
          <t>2011-11-17</t>
        </is>
      </c>
      <c r="B1062" s="8" t="n"/>
      <c r="C1062" s="8" t="n"/>
      <c r="D1062" s="8" t="n"/>
      <c r="E1062" s="8" t="n"/>
      <c r="F1062" s="8" t="n"/>
      <c r="G1062" s="8" t="n"/>
      <c r="H1062" s="8" t="n">
        <v>9685</v>
      </c>
      <c r="I1062" s="8" t="n">
        <v>9700</v>
      </c>
      <c r="J1062" s="8" t="n">
        <v>9810</v>
      </c>
      <c r="K1062" s="8" t="n">
        <v>9520</v>
      </c>
      <c r="L1062" s="8" t="n">
        <v>2321272</v>
      </c>
      <c r="M1062" s="8" t="n">
        <v>254086</v>
      </c>
      <c r="N1062" s="9" t="inlineStr">
        <is>
          <t>否</t>
        </is>
      </c>
      <c r="O1062" t="inlineStr">
        <is>
          <t>缺 PP</t>
        </is>
      </c>
    </row>
    <row r="1063">
      <c r="A1063" s="7" t="inlineStr">
        <is>
          <t>2011-11-18</t>
        </is>
      </c>
      <c r="B1063" s="8" t="n"/>
      <c r="C1063" s="8" t="n"/>
      <c r="D1063" s="8" t="n"/>
      <c r="E1063" s="8" t="n"/>
      <c r="F1063" s="8" t="n"/>
      <c r="G1063" s="8" t="n"/>
      <c r="H1063" s="8" t="n">
        <v>9465</v>
      </c>
      <c r="I1063" s="8" t="n">
        <v>9250</v>
      </c>
      <c r="J1063" s="8" t="n">
        <v>9490</v>
      </c>
      <c r="K1063" s="8" t="n">
        <v>9250</v>
      </c>
      <c r="L1063" s="8" t="n">
        <v>1953412</v>
      </c>
      <c r="M1063" s="8" t="n">
        <v>267124</v>
      </c>
      <c r="N1063" s="9" t="inlineStr">
        <is>
          <t>否</t>
        </is>
      </c>
      <c r="O1063" t="inlineStr">
        <is>
          <t>缺 PP</t>
        </is>
      </c>
    </row>
    <row r="1064">
      <c r="A1064" s="7" t="inlineStr">
        <is>
          <t>2011-11-21</t>
        </is>
      </c>
      <c r="B1064" s="8" t="n"/>
      <c r="C1064" s="8" t="n"/>
      <c r="D1064" s="8" t="n"/>
      <c r="E1064" s="8" t="n"/>
      <c r="F1064" s="8" t="n"/>
      <c r="G1064" s="8" t="n"/>
      <c r="H1064" s="8" t="n">
        <v>9400</v>
      </c>
      <c r="I1064" s="8" t="n">
        <v>9390</v>
      </c>
      <c r="J1064" s="8" t="n">
        <v>9500</v>
      </c>
      <c r="K1064" s="8" t="n">
        <v>9340</v>
      </c>
      <c r="L1064" s="8" t="n">
        <v>1213778</v>
      </c>
      <c r="M1064" s="8" t="n">
        <v>259490</v>
      </c>
      <c r="N1064" s="9" t="inlineStr">
        <is>
          <t>否</t>
        </is>
      </c>
      <c r="O1064" t="inlineStr">
        <is>
          <t>缺 PP</t>
        </is>
      </c>
    </row>
    <row r="1065">
      <c r="A1065" s="7" t="inlineStr">
        <is>
          <t>2011-11-22</t>
        </is>
      </c>
      <c r="B1065" s="8" t="n"/>
      <c r="C1065" s="8" t="n"/>
      <c r="D1065" s="8" t="n"/>
      <c r="E1065" s="8" t="n"/>
      <c r="F1065" s="8" t="n"/>
      <c r="G1065" s="8" t="n"/>
      <c r="H1065" s="8" t="n">
        <v>9450</v>
      </c>
      <c r="I1065" s="8" t="n">
        <v>9360</v>
      </c>
      <c r="J1065" s="8" t="n">
        <v>9485</v>
      </c>
      <c r="K1065" s="8" t="n">
        <v>9355</v>
      </c>
      <c r="L1065" s="8" t="n">
        <v>1049090</v>
      </c>
      <c r="M1065" s="8" t="n">
        <v>258110</v>
      </c>
      <c r="N1065" s="9" t="inlineStr">
        <is>
          <t>否</t>
        </is>
      </c>
      <c r="O1065" t="inlineStr">
        <is>
          <t>缺 PP</t>
        </is>
      </c>
    </row>
    <row r="1066">
      <c r="A1066" s="7" t="inlineStr">
        <is>
          <t>2011-11-23</t>
        </is>
      </c>
      <c r="B1066" s="8" t="n"/>
      <c r="C1066" s="8" t="n"/>
      <c r="D1066" s="8" t="n"/>
      <c r="E1066" s="8" t="n"/>
      <c r="F1066" s="8" t="n"/>
      <c r="G1066" s="8" t="n"/>
      <c r="H1066" s="8" t="n">
        <v>9265</v>
      </c>
      <c r="I1066" s="8" t="n">
        <v>9440</v>
      </c>
      <c r="J1066" s="8" t="n">
        <v>9475</v>
      </c>
      <c r="K1066" s="8" t="n">
        <v>9240</v>
      </c>
      <c r="L1066" s="8" t="n">
        <v>1321324</v>
      </c>
      <c r="M1066" s="8" t="n">
        <v>351890</v>
      </c>
      <c r="N1066" s="9" t="inlineStr">
        <is>
          <t>否</t>
        </is>
      </c>
      <c r="O1066" t="inlineStr">
        <is>
          <t>缺 PP</t>
        </is>
      </c>
    </row>
    <row r="1067">
      <c r="A1067" s="7" t="inlineStr">
        <is>
          <t>2011-11-24</t>
        </is>
      </c>
      <c r="B1067" s="8" t="n"/>
      <c r="C1067" s="8" t="n"/>
      <c r="D1067" s="8" t="n"/>
      <c r="E1067" s="8" t="n"/>
      <c r="F1067" s="8" t="n"/>
      <c r="G1067" s="8" t="n"/>
      <c r="H1067" s="8" t="n">
        <v>9435</v>
      </c>
      <c r="I1067" s="8" t="n">
        <v>9270</v>
      </c>
      <c r="J1067" s="8" t="n">
        <v>9495</v>
      </c>
      <c r="K1067" s="8" t="n">
        <v>9120</v>
      </c>
      <c r="L1067" s="8" t="n">
        <v>1718412</v>
      </c>
      <c r="M1067" s="8" t="n">
        <v>275666</v>
      </c>
      <c r="N1067" s="9" t="inlineStr">
        <is>
          <t>否</t>
        </is>
      </c>
      <c r="O1067" t="inlineStr">
        <is>
          <t>缺 PP</t>
        </is>
      </c>
    </row>
    <row r="1068">
      <c r="A1068" s="7" t="inlineStr">
        <is>
          <t>2011-11-25</t>
        </is>
      </c>
      <c r="B1068" s="8" t="n"/>
      <c r="C1068" s="8" t="n"/>
      <c r="D1068" s="8" t="n"/>
      <c r="E1068" s="8" t="n"/>
      <c r="F1068" s="8" t="n"/>
      <c r="G1068" s="8" t="n"/>
      <c r="H1068" s="8" t="n">
        <v>9365</v>
      </c>
      <c r="I1068" s="8" t="n">
        <v>9385</v>
      </c>
      <c r="J1068" s="8" t="n">
        <v>9440</v>
      </c>
      <c r="K1068" s="8" t="n">
        <v>9295</v>
      </c>
      <c r="L1068" s="8" t="n">
        <v>1193356</v>
      </c>
      <c r="M1068" s="8" t="n">
        <v>244994</v>
      </c>
      <c r="N1068" s="9" t="inlineStr">
        <is>
          <t>否</t>
        </is>
      </c>
      <c r="O1068" t="inlineStr">
        <is>
          <t>缺 PP</t>
        </is>
      </c>
    </row>
    <row r="1069">
      <c r="A1069" s="7" t="inlineStr">
        <is>
          <t>2011-11-28</t>
        </is>
      </c>
      <c r="B1069" s="8" t="n"/>
      <c r="C1069" s="8" t="n"/>
      <c r="D1069" s="8" t="n"/>
      <c r="E1069" s="8" t="n"/>
      <c r="F1069" s="8" t="n"/>
      <c r="G1069" s="8" t="n"/>
      <c r="H1069" s="8" t="n">
        <v>9630</v>
      </c>
      <c r="I1069" s="8" t="n">
        <v>9500</v>
      </c>
      <c r="J1069" s="8" t="n">
        <v>9685</v>
      </c>
      <c r="K1069" s="8" t="n">
        <v>9500</v>
      </c>
      <c r="L1069" s="8" t="n">
        <v>1272500</v>
      </c>
      <c r="M1069" s="8" t="n">
        <v>259184</v>
      </c>
      <c r="N1069" s="9" t="inlineStr">
        <is>
          <t>否</t>
        </is>
      </c>
      <c r="O1069" t="inlineStr">
        <is>
          <t>缺 PP</t>
        </is>
      </c>
    </row>
    <row r="1070">
      <c r="A1070" s="7" t="inlineStr">
        <is>
          <t>2011-11-29</t>
        </is>
      </c>
      <c r="B1070" s="8" t="n"/>
      <c r="C1070" s="8" t="n"/>
      <c r="D1070" s="8" t="n"/>
      <c r="E1070" s="8" t="n"/>
      <c r="F1070" s="8" t="n"/>
      <c r="G1070" s="8" t="n"/>
      <c r="H1070" s="8" t="n">
        <v>9600</v>
      </c>
      <c r="I1070" s="8" t="n">
        <v>9600</v>
      </c>
      <c r="J1070" s="8" t="n">
        <v>9640</v>
      </c>
      <c r="K1070" s="8" t="n">
        <v>9505</v>
      </c>
      <c r="L1070" s="8" t="n">
        <v>1175400</v>
      </c>
      <c r="M1070" s="8" t="n">
        <v>257104</v>
      </c>
      <c r="N1070" s="9" t="inlineStr">
        <is>
          <t>否</t>
        </is>
      </c>
      <c r="O1070" t="inlineStr">
        <is>
          <t>缺 PP</t>
        </is>
      </c>
    </row>
    <row r="1071">
      <c r="A1071" s="7" t="inlineStr">
        <is>
          <t>2011-11-30</t>
        </is>
      </c>
      <c r="B1071" s="8" t="n"/>
      <c r="C1071" s="8" t="n"/>
      <c r="D1071" s="8" t="n"/>
      <c r="E1071" s="8" t="n"/>
      <c r="F1071" s="8" t="n"/>
      <c r="G1071" s="8" t="n"/>
      <c r="H1071" s="8" t="n">
        <v>9480</v>
      </c>
      <c r="I1071" s="8" t="n">
        <v>9650</v>
      </c>
      <c r="J1071" s="8" t="n">
        <v>9650</v>
      </c>
      <c r="K1071" s="8" t="n">
        <v>9420</v>
      </c>
      <c r="L1071" s="8" t="n">
        <v>1239300</v>
      </c>
      <c r="M1071" s="8" t="n">
        <v>262088</v>
      </c>
      <c r="N1071" s="9" t="inlineStr">
        <is>
          <t>否</t>
        </is>
      </c>
      <c r="O1071" t="inlineStr">
        <is>
          <t>缺 PP</t>
        </is>
      </c>
    </row>
    <row r="1072">
      <c r="A1072" s="7" t="inlineStr">
        <is>
          <t>2011-12-01</t>
        </is>
      </c>
      <c r="B1072" s="8" t="n"/>
      <c r="C1072" s="8" t="n"/>
      <c r="D1072" s="8" t="n"/>
      <c r="E1072" s="8" t="n"/>
      <c r="F1072" s="8" t="n"/>
      <c r="G1072" s="8" t="n"/>
      <c r="H1072" s="8" t="n">
        <v>9765</v>
      </c>
      <c r="I1072" s="8" t="n">
        <v>9980</v>
      </c>
      <c r="J1072" s="8" t="n">
        <v>9995</v>
      </c>
      <c r="K1072" s="8" t="n">
        <v>9730</v>
      </c>
      <c r="L1072" s="8" t="n">
        <v>1026900</v>
      </c>
      <c r="M1072" s="8" t="n">
        <v>251622</v>
      </c>
      <c r="N1072" s="9" t="inlineStr">
        <is>
          <t>否</t>
        </is>
      </c>
      <c r="O1072" t="inlineStr">
        <is>
          <t>缺 PP</t>
        </is>
      </c>
    </row>
    <row r="1073">
      <c r="A1073" s="7" t="inlineStr">
        <is>
          <t>2011-12-05</t>
        </is>
      </c>
      <c r="B1073" s="8" t="n"/>
      <c r="C1073" s="8" t="n"/>
      <c r="D1073" s="8" t="n"/>
      <c r="E1073" s="8" t="n"/>
      <c r="F1073" s="8" t="n"/>
      <c r="G1073" s="8" t="n"/>
      <c r="H1073" s="8" t="n">
        <v>9745</v>
      </c>
      <c r="I1073" s="8" t="n">
        <v>9765</v>
      </c>
      <c r="J1073" s="8" t="n">
        <v>9785</v>
      </c>
      <c r="K1073" s="8" t="n">
        <v>9705</v>
      </c>
      <c r="L1073" s="8" t="n">
        <v>730772</v>
      </c>
      <c r="M1073" s="8" t="n">
        <v>238970</v>
      </c>
      <c r="N1073" s="9" t="inlineStr">
        <is>
          <t>否</t>
        </is>
      </c>
      <c r="O1073" t="inlineStr">
        <is>
          <t>缺 PP</t>
        </is>
      </c>
    </row>
    <row r="1074">
      <c r="A1074" s="7" t="inlineStr">
        <is>
          <t>2011-12-06</t>
        </is>
      </c>
      <c r="B1074" s="8" t="n"/>
      <c r="C1074" s="8" t="n"/>
      <c r="D1074" s="8" t="n"/>
      <c r="E1074" s="8" t="n"/>
      <c r="F1074" s="8" t="n"/>
      <c r="G1074" s="8" t="n"/>
      <c r="H1074" s="8" t="n">
        <v>9675</v>
      </c>
      <c r="I1074" s="8" t="n">
        <v>9700</v>
      </c>
      <c r="J1074" s="8" t="n">
        <v>9710</v>
      </c>
      <c r="K1074" s="8" t="n">
        <v>9580</v>
      </c>
      <c r="L1074" s="8" t="n">
        <v>879054</v>
      </c>
      <c r="M1074" s="8" t="n">
        <v>245082</v>
      </c>
      <c r="N1074" s="9" t="inlineStr">
        <is>
          <t>否</t>
        </is>
      </c>
      <c r="O1074" t="inlineStr">
        <is>
          <t>缺 PP</t>
        </is>
      </c>
    </row>
    <row r="1075">
      <c r="A1075" s="7" t="inlineStr">
        <is>
          <t>2011-12-07</t>
        </is>
      </c>
      <c r="B1075" s="8" t="n"/>
      <c r="C1075" s="8" t="n"/>
      <c r="D1075" s="8" t="n"/>
      <c r="E1075" s="8" t="n"/>
      <c r="F1075" s="8" t="n"/>
      <c r="G1075" s="8" t="n"/>
      <c r="H1075" s="8" t="n">
        <v>9810</v>
      </c>
      <c r="I1075" s="8" t="n">
        <v>9710</v>
      </c>
      <c r="J1075" s="8" t="n">
        <v>9820</v>
      </c>
      <c r="K1075" s="8" t="n">
        <v>9650</v>
      </c>
      <c r="L1075" s="8" t="n">
        <v>1153900</v>
      </c>
      <c r="M1075" s="8" t="n">
        <v>307776</v>
      </c>
      <c r="N1075" s="9" t="inlineStr">
        <is>
          <t>否</t>
        </is>
      </c>
      <c r="O1075" t="inlineStr">
        <is>
          <t>缺 PP</t>
        </is>
      </c>
    </row>
    <row r="1076">
      <c r="A1076" s="7" t="inlineStr">
        <is>
          <t>2011-12-08</t>
        </is>
      </c>
      <c r="B1076" s="8" t="n"/>
      <c r="C1076" s="8" t="n"/>
      <c r="D1076" s="8" t="n"/>
      <c r="E1076" s="8" t="n"/>
      <c r="F1076" s="8" t="n"/>
      <c r="G1076" s="8" t="n"/>
      <c r="H1076" s="8" t="n">
        <v>9710</v>
      </c>
      <c r="I1076" s="8" t="n">
        <v>9770</v>
      </c>
      <c r="J1076" s="8" t="n">
        <v>9800</v>
      </c>
      <c r="K1076" s="8" t="n">
        <v>9685</v>
      </c>
      <c r="L1076" s="8" t="n">
        <v>1068800</v>
      </c>
      <c r="M1076" s="8" t="n">
        <v>295746</v>
      </c>
      <c r="N1076" s="9" t="inlineStr">
        <is>
          <t>否</t>
        </is>
      </c>
      <c r="O1076" t="inlineStr">
        <is>
          <t>缺 PP</t>
        </is>
      </c>
    </row>
    <row r="1077">
      <c r="A1077" s="7" t="inlineStr">
        <is>
          <t>2011-12-09</t>
        </is>
      </c>
      <c r="B1077" s="8" t="n"/>
      <c r="C1077" s="8" t="n"/>
      <c r="D1077" s="8" t="n"/>
      <c r="E1077" s="8" t="n"/>
      <c r="F1077" s="8" t="n"/>
      <c r="G1077" s="8" t="n"/>
      <c r="H1077" s="8" t="n">
        <v>9500</v>
      </c>
      <c r="I1077" s="8" t="n">
        <v>9595</v>
      </c>
      <c r="J1077" s="8" t="n">
        <v>9670</v>
      </c>
      <c r="K1077" s="8" t="n">
        <v>9495</v>
      </c>
      <c r="L1077" s="8" t="n">
        <v>1256800</v>
      </c>
      <c r="M1077" s="8" t="n">
        <v>346052</v>
      </c>
      <c r="N1077" s="9" t="inlineStr">
        <is>
          <t>否</t>
        </is>
      </c>
      <c r="O1077" t="inlineStr">
        <is>
          <t>缺 PP</t>
        </is>
      </c>
    </row>
    <row r="1078">
      <c r="A1078" s="7" t="inlineStr">
        <is>
          <t>2011-12-12</t>
        </is>
      </c>
      <c r="B1078" s="8" t="n"/>
      <c r="C1078" s="8" t="n"/>
      <c r="D1078" s="8" t="n"/>
      <c r="E1078" s="8" t="n"/>
      <c r="F1078" s="8" t="n"/>
      <c r="G1078" s="8" t="n"/>
      <c r="H1078" s="8" t="n">
        <v>9315</v>
      </c>
      <c r="I1078" s="8" t="n">
        <v>9570</v>
      </c>
      <c r="J1078" s="8" t="n">
        <v>9570</v>
      </c>
      <c r="K1078" s="8" t="n">
        <v>9310</v>
      </c>
      <c r="L1078" s="8" t="n">
        <v>1201600</v>
      </c>
      <c r="M1078" s="8" t="n">
        <v>405116</v>
      </c>
      <c r="N1078" s="9" t="inlineStr">
        <is>
          <t>否</t>
        </is>
      </c>
      <c r="O1078" t="inlineStr">
        <is>
          <t>缺 PP</t>
        </is>
      </c>
    </row>
    <row r="1079">
      <c r="A1079" s="7" t="inlineStr">
        <is>
          <t>2011-12-13</t>
        </is>
      </c>
      <c r="B1079" s="8" t="n"/>
      <c r="C1079" s="8" t="n"/>
      <c r="D1079" s="8" t="n"/>
      <c r="E1079" s="8" t="n"/>
      <c r="F1079" s="8" t="n"/>
      <c r="G1079" s="8" t="n"/>
      <c r="H1079" s="8" t="n">
        <v>9365</v>
      </c>
      <c r="I1079" s="8" t="n">
        <v>9260</v>
      </c>
      <c r="J1079" s="8" t="n">
        <v>9395</v>
      </c>
      <c r="K1079" s="8" t="n">
        <v>9215</v>
      </c>
      <c r="L1079" s="8" t="n">
        <v>1016900</v>
      </c>
      <c r="M1079" s="8" t="n">
        <v>337146</v>
      </c>
      <c r="N1079" s="9" t="inlineStr">
        <is>
          <t>否</t>
        </is>
      </c>
      <c r="O1079" t="inlineStr">
        <is>
          <t>缺 PP</t>
        </is>
      </c>
    </row>
    <row r="1080">
      <c r="A1080" s="7" t="inlineStr">
        <is>
          <t>2011-12-14</t>
        </is>
      </c>
      <c r="B1080" s="8" t="n"/>
      <c r="C1080" s="8" t="n"/>
      <c r="D1080" s="8" t="n"/>
      <c r="E1080" s="8" t="n"/>
      <c r="F1080" s="8" t="n"/>
      <c r="G1080" s="8" t="n"/>
      <c r="H1080" s="8" t="n">
        <v>9305</v>
      </c>
      <c r="I1080" s="8" t="n">
        <v>9350</v>
      </c>
      <c r="J1080" s="8" t="n">
        <v>9385</v>
      </c>
      <c r="K1080" s="8" t="n">
        <v>9290</v>
      </c>
      <c r="L1080" s="8" t="n">
        <v>865562</v>
      </c>
      <c r="M1080" s="8" t="n">
        <v>339624</v>
      </c>
      <c r="N1080" s="9" t="inlineStr">
        <is>
          <t>否</t>
        </is>
      </c>
      <c r="O1080" t="inlineStr">
        <is>
          <t>缺 PP</t>
        </is>
      </c>
    </row>
    <row r="1081">
      <c r="A1081" s="7" t="inlineStr">
        <is>
          <t>2011-12-15</t>
        </is>
      </c>
      <c r="B1081" s="8" t="n"/>
      <c r="C1081" s="8" t="n"/>
      <c r="D1081" s="8" t="n"/>
      <c r="E1081" s="8" t="n"/>
      <c r="F1081" s="8" t="n"/>
      <c r="G1081" s="8" t="n"/>
      <c r="H1081" s="8" t="n">
        <v>9140</v>
      </c>
      <c r="I1081" s="8" t="n">
        <v>9050</v>
      </c>
      <c r="J1081" s="8" t="n">
        <v>9220</v>
      </c>
      <c r="K1081" s="8" t="n">
        <v>9050</v>
      </c>
      <c r="L1081" s="8" t="n">
        <v>1224600</v>
      </c>
      <c r="M1081" s="8" t="n">
        <v>337586</v>
      </c>
      <c r="N1081" s="9" t="inlineStr">
        <is>
          <t>否</t>
        </is>
      </c>
      <c r="O1081" t="inlineStr">
        <is>
          <t>缺 PP</t>
        </is>
      </c>
    </row>
    <row r="1082">
      <c r="A1082" s="7" t="inlineStr">
        <is>
          <t>2011-12-16</t>
        </is>
      </c>
      <c r="B1082" s="8" t="n"/>
      <c r="C1082" s="8" t="n"/>
      <c r="D1082" s="8" t="n"/>
      <c r="E1082" s="8" t="n"/>
      <c r="F1082" s="8" t="n"/>
      <c r="G1082" s="8" t="n"/>
      <c r="H1082" s="8" t="n">
        <v>9310</v>
      </c>
      <c r="I1082" s="8" t="n">
        <v>9185</v>
      </c>
      <c r="J1082" s="8" t="n">
        <v>9315</v>
      </c>
      <c r="K1082" s="8" t="n">
        <v>9160</v>
      </c>
      <c r="L1082" s="8" t="n">
        <v>800268</v>
      </c>
      <c r="M1082" s="8" t="n">
        <v>323546</v>
      </c>
      <c r="N1082" s="9" t="inlineStr">
        <is>
          <t>否</t>
        </is>
      </c>
      <c r="O1082" t="inlineStr">
        <is>
          <t>缺 PP</t>
        </is>
      </c>
    </row>
    <row r="1083">
      <c r="A1083" s="7" t="inlineStr">
        <is>
          <t>2011-12-19</t>
        </is>
      </c>
      <c r="B1083" s="8" t="n"/>
      <c r="C1083" s="8" t="n"/>
      <c r="D1083" s="8" t="n"/>
      <c r="E1083" s="8" t="n"/>
      <c r="F1083" s="8" t="n"/>
      <c r="G1083" s="8" t="n"/>
      <c r="H1083" s="8" t="n">
        <v>9250</v>
      </c>
      <c r="I1083" s="8" t="n">
        <v>9270</v>
      </c>
      <c r="J1083" s="8" t="n">
        <v>9295</v>
      </c>
      <c r="K1083" s="8" t="n">
        <v>9130</v>
      </c>
      <c r="L1083" s="8" t="n">
        <v>934614</v>
      </c>
      <c r="M1083" s="8" t="n">
        <v>324462</v>
      </c>
      <c r="N1083" s="9" t="inlineStr">
        <is>
          <t>否</t>
        </is>
      </c>
      <c r="O1083" t="inlineStr">
        <is>
          <t>缺 PP</t>
        </is>
      </c>
    </row>
    <row r="1084">
      <c r="A1084" s="7" t="inlineStr">
        <is>
          <t>2011-12-20</t>
        </is>
      </c>
      <c r="B1084" s="8" t="n"/>
      <c r="C1084" s="8" t="n"/>
      <c r="D1084" s="8" t="n"/>
      <c r="E1084" s="8" t="n"/>
      <c r="F1084" s="8" t="n"/>
      <c r="G1084" s="8" t="n"/>
      <c r="H1084" s="8" t="n">
        <v>9290</v>
      </c>
      <c r="I1084" s="8" t="n">
        <v>9280</v>
      </c>
      <c r="J1084" s="8" t="n">
        <v>9295</v>
      </c>
      <c r="K1084" s="8" t="n">
        <v>9190</v>
      </c>
      <c r="L1084" s="8" t="n">
        <v>872694</v>
      </c>
      <c r="M1084" s="8" t="n">
        <v>311846</v>
      </c>
      <c r="N1084" s="9" t="inlineStr">
        <is>
          <t>否</t>
        </is>
      </c>
      <c r="O1084" t="inlineStr">
        <is>
          <t>缺 PP</t>
        </is>
      </c>
    </row>
    <row r="1085">
      <c r="A1085" s="7" t="inlineStr">
        <is>
          <t>2011-12-21</t>
        </is>
      </c>
      <c r="B1085" s="8" t="n"/>
      <c r="C1085" s="8" t="n"/>
      <c r="D1085" s="8" t="n"/>
      <c r="E1085" s="8" t="n"/>
      <c r="F1085" s="8" t="n"/>
      <c r="G1085" s="8" t="n"/>
      <c r="H1085" s="8" t="n">
        <v>9350</v>
      </c>
      <c r="I1085" s="8" t="n">
        <v>9400</v>
      </c>
      <c r="J1085" s="8" t="n">
        <v>9400</v>
      </c>
      <c r="K1085" s="8" t="n">
        <v>9310</v>
      </c>
      <c r="L1085" s="8" t="n">
        <v>670478</v>
      </c>
      <c r="M1085" s="8" t="n">
        <v>301640</v>
      </c>
      <c r="N1085" s="9" t="inlineStr">
        <is>
          <t>否</t>
        </is>
      </c>
      <c r="O1085" t="inlineStr">
        <is>
          <t>缺 PP</t>
        </is>
      </c>
    </row>
    <row r="1086">
      <c r="A1086" s="7" t="inlineStr">
        <is>
          <t>2011-12-22</t>
        </is>
      </c>
      <c r="B1086" s="8" t="n"/>
      <c r="C1086" s="8" t="n"/>
      <c r="D1086" s="8" t="n"/>
      <c r="E1086" s="8" t="n"/>
      <c r="F1086" s="8" t="n"/>
      <c r="G1086" s="8" t="n"/>
      <c r="H1086" s="8" t="n">
        <v>9385</v>
      </c>
      <c r="I1086" s="8" t="n">
        <v>9330</v>
      </c>
      <c r="J1086" s="8" t="n">
        <v>9405</v>
      </c>
      <c r="K1086" s="8" t="n">
        <v>9290</v>
      </c>
      <c r="L1086" s="8" t="n">
        <v>734038</v>
      </c>
      <c r="M1086" s="8" t="n">
        <v>297036</v>
      </c>
      <c r="N1086" s="9" t="inlineStr">
        <is>
          <t>否</t>
        </is>
      </c>
      <c r="O1086" t="inlineStr">
        <is>
          <t>缺 PP</t>
        </is>
      </c>
    </row>
    <row r="1087">
      <c r="A1087" s="7" t="inlineStr">
        <is>
          <t>2011-12-23</t>
        </is>
      </c>
      <c r="B1087" s="8" t="n"/>
      <c r="C1087" s="8" t="n"/>
      <c r="D1087" s="8" t="n"/>
      <c r="E1087" s="8" t="n"/>
      <c r="F1087" s="8" t="n"/>
      <c r="G1087" s="8" t="n"/>
      <c r="H1087" s="8" t="n">
        <v>9495</v>
      </c>
      <c r="I1087" s="8" t="n">
        <v>9380</v>
      </c>
      <c r="J1087" s="8" t="n">
        <v>9500</v>
      </c>
      <c r="K1087" s="8" t="n">
        <v>9370</v>
      </c>
      <c r="L1087" s="8" t="n">
        <v>611546</v>
      </c>
      <c r="M1087" s="8" t="n">
        <v>285448</v>
      </c>
      <c r="N1087" s="9" t="inlineStr">
        <is>
          <t>否</t>
        </is>
      </c>
      <c r="O1087" t="inlineStr">
        <is>
          <t>缺 PP</t>
        </is>
      </c>
    </row>
    <row r="1088">
      <c r="A1088" s="7" t="inlineStr">
        <is>
          <t>2011-12-26</t>
        </is>
      </c>
      <c r="B1088" s="8" t="n"/>
      <c r="C1088" s="8" t="n"/>
      <c r="D1088" s="8" t="n"/>
      <c r="E1088" s="8" t="n"/>
      <c r="F1088" s="8" t="n"/>
      <c r="G1088" s="8" t="n"/>
      <c r="H1088" s="8" t="n">
        <v>9350</v>
      </c>
      <c r="I1088" s="8" t="n">
        <v>9500</v>
      </c>
      <c r="J1088" s="8" t="n">
        <v>9500</v>
      </c>
      <c r="K1088" s="8" t="n">
        <v>9325</v>
      </c>
      <c r="L1088" s="8" t="n">
        <v>662728</v>
      </c>
      <c r="M1088" s="8" t="n">
        <v>308270</v>
      </c>
      <c r="N1088" s="9" t="inlineStr">
        <is>
          <t>否</t>
        </is>
      </c>
      <c r="O1088" t="inlineStr">
        <is>
          <t>缺 PP</t>
        </is>
      </c>
    </row>
    <row r="1089">
      <c r="A1089" s="7" t="inlineStr">
        <is>
          <t>2011-12-27</t>
        </is>
      </c>
      <c r="B1089" s="8" t="n"/>
      <c r="C1089" s="8" t="n"/>
      <c r="D1089" s="8" t="n"/>
      <c r="E1089" s="8" t="n"/>
      <c r="F1089" s="8" t="n"/>
      <c r="G1089" s="8" t="n"/>
      <c r="H1089" s="8" t="n">
        <v>9375</v>
      </c>
      <c r="I1089" s="8" t="n">
        <v>9330</v>
      </c>
      <c r="J1089" s="8" t="n">
        <v>9460</v>
      </c>
      <c r="K1089" s="8" t="n">
        <v>9325</v>
      </c>
      <c r="L1089" s="8" t="n">
        <v>619156</v>
      </c>
      <c r="M1089" s="8" t="n">
        <v>288892</v>
      </c>
      <c r="N1089" s="9" t="inlineStr">
        <is>
          <t>否</t>
        </is>
      </c>
      <c r="O1089" t="inlineStr">
        <is>
          <t>缺 PP</t>
        </is>
      </c>
    </row>
    <row r="1090">
      <c r="A1090" s="7" t="inlineStr">
        <is>
          <t>2011-12-28</t>
        </is>
      </c>
      <c r="B1090" s="8" t="n"/>
      <c r="C1090" s="8" t="n"/>
      <c r="D1090" s="8" t="n"/>
      <c r="E1090" s="8" t="n"/>
      <c r="F1090" s="8" t="n"/>
      <c r="G1090" s="8" t="n"/>
      <c r="H1090" s="8" t="n">
        <v>9440</v>
      </c>
      <c r="I1090" s="8" t="n">
        <v>9405</v>
      </c>
      <c r="J1090" s="8" t="n">
        <v>9475</v>
      </c>
      <c r="K1090" s="8" t="n">
        <v>9385</v>
      </c>
      <c r="L1090" s="8" t="n">
        <v>611562</v>
      </c>
      <c r="M1090" s="8" t="n">
        <v>289012</v>
      </c>
      <c r="N1090" s="9" t="inlineStr">
        <is>
          <t>否</t>
        </is>
      </c>
      <c r="O1090" t="inlineStr">
        <is>
          <t>缺 PP</t>
        </is>
      </c>
    </row>
    <row r="1091">
      <c r="A1091" s="7" t="inlineStr">
        <is>
          <t>2011-12-29</t>
        </is>
      </c>
      <c r="B1091" s="8" t="n"/>
      <c r="C1091" s="8" t="n"/>
      <c r="D1091" s="8" t="n"/>
      <c r="E1091" s="8" t="n"/>
      <c r="F1091" s="8" t="n"/>
      <c r="G1091" s="8" t="n"/>
      <c r="H1091" s="8" t="n">
        <v>9455</v>
      </c>
      <c r="I1091" s="8" t="n">
        <v>9360</v>
      </c>
      <c r="J1091" s="8" t="n">
        <v>9475</v>
      </c>
      <c r="K1091" s="8" t="n">
        <v>9350</v>
      </c>
      <c r="L1091" s="8" t="n">
        <v>582348</v>
      </c>
      <c r="M1091" s="8" t="n">
        <v>281116</v>
      </c>
      <c r="N1091" s="9" t="inlineStr">
        <is>
          <t>否</t>
        </is>
      </c>
      <c r="O1091" t="inlineStr">
        <is>
          <t>缺 PP</t>
        </is>
      </c>
    </row>
    <row r="1092">
      <c r="A1092" s="7" t="inlineStr">
        <is>
          <t>2011-12-30</t>
        </is>
      </c>
      <c r="B1092" s="8" t="n"/>
      <c r="C1092" s="8" t="n"/>
      <c r="D1092" s="8" t="n"/>
      <c r="E1092" s="8" t="n"/>
      <c r="F1092" s="8" t="n"/>
      <c r="G1092" s="8" t="n"/>
      <c r="H1092" s="8" t="n">
        <v>9605</v>
      </c>
      <c r="I1092" s="8" t="n">
        <v>9500</v>
      </c>
      <c r="J1092" s="8" t="n">
        <v>9610</v>
      </c>
      <c r="K1092" s="8" t="n">
        <v>9475</v>
      </c>
      <c r="L1092" s="8" t="n">
        <v>719906</v>
      </c>
      <c r="M1092" s="8" t="n">
        <v>267298</v>
      </c>
      <c r="N1092" s="9" t="inlineStr">
        <is>
          <t>否</t>
        </is>
      </c>
      <c r="O1092" t="inlineStr">
        <is>
          <t>缺 PP</t>
        </is>
      </c>
    </row>
    <row r="1093">
      <c r="A1093" s="7" t="inlineStr">
        <is>
          <t>2012-01-04</t>
        </is>
      </c>
      <c r="B1093" s="8" t="n"/>
      <c r="C1093" s="8" t="n"/>
      <c r="D1093" s="8" t="n"/>
      <c r="E1093" s="8" t="n"/>
      <c r="F1093" s="8" t="n"/>
      <c r="G1093" s="8" t="n"/>
      <c r="H1093" s="8" t="n">
        <v>9615</v>
      </c>
      <c r="I1093" s="8" t="n">
        <v>9705</v>
      </c>
      <c r="J1093" s="8" t="n">
        <v>9725</v>
      </c>
      <c r="K1093" s="8" t="n">
        <v>9595</v>
      </c>
      <c r="L1093" s="8" t="n">
        <v>514352</v>
      </c>
      <c r="M1093" s="8" t="n">
        <v>262400</v>
      </c>
      <c r="N1093" s="9" t="inlineStr">
        <is>
          <t>否</t>
        </is>
      </c>
      <c r="O1093" t="inlineStr">
        <is>
          <t>缺 PP</t>
        </is>
      </c>
    </row>
    <row r="1094">
      <c r="A1094" s="7" t="inlineStr">
        <is>
          <t>2012-01-05</t>
        </is>
      </c>
      <c r="B1094" s="8" t="n"/>
      <c r="C1094" s="8" t="n"/>
      <c r="D1094" s="8" t="n"/>
      <c r="E1094" s="8" t="n"/>
      <c r="F1094" s="8" t="n"/>
      <c r="G1094" s="8" t="n"/>
      <c r="H1094" s="8" t="n">
        <v>9730</v>
      </c>
      <c r="I1094" s="8" t="n">
        <v>9630</v>
      </c>
      <c r="J1094" s="8" t="n">
        <v>9795</v>
      </c>
      <c r="K1094" s="8" t="n">
        <v>9615</v>
      </c>
      <c r="L1094" s="8" t="n">
        <v>903826</v>
      </c>
      <c r="M1094" s="8" t="n">
        <v>282030</v>
      </c>
      <c r="N1094" s="9" t="inlineStr">
        <is>
          <t>否</t>
        </is>
      </c>
      <c r="O1094" t="inlineStr">
        <is>
          <t>缺 PP</t>
        </is>
      </c>
    </row>
    <row r="1095">
      <c r="A1095" s="7" t="inlineStr">
        <is>
          <t>2012-01-06</t>
        </is>
      </c>
      <c r="B1095" s="8" t="n"/>
      <c r="C1095" s="8" t="n"/>
      <c r="D1095" s="8" t="n"/>
      <c r="E1095" s="8" t="n"/>
      <c r="F1095" s="8" t="n"/>
      <c r="G1095" s="8" t="n"/>
      <c r="H1095" s="8" t="n">
        <v>9725</v>
      </c>
      <c r="I1095" s="8" t="n">
        <v>9695</v>
      </c>
      <c r="J1095" s="8" t="n">
        <v>9740</v>
      </c>
      <c r="K1095" s="8" t="n">
        <v>9635</v>
      </c>
      <c r="L1095" s="8" t="n">
        <v>721244</v>
      </c>
      <c r="M1095" s="8" t="n">
        <v>265880</v>
      </c>
      <c r="N1095" s="9" t="inlineStr">
        <is>
          <t>否</t>
        </is>
      </c>
      <c r="O1095" t="inlineStr">
        <is>
          <t>缺 PP</t>
        </is>
      </c>
    </row>
    <row r="1096">
      <c r="A1096" s="7" t="inlineStr">
        <is>
          <t>2012-01-09</t>
        </is>
      </c>
      <c r="B1096" s="8" t="n"/>
      <c r="C1096" s="8" t="n"/>
      <c r="D1096" s="8" t="n"/>
      <c r="E1096" s="8" t="n"/>
      <c r="F1096" s="8" t="n"/>
      <c r="G1096" s="8" t="n"/>
      <c r="H1096" s="8" t="n">
        <v>9810</v>
      </c>
      <c r="I1096" s="8" t="n">
        <v>9685</v>
      </c>
      <c r="J1096" s="8" t="n">
        <v>9820</v>
      </c>
      <c r="K1096" s="8" t="n">
        <v>9680</v>
      </c>
      <c r="L1096" s="8" t="n">
        <v>648310</v>
      </c>
      <c r="M1096" s="8" t="n">
        <v>300394</v>
      </c>
      <c r="N1096" s="9" t="inlineStr">
        <is>
          <t>否</t>
        </is>
      </c>
      <c r="O1096" t="inlineStr">
        <is>
          <t>缺 PP</t>
        </is>
      </c>
    </row>
    <row r="1097">
      <c r="A1097" s="7" t="inlineStr">
        <is>
          <t>2012-01-10</t>
        </is>
      </c>
      <c r="B1097" s="8" t="n"/>
      <c r="C1097" s="8" t="n"/>
      <c r="D1097" s="8" t="n"/>
      <c r="E1097" s="8" t="n"/>
      <c r="F1097" s="8" t="n"/>
      <c r="G1097" s="8" t="n"/>
      <c r="H1097" s="8" t="n">
        <v>9785</v>
      </c>
      <c r="I1097" s="8" t="n">
        <v>9820</v>
      </c>
      <c r="J1097" s="8" t="n">
        <v>9845</v>
      </c>
      <c r="K1097" s="8" t="n">
        <v>9690</v>
      </c>
      <c r="L1097" s="8" t="n">
        <v>638160</v>
      </c>
      <c r="M1097" s="8" t="n">
        <v>281184</v>
      </c>
      <c r="N1097" s="9" t="inlineStr">
        <is>
          <t>否</t>
        </is>
      </c>
      <c r="O1097" t="inlineStr">
        <is>
          <t>缺 PP</t>
        </is>
      </c>
    </row>
    <row r="1098">
      <c r="A1098" s="7" t="inlineStr">
        <is>
          <t>2012-01-11</t>
        </is>
      </c>
      <c r="B1098" s="8" t="n"/>
      <c r="C1098" s="8" t="n"/>
      <c r="D1098" s="8" t="n"/>
      <c r="E1098" s="8" t="n"/>
      <c r="F1098" s="8" t="n"/>
      <c r="G1098" s="8" t="n"/>
      <c r="H1098" s="8" t="n">
        <v>9755</v>
      </c>
      <c r="I1098" s="8" t="n">
        <v>9790</v>
      </c>
      <c r="J1098" s="8" t="n">
        <v>9795</v>
      </c>
      <c r="K1098" s="8" t="n">
        <v>9685</v>
      </c>
      <c r="L1098" s="8" t="n">
        <v>674632</v>
      </c>
      <c r="M1098" s="8" t="n">
        <v>287014</v>
      </c>
      <c r="N1098" s="9" t="inlineStr">
        <is>
          <t>否</t>
        </is>
      </c>
      <c r="O1098" t="inlineStr">
        <is>
          <t>缺 PP</t>
        </is>
      </c>
    </row>
    <row r="1099">
      <c r="A1099" s="7" t="inlineStr">
        <is>
          <t>2012-01-12</t>
        </is>
      </c>
      <c r="B1099" s="8" t="n"/>
      <c r="C1099" s="8" t="n"/>
      <c r="D1099" s="8" t="n"/>
      <c r="E1099" s="8" t="n"/>
      <c r="F1099" s="8" t="n"/>
      <c r="G1099" s="8" t="n"/>
      <c r="H1099" s="8" t="n">
        <v>9760</v>
      </c>
      <c r="I1099" s="8" t="n">
        <v>9735</v>
      </c>
      <c r="J1099" s="8" t="n">
        <v>9830</v>
      </c>
      <c r="K1099" s="8" t="n">
        <v>9710</v>
      </c>
      <c r="L1099" s="8" t="n">
        <v>689450</v>
      </c>
      <c r="M1099" s="8" t="n">
        <v>262208</v>
      </c>
      <c r="N1099" s="9" t="inlineStr">
        <is>
          <t>否</t>
        </is>
      </c>
      <c r="O1099" t="inlineStr">
        <is>
          <t>缺 PP</t>
        </is>
      </c>
    </row>
    <row r="1100">
      <c r="A1100" s="7" t="inlineStr">
        <is>
          <t>2012-01-13</t>
        </is>
      </c>
      <c r="B1100" s="8" t="n"/>
      <c r="C1100" s="8" t="n"/>
      <c r="D1100" s="8" t="n"/>
      <c r="E1100" s="8" t="n"/>
      <c r="F1100" s="8" t="n"/>
      <c r="G1100" s="8" t="n"/>
      <c r="H1100" s="8" t="n">
        <v>9780</v>
      </c>
      <c r="I1100" s="8" t="n">
        <v>9730</v>
      </c>
      <c r="J1100" s="8" t="n">
        <v>9805</v>
      </c>
      <c r="K1100" s="8" t="n">
        <v>9720</v>
      </c>
      <c r="L1100" s="8" t="n">
        <v>580928</v>
      </c>
      <c r="M1100" s="8" t="n">
        <v>253560</v>
      </c>
      <c r="N1100" s="9" t="inlineStr">
        <is>
          <t>否</t>
        </is>
      </c>
      <c r="O1100" t="inlineStr">
        <is>
          <t>缺 PP</t>
        </is>
      </c>
    </row>
    <row r="1101">
      <c r="A1101" s="7" t="inlineStr">
        <is>
          <t>2012-01-16</t>
        </is>
      </c>
      <c r="B1101" s="8" t="n"/>
      <c r="C1101" s="8" t="n"/>
      <c r="D1101" s="8" t="n"/>
      <c r="E1101" s="8" t="n"/>
      <c r="F1101" s="8" t="n"/>
      <c r="G1101" s="8" t="n"/>
      <c r="H1101" s="8" t="n">
        <v>9665</v>
      </c>
      <c r="I1101" s="8" t="n">
        <v>9710</v>
      </c>
      <c r="J1101" s="8" t="n">
        <v>9745</v>
      </c>
      <c r="K1101" s="8" t="n">
        <v>9650</v>
      </c>
      <c r="L1101" s="8" t="n">
        <v>710482</v>
      </c>
      <c r="M1101" s="8" t="n">
        <v>250200</v>
      </c>
      <c r="N1101" s="9" t="inlineStr">
        <is>
          <t>否</t>
        </is>
      </c>
      <c r="O1101" t="inlineStr">
        <is>
          <t>缺 PP</t>
        </is>
      </c>
    </row>
    <row r="1102">
      <c r="A1102" s="7" t="inlineStr">
        <is>
          <t>2012-01-17</t>
        </is>
      </c>
      <c r="B1102" s="8" t="n"/>
      <c r="C1102" s="8" t="n"/>
      <c r="D1102" s="8" t="n"/>
      <c r="E1102" s="8" t="n"/>
      <c r="F1102" s="8" t="n"/>
      <c r="G1102" s="8" t="n"/>
      <c r="H1102" s="8" t="n">
        <v>9885</v>
      </c>
      <c r="I1102" s="8" t="n">
        <v>9700</v>
      </c>
      <c r="J1102" s="8" t="n">
        <v>9965</v>
      </c>
      <c r="K1102" s="8" t="n">
        <v>9670</v>
      </c>
      <c r="L1102" s="8" t="n">
        <v>992924</v>
      </c>
      <c r="M1102" s="8" t="n">
        <v>251724</v>
      </c>
      <c r="N1102" s="9" t="inlineStr">
        <is>
          <t>否</t>
        </is>
      </c>
      <c r="O1102" t="inlineStr">
        <is>
          <t>缺 PP</t>
        </is>
      </c>
    </row>
    <row r="1103">
      <c r="A1103" s="7" t="inlineStr">
        <is>
          <t>2012-01-18</t>
        </is>
      </c>
      <c r="B1103" s="8" t="n"/>
      <c r="C1103" s="8" t="n"/>
      <c r="D1103" s="8" t="n"/>
      <c r="E1103" s="8" t="n"/>
      <c r="F1103" s="8" t="n"/>
      <c r="G1103" s="8" t="n"/>
      <c r="H1103" s="8" t="n">
        <v>9980</v>
      </c>
      <c r="I1103" s="8" t="n">
        <v>9885</v>
      </c>
      <c r="J1103" s="8" t="n">
        <v>10060</v>
      </c>
      <c r="K1103" s="8" t="n">
        <v>9850</v>
      </c>
      <c r="L1103" s="8" t="n">
        <v>962650</v>
      </c>
      <c r="M1103" s="8" t="n">
        <v>268788</v>
      </c>
      <c r="N1103" s="9" t="inlineStr">
        <is>
          <t>否</t>
        </is>
      </c>
      <c r="O1103" t="inlineStr">
        <is>
          <t>缺 PP</t>
        </is>
      </c>
    </row>
    <row r="1104">
      <c r="A1104" s="7" t="inlineStr">
        <is>
          <t>2012-01-19</t>
        </is>
      </c>
      <c r="B1104" s="8" t="n"/>
      <c r="C1104" s="8" t="n"/>
      <c r="D1104" s="8" t="n"/>
      <c r="E1104" s="8" t="n"/>
      <c r="F1104" s="8" t="n"/>
      <c r="G1104" s="8" t="n"/>
      <c r="H1104" s="8" t="n">
        <v>9985</v>
      </c>
      <c r="I1104" s="8" t="n">
        <v>10020</v>
      </c>
      <c r="J1104" s="8" t="n">
        <v>10060</v>
      </c>
      <c r="K1104" s="8" t="n">
        <v>9905</v>
      </c>
      <c r="L1104" s="8" t="n">
        <v>540948</v>
      </c>
      <c r="M1104" s="8" t="n">
        <v>236088</v>
      </c>
      <c r="N1104" s="9" t="inlineStr">
        <is>
          <t>否</t>
        </is>
      </c>
      <c r="O1104" t="inlineStr">
        <is>
          <t>缺 PP</t>
        </is>
      </c>
    </row>
    <row r="1105">
      <c r="A1105" s="7" t="inlineStr">
        <is>
          <t>2012-01-20</t>
        </is>
      </c>
      <c r="B1105" s="8" t="n"/>
      <c r="C1105" s="8" t="n"/>
      <c r="D1105" s="8" t="n"/>
      <c r="E1105" s="8" t="n"/>
      <c r="F1105" s="8" t="n"/>
      <c r="G1105" s="8" t="n"/>
      <c r="H1105" s="8" t="n">
        <v>10135</v>
      </c>
      <c r="I1105" s="8" t="n">
        <v>10000</v>
      </c>
      <c r="J1105" s="8" t="n">
        <v>10170</v>
      </c>
      <c r="K1105" s="8" t="n">
        <v>9920</v>
      </c>
      <c r="L1105" s="8" t="n">
        <v>606530</v>
      </c>
      <c r="M1105" s="8" t="n">
        <v>218488</v>
      </c>
      <c r="N1105" s="9" t="inlineStr">
        <is>
          <t>否</t>
        </is>
      </c>
      <c r="O1105" t="inlineStr">
        <is>
          <t>缺 PP</t>
        </is>
      </c>
    </row>
    <row r="1106">
      <c r="A1106" s="7" t="inlineStr">
        <is>
          <t>2012-01-30</t>
        </is>
      </c>
      <c r="B1106" s="8" t="n"/>
      <c r="C1106" s="8" t="n"/>
      <c r="D1106" s="8" t="n"/>
      <c r="E1106" s="8" t="n"/>
      <c r="F1106" s="8" t="n"/>
      <c r="G1106" s="8" t="n"/>
      <c r="H1106" s="8" t="n">
        <v>10210</v>
      </c>
      <c r="I1106" s="8" t="n">
        <v>10085</v>
      </c>
      <c r="J1106" s="8" t="n">
        <v>10355</v>
      </c>
      <c r="K1106" s="8" t="n">
        <v>10065</v>
      </c>
      <c r="L1106" s="8" t="n">
        <v>632874</v>
      </c>
      <c r="M1106" s="8" t="n">
        <v>255528</v>
      </c>
      <c r="N1106" s="9" t="inlineStr">
        <is>
          <t>否</t>
        </is>
      </c>
      <c r="O1106" t="inlineStr">
        <is>
          <t>缺 PP</t>
        </is>
      </c>
    </row>
    <row r="1107">
      <c r="A1107" s="7" t="inlineStr">
        <is>
          <t>2012-01-31</t>
        </is>
      </c>
      <c r="B1107" s="8" t="n"/>
      <c r="C1107" s="8" t="n"/>
      <c r="D1107" s="8" t="n"/>
      <c r="E1107" s="8" t="n"/>
      <c r="F1107" s="8" t="n"/>
      <c r="G1107" s="8" t="n"/>
      <c r="H1107" s="8" t="n">
        <v>10300</v>
      </c>
      <c r="I1107" s="8" t="n">
        <v>10265</v>
      </c>
      <c r="J1107" s="8" t="n">
        <v>10310</v>
      </c>
      <c r="K1107" s="8" t="n">
        <v>10185</v>
      </c>
      <c r="L1107" s="8" t="n">
        <v>620866</v>
      </c>
      <c r="M1107" s="8" t="n">
        <v>297128</v>
      </c>
      <c r="N1107" s="9" t="inlineStr">
        <is>
          <t>否</t>
        </is>
      </c>
      <c r="O1107" t="inlineStr">
        <is>
          <t>缺 PP</t>
        </is>
      </c>
    </row>
    <row r="1108">
      <c r="A1108" s="7" t="inlineStr">
        <is>
          <t>2012-02-01</t>
        </is>
      </c>
      <c r="B1108" s="8" t="n"/>
      <c r="C1108" s="8" t="n"/>
      <c r="D1108" s="8" t="n"/>
      <c r="E1108" s="8" t="n"/>
      <c r="F1108" s="8" t="n"/>
      <c r="G1108" s="8" t="n"/>
      <c r="H1108" s="8" t="n">
        <v>10240</v>
      </c>
      <c r="I1108" s="8" t="n">
        <v>10280</v>
      </c>
      <c r="J1108" s="8" t="n">
        <v>10295</v>
      </c>
      <c r="K1108" s="8" t="n">
        <v>10210</v>
      </c>
      <c r="L1108" s="8" t="n">
        <v>512548</v>
      </c>
      <c r="M1108" s="8" t="n">
        <v>285238</v>
      </c>
      <c r="N1108" s="9" t="inlineStr">
        <is>
          <t>否</t>
        </is>
      </c>
      <c r="O1108" t="inlineStr">
        <is>
          <t>缺 PP</t>
        </is>
      </c>
    </row>
    <row r="1109">
      <c r="A1109" s="7" t="inlineStr">
        <is>
          <t>2012-02-02</t>
        </is>
      </c>
      <c r="B1109" s="8" t="n"/>
      <c r="C1109" s="8" t="n"/>
      <c r="D1109" s="8" t="n"/>
      <c r="E1109" s="8" t="n"/>
      <c r="F1109" s="8" t="n"/>
      <c r="G1109" s="8" t="n"/>
      <c r="H1109" s="8" t="n">
        <v>10245</v>
      </c>
      <c r="I1109" s="8" t="n">
        <v>10250</v>
      </c>
      <c r="J1109" s="8" t="n">
        <v>10325</v>
      </c>
      <c r="K1109" s="8" t="n">
        <v>10150</v>
      </c>
      <c r="L1109" s="8" t="n">
        <v>749476</v>
      </c>
      <c r="M1109" s="8" t="n">
        <v>288952</v>
      </c>
      <c r="N1109" s="9" t="inlineStr">
        <is>
          <t>否</t>
        </is>
      </c>
      <c r="O1109" t="inlineStr">
        <is>
          <t>缺 PP</t>
        </is>
      </c>
    </row>
    <row r="1110">
      <c r="A1110" s="7" t="inlineStr">
        <is>
          <t>2012-02-03</t>
        </is>
      </c>
      <c r="B1110" s="8" t="n"/>
      <c r="C1110" s="8" t="n"/>
      <c r="D1110" s="8" t="n"/>
      <c r="E1110" s="8" t="n"/>
      <c r="F1110" s="8" t="n"/>
      <c r="G1110" s="8" t="n"/>
      <c r="H1110" s="8" t="n">
        <v>10305</v>
      </c>
      <c r="I1110" s="8" t="n">
        <v>10215</v>
      </c>
      <c r="J1110" s="8" t="n">
        <v>10310</v>
      </c>
      <c r="K1110" s="8" t="n">
        <v>10160</v>
      </c>
      <c r="L1110" s="8" t="n">
        <v>535448</v>
      </c>
      <c r="M1110" s="8" t="n">
        <v>308770</v>
      </c>
      <c r="N1110" s="9" t="inlineStr">
        <is>
          <t>否</t>
        </is>
      </c>
      <c r="O1110" t="inlineStr">
        <is>
          <t>缺 PP</t>
        </is>
      </c>
    </row>
    <row r="1111">
      <c r="A1111" s="7" t="inlineStr">
        <is>
          <t>2012-02-06</t>
        </is>
      </c>
      <c r="B1111" s="8" t="n"/>
      <c r="C1111" s="8" t="n"/>
      <c r="D1111" s="8" t="n"/>
      <c r="E1111" s="8" t="n"/>
      <c r="F1111" s="8" t="n"/>
      <c r="G1111" s="8" t="n"/>
      <c r="H1111" s="8" t="n">
        <v>10365</v>
      </c>
      <c r="I1111" s="8" t="n">
        <v>10390</v>
      </c>
      <c r="J1111" s="8" t="n">
        <v>10455</v>
      </c>
      <c r="K1111" s="8" t="n">
        <v>10335</v>
      </c>
      <c r="L1111" s="8" t="n">
        <v>577662</v>
      </c>
      <c r="M1111" s="8" t="n">
        <v>315428</v>
      </c>
      <c r="N1111" s="9" t="inlineStr">
        <is>
          <t>否</t>
        </is>
      </c>
      <c r="O1111" t="inlineStr">
        <is>
          <t>缺 PP</t>
        </is>
      </c>
    </row>
    <row r="1112">
      <c r="A1112" s="7" t="inlineStr">
        <is>
          <t>2012-02-07</t>
        </is>
      </c>
      <c r="B1112" s="8" t="n"/>
      <c r="C1112" s="8" t="n"/>
      <c r="D1112" s="8" t="n"/>
      <c r="E1112" s="8" t="n"/>
      <c r="F1112" s="8" t="n"/>
      <c r="G1112" s="8" t="n"/>
      <c r="H1112" s="8" t="n">
        <v>10285</v>
      </c>
      <c r="I1112" s="8" t="n">
        <v>10385</v>
      </c>
      <c r="J1112" s="8" t="n">
        <v>10420</v>
      </c>
      <c r="K1112" s="8" t="n">
        <v>10240</v>
      </c>
      <c r="L1112" s="8" t="n">
        <v>631274</v>
      </c>
      <c r="M1112" s="8" t="n">
        <v>310032</v>
      </c>
      <c r="N1112" s="9" t="inlineStr">
        <is>
          <t>否</t>
        </is>
      </c>
      <c r="O1112" t="inlineStr">
        <is>
          <t>缺 PP</t>
        </is>
      </c>
    </row>
    <row r="1113">
      <c r="A1113" s="7" t="inlineStr">
        <is>
          <t>2012-02-08</t>
        </is>
      </c>
      <c r="B1113" s="8" t="n"/>
      <c r="C1113" s="8" t="n"/>
      <c r="D1113" s="8" t="n"/>
      <c r="E1113" s="8" t="n"/>
      <c r="F1113" s="8" t="n"/>
      <c r="G1113" s="8" t="n"/>
      <c r="H1113" s="8" t="n">
        <v>10450</v>
      </c>
      <c r="I1113" s="8" t="n">
        <v>10340</v>
      </c>
      <c r="J1113" s="8" t="n">
        <v>10465</v>
      </c>
      <c r="K1113" s="8" t="n">
        <v>10315</v>
      </c>
      <c r="L1113" s="8" t="n">
        <v>631956</v>
      </c>
      <c r="M1113" s="8" t="n">
        <v>319536</v>
      </c>
      <c r="N1113" s="9" t="inlineStr">
        <is>
          <t>否</t>
        </is>
      </c>
      <c r="O1113" t="inlineStr">
        <is>
          <t>缺 PP</t>
        </is>
      </c>
    </row>
    <row r="1114">
      <c r="A1114" s="7" t="inlineStr">
        <is>
          <t>2012-02-09</t>
        </is>
      </c>
      <c r="B1114" s="8" t="n"/>
      <c r="C1114" s="8" t="n"/>
      <c r="D1114" s="8" t="n"/>
      <c r="E1114" s="8" t="n"/>
      <c r="F1114" s="8" t="n"/>
      <c r="G1114" s="8" t="n"/>
      <c r="H1114" s="8" t="n">
        <v>10290</v>
      </c>
      <c r="I1114" s="8" t="n">
        <v>10405</v>
      </c>
      <c r="J1114" s="8" t="n">
        <v>10425</v>
      </c>
      <c r="K1114" s="8" t="n">
        <v>10265</v>
      </c>
      <c r="L1114" s="8" t="n">
        <v>699108</v>
      </c>
      <c r="M1114" s="8" t="n">
        <v>324154</v>
      </c>
      <c r="N1114" s="9" t="inlineStr">
        <is>
          <t>否</t>
        </is>
      </c>
      <c r="O1114" t="inlineStr">
        <is>
          <t>缺 PP</t>
        </is>
      </c>
    </row>
    <row r="1115">
      <c r="A1115" s="7" t="inlineStr">
        <is>
          <t>2012-02-10</t>
        </is>
      </c>
      <c r="B1115" s="8" t="n"/>
      <c r="C1115" s="8" t="n"/>
      <c r="D1115" s="8" t="n"/>
      <c r="E1115" s="8" t="n"/>
      <c r="F1115" s="8" t="n"/>
      <c r="G1115" s="8" t="n"/>
      <c r="H1115" s="8" t="n">
        <v>10225</v>
      </c>
      <c r="I1115" s="8" t="n">
        <v>10330</v>
      </c>
      <c r="J1115" s="8" t="n">
        <v>10340</v>
      </c>
      <c r="K1115" s="8" t="n">
        <v>10220</v>
      </c>
      <c r="L1115" s="8" t="n">
        <v>601784</v>
      </c>
      <c r="M1115" s="8" t="n">
        <v>319456</v>
      </c>
      <c r="N1115" s="9" t="inlineStr">
        <is>
          <t>否</t>
        </is>
      </c>
      <c r="O1115" t="inlineStr">
        <is>
          <t>缺 PP</t>
        </is>
      </c>
    </row>
    <row r="1116">
      <c r="A1116" s="7" t="inlineStr">
        <is>
          <t>2012-02-13</t>
        </is>
      </c>
      <c r="B1116" s="8" t="n"/>
      <c r="C1116" s="8" t="n"/>
      <c r="D1116" s="8" t="n"/>
      <c r="E1116" s="8" t="n"/>
      <c r="F1116" s="8" t="n"/>
      <c r="G1116" s="8" t="n"/>
      <c r="H1116" s="8" t="n">
        <v>10235</v>
      </c>
      <c r="I1116" s="8" t="n">
        <v>10240</v>
      </c>
      <c r="J1116" s="8" t="n">
        <v>10270</v>
      </c>
      <c r="K1116" s="8" t="n">
        <v>10180</v>
      </c>
      <c r="L1116" s="8" t="n">
        <v>513038</v>
      </c>
      <c r="M1116" s="8" t="n">
        <v>299934</v>
      </c>
      <c r="N1116" s="9" t="inlineStr">
        <is>
          <t>否</t>
        </is>
      </c>
      <c r="O1116" t="inlineStr">
        <is>
          <t>缺 PP</t>
        </is>
      </c>
    </row>
    <row r="1117">
      <c r="A1117" s="7" t="inlineStr">
        <is>
          <t>2012-02-14</t>
        </is>
      </c>
      <c r="B1117" s="8" t="n"/>
      <c r="C1117" s="8" t="n"/>
      <c r="D1117" s="8" t="n"/>
      <c r="E1117" s="8" t="n"/>
      <c r="F1117" s="8" t="n"/>
      <c r="G1117" s="8" t="n"/>
      <c r="H1117" s="8" t="n">
        <v>10190</v>
      </c>
      <c r="I1117" s="8" t="n">
        <v>10235</v>
      </c>
      <c r="J1117" s="8" t="n">
        <v>10285</v>
      </c>
      <c r="K1117" s="8" t="n">
        <v>10180</v>
      </c>
      <c r="L1117" s="8" t="n">
        <v>425002</v>
      </c>
      <c r="M1117" s="8" t="n">
        <v>299548</v>
      </c>
      <c r="N1117" s="9" t="inlineStr">
        <is>
          <t>否</t>
        </is>
      </c>
      <c r="O1117" t="inlineStr">
        <is>
          <t>缺 PP</t>
        </is>
      </c>
    </row>
    <row r="1118">
      <c r="A1118" s="7" t="inlineStr">
        <is>
          <t>2012-02-15</t>
        </is>
      </c>
      <c r="B1118" s="8" t="n"/>
      <c r="C1118" s="8" t="n"/>
      <c r="D1118" s="8" t="n"/>
      <c r="E1118" s="8" t="n"/>
      <c r="F1118" s="8" t="n"/>
      <c r="G1118" s="8" t="n"/>
      <c r="H1118" s="8" t="n">
        <v>10170</v>
      </c>
      <c r="I1118" s="8" t="n">
        <v>10220</v>
      </c>
      <c r="J1118" s="8" t="n">
        <v>10265</v>
      </c>
      <c r="K1118" s="8" t="n">
        <v>10125</v>
      </c>
      <c r="L1118" s="8" t="n">
        <v>681638</v>
      </c>
      <c r="M1118" s="8" t="n">
        <v>296576</v>
      </c>
      <c r="N1118" s="9" t="inlineStr">
        <is>
          <t>否</t>
        </is>
      </c>
      <c r="O1118" t="inlineStr">
        <is>
          <t>缺 PP</t>
        </is>
      </c>
    </row>
    <row r="1119">
      <c r="A1119" s="7" t="inlineStr">
        <is>
          <t>2012-02-16</t>
        </is>
      </c>
      <c r="B1119" s="8" t="n"/>
      <c r="C1119" s="8" t="n"/>
      <c r="D1119" s="8" t="n"/>
      <c r="E1119" s="8" t="n"/>
      <c r="F1119" s="8" t="n"/>
      <c r="G1119" s="8" t="n"/>
      <c r="H1119" s="8" t="n">
        <v>9985</v>
      </c>
      <c r="I1119" s="8" t="n">
        <v>10160</v>
      </c>
      <c r="J1119" s="8" t="n">
        <v>10160</v>
      </c>
      <c r="K1119" s="8" t="n">
        <v>9935</v>
      </c>
      <c r="L1119" s="8" t="n">
        <v>770378</v>
      </c>
      <c r="M1119" s="8" t="n">
        <v>272280</v>
      </c>
      <c r="N1119" s="9" t="inlineStr">
        <is>
          <t>否</t>
        </is>
      </c>
      <c r="O1119" t="inlineStr">
        <is>
          <t>缺 PP</t>
        </is>
      </c>
    </row>
    <row r="1120">
      <c r="A1120" s="7" t="inlineStr">
        <is>
          <t>2012-02-17</t>
        </is>
      </c>
      <c r="B1120" s="8" t="n"/>
      <c r="C1120" s="8" t="n"/>
      <c r="D1120" s="8" t="n"/>
      <c r="E1120" s="8" t="n"/>
      <c r="F1120" s="8" t="n"/>
      <c r="G1120" s="8" t="n"/>
      <c r="H1120" s="8" t="n">
        <v>10085</v>
      </c>
      <c r="I1120" s="8" t="n">
        <v>10080</v>
      </c>
      <c r="J1120" s="8" t="n">
        <v>10105</v>
      </c>
      <c r="K1120" s="8" t="n">
        <v>10005</v>
      </c>
      <c r="L1120" s="8" t="n">
        <v>495240</v>
      </c>
      <c r="M1120" s="8" t="n">
        <v>277318</v>
      </c>
      <c r="N1120" s="9" t="inlineStr">
        <is>
          <t>否</t>
        </is>
      </c>
      <c r="O1120" t="inlineStr">
        <is>
          <t>缺 PP</t>
        </is>
      </c>
    </row>
    <row r="1121">
      <c r="A1121" s="7" t="inlineStr">
        <is>
          <t>2012-02-20</t>
        </is>
      </c>
      <c r="B1121" s="8" t="n"/>
      <c r="C1121" s="8" t="n"/>
      <c r="D1121" s="8" t="n"/>
      <c r="E1121" s="8" t="n"/>
      <c r="F1121" s="8" t="n"/>
      <c r="G1121" s="8" t="n"/>
      <c r="H1121" s="8" t="n">
        <v>10140</v>
      </c>
      <c r="I1121" s="8" t="n">
        <v>10200</v>
      </c>
      <c r="J1121" s="8" t="n">
        <v>10235</v>
      </c>
      <c r="K1121" s="8" t="n">
        <v>10125</v>
      </c>
      <c r="L1121" s="8" t="n">
        <v>474496</v>
      </c>
      <c r="M1121" s="8" t="n">
        <v>280544</v>
      </c>
      <c r="N1121" s="9" t="inlineStr">
        <is>
          <t>否</t>
        </is>
      </c>
      <c r="O1121" t="inlineStr">
        <is>
          <t>缺 PP</t>
        </is>
      </c>
    </row>
    <row r="1122">
      <c r="A1122" s="7" t="inlineStr">
        <is>
          <t>2012-02-21</t>
        </is>
      </c>
      <c r="B1122" s="8" t="n"/>
      <c r="C1122" s="8" t="n"/>
      <c r="D1122" s="8" t="n"/>
      <c r="E1122" s="8" t="n"/>
      <c r="F1122" s="8" t="n"/>
      <c r="G1122" s="8" t="n"/>
      <c r="H1122" s="8" t="n">
        <v>10275</v>
      </c>
      <c r="I1122" s="8" t="n">
        <v>10130</v>
      </c>
      <c r="J1122" s="8" t="n">
        <v>10280</v>
      </c>
      <c r="K1122" s="8" t="n">
        <v>10120</v>
      </c>
      <c r="L1122" s="8" t="n">
        <v>579840</v>
      </c>
      <c r="M1122" s="8" t="n">
        <v>289516</v>
      </c>
      <c r="N1122" s="9" t="inlineStr">
        <is>
          <t>否</t>
        </is>
      </c>
      <c r="O1122" t="inlineStr">
        <is>
          <t>缺 PP</t>
        </is>
      </c>
    </row>
    <row r="1123">
      <c r="A1123" s="7" t="inlineStr">
        <is>
          <t>2012-02-22</t>
        </is>
      </c>
      <c r="B1123" s="8" t="n"/>
      <c r="C1123" s="8" t="n"/>
      <c r="D1123" s="8" t="n"/>
      <c r="E1123" s="8" t="n"/>
      <c r="F1123" s="8" t="n"/>
      <c r="G1123" s="8" t="n"/>
      <c r="H1123" s="8" t="n">
        <v>10265</v>
      </c>
      <c r="I1123" s="8" t="n">
        <v>10310</v>
      </c>
      <c r="J1123" s="8" t="n">
        <v>10330</v>
      </c>
      <c r="K1123" s="8" t="n">
        <v>10235</v>
      </c>
      <c r="L1123" s="8" t="n">
        <v>394674</v>
      </c>
      <c r="M1123" s="8" t="n">
        <v>272084</v>
      </c>
      <c r="N1123" s="9" t="inlineStr">
        <is>
          <t>否</t>
        </is>
      </c>
      <c r="O1123" t="inlineStr">
        <is>
          <t>缺 PP</t>
        </is>
      </c>
    </row>
    <row r="1124">
      <c r="A1124" s="7" t="inlineStr">
        <is>
          <t>2012-02-23</t>
        </is>
      </c>
      <c r="B1124" s="8" t="n"/>
      <c r="C1124" s="8" t="n"/>
      <c r="D1124" s="8" t="n"/>
      <c r="E1124" s="8" t="n"/>
      <c r="F1124" s="8" t="n"/>
      <c r="G1124" s="8" t="n"/>
      <c r="H1124" s="8" t="n">
        <v>10240</v>
      </c>
      <c r="I1124" s="8" t="n">
        <v>10245</v>
      </c>
      <c r="J1124" s="8" t="n">
        <v>10265</v>
      </c>
      <c r="K1124" s="8" t="n">
        <v>10180</v>
      </c>
      <c r="L1124" s="8" t="n">
        <v>431912</v>
      </c>
      <c r="M1124" s="8" t="n">
        <v>256334</v>
      </c>
      <c r="N1124" s="9" t="inlineStr">
        <is>
          <t>否</t>
        </is>
      </c>
      <c r="O1124" t="inlineStr">
        <is>
          <t>缺 PP</t>
        </is>
      </c>
    </row>
    <row r="1125">
      <c r="A1125" s="7" t="inlineStr">
        <is>
          <t>2012-02-24</t>
        </is>
      </c>
      <c r="B1125" s="8" t="n"/>
      <c r="C1125" s="8" t="n"/>
      <c r="D1125" s="8" t="n"/>
      <c r="E1125" s="8" t="n"/>
      <c r="F1125" s="8" t="n"/>
      <c r="G1125" s="8" t="n"/>
      <c r="H1125" s="8" t="n">
        <v>10275</v>
      </c>
      <c r="I1125" s="8" t="n">
        <v>10285</v>
      </c>
      <c r="J1125" s="8" t="n">
        <v>10310</v>
      </c>
      <c r="K1125" s="8" t="n">
        <v>10220</v>
      </c>
      <c r="L1125" s="8" t="n">
        <v>450354</v>
      </c>
      <c r="M1125" s="8" t="n">
        <v>258364</v>
      </c>
      <c r="N1125" s="9" t="inlineStr">
        <is>
          <t>否</t>
        </is>
      </c>
      <c r="O1125" t="inlineStr">
        <is>
          <t>缺 PP</t>
        </is>
      </c>
    </row>
    <row r="1126">
      <c r="A1126" s="7" t="inlineStr">
        <is>
          <t>2012-02-27</t>
        </is>
      </c>
      <c r="B1126" s="8" t="n"/>
      <c r="C1126" s="8" t="n"/>
      <c r="D1126" s="8" t="n"/>
      <c r="E1126" s="8" t="n"/>
      <c r="F1126" s="8" t="n"/>
      <c r="G1126" s="8" t="n"/>
      <c r="H1126" s="8" t="n">
        <v>10380</v>
      </c>
      <c r="I1126" s="8" t="n">
        <v>10330</v>
      </c>
      <c r="J1126" s="8" t="n">
        <v>10425</v>
      </c>
      <c r="K1126" s="8" t="n">
        <v>10305</v>
      </c>
      <c r="L1126" s="8" t="n">
        <v>541162</v>
      </c>
      <c r="M1126" s="8" t="n">
        <v>293904</v>
      </c>
      <c r="N1126" s="9" t="inlineStr">
        <is>
          <t>否</t>
        </is>
      </c>
      <c r="O1126" t="inlineStr">
        <is>
          <t>缺 PP</t>
        </is>
      </c>
    </row>
    <row r="1127">
      <c r="A1127" s="7" t="inlineStr">
        <is>
          <t>2012-02-28</t>
        </is>
      </c>
      <c r="B1127" s="8" t="n"/>
      <c r="C1127" s="8" t="n"/>
      <c r="D1127" s="8" t="n"/>
      <c r="E1127" s="8" t="n"/>
      <c r="F1127" s="8" t="n"/>
      <c r="G1127" s="8" t="n"/>
      <c r="H1127" s="8" t="n">
        <v>10395</v>
      </c>
      <c r="I1127" s="8" t="n">
        <v>10360</v>
      </c>
      <c r="J1127" s="8" t="n">
        <v>10395</v>
      </c>
      <c r="K1127" s="8" t="n">
        <v>10325</v>
      </c>
      <c r="L1127" s="8" t="n">
        <v>390188</v>
      </c>
      <c r="M1127" s="8" t="n">
        <v>266984</v>
      </c>
      <c r="N1127" s="9" t="inlineStr">
        <is>
          <t>否</t>
        </is>
      </c>
      <c r="O1127" t="inlineStr">
        <is>
          <t>缺 PP</t>
        </is>
      </c>
    </row>
    <row r="1128">
      <c r="A1128" s="7" t="inlineStr">
        <is>
          <t>2012-02-29</t>
        </is>
      </c>
      <c r="B1128" s="8" t="n"/>
      <c r="C1128" s="8" t="n"/>
      <c r="D1128" s="8" t="n"/>
      <c r="E1128" s="8" t="n"/>
      <c r="F1128" s="8" t="n"/>
      <c r="G1128" s="8" t="n"/>
      <c r="H1128" s="8" t="n">
        <v>10385</v>
      </c>
      <c r="I1128" s="8" t="n">
        <v>10360</v>
      </c>
      <c r="J1128" s="8" t="n">
        <v>10395</v>
      </c>
      <c r="K1128" s="8" t="n">
        <v>10325</v>
      </c>
      <c r="L1128" s="8" t="n">
        <v>326608</v>
      </c>
      <c r="M1128" s="8" t="n">
        <v>262376</v>
      </c>
      <c r="N1128" s="9" t="inlineStr">
        <is>
          <t>否</t>
        </is>
      </c>
      <c r="O1128" t="inlineStr">
        <is>
          <t>缺 PP</t>
        </is>
      </c>
    </row>
    <row r="1129">
      <c r="A1129" s="7" t="inlineStr">
        <is>
          <t>2012-03-01</t>
        </is>
      </c>
      <c r="B1129" s="8" t="n"/>
      <c r="C1129" s="8" t="n"/>
      <c r="D1129" s="8" t="n"/>
      <c r="E1129" s="8" t="n"/>
      <c r="F1129" s="8" t="n"/>
      <c r="G1129" s="8" t="n"/>
      <c r="H1129" s="8" t="n">
        <v>10370</v>
      </c>
      <c r="I1129" s="8" t="n">
        <v>10310</v>
      </c>
      <c r="J1129" s="8" t="n">
        <v>10505</v>
      </c>
      <c r="K1129" s="8" t="n">
        <v>10295</v>
      </c>
      <c r="L1129" s="8" t="n">
        <v>743854</v>
      </c>
      <c r="M1129" s="8" t="n">
        <v>262346</v>
      </c>
      <c r="N1129" s="9" t="inlineStr">
        <is>
          <t>否</t>
        </is>
      </c>
      <c r="O1129" t="inlineStr">
        <is>
          <t>缺 PP</t>
        </is>
      </c>
    </row>
    <row r="1130">
      <c r="A1130" s="7" t="inlineStr">
        <is>
          <t>2012-03-02</t>
        </is>
      </c>
      <c r="B1130" s="8" t="n"/>
      <c r="C1130" s="8" t="n"/>
      <c r="D1130" s="8" t="n"/>
      <c r="E1130" s="8" t="n"/>
      <c r="F1130" s="8" t="n"/>
      <c r="G1130" s="8" t="n"/>
      <c r="H1130" s="8" t="n">
        <v>10530</v>
      </c>
      <c r="I1130" s="8" t="n">
        <v>10435</v>
      </c>
      <c r="J1130" s="8" t="n">
        <v>10545</v>
      </c>
      <c r="K1130" s="8" t="n">
        <v>10425</v>
      </c>
      <c r="L1130" s="8" t="n">
        <v>633644</v>
      </c>
      <c r="M1130" s="8" t="n">
        <v>280718</v>
      </c>
      <c r="N1130" s="9" t="inlineStr">
        <is>
          <t>否</t>
        </is>
      </c>
      <c r="O1130" t="inlineStr">
        <is>
          <t>缺 PP</t>
        </is>
      </c>
    </row>
    <row r="1131">
      <c r="A1131" s="7" t="inlineStr">
        <is>
          <t>2012-03-05</t>
        </is>
      </c>
      <c r="B1131" s="8" t="n"/>
      <c r="C1131" s="8" t="n"/>
      <c r="D1131" s="8" t="n"/>
      <c r="E1131" s="8" t="n"/>
      <c r="F1131" s="8" t="n"/>
      <c r="G1131" s="8" t="n"/>
      <c r="H1131" s="8" t="n">
        <v>10465</v>
      </c>
      <c r="I1131" s="8" t="n">
        <v>10520</v>
      </c>
      <c r="J1131" s="8" t="n">
        <v>10535</v>
      </c>
      <c r="K1131" s="8" t="n">
        <v>10440</v>
      </c>
      <c r="L1131" s="8" t="n">
        <v>425638</v>
      </c>
      <c r="M1131" s="8" t="n">
        <v>262778</v>
      </c>
      <c r="N1131" s="9" t="inlineStr">
        <is>
          <t>否</t>
        </is>
      </c>
      <c r="O1131" t="inlineStr">
        <is>
          <t>缺 PP</t>
        </is>
      </c>
    </row>
    <row r="1132">
      <c r="A1132" s="7" t="inlineStr">
        <is>
          <t>2012-03-06</t>
        </is>
      </c>
      <c r="B1132" s="8" t="n"/>
      <c r="C1132" s="8" t="n"/>
      <c r="D1132" s="8" t="n"/>
      <c r="E1132" s="8" t="n"/>
      <c r="F1132" s="8" t="n"/>
      <c r="G1132" s="8" t="n"/>
      <c r="H1132" s="8" t="n">
        <v>10500</v>
      </c>
      <c r="I1132" s="8" t="n">
        <v>10475</v>
      </c>
      <c r="J1132" s="8" t="n">
        <v>10580</v>
      </c>
      <c r="K1132" s="8" t="n">
        <v>10465</v>
      </c>
      <c r="L1132" s="8" t="n">
        <v>736860</v>
      </c>
      <c r="M1132" s="8" t="n">
        <v>276348</v>
      </c>
      <c r="N1132" s="9" t="inlineStr">
        <is>
          <t>否</t>
        </is>
      </c>
      <c r="O1132" t="inlineStr">
        <is>
          <t>缺 PP</t>
        </is>
      </c>
    </row>
    <row r="1133">
      <c r="A1133" s="7" t="inlineStr">
        <is>
          <t>2012-03-07</t>
        </is>
      </c>
      <c r="B1133" s="8" t="n"/>
      <c r="C1133" s="8" t="n"/>
      <c r="D1133" s="8" t="n"/>
      <c r="E1133" s="8" t="n"/>
      <c r="F1133" s="8" t="n"/>
      <c r="G1133" s="8" t="n"/>
      <c r="H1133" s="8" t="n">
        <v>10330</v>
      </c>
      <c r="I1133" s="8" t="n">
        <v>10380</v>
      </c>
      <c r="J1133" s="8" t="n">
        <v>10450</v>
      </c>
      <c r="K1133" s="8" t="n">
        <v>10320</v>
      </c>
      <c r="L1133" s="8" t="n">
        <v>581684</v>
      </c>
      <c r="M1133" s="8" t="n">
        <v>272608</v>
      </c>
      <c r="N1133" s="9" t="inlineStr">
        <is>
          <t>否</t>
        </is>
      </c>
      <c r="O1133" t="inlineStr">
        <is>
          <t>缺 PP</t>
        </is>
      </c>
    </row>
    <row r="1134">
      <c r="A1134" s="7" t="inlineStr">
        <is>
          <t>2012-03-08</t>
        </is>
      </c>
      <c r="B1134" s="8" t="n"/>
      <c r="C1134" s="8" t="n"/>
      <c r="D1134" s="8" t="n"/>
      <c r="E1134" s="8" t="n"/>
      <c r="F1134" s="8" t="n"/>
      <c r="G1134" s="8" t="n"/>
      <c r="H1134" s="8" t="n">
        <v>10325</v>
      </c>
      <c r="I1134" s="8" t="n">
        <v>10375</v>
      </c>
      <c r="J1134" s="8" t="n">
        <v>10395</v>
      </c>
      <c r="K1134" s="8" t="n">
        <v>10310</v>
      </c>
      <c r="L1134" s="8" t="n">
        <v>437850</v>
      </c>
      <c r="M1134" s="8" t="n">
        <v>262718</v>
      </c>
      <c r="N1134" s="9" t="inlineStr">
        <is>
          <t>否</t>
        </is>
      </c>
      <c r="O1134" t="inlineStr">
        <is>
          <t>缺 PP</t>
        </is>
      </c>
    </row>
    <row r="1135">
      <c r="A1135" s="7" t="inlineStr">
        <is>
          <t>2012-03-09</t>
        </is>
      </c>
      <c r="B1135" s="8" t="n"/>
      <c r="C1135" s="8" t="n"/>
      <c r="D1135" s="8" t="n"/>
      <c r="E1135" s="8" t="n"/>
      <c r="F1135" s="8" t="n"/>
      <c r="G1135" s="8" t="n"/>
      <c r="H1135" s="8" t="n">
        <v>10530</v>
      </c>
      <c r="I1135" s="8" t="n">
        <v>10370</v>
      </c>
      <c r="J1135" s="8" t="n">
        <v>10535</v>
      </c>
      <c r="K1135" s="8" t="n">
        <v>10355</v>
      </c>
      <c r="L1135" s="8" t="n">
        <v>521228</v>
      </c>
      <c r="M1135" s="8" t="n">
        <v>256206</v>
      </c>
      <c r="N1135" s="9" t="inlineStr">
        <is>
          <t>否</t>
        </is>
      </c>
      <c r="O1135" t="inlineStr">
        <is>
          <t>缺 PP</t>
        </is>
      </c>
    </row>
    <row r="1136">
      <c r="A1136" s="7" t="inlineStr">
        <is>
          <t>2012-03-12</t>
        </is>
      </c>
      <c r="B1136" s="8" t="n"/>
      <c r="C1136" s="8" t="n"/>
      <c r="D1136" s="8" t="n"/>
      <c r="E1136" s="8" t="n"/>
      <c r="F1136" s="8" t="n"/>
      <c r="G1136" s="8" t="n"/>
      <c r="H1136" s="8" t="n">
        <v>10575</v>
      </c>
      <c r="I1136" s="8" t="n">
        <v>10540</v>
      </c>
      <c r="J1136" s="8" t="n">
        <v>10580</v>
      </c>
      <c r="K1136" s="8" t="n">
        <v>10500</v>
      </c>
      <c r="L1136" s="8" t="n">
        <v>403382</v>
      </c>
      <c r="M1136" s="8" t="n">
        <v>247694</v>
      </c>
      <c r="N1136" s="9" t="inlineStr">
        <is>
          <t>否</t>
        </is>
      </c>
      <c r="O1136" t="inlineStr">
        <is>
          <t>缺 PP</t>
        </is>
      </c>
    </row>
    <row r="1137">
      <c r="A1137" s="7" t="inlineStr">
        <is>
          <t>2012-03-13</t>
        </is>
      </c>
      <c r="B1137" s="8" t="n"/>
      <c r="C1137" s="8" t="n"/>
      <c r="D1137" s="8" t="n"/>
      <c r="E1137" s="8" t="n"/>
      <c r="F1137" s="8" t="n"/>
      <c r="G1137" s="8" t="n"/>
      <c r="H1137" s="8" t="n">
        <v>10700</v>
      </c>
      <c r="I1137" s="8" t="n">
        <v>10600</v>
      </c>
      <c r="J1137" s="8" t="n">
        <v>10720</v>
      </c>
      <c r="K1137" s="8" t="n">
        <v>10555</v>
      </c>
      <c r="L1137" s="8" t="n">
        <v>390724</v>
      </c>
      <c r="M1137" s="8" t="n">
        <v>253300</v>
      </c>
      <c r="N1137" s="9" t="inlineStr">
        <is>
          <t>否</t>
        </is>
      </c>
      <c r="O1137" t="inlineStr">
        <is>
          <t>缺 PP</t>
        </is>
      </c>
    </row>
    <row r="1138">
      <c r="A1138" s="7" t="inlineStr">
        <is>
          <t>2012-03-14</t>
        </is>
      </c>
      <c r="B1138" s="8" t="n"/>
      <c r="C1138" s="8" t="n"/>
      <c r="D1138" s="8" t="n"/>
      <c r="E1138" s="8" t="n"/>
      <c r="F1138" s="8" t="n"/>
      <c r="G1138" s="8" t="n"/>
      <c r="H1138" s="8" t="n">
        <v>10980</v>
      </c>
      <c r="I1138" s="8" t="n">
        <v>11075</v>
      </c>
      <c r="J1138" s="8" t="n">
        <v>11090</v>
      </c>
      <c r="K1138" s="8" t="n">
        <v>10940</v>
      </c>
      <c r="L1138" s="8" t="n">
        <v>534144</v>
      </c>
      <c r="M1138" s="8" t="n">
        <v>191820</v>
      </c>
      <c r="N1138" s="9" t="inlineStr">
        <is>
          <t>否</t>
        </is>
      </c>
      <c r="O1138" t="inlineStr">
        <is>
          <t>缺 PP</t>
        </is>
      </c>
    </row>
    <row r="1139">
      <c r="A1139" s="7" t="inlineStr">
        <is>
          <t>2012-03-15</t>
        </is>
      </c>
      <c r="B1139" s="8" t="n"/>
      <c r="C1139" s="8" t="n"/>
      <c r="D1139" s="8" t="n"/>
      <c r="E1139" s="8" t="n"/>
      <c r="F1139" s="8" t="n"/>
      <c r="G1139" s="8" t="n"/>
      <c r="H1139" s="8" t="n">
        <v>11035</v>
      </c>
      <c r="I1139" s="8" t="n">
        <v>10980</v>
      </c>
      <c r="J1139" s="8" t="n">
        <v>11095</v>
      </c>
      <c r="K1139" s="8" t="n">
        <v>10900</v>
      </c>
      <c r="L1139" s="8" t="n">
        <v>767872</v>
      </c>
      <c r="M1139" s="8" t="n">
        <v>227194</v>
      </c>
      <c r="N1139" s="9" t="inlineStr">
        <is>
          <t>否</t>
        </is>
      </c>
      <c r="O1139" t="inlineStr">
        <is>
          <t>缺 PP</t>
        </is>
      </c>
    </row>
    <row r="1140">
      <c r="A1140" s="7" t="inlineStr">
        <is>
          <t>2012-03-16</t>
        </is>
      </c>
      <c r="B1140" s="8" t="n"/>
      <c r="C1140" s="8" t="n"/>
      <c r="D1140" s="8" t="n"/>
      <c r="E1140" s="8" t="n"/>
      <c r="F1140" s="8" t="n"/>
      <c r="G1140" s="8" t="n"/>
      <c r="H1140" s="8" t="n">
        <v>10870</v>
      </c>
      <c r="I1140" s="8" t="n">
        <v>11055</v>
      </c>
      <c r="J1140" s="8" t="n">
        <v>11105</v>
      </c>
      <c r="K1140" s="8" t="n">
        <v>10830</v>
      </c>
      <c r="L1140" s="8" t="n">
        <v>964948</v>
      </c>
      <c r="M1140" s="8" t="n">
        <v>255026</v>
      </c>
      <c r="N1140" s="9" t="inlineStr">
        <is>
          <t>否</t>
        </is>
      </c>
      <c r="O1140" t="inlineStr">
        <is>
          <t>缺 PP</t>
        </is>
      </c>
    </row>
    <row r="1141">
      <c r="A1141" s="7" t="inlineStr">
        <is>
          <t>2012-03-19</t>
        </is>
      </c>
      <c r="B1141" s="8" t="n"/>
      <c r="C1141" s="8" t="n"/>
      <c r="D1141" s="8" t="n"/>
      <c r="E1141" s="8" t="n"/>
      <c r="F1141" s="8" t="n"/>
      <c r="G1141" s="8" t="n"/>
      <c r="H1141" s="8" t="n">
        <v>10840</v>
      </c>
      <c r="I1141" s="8" t="n">
        <v>10900</v>
      </c>
      <c r="J1141" s="8" t="n">
        <v>10955</v>
      </c>
      <c r="K1141" s="8" t="n">
        <v>10785</v>
      </c>
      <c r="L1141" s="8" t="n">
        <v>653220</v>
      </c>
      <c r="M1141" s="8" t="n">
        <v>253858</v>
      </c>
      <c r="N1141" s="9" t="inlineStr">
        <is>
          <t>否</t>
        </is>
      </c>
      <c r="O1141" t="inlineStr">
        <is>
          <t>缺 PP</t>
        </is>
      </c>
    </row>
    <row r="1142">
      <c r="A1142" s="7" t="inlineStr">
        <is>
          <t>2012-03-20</t>
        </is>
      </c>
      <c r="B1142" s="8" t="n"/>
      <c r="C1142" s="8" t="n"/>
      <c r="D1142" s="8" t="n"/>
      <c r="E1142" s="8" t="n"/>
      <c r="F1142" s="8" t="n"/>
      <c r="G1142" s="8" t="n"/>
      <c r="H1142" s="8" t="n">
        <v>10805</v>
      </c>
      <c r="I1142" s="8" t="n">
        <v>10870</v>
      </c>
      <c r="J1142" s="8" t="n">
        <v>10890</v>
      </c>
      <c r="K1142" s="8" t="n">
        <v>10740</v>
      </c>
      <c r="L1142" s="8" t="n">
        <v>736968</v>
      </c>
      <c r="M1142" s="8" t="n">
        <v>256952</v>
      </c>
      <c r="N1142" s="9" t="inlineStr">
        <is>
          <t>否</t>
        </is>
      </c>
      <c r="O1142" t="inlineStr">
        <is>
          <t>缺 PP</t>
        </is>
      </c>
    </row>
    <row r="1143">
      <c r="A1143" s="7" t="inlineStr">
        <is>
          <t>2012-03-21</t>
        </is>
      </c>
      <c r="B1143" s="8" t="n"/>
      <c r="C1143" s="8" t="n"/>
      <c r="D1143" s="8" t="n"/>
      <c r="E1143" s="8" t="n"/>
      <c r="F1143" s="8" t="n"/>
      <c r="G1143" s="8" t="n"/>
      <c r="H1143" s="8" t="n">
        <v>10840</v>
      </c>
      <c r="I1143" s="8" t="n">
        <v>10750</v>
      </c>
      <c r="J1143" s="8" t="n">
        <v>10845</v>
      </c>
      <c r="K1143" s="8" t="n">
        <v>10745</v>
      </c>
      <c r="L1143" s="8" t="n">
        <v>603676</v>
      </c>
      <c r="M1143" s="8" t="n">
        <v>281086</v>
      </c>
      <c r="N1143" s="9" t="inlineStr">
        <is>
          <t>否</t>
        </is>
      </c>
      <c r="O1143" t="inlineStr">
        <is>
          <t>缺 PP</t>
        </is>
      </c>
    </row>
    <row r="1144">
      <c r="A1144" s="7" t="inlineStr">
        <is>
          <t>2012-03-22</t>
        </is>
      </c>
      <c r="B1144" s="8" t="n"/>
      <c r="C1144" s="8" t="n"/>
      <c r="D1144" s="8" t="n"/>
      <c r="E1144" s="8" t="n"/>
      <c r="F1144" s="8" t="n"/>
      <c r="G1144" s="8" t="n"/>
      <c r="H1144" s="8" t="n">
        <v>10790</v>
      </c>
      <c r="I1144" s="8" t="n">
        <v>10855</v>
      </c>
      <c r="J1144" s="8" t="n">
        <v>10910</v>
      </c>
      <c r="K1144" s="8" t="n">
        <v>10770</v>
      </c>
      <c r="L1144" s="8" t="n">
        <v>925472</v>
      </c>
      <c r="M1144" s="8" t="n">
        <v>307730</v>
      </c>
      <c r="N1144" s="9" t="inlineStr">
        <is>
          <t>否</t>
        </is>
      </c>
      <c r="O1144" t="inlineStr">
        <is>
          <t>缺 PP</t>
        </is>
      </c>
    </row>
    <row r="1145">
      <c r="A1145" s="7" t="inlineStr">
        <is>
          <t>2012-03-23</t>
        </is>
      </c>
      <c r="B1145" s="8" t="n"/>
      <c r="C1145" s="8" t="n"/>
      <c r="D1145" s="8" t="n"/>
      <c r="E1145" s="8" t="n"/>
      <c r="F1145" s="8" t="n"/>
      <c r="G1145" s="8" t="n"/>
      <c r="H1145" s="8" t="n">
        <v>10765</v>
      </c>
      <c r="I1145" s="8" t="n">
        <v>10800</v>
      </c>
      <c r="J1145" s="8" t="n">
        <v>10820</v>
      </c>
      <c r="K1145" s="8" t="n">
        <v>10685</v>
      </c>
      <c r="L1145" s="8" t="n">
        <v>717318</v>
      </c>
      <c r="M1145" s="8" t="n">
        <v>289090</v>
      </c>
      <c r="N1145" s="9" t="inlineStr">
        <is>
          <t>否</t>
        </is>
      </c>
      <c r="O1145" t="inlineStr">
        <is>
          <t>缺 PP</t>
        </is>
      </c>
    </row>
    <row r="1146">
      <c r="A1146" s="7" t="inlineStr">
        <is>
          <t>2012-03-26</t>
        </is>
      </c>
      <c r="B1146" s="8" t="n"/>
      <c r="C1146" s="8" t="n"/>
      <c r="D1146" s="8" t="n"/>
      <c r="E1146" s="8" t="n"/>
      <c r="F1146" s="8" t="n"/>
      <c r="G1146" s="8" t="n"/>
      <c r="H1146" s="8" t="n">
        <v>10845</v>
      </c>
      <c r="I1146" s="8" t="n">
        <v>10830</v>
      </c>
      <c r="J1146" s="8" t="n">
        <v>10890</v>
      </c>
      <c r="K1146" s="8" t="n">
        <v>10790</v>
      </c>
      <c r="L1146" s="8" t="n">
        <v>634832</v>
      </c>
      <c r="M1146" s="8" t="n">
        <v>323134</v>
      </c>
      <c r="N1146" s="9" t="inlineStr">
        <is>
          <t>否</t>
        </is>
      </c>
      <c r="O1146" t="inlineStr">
        <is>
          <t>缺 PP</t>
        </is>
      </c>
    </row>
    <row r="1147">
      <c r="A1147" s="7" t="inlineStr">
        <is>
          <t>2012-03-27</t>
        </is>
      </c>
      <c r="B1147" s="8" t="n"/>
      <c r="C1147" s="8" t="n"/>
      <c r="D1147" s="8" t="n"/>
      <c r="E1147" s="8" t="n"/>
      <c r="F1147" s="8" t="n"/>
      <c r="G1147" s="8" t="n"/>
      <c r="H1147" s="8" t="n">
        <v>10935</v>
      </c>
      <c r="I1147" s="8" t="n">
        <v>10900</v>
      </c>
      <c r="J1147" s="8" t="n">
        <v>10970</v>
      </c>
      <c r="K1147" s="8" t="n">
        <v>10885</v>
      </c>
      <c r="L1147" s="8" t="n">
        <v>561312</v>
      </c>
      <c r="M1147" s="8" t="n">
        <v>311886</v>
      </c>
      <c r="N1147" s="9" t="inlineStr">
        <is>
          <t>否</t>
        </is>
      </c>
      <c r="O1147" t="inlineStr">
        <is>
          <t>缺 PP</t>
        </is>
      </c>
    </row>
    <row r="1148">
      <c r="A1148" s="7" t="inlineStr">
        <is>
          <t>2012-03-28</t>
        </is>
      </c>
      <c r="B1148" s="8" t="n"/>
      <c r="C1148" s="8" t="n"/>
      <c r="D1148" s="8" t="n"/>
      <c r="E1148" s="8" t="n"/>
      <c r="F1148" s="8" t="n"/>
      <c r="G1148" s="8" t="n"/>
      <c r="H1148" s="8" t="n">
        <v>10810</v>
      </c>
      <c r="I1148" s="8" t="n">
        <v>10900</v>
      </c>
      <c r="J1148" s="8" t="n">
        <v>10915</v>
      </c>
      <c r="K1148" s="8" t="n">
        <v>10805</v>
      </c>
      <c r="L1148" s="8" t="n">
        <v>476998</v>
      </c>
      <c r="M1148" s="8" t="n">
        <v>301948</v>
      </c>
      <c r="N1148" s="9" t="inlineStr">
        <is>
          <t>否</t>
        </is>
      </c>
      <c r="O1148" t="inlineStr">
        <is>
          <t>缺 PP</t>
        </is>
      </c>
    </row>
    <row r="1149">
      <c r="A1149" s="7" t="inlineStr">
        <is>
          <t>2012-03-29</t>
        </is>
      </c>
      <c r="B1149" s="8" t="n"/>
      <c r="C1149" s="8" t="n"/>
      <c r="D1149" s="8" t="n"/>
      <c r="E1149" s="8" t="n"/>
      <c r="F1149" s="8" t="n"/>
      <c r="G1149" s="8" t="n"/>
      <c r="H1149" s="8" t="n">
        <v>10660</v>
      </c>
      <c r="I1149" s="8" t="n">
        <v>10755</v>
      </c>
      <c r="J1149" s="8" t="n">
        <v>10790</v>
      </c>
      <c r="K1149" s="8" t="n">
        <v>10610</v>
      </c>
      <c r="L1149" s="8" t="n">
        <v>682030</v>
      </c>
      <c r="M1149" s="8" t="n">
        <v>310948</v>
      </c>
      <c r="N1149" s="9" t="inlineStr">
        <is>
          <t>否</t>
        </is>
      </c>
      <c r="O1149" t="inlineStr">
        <is>
          <t>缺 PP</t>
        </is>
      </c>
    </row>
    <row r="1150">
      <c r="A1150" s="7" t="inlineStr">
        <is>
          <t>2012-03-30</t>
        </is>
      </c>
      <c r="B1150" s="8" t="n"/>
      <c r="C1150" s="8" t="n"/>
      <c r="D1150" s="8" t="n"/>
      <c r="E1150" s="8" t="n"/>
      <c r="F1150" s="8" t="n"/>
      <c r="G1150" s="8" t="n"/>
      <c r="H1150" s="8" t="n">
        <v>10615</v>
      </c>
      <c r="I1150" s="8" t="n">
        <v>10660</v>
      </c>
      <c r="J1150" s="8" t="n">
        <v>10695</v>
      </c>
      <c r="K1150" s="8" t="n">
        <v>10600</v>
      </c>
      <c r="L1150" s="8" t="n">
        <v>530878</v>
      </c>
      <c r="M1150" s="8" t="n">
        <v>291702</v>
      </c>
      <c r="N1150" s="9" t="inlineStr">
        <is>
          <t>否</t>
        </is>
      </c>
      <c r="O1150" t="inlineStr">
        <is>
          <t>缺 PP</t>
        </is>
      </c>
    </row>
    <row r="1151">
      <c r="A1151" s="7" t="inlineStr">
        <is>
          <t>2012-04-05</t>
        </is>
      </c>
      <c r="B1151" s="8" t="n"/>
      <c r="C1151" s="8" t="n"/>
      <c r="D1151" s="8" t="n"/>
      <c r="E1151" s="8" t="n"/>
      <c r="F1151" s="8" t="n"/>
      <c r="G1151" s="8" t="n"/>
      <c r="H1151" s="8" t="n">
        <v>10670</v>
      </c>
      <c r="I1151" s="8" t="n">
        <v>10570</v>
      </c>
      <c r="J1151" s="8" t="n">
        <v>10685</v>
      </c>
      <c r="K1151" s="8" t="n">
        <v>10485</v>
      </c>
      <c r="L1151" s="8" t="n">
        <v>645872</v>
      </c>
      <c r="M1151" s="8" t="n">
        <v>297280</v>
      </c>
      <c r="N1151" s="9" t="inlineStr">
        <is>
          <t>否</t>
        </is>
      </c>
      <c r="O1151" t="inlineStr">
        <is>
          <t>缺 PP</t>
        </is>
      </c>
    </row>
    <row r="1152">
      <c r="A1152" s="7" t="inlineStr">
        <is>
          <t>2012-04-06</t>
        </is>
      </c>
      <c r="B1152" s="8" t="n"/>
      <c r="C1152" s="8" t="n"/>
      <c r="D1152" s="8" t="n"/>
      <c r="E1152" s="8" t="n"/>
      <c r="F1152" s="8" t="n"/>
      <c r="G1152" s="8" t="n"/>
      <c r="H1152" s="8" t="n">
        <v>10775</v>
      </c>
      <c r="I1152" s="8" t="n">
        <v>10705</v>
      </c>
      <c r="J1152" s="8" t="n">
        <v>10780</v>
      </c>
      <c r="K1152" s="8" t="n">
        <v>10660</v>
      </c>
      <c r="L1152" s="8" t="n">
        <v>721292</v>
      </c>
      <c r="M1152" s="8" t="n">
        <v>283166</v>
      </c>
      <c r="N1152" s="9" t="inlineStr">
        <is>
          <t>否</t>
        </is>
      </c>
      <c r="O1152" t="inlineStr">
        <is>
          <t>缺 PP</t>
        </is>
      </c>
    </row>
    <row r="1153">
      <c r="A1153" s="7" t="inlineStr">
        <is>
          <t>2012-04-09</t>
        </is>
      </c>
      <c r="B1153" s="8" t="n"/>
      <c r="C1153" s="8" t="n"/>
      <c r="D1153" s="8" t="n"/>
      <c r="E1153" s="8" t="n"/>
      <c r="F1153" s="8" t="n"/>
      <c r="G1153" s="8" t="n"/>
      <c r="H1153" s="8" t="n">
        <v>10585</v>
      </c>
      <c r="I1153" s="8" t="n">
        <v>10720</v>
      </c>
      <c r="J1153" s="8" t="n">
        <v>10740</v>
      </c>
      <c r="K1153" s="8" t="n">
        <v>10580</v>
      </c>
      <c r="L1153" s="8" t="n">
        <v>732724</v>
      </c>
      <c r="M1153" s="8" t="n">
        <v>282590</v>
      </c>
      <c r="N1153" s="9" t="inlineStr">
        <is>
          <t>否</t>
        </is>
      </c>
      <c r="O1153" t="inlineStr">
        <is>
          <t>缺 PP</t>
        </is>
      </c>
    </row>
    <row r="1154">
      <c r="A1154" s="7" t="inlineStr">
        <is>
          <t>2012-04-10</t>
        </is>
      </c>
      <c r="B1154" s="8" t="n"/>
      <c r="C1154" s="8" t="n"/>
      <c r="D1154" s="8" t="n"/>
      <c r="E1154" s="8" t="n"/>
      <c r="F1154" s="8" t="n"/>
      <c r="G1154" s="8" t="n"/>
      <c r="H1154" s="8" t="n">
        <v>10575</v>
      </c>
      <c r="I1154" s="8" t="n">
        <v>10615</v>
      </c>
      <c r="J1154" s="8" t="n">
        <v>10640</v>
      </c>
      <c r="K1154" s="8" t="n">
        <v>10515</v>
      </c>
      <c r="L1154" s="8" t="n">
        <v>808434</v>
      </c>
      <c r="M1154" s="8" t="n">
        <v>284214</v>
      </c>
      <c r="N1154" s="9" t="inlineStr">
        <is>
          <t>否</t>
        </is>
      </c>
      <c r="O1154" t="inlineStr">
        <is>
          <t>缺 PP</t>
        </is>
      </c>
    </row>
    <row r="1155">
      <c r="A1155" s="7" t="inlineStr">
        <is>
          <t>2012-04-11</t>
        </is>
      </c>
      <c r="B1155" s="8" t="n"/>
      <c r="C1155" s="8" t="n"/>
      <c r="D1155" s="8" t="n"/>
      <c r="E1155" s="8" t="n"/>
      <c r="F1155" s="8" t="n"/>
      <c r="G1155" s="8" t="n"/>
      <c r="H1155" s="8" t="n">
        <v>10485</v>
      </c>
      <c r="I1155" s="8" t="n">
        <v>10450</v>
      </c>
      <c r="J1155" s="8" t="n">
        <v>10510</v>
      </c>
      <c r="K1155" s="8" t="n">
        <v>10410</v>
      </c>
      <c r="L1155" s="8" t="n">
        <v>645878</v>
      </c>
      <c r="M1155" s="8" t="n">
        <v>296386</v>
      </c>
      <c r="N1155" s="9" t="inlineStr">
        <is>
          <t>否</t>
        </is>
      </c>
      <c r="O1155" t="inlineStr">
        <is>
          <t>缺 PP</t>
        </is>
      </c>
    </row>
    <row r="1156">
      <c r="A1156" s="7" t="inlineStr">
        <is>
          <t>2012-04-12</t>
        </is>
      </c>
      <c r="B1156" s="8" t="n"/>
      <c r="C1156" s="8" t="n"/>
      <c r="D1156" s="8" t="n"/>
      <c r="E1156" s="8" t="n"/>
      <c r="F1156" s="8" t="n"/>
      <c r="G1156" s="8" t="n"/>
      <c r="H1156" s="8" t="n">
        <v>10555</v>
      </c>
      <c r="I1156" s="8" t="n">
        <v>10520</v>
      </c>
      <c r="J1156" s="8" t="n">
        <v>10565</v>
      </c>
      <c r="K1156" s="8" t="n">
        <v>10490</v>
      </c>
      <c r="L1156" s="8" t="n">
        <v>449092</v>
      </c>
      <c r="M1156" s="8" t="n">
        <v>292810</v>
      </c>
      <c r="N1156" s="9" t="inlineStr">
        <is>
          <t>否</t>
        </is>
      </c>
      <c r="O1156" t="inlineStr">
        <is>
          <t>缺 PP</t>
        </is>
      </c>
    </row>
    <row r="1157">
      <c r="A1157" s="7" t="inlineStr">
        <is>
          <t>2012-04-13</t>
        </is>
      </c>
      <c r="B1157" s="8" t="n"/>
      <c r="C1157" s="8" t="n"/>
      <c r="D1157" s="8" t="n"/>
      <c r="E1157" s="8" t="n"/>
      <c r="F1157" s="8" t="n"/>
      <c r="G1157" s="8" t="n"/>
      <c r="H1157" s="8" t="n">
        <v>10495</v>
      </c>
      <c r="I1157" s="8" t="n">
        <v>10605</v>
      </c>
      <c r="J1157" s="8" t="n">
        <v>10615</v>
      </c>
      <c r="K1157" s="8" t="n">
        <v>10490</v>
      </c>
      <c r="L1157" s="8" t="n">
        <v>496944</v>
      </c>
      <c r="M1157" s="8" t="n">
        <v>269572</v>
      </c>
      <c r="N1157" s="9" t="inlineStr">
        <is>
          <t>否</t>
        </is>
      </c>
      <c r="O1157" t="inlineStr">
        <is>
          <t>缺 PP</t>
        </is>
      </c>
    </row>
    <row r="1158">
      <c r="A1158" s="7" t="inlineStr">
        <is>
          <t>2012-04-16</t>
        </is>
      </c>
      <c r="B1158" s="8" t="n"/>
      <c r="C1158" s="8" t="n"/>
      <c r="D1158" s="8" t="n"/>
      <c r="E1158" s="8" t="n"/>
      <c r="F1158" s="8" t="n"/>
      <c r="G1158" s="8" t="n"/>
      <c r="H1158" s="8" t="n">
        <v>10490</v>
      </c>
      <c r="I1158" s="8" t="n">
        <v>10400</v>
      </c>
      <c r="J1158" s="8" t="n">
        <v>10505</v>
      </c>
      <c r="K1158" s="8" t="n">
        <v>10390</v>
      </c>
      <c r="L1158" s="8" t="n">
        <v>426742</v>
      </c>
      <c r="M1158" s="8" t="n">
        <v>264884</v>
      </c>
      <c r="N1158" s="9" t="inlineStr">
        <is>
          <t>否</t>
        </is>
      </c>
      <c r="O1158" t="inlineStr">
        <is>
          <t>缺 PP</t>
        </is>
      </c>
    </row>
    <row r="1159">
      <c r="A1159" s="7" t="inlineStr">
        <is>
          <t>2012-04-17</t>
        </is>
      </c>
      <c r="B1159" s="8" t="n"/>
      <c r="C1159" s="8" t="n"/>
      <c r="D1159" s="8" t="n"/>
      <c r="E1159" s="8" t="n"/>
      <c r="F1159" s="8" t="n"/>
      <c r="G1159" s="8" t="n"/>
      <c r="H1159" s="8" t="n">
        <v>10445</v>
      </c>
      <c r="I1159" s="8" t="n">
        <v>10500</v>
      </c>
      <c r="J1159" s="8" t="n">
        <v>10530</v>
      </c>
      <c r="K1159" s="8" t="n">
        <v>10445</v>
      </c>
      <c r="L1159" s="8" t="n">
        <v>369784</v>
      </c>
      <c r="M1159" s="8" t="n">
        <v>266364</v>
      </c>
      <c r="N1159" s="9" t="inlineStr">
        <is>
          <t>否</t>
        </is>
      </c>
      <c r="O1159" t="inlineStr">
        <is>
          <t>缺 PP</t>
        </is>
      </c>
    </row>
    <row r="1160">
      <c r="A1160" s="7" t="inlineStr">
        <is>
          <t>2012-04-18</t>
        </is>
      </c>
      <c r="B1160" s="8" t="n"/>
      <c r="C1160" s="8" t="n"/>
      <c r="D1160" s="8" t="n"/>
      <c r="E1160" s="8" t="n"/>
      <c r="F1160" s="8" t="n"/>
      <c r="G1160" s="8" t="n"/>
      <c r="H1160" s="8" t="n">
        <v>10565</v>
      </c>
      <c r="I1160" s="8" t="n">
        <v>10510</v>
      </c>
      <c r="J1160" s="8" t="n">
        <v>10590</v>
      </c>
      <c r="K1160" s="8" t="n">
        <v>10460</v>
      </c>
      <c r="L1160" s="8" t="n">
        <v>552722</v>
      </c>
      <c r="M1160" s="8" t="n">
        <v>246578</v>
      </c>
      <c r="N1160" s="9" t="inlineStr">
        <is>
          <t>否</t>
        </is>
      </c>
      <c r="O1160" t="inlineStr">
        <is>
          <t>缺 PP</t>
        </is>
      </c>
    </row>
    <row r="1161">
      <c r="A1161" s="7" t="inlineStr">
        <is>
          <t>2012-04-19</t>
        </is>
      </c>
      <c r="B1161" s="8" t="n"/>
      <c r="C1161" s="8" t="n"/>
      <c r="D1161" s="8" t="n"/>
      <c r="E1161" s="8" t="n"/>
      <c r="F1161" s="8" t="n"/>
      <c r="G1161" s="8" t="n"/>
      <c r="H1161" s="8" t="n">
        <v>10535</v>
      </c>
      <c r="I1161" s="8" t="n">
        <v>10500</v>
      </c>
      <c r="J1161" s="8" t="n">
        <v>10540</v>
      </c>
      <c r="K1161" s="8" t="n">
        <v>10500</v>
      </c>
      <c r="L1161" s="8" t="n">
        <v>354960</v>
      </c>
      <c r="M1161" s="8" t="n">
        <v>254584</v>
      </c>
      <c r="N1161" s="9" t="inlineStr">
        <is>
          <t>否</t>
        </is>
      </c>
      <c r="O1161" t="inlineStr">
        <is>
          <t>缺 PP</t>
        </is>
      </c>
    </row>
    <row r="1162">
      <c r="A1162" s="7" t="inlineStr">
        <is>
          <t>2012-04-20</t>
        </is>
      </c>
      <c r="B1162" s="8" t="n"/>
      <c r="C1162" s="8" t="n"/>
      <c r="D1162" s="8" t="n"/>
      <c r="E1162" s="8" t="n"/>
      <c r="F1162" s="8" t="n"/>
      <c r="G1162" s="8" t="n"/>
      <c r="H1162" s="8" t="n">
        <v>10615</v>
      </c>
      <c r="I1162" s="8" t="n">
        <v>10530</v>
      </c>
      <c r="J1162" s="8" t="n">
        <v>10650</v>
      </c>
      <c r="K1162" s="8" t="n">
        <v>10505</v>
      </c>
      <c r="L1162" s="8" t="n">
        <v>593712</v>
      </c>
      <c r="M1162" s="8" t="n">
        <v>242354</v>
      </c>
      <c r="N1162" s="9" t="inlineStr">
        <is>
          <t>否</t>
        </is>
      </c>
      <c r="O1162" t="inlineStr">
        <is>
          <t>缺 PP</t>
        </is>
      </c>
    </row>
    <row r="1163">
      <c r="A1163" s="7" t="inlineStr">
        <is>
          <t>2012-04-23</t>
        </is>
      </c>
      <c r="B1163" s="8" t="n"/>
      <c r="C1163" s="8" t="n"/>
      <c r="D1163" s="8" t="n"/>
      <c r="E1163" s="8" t="n"/>
      <c r="F1163" s="8" t="n"/>
      <c r="G1163" s="8" t="n"/>
      <c r="H1163" s="8" t="n">
        <v>10555</v>
      </c>
      <c r="I1163" s="8" t="n">
        <v>10630</v>
      </c>
      <c r="J1163" s="8" t="n">
        <v>10630</v>
      </c>
      <c r="K1163" s="8" t="n">
        <v>10550</v>
      </c>
      <c r="L1163" s="8" t="n">
        <v>427748</v>
      </c>
      <c r="M1163" s="8" t="n">
        <v>246224</v>
      </c>
      <c r="N1163" s="9" t="inlineStr">
        <is>
          <t>否</t>
        </is>
      </c>
      <c r="O1163" t="inlineStr">
        <is>
          <t>缺 PP</t>
        </is>
      </c>
    </row>
    <row r="1164">
      <c r="A1164" s="7" t="inlineStr">
        <is>
          <t>2012-04-24</t>
        </is>
      </c>
      <c r="B1164" s="8" t="n"/>
      <c r="C1164" s="8" t="n"/>
      <c r="D1164" s="8" t="n"/>
      <c r="E1164" s="8" t="n"/>
      <c r="F1164" s="8" t="n"/>
      <c r="G1164" s="8" t="n"/>
      <c r="H1164" s="8" t="n">
        <v>10455</v>
      </c>
      <c r="I1164" s="8" t="n">
        <v>10560</v>
      </c>
      <c r="J1164" s="8" t="n">
        <v>10570</v>
      </c>
      <c r="K1164" s="8" t="n">
        <v>10430</v>
      </c>
      <c r="L1164" s="8" t="n">
        <v>726012</v>
      </c>
      <c r="M1164" s="8" t="n">
        <v>246384</v>
      </c>
      <c r="N1164" s="9" t="inlineStr">
        <is>
          <t>否</t>
        </is>
      </c>
      <c r="O1164" t="inlineStr">
        <is>
          <t>缺 PP</t>
        </is>
      </c>
    </row>
    <row r="1165">
      <c r="A1165" s="7" t="inlineStr">
        <is>
          <t>2012-04-25</t>
        </is>
      </c>
      <c r="B1165" s="8" t="n"/>
      <c r="C1165" s="8" t="n"/>
      <c r="D1165" s="8" t="n"/>
      <c r="E1165" s="8" t="n"/>
      <c r="F1165" s="8" t="n"/>
      <c r="G1165" s="8" t="n"/>
      <c r="H1165" s="8" t="n">
        <v>10395</v>
      </c>
      <c r="I1165" s="8" t="n">
        <v>10460</v>
      </c>
      <c r="J1165" s="8" t="n">
        <v>10475</v>
      </c>
      <c r="K1165" s="8" t="n">
        <v>10380</v>
      </c>
      <c r="L1165" s="8" t="n">
        <v>462540</v>
      </c>
      <c r="M1165" s="8" t="n">
        <v>266954</v>
      </c>
      <c r="N1165" s="9" t="inlineStr">
        <is>
          <t>否</t>
        </is>
      </c>
      <c r="O1165" t="inlineStr">
        <is>
          <t>缺 PP</t>
        </is>
      </c>
    </row>
    <row r="1166">
      <c r="A1166" s="7" t="inlineStr">
        <is>
          <t>2012-04-26</t>
        </is>
      </c>
      <c r="B1166" s="8" t="n"/>
      <c r="C1166" s="8" t="n"/>
      <c r="D1166" s="8" t="n"/>
      <c r="E1166" s="8" t="n"/>
      <c r="F1166" s="8" t="n"/>
      <c r="G1166" s="8" t="n"/>
      <c r="H1166" s="8" t="n">
        <v>10475</v>
      </c>
      <c r="I1166" s="8" t="n">
        <v>10415</v>
      </c>
      <c r="J1166" s="8" t="n">
        <v>10485</v>
      </c>
      <c r="K1166" s="8" t="n">
        <v>10375</v>
      </c>
      <c r="L1166" s="8" t="n">
        <v>341610</v>
      </c>
      <c r="M1166" s="8" t="n">
        <v>227318</v>
      </c>
      <c r="N1166" s="9" t="inlineStr">
        <is>
          <t>否</t>
        </is>
      </c>
      <c r="O1166" t="inlineStr">
        <is>
          <t>缺 PP</t>
        </is>
      </c>
    </row>
    <row r="1167">
      <c r="A1167" s="7" t="inlineStr">
        <is>
          <t>2012-04-27</t>
        </is>
      </c>
      <c r="B1167" s="8" t="n"/>
      <c r="C1167" s="8" t="n"/>
      <c r="D1167" s="8" t="n"/>
      <c r="E1167" s="8" t="n"/>
      <c r="F1167" s="8" t="n"/>
      <c r="G1167" s="8" t="n"/>
      <c r="H1167" s="8" t="n">
        <v>10395</v>
      </c>
      <c r="I1167" s="8" t="n">
        <v>10505</v>
      </c>
      <c r="J1167" s="8" t="n">
        <v>10505</v>
      </c>
      <c r="K1167" s="8" t="n">
        <v>10380</v>
      </c>
      <c r="L1167" s="8" t="n">
        <v>374926</v>
      </c>
      <c r="M1167" s="8" t="n">
        <v>230426</v>
      </c>
      <c r="N1167" s="9" t="inlineStr">
        <is>
          <t>否</t>
        </is>
      </c>
      <c r="O1167" t="inlineStr">
        <is>
          <t>缺 PP</t>
        </is>
      </c>
    </row>
    <row r="1168">
      <c r="A1168" s="7" t="inlineStr">
        <is>
          <t>2012-05-02</t>
        </is>
      </c>
      <c r="B1168" s="8" t="n"/>
      <c r="C1168" s="8" t="n"/>
      <c r="D1168" s="8" t="n"/>
      <c r="E1168" s="8" t="n"/>
      <c r="F1168" s="8" t="n"/>
      <c r="G1168" s="8" t="n"/>
      <c r="H1168" s="8" t="n">
        <v>10455</v>
      </c>
      <c r="I1168" s="8" t="n">
        <v>10430</v>
      </c>
      <c r="J1168" s="8" t="n">
        <v>10495</v>
      </c>
      <c r="K1168" s="8" t="n">
        <v>10420</v>
      </c>
      <c r="L1168" s="8" t="n">
        <v>349600</v>
      </c>
      <c r="M1168" s="8" t="n">
        <v>230460</v>
      </c>
      <c r="N1168" s="9" t="inlineStr">
        <is>
          <t>否</t>
        </is>
      </c>
      <c r="O1168" t="inlineStr">
        <is>
          <t>缺 PP</t>
        </is>
      </c>
    </row>
    <row r="1169">
      <c r="A1169" s="7" t="inlineStr">
        <is>
          <t>2012-05-03</t>
        </is>
      </c>
      <c r="B1169" s="8" t="n"/>
      <c r="C1169" s="8" t="n"/>
      <c r="D1169" s="8" t="n"/>
      <c r="E1169" s="8" t="n"/>
      <c r="F1169" s="8" t="n"/>
      <c r="G1169" s="8" t="n"/>
      <c r="H1169" s="8" t="n">
        <v>10320</v>
      </c>
      <c r="I1169" s="8" t="n">
        <v>10440</v>
      </c>
      <c r="J1169" s="8" t="n">
        <v>10440</v>
      </c>
      <c r="K1169" s="8" t="n">
        <v>10305</v>
      </c>
      <c r="L1169" s="8" t="n">
        <v>549426</v>
      </c>
      <c r="M1169" s="8" t="n">
        <v>272388</v>
      </c>
      <c r="N1169" s="9" t="inlineStr">
        <is>
          <t>否</t>
        </is>
      </c>
      <c r="O1169" t="inlineStr">
        <is>
          <t>缺 PP</t>
        </is>
      </c>
    </row>
    <row r="1170">
      <c r="A1170" s="7" t="inlineStr">
        <is>
          <t>2012-05-04</t>
        </is>
      </c>
      <c r="B1170" s="8" t="n"/>
      <c r="C1170" s="8" t="n"/>
      <c r="D1170" s="8" t="n"/>
      <c r="E1170" s="8" t="n"/>
      <c r="F1170" s="8" t="n"/>
      <c r="G1170" s="8" t="n"/>
      <c r="H1170" s="8" t="n">
        <v>10310</v>
      </c>
      <c r="I1170" s="8" t="n">
        <v>10250</v>
      </c>
      <c r="J1170" s="8" t="n">
        <v>10315</v>
      </c>
      <c r="K1170" s="8" t="n">
        <v>10250</v>
      </c>
      <c r="L1170" s="8" t="n">
        <v>327656</v>
      </c>
      <c r="M1170" s="8" t="n">
        <v>253850</v>
      </c>
      <c r="N1170" s="9" t="inlineStr">
        <is>
          <t>否</t>
        </is>
      </c>
      <c r="O1170" t="inlineStr">
        <is>
          <t>缺 PP</t>
        </is>
      </c>
    </row>
    <row r="1171">
      <c r="A1171" s="7" t="inlineStr">
        <is>
          <t>2012-05-07</t>
        </is>
      </c>
      <c r="B1171" s="8" t="n"/>
      <c r="C1171" s="8" t="n"/>
      <c r="D1171" s="8" t="n"/>
      <c r="E1171" s="8" t="n"/>
      <c r="F1171" s="8" t="n"/>
      <c r="G1171" s="8" t="n"/>
      <c r="H1171" s="8" t="n">
        <v>10055</v>
      </c>
      <c r="I1171" s="8" t="n">
        <v>10150</v>
      </c>
      <c r="J1171" s="8" t="n">
        <v>10190</v>
      </c>
      <c r="K1171" s="8" t="n">
        <v>9955</v>
      </c>
      <c r="L1171" s="8" t="n">
        <v>712436</v>
      </c>
      <c r="M1171" s="8" t="n">
        <v>280084</v>
      </c>
      <c r="N1171" s="9" t="inlineStr">
        <is>
          <t>否</t>
        </is>
      </c>
      <c r="O1171" t="inlineStr">
        <is>
          <t>缺 PP</t>
        </is>
      </c>
    </row>
    <row r="1172">
      <c r="A1172" s="7" t="inlineStr">
        <is>
          <t>2012-05-08</t>
        </is>
      </c>
      <c r="B1172" s="8" t="n"/>
      <c r="C1172" s="8" t="n"/>
      <c r="D1172" s="8" t="n"/>
      <c r="E1172" s="8" t="n"/>
      <c r="F1172" s="8" t="n"/>
      <c r="G1172" s="8" t="n"/>
      <c r="H1172" s="8" t="n">
        <v>10015</v>
      </c>
      <c r="I1172" s="8" t="n">
        <v>10055</v>
      </c>
      <c r="J1172" s="8" t="n">
        <v>10095</v>
      </c>
      <c r="K1172" s="8" t="n">
        <v>10010</v>
      </c>
      <c r="L1172" s="8" t="n">
        <v>445818</v>
      </c>
      <c r="M1172" s="8" t="n">
        <v>280064</v>
      </c>
      <c r="N1172" s="9" t="inlineStr">
        <is>
          <t>否</t>
        </is>
      </c>
      <c r="O1172" t="inlineStr">
        <is>
          <t>缺 PP</t>
        </is>
      </c>
    </row>
    <row r="1173">
      <c r="A1173" s="7" t="inlineStr">
        <is>
          <t>2012-05-09</t>
        </is>
      </c>
      <c r="B1173" s="8" t="n"/>
      <c r="C1173" s="8" t="n"/>
      <c r="D1173" s="8" t="n"/>
      <c r="E1173" s="8" t="n"/>
      <c r="F1173" s="8" t="n"/>
      <c r="G1173" s="8" t="n"/>
      <c r="H1173" s="8" t="n">
        <v>10015</v>
      </c>
      <c r="I1173" s="8" t="n">
        <v>9965</v>
      </c>
      <c r="J1173" s="8" t="n">
        <v>10040</v>
      </c>
      <c r="K1173" s="8" t="n">
        <v>9945</v>
      </c>
      <c r="L1173" s="8" t="n">
        <v>591050</v>
      </c>
      <c r="M1173" s="8" t="n">
        <v>282038</v>
      </c>
      <c r="N1173" s="9" t="inlineStr">
        <is>
          <t>否</t>
        </is>
      </c>
      <c r="O1173" t="inlineStr">
        <is>
          <t>缺 PP</t>
        </is>
      </c>
    </row>
    <row r="1174">
      <c r="A1174" s="7" t="inlineStr">
        <is>
          <t>2012-05-10</t>
        </is>
      </c>
      <c r="B1174" s="8" t="n"/>
      <c r="C1174" s="8" t="n"/>
      <c r="D1174" s="8" t="n"/>
      <c r="E1174" s="8" t="n"/>
      <c r="F1174" s="8" t="n"/>
      <c r="G1174" s="8" t="n"/>
      <c r="H1174" s="8" t="n">
        <v>10040</v>
      </c>
      <c r="I1174" s="8" t="n">
        <v>10050</v>
      </c>
      <c r="J1174" s="8" t="n">
        <v>10065</v>
      </c>
      <c r="K1174" s="8" t="n">
        <v>9980</v>
      </c>
      <c r="L1174" s="8" t="n">
        <v>453458</v>
      </c>
      <c r="M1174" s="8" t="n">
        <v>275676</v>
      </c>
      <c r="N1174" s="9" t="inlineStr">
        <is>
          <t>否</t>
        </is>
      </c>
      <c r="O1174" t="inlineStr">
        <is>
          <t>缺 PP</t>
        </is>
      </c>
    </row>
    <row r="1175">
      <c r="A1175" s="7" t="inlineStr">
        <is>
          <t>2012-05-11</t>
        </is>
      </c>
      <c r="B1175" s="8" t="n"/>
      <c r="C1175" s="8" t="n"/>
      <c r="D1175" s="8" t="n"/>
      <c r="E1175" s="8" t="n"/>
      <c r="F1175" s="8" t="n"/>
      <c r="G1175" s="8" t="n"/>
      <c r="H1175" s="8" t="n">
        <v>9890</v>
      </c>
      <c r="I1175" s="8" t="n">
        <v>10010</v>
      </c>
      <c r="J1175" s="8" t="n">
        <v>10035</v>
      </c>
      <c r="K1175" s="8" t="n">
        <v>9850</v>
      </c>
      <c r="L1175" s="8" t="n">
        <v>561834</v>
      </c>
      <c r="M1175" s="8" t="n">
        <v>282032</v>
      </c>
      <c r="N1175" s="9" t="inlineStr">
        <is>
          <t>否</t>
        </is>
      </c>
      <c r="O1175" t="inlineStr">
        <is>
          <t>缺 PP</t>
        </is>
      </c>
    </row>
    <row r="1176">
      <c r="A1176" s="7" t="inlineStr">
        <is>
          <t>2012-05-14</t>
        </is>
      </c>
      <c r="B1176" s="8" t="n"/>
      <c r="C1176" s="8" t="n"/>
      <c r="D1176" s="8" t="n"/>
      <c r="E1176" s="8" t="n"/>
      <c r="F1176" s="8" t="n"/>
      <c r="G1176" s="8" t="n"/>
      <c r="H1176" s="8" t="n">
        <v>9860</v>
      </c>
      <c r="I1176" s="8" t="n">
        <v>9975</v>
      </c>
      <c r="J1176" s="8" t="n">
        <v>9975</v>
      </c>
      <c r="K1176" s="8" t="n">
        <v>9765</v>
      </c>
      <c r="L1176" s="8" t="n">
        <v>669178</v>
      </c>
      <c r="M1176" s="8" t="n">
        <v>289786</v>
      </c>
      <c r="N1176" s="9" t="inlineStr">
        <is>
          <t>否</t>
        </is>
      </c>
      <c r="O1176" t="inlineStr">
        <is>
          <t>缺 PP</t>
        </is>
      </c>
    </row>
    <row r="1177">
      <c r="A1177" s="7" t="inlineStr">
        <is>
          <t>2012-05-15</t>
        </is>
      </c>
      <c r="B1177" s="8" t="n"/>
      <c r="C1177" s="8" t="n"/>
      <c r="D1177" s="8" t="n"/>
      <c r="E1177" s="8" t="n"/>
      <c r="F1177" s="8" t="n"/>
      <c r="G1177" s="8" t="n"/>
      <c r="H1177" s="8" t="n">
        <v>9795</v>
      </c>
      <c r="I1177" s="8" t="n">
        <v>9780</v>
      </c>
      <c r="J1177" s="8" t="n">
        <v>9800</v>
      </c>
      <c r="K1177" s="8" t="n">
        <v>9670</v>
      </c>
      <c r="L1177" s="8" t="n">
        <v>586698</v>
      </c>
      <c r="M1177" s="8" t="n">
        <v>260312</v>
      </c>
      <c r="N1177" s="9" t="inlineStr">
        <is>
          <t>否</t>
        </is>
      </c>
      <c r="O1177" t="inlineStr">
        <is>
          <t>缺 PP</t>
        </is>
      </c>
    </row>
    <row r="1178">
      <c r="A1178" s="7" t="inlineStr">
        <is>
          <t>2012-05-16</t>
        </is>
      </c>
      <c r="B1178" s="8" t="n"/>
      <c r="C1178" s="8" t="n"/>
      <c r="D1178" s="8" t="n"/>
      <c r="E1178" s="8" t="n"/>
      <c r="F1178" s="8" t="n"/>
      <c r="G1178" s="8" t="n"/>
      <c r="H1178" s="8" t="n">
        <v>9650</v>
      </c>
      <c r="I1178" s="8" t="n">
        <v>9725</v>
      </c>
      <c r="J1178" s="8" t="n">
        <v>9765</v>
      </c>
      <c r="K1178" s="8" t="n">
        <v>9640</v>
      </c>
      <c r="L1178" s="8" t="n">
        <v>448998</v>
      </c>
      <c r="M1178" s="8" t="n">
        <v>266850</v>
      </c>
      <c r="N1178" s="9" t="inlineStr">
        <is>
          <t>否</t>
        </is>
      </c>
      <c r="O1178" t="inlineStr">
        <is>
          <t>缺 PP</t>
        </is>
      </c>
    </row>
    <row r="1179">
      <c r="A1179" s="7" t="inlineStr">
        <is>
          <t>2012-05-17</t>
        </is>
      </c>
      <c r="B1179" s="8" t="n"/>
      <c r="C1179" s="8" t="n"/>
      <c r="D1179" s="8" t="n"/>
      <c r="E1179" s="8" t="n"/>
      <c r="F1179" s="8" t="n"/>
      <c r="G1179" s="8" t="n"/>
      <c r="H1179" s="8" t="n">
        <v>9785</v>
      </c>
      <c r="I1179" s="8" t="n">
        <v>9700</v>
      </c>
      <c r="J1179" s="8" t="n">
        <v>9815</v>
      </c>
      <c r="K1179" s="8" t="n">
        <v>9685</v>
      </c>
      <c r="L1179" s="8" t="n">
        <v>386422</v>
      </c>
      <c r="M1179" s="8" t="n">
        <v>256268</v>
      </c>
      <c r="N1179" s="9" t="inlineStr">
        <is>
          <t>否</t>
        </is>
      </c>
      <c r="O1179" t="inlineStr">
        <is>
          <t>缺 PP</t>
        </is>
      </c>
    </row>
    <row r="1180">
      <c r="A1180" s="7" t="inlineStr">
        <is>
          <t>2012-05-18</t>
        </is>
      </c>
      <c r="B1180" s="8" t="n"/>
      <c r="C1180" s="8" t="n"/>
      <c r="D1180" s="8" t="n"/>
      <c r="E1180" s="8" t="n"/>
      <c r="F1180" s="8" t="n"/>
      <c r="G1180" s="8" t="n"/>
      <c r="H1180" s="8" t="n">
        <v>9680</v>
      </c>
      <c r="I1180" s="8" t="n">
        <v>9740</v>
      </c>
      <c r="J1180" s="8" t="n">
        <v>9750</v>
      </c>
      <c r="K1180" s="8" t="n">
        <v>9640</v>
      </c>
      <c r="L1180" s="8" t="n">
        <v>524428</v>
      </c>
      <c r="M1180" s="8" t="n">
        <v>250938</v>
      </c>
      <c r="N1180" s="9" t="inlineStr">
        <is>
          <t>否</t>
        </is>
      </c>
      <c r="O1180" t="inlineStr">
        <is>
          <t>缺 PP</t>
        </is>
      </c>
    </row>
    <row r="1181">
      <c r="A1181" s="7" t="inlineStr">
        <is>
          <t>2012-05-21</t>
        </is>
      </c>
      <c r="B1181" s="8" t="n"/>
      <c r="C1181" s="8" t="n"/>
      <c r="D1181" s="8" t="n"/>
      <c r="E1181" s="8" t="n"/>
      <c r="F1181" s="8" t="n"/>
      <c r="G1181" s="8" t="n"/>
      <c r="H1181" s="8" t="n">
        <v>9830</v>
      </c>
      <c r="I1181" s="8" t="n">
        <v>9750</v>
      </c>
      <c r="J1181" s="8" t="n">
        <v>9845</v>
      </c>
      <c r="K1181" s="8" t="n">
        <v>9740</v>
      </c>
      <c r="L1181" s="8" t="n">
        <v>343396</v>
      </c>
      <c r="M1181" s="8" t="n">
        <v>254506</v>
      </c>
      <c r="N1181" s="9" t="inlineStr">
        <is>
          <t>否</t>
        </is>
      </c>
      <c r="O1181" t="inlineStr">
        <is>
          <t>缺 PP</t>
        </is>
      </c>
    </row>
    <row r="1182">
      <c r="A1182" s="7" t="inlineStr">
        <is>
          <t>2012-05-22</t>
        </is>
      </c>
      <c r="B1182" s="8" t="n"/>
      <c r="C1182" s="8" t="n"/>
      <c r="D1182" s="8" t="n"/>
      <c r="E1182" s="8" t="n"/>
      <c r="F1182" s="8" t="n"/>
      <c r="G1182" s="8" t="n"/>
      <c r="H1182" s="8" t="n">
        <v>9850</v>
      </c>
      <c r="I1182" s="8" t="n">
        <v>9850</v>
      </c>
      <c r="J1182" s="8" t="n">
        <v>9895</v>
      </c>
      <c r="K1182" s="8" t="n">
        <v>9815</v>
      </c>
      <c r="L1182" s="8" t="n">
        <v>387864</v>
      </c>
      <c r="M1182" s="8" t="n">
        <v>246094</v>
      </c>
      <c r="N1182" s="9" t="inlineStr">
        <is>
          <t>否</t>
        </is>
      </c>
      <c r="O1182" t="inlineStr">
        <is>
          <t>缺 PP</t>
        </is>
      </c>
    </row>
    <row r="1183">
      <c r="A1183" s="7" t="inlineStr">
        <is>
          <t>2012-05-23</t>
        </is>
      </c>
      <c r="B1183" s="8" t="n"/>
      <c r="C1183" s="8" t="n"/>
      <c r="D1183" s="8" t="n"/>
      <c r="E1183" s="8" t="n"/>
      <c r="F1183" s="8" t="n"/>
      <c r="G1183" s="8" t="n"/>
      <c r="H1183" s="8" t="n">
        <v>9715</v>
      </c>
      <c r="I1183" s="8" t="n">
        <v>9700</v>
      </c>
      <c r="J1183" s="8" t="n">
        <v>9740</v>
      </c>
      <c r="K1183" s="8" t="n">
        <v>9645</v>
      </c>
      <c r="L1183" s="8" t="n">
        <v>455594</v>
      </c>
      <c r="M1183" s="8" t="n">
        <v>264032</v>
      </c>
      <c r="N1183" s="9" t="inlineStr">
        <is>
          <t>否</t>
        </is>
      </c>
      <c r="O1183" t="inlineStr">
        <is>
          <t>缺 PP</t>
        </is>
      </c>
    </row>
    <row r="1184">
      <c r="A1184" s="7" t="inlineStr">
        <is>
          <t>2012-05-24</t>
        </is>
      </c>
      <c r="B1184" s="8" t="n"/>
      <c r="C1184" s="8" t="n"/>
      <c r="D1184" s="8" t="n"/>
      <c r="E1184" s="8" t="n"/>
      <c r="F1184" s="8" t="n"/>
      <c r="G1184" s="8" t="n"/>
      <c r="H1184" s="8" t="n">
        <v>9740</v>
      </c>
      <c r="I1184" s="8" t="n">
        <v>9700</v>
      </c>
      <c r="J1184" s="8" t="n">
        <v>9760</v>
      </c>
      <c r="K1184" s="8" t="n">
        <v>9635</v>
      </c>
      <c r="L1184" s="8" t="n">
        <v>457242</v>
      </c>
      <c r="M1184" s="8" t="n">
        <v>259178</v>
      </c>
      <c r="N1184" s="9" t="inlineStr">
        <is>
          <t>否</t>
        </is>
      </c>
      <c r="O1184" t="inlineStr">
        <is>
          <t>缺 PP</t>
        </is>
      </c>
    </row>
    <row r="1185">
      <c r="A1185" s="7" t="inlineStr">
        <is>
          <t>2012-05-25</t>
        </is>
      </c>
      <c r="B1185" s="8" t="n"/>
      <c r="C1185" s="8" t="n"/>
      <c r="D1185" s="8" t="n"/>
      <c r="E1185" s="8" t="n"/>
      <c r="F1185" s="8" t="n"/>
      <c r="G1185" s="8" t="n"/>
      <c r="H1185" s="8" t="n">
        <v>9785</v>
      </c>
      <c r="I1185" s="8" t="n">
        <v>9750</v>
      </c>
      <c r="J1185" s="8" t="n">
        <v>9795</v>
      </c>
      <c r="K1185" s="8" t="n">
        <v>9690</v>
      </c>
      <c r="L1185" s="8" t="n">
        <v>374068</v>
      </c>
      <c r="M1185" s="8" t="n">
        <v>256866</v>
      </c>
      <c r="N1185" s="9" t="inlineStr">
        <is>
          <t>否</t>
        </is>
      </c>
      <c r="O1185" t="inlineStr">
        <is>
          <t>缺 PP</t>
        </is>
      </c>
    </row>
    <row r="1186">
      <c r="A1186" s="7" t="inlineStr">
        <is>
          <t>2012-05-28</t>
        </is>
      </c>
      <c r="B1186" s="8" t="n"/>
      <c r="C1186" s="8" t="n"/>
      <c r="D1186" s="8" t="n"/>
      <c r="E1186" s="8" t="n"/>
      <c r="F1186" s="8" t="n"/>
      <c r="G1186" s="8" t="n"/>
      <c r="H1186" s="8" t="n">
        <v>9875</v>
      </c>
      <c r="I1186" s="8" t="n">
        <v>9810</v>
      </c>
      <c r="J1186" s="8" t="n">
        <v>9890</v>
      </c>
      <c r="K1186" s="8" t="n">
        <v>9780</v>
      </c>
      <c r="L1186" s="8" t="n">
        <v>408720</v>
      </c>
      <c r="M1186" s="8" t="n">
        <v>251676</v>
      </c>
      <c r="N1186" s="9" t="inlineStr">
        <is>
          <t>否</t>
        </is>
      </c>
      <c r="O1186" t="inlineStr">
        <is>
          <t>缺 PP</t>
        </is>
      </c>
    </row>
    <row r="1187">
      <c r="A1187" s="7" t="inlineStr">
        <is>
          <t>2012-05-29</t>
        </is>
      </c>
      <c r="B1187" s="8" t="n"/>
      <c r="C1187" s="8" t="n"/>
      <c r="D1187" s="8" t="n"/>
      <c r="E1187" s="8" t="n"/>
      <c r="F1187" s="8" t="n"/>
      <c r="G1187" s="8" t="n"/>
      <c r="H1187" s="8" t="n">
        <v>9950</v>
      </c>
      <c r="I1187" s="8" t="n">
        <v>9835</v>
      </c>
      <c r="J1187" s="8" t="n">
        <v>9965</v>
      </c>
      <c r="K1187" s="8" t="n">
        <v>9825</v>
      </c>
      <c r="L1187" s="8" t="n">
        <v>377036</v>
      </c>
      <c r="M1187" s="8" t="n">
        <v>240936</v>
      </c>
      <c r="N1187" s="9" t="inlineStr">
        <is>
          <t>否</t>
        </is>
      </c>
      <c r="O1187" t="inlineStr">
        <is>
          <t>缺 PP</t>
        </is>
      </c>
    </row>
    <row r="1188">
      <c r="A1188" s="7" t="inlineStr">
        <is>
          <t>2012-05-30</t>
        </is>
      </c>
      <c r="B1188" s="8" t="n"/>
      <c r="C1188" s="8" t="n"/>
      <c r="D1188" s="8" t="n"/>
      <c r="E1188" s="8" t="n"/>
      <c r="F1188" s="8" t="n"/>
      <c r="G1188" s="8" t="n"/>
      <c r="H1188" s="8" t="n">
        <v>9890</v>
      </c>
      <c r="I1188" s="8" t="n">
        <v>9900</v>
      </c>
      <c r="J1188" s="8" t="n">
        <v>9935</v>
      </c>
      <c r="K1188" s="8" t="n">
        <v>9850</v>
      </c>
      <c r="L1188" s="8" t="n">
        <v>521990</v>
      </c>
      <c r="M1188" s="8" t="n">
        <v>246208</v>
      </c>
      <c r="N1188" s="9" t="inlineStr">
        <is>
          <t>否</t>
        </is>
      </c>
      <c r="O1188" t="inlineStr">
        <is>
          <t>缺 PP</t>
        </is>
      </c>
    </row>
    <row r="1189">
      <c r="A1189" s="7" t="inlineStr">
        <is>
          <t>2012-05-31</t>
        </is>
      </c>
      <c r="B1189" s="8" t="n"/>
      <c r="C1189" s="8" t="n"/>
      <c r="D1189" s="8" t="n"/>
      <c r="E1189" s="8" t="n"/>
      <c r="F1189" s="8" t="n"/>
      <c r="G1189" s="8" t="n"/>
      <c r="H1189" s="8" t="n">
        <v>9720</v>
      </c>
      <c r="I1189" s="8" t="n">
        <v>9750</v>
      </c>
      <c r="J1189" s="8" t="n">
        <v>9765</v>
      </c>
      <c r="K1189" s="8" t="n">
        <v>9685</v>
      </c>
      <c r="L1189" s="8" t="n">
        <v>483430</v>
      </c>
      <c r="M1189" s="8" t="n">
        <v>254446</v>
      </c>
      <c r="N1189" s="9" t="inlineStr">
        <is>
          <t>否</t>
        </is>
      </c>
      <c r="O1189" t="inlineStr">
        <is>
          <t>缺 PP</t>
        </is>
      </c>
    </row>
    <row r="1190">
      <c r="A1190" s="7" t="inlineStr">
        <is>
          <t>2012-06-01</t>
        </is>
      </c>
      <c r="B1190" s="8" t="n"/>
      <c r="C1190" s="8" t="n"/>
      <c r="D1190" s="8" t="n"/>
      <c r="E1190" s="8" t="n"/>
      <c r="F1190" s="8" t="n"/>
      <c r="G1190" s="8" t="n"/>
      <c r="H1190" s="8" t="n">
        <v>9690</v>
      </c>
      <c r="I1190" s="8" t="n">
        <v>9680</v>
      </c>
      <c r="J1190" s="8" t="n">
        <v>9735</v>
      </c>
      <c r="K1190" s="8" t="n">
        <v>9665</v>
      </c>
      <c r="L1190" s="8" t="n">
        <v>392778</v>
      </c>
      <c r="M1190" s="8" t="n">
        <v>245706</v>
      </c>
      <c r="N1190" s="9" t="inlineStr">
        <is>
          <t>否</t>
        </is>
      </c>
      <c r="O1190" t="inlineStr">
        <is>
          <t>缺 PP</t>
        </is>
      </c>
    </row>
    <row r="1191">
      <c r="A1191" s="7" t="inlineStr">
        <is>
          <t>2012-06-04</t>
        </is>
      </c>
      <c r="B1191" s="8" t="n"/>
      <c r="C1191" s="8" t="n"/>
      <c r="D1191" s="8" t="n"/>
      <c r="E1191" s="8" t="n"/>
      <c r="F1191" s="8" t="n"/>
      <c r="G1191" s="8" t="n"/>
      <c r="H1191" s="8" t="n">
        <v>9310</v>
      </c>
      <c r="I1191" s="8" t="n">
        <v>9450</v>
      </c>
      <c r="J1191" s="8" t="n">
        <v>9490</v>
      </c>
      <c r="K1191" s="8" t="n">
        <v>9310</v>
      </c>
      <c r="L1191" s="8" t="n">
        <v>354168</v>
      </c>
      <c r="M1191" s="8" t="n">
        <v>294070</v>
      </c>
      <c r="N1191" s="9" t="inlineStr">
        <is>
          <t>否</t>
        </is>
      </c>
      <c r="O1191" t="inlineStr">
        <is>
          <t>缺 PP</t>
        </is>
      </c>
    </row>
    <row r="1192">
      <c r="A1192" s="7" t="inlineStr">
        <is>
          <t>2012-06-05</t>
        </is>
      </c>
      <c r="B1192" s="8" t="n"/>
      <c r="C1192" s="8" t="n"/>
      <c r="D1192" s="8" t="n"/>
      <c r="E1192" s="8" t="n"/>
      <c r="F1192" s="8" t="n"/>
      <c r="G1192" s="8" t="n"/>
      <c r="H1192" s="8" t="n">
        <v>9355</v>
      </c>
      <c r="I1192" s="8" t="n">
        <v>9315</v>
      </c>
      <c r="J1192" s="8" t="n">
        <v>9435</v>
      </c>
      <c r="K1192" s="8" t="n">
        <v>9310</v>
      </c>
      <c r="L1192" s="8" t="n">
        <v>597734</v>
      </c>
      <c r="M1192" s="8" t="n">
        <v>254906</v>
      </c>
      <c r="N1192" s="9" t="inlineStr">
        <is>
          <t>否</t>
        </is>
      </c>
      <c r="O1192" t="inlineStr">
        <is>
          <t>缺 PP</t>
        </is>
      </c>
    </row>
    <row r="1193">
      <c r="A1193" s="7" t="inlineStr">
        <is>
          <t>2012-06-06</t>
        </is>
      </c>
      <c r="B1193" s="8" t="n"/>
      <c r="C1193" s="8" t="n"/>
      <c r="D1193" s="8" t="n"/>
      <c r="E1193" s="8" t="n"/>
      <c r="F1193" s="8" t="n"/>
      <c r="G1193" s="8" t="n"/>
      <c r="H1193" s="8" t="n">
        <v>9180</v>
      </c>
      <c r="I1193" s="8" t="n">
        <v>9365</v>
      </c>
      <c r="J1193" s="8" t="n">
        <v>9440</v>
      </c>
      <c r="K1193" s="8" t="n">
        <v>9125</v>
      </c>
      <c r="L1193" s="8" t="n">
        <v>887150</v>
      </c>
      <c r="M1193" s="8" t="n">
        <v>296324</v>
      </c>
      <c r="N1193" s="9" t="inlineStr">
        <is>
          <t>否</t>
        </is>
      </c>
      <c r="O1193" t="inlineStr">
        <is>
          <t>缺 PP</t>
        </is>
      </c>
    </row>
    <row r="1194">
      <c r="A1194" s="7" t="inlineStr">
        <is>
          <t>2012-06-07</t>
        </is>
      </c>
      <c r="B1194" s="8" t="n"/>
      <c r="C1194" s="8" t="n"/>
      <c r="D1194" s="8" t="n"/>
      <c r="E1194" s="8" t="n"/>
      <c r="F1194" s="8" t="n"/>
      <c r="G1194" s="8" t="n"/>
      <c r="H1194" s="8" t="n">
        <v>9185</v>
      </c>
      <c r="I1194" s="8" t="n">
        <v>9275</v>
      </c>
      <c r="J1194" s="8" t="n">
        <v>9330</v>
      </c>
      <c r="K1194" s="8" t="n">
        <v>9110</v>
      </c>
      <c r="L1194" s="8" t="n">
        <v>1185100</v>
      </c>
      <c r="M1194" s="8" t="n">
        <v>313904</v>
      </c>
      <c r="N1194" s="9" t="inlineStr">
        <is>
          <t>否</t>
        </is>
      </c>
      <c r="O1194" t="inlineStr">
        <is>
          <t>缺 PP</t>
        </is>
      </c>
    </row>
    <row r="1195">
      <c r="A1195" s="7" t="inlineStr">
        <is>
          <t>2012-06-08</t>
        </is>
      </c>
      <c r="B1195" s="8" t="n"/>
      <c r="C1195" s="8" t="n"/>
      <c r="D1195" s="8" t="n"/>
      <c r="E1195" s="8" t="n"/>
      <c r="F1195" s="8" t="n"/>
      <c r="G1195" s="8" t="n"/>
      <c r="H1195" s="8" t="n">
        <v>9140</v>
      </c>
      <c r="I1195" s="8" t="n">
        <v>9160</v>
      </c>
      <c r="J1195" s="8" t="n">
        <v>9200</v>
      </c>
      <c r="K1195" s="8" t="n">
        <v>9065</v>
      </c>
      <c r="L1195" s="8" t="n">
        <v>901994</v>
      </c>
      <c r="M1195" s="8" t="n">
        <v>274054</v>
      </c>
      <c r="N1195" s="9" t="inlineStr">
        <is>
          <t>否</t>
        </is>
      </c>
      <c r="O1195" t="inlineStr">
        <is>
          <t>缺 PP</t>
        </is>
      </c>
    </row>
    <row r="1196">
      <c r="A1196" s="7" t="inlineStr">
        <is>
          <t>2012-06-11</t>
        </is>
      </c>
      <c r="B1196" s="8" t="n"/>
      <c r="C1196" s="8" t="n"/>
      <c r="D1196" s="8" t="n"/>
      <c r="E1196" s="8" t="n"/>
      <c r="F1196" s="8" t="n"/>
      <c r="G1196" s="8" t="n"/>
      <c r="H1196" s="8" t="n">
        <v>9360</v>
      </c>
      <c r="I1196" s="8" t="n">
        <v>9295</v>
      </c>
      <c r="J1196" s="8" t="n">
        <v>9500</v>
      </c>
      <c r="K1196" s="8" t="n">
        <v>9280</v>
      </c>
      <c r="L1196" s="8" t="n">
        <v>798774</v>
      </c>
      <c r="M1196" s="8" t="n">
        <v>225830</v>
      </c>
      <c r="N1196" s="9" t="inlineStr">
        <is>
          <t>否</t>
        </is>
      </c>
      <c r="O1196" t="inlineStr">
        <is>
          <t>缺 PP</t>
        </is>
      </c>
    </row>
    <row r="1197">
      <c r="A1197" s="7" t="inlineStr">
        <is>
          <t>2012-06-12</t>
        </is>
      </c>
      <c r="B1197" s="8" t="n"/>
      <c r="C1197" s="8" t="n"/>
      <c r="D1197" s="8" t="n"/>
      <c r="E1197" s="8" t="n"/>
      <c r="F1197" s="8" t="n"/>
      <c r="G1197" s="8" t="n"/>
      <c r="H1197" s="8" t="n">
        <v>9225</v>
      </c>
      <c r="I1197" s="8" t="n">
        <v>9155</v>
      </c>
      <c r="J1197" s="8" t="n">
        <v>9240</v>
      </c>
      <c r="K1197" s="8" t="n">
        <v>9130</v>
      </c>
      <c r="L1197" s="8" t="n">
        <v>609306</v>
      </c>
      <c r="M1197" s="8" t="n">
        <v>257920</v>
      </c>
      <c r="N1197" s="9" t="inlineStr">
        <is>
          <t>否</t>
        </is>
      </c>
      <c r="O1197" t="inlineStr">
        <is>
          <t>缺 PP</t>
        </is>
      </c>
    </row>
    <row r="1198">
      <c r="A1198" s="7" t="inlineStr">
        <is>
          <t>2012-06-13</t>
        </is>
      </c>
      <c r="B1198" s="8" t="n"/>
      <c r="C1198" s="8" t="n"/>
      <c r="D1198" s="8" t="n"/>
      <c r="E1198" s="8" t="n"/>
      <c r="F1198" s="8" t="n"/>
      <c r="G1198" s="8" t="n"/>
      <c r="H1198" s="8" t="n">
        <v>9325</v>
      </c>
      <c r="I1198" s="8" t="n">
        <v>9230</v>
      </c>
      <c r="J1198" s="8" t="n">
        <v>9345</v>
      </c>
      <c r="K1198" s="8" t="n">
        <v>9215</v>
      </c>
      <c r="L1198" s="8" t="n">
        <v>634476</v>
      </c>
      <c r="M1198" s="8" t="n">
        <v>259492</v>
      </c>
      <c r="N1198" s="9" t="inlineStr">
        <is>
          <t>否</t>
        </is>
      </c>
      <c r="O1198" t="inlineStr">
        <is>
          <t>缺 PP</t>
        </is>
      </c>
    </row>
    <row r="1199">
      <c r="A1199" s="7" t="inlineStr">
        <is>
          <t>2012-06-14</t>
        </is>
      </c>
      <c r="B1199" s="8" t="n"/>
      <c r="C1199" s="8" t="n"/>
      <c r="D1199" s="8" t="n"/>
      <c r="E1199" s="8" t="n"/>
      <c r="F1199" s="8" t="n"/>
      <c r="G1199" s="8" t="n"/>
      <c r="H1199" s="8" t="n">
        <v>9280</v>
      </c>
      <c r="I1199" s="8" t="n">
        <v>9300</v>
      </c>
      <c r="J1199" s="8" t="n">
        <v>9400</v>
      </c>
      <c r="K1199" s="8" t="n">
        <v>9230</v>
      </c>
      <c r="L1199" s="8" t="n">
        <v>715194</v>
      </c>
      <c r="M1199" s="8" t="n">
        <v>263776</v>
      </c>
      <c r="N1199" s="9" t="inlineStr">
        <is>
          <t>否</t>
        </is>
      </c>
      <c r="O1199" t="inlineStr">
        <is>
          <t>缺 PP</t>
        </is>
      </c>
    </row>
    <row r="1200">
      <c r="A1200" s="7" t="inlineStr">
        <is>
          <t>2012-06-15</t>
        </is>
      </c>
      <c r="B1200" s="8" t="n"/>
      <c r="C1200" s="8" t="n"/>
      <c r="D1200" s="8" t="n"/>
      <c r="E1200" s="8" t="n"/>
      <c r="F1200" s="8" t="n"/>
      <c r="G1200" s="8" t="n"/>
      <c r="H1200" s="8" t="n">
        <v>9400</v>
      </c>
      <c r="I1200" s="8" t="n">
        <v>9320</v>
      </c>
      <c r="J1200" s="8" t="n">
        <v>9405</v>
      </c>
      <c r="K1200" s="8" t="n">
        <v>9260</v>
      </c>
      <c r="L1200" s="8" t="n">
        <v>894248</v>
      </c>
      <c r="M1200" s="8" t="n">
        <v>239946</v>
      </c>
      <c r="N1200" s="9" t="inlineStr">
        <is>
          <t>否</t>
        </is>
      </c>
      <c r="O1200" t="inlineStr">
        <is>
          <t>缺 PP</t>
        </is>
      </c>
    </row>
    <row r="1201">
      <c r="A1201" s="7" t="inlineStr">
        <is>
          <t>2012-06-18</t>
        </is>
      </c>
      <c r="B1201" s="8" t="n"/>
      <c r="C1201" s="8" t="n"/>
      <c r="D1201" s="8" t="n"/>
      <c r="E1201" s="8" t="n"/>
      <c r="F1201" s="8" t="n"/>
      <c r="G1201" s="8" t="n"/>
      <c r="H1201" s="8" t="n">
        <v>9435</v>
      </c>
      <c r="I1201" s="8" t="n">
        <v>9450</v>
      </c>
      <c r="J1201" s="8" t="n">
        <v>9520</v>
      </c>
      <c r="K1201" s="8" t="n">
        <v>9400</v>
      </c>
      <c r="L1201" s="8" t="n">
        <v>566182</v>
      </c>
      <c r="M1201" s="8" t="n">
        <v>253662</v>
      </c>
      <c r="N1201" s="9" t="inlineStr">
        <is>
          <t>否</t>
        </is>
      </c>
      <c r="O1201" t="inlineStr">
        <is>
          <t>缺 PP</t>
        </is>
      </c>
    </row>
    <row r="1202">
      <c r="A1202" s="7" t="inlineStr">
        <is>
          <t>2012-06-19</t>
        </is>
      </c>
      <c r="B1202" s="8" t="n"/>
      <c r="C1202" s="8" t="n"/>
      <c r="D1202" s="8" t="n"/>
      <c r="E1202" s="8" t="n"/>
      <c r="F1202" s="8" t="n"/>
      <c r="G1202" s="8" t="n"/>
      <c r="H1202" s="8" t="n">
        <v>9445</v>
      </c>
      <c r="I1202" s="8" t="n">
        <v>9420</v>
      </c>
      <c r="J1202" s="8" t="n">
        <v>9510</v>
      </c>
      <c r="K1202" s="8" t="n">
        <v>9400</v>
      </c>
      <c r="L1202" s="8" t="n">
        <v>460608</v>
      </c>
      <c r="M1202" s="8" t="n">
        <v>229398</v>
      </c>
      <c r="N1202" s="9" t="inlineStr">
        <is>
          <t>否</t>
        </is>
      </c>
      <c r="O1202" t="inlineStr">
        <is>
          <t>缺 PP</t>
        </is>
      </c>
    </row>
    <row r="1203">
      <c r="A1203" s="7" t="inlineStr">
        <is>
          <t>2012-06-20</t>
        </is>
      </c>
      <c r="B1203" s="8" t="n"/>
      <c r="C1203" s="8" t="n"/>
      <c r="D1203" s="8" t="n"/>
      <c r="E1203" s="8" t="n"/>
      <c r="F1203" s="8" t="n"/>
      <c r="G1203" s="8" t="n"/>
      <c r="H1203" s="8" t="n">
        <v>9555</v>
      </c>
      <c r="I1203" s="8" t="n">
        <v>9500</v>
      </c>
      <c r="J1203" s="8" t="n">
        <v>9575</v>
      </c>
      <c r="K1203" s="8" t="n">
        <v>9435</v>
      </c>
      <c r="L1203" s="8" t="n">
        <v>524308</v>
      </c>
      <c r="M1203" s="8" t="n">
        <v>240002</v>
      </c>
      <c r="N1203" s="9" t="inlineStr">
        <is>
          <t>否</t>
        </is>
      </c>
      <c r="O1203" t="inlineStr">
        <is>
          <t>缺 PP</t>
        </is>
      </c>
    </row>
    <row r="1204">
      <c r="A1204" s="7" t="inlineStr">
        <is>
          <t>2012-06-21</t>
        </is>
      </c>
      <c r="B1204" s="8" t="n"/>
      <c r="C1204" s="8" t="n"/>
      <c r="D1204" s="8" t="n"/>
      <c r="E1204" s="8" t="n"/>
      <c r="F1204" s="8" t="n"/>
      <c r="G1204" s="8" t="n"/>
      <c r="H1204" s="8" t="n">
        <v>9400</v>
      </c>
      <c r="I1204" s="8" t="n">
        <v>9400</v>
      </c>
      <c r="J1204" s="8" t="n">
        <v>9435</v>
      </c>
      <c r="K1204" s="8" t="n">
        <v>9355</v>
      </c>
      <c r="L1204" s="8" t="n">
        <v>521310</v>
      </c>
      <c r="M1204" s="8" t="n">
        <v>235308</v>
      </c>
      <c r="N1204" s="9" t="inlineStr">
        <is>
          <t>否</t>
        </is>
      </c>
      <c r="O1204" t="inlineStr">
        <is>
          <t>缺 PP</t>
        </is>
      </c>
    </row>
    <row r="1205">
      <c r="A1205" s="7" t="inlineStr">
        <is>
          <t>2012-06-25</t>
        </is>
      </c>
      <c r="B1205" s="8" t="n"/>
      <c r="C1205" s="8" t="n"/>
      <c r="D1205" s="8" t="n"/>
      <c r="E1205" s="8" t="n"/>
      <c r="F1205" s="8" t="n"/>
      <c r="G1205" s="8" t="n"/>
      <c r="H1205" s="8" t="n">
        <v>9445</v>
      </c>
      <c r="I1205" s="8" t="n">
        <v>9350</v>
      </c>
      <c r="J1205" s="8" t="n">
        <v>9530</v>
      </c>
      <c r="K1205" s="8" t="n">
        <v>9300</v>
      </c>
      <c r="L1205" s="8" t="n">
        <v>611388</v>
      </c>
      <c r="M1205" s="8" t="n">
        <v>269650</v>
      </c>
      <c r="N1205" s="9" t="inlineStr">
        <is>
          <t>否</t>
        </is>
      </c>
      <c r="O1205" t="inlineStr">
        <is>
          <t>缺 PP</t>
        </is>
      </c>
    </row>
    <row r="1206">
      <c r="A1206" s="7" t="inlineStr">
        <is>
          <t>2012-06-26</t>
        </is>
      </c>
      <c r="B1206" s="8" t="n"/>
      <c r="C1206" s="8" t="n"/>
      <c r="D1206" s="8" t="n"/>
      <c r="E1206" s="8" t="n"/>
      <c r="F1206" s="8" t="n"/>
      <c r="G1206" s="8" t="n"/>
      <c r="H1206" s="8" t="n">
        <v>9410</v>
      </c>
      <c r="I1206" s="8" t="n">
        <v>9460</v>
      </c>
      <c r="J1206" s="8" t="n">
        <v>9520</v>
      </c>
      <c r="K1206" s="8" t="n">
        <v>9385</v>
      </c>
      <c r="L1206" s="8" t="n">
        <v>493648</v>
      </c>
      <c r="M1206" s="8" t="n">
        <v>241732</v>
      </c>
      <c r="N1206" s="9" t="inlineStr">
        <is>
          <t>否</t>
        </is>
      </c>
      <c r="O1206" t="inlineStr">
        <is>
          <t>缺 PP</t>
        </is>
      </c>
    </row>
    <row r="1207">
      <c r="A1207" s="7" t="inlineStr">
        <is>
          <t>2012-06-27</t>
        </is>
      </c>
      <c r="B1207" s="8" t="n"/>
      <c r="C1207" s="8" t="n"/>
      <c r="D1207" s="8" t="n"/>
      <c r="E1207" s="8" t="n"/>
      <c r="F1207" s="8" t="n"/>
      <c r="G1207" s="8" t="n"/>
      <c r="H1207" s="8" t="n">
        <v>9455</v>
      </c>
      <c r="I1207" s="8" t="n">
        <v>9420</v>
      </c>
      <c r="J1207" s="8" t="n">
        <v>9485</v>
      </c>
      <c r="K1207" s="8" t="n">
        <v>9415</v>
      </c>
      <c r="L1207" s="8" t="n">
        <v>389822</v>
      </c>
      <c r="M1207" s="8" t="n">
        <v>252548</v>
      </c>
      <c r="N1207" s="9" t="inlineStr">
        <is>
          <t>否</t>
        </is>
      </c>
      <c r="O1207" t="inlineStr">
        <is>
          <t>缺 PP</t>
        </is>
      </c>
    </row>
    <row r="1208">
      <c r="A1208" s="7" t="inlineStr">
        <is>
          <t>2012-06-28</t>
        </is>
      </c>
      <c r="B1208" s="8" t="n"/>
      <c r="C1208" s="8" t="n"/>
      <c r="D1208" s="8" t="n"/>
      <c r="E1208" s="8" t="n"/>
      <c r="F1208" s="8" t="n"/>
      <c r="G1208" s="8" t="n"/>
      <c r="H1208" s="8" t="n">
        <v>9615</v>
      </c>
      <c r="I1208" s="8" t="n">
        <v>9540</v>
      </c>
      <c r="J1208" s="8" t="n">
        <v>9625</v>
      </c>
      <c r="K1208" s="8" t="n">
        <v>9520</v>
      </c>
      <c r="L1208" s="8" t="n">
        <v>508918</v>
      </c>
      <c r="M1208" s="8" t="n">
        <v>264636</v>
      </c>
      <c r="N1208" s="9" t="inlineStr">
        <is>
          <t>否</t>
        </is>
      </c>
      <c r="O1208" t="inlineStr">
        <is>
          <t>缺 PP</t>
        </is>
      </c>
    </row>
    <row r="1209">
      <c r="A1209" s="7" t="inlineStr">
        <is>
          <t>2012-06-29</t>
        </is>
      </c>
      <c r="B1209" s="8" t="n"/>
      <c r="C1209" s="8" t="n"/>
      <c r="D1209" s="8" t="n"/>
      <c r="E1209" s="8" t="n"/>
      <c r="F1209" s="8" t="n"/>
      <c r="G1209" s="8" t="n"/>
      <c r="H1209" s="8" t="n">
        <v>9710</v>
      </c>
      <c r="I1209" s="8" t="n">
        <v>9580</v>
      </c>
      <c r="J1209" s="8" t="n">
        <v>9735</v>
      </c>
      <c r="K1209" s="8" t="n">
        <v>9550</v>
      </c>
      <c r="L1209" s="8" t="n">
        <v>602654</v>
      </c>
      <c r="M1209" s="8" t="n">
        <v>222010</v>
      </c>
      <c r="N1209" s="9" t="inlineStr">
        <is>
          <t>否</t>
        </is>
      </c>
      <c r="O1209" t="inlineStr">
        <is>
          <t>缺 PP</t>
        </is>
      </c>
    </row>
    <row r="1210">
      <c r="A1210" s="7" t="inlineStr">
        <is>
          <t>2012-07-02</t>
        </is>
      </c>
      <c r="B1210" s="8" t="n"/>
      <c r="C1210" s="8" t="n"/>
      <c r="D1210" s="8" t="n"/>
      <c r="E1210" s="8" t="n"/>
      <c r="F1210" s="8" t="n"/>
      <c r="G1210" s="8" t="n"/>
      <c r="H1210" s="8" t="n">
        <v>9830</v>
      </c>
      <c r="I1210" s="8" t="n">
        <v>9900</v>
      </c>
      <c r="J1210" s="8" t="n">
        <v>9945</v>
      </c>
      <c r="K1210" s="8" t="n">
        <v>9810</v>
      </c>
      <c r="L1210" s="8" t="n">
        <v>515408</v>
      </c>
      <c r="M1210" s="8" t="n">
        <v>241442</v>
      </c>
      <c r="N1210" s="9" t="inlineStr">
        <is>
          <t>否</t>
        </is>
      </c>
      <c r="O1210" t="inlineStr">
        <is>
          <t>缺 PP</t>
        </is>
      </c>
    </row>
    <row r="1211">
      <c r="A1211" s="7" t="inlineStr">
        <is>
          <t>2012-07-03</t>
        </is>
      </c>
      <c r="B1211" s="8" t="n"/>
      <c r="C1211" s="8" t="n"/>
      <c r="D1211" s="8" t="n"/>
      <c r="E1211" s="8" t="n"/>
      <c r="F1211" s="8" t="n"/>
      <c r="G1211" s="8" t="n"/>
      <c r="H1211" s="8" t="n">
        <v>9995</v>
      </c>
      <c r="I1211" s="8" t="n">
        <v>9835</v>
      </c>
      <c r="J1211" s="8" t="n">
        <v>9995</v>
      </c>
      <c r="K1211" s="8" t="n">
        <v>9790</v>
      </c>
      <c r="L1211" s="8" t="n">
        <v>578906</v>
      </c>
      <c r="M1211" s="8" t="n">
        <v>253450</v>
      </c>
      <c r="N1211" s="9" t="inlineStr">
        <is>
          <t>否</t>
        </is>
      </c>
      <c r="O1211" t="inlineStr">
        <is>
          <t>缺 PP</t>
        </is>
      </c>
    </row>
    <row r="1212">
      <c r="A1212" s="7" t="inlineStr">
        <is>
          <t>2012-07-04</t>
        </is>
      </c>
      <c r="B1212" s="8" t="n"/>
      <c r="C1212" s="8" t="n"/>
      <c r="D1212" s="8" t="n"/>
      <c r="E1212" s="8" t="n"/>
      <c r="F1212" s="8" t="n"/>
      <c r="G1212" s="8" t="n"/>
      <c r="H1212" s="8" t="n">
        <v>10000</v>
      </c>
      <c r="I1212" s="8" t="n">
        <v>10020</v>
      </c>
      <c r="J1212" s="8" t="n">
        <v>10130</v>
      </c>
      <c r="K1212" s="8" t="n">
        <v>9985</v>
      </c>
      <c r="L1212" s="8" t="n">
        <v>602770</v>
      </c>
      <c r="M1212" s="8" t="n">
        <v>234310</v>
      </c>
      <c r="N1212" s="9" t="inlineStr">
        <is>
          <t>否</t>
        </is>
      </c>
      <c r="O1212" t="inlineStr">
        <is>
          <t>缺 PP</t>
        </is>
      </c>
    </row>
    <row r="1213">
      <c r="A1213" s="7" t="inlineStr">
        <is>
          <t>2012-07-05</t>
        </is>
      </c>
      <c r="B1213" s="8" t="n"/>
      <c r="C1213" s="8" t="n"/>
      <c r="D1213" s="8" t="n"/>
      <c r="E1213" s="8" t="n"/>
      <c r="F1213" s="8" t="n"/>
      <c r="G1213" s="8" t="n"/>
      <c r="H1213" s="8" t="n">
        <v>10085</v>
      </c>
      <c r="I1213" s="8" t="n">
        <v>10005</v>
      </c>
      <c r="J1213" s="8" t="n">
        <v>10085</v>
      </c>
      <c r="K1213" s="8" t="n">
        <v>9940</v>
      </c>
      <c r="L1213" s="8" t="n">
        <v>577740</v>
      </c>
      <c r="M1213" s="8" t="n">
        <v>251118</v>
      </c>
      <c r="N1213" s="9" t="inlineStr">
        <is>
          <t>否</t>
        </is>
      </c>
      <c r="O1213" t="inlineStr">
        <is>
          <t>缺 PP</t>
        </is>
      </c>
    </row>
    <row r="1214">
      <c r="A1214" s="7" t="inlineStr">
        <is>
          <t>2012-07-06</t>
        </is>
      </c>
      <c r="B1214" s="8" t="n"/>
      <c r="C1214" s="8" t="n"/>
      <c r="D1214" s="8" t="n"/>
      <c r="E1214" s="8" t="n"/>
      <c r="F1214" s="8" t="n"/>
      <c r="G1214" s="8" t="n"/>
      <c r="H1214" s="8" t="n">
        <v>10135</v>
      </c>
      <c r="I1214" s="8" t="n">
        <v>10060</v>
      </c>
      <c r="J1214" s="8" t="n">
        <v>10160</v>
      </c>
      <c r="K1214" s="8" t="n">
        <v>10030</v>
      </c>
      <c r="L1214" s="8" t="n">
        <v>575904</v>
      </c>
      <c r="M1214" s="8" t="n">
        <v>256448</v>
      </c>
      <c r="N1214" s="9" t="inlineStr">
        <is>
          <t>否</t>
        </is>
      </c>
      <c r="O1214" t="inlineStr">
        <is>
          <t>缺 PP</t>
        </is>
      </c>
    </row>
    <row r="1215">
      <c r="A1215" s="7" t="inlineStr">
        <is>
          <t>2012-07-09</t>
        </is>
      </c>
      <c r="B1215" s="8" t="n"/>
      <c r="C1215" s="8" t="n"/>
      <c r="D1215" s="8" t="n"/>
      <c r="E1215" s="8" t="n"/>
      <c r="F1215" s="8" t="n"/>
      <c r="G1215" s="8" t="n"/>
      <c r="H1215" s="8" t="n">
        <v>10100</v>
      </c>
      <c r="I1215" s="8" t="n">
        <v>10050</v>
      </c>
      <c r="J1215" s="8" t="n">
        <v>10200</v>
      </c>
      <c r="K1215" s="8" t="n">
        <v>10045</v>
      </c>
      <c r="L1215" s="8" t="n">
        <v>514792</v>
      </c>
      <c r="M1215" s="8" t="n">
        <v>238536</v>
      </c>
      <c r="N1215" s="9" t="inlineStr">
        <is>
          <t>否</t>
        </is>
      </c>
      <c r="O1215" t="inlineStr">
        <is>
          <t>缺 PP</t>
        </is>
      </c>
    </row>
    <row r="1216">
      <c r="A1216" s="7" t="inlineStr">
        <is>
          <t>2012-07-10</t>
        </is>
      </c>
      <c r="B1216" s="8" t="n"/>
      <c r="C1216" s="8" t="n"/>
      <c r="D1216" s="8" t="n"/>
      <c r="E1216" s="8" t="n"/>
      <c r="F1216" s="8" t="n"/>
      <c r="G1216" s="8" t="n"/>
      <c r="H1216" s="8" t="n">
        <v>9975</v>
      </c>
      <c r="I1216" s="8" t="n">
        <v>10100</v>
      </c>
      <c r="J1216" s="8" t="n">
        <v>10150</v>
      </c>
      <c r="K1216" s="8" t="n">
        <v>9965</v>
      </c>
      <c r="L1216" s="8" t="n">
        <v>646674</v>
      </c>
      <c r="M1216" s="8" t="n">
        <v>238964</v>
      </c>
      <c r="N1216" s="9" t="inlineStr">
        <is>
          <t>否</t>
        </is>
      </c>
      <c r="O1216" t="inlineStr">
        <is>
          <t>缺 PP</t>
        </is>
      </c>
    </row>
    <row r="1217">
      <c r="A1217" s="7" t="inlineStr">
        <is>
          <t>2012-07-11</t>
        </is>
      </c>
      <c r="B1217" s="8" t="n"/>
      <c r="C1217" s="8" t="n"/>
      <c r="D1217" s="8" t="n"/>
      <c r="E1217" s="8" t="n"/>
      <c r="F1217" s="8" t="n"/>
      <c r="G1217" s="8" t="n"/>
      <c r="H1217" s="8" t="n">
        <v>9950</v>
      </c>
      <c r="I1217" s="8" t="n">
        <v>9970</v>
      </c>
      <c r="J1217" s="8" t="n">
        <v>9995</v>
      </c>
      <c r="K1217" s="8" t="n">
        <v>9900</v>
      </c>
      <c r="L1217" s="8" t="n">
        <v>402296</v>
      </c>
      <c r="M1217" s="8" t="n">
        <v>211176</v>
      </c>
      <c r="N1217" s="9" t="inlineStr">
        <is>
          <t>否</t>
        </is>
      </c>
      <c r="O1217" t="inlineStr">
        <is>
          <t>缺 PP</t>
        </is>
      </c>
    </row>
    <row r="1218">
      <c r="A1218" s="7" t="inlineStr">
        <is>
          <t>2012-07-12</t>
        </is>
      </c>
      <c r="B1218" s="8" t="n"/>
      <c r="C1218" s="8" t="n"/>
      <c r="D1218" s="8" t="n"/>
      <c r="E1218" s="8" t="n"/>
      <c r="F1218" s="8" t="n"/>
      <c r="G1218" s="8" t="n"/>
      <c r="H1218" s="8" t="n">
        <v>9965</v>
      </c>
      <c r="I1218" s="8" t="n">
        <v>9960</v>
      </c>
      <c r="J1218" s="8" t="n">
        <v>10025</v>
      </c>
      <c r="K1218" s="8" t="n">
        <v>9945</v>
      </c>
      <c r="L1218" s="8" t="n">
        <v>335526</v>
      </c>
      <c r="M1218" s="8" t="n">
        <v>211364</v>
      </c>
      <c r="N1218" s="9" t="inlineStr">
        <is>
          <t>否</t>
        </is>
      </c>
      <c r="O1218" t="inlineStr">
        <is>
          <t>缺 PP</t>
        </is>
      </c>
    </row>
    <row r="1219">
      <c r="A1219" s="7" t="inlineStr">
        <is>
          <t>2012-07-13</t>
        </is>
      </c>
      <c r="B1219" s="8" t="n"/>
      <c r="C1219" s="8" t="n"/>
      <c r="D1219" s="8" t="n"/>
      <c r="E1219" s="8" t="n"/>
      <c r="F1219" s="8" t="n"/>
      <c r="G1219" s="8" t="n"/>
      <c r="H1219" s="8" t="n">
        <v>10075</v>
      </c>
      <c r="I1219" s="8" t="n">
        <v>9990</v>
      </c>
      <c r="J1219" s="8" t="n">
        <v>10095</v>
      </c>
      <c r="K1219" s="8" t="n">
        <v>9930</v>
      </c>
      <c r="L1219" s="8" t="n">
        <v>400952</v>
      </c>
      <c r="M1219" s="8" t="n">
        <v>170546</v>
      </c>
      <c r="N1219" s="9" t="inlineStr">
        <is>
          <t>否</t>
        </is>
      </c>
      <c r="O1219" t="inlineStr">
        <is>
          <t>缺 PP</t>
        </is>
      </c>
    </row>
    <row r="1220">
      <c r="A1220" s="7" t="inlineStr">
        <is>
          <t>2012-07-16</t>
        </is>
      </c>
      <c r="B1220" s="8" t="n"/>
      <c r="C1220" s="8" t="n"/>
      <c r="D1220" s="8" t="n"/>
      <c r="E1220" s="8" t="n"/>
      <c r="F1220" s="8" t="n"/>
      <c r="G1220" s="8" t="n"/>
      <c r="H1220" s="8" t="n">
        <v>10205</v>
      </c>
      <c r="I1220" s="8" t="n">
        <v>10030</v>
      </c>
      <c r="J1220" s="8" t="n">
        <v>10275</v>
      </c>
      <c r="K1220" s="8" t="n">
        <v>10010</v>
      </c>
      <c r="L1220" s="8" t="n">
        <v>499270</v>
      </c>
      <c r="M1220" s="8" t="n">
        <v>174952</v>
      </c>
      <c r="N1220" s="9" t="inlineStr">
        <is>
          <t>否</t>
        </is>
      </c>
      <c r="O1220" t="inlineStr">
        <is>
          <t>缺 PP</t>
        </is>
      </c>
    </row>
    <row r="1221">
      <c r="A1221" s="7" t="inlineStr">
        <is>
          <t>2012-07-17</t>
        </is>
      </c>
      <c r="B1221" s="8" t="n"/>
      <c r="C1221" s="8" t="n"/>
      <c r="D1221" s="8" t="n"/>
      <c r="E1221" s="8" t="n"/>
      <c r="F1221" s="8" t="n"/>
      <c r="G1221" s="8" t="n"/>
      <c r="H1221" s="8" t="n">
        <v>10085</v>
      </c>
      <c r="I1221" s="8" t="n">
        <v>10300</v>
      </c>
      <c r="J1221" s="8" t="n">
        <v>10300</v>
      </c>
      <c r="K1221" s="8" t="n">
        <v>10050</v>
      </c>
      <c r="L1221" s="8" t="n">
        <v>763704</v>
      </c>
      <c r="M1221" s="8" t="n">
        <v>218536</v>
      </c>
      <c r="N1221" s="9" t="inlineStr">
        <is>
          <t>否</t>
        </is>
      </c>
      <c r="O1221" t="inlineStr">
        <is>
          <t>缺 PP</t>
        </is>
      </c>
    </row>
    <row r="1222">
      <c r="A1222" s="7" t="inlineStr">
        <is>
          <t>2012-07-18</t>
        </is>
      </c>
      <c r="B1222" s="8" t="n"/>
      <c r="C1222" s="8" t="n"/>
      <c r="D1222" s="8" t="n"/>
      <c r="E1222" s="8" t="n"/>
      <c r="F1222" s="8" t="n"/>
      <c r="G1222" s="8" t="n"/>
      <c r="H1222" s="8" t="n">
        <v>10050</v>
      </c>
      <c r="I1222" s="8" t="n">
        <v>10095</v>
      </c>
      <c r="J1222" s="8" t="n">
        <v>10140</v>
      </c>
      <c r="K1222" s="8" t="n">
        <v>10005</v>
      </c>
      <c r="L1222" s="8" t="n">
        <v>682966</v>
      </c>
      <c r="M1222" s="8" t="n">
        <v>226212</v>
      </c>
      <c r="N1222" s="9" t="inlineStr">
        <is>
          <t>否</t>
        </is>
      </c>
      <c r="O1222" t="inlineStr">
        <is>
          <t>缺 PP</t>
        </is>
      </c>
    </row>
    <row r="1223">
      <c r="A1223" s="7" t="inlineStr">
        <is>
          <t>2012-07-19</t>
        </is>
      </c>
      <c r="B1223" s="8" t="n"/>
      <c r="C1223" s="8" t="n"/>
      <c r="D1223" s="8" t="n"/>
      <c r="E1223" s="8" t="n"/>
      <c r="F1223" s="8" t="n"/>
      <c r="G1223" s="8" t="n"/>
      <c r="H1223" s="8" t="n">
        <v>10215</v>
      </c>
      <c r="I1223" s="8" t="n">
        <v>10120</v>
      </c>
      <c r="J1223" s="8" t="n">
        <v>10235</v>
      </c>
      <c r="K1223" s="8" t="n">
        <v>10090</v>
      </c>
      <c r="L1223" s="8" t="n">
        <v>544314</v>
      </c>
      <c r="M1223" s="8" t="n">
        <v>224696</v>
      </c>
      <c r="N1223" s="9" t="inlineStr">
        <is>
          <t>否</t>
        </is>
      </c>
      <c r="O1223" t="inlineStr">
        <is>
          <t>缺 PP</t>
        </is>
      </c>
    </row>
    <row r="1224">
      <c r="A1224" s="7" t="inlineStr">
        <is>
          <t>2012-07-20</t>
        </is>
      </c>
      <c r="B1224" s="8" t="n"/>
      <c r="C1224" s="8" t="n"/>
      <c r="D1224" s="8" t="n"/>
      <c r="E1224" s="8" t="n"/>
      <c r="F1224" s="8" t="n"/>
      <c r="G1224" s="8" t="n"/>
      <c r="H1224" s="8" t="n">
        <v>10100</v>
      </c>
      <c r="I1224" s="8" t="n">
        <v>10255</v>
      </c>
      <c r="J1224" s="8" t="n">
        <v>10275</v>
      </c>
      <c r="K1224" s="8" t="n">
        <v>10070</v>
      </c>
      <c r="L1224" s="8" t="n">
        <v>495384</v>
      </c>
      <c r="M1224" s="8" t="n">
        <v>211296</v>
      </c>
      <c r="N1224" s="9" t="inlineStr">
        <is>
          <t>否</t>
        </is>
      </c>
      <c r="O1224" t="inlineStr">
        <is>
          <t>缺 PP</t>
        </is>
      </c>
    </row>
    <row r="1225">
      <c r="A1225" s="7" t="inlineStr">
        <is>
          <t>2012-07-23</t>
        </is>
      </c>
      <c r="B1225" s="8" t="n"/>
      <c r="C1225" s="8" t="n"/>
      <c r="D1225" s="8" t="n"/>
      <c r="E1225" s="8" t="n"/>
      <c r="F1225" s="8" t="n"/>
      <c r="G1225" s="8" t="n"/>
      <c r="H1225" s="8" t="n">
        <v>9750</v>
      </c>
      <c r="I1225" s="8" t="n">
        <v>10030</v>
      </c>
      <c r="J1225" s="8" t="n">
        <v>10050</v>
      </c>
      <c r="K1225" s="8" t="n">
        <v>9750</v>
      </c>
      <c r="L1225" s="8" t="n">
        <v>602246</v>
      </c>
      <c r="M1225" s="8" t="n">
        <v>185902</v>
      </c>
      <c r="N1225" s="9" t="inlineStr">
        <is>
          <t>否</t>
        </is>
      </c>
      <c r="O1225" t="inlineStr">
        <is>
          <t>缺 PP</t>
        </is>
      </c>
    </row>
    <row r="1226">
      <c r="A1226" s="7" t="inlineStr">
        <is>
          <t>2012-07-24</t>
        </is>
      </c>
      <c r="B1226" s="8" t="n"/>
      <c r="C1226" s="8" t="n"/>
      <c r="D1226" s="8" t="n"/>
      <c r="E1226" s="8" t="n"/>
      <c r="F1226" s="8" t="n"/>
      <c r="G1226" s="8" t="n"/>
      <c r="H1226" s="8" t="n">
        <v>9715</v>
      </c>
      <c r="I1226" s="8" t="n">
        <v>9600</v>
      </c>
      <c r="J1226" s="8" t="n">
        <v>9785</v>
      </c>
      <c r="K1226" s="8" t="n">
        <v>9585</v>
      </c>
      <c r="L1226" s="8" t="n">
        <v>497584</v>
      </c>
      <c r="M1226" s="8" t="n">
        <v>182882</v>
      </c>
      <c r="N1226" s="9" t="inlineStr">
        <is>
          <t>否</t>
        </is>
      </c>
      <c r="O1226" t="inlineStr">
        <is>
          <t>缺 PP</t>
        </is>
      </c>
    </row>
    <row r="1227">
      <c r="A1227" s="7" t="inlineStr">
        <is>
          <t>2012-07-25</t>
        </is>
      </c>
      <c r="B1227" s="8" t="n"/>
      <c r="C1227" s="8" t="n"/>
      <c r="D1227" s="8" t="n"/>
      <c r="E1227" s="8" t="n"/>
      <c r="F1227" s="8" t="n"/>
      <c r="G1227" s="8" t="n"/>
      <c r="H1227" s="8" t="n">
        <v>9505</v>
      </c>
      <c r="I1227" s="8" t="n">
        <v>9660</v>
      </c>
      <c r="J1227" s="8" t="n">
        <v>9775</v>
      </c>
      <c r="K1227" s="8" t="n">
        <v>9505</v>
      </c>
      <c r="L1227" s="8" t="n">
        <v>651972</v>
      </c>
      <c r="M1227" s="8" t="n">
        <v>219872</v>
      </c>
      <c r="N1227" s="9" t="inlineStr">
        <is>
          <t>否</t>
        </is>
      </c>
      <c r="O1227" t="inlineStr">
        <is>
          <t>缺 PP</t>
        </is>
      </c>
    </row>
    <row r="1228">
      <c r="A1228" s="7" t="inlineStr">
        <is>
          <t>2012-07-26</t>
        </is>
      </c>
      <c r="B1228" s="8" t="n"/>
      <c r="C1228" s="8" t="n"/>
      <c r="D1228" s="8" t="n"/>
      <c r="E1228" s="8" t="n"/>
      <c r="F1228" s="8" t="n"/>
      <c r="G1228" s="8" t="n"/>
      <c r="H1228" s="8" t="n">
        <v>9580</v>
      </c>
      <c r="I1228" s="8" t="n">
        <v>9555</v>
      </c>
      <c r="J1228" s="8" t="n">
        <v>9645</v>
      </c>
      <c r="K1228" s="8" t="n">
        <v>9505</v>
      </c>
      <c r="L1228" s="8" t="n">
        <v>693876</v>
      </c>
      <c r="M1228" s="8" t="n">
        <v>204672</v>
      </c>
      <c r="N1228" s="9" t="inlineStr">
        <is>
          <t>否</t>
        </is>
      </c>
      <c r="O1228" t="inlineStr">
        <is>
          <t>缺 PP</t>
        </is>
      </c>
    </row>
    <row r="1229">
      <c r="A1229" s="7" t="inlineStr">
        <is>
          <t>2012-07-27</t>
        </is>
      </c>
      <c r="B1229" s="8" t="n"/>
      <c r="C1229" s="8" t="n"/>
      <c r="D1229" s="8" t="n"/>
      <c r="E1229" s="8" t="n"/>
      <c r="F1229" s="8" t="n"/>
      <c r="G1229" s="8" t="n"/>
      <c r="H1229" s="8" t="n">
        <v>9745</v>
      </c>
      <c r="I1229" s="8" t="n">
        <v>9640</v>
      </c>
      <c r="J1229" s="8" t="n">
        <v>9750</v>
      </c>
      <c r="K1229" s="8" t="n">
        <v>9585</v>
      </c>
      <c r="L1229" s="8" t="n">
        <v>594142</v>
      </c>
      <c r="M1229" s="8" t="n">
        <v>182246</v>
      </c>
      <c r="N1229" s="9" t="inlineStr">
        <is>
          <t>否</t>
        </is>
      </c>
      <c r="O1229" t="inlineStr">
        <is>
          <t>缺 PP</t>
        </is>
      </c>
    </row>
    <row r="1230">
      <c r="A1230" s="7" t="inlineStr">
        <is>
          <t>2012-07-30</t>
        </is>
      </c>
      <c r="B1230" s="8" t="n"/>
      <c r="C1230" s="8" t="n"/>
      <c r="D1230" s="8" t="n"/>
      <c r="E1230" s="8" t="n"/>
      <c r="F1230" s="8" t="n"/>
      <c r="G1230" s="8" t="n"/>
      <c r="H1230" s="8" t="n">
        <v>9675</v>
      </c>
      <c r="I1230" s="8" t="n">
        <v>9770</v>
      </c>
      <c r="J1230" s="8" t="n">
        <v>9820</v>
      </c>
      <c r="K1230" s="8" t="n">
        <v>9615</v>
      </c>
      <c r="L1230" s="8" t="n">
        <v>786876</v>
      </c>
      <c r="M1230" s="8" t="n">
        <v>216788</v>
      </c>
      <c r="N1230" s="9" t="inlineStr">
        <is>
          <t>否</t>
        </is>
      </c>
      <c r="O1230" t="inlineStr">
        <is>
          <t>缺 PP</t>
        </is>
      </c>
    </row>
    <row r="1231">
      <c r="A1231" s="7" t="inlineStr">
        <is>
          <t>2012-07-31</t>
        </is>
      </c>
      <c r="B1231" s="8" t="n"/>
      <c r="C1231" s="8" t="n"/>
      <c r="D1231" s="8" t="n"/>
      <c r="E1231" s="8" t="n"/>
      <c r="F1231" s="8" t="n"/>
      <c r="G1231" s="8" t="n"/>
      <c r="H1231" s="8" t="n">
        <v>9735</v>
      </c>
      <c r="I1231" s="8" t="n">
        <v>9680</v>
      </c>
      <c r="J1231" s="8" t="n">
        <v>9750</v>
      </c>
      <c r="K1231" s="8" t="n">
        <v>9635</v>
      </c>
      <c r="L1231" s="8" t="n">
        <v>720162</v>
      </c>
      <c r="M1231" s="8" t="n">
        <v>194712</v>
      </c>
      <c r="N1231" s="9" t="inlineStr">
        <is>
          <t>否</t>
        </is>
      </c>
      <c r="O1231" t="inlineStr">
        <is>
          <t>缺 PP</t>
        </is>
      </c>
    </row>
    <row r="1232">
      <c r="A1232" s="7" t="inlineStr">
        <is>
          <t>2012-08-01</t>
        </is>
      </c>
      <c r="B1232" s="8" t="n"/>
      <c r="C1232" s="8" t="n"/>
      <c r="D1232" s="8" t="n"/>
      <c r="E1232" s="8" t="n"/>
      <c r="F1232" s="8" t="n"/>
      <c r="G1232" s="8" t="n"/>
      <c r="H1232" s="8" t="n">
        <v>9690</v>
      </c>
      <c r="I1232" s="8" t="n">
        <v>9670</v>
      </c>
      <c r="J1232" s="8" t="n">
        <v>9830</v>
      </c>
      <c r="K1232" s="8" t="n">
        <v>9640</v>
      </c>
      <c r="L1232" s="8" t="n">
        <v>770486</v>
      </c>
      <c r="M1232" s="8" t="n">
        <v>190512</v>
      </c>
      <c r="N1232" s="9" t="inlineStr">
        <is>
          <t>否</t>
        </is>
      </c>
      <c r="O1232" t="inlineStr">
        <is>
          <t>缺 PP</t>
        </is>
      </c>
    </row>
    <row r="1233">
      <c r="A1233" s="7" t="inlineStr">
        <is>
          <t>2012-08-02</t>
        </is>
      </c>
      <c r="B1233" s="8" t="n"/>
      <c r="C1233" s="8" t="n"/>
      <c r="D1233" s="8" t="n"/>
      <c r="E1233" s="8" t="n"/>
      <c r="F1233" s="8" t="n"/>
      <c r="G1233" s="8" t="n"/>
      <c r="H1233" s="8" t="n">
        <v>9690</v>
      </c>
      <c r="I1233" s="8" t="n">
        <v>9680</v>
      </c>
      <c r="J1233" s="8" t="n">
        <v>9770</v>
      </c>
      <c r="K1233" s="8" t="n">
        <v>9640</v>
      </c>
      <c r="L1233" s="8" t="n">
        <v>639690</v>
      </c>
      <c r="M1233" s="8" t="n">
        <v>187674</v>
      </c>
      <c r="N1233" s="9" t="inlineStr">
        <is>
          <t>否</t>
        </is>
      </c>
      <c r="O1233" t="inlineStr">
        <is>
          <t>缺 PP</t>
        </is>
      </c>
    </row>
    <row r="1234">
      <c r="A1234" s="7" t="inlineStr">
        <is>
          <t>2012-08-03</t>
        </is>
      </c>
      <c r="B1234" s="8" t="n"/>
      <c r="C1234" s="8" t="n"/>
      <c r="D1234" s="8" t="n"/>
      <c r="E1234" s="8" t="n"/>
      <c r="F1234" s="8" t="n"/>
      <c r="G1234" s="8" t="n"/>
      <c r="H1234" s="8" t="n">
        <v>9745</v>
      </c>
      <c r="I1234" s="8" t="n">
        <v>9620</v>
      </c>
      <c r="J1234" s="8" t="n">
        <v>9750</v>
      </c>
      <c r="K1234" s="8" t="n">
        <v>9610</v>
      </c>
      <c r="L1234" s="8" t="n">
        <v>518752</v>
      </c>
      <c r="M1234" s="8" t="n">
        <v>217612</v>
      </c>
      <c r="N1234" s="9" t="inlineStr">
        <is>
          <t>否</t>
        </is>
      </c>
      <c r="O1234" t="inlineStr">
        <is>
          <t>缺 PP</t>
        </is>
      </c>
    </row>
    <row r="1235">
      <c r="A1235" s="7" t="inlineStr">
        <is>
          <t>2012-08-06</t>
        </is>
      </c>
      <c r="B1235" s="8" t="n"/>
      <c r="C1235" s="8" t="n"/>
      <c r="D1235" s="8" t="n"/>
      <c r="E1235" s="8" t="n"/>
      <c r="F1235" s="8" t="n"/>
      <c r="G1235" s="8" t="n"/>
      <c r="H1235" s="8" t="n">
        <v>9865</v>
      </c>
      <c r="I1235" s="8" t="n">
        <v>9870</v>
      </c>
      <c r="J1235" s="8" t="n">
        <v>9890</v>
      </c>
      <c r="K1235" s="8" t="n">
        <v>9805</v>
      </c>
      <c r="L1235" s="8" t="n">
        <v>556038</v>
      </c>
      <c r="M1235" s="8" t="n">
        <v>219104</v>
      </c>
      <c r="N1235" s="9" t="inlineStr">
        <is>
          <t>否</t>
        </is>
      </c>
      <c r="O1235" t="inlineStr">
        <is>
          <t>缺 PP</t>
        </is>
      </c>
    </row>
    <row r="1236">
      <c r="A1236" s="7" t="inlineStr">
        <is>
          <t>2012-08-07</t>
        </is>
      </c>
      <c r="B1236" s="8" t="n"/>
      <c r="C1236" s="8" t="n"/>
      <c r="D1236" s="8" t="n"/>
      <c r="E1236" s="8" t="n"/>
      <c r="F1236" s="8" t="n"/>
      <c r="G1236" s="8" t="n"/>
      <c r="H1236" s="8" t="n">
        <v>9955</v>
      </c>
      <c r="I1236" s="8" t="n">
        <v>9875</v>
      </c>
      <c r="J1236" s="8" t="n">
        <v>9970</v>
      </c>
      <c r="K1236" s="8" t="n">
        <v>9860</v>
      </c>
      <c r="L1236" s="8" t="n">
        <v>529848</v>
      </c>
      <c r="M1236" s="8" t="n">
        <v>204762</v>
      </c>
      <c r="N1236" s="9" t="inlineStr">
        <is>
          <t>否</t>
        </is>
      </c>
      <c r="O1236" t="inlineStr">
        <is>
          <t>缺 PP</t>
        </is>
      </c>
    </row>
    <row r="1237">
      <c r="A1237" s="7" t="inlineStr">
        <is>
          <t>2012-08-08</t>
        </is>
      </c>
      <c r="B1237" s="8" t="n"/>
      <c r="C1237" s="8" t="n"/>
      <c r="D1237" s="8" t="n"/>
      <c r="E1237" s="8" t="n"/>
      <c r="F1237" s="8" t="n"/>
      <c r="G1237" s="8" t="n"/>
      <c r="H1237" s="8" t="n">
        <v>9890</v>
      </c>
      <c r="I1237" s="8" t="n">
        <v>9980</v>
      </c>
      <c r="J1237" s="8" t="n">
        <v>9990</v>
      </c>
      <c r="K1237" s="8" t="n">
        <v>9875</v>
      </c>
      <c r="L1237" s="8" t="n">
        <v>521824</v>
      </c>
      <c r="M1237" s="8" t="n">
        <v>209022</v>
      </c>
      <c r="N1237" s="9" t="inlineStr">
        <is>
          <t>否</t>
        </is>
      </c>
      <c r="O1237" t="inlineStr">
        <is>
          <t>缺 PP</t>
        </is>
      </c>
    </row>
    <row r="1238">
      <c r="A1238" s="7" t="inlineStr">
        <is>
          <t>2012-08-09</t>
        </is>
      </c>
      <c r="B1238" s="8" t="n"/>
      <c r="C1238" s="8" t="n"/>
      <c r="D1238" s="8" t="n"/>
      <c r="E1238" s="8" t="n"/>
      <c r="F1238" s="8" t="n"/>
      <c r="G1238" s="8" t="n"/>
      <c r="H1238" s="8" t="n">
        <v>10045</v>
      </c>
      <c r="I1238" s="8" t="n">
        <v>9935</v>
      </c>
      <c r="J1238" s="8" t="n">
        <v>10060</v>
      </c>
      <c r="K1238" s="8" t="n">
        <v>9925</v>
      </c>
      <c r="L1238" s="8" t="n">
        <v>576342</v>
      </c>
      <c r="M1238" s="8" t="n">
        <v>225244</v>
      </c>
      <c r="N1238" s="9" t="inlineStr">
        <is>
          <t>否</t>
        </is>
      </c>
      <c r="O1238" t="inlineStr">
        <is>
          <t>缺 PP</t>
        </is>
      </c>
    </row>
    <row r="1239">
      <c r="A1239" s="7" t="inlineStr">
        <is>
          <t>2012-08-10</t>
        </is>
      </c>
      <c r="B1239" s="8" t="n"/>
      <c r="C1239" s="8" t="n"/>
      <c r="D1239" s="8" t="n"/>
      <c r="E1239" s="8" t="n"/>
      <c r="F1239" s="8" t="n"/>
      <c r="G1239" s="8" t="n"/>
      <c r="H1239" s="8" t="n">
        <v>9970</v>
      </c>
      <c r="I1239" s="8" t="n">
        <v>10025</v>
      </c>
      <c r="J1239" s="8" t="n">
        <v>10075</v>
      </c>
      <c r="K1239" s="8" t="n">
        <v>9940</v>
      </c>
      <c r="L1239" s="8" t="n">
        <v>588654</v>
      </c>
      <c r="M1239" s="8" t="n">
        <v>210632</v>
      </c>
      <c r="N1239" s="9" t="inlineStr">
        <is>
          <t>否</t>
        </is>
      </c>
      <c r="O1239" t="inlineStr">
        <is>
          <t>缺 PP</t>
        </is>
      </c>
    </row>
    <row r="1240">
      <c r="A1240" s="7" t="inlineStr">
        <is>
          <t>2012-08-13</t>
        </is>
      </c>
      <c r="B1240" s="8" t="n"/>
      <c r="C1240" s="8" t="n"/>
      <c r="D1240" s="8" t="n"/>
      <c r="E1240" s="8" t="n"/>
      <c r="F1240" s="8" t="n"/>
      <c r="G1240" s="8" t="n"/>
      <c r="H1240" s="8" t="n">
        <v>9925</v>
      </c>
      <c r="I1240" s="8" t="n">
        <v>10000</v>
      </c>
      <c r="J1240" s="8" t="n">
        <v>10035</v>
      </c>
      <c r="K1240" s="8" t="n">
        <v>9880</v>
      </c>
      <c r="L1240" s="8" t="n">
        <v>655584</v>
      </c>
      <c r="M1240" s="8" t="n">
        <v>210898</v>
      </c>
      <c r="N1240" s="9" t="inlineStr">
        <is>
          <t>否</t>
        </is>
      </c>
      <c r="O1240" t="inlineStr">
        <is>
          <t>缺 PP</t>
        </is>
      </c>
    </row>
    <row r="1241">
      <c r="A1241" s="7" t="inlineStr">
        <is>
          <t>2012-08-14</t>
        </is>
      </c>
      <c r="B1241" s="8" t="n"/>
      <c r="C1241" s="8" t="n"/>
      <c r="D1241" s="8" t="n"/>
      <c r="E1241" s="8" t="n"/>
      <c r="F1241" s="8" t="n"/>
      <c r="G1241" s="8" t="n"/>
      <c r="H1241" s="8" t="n">
        <v>10010</v>
      </c>
      <c r="I1241" s="8" t="n">
        <v>9935</v>
      </c>
      <c r="J1241" s="8" t="n">
        <v>10075</v>
      </c>
      <c r="K1241" s="8" t="n">
        <v>9840</v>
      </c>
      <c r="L1241" s="8" t="n">
        <v>1201400</v>
      </c>
      <c r="M1241" s="8" t="n">
        <v>263990</v>
      </c>
      <c r="N1241" s="9" t="inlineStr">
        <is>
          <t>否</t>
        </is>
      </c>
      <c r="O1241" t="inlineStr">
        <is>
          <t>缺 PP</t>
        </is>
      </c>
    </row>
    <row r="1242">
      <c r="A1242" s="7" t="inlineStr">
        <is>
          <t>2012-08-15</t>
        </is>
      </c>
      <c r="B1242" s="8" t="n"/>
      <c r="C1242" s="8" t="n"/>
      <c r="D1242" s="8" t="n"/>
      <c r="E1242" s="8" t="n"/>
      <c r="F1242" s="8" t="n"/>
      <c r="G1242" s="8" t="n"/>
      <c r="H1242" s="8" t="n">
        <v>9970</v>
      </c>
      <c r="I1242" s="8" t="n">
        <v>10000</v>
      </c>
      <c r="J1242" s="8" t="n">
        <v>10040</v>
      </c>
      <c r="K1242" s="8" t="n">
        <v>9920</v>
      </c>
      <c r="L1242" s="8" t="n">
        <v>811248</v>
      </c>
      <c r="M1242" s="8" t="n">
        <v>221674</v>
      </c>
      <c r="N1242" s="9" t="inlineStr">
        <is>
          <t>否</t>
        </is>
      </c>
      <c r="O1242" t="inlineStr">
        <is>
          <t>缺 PP</t>
        </is>
      </c>
    </row>
    <row r="1243">
      <c r="A1243" s="7" t="inlineStr">
        <is>
          <t>2012-08-16</t>
        </is>
      </c>
      <c r="B1243" s="8" t="n"/>
      <c r="C1243" s="8" t="n"/>
      <c r="D1243" s="8" t="n"/>
      <c r="E1243" s="8" t="n"/>
      <c r="F1243" s="8" t="n"/>
      <c r="G1243" s="8" t="n"/>
      <c r="H1243" s="8" t="n">
        <v>10015</v>
      </c>
      <c r="I1243" s="8" t="n">
        <v>10035</v>
      </c>
      <c r="J1243" s="8" t="n">
        <v>10100</v>
      </c>
      <c r="K1243" s="8" t="n">
        <v>9990</v>
      </c>
      <c r="L1243" s="8" t="n">
        <v>744296</v>
      </c>
      <c r="M1243" s="8" t="n">
        <v>251458</v>
      </c>
      <c r="N1243" s="9" t="inlineStr">
        <is>
          <t>否</t>
        </is>
      </c>
      <c r="O1243" t="inlineStr">
        <is>
          <t>缺 PP</t>
        </is>
      </c>
    </row>
    <row r="1244">
      <c r="A1244" s="7" t="inlineStr">
        <is>
          <t>2012-08-17</t>
        </is>
      </c>
      <c r="B1244" s="8" t="n"/>
      <c r="C1244" s="8" t="n"/>
      <c r="D1244" s="8" t="n"/>
      <c r="E1244" s="8" t="n"/>
      <c r="F1244" s="8" t="n"/>
      <c r="G1244" s="8" t="n"/>
      <c r="H1244" s="8" t="n">
        <v>10125</v>
      </c>
      <c r="I1244" s="8" t="n">
        <v>10085</v>
      </c>
      <c r="J1244" s="8" t="n">
        <v>10155</v>
      </c>
      <c r="K1244" s="8" t="n">
        <v>10055</v>
      </c>
      <c r="L1244" s="8" t="n">
        <v>660578</v>
      </c>
      <c r="M1244" s="8" t="n">
        <v>278078</v>
      </c>
      <c r="N1244" s="9" t="inlineStr">
        <is>
          <t>否</t>
        </is>
      </c>
      <c r="O1244" t="inlineStr">
        <is>
          <t>缺 PP</t>
        </is>
      </c>
    </row>
    <row r="1245">
      <c r="A1245" s="7" t="inlineStr">
        <is>
          <t>2012-08-20</t>
        </is>
      </c>
      <c r="B1245" s="8" t="n"/>
      <c r="C1245" s="8" t="n"/>
      <c r="D1245" s="8" t="n"/>
      <c r="E1245" s="8" t="n"/>
      <c r="F1245" s="8" t="n"/>
      <c r="G1245" s="8" t="n"/>
      <c r="H1245" s="8" t="n">
        <v>10055</v>
      </c>
      <c r="I1245" s="8" t="n">
        <v>10155</v>
      </c>
      <c r="J1245" s="8" t="n">
        <v>10155</v>
      </c>
      <c r="K1245" s="8" t="n">
        <v>10035</v>
      </c>
      <c r="L1245" s="8" t="n">
        <v>511012</v>
      </c>
      <c r="M1245" s="8" t="n">
        <v>278882</v>
      </c>
      <c r="N1245" s="9" t="inlineStr">
        <is>
          <t>否</t>
        </is>
      </c>
      <c r="O1245" t="inlineStr">
        <is>
          <t>缺 PP</t>
        </is>
      </c>
    </row>
    <row r="1246">
      <c r="A1246" s="7" t="inlineStr">
        <is>
          <t>2012-08-21</t>
        </is>
      </c>
      <c r="B1246" s="8" t="n"/>
      <c r="C1246" s="8" t="n"/>
      <c r="D1246" s="8" t="n"/>
      <c r="E1246" s="8" t="n"/>
      <c r="F1246" s="8" t="n"/>
      <c r="G1246" s="8" t="n"/>
      <c r="H1246" s="8" t="n">
        <v>10090</v>
      </c>
      <c r="I1246" s="8" t="n">
        <v>10080</v>
      </c>
      <c r="J1246" s="8" t="n">
        <v>10115</v>
      </c>
      <c r="K1246" s="8" t="n">
        <v>10020</v>
      </c>
      <c r="L1246" s="8" t="n">
        <v>624868</v>
      </c>
      <c r="M1246" s="8" t="n">
        <v>256318</v>
      </c>
      <c r="N1246" s="9" t="inlineStr">
        <is>
          <t>否</t>
        </is>
      </c>
      <c r="O1246" t="inlineStr">
        <is>
          <t>缺 PP</t>
        </is>
      </c>
    </row>
    <row r="1247">
      <c r="A1247" s="7" t="inlineStr">
        <is>
          <t>2012-08-22</t>
        </is>
      </c>
      <c r="B1247" s="8" t="n"/>
      <c r="C1247" s="8" t="n"/>
      <c r="D1247" s="8" t="n"/>
      <c r="E1247" s="8" t="n"/>
      <c r="F1247" s="8" t="n"/>
      <c r="G1247" s="8" t="n"/>
      <c r="H1247" s="8" t="n">
        <v>9950</v>
      </c>
      <c r="I1247" s="8" t="n">
        <v>10095</v>
      </c>
      <c r="J1247" s="8" t="n">
        <v>10120</v>
      </c>
      <c r="K1247" s="8" t="n">
        <v>9920</v>
      </c>
      <c r="L1247" s="8" t="n">
        <v>633742</v>
      </c>
      <c r="M1247" s="8" t="n">
        <v>288146</v>
      </c>
      <c r="N1247" s="9" t="inlineStr">
        <is>
          <t>否</t>
        </is>
      </c>
      <c r="O1247" t="inlineStr">
        <is>
          <t>缺 PP</t>
        </is>
      </c>
    </row>
    <row r="1248">
      <c r="A1248" s="7" t="inlineStr">
        <is>
          <t>2012-08-23</t>
        </is>
      </c>
      <c r="B1248" s="8" t="n"/>
      <c r="C1248" s="8" t="n"/>
      <c r="D1248" s="8" t="n"/>
      <c r="E1248" s="8" t="n"/>
      <c r="F1248" s="8" t="n"/>
      <c r="G1248" s="8" t="n"/>
      <c r="H1248" s="8" t="n">
        <v>10040</v>
      </c>
      <c r="I1248" s="8" t="n">
        <v>9980</v>
      </c>
      <c r="J1248" s="8" t="n">
        <v>10080</v>
      </c>
      <c r="K1248" s="8" t="n">
        <v>9955</v>
      </c>
      <c r="L1248" s="8" t="n">
        <v>692292</v>
      </c>
      <c r="M1248" s="8" t="n">
        <v>226298</v>
      </c>
      <c r="N1248" s="9" t="inlineStr">
        <is>
          <t>否</t>
        </is>
      </c>
      <c r="O1248" t="inlineStr">
        <is>
          <t>缺 PP</t>
        </is>
      </c>
    </row>
    <row r="1249">
      <c r="A1249" s="7" t="inlineStr">
        <is>
          <t>2012-08-24</t>
        </is>
      </c>
      <c r="B1249" s="8" t="n"/>
      <c r="C1249" s="8" t="n"/>
      <c r="D1249" s="8" t="n"/>
      <c r="E1249" s="8" t="n"/>
      <c r="F1249" s="8" t="n"/>
      <c r="G1249" s="8" t="n"/>
      <c r="H1249" s="8" t="n">
        <v>9915</v>
      </c>
      <c r="I1249" s="8" t="n">
        <v>9985</v>
      </c>
      <c r="J1249" s="8" t="n">
        <v>9990</v>
      </c>
      <c r="K1249" s="8" t="n">
        <v>9890</v>
      </c>
      <c r="L1249" s="8" t="n">
        <v>661176</v>
      </c>
      <c r="M1249" s="8" t="n">
        <v>237666</v>
      </c>
      <c r="N1249" s="9" t="inlineStr">
        <is>
          <t>否</t>
        </is>
      </c>
      <c r="O1249" t="inlineStr">
        <is>
          <t>缺 PP</t>
        </is>
      </c>
    </row>
    <row r="1250">
      <c r="A1250" s="7" t="inlineStr">
        <is>
          <t>2012-08-27</t>
        </is>
      </c>
      <c r="B1250" s="8" t="n"/>
      <c r="C1250" s="8" t="n"/>
      <c r="D1250" s="8" t="n"/>
      <c r="E1250" s="8" t="n"/>
      <c r="F1250" s="8" t="n"/>
      <c r="G1250" s="8" t="n"/>
      <c r="H1250" s="8" t="n">
        <v>10005</v>
      </c>
      <c r="I1250" s="8" t="n">
        <v>9985</v>
      </c>
      <c r="J1250" s="8" t="n">
        <v>10065</v>
      </c>
      <c r="K1250" s="8" t="n">
        <v>9965</v>
      </c>
      <c r="L1250" s="8" t="n">
        <v>538158</v>
      </c>
      <c r="M1250" s="8" t="n">
        <v>213606</v>
      </c>
      <c r="N1250" s="9" t="inlineStr">
        <is>
          <t>否</t>
        </is>
      </c>
      <c r="O1250" t="inlineStr">
        <is>
          <t>缺 PP</t>
        </is>
      </c>
    </row>
    <row r="1251">
      <c r="A1251" s="7" t="inlineStr">
        <is>
          <t>2012-08-28</t>
        </is>
      </c>
      <c r="B1251" s="8" t="n"/>
      <c r="C1251" s="8" t="n"/>
      <c r="D1251" s="8" t="n"/>
      <c r="E1251" s="8" t="n"/>
      <c r="F1251" s="8" t="n"/>
      <c r="G1251" s="8" t="n"/>
      <c r="H1251" s="8" t="n">
        <v>9910</v>
      </c>
      <c r="I1251" s="8" t="n">
        <v>9950</v>
      </c>
      <c r="J1251" s="8" t="n">
        <v>9965</v>
      </c>
      <c r="K1251" s="8" t="n">
        <v>9825</v>
      </c>
      <c r="L1251" s="8" t="n">
        <v>742760</v>
      </c>
      <c r="M1251" s="8" t="n">
        <v>250088</v>
      </c>
      <c r="N1251" s="9" t="inlineStr">
        <is>
          <t>否</t>
        </is>
      </c>
      <c r="O1251" t="inlineStr">
        <is>
          <t>缺 PP</t>
        </is>
      </c>
    </row>
    <row r="1252">
      <c r="A1252" s="7" t="inlineStr">
        <is>
          <t>2012-08-29</t>
        </is>
      </c>
      <c r="B1252" s="8" t="n"/>
      <c r="C1252" s="8" t="n"/>
      <c r="D1252" s="8" t="n"/>
      <c r="E1252" s="8" t="n"/>
      <c r="F1252" s="8" t="n"/>
      <c r="G1252" s="8" t="n"/>
      <c r="H1252" s="8" t="n">
        <v>9935</v>
      </c>
      <c r="I1252" s="8" t="n">
        <v>9915</v>
      </c>
      <c r="J1252" s="8" t="n">
        <v>9970</v>
      </c>
      <c r="K1252" s="8" t="n">
        <v>9855</v>
      </c>
      <c r="L1252" s="8" t="n">
        <v>575860</v>
      </c>
      <c r="M1252" s="8" t="n">
        <v>225706</v>
      </c>
      <c r="N1252" s="9" t="inlineStr">
        <is>
          <t>否</t>
        </is>
      </c>
      <c r="O1252" t="inlineStr">
        <is>
          <t>缺 PP</t>
        </is>
      </c>
    </row>
    <row r="1253">
      <c r="A1253" s="7" t="inlineStr">
        <is>
          <t>2012-08-30</t>
        </is>
      </c>
      <c r="B1253" s="8" t="n"/>
      <c r="C1253" s="8" t="n"/>
      <c r="D1253" s="8" t="n"/>
      <c r="E1253" s="8" t="n"/>
      <c r="F1253" s="8" t="n"/>
      <c r="G1253" s="8" t="n"/>
      <c r="H1253" s="8" t="n">
        <v>10025</v>
      </c>
      <c r="I1253" s="8" t="n">
        <v>9910</v>
      </c>
      <c r="J1253" s="8" t="n">
        <v>10050</v>
      </c>
      <c r="K1253" s="8" t="n">
        <v>9870</v>
      </c>
      <c r="L1253" s="8" t="n">
        <v>584128</v>
      </c>
      <c r="M1253" s="8" t="n">
        <v>226008</v>
      </c>
      <c r="N1253" s="9" t="inlineStr">
        <is>
          <t>否</t>
        </is>
      </c>
      <c r="O1253" t="inlineStr">
        <is>
          <t>缺 PP</t>
        </is>
      </c>
    </row>
    <row r="1254">
      <c r="A1254" s="7" t="inlineStr">
        <is>
          <t>2012-08-31</t>
        </is>
      </c>
      <c r="B1254" s="8" t="n"/>
      <c r="C1254" s="8" t="n"/>
      <c r="D1254" s="8" t="n"/>
      <c r="E1254" s="8" t="n"/>
      <c r="F1254" s="8" t="n"/>
      <c r="G1254" s="8" t="n"/>
      <c r="H1254" s="8" t="n">
        <v>10090</v>
      </c>
      <c r="I1254" s="8" t="n">
        <v>10000</v>
      </c>
      <c r="J1254" s="8" t="n">
        <v>10130</v>
      </c>
      <c r="K1254" s="8" t="n">
        <v>9980</v>
      </c>
      <c r="L1254" s="8" t="n">
        <v>611976</v>
      </c>
      <c r="M1254" s="8" t="n">
        <v>229640</v>
      </c>
      <c r="N1254" s="9" t="inlineStr">
        <is>
          <t>否</t>
        </is>
      </c>
      <c r="O1254" t="inlineStr">
        <is>
          <t>缺 PP</t>
        </is>
      </c>
    </row>
    <row r="1255">
      <c r="A1255" s="7" t="inlineStr">
        <is>
          <t>2012-09-03</t>
        </is>
      </c>
      <c r="B1255" s="8" t="n"/>
      <c r="C1255" s="8" t="n"/>
      <c r="D1255" s="8" t="n"/>
      <c r="E1255" s="8" t="n"/>
      <c r="F1255" s="8" t="n"/>
      <c r="G1255" s="8" t="n"/>
      <c r="H1255" s="8" t="n">
        <v>10200</v>
      </c>
      <c r="I1255" s="8" t="n">
        <v>10100</v>
      </c>
      <c r="J1255" s="8" t="n">
        <v>10220</v>
      </c>
      <c r="K1255" s="8" t="n">
        <v>10090</v>
      </c>
      <c r="L1255" s="8" t="n">
        <v>425268</v>
      </c>
      <c r="M1255" s="8" t="n">
        <v>231070</v>
      </c>
      <c r="N1255" s="9" t="inlineStr">
        <is>
          <t>否</t>
        </is>
      </c>
      <c r="O1255" t="inlineStr">
        <is>
          <t>缺 PP</t>
        </is>
      </c>
    </row>
    <row r="1256">
      <c r="A1256" s="7" t="inlineStr">
        <is>
          <t>2012-09-04</t>
        </is>
      </c>
      <c r="B1256" s="8" t="n"/>
      <c r="C1256" s="8" t="n"/>
      <c r="D1256" s="8" t="n"/>
      <c r="E1256" s="8" t="n"/>
      <c r="F1256" s="8" t="n"/>
      <c r="G1256" s="8" t="n"/>
      <c r="H1256" s="8" t="n">
        <v>10195</v>
      </c>
      <c r="I1256" s="8" t="n">
        <v>10230</v>
      </c>
      <c r="J1256" s="8" t="n">
        <v>10330</v>
      </c>
      <c r="K1256" s="8" t="n">
        <v>10160</v>
      </c>
      <c r="L1256" s="8" t="n">
        <v>658884</v>
      </c>
      <c r="M1256" s="8" t="n">
        <v>241354</v>
      </c>
      <c r="N1256" s="9" t="inlineStr">
        <is>
          <t>否</t>
        </is>
      </c>
      <c r="O1256" t="inlineStr">
        <is>
          <t>缺 PP</t>
        </is>
      </c>
    </row>
    <row r="1257">
      <c r="A1257" s="7" t="inlineStr">
        <is>
          <t>2012-09-05</t>
        </is>
      </c>
      <c r="B1257" s="8" t="n"/>
      <c r="C1257" s="8" t="n"/>
      <c r="D1257" s="8" t="n"/>
      <c r="E1257" s="8" t="n"/>
      <c r="F1257" s="8" t="n"/>
      <c r="G1257" s="8" t="n"/>
      <c r="H1257" s="8" t="n">
        <v>10170</v>
      </c>
      <c r="I1257" s="8" t="n">
        <v>10170</v>
      </c>
      <c r="J1257" s="8" t="n">
        <v>10190</v>
      </c>
      <c r="K1257" s="8" t="n">
        <v>10110</v>
      </c>
      <c r="L1257" s="8" t="n">
        <v>377944</v>
      </c>
      <c r="M1257" s="8" t="n">
        <v>229922</v>
      </c>
      <c r="N1257" s="9" t="inlineStr">
        <is>
          <t>否</t>
        </is>
      </c>
      <c r="O1257" t="inlineStr">
        <is>
          <t>缺 PP</t>
        </is>
      </c>
    </row>
    <row r="1258">
      <c r="A1258" s="7" t="inlineStr">
        <is>
          <t>2012-09-06</t>
        </is>
      </c>
      <c r="B1258" s="8" t="n"/>
      <c r="C1258" s="8" t="n"/>
      <c r="D1258" s="8" t="n"/>
      <c r="E1258" s="8" t="n"/>
      <c r="F1258" s="8" t="n"/>
      <c r="G1258" s="8" t="n"/>
      <c r="H1258" s="8" t="n">
        <v>10235</v>
      </c>
      <c r="I1258" s="8" t="n">
        <v>10210</v>
      </c>
      <c r="J1258" s="8" t="n">
        <v>10270</v>
      </c>
      <c r="K1258" s="8" t="n">
        <v>10180</v>
      </c>
      <c r="L1258" s="8" t="n">
        <v>443528</v>
      </c>
      <c r="M1258" s="8" t="n">
        <v>217094</v>
      </c>
      <c r="N1258" s="9" t="inlineStr">
        <is>
          <t>否</t>
        </is>
      </c>
      <c r="O1258" t="inlineStr">
        <is>
          <t>缺 PP</t>
        </is>
      </c>
    </row>
    <row r="1259">
      <c r="A1259" s="7" t="inlineStr">
        <is>
          <t>2012-09-07</t>
        </is>
      </c>
      <c r="B1259" s="8" t="n"/>
      <c r="C1259" s="8" t="n"/>
      <c r="D1259" s="8" t="n"/>
      <c r="E1259" s="8" t="n"/>
      <c r="F1259" s="8" t="n"/>
      <c r="G1259" s="8" t="n"/>
      <c r="H1259" s="8" t="n">
        <v>10220</v>
      </c>
      <c r="I1259" s="8" t="n">
        <v>10180</v>
      </c>
      <c r="J1259" s="8" t="n">
        <v>10275</v>
      </c>
      <c r="K1259" s="8" t="n">
        <v>10180</v>
      </c>
      <c r="L1259" s="8" t="n">
        <v>465276</v>
      </c>
      <c r="M1259" s="8" t="n">
        <v>204122</v>
      </c>
      <c r="N1259" s="9" t="inlineStr">
        <is>
          <t>否</t>
        </is>
      </c>
      <c r="O1259" t="inlineStr">
        <is>
          <t>缺 PP</t>
        </is>
      </c>
    </row>
    <row r="1260">
      <c r="A1260" s="7" t="inlineStr">
        <is>
          <t>2012-09-10</t>
        </is>
      </c>
      <c r="B1260" s="8" t="n"/>
      <c r="C1260" s="8" t="n"/>
      <c r="D1260" s="8" t="n"/>
      <c r="E1260" s="8" t="n"/>
      <c r="F1260" s="8" t="n"/>
      <c r="G1260" s="8" t="n"/>
      <c r="H1260" s="8" t="n">
        <v>10365</v>
      </c>
      <c r="I1260" s="8" t="n">
        <v>10290</v>
      </c>
      <c r="J1260" s="8" t="n">
        <v>10370</v>
      </c>
      <c r="K1260" s="8" t="n">
        <v>10255</v>
      </c>
      <c r="L1260" s="8" t="n">
        <v>398622</v>
      </c>
      <c r="M1260" s="8" t="n">
        <v>241958</v>
      </c>
      <c r="N1260" s="9" t="inlineStr">
        <is>
          <t>否</t>
        </is>
      </c>
      <c r="O1260" t="inlineStr">
        <is>
          <t>缺 PP</t>
        </is>
      </c>
    </row>
    <row r="1261">
      <c r="A1261" s="7" t="inlineStr">
        <is>
          <t>2012-09-11</t>
        </is>
      </c>
      <c r="B1261" s="8" t="n"/>
      <c r="C1261" s="8" t="n"/>
      <c r="D1261" s="8" t="n"/>
      <c r="E1261" s="8" t="n"/>
      <c r="F1261" s="8" t="n"/>
      <c r="G1261" s="8" t="n"/>
      <c r="H1261" s="8" t="n">
        <v>10380</v>
      </c>
      <c r="I1261" s="8" t="n">
        <v>10345</v>
      </c>
      <c r="J1261" s="8" t="n">
        <v>10390</v>
      </c>
      <c r="K1261" s="8" t="n">
        <v>10305</v>
      </c>
      <c r="L1261" s="8" t="n">
        <v>301836</v>
      </c>
      <c r="M1261" s="8" t="n">
        <v>231672</v>
      </c>
      <c r="N1261" s="9" t="inlineStr">
        <is>
          <t>否</t>
        </is>
      </c>
      <c r="O1261" t="inlineStr">
        <is>
          <t>缺 PP</t>
        </is>
      </c>
    </row>
    <row r="1262">
      <c r="A1262" s="7" t="inlineStr">
        <is>
          <t>2012-09-12</t>
        </is>
      </c>
      <c r="B1262" s="8" t="n"/>
      <c r="C1262" s="8" t="n"/>
      <c r="D1262" s="8" t="n"/>
      <c r="E1262" s="8" t="n"/>
      <c r="F1262" s="8" t="n"/>
      <c r="G1262" s="8" t="n"/>
      <c r="H1262" s="8" t="n">
        <v>10430</v>
      </c>
      <c r="I1262" s="8" t="n">
        <v>10400</v>
      </c>
      <c r="J1262" s="8" t="n">
        <v>10445</v>
      </c>
      <c r="K1262" s="8" t="n">
        <v>10365</v>
      </c>
      <c r="L1262" s="8" t="n">
        <v>265330</v>
      </c>
      <c r="M1262" s="8" t="n">
        <v>232538</v>
      </c>
      <c r="N1262" s="9" t="inlineStr">
        <is>
          <t>否</t>
        </is>
      </c>
      <c r="O1262" t="inlineStr">
        <is>
          <t>缺 PP</t>
        </is>
      </c>
    </row>
    <row r="1263">
      <c r="A1263" s="7" t="inlineStr">
        <is>
          <t>2012-09-13</t>
        </is>
      </c>
      <c r="B1263" s="8" t="n"/>
      <c r="C1263" s="8" t="n"/>
      <c r="D1263" s="8" t="n"/>
      <c r="E1263" s="8" t="n"/>
      <c r="F1263" s="8" t="n"/>
      <c r="G1263" s="8" t="n"/>
      <c r="H1263" s="8" t="n">
        <v>10365</v>
      </c>
      <c r="I1263" s="8" t="n">
        <v>10430</v>
      </c>
      <c r="J1263" s="8" t="n">
        <v>10440</v>
      </c>
      <c r="K1263" s="8" t="n">
        <v>10345</v>
      </c>
      <c r="L1263" s="8" t="n">
        <v>232184</v>
      </c>
      <c r="M1263" s="8" t="n">
        <v>212120</v>
      </c>
      <c r="N1263" s="9" t="inlineStr">
        <is>
          <t>否</t>
        </is>
      </c>
      <c r="O1263" t="inlineStr">
        <is>
          <t>缺 PP</t>
        </is>
      </c>
    </row>
    <row r="1264">
      <c r="A1264" s="7" t="inlineStr">
        <is>
          <t>2012-09-14</t>
        </is>
      </c>
      <c r="B1264" s="8" t="n"/>
      <c r="C1264" s="8" t="n"/>
      <c r="D1264" s="8" t="n"/>
      <c r="E1264" s="8" t="n"/>
      <c r="F1264" s="8" t="n"/>
      <c r="G1264" s="8" t="n"/>
      <c r="H1264" s="8" t="n">
        <v>10800</v>
      </c>
      <c r="I1264" s="8" t="n">
        <v>10530</v>
      </c>
      <c r="J1264" s="8" t="n">
        <v>10800</v>
      </c>
      <c r="K1264" s="8" t="n">
        <v>10530</v>
      </c>
      <c r="L1264" s="8" t="n">
        <v>513432</v>
      </c>
      <c r="M1264" s="8" t="n">
        <v>271746</v>
      </c>
      <c r="N1264" s="9" t="inlineStr">
        <is>
          <t>否</t>
        </is>
      </c>
      <c r="O1264" t="inlineStr">
        <is>
          <t>缺 PP</t>
        </is>
      </c>
    </row>
    <row r="1265">
      <c r="A1265" s="7" t="inlineStr">
        <is>
          <t>2012-09-17</t>
        </is>
      </c>
      <c r="B1265" s="8" t="n"/>
      <c r="C1265" s="8" t="n"/>
      <c r="D1265" s="8" t="n"/>
      <c r="E1265" s="8" t="n"/>
      <c r="F1265" s="8" t="n"/>
      <c r="G1265" s="8" t="n"/>
      <c r="H1265" s="8" t="n">
        <v>10980</v>
      </c>
      <c r="I1265" s="8" t="n">
        <v>10810</v>
      </c>
      <c r="J1265" s="8" t="n">
        <v>11120</v>
      </c>
      <c r="K1265" s="8" t="n">
        <v>10790</v>
      </c>
      <c r="L1265" s="8" t="n">
        <v>986082</v>
      </c>
      <c r="M1265" s="8" t="n">
        <v>296838</v>
      </c>
      <c r="N1265" s="9" t="inlineStr">
        <is>
          <t>否</t>
        </is>
      </c>
      <c r="O1265" t="inlineStr">
        <is>
          <t>缺 PP</t>
        </is>
      </c>
    </row>
    <row r="1266">
      <c r="A1266" s="7" t="inlineStr">
        <is>
          <t>2012-09-18</t>
        </is>
      </c>
      <c r="B1266" s="8" t="n"/>
      <c r="C1266" s="8" t="n"/>
      <c r="D1266" s="8" t="n"/>
      <c r="E1266" s="8" t="n"/>
      <c r="F1266" s="8" t="n"/>
      <c r="G1266" s="8" t="n"/>
      <c r="H1266" s="8" t="n">
        <v>10860</v>
      </c>
      <c r="I1266" s="8" t="n">
        <v>10830</v>
      </c>
      <c r="J1266" s="8" t="n">
        <v>10980</v>
      </c>
      <c r="K1266" s="8" t="n">
        <v>10805</v>
      </c>
      <c r="L1266" s="8" t="n">
        <v>520158</v>
      </c>
      <c r="M1266" s="8" t="n">
        <v>269152</v>
      </c>
      <c r="N1266" s="9" t="inlineStr">
        <is>
          <t>否</t>
        </is>
      </c>
      <c r="O1266" t="inlineStr">
        <is>
          <t>缺 PP</t>
        </is>
      </c>
    </row>
    <row r="1267">
      <c r="A1267" s="7" t="inlineStr">
        <is>
          <t>2012-09-19</t>
        </is>
      </c>
      <c r="B1267" s="8" t="n"/>
      <c r="C1267" s="8" t="n"/>
      <c r="D1267" s="8" t="n"/>
      <c r="E1267" s="8" t="n"/>
      <c r="F1267" s="8" t="n"/>
      <c r="G1267" s="8" t="n"/>
      <c r="H1267" s="8" t="n">
        <v>10890</v>
      </c>
      <c r="I1267" s="8" t="n">
        <v>10890</v>
      </c>
      <c r="J1267" s="8" t="n">
        <v>10910</v>
      </c>
      <c r="K1267" s="8" t="n">
        <v>10790</v>
      </c>
      <c r="L1267" s="8" t="n">
        <v>439044</v>
      </c>
      <c r="M1267" s="8" t="n">
        <v>277012</v>
      </c>
      <c r="N1267" s="9" t="inlineStr">
        <is>
          <t>否</t>
        </is>
      </c>
      <c r="O1267" t="inlineStr">
        <is>
          <t>缺 PP</t>
        </is>
      </c>
    </row>
    <row r="1268">
      <c r="A1268" s="7" t="inlineStr">
        <is>
          <t>2012-09-20</t>
        </is>
      </c>
      <c r="B1268" s="8" t="n"/>
      <c r="C1268" s="8" t="n"/>
      <c r="D1268" s="8" t="n"/>
      <c r="E1268" s="8" t="n"/>
      <c r="F1268" s="8" t="n"/>
      <c r="G1268" s="8" t="n"/>
      <c r="H1268" s="8" t="n">
        <v>10680</v>
      </c>
      <c r="I1268" s="8" t="n">
        <v>10760</v>
      </c>
      <c r="J1268" s="8" t="n">
        <v>10795</v>
      </c>
      <c r="K1268" s="8" t="n">
        <v>10665</v>
      </c>
      <c r="L1268" s="8" t="n">
        <v>492774</v>
      </c>
      <c r="M1268" s="8" t="n">
        <v>264014</v>
      </c>
      <c r="N1268" s="9" t="inlineStr">
        <is>
          <t>否</t>
        </is>
      </c>
      <c r="O1268" t="inlineStr">
        <is>
          <t>缺 PP</t>
        </is>
      </c>
    </row>
    <row r="1269">
      <c r="A1269" s="7" t="inlineStr">
        <is>
          <t>2012-09-21</t>
        </is>
      </c>
      <c r="B1269" s="8" t="n"/>
      <c r="C1269" s="8" t="n"/>
      <c r="D1269" s="8" t="n"/>
      <c r="E1269" s="8" t="n"/>
      <c r="F1269" s="8" t="n"/>
      <c r="G1269" s="8" t="n"/>
      <c r="H1269" s="8" t="n">
        <v>10760</v>
      </c>
      <c r="I1269" s="8" t="n">
        <v>10770</v>
      </c>
      <c r="J1269" s="8" t="n">
        <v>10880</v>
      </c>
      <c r="K1269" s="8" t="n">
        <v>10720</v>
      </c>
      <c r="L1269" s="8" t="n">
        <v>595522</v>
      </c>
      <c r="M1269" s="8" t="n">
        <v>285218</v>
      </c>
      <c r="N1269" s="9" t="inlineStr">
        <is>
          <t>否</t>
        </is>
      </c>
      <c r="O1269" t="inlineStr">
        <is>
          <t>缺 PP</t>
        </is>
      </c>
    </row>
    <row r="1270">
      <c r="A1270" s="7" t="inlineStr">
        <is>
          <t>2012-09-24</t>
        </is>
      </c>
      <c r="B1270" s="8" t="n"/>
      <c r="C1270" s="8" t="n"/>
      <c r="D1270" s="8" t="n"/>
      <c r="E1270" s="8" t="n"/>
      <c r="F1270" s="8" t="n"/>
      <c r="G1270" s="8" t="n"/>
      <c r="H1270" s="8" t="n">
        <v>10645</v>
      </c>
      <c r="I1270" s="8" t="n">
        <v>10700</v>
      </c>
      <c r="J1270" s="8" t="n">
        <v>10750</v>
      </c>
      <c r="K1270" s="8" t="n">
        <v>10635</v>
      </c>
      <c r="L1270" s="8" t="n">
        <v>418876</v>
      </c>
      <c r="M1270" s="8" t="n">
        <v>260810</v>
      </c>
      <c r="N1270" s="9" t="inlineStr">
        <is>
          <t>否</t>
        </is>
      </c>
      <c r="O1270" t="inlineStr">
        <is>
          <t>缺 PP</t>
        </is>
      </c>
    </row>
    <row r="1271">
      <c r="A1271" s="7" t="inlineStr">
        <is>
          <t>2012-09-25</t>
        </is>
      </c>
      <c r="B1271" s="8" t="n"/>
      <c r="C1271" s="8" t="n"/>
      <c r="D1271" s="8" t="n"/>
      <c r="E1271" s="8" t="n"/>
      <c r="F1271" s="8" t="n"/>
      <c r="G1271" s="8" t="n"/>
      <c r="H1271" s="8" t="n">
        <v>10635</v>
      </c>
      <c r="I1271" s="8" t="n">
        <v>10680</v>
      </c>
      <c r="J1271" s="8" t="n">
        <v>10710</v>
      </c>
      <c r="K1271" s="8" t="n">
        <v>10565</v>
      </c>
      <c r="L1271" s="8" t="n">
        <v>389276</v>
      </c>
      <c r="M1271" s="8" t="n">
        <v>242086</v>
      </c>
      <c r="N1271" s="9" t="inlineStr">
        <is>
          <t>否</t>
        </is>
      </c>
      <c r="O1271" t="inlineStr">
        <is>
          <t>缺 PP</t>
        </is>
      </c>
    </row>
    <row r="1272">
      <c r="A1272" s="7" t="inlineStr">
        <is>
          <t>2012-09-26</t>
        </is>
      </c>
      <c r="B1272" s="8" t="n"/>
      <c r="C1272" s="8" t="n"/>
      <c r="D1272" s="8" t="n"/>
      <c r="E1272" s="8" t="n"/>
      <c r="F1272" s="8" t="n"/>
      <c r="G1272" s="8" t="n"/>
      <c r="H1272" s="8" t="n">
        <v>10620</v>
      </c>
      <c r="I1272" s="8" t="n">
        <v>10590</v>
      </c>
      <c r="J1272" s="8" t="n">
        <v>10675</v>
      </c>
      <c r="K1272" s="8" t="n">
        <v>10570</v>
      </c>
      <c r="L1272" s="8" t="n">
        <v>309004</v>
      </c>
      <c r="M1272" s="8" t="n">
        <v>228328</v>
      </c>
      <c r="N1272" s="9" t="inlineStr">
        <is>
          <t>否</t>
        </is>
      </c>
      <c r="O1272" t="inlineStr">
        <is>
          <t>缺 PP</t>
        </is>
      </c>
    </row>
    <row r="1273">
      <c r="A1273" s="7" t="inlineStr">
        <is>
          <t>2012-09-27</t>
        </is>
      </c>
      <c r="B1273" s="8" t="n"/>
      <c r="C1273" s="8" t="n"/>
      <c r="D1273" s="8" t="n"/>
      <c r="E1273" s="8" t="n"/>
      <c r="F1273" s="8" t="n"/>
      <c r="G1273" s="8" t="n"/>
      <c r="H1273" s="8" t="n">
        <v>10640</v>
      </c>
      <c r="I1273" s="8" t="n">
        <v>10605</v>
      </c>
      <c r="J1273" s="8" t="n">
        <v>10680</v>
      </c>
      <c r="K1273" s="8" t="n">
        <v>10520</v>
      </c>
      <c r="L1273" s="8" t="n">
        <v>332836</v>
      </c>
      <c r="M1273" s="8" t="n">
        <v>192052</v>
      </c>
      <c r="N1273" s="9" t="inlineStr">
        <is>
          <t>否</t>
        </is>
      </c>
      <c r="O1273" t="inlineStr">
        <is>
          <t>缺 PP</t>
        </is>
      </c>
    </row>
    <row r="1274">
      <c r="A1274" s="7" t="inlineStr">
        <is>
          <t>2012-09-28</t>
        </is>
      </c>
      <c r="B1274" s="8" t="n"/>
      <c r="C1274" s="8" t="n"/>
      <c r="D1274" s="8" t="n"/>
      <c r="E1274" s="8" t="n"/>
      <c r="F1274" s="8" t="n"/>
      <c r="G1274" s="8" t="n"/>
      <c r="H1274" s="8" t="n">
        <v>10625</v>
      </c>
      <c r="I1274" s="8" t="n">
        <v>10700</v>
      </c>
      <c r="J1274" s="8" t="n">
        <v>10715</v>
      </c>
      <c r="K1274" s="8" t="n">
        <v>10625</v>
      </c>
      <c r="L1274" s="8" t="n">
        <v>176574</v>
      </c>
      <c r="M1274" s="8" t="n">
        <v>0</v>
      </c>
      <c r="N1274" s="9" t="inlineStr">
        <is>
          <t>否</t>
        </is>
      </c>
      <c r="O1274" t="inlineStr">
        <is>
          <t>缺 PP</t>
        </is>
      </c>
    </row>
    <row r="1275">
      <c r="A1275" s="7" t="inlineStr">
        <is>
          <t>2012-10-08</t>
        </is>
      </c>
      <c r="B1275" s="8" t="n"/>
      <c r="C1275" s="8" t="n"/>
      <c r="D1275" s="8" t="n"/>
      <c r="E1275" s="8" t="n"/>
      <c r="F1275" s="8" t="n"/>
      <c r="G1275" s="8" t="n"/>
      <c r="H1275" s="8" t="n">
        <v>10345</v>
      </c>
      <c r="I1275" s="8" t="n">
        <v>10565</v>
      </c>
      <c r="J1275" s="8" t="n">
        <v>10590</v>
      </c>
      <c r="K1275" s="8" t="n">
        <v>10345</v>
      </c>
      <c r="L1275" s="8" t="n">
        <v>326746</v>
      </c>
      <c r="M1275" s="8" t="n">
        <v>175846</v>
      </c>
      <c r="N1275" s="9" t="inlineStr">
        <is>
          <t>否</t>
        </is>
      </c>
      <c r="O1275" t="inlineStr">
        <is>
          <t>缺 PP</t>
        </is>
      </c>
    </row>
    <row r="1276">
      <c r="A1276" s="7" t="inlineStr">
        <is>
          <t>2012-10-09</t>
        </is>
      </c>
      <c r="B1276" s="8" t="n"/>
      <c r="C1276" s="8" t="n"/>
      <c r="D1276" s="8" t="n"/>
      <c r="E1276" s="8" t="n"/>
      <c r="F1276" s="8" t="n"/>
      <c r="G1276" s="8" t="n"/>
      <c r="H1276" s="8" t="n">
        <v>10435</v>
      </c>
      <c r="I1276" s="8" t="n">
        <v>10390</v>
      </c>
      <c r="J1276" s="8" t="n">
        <v>10520</v>
      </c>
      <c r="K1276" s="8" t="n">
        <v>10365</v>
      </c>
      <c r="L1276" s="8" t="n">
        <v>573504</v>
      </c>
      <c r="M1276" s="8" t="n">
        <v>206376</v>
      </c>
      <c r="N1276" s="9" t="inlineStr">
        <is>
          <t>否</t>
        </is>
      </c>
      <c r="O1276" t="inlineStr">
        <is>
          <t>缺 PP</t>
        </is>
      </c>
    </row>
    <row r="1277">
      <c r="A1277" s="7" t="inlineStr">
        <is>
          <t>2012-10-10</t>
        </is>
      </c>
      <c r="B1277" s="8" t="n"/>
      <c r="C1277" s="8" t="n"/>
      <c r="D1277" s="8" t="n"/>
      <c r="E1277" s="8" t="n"/>
      <c r="F1277" s="8" t="n"/>
      <c r="G1277" s="8" t="n"/>
      <c r="H1277" s="8" t="n">
        <v>10425</v>
      </c>
      <c r="I1277" s="8" t="n">
        <v>10460</v>
      </c>
      <c r="J1277" s="8" t="n">
        <v>10490</v>
      </c>
      <c r="K1277" s="8" t="n">
        <v>10405</v>
      </c>
      <c r="L1277" s="8" t="n">
        <v>357220</v>
      </c>
      <c r="M1277" s="8" t="n">
        <v>198730</v>
      </c>
      <c r="N1277" s="9" t="inlineStr">
        <is>
          <t>否</t>
        </is>
      </c>
      <c r="O1277" t="inlineStr">
        <is>
          <t>缺 PP</t>
        </is>
      </c>
    </row>
    <row r="1278">
      <c r="A1278" s="7" t="inlineStr">
        <is>
          <t>2012-10-11</t>
        </is>
      </c>
      <c r="B1278" s="8" t="n"/>
      <c r="C1278" s="8" t="n"/>
      <c r="D1278" s="8" t="n"/>
      <c r="E1278" s="8" t="n"/>
      <c r="F1278" s="8" t="n"/>
      <c r="G1278" s="8" t="n"/>
      <c r="H1278" s="8" t="n">
        <v>10365</v>
      </c>
      <c r="I1278" s="8" t="n">
        <v>10350</v>
      </c>
      <c r="J1278" s="8" t="n">
        <v>10420</v>
      </c>
      <c r="K1278" s="8" t="n">
        <v>10305</v>
      </c>
      <c r="L1278" s="8" t="n">
        <v>394102</v>
      </c>
      <c r="M1278" s="8" t="n">
        <v>205580</v>
      </c>
      <c r="N1278" s="9" t="inlineStr">
        <is>
          <t>否</t>
        </is>
      </c>
      <c r="O1278" t="inlineStr">
        <is>
          <t>缺 PP</t>
        </is>
      </c>
    </row>
    <row r="1279">
      <c r="A1279" s="7" t="inlineStr">
        <is>
          <t>2012-10-12</t>
        </is>
      </c>
      <c r="B1279" s="8" t="n"/>
      <c r="C1279" s="8" t="n"/>
      <c r="D1279" s="8" t="n"/>
      <c r="E1279" s="8" t="n"/>
      <c r="F1279" s="8" t="n"/>
      <c r="G1279" s="8" t="n"/>
      <c r="H1279" s="8" t="n">
        <v>10380</v>
      </c>
      <c r="I1279" s="8" t="n">
        <v>10420</v>
      </c>
      <c r="J1279" s="8" t="n">
        <v>10550</v>
      </c>
      <c r="K1279" s="8" t="n">
        <v>10350</v>
      </c>
      <c r="L1279" s="8" t="n">
        <v>643100</v>
      </c>
      <c r="M1279" s="8" t="n">
        <v>198992</v>
      </c>
      <c r="N1279" s="9" t="inlineStr">
        <is>
          <t>否</t>
        </is>
      </c>
      <c r="O1279" t="inlineStr">
        <is>
          <t>缺 PP</t>
        </is>
      </c>
    </row>
    <row r="1280">
      <c r="A1280" s="7" t="inlineStr">
        <is>
          <t>2012-10-15</t>
        </is>
      </c>
      <c r="B1280" s="8" t="n"/>
      <c r="C1280" s="8" t="n"/>
      <c r="D1280" s="8" t="n"/>
      <c r="E1280" s="8" t="n"/>
      <c r="F1280" s="8" t="n"/>
      <c r="G1280" s="8" t="n"/>
      <c r="H1280" s="8" t="n">
        <v>10190</v>
      </c>
      <c r="I1280" s="8" t="n">
        <v>10250</v>
      </c>
      <c r="J1280" s="8" t="n">
        <v>10320</v>
      </c>
      <c r="K1280" s="8" t="n">
        <v>10165</v>
      </c>
      <c r="L1280" s="8" t="n">
        <v>474772</v>
      </c>
      <c r="M1280" s="8" t="n">
        <v>210906</v>
      </c>
      <c r="N1280" s="9" t="inlineStr">
        <is>
          <t>否</t>
        </is>
      </c>
      <c r="O1280" t="inlineStr">
        <is>
          <t>缺 PP</t>
        </is>
      </c>
    </row>
    <row r="1281">
      <c r="A1281" s="7" t="inlineStr">
        <is>
          <t>2012-10-16</t>
        </is>
      </c>
      <c r="B1281" s="8" t="n"/>
      <c r="C1281" s="8" t="n"/>
      <c r="D1281" s="8" t="n"/>
      <c r="E1281" s="8" t="n"/>
      <c r="F1281" s="8" t="n"/>
      <c r="G1281" s="8" t="n"/>
      <c r="H1281" s="8" t="n">
        <v>10210</v>
      </c>
      <c r="I1281" s="8" t="n">
        <v>10230</v>
      </c>
      <c r="J1281" s="8" t="n">
        <v>10260</v>
      </c>
      <c r="K1281" s="8" t="n">
        <v>10140</v>
      </c>
      <c r="L1281" s="8" t="n">
        <v>426028</v>
      </c>
      <c r="M1281" s="8" t="n">
        <v>189662</v>
      </c>
      <c r="N1281" s="9" t="inlineStr">
        <is>
          <t>否</t>
        </is>
      </c>
      <c r="O1281" t="inlineStr">
        <is>
          <t>缺 PP</t>
        </is>
      </c>
    </row>
    <row r="1282">
      <c r="A1282" s="7" t="inlineStr">
        <is>
          <t>2012-10-17</t>
        </is>
      </c>
      <c r="B1282" s="8" t="n"/>
      <c r="C1282" s="8" t="n"/>
      <c r="D1282" s="8" t="n"/>
      <c r="E1282" s="8" t="n"/>
      <c r="F1282" s="8" t="n"/>
      <c r="G1282" s="8" t="n"/>
      <c r="H1282" s="8" t="n">
        <v>10210</v>
      </c>
      <c r="I1282" s="8" t="n">
        <v>10240</v>
      </c>
      <c r="J1282" s="8" t="n">
        <v>10280</v>
      </c>
      <c r="K1282" s="8" t="n">
        <v>10160</v>
      </c>
      <c r="L1282" s="8" t="n">
        <v>375328</v>
      </c>
      <c r="M1282" s="8" t="n">
        <v>194546</v>
      </c>
      <c r="N1282" s="9" t="inlineStr">
        <is>
          <t>否</t>
        </is>
      </c>
      <c r="O1282" t="inlineStr">
        <is>
          <t>缺 PP</t>
        </is>
      </c>
    </row>
    <row r="1283">
      <c r="A1283" s="7" t="inlineStr">
        <is>
          <t>2012-10-18</t>
        </is>
      </c>
      <c r="B1283" s="8" t="n"/>
      <c r="C1283" s="8" t="n"/>
      <c r="D1283" s="8" t="n"/>
      <c r="E1283" s="8" t="n"/>
      <c r="F1283" s="8" t="n"/>
      <c r="G1283" s="8" t="n"/>
      <c r="H1283" s="8" t="n">
        <v>10300</v>
      </c>
      <c r="I1283" s="8" t="n">
        <v>10230</v>
      </c>
      <c r="J1283" s="8" t="n">
        <v>10320</v>
      </c>
      <c r="K1283" s="8" t="n">
        <v>10220</v>
      </c>
      <c r="L1283" s="8" t="n">
        <v>322290</v>
      </c>
      <c r="M1283" s="8" t="n">
        <v>192338</v>
      </c>
      <c r="N1283" s="9" t="inlineStr">
        <is>
          <t>否</t>
        </is>
      </c>
      <c r="O1283" t="inlineStr">
        <is>
          <t>缺 PP</t>
        </is>
      </c>
    </row>
    <row r="1284">
      <c r="A1284" s="7" t="inlineStr">
        <is>
          <t>2012-10-19</t>
        </is>
      </c>
      <c r="B1284" s="8" t="n"/>
      <c r="C1284" s="8" t="n"/>
      <c r="D1284" s="8" t="n"/>
      <c r="E1284" s="8" t="n"/>
      <c r="F1284" s="8" t="n"/>
      <c r="G1284" s="8" t="n"/>
      <c r="H1284" s="8" t="n">
        <v>10220</v>
      </c>
      <c r="I1284" s="8" t="n">
        <v>10300</v>
      </c>
      <c r="J1284" s="8" t="n">
        <v>10315</v>
      </c>
      <c r="K1284" s="8" t="n">
        <v>10215</v>
      </c>
      <c r="L1284" s="8" t="n">
        <v>311342</v>
      </c>
      <c r="M1284" s="8" t="n">
        <v>205714</v>
      </c>
      <c r="N1284" s="9" t="inlineStr">
        <is>
          <t>否</t>
        </is>
      </c>
      <c r="O1284" t="inlineStr">
        <is>
          <t>缺 PP</t>
        </is>
      </c>
    </row>
    <row r="1285">
      <c r="A1285" s="7" t="inlineStr">
        <is>
          <t>2012-10-22</t>
        </is>
      </c>
      <c r="B1285" s="8" t="n"/>
      <c r="C1285" s="8" t="n"/>
      <c r="D1285" s="8" t="n"/>
      <c r="E1285" s="8" t="n"/>
      <c r="F1285" s="8" t="n"/>
      <c r="G1285" s="8" t="n"/>
      <c r="H1285" s="8" t="n">
        <v>10215</v>
      </c>
      <c r="I1285" s="8" t="n">
        <v>10150</v>
      </c>
      <c r="J1285" s="8" t="n">
        <v>10240</v>
      </c>
      <c r="K1285" s="8" t="n">
        <v>10110</v>
      </c>
      <c r="L1285" s="8" t="n">
        <v>271582</v>
      </c>
      <c r="M1285" s="8" t="n">
        <v>210728</v>
      </c>
      <c r="N1285" s="9" t="inlineStr">
        <is>
          <t>否</t>
        </is>
      </c>
      <c r="O1285" t="inlineStr">
        <is>
          <t>缺 PP</t>
        </is>
      </c>
    </row>
    <row r="1286">
      <c r="A1286" s="7" t="inlineStr">
        <is>
          <t>2012-10-23</t>
        </is>
      </c>
      <c r="B1286" s="8" t="n"/>
      <c r="C1286" s="8" t="n"/>
      <c r="D1286" s="8" t="n"/>
      <c r="E1286" s="8" t="n"/>
      <c r="F1286" s="8" t="n"/>
      <c r="G1286" s="8" t="n"/>
      <c r="H1286" s="8" t="n">
        <v>10225</v>
      </c>
      <c r="I1286" s="8" t="n">
        <v>10205</v>
      </c>
      <c r="J1286" s="8" t="n">
        <v>10310</v>
      </c>
      <c r="K1286" s="8" t="n">
        <v>10185</v>
      </c>
      <c r="L1286" s="8" t="n">
        <v>524940</v>
      </c>
      <c r="M1286" s="8" t="n">
        <v>216400</v>
      </c>
      <c r="N1286" s="9" t="inlineStr">
        <is>
          <t>否</t>
        </is>
      </c>
      <c r="O1286" t="inlineStr">
        <is>
          <t>缺 PP</t>
        </is>
      </c>
    </row>
    <row r="1287">
      <c r="A1287" s="7" t="inlineStr">
        <is>
          <t>2012-10-24</t>
        </is>
      </c>
      <c r="B1287" s="8" t="n"/>
      <c r="C1287" s="8" t="n"/>
      <c r="D1287" s="8" t="n"/>
      <c r="E1287" s="8" t="n"/>
      <c r="F1287" s="8" t="n"/>
      <c r="G1287" s="8" t="n"/>
      <c r="H1287" s="8" t="n">
        <v>10385</v>
      </c>
      <c r="I1287" s="8" t="n">
        <v>10190</v>
      </c>
      <c r="J1287" s="8" t="n">
        <v>10390</v>
      </c>
      <c r="K1287" s="8" t="n">
        <v>10155</v>
      </c>
      <c r="L1287" s="8" t="n">
        <v>595618</v>
      </c>
      <c r="M1287" s="8" t="n">
        <v>250036</v>
      </c>
      <c r="N1287" s="9" t="inlineStr">
        <is>
          <t>否</t>
        </is>
      </c>
      <c r="O1287" t="inlineStr">
        <is>
          <t>缺 PP</t>
        </is>
      </c>
    </row>
    <row r="1288">
      <c r="A1288" s="7" t="inlineStr">
        <is>
          <t>2012-10-25</t>
        </is>
      </c>
      <c r="B1288" s="8" t="n"/>
      <c r="C1288" s="8" t="n"/>
      <c r="D1288" s="8" t="n"/>
      <c r="E1288" s="8" t="n"/>
      <c r="F1288" s="8" t="n"/>
      <c r="G1288" s="8" t="n"/>
      <c r="H1288" s="8" t="n">
        <v>10335</v>
      </c>
      <c r="I1288" s="8" t="n">
        <v>10370</v>
      </c>
      <c r="J1288" s="8" t="n">
        <v>10380</v>
      </c>
      <c r="K1288" s="8" t="n">
        <v>10295</v>
      </c>
      <c r="L1288" s="8" t="n">
        <v>356738</v>
      </c>
      <c r="M1288" s="8" t="n">
        <v>222396</v>
      </c>
      <c r="N1288" s="9" t="inlineStr">
        <is>
          <t>否</t>
        </is>
      </c>
      <c r="O1288" t="inlineStr">
        <is>
          <t>缺 PP</t>
        </is>
      </c>
    </row>
    <row r="1289">
      <c r="A1289" s="7" t="inlineStr">
        <is>
          <t>2012-10-26</t>
        </is>
      </c>
      <c r="B1289" s="8" t="n"/>
      <c r="C1289" s="8" t="n"/>
      <c r="D1289" s="8" t="n"/>
      <c r="E1289" s="8" t="n"/>
      <c r="F1289" s="8" t="n"/>
      <c r="G1289" s="8" t="n"/>
      <c r="H1289" s="8" t="n">
        <v>10270</v>
      </c>
      <c r="I1289" s="8" t="n">
        <v>10330</v>
      </c>
      <c r="J1289" s="8" t="n">
        <v>10375</v>
      </c>
      <c r="K1289" s="8" t="n">
        <v>10245</v>
      </c>
      <c r="L1289" s="8" t="n">
        <v>396036</v>
      </c>
      <c r="M1289" s="8" t="n">
        <v>205664</v>
      </c>
      <c r="N1289" s="9" t="inlineStr">
        <is>
          <t>否</t>
        </is>
      </c>
      <c r="O1289" t="inlineStr">
        <is>
          <t>缺 PP</t>
        </is>
      </c>
    </row>
    <row r="1290">
      <c r="A1290" s="7" t="inlineStr">
        <is>
          <t>2012-10-29</t>
        </is>
      </c>
      <c r="B1290" s="8" t="n"/>
      <c r="C1290" s="8" t="n"/>
      <c r="D1290" s="8" t="n"/>
      <c r="E1290" s="8" t="n"/>
      <c r="F1290" s="8" t="n"/>
      <c r="G1290" s="8" t="n"/>
      <c r="H1290" s="8" t="n">
        <v>9955</v>
      </c>
      <c r="I1290" s="8" t="n">
        <v>10280</v>
      </c>
      <c r="J1290" s="8" t="n">
        <v>10295</v>
      </c>
      <c r="K1290" s="8" t="n">
        <v>9905</v>
      </c>
      <c r="L1290" s="8" t="n">
        <v>872456</v>
      </c>
      <c r="M1290" s="8" t="n">
        <v>245640</v>
      </c>
      <c r="N1290" s="9" t="inlineStr">
        <is>
          <t>否</t>
        </is>
      </c>
      <c r="O1290" t="inlineStr">
        <is>
          <t>缺 PP</t>
        </is>
      </c>
    </row>
    <row r="1291">
      <c r="A1291" s="7" t="inlineStr">
        <is>
          <t>2012-10-30</t>
        </is>
      </c>
      <c r="B1291" s="8" t="n"/>
      <c r="C1291" s="8" t="n"/>
      <c r="D1291" s="8" t="n"/>
      <c r="E1291" s="8" t="n"/>
      <c r="F1291" s="8" t="n"/>
      <c r="G1291" s="8" t="n"/>
      <c r="H1291" s="8" t="n">
        <v>10055</v>
      </c>
      <c r="I1291" s="8" t="n">
        <v>9975</v>
      </c>
      <c r="J1291" s="8" t="n">
        <v>10080</v>
      </c>
      <c r="K1291" s="8" t="n">
        <v>9945</v>
      </c>
      <c r="L1291" s="8" t="n">
        <v>433834</v>
      </c>
      <c r="M1291" s="8" t="n">
        <v>189714</v>
      </c>
      <c r="N1291" s="9" t="inlineStr">
        <is>
          <t>否</t>
        </is>
      </c>
      <c r="O1291" t="inlineStr">
        <is>
          <t>缺 PP</t>
        </is>
      </c>
    </row>
    <row r="1292">
      <c r="A1292" s="7" t="inlineStr">
        <is>
          <t>2012-10-31</t>
        </is>
      </c>
      <c r="B1292" s="8" t="n"/>
      <c r="C1292" s="8" t="n"/>
      <c r="D1292" s="8" t="n"/>
      <c r="E1292" s="8" t="n"/>
      <c r="F1292" s="8" t="n"/>
      <c r="G1292" s="8" t="n"/>
      <c r="H1292" s="8" t="n">
        <v>9780</v>
      </c>
      <c r="I1292" s="8" t="n">
        <v>9770</v>
      </c>
      <c r="J1292" s="8" t="n">
        <v>9850</v>
      </c>
      <c r="K1292" s="8" t="n">
        <v>9735</v>
      </c>
      <c r="L1292" s="8" t="n">
        <v>254504</v>
      </c>
      <c r="M1292" s="8" t="n">
        <v>174998</v>
      </c>
      <c r="N1292" s="9" t="inlineStr">
        <is>
          <t>否</t>
        </is>
      </c>
      <c r="O1292" t="inlineStr">
        <is>
          <t>缺 PP</t>
        </is>
      </c>
    </row>
    <row r="1293">
      <c r="A1293" s="7" t="inlineStr">
        <is>
          <t>2012-11-01</t>
        </is>
      </c>
      <c r="B1293" s="8" t="n"/>
      <c r="C1293" s="8" t="n"/>
      <c r="D1293" s="8" t="n"/>
      <c r="E1293" s="8" t="n"/>
      <c r="F1293" s="8" t="n"/>
      <c r="G1293" s="8" t="n"/>
      <c r="H1293" s="8" t="n">
        <v>9855</v>
      </c>
      <c r="I1293" s="8" t="n">
        <v>9760</v>
      </c>
      <c r="J1293" s="8" t="n">
        <v>9885</v>
      </c>
      <c r="K1293" s="8" t="n">
        <v>9695</v>
      </c>
      <c r="L1293" s="8" t="n">
        <v>433786</v>
      </c>
      <c r="M1293" s="8" t="n">
        <v>176218</v>
      </c>
      <c r="N1293" s="9" t="inlineStr">
        <is>
          <t>否</t>
        </is>
      </c>
      <c r="O1293" t="inlineStr">
        <is>
          <t>缺 PP</t>
        </is>
      </c>
    </row>
    <row r="1294">
      <c r="A1294" s="7" t="inlineStr">
        <is>
          <t>2012-11-02</t>
        </is>
      </c>
      <c r="B1294" s="8" t="n"/>
      <c r="C1294" s="8" t="n"/>
      <c r="D1294" s="8" t="n"/>
      <c r="E1294" s="8" t="n"/>
      <c r="F1294" s="8" t="n"/>
      <c r="G1294" s="8" t="n"/>
      <c r="H1294" s="8" t="n">
        <v>9985</v>
      </c>
      <c r="I1294" s="8" t="n">
        <v>9850</v>
      </c>
      <c r="J1294" s="8" t="n">
        <v>10020</v>
      </c>
      <c r="K1294" s="8" t="n">
        <v>9850</v>
      </c>
      <c r="L1294" s="8" t="n">
        <v>609484</v>
      </c>
      <c r="M1294" s="8" t="n">
        <v>186536</v>
      </c>
      <c r="N1294" s="9" t="inlineStr">
        <is>
          <t>否</t>
        </is>
      </c>
      <c r="O1294" t="inlineStr">
        <is>
          <t>缺 PP</t>
        </is>
      </c>
    </row>
    <row r="1295">
      <c r="A1295" s="7" t="inlineStr">
        <is>
          <t>2012-11-05</t>
        </is>
      </c>
      <c r="B1295" s="8" t="n"/>
      <c r="C1295" s="8" t="n"/>
      <c r="D1295" s="8" t="n"/>
      <c r="E1295" s="8" t="n"/>
      <c r="F1295" s="8" t="n"/>
      <c r="G1295" s="8" t="n"/>
      <c r="H1295" s="8" t="n">
        <v>9960</v>
      </c>
      <c r="I1295" s="8" t="n">
        <v>9920</v>
      </c>
      <c r="J1295" s="8" t="n">
        <v>10020</v>
      </c>
      <c r="K1295" s="8" t="n">
        <v>9890</v>
      </c>
      <c r="L1295" s="8" t="n">
        <v>557412</v>
      </c>
      <c r="M1295" s="8" t="n">
        <v>197488</v>
      </c>
      <c r="N1295" s="9" t="inlineStr">
        <is>
          <t>否</t>
        </is>
      </c>
      <c r="O1295" t="inlineStr">
        <is>
          <t>缺 PP</t>
        </is>
      </c>
    </row>
    <row r="1296">
      <c r="A1296" s="7" t="inlineStr">
        <is>
          <t>2012-11-06</t>
        </is>
      </c>
      <c r="B1296" s="8" t="n"/>
      <c r="C1296" s="8" t="n"/>
      <c r="D1296" s="8" t="n"/>
      <c r="E1296" s="8" t="n"/>
      <c r="F1296" s="8" t="n"/>
      <c r="G1296" s="8" t="n"/>
      <c r="H1296" s="8" t="n">
        <v>10015</v>
      </c>
      <c r="I1296" s="8" t="n">
        <v>10000</v>
      </c>
      <c r="J1296" s="8" t="n">
        <v>10085</v>
      </c>
      <c r="K1296" s="8" t="n">
        <v>9910</v>
      </c>
      <c r="L1296" s="8" t="n">
        <v>774144</v>
      </c>
      <c r="M1296" s="8" t="n">
        <v>199474</v>
      </c>
      <c r="N1296" s="9" t="inlineStr">
        <is>
          <t>否</t>
        </is>
      </c>
      <c r="O1296" t="inlineStr">
        <is>
          <t>缺 PP</t>
        </is>
      </c>
    </row>
    <row r="1297">
      <c r="A1297" s="7" t="inlineStr">
        <is>
          <t>2012-11-07</t>
        </is>
      </c>
      <c r="B1297" s="8" t="n"/>
      <c r="C1297" s="8" t="n"/>
      <c r="D1297" s="8" t="n"/>
      <c r="E1297" s="8" t="n"/>
      <c r="F1297" s="8" t="n"/>
      <c r="G1297" s="8" t="n"/>
      <c r="H1297" s="8" t="n">
        <v>10055</v>
      </c>
      <c r="I1297" s="8" t="n">
        <v>10095</v>
      </c>
      <c r="J1297" s="8" t="n">
        <v>10115</v>
      </c>
      <c r="K1297" s="8" t="n">
        <v>9985</v>
      </c>
      <c r="L1297" s="8" t="n">
        <v>515054</v>
      </c>
      <c r="M1297" s="8" t="n">
        <v>164922</v>
      </c>
      <c r="N1297" s="9" t="inlineStr">
        <is>
          <t>否</t>
        </is>
      </c>
      <c r="O1297" t="inlineStr">
        <is>
          <t>缺 PP</t>
        </is>
      </c>
    </row>
    <row r="1298">
      <c r="A1298" s="7" t="inlineStr">
        <is>
          <t>2012-11-08</t>
        </is>
      </c>
      <c r="B1298" s="8" t="n"/>
      <c r="C1298" s="8" t="n"/>
      <c r="D1298" s="8" t="n"/>
      <c r="E1298" s="8" t="n"/>
      <c r="F1298" s="8" t="n"/>
      <c r="G1298" s="8" t="n"/>
      <c r="H1298" s="8" t="n">
        <v>10025</v>
      </c>
      <c r="I1298" s="8" t="n">
        <v>9920</v>
      </c>
      <c r="J1298" s="8" t="n">
        <v>10055</v>
      </c>
      <c r="K1298" s="8" t="n">
        <v>9920</v>
      </c>
      <c r="L1298" s="8" t="n">
        <v>474970</v>
      </c>
      <c r="M1298" s="8" t="n">
        <v>187916</v>
      </c>
      <c r="N1298" s="9" t="inlineStr">
        <is>
          <t>否</t>
        </is>
      </c>
      <c r="O1298" t="inlineStr">
        <is>
          <t>缺 PP</t>
        </is>
      </c>
    </row>
    <row r="1299">
      <c r="A1299" s="7" t="inlineStr">
        <is>
          <t>2012-11-09</t>
        </is>
      </c>
      <c r="B1299" s="8" t="n"/>
      <c r="C1299" s="8" t="n"/>
      <c r="D1299" s="8" t="n"/>
      <c r="E1299" s="8" t="n"/>
      <c r="F1299" s="8" t="n"/>
      <c r="G1299" s="8" t="n"/>
      <c r="H1299" s="8" t="n">
        <v>9985</v>
      </c>
      <c r="I1299" s="8" t="n">
        <v>10060</v>
      </c>
      <c r="J1299" s="8" t="n">
        <v>10065</v>
      </c>
      <c r="K1299" s="8" t="n">
        <v>9950</v>
      </c>
      <c r="L1299" s="8" t="n">
        <v>550796</v>
      </c>
      <c r="M1299" s="8" t="n">
        <v>195548</v>
      </c>
      <c r="N1299" s="9" t="inlineStr">
        <is>
          <t>否</t>
        </is>
      </c>
      <c r="O1299" t="inlineStr">
        <is>
          <t>缺 PP</t>
        </is>
      </c>
    </row>
    <row r="1300">
      <c r="A1300" s="7" t="inlineStr">
        <is>
          <t>2012-11-12</t>
        </is>
      </c>
      <c r="B1300" s="8" t="n"/>
      <c r="C1300" s="8" t="n"/>
      <c r="D1300" s="8" t="n"/>
      <c r="E1300" s="8" t="n"/>
      <c r="F1300" s="8" t="n"/>
      <c r="G1300" s="8" t="n"/>
      <c r="H1300" s="8" t="n">
        <v>9870</v>
      </c>
      <c r="I1300" s="8" t="n">
        <v>9980</v>
      </c>
      <c r="J1300" s="8" t="n">
        <v>10025</v>
      </c>
      <c r="K1300" s="8" t="n">
        <v>9845</v>
      </c>
      <c r="L1300" s="8" t="n">
        <v>625368</v>
      </c>
      <c r="M1300" s="8" t="n">
        <v>216578</v>
      </c>
      <c r="N1300" s="9" t="inlineStr">
        <is>
          <t>否</t>
        </is>
      </c>
      <c r="O1300" t="inlineStr">
        <is>
          <t>缺 PP</t>
        </is>
      </c>
    </row>
    <row r="1301">
      <c r="A1301" s="7" t="inlineStr">
        <is>
          <t>2012-11-13</t>
        </is>
      </c>
      <c r="B1301" s="8" t="n"/>
      <c r="C1301" s="8" t="n"/>
      <c r="D1301" s="8" t="n"/>
      <c r="E1301" s="8" t="n"/>
      <c r="F1301" s="8" t="n"/>
      <c r="G1301" s="8" t="n"/>
      <c r="H1301" s="8" t="n">
        <v>9865</v>
      </c>
      <c r="I1301" s="8" t="n">
        <v>9855</v>
      </c>
      <c r="J1301" s="8" t="n">
        <v>9900</v>
      </c>
      <c r="K1301" s="8" t="n">
        <v>9775</v>
      </c>
      <c r="L1301" s="8" t="n">
        <v>579118</v>
      </c>
      <c r="M1301" s="8" t="n">
        <v>229444</v>
      </c>
      <c r="N1301" s="9" t="inlineStr">
        <is>
          <t>否</t>
        </is>
      </c>
      <c r="O1301" t="inlineStr">
        <is>
          <t>缺 PP</t>
        </is>
      </c>
    </row>
    <row r="1302">
      <c r="A1302" s="7" t="inlineStr">
        <is>
          <t>2012-11-14</t>
        </is>
      </c>
      <c r="B1302" s="8" t="n"/>
      <c r="C1302" s="8" t="n"/>
      <c r="D1302" s="8" t="n"/>
      <c r="E1302" s="8" t="n"/>
      <c r="F1302" s="8" t="n"/>
      <c r="G1302" s="8" t="n"/>
      <c r="H1302" s="8" t="n">
        <v>9905</v>
      </c>
      <c r="I1302" s="8" t="n">
        <v>9880</v>
      </c>
      <c r="J1302" s="8" t="n">
        <v>9925</v>
      </c>
      <c r="K1302" s="8" t="n">
        <v>9815</v>
      </c>
      <c r="L1302" s="8" t="n">
        <v>445936</v>
      </c>
      <c r="M1302" s="8" t="n">
        <v>198638</v>
      </c>
      <c r="N1302" s="9" t="inlineStr">
        <is>
          <t>否</t>
        </is>
      </c>
      <c r="O1302" t="inlineStr">
        <is>
          <t>缺 PP</t>
        </is>
      </c>
    </row>
    <row r="1303">
      <c r="A1303" s="7" t="inlineStr">
        <is>
          <t>2012-11-15</t>
        </is>
      </c>
      <c r="B1303" s="8" t="n"/>
      <c r="C1303" s="8" t="n"/>
      <c r="D1303" s="8" t="n"/>
      <c r="E1303" s="8" t="n"/>
      <c r="F1303" s="8" t="n"/>
      <c r="G1303" s="8" t="n"/>
      <c r="H1303" s="8" t="n">
        <v>9860</v>
      </c>
      <c r="I1303" s="8" t="n">
        <v>9900</v>
      </c>
      <c r="J1303" s="8" t="n">
        <v>9940</v>
      </c>
      <c r="K1303" s="8" t="n">
        <v>9855</v>
      </c>
      <c r="L1303" s="8" t="n">
        <v>399440</v>
      </c>
      <c r="M1303" s="8" t="n">
        <v>204114</v>
      </c>
      <c r="N1303" s="9" t="inlineStr">
        <is>
          <t>否</t>
        </is>
      </c>
      <c r="O1303" t="inlineStr">
        <is>
          <t>缺 PP</t>
        </is>
      </c>
    </row>
    <row r="1304">
      <c r="A1304" s="7" t="inlineStr">
        <is>
          <t>2012-11-16</t>
        </is>
      </c>
      <c r="B1304" s="8" t="n"/>
      <c r="C1304" s="8" t="n"/>
      <c r="D1304" s="8" t="n"/>
      <c r="E1304" s="8" t="n"/>
      <c r="F1304" s="8" t="n"/>
      <c r="G1304" s="8" t="n"/>
      <c r="H1304" s="8" t="n">
        <v>9750</v>
      </c>
      <c r="I1304" s="8" t="n">
        <v>9830</v>
      </c>
      <c r="J1304" s="8" t="n">
        <v>9855</v>
      </c>
      <c r="K1304" s="8" t="n">
        <v>9745</v>
      </c>
      <c r="L1304" s="8" t="n">
        <v>545912</v>
      </c>
      <c r="M1304" s="8" t="n">
        <v>255508</v>
      </c>
      <c r="N1304" s="9" t="inlineStr">
        <is>
          <t>否</t>
        </is>
      </c>
      <c r="O1304" t="inlineStr">
        <is>
          <t>缺 PP</t>
        </is>
      </c>
    </row>
    <row r="1305">
      <c r="A1305" s="7" t="inlineStr">
        <is>
          <t>2012-11-19</t>
        </is>
      </c>
      <c r="B1305" s="8" t="n"/>
      <c r="C1305" s="8" t="n"/>
      <c r="D1305" s="8" t="n"/>
      <c r="E1305" s="8" t="n"/>
      <c r="F1305" s="8" t="n"/>
      <c r="G1305" s="8" t="n"/>
      <c r="H1305" s="8" t="n">
        <v>9830</v>
      </c>
      <c r="I1305" s="8" t="n">
        <v>9820</v>
      </c>
      <c r="J1305" s="8" t="n">
        <v>9845</v>
      </c>
      <c r="K1305" s="8" t="n">
        <v>9750</v>
      </c>
      <c r="L1305" s="8" t="n">
        <v>409262</v>
      </c>
      <c r="M1305" s="8" t="n">
        <v>238364</v>
      </c>
      <c r="N1305" s="9" t="inlineStr">
        <is>
          <t>否</t>
        </is>
      </c>
      <c r="O1305" t="inlineStr">
        <is>
          <t>缺 PP</t>
        </is>
      </c>
    </row>
    <row r="1306">
      <c r="A1306" s="7" t="inlineStr">
        <is>
          <t>2012-11-20</t>
        </is>
      </c>
      <c r="B1306" s="8" t="n"/>
      <c r="C1306" s="8" t="n"/>
      <c r="D1306" s="8" t="n"/>
      <c r="E1306" s="8" t="n"/>
      <c r="F1306" s="8" t="n"/>
      <c r="G1306" s="8" t="n"/>
      <c r="H1306" s="8" t="n">
        <v>9825</v>
      </c>
      <c r="I1306" s="8" t="n">
        <v>9880</v>
      </c>
      <c r="J1306" s="8" t="n">
        <v>9880</v>
      </c>
      <c r="K1306" s="8" t="n">
        <v>9815</v>
      </c>
      <c r="L1306" s="8" t="n">
        <v>326374</v>
      </c>
      <c r="M1306" s="8" t="n">
        <v>225698</v>
      </c>
      <c r="N1306" s="9" t="inlineStr">
        <is>
          <t>否</t>
        </is>
      </c>
      <c r="O1306" t="inlineStr">
        <is>
          <t>缺 PP</t>
        </is>
      </c>
    </row>
    <row r="1307">
      <c r="A1307" s="7" t="inlineStr">
        <is>
          <t>2012-11-21</t>
        </is>
      </c>
      <c r="B1307" s="8" t="n"/>
      <c r="C1307" s="8" t="n"/>
      <c r="D1307" s="8" t="n"/>
      <c r="E1307" s="8" t="n"/>
      <c r="F1307" s="8" t="n"/>
      <c r="G1307" s="8" t="n"/>
      <c r="H1307" s="8" t="n">
        <v>9795</v>
      </c>
      <c r="I1307" s="8" t="n">
        <v>9800</v>
      </c>
      <c r="J1307" s="8" t="n">
        <v>9810</v>
      </c>
      <c r="K1307" s="8" t="n">
        <v>9695</v>
      </c>
      <c r="L1307" s="8" t="n">
        <v>683914</v>
      </c>
      <c r="M1307" s="8" t="n">
        <v>251164</v>
      </c>
      <c r="N1307" s="9" t="inlineStr">
        <is>
          <t>否</t>
        </is>
      </c>
      <c r="O1307" t="inlineStr">
        <is>
          <t>缺 PP</t>
        </is>
      </c>
    </row>
    <row r="1308">
      <c r="A1308" s="7" t="inlineStr">
        <is>
          <t>2012-11-22</t>
        </is>
      </c>
      <c r="B1308" s="8" t="n"/>
      <c r="C1308" s="8" t="n"/>
      <c r="D1308" s="8" t="n"/>
      <c r="E1308" s="8" t="n"/>
      <c r="F1308" s="8" t="n"/>
      <c r="G1308" s="8" t="n"/>
      <c r="H1308" s="8" t="n">
        <v>9825</v>
      </c>
      <c r="I1308" s="8" t="n">
        <v>9815</v>
      </c>
      <c r="J1308" s="8" t="n">
        <v>9855</v>
      </c>
      <c r="K1308" s="8" t="n">
        <v>9795</v>
      </c>
      <c r="L1308" s="8" t="n">
        <v>272374</v>
      </c>
      <c r="M1308" s="8" t="n">
        <v>222140</v>
      </c>
      <c r="N1308" s="9" t="inlineStr">
        <is>
          <t>否</t>
        </is>
      </c>
      <c r="O1308" t="inlineStr">
        <is>
          <t>缺 PP</t>
        </is>
      </c>
    </row>
    <row r="1309">
      <c r="A1309" s="7" t="inlineStr">
        <is>
          <t>2012-11-23</t>
        </is>
      </c>
      <c r="B1309" s="8" t="n"/>
      <c r="C1309" s="8" t="n"/>
      <c r="D1309" s="8" t="n"/>
      <c r="E1309" s="8" t="n"/>
      <c r="F1309" s="8" t="n"/>
      <c r="G1309" s="8" t="n"/>
      <c r="H1309" s="8" t="n">
        <v>9880</v>
      </c>
      <c r="I1309" s="8" t="n">
        <v>9805</v>
      </c>
      <c r="J1309" s="8" t="n">
        <v>9880</v>
      </c>
      <c r="K1309" s="8" t="n">
        <v>9785</v>
      </c>
      <c r="L1309" s="8" t="n">
        <v>322694</v>
      </c>
      <c r="M1309" s="8" t="n">
        <v>216644</v>
      </c>
      <c r="N1309" s="9" t="inlineStr">
        <is>
          <t>否</t>
        </is>
      </c>
      <c r="O1309" t="inlineStr">
        <is>
          <t>缺 PP</t>
        </is>
      </c>
    </row>
    <row r="1310">
      <c r="A1310" s="7" t="inlineStr">
        <is>
          <t>2012-11-26</t>
        </is>
      </c>
      <c r="B1310" s="8" t="n"/>
      <c r="C1310" s="8" t="n"/>
      <c r="D1310" s="8" t="n"/>
      <c r="E1310" s="8" t="n"/>
      <c r="F1310" s="8" t="n"/>
      <c r="G1310" s="8" t="n"/>
      <c r="H1310" s="8" t="n">
        <v>9960</v>
      </c>
      <c r="I1310" s="8" t="n">
        <v>9875</v>
      </c>
      <c r="J1310" s="8" t="n">
        <v>9990</v>
      </c>
      <c r="K1310" s="8" t="n">
        <v>9855</v>
      </c>
      <c r="L1310" s="8" t="n">
        <v>470424</v>
      </c>
      <c r="M1310" s="8" t="n">
        <v>247618</v>
      </c>
      <c r="N1310" s="9" t="inlineStr">
        <is>
          <t>否</t>
        </is>
      </c>
      <c r="O1310" t="inlineStr">
        <is>
          <t>缺 PP</t>
        </is>
      </c>
    </row>
    <row r="1311">
      <c r="A1311" s="7" t="inlineStr">
        <is>
          <t>2012-11-27</t>
        </is>
      </c>
      <c r="B1311" s="8" t="n"/>
      <c r="C1311" s="8" t="n"/>
      <c r="D1311" s="8" t="n"/>
      <c r="E1311" s="8" t="n"/>
      <c r="F1311" s="8" t="n"/>
      <c r="G1311" s="8" t="n"/>
      <c r="H1311" s="8" t="n">
        <v>9940</v>
      </c>
      <c r="I1311" s="8" t="n">
        <v>9970</v>
      </c>
      <c r="J1311" s="8" t="n">
        <v>9990</v>
      </c>
      <c r="K1311" s="8" t="n">
        <v>9915</v>
      </c>
      <c r="L1311" s="8" t="n">
        <v>353794</v>
      </c>
      <c r="M1311" s="8" t="n">
        <v>246518</v>
      </c>
      <c r="N1311" s="9" t="inlineStr">
        <is>
          <t>否</t>
        </is>
      </c>
      <c r="O1311" t="inlineStr">
        <is>
          <t>缺 PP</t>
        </is>
      </c>
    </row>
    <row r="1312">
      <c r="A1312" s="7" t="inlineStr">
        <is>
          <t>2012-11-28</t>
        </is>
      </c>
      <c r="B1312" s="8" t="n"/>
      <c r="C1312" s="8" t="n"/>
      <c r="D1312" s="8" t="n"/>
      <c r="E1312" s="8" t="n"/>
      <c r="F1312" s="8" t="n"/>
      <c r="G1312" s="8" t="n"/>
      <c r="H1312" s="8" t="n">
        <v>9890</v>
      </c>
      <c r="I1312" s="8" t="n">
        <v>9930</v>
      </c>
      <c r="J1312" s="8" t="n">
        <v>9960</v>
      </c>
      <c r="K1312" s="8" t="n">
        <v>9885</v>
      </c>
      <c r="L1312" s="8" t="n">
        <v>321834</v>
      </c>
      <c r="M1312" s="8" t="n">
        <v>234692</v>
      </c>
      <c r="N1312" s="9" t="inlineStr">
        <is>
          <t>否</t>
        </is>
      </c>
      <c r="O1312" t="inlineStr">
        <is>
          <t>缺 PP</t>
        </is>
      </c>
    </row>
    <row r="1313">
      <c r="A1313" s="7" t="inlineStr">
        <is>
          <t>2012-11-29</t>
        </is>
      </c>
      <c r="B1313" s="8" t="n"/>
      <c r="C1313" s="8" t="n"/>
      <c r="D1313" s="8" t="n"/>
      <c r="E1313" s="8" t="n"/>
      <c r="F1313" s="8" t="n"/>
      <c r="G1313" s="8" t="n"/>
      <c r="H1313" s="8" t="n">
        <v>9935</v>
      </c>
      <c r="I1313" s="8" t="n">
        <v>9910</v>
      </c>
      <c r="J1313" s="8" t="n">
        <v>9980</v>
      </c>
      <c r="K1313" s="8" t="n">
        <v>9875</v>
      </c>
      <c r="L1313" s="8" t="n">
        <v>527174</v>
      </c>
      <c r="M1313" s="8" t="n">
        <v>239252</v>
      </c>
      <c r="N1313" s="9" t="inlineStr">
        <is>
          <t>否</t>
        </is>
      </c>
      <c r="O1313" t="inlineStr">
        <is>
          <t>缺 PP</t>
        </is>
      </c>
    </row>
    <row r="1314">
      <c r="A1314" s="7" t="inlineStr">
        <is>
          <t>2012-11-30</t>
        </is>
      </c>
      <c r="B1314" s="8" t="n"/>
      <c r="C1314" s="8" t="n"/>
      <c r="D1314" s="8" t="n"/>
      <c r="E1314" s="8" t="n"/>
      <c r="F1314" s="8" t="n"/>
      <c r="G1314" s="8" t="n"/>
      <c r="H1314" s="8" t="n">
        <v>10040</v>
      </c>
      <c r="I1314" s="8" t="n">
        <v>9975</v>
      </c>
      <c r="J1314" s="8" t="n">
        <v>10045</v>
      </c>
      <c r="K1314" s="8" t="n">
        <v>9935</v>
      </c>
      <c r="L1314" s="8" t="n">
        <v>529980</v>
      </c>
      <c r="M1314" s="8" t="n">
        <v>234604</v>
      </c>
      <c r="N1314" s="9" t="inlineStr">
        <is>
          <t>否</t>
        </is>
      </c>
      <c r="O1314" t="inlineStr">
        <is>
          <t>缺 PP</t>
        </is>
      </c>
    </row>
    <row r="1315">
      <c r="A1315" s="7" t="inlineStr">
        <is>
          <t>2012-12-03</t>
        </is>
      </c>
      <c r="B1315" s="8" t="n"/>
      <c r="C1315" s="8" t="n"/>
      <c r="D1315" s="8" t="n"/>
      <c r="E1315" s="8" t="n"/>
      <c r="F1315" s="8" t="n"/>
      <c r="G1315" s="8" t="n"/>
      <c r="H1315" s="8" t="n">
        <v>10350</v>
      </c>
      <c r="I1315" s="8" t="n">
        <v>10130</v>
      </c>
      <c r="J1315" s="8" t="n">
        <v>10405</v>
      </c>
      <c r="K1315" s="8" t="n">
        <v>10100</v>
      </c>
      <c r="L1315" s="8" t="n">
        <v>831892</v>
      </c>
      <c r="M1315" s="8" t="n">
        <v>263726</v>
      </c>
      <c r="N1315" s="9" t="inlineStr">
        <is>
          <t>否</t>
        </is>
      </c>
      <c r="O1315" t="inlineStr">
        <is>
          <t>缺 PP</t>
        </is>
      </c>
    </row>
    <row r="1316">
      <c r="A1316" s="7" t="inlineStr">
        <is>
          <t>2012-12-04</t>
        </is>
      </c>
      <c r="B1316" s="8" t="n"/>
      <c r="C1316" s="8" t="n"/>
      <c r="D1316" s="8" t="n"/>
      <c r="E1316" s="8" t="n"/>
      <c r="F1316" s="8" t="n"/>
      <c r="G1316" s="8" t="n"/>
      <c r="H1316" s="8" t="n">
        <v>10310</v>
      </c>
      <c r="I1316" s="8" t="n">
        <v>10340</v>
      </c>
      <c r="J1316" s="8" t="n">
        <v>10380</v>
      </c>
      <c r="K1316" s="8" t="n">
        <v>10240</v>
      </c>
      <c r="L1316" s="8" t="n">
        <v>610534</v>
      </c>
      <c r="M1316" s="8" t="n">
        <v>258666</v>
      </c>
      <c r="N1316" s="9" t="inlineStr">
        <is>
          <t>否</t>
        </is>
      </c>
      <c r="O1316" t="inlineStr">
        <is>
          <t>缺 PP</t>
        </is>
      </c>
    </row>
    <row r="1317">
      <c r="A1317" s="7" t="inlineStr">
        <is>
          <t>2012-12-05</t>
        </is>
      </c>
      <c r="B1317" s="8" t="n"/>
      <c r="C1317" s="8" t="n"/>
      <c r="D1317" s="8" t="n"/>
      <c r="E1317" s="8" t="n"/>
      <c r="F1317" s="8" t="n"/>
      <c r="G1317" s="8" t="n"/>
      <c r="H1317" s="8" t="n">
        <v>10325</v>
      </c>
      <c r="I1317" s="8" t="n">
        <v>10300</v>
      </c>
      <c r="J1317" s="8" t="n">
        <v>10385</v>
      </c>
      <c r="K1317" s="8" t="n">
        <v>10270</v>
      </c>
      <c r="L1317" s="8" t="n">
        <v>426062</v>
      </c>
      <c r="M1317" s="8" t="n">
        <v>255204</v>
      </c>
      <c r="N1317" s="9" t="inlineStr">
        <is>
          <t>否</t>
        </is>
      </c>
      <c r="O1317" t="inlineStr">
        <is>
          <t>缺 PP</t>
        </is>
      </c>
    </row>
    <row r="1318">
      <c r="A1318" s="7" t="inlineStr">
        <is>
          <t>2012-12-06</t>
        </is>
      </c>
      <c r="B1318" s="8" t="n"/>
      <c r="C1318" s="8" t="n"/>
      <c r="D1318" s="8" t="n"/>
      <c r="E1318" s="8" t="n"/>
      <c r="F1318" s="8" t="n"/>
      <c r="G1318" s="8" t="n"/>
      <c r="H1318" s="8" t="n">
        <v>10355</v>
      </c>
      <c r="I1318" s="8" t="n">
        <v>10300</v>
      </c>
      <c r="J1318" s="8" t="n">
        <v>10485</v>
      </c>
      <c r="K1318" s="8" t="n">
        <v>10280</v>
      </c>
      <c r="L1318" s="8" t="n">
        <v>749958</v>
      </c>
      <c r="M1318" s="8" t="n">
        <v>233450</v>
      </c>
      <c r="N1318" s="9" t="inlineStr">
        <is>
          <t>否</t>
        </is>
      </c>
      <c r="O1318" t="inlineStr">
        <is>
          <t>缺 PP</t>
        </is>
      </c>
    </row>
    <row r="1319">
      <c r="A1319" s="7" t="inlineStr">
        <is>
          <t>2012-12-07</t>
        </is>
      </c>
      <c r="B1319" s="8" t="n"/>
      <c r="C1319" s="8" t="n"/>
      <c r="D1319" s="8" t="n"/>
      <c r="E1319" s="8" t="n"/>
      <c r="F1319" s="8" t="n"/>
      <c r="G1319" s="8" t="n"/>
      <c r="H1319" s="8" t="n">
        <v>10370</v>
      </c>
      <c r="I1319" s="8" t="n">
        <v>10300</v>
      </c>
      <c r="J1319" s="8" t="n">
        <v>10375</v>
      </c>
      <c r="K1319" s="8" t="n">
        <v>10235</v>
      </c>
      <c r="L1319" s="8" t="n">
        <v>708432</v>
      </c>
      <c r="M1319" s="8" t="n">
        <v>237794</v>
      </c>
      <c r="N1319" s="9" t="inlineStr">
        <is>
          <t>否</t>
        </is>
      </c>
      <c r="O1319" t="inlineStr">
        <is>
          <t>缺 PP</t>
        </is>
      </c>
    </row>
    <row r="1320">
      <c r="A1320" s="7" t="inlineStr">
        <is>
          <t>2012-12-10</t>
        </is>
      </c>
      <c r="B1320" s="8" t="n"/>
      <c r="C1320" s="8" t="n"/>
      <c r="D1320" s="8" t="n"/>
      <c r="E1320" s="8" t="n"/>
      <c r="F1320" s="8" t="n"/>
      <c r="G1320" s="8" t="n"/>
      <c r="H1320" s="8" t="n">
        <v>10575</v>
      </c>
      <c r="I1320" s="8" t="n">
        <v>10390</v>
      </c>
      <c r="J1320" s="8" t="n">
        <v>10610</v>
      </c>
      <c r="K1320" s="8" t="n">
        <v>10370</v>
      </c>
      <c r="L1320" s="8" t="n">
        <v>896876</v>
      </c>
      <c r="M1320" s="8" t="n">
        <v>298584</v>
      </c>
      <c r="N1320" s="9" t="inlineStr">
        <is>
          <t>否</t>
        </is>
      </c>
      <c r="O1320" t="inlineStr">
        <is>
          <t>缺 PP</t>
        </is>
      </c>
    </row>
    <row r="1321">
      <c r="A1321" s="7" t="inlineStr">
        <is>
          <t>2012-12-11</t>
        </is>
      </c>
      <c r="B1321" s="8" t="n"/>
      <c r="C1321" s="8" t="n"/>
      <c r="D1321" s="8" t="n"/>
      <c r="E1321" s="8" t="n"/>
      <c r="F1321" s="8" t="n"/>
      <c r="G1321" s="8" t="n"/>
      <c r="H1321" s="8" t="n">
        <v>10535</v>
      </c>
      <c r="I1321" s="8" t="n">
        <v>10550</v>
      </c>
      <c r="J1321" s="8" t="n">
        <v>10575</v>
      </c>
      <c r="K1321" s="8" t="n">
        <v>10505</v>
      </c>
      <c r="L1321" s="8" t="n">
        <v>386804</v>
      </c>
      <c r="M1321" s="8" t="n">
        <v>259468</v>
      </c>
      <c r="N1321" s="9" t="inlineStr">
        <is>
          <t>否</t>
        </is>
      </c>
      <c r="O1321" t="inlineStr">
        <is>
          <t>缺 PP</t>
        </is>
      </c>
    </row>
    <row r="1322">
      <c r="A1322" s="7" t="inlineStr">
        <is>
          <t>2012-12-12</t>
        </is>
      </c>
      <c r="B1322" s="8" t="n"/>
      <c r="C1322" s="8" t="n"/>
      <c r="D1322" s="8" t="n"/>
      <c r="E1322" s="8" t="n"/>
      <c r="F1322" s="8" t="n"/>
      <c r="G1322" s="8" t="n"/>
      <c r="H1322" s="8" t="n">
        <v>10490</v>
      </c>
      <c r="I1322" s="8" t="n">
        <v>10560</v>
      </c>
      <c r="J1322" s="8" t="n">
        <v>10600</v>
      </c>
      <c r="K1322" s="8" t="n">
        <v>10425</v>
      </c>
      <c r="L1322" s="8" t="n">
        <v>518752</v>
      </c>
      <c r="M1322" s="8" t="n">
        <v>249438</v>
      </c>
      <c r="N1322" s="9" t="inlineStr">
        <is>
          <t>否</t>
        </is>
      </c>
      <c r="O1322" t="inlineStr">
        <is>
          <t>缺 PP</t>
        </is>
      </c>
    </row>
    <row r="1323">
      <c r="A1323" s="7" t="inlineStr">
        <is>
          <t>2012-12-13</t>
        </is>
      </c>
      <c r="B1323" s="8" t="n"/>
      <c r="C1323" s="8" t="n"/>
      <c r="D1323" s="8" t="n"/>
      <c r="E1323" s="8" t="n"/>
      <c r="F1323" s="8" t="n"/>
      <c r="G1323" s="8" t="n"/>
      <c r="H1323" s="8" t="n">
        <v>10400</v>
      </c>
      <c r="I1323" s="8" t="n">
        <v>10500</v>
      </c>
      <c r="J1323" s="8" t="n">
        <v>10520</v>
      </c>
      <c r="K1323" s="8" t="n">
        <v>10370</v>
      </c>
      <c r="L1323" s="8" t="n">
        <v>588560</v>
      </c>
      <c r="M1323" s="8" t="n">
        <v>254168</v>
      </c>
      <c r="N1323" s="9" t="inlineStr">
        <is>
          <t>否</t>
        </is>
      </c>
      <c r="O1323" t="inlineStr">
        <is>
          <t>缺 PP</t>
        </is>
      </c>
    </row>
    <row r="1324">
      <c r="A1324" s="7" t="inlineStr">
        <is>
          <t>2012-12-14</t>
        </is>
      </c>
      <c r="B1324" s="8" t="n"/>
      <c r="C1324" s="8" t="n"/>
      <c r="D1324" s="8" t="n"/>
      <c r="E1324" s="8" t="n"/>
      <c r="F1324" s="8" t="n"/>
      <c r="G1324" s="8" t="n"/>
      <c r="H1324" s="8" t="n">
        <v>10520</v>
      </c>
      <c r="I1324" s="8" t="n">
        <v>10380</v>
      </c>
      <c r="J1324" s="8" t="n">
        <v>10530</v>
      </c>
      <c r="K1324" s="8" t="n">
        <v>10370</v>
      </c>
      <c r="L1324" s="8" t="n">
        <v>391252</v>
      </c>
      <c r="M1324" s="8" t="n">
        <v>233768</v>
      </c>
      <c r="N1324" s="9" t="inlineStr">
        <is>
          <t>否</t>
        </is>
      </c>
      <c r="O1324" t="inlineStr">
        <is>
          <t>缺 PP</t>
        </is>
      </c>
    </row>
    <row r="1325">
      <c r="A1325" s="7" t="inlineStr">
        <is>
          <t>2012-12-17</t>
        </is>
      </c>
      <c r="B1325" s="8" t="n"/>
      <c r="C1325" s="8" t="n"/>
      <c r="D1325" s="8" t="n"/>
      <c r="E1325" s="8" t="n"/>
      <c r="F1325" s="8" t="n"/>
      <c r="G1325" s="8" t="n"/>
      <c r="H1325" s="8" t="n">
        <v>10655</v>
      </c>
      <c r="I1325" s="8" t="n">
        <v>10530</v>
      </c>
      <c r="J1325" s="8" t="n">
        <v>10705</v>
      </c>
      <c r="K1325" s="8" t="n">
        <v>10465</v>
      </c>
      <c r="L1325" s="8" t="n">
        <v>702404</v>
      </c>
      <c r="M1325" s="8" t="n">
        <v>288198</v>
      </c>
      <c r="N1325" s="9" t="inlineStr">
        <is>
          <t>否</t>
        </is>
      </c>
      <c r="O1325" t="inlineStr">
        <is>
          <t>缺 PP</t>
        </is>
      </c>
    </row>
    <row r="1326">
      <c r="A1326" s="7" t="inlineStr">
        <is>
          <t>2012-12-18</t>
        </is>
      </c>
      <c r="B1326" s="8" t="n"/>
      <c r="C1326" s="8" t="n"/>
      <c r="D1326" s="8" t="n"/>
      <c r="E1326" s="8" t="n"/>
      <c r="F1326" s="8" t="n"/>
      <c r="G1326" s="8" t="n"/>
      <c r="H1326" s="8" t="n">
        <v>10600</v>
      </c>
      <c r="I1326" s="8" t="n">
        <v>10650</v>
      </c>
      <c r="J1326" s="8" t="n">
        <v>10700</v>
      </c>
      <c r="K1326" s="8" t="n">
        <v>10560</v>
      </c>
      <c r="L1326" s="8" t="n">
        <v>526390</v>
      </c>
      <c r="M1326" s="8" t="n">
        <v>281640</v>
      </c>
      <c r="N1326" s="9" t="inlineStr">
        <is>
          <t>否</t>
        </is>
      </c>
      <c r="O1326" t="inlineStr">
        <is>
          <t>缺 PP</t>
        </is>
      </c>
    </row>
    <row r="1327">
      <c r="A1327" s="7" t="inlineStr">
        <is>
          <t>2012-12-19</t>
        </is>
      </c>
      <c r="B1327" s="8" t="n"/>
      <c r="C1327" s="8" t="n"/>
      <c r="D1327" s="8" t="n"/>
      <c r="E1327" s="8" t="n"/>
      <c r="F1327" s="8" t="n"/>
      <c r="G1327" s="8" t="n"/>
      <c r="H1327" s="8" t="n">
        <v>10655</v>
      </c>
      <c r="I1327" s="8" t="n">
        <v>10620</v>
      </c>
      <c r="J1327" s="8" t="n">
        <v>10660</v>
      </c>
      <c r="K1327" s="8" t="n">
        <v>10570</v>
      </c>
      <c r="L1327" s="8" t="n">
        <v>447668</v>
      </c>
      <c r="M1327" s="8" t="n">
        <v>293862</v>
      </c>
      <c r="N1327" s="9" t="inlineStr">
        <is>
          <t>否</t>
        </is>
      </c>
      <c r="O1327" t="inlineStr">
        <is>
          <t>缺 PP</t>
        </is>
      </c>
    </row>
    <row r="1328">
      <c r="A1328" s="7" t="inlineStr">
        <is>
          <t>2012-12-20</t>
        </is>
      </c>
      <c r="B1328" s="8" t="n"/>
      <c r="C1328" s="8" t="n"/>
      <c r="D1328" s="8" t="n"/>
      <c r="E1328" s="8" t="n"/>
      <c r="F1328" s="8" t="n"/>
      <c r="G1328" s="8" t="n"/>
      <c r="H1328" s="8" t="n">
        <v>10585</v>
      </c>
      <c r="I1328" s="8" t="n">
        <v>10630</v>
      </c>
      <c r="J1328" s="8" t="n">
        <v>10690</v>
      </c>
      <c r="K1328" s="8" t="n">
        <v>10505</v>
      </c>
      <c r="L1328" s="8" t="n">
        <v>499242</v>
      </c>
      <c r="M1328" s="8" t="n">
        <v>278358</v>
      </c>
      <c r="N1328" s="9" t="inlineStr">
        <is>
          <t>否</t>
        </is>
      </c>
      <c r="O1328" t="inlineStr">
        <is>
          <t>缺 PP</t>
        </is>
      </c>
    </row>
    <row r="1329">
      <c r="A1329" s="7" t="inlineStr">
        <is>
          <t>2012-12-21</t>
        </is>
      </c>
      <c r="B1329" s="8" t="n"/>
      <c r="C1329" s="8" t="n"/>
      <c r="D1329" s="8" t="n"/>
      <c r="E1329" s="8" t="n"/>
      <c r="F1329" s="8" t="n"/>
      <c r="G1329" s="8" t="n"/>
      <c r="H1329" s="8" t="n">
        <v>10505</v>
      </c>
      <c r="I1329" s="8" t="n">
        <v>10555</v>
      </c>
      <c r="J1329" s="8" t="n">
        <v>10640</v>
      </c>
      <c r="K1329" s="8" t="n">
        <v>10490</v>
      </c>
      <c r="L1329" s="8" t="n">
        <v>482040</v>
      </c>
      <c r="M1329" s="8" t="n">
        <v>281950</v>
      </c>
      <c r="N1329" s="9" t="inlineStr">
        <is>
          <t>否</t>
        </is>
      </c>
      <c r="O1329" t="inlineStr">
        <is>
          <t>缺 PP</t>
        </is>
      </c>
    </row>
    <row r="1330">
      <c r="A1330" s="7" t="inlineStr">
        <is>
          <t>2012-12-24</t>
        </is>
      </c>
      <c r="B1330" s="8" t="n"/>
      <c r="C1330" s="8" t="n"/>
      <c r="D1330" s="8" t="n"/>
      <c r="E1330" s="8" t="n"/>
      <c r="F1330" s="8" t="n"/>
      <c r="G1330" s="8" t="n"/>
      <c r="H1330" s="8" t="n">
        <v>10555</v>
      </c>
      <c r="I1330" s="8" t="n">
        <v>10500</v>
      </c>
      <c r="J1330" s="8" t="n">
        <v>10585</v>
      </c>
      <c r="K1330" s="8" t="n">
        <v>10455</v>
      </c>
      <c r="L1330" s="8" t="n">
        <v>323470</v>
      </c>
      <c r="M1330" s="8" t="n">
        <v>271938</v>
      </c>
      <c r="N1330" s="9" t="inlineStr">
        <is>
          <t>否</t>
        </is>
      </c>
      <c r="O1330" t="inlineStr">
        <is>
          <t>缺 PP</t>
        </is>
      </c>
    </row>
    <row r="1331">
      <c r="A1331" s="7" t="inlineStr">
        <is>
          <t>2012-12-25</t>
        </is>
      </c>
      <c r="B1331" s="8" t="n"/>
      <c r="C1331" s="8" t="n"/>
      <c r="D1331" s="8" t="n"/>
      <c r="E1331" s="8" t="n"/>
      <c r="F1331" s="8" t="n"/>
      <c r="G1331" s="8" t="n"/>
      <c r="H1331" s="8" t="n">
        <v>10645</v>
      </c>
      <c r="I1331" s="8" t="n">
        <v>10575</v>
      </c>
      <c r="J1331" s="8" t="n">
        <v>10700</v>
      </c>
      <c r="K1331" s="8" t="n">
        <v>10530</v>
      </c>
      <c r="L1331" s="8" t="n">
        <v>435772</v>
      </c>
      <c r="M1331" s="8" t="n">
        <v>279762</v>
      </c>
      <c r="N1331" s="9" t="inlineStr">
        <is>
          <t>否</t>
        </is>
      </c>
      <c r="O1331" t="inlineStr">
        <is>
          <t>缺 PP</t>
        </is>
      </c>
    </row>
    <row r="1332">
      <c r="A1332" s="7" t="inlineStr">
        <is>
          <t>2012-12-26</t>
        </is>
      </c>
      <c r="B1332" s="8" t="n"/>
      <c r="C1332" s="8" t="n"/>
      <c r="D1332" s="8" t="n"/>
      <c r="E1332" s="8" t="n"/>
      <c r="F1332" s="8" t="n"/>
      <c r="G1332" s="8" t="n"/>
      <c r="H1332" s="8" t="n">
        <v>10630</v>
      </c>
      <c r="I1332" s="8" t="n">
        <v>10655</v>
      </c>
      <c r="J1332" s="8" t="n">
        <v>10720</v>
      </c>
      <c r="K1332" s="8" t="n">
        <v>10600</v>
      </c>
      <c r="L1332" s="8" t="n">
        <v>430016</v>
      </c>
      <c r="M1332" s="8" t="n">
        <v>285700</v>
      </c>
      <c r="N1332" s="9" t="inlineStr">
        <is>
          <t>否</t>
        </is>
      </c>
      <c r="O1332" t="inlineStr">
        <is>
          <t>缺 PP</t>
        </is>
      </c>
    </row>
    <row r="1333">
      <c r="A1333" s="7" t="inlineStr">
        <is>
          <t>2012-12-27</t>
        </is>
      </c>
      <c r="B1333" s="8" t="n"/>
      <c r="C1333" s="8" t="n"/>
      <c r="D1333" s="8" t="n"/>
      <c r="E1333" s="8" t="n"/>
      <c r="F1333" s="8" t="n"/>
      <c r="G1333" s="8" t="n"/>
      <c r="H1333" s="8" t="n">
        <v>10675</v>
      </c>
      <c r="I1333" s="8" t="n">
        <v>10660</v>
      </c>
      <c r="J1333" s="8" t="n">
        <v>10775</v>
      </c>
      <c r="K1333" s="8" t="n">
        <v>10625</v>
      </c>
      <c r="L1333" s="8" t="n">
        <v>720500</v>
      </c>
      <c r="M1333" s="8" t="n">
        <v>281030</v>
      </c>
      <c r="N1333" s="9" t="inlineStr">
        <is>
          <t>否</t>
        </is>
      </c>
      <c r="O1333" t="inlineStr">
        <is>
          <t>缺 PP</t>
        </is>
      </c>
    </row>
    <row r="1334">
      <c r="A1334" s="7" t="inlineStr">
        <is>
          <t>2012-12-28</t>
        </is>
      </c>
      <c r="B1334" s="8" t="n"/>
      <c r="C1334" s="8" t="n"/>
      <c r="D1334" s="8" t="n"/>
      <c r="E1334" s="8" t="n"/>
      <c r="F1334" s="8" t="n"/>
      <c r="G1334" s="8" t="n"/>
      <c r="H1334" s="8" t="n">
        <v>10730</v>
      </c>
      <c r="I1334" s="8" t="n">
        <v>10685</v>
      </c>
      <c r="J1334" s="8" t="n">
        <v>10740</v>
      </c>
      <c r="K1334" s="8" t="n">
        <v>10655</v>
      </c>
      <c r="L1334" s="8" t="n">
        <v>325278</v>
      </c>
      <c r="M1334" s="8" t="n">
        <v>270776</v>
      </c>
      <c r="N1334" s="9" t="inlineStr">
        <is>
          <t>否</t>
        </is>
      </c>
      <c r="O1334" t="inlineStr">
        <is>
          <t>缺 PP</t>
        </is>
      </c>
    </row>
    <row r="1335">
      <c r="A1335" s="7" t="inlineStr">
        <is>
          <t>2012-12-31</t>
        </is>
      </c>
      <c r="B1335" s="8" t="n"/>
      <c r="C1335" s="8" t="n"/>
      <c r="D1335" s="8" t="n"/>
      <c r="E1335" s="8" t="n"/>
      <c r="F1335" s="8" t="n"/>
      <c r="G1335" s="8" t="n"/>
      <c r="H1335" s="8" t="n">
        <v>10850</v>
      </c>
      <c r="I1335" s="8" t="n">
        <v>10740</v>
      </c>
      <c r="J1335" s="8" t="n">
        <v>10885</v>
      </c>
      <c r="K1335" s="8" t="n">
        <v>10710</v>
      </c>
      <c r="L1335" s="8" t="n">
        <v>330772</v>
      </c>
      <c r="M1335" s="8" t="n">
        <v>259596</v>
      </c>
      <c r="N1335" s="9" t="inlineStr">
        <is>
          <t>否</t>
        </is>
      </c>
      <c r="O1335" t="inlineStr">
        <is>
          <t>缺 PP</t>
        </is>
      </c>
    </row>
    <row r="1336">
      <c r="A1336" s="7" t="inlineStr">
        <is>
          <t>2013-01-04</t>
        </is>
      </c>
      <c r="B1336" s="8" t="n"/>
      <c r="C1336" s="8" t="n"/>
      <c r="D1336" s="8" t="n"/>
      <c r="E1336" s="8" t="n"/>
      <c r="F1336" s="8" t="n"/>
      <c r="G1336" s="8" t="n"/>
      <c r="H1336" s="8" t="n">
        <v>10880</v>
      </c>
      <c r="I1336" s="8" t="n">
        <v>10900</v>
      </c>
      <c r="J1336" s="8" t="n">
        <v>10950</v>
      </c>
      <c r="K1336" s="8" t="n">
        <v>10830</v>
      </c>
      <c r="L1336" s="8" t="n">
        <v>232104</v>
      </c>
      <c r="M1336" s="8" t="n">
        <v>265934</v>
      </c>
      <c r="N1336" s="9" t="inlineStr">
        <is>
          <t>否</t>
        </is>
      </c>
      <c r="O1336" t="inlineStr">
        <is>
          <t>缺 PP</t>
        </is>
      </c>
    </row>
    <row r="1337">
      <c r="A1337" s="7" t="inlineStr">
        <is>
          <t>2013-01-07</t>
        </is>
      </c>
      <c r="B1337" s="8" t="n"/>
      <c r="C1337" s="8" t="n"/>
      <c r="D1337" s="8" t="n"/>
      <c r="E1337" s="8" t="n"/>
      <c r="F1337" s="8" t="n"/>
      <c r="G1337" s="8" t="n"/>
      <c r="H1337" s="8" t="n">
        <v>10930</v>
      </c>
      <c r="I1337" s="8" t="n">
        <v>10895</v>
      </c>
      <c r="J1337" s="8" t="n">
        <v>11180</v>
      </c>
      <c r="K1337" s="8" t="n">
        <v>10880</v>
      </c>
      <c r="L1337" s="8" t="n">
        <v>597098</v>
      </c>
      <c r="M1337" s="8" t="n">
        <v>275556</v>
      </c>
      <c r="N1337" s="9" t="inlineStr">
        <is>
          <t>否</t>
        </is>
      </c>
      <c r="O1337" t="inlineStr">
        <is>
          <t>缺 PP</t>
        </is>
      </c>
    </row>
    <row r="1338">
      <c r="A1338" s="7" t="inlineStr">
        <is>
          <t>2013-01-08</t>
        </is>
      </c>
      <c r="B1338" s="8" t="n"/>
      <c r="C1338" s="8" t="n"/>
      <c r="D1338" s="8" t="n"/>
      <c r="E1338" s="8" t="n"/>
      <c r="F1338" s="8" t="n"/>
      <c r="G1338" s="8" t="n"/>
      <c r="H1338" s="8" t="n">
        <v>10755</v>
      </c>
      <c r="I1338" s="8" t="n">
        <v>10965</v>
      </c>
      <c r="J1338" s="8" t="n">
        <v>10985</v>
      </c>
      <c r="K1338" s="8" t="n">
        <v>10750</v>
      </c>
      <c r="L1338" s="8" t="n">
        <v>532374</v>
      </c>
      <c r="M1338" s="8" t="n">
        <v>262246</v>
      </c>
      <c r="N1338" s="9" t="inlineStr">
        <is>
          <t>否</t>
        </is>
      </c>
      <c r="O1338" t="inlineStr">
        <is>
          <t>缺 PP</t>
        </is>
      </c>
    </row>
    <row r="1339">
      <c r="A1339" s="7" t="inlineStr">
        <is>
          <t>2013-01-09</t>
        </is>
      </c>
      <c r="B1339" s="8" t="n"/>
      <c r="C1339" s="8" t="n"/>
      <c r="D1339" s="8" t="n"/>
      <c r="E1339" s="8" t="n"/>
      <c r="F1339" s="8" t="n"/>
      <c r="G1339" s="8" t="n"/>
      <c r="H1339" s="8" t="n">
        <v>10715</v>
      </c>
      <c r="I1339" s="8" t="n">
        <v>10770</v>
      </c>
      <c r="J1339" s="8" t="n">
        <v>10795</v>
      </c>
      <c r="K1339" s="8" t="n">
        <v>10660</v>
      </c>
      <c r="L1339" s="8" t="n">
        <v>448678</v>
      </c>
      <c r="M1339" s="8" t="n">
        <v>242294</v>
      </c>
      <c r="N1339" s="9" t="inlineStr">
        <is>
          <t>否</t>
        </is>
      </c>
      <c r="O1339" t="inlineStr">
        <is>
          <t>缺 PP</t>
        </is>
      </c>
    </row>
    <row r="1340">
      <c r="A1340" s="7" t="inlineStr">
        <is>
          <t>2013-01-10</t>
        </is>
      </c>
      <c r="B1340" s="8" t="n"/>
      <c r="C1340" s="8" t="n"/>
      <c r="D1340" s="8" t="n"/>
      <c r="E1340" s="8" t="n"/>
      <c r="F1340" s="8" t="n"/>
      <c r="G1340" s="8" t="n"/>
      <c r="H1340" s="8" t="n">
        <v>10735</v>
      </c>
      <c r="I1340" s="8" t="n">
        <v>10760</v>
      </c>
      <c r="J1340" s="8" t="n">
        <v>10775</v>
      </c>
      <c r="K1340" s="8" t="n">
        <v>10690</v>
      </c>
      <c r="L1340" s="8" t="n">
        <v>263232</v>
      </c>
      <c r="M1340" s="8" t="n">
        <v>226166</v>
      </c>
      <c r="N1340" s="9" t="inlineStr">
        <is>
          <t>否</t>
        </is>
      </c>
      <c r="O1340" t="inlineStr">
        <is>
          <t>缺 PP</t>
        </is>
      </c>
    </row>
    <row r="1341">
      <c r="A1341" s="7" t="inlineStr">
        <is>
          <t>2013-01-11</t>
        </is>
      </c>
      <c r="B1341" s="8" t="n"/>
      <c r="C1341" s="8" t="n"/>
      <c r="D1341" s="8" t="n"/>
      <c r="E1341" s="8" t="n"/>
      <c r="F1341" s="8" t="n"/>
      <c r="G1341" s="8" t="n"/>
      <c r="H1341" s="8" t="n">
        <v>10570</v>
      </c>
      <c r="I1341" s="8" t="n">
        <v>10790</v>
      </c>
      <c r="J1341" s="8" t="n">
        <v>10790</v>
      </c>
      <c r="K1341" s="8" t="n">
        <v>10570</v>
      </c>
      <c r="L1341" s="8" t="n">
        <v>474256</v>
      </c>
      <c r="M1341" s="8" t="n">
        <v>212364</v>
      </c>
      <c r="N1341" s="9" t="inlineStr">
        <is>
          <t>否</t>
        </is>
      </c>
      <c r="O1341" t="inlineStr">
        <is>
          <t>缺 PP</t>
        </is>
      </c>
    </row>
    <row r="1342">
      <c r="A1342" s="7" t="inlineStr">
        <is>
          <t>2013-01-14</t>
        </is>
      </c>
      <c r="B1342" s="8" t="n"/>
      <c r="C1342" s="8" t="n"/>
      <c r="D1342" s="8" t="n"/>
      <c r="E1342" s="8" t="n"/>
      <c r="F1342" s="8" t="n"/>
      <c r="G1342" s="8" t="n"/>
      <c r="H1342" s="8" t="n">
        <v>10650</v>
      </c>
      <c r="I1342" s="8" t="n">
        <v>10620</v>
      </c>
      <c r="J1342" s="8" t="n">
        <v>10725</v>
      </c>
      <c r="K1342" s="8" t="n">
        <v>10555</v>
      </c>
      <c r="L1342" s="8" t="n">
        <v>455536</v>
      </c>
      <c r="M1342" s="8" t="n">
        <v>210338</v>
      </c>
      <c r="N1342" s="9" t="inlineStr">
        <is>
          <t>否</t>
        </is>
      </c>
      <c r="O1342" t="inlineStr">
        <is>
          <t>缺 PP</t>
        </is>
      </c>
    </row>
    <row r="1343">
      <c r="A1343" s="7" t="inlineStr">
        <is>
          <t>2013-01-15</t>
        </is>
      </c>
      <c r="B1343" s="8" t="n"/>
      <c r="C1343" s="8" t="n"/>
      <c r="D1343" s="8" t="n"/>
      <c r="E1343" s="8" t="n"/>
      <c r="F1343" s="8" t="n"/>
      <c r="G1343" s="8" t="n"/>
      <c r="H1343" s="8" t="n">
        <v>10645</v>
      </c>
      <c r="I1343" s="8" t="n">
        <v>10650</v>
      </c>
      <c r="J1343" s="8" t="n">
        <v>10770</v>
      </c>
      <c r="K1343" s="8" t="n">
        <v>10590</v>
      </c>
      <c r="L1343" s="8" t="n">
        <v>889802</v>
      </c>
      <c r="M1343" s="8" t="n">
        <v>217000</v>
      </c>
      <c r="N1343" s="9" t="inlineStr">
        <is>
          <t>否</t>
        </is>
      </c>
      <c r="O1343" t="inlineStr">
        <is>
          <t>缺 PP</t>
        </is>
      </c>
    </row>
    <row r="1344">
      <c r="A1344" s="7" t="inlineStr">
        <is>
          <t>2013-01-16</t>
        </is>
      </c>
      <c r="B1344" s="8" t="n"/>
      <c r="C1344" s="8" t="n"/>
      <c r="D1344" s="8" t="n"/>
      <c r="E1344" s="8" t="n"/>
      <c r="F1344" s="8" t="n"/>
      <c r="G1344" s="8" t="n"/>
      <c r="H1344" s="8" t="n">
        <v>10635</v>
      </c>
      <c r="I1344" s="8" t="n">
        <v>10630</v>
      </c>
      <c r="J1344" s="8" t="n">
        <v>10735</v>
      </c>
      <c r="K1344" s="8" t="n">
        <v>10580</v>
      </c>
      <c r="L1344" s="8" t="n">
        <v>746406</v>
      </c>
      <c r="M1344" s="8" t="n">
        <v>220850</v>
      </c>
      <c r="N1344" s="9" t="inlineStr">
        <is>
          <t>否</t>
        </is>
      </c>
      <c r="O1344" t="inlineStr">
        <is>
          <t>缺 PP</t>
        </is>
      </c>
    </row>
    <row r="1345">
      <c r="A1345" s="7" t="inlineStr">
        <is>
          <t>2013-01-17</t>
        </is>
      </c>
      <c r="B1345" s="8" t="n"/>
      <c r="C1345" s="8" t="n"/>
      <c r="D1345" s="8" t="n"/>
      <c r="E1345" s="8" t="n"/>
      <c r="F1345" s="8" t="n"/>
      <c r="G1345" s="8" t="n"/>
      <c r="H1345" s="8" t="n">
        <v>10655</v>
      </c>
      <c r="I1345" s="8" t="n">
        <v>10670</v>
      </c>
      <c r="J1345" s="8" t="n">
        <v>10685</v>
      </c>
      <c r="K1345" s="8" t="n">
        <v>10620</v>
      </c>
      <c r="L1345" s="8" t="n">
        <v>281050</v>
      </c>
      <c r="M1345" s="8" t="n">
        <v>208956</v>
      </c>
      <c r="N1345" s="9" t="inlineStr">
        <is>
          <t>否</t>
        </is>
      </c>
      <c r="O1345" t="inlineStr">
        <is>
          <t>缺 PP</t>
        </is>
      </c>
    </row>
    <row r="1346">
      <c r="A1346" s="7" t="inlineStr">
        <is>
          <t>2013-01-18</t>
        </is>
      </c>
      <c r="B1346" s="8" t="n"/>
      <c r="C1346" s="8" t="n"/>
      <c r="D1346" s="8" t="n"/>
      <c r="E1346" s="8" t="n"/>
      <c r="F1346" s="8" t="n"/>
      <c r="G1346" s="8" t="n"/>
      <c r="H1346" s="8" t="n">
        <v>10780</v>
      </c>
      <c r="I1346" s="8" t="n">
        <v>10715</v>
      </c>
      <c r="J1346" s="8" t="n">
        <v>10785</v>
      </c>
      <c r="K1346" s="8" t="n">
        <v>10680</v>
      </c>
      <c r="L1346" s="8" t="n">
        <v>456838</v>
      </c>
      <c r="M1346" s="8" t="n">
        <v>210174</v>
      </c>
      <c r="N1346" s="9" t="inlineStr">
        <is>
          <t>否</t>
        </is>
      </c>
      <c r="O1346" t="inlineStr">
        <is>
          <t>缺 PP</t>
        </is>
      </c>
    </row>
    <row r="1347">
      <c r="A1347" s="7" t="inlineStr">
        <is>
          <t>2013-01-21</t>
        </is>
      </c>
      <c r="B1347" s="8" t="n"/>
      <c r="C1347" s="8" t="n"/>
      <c r="D1347" s="8" t="n"/>
      <c r="E1347" s="8" t="n"/>
      <c r="F1347" s="8" t="n"/>
      <c r="G1347" s="8" t="n"/>
      <c r="H1347" s="8" t="n">
        <v>10710</v>
      </c>
      <c r="I1347" s="8" t="n">
        <v>10755</v>
      </c>
      <c r="J1347" s="8" t="n">
        <v>10775</v>
      </c>
      <c r="K1347" s="8" t="n">
        <v>10700</v>
      </c>
      <c r="L1347" s="8" t="n">
        <v>200854</v>
      </c>
      <c r="M1347" s="8" t="n">
        <v>199132</v>
      </c>
      <c r="N1347" s="9" t="inlineStr">
        <is>
          <t>否</t>
        </is>
      </c>
      <c r="O1347" t="inlineStr">
        <is>
          <t>缺 PP</t>
        </is>
      </c>
    </row>
    <row r="1348">
      <c r="A1348" s="7" t="inlineStr">
        <is>
          <t>2013-01-22</t>
        </is>
      </c>
      <c r="B1348" s="8" t="n"/>
      <c r="C1348" s="8" t="n"/>
      <c r="D1348" s="8" t="n"/>
      <c r="E1348" s="8" t="n"/>
      <c r="F1348" s="8" t="n"/>
      <c r="G1348" s="8" t="n"/>
      <c r="H1348" s="8" t="n">
        <v>10755</v>
      </c>
      <c r="I1348" s="8" t="n">
        <v>10725</v>
      </c>
      <c r="J1348" s="8" t="n">
        <v>10765</v>
      </c>
      <c r="K1348" s="8" t="n">
        <v>10705</v>
      </c>
      <c r="L1348" s="8" t="n">
        <v>253650</v>
      </c>
      <c r="M1348" s="8" t="n">
        <v>200704</v>
      </c>
      <c r="N1348" s="9" t="inlineStr">
        <is>
          <t>否</t>
        </is>
      </c>
      <c r="O1348" t="inlineStr">
        <is>
          <t>缺 PP</t>
        </is>
      </c>
    </row>
    <row r="1349">
      <c r="A1349" s="7" t="inlineStr">
        <is>
          <t>2013-01-23</t>
        </is>
      </c>
      <c r="B1349" s="8" t="n"/>
      <c r="C1349" s="8" t="n"/>
      <c r="D1349" s="8" t="n"/>
      <c r="E1349" s="8" t="n"/>
      <c r="F1349" s="8" t="n"/>
      <c r="G1349" s="8" t="n"/>
      <c r="H1349" s="8" t="n">
        <v>10770</v>
      </c>
      <c r="I1349" s="8" t="n">
        <v>10780</v>
      </c>
      <c r="J1349" s="8" t="n">
        <v>10800</v>
      </c>
      <c r="K1349" s="8" t="n">
        <v>10740</v>
      </c>
      <c r="L1349" s="8" t="n">
        <v>196750</v>
      </c>
      <c r="M1349" s="8" t="n">
        <v>207252</v>
      </c>
      <c r="N1349" s="9" t="inlineStr">
        <is>
          <t>否</t>
        </is>
      </c>
      <c r="O1349" t="inlineStr">
        <is>
          <t>缺 PP</t>
        </is>
      </c>
    </row>
    <row r="1350">
      <c r="A1350" s="7" t="inlineStr">
        <is>
          <t>2013-01-24</t>
        </is>
      </c>
      <c r="B1350" s="8" t="n"/>
      <c r="C1350" s="8" t="n"/>
      <c r="D1350" s="8" t="n"/>
      <c r="E1350" s="8" t="n"/>
      <c r="F1350" s="8" t="n"/>
      <c r="G1350" s="8" t="n"/>
      <c r="H1350" s="8" t="n">
        <v>10700</v>
      </c>
      <c r="I1350" s="8" t="n">
        <v>10745</v>
      </c>
      <c r="J1350" s="8" t="n">
        <v>10750</v>
      </c>
      <c r="K1350" s="8" t="n">
        <v>10635</v>
      </c>
      <c r="L1350" s="8" t="n">
        <v>368240</v>
      </c>
      <c r="M1350" s="8" t="n">
        <v>208878</v>
      </c>
      <c r="N1350" s="9" t="inlineStr">
        <is>
          <t>否</t>
        </is>
      </c>
      <c r="O1350" t="inlineStr">
        <is>
          <t>缺 PP</t>
        </is>
      </c>
    </row>
    <row r="1351">
      <c r="A1351" s="7" t="inlineStr">
        <is>
          <t>2013-01-25</t>
        </is>
      </c>
      <c r="B1351" s="8" t="n"/>
      <c r="C1351" s="8" t="n"/>
      <c r="D1351" s="8" t="n"/>
      <c r="E1351" s="8" t="n"/>
      <c r="F1351" s="8" t="n"/>
      <c r="G1351" s="8" t="n"/>
      <c r="H1351" s="8" t="n">
        <v>10740</v>
      </c>
      <c r="I1351" s="8" t="n">
        <v>10705</v>
      </c>
      <c r="J1351" s="8" t="n">
        <v>10780</v>
      </c>
      <c r="K1351" s="8" t="n">
        <v>10705</v>
      </c>
      <c r="L1351" s="8" t="n">
        <v>185574</v>
      </c>
      <c r="M1351" s="8" t="n">
        <v>193400</v>
      </c>
      <c r="N1351" s="9" t="inlineStr">
        <is>
          <t>否</t>
        </is>
      </c>
      <c r="O1351" t="inlineStr">
        <is>
          <t>缺 PP</t>
        </is>
      </c>
    </row>
    <row r="1352">
      <c r="A1352" s="7" t="inlineStr">
        <is>
          <t>2013-01-28</t>
        </is>
      </c>
      <c r="B1352" s="8" t="n"/>
      <c r="C1352" s="8" t="n"/>
      <c r="D1352" s="8" t="n"/>
      <c r="E1352" s="8" t="n"/>
      <c r="F1352" s="8" t="n"/>
      <c r="G1352" s="8" t="n"/>
      <c r="H1352" s="8" t="n">
        <v>10885</v>
      </c>
      <c r="I1352" s="8" t="n">
        <v>10750</v>
      </c>
      <c r="J1352" s="8" t="n">
        <v>10890</v>
      </c>
      <c r="K1352" s="8" t="n">
        <v>10735</v>
      </c>
      <c r="L1352" s="8" t="n">
        <v>338786</v>
      </c>
      <c r="M1352" s="8" t="n">
        <v>212468</v>
      </c>
      <c r="N1352" s="9" t="inlineStr">
        <is>
          <t>否</t>
        </is>
      </c>
      <c r="O1352" t="inlineStr">
        <is>
          <t>缺 PP</t>
        </is>
      </c>
    </row>
    <row r="1353">
      <c r="A1353" s="7" t="inlineStr">
        <is>
          <t>2013-01-29</t>
        </is>
      </c>
      <c r="B1353" s="8" t="n"/>
      <c r="C1353" s="8" t="n"/>
      <c r="D1353" s="8" t="n"/>
      <c r="E1353" s="8" t="n"/>
      <c r="F1353" s="8" t="n"/>
      <c r="G1353" s="8" t="n"/>
      <c r="H1353" s="8" t="n">
        <v>10990</v>
      </c>
      <c r="I1353" s="8" t="n">
        <v>10880</v>
      </c>
      <c r="J1353" s="8" t="n">
        <v>10995</v>
      </c>
      <c r="K1353" s="8" t="n">
        <v>10875</v>
      </c>
      <c r="L1353" s="8" t="n">
        <v>298434</v>
      </c>
      <c r="M1353" s="8" t="n">
        <v>227198</v>
      </c>
      <c r="N1353" s="9" t="inlineStr">
        <is>
          <t>否</t>
        </is>
      </c>
      <c r="O1353" t="inlineStr">
        <is>
          <t>缺 PP</t>
        </is>
      </c>
    </row>
    <row r="1354">
      <c r="A1354" s="7" t="inlineStr">
        <is>
          <t>2013-01-30</t>
        </is>
      </c>
      <c r="B1354" s="8" t="n"/>
      <c r="C1354" s="8" t="n"/>
      <c r="D1354" s="8" t="n"/>
      <c r="E1354" s="8" t="n"/>
      <c r="F1354" s="8" t="n"/>
      <c r="G1354" s="8" t="n"/>
      <c r="H1354" s="8" t="n">
        <v>11020</v>
      </c>
      <c r="I1354" s="8" t="n">
        <v>11035</v>
      </c>
      <c r="J1354" s="8" t="n">
        <v>11045</v>
      </c>
      <c r="K1354" s="8" t="n">
        <v>10960</v>
      </c>
      <c r="L1354" s="8" t="n">
        <v>253078</v>
      </c>
      <c r="M1354" s="8" t="n">
        <v>218326</v>
      </c>
      <c r="N1354" s="9" t="inlineStr">
        <is>
          <t>否</t>
        </is>
      </c>
      <c r="O1354" t="inlineStr">
        <is>
          <t>缺 PP</t>
        </is>
      </c>
    </row>
    <row r="1355">
      <c r="A1355" s="7" t="inlineStr">
        <is>
          <t>2013-01-31</t>
        </is>
      </c>
      <c r="B1355" s="8" t="n"/>
      <c r="C1355" s="8" t="n"/>
      <c r="D1355" s="8" t="n"/>
      <c r="E1355" s="8" t="n"/>
      <c r="F1355" s="8" t="n"/>
      <c r="G1355" s="8" t="n"/>
      <c r="H1355" s="8" t="n">
        <v>11065</v>
      </c>
      <c r="I1355" s="8" t="n">
        <v>11050</v>
      </c>
      <c r="J1355" s="8" t="n">
        <v>11095</v>
      </c>
      <c r="K1355" s="8" t="n">
        <v>11005</v>
      </c>
      <c r="L1355" s="8" t="n">
        <v>237872</v>
      </c>
      <c r="M1355" s="8" t="n">
        <v>214000</v>
      </c>
      <c r="N1355" s="9" t="inlineStr">
        <is>
          <t>否</t>
        </is>
      </c>
      <c r="O1355" t="inlineStr">
        <is>
          <t>缺 PP</t>
        </is>
      </c>
    </row>
    <row r="1356">
      <c r="A1356" s="7" t="inlineStr">
        <is>
          <t>2013-02-01</t>
        </is>
      </c>
      <c r="B1356" s="8" t="n"/>
      <c r="C1356" s="8" t="n"/>
      <c r="D1356" s="8" t="n"/>
      <c r="E1356" s="8" t="n"/>
      <c r="F1356" s="8" t="n"/>
      <c r="G1356" s="8" t="n"/>
      <c r="H1356" s="8" t="n">
        <v>11140</v>
      </c>
      <c r="I1356" s="8" t="n">
        <v>11070</v>
      </c>
      <c r="J1356" s="8" t="n">
        <v>11145</v>
      </c>
      <c r="K1356" s="8" t="n">
        <v>11035</v>
      </c>
      <c r="L1356" s="8" t="n">
        <v>305562</v>
      </c>
      <c r="M1356" s="8" t="n">
        <v>231966</v>
      </c>
      <c r="N1356" s="9" t="inlineStr">
        <is>
          <t>否</t>
        </is>
      </c>
      <c r="O1356" t="inlineStr">
        <is>
          <t>缺 PP</t>
        </is>
      </c>
    </row>
    <row r="1357">
      <c r="A1357" s="7" t="inlineStr">
        <is>
          <t>2013-02-04</t>
        </is>
      </c>
      <c r="B1357" s="8" t="n"/>
      <c r="C1357" s="8" t="n"/>
      <c r="D1357" s="8" t="n"/>
      <c r="E1357" s="8" t="n"/>
      <c r="F1357" s="8" t="n"/>
      <c r="G1357" s="8" t="n"/>
      <c r="H1357" s="8" t="n">
        <v>11360</v>
      </c>
      <c r="I1357" s="8" t="n">
        <v>11195</v>
      </c>
      <c r="J1357" s="8" t="n">
        <v>11540</v>
      </c>
      <c r="K1357" s="8" t="n">
        <v>11150</v>
      </c>
      <c r="L1357" s="8" t="n">
        <v>702822</v>
      </c>
      <c r="M1357" s="8" t="n">
        <v>252290</v>
      </c>
      <c r="N1357" s="9" t="inlineStr">
        <is>
          <t>否</t>
        </is>
      </c>
      <c r="O1357" t="inlineStr">
        <is>
          <t>缺 PP</t>
        </is>
      </c>
    </row>
    <row r="1358">
      <c r="A1358" s="7" t="inlineStr">
        <is>
          <t>2013-02-05</t>
        </is>
      </c>
      <c r="B1358" s="8" t="n"/>
      <c r="C1358" s="8" t="n"/>
      <c r="D1358" s="8" t="n"/>
      <c r="E1358" s="8" t="n"/>
      <c r="F1358" s="8" t="n"/>
      <c r="G1358" s="8" t="n"/>
      <c r="H1358" s="8" t="n">
        <v>11355</v>
      </c>
      <c r="I1358" s="8" t="n">
        <v>11300</v>
      </c>
      <c r="J1358" s="8" t="n">
        <v>11415</v>
      </c>
      <c r="K1358" s="8" t="n">
        <v>11290</v>
      </c>
      <c r="L1358" s="8" t="n">
        <v>449686</v>
      </c>
      <c r="M1358" s="8" t="n">
        <v>215174</v>
      </c>
      <c r="N1358" s="9" t="inlineStr">
        <is>
          <t>否</t>
        </is>
      </c>
      <c r="O1358" t="inlineStr">
        <is>
          <t>缺 PP</t>
        </is>
      </c>
    </row>
    <row r="1359">
      <c r="A1359" s="7" t="inlineStr">
        <is>
          <t>2013-02-06</t>
        </is>
      </c>
      <c r="B1359" s="8" t="n"/>
      <c r="C1359" s="8" t="n"/>
      <c r="D1359" s="8" t="n"/>
      <c r="E1359" s="8" t="n"/>
      <c r="F1359" s="8" t="n"/>
      <c r="G1359" s="8" t="n"/>
      <c r="H1359" s="8" t="n">
        <v>11425</v>
      </c>
      <c r="I1359" s="8" t="n">
        <v>11535</v>
      </c>
      <c r="J1359" s="8" t="n">
        <v>11675</v>
      </c>
      <c r="K1359" s="8" t="n">
        <v>11360</v>
      </c>
      <c r="L1359" s="8" t="n">
        <v>543672</v>
      </c>
      <c r="M1359" s="8" t="n">
        <v>165468</v>
      </c>
      <c r="N1359" s="9" t="inlineStr">
        <is>
          <t>否</t>
        </is>
      </c>
      <c r="O1359" t="inlineStr">
        <is>
          <t>缺 PP</t>
        </is>
      </c>
    </row>
    <row r="1360">
      <c r="A1360" s="7" t="inlineStr">
        <is>
          <t>2013-02-07</t>
        </is>
      </c>
      <c r="B1360" s="8" t="n"/>
      <c r="C1360" s="8" t="n"/>
      <c r="D1360" s="8" t="n"/>
      <c r="E1360" s="8" t="n"/>
      <c r="F1360" s="8" t="n"/>
      <c r="G1360" s="8" t="n"/>
      <c r="H1360" s="8" t="n">
        <v>11570</v>
      </c>
      <c r="I1360" s="8" t="n">
        <v>11450</v>
      </c>
      <c r="J1360" s="8" t="n">
        <v>11625</v>
      </c>
      <c r="K1360" s="8" t="n">
        <v>11325</v>
      </c>
      <c r="L1360" s="8" t="n">
        <v>339300</v>
      </c>
      <c r="M1360" s="8" t="n">
        <v>172028</v>
      </c>
      <c r="N1360" s="9" t="inlineStr">
        <is>
          <t>否</t>
        </is>
      </c>
      <c r="O1360" t="inlineStr">
        <is>
          <t>缺 PP</t>
        </is>
      </c>
    </row>
    <row r="1361">
      <c r="A1361" s="7" t="inlineStr">
        <is>
          <t>2013-02-08</t>
        </is>
      </c>
      <c r="B1361" s="8" t="n"/>
      <c r="C1361" s="8" t="n"/>
      <c r="D1361" s="8" t="n"/>
      <c r="E1361" s="8" t="n"/>
      <c r="F1361" s="8" t="n"/>
      <c r="G1361" s="8" t="n"/>
      <c r="H1361" s="8" t="n">
        <v>11585</v>
      </c>
      <c r="I1361" s="8" t="n">
        <v>11555</v>
      </c>
      <c r="J1361" s="8" t="n">
        <v>11650</v>
      </c>
      <c r="K1361" s="8" t="n">
        <v>11520</v>
      </c>
      <c r="L1361" s="8" t="n">
        <v>243256</v>
      </c>
      <c r="M1361" s="8" t="n">
        <v>163420</v>
      </c>
      <c r="N1361" s="9" t="inlineStr">
        <is>
          <t>否</t>
        </is>
      </c>
      <c r="O1361" t="inlineStr">
        <is>
          <t>缺 PP</t>
        </is>
      </c>
    </row>
    <row r="1362">
      <c r="A1362" s="7" t="inlineStr">
        <is>
          <t>2013-02-18</t>
        </is>
      </c>
      <c r="B1362" s="8" t="n"/>
      <c r="C1362" s="8" t="n"/>
      <c r="D1362" s="8" t="n"/>
      <c r="E1362" s="8" t="n"/>
      <c r="F1362" s="8" t="n"/>
      <c r="G1362" s="8" t="n"/>
      <c r="H1362" s="8" t="n">
        <v>11315</v>
      </c>
      <c r="I1362" s="8" t="n">
        <v>11550</v>
      </c>
      <c r="J1362" s="8" t="n">
        <v>11560</v>
      </c>
      <c r="K1362" s="8" t="n">
        <v>11310</v>
      </c>
      <c r="L1362" s="8" t="n">
        <v>299910</v>
      </c>
      <c r="M1362" s="8" t="n">
        <v>174716</v>
      </c>
      <c r="N1362" s="9" t="inlineStr">
        <is>
          <t>否</t>
        </is>
      </c>
      <c r="O1362" t="inlineStr">
        <is>
          <t>缺 PP</t>
        </is>
      </c>
    </row>
    <row r="1363">
      <c r="A1363" s="7" t="inlineStr">
        <is>
          <t>2013-02-19</t>
        </is>
      </c>
      <c r="B1363" s="8" t="n"/>
      <c r="C1363" s="8" t="n"/>
      <c r="D1363" s="8" t="n"/>
      <c r="E1363" s="8" t="n"/>
      <c r="F1363" s="8" t="n"/>
      <c r="G1363" s="8" t="n"/>
      <c r="H1363" s="8" t="n">
        <v>11235</v>
      </c>
      <c r="I1363" s="8" t="n">
        <v>11295</v>
      </c>
      <c r="J1363" s="8" t="n">
        <v>11330</v>
      </c>
      <c r="K1363" s="8" t="n">
        <v>11210</v>
      </c>
      <c r="L1363" s="8" t="n">
        <v>372058</v>
      </c>
      <c r="M1363" s="8" t="n">
        <v>201838</v>
      </c>
      <c r="N1363" s="9" t="inlineStr">
        <is>
          <t>否</t>
        </is>
      </c>
      <c r="O1363" t="inlineStr">
        <is>
          <t>缺 PP</t>
        </is>
      </c>
    </row>
    <row r="1364">
      <c r="A1364" s="7" t="inlineStr">
        <is>
          <t>2013-02-20</t>
        </is>
      </c>
      <c r="B1364" s="8" t="n"/>
      <c r="C1364" s="8" t="n"/>
      <c r="D1364" s="8" t="n"/>
      <c r="E1364" s="8" t="n"/>
      <c r="F1364" s="8" t="n"/>
      <c r="G1364" s="8" t="n"/>
      <c r="H1364" s="8" t="n">
        <v>11290</v>
      </c>
      <c r="I1364" s="8" t="n">
        <v>11280</v>
      </c>
      <c r="J1364" s="8" t="n">
        <v>11360</v>
      </c>
      <c r="K1364" s="8" t="n">
        <v>11225</v>
      </c>
      <c r="L1364" s="8" t="n">
        <v>552496</v>
      </c>
      <c r="M1364" s="8" t="n">
        <v>221618</v>
      </c>
      <c r="N1364" s="9" t="inlineStr">
        <is>
          <t>否</t>
        </is>
      </c>
      <c r="O1364" t="inlineStr">
        <is>
          <t>缺 PP</t>
        </is>
      </c>
    </row>
    <row r="1365">
      <c r="A1365" s="7" t="inlineStr">
        <is>
          <t>2013-02-21</t>
        </is>
      </c>
      <c r="B1365" s="8" t="n"/>
      <c r="C1365" s="8" t="n"/>
      <c r="D1365" s="8" t="n"/>
      <c r="E1365" s="8" t="n"/>
      <c r="F1365" s="8" t="n"/>
      <c r="G1365" s="8" t="n"/>
      <c r="H1365" s="8" t="n">
        <v>11015</v>
      </c>
      <c r="I1365" s="8" t="n">
        <v>11165</v>
      </c>
      <c r="J1365" s="8" t="n">
        <v>11235</v>
      </c>
      <c r="K1365" s="8" t="n">
        <v>10870</v>
      </c>
      <c r="L1365" s="8" t="n">
        <v>957500</v>
      </c>
      <c r="M1365" s="8" t="n">
        <v>239780</v>
      </c>
      <c r="N1365" s="9" t="inlineStr">
        <is>
          <t>否</t>
        </is>
      </c>
      <c r="O1365" t="inlineStr">
        <is>
          <t>缺 PP</t>
        </is>
      </c>
    </row>
    <row r="1366">
      <c r="A1366" s="7" t="inlineStr">
        <is>
          <t>2013-02-22</t>
        </is>
      </c>
      <c r="B1366" s="8" t="n"/>
      <c r="C1366" s="8" t="n"/>
      <c r="D1366" s="8" t="n"/>
      <c r="E1366" s="8" t="n"/>
      <c r="F1366" s="8" t="n"/>
      <c r="G1366" s="8" t="n"/>
      <c r="H1366" s="8" t="n">
        <v>11020</v>
      </c>
      <c r="I1366" s="8" t="n">
        <v>10995</v>
      </c>
      <c r="J1366" s="8" t="n">
        <v>11080</v>
      </c>
      <c r="K1366" s="8" t="n">
        <v>10975</v>
      </c>
      <c r="L1366" s="8" t="n">
        <v>460240</v>
      </c>
      <c r="M1366" s="8" t="n">
        <v>229726</v>
      </c>
      <c r="N1366" s="9" t="inlineStr">
        <is>
          <t>否</t>
        </is>
      </c>
      <c r="O1366" t="inlineStr">
        <is>
          <t>缺 PP</t>
        </is>
      </c>
    </row>
    <row r="1367">
      <c r="A1367" s="7" t="inlineStr">
        <is>
          <t>2013-02-25</t>
        </is>
      </c>
      <c r="B1367" s="8" t="n"/>
      <c r="C1367" s="8" t="n"/>
      <c r="D1367" s="8" t="n"/>
      <c r="E1367" s="8" t="n"/>
      <c r="F1367" s="8" t="n"/>
      <c r="G1367" s="8" t="n"/>
      <c r="H1367" s="8" t="n">
        <v>11025</v>
      </c>
      <c r="I1367" s="8" t="n">
        <v>11000</v>
      </c>
      <c r="J1367" s="8" t="n">
        <v>11125</v>
      </c>
      <c r="K1367" s="8" t="n">
        <v>10900</v>
      </c>
      <c r="L1367" s="8" t="n">
        <v>678686</v>
      </c>
      <c r="M1367" s="8" t="n">
        <v>236926</v>
      </c>
      <c r="N1367" s="9" t="inlineStr">
        <is>
          <t>否</t>
        </is>
      </c>
      <c r="O1367" t="inlineStr">
        <is>
          <t>缺 PP</t>
        </is>
      </c>
    </row>
    <row r="1368">
      <c r="A1368" s="7" t="inlineStr">
        <is>
          <t>2013-02-26</t>
        </is>
      </c>
      <c r="B1368" s="8" t="n"/>
      <c r="C1368" s="8" t="n"/>
      <c r="D1368" s="8" t="n"/>
      <c r="E1368" s="8" t="n"/>
      <c r="F1368" s="8" t="n"/>
      <c r="G1368" s="8" t="n"/>
      <c r="H1368" s="8" t="n">
        <v>10845</v>
      </c>
      <c r="I1368" s="8" t="n">
        <v>10905</v>
      </c>
      <c r="J1368" s="8" t="n">
        <v>10995</v>
      </c>
      <c r="K1368" s="8" t="n">
        <v>10835</v>
      </c>
      <c r="L1368" s="8" t="n">
        <v>695596</v>
      </c>
      <c r="M1368" s="8" t="n">
        <v>264618</v>
      </c>
      <c r="N1368" s="9" t="inlineStr">
        <is>
          <t>否</t>
        </is>
      </c>
      <c r="O1368" t="inlineStr">
        <is>
          <t>缺 PP</t>
        </is>
      </c>
    </row>
    <row r="1369">
      <c r="A1369" s="7" t="inlineStr">
        <is>
          <t>2013-02-27</t>
        </is>
      </c>
      <c r="B1369" s="8" t="n"/>
      <c r="C1369" s="8" t="n"/>
      <c r="D1369" s="8" t="n"/>
      <c r="E1369" s="8" t="n"/>
      <c r="F1369" s="8" t="n"/>
      <c r="G1369" s="8" t="n"/>
      <c r="H1369" s="8" t="n">
        <v>10790</v>
      </c>
      <c r="I1369" s="8" t="n">
        <v>10910</v>
      </c>
      <c r="J1369" s="8" t="n">
        <v>10930</v>
      </c>
      <c r="K1369" s="8" t="n">
        <v>10740</v>
      </c>
      <c r="L1369" s="8" t="n">
        <v>717588</v>
      </c>
      <c r="M1369" s="8" t="n">
        <v>247752</v>
      </c>
      <c r="N1369" s="9" t="inlineStr">
        <is>
          <t>否</t>
        </is>
      </c>
      <c r="O1369" t="inlineStr">
        <is>
          <t>缺 PP</t>
        </is>
      </c>
    </row>
    <row r="1370">
      <c r="A1370" s="7" t="inlineStr">
        <is>
          <t>2013-02-28</t>
        </is>
      </c>
      <c r="B1370" s="8" t="n"/>
      <c r="C1370" s="8" t="n"/>
      <c r="D1370" s="8" t="n"/>
      <c r="E1370" s="8" t="n"/>
      <c r="F1370" s="8" t="n"/>
      <c r="G1370" s="8" t="n"/>
      <c r="H1370" s="8" t="n">
        <v>10975</v>
      </c>
      <c r="I1370" s="8" t="n">
        <v>10850</v>
      </c>
      <c r="J1370" s="8" t="n">
        <v>10980</v>
      </c>
      <c r="K1370" s="8" t="n">
        <v>10820</v>
      </c>
      <c r="L1370" s="8" t="n">
        <v>525488</v>
      </c>
      <c r="M1370" s="8" t="n">
        <v>232444</v>
      </c>
      <c r="N1370" s="9" t="inlineStr">
        <is>
          <t>否</t>
        </is>
      </c>
      <c r="O1370" t="inlineStr">
        <is>
          <t>缺 PP</t>
        </is>
      </c>
    </row>
    <row r="1371">
      <c r="A1371" s="7" t="inlineStr">
        <is>
          <t>2013-03-01</t>
        </is>
      </c>
      <c r="B1371" s="8" t="n"/>
      <c r="C1371" s="8" t="n"/>
      <c r="D1371" s="8" t="n"/>
      <c r="E1371" s="8" t="n"/>
      <c r="F1371" s="8" t="n"/>
      <c r="G1371" s="8" t="n"/>
      <c r="H1371" s="8" t="n">
        <v>10930</v>
      </c>
      <c r="I1371" s="8" t="n">
        <v>10900</v>
      </c>
      <c r="J1371" s="8" t="n">
        <v>10950</v>
      </c>
      <c r="K1371" s="8" t="n">
        <v>10760</v>
      </c>
      <c r="L1371" s="8" t="n">
        <v>813598</v>
      </c>
      <c r="M1371" s="8" t="n">
        <v>255762</v>
      </c>
      <c r="N1371" s="9" t="inlineStr">
        <is>
          <t>否</t>
        </is>
      </c>
      <c r="O1371" t="inlineStr">
        <is>
          <t>缺 PP</t>
        </is>
      </c>
    </row>
    <row r="1372">
      <c r="A1372" s="7" t="inlineStr">
        <is>
          <t>2013-03-04</t>
        </is>
      </c>
      <c r="B1372" s="8" t="n"/>
      <c r="C1372" s="8" t="n"/>
      <c r="D1372" s="8" t="n"/>
      <c r="E1372" s="8" t="n"/>
      <c r="F1372" s="8" t="n"/>
      <c r="G1372" s="8" t="n"/>
      <c r="H1372" s="8" t="n">
        <v>10780</v>
      </c>
      <c r="I1372" s="8" t="n">
        <v>10880</v>
      </c>
      <c r="J1372" s="8" t="n">
        <v>10960</v>
      </c>
      <c r="K1372" s="8" t="n">
        <v>10695</v>
      </c>
      <c r="L1372" s="8" t="n">
        <v>1193788</v>
      </c>
      <c r="M1372" s="8" t="n">
        <v>304044</v>
      </c>
      <c r="N1372" s="9" t="inlineStr">
        <is>
          <t>否</t>
        </is>
      </c>
      <c r="O1372" t="inlineStr">
        <is>
          <t>缺 PP</t>
        </is>
      </c>
    </row>
    <row r="1373">
      <c r="A1373" s="7" t="inlineStr">
        <is>
          <t>2013-03-05</t>
        </is>
      </c>
      <c r="B1373" s="8" t="n"/>
      <c r="C1373" s="8" t="n"/>
      <c r="D1373" s="8" t="n"/>
      <c r="E1373" s="8" t="n"/>
      <c r="F1373" s="8" t="n"/>
      <c r="G1373" s="8" t="n"/>
      <c r="H1373" s="8" t="n">
        <v>10860</v>
      </c>
      <c r="I1373" s="8" t="n">
        <v>10820</v>
      </c>
      <c r="J1373" s="8" t="n">
        <v>10880</v>
      </c>
      <c r="K1373" s="8" t="n">
        <v>10780</v>
      </c>
      <c r="L1373" s="8" t="n">
        <v>649544</v>
      </c>
      <c r="M1373" s="8" t="n">
        <v>264546</v>
      </c>
      <c r="N1373" s="9" t="inlineStr">
        <is>
          <t>否</t>
        </is>
      </c>
      <c r="O1373" t="inlineStr">
        <is>
          <t>缺 PP</t>
        </is>
      </c>
    </row>
    <row r="1374">
      <c r="A1374" s="7" t="inlineStr">
        <is>
          <t>2013-03-06</t>
        </is>
      </c>
      <c r="B1374" s="8" t="n"/>
      <c r="C1374" s="8" t="n"/>
      <c r="D1374" s="8" t="n"/>
      <c r="E1374" s="8" t="n"/>
      <c r="F1374" s="8" t="n"/>
      <c r="G1374" s="8" t="n"/>
      <c r="H1374" s="8" t="n">
        <v>10785</v>
      </c>
      <c r="I1374" s="8" t="n">
        <v>10870</v>
      </c>
      <c r="J1374" s="8" t="n">
        <v>10920</v>
      </c>
      <c r="K1374" s="8" t="n">
        <v>10755</v>
      </c>
      <c r="L1374" s="8" t="n">
        <v>682932</v>
      </c>
      <c r="M1374" s="8" t="n">
        <v>294872</v>
      </c>
      <c r="N1374" s="9" t="inlineStr">
        <is>
          <t>否</t>
        </is>
      </c>
      <c r="O1374" t="inlineStr">
        <is>
          <t>缺 PP</t>
        </is>
      </c>
    </row>
    <row r="1375">
      <c r="A1375" s="7" t="inlineStr">
        <is>
          <t>2013-03-07</t>
        </is>
      </c>
      <c r="B1375" s="8" t="n"/>
      <c r="C1375" s="8" t="n"/>
      <c r="D1375" s="8" t="n"/>
      <c r="E1375" s="8" t="n"/>
      <c r="F1375" s="8" t="n"/>
      <c r="G1375" s="8" t="n"/>
      <c r="H1375" s="8" t="n">
        <v>10565</v>
      </c>
      <c r="I1375" s="8" t="n">
        <v>10780</v>
      </c>
      <c r="J1375" s="8" t="n">
        <v>10780</v>
      </c>
      <c r="K1375" s="8" t="n">
        <v>10540</v>
      </c>
      <c r="L1375" s="8" t="n">
        <v>1006328</v>
      </c>
      <c r="M1375" s="8" t="n">
        <v>297700</v>
      </c>
      <c r="N1375" s="9" t="inlineStr">
        <is>
          <t>否</t>
        </is>
      </c>
      <c r="O1375" t="inlineStr">
        <is>
          <t>缺 PP</t>
        </is>
      </c>
    </row>
    <row r="1376">
      <c r="A1376" s="7" t="inlineStr">
        <is>
          <t>2013-03-08</t>
        </is>
      </c>
      <c r="B1376" s="8" t="n"/>
      <c r="C1376" s="8" t="n"/>
      <c r="D1376" s="8" t="n"/>
      <c r="E1376" s="8" t="n"/>
      <c r="F1376" s="8" t="n"/>
      <c r="G1376" s="8" t="n"/>
      <c r="H1376" s="8" t="n">
        <v>10540</v>
      </c>
      <c r="I1376" s="8" t="n">
        <v>10615</v>
      </c>
      <c r="J1376" s="8" t="n">
        <v>10635</v>
      </c>
      <c r="K1376" s="8" t="n">
        <v>10465</v>
      </c>
      <c r="L1376" s="8" t="n">
        <v>646420</v>
      </c>
      <c r="M1376" s="8" t="n">
        <v>274700</v>
      </c>
      <c r="N1376" s="9" t="inlineStr">
        <is>
          <t>否</t>
        </is>
      </c>
      <c r="O1376" t="inlineStr">
        <is>
          <t>缺 PP</t>
        </is>
      </c>
    </row>
    <row r="1377">
      <c r="A1377" s="7" t="inlineStr">
        <is>
          <t>2013-03-11</t>
        </is>
      </c>
      <c r="B1377" s="8" t="n"/>
      <c r="C1377" s="8" t="n"/>
      <c r="D1377" s="8" t="n"/>
      <c r="E1377" s="8" t="n"/>
      <c r="F1377" s="8" t="n"/>
      <c r="G1377" s="8" t="n"/>
      <c r="H1377" s="8" t="n">
        <v>10550</v>
      </c>
      <c r="I1377" s="8" t="n">
        <v>10530</v>
      </c>
      <c r="J1377" s="8" t="n">
        <v>10595</v>
      </c>
      <c r="K1377" s="8" t="n">
        <v>10520</v>
      </c>
      <c r="L1377" s="8" t="n">
        <v>335256</v>
      </c>
      <c r="M1377" s="8" t="n">
        <v>268316</v>
      </c>
      <c r="N1377" s="9" t="inlineStr">
        <is>
          <t>否</t>
        </is>
      </c>
      <c r="O1377" t="inlineStr">
        <is>
          <t>缺 PP</t>
        </is>
      </c>
    </row>
    <row r="1378">
      <c r="A1378" s="7" t="inlineStr">
        <is>
          <t>2013-03-12</t>
        </is>
      </c>
      <c r="B1378" s="8" t="n"/>
      <c r="C1378" s="8" t="n"/>
      <c r="D1378" s="8" t="n"/>
      <c r="E1378" s="8" t="n"/>
      <c r="F1378" s="8" t="n"/>
      <c r="G1378" s="8" t="n"/>
      <c r="H1378" s="8" t="n">
        <v>10345</v>
      </c>
      <c r="I1378" s="8" t="n">
        <v>10570</v>
      </c>
      <c r="J1378" s="8" t="n">
        <v>10590</v>
      </c>
      <c r="K1378" s="8" t="n">
        <v>10310</v>
      </c>
      <c r="L1378" s="8" t="n">
        <v>715134</v>
      </c>
      <c r="M1378" s="8" t="n">
        <v>293830</v>
      </c>
      <c r="N1378" s="9" t="inlineStr">
        <is>
          <t>否</t>
        </is>
      </c>
      <c r="O1378" t="inlineStr">
        <is>
          <t>缺 PP</t>
        </is>
      </c>
    </row>
    <row r="1379">
      <c r="A1379" s="7" t="inlineStr">
        <is>
          <t>2013-03-13</t>
        </is>
      </c>
      <c r="B1379" s="8" t="n"/>
      <c r="C1379" s="8" t="n"/>
      <c r="D1379" s="8" t="n"/>
      <c r="E1379" s="8" t="n"/>
      <c r="F1379" s="8" t="n"/>
      <c r="G1379" s="8" t="n"/>
      <c r="H1379" s="8" t="n">
        <v>10370</v>
      </c>
      <c r="I1379" s="8" t="n">
        <v>10355</v>
      </c>
      <c r="J1379" s="8" t="n">
        <v>10420</v>
      </c>
      <c r="K1379" s="8" t="n">
        <v>10230</v>
      </c>
      <c r="L1379" s="8" t="n">
        <v>644554</v>
      </c>
      <c r="M1379" s="8" t="n">
        <v>281898</v>
      </c>
      <c r="N1379" s="9" t="inlineStr">
        <is>
          <t>否</t>
        </is>
      </c>
      <c r="O1379" t="inlineStr">
        <is>
          <t>缺 PP</t>
        </is>
      </c>
    </row>
    <row r="1380">
      <c r="A1380" s="7" t="inlineStr">
        <is>
          <t>2013-03-14</t>
        </is>
      </c>
      <c r="B1380" s="8" t="n"/>
      <c r="C1380" s="8" t="n"/>
      <c r="D1380" s="8" t="n"/>
      <c r="E1380" s="8" t="n"/>
      <c r="F1380" s="8" t="n"/>
      <c r="G1380" s="8" t="n"/>
      <c r="H1380" s="8" t="n">
        <v>10365</v>
      </c>
      <c r="I1380" s="8" t="n">
        <v>10340</v>
      </c>
      <c r="J1380" s="8" t="n">
        <v>10380</v>
      </c>
      <c r="K1380" s="8" t="n">
        <v>10230</v>
      </c>
      <c r="L1380" s="8" t="n">
        <v>630220</v>
      </c>
      <c r="M1380" s="8" t="n">
        <v>284804</v>
      </c>
      <c r="N1380" s="9" t="inlineStr">
        <is>
          <t>否</t>
        </is>
      </c>
      <c r="O1380" t="inlineStr">
        <is>
          <t>缺 PP</t>
        </is>
      </c>
    </row>
    <row r="1381">
      <c r="A1381" s="7" t="inlineStr">
        <is>
          <t>2013-03-15</t>
        </is>
      </c>
      <c r="B1381" s="8" t="n"/>
      <c r="C1381" s="8" t="n"/>
      <c r="D1381" s="8" t="n"/>
      <c r="E1381" s="8" t="n"/>
      <c r="F1381" s="8" t="n"/>
      <c r="G1381" s="8" t="n"/>
      <c r="H1381" s="8" t="n">
        <v>10565</v>
      </c>
      <c r="I1381" s="8" t="n">
        <v>10400</v>
      </c>
      <c r="J1381" s="8" t="n">
        <v>10655</v>
      </c>
      <c r="K1381" s="8" t="n">
        <v>10400</v>
      </c>
      <c r="L1381" s="8" t="n">
        <v>648228</v>
      </c>
      <c r="M1381" s="8" t="n">
        <v>259452</v>
      </c>
      <c r="N1381" s="9" t="inlineStr">
        <is>
          <t>否</t>
        </is>
      </c>
      <c r="O1381" t="inlineStr">
        <is>
          <t>缺 PP</t>
        </is>
      </c>
    </row>
    <row r="1382">
      <c r="A1382" s="7" t="inlineStr">
        <is>
          <t>2013-03-18</t>
        </is>
      </c>
      <c r="B1382" s="8" t="n"/>
      <c r="C1382" s="8" t="n"/>
      <c r="D1382" s="8" t="n"/>
      <c r="E1382" s="8" t="n"/>
      <c r="F1382" s="8" t="n"/>
      <c r="G1382" s="8" t="n"/>
      <c r="H1382" s="8" t="n">
        <v>10415</v>
      </c>
      <c r="I1382" s="8" t="n">
        <v>10500</v>
      </c>
      <c r="J1382" s="8" t="n">
        <v>10540</v>
      </c>
      <c r="K1382" s="8" t="n">
        <v>10285</v>
      </c>
      <c r="L1382" s="8" t="n">
        <v>682194</v>
      </c>
      <c r="M1382" s="8" t="n">
        <v>263178</v>
      </c>
      <c r="N1382" s="9" t="inlineStr">
        <is>
          <t>否</t>
        </is>
      </c>
      <c r="O1382" t="inlineStr">
        <is>
          <t>缺 PP</t>
        </is>
      </c>
    </row>
    <row r="1383">
      <c r="A1383" s="7" t="inlineStr">
        <is>
          <t>2013-03-19</t>
        </is>
      </c>
      <c r="B1383" s="8" t="n"/>
      <c r="C1383" s="8" t="n"/>
      <c r="D1383" s="8" t="n"/>
      <c r="E1383" s="8" t="n"/>
      <c r="F1383" s="8" t="n"/>
      <c r="G1383" s="8" t="n"/>
      <c r="H1383" s="8" t="n">
        <v>10665</v>
      </c>
      <c r="I1383" s="8" t="n">
        <v>10500</v>
      </c>
      <c r="J1383" s="8" t="n">
        <v>10670</v>
      </c>
      <c r="K1383" s="8" t="n">
        <v>10470</v>
      </c>
      <c r="L1383" s="8" t="n">
        <v>960128</v>
      </c>
      <c r="M1383" s="8" t="n">
        <v>320888</v>
      </c>
      <c r="N1383" s="9" t="inlineStr">
        <is>
          <t>否</t>
        </is>
      </c>
      <c r="O1383" t="inlineStr">
        <is>
          <t>缺 PP</t>
        </is>
      </c>
    </row>
    <row r="1384">
      <c r="A1384" s="7" t="inlineStr">
        <is>
          <t>2013-03-20</t>
        </is>
      </c>
      <c r="B1384" s="8" t="n"/>
      <c r="C1384" s="8" t="n"/>
      <c r="D1384" s="8" t="n"/>
      <c r="E1384" s="8" t="n"/>
      <c r="F1384" s="8" t="n"/>
      <c r="G1384" s="8" t="n"/>
      <c r="H1384" s="8" t="n">
        <v>10655</v>
      </c>
      <c r="I1384" s="8" t="n">
        <v>10580</v>
      </c>
      <c r="J1384" s="8" t="n">
        <v>10690</v>
      </c>
      <c r="K1384" s="8" t="n">
        <v>10570</v>
      </c>
      <c r="L1384" s="8" t="n">
        <v>722362</v>
      </c>
      <c r="M1384" s="8" t="n">
        <v>321042</v>
      </c>
      <c r="N1384" s="9" t="inlineStr">
        <is>
          <t>否</t>
        </is>
      </c>
      <c r="O1384" t="inlineStr">
        <is>
          <t>缺 PP</t>
        </is>
      </c>
    </row>
    <row r="1385">
      <c r="A1385" s="7" t="inlineStr">
        <is>
          <t>2013-03-21</t>
        </is>
      </c>
      <c r="B1385" s="8" t="n"/>
      <c r="C1385" s="8" t="n"/>
      <c r="D1385" s="8" t="n"/>
      <c r="E1385" s="8" t="n"/>
      <c r="F1385" s="8" t="n"/>
      <c r="G1385" s="8" t="n"/>
      <c r="H1385" s="8" t="n">
        <v>10710</v>
      </c>
      <c r="I1385" s="8" t="n">
        <v>10700</v>
      </c>
      <c r="J1385" s="8" t="n">
        <v>10730</v>
      </c>
      <c r="K1385" s="8" t="n">
        <v>10640</v>
      </c>
      <c r="L1385" s="8" t="n">
        <v>449436</v>
      </c>
      <c r="M1385" s="8" t="n">
        <v>334192</v>
      </c>
      <c r="N1385" s="9" t="inlineStr">
        <is>
          <t>否</t>
        </is>
      </c>
      <c r="O1385" t="inlineStr">
        <is>
          <t>缺 PP</t>
        </is>
      </c>
    </row>
    <row r="1386">
      <c r="A1386" s="7" t="inlineStr">
        <is>
          <t>2013-03-22</t>
        </is>
      </c>
      <c r="B1386" s="8" t="n"/>
      <c r="C1386" s="8" t="n"/>
      <c r="D1386" s="8" t="n"/>
      <c r="E1386" s="8" t="n"/>
      <c r="F1386" s="8" t="n"/>
      <c r="G1386" s="8" t="n"/>
      <c r="H1386" s="8" t="n">
        <v>10575</v>
      </c>
      <c r="I1386" s="8" t="n">
        <v>10600</v>
      </c>
      <c r="J1386" s="8" t="n">
        <v>10660</v>
      </c>
      <c r="K1386" s="8" t="n">
        <v>10530</v>
      </c>
      <c r="L1386" s="8" t="n">
        <v>733358</v>
      </c>
      <c r="M1386" s="8" t="n">
        <v>297452</v>
      </c>
      <c r="N1386" s="9" t="inlineStr">
        <is>
          <t>否</t>
        </is>
      </c>
      <c r="O1386" t="inlineStr">
        <is>
          <t>缺 PP</t>
        </is>
      </c>
    </row>
    <row r="1387">
      <c r="A1387" s="7" t="inlineStr">
        <is>
          <t>2013-03-25</t>
        </is>
      </c>
      <c r="B1387" s="8" t="n"/>
      <c r="C1387" s="8" t="n"/>
      <c r="D1387" s="8" t="n"/>
      <c r="E1387" s="8" t="n"/>
      <c r="F1387" s="8" t="n"/>
      <c r="G1387" s="8" t="n"/>
      <c r="H1387" s="8" t="n">
        <v>10490</v>
      </c>
      <c r="I1387" s="8" t="n">
        <v>10690</v>
      </c>
      <c r="J1387" s="8" t="n">
        <v>10690</v>
      </c>
      <c r="K1387" s="8" t="n">
        <v>10485</v>
      </c>
      <c r="L1387" s="8" t="n">
        <v>657988</v>
      </c>
      <c r="M1387" s="8" t="n">
        <v>325140</v>
      </c>
      <c r="N1387" s="9" t="inlineStr">
        <is>
          <t>否</t>
        </is>
      </c>
      <c r="O1387" t="inlineStr">
        <is>
          <t>缺 PP</t>
        </is>
      </c>
    </row>
    <row r="1388">
      <c r="A1388" s="7" t="inlineStr">
        <is>
          <t>2013-03-26</t>
        </is>
      </c>
      <c r="B1388" s="8" t="n"/>
      <c r="C1388" s="8" t="n"/>
      <c r="D1388" s="8" t="n"/>
      <c r="E1388" s="8" t="n"/>
      <c r="F1388" s="8" t="n"/>
      <c r="G1388" s="8" t="n"/>
      <c r="H1388" s="8" t="n">
        <v>10435</v>
      </c>
      <c r="I1388" s="8" t="n">
        <v>10495</v>
      </c>
      <c r="J1388" s="8" t="n">
        <v>10510</v>
      </c>
      <c r="K1388" s="8" t="n">
        <v>10360</v>
      </c>
      <c r="L1388" s="8" t="n">
        <v>692802</v>
      </c>
      <c r="M1388" s="8" t="n">
        <v>328066</v>
      </c>
      <c r="N1388" s="9" t="inlineStr">
        <is>
          <t>否</t>
        </is>
      </c>
      <c r="O1388" t="inlineStr">
        <is>
          <t>缺 PP</t>
        </is>
      </c>
    </row>
    <row r="1389">
      <c r="A1389" s="7" t="inlineStr">
        <is>
          <t>2013-03-27</t>
        </is>
      </c>
      <c r="B1389" s="8" t="n"/>
      <c r="C1389" s="8" t="n"/>
      <c r="D1389" s="8" t="n"/>
      <c r="E1389" s="8" t="n"/>
      <c r="F1389" s="8" t="n"/>
      <c r="G1389" s="8" t="n"/>
      <c r="H1389" s="8" t="n">
        <v>10435</v>
      </c>
      <c r="I1389" s="8" t="n">
        <v>10485</v>
      </c>
      <c r="J1389" s="8" t="n">
        <v>10505</v>
      </c>
      <c r="K1389" s="8" t="n">
        <v>10410</v>
      </c>
      <c r="L1389" s="8" t="n">
        <v>717168</v>
      </c>
      <c r="M1389" s="8" t="n">
        <v>335344</v>
      </c>
      <c r="N1389" s="9" t="inlineStr">
        <is>
          <t>否</t>
        </is>
      </c>
      <c r="O1389" t="inlineStr">
        <is>
          <t>缺 PP</t>
        </is>
      </c>
    </row>
    <row r="1390">
      <c r="A1390" s="7" t="inlineStr">
        <is>
          <t>2013-03-28</t>
        </is>
      </c>
      <c r="B1390" s="8" t="n"/>
      <c r="C1390" s="8" t="n"/>
      <c r="D1390" s="8" t="n"/>
      <c r="E1390" s="8" t="n"/>
      <c r="F1390" s="8" t="n"/>
      <c r="G1390" s="8" t="n"/>
      <c r="H1390" s="8" t="n">
        <v>10360</v>
      </c>
      <c r="I1390" s="8" t="n">
        <v>10455</v>
      </c>
      <c r="J1390" s="8" t="n">
        <v>10460</v>
      </c>
      <c r="K1390" s="8" t="n">
        <v>10315</v>
      </c>
      <c r="L1390" s="8" t="n">
        <v>668874</v>
      </c>
      <c r="M1390" s="8" t="n">
        <v>343280</v>
      </c>
      <c r="N1390" s="9" t="inlineStr">
        <is>
          <t>否</t>
        </is>
      </c>
      <c r="O1390" t="inlineStr">
        <is>
          <t>缺 PP</t>
        </is>
      </c>
    </row>
    <row r="1391">
      <c r="A1391" s="7" t="inlineStr">
        <is>
          <t>2013-03-29</t>
        </is>
      </c>
      <c r="B1391" s="8" t="n"/>
      <c r="C1391" s="8" t="n"/>
      <c r="D1391" s="8" t="n"/>
      <c r="E1391" s="8" t="n"/>
      <c r="F1391" s="8" t="n"/>
      <c r="G1391" s="8" t="n"/>
      <c r="H1391" s="8" t="n">
        <v>10435</v>
      </c>
      <c r="I1391" s="8" t="n">
        <v>10300</v>
      </c>
      <c r="J1391" s="8" t="n">
        <v>10500</v>
      </c>
      <c r="K1391" s="8" t="n">
        <v>10300</v>
      </c>
      <c r="L1391" s="8" t="n">
        <v>785834</v>
      </c>
      <c r="M1391" s="8" t="n">
        <v>332404</v>
      </c>
      <c r="N1391" s="9" t="inlineStr">
        <is>
          <t>否</t>
        </is>
      </c>
      <c r="O1391" t="inlineStr">
        <is>
          <t>缺 PP</t>
        </is>
      </c>
    </row>
    <row r="1392">
      <c r="A1392" s="7" t="inlineStr">
        <is>
          <t>2013-04-01</t>
        </is>
      </c>
      <c r="B1392" s="8" t="n"/>
      <c r="C1392" s="8" t="n"/>
      <c r="D1392" s="8" t="n"/>
      <c r="E1392" s="8" t="n"/>
      <c r="F1392" s="8" t="n"/>
      <c r="G1392" s="8" t="n"/>
      <c r="H1392" s="8" t="n">
        <v>10240</v>
      </c>
      <c r="I1392" s="8" t="n">
        <v>10400</v>
      </c>
      <c r="J1392" s="8" t="n">
        <v>10440</v>
      </c>
      <c r="K1392" s="8" t="n">
        <v>10180</v>
      </c>
      <c r="L1392" s="8" t="n">
        <v>915724</v>
      </c>
      <c r="M1392" s="8" t="n">
        <v>395412</v>
      </c>
      <c r="N1392" s="9" t="inlineStr">
        <is>
          <t>否</t>
        </is>
      </c>
      <c r="O1392" t="inlineStr">
        <is>
          <t>缺 PP</t>
        </is>
      </c>
    </row>
    <row r="1393">
      <c r="A1393" s="7" t="inlineStr">
        <is>
          <t>2013-04-02</t>
        </is>
      </c>
      <c r="B1393" s="8" t="n"/>
      <c r="C1393" s="8" t="n"/>
      <c r="D1393" s="8" t="n"/>
      <c r="E1393" s="8" t="n"/>
      <c r="F1393" s="8" t="n"/>
      <c r="G1393" s="8" t="n"/>
      <c r="H1393" s="8" t="n">
        <v>10290</v>
      </c>
      <c r="I1393" s="8" t="n">
        <v>10265</v>
      </c>
      <c r="J1393" s="8" t="n">
        <v>10290</v>
      </c>
      <c r="K1393" s="8" t="n">
        <v>10165</v>
      </c>
      <c r="L1393" s="8" t="n">
        <v>775376</v>
      </c>
      <c r="M1393" s="8" t="n">
        <v>370490</v>
      </c>
      <c r="N1393" s="9" t="inlineStr">
        <is>
          <t>否</t>
        </is>
      </c>
      <c r="O1393" t="inlineStr">
        <is>
          <t>缺 PP</t>
        </is>
      </c>
    </row>
    <row r="1394">
      <c r="A1394" s="7" t="inlineStr">
        <is>
          <t>2013-04-03</t>
        </is>
      </c>
      <c r="B1394" s="8" t="n"/>
      <c r="C1394" s="8" t="n"/>
      <c r="D1394" s="8" t="n"/>
      <c r="E1394" s="8" t="n"/>
      <c r="F1394" s="8" t="n"/>
      <c r="G1394" s="8" t="n"/>
      <c r="H1394" s="8" t="n">
        <v>10260</v>
      </c>
      <c r="I1394" s="8" t="n">
        <v>10290</v>
      </c>
      <c r="J1394" s="8" t="n">
        <v>10345</v>
      </c>
      <c r="K1394" s="8" t="n">
        <v>10255</v>
      </c>
      <c r="L1394" s="8" t="n">
        <v>473650</v>
      </c>
      <c r="M1394" s="8" t="n">
        <v>344358</v>
      </c>
      <c r="N1394" s="9" t="inlineStr">
        <is>
          <t>否</t>
        </is>
      </c>
      <c r="O1394" t="inlineStr">
        <is>
          <t>缺 PP</t>
        </is>
      </c>
    </row>
    <row r="1395">
      <c r="A1395" s="7" t="inlineStr">
        <is>
          <t>2013-04-08</t>
        </is>
      </c>
      <c r="B1395" s="8" t="n"/>
      <c r="C1395" s="8" t="n"/>
      <c r="D1395" s="8" t="n"/>
      <c r="E1395" s="8" t="n"/>
      <c r="F1395" s="8" t="n"/>
      <c r="G1395" s="8" t="n"/>
      <c r="H1395" s="8" t="n">
        <v>10235</v>
      </c>
      <c r="I1395" s="8" t="n">
        <v>10150</v>
      </c>
      <c r="J1395" s="8" t="n">
        <v>10240</v>
      </c>
      <c r="K1395" s="8" t="n">
        <v>10080</v>
      </c>
      <c r="L1395" s="8" t="n">
        <v>565586</v>
      </c>
      <c r="M1395" s="8" t="n">
        <v>358390</v>
      </c>
      <c r="N1395" s="9" t="inlineStr">
        <is>
          <t>否</t>
        </is>
      </c>
      <c r="O1395" t="inlineStr">
        <is>
          <t>缺 PP</t>
        </is>
      </c>
    </row>
    <row r="1396">
      <c r="A1396" s="7" t="inlineStr">
        <is>
          <t>2013-04-09</t>
        </is>
      </c>
      <c r="B1396" s="8" t="n"/>
      <c r="C1396" s="8" t="n"/>
      <c r="D1396" s="8" t="n"/>
      <c r="E1396" s="8" t="n"/>
      <c r="F1396" s="8" t="n"/>
      <c r="G1396" s="8" t="n"/>
      <c r="H1396" s="8" t="n">
        <v>10215</v>
      </c>
      <c r="I1396" s="8" t="n">
        <v>10260</v>
      </c>
      <c r="J1396" s="8" t="n">
        <v>10260</v>
      </c>
      <c r="K1396" s="8" t="n">
        <v>10160</v>
      </c>
      <c r="L1396" s="8" t="n">
        <v>588406</v>
      </c>
      <c r="M1396" s="8" t="n">
        <v>375346</v>
      </c>
      <c r="N1396" s="9" t="inlineStr">
        <is>
          <t>否</t>
        </is>
      </c>
      <c r="O1396" t="inlineStr">
        <is>
          <t>缺 PP</t>
        </is>
      </c>
    </row>
    <row r="1397">
      <c r="A1397" s="7" t="inlineStr">
        <is>
          <t>2013-04-10</t>
        </is>
      </c>
      <c r="B1397" s="8" t="n"/>
      <c r="C1397" s="8" t="n"/>
      <c r="D1397" s="8" t="n"/>
      <c r="E1397" s="8" t="n"/>
      <c r="F1397" s="8" t="n"/>
      <c r="G1397" s="8" t="n"/>
      <c r="H1397" s="8" t="n">
        <v>10245</v>
      </c>
      <c r="I1397" s="8" t="n">
        <v>10245</v>
      </c>
      <c r="J1397" s="8" t="n">
        <v>10290</v>
      </c>
      <c r="K1397" s="8" t="n">
        <v>10205</v>
      </c>
      <c r="L1397" s="8" t="n">
        <v>616016</v>
      </c>
      <c r="M1397" s="8" t="n">
        <v>399142</v>
      </c>
      <c r="N1397" s="9" t="inlineStr">
        <is>
          <t>否</t>
        </is>
      </c>
      <c r="O1397" t="inlineStr">
        <is>
          <t>缺 PP</t>
        </is>
      </c>
    </row>
    <row r="1398">
      <c r="A1398" s="7" t="inlineStr">
        <is>
          <t>2013-04-11</t>
        </is>
      </c>
      <c r="B1398" s="8" t="n"/>
      <c r="C1398" s="8" t="n"/>
      <c r="D1398" s="8" t="n"/>
      <c r="E1398" s="8" t="n"/>
      <c r="F1398" s="8" t="n"/>
      <c r="G1398" s="8" t="n"/>
      <c r="H1398" s="8" t="n">
        <v>10210</v>
      </c>
      <c r="I1398" s="8" t="n">
        <v>10245</v>
      </c>
      <c r="J1398" s="8" t="n">
        <v>10365</v>
      </c>
      <c r="K1398" s="8" t="n">
        <v>10205</v>
      </c>
      <c r="L1398" s="8" t="n">
        <v>944374</v>
      </c>
      <c r="M1398" s="8" t="n">
        <v>409476</v>
      </c>
      <c r="N1398" s="9" t="inlineStr">
        <is>
          <t>否</t>
        </is>
      </c>
      <c r="O1398" t="inlineStr">
        <is>
          <t>缺 PP</t>
        </is>
      </c>
    </row>
    <row r="1399">
      <c r="A1399" s="7" t="inlineStr">
        <is>
          <t>2013-04-12</t>
        </is>
      </c>
      <c r="B1399" s="8" t="n"/>
      <c r="C1399" s="8" t="n"/>
      <c r="D1399" s="8" t="n"/>
      <c r="E1399" s="8" t="n"/>
      <c r="F1399" s="8" t="n"/>
      <c r="G1399" s="8" t="n"/>
      <c r="H1399" s="8" t="n">
        <v>10115</v>
      </c>
      <c r="I1399" s="8" t="n">
        <v>10210</v>
      </c>
      <c r="J1399" s="8" t="n">
        <v>10220</v>
      </c>
      <c r="K1399" s="8" t="n">
        <v>10100</v>
      </c>
      <c r="L1399" s="8" t="n">
        <v>883896</v>
      </c>
      <c r="M1399" s="8" t="n">
        <v>410994</v>
      </c>
      <c r="N1399" s="9" t="inlineStr">
        <is>
          <t>否</t>
        </is>
      </c>
      <c r="O1399" t="inlineStr">
        <is>
          <t>缺 PP</t>
        </is>
      </c>
    </row>
    <row r="1400">
      <c r="A1400" s="7" t="inlineStr">
        <is>
          <t>2013-04-15</t>
        </is>
      </c>
      <c r="B1400" s="8" t="n"/>
      <c r="C1400" s="8" t="n"/>
      <c r="D1400" s="8" t="n"/>
      <c r="E1400" s="8" t="n"/>
      <c r="F1400" s="8" t="n"/>
      <c r="G1400" s="8" t="n"/>
      <c r="H1400" s="8" t="n">
        <v>9860</v>
      </c>
      <c r="I1400" s="8" t="n">
        <v>9995</v>
      </c>
      <c r="J1400" s="8" t="n">
        <v>10015</v>
      </c>
      <c r="K1400" s="8" t="n">
        <v>9805</v>
      </c>
      <c r="L1400" s="8" t="n">
        <v>822424</v>
      </c>
      <c r="M1400" s="8" t="n">
        <v>423932</v>
      </c>
      <c r="N1400" s="9" t="inlineStr">
        <is>
          <t>否</t>
        </is>
      </c>
      <c r="O1400" t="inlineStr">
        <is>
          <t>缺 PP</t>
        </is>
      </c>
    </row>
    <row r="1401">
      <c r="A1401" s="7" t="inlineStr">
        <is>
          <t>2013-04-16</t>
        </is>
      </c>
      <c r="B1401" s="8" t="n"/>
      <c r="C1401" s="8" t="n"/>
      <c r="D1401" s="8" t="n"/>
      <c r="E1401" s="8" t="n"/>
      <c r="F1401" s="8" t="n"/>
      <c r="G1401" s="8" t="n"/>
      <c r="H1401" s="8" t="n">
        <v>9860</v>
      </c>
      <c r="I1401" s="8" t="n">
        <v>9750</v>
      </c>
      <c r="J1401" s="8" t="n">
        <v>9930</v>
      </c>
      <c r="K1401" s="8" t="n">
        <v>9665</v>
      </c>
      <c r="L1401" s="8" t="n">
        <v>662970</v>
      </c>
      <c r="M1401" s="8" t="n">
        <v>378924</v>
      </c>
      <c r="N1401" s="9" t="inlineStr">
        <is>
          <t>否</t>
        </is>
      </c>
      <c r="O1401" t="inlineStr">
        <is>
          <t>缺 PP</t>
        </is>
      </c>
    </row>
    <row r="1402">
      <c r="A1402" s="7" t="inlineStr">
        <is>
          <t>2013-04-17</t>
        </is>
      </c>
      <c r="B1402" s="8" t="n"/>
      <c r="C1402" s="8" t="n"/>
      <c r="D1402" s="8" t="n"/>
      <c r="E1402" s="8" t="n"/>
      <c r="F1402" s="8" t="n"/>
      <c r="G1402" s="8" t="n"/>
      <c r="H1402" s="8" t="n">
        <v>9790</v>
      </c>
      <c r="I1402" s="8" t="n">
        <v>9875</v>
      </c>
      <c r="J1402" s="8" t="n">
        <v>9920</v>
      </c>
      <c r="K1402" s="8" t="n">
        <v>9740</v>
      </c>
      <c r="L1402" s="8" t="n">
        <v>707154</v>
      </c>
      <c r="M1402" s="8" t="n">
        <v>381344</v>
      </c>
      <c r="N1402" s="9" t="inlineStr">
        <is>
          <t>否</t>
        </is>
      </c>
      <c r="O1402" t="inlineStr">
        <is>
          <t>缺 PP</t>
        </is>
      </c>
    </row>
    <row r="1403">
      <c r="A1403" s="7" t="inlineStr">
        <is>
          <t>2013-04-18</t>
        </is>
      </c>
      <c r="B1403" s="8" t="n"/>
      <c r="C1403" s="8" t="n"/>
      <c r="D1403" s="8" t="n"/>
      <c r="E1403" s="8" t="n"/>
      <c r="F1403" s="8" t="n"/>
      <c r="G1403" s="8" t="n"/>
      <c r="H1403" s="8" t="n">
        <v>9675</v>
      </c>
      <c r="I1403" s="8" t="n">
        <v>9600</v>
      </c>
      <c r="J1403" s="8" t="n">
        <v>9685</v>
      </c>
      <c r="K1403" s="8" t="n">
        <v>9470</v>
      </c>
      <c r="L1403" s="8" t="n">
        <v>1029850</v>
      </c>
      <c r="M1403" s="8" t="n">
        <v>413920</v>
      </c>
      <c r="N1403" s="9" t="inlineStr">
        <is>
          <t>否</t>
        </is>
      </c>
      <c r="O1403" t="inlineStr">
        <is>
          <t>缺 PP</t>
        </is>
      </c>
    </row>
    <row r="1404">
      <c r="A1404" s="7" t="inlineStr">
        <is>
          <t>2013-04-19</t>
        </is>
      </c>
      <c r="B1404" s="8" t="n"/>
      <c r="C1404" s="8" t="n"/>
      <c r="D1404" s="8" t="n"/>
      <c r="E1404" s="8" t="n"/>
      <c r="F1404" s="8" t="n"/>
      <c r="G1404" s="8" t="n"/>
      <c r="H1404" s="8" t="n">
        <v>9860</v>
      </c>
      <c r="I1404" s="8" t="n">
        <v>9720</v>
      </c>
      <c r="J1404" s="8" t="n">
        <v>9885</v>
      </c>
      <c r="K1404" s="8" t="n">
        <v>9665</v>
      </c>
      <c r="L1404" s="8" t="n">
        <v>718486</v>
      </c>
      <c r="M1404" s="8" t="n">
        <v>378816</v>
      </c>
      <c r="N1404" s="9" t="inlineStr">
        <is>
          <t>否</t>
        </is>
      </c>
      <c r="O1404" t="inlineStr">
        <is>
          <t>缺 PP</t>
        </is>
      </c>
    </row>
    <row r="1405">
      <c r="A1405" s="7" t="inlineStr">
        <is>
          <t>2013-04-22</t>
        </is>
      </c>
      <c r="B1405" s="8" t="n"/>
      <c r="C1405" s="8" t="n"/>
      <c r="D1405" s="8" t="n"/>
      <c r="E1405" s="8" t="n"/>
      <c r="F1405" s="8" t="n"/>
      <c r="G1405" s="8" t="n"/>
      <c r="H1405" s="8" t="n">
        <v>9765</v>
      </c>
      <c r="I1405" s="8" t="n">
        <v>9900</v>
      </c>
      <c r="J1405" s="8" t="n">
        <v>9900</v>
      </c>
      <c r="K1405" s="8" t="n">
        <v>9740</v>
      </c>
      <c r="L1405" s="8" t="n">
        <v>766684</v>
      </c>
      <c r="M1405" s="8" t="n">
        <v>387676</v>
      </c>
      <c r="N1405" s="9" t="inlineStr">
        <is>
          <t>否</t>
        </is>
      </c>
      <c r="O1405" t="inlineStr">
        <is>
          <t>缺 PP</t>
        </is>
      </c>
    </row>
    <row r="1406">
      <c r="A1406" s="7" t="inlineStr">
        <is>
          <t>2013-04-23</t>
        </is>
      </c>
      <c r="B1406" s="8" t="n"/>
      <c r="C1406" s="8" t="n"/>
      <c r="D1406" s="8" t="n"/>
      <c r="E1406" s="8" t="n"/>
      <c r="F1406" s="8" t="n"/>
      <c r="G1406" s="8" t="n"/>
      <c r="H1406" s="8" t="n">
        <v>9675</v>
      </c>
      <c r="I1406" s="8" t="n">
        <v>9775</v>
      </c>
      <c r="J1406" s="8" t="n">
        <v>9835</v>
      </c>
      <c r="K1406" s="8" t="n">
        <v>9645</v>
      </c>
      <c r="L1406" s="8" t="n">
        <v>877624</v>
      </c>
      <c r="M1406" s="8" t="n">
        <v>404898</v>
      </c>
      <c r="N1406" s="9" t="inlineStr">
        <is>
          <t>否</t>
        </is>
      </c>
      <c r="O1406" t="inlineStr">
        <is>
          <t>缺 PP</t>
        </is>
      </c>
    </row>
    <row r="1407">
      <c r="A1407" s="7" t="inlineStr">
        <is>
          <t>2013-04-24</t>
        </is>
      </c>
      <c r="B1407" s="8" t="n"/>
      <c r="C1407" s="8" t="n"/>
      <c r="D1407" s="8" t="n"/>
      <c r="E1407" s="8" t="n"/>
      <c r="F1407" s="8" t="n"/>
      <c r="G1407" s="8" t="n"/>
      <c r="H1407" s="8" t="n">
        <v>9790</v>
      </c>
      <c r="I1407" s="8" t="n">
        <v>9715</v>
      </c>
      <c r="J1407" s="8" t="n">
        <v>9850</v>
      </c>
      <c r="K1407" s="8" t="n">
        <v>9680</v>
      </c>
      <c r="L1407" s="8" t="n">
        <v>575262</v>
      </c>
      <c r="M1407" s="8" t="n">
        <v>363472</v>
      </c>
      <c r="N1407" s="9" t="inlineStr">
        <is>
          <t>否</t>
        </is>
      </c>
      <c r="O1407" t="inlineStr">
        <is>
          <t>缺 PP</t>
        </is>
      </c>
    </row>
    <row r="1408">
      <c r="A1408" s="7" t="inlineStr">
        <is>
          <t>2013-04-25</t>
        </is>
      </c>
      <c r="B1408" s="8" t="n"/>
      <c r="C1408" s="8" t="n"/>
      <c r="D1408" s="8" t="n"/>
      <c r="E1408" s="8" t="n"/>
      <c r="F1408" s="8" t="n"/>
      <c r="G1408" s="8" t="n"/>
      <c r="H1408" s="8" t="n">
        <v>9945</v>
      </c>
      <c r="I1408" s="8" t="n">
        <v>9870</v>
      </c>
      <c r="J1408" s="8" t="n">
        <v>9975</v>
      </c>
      <c r="K1408" s="8" t="n">
        <v>9810</v>
      </c>
      <c r="L1408" s="8" t="n">
        <v>647236</v>
      </c>
      <c r="M1408" s="8" t="n">
        <v>358830</v>
      </c>
      <c r="N1408" s="9" t="inlineStr">
        <is>
          <t>否</t>
        </is>
      </c>
      <c r="O1408" t="inlineStr">
        <is>
          <t>缺 PP</t>
        </is>
      </c>
    </row>
    <row r="1409">
      <c r="A1409" s="7" t="inlineStr">
        <is>
          <t>2013-04-26</t>
        </is>
      </c>
      <c r="B1409" s="8" t="n"/>
      <c r="C1409" s="8" t="n"/>
      <c r="D1409" s="8" t="n"/>
      <c r="E1409" s="8" t="n"/>
      <c r="F1409" s="8" t="n"/>
      <c r="G1409" s="8" t="n"/>
      <c r="H1409" s="8" t="n">
        <v>9895</v>
      </c>
      <c r="I1409" s="8" t="n">
        <v>10020</v>
      </c>
      <c r="J1409" s="8" t="n">
        <v>10045</v>
      </c>
      <c r="K1409" s="8" t="n">
        <v>9890</v>
      </c>
      <c r="L1409" s="8" t="n">
        <v>531512</v>
      </c>
      <c r="M1409" s="8" t="n">
        <v>343952</v>
      </c>
      <c r="N1409" s="9" t="inlineStr">
        <is>
          <t>否</t>
        </is>
      </c>
      <c r="O1409" t="inlineStr">
        <is>
          <t>缺 PP</t>
        </is>
      </c>
    </row>
    <row r="1410">
      <c r="A1410" s="7" t="inlineStr">
        <is>
          <t>2013-05-02</t>
        </is>
      </c>
      <c r="B1410" s="8" t="n"/>
      <c r="C1410" s="8" t="n"/>
      <c r="D1410" s="8" t="n"/>
      <c r="E1410" s="8" t="n"/>
      <c r="F1410" s="8" t="n"/>
      <c r="G1410" s="8" t="n"/>
      <c r="H1410" s="8" t="n">
        <v>9795</v>
      </c>
      <c r="I1410" s="8" t="n">
        <v>9700</v>
      </c>
      <c r="J1410" s="8" t="n">
        <v>9840</v>
      </c>
      <c r="K1410" s="8" t="n">
        <v>9640</v>
      </c>
      <c r="L1410" s="8" t="n">
        <v>413132</v>
      </c>
      <c r="M1410" s="8" t="n">
        <v>372664</v>
      </c>
      <c r="N1410" s="9" t="inlineStr">
        <is>
          <t>否</t>
        </is>
      </c>
      <c r="O1410" t="inlineStr">
        <is>
          <t>缺 PP</t>
        </is>
      </c>
    </row>
    <row r="1411">
      <c r="A1411" s="7" t="inlineStr">
        <is>
          <t>2013-05-03</t>
        </is>
      </c>
      <c r="B1411" s="8" t="n"/>
      <c r="C1411" s="8" t="n"/>
      <c r="D1411" s="8" t="n"/>
      <c r="E1411" s="8" t="n"/>
      <c r="F1411" s="8" t="n"/>
      <c r="G1411" s="8" t="n"/>
      <c r="H1411" s="8" t="n">
        <v>9955</v>
      </c>
      <c r="I1411" s="8" t="n">
        <v>9890</v>
      </c>
      <c r="J1411" s="8" t="n">
        <v>10025</v>
      </c>
      <c r="K1411" s="8" t="n">
        <v>9870</v>
      </c>
      <c r="L1411" s="8" t="n">
        <v>608378</v>
      </c>
      <c r="M1411" s="8" t="n">
        <v>376456</v>
      </c>
      <c r="N1411" s="9" t="inlineStr">
        <is>
          <t>否</t>
        </is>
      </c>
      <c r="O1411" t="inlineStr">
        <is>
          <t>缺 PP</t>
        </is>
      </c>
    </row>
    <row r="1412">
      <c r="A1412" s="7" t="inlineStr">
        <is>
          <t>2013-05-06</t>
        </is>
      </c>
      <c r="B1412" s="8" t="n"/>
      <c r="C1412" s="8" t="n"/>
      <c r="D1412" s="8" t="n"/>
      <c r="E1412" s="8" t="n"/>
      <c r="F1412" s="8" t="n"/>
      <c r="G1412" s="8" t="n"/>
      <c r="H1412" s="8" t="n">
        <v>10090</v>
      </c>
      <c r="I1412" s="8" t="n">
        <v>10160</v>
      </c>
      <c r="J1412" s="8" t="n">
        <v>10185</v>
      </c>
      <c r="K1412" s="8" t="n">
        <v>10045</v>
      </c>
      <c r="L1412" s="8" t="n">
        <v>514094</v>
      </c>
      <c r="M1412" s="8" t="n">
        <v>379332</v>
      </c>
      <c r="N1412" s="9" t="inlineStr">
        <is>
          <t>否</t>
        </is>
      </c>
      <c r="O1412" t="inlineStr">
        <is>
          <t>缺 PP</t>
        </is>
      </c>
    </row>
    <row r="1413">
      <c r="A1413" s="7" t="inlineStr">
        <is>
          <t>2013-05-07</t>
        </is>
      </c>
      <c r="B1413" s="8" t="n"/>
      <c r="C1413" s="8" t="n"/>
      <c r="D1413" s="8" t="n"/>
      <c r="E1413" s="8" t="n"/>
      <c r="F1413" s="8" t="n"/>
      <c r="G1413" s="8" t="n"/>
      <c r="H1413" s="8" t="n">
        <v>10010</v>
      </c>
      <c r="I1413" s="8" t="n">
        <v>10055</v>
      </c>
      <c r="J1413" s="8" t="n">
        <v>10125</v>
      </c>
      <c r="K1413" s="8" t="n">
        <v>9990</v>
      </c>
      <c r="L1413" s="8" t="n">
        <v>576946</v>
      </c>
      <c r="M1413" s="8" t="n">
        <v>374794</v>
      </c>
      <c r="N1413" s="9" t="inlineStr">
        <is>
          <t>否</t>
        </is>
      </c>
      <c r="O1413" t="inlineStr">
        <is>
          <t>缺 PP</t>
        </is>
      </c>
    </row>
    <row r="1414">
      <c r="A1414" s="7" t="inlineStr">
        <is>
          <t>2013-05-08</t>
        </is>
      </c>
      <c r="B1414" s="8" t="n"/>
      <c r="C1414" s="8" t="n"/>
      <c r="D1414" s="8" t="n"/>
      <c r="E1414" s="8" t="n"/>
      <c r="F1414" s="8" t="n"/>
      <c r="G1414" s="8" t="n"/>
      <c r="H1414" s="8" t="n">
        <v>10155</v>
      </c>
      <c r="I1414" s="8" t="n">
        <v>10020</v>
      </c>
      <c r="J1414" s="8" t="n">
        <v>10155</v>
      </c>
      <c r="K1414" s="8" t="n">
        <v>10015</v>
      </c>
      <c r="L1414" s="8" t="n">
        <v>415722</v>
      </c>
      <c r="M1414" s="8" t="n">
        <v>382098</v>
      </c>
      <c r="N1414" s="9" t="inlineStr">
        <is>
          <t>否</t>
        </is>
      </c>
      <c r="O1414" t="inlineStr">
        <is>
          <t>缺 PP</t>
        </is>
      </c>
    </row>
    <row r="1415">
      <c r="A1415" s="7" t="inlineStr">
        <is>
          <t>2013-05-09</t>
        </is>
      </c>
      <c r="B1415" s="8" t="n"/>
      <c r="C1415" s="8" t="n"/>
      <c r="D1415" s="8" t="n"/>
      <c r="E1415" s="8" t="n"/>
      <c r="F1415" s="8" t="n"/>
      <c r="G1415" s="8" t="n"/>
      <c r="H1415" s="8" t="n">
        <v>10175</v>
      </c>
      <c r="I1415" s="8" t="n">
        <v>10135</v>
      </c>
      <c r="J1415" s="8" t="n">
        <v>10230</v>
      </c>
      <c r="K1415" s="8" t="n">
        <v>10130</v>
      </c>
      <c r="L1415" s="8" t="n">
        <v>621524</v>
      </c>
      <c r="M1415" s="8" t="n">
        <v>386572</v>
      </c>
      <c r="N1415" s="9" t="inlineStr">
        <is>
          <t>否</t>
        </is>
      </c>
      <c r="O1415" t="inlineStr">
        <is>
          <t>缺 PP</t>
        </is>
      </c>
    </row>
    <row r="1416">
      <c r="A1416" s="7" t="inlineStr">
        <is>
          <t>2013-05-10</t>
        </is>
      </c>
      <c r="B1416" s="8" t="n"/>
      <c r="C1416" s="8" t="n"/>
      <c r="D1416" s="8" t="n"/>
      <c r="E1416" s="8" t="n"/>
      <c r="F1416" s="8" t="n"/>
      <c r="G1416" s="8" t="n"/>
      <c r="H1416" s="8" t="n">
        <v>10250</v>
      </c>
      <c r="I1416" s="8" t="n">
        <v>10185</v>
      </c>
      <c r="J1416" s="8" t="n">
        <v>10260</v>
      </c>
      <c r="K1416" s="8" t="n">
        <v>10110</v>
      </c>
      <c r="L1416" s="8" t="n">
        <v>605936</v>
      </c>
      <c r="M1416" s="8" t="n">
        <v>378270</v>
      </c>
      <c r="N1416" s="9" t="inlineStr">
        <is>
          <t>否</t>
        </is>
      </c>
      <c r="O1416" t="inlineStr">
        <is>
          <t>缺 PP</t>
        </is>
      </c>
    </row>
    <row r="1417">
      <c r="A1417" s="7" t="inlineStr">
        <is>
          <t>2013-05-13</t>
        </is>
      </c>
      <c r="B1417" s="8" t="n"/>
      <c r="C1417" s="8" t="n"/>
      <c r="D1417" s="8" t="n"/>
      <c r="E1417" s="8" t="n"/>
      <c r="F1417" s="8" t="n"/>
      <c r="G1417" s="8" t="n"/>
      <c r="H1417" s="8" t="n">
        <v>10195</v>
      </c>
      <c r="I1417" s="8" t="n">
        <v>10235</v>
      </c>
      <c r="J1417" s="8" t="n">
        <v>10285</v>
      </c>
      <c r="K1417" s="8" t="n">
        <v>10185</v>
      </c>
      <c r="L1417" s="8" t="n">
        <v>597724</v>
      </c>
      <c r="M1417" s="8" t="n">
        <v>388084</v>
      </c>
      <c r="N1417" s="9" t="inlineStr">
        <is>
          <t>否</t>
        </is>
      </c>
      <c r="O1417" t="inlineStr">
        <is>
          <t>缺 PP</t>
        </is>
      </c>
    </row>
    <row r="1418">
      <c r="A1418" s="7" t="inlineStr">
        <is>
          <t>2013-05-14</t>
        </is>
      </c>
      <c r="B1418" s="8" t="n"/>
      <c r="C1418" s="8" t="n"/>
      <c r="D1418" s="8" t="n"/>
      <c r="E1418" s="8" t="n"/>
      <c r="F1418" s="8" t="n"/>
      <c r="G1418" s="8" t="n"/>
      <c r="H1418" s="8" t="n">
        <v>10130</v>
      </c>
      <c r="I1418" s="8" t="n">
        <v>10200</v>
      </c>
      <c r="J1418" s="8" t="n">
        <v>10225</v>
      </c>
      <c r="K1418" s="8" t="n">
        <v>10095</v>
      </c>
      <c r="L1418" s="8" t="n">
        <v>601064</v>
      </c>
      <c r="M1418" s="8" t="n">
        <v>394174</v>
      </c>
      <c r="N1418" s="9" t="inlineStr">
        <is>
          <t>否</t>
        </is>
      </c>
      <c r="O1418" t="inlineStr">
        <is>
          <t>缺 PP</t>
        </is>
      </c>
    </row>
    <row r="1419">
      <c r="A1419" s="7" t="inlineStr">
        <is>
          <t>2013-05-15</t>
        </is>
      </c>
      <c r="B1419" s="8" t="n"/>
      <c r="C1419" s="8" t="n"/>
      <c r="D1419" s="8" t="n"/>
      <c r="E1419" s="8" t="n"/>
      <c r="F1419" s="8" t="n"/>
      <c r="G1419" s="8" t="n"/>
      <c r="H1419" s="8" t="n">
        <v>10010</v>
      </c>
      <c r="I1419" s="8" t="n">
        <v>10080</v>
      </c>
      <c r="J1419" s="8" t="n">
        <v>10135</v>
      </c>
      <c r="K1419" s="8" t="n">
        <v>10010</v>
      </c>
      <c r="L1419" s="8" t="n">
        <v>525554</v>
      </c>
      <c r="M1419" s="8" t="n">
        <v>385806</v>
      </c>
      <c r="N1419" s="9" t="inlineStr">
        <is>
          <t>否</t>
        </is>
      </c>
      <c r="O1419" t="inlineStr">
        <is>
          <t>缺 PP</t>
        </is>
      </c>
    </row>
    <row r="1420">
      <c r="A1420" s="7" t="inlineStr">
        <is>
          <t>2013-05-16</t>
        </is>
      </c>
      <c r="B1420" s="8" t="n"/>
      <c r="C1420" s="8" t="n"/>
      <c r="D1420" s="8" t="n"/>
      <c r="E1420" s="8" t="n"/>
      <c r="F1420" s="8" t="n"/>
      <c r="G1420" s="8" t="n"/>
      <c r="H1420" s="8" t="n">
        <v>10035</v>
      </c>
      <c r="I1420" s="8" t="n">
        <v>10030</v>
      </c>
      <c r="J1420" s="8" t="n">
        <v>10055</v>
      </c>
      <c r="K1420" s="8" t="n">
        <v>9960</v>
      </c>
      <c r="L1420" s="8" t="n">
        <v>786796</v>
      </c>
      <c r="M1420" s="8" t="n">
        <v>401096</v>
      </c>
      <c r="N1420" s="9" t="inlineStr">
        <is>
          <t>否</t>
        </is>
      </c>
      <c r="O1420" t="inlineStr">
        <is>
          <t>缺 PP</t>
        </is>
      </c>
    </row>
    <row r="1421">
      <c r="A1421" s="7" t="inlineStr">
        <is>
          <t>2013-05-17</t>
        </is>
      </c>
      <c r="B1421" s="8" t="n"/>
      <c r="C1421" s="8" t="n"/>
      <c r="D1421" s="8" t="n"/>
      <c r="E1421" s="8" t="n"/>
      <c r="F1421" s="8" t="n"/>
      <c r="G1421" s="8" t="n"/>
      <c r="H1421" s="8" t="n">
        <v>10185</v>
      </c>
      <c r="I1421" s="8" t="n">
        <v>10065</v>
      </c>
      <c r="J1421" s="8" t="n">
        <v>10205</v>
      </c>
      <c r="K1421" s="8" t="n">
        <v>10035</v>
      </c>
      <c r="L1421" s="8" t="n">
        <v>440278</v>
      </c>
      <c r="M1421" s="8" t="n">
        <v>389138</v>
      </c>
      <c r="N1421" s="9" t="inlineStr">
        <is>
          <t>否</t>
        </is>
      </c>
      <c r="O1421" t="inlineStr">
        <is>
          <t>缺 PP</t>
        </is>
      </c>
    </row>
    <row r="1422">
      <c r="A1422" s="7" t="inlineStr">
        <is>
          <t>2013-05-20</t>
        </is>
      </c>
      <c r="B1422" s="8" t="n"/>
      <c r="C1422" s="8" t="n"/>
      <c r="D1422" s="8" t="n"/>
      <c r="E1422" s="8" t="n"/>
      <c r="F1422" s="8" t="n"/>
      <c r="G1422" s="8" t="n"/>
      <c r="H1422" s="8" t="n">
        <v>10170</v>
      </c>
      <c r="I1422" s="8" t="n">
        <v>10225</v>
      </c>
      <c r="J1422" s="8" t="n">
        <v>10225</v>
      </c>
      <c r="K1422" s="8" t="n">
        <v>10150</v>
      </c>
      <c r="L1422" s="8" t="n">
        <v>370516</v>
      </c>
      <c r="M1422" s="8" t="n">
        <v>369340</v>
      </c>
      <c r="N1422" s="9" t="inlineStr">
        <is>
          <t>否</t>
        </is>
      </c>
      <c r="O1422" t="inlineStr">
        <is>
          <t>缺 PP</t>
        </is>
      </c>
    </row>
    <row r="1423">
      <c r="A1423" s="7" t="inlineStr">
        <is>
          <t>2013-05-21</t>
        </is>
      </c>
      <c r="B1423" s="8" t="n"/>
      <c r="C1423" s="8" t="n"/>
      <c r="D1423" s="8" t="n"/>
      <c r="E1423" s="8" t="n"/>
      <c r="F1423" s="8" t="n"/>
      <c r="G1423" s="8" t="n"/>
      <c r="H1423" s="8" t="n">
        <v>10355</v>
      </c>
      <c r="I1423" s="8" t="n">
        <v>10215</v>
      </c>
      <c r="J1423" s="8" t="n">
        <v>10355</v>
      </c>
      <c r="K1423" s="8" t="n">
        <v>10195</v>
      </c>
      <c r="L1423" s="8" t="n">
        <v>803622</v>
      </c>
      <c r="M1423" s="8" t="n">
        <v>402162</v>
      </c>
      <c r="N1423" s="9" t="inlineStr">
        <is>
          <t>否</t>
        </is>
      </c>
      <c r="O1423" t="inlineStr">
        <is>
          <t>缺 PP</t>
        </is>
      </c>
    </row>
    <row r="1424">
      <c r="A1424" s="7" t="inlineStr">
        <is>
          <t>2013-05-22</t>
        </is>
      </c>
      <c r="B1424" s="8" t="n"/>
      <c r="C1424" s="8" t="n"/>
      <c r="D1424" s="8" t="n"/>
      <c r="E1424" s="8" t="n"/>
      <c r="F1424" s="8" t="n"/>
      <c r="G1424" s="8" t="n"/>
      <c r="H1424" s="8" t="n">
        <v>10430</v>
      </c>
      <c r="I1424" s="8" t="n">
        <v>10345</v>
      </c>
      <c r="J1424" s="8" t="n">
        <v>10450</v>
      </c>
      <c r="K1424" s="8" t="n">
        <v>10315</v>
      </c>
      <c r="L1424" s="8" t="n">
        <v>545570</v>
      </c>
      <c r="M1424" s="8" t="n">
        <v>395518</v>
      </c>
      <c r="N1424" s="9" t="inlineStr">
        <is>
          <t>否</t>
        </is>
      </c>
      <c r="O1424" t="inlineStr">
        <is>
          <t>缺 PP</t>
        </is>
      </c>
    </row>
    <row r="1425">
      <c r="A1425" s="7" t="inlineStr">
        <is>
          <t>2013-05-23</t>
        </is>
      </c>
      <c r="B1425" s="8" t="n"/>
      <c r="C1425" s="8" t="n"/>
      <c r="D1425" s="8" t="n"/>
      <c r="E1425" s="8" t="n"/>
      <c r="F1425" s="8" t="n"/>
      <c r="G1425" s="8" t="n"/>
      <c r="H1425" s="8" t="n">
        <v>10155</v>
      </c>
      <c r="I1425" s="8" t="n">
        <v>10375</v>
      </c>
      <c r="J1425" s="8" t="n">
        <v>10375</v>
      </c>
      <c r="K1425" s="8" t="n">
        <v>10130</v>
      </c>
      <c r="L1425" s="8" t="n">
        <v>780906</v>
      </c>
      <c r="M1425" s="8" t="n">
        <v>370444</v>
      </c>
      <c r="N1425" s="9" t="inlineStr">
        <is>
          <t>否</t>
        </is>
      </c>
      <c r="O1425" t="inlineStr">
        <is>
          <t>缺 PP</t>
        </is>
      </c>
    </row>
    <row r="1426">
      <c r="A1426" s="7" t="inlineStr">
        <is>
          <t>2013-05-24</t>
        </is>
      </c>
      <c r="B1426" s="8" t="n"/>
      <c r="C1426" s="8" t="n"/>
      <c r="D1426" s="8" t="n"/>
      <c r="E1426" s="8" t="n"/>
      <c r="F1426" s="8" t="n"/>
      <c r="G1426" s="8" t="n"/>
      <c r="H1426" s="8" t="n">
        <v>10320</v>
      </c>
      <c r="I1426" s="8" t="n">
        <v>10220</v>
      </c>
      <c r="J1426" s="8" t="n">
        <v>10335</v>
      </c>
      <c r="K1426" s="8" t="n">
        <v>10205</v>
      </c>
      <c r="L1426" s="8" t="n">
        <v>656000</v>
      </c>
      <c r="M1426" s="8" t="n">
        <v>368488</v>
      </c>
      <c r="N1426" s="9" t="inlineStr">
        <is>
          <t>否</t>
        </is>
      </c>
      <c r="O1426" t="inlineStr">
        <is>
          <t>缺 PP</t>
        </is>
      </c>
    </row>
    <row r="1427">
      <c r="A1427" s="7" t="inlineStr">
        <is>
          <t>2013-05-27</t>
        </is>
      </c>
      <c r="B1427" s="8" t="n"/>
      <c r="C1427" s="8" t="n"/>
      <c r="D1427" s="8" t="n"/>
      <c r="E1427" s="8" t="n"/>
      <c r="F1427" s="8" t="n"/>
      <c r="G1427" s="8" t="n"/>
      <c r="H1427" s="8" t="n">
        <v>10235</v>
      </c>
      <c r="I1427" s="8" t="n">
        <v>10265</v>
      </c>
      <c r="J1427" s="8" t="n">
        <v>10305</v>
      </c>
      <c r="K1427" s="8" t="n">
        <v>10195</v>
      </c>
      <c r="L1427" s="8" t="n">
        <v>519248</v>
      </c>
      <c r="M1427" s="8" t="n">
        <v>371766</v>
      </c>
      <c r="N1427" s="9" t="inlineStr">
        <is>
          <t>否</t>
        </is>
      </c>
      <c r="O1427" t="inlineStr">
        <is>
          <t>缺 PP</t>
        </is>
      </c>
    </row>
    <row r="1428">
      <c r="A1428" s="7" t="inlineStr">
        <is>
          <t>2013-05-28</t>
        </is>
      </c>
      <c r="B1428" s="8" t="n"/>
      <c r="C1428" s="8" t="n"/>
      <c r="D1428" s="8" t="n"/>
      <c r="E1428" s="8" t="n"/>
      <c r="F1428" s="8" t="n"/>
      <c r="G1428" s="8" t="n"/>
      <c r="H1428" s="8" t="n">
        <v>10270</v>
      </c>
      <c r="I1428" s="8" t="n">
        <v>10265</v>
      </c>
      <c r="J1428" s="8" t="n">
        <v>10285</v>
      </c>
      <c r="K1428" s="8" t="n">
        <v>10170</v>
      </c>
      <c r="L1428" s="8" t="n">
        <v>561378</v>
      </c>
      <c r="M1428" s="8" t="n">
        <v>380386</v>
      </c>
      <c r="N1428" s="9" t="inlineStr">
        <is>
          <t>否</t>
        </is>
      </c>
      <c r="O1428" t="inlineStr">
        <is>
          <t>缺 PP</t>
        </is>
      </c>
    </row>
    <row r="1429">
      <c r="A1429" s="7" t="inlineStr">
        <is>
          <t>2013-05-29</t>
        </is>
      </c>
      <c r="B1429" s="8" t="n"/>
      <c r="C1429" s="8" t="n"/>
      <c r="D1429" s="8" t="n"/>
      <c r="E1429" s="8" t="n"/>
      <c r="F1429" s="8" t="n"/>
      <c r="G1429" s="8" t="n"/>
      <c r="H1429" s="8" t="n">
        <v>10285</v>
      </c>
      <c r="I1429" s="8" t="n">
        <v>10290</v>
      </c>
      <c r="J1429" s="8" t="n">
        <v>10415</v>
      </c>
      <c r="K1429" s="8" t="n">
        <v>10265</v>
      </c>
      <c r="L1429" s="8" t="n">
        <v>577986</v>
      </c>
      <c r="M1429" s="8" t="n">
        <v>366962</v>
      </c>
      <c r="N1429" s="9" t="inlineStr">
        <is>
          <t>否</t>
        </is>
      </c>
      <c r="O1429" t="inlineStr">
        <is>
          <t>缺 PP</t>
        </is>
      </c>
    </row>
    <row r="1430">
      <c r="A1430" s="7" t="inlineStr">
        <is>
          <t>2013-05-30</t>
        </is>
      </c>
      <c r="B1430" s="8" t="n"/>
      <c r="C1430" s="8" t="n"/>
      <c r="D1430" s="8" t="n"/>
      <c r="E1430" s="8" t="n"/>
      <c r="F1430" s="8" t="n"/>
      <c r="G1430" s="8" t="n"/>
      <c r="H1430" s="8" t="n">
        <v>10270</v>
      </c>
      <c r="I1430" s="8" t="n">
        <v>10250</v>
      </c>
      <c r="J1430" s="8" t="n">
        <v>10275</v>
      </c>
      <c r="K1430" s="8" t="n">
        <v>10100</v>
      </c>
      <c r="L1430" s="8" t="n">
        <v>590354</v>
      </c>
      <c r="M1430" s="8" t="n">
        <v>370232</v>
      </c>
      <c r="N1430" s="9" t="inlineStr">
        <is>
          <t>否</t>
        </is>
      </c>
      <c r="O1430" t="inlineStr">
        <is>
          <t>缺 PP</t>
        </is>
      </c>
    </row>
    <row r="1431">
      <c r="A1431" s="7" t="inlineStr">
        <is>
          <t>2013-05-31</t>
        </is>
      </c>
      <c r="B1431" s="8" t="n"/>
      <c r="C1431" s="8" t="n"/>
      <c r="D1431" s="8" t="n"/>
      <c r="E1431" s="8" t="n"/>
      <c r="F1431" s="8" t="n"/>
      <c r="G1431" s="8" t="n"/>
      <c r="H1431" s="8" t="n">
        <v>10300</v>
      </c>
      <c r="I1431" s="8" t="n">
        <v>10320</v>
      </c>
      <c r="J1431" s="8" t="n">
        <v>10365</v>
      </c>
      <c r="K1431" s="8" t="n">
        <v>10270</v>
      </c>
      <c r="L1431" s="8" t="n">
        <v>480408</v>
      </c>
      <c r="M1431" s="8" t="n">
        <v>347790</v>
      </c>
      <c r="N1431" s="9" t="inlineStr">
        <is>
          <t>否</t>
        </is>
      </c>
      <c r="O1431" t="inlineStr">
        <is>
          <t>缺 PP</t>
        </is>
      </c>
    </row>
    <row r="1432">
      <c r="A1432" s="7" t="inlineStr">
        <is>
          <t>2013-06-03</t>
        </is>
      </c>
      <c r="B1432" s="8" t="n"/>
      <c r="C1432" s="8" t="n"/>
      <c r="D1432" s="8" t="n"/>
      <c r="E1432" s="8" t="n"/>
      <c r="F1432" s="8" t="n"/>
      <c r="G1432" s="8" t="n"/>
      <c r="H1432" s="8" t="n">
        <v>10335</v>
      </c>
      <c r="I1432" s="8" t="n">
        <v>10300</v>
      </c>
      <c r="J1432" s="8" t="n">
        <v>10350</v>
      </c>
      <c r="K1432" s="8" t="n">
        <v>10230</v>
      </c>
      <c r="L1432" s="8" t="n">
        <v>576480</v>
      </c>
      <c r="M1432" s="8" t="n">
        <v>353158</v>
      </c>
      <c r="N1432" s="9" t="inlineStr">
        <is>
          <t>否</t>
        </is>
      </c>
      <c r="O1432" t="inlineStr">
        <is>
          <t>缺 PP</t>
        </is>
      </c>
    </row>
    <row r="1433">
      <c r="A1433" s="7" t="inlineStr">
        <is>
          <t>2013-06-04</t>
        </is>
      </c>
      <c r="B1433" s="8" t="n"/>
      <c r="C1433" s="8" t="n"/>
      <c r="D1433" s="8" t="n"/>
      <c r="E1433" s="8" t="n"/>
      <c r="F1433" s="8" t="n"/>
      <c r="G1433" s="8" t="n"/>
      <c r="H1433" s="8" t="n">
        <v>10380</v>
      </c>
      <c r="I1433" s="8" t="n">
        <v>10370</v>
      </c>
      <c r="J1433" s="8" t="n">
        <v>10435</v>
      </c>
      <c r="K1433" s="8" t="n">
        <v>10345</v>
      </c>
      <c r="L1433" s="8" t="n">
        <v>564056</v>
      </c>
      <c r="M1433" s="8" t="n">
        <v>358852</v>
      </c>
      <c r="N1433" s="9" t="inlineStr">
        <is>
          <t>否</t>
        </is>
      </c>
      <c r="O1433" t="inlineStr">
        <is>
          <t>缺 PP</t>
        </is>
      </c>
    </row>
    <row r="1434">
      <c r="A1434" s="7" t="inlineStr">
        <is>
          <t>2013-06-05</t>
        </is>
      </c>
      <c r="B1434" s="8" t="n"/>
      <c r="C1434" s="8" t="n"/>
      <c r="D1434" s="8" t="n"/>
      <c r="E1434" s="8" t="n"/>
      <c r="F1434" s="8" t="n"/>
      <c r="G1434" s="8" t="n"/>
      <c r="H1434" s="8" t="n">
        <v>10540</v>
      </c>
      <c r="I1434" s="8" t="n">
        <v>10385</v>
      </c>
      <c r="J1434" s="8" t="n">
        <v>10560</v>
      </c>
      <c r="K1434" s="8" t="n">
        <v>10385</v>
      </c>
      <c r="L1434" s="8" t="n">
        <v>803902</v>
      </c>
      <c r="M1434" s="8" t="n">
        <v>389624</v>
      </c>
      <c r="N1434" s="9" t="inlineStr">
        <is>
          <t>否</t>
        </is>
      </c>
      <c r="O1434" t="inlineStr">
        <is>
          <t>缺 PP</t>
        </is>
      </c>
    </row>
    <row r="1435">
      <c r="A1435" s="7" t="inlineStr">
        <is>
          <t>2013-06-06</t>
        </is>
      </c>
      <c r="B1435" s="8" t="n"/>
      <c r="C1435" s="8" t="n"/>
      <c r="D1435" s="8" t="n"/>
      <c r="E1435" s="8" t="n"/>
      <c r="F1435" s="8" t="n"/>
      <c r="G1435" s="8" t="n"/>
      <c r="H1435" s="8" t="n">
        <v>10505</v>
      </c>
      <c r="I1435" s="8" t="n">
        <v>10500</v>
      </c>
      <c r="J1435" s="8" t="n">
        <v>10580</v>
      </c>
      <c r="K1435" s="8" t="n">
        <v>10435</v>
      </c>
      <c r="L1435" s="8" t="n">
        <v>885686</v>
      </c>
      <c r="M1435" s="8" t="n">
        <v>379296</v>
      </c>
      <c r="N1435" s="9" t="inlineStr">
        <is>
          <t>否</t>
        </is>
      </c>
      <c r="O1435" t="inlineStr">
        <is>
          <t>缺 PP</t>
        </is>
      </c>
    </row>
    <row r="1436">
      <c r="A1436" s="7" t="inlineStr">
        <is>
          <t>2013-06-07</t>
        </is>
      </c>
      <c r="B1436" s="8" t="n"/>
      <c r="C1436" s="8" t="n"/>
      <c r="D1436" s="8" t="n"/>
      <c r="E1436" s="8" t="n"/>
      <c r="F1436" s="8" t="n"/>
      <c r="G1436" s="8" t="n"/>
      <c r="H1436" s="8" t="n">
        <v>10760</v>
      </c>
      <c r="I1436" s="8" t="n">
        <v>10535</v>
      </c>
      <c r="J1436" s="8" t="n">
        <v>10765</v>
      </c>
      <c r="K1436" s="8" t="n">
        <v>10530</v>
      </c>
      <c r="L1436" s="8" t="n">
        <v>787666</v>
      </c>
      <c r="M1436" s="8" t="n">
        <v>0</v>
      </c>
      <c r="N1436" s="9" t="inlineStr">
        <is>
          <t>否</t>
        </is>
      </c>
      <c r="O1436" t="inlineStr">
        <is>
          <t>缺 PP</t>
        </is>
      </c>
    </row>
    <row r="1437">
      <c r="A1437" s="7" t="inlineStr">
        <is>
          <t>2013-06-13</t>
        </is>
      </c>
      <c r="B1437" s="8" t="n"/>
      <c r="C1437" s="8" t="n"/>
      <c r="D1437" s="8" t="n"/>
      <c r="E1437" s="8" t="n"/>
      <c r="F1437" s="8" t="n"/>
      <c r="G1437" s="8" t="n"/>
      <c r="H1437" s="8" t="n">
        <v>10555</v>
      </c>
      <c r="I1437" s="8" t="n">
        <v>10700</v>
      </c>
      <c r="J1437" s="8" t="n">
        <v>10755</v>
      </c>
      <c r="K1437" s="8" t="n">
        <v>10515</v>
      </c>
      <c r="L1437" s="8" t="n">
        <v>725226</v>
      </c>
      <c r="M1437" s="8" t="n">
        <v>350544</v>
      </c>
      <c r="N1437" s="9" t="inlineStr">
        <is>
          <t>否</t>
        </is>
      </c>
      <c r="O1437" t="inlineStr">
        <is>
          <t>缺 PP</t>
        </is>
      </c>
    </row>
    <row r="1438">
      <c r="A1438" s="7" t="inlineStr">
        <is>
          <t>2013-06-14</t>
        </is>
      </c>
      <c r="B1438" s="8" t="n"/>
      <c r="C1438" s="8" t="n"/>
      <c r="D1438" s="8" t="n"/>
      <c r="E1438" s="8" t="n"/>
      <c r="F1438" s="8" t="n"/>
      <c r="G1438" s="8" t="n"/>
      <c r="H1438" s="8" t="n">
        <v>10690</v>
      </c>
      <c r="I1438" s="8" t="n">
        <v>10590</v>
      </c>
      <c r="J1438" s="8" t="n">
        <v>10715</v>
      </c>
      <c r="K1438" s="8" t="n">
        <v>10560</v>
      </c>
      <c r="L1438" s="8" t="n">
        <v>703602</v>
      </c>
      <c r="M1438" s="8" t="n">
        <v>364276</v>
      </c>
      <c r="N1438" s="9" t="inlineStr">
        <is>
          <t>否</t>
        </is>
      </c>
      <c r="O1438" t="inlineStr">
        <is>
          <t>缺 PP</t>
        </is>
      </c>
    </row>
    <row r="1439">
      <c r="A1439" s="7" t="inlineStr">
        <is>
          <t>2013-06-17</t>
        </is>
      </c>
      <c r="B1439" s="8" t="n"/>
      <c r="C1439" s="8" t="n"/>
      <c r="D1439" s="8" t="n"/>
      <c r="E1439" s="8" t="n"/>
      <c r="F1439" s="8" t="n"/>
      <c r="G1439" s="8" t="n"/>
      <c r="H1439" s="8" t="n">
        <v>10785</v>
      </c>
      <c r="I1439" s="8" t="n">
        <v>10730</v>
      </c>
      <c r="J1439" s="8" t="n">
        <v>10835</v>
      </c>
      <c r="K1439" s="8" t="n">
        <v>10690</v>
      </c>
      <c r="L1439" s="8" t="n">
        <v>723350</v>
      </c>
      <c r="M1439" s="8" t="n">
        <v>414768</v>
      </c>
      <c r="N1439" s="9" t="inlineStr">
        <is>
          <t>否</t>
        </is>
      </c>
      <c r="O1439" t="inlineStr">
        <is>
          <t>缺 PP</t>
        </is>
      </c>
    </row>
    <row r="1440">
      <c r="A1440" s="7" t="inlineStr">
        <is>
          <t>2013-06-18</t>
        </is>
      </c>
      <c r="B1440" s="8" t="n"/>
      <c r="C1440" s="8" t="n"/>
      <c r="D1440" s="8" t="n"/>
      <c r="E1440" s="8" t="n"/>
      <c r="F1440" s="8" t="n"/>
      <c r="G1440" s="8" t="n"/>
      <c r="H1440" s="8" t="n">
        <v>10680</v>
      </c>
      <c r="I1440" s="8" t="n">
        <v>10800</v>
      </c>
      <c r="J1440" s="8" t="n">
        <v>10805</v>
      </c>
      <c r="K1440" s="8" t="n">
        <v>10665</v>
      </c>
      <c r="L1440" s="8" t="n">
        <v>581144</v>
      </c>
      <c r="M1440" s="8" t="n">
        <v>366082</v>
      </c>
      <c r="N1440" s="9" t="inlineStr">
        <is>
          <t>否</t>
        </is>
      </c>
      <c r="O1440" t="inlineStr">
        <is>
          <t>缺 PP</t>
        </is>
      </c>
    </row>
    <row r="1441">
      <c r="A1441" s="7" t="inlineStr">
        <is>
          <t>2013-06-19</t>
        </is>
      </c>
      <c r="B1441" s="8" t="n"/>
      <c r="C1441" s="8" t="n"/>
      <c r="D1441" s="8" t="n"/>
      <c r="E1441" s="8" t="n"/>
      <c r="F1441" s="8" t="n"/>
      <c r="G1441" s="8" t="n"/>
      <c r="H1441" s="8" t="n">
        <v>10695</v>
      </c>
      <c r="I1441" s="8" t="n">
        <v>10710</v>
      </c>
      <c r="J1441" s="8" t="n">
        <v>10740</v>
      </c>
      <c r="K1441" s="8" t="n">
        <v>10650</v>
      </c>
      <c r="L1441" s="8" t="n">
        <v>491328</v>
      </c>
      <c r="M1441" s="8" t="n">
        <v>357998</v>
      </c>
      <c r="N1441" s="9" t="inlineStr">
        <is>
          <t>否</t>
        </is>
      </c>
      <c r="O1441" t="inlineStr">
        <is>
          <t>缺 PP</t>
        </is>
      </c>
    </row>
    <row r="1442">
      <c r="A1442" s="7" t="inlineStr">
        <is>
          <t>2013-06-20</t>
        </is>
      </c>
      <c r="B1442" s="8" t="n"/>
      <c r="C1442" s="8" t="n"/>
      <c r="D1442" s="8" t="n"/>
      <c r="E1442" s="8" t="n"/>
      <c r="F1442" s="8" t="n"/>
      <c r="G1442" s="8" t="n"/>
      <c r="H1442" s="8" t="n">
        <v>10545</v>
      </c>
      <c r="I1442" s="8" t="n">
        <v>10650</v>
      </c>
      <c r="J1442" s="8" t="n">
        <v>10650</v>
      </c>
      <c r="K1442" s="8" t="n">
        <v>10490</v>
      </c>
      <c r="L1442" s="8" t="n">
        <v>611416</v>
      </c>
      <c r="M1442" s="8" t="n">
        <v>364640</v>
      </c>
      <c r="N1442" s="9" t="inlineStr">
        <is>
          <t>否</t>
        </is>
      </c>
      <c r="O1442" t="inlineStr">
        <is>
          <t>缺 PP</t>
        </is>
      </c>
    </row>
    <row r="1443">
      <c r="A1443" s="7" t="inlineStr">
        <is>
          <t>2013-06-21</t>
        </is>
      </c>
      <c r="B1443" s="8" t="n"/>
      <c r="C1443" s="8" t="n"/>
      <c r="D1443" s="8" t="n"/>
      <c r="E1443" s="8" t="n"/>
      <c r="F1443" s="8" t="n"/>
      <c r="G1443" s="8" t="n"/>
      <c r="H1443" s="8" t="n">
        <v>10525</v>
      </c>
      <c r="I1443" s="8" t="n">
        <v>10405</v>
      </c>
      <c r="J1443" s="8" t="n">
        <v>10620</v>
      </c>
      <c r="K1443" s="8" t="n">
        <v>10350</v>
      </c>
      <c r="L1443" s="8" t="n">
        <v>775264</v>
      </c>
      <c r="M1443" s="8" t="n">
        <v>341892</v>
      </c>
      <c r="N1443" s="9" t="inlineStr">
        <is>
          <t>否</t>
        </is>
      </c>
      <c r="O1443" t="inlineStr">
        <is>
          <t>缺 PP</t>
        </is>
      </c>
    </row>
    <row r="1444">
      <c r="A1444" s="7" t="inlineStr">
        <is>
          <t>2013-06-24</t>
        </is>
      </c>
      <c r="B1444" s="8" t="n"/>
      <c r="C1444" s="8" t="n"/>
      <c r="D1444" s="8" t="n"/>
      <c r="E1444" s="8" t="n"/>
      <c r="F1444" s="8" t="n"/>
      <c r="G1444" s="8" t="n"/>
      <c r="H1444" s="8" t="n">
        <v>10330</v>
      </c>
      <c r="I1444" s="8" t="n">
        <v>10485</v>
      </c>
      <c r="J1444" s="8" t="n">
        <v>10520</v>
      </c>
      <c r="K1444" s="8" t="n">
        <v>10315</v>
      </c>
      <c r="L1444" s="8" t="n">
        <v>475402</v>
      </c>
      <c r="M1444" s="8" t="n">
        <v>329482</v>
      </c>
      <c r="N1444" s="9" t="inlineStr">
        <is>
          <t>否</t>
        </is>
      </c>
      <c r="O1444" t="inlineStr">
        <is>
          <t>缺 PP</t>
        </is>
      </c>
    </row>
    <row r="1445">
      <c r="A1445" s="7" t="inlineStr">
        <is>
          <t>2013-06-25</t>
        </is>
      </c>
      <c r="B1445" s="8" t="n"/>
      <c r="C1445" s="8" t="n"/>
      <c r="D1445" s="8" t="n"/>
      <c r="E1445" s="8" t="n"/>
      <c r="F1445" s="8" t="n"/>
      <c r="G1445" s="8" t="n"/>
      <c r="H1445" s="8" t="n">
        <v>10455</v>
      </c>
      <c r="I1445" s="8" t="n">
        <v>10390</v>
      </c>
      <c r="J1445" s="8" t="n">
        <v>10475</v>
      </c>
      <c r="K1445" s="8" t="n">
        <v>10315</v>
      </c>
      <c r="L1445" s="8" t="n">
        <v>564140</v>
      </c>
      <c r="M1445" s="8" t="n">
        <v>336240</v>
      </c>
      <c r="N1445" s="9" t="inlineStr">
        <is>
          <t>否</t>
        </is>
      </c>
      <c r="O1445" t="inlineStr">
        <is>
          <t>缺 PP</t>
        </is>
      </c>
    </row>
    <row r="1446">
      <c r="A1446" s="7" t="inlineStr">
        <is>
          <t>2013-06-26</t>
        </is>
      </c>
      <c r="B1446" s="8" t="n"/>
      <c r="C1446" s="8" t="n"/>
      <c r="D1446" s="8" t="n"/>
      <c r="E1446" s="8" t="n"/>
      <c r="F1446" s="8" t="n"/>
      <c r="G1446" s="8" t="n"/>
      <c r="H1446" s="8" t="n">
        <v>10345</v>
      </c>
      <c r="I1446" s="8" t="n">
        <v>10460</v>
      </c>
      <c r="J1446" s="8" t="n">
        <v>10500</v>
      </c>
      <c r="K1446" s="8" t="n">
        <v>10340</v>
      </c>
      <c r="L1446" s="8" t="n">
        <v>480068</v>
      </c>
      <c r="M1446" s="8" t="n">
        <v>298292</v>
      </c>
      <c r="N1446" s="9" t="inlineStr">
        <is>
          <t>否</t>
        </is>
      </c>
      <c r="O1446" t="inlineStr">
        <is>
          <t>缺 PP</t>
        </is>
      </c>
    </row>
    <row r="1447">
      <c r="A1447" s="7" t="inlineStr">
        <is>
          <t>2013-06-27</t>
        </is>
      </c>
      <c r="B1447" s="8" t="n"/>
      <c r="C1447" s="8" t="n"/>
      <c r="D1447" s="8" t="n"/>
      <c r="E1447" s="8" t="n"/>
      <c r="F1447" s="8" t="n"/>
      <c r="G1447" s="8" t="n"/>
      <c r="H1447" s="8" t="n">
        <v>10440</v>
      </c>
      <c r="I1447" s="8" t="n">
        <v>10375</v>
      </c>
      <c r="J1447" s="8" t="n">
        <v>10440</v>
      </c>
      <c r="K1447" s="8" t="n">
        <v>10355</v>
      </c>
      <c r="L1447" s="8" t="n">
        <v>256202</v>
      </c>
      <c r="M1447" s="8" t="n">
        <v>284294</v>
      </c>
      <c r="N1447" s="9" t="inlineStr">
        <is>
          <t>否</t>
        </is>
      </c>
      <c r="O1447" t="inlineStr">
        <is>
          <t>缺 PP</t>
        </is>
      </c>
    </row>
    <row r="1448">
      <c r="A1448" s="7" t="inlineStr">
        <is>
          <t>2013-06-28</t>
        </is>
      </c>
      <c r="B1448" s="8" t="n"/>
      <c r="C1448" s="8" t="n"/>
      <c r="D1448" s="8" t="n"/>
      <c r="E1448" s="8" t="n"/>
      <c r="F1448" s="8" t="n"/>
      <c r="G1448" s="8" t="n"/>
      <c r="H1448" s="8" t="n">
        <v>10405</v>
      </c>
      <c r="I1448" s="8" t="n">
        <v>10440</v>
      </c>
      <c r="J1448" s="8" t="n">
        <v>10485</v>
      </c>
      <c r="K1448" s="8" t="n">
        <v>10390</v>
      </c>
      <c r="L1448" s="8" t="n">
        <v>188036</v>
      </c>
      <c r="M1448" s="8" t="n">
        <v>241618</v>
      </c>
      <c r="N1448" s="9" t="inlineStr">
        <is>
          <t>否</t>
        </is>
      </c>
      <c r="O1448" t="inlineStr">
        <is>
          <t>缺 PP</t>
        </is>
      </c>
    </row>
    <row r="1449">
      <c r="A1449" s="7" t="inlineStr">
        <is>
          <t>2013-07-01</t>
        </is>
      </c>
      <c r="B1449" s="8" t="n"/>
      <c r="C1449" s="8" t="n"/>
      <c r="D1449" s="8" t="n"/>
      <c r="E1449" s="8" t="n"/>
      <c r="F1449" s="8" t="n"/>
      <c r="G1449" s="8" t="n"/>
      <c r="H1449" s="8" t="n">
        <v>10440</v>
      </c>
      <c r="I1449" s="8" t="n">
        <v>10375</v>
      </c>
      <c r="J1449" s="8" t="n">
        <v>10455</v>
      </c>
      <c r="K1449" s="8" t="n">
        <v>10320</v>
      </c>
      <c r="L1449" s="8" t="n">
        <v>126840</v>
      </c>
      <c r="M1449" s="8" t="n">
        <v>219638</v>
      </c>
      <c r="N1449" s="9" t="inlineStr">
        <is>
          <t>否</t>
        </is>
      </c>
      <c r="O1449" t="inlineStr">
        <is>
          <t>缺 PP</t>
        </is>
      </c>
    </row>
    <row r="1450">
      <c r="A1450" s="7" t="inlineStr">
        <is>
          <t>2013-07-02</t>
        </is>
      </c>
      <c r="B1450" s="8" t="n"/>
      <c r="C1450" s="8" t="n"/>
      <c r="D1450" s="8" t="n"/>
      <c r="E1450" s="8" t="n"/>
      <c r="F1450" s="8" t="n"/>
      <c r="G1450" s="8" t="n"/>
      <c r="H1450" s="8" t="n">
        <v>10590</v>
      </c>
      <c r="I1450" s="8" t="n">
        <v>10495</v>
      </c>
      <c r="J1450" s="8" t="n">
        <v>10595</v>
      </c>
      <c r="K1450" s="8" t="n">
        <v>10455</v>
      </c>
      <c r="L1450" s="8" t="n">
        <v>118742</v>
      </c>
      <c r="M1450" s="8" t="n">
        <v>207942</v>
      </c>
      <c r="N1450" s="9" t="inlineStr">
        <is>
          <t>否</t>
        </is>
      </c>
      <c r="O1450" t="inlineStr">
        <is>
          <t>缺 PP</t>
        </is>
      </c>
    </row>
    <row r="1451">
      <c r="A1451" s="7" t="inlineStr">
        <is>
          <t>2013-07-03</t>
        </is>
      </c>
      <c r="B1451" s="8" t="n"/>
      <c r="C1451" s="8" t="n"/>
      <c r="D1451" s="8" t="n"/>
      <c r="E1451" s="8" t="n"/>
      <c r="F1451" s="8" t="n"/>
      <c r="G1451" s="8" t="n"/>
      <c r="H1451" s="8" t="n">
        <v>10325</v>
      </c>
      <c r="I1451" s="8" t="n">
        <v>10330</v>
      </c>
      <c r="J1451" s="8" t="n">
        <v>10380</v>
      </c>
      <c r="K1451" s="8" t="n">
        <v>10290</v>
      </c>
      <c r="L1451" s="8" t="n">
        <v>557856</v>
      </c>
      <c r="M1451" s="8" t="n">
        <v>237784</v>
      </c>
      <c r="N1451" s="9" t="inlineStr">
        <is>
          <t>否</t>
        </is>
      </c>
      <c r="O1451" t="inlineStr">
        <is>
          <t>缺 PP</t>
        </is>
      </c>
    </row>
    <row r="1452">
      <c r="A1452" s="7" t="inlineStr">
        <is>
          <t>2013-07-04</t>
        </is>
      </c>
      <c r="B1452" s="8" t="n"/>
      <c r="C1452" s="8" t="n"/>
      <c r="D1452" s="8" t="n"/>
      <c r="E1452" s="8" t="n"/>
      <c r="F1452" s="8" t="n"/>
      <c r="G1452" s="8" t="n"/>
      <c r="H1452" s="8" t="n">
        <v>10345</v>
      </c>
      <c r="I1452" s="8" t="n">
        <v>10345</v>
      </c>
      <c r="J1452" s="8" t="n">
        <v>10405</v>
      </c>
      <c r="K1452" s="8" t="n">
        <v>10285</v>
      </c>
      <c r="L1452" s="8" t="n">
        <v>496894</v>
      </c>
      <c r="M1452" s="8" t="n">
        <v>255704</v>
      </c>
      <c r="N1452" s="9" t="inlineStr">
        <is>
          <t>否</t>
        </is>
      </c>
      <c r="O1452" t="inlineStr">
        <is>
          <t>缺 PP</t>
        </is>
      </c>
    </row>
    <row r="1453">
      <c r="A1453" s="7" t="inlineStr">
        <is>
          <t>2013-07-05</t>
        </is>
      </c>
      <c r="B1453" s="8" t="n"/>
      <c r="C1453" s="8" t="n"/>
      <c r="D1453" s="8" t="n"/>
      <c r="E1453" s="8" t="n"/>
      <c r="F1453" s="8" t="n"/>
      <c r="G1453" s="8" t="n"/>
      <c r="H1453" s="8" t="n">
        <v>10290</v>
      </c>
      <c r="I1453" s="8" t="n">
        <v>10355</v>
      </c>
      <c r="J1453" s="8" t="n">
        <v>10360</v>
      </c>
      <c r="K1453" s="8" t="n">
        <v>10275</v>
      </c>
      <c r="L1453" s="8" t="n">
        <v>390850</v>
      </c>
      <c r="M1453" s="8" t="n">
        <v>260312</v>
      </c>
      <c r="N1453" s="9" t="inlineStr">
        <is>
          <t>否</t>
        </is>
      </c>
      <c r="O1453" t="inlineStr">
        <is>
          <t>缺 PP</t>
        </is>
      </c>
    </row>
    <row r="1454">
      <c r="A1454" s="7" t="inlineStr">
        <is>
          <t>2013-07-08</t>
        </is>
      </c>
      <c r="B1454" s="8" t="n"/>
      <c r="C1454" s="8" t="n"/>
      <c r="D1454" s="8" t="n"/>
      <c r="E1454" s="8" t="n"/>
      <c r="F1454" s="8" t="n"/>
      <c r="G1454" s="8" t="n"/>
      <c r="H1454" s="8" t="n">
        <v>10250</v>
      </c>
      <c r="I1454" s="8" t="n">
        <v>10350</v>
      </c>
      <c r="J1454" s="8" t="n">
        <v>10380</v>
      </c>
      <c r="K1454" s="8" t="n">
        <v>10230</v>
      </c>
      <c r="L1454" s="8" t="n">
        <v>588902</v>
      </c>
      <c r="M1454" s="8" t="n">
        <v>288094</v>
      </c>
      <c r="N1454" s="9" t="inlineStr">
        <is>
          <t>否</t>
        </is>
      </c>
      <c r="O1454" t="inlineStr">
        <is>
          <t>缺 PP</t>
        </is>
      </c>
    </row>
    <row r="1455">
      <c r="A1455" s="7" t="inlineStr">
        <is>
          <t>2013-07-09</t>
        </is>
      </c>
      <c r="B1455" s="8" t="n"/>
      <c r="C1455" s="8" t="n"/>
      <c r="D1455" s="8" t="n"/>
      <c r="E1455" s="8" t="n"/>
      <c r="F1455" s="8" t="n"/>
      <c r="G1455" s="8" t="n"/>
      <c r="H1455" s="8" t="n">
        <v>10320</v>
      </c>
      <c r="I1455" s="8" t="n">
        <v>10275</v>
      </c>
      <c r="J1455" s="8" t="n">
        <v>10375</v>
      </c>
      <c r="K1455" s="8" t="n">
        <v>10220</v>
      </c>
      <c r="L1455" s="8" t="n">
        <v>573662</v>
      </c>
      <c r="M1455" s="8" t="n">
        <v>299828</v>
      </c>
      <c r="N1455" s="9" t="inlineStr">
        <is>
          <t>否</t>
        </is>
      </c>
      <c r="O1455" t="inlineStr">
        <is>
          <t>缺 PP</t>
        </is>
      </c>
    </row>
    <row r="1456">
      <c r="A1456" s="7" t="inlineStr">
        <is>
          <t>2013-07-10</t>
        </is>
      </c>
      <c r="B1456" s="8" t="n"/>
      <c r="C1456" s="8" t="n"/>
      <c r="D1456" s="8" t="n"/>
      <c r="E1456" s="8" t="n"/>
      <c r="F1456" s="8" t="n"/>
      <c r="G1456" s="8" t="n"/>
      <c r="H1456" s="8" t="n">
        <v>10425</v>
      </c>
      <c r="I1456" s="8" t="n">
        <v>10340</v>
      </c>
      <c r="J1456" s="8" t="n">
        <v>10445</v>
      </c>
      <c r="K1456" s="8" t="n">
        <v>10330</v>
      </c>
      <c r="L1456" s="8" t="n">
        <v>771058</v>
      </c>
      <c r="M1456" s="8" t="n">
        <v>332524</v>
      </c>
      <c r="N1456" s="9" t="inlineStr">
        <is>
          <t>否</t>
        </is>
      </c>
      <c r="O1456" t="inlineStr">
        <is>
          <t>缺 PP</t>
        </is>
      </c>
    </row>
    <row r="1457">
      <c r="A1457" s="7" t="inlineStr">
        <is>
          <t>2013-07-11</t>
        </is>
      </c>
      <c r="B1457" s="8" t="n"/>
      <c r="C1457" s="8" t="n"/>
      <c r="D1457" s="8" t="n"/>
      <c r="E1457" s="8" t="n"/>
      <c r="F1457" s="8" t="n"/>
      <c r="G1457" s="8" t="n"/>
      <c r="H1457" s="8" t="n">
        <v>10595</v>
      </c>
      <c r="I1457" s="8" t="n">
        <v>10500</v>
      </c>
      <c r="J1457" s="8" t="n">
        <v>10740</v>
      </c>
      <c r="K1457" s="8" t="n">
        <v>10475</v>
      </c>
      <c r="L1457" s="8" t="n">
        <v>926566</v>
      </c>
      <c r="M1457" s="8" t="n">
        <v>359312</v>
      </c>
      <c r="N1457" s="9" t="inlineStr">
        <is>
          <t>否</t>
        </is>
      </c>
      <c r="O1457" t="inlineStr">
        <is>
          <t>缺 PP</t>
        </is>
      </c>
    </row>
    <row r="1458">
      <c r="A1458" s="7" t="inlineStr">
        <is>
          <t>2013-07-12</t>
        </is>
      </c>
      <c r="B1458" s="8" t="n"/>
      <c r="C1458" s="8" t="n"/>
      <c r="D1458" s="8" t="n"/>
      <c r="E1458" s="8" t="n"/>
      <c r="F1458" s="8" t="n"/>
      <c r="G1458" s="8" t="n"/>
      <c r="H1458" s="8" t="n">
        <v>10535</v>
      </c>
      <c r="I1458" s="8" t="n">
        <v>10555</v>
      </c>
      <c r="J1458" s="8" t="n">
        <v>10590</v>
      </c>
      <c r="K1458" s="8" t="n">
        <v>10510</v>
      </c>
      <c r="L1458" s="8" t="n">
        <v>413044</v>
      </c>
      <c r="M1458" s="8" t="n">
        <v>349728</v>
      </c>
      <c r="N1458" s="9" t="inlineStr">
        <is>
          <t>否</t>
        </is>
      </c>
      <c r="O1458" t="inlineStr">
        <is>
          <t>缺 PP</t>
        </is>
      </c>
    </row>
    <row r="1459">
      <c r="A1459" s="7" t="inlineStr">
        <is>
          <t>2013-07-15</t>
        </is>
      </c>
      <c r="B1459" s="8" t="n"/>
      <c r="C1459" s="8" t="n"/>
      <c r="D1459" s="8" t="n"/>
      <c r="E1459" s="8" t="n"/>
      <c r="F1459" s="8" t="n"/>
      <c r="G1459" s="8" t="n"/>
      <c r="H1459" s="8" t="n">
        <v>10555</v>
      </c>
      <c r="I1459" s="8" t="n">
        <v>10555</v>
      </c>
      <c r="J1459" s="8" t="n">
        <v>10670</v>
      </c>
      <c r="K1459" s="8" t="n">
        <v>10530</v>
      </c>
      <c r="L1459" s="8" t="n">
        <v>541348</v>
      </c>
      <c r="M1459" s="8" t="n">
        <v>348236</v>
      </c>
      <c r="N1459" s="9" t="inlineStr">
        <is>
          <t>否</t>
        </is>
      </c>
      <c r="O1459" t="inlineStr">
        <is>
          <t>缺 PP</t>
        </is>
      </c>
    </row>
    <row r="1460">
      <c r="A1460" s="7" t="inlineStr">
        <is>
          <t>2013-07-16</t>
        </is>
      </c>
      <c r="B1460" s="8" t="n"/>
      <c r="C1460" s="8" t="n"/>
      <c r="D1460" s="8" t="n"/>
      <c r="E1460" s="8" t="n"/>
      <c r="F1460" s="8" t="n"/>
      <c r="G1460" s="8" t="n"/>
      <c r="H1460" s="8" t="n">
        <v>10505</v>
      </c>
      <c r="I1460" s="8" t="n">
        <v>10585</v>
      </c>
      <c r="J1460" s="8" t="n">
        <v>10625</v>
      </c>
      <c r="K1460" s="8" t="n">
        <v>10425</v>
      </c>
      <c r="L1460" s="8" t="n">
        <v>866222</v>
      </c>
      <c r="M1460" s="8" t="n">
        <v>344262</v>
      </c>
      <c r="N1460" s="9" t="inlineStr">
        <is>
          <t>否</t>
        </is>
      </c>
      <c r="O1460" t="inlineStr">
        <is>
          <t>缺 PP</t>
        </is>
      </c>
    </row>
    <row r="1461">
      <c r="A1461" s="7" t="inlineStr">
        <is>
          <t>2013-07-17</t>
        </is>
      </c>
      <c r="B1461" s="8" t="n"/>
      <c r="C1461" s="8" t="n"/>
      <c r="D1461" s="8" t="n"/>
      <c r="E1461" s="8" t="n"/>
      <c r="F1461" s="8" t="n"/>
      <c r="G1461" s="8" t="n"/>
      <c r="H1461" s="8" t="n">
        <v>10475</v>
      </c>
      <c r="I1461" s="8" t="n">
        <v>10515</v>
      </c>
      <c r="J1461" s="8" t="n">
        <v>10620</v>
      </c>
      <c r="K1461" s="8" t="n">
        <v>10460</v>
      </c>
      <c r="L1461" s="8" t="n">
        <v>714348</v>
      </c>
      <c r="M1461" s="8" t="n">
        <v>352416</v>
      </c>
      <c r="N1461" s="9" t="inlineStr">
        <is>
          <t>否</t>
        </is>
      </c>
      <c r="O1461" t="inlineStr">
        <is>
          <t>缺 PP</t>
        </is>
      </c>
    </row>
    <row r="1462">
      <c r="A1462" s="7" t="inlineStr">
        <is>
          <t>2013-07-18</t>
        </is>
      </c>
      <c r="B1462" s="8" t="n"/>
      <c r="C1462" s="8" t="n"/>
      <c r="D1462" s="8" t="n"/>
      <c r="E1462" s="8" t="n"/>
      <c r="F1462" s="8" t="n"/>
      <c r="G1462" s="8" t="n"/>
      <c r="H1462" s="8" t="n">
        <v>10610</v>
      </c>
      <c r="I1462" s="8" t="n">
        <v>10500</v>
      </c>
      <c r="J1462" s="8" t="n">
        <v>10615</v>
      </c>
      <c r="K1462" s="8" t="n">
        <v>10470</v>
      </c>
      <c r="L1462" s="8" t="n">
        <v>596708</v>
      </c>
      <c r="M1462" s="8" t="n">
        <v>367424</v>
      </c>
      <c r="N1462" s="9" t="inlineStr">
        <is>
          <t>否</t>
        </is>
      </c>
      <c r="O1462" t="inlineStr">
        <is>
          <t>缺 PP</t>
        </is>
      </c>
    </row>
    <row r="1463">
      <c r="A1463" s="7" t="inlineStr">
        <is>
          <t>2013-07-19</t>
        </is>
      </c>
      <c r="B1463" s="8" t="n"/>
      <c r="C1463" s="8" t="n"/>
      <c r="D1463" s="8" t="n"/>
      <c r="E1463" s="8" t="n"/>
      <c r="F1463" s="8" t="n"/>
      <c r="G1463" s="8" t="n"/>
      <c r="H1463" s="8" t="n">
        <v>10660</v>
      </c>
      <c r="I1463" s="8" t="n">
        <v>10675</v>
      </c>
      <c r="J1463" s="8" t="n">
        <v>10725</v>
      </c>
      <c r="K1463" s="8" t="n">
        <v>10640</v>
      </c>
      <c r="L1463" s="8" t="n">
        <v>542954</v>
      </c>
      <c r="M1463" s="8" t="n">
        <v>376110</v>
      </c>
      <c r="N1463" s="9" t="inlineStr">
        <is>
          <t>否</t>
        </is>
      </c>
      <c r="O1463" t="inlineStr">
        <is>
          <t>缺 PP</t>
        </is>
      </c>
    </row>
    <row r="1464">
      <c r="A1464" s="7" t="inlineStr">
        <is>
          <t>2013-07-22</t>
        </is>
      </c>
      <c r="B1464" s="8" t="n"/>
      <c r="C1464" s="8" t="n"/>
      <c r="D1464" s="8" t="n"/>
      <c r="E1464" s="8" t="n"/>
      <c r="F1464" s="8" t="n"/>
      <c r="G1464" s="8" t="n"/>
      <c r="H1464" s="8" t="n">
        <v>10690</v>
      </c>
      <c r="I1464" s="8" t="n">
        <v>10695</v>
      </c>
      <c r="J1464" s="8" t="n">
        <v>10750</v>
      </c>
      <c r="K1464" s="8" t="n">
        <v>10650</v>
      </c>
      <c r="L1464" s="8" t="n">
        <v>459346</v>
      </c>
      <c r="M1464" s="8" t="n">
        <v>372342</v>
      </c>
      <c r="N1464" s="9" t="inlineStr">
        <is>
          <t>否</t>
        </is>
      </c>
      <c r="O1464" t="inlineStr">
        <is>
          <t>缺 PP</t>
        </is>
      </c>
    </row>
    <row r="1465">
      <c r="A1465" s="7" t="inlineStr">
        <is>
          <t>2013-07-23</t>
        </is>
      </c>
      <c r="B1465" s="8" t="n"/>
      <c r="C1465" s="8" t="n"/>
      <c r="D1465" s="8" t="n"/>
      <c r="E1465" s="8" t="n"/>
      <c r="F1465" s="8" t="n"/>
      <c r="G1465" s="8" t="n"/>
      <c r="H1465" s="8" t="n">
        <v>10715</v>
      </c>
      <c r="I1465" s="8" t="n">
        <v>10655</v>
      </c>
      <c r="J1465" s="8" t="n">
        <v>10725</v>
      </c>
      <c r="K1465" s="8" t="n">
        <v>10640</v>
      </c>
      <c r="L1465" s="8" t="n">
        <v>391142</v>
      </c>
      <c r="M1465" s="8" t="n">
        <v>379532</v>
      </c>
      <c r="N1465" s="9" t="inlineStr">
        <is>
          <t>否</t>
        </is>
      </c>
      <c r="O1465" t="inlineStr">
        <is>
          <t>缺 PP</t>
        </is>
      </c>
    </row>
    <row r="1466">
      <c r="A1466" s="7" t="inlineStr">
        <is>
          <t>2013-07-24</t>
        </is>
      </c>
      <c r="B1466" s="8" t="n"/>
      <c r="C1466" s="8" t="n"/>
      <c r="D1466" s="8" t="n"/>
      <c r="E1466" s="8" t="n"/>
      <c r="F1466" s="8" t="n"/>
      <c r="G1466" s="8" t="n"/>
      <c r="H1466" s="8" t="n">
        <v>10830</v>
      </c>
      <c r="I1466" s="8" t="n">
        <v>10740</v>
      </c>
      <c r="J1466" s="8" t="n">
        <v>10840</v>
      </c>
      <c r="K1466" s="8" t="n">
        <v>10725</v>
      </c>
      <c r="L1466" s="8" t="n">
        <v>803824</v>
      </c>
      <c r="M1466" s="8" t="n">
        <v>383626</v>
      </c>
      <c r="N1466" s="9" t="inlineStr">
        <is>
          <t>否</t>
        </is>
      </c>
      <c r="O1466" t="inlineStr">
        <is>
          <t>缺 PP</t>
        </is>
      </c>
    </row>
    <row r="1467">
      <c r="A1467" s="7" t="inlineStr">
        <is>
          <t>2013-07-25</t>
        </is>
      </c>
      <c r="B1467" s="8" t="n"/>
      <c r="C1467" s="8" t="n"/>
      <c r="D1467" s="8" t="n"/>
      <c r="E1467" s="8" t="n"/>
      <c r="F1467" s="8" t="n"/>
      <c r="G1467" s="8" t="n"/>
      <c r="H1467" s="8" t="n">
        <v>10760</v>
      </c>
      <c r="I1467" s="8" t="n">
        <v>10750</v>
      </c>
      <c r="J1467" s="8" t="n">
        <v>10805</v>
      </c>
      <c r="K1467" s="8" t="n">
        <v>10740</v>
      </c>
      <c r="L1467" s="8" t="n">
        <v>424404</v>
      </c>
      <c r="M1467" s="8" t="n">
        <v>357054</v>
      </c>
      <c r="N1467" s="9" t="inlineStr">
        <is>
          <t>否</t>
        </is>
      </c>
      <c r="O1467" t="inlineStr">
        <is>
          <t>缺 PP</t>
        </is>
      </c>
    </row>
    <row r="1468">
      <c r="A1468" s="7" t="inlineStr">
        <is>
          <t>2013-07-26</t>
        </is>
      </c>
      <c r="B1468" s="8" t="n"/>
      <c r="C1468" s="8" t="n"/>
      <c r="D1468" s="8" t="n"/>
      <c r="E1468" s="8" t="n"/>
      <c r="F1468" s="8" t="n"/>
      <c r="G1468" s="8" t="n"/>
      <c r="H1468" s="8" t="n">
        <v>10720</v>
      </c>
      <c r="I1468" s="8" t="n">
        <v>10790</v>
      </c>
      <c r="J1468" s="8" t="n">
        <v>10810</v>
      </c>
      <c r="K1468" s="8" t="n">
        <v>10675</v>
      </c>
      <c r="L1468" s="8" t="n">
        <v>522736</v>
      </c>
      <c r="M1468" s="8" t="n">
        <v>332180</v>
      </c>
      <c r="N1468" s="9" t="inlineStr">
        <is>
          <t>否</t>
        </is>
      </c>
      <c r="O1468" t="inlineStr">
        <is>
          <t>缺 PP</t>
        </is>
      </c>
    </row>
    <row r="1469">
      <c r="A1469" s="7" t="inlineStr">
        <is>
          <t>2013-07-29</t>
        </is>
      </c>
      <c r="B1469" s="8" t="n"/>
      <c r="C1469" s="8" t="n"/>
      <c r="D1469" s="8" t="n"/>
      <c r="E1469" s="8" t="n"/>
      <c r="F1469" s="8" t="n"/>
      <c r="G1469" s="8" t="n"/>
      <c r="H1469" s="8" t="n">
        <v>10645</v>
      </c>
      <c r="I1469" s="8" t="n">
        <v>10685</v>
      </c>
      <c r="J1469" s="8" t="n">
        <v>10720</v>
      </c>
      <c r="K1469" s="8" t="n">
        <v>10605</v>
      </c>
      <c r="L1469" s="8" t="n">
        <v>521598</v>
      </c>
      <c r="M1469" s="8" t="n">
        <v>318152</v>
      </c>
      <c r="N1469" s="9" t="inlineStr">
        <is>
          <t>否</t>
        </is>
      </c>
      <c r="O1469" t="inlineStr">
        <is>
          <t>缺 PP</t>
        </is>
      </c>
    </row>
    <row r="1470">
      <c r="A1470" s="7" t="inlineStr">
        <is>
          <t>2013-07-30</t>
        </is>
      </c>
      <c r="B1470" s="8" t="n"/>
      <c r="C1470" s="8" t="n"/>
      <c r="D1470" s="8" t="n"/>
      <c r="E1470" s="8" t="n"/>
      <c r="F1470" s="8" t="n"/>
      <c r="G1470" s="8" t="n"/>
      <c r="H1470" s="8" t="n">
        <v>10655</v>
      </c>
      <c r="I1470" s="8" t="n">
        <v>10655</v>
      </c>
      <c r="J1470" s="8" t="n">
        <v>10695</v>
      </c>
      <c r="K1470" s="8" t="n">
        <v>10635</v>
      </c>
      <c r="L1470" s="8" t="n">
        <v>346666</v>
      </c>
      <c r="M1470" s="8" t="n">
        <v>322866</v>
      </c>
      <c r="N1470" s="9" t="inlineStr">
        <is>
          <t>否</t>
        </is>
      </c>
      <c r="O1470" t="inlineStr">
        <is>
          <t>缺 PP</t>
        </is>
      </c>
    </row>
    <row r="1471">
      <c r="A1471" s="7" t="inlineStr">
        <is>
          <t>2013-07-31</t>
        </is>
      </c>
      <c r="B1471" s="8" t="n"/>
      <c r="C1471" s="8" t="n"/>
      <c r="D1471" s="8" t="n"/>
      <c r="E1471" s="8" t="n"/>
      <c r="F1471" s="8" t="n"/>
      <c r="G1471" s="8" t="n"/>
      <c r="H1471" s="8" t="n">
        <v>10765</v>
      </c>
      <c r="I1471" s="8" t="n">
        <v>10610</v>
      </c>
      <c r="J1471" s="8" t="n">
        <v>10775</v>
      </c>
      <c r="K1471" s="8" t="n">
        <v>10560</v>
      </c>
      <c r="L1471" s="8" t="n">
        <v>737138</v>
      </c>
      <c r="M1471" s="8" t="n">
        <v>334570</v>
      </c>
      <c r="N1471" s="9" t="inlineStr">
        <is>
          <t>否</t>
        </is>
      </c>
      <c r="O1471" t="inlineStr">
        <is>
          <t>缺 PP</t>
        </is>
      </c>
    </row>
    <row r="1472">
      <c r="A1472" s="7" t="inlineStr">
        <is>
          <t>2013-08-01</t>
        </is>
      </c>
      <c r="B1472" s="8" t="n"/>
      <c r="C1472" s="8" t="n"/>
      <c r="D1472" s="8" t="n"/>
      <c r="E1472" s="8" t="n"/>
      <c r="F1472" s="8" t="n"/>
      <c r="G1472" s="8" t="n"/>
      <c r="H1472" s="8" t="n">
        <v>10855</v>
      </c>
      <c r="I1472" s="8" t="n">
        <v>10800</v>
      </c>
      <c r="J1472" s="8" t="n">
        <v>10910</v>
      </c>
      <c r="K1472" s="8" t="n">
        <v>10770</v>
      </c>
      <c r="L1472" s="8" t="n">
        <v>691552</v>
      </c>
      <c r="M1472" s="8" t="n">
        <v>338366</v>
      </c>
      <c r="N1472" s="9" t="inlineStr">
        <is>
          <t>否</t>
        </is>
      </c>
      <c r="O1472" t="inlineStr">
        <is>
          <t>缺 PP</t>
        </is>
      </c>
    </row>
    <row r="1473">
      <c r="A1473" s="7" t="inlineStr">
        <is>
          <t>2013-08-02</t>
        </is>
      </c>
      <c r="B1473" s="8" t="n"/>
      <c r="C1473" s="8" t="n"/>
      <c r="D1473" s="8" t="n"/>
      <c r="E1473" s="8" t="n"/>
      <c r="F1473" s="8" t="n"/>
      <c r="G1473" s="8" t="n"/>
      <c r="H1473" s="8" t="n">
        <v>10850</v>
      </c>
      <c r="I1473" s="8" t="n">
        <v>10925</v>
      </c>
      <c r="J1473" s="8" t="n">
        <v>10945</v>
      </c>
      <c r="K1473" s="8" t="n">
        <v>10820</v>
      </c>
      <c r="L1473" s="8" t="n">
        <v>487792</v>
      </c>
      <c r="M1473" s="8" t="n">
        <v>343940</v>
      </c>
      <c r="N1473" s="9" t="inlineStr">
        <is>
          <t>否</t>
        </is>
      </c>
      <c r="O1473" t="inlineStr">
        <is>
          <t>缺 PP</t>
        </is>
      </c>
    </row>
    <row r="1474">
      <c r="A1474" s="7" t="inlineStr">
        <is>
          <t>2013-08-05</t>
        </is>
      </c>
      <c r="B1474" s="8" t="n"/>
      <c r="C1474" s="8" t="n"/>
      <c r="D1474" s="8" t="n"/>
      <c r="E1474" s="8" t="n"/>
      <c r="F1474" s="8" t="n"/>
      <c r="G1474" s="8" t="n"/>
      <c r="H1474" s="8" t="n">
        <v>10910</v>
      </c>
      <c r="I1474" s="8" t="n">
        <v>10830</v>
      </c>
      <c r="J1474" s="8" t="n">
        <v>10930</v>
      </c>
      <c r="K1474" s="8" t="n">
        <v>10815</v>
      </c>
      <c r="L1474" s="8" t="n">
        <v>420680</v>
      </c>
      <c r="M1474" s="8" t="n">
        <v>349856</v>
      </c>
      <c r="N1474" s="9" t="inlineStr">
        <is>
          <t>否</t>
        </is>
      </c>
      <c r="O1474" t="inlineStr">
        <is>
          <t>缺 PP</t>
        </is>
      </c>
    </row>
    <row r="1475">
      <c r="A1475" s="7" t="inlineStr">
        <is>
          <t>2013-08-06</t>
        </is>
      </c>
      <c r="B1475" s="8" t="n"/>
      <c r="C1475" s="8" t="n"/>
      <c r="D1475" s="8" t="n"/>
      <c r="E1475" s="8" t="n"/>
      <c r="F1475" s="8" t="n"/>
      <c r="G1475" s="8" t="n"/>
      <c r="H1475" s="8" t="n">
        <v>10955</v>
      </c>
      <c r="I1475" s="8" t="n">
        <v>10880</v>
      </c>
      <c r="J1475" s="8" t="n">
        <v>10985</v>
      </c>
      <c r="K1475" s="8" t="n">
        <v>10870</v>
      </c>
      <c r="L1475" s="8" t="n">
        <v>565412</v>
      </c>
      <c r="M1475" s="8" t="n">
        <v>358722</v>
      </c>
      <c r="N1475" s="9" t="inlineStr">
        <is>
          <t>否</t>
        </is>
      </c>
      <c r="O1475" t="inlineStr">
        <is>
          <t>缺 PP</t>
        </is>
      </c>
    </row>
    <row r="1476">
      <c r="A1476" s="7" t="inlineStr">
        <is>
          <t>2013-08-07</t>
        </is>
      </c>
      <c r="B1476" s="8" t="n"/>
      <c r="C1476" s="8" t="n"/>
      <c r="D1476" s="8" t="n"/>
      <c r="E1476" s="8" t="n"/>
      <c r="F1476" s="8" t="n"/>
      <c r="G1476" s="8" t="n"/>
      <c r="H1476" s="8" t="n">
        <v>10865</v>
      </c>
      <c r="I1476" s="8" t="n">
        <v>10915</v>
      </c>
      <c r="J1476" s="8" t="n">
        <v>10960</v>
      </c>
      <c r="K1476" s="8" t="n">
        <v>10830</v>
      </c>
      <c r="L1476" s="8" t="n">
        <v>499716</v>
      </c>
      <c r="M1476" s="8" t="n">
        <v>343988</v>
      </c>
      <c r="N1476" s="9" t="inlineStr">
        <is>
          <t>否</t>
        </is>
      </c>
      <c r="O1476" t="inlineStr">
        <is>
          <t>缺 PP</t>
        </is>
      </c>
    </row>
    <row r="1477">
      <c r="A1477" s="7" t="inlineStr">
        <is>
          <t>2013-08-08</t>
        </is>
      </c>
      <c r="B1477" s="8" t="n"/>
      <c r="C1477" s="8" t="n"/>
      <c r="D1477" s="8" t="n"/>
      <c r="E1477" s="8" t="n"/>
      <c r="F1477" s="8" t="n"/>
      <c r="G1477" s="8" t="n"/>
      <c r="H1477" s="8" t="n">
        <v>10805</v>
      </c>
      <c r="I1477" s="8" t="n">
        <v>10850</v>
      </c>
      <c r="J1477" s="8" t="n">
        <v>10920</v>
      </c>
      <c r="K1477" s="8" t="n">
        <v>10790</v>
      </c>
      <c r="L1477" s="8" t="n">
        <v>696802</v>
      </c>
      <c r="M1477" s="8" t="n">
        <v>318322</v>
      </c>
      <c r="N1477" s="9" t="inlineStr">
        <is>
          <t>否</t>
        </is>
      </c>
      <c r="O1477" t="inlineStr">
        <is>
          <t>缺 PP</t>
        </is>
      </c>
    </row>
    <row r="1478">
      <c r="A1478" s="7" t="inlineStr">
        <is>
          <t>2013-08-09</t>
        </is>
      </c>
      <c r="B1478" s="8" t="n"/>
      <c r="C1478" s="8" t="n"/>
      <c r="D1478" s="8" t="n"/>
      <c r="E1478" s="8" t="n"/>
      <c r="F1478" s="8" t="n"/>
      <c r="G1478" s="8" t="n"/>
      <c r="H1478" s="8" t="n">
        <v>10750</v>
      </c>
      <c r="I1478" s="8" t="n">
        <v>10810</v>
      </c>
      <c r="J1478" s="8" t="n">
        <v>10860</v>
      </c>
      <c r="K1478" s="8" t="n">
        <v>10725</v>
      </c>
      <c r="L1478" s="8" t="n">
        <v>632474</v>
      </c>
      <c r="M1478" s="8" t="n">
        <v>310216</v>
      </c>
      <c r="N1478" s="9" t="inlineStr">
        <is>
          <t>否</t>
        </is>
      </c>
      <c r="O1478" t="inlineStr">
        <is>
          <t>缺 PP</t>
        </is>
      </c>
    </row>
    <row r="1479">
      <c r="A1479" s="7" t="inlineStr">
        <is>
          <t>2013-08-12</t>
        </is>
      </c>
      <c r="B1479" s="8" t="n"/>
      <c r="C1479" s="8" t="n"/>
      <c r="D1479" s="8" t="n"/>
      <c r="E1479" s="8" t="n"/>
      <c r="F1479" s="8" t="n"/>
      <c r="G1479" s="8" t="n"/>
      <c r="H1479" s="8" t="n">
        <v>10735</v>
      </c>
      <c r="I1479" s="8" t="n">
        <v>10800</v>
      </c>
      <c r="J1479" s="8" t="n">
        <v>10820</v>
      </c>
      <c r="K1479" s="8" t="n">
        <v>10670</v>
      </c>
      <c r="L1479" s="8" t="n">
        <v>633956</v>
      </c>
      <c r="M1479" s="8" t="n">
        <v>328736</v>
      </c>
      <c r="N1479" s="9" t="inlineStr">
        <is>
          <t>否</t>
        </is>
      </c>
      <c r="O1479" t="inlineStr">
        <is>
          <t>缺 PP</t>
        </is>
      </c>
    </row>
    <row r="1480">
      <c r="A1480" s="7" t="inlineStr">
        <is>
          <t>2013-08-13</t>
        </is>
      </c>
      <c r="B1480" s="8" t="n"/>
      <c r="C1480" s="8" t="n"/>
      <c r="D1480" s="8" t="n"/>
      <c r="E1480" s="8" t="n"/>
      <c r="F1480" s="8" t="n"/>
      <c r="G1480" s="8" t="n"/>
      <c r="H1480" s="8" t="n">
        <v>10890</v>
      </c>
      <c r="I1480" s="8" t="n">
        <v>10740</v>
      </c>
      <c r="J1480" s="8" t="n">
        <v>10895</v>
      </c>
      <c r="K1480" s="8" t="n">
        <v>10720</v>
      </c>
      <c r="L1480" s="8" t="n">
        <v>880416</v>
      </c>
      <c r="M1480" s="8" t="n">
        <v>413904</v>
      </c>
      <c r="N1480" s="9" t="inlineStr">
        <is>
          <t>否</t>
        </is>
      </c>
      <c r="O1480" t="inlineStr">
        <is>
          <t>缺 PP</t>
        </is>
      </c>
    </row>
    <row r="1481">
      <c r="A1481" s="7" t="inlineStr">
        <is>
          <t>2013-08-14</t>
        </is>
      </c>
      <c r="B1481" s="8" t="n"/>
      <c r="C1481" s="8" t="n"/>
      <c r="D1481" s="8" t="n"/>
      <c r="E1481" s="8" t="n"/>
      <c r="F1481" s="8" t="n"/>
      <c r="G1481" s="8" t="n"/>
      <c r="H1481" s="8" t="n">
        <v>10630</v>
      </c>
      <c r="I1481" s="8" t="n">
        <v>10880</v>
      </c>
      <c r="J1481" s="8" t="n">
        <v>10915</v>
      </c>
      <c r="K1481" s="8" t="n">
        <v>10575</v>
      </c>
      <c r="L1481" s="8" t="n">
        <v>844292</v>
      </c>
      <c r="M1481" s="8" t="n">
        <v>332354</v>
      </c>
      <c r="N1481" s="9" t="inlineStr">
        <is>
          <t>否</t>
        </is>
      </c>
      <c r="O1481" t="inlineStr">
        <is>
          <t>缺 PP</t>
        </is>
      </c>
    </row>
    <row r="1482">
      <c r="A1482" s="7" t="inlineStr">
        <is>
          <t>2013-08-15</t>
        </is>
      </c>
      <c r="B1482" s="8" t="n"/>
      <c r="C1482" s="8" t="n"/>
      <c r="D1482" s="8" t="n"/>
      <c r="E1482" s="8" t="n"/>
      <c r="F1482" s="8" t="n"/>
      <c r="G1482" s="8" t="n"/>
      <c r="H1482" s="8" t="n">
        <v>10655</v>
      </c>
      <c r="I1482" s="8" t="n">
        <v>10680</v>
      </c>
      <c r="J1482" s="8" t="n">
        <v>10710</v>
      </c>
      <c r="K1482" s="8" t="n">
        <v>10625</v>
      </c>
      <c r="L1482" s="8" t="n">
        <v>457892</v>
      </c>
      <c r="M1482" s="8" t="n">
        <v>336290</v>
      </c>
      <c r="N1482" s="9" t="inlineStr">
        <is>
          <t>否</t>
        </is>
      </c>
      <c r="O1482" t="inlineStr">
        <is>
          <t>缺 PP</t>
        </is>
      </c>
    </row>
    <row r="1483">
      <c r="A1483" s="7" t="inlineStr">
        <is>
          <t>2013-08-16</t>
        </is>
      </c>
      <c r="B1483" s="8" t="n"/>
      <c r="C1483" s="8" t="n"/>
      <c r="D1483" s="8" t="n"/>
      <c r="E1483" s="8" t="n"/>
      <c r="F1483" s="8" t="n"/>
      <c r="G1483" s="8" t="n"/>
      <c r="H1483" s="8" t="n">
        <v>10655</v>
      </c>
      <c r="I1483" s="8" t="n">
        <v>10665</v>
      </c>
      <c r="J1483" s="8" t="n">
        <v>10730</v>
      </c>
      <c r="K1483" s="8" t="n">
        <v>10600</v>
      </c>
      <c r="L1483" s="8" t="n">
        <v>611368</v>
      </c>
      <c r="M1483" s="8" t="n">
        <v>344640</v>
      </c>
      <c r="N1483" s="9" t="inlineStr">
        <is>
          <t>否</t>
        </is>
      </c>
      <c r="O1483" t="inlineStr">
        <is>
          <t>缺 PP</t>
        </is>
      </c>
    </row>
    <row r="1484">
      <c r="A1484" s="7" t="inlineStr">
        <is>
          <t>2013-08-19</t>
        </is>
      </c>
      <c r="B1484" s="8" t="n"/>
      <c r="C1484" s="8" t="n"/>
      <c r="D1484" s="8" t="n"/>
      <c r="E1484" s="8" t="n"/>
      <c r="F1484" s="8" t="n"/>
      <c r="G1484" s="8" t="n"/>
      <c r="H1484" s="8" t="n">
        <v>10570</v>
      </c>
      <c r="I1484" s="8" t="n">
        <v>10675</v>
      </c>
      <c r="J1484" s="8" t="n">
        <v>10715</v>
      </c>
      <c r="K1484" s="8" t="n">
        <v>10570</v>
      </c>
      <c r="L1484" s="8" t="n">
        <v>556360</v>
      </c>
      <c r="M1484" s="8" t="n">
        <v>363804</v>
      </c>
      <c r="N1484" s="9" t="inlineStr">
        <is>
          <t>否</t>
        </is>
      </c>
      <c r="O1484" t="inlineStr">
        <is>
          <t>缺 PP</t>
        </is>
      </c>
    </row>
    <row r="1485">
      <c r="A1485" s="7" t="inlineStr">
        <is>
          <t>2013-08-20</t>
        </is>
      </c>
      <c r="B1485" s="8" t="n"/>
      <c r="C1485" s="8" t="n"/>
      <c r="D1485" s="8" t="n"/>
      <c r="E1485" s="8" t="n"/>
      <c r="F1485" s="8" t="n"/>
      <c r="G1485" s="8" t="n"/>
      <c r="H1485" s="8" t="n">
        <v>10595</v>
      </c>
      <c r="I1485" s="8" t="n">
        <v>10550</v>
      </c>
      <c r="J1485" s="8" t="n">
        <v>10650</v>
      </c>
      <c r="K1485" s="8" t="n">
        <v>10535</v>
      </c>
      <c r="L1485" s="8" t="n">
        <v>516204</v>
      </c>
      <c r="M1485" s="8" t="n">
        <v>381752</v>
      </c>
      <c r="N1485" s="9" t="inlineStr">
        <is>
          <t>否</t>
        </is>
      </c>
      <c r="O1485" t="inlineStr">
        <is>
          <t>缺 PP</t>
        </is>
      </c>
    </row>
    <row r="1486">
      <c r="A1486" s="7" t="inlineStr">
        <is>
          <t>2013-08-21</t>
        </is>
      </c>
      <c r="B1486" s="8" t="n"/>
      <c r="C1486" s="8" t="n"/>
      <c r="D1486" s="8" t="n"/>
      <c r="E1486" s="8" t="n"/>
      <c r="F1486" s="8" t="n"/>
      <c r="G1486" s="8" t="n"/>
      <c r="H1486" s="8" t="n">
        <v>10635</v>
      </c>
      <c r="I1486" s="8" t="n">
        <v>10580</v>
      </c>
      <c r="J1486" s="8" t="n">
        <v>10680</v>
      </c>
      <c r="K1486" s="8" t="n">
        <v>10575</v>
      </c>
      <c r="L1486" s="8" t="n">
        <v>490668</v>
      </c>
      <c r="M1486" s="8" t="n">
        <v>389732</v>
      </c>
      <c r="N1486" s="9" t="inlineStr">
        <is>
          <t>否</t>
        </is>
      </c>
      <c r="O1486" t="inlineStr">
        <is>
          <t>缺 PP</t>
        </is>
      </c>
    </row>
    <row r="1487">
      <c r="A1487" s="7" t="inlineStr">
        <is>
          <t>2013-08-22</t>
        </is>
      </c>
      <c r="B1487" s="8" t="n"/>
      <c r="C1487" s="8" t="n"/>
      <c r="D1487" s="8" t="n"/>
      <c r="E1487" s="8" t="n"/>
      <c r="F1487" s="8" t="n"/>
      <c r="G1487" s="8" t="n"/>
      <c r="H1487" s="8" t="n">
        <v>10650</v>
      </c>
      <c r="I1487" s="8" t="n">
        <v>10595</v>
      </c>
      <c r="J1487" s="8" t="n">
        <v>10650</v>
      </c>
      <c r="K1487" s="8" t="n">
        <v>10550</v>
      </c>
      <c r="L1487" s="8" t="n">
        <v>549566</v>
      </c>
      <c r="M1487" s="8" t="n">
        <v>380264</v>
      </c>
      <c r="N1487" s="9" t="inlineStr">
        <is>
          <t>否</t>
        </is>
      </c>
      <c r="O1487" t="inlineStr">
        <is>
          <t>缺 PP</t>
        </is>
      </c>
    </row>
    <row r="1488">
      <c r="A1488" s="7" t="inlineStr">
        <is>
          <t>2013-08-23</t>
        </is>
      </c>
      <c r="B1488" s="8" t="n"/>
      <c r="C1488" s="8" t="n"/>
      <c r="D1488" s="8" t="n"/>
      <c r="E1488" s="8" t="n"/>
      <c r="F1488" s="8" t="n"/>
      <c r="G1488" s="8" t="n"/>
      <c r="H1488" s="8" t="n">
        <v>10615</v>
      </c>
      <c r="I1488" s="8" t="n">
        <v>10670</v>
      </c>
      <c r="J1488" s="8" t="n">
        <v>10680</v>
      </c>
      <c r="K1488" s="8" t="n">
        <v>10570</v>
      </c>
      <c r="L1488" s="8" t="n">
        <v>363500</v>
      </c>
      <c r="M1488" s="8" t="n">
        <v>342232</v>
      </c>
      <c r="N1488" s="9" t="inlineStr">
        <is>
          <t>否</t>
        </is>
      </c>
      <c r="O1488" t="inlineStr">
        <is>
          <t>缺 PP</t>
        </is>
      </c>
    </row>
    <row r="1489">
      <c r="A1489" s="7" t="inlineStr">
        <is>
          <t>2013-08-26</t>
        </is>
      </c>
      <c r="B1489" s="8" t="n"/>
      <c r="C1489" s="8" t="n"/>
      <c r="D1489" s="8" t="n"/>
      <c r="E1489" s="8" t="n"/>
      <c r="F1489" s="8" t="n"/>
      <c r="G1489" s="8" t="n"/>
      <c r="H1489" s="8" t="n">
        <v>10790</v>
      </c>
      <c r="I1489" s="8" t="n">
        <v>10700</v>
      </c>
      <c r="J1489" s="8" t="n">
        <v>10830</v>
      </c>
      <c r="K1489" s="8" t="n">
        <v>10675</v>
      </c>
      <c r="L1489" s="8" t="n">
        <v>559810</v>
      </c>
      <c r="M1489" s="8" t="n">
        <v>331886</v>
      </c>
      <c r="N1489" s="9" t="inlineStr">
        <is>
          <t>否</t>
        </is>
      </c>
      <c r="O1489" t="inlineStr">
        <is>
          <t>缺 PP</t>
        </is>
      </c>
    </row>
    <row r="1490">
      <c r="A1490" s="7" t="inlineStr">
        <is>
          <t>2013-08-27</t>
        </is>
      </c>
      <c r="B1490" s="8" t="n"/>
      <c r="C1490" s="8" t="n"/>
      <c r="D1490" s="8" t="n"/>
      <c r="E1490" s="8" t="n"/>
      <c r="F1490" s="8" t="n"/>
      <c r="G1490" s="8" t="n"/>
      <c r="H1490" s="8" t="n">
        <v>10945</v>
      </c>
      <c r="I1490" s="8" t="n">
        <v>10790</v>
      </c>
      <c r="J1490" s="8" t="n">
        <v>10960</v>
      </c>
      <c r="K1490" s="8" t="n">
        <v>10755</v>
      </c>
      <c r="L1490" s="8" t="n">
        <v>796554</v>
      </c>
      <c r="M1490" s="8" t="n">
        <v>377464</v>
      </c>
      <c r="N1490" s="9" t="inlineStr">
        <is>
          <t>否</t>
        </is>
      </c>
      <c r="O1490" t="inlineStr">
        <is>
          <t>缺 PP</t>
        </is>
      </c>
    </row>
    <row r="1491">
      <c r="A1491" s="7" t="inlineStr">
        <is>
          <t>2013-08-28</t>
        </is>
      </c>
      <c r="B1491" s="8" t="n"/>
      <c r="C1491" s="8" t="n"/>
      <c r="D1491" s="8" t="n"/>
      <c r="E1491" s="8" t="n"/>
      <c r="F1491" s="8" t="n"/>
      <c r="G1491" s="8" t="n"/>
      <c r="H1491" s="8" t="n">
        <v>11030</v>
      </c>
      <c r="I1491" s="8" t="n">
        <v>11050</v>
      </c>
      <c r="J1491" s="8" t="n">
        <v>11300</v>
      </c>
      <c r="K1491" s="8" t="n">
        <v>10995</v>
      </c>
      <c r="L1491" s="8" t="n">
        <v>1579084</v>
      </c>
      <c r="M1491" s="8" t="n">
        <v>381758</v>
      </c>
      <c r="N1491" s="9" t="inlineStr">
        <is>
          <t>否</t>
        </is>
      </c>
      <c r="O1491" t="inlineStr">
        <is>
          <t>缺 PP</t>
        </is>
      </c>
    </row>
    <row r="1492">
      <c r="A1492" s="7" t="inlineStr">
        <is>
          <t>2013-08-29</t>
        </is>
      </c>
      <c r="B1492" s="8" t="n"/>
      <c r="C1492" s="8" t="n"/>
      <c r="D1492" s="8" t="n"/>
      <c r="E1492" s="8" t="n"/>
      <c r="F1492" s="8" t="n"/>
      <c r="G1492" s="8" t="n"/>
      <c r="H1492" s="8" t="n">
        <v>10975</v>
      </c>
      <c r="I1492" s="8" t="n">
        <v>11020</v>
      </c>
      <c r="J1492" s="8" t="n">
        <v>11090</v>
      </c>
      <c r="K1492" s="8" t="n">
        <v>10885</v>
      </c>
      <c r="L1492" s="8" t="n">
        <v>928584</v>
      </c>
      <c r="M1492" s="8" t="n">
        <v>347676</v>
      </c>
      <c r="N1492" s="9" t="inlineStr">
        <is>
          <t>否</t>
        </is>
      </c>
      <c r="O1492" t="inlineStr">
        <is>
          <t>缺 PP</t>
        </is>
      </c>
    </row>
    <row r="1493">
      <c r="A1493" s="7" t="inlineStr">
        <is>
          <t>2013-08-30</t>
        </is>
      </c>
      <c r="B1493" s="8" t="n"/>
      <c r="C1493" s="8" t="n"/>
      <c r="D1493" s="8" t="n"/>
      <c r="E1493" s="8" t="n"/>
      <c r="F1493" s="8" t="n"/>
      <c r="G1493" s="8" t="n"/>
      <c r="H1493" s="8" t="n">
        <v>10840</v>
      </c>
      <c r="I1493" s="8" t="n">
        <v>10900</v>
      </c>
      <c r="J1493" s="8" t="n">
        <v>10920</v>
      </c>
      <c r="K1493" s="8" t="n">
        <v>10780</v>
      </c>
      <c r="L1493" s="8" t="n">
        <v>657834</v>
      </c>
      <c r="M1493" s="8" t="n">
        <v>331114</v>
      </c>
      <c r="N1493" s="9" t="inlineStr">
        <is>
          <t>否</t>
        </is>
      </c>
      <c r="O1493" t="inlineStr">
        <is>
          <t>缺 PP</t>
        </is>
      </c>
    </row>
    <row r="1494">
      <c r="A1494" s="7" t="inlineStr">
        <is>
          <t>2013-09-02</t>
        </is>
      </c>
      <c r="B1494" s="8" t="n"/>
      <c r="C1494" s="8" t="n"/>
      <c r="D1494" s="8" t="n"/>
      <c r="E1494" s="8" t="n"/>
      <c r="F1494" s="8" t="n"/>
      <c r="G1494" s="8" t="n"/>
      <c r="H1494" s="8" t="n">
        <v>10820</v>
      </c>
      <c r="I1494" s="8" t="n">
        <v>10800</v>
      </c>
      <c r="J1494" s="8" t="n">
        <v>10900</v>
      </c>
      <c r="K1494" s="8" t="n">
        <v>10785</v>
      </c>
      <c r="L1494" s="8" t="n">
        <v>487308</v>
      </c>
      <c r="M1494" s="8" t="n">
        <v>317140</v>
      </c>
      <c r="N1494" s="9" t="inlineStr">
        <is>
          <t>否</t>
        </is>
      </c>
      <c r="O1494" t="inlineStr">
        <is>
          <t>缺 PP</t>
        </is>
      </c>
    </row>
    <row r="1495">
      <c r="A1495" s="7" t="inlineStr">
        <is>
          <t>2013-09-03</t>
        </is>
      </c>
      <c r="B1495" s="8" t="n"/>
      <c r="C1495" s="8" t="n"/>
      <c r="D1495" s="8" t="n"/>
      <c r="E1495" s="8" t="n"/>
      <c r="F1495" s="8" t="n"/>
      <c r="G1495" s="8" t="n"/>
      <c r="H1495" s="8" t="n">
        <v>10860</v>
      </c>
      <c r="I1495" s="8" t="n">
        <v>10845</v>
      </c>
      <c r="J1495" s="8" t="n">
        <v>10915</v>
      </c>
      <c r="K1495" s="8" t="n">
        <v>10800</v>
      </c>
      <c r="L1495" s="8" t="n">
        <v>595222</v>
      </c>
      <c r="M1495" s="8" t="n">
        <v>337638</v>
      </c>
      <c r="N1495" s="9" t="inlineStr">
        <is>
          <t>否</t>
        </is>
      </c>
      <c r="O1495" t="inlineStr">
        <is>
          <t>缺 PP</t>
        </is>
      </c>
    </row>
    <row r="1496">
      <c r="A1496" s="7" t="inlineStr">
        <is>
          <t>2013-09-04</t>
        </is>
      </c>
      <c r="B1496" s="8" t="n"/>
      <c r="C1496" s="8" t="n"/>
      <c r="D1496" s="8" t="n"/>
      <c r="E1496" s="8" t="n"/>
      <c r="F1496" s="8" t="n"/>
      <c r="G1496" s="8" t="n"/>
      <c r="H1496" s="8" t="n">
        <v>10835</v>
      </c>
      <c r="I1496" s="8" t="n">
        <v>10890</v>
      </c>
      <c r="J1496" s="8" t="n">
        <v>10890</v>
      </c>
      <c r="K1496" s="8" t="n">
        <v>10800</v>
      </c>
      <c r="L1496" s="8" t="n">
        <v>377294</v>
      </c>
      <c r="M1496" s="8" t="n">
        <v>336574</v>
      </c>
      <c r="N1496" s="9" t="inlineStr">
        <is>
          <t>否</t>
        </is>
      </c>
      <c r="O1496" t="inlineStr">
        <is>
          <t>缺 PP</t>
        </is>
      </c>
    </row>
    <row r="1497">
      <c r="A1497" s="7" t="inlineStr">
        <is>
          <t>2013-09-05</t>
        </is>
      </c>
      <c r="B1497" s="8" t="n"/>
      <c r="C1497" s="8" t="n"/>
      <c r="D1497" s="8" t="n"/>
      <c r="E1497" s="8" t="n"/>
      <c r="F1497" s="8" t="n"/>
      <c r="G1497" s="8" t="n"/>
      <c r="H1497" s="8" t="n">
        <v>10970</v>
      </c>
      <c r="I1497" s="8" t="n">
        <v>10805</v>
      </c>
      <c r="J1497" s="8" t="n">
        <v>10985</v>
      </c>
      <c r="K1497" s="8" t="n">
        <v>10800</v>
      </c>
      <c r="L1497" s="8" t="n">
        <v>949154</v>
      </c>
      <c r="M1497" s="8" t="n">
        <v>443800</v>
      </c>
      <c r="N1497" s="9" t="inlineStr">
        <is>
          <t>否</t>
        </is>
      </c>
      <c r="O1497" t="inlineStr">
        <is>
          <t>缺 PP</t>
        </is>
      </c>
    </row>
    <row r="1498">
      <c r="A1498" s="7" t="inlineStr">
        <is>
          <t>2013-09-06</t>
        </is>
      </c>
      <c r="B1498" s="8" t="n"/>
      <c r="C1498" s="8" t="n"/>
      <c r="D1498" s="8" t="n"/>
      <c r="E1498" s="8" t="n"/>
      <c r="F1498" s="8" t="n"/>
      <c r="G1498" s="8" t="n"/>
      <c r="H1498" s="8" t="n">
        <v>10975</v>
      </c>
      <c r="I1498" s="8" t="n">
        <v>10960</v>
      </c>
      <c r="J1498" s="8" t="n">
        <v>11050</v>
      </c>
      <c r="K1498" s="8" t="n">
        <v>10925</v>
      </c>
      <c r="L1498" s="8" t="n">
        <v>767260</v>
      </c>
      <c r="M1498" s="8" t="n">
        <v>400788</v>
      </c>
      <c r="N1498" s="9" t="inlineStr">
        <is>
          <t>否</t>
        </is>
      </c>
      <c r="O1498" t="inlineStr">
        <is>
          <t>缺 PP</t>
        </is>
      </c>
    </row>
    <row r="1499">
      <c r="A1499" s="7" t="inlineStr">
        <is>
          <t>2013-09-09</t>
        </is>
      </c>
      <c r="B1499" s="8" t="n"/>
      <c r="C1499" s="8" t="n"/>
      <c r="D1499" s="8" t="n"/>
      <c r="E1499" s="8" t="n"/>
      <c r="F1499" s="8" t="n"/>
      <c r="G1499" s="8" t="n"/>
      <c r="H1499" s="8" t="n">
        <v>11070</v>
      </c>
      <c r="I1499" s="8" t="n">
        <v>11100</v>
      </c>
      <c r="J1499" s="8" t="n">
        <v>11100</v>
      </c>
      <c r="K1499" s="8" t="n">
        <v>11010</v>
      </c>
      <c r="L1499" s="8" t="n">
        <v>408114</v>
      </c>
      <c r="M1499" s="8" t="n">
        <v>402144</v>
      </c>
      <c r="N1499" s="9" t="inlineStr">
        <is>
          <t>否</t>
        </is>
      </c>
      <c r="O1499" t="inlineStr">
        <is>
          <t>缺 PP</t>
        </is>
      </c>
    </row>
    <row r="1500">
      <c r="A1500" s="7" t="inlineStr">
        <is>
          <t>2013-09-10</t>
        </is>
      </c>
      <c r="B1500" s="8" t="n"/>
      <c r="C1500" s="8" t="n"/>
      <c r="D1500" s="8" t="n"/>
      <c r="E1500" s="8" t="n"/>
      <c r="F1500" s="8" t="n"/>
      <c r="G1500" s="8" t="n"/>
      <c r="H1500" s="8" t="n">
        <v>10965</v>
      </c>
      <c r="I1500" s="8" t="n">
        <v>11010</v>
      </c>
      <c r="J1500" s="8" t="n">
        <v>11115</v>
      </c>
      <c r="K1500" s="8" t="n">
        <v>10925</v>
      </c>
      <c r="L1500" s="8" t="n">
        <v>761502</v>
      </c>
      <c r="M1500" s="8" t="n">
        <v>358512</v>
      </c>
      <c r="N1500" s="9" t="inlineStr">
        <is>
          <t>否</t>
        </is>
      </c>
      <c r="O1500" t="inlineStr">
        <is>
          <t>缺 PP</t>
        </is>
      </c>
    </row>
    <row r="1501">
      <c r="A1501" s="7" t="inlineStr">
        <is>
          <t>2013-09-11</t>
        </is>
      </c>
      <c r="B1501" s="8" t="n"/>
      <c r="C1501" s="8" t="n"/>
      <c r="D1501" s="8" t="n"/>
      <c r="E1501" s="8" t="n"/>
      <c r="F1501" s="8" t="n"/>
      <c r="G1501" s="8" t="n"/>
      <c r="H1501" s="8" t="n">
        <v>10930</v>
      </c>
      <c r="I1501" s="8" t="n">
        <v>10925</v>
      </c>
      <c r="J1501" s="8" t="n">
        <v>10985</v>
      </c>
      <c r="K1501" s="8" t="n">
        <v>10855</v>
      </c>
      <c r="L1501" s="8" t="n">
        <v>513976</v>
      </c>
      <c r="M1501" s="8" t="n">
        <v>352042</v>
      </c>
      <c r="N1501" s="9" t="inlineStr">
        <is>
          <t>否</t>
        </is>
      </c>
      <c r="O1501" t="inlineStr">
        <is>
          <t>缺 PP</t>
        </is>
      </c>
    </row>
    <row r="1502">
      <c r="A1502" s="7" t="inlineStr">
        <is>
          <t>2013-09-12</t>
        </is>
      </c>
      <c r="B1502" s="8" t="n"/>
      <c r="C1502" s="8" t="n"/>
      <c r="D1502" s="8" t="n"/>
      <c r="E1502" s="8" t="n"/>
      <c r="F1502" s="8" t="n"/>
      <c r="G1502" s="8" t="n"/>
      <c r="H1502" s="8" t="n">
        <v>10930</v>
      </c>
      <c r="I1502" s="8" t="n">
        <v>10930</v>
      </c>
      <c r="J1502" s="8" t="n">
        <v>11005</v>
      </c>
      <c r="K1502" s="8" t="n">
        <v>10900</v>
      </c>
      <c r="L1502" s="8" t="n">
        <v>439860</v>
      </c>
      <c r="M1502" s="8" t="n">
        <v>369278</v>
      </c>
      <c r="N1502" s="9" t="inlineStr">
        <is>
          <t>否</t>
        </is>
      </c>
      <c r="O1502" t="inlineStr">
        <is>
          <t>缺 PP</t>
        </is>
      </c>
    </row>
    <row r="1503">
      <c r="A1503" s="7" t="inlineStr">
        <is>
          <t>2013-09-13</t>
        </is>
      </c>
      <c r="B1503" s="8" t="n"/>
      <c r="C1503" s="8" t="n"/>
      <c r="D1503" s="8" t="n"/>
      <c r="E1503" s="8" t="n"/>
      <c r="F1503" s="8" t="n"/>
      <c r="G1503" s="8" t="n"/>
      <c r="H1503" s="8" t="n">
        <v>10920</v>
      </c>
      <c r="I1503" s="8" t="n">
        <v>10960</v>
      </c>
      <c r="J1503" s="8" t="n">
        <v>11055</v>
      </c>
      <c r="K1503" s="8" t="n">
        <v>10905</v>
      </c>
      <c r="L1503" s="8" t="n">
        <v>898558</v>
      </c>
      <c r="M1503" s="8" t="n">
        <v>382578</v>
      </c>
      <c r="N1503" s="9" t="inlineStr">
        <is>
          <t>否</t>
        </is>
      </c>
      <c r="O1503" t="inlineStr">
        <is>
          <t>缺 PP</t>
        </is>
      </c>
    </row>
    <row r="1504">
      <c r="A1504" s="7" t="inlineStr">
        <is>
          <t>2013-09-16</t>
        </is>
      </c>
      <c r="B1504" s="8" t="n"/>
      <c r="C1504" s="8" t="n"/>
      <c r="D1504" s="8" t="n"/>
      <c r="E1504" s="8" t="n"/>
      <c r="F1504" s="8" t="n"/>
      <c r="G1504" s="8" t="n"/>
      <c r="H1504" s="8" t="n">
        <v>10765</v>
      </c>
      <c r="I1504" s="8" t="n">
        <v>10940</v>
      </c>
      <c r="J1504" s="8" t="n">
        <v>10940</v>
      </c>
      <c r="K1504" s="8" t="n">
        <v>10760</v>
      </c>
      <c r="L1504" s="8" t="n">
        <v>529664</v>
      </c>
      <c r="M1504" s="8" t="n">
        <v>387350</v>
      </c>
      <c r="N1504" s="9" t="inlineStr">
        <is>
          <t>否</t>
        </is>
      </c>
      <c r="O1504" t="inlineStr">
        <is>
          <t>缺 PP</t>
        </is>
      </c>
    </row>
    <row r="1505">
      <c r="A1505" s="7" t="inlineStr">
        <is>
          <t>2013-09-17</t>
        </is>
      </c>
      <c r="B1505" s="8" t="n"/>
      <c r="C1505" s="8" t="n"/>
      <c r="D1505" s="8" t="n"/>
      <c r="E1505" s="8" t="n"/>
      <c r="F1505" s="8" t="n"/>
      <c r="G1505" s="8" t="n"/>
      <c r="H1505" s="8" t="n">
        <v>10730</v>
      </c>
      <c r="I1505" s="8" t="n">
        <v>10740</v>
      </c>
      <c r="J1505" s="8" t="n">
        <v>10795</v>
      </c>
      <c r="K1505" s="8" t="n">
        <v>10705</v>
      </c>
      <c r="L1505" s="8" t="n">
        <v>413506</v>
      </c>
      <c r="M1505" s="8" t="n">
        <v>389600</v>
      </c>
      <c r="N1505" s="9" t="inlineStr">
        <is>
          <t>否</t>
        </is>
      </c>
      <c r="O1505" t="inlineStr">
        <is>
          <t>缺 PP</t>
        </is>
      </c>
    </row>
    <row r="1506">
      <c r="A1506" s="7" t="inlineStr">
        <is>
          <t>2013-09-18</t>
        </is>
      </c>
      <c r="B1506" s="8" t="n"/>
      <c r="C1506" s="8" t="n"/>
      <c r="D1506" s="8" t="n"/>
      <c r="E1506" s="8" t="n"/>
      <c r="F1506" s="8" t="n"/>
      <c r="G1506" s="8" t="n"/>
      <c r="H1506" s="8" t="n">
        <v>10740</v>
      </c>
      <c r="I1506" s="8" t="n">
        <v>10695</v>
      </c>
      <c r="J1506" s="8" t="n">
        <v>10780</v>
      </c>
      <c r="K1506" s="8" t="n">
        <v>10690</v>
      </c>
      <c r="L1506" s="8" t="n">
        <v>287778</v>
      </c>
      <c r="M1506" s="8" t="n">
        <v>369436</v>
      </c>
      <c r="N1506" s="9" t="inlineStr">
        <is>
          <t>否</t>
        </is>
      </c>
      <c r="O1506" t="inlineStr">
        <is>
          <t>缺 PP</t>
        </is>
      </c>
    </row>
    <row r="1507">
      <c r="A1507" s="7" t="inlineStr">
        <is>
          <t>2013-09-23</t>
        </is>
      </c>
      <c r="B1507" s="8" t="n"/>
      <c r="C1507" s="8" t="n"/>
      <c r="D1507" s="8" t="n"/>
      <c r="E1507" s="8" t="n"/>
      <c r="F1507" s="8" t="n"/>
      <c r="G1507" s="8" t="n"/>
      <c r="H1507" s="8" t="n">
        <v>10775</v>
      </c>
      <c r="I1507" s="8" t="n">
        <v>10700</v>
      </c>
      <c r="J1507" s="8" t="n">
        <v>10775</v>
      </c>
      <c r="K1507" s="8" t="n">
        <v>10625</v>
      </c>
      <c r="L1507" s="8" t="n">
        <v>472322</v>
      </c>
      <c r="M1507" s="8" t="n">
        <v>391792</v>
      </c>
      <c r="N1507" s="9" t="inlineStr">
        <is>
          <t>否</t>
        </is>
      </c>
      <c r="O1507" t="inlineStr">
        <is>
          <t>缺 PP</t>
        </is>
      </c>
    </row>
    <row r="1508">
      <c r="A1508" s="7" t="inlineStr">
        <is>
          <t>2013-09-24</t>
        </is>
      </c>
      <c r="B1508" s="8" t="n"/>
      <c r="C1508" s="8" t="n"/>
      <c r="D1508" s="8" t="n"/>
      <c r="E1508" s="8" t="n"/>
      <c r="F1508" s="8" t="n"/>
      <c r="G1508" s="8" t="n"/>
      <c r="H1508" s="8" t="n">
        <v>10760</v>
      </c>
      <c r="I1508" s="8" t="n">
        <v>10750</v>
      </c>
      <c r="J1508" s="8" t="n">
        <v>10835</v>
      </c>
      <c r="K1508" s="8" t="n">
        <v>10725</v>
      </c>
      <c r="L1508" s="8" t="n">
        <v>492952</v>
      </c>
      <c r="M1508" s="8" t="n">
        <v>384622</v>
      </c>
      <c r="N1508" s="9" t="inlineStr">
        <is>
          <t>否</t>
        </is>
      </c>
      <c r="O1508" t="inlineStr">
        <is>
          <t>缺 PP</t>
        </is>
      </c>
    </row>
    <row r="1509">
      <c r="A1509" s="7" t="inlineStr">
        <is>
          <t>2013-09-25</t>
        </is>
      </c>
      <c r="B1509" s="8" t="n"/>
      <c r="C1509" s="8" t="n"/>
      <c r="D1509" s="8" t="n"/>
      <c r="E1509" s="8" t="n"/>
      <c r="F1509" s="8" t="n"/>
      <c r="G1509" s="8" t="n"/>
      <c r="H1509" s="8" t="n">
        <v>10760</v>
      </c>
      <c r="I1509" s="8" t="n">
        <v>10770</v>
      </c>
      <c r="J1509" s="8" t="n">
        <v>10815</v>
      </c>
      <c r="K1509" s="8" t="n">
        <v>10730</v>
      </c>
      <c r="L1509" s="8" t="n">
        <v>380758</v>
      </c>
      <c r="M1509" s="8" t="n">
        <v>396306</v>
      </c>
      <c r="N1509" s="9" t="inlineStr">
        <is>
          <t>否</t>
        </is>
      </c>
      <c r="O1509" t="inlineStr">
        <is>
          <t>缺 PP</t>
        </is>
      </c>
    </row>
    <row r="1510">
      <c r="A1510" s="7" t="inlineStr">
        <is>
          <t>2013-09-26</t>
        </is>
      </c>
      <c r="B1510" s="8" t="n"/>
      <c r="C1510" s="8" t="n"/>
      <c r="D1510" s="8" t="n"/>
      <c r="E1510" s="8" t="n"/>
      <c r="F1510" s="8" t="n"/>
      <c r="G1510" s="8" t="n"/>
      <c r="H1510" s="8" t="n">
        <v>10875</v>
      </c>
      <c r="I1510" s="8" t="n">
        <v>10740</v>
      </c>
      <c r="J1510" s="8" t="n">
        <v>10875</v>
      </c>
      <c r="K1510" s="8" t="n">
        <v>10650</v>
      </c>
      <c r="L1510" s="8" t="n">
        <v>532910</v>
      </c>
      <c r="M1510" s="8" t="n">
        <v>393144</v>
      </c>
      <c r="N1510" s="9" t="inlineStr">
        <is>
          <t>否</t>
        </is>
      </c>
      <c r="O1510" t="inlineStr">
        <is>
          <t>缺 PP</t>
        </is>
      </c>
    </row>
    <row r="1511">
      <c r="A1511" s="7" t="inlineStr">
        <is>
          <t>2013-09-27</t>
        </is>
      </c>
      <c r="B1511" s="8" t="n"/>
      <c r="C1511" s="8" t="n"/>
      <c r="D1511" s="8" t="n"/>
      <c r="E1511" s="8" t="n"/>
      <c r="F1511" s="8" t="n"/>
      <c r="G1511" s="8" t="n"/>
      <c r="H1511" s="8" t="n">
        <v>10980</v>
      </c>
      <c r="I1511" s="8" t="n">
        <v>10865</v>
      </c>
      <c r="J1511" s="8" t="n">
        <v>10990</v>
      </c>
      <c r="K1511" s="8" t="n">
        <v>10840</v>
      </c>
      <c r="L1511" s="8" t="n">
        <v>511068</v>
      </c>
      <c r="M1511" s="8" t="n">
        <v>364848</v>
      </c>
      <c r="N1511" s="9" t="inlineStr">
        <is>
          <t>否</t>
        </is>
      </c>
      <c r="O1511" t="inlineStr">
        <is>
          <t>缺 PP</t>
        </is>
      </c>
    </row>
    <row r="1512">
      <c r="A1512" s="7" t="inlineStr">
        <is>
          <t>2013-09-30</t>
        </is>
      </c>
      <c r="B1512" s="8" t="n"/>
      <c r="C1512" s="8" t="n"/>
      <c r="D1512" s="8" t="n"/>
      <c r="E1512" s="8" t="n"/>
      <c r="F1512" s="8" t="n"/>
      <c r="G1512" s="8" t="n"/>
      <c r="H1512" s="8" t="n">
        <v>10960</v>
      </c>
      <c r="I1512" s="8" t="n">
        <v>10905</v>
      </c>
      <c r="J1512" s="8" t="n">
        <v>10990</v>
      </c>
      <c r="K1512" s="8" t="n">
        <v>10900</v>
      </c>
      <c r="L1512" s="8" t="n">
        <v>405502</v>
      </c>
      <c r="M1512" s="8" t="n">
        <v>250214</v>
      </c>
      <c r="N1512" s="9" t="inlineStr">
        <is>
          <t>否</t>
        </is>
      </c>
      <c r="O1512" t="inlineStr">
        <is>
          <t>缺 PP</t>
        </is>
      </c>
    </row>
    <row r="1513">
      <c r="A1513" s="7" t="inlineStr">
        <is>
          <t>2013-10-08</t>
        </is>
      </c>
      <c r="B1513" s="8" t="n"/>
      <c r="C1513" s="8" t="n"/>
      <c r="D1513" s="8" t="n"/>
      <c r="E1513" s="8" t="n"/>
      <c r="F1513" s="8" t="n"/>
      <c r="G1513" s="8" t="n"/>
      <c r="H1513" s="8" t="n">
        <v>11140</v>
      </c>
      <c r="I1513" s="8" t="n">
        <v>10950</v>
      </c>
      <c r="J1513" s="8" t="n">
        <v>11175</v>
      </c>
      <c r="K1513" s="8" t="n">
        <v>10950</v>
      </c>
      <c r="L1513" s="8" t="n">
        <v>384476</v>
      </c>
      <c r="M1513" s="8" t="n">
        <v>286540</v>
      </c>
      <c r="N1513" s="9" t="inlineStr">
        <is>
          <t>否</t>
        </is>
      </c>
      <c r="O1513" t="inlineStr">
        <is>
          <t>缺 PP</t>
        </is>
      </c>
    </row>
    <row r="1514">
      <c r="A1514" s="7" t="inlineStr">
        <is>
          <t>2013-10-09</t>
        </is>
      </c>
      <c r="B1514" s="8" t="n"/>
      <c r="C1514" s="8" t="n"/>
      <c r="D1514" s="8" t="n"/>
      <c r="E1514" s="8" t="n"/>
      <c r="F1514" s="8" t="n"/>
      <c r="G1514" s="8" t="n"/>
      <c r="H1514" s="8" t="n">
        <v>11130</v>
      </c>
      <c r="I1514" s="8" t="n">
        <v>11140</v>
      </c>
      <c r="J1514" s="8" t="n">
        <v>11215</v>
      </c>
      <c r="K1514" s="8" t="n">
        <v>11115</v>
      </c>
      <c r="L1514" s="8" t="n">
        <v>467574</v>
      </c>
      <c r="M1514" s="8" t="n">
        <v>321916</v>
      </c>
      <c r="N1514" s="9" t="inlineStr">
        <is>
          <t>否</t>
        </is>
      </c>
      <c r="O1514" t="inlineStr">
        <is>
          <t>缺 PP</t>
        </is>
      </c>
    </row>
    <row r="1515">
      <c r="A1515" s="7" t="inlineStr">
        <is>
          <t>2013-10-10</t>
        </is>
      </c>
      <c r="B1515" s="8" t="n"/>
      <c r="C1515" s="8" t="n"/>
      <c r="D1515" s="8" t="n"/>
      <c r="E1515" s="8" t="n"/>
      <c r="F1515" s="8" t="n"/>
      <c r="G1515" s="8" t="n"/>
      <c r="H1515" s="8" t="n">
        <v>11210</v>
      </c>
      <c r="I1515" s="8" t="n">
        <v>11120</v>
      </c>
      <c r="J1515" s="8" t="n">
        <v>11225</v>
      </c>
      <c r="K1515" s="8" t="n">
        <v>11115</v>
      </c>
      <c r="L1515" s="8" t="n">
        <v>519466</v>
      </c>
      <c r="M1515" s="8" t="n">
        <v>355024</v>
      </c>
      <c r="N1515" s="9" t="inlineStr">
        <is>
          <t>否</t>
        </is>
      </c>
      <c r="O1515" t="inlineStr">
        <is>
          <t>缺 PP</t>
        </is>
      </c>
    </row>
    <row r="1516">
      <c r="A1516" s="7" t="inlineStr">
        <is>
          <t>2013-10-11</t>
        </is>
      </c>
      <c r="B1516" s="8" t="n"/>
      <c r="C1516" s="8" t="n"/>
      <c r="D1516" s="8" t="n"/>
      <c r="E1516" s="8" t="n"/>
      <c r="F1516" s="8" t="n"/>
      <c r="G1516" s="8" t="n"/>
      <c r="H1516" s="8" t="n">
        <v>11325</v>
      </c>
      <c r="I1516" s="8" t="n">
        <v>11250</v>
      </c>
      <c r="J1516" s="8" t="n">
        <v>11335</v>
      </c>
      <c r="K1516" s="8" t="n">
        <v>11230</v>
      </c>
      <c r="L1516" s="8" t="n">
        <v>747420</v>
      </c>
      <c r="M1516" s="8" t="n">
        <v>408536</v>
      </c>
      <c r="N1516" s="9" t="inlineStr">
        <is>
          <t>否</t>
        </is>
      </c>
      <c r="O1516" t="inlineStr">
        <is>
          <t>缺 PP</t>
        </is>
      </c>
    </row>
    <row r="1517">
      <c r="A1517" s="7" t="inlineStr">
        <is>
          <t>2013-10-14</t>
        </is>
      </c>
      <c r="B1517" s="8" t="n"/>
      <c r="C1517" s="8" t="n"/>
      <c r="D1517" s="8" t="n"/>
      <c r="E1517" s="8" t="n"/>
      <c r="F1517" s="8" t="n"/>
      <c r="G1517" s="8" t="n"/>
      <c r="H1517" s="8" t="n">
        <v>11485</v>
      </c>
      <c r="I1517" s="8" t="n">
        <v>11320</v>
      </c>
      <c r="J1517" s="8" t="n">
        <v>11495</v>
      </c>
      <c r="K1517" s="8" t="n">
        <v>11320</v>
      </c>
      <c r="L1517" s="8" t="n">
        <v>591740</v>
      </c>
      <c r="M1517" s="8" t="n">
        <v>442010</v>
      </c>
      <c r="N1517" s="9" t="inlineStr">
        <is>
          <t>否</t>
        </is>
      </c>
      <c r="O1517" t="inlineStr">
        <is>
          <t>缺 PP</t>
        </is>
      </c>
    </row>
    <row r="1518">
      <c r="A1518" s="7" t="inlineStr">
        <is>
          <t>2013-10-15</t>
        </is>
      </c>
      <c r="B1518" s="8" t="n"/>
      <c r="C1518" s="8" t="n"/>
      <c r="D1518" s="8" t="n"/>
      <c r="E1518" s="8" t="n"/>
      <c r="F1518" s="8" t="n"/>
      <c r="G1518" s="8" t="n"/>
      <c r="H1518" s="8" t="n">
        <v>11330</v>
      </c>
      <c r="I1518" s="8" t="n">
        <v>11510</v>
      </c>
      <c r="J1518" s="8" t="n">
        <v>11535</v>
      </c>
      <c r="K1518" s="8" t="n">
        <v>11310</v>
      </c>
      <c r="L1518" s="8" t="n">
        <v>557900</v>
      </c>
      <c r="M1518" s="8" t="n">
        <v>393656</v>
      </c>
      <c r="N1518" s="9" t="inlineStr">
        <is>
          <t>否</t>
        </is>
      </c>
      <c r="O1518" t="inlineStr">
        <is>
          <t>缺 PP</t>
        </is>
      </c>
    </row>
    <row r="1519">
      <c r="A1519" s="7" t="inlineStr">
        <is>
          <t>2013-10-16</t>
        </is>
      </c>
      <c r="B1519" s="8" t="n"/>
      <c r="C1519" s="8" t="n"/>
      <c r="D1519" s="8" t="n"/>
      <c r="E1519" s="8" t="n"/>
      <c r="F1519" s="8" t="n"/>
      <c r="G1519" s="8" t="n"/>
      <c r="H1519" s="8" t="n">
        <v>11335</v>
      </c>
      <c r="I1519" s="8" t="n">
        <v>11320</v>
      </c>
      <c r="J1519" s="8" t="n">
        <v>11410</v>
      </c>
      <c r="K1519" s="8" t="n">
        <v>11275</v>
      </c>
      <c r="L1519" s="8" t="n">
        <v>740766</v>
      </c>
      <c r="M1519" s="8" t="n">
        <v>419352</v>
      </c>
      <c r="N1519" s="9" t="inlineStr">
        <is>
          <t>否</t>
        </is>
      </c>
      <c r="O1519" t="inlineStr">
        <is>
          <t>缺 PP</t>
        </is>
      </c>
    </row>
    <row r="1520">
      <c r="A1520" s="7" t="inlineStr">
        <is>
          <t>2013-10-17</t>
        </is>
      </c>
      <c r="B1520" s="8" t="n"/>
      <c r="C1520" s="8" t="n"/>
      <c r="D1520" s="8" t="n"/>
      <c r="E1520" s="8" t="n"/>
      <c r="F1520" s="8" t="n"/>
      <c r="G1520" s="8" t="n"/>
      <c r="H1520" s="8" t="n">
        <v>11325</v>
      </c>
      <c r="I1520" s="8" t="n">
        <v>11415</v>
      </c>
      <c r="J1520" s="8" t="n">
        <v>11420</v>
      </c>
      <c r="K1520" s="8" t="n">
        <v>11260</v>
      </c>
      <c r="L1520" s="8" t="n">
        <v>564344</v>
      </c>
      <c r="M1520" s="8" t="n">
        <v>402944</v>
      </c>
      <c r="N1520" s="9" t="inlineStr">
        <is>
          <t>否</t>
        </is>
      </c>
      <c r="O1520" t="inlineStr">
        <is>
          <t>缺 PP</t>
        </is>
      </c>
    </row>
    <row r="1521">
      <c r="A1521" s="7" t="inlineStr">
        <is>
          <t>2013-10-18</t>
        </is>
      </c>
      <c r="B1521" s="8" t="n"/>
      <c r="C1521" s="8" t="n"/>
      <c r="D1521" s="8" t="n"/>
      <c r="E1521" s="8" t="n"/>
      <c r="F1521" s="8" t="n"/>
      <c r="G1521" s="8" t="n"/>
      <c r="H1521" s="8" t="n">
        <v>11395</v>
      </c>
      <c r="I1521" s="8" t="n">
        <v>11325</v>
      </c>
      <c r="J1521" s="8" t="n">
        <v>11405</v>
      </c>
      <c r="K1521" s="8" t="n">
        <v>11285</v>
      </c>
      <c r="L1521" s="8" t="n">
        <v>495578</v>
      </c>
      <c r="M1521" s="8" t="n">
        <v>404116</v>
      </c>
      <c r="N1521" s="9" t="inlineStr">
        <is>
          <t>否</t>
        </is>
      </c>
      <c r="O1521" t="inlineStr">
        <is>
          <t>缺 PP</t>
        </is>
      </c>
    </row>
    <row r="1522">
      <c r="A1522" s="7" t="inlineStr">
        <is>
          <t>2013-10-21</t>
        </is>
      </c>
      <c r="B1522" s="8" t="n"/>
      <c r="C1522" s="8" t="n"/>
      <c r="D1522" s="8" t="n"/>
      <c r="E1522" s="8" t="n"/>
      <c r="F1522" s="8" t="n"/>
      <c r="G1522" s="8" t="n"/>
      <c r="H1522" s="8" t="n">
        <v>11340</v>
      </c>
      <c r="I1522" s="8" t="n">
        <v>11390</v>
      </c>
      <c r="J1522" s="8" t="n">
        <v>11490</v>
      </c>
      <c r="K1522" s="8" t="n">
        <v>11275</v>
      </c>
      <c r="L1522" s="8" t="n">
        <v>605100</v>
      </c>
      <c r="M1522" s="8" t="n">
        <v>356906</v>
      </c>
      <c r="N1522" s="9" t="inlineStr">
        <is>
          <t>否</t>
        </is>
      </c>
      <c r="O1522" t="inlineStr">
        <is>
          <t>缺 PP</t>
        </is>
      </c>
    </row>
    <row r="1523">
      <c r="A1523" s="7" t="inlineStr">
        <is>
          <t>2013-10-22</t>
        </is>
      </c>
      <c r="B1523" s="8" t="n"/>
      <c r="C1523" s="8" t="n"/>
      <c r="D1523" s="8" t="n"/>
      <c r="E1523" s="8" t="n"/>
      <c r="F1523" s="8" t="n"/>
      <c r="G1523" s="8" t="n"/>
      <c r="H1523" s="8" t="n">
        <v>11230</v>
      </c>
      <c r="I1523" s="8" t="n">
        <v>11330</v>
      </c>
      <c r="J1523" s="8" t="n">
        <v>11330</v>
      </c>
      <c r="K1523" s="8" t="n">
        <v>11195</v>
      </c>
      <c r="L1523" s="8" t="n">
        <v>614522</v>
      </c>
      <c r="M1523" s="8" t="n">
        <v>348516</v>
      </c>
      <c r="N1523" s="9" t="inlineStr">
        <is>
          <t>否</t>
        </is>
      </c>
      <c r="O1523" t="inlineStr">
        <is>
          <t>缺 PP</t>
        </is>
      </c>
    </row>
    <row r="1524">
      <c r="A1524" s="7" t="inlineStr">
        <is>
          <t>2013-10-23</t>
        </is>
      </c>
      <c r="B1524" s="8" t="n"/>
      <c r="C1524" s="8" t="n"/>
      <c r="D1524" s="8" t="n"/>
      <c r="E1524" s="8" t="n"/>
      <c r="F1524" s="8" t="n"/>
      <c r="G1524" s="8" t="n"/>
      <c r="H1524" s="8" t="n">
        <v>11250</v>
      </c>
      <c r="I1524" s="8" t="n">
        <v>11240</v>
      </c>
      <c r="J1524" s="8" t="n">
        <v>11280</v>
      </c>
      <c r="K1524" s="8" t="n">
        <v>11190</v>
      </c>
      <c r="L1524" s="8" t="n">
        <v>420194</v>
      </c>
      <c r="M1524" s="8" t="n">
        <v>323324</v>
      </c>
      <c r="N1524" s="9" t="inlineStr">
        <is>
          <t>否</t>
        </is>
      </c>
      <c r="O1524" t="inlineStr">
        <is>
          <t>缺 PP</t>
        </is>
      </c>
    </row>
    <row r="1525">
      <c r="A1525" s="7" t="inlineStr">
        <is>
          <t>2013-10-24</t>
        </is>
      </c>
      <c r="B1525" s="8" t="n"/>
      <c r="C1525" s="8" t="n"/>
      <c r="D1525" s="8" t="n"/>
      <c r="E1525" s="8" t="n"/>
      <c r="F1525" s="8" t="n"/>
      <c r="G1525" s="8" t="n"/>
      <c r="H1525" s="8" t="n">
        <v>11310</v>
      </c>
      <c r="I1525" s="8" t="n">
        <v>11230</v>
      </c>
      <c r="J1525" s="8" t="n">
        <v>11320</v>
      </c>
      <c r="K1525" s="8" t="n">
        <v>11155</v>
      </c>
      <c r="L1525" s="8" t="n">
        <v>475518</v>
      </c>
      <c r="M1525" s="8" t="n">
        <v>340226</v>
      </c>
      <c r="N1525" s="9" t="inlineStr">
        <is>
          <t>否</t>
        </is>
      </c>
      <c r="O1525" t="inlineStr">
        <is>
          <t>缺 PP</t>
        </is>
      </c>
    </row>
    <row r="1526">
      <c r="A1526" s="7" t="inlineStr">
        <is>
          <t>2013-10-25</t>
        </is>
      </c>
      <c r="B1526" s="8" t="n"/>
      <c r="C1526" s="8" t="n"/>
      <c r="D1526" s="8" t="n"/>
      <c r="E1526" s="8" t="n"/>
      <c r="F1526" s="8" t="n"/>
      <c r="G1526" s="8" t="n"/>
      <c r="H1526" s="8" t="n">
        <v>11180</v>
      </c>
      <c r="I1526" s="8" t="n">
        <v>11320</v>
      </c>
      <c r="J1526" s="8" t="n">
        <v>11325</v>
      </c>
      <c r="K1526" s="8" t="n">
        <v>11165</v>
      </c>
      <c r="L1526" s="8" t="n">
        <v>548746</v>
      </c>
      <c r="M1526" s="8" t="n">
        <v>285018</v>
      </c>
      <c r="N1526" s="9" t="inlineStr">
        <is>
          <t>否</t>
        </is>
      </c>
      <c r="O1526" t="inlineStr">
        <is>
          <t>缺 PP</t>
        </is>
      </c>
    </row>
    <row r="1527">
      <c r="A1527" s="7" t="inlineStr">
        <is>
          <t>2013-10-28</t>
        </is>
      </c>
      <c r="B1527" s="8" t="n"/>
      <c r="C1527" s="8" t="n"/>
      <c r="D1527" s="8" t="n"/>
      <c r="E1527" s="8" t="n"/>
      <c r="F1527" s="8" t="n"/>
      <c r="G1527" s="8" t="n"/>
      <c r="H1527" s="8" t="n">
        <v>11290</v>
      </c>
      <c r="I1527" s="8" t="n">
        <v>11240</v>
      </c>
      <c r="J1527" s="8" t="n">
        <v>11295</v>
      </c>
      <c r="K1527" s="8" t="n">
        <v>11180</v>
      </c>
      <c r="L1527" s="8" t="n">
        <v>402184</v>
      </c>
      <c r="M1527" s="8" t="n">
        <v>303206</v>
      </c>
      <c r="N1527" s="9" t="inlineStr">
        <is>
          <t>否</t>
        </is>
      </c>
      <c r="O1527" t="inlineStr">
        <is>
          <t>缺 PP</t>
        </is>
      </c>
    </row>
    <row r="1528">
      <c r="A1528" s="7" t="inlineStr">
        <is>
          <t>2013-10-29</t>
        </is>
      </c>
      <c r="B1528" s="8" t="n"/>
      <c r="C1528" s="8" t="n"/>
      <c r="D1528" s="8" t="n"/>
      <c r="E1528" s="8" t="n"/>
      <c r="F1528" s="8" t="n"/>
      <c r="G1528" s="8" t="n"/>
      <c r="H1528" s="8" t="n">
        <v>11470</v>
      </c>
      <c r="I1528" s="8" t="n">
        <v>11310</v>
      </c>
      <c r="J1528" s="8" t="n">
        <v>11470</v>
      </c>
      <c r="K1528" s="8" t="n">
        <v>11280</v>
      </c>
      <c r="L1528" s="8" t="n">
        <v>620152</v>
      </c>
      <c r="M1528" s="8" t="n">
        <v>358172</v>
      </c>
      <c r="N1528" s="9" t="inlineStr">
        <is>
          <t>否</t>
        </is>
      </c>
      <c r="O1528" t="inlineStr">
        <is>
          <t>缺 PP</t>
        </is>
      </c>
    </row>
    <row r="1529">
      <c r="A1529" s="7" t="inlineStr">
        <is>
          <t>2013-10-30</t>
        </is>
      </c>
      <c r="B1529" s="8" t="n"/>
      <c r="C1529" s="8" t="n"/>
      <c r="D1529" s="8" t="n"/>
      <c r="E1529" s="8" t="n"/>
      <c r="F1529" s="8" t="n"/>
      <c r="G1529" s="8" t="n"/>
      <c r="H1529" s="8" t="n">
        <v>11500</v>
      </c>
      <c r="I1529" s="8" t="n">
        <v>11460</v>
      </c>
      <c r="J1529" s="8" t="n">
        <v>11515</v>
      </c>
      <c r="K1529" s="8" t="n">
        <v>11415</v>
      </c>
      <c r="L1529" s="8" t="n">
        <v>552238</v>
      </c>
      <c r="M1529" s="8" t="n">
        <v>357042</v>
      </c>
      <c r="N1529" s="9" t="inlineStr">
        <is>
          <t>否</t>
        </is>
      </c>
      <c r="O1529" t="inlineStr">
        <is>
          <t>缺 PP</t>
        </is>
      </c>
    </row>
    <row r="1530">
      <c r="A1530" s="7" t="inlineStr">
        <is>
          <t>2013-10-31</t>
        </is>
      </c>
      <c r="B1530" s="8" t="n"/>
      <c r="C1530" s="8" t="n"/>
      <c r="D1530" s="8" t="n"/>
      <c r="E1530" s="8" t="n"/>
      <c r="F1530" s="8" t="n"/>
      <c r="G1530" s="8" t="n"/>
      <c r="H1530" s="8" t="n">
        <v>11385</v>
      </c>
      <c r="I1530" s="8" t="n">
        <v>11470</v>
      </c>
      <c r="J1530" s="8" t="n">
        <v>11530</v>
      </c>
      <c r="K1530" s="8" t="n">
        <v>11360</v>
      </c>
      <c r="L1530" s="8" t="n">
        <v>720452</v>
      </c>
      <c r="M1530" s="8" t="n">
        <v>334912</v>
      </c>
      <c r="N1530" s="9" t="inlineStr">
        <is>
          <t>否</t>
        </is>
      </c>
      <c r="O1530" t="inlineStr">
        <is>
          <t>缺 PP</t>
        </is>
      </c>
    </row>
    <row r="1531">
      <c r="A1531" s="7" t="inlineStr">
        <is>
          <t>2013-11-01</t>
        </is>
      </c>
      <c r="B1531" s="8" t="n"/>
      <c r="C1531" s="8" t="n"/>
      <c r="D1531" s="8" t="n"/>
      <c r="E1531" s="8" t="n"/>
      <c r="F1531" s="8" t="n"/>
      <c r="G1531" s="8" t="n"/>
      <c r="H1531" s="8" t="n">
        <v>11480</v>
      </c>
      <c r="I1531" s="8" t="n">
        <v>11380</v>
      </c>
      <c r="J1531" s="8" t="n">
        <v>11490</v>
      </c>
      <c r="K1531" s="8" t="n">
        <v>11355</v>
      </c>
      <c r="L1531" s="8" t="n">
        <v>413024</v>
      </c>
      <c r="M1531" s="8" t="n">
        <v>323422</v>
      </c>
      <c r="N1531" s="9" t="inlineStr">
        <is>
          <t>否</t>
        </is>
      </c>
      <c r="O1531" t="inlineStr">
        <is>
          <t>缺 PP</t>
        </is>
      </c>
    </row>
    <row r="1532">
      <c r="A1532" s="7" t="inlineStr">
        <is>
          <t>2013-11-04</t>
        </is>
      </c>
      <c r="B1532" s="8" t="n"/>
      <c r="C1532" s="8" t="n"/>
      <c r="D1532" s="8" t="n"/>
      <c r="E1532" s="8" t="n"/>
      <c r="F1532" s="8" t="n"/>
      <c r="G1532" s="8" t="n"/>
      <c r="H1532" s="8" t="n">
        <v>11395</v>
      </c>
      <c r="I1532" s="8" t="n">
        <v>11450</v>
      </c>
      <c r="J1532" s="8" t="n">
        <v>11450</v>
      </c>
      <c r="K1532" s="8" t="n">
        <v>11330</v>
      </c>
      <c r="L1532" s="8" t="n">
        <v>572708</v>
      </c>
      <c r="M1532" s="8" t="n">
        <v>321642</v>
      </c>
      <c r="N1532" s="9" t="inlineStr">
        <is>
          <t>否</t>
        </is>
      </c>
      <c r="O1532" t="inlineStr">
        <is>
          <t>缺 PP</t>
        </is>
      </c>
    </row>
    <row r="1533">
      <c r="A1533" s="7" t="inlineStr">
        <is>
          <t>2013-11-05</t>
        </is>
      </c>
      <c r="B1533" s="8" t="n"/>
      <c r="C1533" s="8" t="n"/>
      <c r="D1533" s="8" t="n"/>
      <c r="E1533" s="8" t="n"/>
      <c r="F1533" s="8" t="n"/>
      <c r="G1533" s="8" t="n"/>
      <c r="H1533" s="8" t="n">
        <v>11410</v>
      </c>
      <c r="I1533" s="8" t="n">
        <v>11400</v>
      </c>
      <c r="J1533" s="8" t="n">
        <v>11430</v>
      </c>
      <c r="K1533" s="8" t="n">
        <v>11355</v>
      </c>
      <c r="L1533" s="8" t="n">
        <v>370966</v>
      </c>
      <c r="M1533" s="8" t="n">
        <v>330740</v>
      </c>
      <c r="N1533" s="9" t="inlineStr">
        <is>
          <t>否</t>
        </is>
      </c>
      <c r="O1533" t="inlineStr">
        <is>
          <t>缺 PP</t>
        </is>
      </c>
    </row>
    <row r="1534">
      <c r="A1534" s="7" t="inlineStr">
        <is>
          <t>2013-11-06</t>
        </is>
      </c>
      <c r="B1534" s="8" t="n"/>
      <c r="C1534" s="8" t="n"/>
      <c r="D1534" s="8" t="n"/>
      <c r="E1534" s="8" t="n"/>
      <c r="F1534" s="8" t="n"/>
      <c r="G1534" s="8" t="n"/>
      <c r="H1534" s="8" t="n">
        <v>11290</v>
      </c>
      <c r="I1534" s="8" t="n">
        <v>11380</v>
      </c>
      <c r="J1534" s="8" t="n">
        <v>11395</v>
      </c>
      <c r="K1534" s="8" t="n">
        <v>11280</v>
      </c>
      <c r="L1534" s="8" t="n">
        <v>459844</v>
      </c>
      <c r="M1534" s="8" t="n">
        <v>295720</v>
      </c>
      <c r="N1534" s="9" t="inlineStr">
        <is>
          <t>否</t>
        </is>
      </c>
      <c r="O1534" t="inlineStr">
        <is>
          <t>缺 PP</t>
        </is>
      </c>
    </row>
    <row r="1535">
      <c r="A1535" s="7" t="inlineStr">
        <is>
          <t>2013-11-07</t>
        </is>
      </c>
      <c r="B1535" s="8" t="n"/>
      <c r="C1535" s="8" t="n"/>
      <c r="D1535" s="8" t="n"/>
      <c r="E1535" s="8" t="n"/>
      <c r="F1535" s="8" t="n"/>
      <c r="G1535" s="8" t="n"/>
      <c r="H1535" s="8" t="n">
        <v>11280</v>
      </c>
      <c r="I1535" s="8" t="n">
        <v>11300</v>
      </c>
      <c r="J1535" s="8" t="n">
        <v>11330</v>
      </c>
      <c r="K1535" s="8" t="n">
        <v>11240</v>
      </c>
      <c r="L1535" s="8" t="n">
        <v>427308</v>
      </c>
      <c r="M1535" s="8" t="n">
        <v>249482</v>
      </c>
      <c r="N1535" s="9" t="inlineStr">
        <is>
          <t>否</t>
        </is>
      </c>
      <c r="O1535" t="inlineStr">
        <is>
          <t>缺 PP</t>
        </is>
      </c>
    </row>
    <row r="1536">
      <c r="A1536" s="7" t="inlineStr">
        <is>
          <t>2013-11-08</t>
        </is>
      </c>
      <c r="B1536" s="8" t="n"/>
      <c r="C1536" s="8" t="n"/>
      <c r="D1536" s="8" t="n"/>
      <c r="E1536" s="8" t="n"/>
      <c r="F1536" s="8" t="n"/>
      <c r="G1536" s="8" t="n"/>
      <c r="H1536" s="8" t="n">
        <v>11230</v>
      </c>
      <c r="I1536" s="8" t="n">
        <v>11260</v>
      </c>
      <c r="J1536" s="8" t="n">
        <v>11305</v>
      </c>
      <c r="K1536" s="8" t="n">
        <v>11220</v>
      </c>
      <c r="L1536" s="8" t="n">
        <v>351086</v>
      </c>
      <c r="M1536" s="8" t="n">
        <v>230064</v>
      </c>
      <c r="N1536" s="9" t="inlineStr">
        <is>
          <t>否</t>
        </is>
      </c>
      <c r="O1536" t="inlineStr">
        <is>
          <t>缺 PP</t>
        </is>
      </c>
    </row>
    <row r="1537">
      <c r="A1537" s="7" t="inlineStr">
        <is>
          <t>2013-11-11</t>
        </is>
      </c>
      <c r="B1537" s="8" t="n"/>
      <c r="C1537" s="8" t="n"/>
      <c r="D1537" s="8" t="n"/>
      <c r="E1537" s="8" t="n"/>
      <c r="F1537" s="8" t="n"/>
      <c r="G1537" s="8" t="n"/>
      <c r="H1537" s="8" t="n">
        <v>11280</v>
      </c>
      <c r="I1537" s="8" t="n">
        <v>11240</v>
      </c>
      <c r="J1537" s="8" t="n">
        <v>11290</v>
      </c>
      <c r="K1537" s="8" t="n">
        <v>11215</v>
      </c>
      <c r="L1537" s="8" t="n">
        <v>285622</v>
      </c>
      <c r="M1537" s="8" t="n">
        <v>240048</v>
      </c>
      <c r="N1537" s="9" t="inlineStr">
        <is>
          <t>否</t>
        </is>
      </c>
      <c r="O1537" t="inlineStr">
        <is>
          <t>缺 PP</t>
        </is>
      </c>
    </row>
    <row r="1538">
      <c r="A1538" s="7" t="inlineStr">
        <is>
          <t>2013-11-12</t>
        </is>
      </c>
      <c r="B1538" s="8" t="n"/>
      <c r="C1538" s="8" t="n"/>
      <c r="D1538" s="8" t="n"/>
      <c r="E1538" s="8" t="n"/>
      <c r="F1538" s="8" t="n"/>
      <c r="G1538" s="8" t="n"/>
      <c r="H1538" s="8" t="n">
        <v>11390</v>
      </c>
      <c r="I1538" s="8" t="n">
        <v>11290</v>
      </c>
      <c r="J1538" s="8" t="n">
        <v>11415</v>
      </c>
      <c r="K1538" s="8" t="n">
        <v>11255</v>
      </c>
      <c r="L1538" s="8" t="n">
        <v>255296</v>
      </c>
      <c r="M1538" s="8" t="n">
        <v>234870</v>
      </c>
      <c r="N1538" s="9" t="inlineStr">
        <is>
          <t>否</t>
        </is>
      </c>
      <c r="O1538" t="inlineStr">
        <is>
          <t>缺 PP</t>
        </is>
      </c>
    </row>
    <row r="1539">
      <c r="A1539" s="7" t="inlineStr">
        <is>
          <t>2013-11-13</t>
        </is>
      </c>
      <c r="B1539" s="8" t="n"/>
      <c r="C1539" s="8" t="n"/>
      <c r="D1539" s="8" t="n"/>
      <c r="E1539" s="8" t="n"/>
      <c r="F1539" s="8" t="n"/>
      <c r="G1539" s="8" t="n"/>
      <c r="H1539" s="8" t="n">
        <v>10920</v>
      </c>
      <c r="I1539" s="8" t="n">
        <v>10840</v>
      </c>
      <c r="J1539" s="8" t="n">
        <v>10920</v>
      </c>
      <c r="K1539" s="8" t="n">
        <v>10830</v>
      </c>
      <c r="L1539" s="8" t="n">
        <v>343754</v>
      </c>
      <c r="M1539" s="8" t="n">
        <v>257592</v>
      </c>
      <c r="N1539" s="9" t="inlineStr">
        <is>
          <t>否</t>
        </is>
      </c>
      <c r="O1539" t="inlineStr">
        <is>
          <t>缺 PP</t>
        </is>
      </c>
    </row>
    <row r="1540">
      <c r="A1540" s="7" t="inlineStr">
        <is>
          <t>2013-11-14</t>
        </is>
      </c>
      <c r="B1540" s="8" t="n"/>
      <c r="C1540" s="8" t="n"/>
      <c r="D1540" s="8" t="n"/>
      <c r="E1540" s="8" t="n"/>
      <c r="F1540" s="8" t="n"/>
      <c r="G1540" s="8" t="n"/>
      <c r="H1540" s="8" t="n">
        <v>10900</v>
      </c>
      <c r="I1540" s="8" t="n">
        <v>10950</v>
      </c>
      <c r="J1540" s="8" t="n">
        <v>10990</v>
      </c>
      <c r="K1540" s="8" t="n">
        <v>10885</v>
      </c>
      <c r="L1540" s="8" t="n">
        <v>457610</v>
      </c>
      <c r="M1540" s="8" t="n">
        <v>273346</v>
      </c>
      <c r="N1540" s="9" t="inlineStr">
        <is>
          <t>否</t>
        </is>
      </c>
      <c r="O1540" t="inlineStr">
        <is>
          <t>缺 PP</t>
        </is>
      </c>
    </row>
    <row r="1541">
      <c r="A1541" s="7" t="inlineStr">
        <is>
          <t>2013-11-15</t>
        </is>
      </c>
      <c r="B1541" s="8" t="n"/>
      <c r="C1541" s="8" t="n"/>
      <c r="D1541" s="8" t="n"/>
      <c r="E1541" s="8" t="n"/>
      <c r="F1541" s="8" t="n"/>
      <c r="G1541" s="8" t="n"/>
      <c r="H1541" s="8" t="n">
        <v>10875</v>
      </c>
      <c r="I1541" s="8" t="n">
        <v>10915</v>
      </c>
      <c r="J1541" s="8" t="n">
        <v>10955</v>
      </c>
      <c r="K1541" s="8" t="n">
        <v>10865</v>
      </c>
      <c r="L1541" s="8" t="n">
        <v>342810</v>
      </c>
      <c r="M1541" s="8" t="n">
        <v>263430</v>
      </c>
      <c r="N1541" s="9" t="inlineStr">
        <is>
          <t>否</t>
        </is>
      </c>
      <c r="O1541" t="inlineStr">
        <is>
          <t>缺 PP</t>
        </is>
      </c>
    </row>
    <row r="1542">
      <c r="A1542" s="7" t="inlineStr">
        <is>
          <t>2013-11-18</t>
        </is>
      </c>
      <c r="B1542" s="8" t="n"/>
      <c r="C1542" s="8" t="n"/>
      <c r="D1542" s="8" t="n"/>
      <c r="E1542" s="8" t="n"/>
      <c r="F1542" s="8" t="n"/>
      <c r="G1542" s="8" t="n"/>
      <c r="H1542" s="8" t="n">
        <v>10900</v>
      </c>
      <c r="I1542" s="8" t="n">
        <v>10875</v>
      </c>
      <c r="J1542" s="8" t="n">
        <v>10950</v>
      </c>
      <c r="K1542" s="8" t="n">
        <v>10870</v>
      </c>
      <c r="L1542" s="8" t="n">
        <v>346962</v>
      </c>
      <c r="M1542" s="8" t="n">
        <v>269254</v>
      </c>
      <c r="N1542" s="9" t="inlineStr">
        <is>
          <t>否</t>
        </is>
      </c>
      <c r="O1542" t="inlineStr">
        <is>
          <t>缺 PP</t>
        </is>
      </c>
    </row>
    <row r="1543">
      <c r="A1543" s="7" t="inlineStr">
        <is>
          <t>2013-11-19</t>
        </is>
      </c>
      <c r="B1543" s="8" t="n"/>
      <c r="C1543" s="8" t="n"/>
      <c r="D1543" s="8" t="n"/>
      <c r="E1543" s="8" t="n"/>
      <c r="F1543" s="8" t="n"/>
      <c r="G1543" s="8" t="n"/>
      <c r="H1543" s="8" t="n">
        <v>10820</v>
      </c>
      <c r="I1543" s="8" t="n">
        <v>10875</v>
      </c>
      <c r="J1543" s="8" t="n">
        <v>10900</v>
      </c>
      <c r="K1543" s="8" t="n">
        <v>10785</v>
      </c>
      <c r="L1543" s="8" t="n">
        <v>414410</v>
      </c>
      <c r="M1543" s="8" t="n">
        <v>259262</v>
      </c>
      <c r="N1543" s="9" t="inlineStr">
        <is>
          <t>否</t>
        </is>
      </c>
      <c r="O1543" t="inlineStr">
        <is>
          <t>缺 PP</t>
        </is>
      </c>
    </row>
    <row r="1544">
      <c r="A1544" s="7" t="inlineStr">
        <is>
          <t>2013-11-21</t>
        </is>
      </c>
      <c r="B1544" s="8" t="n"/>
      <c r="C1544" s="8" t="n"/>
      <c r="D1544" s="8" t="n"/>
      <c r="E1544" s="8" t="n"/>
      <c r="F1544" s="8" t="n"/>
      <c r="G1544" s="8" t="n"/>
      <c r="H1544" s="8" t="n">
        <v>10900</v>
      </c>
      <c r="I1544" s="8" t="n">
        <v>10875</v>
      </c>
      <c r="J1544" s="8" t="n">
        <v>10925</v>
      </c>
      <c r="K1544" s="8" t="n">
        <v>10865</v>
      </c>
      <c r="L1544" s="8" t="n">
        <v>337054</v>
      </c>
      <c r="M1544" s="8" t="n">
        <v>230754</v>
      </c>
      <c r="N1544" s="9" t="inlineStr">
        <is>
          <t>否</t>
        </is>
      </c>
      <c r="O1544" t="inlineStr">
        <is>
          <t>缺 PP</t>
        </is>
      </c>
    </row>
    <row r="1545">
      <c r="A1545" s="7" t="inlineStr">
        <is>
          <t>2013-11-22</t>
        </is>
      </c>
      <c r="B1545" s="8" t="n"/>
      <c r="C1545" s="8" t="n"/>
      <c r="D1545" s="8" t="n"/>
      <c r="E1545" s="8" t="n"/>
      <c r="F1545" s="8" t="n"/>
      <c r="G1545" s="8" t="n"/>
      <c r="H1545" s="8" t="n">
        <v>10890</v>
      </c>
      <c r="I1545" s="8" t="n">
        <v>10945</v>
      </c>
      <c r="J1545" s="8" t="n">
        <v>11010</v>
      </c>
      <c r="K1545" s="8" t="n">
        <v>10885</v>
      </c>
      <c r="L1545" s="8" t="n">
        <v>613348</v>
      </c>
      <c r="M1545" s="8" t="n">
        <v>255712</v>
      </c>
      <c r="N1545" s="9" t="inlineStr">
        <is>
          <t>否</t>
        </is>
      </c>
      <c r="O1545" t="inlineStr">
        <is>
          <t>缺 PP</t>
        </is>
      </c>
    </row>
    <row r="1546">
      <c r="A1546" s="7" t="inlineStr">
        <is>
          <t>2013-11-25</t>
        </is>
      </c>
      <c r="B1546" s="8" t="n"/>
      <c r="C1546" s="8" t="n"/>
      <c r="D1546" s="8" t="n"/>
      <c r="E1546" s="8" t="n"/>
      <c r="F1546" s="8" t="n"/>
      <c r="G1546" s="8" t="n"/>
      <c r="H1546" s="8" t="n">
        <v>10975</v>
      </c>
      <c r="I1546" s="8" t="n">
        <v>10890</v>
      </c>
      <c r="J1546" s="8" t="n">
        <v>10985</v>
      </c>
      <c r="K1546" s="8" t="n">
        <v>10875</v>
      </c>
      <c r="L1546" s="8" t="n">
        <v>390960</v>
      </c>
      <c r="M1546" s="8" t="n">
        <v>289740</v>
      </c>
      <c r="N1546" s="9" t="inlineStr">
        <is>
          <t>否</t>
        </is>
      </c>
      <c r="O1546" t="inlineStr">
        <is>
          <t>缺 PP</t>
        </is>
      </c>
    </row>
    <row r="1547">
      <c r="A1547" s="7" t="inlineStr">
        <is>
          <t>2013-11-26</t>
        </is>
      </c>
      <c r="B1547" s="8" t="n"/>
      <c r="C1547" s="8" t="n"/>
      <c r="D1547" s="8" t="n"/>
      <c r="E1547" s="8" t="n"/>
      <c r="F1547" s="8" t="n"/>
      <c r="G1547" s="8" t="n"/>
      <c r="H1547" s="8" t="n">
        <v>11100</v>
      </c>
      <c r="I1547" s="8" t="n">
        <v>11000</v>
      </c>
      <c r="J1547" s="8" t="n">
        <v>11130</v>
      </c>
      <c r="K1547" s="8" t="n">
        <v>10975</v>
      </c>
      <c r="L1547" s="8" t="n">
        <v>872050</v>
      </c>
      <c r="M1547" s="8" t="n">
        <v>349734</v>
      </c>
      <c r="N1547" s="9" t="inlineStr">
        <is>
          <t>否</t>
        </is>
      </c>
      <c r="O1547" t="inlineStr">
        <is>
          <t>缺 PP</t>
        </is>
      </c>
    </row>
    <row r="1548">
      <c r="A1548" s="7" t="inlineStr">
        <is>
          <t>2013-11-27</t>
        </is>
      </c>
      <c r="B1548" s="8" t="n"/>
      <c r="C1548" s="8" t="n"/>
      <c r="D1548" s="8" t="n"/>
      <c r="E1548" s="8" t="n"/>
      <c r="F1548" s="8" t="n"/>
      <c r="G1548" s="8" t="n"/>
      <c r="H1548" s="8" t="n">
        <v>11155</v>
      </c>
      <c r="I1548" s="8" t="n">
        <v>11080</v>
      </c>
      <c r="J1548" s="8" t="n">
        <v>11160</v>
      </c>
      <c r="K1548" s="8" t="n">
        <v>11065</v>
      </c>
      <c r="L1548" s="8" t="n">
        <v>495752</v>
      </c>
      <c r="M1548" s="8" t="n">
        <v>381798</v>
      </c>
      <c r="N1548" s="9" t="inlineStr">
        <is>
          <t>否</t>
        </is>
      </c>
      <c r="O1548" t="inlineStr">
        <is>
          <t>缺 PP</t>
        </is>
      </c>
    </row>
    <row r="1549">
      <c r="A1549" s="7" t="inlineStr">
        <is>
          <t>2013-11-28</t>
        </is>
      </c>
      <c r="B1549" s="8" t="n"/>
      <c r="C1549" s="8" t="n"/>
      <c r="D1549" s="8" t="n"/>
      <c r="E1549" s="8" t="n"/>
      <c r="F1549" s="8" t="n"/>
      <c r="G1549" s="8" t="n"/>
      <c r="H1549" s="8" t="n">
        <v>11155</v>
      </c>
      <c r="I1549" s="8" t="n">
        <v>11130</v>
      </c>
      <c r="J1549" s="8" t="n">
        <v>11175</v>
      </c>
      <c r="K1549" s="8" t="n">
        <v>11115</v>
      </c>
      <c r="L1549" s="8" t="n">
        <v>464334</v>
      </c>
      <c r="M1549" s="8" t="n">
        <v>379174</v>
      </c>
      <c r="N1549" s="9" t="inlineStr">
        <is>
          <t>否</t>
        </is>
      </c>
      <c r="O1549" t="inlineStr">
        <is>
          <t>缺 PP</t>
        </is>
      </c>
    </row>
    <row r="1550">
      <c r="A1550" s="7" t="inlineStr">
        <is>
          <t>2013-11-29</t>
        </is>
      </c>
      <c r="B1550" s="8" t="n"/>
      <c r="C1550" s="8" t="n"/>
      <c r="D1550" s="8" t="n"/>
      <c r="E1550" s="8" t="n"/>
      <c r="F1550" s="8" t="n"/>
      <c r="G1550" s="8" t="n"/>
      <c r="H1550" s="8" t="n">
        <v>11175</v>
      </c>
      <c r="I1550" s="8" t="n">
        <v>11165</v>
      </c>
      <c r="J1550" s="8" t="n">
        <v>11185</v>
      </c>
      <c r="K1550" s="8" t="n">
        <v>11105</v>
      </c>
      <c r="L1550" s="8" t="n">
        <v>360228</v>
      </c>
      <c r="M1550" s="8" t="n">
        <v>382172</v>
      </c>
      <c r="N1550" s="9" t="inlineStr">
        <is>
          <t>否</t>
        </is>
      </c>
      <c r="O1550" t="inlineStr">
        <is>
          <t>缺 PP</t>
        </is>
      </c>
    </row>
    <row r="1551">
      <c r="A1551" s="7" t="inlineStr">
        <is>
          <t>2013-12-02</t>
        </is>
      </c>
      <c r="B1551" s="8" t="n"/>
      <c r="C1551" s="8" t="n"/>
      <c r="D1551" s="8" t="n"/>
      <c r="E1551" s="8" t="n"/>
      <c r="F1551" s="8" t="n"/>
      <c r="G1551" s="8" t="n"/>
      <c r="H1551" s="8" t="n">
        <v>11240</v>
      </c>
      <c r="I1551" s="8" t="n">
        <v>11190</v>
      </c>
      <c r="J1551" s="8" t="n">
        <v>11245</v>
      </c>
      <c r="K1551" s="8" t="n">
        <v>11155</v>
      </c>
      <c r="L1551" s="8" t="n">
        <v>451026</v>
      </c>
      <c r="M1551" s="8" t="n">
        <v>407122</v>
      </c>
      <c r="N1551" s="9" t="inlineStr">
        <is>
          <t>否</t>
        </is>
      </c>
      <c r="O1551" t="inlineStr">
        <is>
          <t>缺 PP</t>
        </is>
      </c>
    </row>
    <row r="1552">
      <c r="A1552" s="7" t="inlineStr">
        <is>
          <t>2013-12-03</t>
        </is>
      </c>
      <c r="B1552" s="8" t="n"/>
      <c r="C1552" s="8" t="n"/>
      <c r="D1552" s="8" t="n"/>
      <c r="E1552" s="8" t="n"/>
      <c r="F1552" s="8" t="n"/>
      <c r="G1552" s="8" t="n"/>
      <c r="H1552" s="8" t="n">
        <v>11225</v>
      </c>
      <c r="I1552" s="8" t="n">
        <v>11250</v>
      </c>
      <c r="J1552" s="8" t="n">
        <v>11260</v>
      </c>
      <c r="K1552" s="8" t="n">
        <v>11170</v>
      </c>
      <c r="L1552" s="8" t="n">
        <v>430944</v>
      </c>
      <c r="M1552" s="8" t="n">
        <v>389688</v>
      </c>
      <c r="N1552" s="9" t="inlineStr">
        <is>
          <t>否</t>
        </is>
      </c>
      <c r="O1552" t="inlineStr">
        <is>
          <t>缺 PP</t>
        </is>
      </c>
    </row>
    <row r="1553">
      <c r="A1553" s="7" t="inlineStr">
        <is>
          <t>2013-12-04</t>
        </is>
      </c>
      <c r="B1553" s="8" t="n"/>
      <c r="C1553" s="8" t="n"/>
      <c r="D1553" s="8" t="n"/>
      <c r="E1553" s="8" t="n"/>
      <c r="F1553" s="8" t="n"/>
      <c r="G1553" s="8" t="n"/>
      <c r="H1553" s="8" t="n">
        <v>11300</v>
      </c>
      <c r="I1553" s="8" t="n">
        <v>11260</v>
      </c>
      <c r="J1553" s="8" t="n">
        <v>11315</v>
      </c>
      <c r="K1553" s="8" t="n">
        <v>11225</v>
      </c>
      <c r="L1553" s="8" t="n">
        <v>478456</v>
      </c>
      <c r="M1553" s="8" t="n">
        <v>416056</v>
      </c>
      <c r="N1553" s="9" t="inlineStr">
        <is>
          <t>否</t>
        </is>
      </c>
      <c r="O1553" t="inlineStr">
        <is>
          <t>缺 PP</t>
        </is>
      </c>
    </row>
    <row r="1554">
      <c r="A1554" s="7" t="inlineStr">
        <is>
          <t>2013-12-05</t>
        </is>
      </c>
      <c r="B1554" s="8" t="n"/>
      <c r="C1554" s="8" t="n"/>
      <c r="D1554" s="8" t="n"/>
      <c r="E1554" s="8" t="n"/>
      <c r="F1554" s="8" t="n"/>
      <c r="G1554" s="8" t="n"/>
      <c r="H1554" s="8" t="n">
        <v>11275</v>
      </c>
      <c r="I1554" s="8" t="n">
        <v>11305</v>
      </c>
      <c r="J1554" s="8" t="n">
        <v>11310</v>
      </c>
      <c r="K1554" s="8" t="n">
        <v>11265</v>
      </c>
      <c r="L1554" s="8" t="n">
        <v>227156</v>
      </c>
      <c r="M1554" s="8" t="n">
        <v>395800</v>
      </c>
      <c r="N1554" s="9" t="inlineStr">
        <is>
          <t>否</t>
        </is>
      </c>
      <c r="O1554" t="inlineStr">
        <is>
          <t>缺 PP</t>
        </is>
      </c>
    </row>
    <row r="1555">
      <c r="A1555" s="7" t="inlineStr">
        <is>
          <t>2013-12-06</t>
        </is>
      </c>
      <c r="B1555" s="8" t="n"/>
      <c r="C1555" s="8" t="n"/>
      <c r="D1555" s="8" t="n"/>
      <c r="E1555" s="8" t="n"/>
      <c r="F1555" s="8" t="n"/>
      <c r="G1555" s="8" t="n"/>
      <c r="H1555" s="8" t="n">
        <v>11295</v>
      </c>
      <c r="I1555" s="8" t="n">
        <v>11280</v>
      </c>
      <c r="J1555" s="8" t="n">
        <v>11295</v>
      </c>
      <c r="K1555" s="8" t="n">
        <v>11210</v>
      </c>
      <c r="L1555" s="8" t="n">
        <v>321512</v>
      </c>
      <c r="M1555" s="8" t="n">
        <v>384988</v>
      </c>
      <c r="N1555" s="9" t="inlineStr">
        <is>
          <t>否</t>
        </is>
      </c>
      <c r="O1555" t="inlineStr">
        <is>
          <t>缺 PP</t>
        </is>
      </c>
    </row>
    <row r="1556">
      <c r="A1556" s="7" t="inlineStr">
        <is>
          <t>2013-12-09</t>
        </is>
      </c>
      <c r="B1556" s="8" t="n"/>
      <c r="C1556" s="8" t="n"/>
      <c r="D1556" s="8" t="n"/>
      <c r="E1556" s="8" t="n"/>
      <c r="F1556" s="8" t="n"/>
      <c r="G1556" s="8" t="n"/>
      <c r="H1556" s="8" t="n">
        <v>11360</v>
      </c>
      <c r="I1556" s="8" t="n">
        <v>11295</v>
      </c>
      <c r="J1556" s="8" t="n">
        <v>11365</v>
      </c>
      <c r="K1556" s="8" t="n">
        <v>11285</v>
      </c>
      <c r="L1556" s="8" t="n">
        <v>344272</v>
      </c>
      <c r="M1556" s="8" t="n">
        <v>417014</v>
      </c>
      <c r="N1556" s="9" t="inlineStr">
        <is>
          <t>否</t>
        </is>
      </c>
      <c r="O1556" t="inlineStr">
        <is>
          <t>缺 PP</t>
        </is>
      </c>
    </row>
    <row r="1557">
      <c r="A1557" s="7" t="inlineStr">
        <is>
          <t>2013-12-10</t>
        </is>
      </c>
      <c r="B1557" s="8" t="n"/>
      <c r="C1557" s="8" t="n"/>
      <c r="D1557" s="8" t="n"/>
      <c r="E1557" s="8" t="n"/>
      <c r="F1557" s="8" t="n"/>
      <c r="G1557" s="8" t="n"/>
      <c r="H1557" s="8" t="n">
        <v>11280</v>
      </c>
      <c r="I1557" s="8" t="n">
        <v>11355</v>
      </c>
      <c r="J1557" s="8" t="n">
        <v>11355</v>
      </c>
      <c r="K1557" s="8" t="n">
        <v>11250</v>
      </c>
      <c r="L1557" s="8" t="n">
        <v>301150</v>
      </c>
      <c r="M1557" s="8" t="n">
        <v>384508</v>
      </c>
      <c r="N1557" s="9" t="inlineStr">
        <is>
          <t>否</t>
        </is>
      </c>
      <c r="O1557" t="inlineStr">
        <is>
          <t>缺 PP</t>
        </is>
      </c>
    </row>
    <row r="1558">
      <c r="A1558" s="7" t="inlineStr">
        <is>
          <t>2013-12-11</t>
        </is>
      </c>
      <c r="B1558" s="8" t="n"/>
      <c r="C1558" s="8" t="n"/>
      <c r="D1558" s="8" t="n"/>
      <c r="E1558" s="8" t="n"/>
      <c r="F1558" s="8" t="n"/>
      <c r="G1558" s="8" t="n"/>
      <c r="H1558" s="8" t="n">
        <v>11190</v>
      </c>
      <c r="I1558" s="8" t="n">
        <v>11300</v>
      </c>
      <c r="J1558" s="8" t="n">
        <v>11300</v>
      </c>
      <c r="K1558" s="8" t="n">
        <v>11175</v>
      </c>
      <c r="L1558" s="8" t="n">
        <v>267980</v>
      </c>
      <c r="M1558" s="8" t="n">
        <v>366496</v>
      </c>
      <c r="N1558" s="9" t="inlineStr">
        <is>
          <t>否</t>
        </is>
      </c>
      <c r="O1558" t="inlineStr">
        <is>
          <t>缺 PP</t>
        </is>
      </c>
    </row>
    <row r="1559">
      <c r="A1559" s="7" t="inlineStr">
        <is>
          <t>2013-12-12</t>
        </is>
      </c>
      <c r="B1559" s="8" t="n"/>
      <c r="C1559" s="8" t="n"/>
      <c r="D1559" s="8" t="n"/>
      <c r="E1559" s="8" t="n"/>
      <c r="F1559" s="8" t="n"/>
      <c r="G1559" s="8" t="n"/>
      <c r="H1559" s="8" t="n">
        <v>11190</v>
      </c>
      <c r="I1559" s="8" t="n">
        <v>11180</v>
      </c>
      <c r="J1559" s="8" t="n">
        <v>11225</v>
      </c>
      <c r="K1559" s="8" t="n">
        <v>11145</v>
      </c>
      <c r="L1559" s="8" t="n">
        <v>247224</v>
      </c>
      <c r="M1559" s="8" t="n">
        <v>357686</v>
      </c>
      <c r="N1559" s="9" t="inlineStr">
        <is>
          <t>否</t>
        </is>
      </c>
      <c r="O1559" t="inlineStr">
        <is>
          <t>缺 PP</t>
        </is>
      </c>
    </row>
    <row r="1560">
      <c r="A1560" s="7" t="inlineStr">
        <is>
          <t>2013-12-13</t>
        </is>
      </c>
      <c r="B1560" s="8" t="n"/>
      <c r="C1560" s="8" t="n"/>
      <c r="D1560" s="8" t="n"/>
      <c r="E1560" s="8" t="n"/>
      <c r="F1560" s="8" t="n"/>
      <c r="G1560" s="8" t="n"/>
      <c r="H1560" s="8" t="n">
        <v>11205</v>
      </c>
      <c r="I1560" s="8" t="n">
        <v>11170</v>
      </c>
      <c r="J1560" s="8" t="n">
        <v>11225</v>
      </c>
      <c r="K1560" s="8" t="n">
        <v>11130</v>
      </c>
      <c r="L1560" s="8" t="n">
        <v>374484</v>
      </c>
      <c r="M1560" s="8" t="n">
        <v>358720</v>
      </c>
      <c r="N1560" s="9" t="inlineStr">
        <is>
          <t>否</t>
        </is>
      </c>
      <c r="O1560" t="inlineStr">
        <is>
          <t>缺 PP</t>
        </is>
      </c>
    </row>
    <row r="1561">
      <c r="A1561" s="7" t="inlineStr">
        <is>
          <t>2013-12-16</t>
        </is>
      </c>
      <c r="B1561" s="8" t="n"/>
      <c r="C1561" s="8" t="n"/>
      <c r="D1561" s="8" t="n"/>
      <c r="E1561" s="8" t="n"/>
      <c r="F1561" s="8" t="n"/>
      <c r="G1561" s="8" t="n"/>
      <c r="H1561" s="8" t="n">
        <v>11135</v>
      </c>
      <c r="I1561" s="8" t="n">
        <v>11210</v>
      </c>
      <c r="J1561" s="8" t="n">
        <v>11215</v>
      </c>
      <c r="K1561" s="8" t="n">
        <v>11105</v>
      </c>
      <c r="L1561" s="8" t="n">
        <v>355726</v>
      </c>
      <c r="M1561" s="8" t="n">
        <v>348828</v>
      </c>
      <c r="N1561" s="9" t="inlineStr">
        <is>
          <t>否</t>
        </is>
      </c>
      <c r="O1561" t="inlineStr">
        <is>
          <t>缺 PP</t>
        </is>
      </c>
    </row>
    <row r="1562">
      <c r="A1562" s="7" t="inlineStr">
        <is>
          <t>2013-12-17</t>
        </is>
      </c>
      <c r="B1562" s="8" t="n"/>
      <c r="C1562" s="8" t="n"/>
      <c r="D1562" s="8" t="n"/>
      <c r="E1562" s="8" t="n"/>
      <c r="F1562" s="8" t="n"/>
      <c r="G1562" s="8" t="n"/>
      <c r="H1562" s="8" t="n">
        <v>11175</v>
      </c>
      <c r="I1562" s="8" t="n">
        <v>11150</v>
      </c>
      <c r="J1562" s="8" t="n">
        <v>11235</v>
      </c>
      <c r="K1562" s="8" t="n">
        <v>11130</v>
      </c>
      <c r="L1562" s="8" t="n">
        <v>430402</v>
      </c>
      <c r="M1562" s="8" t="n">
        <v>345008</v>
      </c>
      <c r="N1562" s="9" t="inlineStr">
        <is>
          <t>否</t>
        </is>
      </c>
      <c r="O1562" t="inlineStr">
        <is>
          <t>缺 PP</t>
        </is>
      </c>
    </row>
    <row r="1563">
      <c r="A1563" s="7" t="inlineStr">
        <is>
          <t>2013-12-18</t>
        </is>
      </c>
      <c r="B1563" s="8" t="n"/>
      <c r="C1563" s="8" t="n"/>
      <c r="D1563" s="8" t="n"/>
      <c r="E1563" s="8" t="n"/>
      <c r="F1563" s="8" t="n"/>
      <c r="G1563" s="8" t="n"/>
      <c r="H1563" s="8" t="n">
        <v>11070</v>
      </c>
      <c r="I1563" s="8" t="n">
        <v>11185</v>
      </c>
      <c r="J1563" s="8" t="n">
        <v>11190</v>
      </c>
      <c r="K1563" s="8" t="n">
        <v>11050</v>
      </c>
      <c r="L1563" s="8" t="n">
        <v>406064</v>
      </c>
      <c r="M1563" s="8" t="n">
        <v>324762</v>
      </c>
      <c r="N1563" s="9" t="inlineStr">
        <is>
          <t>否</t>
        </is>
      </c>
      <c r="O1563" t="inlineStr">
        <is>
          <t>缺 PP</t>
        </is>
      </c>
    </row>
    <row r="1564">
      <c r="A1564" s="7" t="inlineStr">
        <is>
          <t>2013-12-19</t>
        </is>
      </c>
      <c r="B1564" s="8" t="n"/>
      <c r="C1564" s="8" t="n"/>
      <c r="D1564" s="8" t="n"/>
      <c r="E1564" s="8" t="n"/>
      <c r="F1564" s="8" t="n"/>
      <c r="G1564" s="8" t="n"/>
      <c r="H1564" s="8" t="n">
        <v>11005</v>
      </c>
      <c r="I1564" s="8" t="n">
        <v>11065</v>
      </c>
      <c r="J1564" s="8" t="n">
        <v>11095</v>
      </c>
      <c r="K1564" s="8" t="n">
        <v>11005</v>
      </c>
      <c r="L1564" s="8" t="n">
        <v>317116</v>
      </c>
      <c r="M1564" s="8" t="n">
        <v>314220</v>
      </c>
      <c r="N1564" s="9" t="inlineStr">
        <is>
          <t>否</t>
        </is>
      </c>
      <c r="O1564" t="inlineStr">
        <is>
          <t>缺 PP</t>
        </is>
      </c>
    </row>
    <row r="1565">
      <c r="A1565" s="7" t="inlineStr">
        <is>
          <t>2013-12-20</t>
        </is>
      </c>
      <c r="B1565" s="8" t="n"/>
      <c r="C1565" s="8" t="n"/>
      <c r="D1565" s="8" t="n"/>
      <c r="E1565" s="8" t="n"/>
      <c r="F1565" s="8" t="n"/>
      <c r="G1565" s="8" t="n"/>
      <c r="H1565" s="8" t="n">
        <v>11070</v>
      </c>
      <c r="I1565" s="8" t="n">
        <v>11030</v>
      </c>
      <c r="J1565" s="8" t="n">
        <v>11085</v>
      </c>
      <c r="K1565" s="8" t="n">
        <v>10985</v>
      </c>
      <c r="L1565" s="8" t="n">
        <v>308446</v>
      </c>
      <c r="M1565" s="8" t="n">
        <v>305282</v>
      </c>
      <c r="N1565" s="9" t="inlineStr">
        <is>
          <t>否</t>
        </is>
      </c>
      <c r="O1565" t="inlineStr">
        <is>
          <t>缺 PP</t>
        </is>
      </c>
    </row>
    <row r="1566">
      <c r="A1566" s="7" t="inlineStr">
        <is>
          <t>2013-12-23</t>
        </is>
      </c>
      <c r="B1566" s="8" t="n"/>
      <c r="C1566" s="8" t="n"/>
      <c r="D1566" s="8" t="n"/>
      <c r="E1566" s="8" t="n"/>
      <c r="F1566" s="8" t="n"/>
      <c r="G1566" s="8" t="n"/>
      <c r="H1566" s="8" t="n">
        <v>11010</v>
      </c>
      <c r="I1566" s="8" t="n">
        <v>11090</v>
      </c>
      <c r="J1566" s="8" t="n">
        <v>11105</v>
      </c>
      <c r="K1566" s="8" t="n">
        <v>11005</v>
      </c>
      <c r="L1566" s="8" t="n">
        <v>305732</v>
      </c>
      <c r="M1566" s="8" t="n">
        <v>292798</v>
      </c>
      <c r="N1566" s="9" t="inlineStr">
        <is>
          <t>否</t>
        </is>
      </c>
      <c r="O1566" t="inlineStr">
        <is>
          <t>缺 PP</t>
        </is>
      </c>
    </row>
    <row r="1567">
      <c r="A1567" s="7" t="inlineStr">
        <is>
          <t>2013-12-24</t>
        </is>
      </c>
      <c r="B1567" s="8" t="n"/>
      <c r="C1567" s="8" t="n"/>
      <c r="D1567" s="8" t="n"/>
      <c r="E1567" s="8" t="n"/>
      <c r="F1567" s="8" t="n"/>
      <c r="G1567" s="8" t="n"/>
      <c r="H1567" s="8" t="n">
        <v>10960</v>
      </c>
      <c r="I1567" s="8" t="n">
        <v>11010</v>
      </c>
      <c r="J1567" s="8" t="n">
        <v>11015</v>
      </c>
      <c r="K1567" s="8" t="n">
        <v>10895</v>
      </c>
      <c r="L1567" s="8" t="n">
        <v>413502</v>
      </c>
      <c r="M1567" s="8" t="n">
        <v>328824</v>
      </c>
      <c r="N1567" s="9" t="inlineStr">
        <is>
          <t>否</t>
        </is>
      </c>
      <c r="O1567" t="inlineStr">
        <is>
          <t>缺 PP</t>
        </is>
      </c>
    </row>
    <row r="1568">
      <c r="A1568" s="7" t="inlineStr">
        <is>
          <t>2013-12-25</t>
        </is>
      </c>
      <c r="B1568" s="8" t="n"/>
      <c r="C1568" s="8" t="n"/>
      <c r="D1568" s="8" t="n"/>
      <c r="E1568" s="8" t="n"/>
      <c r="F1568" s="8" t="n"/>
      <c r="G1568" s="8" t="n"/>
      <c r="H1568" s="8" t="n">
        <v>11100</v>
      </c>
      <c r="I1568" s="8" t="n">
        <v>10980</v>
      </c>
      <c r="J1568" s="8" t="n">
        <v>11105</v>
      </c>
      <c r="K1568" s="8" t="n">
        <v>10970</v>
      </c>
      <c r="L1568" s="8" t="n">
        <v>420920</v>
      </c>
      <c r="M1568" s="8" t="n">
        <v>299580</v>
      </c>
      <c r="N1568" s="9" t="inlineStr">
        <is>
          <t>否</t>
        </is>
      </c>
      <c r="O1568" t="inlineStr">
        <is>
          <t>缺 PP</t>
        </is>
      </c>
    </row>
    <row r="1569">
      <c r="A1569" s="7" t="inlineStr">
        <is>
          <t>2013-12-26</t>
        </is>
      </c>
      <c r="B1569" s="8" t="n"/>
      <c r="C1569" s="8" t="n"/>
      <c r="D1569" s="8" t="n"/>
      <c r="E1569" s="8" t="n"/>
      <c r="F1569" s="8" t="n"/>
      <c r="G1569" s="8" t="n"/>
      <c r="H1569" s="8" t="n">
        <v>11180</v>
      </c>
      <c r="I1569" s="8" t="n">
        <v>11100</v>
      </c>
      <c r="J1569" s="8" t="n">
        <v>11185</v>
      </c>
      <c r="K1569" s="8" t="n">
        <v>11090</v>
      </c>
      <c r="L1569" s="8" t="n">
        <v>354640</v>
      </c>
      <c r="M1569" s="8" t="n">
        <v>309226</v>
      </c>
      <c r="N1569" s="9" t="inlineStr">
        <is>
          <t>否</t>
        </is>
      </c>
      <c r="O1569" t="inlineStr">
        <is>
          <t>缺 PP</t>
        </is>
      </c>
    </row>
    <row r="1570">
      <c r="A1570" s="7" t="inlineStr">
        <is>
          <t>2013-12-27</t>
        </is>
      </c>
      <c r="B1570" s="8" t="n"/>
      <c r="C1570" s="8" t="n"/>
      <c r="D1570" s="8" t="n"/>
      <c r="E1570" s="8" t="n"/>
      <c r="F1570" s="8" t="n"/>
      <c r="G1570" s="8" t="n"/>
      <c r="H1570" s="8" t="n">
        <v>11200</v>
      </c>
      <c r="I1570" s="8" t="n">
        <v>11180</v>
      </c>
      <c r="J1570" s="8" t="n">
        <v>11200</v>
      </c>
      <c r="K1570" s="8" t="n">
        <v>11120</v>
      </c>
      <c r="L1570" s="8" t="n">
        <v>296994</v>
      </c>
      <c r="M1570" s="8" t="n">
        <v>281992</v>
      </c>
      <c r="N1570" s="9" t="inlineStr">
        <is>
          <t>否</t>
        </is>
      </c>
      <c r="O1570" t="inlineStr">
        <is>
          <t>缺 PP</t>
        </is>
      </c>
    </row>
    <row r="1571">
      <c r="A1571" s="7" t="inlineStr">
        <is>
          <t>2013-12-30</t>
        </is>
      </c>
      <c r="B1571" s="8" t="n"/>
      <c r="C1571" s="8" t="n"/>
      <c r="D1571" s="8" t="n"/>
      <c r="E1571" s="8" t="n"/>
      <c r="F1571" s="8" t="n"/>
      <c r="G1571" s="8" t="n"/>
      <c r="H1571" s="8" t="n">
        <v>11205</v>
      </c>
      <c r="I1571" s="8" t="n">
        <v>11205</v>
      </c>
      <c r="J1571" s="8" t="n">
        <v>11235</v>
      </c>
      <c r="K1571" s="8" t="n">
        <v>11150</v>
      </c>
      <c r="L1571" s="8" t="n">
        <v>285606</v>
      </c>
      <c r="M1571" s="8" t="n">
        <v>278208</v>
      </c>
      <c r="N1571" s="9" t="inlineStr">
        <is>
          <t>否</t>
        </is>
      </c>
      <c r="O1571" t="inlineStr">
        <is>
          <t>缺 PP</t>
        </is>
      </c>
    </row>
    <row r="1572">
      <c r="A1572" s="7" t="inlineStr">
        <is>
          <t>2013-12-31</t>
        </is>
      </c>
      <c r="B1572" s="8" t="n"/>
      <c r="C1572" s="8" t="n"/>
      <c r="D1572" s="8" t="n"/>
      <c r="E1572" s="8" t="n"/>
      <c r="F1572" s="8" t="n"/>
      <c r="G1572" s="8" t="n"/>
      <c r="H1572" s="8" t="n">
        <v>11100</v>
      </c>
      <c r="I1572" s="8" t="n">
        <v>11190</v>
      </c>
      <c r="J1572" s="8" t="n">
        <v>11210</v>
      </c>
      <c r="K1572" s="8" t="n">
        <v>11100</v>
      </c>
      <c r="L1572" s="8" t="n">
        <v>303708</v>
      </c>
      <c r="M1572" s="8" t="n">
        <v>276784</v>
      </c>
      <c r="N1572" s="9" t="inlineStr">
        <is>
          <t>否</t>
        </is>
      </c>
      <c r="O1572" t="inlineStr">
        <is>
          <t>缺 PP</t>
        </is>
      </c>
    </row>
    <row r="1573">
      <c r="A1573" s="7" t="inlineStr">
        <is>
          <t>2014-01-02</t>
        </is>
      </c>
      <c r="B1573" s="8" t="n"/>
      <c r="C1573" s="8" t="n"/>
      <c r="D1573" s="8" t="n"/>
      <c r="E1573" s="8" t="n"/>
      <c r="F1573" s="8" t="n"/>
      <c r="G1573" s="8" t="n"/>
      <c r="H1573" s="8" t="n">
        <v>11095</v>
      </c>
      <c r="I1573" s="8" t="n">
        <v>11080</v>
      </c>
      <c r="J1573" s="8" t="n">
        <v>11095</v>
      </c>
      <c r="K1573" s="8" t="n">
        <v>11015</v>
      </c>
      <c r="L1573" s="8" t="n">
        <v>312716</v>
      </c>
      <c r="M1573" s="8" t="n">
        <v>296964</v>
      </c>
      <c r="N1573" s="9" t="inlineStr">
        <is>
          <t>否</t>
        </is>
      </c>
      <c r="O1573" t="inlineStr">
        <is>
          <t>缺 PP</t>
        </is>
      </c>
    </row>
    <row r="1574">
      <c r="A1574" s="7" t="inlineStr">
        <is>
          <t>2014-01-03</t>
        </is>
      </c>
      <c r="B1574" s="8" t="n"/>
      <c r="C1574" s="8" t="n"/>
      <c r="D1574" s="8" t="n"/>
      <c r="E1574" s="8" t="n"/>
      <c r="F1574" s="8" t="n"/>
      <c r="G1574" s="8" t="n"/>
      <c r="H1574" s="8" t="n">
        <v>11070</v>
      </c>
      <c r="I1574" s="8" t="n">
        <v>11020</v>
      </c>
      <c r="J1574" s="8" t="n">
        <v>11085</v>
      </c>
      <c r="K1574" s="8" t="n">
        <v>10980</v>
      </c>
      <c r="L1574" s="8" t="n">
        <v>509252</v>
      </c>
      <c r="M1574" s="8" t="n">
        <v>333672</v>
      </c>
      <c r="N1574" s="9" t="inlineStr">
        <is>
          <t>否</t>
        </is>
      </c>
      <c r="O1574" t="inlineStr">
        <is>
          <t>缺 PP</t>
        </is>
      </c>
    </row>
    <row r="1575">
      <c r="A1575" s="7" t="inlineStr">
        <is>
          <t>2014-01-06</t>
        </is>
      </c>
      <c r="B1575" s="8" t="n"/>
      <c r="C1575" s="8" t="n"/>
      <c r="D1575" s="8" t="n"/>
      <c r="E1575" s="8" t="n"/>
      <c r="F1575" s="8" t="n"/>
      <c r="G1575" s="8" t="n"/>
      <c r="H1575" s="8" t="n">
        <v>11050</v>
      </c>
      <c r="I1575" s="8" t="n">
        <v>11050</v>
      </c>
      <c r="J1575" s="8" t="n">
        <v>11085</v>
      </c>
      <c r="K1575" s="8" t="n">
        <v>11000</v>
      </c>
      <c r="L1575" s="8" t="n">
        <v>463416</v>
      </c>
      <c r="M1575" s="8" t="n">
        <v>358794</v>
      </c>
      <c r="N1575" s="9" t="inlineStr">
        <is>
          <t>否</t>
        </is>
      </c>
      <c r="O1575" t="inlineStr">
        <is>
          <t>缺 PP</t>
        </is>
      </c>
    </row>
    <row r="1576">
      <c r="A1576" s="7" t="inlineStr">
        <is>
          <t>2014-01-07</t>
        </is>
      </c>
      <c r="B1576" s="8" t="n"/>
      <c r="C1576" s="8" t="n"/>
      <c r="D1576" s="8" t="n"/>
      <c r="E1576" s="8" t="n"/>
      <c r="F1576" s="8" t="n"/>
      <c r="G1576" s="8" t="n"/>
      <c r="H1576" s="8" t="n">
        <v>10945</v>
      </c>
      <c r="I1576" s="8" t="n">
        <v>11060</v>
      </c>
      <c r="J1576" s="8" t="n">
        <v>11060</v>
      </c>
      <c r="K1576" s="8" t="n">
        <v>10915</v>
      </c>
      <c r="L1576" s="8" t="n">
        <v>571064</v>
      </c>
      <c r="M1576" s="8" t="n">
        <v>403602</v>
      </c>
      <c r="N1576" s="9" t="inlineStr">
        <is>
          <t>否</t>
        </is>
      </c>
      <c r="O1576" t="inlineStr">
        <is>
          <t>缺 PP</t>
        </is>
      </c>
    </row>
    <row r="1577">
      <c r="A1577" s="7" t="inlineStr">
        <is>
          <t>2014-01-08</t>
        </is>
      </c>
      <c r="B1577" s="8" t="n"/>
      <c r="C1577" s="8" t="n"/>
      <c r="D1577" s="8" t="n"/>
      <c r="E1577" s="8" t="n"/>
      <c r="F1577" s="8" t="n"/>
      <c r="G1577" s="8" t="n"/>
      <c r="H1577" s="8" t="n">
        <v>10960</v>
      </c>
      <c r="I1577" s="8" t="n">
        <v>10960</v>
      </c>
      <c r="J1577" s="8" t="n">
        <v>10990</v>
      </c>
      <c r="K1577" s="8" t="n">
        <v>10880</v>
      </c>
      <c r="L1577" s="8" t="n">
        <v>435354</v>
      </c>
      <c r="M1577" s="8" t="n">
        <v>399356</v>
      </c>
      <c r="N1577" s="9" t="inlineStr">
        <is>
          <t>否</t>
        </is>
      </c>
      <c r="O1577" t="inlineStr">
        <is>
          <t>缺 PP</t>
        </is>
      </c>
    </row>
    <row r="1578">
      <c r="A1578" s="7" t="inlineStr">
        <is>
          <t>2014-01-09</t>
        </is>
      </c>
      <c r="B1578" s="8" t="n"/>
      <c r="C1578" s="8" t="n"/>
      <c r="D1578" s="8" t="n"/>
      <c r="E1578" s="8" t="n"/>
      <c r="F1578" s="8" t="n"/>
      <c r="G1578" s="8" t="n"/>
      <c r="H1578" s="8" t="n">
        <v>11130</v>
      </c>
      <c r="I1578" s="8" t="n">
        <v>10930</v>
      </c>
      <c r="J1578" s="8" t="n">
        <v>11375</v>
      </c>
      <c r="K1578" s="8" t="n">
        <v>10905</v>
      </c>
      <c r="L1578" s="8" t="n">
        <v>831628</v>
      </c>
      <c r="M1578" s="8" t="n">
        <v>337344</v>
      </c>
      <c r="N1578" s="9" t="inlineStr">
        <is>
          <t>否</t>
        </is>
      </c>
      <c r="O1578" t="inlineStr">
        <is>
          <t>缺 PP</t>
        </is>
      </c>
    </row>
    <row r="1579">
      <c r="A1579" s="7" t="inlineStr">
        <is>
          <t>2014-01-10</t>
        </is>
      </c>
      <c r="B1579" s="8" t="n"/>
      <c r="C1579" s="8" t="n"/>
      <c r="D1579" s="8" t="n"/>
      <c r="E1579" s="8" t="n"/>
      <c r="F1579" s="8" t="n"/>
      <c r="G1579" s="8" t="n"/>
      <c r="H1579" s="8" t="n">
        <v>10965</v>
      </c>
      <c r="I1579" s="8" t="n">
        <v>11100</v>
      </c>
      <c r="J1579" s="8" t="n">
        <v>11125</v>
      </c>
      <c r="K1579" s="8" t="n">
        <v>10945</v>
      </c>
      <c r="L1579" s="8" t="n">
        <v>531594</v>
      </c>
      <c r="M1579" s="8" t="n">
        <v>332872</v>
      </c>
      <c r="N1579" s="9" t="inlineStr">
        <is>
          <t>否</t>
        </is>
      </c>
      <c r="O1579" t="inlineStr">
        <is>
          <t>缺 PP</t>
        </is>
      </c>
    </row>
    <row r="1580">
      <c r="A1580" s="7" t="inlineStr">
        <is>
          <t>2014-01-13</t>
        </is>
      </c>
      <c r="B1580" s="8" t="n"/>
      <c r="C1580" s="8" t="n"/>
      <c r="D1580" s="8" t="n"/>
      <c r="E1580" s="8" t="n"/>
      <c r="F1580" s="8" t="n"/>
      <c r="G1580" s="8" t="n"/>
      <c r="H1580" s="8" t="n">
        <v>10860</v>
      </c>
      <c r="I1580" s="8" t="n">
        <v>10975</v>
      </c>
      <c r="J1580" s="8" t="n">
        <v>10995</v>
      </c>
      <c r="K1580" s="8" t="n">
        <v>10855</v>
      </c>
      <c r="L1580" s="8" t="n">
        <v>487656</v>
      </c>
      <c r="M1580" s="8" t="n">
        <v>377012</v>
      </c>
      <c r="N1580" s="9" t="inlineStr">
        <is>
          <t>否</t>
        </is>
      </c>
      <c r="O1580" t="inlineStr">
        <is>
          <t>缺 PP</t>
        </is>
      </c>
    </row>
    <row r="1581">
      <c r="A1581" s="7" t="inlineStr">
        <is>
          <t>2014-01-14</t>
        </is>
      </c>
      <c r="B1581" s="8" t="n"/>
      <c r="C1581" s="8" t="n"/>
      <c r="D1581" s="8" t="n"/>
      <c r="E1581" s="8" t="n"/>
      <c r="F1581" s="8" t="n"/>
      <c r="G1581" s="8" t="n"/>
      <c r="H1581" s="8" t="n">
        <v>10990</v>
      </c>
      <c r="I1581" s="8" t="n">
        <v>10845</v>
      </c>
      <c r="J1581" s="8" t="n">
        <v>10990</v>
      </c>
      <c r="K1581" s="8" t="n">
        <v>10835</v>
      </c>
      <c r="L1581" s="8" t="n">
        <v>537716</v>
      </c>
      <c r="M1581" s="8" t="n">
        <v>374934</v>
      </c>
      <c r="N1581" s="9" t="inlineStr">
        <is>
          <t>否</t>
        </is>
      </c>
      <c r="O1581" t="inlineStr">
        <is>
          <t>缺 PP</t>
        </is>
      </c>
    </row>
    <row r="1582">
      <c r="A1582" s="7" t="inlineStr">
        <is>
          <t>2014-01-15</t>
        </is>
      </c>
      <c r="B1582" s="8" t="n"/>
      <c r="C1582" s="8" t="n"/>
      <c r="D1582" s="8" t="n"/>
      <c r="E1582" s="8" t="n"/>
      <c r="F1582" s="8" t="n"/>
      <c r="G1582" s="8" t="n"/>
      <c r="H1582" s="8" t="n">
        <v>11030</v>
      </c>
      <c r="I1582" s="8" t="n">
        <v>10990</v>
      </c>
      <c r="J1582" s="8" t="n">
        <v>11045</v>
      </c>
      <c r="K1582" s="8" t="n">
        <v>10945</v>
      </c>
      <c r="L1582" s="8" t="n">
        <v>372360</v>
      </c>
      <c r="M1582" s="8" t="n">
        <v>368424</v>
      </c>
      <c r="N1582" s="9" t="inlineStr">
        <is>
          <t>否</t>
        </is>
      </c>
      <c r="O1582" t="inlineStr">
        <is>
          <t>缺 PP</t>
        </is>
      </c>
    </row>
    <row r="1583">
      <c r="A1583" s="7" t="inlineStr">
        <is>
          <t>2014-01-17</t>
        </is>
      </c>
      <c r="B1583" s="8" t="n"/>
      <c r="C1583" s="8" t="n"/>
      <c r="D1583" s="8" t="n"/>
      <c r="E1583" s="8" t="n"/>
      <c r="F1583" s="8" t="n"/>
      <c r="G1583" s="8" t="n"/>
      <c r="H1583" s="8" t="n">
        <v>11060</v>
      </c>
      <c r="I1583" s="8" t="n">
        <v>11040</v>
      </c>
      <c r="J1583" s="8" t="n">
        <v>11080</v>
      </c>
      <c r="K1583" s="8" t="n">
        <v>10950</v>
      </c>
      <c r="L1583" s="8" t="n">
        <v>348636</v>
      </c>
      <c r="M1583" s="8" t="n">
        <v>356800</v>
      </c>
      <c r="N1583" s="9" t="inlineStr">
        <is>
          <t>否</t>
        </is>
      </c>
      <c r="O1583" t="inlineStr">
        <is>
          <t>缺 PP</t>
        </is>
      </c>
    </row>
    <row r="1584">
      <c r="A1584" s="7" t="inlineStr">
        <is>
          <t>2014-01-20</t>
        </is>
      </c>
      <c r="B1584" s="8" t="n"/>
      <c r="C1584" s="8" t="n"/>
      <c r="D1584" s="8" t="n"/>
      <c r="E1584" s="8" t="n"/>
      <c r="F1584" s="8" t="n"/>
      <c r="G1584" s="8" t="n"/>
      <c r="H1584" s="8" t="n">
        <v>11110</v>
      </c>
      <c r="I1584" s="8" t="n">
        <v>11055</v>
      </c>
      <c r="J1584" s="8" t="n">
        <v>11150</v>
      </c>
      <c r="K1584" s="8" t="n">
        <v>11045</v>
      </c>
      <c r="L1584" s="8" t="n">
        <v>320456</v>
      </c>
      <c r="M1584" s="8" t="n">
        <v>369478</v>
      </c>
      <c r="N1584" s="9" t="inlineStr">
        <is>
          <t>否</t>
        </is>
      </c>
      <c r="O1584" t="inlineStr">
        <is>
          <t>缺 PP</t>
        </is>
      </c>
    </row>
    <row r="1585">
      <c r="A1585" s="7" t="inlineStr">
        <is>
          <t>2014-01-21</t>
        </is>
      </c>
      <c r="B1585" s="8" t="n"/>
      <c r="C1585" s="8" t="n"/>
      <c r="D1585" s="8" t="n"/>
      <c r="E1585" s="8" t="n"/>
      <c r="F1585" s="8" t="n"/>
      <c r="G1585" s="8" t="n"/>
      <c r="H1585" s="8" t="n">
        <v>10950</v>
      </c>
      <c r="I1585" s="8" t="n">
        <v>11100</v>
      </c>
      <c r="J1585" s="8" t="n">
        <v>11115</v>
      </c>
      <c r="K1585" s="8" t="n">
        <v>10935</v>
      </c>
      <c r="L1585" s="8" t="n">
        <v>403126</v>
      </c>
      <c r="M1585" s="8" t="n">
        <v>347576</v>
      </c>
      <c r="N1585" s="9" t="inlineStr">
        <is>
          <t>否</t>
        </is>
      </c>
      <c r="O1585" t="inlineStr">
        <is>
          <t>缺 PP</t>
        </is>
      </c>
    </row>
    <row r="1586">
      <c r="A1586" s="7" t="inlineStr">
        <is>
          <t>2014-01-22</t>
        </is>
      </c>
      <c r="B1586" s="8" t="n"/>
      <c r="C1586" s="8" t="n"/>
      <c r="D1586" s="8" t="n"/>
      <c r="E1586" s="8" t="n"/>
      <c r="F1586" s="8" t="n"/>
      <c r="G1586" s="8" t="n"/>
      <c r="H1586" s="8" t="n">
        <v>10940</v>
      </c>
      <c r="I1586" s="8" t="n">
        <v>10955</v>
      </c>
      <c r="J1586" s="8" t="n">
        <v>10980</v>
      </c>
      <c r="K1586" s="8" t="n">
        <v>10880</v>
      </c>
      <c r="L1586" s="8" t="n">
        <v>392330</v>
      </c>
      <c r="M1586" s="8" t="n">
        <v>348808</v>
      </c>
      <c r="N1586" s="9" t="inlineStr">
        <is>
          <t>否</t>
        </is>
      </c>
      <c r="O1586" t="inlineStr">
        <is>
          <t>缺 PP</t>
        </is>
      </c>
    </row>
    <row r="1587">
      <c r="A1587" s="7" t="inlineStr">
        <is>
          <t>2014-01-23</t>
        </is>
      </c>
      <c r="B1587" s="8" t="n"/>
      <c r="C1587" s="8" t="n"/>
      <c r="D1587" s="8" t="n"/>
      <c r="E1587" s="8" t="n"/>
      <c r="F1587" s="8" t="n"/>
      <c r="G1587" s="8" t="n"/>
      <c r="H1587" s="8" t="n">
        <v>10960</v>
      </c>
      <c r="I1587" s="8" t="n">
        <v>10955</v>
      </c>
      <c r="J1587" s="8" t="n">
        <v>10995</v>
      </c>
      <c r="K1587" s="8" t="n">
        <v>10925</v>
      </c>
      <c r="L1587" s="8" t="n">
        <v>263216</v>
      </c>
      <c r="M1587" s="8" t="n">
        <v>361424</v>
      </c>
      <c r="N1587" s="9" t="inlineStr">
        <is>
          <t>否</t>
        </is>
      </c>
      <c r="O1587" t="inlineStr">
        <is>
          <t>缺 PP</t>
        </is>
      </c>
    </row>
    <row r="1588">
      <c r="A1588" s="7" t="inlineStr">
        <is>
          <t>2014-01-24</t>
        </is>
      </c>
      <c r="B1588" s="8" t="n"/>
      <c r="C1588" s="8" t="n"/>
      <c r="D1588" s="8" t="n"/>
      <c r="E1588" s="8" t="n"/>
      <c r="F1588" s="8" t="n"/>
      <c r="G1588" s="8" t="n"/>
      <c r="H1588" s="8" t="n">
        <v>10955</v>
      </c>
      <c r="I1588" s="8" t="n">
        <v>10980</v>
      </c>
      <c r="J1588" s="8" t="n">
        <v>11025</v>
      </c>
      <c r="K1588" s="8" t="n">
        <v>10950</v>
      </c>
      <c r="L1588" s="8" t="n">
        <v>260530</v>
      </c>
      <c r="M1588" s="8" t="n">
        <v>342938</v>
      </c>
      <c r="N1588" s="9" t="inlineStr">
        <is>
          <t>否</t>
        </is>
      </c>
      <c r="O1588" t="inlineStr">
        <is>
          <t>缺 PP</t>
        </is>
      </c>
    </row>
    <row r="1589">
      <c r="A1589" s="7" t="inlineStr">
        <is>
          <t>2014-01-27</t>
        </is>
      </c>
      <c r="B1589" s="8" t="n"/>
      <c r="C1589" s="8" t="n"/>
      <c r="D1589" s="8" t="n"/>
      <c r="E1589" s="8" t="n"/>
      <c r="F1589" s="8" t="n"/>
      <c r="G1589" s="8" t="n"/>
      <c r="H1589" s="8" t="n">
        <v>10975</v>
      </c>
      <c r="I1589" s="8" t="n">
        <v>10935</v>
      </c>
      <c r="J1589" s="8" t="n">
        <v>10975</v>
      </c>
      <c r="K1589" s="8" t="n">
        <v>10900</v>
      </c>
      <c r="L1589" s="8" t="n">
        <v>199304</v>
      </c>
      <c r="M1589" s="8" t="n">
        <v>331520</v>
      </c>
      <c r="N1589" s="9" t="inlineStr">
        <is>
          <t>否</t>
        </is>
      </c>
      <c r="O1589" t="inlineStr">
        <is>
          <t>缺 PP</t>
        </is>
      </c>
    </row>
    <row r="1590">
      <c r="A1590" s="7" t="inlineStr">
        <is>
          <t>2014-01-28</t>
        </is>
      </c>
      <c r="B1590" s="8" t="n"/>
      <c r="C1590" s="8" t="n"/>
      <c r="D1590" s="8" t="n"/>
      <c r="E1590" s="8" t="n"/>
      <c r="F1590" s="8" t="n"/>
      <c r="G1590" s="8" t="n"/>
      <c r="H1590" s="8" t="n">
        <v>10990</v>
      </c>
      <c r="I1590" s="8" t="n">
        <v>10955</v>
      </c>
      <c r="J1590" s="8" t="n">
        <v>11010</v>
      </c>
      <c r="K1590" s="8" t="n">
        <v>10945</v>
      </c>
      <c r="L1590" s="8" t="n">
        <v>241266</v>
      </c>
      <c r="M1590" s="8" t="n">
        <v>322062</v>
      </c>
      <c r="N1590" s="9" t="inlineStr">
        <is>
          <t>否</t>
        </is>
      </c>
      <c r="O1590" t="inlineStr">
        <is>
          <t>缺 PP</t>
        </is>
      </c>
    </row>
    <row r="1591">
      <c r="A1591" s="7" t="inlineStr">
        <is>
          <t>2014-01-29</t>
        </is>
      </c>
      <c r="B1591" s="8" t="n"/>
      <c r="C1591" s="8" t="n"/>
      <c r="D1591" s="8" t="n"/>
      <c r="E1591" s="8" t="n"/>
      <c r="F1591" s="8" t="n"/>
      <c r="G1591" s="8" t="n"/>
      <c r="H1591" s="8" t="n">
        <v>11045</v>
      </c>
      <c r="I1591" s="8" t="n">
        <v>10990</v>
      </c>
      <c r="J1591" s="8" t="n">
        <v>11045</v>
      </c>
      <c r="K1591" s="8" t="n">
        <v>10970</v>
      </c>
      <c r="L1591" s="8" t="n">
        <v>163776</v>
      </c>
      <c r="M1591" s="8" t="n">
        <v>281570</v>
      </c>
      <c r="N1591" s="9" t="inlineStr">
        <is>
          <t>否</t>
        </is>
      </c>
      <c r="O1591" t="inlineStr">
        <is>
          <t>缺 PP</t>
        </is>
      </c>
    </row>
    <row r="1592">
      <c r="A1592" s="7" t="inlineStr">
        <is>
          <t>2014-01-30</t>
        </is>
      </c>
      <c r="B1592" s="8" t="n"/>
      <c r="C1592" s="8" t="n"/>
      <c r="D1592" s="8" t="n"/>
      <c r="E1592" s="8" t="n"/>
      <c r="F1592" s="8" t="n"/>
      <c r="G1592" s="8" t="n"/>
      <c r="H1592" s="8" t="n">
        <v>10955</v>
      </c>
      <c r="I1592" s="8" t="n">
        <v>11035</v>
      </c>
      <c r="J1592" s="8" t="n">
        <v>11070</v>
      </c>
      <c r="K1592" s="8" t="n">
        <v>10935</v>
      </c>
      <c r="L1592" s="8" t="n">
        <v>159936</v>
      </c>
      <c r="M1592" s="8" t="n">
        <v>262078</v>
      </c>
      <c r="N1592" s="9" t="inlineStr">
        <is>
          <t>否</t>
        </is>
      </c>
      <c r="O1592" t="inlineStr">
        <is>
          <t>缺 PP</t>
        </is>
      </c>
    </row>
    <row r="1593">
      <c r="A1593" s="7" t="inlineStr">
        <is>
          <t>2014-02-07</t>
        </is>
      </c>
      <c r="B1593" s="8" t="n"/>
      <c r="C1593" s="8" t="n"/>
      <c r="D1593" s="8" t="n"/>
      <c r="E1593" s="8" t="n"/>
      <c r="F1593" s="8" t="n"/>
      <c r="G1593" s="8" t="n"/>
      <c r="H1593" s="8" t="n">
        <v>10935</v>
      </c>
      <c r="I1593" s="8" t="n">
        <v>10965</v>
      </c>
      <c r="J1593" s="8" t="n">
        <v>11005</v>
      </c>
      <c r="K1593" s="8" t="n">
        <v>10920</v>
      </c>
      <c r="L1593" s="8" t="n">
        <v>161170</v>
      </c>
      <c r="M1593" s="8" t="n">
        <v>276310</v>
      </c>
      <c r="N1593" s="9" t="inlineStr">
        <is>
          <t>否</t>
        </is>
      </c>
      <c r="O1593" t="inlineStr">
        <is>
          <t>缺 PP</t>
        </is>
      </c>
    </row>
    <row r="1594">
      <c r="A1594" s="7" t="inlineStr">
        <is>
          <t>2014-02-10</t>
        </is>
      </c>
      <c r="B1594" s="8" t="n"/>
      <c r="C1594" s="8" t="n"/>
      <c r="D1594" s="8" t="n"/>
      <c r="E1594" s="8" t="n"/>
      <c r="F1594" s="8" t="n"/>
      <c r="G1594" s="8" t="n"/>
      <c r="H1594" s="8" t="n">
        <v>10835</v>
      </c>
      <c r="I1594" s="8" t="n">
        <v>10955</v>
      </c>
      <c r="J1594" s="8" t="n">
        <v>10965</v>
      </c>
      <c r="K1594" s="8" t="n">
        <v>10790</v>
      </c>
      <c r="L1594" s="8" t="n">
        <v>524776</v>
      </c>
      <c r="M1594" s="8" t="n">
        <v>345440</v>
      </c>
      <c r="N1594" s="9" t="inlineStr">
        <is>
          <t>否</t>
        </is>
      </c>
      <c r="O1594" t="inlineStr">
        <is>
          <t>缺 PP</t>
        </is>
      </c>
    </row>
    <row r="1595">
      <c r="A1595" s="7" t="inlineStr">
        <is>
          <t>2014-02-11</t>
        </is>
      </c>
      <c r="B1595" s="8" t="n"/>
      <c r="C1595" s="8" t="n"/>
      <c r="D1595" s="8" t="n"/>
      <c r="E1595" s="8" t="n"/>
      <c r="F1595" s="8" t="n"/>
      <c r="G1595" s="8" t="n"/>
      <c r="H1595" s="8" t="n">
        <v>10745</v>
      </c>
      <c r="I1595" s="8" t="n">
        <v>10835</v>
      </c>
      <c r="J1595" s="8" t="n">
        <v>10860</v>
      </c>
      <c r="K1595" s="8" t="n">
        <v>10730</v>
      </c>
      <c r="L1595" s="8" t="n">
        <v>368066</v>
      </c>
      <c r="M1595" s="8" t="n">
        <v>380320</v>
      </c>
      <c r="N1595" s="9" t="inlineStr">
        <is>
          <t>否</t>
        </is>
      </c>
      <c r="O1595" t="inlineStr">
        <is>
          <t>缺 PP</t>
        </is>
      </c>
    </row>
    <row r="1596">
      <c r="A1596" s="7" t="inlineStr">
        <is>
          <t>2014-02-12</t>
        </is>
      </c>
      <c r="B1596" s="8" t="n"/>
      <c r="C1596" s="8" t="n"/>
      <c r="D1596" s="8" t="n"/>
      <c r="E1596" s="8" t="n"/>
      <c r="F1596" s="8" t="n"/>
      <c r="G1596" s="8" t="n"/>
      <c r="H1596" s="8" t="n">
        <v>10765</v>
      </c>
      <c r="I1596" s="8" t="n">
        <v>10765</v>
      </c>
      <c r="J1596" s="8" t="n">
        <v>10805</v>
      </c>
      <c r="K1596" s="8" t="n">
        <v>10730</v>
      </c>
      <c r="L1596" s="8" t="n">
        <v>286766</v>
      </c>
      <c r="M1596" s="8" t="n">
        <v>393958</v>
      </c>
      <c r="N1596" s="9" t="inlineStr">
        <is>
          <t>否</t>
        </is>
      </c>
      <c r="O1596" t="inlineStr">
        <is>
          <t>缺 PP</t>
        </is>
      </c>
    </row>
    <row r="1597">
      <c r="A1597" s="7" t="inlineStr">
        <is>
          <t>2014-02-13</t>
        </is>
      </c>
      <c r="B1597" s="8" t="n"/>
      <c r="C1597" s="8" t="n"/>
      <c r="D1597" s="8" t="n"/>
      <c r="E1597" s="8" t="n"/>
      <c r="F1597" s="8" t="n"/>
      <c r="G1597" s="8" t="n"/>
      <c r="H1597" s="8" t="n">
        <v>10705</v>
      </c>
      <c r="I1597" s="8" t="n">
        <v>10735</v>
      </c>
      <c r="J1597" s="8" t="n">
        <v>10775</v>
      </c>
      <c r="K1597" s="8" t="n">
        <v>10690</v>
      </c>
      <c r="L1597" s="8" t="n">
        <v>305826</v>
      </c>
      <c r="M1597" s="8" t="n">
        <v>415432</v>
      </c>
      <c r="N1597" s="9" t="inlineStr">
        <is>
          <t>否</t>
        </is>
      </c>
      <c r="O1597" t="inlineStr">
        <is>
          <t>缺 PP</t>
        </is>
      </c>
    </row>
    <row r="1598">
      <c r="A1598" s="7" t="inlineStr">
        <is>
          <t>2014-02-14</t>
        </is>
      </c>
      <c r="B1598" s="8" t="n"/>
      <c r="C1598" s="8" t="n"/>
      <c r="D1598" s="8" t="n"/>
      <c r="E1598" s="8" t="n"/>
      <c r="F1598" s="8" t="n"/>
      <c r="G1598" s="8" t="n"/>
      <c r="H1598" s="8" t="n">
        <v>10635</v>
      </c>
      <c r="I1598" s="8" t="n">
        <v>10700</v>
      </c>
      <c r="J1598" s="8" t="n">
        <v>10700</v>
      </c>
      <c r="K1598" s="8" t="n">
        <v>10630</v>
      </c>
      <c r="L1598" s="8" t="n">
        <v>267720</v>
      </c>
      <c r="M1598" s="8" t="n">
        <v>409046</v>
      </c>
      <c r="N1598" s="9" t="inlineStr">
        <is>
          <t>否</t>
        </is>
      </c>
      <c r="O1598" t="inlineStr">
        <is>
          <t>缺 PP</t>
        </is>
      </c>
    </row>
    <row r="1599">
      <c r="A1599" s="7" t="inlineStr">
        <is>
          <t>2014-02-17</t>
        </is>
      </c>
      <c r="B1599" s="8" t="n"/>
      <c r="C1599" s="8" t="n"/>
      <c r="D1599" s="8" t="n"/>
      <c r="E1599" s="8" t="n"/>
      <c r="F1599" s="8" t="n"/>
      <c r="G1599" s="8" t="n"/>
      <c r="H1599" s="8" t="n">
        <v>10655</v>
      </c>
      <c r="I1599" s="8" t="n">
        <v>10605</v>
      </c>
      <c r="J1599" s="8" t="n">
        <v>10775</v>
      </c>
      <c r="K1599" s="8" t="n">
        <v>10590</v>
      </c>
      <c r="L1599" s="8" t="n">
        <v>398838</v>
      </c>
      <c r="M1599" s="8" t="n">
        <v>399456</v>
      </c>
      <c r="N1599" s="9" t="inlineStr">
        <is>
          <t>否</t>
        </is>
      </c>
      <c r="O1599" t="inlineStr">
        <is>
          <t>缺 PP</t>
        </is>
      </c>
    </row>
    <row r="1600">
      <c r="A1600" s="7" t="inlineStr">
        <is>
          <t>2014-02-18</t>
        </is>
      </c>
      <c r="B1600" s="8" t="n"/>
      <c r="C1600" s="8" t="n"/>
      <c r="D1600" s="8" t="n"/>
      <c r="E1600" s="8" t="n"/>
      <c r="F1600" s="8" t="n"/>
      <c r="G1600" s="8" t="n"/>
      <c r="H1600" s="8" t="n">
        <v>10510</v>
      </c>
      <c r="I1600" s="8" t="n">
        <v>10650</v>
      </c>
      <c r="J1600" s="8" t="n">
        <v>10665</v>
      </c>
      <c r="K1600" s="8" t="n">
        <v>10495</v>
      </c>
      <c r="L1600" s="8" t="n">
        <v>390628</v>
      </c>
      <c r="M1600" s="8" t="n">
        <v>443618</v>
      </c>
      <c r="N1600" s="9" t="inlineStr">
        <is>
          <t>否</t>
        </is>
      </c>
      <c r="O1600" t="inlineStr">
        <is>
          <t>缺 PP</t>
        </is>
      </c>
    </row>
    <row r="1601">
      <c r="A1601" s="7" t="inlineStr">
        <is>
          <t>2014-02-19</t>
        </is>
      </c>
      <c r="B1601" s="8" t="n"/>
      <c r="C1601" s="8" t="n"/>
      <c r="D1601" s="8" t="n"/>
      <c r="E1601" s="8" t="n"/>
      <c r="F1601" s="8" t="n"/>
      <c r="G1601" s="8" t="n"/>
      <c r="H1601" s="8" t="n">
        <v>10600</v>
      </c>
      <c r="I1601" s="8" t="n">
        <v>10570</v>
      </c>
      <c r="J1601" s="8" t="n">
        <v>10615</v>
      </c>
      <c r="K1601" s="8" t="n">
        <v>10505</v>
      </c>
      <c r="L1601" s="8" t="n">
        <v>350980</v>
      </c>
      <c r="M1601" s="8" t="n">
        <v>440976</v>
      </c>
      <c r="N1601" s="9" t="inlineStr">
        <is>
          <t>否</t>
        </is>
      </c>
      <c r="O1601" t="inlineStr">
        <is>
          <t>缺 PP</t>
        </is>
      </c>
    </row>
    <row r="1602">
      <c r="A1602" s="7" t="inlineStr">
        <is>
          <t>2014-02-20</t>
        </is>
      </c>
      <c r="B1602" s="8" t="n"/>
      <c r="C1602" s="8" t="n"/>
      <c r="D1602" s="8" t="n"/>
      <c r="E1602" s="8" t="n"/>
      <c r="F1602" s="8" t="n"/>
      <c r="G1602" s="8" t="n"/>
      <c r="H1602" s="8" t="n">
        <v>10710</v>
      </c>
      <c r="I1602" s="8" t="n">
        <v>10625</v>
      </c>
      <c r="J1602" s="8" t="n">
        <v>10710</v>
      </c>
      <c r="K1602" s="8" t="n">
        <v>10615</v>
      </c>
      <c r="L1602" s="8" t="n">
        <v>447684</v>
      </c>
      <c r="M1602" s="8" t="n">
        <v>424564</v>
      </c>
      <c r="N1602" s="9" t="inlineStr">
        <is>
          <t>否</t>
        </is>
      </c>
      <c r="O1602" t="inlineStr">
        <is>
          <t>缺 PP</t>
        </is>
      </c>
    </row>
    <row r="1603">
      <c r="A1603" s="7" t="inlineStr">
        <is>
          <t>2014-02-21</t>
        </is>
      </c>
      <c r="B1603" s="8" t="n"/>
      <c r="C1603" s="8" t="n"/>
      <c r="D1603" s="8" t="n"/>
      <c r="E1603" s="8" t="n"/>
      <c r="F1603" s="8" t="n"/>
      <c r="G1603" s="8" t="n"/>
      <c r="H1603" s="8" t="n">
        <v>10745</v>
      </c>
      <c r="I1603" s="8" t="n">
        <v>10725</v>
      </c>
      <c r="J1603" s="8" t="n">
        <v>10785</v>
      </c>
      <c r="K1603" s="8" t="n">
        <v>10680</v>
      </c>
      <c r="L1603" s="8" t="n">
        <v>401278</v>
      </c>
      <c r="M1603" s="8" t="n">
        <v>424208</v>
      </c>
      <c r="N1603" s="9" t="inlineStr">
        <is>
          <t>否</t>
        </is>
      </c>
      <c r="O1603" t="inlineStr">
        <is>
          <t>缺 PP</t>
        </is>
      </c>
    </row>
    <row r="1604">
      <c r="A1604" s="7" t="inlineStr">
        <is>
          <t>2014-02-24</t>
        </is>
      </c>
      <c r="B1604" s="8" t="n"/>
      <c r="C1604" s="8" t="n"/>
      <c r="D1604" s="8" t="n"/>
      <c r="E1604" s="8" t="n"/>
      <c r="F1604" s="8" t="n"/>
      <c r="G1604" s="8" t="n"/>
      <c r="H1604" s="8" t="n">
        <v>10775</v>
      </c>
      <c r="I1604" s="8" t="n">
        <v>10745</v>
      </c>
      <c r="J1604" s="8" t="n">
        <v>10780</v>
      </c>
      <c r="K1604" s="8" t="n">
        <v>10635</v>
      </c>
      <c r="L1604" s="8" t="n">
        <v>469260</v>
      </c>
      <c r="M1604" s="8" t="n">
        <v>411886</v>
      </c>
      <c r="N1604" s="9" t="inlineStr">
        <is>
          <t>否</t>
        </is>
      </c>
      <c r="O1604" t="inlineStr">
        <is>
          <t>缺 PP</t>
        </is>
      </c>
    </row>
    <row r="1605">
      <c r="A1605" s="7" t="inlineStr">
        <is>
          <t>2014-02-25</t>
        </is>
      </c>
      <c r="B1605" s="8" t="n"/>
      <c r="C1605" s="8" t="n"/>
      <c r="D1605" s="8" t="n"/>
      <c r="E1605" s="8" t="n"/>
      <c r="F1605" s="8" t="n"/>
      <c r="G1605" s="8" t="n"/>
      <c r="H1605" s="8" t="n">
        <v>10825</v>
      </c>
      <c r="I1605" s="8" t="n">
        <v>10795</v>
      </c>
      <c r="J1605" s="8" t="n">
        <v>10880</v>
      </c>
      <c r="K1605" s="8" t="n">
        <v>10765</v>
      </c>
      <c r="L1605" s="8" t="n">
        <v>363000</v>
      </c>
      <c r="M1605" s="8" t="n">
        <v>385518</v>
      </c>
      <c r="N1605" s="9" t="inlineStr">
        <is>
          <t>否</t>
        </is>
      </c>
      <c r="O1605" t="inlineStr">
        <is>
          <t>缺 PP</t>
        </is>
      </c>
    </row>
    <row r="1606">
      <c r="A1606" s="7" t="inlineStr">
        <is>
          <t>2014-02-26</t>
        </is>
      </c>
      <c r="B1606" s="8" t="n"/>
      <c r="C1606" s="8" t="n"/>
      <c r="D1606" s="8" t="n"/>
      <c r="E1606" s="8" t="n"/>
      <c r="F1606" s="8" t="n"/>
      <c r="G1606" s="8" t="n"/>
      <c r="H1606" s="8" t="n">
        <v>10785</v>
      </c>
      <c r="I1606" s="8" t="n">
        <v>10800</v>
      </c>
      <c r="J1606" s="8" t="n">
        <v>10845</v>
      </c>
      <c r="K1606" s="8" t="n">
        <v>10745</v>
      </c>
      <c r="L1606" s="8" t="n">
        <v>310758</v>
      </c>
      <c r="M1606" s="8" t="n">
        <v>380060</v>
      </c>
      <c r="N1606" s="9" t="inlineStr">
        <is>
          <t>否</t>
        </is>
      </c>
      <c r="O1606" t="inlineStr">
        <is>
          <t>缺 PP</t>
        </is>
      </c>
    </row>
    <row r="1607">
      <c r="A1607" s="7" t="inlineStr">
        <is>
          <t>2014-02-27</t>
        </is>
      </c>
      <c r="B1607" s="8" t="n"/>
      <c r="C1607" s="8" t="n"/>
      <c r="D1607" s="8" t="n"/>
      <c r="E1607" s="8" t="n"/>
      <c r="F1607" s="8" t="n"/>
      <c r="G1607" s="8" t="n"/>
      <c r="H1607" s="8" t="n">
        <v>10825</v>
      </c>
      <c r="I1607" s="8" t="n">
        <v>10785</v>
      </c>
      <c r="J1607" s="8" t="n">
        <v>10825</v>
      </c>
      <c r="K1607" s="8" t="n">
        <v>10720</v>
      </c>
      <c r="L1607" s="8" t="n">
        <v>276716</v>
      </c>
      <c r="M1607" s="8" t="n">
        <v>372322</v>
      </c>
      <c r="N1607" s="9" t="inlineStr">
        <is>
          <t>否</t>
        </is>
      </c>
      <c r="O1607" t="inlineStr">
        <is>
          <t>缺 PP</t>
        </is>
      </c>
    </row>
    <row r="1608">
      <c r="A1608" s="7" t="inlineStr">
        <is>
          <t>2014-02-28</t>
        </is>
      </c>
      <c r="B1608" s="8" t="n">
        <v>10657</v>
      </c>
      <c r="C1608" s="8" t="n">
        <v>10680</v>
      </c>
      <c r="D1608" s="8" t="n">
        <v>10720</v>
      </c>
      <c r="E1608" s="8" t="n">
        <v>10604</v>
      </c>
      <c r="F1608" s="8" t="n">
        <v>97582</v>
      </c>
      <c r="G1608" s="8" t="n">
        <v>21256</v>
      </c>
      <c r="H1608" s="8" t="n">
        <v>10765</v>
      </c>
      <c r="I1608" s="8" t="n">
        <v>10835</v>
      </c>
      <c r="J1608" s="8" t="n">
        <v>10840</v>
      </c>
      <c r="K1608" s="8" t="n">
        <v>10745</v>
      </c>
      <c r="L1608" s="8" t="n">
        <v>253700</v>
      </c>
      <c r="M1608" s="8" t="n">
        <v>346354</v>
      </c>
      <c r="N1608" t="inlineStr">
        <is>
          <t>是</t>
        </is>
      </c>
    </row>
    <row r="1609">
      <c r="A1609" s="7" t="inlineStr">
        <is>
          <t>2014-03-03</t>
        </is>
      </c>
      <c r="B1609" s="8" t="n">
        <v>10298</v>
      </c>
      <c r="C1609" s="8" t="n">
        <v>10400</v>
      </c>
      <c r="D1609" s="8" t="n">
        <v>10403</v>
      </c>
      <c r="E1609" s="8" t="n">
        <v>10263</v>
      </c>
      <c r="F1609" s="8" t="n">
        <v>41518</v>
      </c>
      <c r="G1609" s="8" t="n">
        <v>20662</v>
      </c>
      <c r="H1609" s="8" t="n">
        <v>10670</v>
      </c>
      <c r="I1609" s="8" t="n">
        <v>10820</v>
      </c>
      <c r="J1609" s="8" t="n">
        <v>10835</v>
      </c>
      <c r="K1609" s="8" t="n">
        <v>10665</v>
      </c>
      <c r="L1609" s="8" t="n">
        <v>322598</v>
      </c>
      <c r="M1609" s="8" t="n">
        <v>315010</v>
      </c>
      <c r="N1609" t="inlineStr">
        <is>
          <t>是</t>
        </is>
      </c>
    </row>
    <row r="1610">
      <c r="A1610" s="7" t="inlineStr">
        <is>
          <t>2014-03-04</t>
        </is>
      </c>
      <c r="B1610" s="8" t="n">
        <v>10306</v>
      </c>
      <c r="C1610" s="8" t="n">
        <v>10310</v>
      </c>
      <c r="D1610" s="8" t="n">
        <v>10330</v>
      </c>
      <c r="E1610" s="8" t="n">
        <v>10256</v>
      </c>
      <c r="F1610" s="8" t="n">
        <v>39938</v>
      </c>
      <c r="G1610" s="8" t="n">
        <v>25034</v>
      </c>
      <c r="H1610" s="8" t="n">
        <v>10705</v>
      </c>
      <c r="I1610" s="8" t="n">
        <v>10680</v>
      </c>
      <c r="J1610" s="8" t="n">
        <v>10715</v>
      </c>
      <c r="K1610" s="8" t="n">
        <v>10635</v>
      </c>
      <c r="L1610" s="8" t="n">
        <v>207590</v>
      </c>
      <c r="M1610" s="8" t="n">
        <v>306576</v>
      </c>
      <c r="N1610" t="inlineStr">
        <is>
          <t>是</t>
        </is>
      </c>
    </row>
    <row r="1611">
      <c r="A1611" s="7" t="inlineStr">
        <is>
          <t>2014-03-05</t>
        </is>
      </c>
      <c r="B1611" s="8" t="n">
        <v>10710</v>
      </c>
      <c r="C1611" s="8" t="n">
        <v>10710</v>
      </c>
      <c r="D1611" s="8" t="n">
        <v>10732</v>
      </c>
      <c r="E1611" s="8" t="n">
        <v>10676</v>
      </c>
      <c r="F1611" s="8" t="n">
        <v>23616</v>
      </c>
      <c r="G1611" s="8" t="n">
        <v>27896</v>
      </c>
      <c r="H1611" s="8" t="n">
        <v>10620</v>
      </c>
      <c r="I1611" s="8" t="n">
        <v>10710</v>
      </c>
      <c r="J1611" s="8" t="n">
        <v>10745</v>
      </c>
      <c r="K1611" s="8" t="n">
        <v>10610</v>
      </c>
      <c r="L1611" s="8" t="n">
        <v>313710</v>
      </c>
      <c r="M1611" s="8" t="n">
        <v>310676</v>
      </c>
      <c r="N1611" t="inlineStr">
        <is>
          <t>是</t>
        </is>
      </c>
    </row>
    <row r="1612">
      <c r="A1612" s="7" t="inlineStr">
        <is>
          <t>2014-03-06</t>
        </is>
      </c>
      <c r="B1612" s="8" t="n">
        <v>10166</v>
      </c>
      <c r="C1612" s="8" t="n">
        <v>10270</v>
      </c>
      <c r="D1612" s="8" t="n">
        <v>10290</v>
      </c>
      <c r="E1612" s="8" t="n">
        <v>10071</v>
      </c>
      <c r="F1612" s="8" t="n">
        <v>71074</v>
      </c>
      <c r="G1612" s="8" t="n">
        <v>32288</v>
      </c>
      <c r="H1612" s="8" t="n">
        <v>10265</v>
      </c>
      <c r="I1612" s="8" t="n">
        <v>10400</v>
      </c>
      <c r="J1612" s="8" t="n">
        <v>10400</v>
      </c>
      <c r="K1612" s="8" t="n">
        <v>10230</v>
      </c>
      <c r="L1612" s="8" t="n">
        <v>240760</v>
      </c>
      <c r="M1612" s="8" t="n">
        <v>295556</v>
      </c>
      <c r="N1612" t="inlineStr">
        <is>
          <t>是</t>
        </is>
      </c>
    </row>
    <row r="1613">
      <c r="A1613" s="7" t="inlineStr">
        <is>
          <t>2014-03-10</t>
        </is>
      </c>
      <c r="B1613" s="8" t="n">
        <v>10077</v>
      </c>
      <c r="C1613" s="8" t="n">
        <v>10025</v>
      </c>
      <c r="D1613" s="8" t="n">
        <v>10150</v>
      </c>
      <c r="E1613" s="8" t="n">
        <v>10000</v>
      </c>
      <c r="F1613" s="8" t="n">
        <v>79360</v>
      </c>
      <c r="G1613" s="8" t="n">
        <v>46536</v>
      </c>
      <c r="H1613" s="8" t="n">
        <v>10145</v>
      </c>
      <c r="I1613" s="8" t="n">
        <v>10155</v>
      </c>
      <c r="J1613" s="8" t="n">
        <v>10240</v>
      </c>
      <c r="K1613" s="8" t="n">
        <v>9995</v>
      </c>
      <c r="L1613" s="8" t="n">
        <v>647936</v>
      </c>
      <c r="M1613" s="8" t="n">
        <v>387488</v>
      </c>
      <c r="N1613" t="inlineStr">
        <is>
          <t>是</t>
        </is>
      </c>
    </row>
    <row r="1614">
      <c r="A1614" s="7" t="inlineStr">
        <is>
          <t>2014-03-11</t>
        </is>
      </c>
      <c r="B1614" s="8" t="n">
        <v>10180</v>
      </c>
      <c r="C1614" s="8" t="n">
        <v>10096</v>
      </c>
      <c r="D1614" s="8" t="n">
        <v>10350</v>
      </c>
      <c r="E1614" s="8" t="n">
        <v>10050</v>
      </c>
      <c r="F1614" s="8" t="n">
        <v>69412</v>
      </c>
      <c r="G1614" s="8" t="n">
        <v>39284</v>
      </c>
      <c r="H1614" s="8" t="n">
        <v>10235</v>
      </c>
      <c r="I1614" s="8" t="n">
        <v>10130</v>
      </c>
      <c r="J1614" s="8" t="n">
        <v>10345</v>
      </c>
      <c r="K1614" s="8" t="n">
        <v>10075</v>
      </c>
      <c r="L1614" s="8" t="n">
        <v>542938</v>
      </c>
      <c r="M1614" s="8" t="n">
        <v>361396</v>
      </c>
      <c r="N1614" t="inlineStr">
        <is>
          <t>是</t>
        </is>
      </c>
    </row>
    <row r="1615">
      <c r="A1615" s="7" t="inlineStr">
        <is>
          <t>2014-03-12</t>
        </is>
      </c>
      <c r="B1615" s="8" t="n">
        <v>10191</v>
      </c>
      <c r="C1615" s="8" t="n">
        <v>10090</v>
      </c>
      <c r="D1615" s="8" t="n">
        <v>10193</v>
      </c>
      <c r="E1615" s="8" t="n">
        <v>10061</v>
      </c>
      <c r="F1615" s="8" t="n">
        <v>46214</v>
      </c>
      <c r="G1615" s="8" t="n">
        <v>49316</v>
      </c>
      <c r="H1615" s="8" t="n">
        <v>10270</v>
      </c>
      <c r="I1615" s="8" t="n">
        <v>10130</v>
      </c>
      <c r="J1615" s="8" t="n">
        <v>10285</v>
      </c>
      <c r="K1615" s="8" t="n">
        <v>10100</v>
      </c>
      <c r="L1615" s="8" t="n">
        <v>518080</v>
      </c>
      <c r="M1615" s="8" t="n">
        <v>396044</v>
      </c>
      <c r="N1615" t="inlineStr">
        <is>
          <t>是</t>
        </is>
      </c>
    </row>
    <row r="1616">
      <c r="A1616" s="7" t="inlineStr">
        <is>
          <t>2014-03-14</t>
        </is>
      </c>
      <c r="B1616" s="8" t="n">
        <v>10171</v>
      </c>
      <c r="C1616" s="8" t="n">
        <v>10200</v>
      </c>
      <c r="D1616" s="8" t="n">
        <v>10210</v>
      </c>
      <c r="E1616" s="8" t="n">
        <v>10120</v>
      </c>
      <c r="F1616" s="8" t="n">
        <v>45528</v>
      </c>
      <c r="G1616" s="8" t="n">
        <v>52024</v>
      </c>
      <c r="H1616" s="8" t="n">
        <v>10295</v>
      </c>
      <c r="I1616" s="8" t="n">
        <v>10250</v>
      </c>
      <c r="J1616" s="8" t="n">
        <v>10320</v>
      </c>
      <c r="K1616" s="8" t="n">
        <v>10170</v>
      </c>
      <c r="L1616" s="8" t="n">
        <v>727380</v>
      </c>
      <c r="M1616" s="8" t="n">
        <v>394786</v>
      </c>
      <c r="N1616" t="inlineStr">
        <is>
          <t>是</t>
        </is>
      </c>
    </row>
    <row r="1617">
      <c r="A1617" s="7" t="inlineStr">
        <is>
          <t>2014-03-17</t>
        </is>
      </c>
      <c r="B1617" s="8" t="n">
        <v>10171</v>
      </c>
      <c r="C1617" s="8" t="n">
        <v>10165</v>
      </c>
      <c r="D1617" s="8" t="n">
        <v>10290</v>
      </c>
      <c r="E1617" s="8" t="n">
        <v>10140</v>
      </c>
      <c r="F1617" s="8" t="n">
        <v>26120</v>
      </c>
      <c r="G1617" s="8" t="n">
        <v>52644</v>
      </c>
      <c r="H1617" s="8" t="n">
        <v>10325</v>
      </c>
      <c r="I1617" s="8" t="n">
        <v>10310</v>
      </c>
      <c r="J1617" s="8" t="n">
        <v>10345</v>
      </c>
      <c r="K1617" s="8" t="n">
        <v>10245</v>
      </c>
      <c r="L1617" s="8" t="n">
        <v>391802</v>
      </c>
      <c r="M1617" s="8" t="n">
        <v>418680</v>
      </c>
      <c r="N1617" t="inlineStr">
        <is>
          <t>是</t>
        </is>
      </c>
    </row>
    <row r="1618">
      <c r="A1618" s="7" t="inlineStr">
        <is>
          <t>2014-03-18</t>
        </is>
      </c>
      <c r="B1618" s="8" t="n">
        <v>10284</v>
      </c>
      <c r="C1618" s="8" t="n">
        <v>10125</v>
      </c>
      <c r="D1618" s="8" t="n">
        <v>10290</v>
      </c>
      <c r="E1618" s="8" t="n">
        <v>10125</v>
      </c>
      <c r="F1618" s="8" t="n">
        <v>56886</v>
      </c>
      <c r="G1618" s="8" t="n">
        <v>51812</v>
      </c>
      <c r="H1618" s="8" t="n">
        <v>10485</v>
      </c>
      <c r="I1618" s="8" t="n">
        <v>10305</v>
      </c>
      <c r="J1618" s="8" t="n">
        <v>10490</v>
      </c>
      <c r="K1618" s="8" t="n">
        <v>10290</v>
      </c>
      <c r="L1618" s="8" t="n">
        <v>516632</v>
      </c>
      <c r="M1618" s="8" t="n">
        <v>405226</v>
      </c>
      <c r="N1618" t="inlineStr">
        <is>
          <t>是</t>
        </is>
      </c>
    </row>
    <row r="1619">
      <c r="A1619" s="7" t="inlineStr">
        <is>
          <t>2014-03-19</t>
        </is>
      </c>
      <c r="B1619" s="8" t="n">
        <v>10214</v>
      </c>
      <c r="C1619" s="8" t="n">
        <v>10300</v>
      </c>
      <c r="D1619" s="8" t="n">
        <v>10348</v>
      </c>
      <c r="E1619" s="8" t="n">
        <v>10214</v>
      </c>
      <c r="F1619" s="8" t="n">
        <v>36210</v>
      </c>
      <c r="G1619" s="8" t="n">
        <v>48670</v>
      </c>
      <c r="H1619" s="8" t="n">
        <v>10305</v>
      </c>
      <c r="I1619" s="8" t="n">
        <v>10490</v>
      </c>
      <c r="J1619" s="8" t="n">
        <v>10500</v>
      </c>
      <c r="K1619" s="8" t="n">
        <v>10305</v>
      </c>
      <c r="L1619" s="8" t="n">
        <v>440130</v>
      </c>
      <c r="M1619" s="8" t="n">
        <v>368440</v>
      </c>
      <c r="N1619" t="inlineStr">
        <is>
          <t>是</t>
        </is>
      </c>
    </row>
    <row r="1620">
      <c r="A1620" s="7" t="inlineStr">
        <is>
          <t>2014-03-20</t>
        </is>
      </c>
      <c r="B1620" s="8" t="n">
        <v>10240</v>
      </c>
      <c r="C1620" s="8" t="n">
        <v>10220</v>
      </c>
      <c r="D1620" s="8" t="n">
        <v>10260</v>
      </c>
      <c r="E1620" s="8" t="n">
        <v>10195</v>
      </c>
      <c r="F1620" s="8" t="n">
        <v>25118</v>
      </c>
      <c r="G1620" s="8" t="n">
        <v>43802</v>
      </c>
      <c r="H1620" s="8" t="n">
        <v>10350</v>
      </c>
      <c r="I1620" s="8" t="n">
        <v>10340</v>
      </c>
      <c r="J1620" s="8" t="n">
        <v>10360</v>
      </c>
      <c r="K1620" s="8" t="n">
        <v>10280</v>
      </c>
      <c r="L1620" s="8" t="n">
        <v>376734</v>
      </c>
      <c r="M1620" s="8" t="n">
        <v>394698</v>
      </c>
      <c r="N1620" t="inlineStr">
        <is>
          <t>是</t>
        </is>
      </c>
    </row>
    <row r="1621">
      <c r="A1621" s="7" t="inlineStr">
        <is>
          <t>2014-03-21</t>
        </is>
      </c>
      <c r="B1621" s="8" t="n">
        <v>10285</v>
      </c>
      <c r="C1621" s="8" t="n">
        <v>10206</v>
      </c>
      <c r="D1621" s="8" t="n">
        <v>10295</v>
      </c>
      <c r="E1621" s="8" t="n">
        <v>10202</v>
      </c>
      <c r="F1621" s="8" t="n">
        <v>23768</v>
      </c>
      <c r="G1621" s="8" t="n">
        <v>44088</v>
      </c>
      <c r="H1621" s="8" t="n">
        <v>10380</v>
      </c>
      <c r="I1621" s="8" t="n">
        <v>10350</v>
      </c>
      <c r="J1621" s="8" t="n">
        <v>10400</v>
      </c>
      <c r="K1621" s="8" t="n">
        <v>10290</v>
      </c>
      <c r="L1621" s="8" t="n">
        <v>443280</v>
      </c>
      <c r="M1621" s="8" t="n">
        <v>384264</v>
      </c>
      <c r="N1621" t="inlineStr">
        <is>
          <t>是</t>
        </is>
      </c>
    </row>
    <row r="1622">
      <c r="A1622" s="7" t="inlineStr">
        <is>
          <t>2014-03-24</t>
        </is>
      </c>
      <c r="B1622" s="8" t="n">
        <v>10310</v>
      </c>
      <c r="C1622" s="8" t="n">
        <v>10280</v>
      </c>
      <c r="D1622" s="8" t="n">
        <v>10324</v>
      </c>
      <c r="E1622" s="8" t="n">
        <v>10241</v>
      </c>
      <c r="F1622" s="8" t="n">
        <v>24834</v>
      </c>
      <c r="G1622" s="8" t="n">
        <v>47484</v>
      </c>
      <c r="H1622" s="8" t="n">
        <v>10525</v>
      </c>
      <c r="I1622" s="8" t="n">
        <v>10370</v>
      </c>
      <c r="J1622" s="8" t="n">
        <v>10580</v>
      </c>
      <c r="K1622" s="8" t="n">
        <v>10355</v>
      </c>
      <c r="L1622" s="8" t="n">
        <v>419558</v>
      </c>
      <c r="M1622" s="8" t="n">
        <v>400518</v>
      </c>
      <c r="N1622" t="inlineStr">
        <is>
          <t>是</t>
        </is>
      </c>
    </row>
    <row r="1623">
      <c r="A1623" s="7" t="inlineStr">
        <is>
          <t>2014-03-25</t>
        </is>
      </c>
      <c r="B1623" s="8" t="n">
        <v>10406</v>
      </c>
      <c r="C1623" s="8" t="n">
        <v>10315</v>
      </c>
      <c r="D1623" s="8" t="n">
        <v>10436</v>
      </c>
      <c r="E1623" s="8" t="n">
        <v>10290</v>
      </c>
      <c r="F1623" s="8" t="n">
        <v>52928</v>
      </c>
      <c r="G1623" s="8" t="n">
        <v>45170</v>
      </c>
      <c r="H1623" s="8" t="n">
        <v>10620</v>
      </c>
      <c r="I1623" s="8" t="n">
        <v>10520</v>
      </c>
      <c r="J1623" s="8" t="n">
        <v>10660</v>
      </c>
      <c r="K1623" s="8" t="n">
        <v>10485</v>
      </c>
      <c r="L1623" s="8" t="n">
        <v>550302</v>
      </c>
      <c r="M1623" s="8" t="n">
        <v>357462</v>
      </c>
      <c r="N1623" t="inlineStr">
        <is>
          <t>是</t>
        </is>
      </c>
    </row>
    <row r="1624">
      <c r="A1624" s="7" t="inlineStr">
        <is>
          <t>2014-03-26</t>
        </is>
      </c>
      <c r="B1624" s="8" t="n">
        <v>10527</v>
      </c>
      <c r="C1624" s="8" t="n">
        <v>10389</v>
      </c>
      <c r="D1624" s="8" t="n">
        <v>10560</v>
      </c>
      <c r="E1624" s="8" t="n">
        <v>10385</v>
      </c>
      <c r="F1624" s="8" t="n">
        <v>118820</v>
      </c>
      <c r="G1624" s="8" t="n">
        <v>52690</v>
      </c>
      <c r="H1624" s="8" t="n">
        <v>10715</v>
      </c>
      <c r="I1624" s="8" t="n">
        <v>10620</v>
      </c>
      <c r="J1624" s="8" t="n">
        <v>10720</v>
      </c>
      <c r="K1624" s="8" t="n">
        <v>10575</v>
      </c>
      <c r="L1624" s="8" t="n">
        <v>465936</v>
      </c>
      <c r="M1624" s="8" t="n">
        <v>380630</v>
      </c>
      <c r="N1624" t="inlineStr">
        <is>
          <t>是</t>
        </is>
      </c>
    </row>
    <row r="1625">
      <c r="A1625" s="7" t="inlineStr">
        <is>
          <t>2014-03-27</t>
        </is>
      </c>
      <c r="B1625" s="8" t="n">
        <v>10492</v>
      </c>
      <c r="C1625" s="8" t="n">
        <v>10530</v>
      </c>
      <c r="D1625" s="8" t="n">
        <v>10530</v>
      </c>
      <c r="E1625" s="8" t="n">
        <v>10474</v>
      </c>
      <c r="F1625" s="8" t="n">
        <v>46228</v>
      </c>
      <c r="G1625" s="8" t="n">
        <v>51682</v>
      </c>
      <c r="H1625" s="8" t="n">
        <v>10665</v>
      </c>
      <c r="I1625" s="8" t="n">
        <v>10710</v>
      </c>
      <c r="J1625" s="8" t="n">
        <v>10710</v>
      </c>
      <c r="K1625" s="8" t="n">
        <v>10615</v>
      </c>
      <c r="L1625" s="8" t="n">
        <v>414506</v>
      </c>
      <c r="M1625" s="8" t="n">
        <v>333620</v>
      </c>
      <c r="N1625" t="inlineStr">
        <is>
          <t>是</t>
        </is>
      </c>
    </row>
    <row r="1626">
      <c r="A1626" s="7" t="inlineStr">
        <is>
          <t>2014-03-28</t>
        </is>
      </c>
      <c r="B1626" s="8" t="n">
        <v>10620</v>
      </c>
      <c r="C1626" s="8" t="n">
        <v>10500</v>
      </c>
      <c r="D1626" s="8" t="n">
        <v>10625</v>
      </c>
      <c r="E1626" s="8" t="n">
        <v>10492</v>
      </c>
      <c r="F1626" s="8" t="n">
        <v>75226</v>
      </c>
      <c r="G1626" s="8" t="n">
        <v>58422</v>
      </c>
      <c r="H1626" s="8" t="n">
        <v>10755</v>
      </c>
      <c r="I1626" s="8" t="n">
        <v>10670</v>
      </c>
      <c r="J1626" s="8" t="n">
        <v>10770</v>
      </c>
      <c r="K1626" s="8" t="n">
        <v>10625</v>
      </c>
      <c r="L1626" s="8" t="n">
        <v>377964</v>
      </c>
      <c r="M1626" s="8" t="n">
        <v>361354</v>
      </c>
      <c r="N1626" t="inlineStr">
        <is>
          <t>是</t>
        </is>
      </c>
    </row>
    <row r="1627">
      <c r="A1627" s="7" t="inlineStr">
        <is>
          <t>2014-03-31</t>
        </is>
      </c>
      <c r="B1627" s="8" t="n">
        <v>10582</v>
      </c>
      <c r="C1627" s="8" t="n">
        <v>10618</v>
      </c>
      <c r="D1627" s="8" t="n">
        <v>10650</v>
      </c>
      <c r="E1627" s="8" t="n">
        <v>10563</v>
      </c>
      <c r="F1627" s="8" t="n">
        <v>41398</v>
      </c>
      <c r="G1627" s="8" t="n">
        <v>58034</v>
      </c>
      <c r="H1627" s="8" t="n">
        <v>10710</v>
      </c>
      <c r="I1627" s="8" t="n">
        <v>10750</v>
      </c>
      <c r="J1627" s="8" t="n">
        <v>10765</v>
      </c>
      <c r="K1627" s="8" t="n">
        <v>10695</v>
      </c>
      <c r="L1627" s="8" t="n">
        <v>294864</v>
      </c>
      <c r="M1627" s="8" t="n">
        <v>325772</v>
      </c>
      <c r="N1627" t="inlineStr">
        <is>
          <t>是</t>
        </is>
      </c>
    </row>
    <row r="1628">
      <c r="A1628" s="7" t="inlineStr">
        <is>
          <t>2014-04-01</t>
        </is>
      </c>
      <c r="B1628" s="8" t="n">
        <v>10705</v>
      </c>
      <c r="C1628" s="8" t="n">
        <v>10590</v>
      </c>
      <c r="D1628" s="8" t="n">
        <v>10724</v>
      </c>
      <c r="E1628" s="8" t="n">
        <v>10555</v>
      </c>
      <c r="F1628" s="8" t="n">
        <v>100028</v>
      </c>
      <c r="G1628" s="8" t="n">
        <v>71734</v>
      </c>
      <c r="H1628" s="8" t="n">
        <v>10845</v>
      </c>
      <c r="I1628" s="8" t="n">
        <v>10700</v>
      </c>
      <c r="J1628" s="8" t="n">
        <v>10850</v>
      </c>
      <c r="K1628" s="8" t="n">
        <v>10655</v>
      </c>
      <c r="L1628" s="8" t="n">
        <v>437958</v>
      </c>
      <c r="M1628" s="8" t="n">
        <v>372944</v>
      </c>
      <c r="N1628" t="inlineStr">
        <is>
          <t>是</t>
        </is>
      </c>
    </row>
    <row r="1629">
      <c r="A1629" s="7" t="inlineStr">
        <is>
          <t>2014-04-02</t>
        </is>
      </c>
      <c r="B1629" s="8" t="n">
        <v>10672</v>
      </c>
      <c r="C1629" s="8" t="n">
        <v>10681</v>
      </c>
      <c r="D1629" s="8" t="n">
        <v>10707</v>
      </c>
      <c r="E1629" s="8" t="n">
        <v>10650</v>
      </c>
      <c r="F1629" s="8" t="n">
        <v>48420</v>
      </c>
      <c r="G1629" s="8" t="n">
        <v>76276</v>
      </c>
      <c r="H1629" s="8" t="n">
        <v>10815</v>
      </c>
      <c r="I1629" s="8" t="n">
        <v>10835</v>
      </c>
      <c r="J1629" s="8" t="n">
        <v>10865</v>
      </c>
      <c r="K1629" s="8" t="n">
        <v>10790</v>
      </c>
      <c r="L1629" s="8" t="n">
        <v>366370</v>
      </c>
      <c r="M1629" s="8" t="n">
        <v>396814</v>
      </c>
      <c r="N1629" t="inlineStr">
        <is>
          <t>是</t>
        </is>
      </c>
    </row>
    <row r="1630">
      <c r="A1630" s="7" t="inlineStr">
        <is>
          <t>2014-04-03</t>
        </is>
      </c>
      <c r="B1630" s="8" t="n">
        <v>10685</v>
      </c>
      <c r="C1630" s="8" t="n">
        <v>10680</v>
      </c>
      <c r="D1630" s="8" t="n">
        <v>10705</v>
      </c>
      <c r="E1630" s="8" t="n">
        <v>10606</v>
      </c>
      <c r="F1630" s="8" t="n">
        <v>70136</v>
      </c>
      <c r="G1630" s="8" t="n">
        <v>80506</v>
      </c>
      <c r="H1630" s="8" t="n">
        <v>10895</v>
      </c>
      <c r="I1630" s="8" t="n">
        <v>10800</v>
      </c>
      <c r="J1630" s="8" t="n">
        <v>10910</v>
      </c>
      <c r="K1630" s="8" t="n">
        <v>10765</v>
      </c>
      <c r="L1630" s="8" t="n">
        <v>459938</v>
      </c>
      <c r="M1630" s="8" t="n">
        <v>431688</v>
      </c>
      <c r="N1630" t="inlineStr">
        <is>
          <t>是</t>
        </is>
      </c>
    </row>
    <row r="1631">
      <c r="A1631" s="7" t="inlineStr">
        <is>
          <t>2014-04-04</t>
        </is>
      </c>
      <c r="B1631" s="8" t="n">
        <v>10818</v>
      </c>
      <c r="C1631" s="8" t="n">
        <v>10685</v>
      </c>
      <c r="D1631" s="8" t="n">
        <v>10832</v>
      </c>
      <c r="E1631" s="8" t="n">
        <v>10685</v>
      </c>
      <c r="F1631" s="8" t="n">
        <v>94598</v>
      </c>
      <c r="G1631" s="8" t="n">
        <v>87828</v>
      </c>
      <c r="H1631" s="8" t="n">
        <v>10970</v>
      </c>
      <c r="I1631" s="8" t="n">
        <v>10905</v>
      </c>
      <c r="J1631" s="8" t="n">
        <v>10980</v>
      </c>
      <c r="K1631" s="8" t="n">
        <v>10890</v>
      </c>
      <c r="L1631" s="8" t="n">
        <v>308782</v>
      </c>
      <c r="M1631" s="8" t="n">
        <v>454060</v>
      </c>
      <c r="N1631" t="inlineStr">
        <is>
          <t>是</t>
        </is>
      </c>
    </row>
    <row r="1632">
      <c r="A1632" s="7" t="inlineStr">
        <is>
          <t>2014-04-08</t>
        </is>
      </c>
      <c r="B1632" s="8" t="n">
        <v>10756</v>
      </c>
      <c r="C1632" s="8" t="n">
        <v>10810</v>
      </c>
      <c r="D1632" s="8" t="n">
        <v>10838</v>
      </c>
      <c r="E1632" s="8" t="n">
        <v>10725</v>
      </c>
      <c r="F1632" s="8" t="n">
        <v>71994</v>
      </c>
      <c r="G1632" s="8" t="n">
        <v>90666</v>
      </c>
      <c r="H1632" s="8" t="n">
        <v>10885</v>
      </c>
      <c r="I1632" s="8" t="n">
        <v>10955</v>
      </c>
      <c r="J1632" s="8" t="n">
        <v>10970</v>
      </c>
      <c r="K1632" s="8" t="n">
        <v>10840</v>
      </c>
      <c r="L1632" s="8" t="n">
        <v>291416</v>
      </c>
      <c r="M1632" s="8" t="n">
        <v>427388</v>
      </c>
      <c r="N1632" t="inlineStr">
        <is>
          <t>是</t>
        </is>
      </c>
    </row>
    <row r="1633">
      <c r="A1633" s="7" t="inlineStr">
        <is>
          <t>2014-04-09</t>
        </is>
      </c>
      <c r="B1633" s="8" t="n">
        <v>10733</v>
      </c>
      <c r="C1633" s="8" t="n">
        <v>10790</v>
      </c>
      <c r="D1633" s="8" t="n">
        <v>10790</v>
      </c>
      <c r="E1633" s="8" t="n">
        <v>10660</v>
      </c>
      <c r="F1633" s="8" t="n">
        <v>86312</v>
      </c>
      <c r="G1633" s="8" t="n">
        <v>92590</v>
      </c>
      <c r="H1633" s="8" t="n">
        <v>10895</v>
      </c>
      <c r="I1633" s="8" t="n">
        <v>10900</v>
      </c>
      <c r="J1633" s="8" t="n">
        <v>10930</v>
      </c>
      <c r="K1633" s="8" t="n">
        <v>10810</v>
      </c>
      <c r="L1633" s="8" t="n">
        <v>351664</v>
      </c>
      <c r="M1633" s="8" t="n">
        <v>437798</v>
      </c>
      <c r="N1633" t="inlineStr">
        <is>
          <t>是</t>
        </is>
      </c>
    </row>
    <row r="1634">
      <c r="A1634" s="7" t="inlineStr">
        <is>
          <t>2014-04-10</t>
        </is>
      </c>
      <c r="B1634" s="8" t="n">
        <v>10682</v>
      </c>
      <c r="C1634" s="8" t="n">
        <v>10750</v>
      </c>
      <c r="D1634" s="8" t="n">
        <v>10805</v>
      </c>
      <c r="E1634" s="8" t="n">
        <v>10682</v>
      </c>
      <c r="F1634" s="8" t="n">
        <v>75362</v>
      </c>
      <c r="G1634" s="8" t="n">
        <v>94496</v>
      </c>
      <c r="H1634" s="8" t="n">
        <v>10790</v>
      </c>
      <c r="I1634" s="8" t="n">
        <v>10900</v>
      </c>
      <c r="J1634" s="8" t="n">
        <v>10940</v>
      </c>
      <c r="K1634" s="8" t="n">
        <v>10785</v>
      </c>
      <c r="L1634" s="8" t="n">
        <v>353866</v>
      </c>
      <c r="M1634" s="8" t="n">
        <v>423092</v>
      </c>
      <c r="N1634" t="inlineStr">
        <is>
          <t>是</t>
        </is>
      </c>
    </row>
    <row r="1635">
      <c r="A1635" s="7" t="inlineStr">
        <is>
          <t>2014-04-11</t>
        </is>
      </c>
      <c r="B1635" s="8" t="n">
        <v>10701</v>
      </c>
      <c r="C1635" s="8" t="n">
        <v>10670</v>
      </c>
      <c r="D1635" s="8" t="n">
        <v>10720</v>
      </c>
      <c r="E1635" s="8" t="n">
        <v>10619</v>
      </c>
      <c r="F1635" s="8" t="n">
        <v>62548</v>
      </c>
      <c r="G1635" s="8" t="n">
        <v>95732</v>
      </c>
      <c r="H1635" s="8" t="n">
        <v>10795</v>
      </c>
      <c r="I1635" s="8" t="n">
        <v>10780</v>
      </c>
      <c r="J1635" s="8" t="n">
        <v>10820</v>
      </c>
      <c r="K1635" s="8" t="n">
        <v>10745</v>
      </c>
      <c r="L1635" s="8" t="n">
        <v>246532</v>
      </c>
      <c r="M1635" s="8" t="n">
        <v>415238</v>
      </c>
      <c r="N1635" t="inlineStr">
        <is>
          <t>是</t>
        </is>
      </c>
    </row>
    <row r="1636">
      <c r="A1636" s="7" t="inlineStr">
        <is>
          <t>2014-04-14</t>
        </is>
      </c>
      <c r="B1636" s="8" t="n">
        <v>10758</v>
      </c>
      <c r="C1636" s="8" t="n">
        <v>10750</v>
      </c>
      <c r="D1636" s="8" t="n">
        <v>10774</v>
      </c>
      <c r="E1636" s="8" t="n">
        <v>10680</v>
      </c>
      <c r="F1636" s="8" t="n">
        <v>73712</v>
      </c>
      <c r="G1636" s="8" t="n">
        <v>102244</v>
      </c>
      <c r="H1636" s="8" t="n">
        <v>10875</v>
      </c>
      <c r="I1636" s="8" t="n">
        <v>10805</v>
      </c>
      <c r="J1636" s="8" t="n">
        <v>10935</v>
      </c>
      <c r="K1636" s="8" t="n">
        <v>10770</v>
      </c>
      <c r="L1636" s="8" t="n">
        <v>396980</v>
      </c>
      <c r="M1636" s="8" t="n">
        <v>404794</v>
      </c>
      <c r="N1636" t="inlineStr">
        <is>
          <t>是</t>
        </is>
      </c>
    </row>
    <row r="1637">
      <c r="A1637" s="7" t="inlineStr">
        <is>
          <t>2014-04-15</t>
        </is>
      </c>
      <c r="B1637" s="8" t="n">
        <v>10793</v>
      </c>
      <c r="C1637" s="8" t="n">
        <v>10766</v>
      </c>
      <c r="D1637" s="8" t="n">
        <v>10826</v>
      </c>
      <c r="E1637" s="8" t="n">
        <v>10728</v>
      </c>
      <c r="F1637" s="8" t="n">
        <v>89442</v>
      </c>
      <c r="G1637" s="8" t="n">
        <v>108252</v>
      </c>
      <c r="H1637" s="8" t="n">
        <v>10920</v>
      </c>
      <c r="I1637" s="8" t="n">
        <v>10870</v>
      </c>
      <c r="J1637" s="8" t="n">
        <v>10970</v>
      </c>
      <c r="K1637" s="8" t="n">
        <v>10835</v>
      </c>
      <c r="L1637" s="8" t="n">
        <v>336782</v>
      </c>
      <c r="M1637" s="8" t="n">
        <v>418656</v>
      </c>
      <c r="N1637" t="inlineStr">
        <is>
          <t>是</t>
        </is>
      </c>
    </row>
    <row r="1638">
      <c r="A1638" s="7" t="inlineStr">
        <is>
          <t>2014-04-16</t>
        </is>
      </c>
      <c r="B1638" s="8" t="n">
        <v>10772</v>
      </c>
      <c r="C1638" s="8" t="n">
        <v>10783</v>
      </c>
      <c r="D1638" s="8" t="n">
        <v>10806</v>
      </c>
      <c r="E1638" s="8" t="n">
        <v>10746</v>
      </c>
      <c r="F1638" s="8" t="n">
        <v>54288</v>
      </c>
      <c r="G1638" s="8" t="n">
        <v>108992</v>
      </c>
      <c r="H1638" s="8" t="n">
        <v>10895</v>
      </c>
      <c r="I1638" s="8" t="n">
        <v>10900</v>
      </c>
      <c r="J1638" s="8" t="n">
        <v>10935</v>
      </c>
      <c r="K1638" s="8" t="n">
        <v>10870</v>
      </c>
      <c r="L1638" s="8" t="n">
        <v>242466</v>
      </c>
      <c r="M1638" s="8" t="n">
        <v>414378</v>
      </c>
      <c r="N1638" t="inlineStr">
        <is>
          <t>是</t>
        </is>
      </c>
    </row>
    <row r="1639">
      <c r="A1639" s="7" t="inlineStr">
        <is>
          <t>2014-04-17</t>
        </is>
      </c>
      <c r="B1639" s="8" t="n">
        <v>10875</v>
      </c>
      <c r="C1639" s="8" t="n">
        <v>10770</v>
      </c>
      <c r="D1639" s="8" t="n">
        <v>10900</v>
      </c>
      <c r="E1639" s="8" t="n">
        <v>10760</v>
      </c>
      <c r="F1639" s="8" t="n">
        <v>114016</v>
      </c>
      <c r="G1639" s="8" t="n">
        <v>113784</v>
      </c>
      <c r="H1639" s="8" t="n">
        <v>10975</v>
      </c>
      <c r="I1639" s="8" t="n">
        <v>10900</v>
      </c>
      <c r="J1639" s="8" t="n">
        <v>11015</v>
      </c>
      <c r="K1639" s="8" t="n">
        <v>10875</v>
      </c>
      <c r="L1639" s="8" t="n">
        <v>419694</v>
      </c>
      <c r="M1639" s="8" t="n">
        <v>411396</v>
      </c>
      <c r="N1639" t="inlineStr">
        <is>
          <t>是</t>
        </is>
      </c>
    </row>
    <row r="1640">
      <c r="A1640" s="7" t="inlineStr">
        <is>
          <t>2014-04-18</t>
        </is>
      </c>
      <c r="B1640" s="8" t="n">
        <v>10874</v>
      </c>
      <c r="C1640" s="8" t="n">
        <v>10886</v>
      </c>
      <c r="D1640" s="8" t="n">
        <v>10887</v>
      </c>
      <c r="E1640" s="8" t="n">
        <v>10792</v>
      </c>
      <c r="F1640" s="8" t="n">
        <v>80578</v>
      </c>
      <c r="G1640" s="8" t="n">
        <v>108110</v>
      </c>
      <c r="H1640" s="8" t="n">
        <v>11025</v>
      </c>
      <c r="I1640" s="8" t="n">
        <v>10980</v>
      </c>
      <c r="J1640" s="8" t="n">
        <v>11040</v>
      </c>
      <c r="K1640" s="8" t="n">
        <v>10925</v>
      </c>
      <c r="L1640" s="8" t="n">
        <v>424730</v>
      </c>
      <c r="M1640" s="8" t="n">
        <v>398166</v>
      </c>
      <c r="N1640" t="inlineStr">
        <is>
          <t>是</t>
        </is>
      </c>
    </row>
    <row r="1641">
      <c r="A1641" s="7" t="inlineStr">
        <is>
          <t>2014-04-21</t>
        </is>
      </c>
      <c r="B1641" s="8" t="n">
        <v>10887</v>
      </c>
      <c r="C1641" s="8" t="n">
        <v>10875</v>
      </c>
      <c r="D1641" s="8" t="n">
        <v>10938</v>
      </c>
      <c r="E1641" s="8" t="n">
        <v>10834</v>
      </c>
      <c r="F1641" s="8" t="n">
        <v>54852</v>
      </c>
      <c r="G1641" s="8" t="n">
        <v>109696</v>
      </c>
      <c r="H1641" s="8" t="n">
        <v>11025</v>
      </c>
      <c r="I1641" s="8" t="n">
        <v>11020</v>
      </c>
      <c r="J1641" s="8" t="n">
        <v>11055</v>
      </c>
      <c r="K1641" s="8" t="n">
        <v>10955</v>
      </c>
      <c r="L1641" s="8" t="n">
        <v>386194</v>
      </c>
      <c r="M1641" s="8" t="n">
        <v>413262</v>
      </c>
      <c r="N1641" t="inlineStr">
        <is>
          <t>是</t>
        </is>
      </c>
    </row>
    <row r="1642">
      <c r="A1642" s="7" t="inlineStr">
        <is>
          <t>2014-04-22</t>
        </is>
      </c>
      <c r="B1642" s="8" t="n">
        <v>10975</v>
      </c>
      <c r="C1642" s="8" t="n">
        <v>10890</v>
      </c>
      <c r="D1642" s="8" t="n">
        <v>11040</v>
      </c>
      <c r="E1642" s="8" t="n">
        <v>10861</v>
      </c>
      <c r="F1642" s="8" t="n">
        <v>145848</v>
      </c>
      <c r="G1642" s="8" t="n">
        <v>123188</v>
      </c>
      <c r="H1642" s="8" t="n">
        <v>11155</v>
      </c>
      <c r="I1642" s="8" t="n">
        <v>11015</v>
      </c>
      <c r="J1642" s="8" t="n">
        <v>11180</v>
      </c>
      <c r="K1642" s="8" t="n">
        <v>10985</v>
      </c>
      <c r="L1642" s="8" t="n">
        <v>542426</v>
      </c>
      <c r="M1642" s="8" t="n">
        <v>441002</v>
      </c>
      <c r="N1642" t="inlineStr">
        <is>
          <t>是</t>
        </is>
      </c>
    </row>
    <row r="1643">
      <c r="A1643" s="7" t="inlineStr">
        <is>
          <t>2014-04-23</t>
        </is>
      </c>
      <c r="B1643" s="8" t="n">
        <v>10925</v>
      </c>
      <c r="C1643" s="8" t="n">
        <v>10985</v>
      </c>
      <c r="D1643" s="8" t="n">
        <v>10986</v>
      </c>
      <c r="E1643" s="8" t="n">
        <v>10867</v>
      </c>
      <c r="F1643" s="8" t="n">
        <v>90662</v>
      </c>
      <c r="G1643" s="8" t="n">
        <v>123264</v>
      </c>
      <c r="H1643" s="8" t="n">
        <v>11135</v>
      </c>
      <c r="I1643" s="8" t="n">
        <v>11140</v>
      </c>
      <c r="J1643" s="8" t="n">
        <v>11165</v>
      </c>
      <c r="K1643" s="8" t="n">
        <v>11065</v>
      </c>
      <c r="L1643" s="8" t="n">
        <v>366046</v>
      </c>
      <c r="M1643" s="8" t="n">
        <v>428832</v>
      </c>
      <c r="N1643" t="inlineStr">
        <is>
          <t>是</t>
        </is>
      </c>
    </row>
    <row r="1644">
      <c r="A1644" s="7" t="inlineStr">
        <is>
          <t>2014-04-24</t>
        </is>
      </c>
      <c r="B1644" s="8" t="n">
        <v>10847</v>
      </c>
      <c r="C1644" s="8" t="n">
        <v>10924</v>
      </c>
      <c r="D1644" s="8" t="n">
        <v>10949</v>
      </c>
      <c r="E1644" s="8" t="n">
        <v>10838</v>
      </c>
      <c r="F1644" s="8" t="n">
        <v>80196</v>
      </c>
      <c r="G1644" s="8" t="n">
        <v>125560</v>
      </c>
      <c r="H1644" s="8" t="n">
        <v>11125</v>
      </c>
      <c r="I1644" s="8" t="n">
        <v>11120</v>
      </c>
      <c r="J1644" s="8" t="n">
        <v>11155</v>
      </c>
      <c r="K1644" s="8" t="n">
        <v>11065</v>
      </c>
      <c r="L1644" s="8" t="n">
        <v>362302</v>
      </c>
      <c r="M1644" s="8" t="n">
        <v>422296</v>
      </c>
      <c r="N1644" t="inlineStr">
        <is>
          <t>是</t>
        </is>
      </c>
    </row>
    <row r="1645">
      <c r="A1645" s="7" t="inlineStr">
        <is>
          <t>2014-04-25</t>
        </is>
      </c>
      <c r="B1645" s="8" t="n">
        <v>10703</v>
      </c>
      <c r="C1645" s="8" t="n">
        <v>10900</v>
      </c>
      <c r="D1645" s="8" t="n">
        <v>10919</v>
      </c>
      <c r="E1645" s="8" t="n">
        <v>10685</v>
      </c>
      <c r="F1645" s="8" t="n">
        <v>126660</v>
      </c>
      <c r="G1645" s="8" t="n">
        <v>122218</v>
      </c>
      <c r="H1645" s="8" t="n">
        <v>10940</v>
      </c>
      <c r="I1645" s="8" t="n">
        <v>11125</v>
      </c>
      <c r="J1645" s="8" t="n">
        <v>11145</v>
      </c>
      <c r="K1645" s="8" t="n">
        <v>10935</v>
      </c>
      <c r="L1645" s="8" t="n">
        <v>489428</v>
      </c>
      <c r="M1645" s="8" t="n">
        <v>406700</v>
      </c>
      <c r="N1645" t="inlineStr">
        <is>
          <t>是</t>
        </is>
      </c>
    </row>
    <row r="1646">
      <c r="A1646" s="7" t="inlineStr">
        <is>
          <t>2014-04-28</t>
        </is>
      </c>
      <c r="B1646" s="8" t="n">
        <v>10706</v>
      </c>
      <c r="C1646" s="8" t="n">
        <v>10710</v>
      </c>
      <c r="D1646" s="8" t="n">
        <v>10728</v>
      </c>
      <c r="E1646" s="8" t="n">
        <v>10660</v>
      </c>
      <c r="F1646" s="8" t="n">
        <v>67444</v>
      </c>
      <c r="G1646" s="8" t="n">
        <v>117050</v>
      </c>
      <c r="H1646" s="8" t="n">
        <v>10895</v>
      </c>
      <c r="I1646" s="8" t="n">
        <v>10925</v>
      </c>
      <c r="J1646" s="8" t="n">
        <v>10940</v>
      </c>
      <c r="K1646" s="8" t="n">
        <v>10865</v>
      </c>
      <c r="L1646" s="8" t="n">
        <v>282570</v>
      </c>
      <c r="M1646" s="8" t="n">
        <v>393484</v>
      </c>
      <c r="N1646" t="inlineStr">
        <is>
          <t>是</t>
        </is>
      </c>
    </row>
    <row r="1647">
      <c r="A1647" s="7" t="inlineStr">
        <is>
          <t>2014-04-29</t>
        </is>
      </c>
      <c r="B1647" s="8" t="n">
        <v>10758</v>
      </c>
      <c r="C1647" s="8" t="n">
        <v>10700</v>
      </c>
      <c r="D1647" s="8" t="n">
        <v>10770</v>
      </c>
      <c r="E1647" s="8" t="n">
        <v>10656</v>
      </c>
      <c r="F1647" s="8" t="n">
        <v>90210</v>
      </c>
      <c r="G1647" s="8" t="n">
        <v>118032</v>
      </c>
      <c r="H1647" s="8" t="n">
        <v>10925</v>
      </c>
      <c r="I1647" s="8" t="n">
        <v>10890</v>
      </c>
      <c r="J1647" s="8" t="n">
        <v>10955</v>
      </c>
      <c r="K1647" s="8" t="n">
        <v>10840</v>
      </c>
      <c r="L1647" s="8" t="n">
        <v>359294</v>
      </c>
      <c r="M1647" s="8" t="n">
        <v>413036</v>
      </c>
      <c r="N1647" t="inlineStr">
        <is>
          <t>是</t>
        </is>
      </c>
    </row>
    <row r="1648">
      <c r="A1648" s="7" t="inlineStr">
        <is>
          <t>2014-04-30</t>
        </is>
      </c>
      <c r="B1648" s="8" t="n">
        <v>10747</v>
      </c>
      <c r="C1648" s="8" t="n">
        <v>10762</v>
      </c>
      <c r="D1648" s="8" t="n">
        <v>10775</v>
      </c>
      <c r="E1648" s="8" t="n">
        <v>10713</v>
      </c>
      <c r="F1648" s="8" t="n">
        <v>79484</v>
      </c>
      <c r="G1648" s="8" t="n">
        <v>125832</v>
      </c>
      <c r="H1648" s="8" t="n">
        <v>10915</v>
      </c>
      <c r="I1648" s="8" t="n">
        <v>10920</v>
      </c>
      <c r="J1648" s="8" t="n">
        <v>10950</v>
      </c>
      <c r="K1648" s="8" t="n">
        <v>10870</v>
      </c>
      <c r="L1648" s="8" t="n">
        <v>314582</v>
      </c>
      <c r="M1648" s="8" t="n">
        <v>402554</v>
      </c>
      <c r="N1648" t="inlineStr">
        <is>
          <t>是</t>
        </is>
      </c>
    </row>
    <row r="1649">
      <c r="A1649" s="7" t="inlineStr">
        <is>
          <t>2014-05-01</t>
        </is>
      </c>
      <c r="B1649" s="8" t="n"/>
      <c r="C1649" s="8" t="n"/>
      <c r="D1649" s="8" t="n"/>
      <c r="E1649" s="8" t="n"/>
      <c r="F1649" s="8" t="n"/>
      <c r="G1649" s="8" t="n"/>
      <c r="H1649" s="8" t="n">
        <v>10915</v>
      </c>
      <c r="I1649" s="8" t="n">
        <v>10915</v>
      </c>
      <c r="J1649" s="8" t="n">
        <v>10915</v>
      </c>
      <c r="K1649" s="8" t="n">
        <v>10915</v>
      </c>
      <c r="L1649" s="8" t="n">
        <v>20</v>
      </c>
      <c r="M1649" s="8" t="n">
        <v>12</v>
      </c>
      <c r="N1649" s="9" t="inlineStr">
        <is>
          <t>否</t>
        </is>
      </c>
      <c r="O1649" t="inlineStr">
        <is>
          <t>缺 PP</t>
        </is>
      </c>
    </row>
    <row r="1650">
      <c r="A1650" s="7" t="inlineStr">
        <is>
          <t>2014-05-05</t>
        </is>
      </c>
      <c r="B1650" s="8" t="n">
        <v>10847</v>
      </c>
      <c r="C1650" s="8" t="n">
        <v>10750</v>
      </c>
      <c r="D1650" s="8" t="n">
        <v>10848</v>
      </c>
      <c r="E1650" s="8" t="n">
        <v>10675</v>
      </c>
      <c r="F1650" s="8" t="n">
        <v>125622</v>
      </c>
      <c r="G1650" s="8" t="n">
        <v>125364</v>
      </c>
      <c r="H1650" s="8" t="n">
        <v>11075</v>
      </c>
      <c r="I1650" s="8" t="n">
        <v>10915</v>
      </c>
      <c r="J1650" s="8" t="n">
        <v>11085</v>
      </c>
      <c r="K1650" s="8" t="n">
        <v>10885</v>
      </c>
      <c r="L1650" s="8" t="n">
        <v>452940</v>
      </c>
      <c r="M1650" s="8" t="n">
        <v>444228</v>
      </c>
      <c r="N1650" t="inlineStr">
        <is>
          <t>是</t>
        </is>
      </c>
    </row>
    <row r="1651">
      <c r="A1651" s="7" t="inlineStr">
        <is>
          <t>2014-05-06</t>
        </is>
      </c>
      <c r="B1651" s="8" t="n">
        <v>10850</v>
      </c>
      <c r="C1651" s="8" t="n">
        <v>10832</v>
      </c>
      <c r="D1651" s="8" t="n">
        <v>10890</v>
      </c>
      <c r="E1651" s="8" t="n">
        <v>10808</v>
      </c>
      <c r="F1651" s="8" t="n">
        <v>133100</v>
      </c>
      <c r="G1651" s="8" t="n">
        <v>124310</v>
      </c>
      <c r="H1651" s="8" t="n">
        <v>11145</v>
      </c>
      <c r="I1651" s="8" t="n">
        <v>11070</v>
      </c>
      <c r="J1651" s="8" t="n">
        <v>11150</v>
      </c>
      <c r="K1651" s="8" t="n">
        <v>11040</v>
      </c>
      <c r="L1651" s="8" t="n">
        <v>416608</v>
      </c>
      <c r="M1651" s="8" t="n">
        <v>441456</v>
      </c>
      <c r="N1651" t="inlineStr">
        <is>
          <t>是</t>
        </is>
      </c>
    </row>
    <row r="1652">
      <c r="A1652" s="7" t="inlineStr">
        <is>
          <t>2014-05-07</t>
        </is>
      </c>
      <c r="B1652" s="8" t="n">
        <v>10932</v>
      </c>
      <c r="C1652" s="8" t="n">
        <v>10850</v>
      </c>
      <c r="D1652" s="8" t="n">
        <v>10965</v>
      </c>
      <c r="E1652" s="8" t="n">
        <v>10823</v>
      </c>
      <c r="F1652" s="8" t="n">
        <v>171048</v>
      </c>
      <c r="G1652" s="8" t="n">
        <v>112828</v>
      </c>
      <c r="H1652" s="8" t="n">
        <v>11300</v>
      </c>
      <c r="I1652" s="8" t="n">
        <v>11145</v>
      </c>
      <c r="J1652" s="8" t="n">
        <v>11320</v>
      </c>
      <c r="K1652" s="8" t="n">
        <v>11130</v>
      </c>
      <c r="L1652" s="8" t="n">
        <v>562844</v>
      </c>
      <c r="M1652" s="8" t="n">
        <v>469510</v>
      </c>
      <c r="N1652" t="inlineStr">
        <is>
          <t>是</t>
        </is>
      </c>
    </row>
    <row r="1653">
      <c r="A1653" s="7" t="inlineStr">
        <is>
          <t>2014-05-08</t>
        </is>
      </c>
      <c r="B1653" s="8" t="n">
        <v>10872</v>
      </c>
      <c r="C1653" s="8" t="n">
        <v>10955</v>
      </c>
      <c r="D1653" s="8" t="n">
        <v>10955</v>
      </c>
      <c r="E1653" s="8" t="n">
        <v>10843</v>
      </c>
      <c r="F1653" s="8" t="n">
        <v>91622</v>
      </c>
      <c r="G1653" s="8" t="n">
        <v>106412</v>
      </c>
      <c r="H1653" s="8" t="n">
        <v>11250</v>
      </c>
      <c r="I1653" s="8" t="n">
        <v>11300</v>
      </c>
      <c r="J1653" s="8" t="n">
        <v>11340</v>
      </c>
      <c r="K1653" s="8" t="n">
        <v>11210</v>
      </c>
      <c r="L1653" s="8" t="n">
        <v>390540</v>
      </c>
      <c r="M1653" s="8" t="n">
        <v>434270</v>
      </c>
      <c r="N1653" t="inlineStr">
        <is>
          <t>是</t>
        </is>
      </c>
    </row>
    <row r="1654">
      <c r="A1654" s="7" t="inlineStr">
        <is>
          <t>2014-05-09</t>
        </is>
      </c>
      <c r="B1654" s="8" t="n">
        <v>10771</v>
      </c>
      <c r="C1654" s="8" t="n">
        <v>10884</v>
      </c>
      <c r="D1654" s="8" t="n">
        <v>10884</v>
      </c>
      <c r="E1654" s="8" t="n">
        <v>10750</v>
      </c>
      <c r="F1654" s="8" t="n">
        <v>102862</v>
      </c>
      <c r="G1654" s="8" t="n">
        <v>108646</v>
      </c>
      <c r="H1654" s="8" t="n">
        <v>11230</v>
      </c>
      <c r="I1654" s="8" t="n">
        <v>11260</v>
      </c>
      <c r="J1654" s="8" t="n">
        <v>11280</v>
      </c>
      <c r="K1654" s="8" t="n">
        <v>11190</v>
      </c>
      <c r="L1654" s="8" t="n">
        <v>325654</v>
      </c>
      <c r="M1654" s="8" t="n">
        <v>449318</v>
      </c>
      <c r="N1654" t="inlineStr">
        <is>
          <t>是</t>
        </is>
      </c>
    </row>
    <row r="1655">
      <c r="A1655" s="7" t="inlineStr">
        <is>
          <t>2014-05-12</t>
        </is>
      </c>
      <c r="B1655" s="8" t="n">
        <v>10751</v>
      </c>
      <c r="C1655" s="8" t="n">
        <v>10790</v>
      </c>
      <c r="D1655" s="8" t="n">
        <v>10830</v>
      </c>
      <c r="E1655" s="8" t="n">
        <v>10714</v>
      </c>
      <c r="F1655" s="8" t="n">
        <v>125740</v>
      </c>
      <c r="G1655" s="8" t="n">
        <v>104282</v>
      </c>
      <c r="H1655" s="8" t="n">
        <v>11140</v>
      </c>
      <c r="I1655" s="8" t="n">
        <v>11205</v>
      </c>
      <c r="J1655" s="8" t="n">
        <v>11275</v>
      </c>
      <c r="K1655" s="8" t="n">
        <v>11110</v>
      </c>
      <c r="L1655" s="8" t="n">
        <v>425242</v>
      </c>
      <c r="M1655" s="8" t="n">
        <v>423224</v>
      </c>
      <c r="N1655" t="inlineStr">
        <is>
          <t>是</t>
        </is>
      </c>
    </row>
    <row r="1656">
      <c r="A1656" s="7" t="inlineStr">
        <is>
          <t>2014-05-13</t>
        </is>
      </c>
      <c r="B1656" s="8" t="n">
        <v>10780</v>
      </c>
      <c r="C1656" s="8" t="n">
        <v>10773</v>
      </c>
      <c r="D1656" s="8" t="n">
        <v>10786</v>
      </c>
      <c r="E1656" s="8" t="n">
        <v>10725</v>
      </c>
      <c r="F1656" s="8" t="n">
        <v>82388</v>
      </c>
      <c r="G1656" s="8" t="n">
        <v>100942</v>
      </c>
      <c r="H1656" s="8" t="n">
        <v>11180</v>
      </c>
      <c r="I1656" s="8" t="n">
        <v>11140</v>
      </c>
      <c r="J1656" s="8" t="n">
        <v>11215</v>
      </c>
      <c r="K1656" s="8" t="n">
        <v>11120</v>
      </c>
      <c r="L1656" s="8" t="n">
        <v>279196</v>
      </c>
      <c r="M1656" s="8" t="n">
        <v>436962</v>
      </c>
      <c r="N1656" t="inlineStr">
        <is>
          <t>是</t>
        </is>
      </c>
    </row>
    <row r="1657">
      <c r="A1657" s="7" t="inlineStr">
        <is>
          <t>2014-05-14</t>
        </is>
      </c>
      <c r="B1657" s="8" t="n">
        <v>10752</v>
      </c>
      <c r="C1657" s="8" t="n">
        <v>10810</v>
      </c>
      <c r="D1657" s="8" t="n">
        <v>10815</v>
      </c>
      <c r="E1657" s="8" t="n">
        <v>10718</v>
      </c>
      <c r="F1657" s="8" t="n">
        <v>91380</v>
      </c>
      <c r="G1657" s="8" t="n">
        <v>103418</v>
      </c>
      <c r="H1657" s="8" t="n">
        <v>11180</v>
      </c>
      <c r="I1657" s="8" t="n">
        <v>11210</v>
      </c>
      <c r="J1657" s="8" t="n">
        <v>11240</v>
      </c>
      <c r="K1657" s="8" t="n">
        <v>11130</v>
      </c>
      <c r="L1657" s="8" t="n">
        <v>266768</v>
      </c>
      <c r="M1657" s="8" t="n">
        <v>438694</v>
      </c>
      <c r="N1657" t="inlineStr">
        <is>
          <t>是</t>
        </is>
      </c>
    </row>
    <row r="1658">
      <c r="A1658" s="7" t="inlineStr">
        <is>
          <t>2014-05-15</t>
        </is>
      </c>
      <c r="B1658" s="8" t="n">
        <v>10676</v>
      </c>
      <c r="C1658" s="8" t="n">
        <v>10740</v>
      </c>
      <c r="D1658" s="8" t="n">
        <v>10740</v>
      </c>
      <c r="E1658" s="8" t="n">
        <v>10667</v>
      </c>
      <c r="F1658" s="8" t="n">
        <v>111384</v>
      </c>
      <c r="G1658" s="8" t="n">
        <v>109596</v>
      </c>
      <c r="H1658" s="8" t="n">
        <v>11100</v>
      </c>
      <c r="I1658" s="8" t="n">
        <v>11180</v>
      </c>
      <c r="J1658" s="8" t="n">
        <v>11205</v>
      </c>
      <c r="K1658" s="8" t="n">
        <v>11090</v>
      </c>
      <c r="L1658" s="8" t="n">
        <v>324448</v>
      </c>
      <c r="M1658" s="8" t="n">
        <v>442570</v>
      </c>
      <c r="N1658" t="inlineStr">
        <is>
          <t>是</t>
        </is>
      </c>
    </row>
    <row r="1659">
      <c r="A1659" s="7" t="inlineStr">
        <is>
          <t>2014-05-16</t>
        </is>
      </c>
      <c r="B1659" s="8" t="n">
        <v>10691</v>
      </c>
      <c r="C1659" s="8" t="n">
        <v>10665</v>
      </c>
      <c r="D1659" s="8" t="n">
        <v>10692</v>
      </c>
      <c r="E1659" s="8" t="n">
        <v>10600</v>
      </c>
      <c r="F1659" s="8" t="n">
        <v>113124</v>
      </c>
      <c r="G1659" s="8" t="n">
        <v>119902</v>
      </c>
      <c r="H1659" s="8" t="n">
        <v>11030</v>
      </c>
      <c r="I1659" s="8" t="n">
        <v>11090</v>
      </c>
      <c r="J1659" s="8" t="n">
        <v>11090</v>
      </c>
      <c r="K1659" s="8" t="n">
        <v>10975</v>
      </c>
      <c r="L1659" s="8" t="n">
        <v>377104</v>
      </c>
      <c r="M1659" s="8" t="n">
        <v>466210</v>
      </c>
      <c r="N1659" t="inlineStr">
        <is>
          <t>是</t>
        </is>
      </c>
    </row>
    <row r="1660">
      <c r="A1660" s="7" t="inlineStr">
        <is>
          <t>2014-05-19</t>
        </is>
      </c>
      <c r="B1660" s="8" t="n">
        <v>10697</v>
      </c>
      <c r="C1660" s="8" t="n">
        <v>10688</v>
      </c>
      <c r="D1660" s="8" t="n">
        <v>10750</v>
      </c>
      <c r="E1660" s="8" t="n">
        <v>10640</v>
      </c>
      <c r="F1660" s="8" t="n">
        <v>115126</v>
      </c>
      <c r="G1660" s="8" t="n">
        <v>127830</v>
      </c>
      <c r="H1660" s="8" t="n">
        <v>10985</v>
      </c>
      <c r="I1660" s="8" t="n">
        <v>11030</v>
      </c>
      <c r="J1660" s="8" t="n">
        <v>11055</v>
      </c>
      <c r="K1660" s="8" t="n">
        <v>10960</v>
      </c>
      <c r="L1660" s="8" t="n">
        <v>311374</v>
      </c>
      <c r="M1660" s="8" t="n">
        <v>444504</v>
      </c>
      <c r="N1660" t="inlineStr">
        <is>
          <t>是</t>
        </is>
      </c>
    </row>
    <row r="1661">
      <c r="A1661" s="7" t="inlineStr">
        <is>
          <t>2014-05-20</t>
        </is>
      </c>
      <c r="B1661" s="8" t="n">
        <v>10695</v>
      </c>
      <c r="C1661" s="8" t="n">
        <v>10680</v>
      </c>
      <c r="D1661" s="8" t="n">
        <v>10705</v>
      </c>
      <c r="E1661" s="8" t="n">
        <v>10623</v>
      </c>
      <c r="F1661" s="8" t="n">
        <v>95388</v>
      </c>
      <c r="G1661" s="8" t="n">
        <v>133746</v>
      </c>
      <c r="H1661" s="8" t="n">
        <v>11055</v>
      </c>
      <c r="I1661" s="8" t="n">
        <v>10980</v>
      </c>
      <c r="J1661" s="8" t="n">
        <v>11055</v>
      </c>
      <c r="K1661" s="8" t="n">
        <v>10965</v>
      </c>
      <c r="L1661" s="8" t="n">
        <v>241392</v>
      </c>
      <c r="M1661" s="8" t="n">
        <v>461412</v>
      </c>
      <c r="N1661" t="inlineStr">
        <is>
          <t>是</t>
        </is>
      </c>
    </row>
    <row r="1662">
      <c r="A1662" s="7" t="inlineStr">
        <is>
          <t>2014-05-21</t>
        </is>
      </c>
      <c r="B1662" s="8" t="n">
        <v>10765</v>
      </c>
      <c r="C1662" s="8" t="n">
        <v>10681</v>
      </c>
      <c r="D1662" s="8" t="n">
        <v>10790</v>
      </c>
      <c r="E1662" s="8" t="n">
        <v>10655</v>
      </c>
      <c r="F1662" s="8" t="n">
        <v>155160</v>
      </c>
      <c r="G1662" s="8" t="n">
        <v>136476</v>
      </c>
      <c r="H1662" s="8" t="n">
        <v>11225</v>
      </c>
      <c r="I1662" s="8" t="n">
        <v>11050</v>
      </c>
      <c r="J1662" s="8" t="n">
        <v>11305</v>
      </c>
      <c r="K1662" s="8" t="n">
        <v>11045</v>
      </c>
      <c r="L1662" s="8" t="n">
        <v>682278</v>
      </c>
      <c r="M1662" s="8" t="n">
        <v>480574</v>
      </c>
      <c r="N1662" t="inlineStr">
        <is>
          <t>是</t>
        </is>
      </c>
    </row>
    <row r="1663">
      <c r="A1663" s="7" t="inlineStr">
        <is>
          <t>2014-05-22</t>
        </is>
      </c>
      <c r="B1663" s="8" t="n">
        <v>10922</v>
      </c>
      <c r="C1663" s="8" t="n">
        <v>10765</v>
      </c>
      <c r="D1663" s="8" t="n">
        <v>10926</v>
      </c>
      <c r="E1663" s="8" t="n">
        <v>10755</v>
      </c>
      <c r="F1663" s="8" t="n">
        <v>161550</v>
      </c>
      <c r="G1663" s="8" t="n">
        <v>145146</v>
      </c>
      <c r="H1663" s="8" t="n">
        <v>11340</v>
      </c>
      <c r="I1663" s="8" t="n">
        <v>11245</v>
      </c>
      <c r="J1663" s="8" t="n">
        <v>11350</v>
      </c>
      <c r="K1663" s="8" t="n">
        <v>11220</v>
      </c>
      <c r="L1663" s="8" t="n">
        <v>454722</v>
      </c>
      <c r="M1663" s="8" t="n">
        <v>485280</v>
      </c>
      <c r="N1663" t="inlineStr">
        <is>
          <t>是</t>
        </is>
      </c>
    </row>
    <row r="1664">
      <c r="A1664" s="7" t="inlineStr">
        <is>
          <t>2014-05-23</t>
        </is>
      </c>
      <c r="B1664" s="8" t="n">
        <v>11039</v>
      </c>
      <c r="C1664" s="8" t="n">
        <v>10914</v>
      </c>
      <c r="D1664" s="8" t="n">
        <v>11050</v>
      </c>
      <c r="E1664" s="8" t="n">
        <v>10883</v>
      </c>
      <c r="F1664" s="8" t="n">
        <v>222240</v>
      </c>
      <c r="G1664" s="8" t="n">
        <v>136714</v>
      </c>
      <c r="H1664" s="8" t="n">
        <v>11390</v>
      </c>
      <c r="I1664" s="8" t="n">
        <v>11350</v>
      </c>
      <c r="J1664" s="8" t="n">
        <v>11410</v>
      </c>
      <c r="K1664" s="8" t="n">
        <v>11280</v>
      </c>
      <c r="L1664" s="8" t="n">
        <v>464082</v>
      </c>
      <c r="M1664" s="8" t="n">
        <v>475020</v>
      </c>
      <c r="N1664" t="inlineStr">
        <is>
          <t>是</t>
        </is>
      </c>
    </row>
    <row r="1665">
      <c r="A1665" s="7" t="inlineStr">
        <is>
          <t>2014-05-26</t>
        </is>
      </c>
      <c r="B1665" s="8" t="n">
        <v>11056</v>
      </c>
      <c r="C1665" s="8" t="n">
        <v>11038</v>
      </c>
      <c r="D1665" s="8" t="n">
        <v>11081</v>
      </c>
      <c r="E1665" s="8" t="n">
        <v>10967</v>
      </c>
      <c r="F1665" s="8" t="n">
        <v>163006</v>
      </c>
      <c r="G1665" s="8" t="n">
        <v>140360</v>
      </c>
      <c r="H1665" s="8" t="n">
        <v>11315</v>
      </c>
      <c r="I1665" s="8" t="n">
        <v>11385</v>
      </c>
      <c r="J1665" s="8" t="n">
        <v>11385</v>
      </c>
      <c r="K1665" s="8" t="n">
        <v>11275</v>
      </c>
      <c r="L1665" s="8" t="n">
        <v>358712</v>
      </c>
      <c r="M1665" s="8" t="n">
        <v>495420</v>
      </c>
      <c r="N1665" t="inlineStr">
        <is>
          <t>是</t>
        </is>
      </c>
    </row>
    <row r="1666">
      <c r="A1666" s="7" t="inlineStr">
        <is>
          <t>2014-05-27</t>
        </is>
      </c>
      <c r="B1666" s="8" t="n">
        <v>10830</v>
      </c>
      <c r="C1666" s="8" t="n">
        <v>11041</v>
      </c>
      <c r="D1666" s="8" t="n">
        <v>11049</v>
      </c>
      <c r="E1666" s="8" t="n">
        <v>10825</v>
      </c>
      <c r="F1666" s="8" t="n">
        <v>173612</v>
      </c>
      <c r="G1666" s="8" t="n">
        <v>119182</v>
      </c>
      <c r="H1666" s="8" t="n">
        <v>11130</v>
      </c>
      <c r="I1666" s="8" t="n">
        <v>11300</v>
      </c>
      <c r="J1666" s="8" t="n">
        <v>11325</v>
      </c>
      <c r="K1666" s="8" t="n">
        <v>11130</v>
      </c>
      <c r="L1666" s="8" t="n">
        <v>516746</v>
      </c>
      <c r="M1666" s="8" t="n">
        <v>501752</v>
      </c>
      <c r="N1666" t="inlineStr">
        <is>
          <t>是</t>
        </is>
      </c>
    </row>
    <row r="1667">
      <c r="A1667" s="7" t="inlineStr">
        <is>
          <t>2014-05-28</t>
        </is>
      </c>
      <c r="B1667" s="8" t="n">
        <v>10872</v>
      </c>
      <c r="C1667" s="8" t="n">
        <v>10827</v>
      </c>
      <c r="D1667" s="8" t="n">
        <v>10874</v>
      </c>
      <c r="E1667" s="8" t="n">
        <v>10765</v>
      </c>
      <c r="F1667" s="8" t="n">
        <v>92028</v>
      </c>
      <c r="G1667" s="8" t="n">
        <v>111856</v>
      </c>
      <c r="H1667" s="8" t="n">
        <v>11180</v>
      </c>
      <c r="I1667" s="8" t="n">
        <v>11100</v>
      </c>
      <c r="J1667" s="8" t="n">
        <v>11185</v>
      </c>
      <c r="K1667" s="8" t="n">
        <v>11070</v>
      </c>
      <c r="L1667" s="8" t="n">
        <v>243334</v>
      </c>
      <c r="M1667" s="8" t="n">
        <v>495958</v>
      </c>
      <c r="N1667" t="inlineStr">
        <is>
          <t>是</t>
        </is>
      </c>
    </row>
    <row r="1668">
      <c r="A1668" s="7" t="inlineStr">
        <is>
          <t>2014-05-29</t>
        </is>
      </c>
      <c r="B1668" s="8" t="n">
        <v>10934</v>
      </c>
      <c r="C1668" s="8" t="n">
        <v>10840</v>
      </c>
      <c r="D1668" s="8" t="n">
        <v>10978</v>
      </c>
      <c r="E1668" s="8" t="n">
        <v>10840</v>
      </c>
      <c r="F1668" s="8" t="n">
        <v>133552</v>
      </c>
      <c r="G1668" s="8" t="n">
        <v>111856</v>
      </c>
      <c r="H1668" s="8" t="n">
        <v>11290</v>
      </c>
      <c r="I1668" s="8" t="n">
        <v>11155</v>
      </c>
      <c r="J1668" s="8" t="n">
        <v>11325</v>
      </c>
      <c r="K1668" s="8" t="n">
        <v>11135</v>
      </c>
      <c r="L1668" s="8" t="n">
        <v>491366</v>
      </c>
      <c r="M1668" s="8" t="n">
        <v>528748</v>
      </c>
      <c r="N1668" t="inlineStr">
        <is>
          <t>是</t>
        </is>
      </c>
    </row>
    <row r="1669">
      <c r="A1669" s="7" t="inlineStr">
        <is>
          <t>2014-05-30</t>
        </is>
      </c>
      <c r="B1669" s="8" t="n">
        <v>10985</v>
      </c>
      <c r="C1669" s="8" t="n">
        <v>10933</v>
      </c>
      <c r="D1669" s="8" t="n">
        <v>10994</v>
      </c>
      <c r="E1669" s="8" t="n">
        <v>10871</v>
      </c>
      <c r="F1669" s="8" t="n">
        <v>124940</v>
      </c>
      <c r="G1669" s="8" t="n">
        <v>112712</v>
      </c>
      <c r="H1669" s="8" t="n">
        <v>11285</v>
      </c>
      <c r="I1669" s="8" t="n">
        <v>11305</v>
      </c>
      <c r="J1669" s="8" t="n">
        <v>11315</v>
      </c>
      <c r="K1669" s="8" t="n">
        <v>11205</v>
      </c>
      <c r="L1669" s="8" t="n">
        <v>310664</v>
      </c>
      <c r="M1669" s="8" t="n">
        <v>512104</v>
      </c>
      <c r="N1669" t="inlineStr">
        <is>
          <t>是</t>
        </is>
      </c>
    </row>
    <row r="1670">
      <c r="A1670" s="7" t="inlineStr">
        <is>
          <t>2014-06-03</t>
        </is>
      </c>
      <c r="B1670" s="8" t="n">
        <v>11073</v>
      </c>
      <c r="C1670" s="8" t="n">
        <v>11000</v>
      </c>
      <c r="D1670" s="8" t="n">
        <v>11078</v>
      </c>
      <c r="E1670" s="8" t="n">
        <v>10970</v>
      </c>
      <c r="F1670" s="8" t="n">
        <v>132976</v>
      </c>
      <c r="G1670" s="8" t="n">
        <v>120034</v>
      </c>
      <c r="H1670" s="8" t="n">
        <v>11405</v>
      </c>
      <c r="I1670" s="8" t="n">
        <v>11290</v>
      </c>
      <c r="J1670" s="8" t="n">
        <v>11420</v>
      </c>
      <c r="K1670" s="8" t="n">
        <v>11255</v>
      </c>
      <c r="L1670" s="8" t="n">
        <v>345894</v>
      </c>
      <c r="M1670" s="8" t="n">
        <v>519356</v>
      </c>
      <c r="N1670" t="inlineStr">
        <is>
          <t>是</t>
        </is>
      </c>
    </row>
    <row r="1671">
      <c r="A1671" s="7" t="inlineStr">
        <is>
          <t>2014-06-04</t>
        </is>
      </c>
      <c r="B1671" s="8" t="n">
        <v>11065</v>
      </c>
      <c r="C1671" s="8" t="n">
        <v>11070</v>
      </c>
      <c r="D1671" s="8" t="n">
        <v>11146</v>
      </c>
      <c r="E1671" s="8" t="n">
        <v>11045</v>
      </c>
      <c r="F1671" s="8" t="n">
        <v>174432</v>
      </c>
      <c r="G1671" s="8" t="n">
        <v>120866</v>
      </c>
      <c r="H1671" s="8" t="n">
        <v>11420</v>
      </c>
      <c r="I1671" s="8" t="n">
        <v>11395</v>
      </c>
      <c r="J1671" s="8" t="n">
        <v>11490</v>
      </c>
      <c r="K1671" s="8" t="n">
        <v>11370</v>
      </c>
      <c r="L1671" s="8" t="n">
        <v>404730</v>
      </c>
      <c r="M1671" s="8" t="n">
        <v>509744</v>
      </c>
      <c r="N1671" t="inlineStr">
        <is>
          <t>是</t>
        </is>
      </c>
    </row>
    <row r="1672">
      <c r="A1672" s="7" t="inlineStr">
        <is>
          <t>2014-06-05</t>
        </is>
      </c>
      <c r="B1672" s="8" t="n">
        <v>11132</v>
      </c>
      <c r="C1672" s="8" t="n">
        <v>11060</v>
      </c>
      <c r="D1672" s="8" t="n">
        <v>11162</v>
      </c>
      <c r="E1672" s="8" t="n">
        <v>11034</v>
      </c>
      <c r="F1672" s="8" t="n">
        <v>182358</v>
      </c>
      <c r="G1672" s="8" t="n">
        <v>126122</v>
      </c>
      <c r="H1672" s="8" t="n">
        <v>11490</v>
      </c>
      <c r="I1672" s="8" t="n">
        <v>11430</v>
      </c>
      <c r="J1672" s="8" t="n">
        <v>11515</v>
      </c>
      <c r="K1672" s="8" t="n">
        <v>11380</v>
      </c>
      <c r="L1672" s="8" t="n">
        <v>411420</v>
      </c>
      <c r="M1672" s="8" t="n">
        <v>521756</v>
      </c>
      <c r="N1672" t="inlineStr">
        <is>
          <t>是</t>
        </is>
      </c>
    </row>
    <row r="1673">
      <c r="A1673" s="7" t="inlineStr">
        <is>
          <t>2014-06-06</t>
        </is>
      </c>
      <c r="B1673" s="8" t="n">
        <v>11119</v>
      </c>
      <c r="C1673" s="8" t="n">
        <v>11130</v>
      </c>
      <c r="D1673" s="8" t="n">
        <v>11168</v>
      </c>
      <c r="E1673" s="8" t="n">
        <v>11084</v>
      </c>
      <c r="F1673" s="8" t="n">
        <v>145488</v>
      </c>
      <c r="G1673" s="8" t="n">
        <v>122604</v>
      </c>
      <c r="H1673" s="8" t="n">
        <v>11475</v>
      </c>
      <c r="I1673" s="8" t="n">
        <v>11500</v>
      </c>
      <c r="J1673" s="8" t="n">
        <v>11555</v>
      </c>
      <c r="K1673" s="8" t="n">
        <v>11460</v>
      </c>
      <c r="L1673" s="8" t="n">
        <v>332418</v>
      </c>
      <c r="M1673" s="8" t="n">
        <v>511704</v>
      </c>
      <c r="N1673" t="inlineStr">
        <is>
          <t>是</t>
        </is>
      </c>
    </row>
    <row r="1674">
      <c r="A1674" s="7" t="inlineStr">
        <is>
          <t>2014-06-09</t>
        </is>
      </c>
      <c r="B1674" s="8" t="n">
        <v>11089</v>
      </c>
      <c r="C1674" s="8" t="n">
        <v>11095</v>
      </c>
      <c r="D1674" s="8" t="n">
        <v>11146</v>
      </c>
      <c r="E1674" s="8" t="n">
        <v>11038</v>
      </c>
      <c r="F1674" s="8" t="n">
        <v>129654</v>
      </c>
      <c r="G1674" s="8" t="n">
        <v>125608</v>
      </c>
      <c r="H1674" s="8" t="n">
        <v>11580</v>
      </c>
      <c r="I1674" s="8" t="n">
        <v>11475</v>
      </c>
      <c r="J1674" s="8" t="n">
        <v>11590</v>
      </c>
      <c r="K1674" s="8" t="n">
        <v>11425</v>
      </c>
      <c r="L1674" s="8" t="n">
        <v>285570</v>
      </c>
      <c r="M1674" s="8" t="n">
        <v>517842</v>
      </c>
      <c r="N1674" t="inlineStr">
        <is>
          <t>是</t>
        </is>
      </c>
    </row>
    <row r="1675">
      <c r="A1675" s="7" t="inlineStr">
        <is>
          <t>2014-06-10</t>
        </is>
      </c>
      <c r="B1675" s="8" t="n">
        <v>11364</v>
      </c>
      <c r="C1675" s="8" t="n">
        <v>11110</v>
      </c>
      <c r="D1675" s="8" t="n">
        <v>11372</v>
      </c>
      <c r="E1675" s="8" t="n">
        <v>11110</v>
      </c>
      <c r="F1675" s="8" t="n">
        <v>323710</v>
      </c>
      <c r="G1675" s="8" t="n">
        <v>151180</v>
      </c>
      <c r="H1675" s="8" t="n">
        <v>11725</v>
      </c>
      <c r="I1675" s="8" t="n">
        <v>11630</v>
      </c>
      <c r="J1675" s="8" t="n">
        <v>11735</v>
      </c>
      <c r="K1675" s="8" t="n">
        <v>11575</v>
      </c>
      <c r="L1675" s="8" t="n">
        <v>560032</v>
      </c>
      <c r="M1675" s="8" t="n">
        <v>518524</v>
      </c>
      <c r="N1675" t="inlineStr">
        <is>
          <t>是</t>
        </is>
      </c>
    </row>
    <row r="1676">
      <c r="A1676" s="7" t="inlineStr">
        <is>
          <t>2014-06-11</t>
        </is>
      </c>
      <c r="B1676" s="8" t="n">
        <v>11329</v>
      </c>
      <c r="C1676" s="8" t="n">
        <v>11350</v>
      </c>
      <c r="D1676" s="8" t="n">
        <v>11435</v>
      </c>
      <c r="E1676" s="8" t="n">
        <v>11291</v>
      </c>
      <c r="F1676" s="8" t="n">
        <v>498442</v>
      </c>
      <c r="G1676" s="8" t="n">
        <v>149308</v>
      </c>
      <c r="H1676" s="8" t="n">
        <v>11775</v>
      </c>
      <c r="I1676" s="8" t="n">
        <v>11730</v>
      </c>
      <c r="J1676" s="8" t="n">
        <v>11795</v>
      </c>
      <c r="K1676" s="8" t="n">
        <v>11705</v>
      </c>
      <c r="L1676" s="8" t="n">
        <v>406448</v>
      </c>
      <c r="M1676" s="8" t="n">
        <v>521228</v>
      </c>
      <c r="N1676" t="inlineStr">
        <is>
          <t>是</t>
        </is>
      </c>
    </row>
    <row r="1677">
      <c r="A1677" s="7" t="inlineStr">
        <is>
          <t>2014-06-12</t>
        </is>
      </c>
      <c r="B1677" s="8" t="n">
        <v>11351</v>
      </c>
      <c r="C1677" s="8" t="n">
        <v>11310</v>
      </c>
      <c r="D1677" s="8" t="n">
        <v>11387</v>
      </c>
      <c r="E1677" s="8" t="n">
        <v>11255</v>
      </c>
      <c r="F1677" s="8" t="n">
        <v>259018</v>
      </c>
      <c r="G1677" s="8" t="n">
        <v>146478</v>
      </c>
      <c r="H1677" s="8" t="n">
        <v>11835</v>
      </c>
      <c r="I1677" s="8" t="n">
        <v>11765</v>
      </c>
      <c r="J1677" s="8" t="n">
        <v>11875</v>
      </c>
      <c r="K1677" s="8" t="n">
        <v>11720</v>
      </c>
      <c r="L1677" s="8" t="n">
        <v>367644</v>
      </c>
      <c r="M1677" s="8" t="n">
        <v>530470</v>
      </c>
      <c r="N1677" t="inlineStr">
        <is>
          <t>是</t>
        </is>
      </c>
    </row>
    <row r="1678">
      <c r="A1678" s="7" t="inlineStr">
        <is>
          <t>2014-06-13</t>
        </is>
      </c>
      <c r="B1678" s="8" t="n">
        <v>11392</v>
      </c>
      <c r="C1678" s="8" t="n">
        <v>11400</v>
      </c>
      <c r="D1678" s="8" t="n">
        <v>11532</v>
      </c>
      <c r="E1678" s="8" t="n">
        <v>11367</v>
      </c>
      <c r="F1678" s="8" t="n">
        <v>347034</v>
      </c>
      <c r="G1678" s="8" t="n">
        <v>141054</v>
      </c>
      <c r="H1678" s="8" t="n">
        <v>11955</v>
      </c>
      <c r="I1678" s="8" t="n">
        <v>11880</v>
      </c>
      <c r="J1678" s="8" t="n">
        <v>11995</v>
      </c>
      <c r="K1678" s="8" t="n">
        <v>11865</v>
      </c>
      <c r="L1678" s="8" t="n">
        <v>423240</v>
      </c>
      <c r="M1678" s="8" t="n">
        <v>517872</v>
      </c>
      <c r="N1678" t="inlineStr">
        <is>
          <t>是</t>
        </is>
      </c>
    </row>
    <row r="1679">
      <c r="A1679" s="7" t="inlineStr">
        <is>
          <t>2014-06-16</t>
        </is>
      </c>
      <c r="B1679" s="8" t="n">
        <v>11422</v>
      </c>
      <c r="C1679" s="8" t="n">
        <v>11404</v>
      </c>
      <c r="D1679" s="8" t="n">
        <v>11449</v>
      </c>
      <c r="E1679" s="8" t="n">
        <v>11311</v>
      </c>
      <c r="F1679" s="8" t="n">
        <v>250654</v>
      </c>
      <c r="G1679" s="8" t="n">
        <v>137594</v>
      </c>
      <c r="H1679" s="8" t="n">
        <v>12010</v>
      </c>
      <c r="I1679" s="8" t="n">
        <v>11935</v>
      </c>
      <c r="J1679" s="8" t="n">
        <v>12055</v>
      </c>
      <c r="K1679" s="8" t="n">
        <v>11855</v>
      </c>
      <c r="L1679" s="8" t="n">
        <v>452888</v>
      </c>
      <c r="M1679" s="8" t="n">
        <v>521478</v>
      </c>
      <c r="N1679" t="inlineStr">
        <is>
          <t>是</t>
        </is>
      </c>
    </row>
    <row r="1680">
      <c r="A1680" s="7" t="inlineStr">
        <is>
          <t>2014-06-17</t>
        </is>
      </c>
      <c r="B1680" s="8" t="n">
        <v>11255</v>
      </c>
      <c r="C1680" s="8" t="n">
        <v>11400</v>
      </c>
      <c r="D1680" s="8" t="n">
        <v>11439</v>
      </c>
      <c r="E1680" s="8" t="n">
        <v>11217</v>
      </c>
      <c r="F1680" s="8" t="n">
        <v>303294</v>
      </c>
      <c r="G1680" s="8" t="n">
        <v>121782</v>
      </c>
      <c r="H1680" s="8" t="n">
        <v>11820</v>
      </c>
      <c r="I1680" s="8" t="n">
        <v>11990</v>
      </c>
      <c r="J1680" s="8" t="n">
        <v>12020</v>
      </c>
      <c r="K1680" s="8" t="n">
        <v>11790</v>
      </c>
      <c r="L1680" s="8" t="n">
        <v>480866</v>
      </c>
      <c r="M1680" s="8" t="n">
        <v>519862</v>
      </c>
      <c r="N1680" t="inlineStr">
        <is>
          <t>是</t>
        </is>
      </c>
    </row>
    <row r="1681">
      <c r="A1681" s="7" t="inlineStr">
        <is>
          <t>2014-06-18</t>
        </is>
      </c>
      <c r="B1681" s="8" t="n">
        <v>11205</v>
      </c>
      <c r="C1681" s="8" t="n">
        <v>11265</v>
      </c>
      <c r="D1681" s="8" t="n">
        <v>11295</v>
      </c>
      <c r="E1681" s="8" t="n">
        <v>11156</v>
      </c>
      <c r="F1681" s="8" t="n">
        <v>305658</v>
      </c>
      <c r="G1681" s="8" t="n">
        <v>122700</v>
      </c>
      <c r="H1681" s="8" t="n">
        <v>11785</v>
      </c>
      <c r="I1681" s="8" t="n">
        <v>11830</v>
      </c>
      <c r="J1681" s="8" t="n">
        <v>11960</v>
      </c>
      <c r="K1681" s="8" t="n">
        <v>11760</v>
      </c>
      <c r="L1681" s="8" t="n">
        <v>718088</v>
      </c>
      <c r="M1681" s="8" t="n">
        <v>492906</v>
      </c>
      <c r="N1681" t="inlineStr">
        <is>
          <t>是</t>
        </is>
      </c>
    </row>
    <row r="1682">
      <c r="A1682" s="7" t="inlineStr">
        <is>
          <t>2014-06-19</t>
        </is>
      </c>
      <c r="B1682" s="8" t="n">
        <v>11159</v>
      </c>
      <c r="C1682" s="8" t="n">
        <v>11230</v>
      </c>
      <c r="D1682" s="8" t="n">
        <v>11255</v>
      </c>
      <c r="E1682" s="8" t="n">
        <v>11141</v>
      </c>
      <c r="F1682" s="8" t="n">
        <v>178154</v>
      </c>
      <c r="G1682" s="8" t="n">
        <v>117782</v>
      </c>
      <c r="H1682" s="8" t="n">
        <v>11765</v>
      </c>
      <c r="I1682" s="8" t="n">
        <v>11790</v>
      </c>
      <c r="J1682" s="8" t="n">
        <v>11830</v>
      </c>
      <c r="K1682" s="8" t="n">
        <v>11735</v>
      </c>
      <c r="L1682" s="8" t="n">
        <v>389244</v>
      </c>
      <c r="M1682" s="8" t="n">
        <v>489114</v>
      </c>
      <c r="N1682" t="inlineStr">
        <is>
          <t>是</t>
        </is>
      </c>
    </row>
    <row r="1683">
      <c r="A1683" s="7" t="inlineStr">
        <is>
          <t>2014-06-20</t>
        </is>
      </c>
      <c r="B1683" s="8" t="n">
        <v>11223</v>
      </c>
      <c r="C1683" s="8" t="n">
        <v>11175</v>
      </c>
      <c r="D1683" s="8" t="n">
        <v>11243</v>
      </c>
      <c r="E1683" s="8" t="n">
        <v>11124</v>
      </c>
      <c r="F1683" s="8" t="n">
        <v>156506</v>
      </c>
      <c r="G1683" s="8" t="n">
        <v>119512</v>
      </c>
      <c r="H1683" s="8" t="n">
        <v>11920</v>
      </c>
      <c r="I1683" s="8" t="n">
        <v>11770</v>
      </c>
      <c r="J1683" s="8" t="n">
        <v>11925</v>
      </c>
      <c r="K1683" s="8" t="n">
        <v>11755</v>
      </c>
      <c r="L1683" s="8" t="n">
        <v>430022</v>
      </c>
      <c r="M1683" s="8" t="n">
        <v>504814</v>
      </c>
      <c r="N1683" t="inlineStr">
        <is>
          <t>是</t>
        </is>
      </c>
    </row>
    <row r="1684">
      <c r="A1684" s="7" t="inlineStr">
        <is>
          <t>2014-06-23</t>
        </is>
      </c>
      <c r="B1684" s="8" t="n">
        <v>10900</v>
      </c>
      <c r="C1684" s="8" t="n">
        <v>11202</v>
      </c>
      <c r="D1684" s="8" t="n">
        <v>11236</v>
      </c>
      <c r="E1684" s="8" t="n">
        <v>10900</v>
      </c>
      <c r="F1684" s="8" t="n">
        <v>351372</v>
      </c>
      <c r="G1684" s="8" t="n">
        <v>135186</v>
      </c>
      <c r="H1684" s="8" t="n">
        <v>11685</v>
      </c>
      <c r="I1684" s="8" t="n">
        <v>11920</v>
      </c>
      <c r="J1684" s="8" t="n">
        <v>11925</v>
      </c>
      <c r="K1684" s="8" t="n">
        <v>11665</v>
      </c>
      <c r="L1684" s="8" t="n">
        <v>515644</v>
      </c>
      <c r="M1684" s="8" t="n">
        <v>499524</v>
      </c>
      <c r="N1684" t="inlineStr">
        <is>
          <t>是</t>
        </is>
      </c>
    </row>
    <row r="1685">
      <c r="A1685" s="7" t="inlineStr">
        <is>
          <t>2014-06-24</t>
        </is>
      </c>
      <c r="B1685" s="8" t="n">
        <v>10917</v>
      </c>
      <c r="C1685" s="8" t="n">
        <v>10900</v>
      </c>
      <c r="D1685" s="8" t="n">
        <v>10948</v>
      </c>
      <c r="E1685" s="8" t="n">
        <v>10869</v>
      </c>
      <c r="F1685" s="8" t="n">
        <v>215480</v>
      </c>
      <c r="G1685" s="8" t="n">
        <v>126940</v>
      </c>
      <c r="H1685" s="8" t="n">
        <v>11740</v>
      </c>
      <c r="I1685" s="8" t="n">
        <v>11635</v>
      </c>
      <c r="J1685" s="8" t="n">
        <v>11745</v>
      </c>
      <c r="K1685" s="8" t="n">
        <v>11635</v>
      </c>
      <c r="L1685" s="8" t="n">
        <v>331150</v>
      </c>
      <c r="M1685" s="8" t="n">
        <v>494592</v>
      </c>
      <c r="N1685" t="inlineStr">
        <is>
          <t>是</t>
        </is>
      </c>
    </row>
    <row r="1686">
      <c r="A1686" s="7" t="inlineStr">
        <is>
          <t>2014-06-25</t>
        </is>
      </c>
      <c r="B1686" s="8" t="n">
        <v>10907</v>
      </c>
      <c r="C1686" s="8" t="n">
        <v>10900</v>
      </c>
      <c r="D1686" s="8" t="n">
        <v>10945</v>
      </c>
      <c r="E1686" s="8" t="n">
        <v>10835</v>
      </c>
      <c r="F1686" s="8" t="n">
        <v>255552</v>
      </c>
      <c r="G1686" s="8" t="n">
        <v>122468</v>
      </c>
      <c r="H1686" s="8" t="n">
        <v>11755</v>
      </c>
      <c r="I1686" s="8" t="n">
        <v>11760</v>
      </c>
      <c r="J1686" s="8" t="n">
        <v>11800</v>
      </c>
      <c r="K1686" s="8" t="n">
        <v>11665</v>
      </c>
      <c r="L1686" s="8" t="n">
        <v>442832</v>
      </c>
      <c r="M1686" s="8" t="n">
        <v>519476</v>
      </c>
      <c r="N1686" t="inlineStr">
        <is>
          <t>是</t>
        </is>
      </c>
    </row>
    <row r="1687">
      <c r="A1687" s="7" t="inlineStr">
        <is>
          <t>2014-06-26</t>
        </is>
      </c>
      <c r="B1687" s="8" t="n">
        <v>10904</v>
      </c>
      <c r="C1687" s="8" t="n">
        <v>10907</v>
      </c>
      <c r="D1687" s="8" t="n">
        <v>10967</v>
      </c>
      <c r="E1687" s="8" t="n">
        <v>10855</v>
      </c>
      <c r="F1687" s="8" t="n">
        <v>198426</v>
      </c>
      <c r="G1687" s="8" t="n">
        <v>124484</v>
      </c>
      <c r="H1687" s="8" t="n">
        <v>11695</v>
      </c>
      <c r="I1687" s="8" t="n">
        <v>11775</v>
      </c>
      <c r="J1687" s="8" t="n">
        <v>11780</v>
      </c>
      <c r="K1687" s="8" t="n">
        <v>11680</v>
      </c>
      <c r="L1687" s="8" t="n">
        <v>302458</v>
      </c>
      <c r="M1687" s="8" t="n">
        <v>493758</v>
      </c>
      <c r="N1687" t="inlineStr">
        <is>
          <t>是</t>
        </is>
      </c>
    </row>
    <row r="1688">
      <c r="A1688" s="7" t="inlineStr">
        <is>
          <t>2014-06-27</t>
        </is>
      </c>
      <c r="B1688" s="8" t="n">
        <v>10955</v>
      </c>
      <c r="C1688" s="8" t="n">
        <v>10887</v>
      </c>
      <c r="D1688" s="8" t="n">
        <v>10998</v>
      </c>
      <c r="E1688" s="8" t="n">
        <v>10882</v>
      </c>
      <c r="F1688" s="8" t="n">
        <v>202504</v>
      </c>
      <c r="G1688" s="8" t="n">
        <v>126590</v>
      </c>
      <c r="H1688" s="8" t="n">
        <v>11825</v>
      </c>
      <c r="I1688" s="8" t="n">
        <v>11695</v>
      </c>
      <c r="J1688" s="8" t="n">
        <v>11845</v>
      </c>
      <c r="K1688" s="8" t="n">
        <v>11680</v>
      </c>
      <c r="L1688" s="8" t="n">
        <v>393250</v>
      </c>
      <c r="M1688" s="8" t="n">
        <v>503880</v>
      </c>
      <c r="N1688" t="inlineStr">
        <is>
          <t>是</t>
        </is>
      </c>
    </row>
    <row r="1689">
      <c r="A1689" s="7" t="inlineStr">
        <is>
          <t>2014-06-30</t>
        </is>
      </c>
      <c r="B1689" s="8" t="n">
        <v>11006</v>
      </c>
      <c r="C1689" s="8" t="n">
        <v>10950</v>
      </c>
      <c r="D1689" s="8" t="n">
        <v>11041</v>
      </c>
      <c r="E1689" s="8" t="n">
        <v>10925</v>
      </c>
      <c r="F1689" s="8" t="n">
        <v>180716</v>
      </c>
      <c r="G1689" s="8" t="n">
        <v>122182</v>
      </c>
      <c r="H1689" s="8" t="n">
        <v>11915</v>
      </c>
      <c r="I1689" s="8" t="n">
        <v>11820</v>
      </c>
      <c r="J1689" s="8" t="n">
        <v>11950</v>
      </c>
      <c r="K1689" s="8" t="n">
        <v>11790</v>
      </c>
      <c r="L1689" s="8" t="n">
        <v>361678</v>
      </c>
      <c r="M1689" s="8" t="n">
        <v>506732</v>
      </c>
      <c r="N1689" t="inlineStr">
        <is>
          <t>是</t>
        </is>
      </c>
    </row>
    <row r="1690">
      <c r="A1690" s="7" t="inlineStr">
        <is>
          <t>2014-07-01</t>
        </is>
      </c>
      <c r="B1690" s="8" t="n">
        <v>11220</v>
      </c>
      <c r="C1690" s="8" t="n">
        <v>11039</v>
      </c>
      <c r="D1690" s="8" t="n">
        <v>11238</v>
      </c>
      <c r="E1690" s="8" t="n">
        <v>10990</v>
      </c>
      <c r="F1690" s="8" t="n">
        <v>311088</v>
      </c>
      <c r="G1690" s="8" t="n">
        <v>125266</v>
      </c>
      <c r="H1690" s="8" t="n">
        <v>11950</v>
      </c>
      <c r="I1690" s="8" t="n">
        <v>11915</v>
      </c>
      <c r="J1690" s="8" t="n">
        <v>11975</v>
      </c>
      <c r="K1690" s="8" t="n">
        <v>11850</v>
      </c>
      <c r="L1690" s="8" t="n">
        <v>270288</v>
      </c>
      <c r="M1690" s="8" t="n">
        <v>490532</v>
      </c>
      <c r="N1690" t="inlineStr">
        <is>
          <t>是</t>
        </is>
      </c>
    </row>
    <row r="1691">
      <c r="A1691" s="7" t="inlineStr">
        <is>
          <t>2014-07-02</t>
        </is>
      </c>
      <c r="B1691" s="8" t="n">
        <v>11179</v>
      </c>
      <c r="C1691" s="8" t="n">
        <v>11220</v>
      </c>
      <c r="D1691" s="8" t="n">
        <v>11259</v>
      </c>
      <c r="E1691" s="8" t="n">
        <v>10960</v>
      </c>
      <c r="F1691" s="8" t="n">
        <v>307304</v>
      </c>
      <c r="G1691" s="8" t="n">
        <v>108394</v>
      </c>
      <c r="H1691" s="8" t="n">
        <v>11925</v>
      </c>
      <c r="I1691" s="8" t="n">
        <v>11930</v>
      </c>
      <c r="J1691" s="8" t="n">
        <v>11970</v>
      </c>
      <c r="K1691" s="8" t="n">
        <v>11725</v>
      </c>
      <c r="L1691" s="8" t="n">
        <v>478540</v>
      </c>
      <c r="M1691" s="8" t="n">
        <v>474074</v>
      </c>
      <c r="N1691" t="inlineStr">
        <is>
          <t>是</t>
        </is>
      </c>
    </row>
    <row r="1692">
      <c r="A1692" s="7" t="inlineStr">
        <is>
          <t>2014-07-03</t>
        </is>
      </c>
      <c r="B1692" s="8" t="n">
        <v>11202</v>
      </c>
      <c r="C1692" s="8" t="n">
        <v>11197</v>
      </c>
      <c r="D1692" s="8" t="n">
        <v>11266</v>
      </c>
      <c r="E1692" s="8" t="n">
        <v>11142</v>
      </c>
      <c r="F1692" s="8" t="n">
        <v>235760</v>
      </c>
      <c r="G1692" s="8" t="n">
        <v>110276</v>
      </c>
      <c r="H1692" s="8" t="n">
        <v>11945</v>
      </c>
      <c r="I1692" s="8" t="n">
        <v>11905</v>
      </c>
      <c r="J1692" s="8" t="n">
        <v>12060</v>
      </c>
      <c r="K1692" s="8" t="n">
        <v>11880</v>
      </c>
      <c r="L1692" s="8" t="n">
        <v>557104</v>
      </c>
      <c r="M1692" s="8" t="n">
        <v>476266</v>
      </c>
      <c r="N1692" t="inlineStr">
        <is>
          <t>是</t>
        </is>
      </c>
    </row>
    <row r="1693">
      <c r="A1693" s="7" t="inlineStr">
        <is>
          <t>2014-07-04</t>
        </is>
      </c>
      <c r="B1693" s="8" t="n">
        <v>11301</v>
      </c>
      <c r="C1693" s="8" t="n">
        <v>11218</v>
      </c>
      <c r="D1693" s="8" t="n">
        <v>11323</v>
      </c>
      <c r="E1693" s="8" t="n">
        <v>11193</v>
      </c>
      <c r="F1693" s="8" t="n">
        <v>257092</v>
      </c>
      <c r="G1693" s="8" t="n">
        <v>119072</v>
      </c>
      <c r="H1693" s="8" t="n">
        <v>12050</v>
      </c>
      <c r="I1693" s="8" t="n">
        <v>11955</v>
      </c>
      <c r="J1693" s="8" t="n">
        <v>12050</v>
      </c>
      <c r="K1693" s="8" t="n">
        <v>11890</v>
      </c>
      <c r="L1693" s="8" t="n">
        <v>387522</v>
      </c>
      <c r="M1693" s="8" t="n">
        <v>478874</v>
      </c>
      <c r="N1693" t="inlineStr">
        <is>
          <t>是</t>
        </is>
      </c>
    </row>
    <row r="1694">
      <c r="A1694" s="7" t="inlineStr">
        <is>
          <t>2014-07-07</t>
        </is>
      </c>
      <c r="B1694" s="8" t="n">
        <v>11316</v>
      </c>
      <c r="C1694" s="8" t="n">
        <v>11300</v>
      </c>
      <c r="D1694" s="8" t="n">
        <v>11353</v>
      </c>
      <c r="E1694" s="8" t="n">
        <v>11205</v>
      </c>
      <c r="F1694" s="8" t="n">
        <v>219284</v>
      </c>
      <c r="G1694" s="8" t="n">
        <v>120958</v>
      </c>
      <c r="H1694" s="8" t="n">
        <v>12160</v>
      </c>
      <c r="I1694" s="8" t="n">
        <v>12045</v>
      </c>
      <c r="J1694" s="8" t="n">
        <v>12205</v>
      </c>
      <c r="K1694" s="8" t="n">
        <v>12025</v>
      </c>
      <c r="L1694" s="8" t="n">
        <v>517862</v>
      </c>
      <c r="M1694" s="8" t="n">
        <v>487476</v>
      </c>
      <c r="N1694" t="inlineStr">
        <is>
          <t>是</t>
        </is>
      </c>
    </row>
    <row r="1695">
      <c r="A1695" s="7" t="inlineStr">
        <is>
          <t>2014-07-08</t>
        </is>
      </c>
      <c r="B1695" s="8" t="n">
        <v>11270</v>
      </c>
      <c r="C1695" s="8" t="n">
        <v>11310</v>
      </c>
      <c r="D1695" s="8" t="n">
        <v>11325</v>
      </c>
      <c r="E1695" s="8" t="n">
        <v>11148</v>
      </c>
      <c r="F1695" s="8" t="n">
        <v>226510</v>
      </c>
      <c r="G1695" s="8" t="n">
        <v>122746</v>
      </c>
      <c r="H1695" s="8" t="n">
        <v>12150</v>
      </c>
      <c r="I1695" s="8" t="n">
        <v>12150</v>
      </c>
      <c r="J1695" s="8" t="n">
        <v>12195</v>
      </c>
      <c r="K1695" s="8" t="n">
        <v>12065</v>
      </c>
      <c r="L1695" s="8" t="n">
        <v>340892</v>
      </c>
      <c r="M1695" s="8" t="n">
        <v>477324</v>
      </c>
      <c r="N1695" t="inlineStr">
        <is>
          <t>是</t>
        </is>
      </c>
    </row>
    <row r="1696">
      <c r="A1696" s="7" t="inlineStr">
        <is>
          <t>2014-07-09</t>
        </is>
      </c>
      <c r="B1696" s="8" t="n">
        <v>11154</v>
      </c>
      <c r="C1696" s="8" t="n">
        <v>11269</v>
      </c>
      <c r="D1696" s="8" t="n">
        <v>11293</v>
      </c>
      <c r="E1696" s="8" t="n">
        <v>11025</v>
      </c>
      <c r="F1696" s="8" t="n">
        <v>238502</v>
      </c>
      <c r="G1696" s="8" t="n">
        <v>124176</v>
      </c>
      <c r="H1696" s="8" t="n">
        <v>11930</v>
      </c>
      <c r="I1696" s="8" t="n">
        <v>12145</v>
      </c>
      <c r="J1696" s="8" t="n">
        <v>12150</v>
      </c>
      <c r="K1696" s="8" t="n">
        <v>11880</v>
      </c>
      <c r="L1696" s="8" t="n">
        <v>606694</v>
      </c>
      <c r="M1696" s="8" t="n">
        <v>465096</v>
      </c>
      <c r="N1696" t="inlineStr">
        <is>
          <t>是</t>
        </is>
      </c>
    </row>
    <row r="1697">
      <c r="A1697" s="7" t="inlineStr">
        <is>
          <t>2014-07-10</t>
        </is>
      </c>
      <c r="B1697" s="8" t="n">
        <v>11161</v>
      </c>
      <c r="C1697" s="8" t="n">
        <v>11120</v>
      </c>
      <c r="D1697" s="8" t="n">
        <v>11195</v>
      </c>
      <c r="E1697" s="8" t="n">
        <v>11091</v>
      </c>
      <c r="F1697" s="8" t="n">
        <v>110346</v>
      </c>
      <c r="G1697" s="8" t="n">
        <v>123866</v>
      </c>
      <c r="H1697" s="8" t="n">
        <v>11845</v>
      </c>
      <c r="I1697" s="8" t="n">
        <v>11900</v>
      </c>
      <c r="J1697" s="8" t="n">
        <v>11920</v>
      </c>
      <c r="K1697" s="8" t="n">
        <v>11810</v>
      </c>
      <c r="L1697" s="8" t="n">
        <v>348302</v>
      </c>
      <c r="M1697" s="8" t="n">
        <v>459762</v>
      </c>
      <c r="N1697" t="inlineStr">
        <is>
          <t>是</t>
        </is>
      </c>
    </row>
    <row r="1698">
      <c r="A1698" s="7" t="inlineStr">
        <is>
          <t>2014-07-11</t>
        </is>
      </c>
      <c r="B1698" s="8" t="n">
        <v>11199</v>
      </c>
      <c r="C1698" s="8" t="n">
        <v>11218</v>
      </c>
      <c r="D1698" s="8" t="n">
        <v>11218</v>
      </c>
      <c r="E1698" s="8" t="n">
        <v>11126</v>
      </c>
      <c r="F1698" s="8" t="n">
        <v>153848</v>
      </c>
      <c r="G1698" s="8" t="n">
        <v>122914</v>
      </c>
      <c r="H1698" s="8" t="n">
        <v>11875</v>
      </c>
      <c r="I1698" s="8" t="n">
        <v>11870</v>
      </c>
      <c r="J1698" s="8" t="n">
        <v>11920</v>
      </c>
      <c r="K1698" s="8" t="n">
        <v>11805</v>
      </c>
      <c r="L1698" s="8" t="n">
        <v>335446</v>
      </c>
      <c r="M1698" s="8" t="n">
        <v>466318</v>
      </c>
      <c r="N1698" t="inlineStr">
        <is>
          <t>是</t>
        </is>
      </c>
    </row>
    <row r="1699">
      <c r="A1699" s="7" t="inlineStr">
        <is>
          <t>2014-07-14</t>
        </is>
      </c>
      <c r="B1699" s="8" t="n">
        <v>11192</v>
      </c>
      <c r="C1699" s="8" t="n">
        <v>11137</v>
      </c>
      <c r="D1699" s="8" t="n">
        <v>11214</v>
      </c>
      <c r="E1699" s="8" t="n">
        <v>11120</v>
      </c>
      <c r="F1699" s="8" t="n">
        <v>126526</v>
      </c>
      <c r="G1699" s="8" t="n">
        <v>118650</v>
      </c>
      <c r="H1699" s="8" t="n">
        <v>11850</v>
      </c>
      <c r="I1699" s="8" t="n">
        <v>11790</v>
      </c>
      <c r="J1699" s="8" t="n">
        <v>11885</v>
      </c>
      <c r="K1699" s="8" t="n">
        <v>11755</v>
      </c>
      <c r="L1699" s="8" t="n">
        <v>280790</v>
      </c>
      <c r="M1699" s="8" t="n">
        <v>466906</v>
      </c>
      <c r="N1699" t="inlineStr">
        <is>
          <t>是</t>
        </is>
      </c>
    </row>
    <row r="1700">
      <c r="A1700" s="7" t="inlineStr">
        <is>
          <t>2014-07-15</t>
        </is>
      </c>
      <c r="B1700" s="8" t="n">
        <v>11188</v>
      </c>
      <c r="C1700" s="8" t="n">
        <v>11200</v>
      </c>
      <c r="D1700" s="8" t="n">
        <v>11284</v>
      </c>
      <c r="E1700" s="8" t="n">
        <v>11168</v>
      </c>
      <c r="F1700" s="8" t="n">
        <v>210712</v>
      </c>
      <c r="G1700" s="8" t="n">
        <v>121526</v>
      </c>
      <c r="H1700" s="8" t="n">
        <v>11820</v>
      </c>
      <c r="I1700" s="8" t="n">
        <v>11855</v>
      </c>
      <c r="J1700" s="8" t="n">
        <v>11885</v>
      </c>
      <c r="K1700" s="8" t="n">
        <v>11770</v>
      </c>
      <c r="L1700" s="8" t="n">
        <v>254698</v>
      </c>
      <c r="M1700" s="8" t="n">
        <v>455766</v>
      </c>
      <c r="N1700" t="inlineStr">
        <is>
          <t>是</t>
        </is>
      </c>
    </row>
    <row r="1701">
      <c r="A1701" s="7" t="inlineStr">
        <is>
          <t>2014-07-16</t>
        </is>
      </c>
      <c r="B1701" s="8" t="n">
        <v>11236</v>
      </c>
      <c r="C1701" s="8" t="n">
        <v>11150</v>
      </c>
      <c r="D1701" s="8" t="n">
        <v>11240</v>
      </c>
      <c r="E1701" s="8" t="n">
        <v>11078</v>
      </c>
      <c r="F1701" s="8" t="n">
        <v>210146</v>
      </c>
      <c r="G1701" s="8" t="n">
        <v>128684</v>
      </c>
      <c r="H1701" s="8" t="n">
        <v>11885</v>
      </c>
      <c r="I1701" s="8" t="n">
        <v>11810</v>
      </c>
      <c r="J1701" s="8" t="n">
        <v>11890</v>
      </c>
      <c r="K1701" s="8" t="n">
        <v>11730</v>
      </c>
      <c r="L1701" s="8" t="n">
        <v>395752</v>
      </c>
      <c r="M1701" s="8" t="n">
        <v>420714</v>
      </c>
      <c r="N1701" t="inlineStr">
        <is>
          <t>是</t>
        </is>
      </c>
    </row>
    <row r="1702">
      <c r="A1702" s="7" t="inlineStr">
        <is>
          <t>2014-07-17</t>
        </is>
      </c>
      <c r="B1702" s="8" t="n">
        <v>11108</v>
      </c>
      <c r="C1702" s="8" t="n">
        <v>11242</v>
      </c>
      <c r="D1702" s="8" t="n">
        <v>11265</v>
      </c>
      <c r="E1702" s="8" t="n">
        <v>11108</v>
      </c>
      <c r="F1702" s="8" t="n">
        <v>191972</v>
      </c>
      <c r="G1702" s="8" t="n">
        <v>124314</v>
      </c>
      <c r="H1702" s="8" t="n">
        <v>11745</v>
      </c>
      <c r="I1702" s="8" t="n">
        <v>11880</v>
      </c>
      <c r="J1702" s="8" t="n">
        <v>11930</v>
      </c>
      <c r="K1702" s="8" t="n">
        <v>11745</v>
      </c>
      <c r="L1702" s="8" t="n">
        <v>472484</v>
      </c>
      <c r="M1702" s="8" t="n">
        <v>434114</v>
      </c>
      <c r="N1702" t="inlineStr">
        <is>
          <t>是</t>
        </is>
      </c>
    </row>
    <row r="1703">
      <c r="A1703" s="7" t="inlineStr">
        <is>
          <t>2014-07-18</t>
        </is>
      </c>
      <c r="B1703" s="8" t="n">
        <v>11073</v>
      </c>
      <c r="C1703" s="8" t="n">
        <v>11120</v>
      </c>
      <c r="D1703" s="8" t="n">
        <v>11127</v>
      </c>
      <c r="E1703" s="8" t="n">
        <v>10979</v>
      </c>
      <c r="F1703" s="8" t="n">
        <v>245500</v>
      </c>
      <c r="G1703" s="8" t="n">
        <v>101384</v>
      </c>
      <c r="H1703" s="8" t="n">
        <v>11540</v>
      </c>
      <c r="I1703" s="8" t="n">
        <v>11760</v>
      </c>
      <c r="J1703" s="8" t="n">
        <v>11770</v>
      </c>
      <c r="K1703" s="8" t="n">
        <v>11420</v>
      </c>
      <c r="L1703" s="8" t="n">
        <v>656302</v>
      </c>
      <c r="M1703" s="8" t="n">
        <v>366674</v>
      </c>
      <c r="N1703" t="inlineStr">
        <is>
          <t>是</t>
        </is>
      </c>
    </row>
    <row r="1704">
      <c r="A1704" s="7" t="inlineStr">
        <is>
          <t>2014-07-21</t>
        </is>
      </c>
      <c r="B1704" s="8" t="n">
        <v>11081</v>
      </c>
      <c r="C1704" s="8" t="n">
        <v>11040</v>
      </c>
      <c r="D1704" s="8" t="n">
        <v>11108</v>
      </c>
      <c r="E1704" s="8" t="n">
        <v>11016</v>
      </c>
      <c r="F1704" s="8" t="n">
        <v>125274</v>
      </c>
      <c r="G1704" s="8" t="n">
        <v>103230</v>
      </c>
      <c r="H1704" s="8" t="n">
        <v>11535</v>
      </c>
      <c r="I1704" s="8" t="n">
        <v>11510</v>
      </c>
      <c r="J1704" s="8" t="n">
        <v>11570</v>
      </c>
      <c r="K1704" s="8" t="n">
        <v>11450</v>
      </c>
      <c r="L1704" s="8" t="n">
        <v>204578</v>
      </c>
      <c r="M1704" s="8" t="n">
        <v>349392</v>
      </c>
      <c r="N1704" t="inlineStr">
        <is>
          <t>是</t>
        </is>
      </c>
    </row>
    <row r="1705">
      <c r="A1705" s="7" t="inlineStr">
        <is>
          <t>2014-07-22</t>
        </is>
      </c>
      <c r="B1705" s="8" t="n">
        <v>11043</v>
      </c>
      <c r="C1705" s="8" t="n">
        <v>11101</v>
      </c>
      <c r="D1705" s="8" t="n">
        <v>11127</v>
      </c>
      <c r="E1705" s="8" t="n">
        <v>11036</v>
      </c>
      <c r="F1705" s="8" t="n">
        <v>119520</v>
      </c>
      <c r="G1705" s="8" t="n">
        <v>103458</v>
      </c>
      <c r="H1705" s="8" t="n">
        <v>11175</v>
      </c>
      <c r="I1705" s="8" t="n">
        <v>11150</v>
      </c>
      <c r="J1705" s="8" t="n">
        <v>11245</v>
      </c>
      <c r="K1705" s="8" t="n">
        <v>11090</v>
      </c>
      <c r="L1705" s="8" t="n">
        <v>471602</v>
      </c>
      <c r="M1705" s="8" t="n">
        <v>366926</v>
      </c>
      <c r="N1705" t="inlineStr">
        <is>
          <t>是</t>
        </is>
      </c>
    </row>
    <row r="1706">
      <c r="A1706" s="7" t="inlineStr">
        <is>
          <t>2014-07-23</t>
        </is>
      </c>
      <c r="B1706" s="8" t="n">
        <v>11150</v>
      </c>
      <c r="C1706" s="8" t="n">
        <v>11025</v>
      </c>
      <c r="D1706" s="8" t="n">
        <v>11151</v>
      </c>
      <c r="E1706" s="8" t="n">
        <v>11020</v>
      </c>
      <c r="F1706" s="8" t="n">
        <v>139150</v>
      </c>
      <c r="G1706" s="8" t="n">
        <v>104548</v>
      </c>
      <c r="H1706" s="8" t="n">
        <v>11270</v>
      </c>
      <c r="I1706" s="8" t="n">
        <v>11185</v>
      </c>
      <c r="J1706" s="8" t="n">
        <v>11290</v>
      </c>
      <c r="K1706" s="8" t="n">
        <v>11160</v>
      </c>
      <c r="L1706" s="8" t="n">
        <v>372072</v>
      </c>
      <c r="M1706" s="8" t="n">
        <v>390862</v>
      </c>
      <c r="N1706" t="inlineStr">
        <is>
          <t>是</t>
        </is>
      </c>
    </row>
    <row r="1707">
      <c r="A1707" s="7" t="inlineStr">
        <is>
          <t>2014-07-24</t>
        </is>
      </c>
      <c r="B1707" s="8" t="n">
        <v>11128</v>
      </c>
      <c r="C1707" s="8" t="n">
        <v>11163</v>
      </c>
      <c r="D1707" s="8" t="n">
        <v>11188</v>
      </c>
      <c r="E1707" s="8" t="n">
        <v>11124</v>
      </c>
      <c r="F1707" s="8" t="n">
        <v>96470</v>
      </c>
      <c r="G1707" s="8" t="n">
        <v>102078</v>
      </c>
      <c r="H1707" s="8" t="n">
        <v>11195</v>
      </c>
      <c r="I1707" s="8" t="n">
        <v>11270</v>
      </c>
      <c r="J1707" s="8" t="n">
        <v>11320</v>
      </c>
      <c r="K1707" s="8" t="n">
        <v>11185</v>
      </c>
      <c r="L1707" s="8" t="n">
        <v>428644</v>
      </c>
      <c r="M1707" s="8" t="n">
        <v>426290</v>
      </c>
      <c r="N1707" t="inlineStr">
        <is>
          <t>是</t>
        </is>
      </c>
    </row>
    <row r="1708">
      <c r="A1708" s="7" t="inlineStr">
        <is>
          <t>2014-07-25</t>
        </is>
      </c>
      <c r="B1708" s="8" t="n">
        <v>11248</v>
      </c>
      <c r="C1708" s="8" t="n">
        <v>11130</v>
      </c>
      <c r="D1708" s="8" t="n">
        <v>11248</v>
      </c>
      <c r="E1708" s="8" t="n">
        <v>11108</v>
      </c>
      <c r="F1708" s="8" t="n">
        <v>132294</v>
      </c>
      <c r="G1708" s="8" t="n">
        <v>104492</v>
      </c>
      <c r="H1708" s="8" t="n">
        <v>11260</v>
      </c>
      <c r="I1708" s="8" t="n">
        <v>11200</v>
      </c>
      <c r="J1708" s="8" t="n">
        <v>11270</v>
      </c>
      <c r="K1708" s="8" t="n">
        <v>11125</v>
      </c>
      <c r="L1708" s="8" t="n">
        <v>440080</v>
      </c>
      <c r="M1708" s="8" t="n">
        <v>421504</v>
      </c>
      <c r="N1708" t="inlineStr">
        <is>
          <t>是</t>
        </is>
      </c>
    </row>
    <row r="1709">
      <c r="A1709" s="7" t="inlineStr">
        <is>
          <t>2014-07-28</t>
        </is>
      </c>
      <c r="B1709" s="8" t="n">
        <v>11286</v>
      </c>
      <c r="C1709" s="8" t="n">
        <v>11225</v>
      </c>
      <c r="D1709" s="8" t="n">
        <v>11302</v>
      </c>
      <c r="E1709" s="8" t="n">
        <v>11215</v>
      </c>
      <c r="F1709" s="8" t="n">
        <v>106968</v>
      </c>
      <c r="G1709" s="8" t="n">
        <v>103238</v>
      </c>
      <c r="H1709" s="8" t="n">
        <v>11370</v>
      </c>
      <c r="I1709" s="8" t="n">
        <v>11260</v>
      </c>
      <c r="J1709" s="8" t="n">
        <v>11400</v>
      </c>
      <c r="K1709" s="8" t="n">
        <v>11250</v>
      </c>
      <c r="L1709" s="8" t="n">
        <v>392278</v>
      </c>
      <c r="M1709" s="8" t="n">
        <v>431220</v>
      </c>
      <c r="N1709" t="inlineStr">
        <is>
          <t>是</t>
        </is>
      </c>
    </row>
    <row r="1710">
      <c r="A1710" s="7" t="inlineStr">
        <is>
          <t>2014-07-29</t>
        </is>
      </c>
      <c r="B1710" s="8" t="n">
        <v>10702</v>
      </c>
      <c r="C1710" s="8" t="n">
        <v>10618</v>
      </c>
      <c r="D1710" s="8" t="n">
        <v>10720</v>
      </c>
      <c r="E1710" s="8" t="n">
        <v>10584</v>
      </c>
      <c r="F1710" s="8" t="n">
        <v>104512</v>
      </c>
      <c r="G1710" s="8" t="n">
        <v>105334</v>
      </c>
      <c r="H1710" s="8" t="n">
        <v>11390</v>
      </c>
      <c r="I1710" s="8" t="n">
        <v>11370</v>
      </c>
      <c r="J1710" s="8" t="n">
        <v>11415</v>
      </c>
      <c r="K1710" s="8" t="n">
        <v>11315</v>
      </c>
      <c r="L1710" s="8" t="n">
        <v>396216</v>
      </c>
      <c r="M1710" s="8" t="n">
        <v>445396</v>
      </c>
      <c r="N1710" t="inlineStr">
        <is>
          <t>是</t>
        </is>
      </c>
    </row>
    <row r="1711">
      <c r="A1711" s="7" t="inlineStr">
        <is>
          <t>2014-07-30</t>
        </is>
      </c>
      <c r="B1711" s="8" t="n">
        <v>10687</v>
      </c>
      <c r="C1711" s="8" t="n">
        <v>10680</v>
      </c>
      <c r="D1711" s="8" t="n">
        <v>10717</v>
      </c>
      <c r="E1711" s="8" t="n">
        <v>10650</v>
      </c>
      <c r="F1711" s="8" t="n">
        <v>89856</v>
      </c>
      <c r="G1711" s="8" t="n">
        <v>109188</v>
      </c>
      <c r="H1711" s="8" t="n">
        <v>11345</v>
      </c>
      <c r="I1711" s="8" t="n">
        <v>11370</v>
      </c>
      <c r="J1711" s="8" t="n">
        <v>11435</v>
      </c>
      <c r="K1711" s="8" t="n">
        <v>11320</v>
      </c>
      <c r="L1711" s="8" t="n">
        <v>384748</v>
      </c>
      <c r="M1711" s="8" t="n">
        <v>463464</v>
      </c>
      <c r="N1711" t="inlineStr">
        <is>
          <t>是</t>
        </is>
      </c>
    </row>
    <row r="1712">
      <c r="A1712" s="7" t="inlineStr">
        <is>
          <t>2014-07-31</t>
        </is>
      </c>
      <c r="B1712" s="8" t="n">
        <v>10666</v>
      </c>
      <c r="C1712" s="8" t="n">
        <v>10678</v>
      </c>
      <c r="D1712" s="8" t="n">
        <v>10685</v>
      </c>
      <c r="E1712" s="8" t="n">
        <v>10621</v>
      </c>
      <c r="F1712" s="8" t="n">
        <v>74904</v>
      </c>
      <c r="G1712" s="8" t="n">
        <v>110112</v>
      </c>
      <c r="H1712" s="8" t="n">
        <v>11320</v>
      </c>
      <c r="I1712" s="8" t="n">
        <v>11320</v>
      </c>
      <c r="J1712" s="8" t="n">
        <v>11340</v>
      </c>
      <c r="K1712" s="8" t="n">
        <v>11260</v>
      </c>
      <c r="L1712" s="8" t="n">
        <v>336728</v>
      </c>
      <c r="M1712" s="8" t="n">
        <v>472338</v>
      </c>
      <c r="N1712" t="inlineStr">
        <is>
          <t>是</t>
        </is>
      </c>
    </row>
    <row r="1713">
      <c r="A1713" s="7" t="inlineStr">
        <is>
          <t>2014-08-01</t>
        </is>
      </c>
      <c r="B1713" s="8" t="n">
        <v>10605</v>
      </c>
      <c r="C1713" s="8" t="n">
        <v>10648</v>
      </c>
      <c r="D1713" s="8" t="n">
        <v>10731</v>
      </c>
      <c r="E1713" s="8" t="n">
        <v>10600</v>
      </c>
      <c r="F1713" s="8" t="n">
        <v>161616</v>
      </c>
      <c r="G1713" s="8" t="n">
        <v>112122</v>
      </c>
      <c r="H1713" s="8" t="n">
        <v>11280</v>
      </c>
      <c r="I1713" s="8" t="n">
        <v>11280</v>
      </c>
      <c r="J1713" s="8" t="n">
        <v>11335</v>
      </c>
      <c r="K1713" s="8" t="n">
        <v>11240</v>
      </c>
      <c r="L1713" s="8" t="n">
        <v>355322</v>
      </c>
      <c r="M1713" s="8" t="n">
        <v>484714</v>
      </c>
      <c r="N1713" t="inlineStr">
        <is>
          <t>是</t>
        </is>
      </c>
    </row>
    <row r="1714">
      <c r="A1714" s="7" t="inlineStr">
        <is>
          <t>2014-08-04</t>
        </is>
      </c>
      <c r="B1714" s="8" t="n">
        <v>10613</v>
      </c>
      <c r="C1714" s="8" t="n">
        <v>10585</v>
      </c>
      <c r="D1714" s="8" t="n">
        <v>10647</v>
      </c>
      <c r="E1714" s="8" t="n">
        <v>10554</v>
      </c>
      <c r="F1714" s="8" t="n">
        <v>96060</v>
      </c>
      <c r="G1714" s="8" t="n">
        <v>111698</v>
      </c>
      <c r="H1714" s="8" t="n">
        <v>11245</v>
      </c>
      <c r="I1714" s="8" t="n">
        <v>11280</v>
      </c>
      <c r="J1714" s="8" t="n">
        <v>11300</v>
      </c>
      <c r="K1714" s="8" t="n">
        <v>11210</v>
      </c>
      <c r="L1714" s="8" t="n">
        <v>324288</v>
      </c>
      <c r="M1714" s="8" t="n">
        <v>478978</v>
      </c>
      <c r="N1714" t="inlineStr">
        <is>
          <t>是</t>
        </is>
      </c>
    </row>
    <row r="1715">
      <c r="A1715" s="7" t="inlineStr">
        <is>
          <t>2014-08-05</t>
        </is>
      </c>
      <c r="B1715" s="8" t="n">
        <v>10514</v>
      </c>
      <c r="C1715" s="8" t="n">
        <v>10650</v>
      </c>
      <c r="D1715" s="8" t="n">
        <v>10650</v>
      </c>
      <c r="E1715" s="8" t="n">
        <v>10466</v>
      </c>
      <c r="F1715" s="8" t="n">
        <v>185644</v>
      </c>
      <c r="G1715" s="8" t="n">
        <v>112898</v>
      </c>
      <c r="H1715" s="8" t="n">
        <v>11000</v>
      </c>
      <c r="I1715" s="8" t="n">
        <v>11250</v>
      </c>
      <c r="J1715" s="8" t="n">
        <v>11340</v>
      </c>
      <c r="K1715" s="8" t="n">
        <v>10955</v>
      </c>
      <c r="L1715" s="8" t="n">
        <v>922078</v>
      </c>
      <c r="M1715" s="8" t="n">
        <v>480026</v>
      </c>
      <c r="N1715" t="inlineStr">
        <is>
          <t>是</t>
        </is>
      </c>
    </row>
    <row r="1716">
      <c r="A1716" s="7" t="inlineStr">
        <is>
          <t>2014-08-06</t>
        </is>
      </c>
      <c r="B1716" s="8" t="n">
        <v>10565</v>
      </c>
      <c r="C1716" s="8" t="n">
        <v>10485</v>
      </c>
      <c r="D1716" s="8" t="n">
        <v>10582</v>
      </c>
      <c r="E1716" s="8" t="n">
        <v>10485</v>
      </c>
      <c r="F1716" s="8" t="n">
        <v>103642</v>
      </c>
      <c r="G1716" s="8" t="n">
        <v>114332</v>
      </c>
      <c r="H1716" s="8" t="n">
        <v>11055</v>
      </c>
      <c r="I1716" s="8" t="n">
        <v>11000</v>
      </c>
      <c r="J1716" s="8" t="n">
        <v>11065</v>
      </c>
      <c r="K1716" s="8" t="n">
        <v>10970</v>
      </c>
      <c r="L1716" s="8" t="n">
        <v>414258</v>
      </c>
      <c r="M1716" s="8" t="n">
        <v>377698</v>
      </c>
      <c r="N1716" t="inlineStr">
        <is>
          <t>是</t>
        </is>
      </c>
    </row>
    <row r="1717">
      <c r="A1717" s="7" t="inlineStr">
        <is>
          <t>2014-08-07</t>
        </is>
      </c>
      <c r="B1717" s="8" t="n">
        <v>10536</v>
      </c>
      <c r="C1717" s="8" t="n">
        <v>10562</v>
      </c>
      <c r="D1717" s="8" t="n">
        <v>10570</v>
      </c>
      <c r="E1717" s="8" t="n">
        <v>10492</v>
      </c>
      <c r="F1717" s="8" t="n">
        <v>102948</v>
      </c>
      <c r="G1717" s="8" t="n">
        <v>115854</v>
      </c>
      <c r="H1717" s="8" t="n">
        <v>10970</v>
      </c>
      <c r="I1717" s="8" t="n">
        <v>11040</v>
      </c>
      <c r="J1717" s="8" t="n">
        <v>11055</v>
      </c>
      <c r="K1717" s="8" t="n">
        <v>10940</v>
      </c>
      <c r="L1717" s="8" t="n">
        <v>472638</v>
      </c>
      <c r="M1717" s="8" t="n">
        <v>304784</v>
      </c>
      <c r="N1717" t="inlineStr">
        <is>
          <t>是</t>
        </is>
      </c>
    </row>
    <row r="1718">
      <c r="A1718" s="7" t="inlineStr">
        <is>
          <t>2014-08-08</t>
        </is>
      </c>
      <c r="B1718" s="8" t="n">
        <v>10488</v>
      </c>
      <c r="C1718" s="8" t="n">
        <v>10536</v>
      </c>
      <c r="D1718" s="8" t="n">
        <v>10560</v>
      </c>
      <c r="E1718" s="8" t="n">
        <v>10425</v>
      </c>
      <c r="F1718" s="8" t="n">
        <v>142268</v>
      </c>
      <c r="G1718" s="8" t="n">
        <v>115818</v>
      </c>
      <c r="H1718" s="8" t="n">
        <v>10945</v>
      </c>
      <c r="I1718" s="8" t="n">
        <v>10990</v>
      </c>
      <c r="J1718" s="8" t="n">
        <v>10995</v>
      </c>
      <c r="K1718" s="8" t="n">
        <v>10860</v>
      </c>
      <c r="L1718" s="8" t="n">
        <v>449098</v>
      </c>
      <c r="M1718" s="8" t="n">
        <v>267408</v>
      </c>
      <c r="N1718" t="inlineStr">
        <is>
          <t>是</t>
        </is>
      </c>
    </row>
    <row r="1719">
      <c r="A1719" s="7" t="inlineStr">
        <is>
          <t>2014-08-11</t>
        </is>
      </c>
      <c r="B1719" s="8" t="n">
        <v>10547</v>
      </c>
      <c r="C1719" s="8" t="n">
        <v>10498</v>
      </c>
      <c r="D1719" s="8" t="n">
        <v>10588</v>
      </c>
      <c r="E1719" s="8" t="n">
        <v>10488</v>
      </c>
      <c r="F1719" s="8" t="n">
        <v>115370</v>
      </c>
      <c r="G1719" s="8" t="n">
        <v>111774</v>
      </c>
      <c r="H1719" s="8" t="n">
        <v>10945</v>
      </c>
      <c r="I1719" s="8" t="n">
        <v>10970</v>
      </c>
      <c r="J1719" s="8" t="n">
        <v>11100</v>
      </c>
      <c r="K1719" s="8" t="n">
        <v>10930</v>
      </c>
      <c r="L1719" s="8" t="n">
        <v>262250</v>
      </c>
      <c r="M1719" s="8" t="n">
        <v>256204</v>
      </c>
      <c r="N1719" t="inlineStr">
        <is>
          <t>是</t>
        </is>
      </c>
    </row>
    <row r="1720">
      <c r="A1720" s="7" t="inlineStr">
        <is>
          <t>2014-08-12</t>
        </is>
      </c>
      <c r="B1720" s="8" t="n">
        <v>10472</v>
      </c>
      <c r="C1720" s="8" t="n">
        <v>10540</v>
      </c>
      <c r="D1720" s="8" t="n">
        <v>10544</v>
      </c>
      <c r="E1720" s="8" t="n">
        <v>10466</v>
      </c>
      <c r="F1720" s="8" t="n">
        <v>107824</v>
      </c>
      <c r="G1720" s="8" t="n">
        <v>108746</v>
      </c>
      <c r="H1720" s="8" t="n">
        <v>10810</v>
      </c>
      <c r="I1720" s="8" t="n">
        <v>10940</v>
      </c>
      <c r="J1720" s="8" t="n">
        <v>10945</v>
      </c>
      <c r="K1720" s="8" t="n">
        <v>10810</v>
      </c>
      <c r="L1720" s="8" t="n">
        <v>342690</v>
      </c>
      <c r="M1720" s="8" t="n">
        <v>289968</v>
      </c>
      <c r="N1720" t="inlineStr">
        <is>
          <t>是</t>
        </is>
      </c>
    </row>
    <row r="1721">
      <c r="A1721" s="7" t="inlineStr">
        <is>
          <t>2014-08-13</t>
        </is>
      </c>
      <c r="B1721" s="8" t="n">
        <v>10442</v>
      </c>
      <c r="C1721" s="8" t="n">
        <v>10459</v>
      </c>
      <c r="D1721" s="8" t="n">
        <v>10464</v>
      </c>
      <c r="E1721" s="8" t="n">
        <v>10381</v>
      </c>
      <c r="F1721" s="8" t="n">
        <v>116146</v>
      </c>
      <c r="G1721" s="8" t="n">
        <v>111844</v>
      </c>
      <c r="H1721" s="8" t="n">
        <v>10805</v>
      </c>
      <c r="I1721" s="8" t="n">
        <v>10800</v>
      </c>
      <c r="J1721" s="8" t="n">
        <v>10835</v>
      </c>
      <c r="K1721" s="8" t="n">
        <v>10750</v>
      </c>
      <c r="L1721" s="8" t="n">
        <v>329330</v>
      </c>
      <c r="M1721" s="8" t="n">
        <v>301808</v>
      </c>
      <c r="N1721" t="inlineStr">
        <is>
          <t>是</t>
        </is>
      </c>
    </row>
    <row r="1722">
      <c r="A1722" s="7" t="inlineStr">
        <is>
          <t>2014-08-14</t>
        </is>
      </c>
      <c r="B1722" s="8" t="n">
        <v>10458</v>
      </c>
      <c r="C1722" s="8" t="n">
        <v>10440</v>
      </c>
      <c r="D1722" s="8" t="n">
        <v>10498</v>
      </c>
      <c r="E1722" s="8" t="n">
        <v>10390</v>
      </c>
      <c r="F1722" s="8" t="n">
        <v>181954</v>
      </c>
      <c r="G1722" s="8" t="n">
        <v>118348</v>
      </c>
      <c r="H1722" s="8" t="n">
        <v>10845</v>
      </c>
      <c r="I1722" s="8" t="n">
        <v>10780</v>
      </c>
      <c r="J1722" s="8" t="n">
        <v>10860</v>
      </c>
      <c r="K1722" s="8" t="n">
        <v>10760</v>
      </c>
      <c r="L1722" s="8" t="n">
        <v>357878</v>
      </c>
      <c r="M1722" s="8" t="n">
        <v>302534</v>
      </c>
      <c r="N1722" t="inlineStr">
        <is>
          <t>是</t>
        </is>
      </c>
    </row>
    <row r="1723">
      <c r="A1723" s="7" t="inlineStr">
        <is>
          <t>2014-08-15</t>
        </is>
      </c>
      <c r="B1723" s="8" t="n">
        <v>10537</v>
      </c>
      <c r="C1723" s="8" t="n">
        <v>10438</v>
      </c>
      <c r="D1723" s="8" t="n">
        <v>10540</v>
      </c>
      <c r="E1723" s="8" t="n">
        <v>10406</v>
      </c>
      <c r="F1723" s="8" t="n">
        <v>136284</v>
      </c>
      <c r="G1723" s="8" t="n">
        <v>117494</v>
      </c>
      <c r="H1723" s="8" t="n">
        <v>10930</v>
      </c>
      <c r="I1723" s="8" t="n">
        <v>10805</v>
      </c>
      <c r="J1723" s="8" t="n">
        <v>10935</v>
      </c>
      <c r="K1723" s="8" t="n">
        <v>10785</v>
      </c>
      <c r="L1723" s="8" t="n">
        <v>455126</v>
      </c>
      <c r="M1723" s="8" t="n">
        <v>300164</v>
      </c>
      <c r="N1723" t="inlineStr">
        <is>
          <t>是</t>
        </is>
      </c>
    </row>
    <row r="1724">
      <c r="A1724" s="7" t="inlineStr">
        <is>
          <t>2014-08-18</t>
        </is>
      </c>
      <c r="B1724" s="8" t="n">
        <v>10572</v>
      </c>
      <c r="C1724" s="8" t="n">
        <v>10546</v>
      </c>
      <c r="D1724" s="8" t="n">
        <v>10576</v>
      </c>
      <c r="E1724" s="8" t="n">
        <v>10507</v>
      </c>
      <c r="F1724" s="8" t="n">
        <v>114154</v>
      </c>
      <c r="G1724" s="8" t="n">
        <v>122634</v>
      </c>
      <c r="H1724" s="8" t="n">
        <v>10910</v>
      </c>
      <c r="I1724" s="8" t="n">
        <v>10930</v>
      </c>
      <c r="J1724" s="8" t="n">
        <v>10975</v>
      </c>
      <c r="K1724" s="8" t="n">
        <v>10875</v>
      </c>
      <c r="L1724" s="8" t="n">
        <v>363708</v>
      </c>
      <c r="M1724" s="8" t="n">
        <v>291724</v>
      </c>
      <c r="N1724" t="inlineStr">
        <is>
          <t>是</t>
        </is>
      </c>
    </row>
    <row r="1725">
      <c r="A1725" s="7" t="inlineStr">
        <is>
          <t>2014-08-19</t>
        </is>
      </c>
      <c r="B1725" s="8" t="n">
        <v>10579</v>
      </c>
      <c r="C1725" s="8" t="n">
        <v>10580</v>
      </c>
      <c r="D1725" s="8" t="n">
        <v>10600</v>
      </c>
      <c r="E1725" s="8" t="n">
        <v>10540</v>
      </c>
      <c r="F1725" s="8" t="n">
        <v>105274</v>
      </c>
      <c r="G1725" s="8" t="n">
        <v>125216</v>
      </c>
      <c r="H1725" s="8" t="n">
        <v>10950</v>
      </c>
      <c r="I1725" s="8" t="n">
        <v>10875</v>
      </c>
      <c r="J1725" s="8" t="n">
        <v>10970</v>
      </c>
      <c r="K1725" s="8" t="n">
        <v>10875</v>
      </c>
      <c r="L1725" s="8" t="n">
        <v>214124</v>
      </c>
      <c r="M1725" s="8" t="n">
        <v>285880</v>
      </c>
      <c r="N1725" t="inlineStr">
        <is>
          <t>是</t>
        </is>
      </c>
    </row>
    <row r="1726">
      <c r="A1726" s="7" t="inlineStr">
        <is>
          <t>2014-08-20</t>
        </is>
      </c>
      <c r="B1726" s="8" t="n">
        <v>10495</v>
      </c>
      <c r="C1726" s="8" t="n">
        <v>10570</v>
      </c>
      <c r="D1726" s="8" t="n">
        <v>10570</v>
      </c>
      <c r="E1726" s="8" t="n">
        <v>10471</v>
      </c>
      <c r="F1726" s="8" t="n">
        <v>161594</v>
      </c>
      <c r="G1726" s="8" t="n">
        <v>128192</v>
      </c>
      <c r="H1726" s="8" t="n">
        <v>10850</v>
      </c>
      <c r="I1726" s="8" t="n">
        <v>10930</v>
      </c>
      <c r="J1726" s="8" t="n">
        <v>10940</v>
      </c>
      <c r="K1726" s="8" t="n">
        <v>10795</v>
      </c>
      <c r="L1726" s="8" t="n">
        <v>497644</v>
      </c>
      <c r="M1726" s="8" t="n">
        <v>321270</v>
      </c>
      <c r="N1726" t="inlineStr">
        <is>
          <t>是</t>
        </is>
      </c>
    </row>
    <row r="1727">
      <c r="A1727" s="7" t="inlineStr">
        <is>
          <t>2014-08-21</t>
        </is>
      </c>
      <c r="B1727" s="8" t="n">
        <v>10645</v>
      </c>
      <c r="C1727" s="8" t="n">
        <v>10526</v>
      </c>
      <c r="D1727" s="8" t="n">
        <v>10648</v>
      </c>
      <c r="E1727" s="8" t="n">
        <v>10520</v>
      </c>
      <c r="F1727" s="8" t="n">
        <v>147644</v>
      </c>
      <c r="G1727" s="8" t="n">
        <v>142494</v>
      </c>
      <c r="H1727" s="8" t="n">
        <v>10990</v>
      </c>
      <c r="I1727" s="8" t="n">
        <v>10890</v>
      </c>
      <c r="J1727" s="8" t="n">
        <v>10995</v>
      </c>
      <c r="K1727" s="8" t="n">
        <v>10870</v>
      </c>
      <c r="L1727" s="8" t="n">
        <v>339400</v>
      </c>
      <c r="M1727" s="8" t="n">
        <v>278868</v>
      </c>
      <c r="N1727" t="inlineStr">
        <is>
          <t>是</t>
        </is>
      </c>
    </row>
    <row r="1728">
      <c r="A1728" s="7" t="inlineStr">
        <is>
          <t>2014-08-22</t>
        </is>
      </c>
      <c r="B1728" s="8" t="n">
        <v>10636</v>
      </c>
      <c r="C1728" s="8" t="n">
        <v>10650</v>
      </c>
      <c r="D1728" s="8" t="n">
        <v>10664</v>
      </c>
      <c r="E1728" s="8" t="n">
        <v>10612</v>
      </c>
      <c r="F1728" s="8" t="n">
        <v>139582</v>
      </c>
      <c r="G1728" s="8" t="n">
        <v>142864</v>
      </c>
      <c r="H1728" s="8" t="n">
        <v>10950</v>
      </c>
      <c r="I1728" s="8" t="n">
        <v>10980</v>
      </c>
      <c r="J1728" s="8" t="n">
        <v>11010</v>
      </c>
      <c r="K1728" s="8" t="n">
        <v>10920</v>
      </c>
      <c r="L1728" s="8" t="n">
        <v>330846</v>
      </c>
      <c r="M1728" s="8" t="n">
        <v>276204</v>
      </c>
      <c r="N1728" t="inlineStr">
        <is>
          <t>是</t>
        </is>
      </c>
    </row>
    <row r="1729">
      <c r="A1729" s="7" t="inlineStr">
        <is>
          <t>2014-08-25</t>
        </is>
      </c>
      <c r="B1729" s="8" t="n">
        <v>10646</v>
      </c>
      <c r="C1729" s="8" t="n">
        <v>10640</v>
      </c>
      <c r="D1729" s="8" t="n">
        <v>10648</v>
      </c>
      <c r="E1729" s="8" t="n">
        <v>10573</v>
      </c>
      <c r="F1729" s="8" t="n">
        <v>107228</v>
      </c>
      <c r="G1729" s="8" t="n">
        <v>146088</v>
      </c>
      <c r="H1729" s="8" t="n">
        <v>10905</v>
      </c>
      <c r="I1729" s="8" t="n">
        <v>10950</v>
      </c>
      <c r="J1729" s="8" t="n">
        <v>10950</v>
      </c>
      <c r="K1729" s="8" t="n">
        <v>10835</v>
      </c>
      <c r="L1729" s="8" t="n">
        <v>342098</v>
      </c>
      <c r="M1729" s="8" t="n">
        <v>291694</v>
      </c>
      <c r="N1729" t="inlineStr">
        <is>
          <t>是</t>
        </is>
      </c>
    </row>
    <row r="1730">
      <c r="A1730" s="7" t="inlineStr">
        <is>
          <t>2014-08-26</t>
        </is>
      </c>
      <c r="B1730" s="8" t="n">
        <v>10636</v>
      </c>
      <c r="C1730" s="8" t="n">
        <v>10643</v>
      </c>
      <c r="D1730" s="8" t="n">
        <v>10684</v>
      </c>
      <c r="E1730" s="8" t="n">
        <v>10587</v>
      </c>
      <c r="F1730" s="8" t="n">
        <v>154384</v>
      </c>
      <c r="G1730" s="8" t="n">
        <v>148150</v>
      </c>
      <c r="H1730" s="8" t="n">
        <v>10860</v>
      </c>
      <c r="I1730" s="8" t="n">
        <v>10905</v>
      </c>
      <c r="J1730" s="8" t="n">
        <v>10935</v>
      </c>
      <c r="K1730" s="8" t="n">
        <v>10805</v>
      </c>
      <c r="L1730" s="8" t="n">
        <v>323934</v>
      </c>
      <c r="M1730" s="8" t="n">
        <v>299042</v>
      </c>
      <c r="N1730" t="inlineStr">
        <is>
          <t>是</t>
        </is>
      </c>
    </row>
    <row r="1731">
      <c r="A1731" s="7" t="inlineStr">
        <is>
          <t>2014-08-27</t>
        </is>
      </c>
      <c r="B1731" s="8" t="n">
        <v>10622</v>
      </c>
      <c r="C1731" s="8" t="n">
        <v>10630</v>
      </c>
      <c r="D1731" s="8" t="n">
        <v>10656</v>
      </c>
      <c r="E1731" s="8" t="n">
        <v>10607</v>
      </c>
      <c r="F1731" s="8" t="n">
        <v>132852</v>
      </c>
      <c r="G1731" s="8" t="n">
        <v>146794</v>
      </c>
      <c r="H1731" s="8" t="n">
        <v>10820</v>
      </c>
      <c r="I1731" s="8" t="n">
        <v>10860</v>
      </c>
      <c r="J1731" s="8" t="n">
        <v>10880</v>
      </c>
      <c r="K1731" s="8" t="n">
        <v>10800</v>
      </c>
      <c r="L1731" s="8" t="n">
        <v>307032</v>
      </c>
      <c r="M1731" s="8" t="n">
        <v>300270</v>
      </c>
      <c r="N1731" t="inlineStr">
        <is>
          <t>是</t>
        </is>
      </c>
    </row>
    <row r="1732">
      <c r="A1732" s="7" t="inlineStr">
        <is>
          <t>2014-08-28</t>
        </is>
      </c>
      <c r="B1732" s="8" t="n">
        <v>10577</v>
      </c>
      <c r="C1732" s="8" t="n">
        <v>10607</v>
      </c>
      <c r="D1732" s="8" t="n">
        <v>10630</v>
      </c>
      <c r="E1732" s="8" t="n">
        <v>10556</v>
      </c>
      <c r="F1732" s="8" t="n">
        <v>130690</v>
      </c>
      <c r="G1732" s="8" t="n">
        <v>146110</v>
      </c>
      <c r="H1732" s="8" t="n">
        <v>10795</v>
      </c>
      <c r="I1732" s="8" t="n">
        <v>10800</v>
      </c>
      <c r="J1732" s="8" t="n">
        <v>10835</v>
      </c>
      <c r="K1732" s="8" t="n">
        <v>10760</v>
      </c>
      <c r="L1732" s="8" t="n">
        <v>321230</v>
      </c>
      <c r="M1732" s="8" t="n">
        <v>315802</v>
      </c>
      <c r="N1732" t="inlineStr">
        <is>
          <t>是</t>
        </is>
      </c>
    </row>
    <row r="1733">
      <c r="A1733" s="7" t="inlineStr">
        <is>
          <t>2014-08-29</t>
        </is>
      </c>
      <c r="B1733" s="8" t="n">
        <v>10535</v>
      </c>
      <c r="C1733" s="8" t="n">
        <v>10580</v>
      </c>
      <c r="D1733" s="8" t="n">
        <v>10599</v>
      </c>
      <c r="E1733" s="8" t="n">
        <v>10517</v>
      </c>
      <c r="F1733" s="8" t="n">
        <v>159502</v>
      </c>
      <c r="G1733" s="8" t="n">
        <v>150510</v>
      </c>
      <c r="H1733" s="8" t="n">
        <v>10730</v>
      </c>
      <c r="I1733" s="8" t="n">
        <v>10795</v>
      </c>
      <c r="J1733" s="8" t="n">
        <v>10820</v>
      </c>
      <c r="K1733" s="8" t="n">
        <v>10705</v>
      </c>
      <c r="L1733" s="8" t="n">
        <v>470780</v>
      </c>
      <c r="M1733" s="8" t="n">
        <v>348914</v>
      </c>
      <c r="N1733" t="inlineStr">
        <is>
          <t>是</t>
        </is>
      </c>
    </row>
    <row r="1734">
      <c r="A1734" s="7" t="inlineStr">
        <is>
          <t>2014-09-01</t>
        </is>
      </c>
      <c r="B1734" s="8" t="n">
        <v>10511</v>
      </c>
      <c r="C1734" s="8" t="n">
        <v>10550</v>
      </c>
      <c r="D1734" s="8" t="n">
        <v>10574</v>
      </c>
      <c r="E1734" s="8" t="n">
        <v>10482</v>
      </c>
      <c r="F1734" s="8" t="n">
        <v>118768</v>
      </c>
      <c r="G1734" s="8" t="n">
        <v>158758</v>
      </c>
      <c r="H1734" s="8" t="n">
        <v>10760</v>
      </c>
      <c r="I1734" s="8" t="n">
        <v>10745</v>
      </c>
      <c r="J1734" s="8" t="n">
        <v>10775</v>
      </c>
      <c r="K1734" s="8" t="n">
        <v>10720</v>
      </c>
      <c r="L1734" s="8" t="n">
        <v>225550</v>
      </c>
      <c r="M1734" s="8" t="n">
        <v>355790</v>
      </c>
      <c r="N1734" t="inlineStr">
        <is>
          <t>是</t>
        </is>
      </c>
    </row>
    <row r="1735">
      <c r="A1735" s="7" t="inlineStr">
        <is>
          <t>2014-09-02</t>
        </is>
      </c>
      <c r="B1735" s="8" t="n">
        <v>10620</v>
      </c>
      <c r="C1735" s="8" t="n">
        <v>10514</v>
      </c>
      <c r="D1735" s="8" t="n">
        <v>10621</v>
      </c>
      <c r="E1735" s="8" t="n">
        <v>10504</v>
      </c>
      <c r="F1735" s="8" t="n">
        <v>137296</v>
      </c>
      <c r="G1735" s="8" t="n">
        <v>150250</v>
      </c>
      <c r="H1735" s="8" t="n">
        <v>10900</v>
      </c>
      <c r="I1735" s="8" t="n">
        <v>10755</v>
      </c>
      <c r="J1735" s="8" t="n">
        <v>10925</v>
      </c>
      <c r="K1735" s="8" t="n">
        <v>10745</v>
      </c>
      <c r="L1735" s="8" t="n">
        <v>452614</v>
      </c>
      <c r="M1735" s="8" t="n">
        <v>333728</v>
      </c>
      <c r="N1735" t="inlineStr">
        <is>
          <t>是</t>
        </is>
      </c>
    </row>
    <row r="1736">
      <c r="A1736" s="7" t="inlineStr">
        <is>
          <t>2014-09-03</t>
        </is>
      </c>
      <c r="B1736" s="8" t="n">
        <v>10622</v>
      </c>
      <c r="C1736" s="8" t="n">
        <v>10599</v>
      </c>
      <c r="D1736" s="8" t="n">
        <v>10622</v>
      </c>
      <c r="E1736" s="8" t="n">
        <v>10568</v>
      </c>
      <c r="F1736" s="8" t="n">
        <v>120456</v>
      </c>
      <c r="G1736" s="8" t="n">
        <v>163062</v>
      </c>
      <c r="H1736" s="8" t="n">
        <v>10840</v>
      </c>
      <c r="I1736" s="8" t="n">
        <v>10850</v>
      </c>
      <c r="J1736" s="8" t="n">
        <v>10910</v>
      </c>
      <c r="K1736" s="8" t="n">
        <v>10825</v>
      </c>
      <c r="L1736" s="8" t="n">
        <v>329702</v>
      </c>
      <c r="M1736" s="8" t="n">
        <v>345062</v>
      </c>
      <c r="N1736" t="inlineStr">
        <is>
          <t>是</t>
        </is>
      </c>
    </row>
    <row r="1737">
      <c r="A1737" s="7" t="inlineStr">
        <is>
          <t>2014-09-04</t>
        </is>
      </c>
      <c r="B1737" s="8" t="n">
        <v>10683</v>
      </c>
      <c r="C1737" s="8" t="n">
        <v>10646</v>
      </c>
      <c r="D1737" s="8" t="n">
        <v>10763</v>
      </c>
      <c r="E1737" s="8" t="n">
        <v>10628</v>
      </c>
      <c r="F1737" s="8" t="n">
        <v>384656</v>
      </c>
      <c r="G1737" s="8" t="n">
        <v>227512</v>
      </c>
      <c r="H1737" s="8" t="n">
        <v>10925</v>
      </c>
      <c r="I1737" s="8" t="n">
        <v>10880</v>
      </c>
      <c r="J1737" s="8" t="n">
        <v>10960</v>
      </c>
      <c r="K1737" s="8" t="n">
        <v>10870</v>
      </c>
      <c r="L1737" s="8" t="n">
        <v>384764</v>
      </c>
      <c r="M1737" s="8" t="n">
        <v>361450</v>
      </c>
      <c r="N1737" t="inlineStr">
        <is>
          <t>是</t>
        </is>
      </c>
    </row>
    <row r="1738">
      <c r="A1738" s="7" t="inlineStr">
        <is>
          <t>2014-09-05</t>
        </is>
      </c>
      <c r="B1738" s="8" t="n">
        <v>10570</v>
      </c>
      <c r="C1738" s="8" t="n">
        <v>10689</v>
      </c>
      <c r="D1738" s="8" t="n">
        <v>10691</v>
      </c>
      <c r="E1738" s="8" t="n">
        <v>10551</v>
      </c>
      <c r="F1738" s="8" t="n">
        <v>204686</v>
      </c>
      <c r="G1738" s="8" t="n">
        <v>212440</v>
      </c>
      <c r="H1738" s="8" t="n">
        <v>10820</v>
      </c>
      <c r="I1738" s="8" t="n">
        <v>10905</v>
      </c>
      <c r="J1738" s="8" t="n">
        <v>10925</v>
      </c>
      <c r="K1738" s="8" t="n">
        <v>10765</v>
      </c>
      <c r="L1738" s="8" t="n">
        <v>441976</v>
      </c>
      <c r="M1738" s="8" t="n">
        <v>381086</v>
      </c>
      <c r="N1738" t="inlineStr">
        <is>
          <t>是</t>
        </is>
      </c>
    </row>
    <row r="1739">
      <c r="A1739" s="7" t="inlineStr">
        <is>
          <t>2014-09-09</t>
        </is>
      </c>
      <c r="B1739" s="8" t="n">
        <v>10490</v>
      </c>
      <c r="C1739" s="8" t="n">
        <v>10560</v>
      </c>
      <c r="D1739" s="8" t="n">
        <v>10574</v>
      </c>
      <c r="E1739" s="8" t="n">
        <v>10475</v>
      </c>
      <c r="F1739" s="8" t="n">
        <v>208728</v>
      </c>
      <c r="G1739" s="8" t="n">
        <v>204758</v>
      </c>
      <c r="H1739" s="8" t="n">
        <v>10655</v>
      </c>
      <c r="I1739" s="8" t="n">
        <v>10805</v>
      </c>
      <c r="J1739" s="8" t="n">
        <v>10810</v>
      </c>
      <c r="K1739" s="8" t="n">
        <v>10580</v>
      </c>
      <c r="L1739" s="8" t="n">
        <v>597996</v>
      </c>
      <c r="M1739" s="8" t="n">
        <v>473422</v>
      </c>
      <c r="N1739" t="inlineStr">
        <is>
          <t>是</t>
        </is>
      </c>
    </row>
    <row r="1740">
      <c r="A1740" s="7" t="inlineStr">
        <is>
          <t>2014-09-10</t>
        </is>
      </c>
      <c r="B1740" s="8" t="n">
        <v>10427</v>
      </c>
      <c r="C1740" s="8" t="n">
        <v>10486</v>
      </c>
      <c r="D1740" s="8" t="n">
        <v>10531</v>
      </c>
      <c r="E1740" s="8" t="n">
        <v>10421</v>
      </c>
      <c r="F1740" s="8" t="n">
        <v>145202</v>
      </c>
      <c r="G1740" s="8" t="n">
        <v>201890</v>
      </c>
      <c r="H1740" s="8" t="n">
        <v>10580</v>
      </c>
      <c r="I1740" s="8" t="n">
        <v>10655</v>
      </c>
      <c r="J1740" s="8" t="n">
        <v>10715</v>
      </c>
      <c r="K1740" s="8" t="n">
        <v>10580</v>
      </c>
      <c r="L1740" s="8" t="n">
        <v>359384</v>
      </c>
      <c r="M1740" s="8" t="n">
        <v>480822</v>
      </c>
      <c r="N1740" t="inlineStr">
        <is>
          <t>是</t>
        </is>
      </c>
    </row>
    <row r="1741">
      <c r="A1741" s="7" t="inlineStr">
        <is>
          <t>2014-09-11</t>
        </is>
      </c>
      <c r="B1741" s="8" t="n">
        <v>10418</v>
      </c>
      <c r="C1741" s="8" t="n">
        <v>10401</v>
      </c>
      <c r="D1741" s="8" t="n">
        <v>10428</v>
      </c>
      <c r="E1741" s="8" t="n">
        <v>10358</v>
      </c>
      <c r="F1741" s="8" t="n">
        <v>159884</v>
      </c>
      <c r="G1741" s="8" t="n">
        <v>200720</v>
      </c>
      <c r="H1741" s="8" t="n">
        <v>10600</v>
      </c>
      <c r="I1741" s="8" t="n">
        <v>10580</v>
      </c>
      <c r="J1741" s="8" t="n">
        <v>10625</v>
      </c>
      <c r="K1741" s="8" t="n">
        <v>10515</v>
      </c>
      <c r="L1741" s="8" t="n">
        <v>421264</v>
      </c>
      <c r="M1741" s="8" t="n">
        <v>477652</v>
      </c>
      <c r="N1741" t="inlineStr">
        <is>
          <t>是</t>
        </is>
      </c>
    </row>
    <row r="1742">
      <c r="A1742" s="7" t="inlineStr">
        <is>
          <t>2014-09-12</t>
        </is>
      </c>
      <c r="B1742" s="8" t="n">
        <v>10355</v>
      </c>
      <c r="C1742" s="8" t="n">
        <v>10432</v>
      </c>
      <c r="D1742" s="8" t="n">
        <v>10447</v>
      </c>
      <c r="E1742" s="8" t="n">
        <v>10288</v>
      </c>
      <c r="F1742" s="8" t="n">
        <v>193460</v>
      </c>
      <c r="G1742" s="8" t="n">
        <v>202616</v>
      </c>
      <c r="H1742" s="8" t="n">
        <v>10510</v>
      </c>
      <c r="I1742" s="8" t="n">
        <v>10620</v>
      </c>
      <c r="J1742" s="8" t="n">
        <v>10635</v>
      </c>
      <c r="K1742" s="8" t="n">
        <v>10410</v>
      </c>
      <c r="L1742" s="8" t="n">
        <v>453888</v>
      </c>
      <c r="M1742" s="8" t="n">
        <v>486812</v>
      </c>
      <c r="N1742" t="inlineStr">
        <is>
          <t>是</t>
        </is>
      </c>
    </row>
    <row r="1743">
      <c r="A1743" s="7" t="inlineStr">
        <is>
          <t>2014-09-15</t>
        </is>
      </c>
      <c r="B1743" s="8" t="n">
        <v>10385</v>
      </c>
      <c r="C1743" s="8" t="n">
        <v>10340</v>
      </c>
      <c r="D1743" s="8" t="n">
        <v>10404</v>
      </c>
      <c r="E1743" s="8" t="n">
        <v>10321</v>
      </c>
      <c r="F1743" s="8" t="n">
        <v>118984</v>
      </c>
      <c r="G1743" s="8" t="n">
        <v>199128</v>
      </c>
      <c r="H1743" s="8" t="n">
        <v>10595</v>
      </c>
      <c r="I1743" s="8" t="n">
        <v>10480</v>
      </c>
      <c r="J1743" s="8" t="n">
        <v>10615</v>
      </c>
      <c r="K1743" s="8" t="n">
        <v>10450</v>
      </c>
      <c r="L1743" s="8" t="n">
        <v>418768</v>
      </c>
      <c r="M1743" s="8" t="n">
        <v>475448</v>
      </c>
      <c r="N1743" t="inlineStr">
        <is>
          <t>是</t>
        </is>
      </c>
    </row>
    <row r="1744">
      <c r="A1744" s="7" t="inlineStr">
        <is>
          <t>2014-09-16</t>
        </is>
      </c>
      <c r="B1744" s="8" t="n">
        <v>10416</v>
      </c>
      <c r="C1744" s="8" t="n">
        <v>10395</v>
      </c>
      <c r="D1744" s="8" t="n">
        <v>10469</v>
      </c>
      <c r="E1744" s="8" t="n">
        <v>10364</v>
      </c>
      <c r="F1744" s="8" t="n">
        <v>145634</v>
      </c>
      <c r="G1744" s="8" t="n">
        <v>194068</v>
      </c>
      <c r="H1744" s="8" t="n">
        <v>10565</v>
      </c>
      <c r="I1744" s="8" t="n">
        <v>10605</v>
      </c>
      <c r="J1744" s="8" t="n">
        <v>10655</v>
      </c>
      <c r="K1744" s="8" t="n">
        <v>10520</v>
      </c>
      <c r="L1744" s="8" t="n">
        <v>396986</v>
      </c>
      <c r="M1744" s="8" t="n">
        <v>481140</v>
      </c>
      <c r="N1744" t="inlineStr">
        <is>
          <t>是</t>
        </is>
      </c>
    </row>
    <row r="1745">
      <c r="A1745" s="7" t="inlineStr">
        <is>
          <t>2014-09-17</t>
        </is>
      </c>
      <c r="B1745" s="8" t="n">
        <v>10335</v>
      </c>
      <c r="C1745" s="8" t="n">
        <v>10450</v>
      </c>
      <c r="D1745" s="8" t="n">
        <v>10479</v>
      </c>
      <c r="E1745" s="8" t="n">
        <v>10331</v>
      </c>
      <c r="F1745" s="8" t="n">
        <v>138088</v>
      </c>
      <c r="G1745" s="8" t="n">
        <v>198468</v>
      </c>
      <c r="H1745" s="8" t="n">
        <v>10495</v>
      </c>
      <c r="I1745" s="8" t="n">
        <v>10620</v>
      </c>
      <c r="J1745" s="8" t="n">
        <v>10640</v>
      </c>
      <c r="K1745" s="8" t="n">
        <v>10470</v>
      </c>
      <c r="L1745" s="8" t="n">
        <v>444966</v>
      </c>
      <c r="M1745" s="8" t="n">
        <v>522616</v>
      </c>
      <c r="N1745" t="inlineStr">
        <is>
          <t>是</t>
        </is>
      </c>
    </row>
    <row r="1746">
      <c r="A1746" s="7" t="inlineStr">
        <is>
          <t>2014-09-18</t>
        </is>
      </c>
      <c r="B1746" s="8" t="n">
        <v>10260</v>
      </c>
      <c r="C1746" s="8" t="n">
        <v>10310</v>
      </c>
      <c r="D1746" s="8" t="n">
        <v>10333</v>
      </c>
      <c r="E1746" s="8" t="n">
        <v>10246</v>
      </c>
      <c r="F1746" s="8" t="n">
        <v>171676</v>
      </c>
      <c r="G1746" s="8" t="n">
        <v>204998</v>
      </c>
      <c r="H1746" s="8" t="n">
        <v>10365</v>
      </c>
      <c r="I1746" s="8" t="n">
        <v>10475</v>
      </c>
      <c r="J1746" s="8" t="n">
        <v>10480</v>
      </c>
      <c r="K1746" s="8" t="n">
        <v>10330</v>
      </c>
      <c r="L1746" s="8" t="n">
        <v>473462</v>
      </c>
      <c r="M1746" s="8" t="n">
        <v>528636</v>
      </c>
      <c r="N1746" t="inlineStr">
        <is>
          <t>是</t>
        </is>
      </c>
    </row>
    <row r="1747">
      <c r="A1747" s="7" t="inlineStr">
        <is>
          <t>2014-09-19</t>
        </is>
      </c>
      <c r="B1747" s="8" t="n">
        <v>10223</v>
      </c>
      <c r="C1747" s="8" t="n">
        <v>10240</v>
      </c>
      <c r="D1747" s="8" t="n">
        <v>10280</v>
      </c>
      <c r="E1747" s="8" t="n">
        <v>10188</v>
      </c>
      <c r="F1747" s="8" t="n">
        <v>151148</v>
      </c>
      <c r="G1747" s="8" t="n">
        <v>202942</v>
      </c>
      <c r="H1747" s="8" t="n">
        <v>10325</v>
      </c>
      <c r="I1747" s="8" t="n">
        <v>10320</v>
      </c>
      <c r="J1747" s="8" t="n">
        <v>10415</v>
      </c>
      <c r="K1747" s="8" t="n">
        <v>10310</v>
      </c>
      <c r="L1747" s="8" t="n">
        <v>400412</v>
      </c>
      <c r="M1747" s="8" t="n">
        <v>519914</v>
      </c>
      <c r="N1747" t="inlineStr">
        <is>
          <t>是</t>
        </is>
      </c>
    </row>
    <row r="1748">
      <c r="A1748" s="7" t="inlineStr">
        <is>
          <t>2014-09-22</t>
        </is>
      </c>
      <c r="B1748" s="8" t="n">
        <v>10053</v>
      </c>
      <c r="C1748" s="8" t="n">
        <v>10210</v>
      </c>
      <c r="D1748" s="8" t="n">
        <v>10222</v>
      </c>
      <c r="E1748" s="8" t="n">
        <v>10006</v>
      </c>
      <c r="F1748" s="8" t="n">
        <v>198244</v>
      </c>
      <c r="G1748" s="8" t="n">
        <v>191586</v>
      </c>
      <c r="H1748" s="8" t="n">
        <v>10125</v>
      </c>
      <c r="I1748" s="8" t="n">
        <v>10300</v>
      </c>
      <c r="J1748" s="8" t="n">
        <v>10305</v>
      </c>
      <c r="K1748" s="8" t="n">
        <v>10025</v>
      </c>
      <c r="L1748" s="8" t="n">
        <v>604952</v>
      </c>
      <c r="M1748" s="8" t="n">
        <v>511506</v>
      </c>
      <c r="N1748" t="inlineStr">
        <is>
          <t>是</t>
        </is>
      </c>
    </row>
    <row r="1749">
      <c r="A1749" s="7" t="inlineStr">
        <is>
          <t>2014-09-23</t>
        </is>
      </c>
      <c r="B1749" s="8" t="n">
        <v>9999</v>
      </c>
      <c r="C1749" s="8" t="n">
        <v>10045</v>
      </c>
      <c r="D1749" s="8" t="n">
        <v>10095</v>
      </c>
      <c r="E1749" s="8" t="n">
        <v>9897</v>
      </c>
      <c r="F1749" s="8" t="n">
        <v>240348</v>
      </c>
      <c r="G1749" s="8" t="n">
        <v>198096</v>
      </c>
      <c r="H1749" s="8" t="n">
        <v>9950</v>
      </c>
      <c r="I1749" s="8" t="n">
        <v>10100</v>
      </c>
      <c r="J1749" s="8" t="n">
        <v>10190</v>
      </c>
      <c r="K1749" s="8" t="n">
        <v>9835</v>
      </c>
      <c r="L1749" s="8" t="n">
        <v>991916</v>
      </c>
      <c r="M1749" s="8" t="n">
        <v>523576</v>
      </c>
      <c r="N1749" t="inlineStr">
        <is>
          <t>是</t>
        </is>
      </c>
    </row>
    <row r="1750">
      <c r="A1750" s="7" t="inlineStr">
        <is>
          <t>2014-09-24</t>
        </is>
      </c>
      <c r="B1750" s="8" t="n">
        <v>10106</v>
      </c>
      <c r="C1750" s="8" t="n">
        <v>9998</v>
      </c>
      <c r="D1750" s="8" t="n">
        <v>10108</v>
      </c>
      <c r="E1750" s="8" t="n">
        <v>9966</v>
      </c>
      <c r="F1750" s="8" t="n">
        <v>187500</v>
      </c>
      <c r="G1750" s="8" t="n">
        <v>202234</v>
      </c>
      <c r="H1750" s="8" t="n">
        <v>10060</v>
      </c>
      <c r="I1750" s="8" t="n">
        <v>9955</v>
      </c>
      <c r="J1750" s="8" t="n">
        <v>10095</v>
      </c>
      <c r="K1750" s="8" t="n">
        <v>9900</v>
      </c>
      <c r="L1750" s="8" t="n">
        <v>594370</v>
      </c>
      <c r="M1750" s="8" t="n">
        <v>493330</v>
      </c>
      <c r="N1750" t="inlineStr">
        <is>
          <t>是</t>
        </is>
      </c>
    </row>
    <row r="1751">
      <c r="A1751" s="7" t="inlineStr">
        <is>
          <t>2014-09-25</t>
        </is>
      </c>
      <c r="B1751" s="8" t="n">
        <v>10162</v>
      </c>
      <c r="C1751" s="8" t="n">
        <v>10121</v>
      </c>
      <c r="D1751" s="8" t="n">
        <v>10200</v>
      </c>
      <c r="E1751" s="8" t="n">
        <v>10057</v>
      </c>
      <c r="F1751" s="8" t="n">
        <v>207072</v>
      </c>
      <c r="G1751" s="8" t="n">
        <v>205204</v>
      </c>
      <c r="H1751" s="8" t="n">
        <v>10120</v>
      </c>
      <c r="I1751" s="8" t="n">
        <v>10080</v>
      </c>
      <c r="J1751" s="8" t="n">
        <v>10380</v>
      </c>
      <c r="K1751" s="8" t="n">
        <v>9985</v>
      </c>
      <c r="L1751" s="8" t="n">
        <v>779882</v>
      </c>
      <c r="M1751" s="8" t="n">
        <v>518488</v>
      </c>
      <c r="N1751" t="inlineStr">
        <is>
          <t>是</t>
        </is>
      </c>
    </row>
    <row r="1752">
      <c r="A1752" s="7" t="inlineStr">
        <is>
          <t>2014-09-26</t>
        </is>
      </c>
      <c r="B1752" s="8" t="n">
        <v>10200</v>
      </c>
      <c r="C1752" s="8" t="n">
        <v>10142</v>
      </c>
      <c r="D1752" s="8" t="n">
        <v>10220</v>
      </c>
      <c r="E1752" s="8" t="n">
        <v>10081</v>
      </c>
      <c r="F1752" s="8" t="n">
        <v>200732</v>
      </c>
      <c r="G1752" s="8" t="n">
        <v>196184</v>
      </c>
      <c r="H1752" s="8" t="n">
        <v>10160</v>
      </c>
      <c r="I1752" s="8" t="n">
        <v>10095</v>
      </c>
      <c r="J1752" s="8" t="n">
        <v>10200</v>
      </c>
      <c r="K1752" s="8" t="n">
        <v>10045</v>
      </c>
      <c r="L1752" s="8" t="n">
        <v>508616</v>
      </c>
      <c r="M1752" s="8" t="n">
        <v>515380</v>
      </c>
      <c r="N1752" t="inlineStr">
        <is>
          <t>是</t>
        </is>
      </c>
    </row>
    <row r="1753">
      <c r="A1753" s="7" t="inlineStr">
        <is>
          <t>2014-09-29</t>
        </is>
      </c>
      <c r="B1753" s="8" t="n">
        <v>10313</v>
      </c>
      <c r="C1753" s="8" t="n">
        <v>10210</v>
      </c>
      <c r="D1753" s="8" t="n">
        <v>10317</v>
      </c>
      <c r="E1753" s="8" t="n">
        <v>10110</v>
      </c>
      <c r="F1753" s="8" t="n">
        <v>172084</v>
      </c>
      <c r="G1753" s="8" t="n">
        <v>187544</v>
      </c>
      <c r="H1753" s="8" t="n">
        <v>10355</v>
      </c>
      <c r="I1753" s="8" t="n">
        <v>10195</v>
      </c>
      <c r="J1753" s="8" t="n">
        <v>10365</v>
      </c>
      <c r="K1753" s="8" t="n">
        <v>10155</v>
      </c>
      <c r="L1753" s="8" t="n">
        <v>471378</v>
      </c>
      <c r="M1753" s="8" t="n">
        <v>496902</v>
      </c>
      <c r="N1753" t="inlineStr">
        <is>
          <t>是</t>
        </is>
      </c>
    </row>
    <row r="1754">
      <c r="A1754" s="7" t="inlineStr">
        <is>
          <t>2014-09-30</t>
        </is>
      </c>
      <c r="B1754" s="8" t="n">
        <v>10348</v>
      </c>
      <c r="C1754" s="8" t="n">
        <v>10330</v>
      </c>
      <c r="D1754" s="8" t="n">
        <v>10360</v>
      </c>
      <c r="E1754" s="8" t="n">
        <v>10261</v>
      </c>
      <c r="F1754" s="8" t="n">
        <v>137270</v>
      </c>
      <c r="G1754" s="8" t="n">
        <v>180720</v>
      </c>
      <c r="H1754" s="8" t="n">
        <v>10390</v>
      </c>
      <c r="I1754" s="8" t="n">
        <v>10355</v>
      </c>
      <c r="J1754" s="8" t="n">
        <v>10450</v>
      </c>
      <c r="K1754" s="8" t="n">
        <v>10315</v>
      </c>
      <c r="L1754" s="8" t="n">
        <v>424468</v>
      </c>
      <c r="M1754" s="8" t="n">
        <v>459216</v>
      </c>
      <c r="N1754" t="inlineStr">
        <is>
          <t>是</t>
        </is>
      </c>
    </row>
    <row r="1755">
      <c r="A1755" s="7" t="inlineStr">
        <is>
          <t>2014-10-09</t>
        </is>
      </c>
      <c r="B1755" s="8" t="n">
        <v>10025</v>
      </c>
      <c r="C1755" s="8" t="n">
        <v>10020</v>
      </c>
      <c r="D1755" s="8" t="n">
        <v>10064</v>
      </c>
      <c r="E1755" s="8" t="n">
        <v>9970</v>
      </c>
      <c r="F1755" s="8" t="n">
        <v>175644</v>
      </c>
      <c r="G1755" s="8" t="n">
        <v>196912</v>
      </c>
      <c r="H1755" s="8" t="n">
        <v>9975</v>
      </c>
      <c r="I1755" s="8" t="n">
        <v>10020</v>
      </c>
      <c r="J1755" s="8" t="n">
        <v>10070</v>
      </c>
      <c r="K1755" s="8" t="n">
        <v>9930</v>
      </c>
      <c r="L1755" s="8" t="n">
        <v>643372</v>
      </c>
      <c r="M1755" s="8" t="n">
        <v>504526</v>
      </c>
      <c r="N1755" t="inlineStr">
        <is>
          <t>是</t>
        </is>
      </c>
    </row>
    <row r="1756">
      <c r="A1756" s="7" t="inlineStr">
        <is>
          <t>2014-10-10</t>
        </is>
      </c>
      <c r="B1756" s="8" t="n">
        <v>9660</v>
      </c>
      <c r="C1756" s="8" t="n">
        <v>9950</v>
      </c>
      <c r="D1756" s="8" t="n">
        <v>9950</v>
      </c>
      <c r="E1756" s="8" t="n">
        <v>9630</v>
      </c>
      <c r="F1756" s="8" t="n">
        <v>316914</v>
      </c>
      <c r="G1756" s="8" t="n">
        <v>207526</v>
      </c>
      <c r="H1756" s="8" t="n">
        <v>9600</v>
      </c>
      <c r="I1756" s="8" t="n">
        <v>9835</v>
      </c>
      <c r="J1756" s="8" t="n">
        <v>9840</v>
      </c>
      <c r="K1756" s="8" t="n">
        <v>9600</v>
      </c>
      <c r="L1756" s="8" t="n">
        <v>873328</v>
      </c>
      <c r="M1756" s="8" t="n">
        <v>594562</v>
      </c>
      <c r="N1756" t="inlineStr">
        <is>
          <t>是</t>
        </is>
      </c>
    </row>
    <row r="1757">
      <c r="A1757" s="7" t="inlineStr">
        <is>
          <t>2014-10-13</t>
        </is>
      </c>
      <c r="B1757" s="8" t="n">
        <v>9762</v>
      </c>
      <c r="C1757" s="8" t="n">
        <v>9660</v>
      </c>
      <c r="D1757" s="8" t="n">
        <v>9840</v>
      </c>
      <c r="E1757" s="8" t="n">
        <v>9650</v>
      </c>
      <c r="F1757" s="8" t="n">
        <v>201576</v>
      </c>
      <c r="G1757" s="8" t="n">
        <v>194892</v>
      </c>
      <c r="H1757" s="8" t="n">
        <v>9615</v>
      </c>
      <c r="I1757" s="8" t="n">
        <v>9580</v>
      </c>
      <c r="J1757" s="8" t="n">
        <v>9775</v>
      </c>
      <c r="K1757" s="8" t="n">
        <v>9560</v>
      </c>
      <c r="L1757" s="8" t="n">
        <v>609806</v>
      </c>
      <c r="M1757" s="8" t="n">
        <v>540508</v>
      </c>
      <c r="N1757" t="inlineStr">
        <is>
          <t>是</t>
        </is>
      </c>
    </row>
    <row r="1758">
      <c r="A1758" s="7" t="inlineStr">
        <is>
          <t>2014-10-14</t>
        </is>
      </c>
      <c r="B1758" s="8" t="n">
        <v>9861</v>
      </c>
      <c r="C1758" s="8" t="n">
        <v>9780</v>
      </c>
      <c r="D1758" s="8" t="n">
        <v>9888</v>
      </c>
      <c r="E1758" s="8" t="n">
        <v>9771</v>
      </c>
      <c r="F1758" s="8" t="n">
        <v>189804</v>
      </c>
      <c r="G1758" s="8" t="n">
        <v>183976</v>
      </c>
      <c r="H1758" s="8" t="n">
        <v>9745</v>
      </c>
      <c r="I1758" s="8" t="n">
        <v>9655</v>
      </c>
      <c r="J1758" s="8" t="n">
        <v>9770</v>
      </c>
      <c r="K1758" s="8" t="n">
        <v>9615</v>
      </c>
      <c r="L1758" s="8" t="n">
        <v>565104</v>
      </c>
      <c r="M1758" s="8" t="n">
        <v>492984</v>
      </c>
      <c r="N1758" t="inlineStr">
        <is>
          <t>是</t>
        </is>
      </c>
    </row>
    <row r="1759">
      <c r="A1759" s="7" t="inlineStr">
        <is>
          <t>2014-10-15</t>
        </is>
      </c>
      <c r="B1759" s="8" t="n">
        <v>9877</v>
      </c>
      <c r="C1759" s="8" t="n">
        <v>9698</v>
      </c>
      <c r="D1759" s="8" t="n">
        <v>9967</v>
      </c>
      <c r="E1759" s="8" t="n">
        <v>9605</v>
      </c>
      <c r="F1759" s="8" t="n">
        <v>319522</v>
      </c>
      <c r="G1759" s="8" t="n">
        <v>173152</v>
      </c>
      <c r="H1759" s="8" t="n">
        <v>9795</v>
      </c>
      <c r="I1759" s="8" t="n">
        <v>9560</v>
      </c>
      <c r="J1759" s="8" t="n">
        <v>9815</v>
      </c>
      <c r="K1759" s="8" t="n">
        <v>9460</v>
      </c>
      <c r="L1759" s="8" t="n">
        <v>955962</v>
      </c>
      <c r="M1759" s="8" t="n">
        <v>435478</v>
      </c>
      <c r="N1759" t="inlineStr">
        <is>
          <t>是</t>
        </is>
      </c>
    </row>
    <row r="1760">
      <c r="A1760" s="7" t="inlineStr">
        <is>
          <t>2014-10-16</t>
        </is>
      </c>
      <c r="B1760" s="8" t="n">
        <v>9762</v>
      </c>
      <c r="C1760" s="8" t="n">
        <v>9823</v>
      </c>
      <c r="D1760" s="8" t="n">
        <v>9836</v>
      </c>
      <c r="E1760" s="8" t="n">
        <v>9690</v>
      </c>
      <c r="F1760" s="8" t="n">
        <v>262022</v>
      </c>
      <c r="G1760" s="8" t="n">
        <v>187412</v>
      </c>
      <c r="H1760" s="8" t="n">
        <v>9720</v>
      </c>
      <c r="I1760" s="8" t="n">
        <v>9730</v>
      </c>
      <c r="J1760" s="8" t="n">
        <v>9785</v>
      </c>
      <c r="K1760" s="8" t="n">
        <v>9570</v>
      </c>
      <c r="L1760" s="8" t="n">
        <v>902146</v>
      </c>
      <c r="M1760" s="8" t="n">
        <v>427232</v>
      </c>
      <c r="N1760" t="inlineStr">
        <is>
          <t>是</t>
        </is>
      </c>
    </row>
    <row r="1761">
      <c r="A1761" s="7" t="inlineStr">
        <is>
          <t>2014-10-17</t>
        </is>
      </c>
      <c r="B1761" s="8" t="n">
        <v>9482</v>
      </c>
      <c r="C1761" s="8" t="n">
        <v>9830</v>
      </c>
      <c r="D1761" s="8" t="n">
        <v>9870</v>
      </c>
      <c r="E1761" s="8" t="n">
        <v>9464</v>
      </c>
      <c r="F1761" s="8" t="n">
        <v>468706</v>
      </c>
      <c r="G1761" s="8" t="n">
        <v>209268</v>
      </c>
      <c r="H1761" s="8" t="n">
        <v>9640</v>
      </c>
      <c r="I1761" s="8" t="n">
        <v>9825</v>
      </c>
      <c r="J1761" s="8" t="n">
        <v>9850</v>
      </c>
      <c r="K1761" s="8" t="n">
        <v>9610</v>
      </c>
      <c r="L1761" s="8" t="n">
        <v>731768</v>
      </c>
      <c r="M1761" s="8" t="n">
        <v>446764</v>
      </c>
      <c r="N1761" t="inlineStr">
        <is>
          <t>是</t>
        </is>
      </c>
    </row>
    <row r="1762">
      <c r="A1762" s="7" t="inlineStr">
        <is>
          <t>2014-10-20</t>
        </is>
      </c>
      <c r="B1762" s="8" t="n">
        <v>9413</v>
      </c>
      <c r="C1762" s="8" t="n">
        <v>9490</v>
      </c>
      <c r="D1762" s="8" t="n">
        <v>9559</v>
      </c>
      <c r="E1762" s="8" t="n">
        <v>9405</v>
      </c>
      <c r="F1762" s="8" t="n">
        <v>373532</v>
      </c>
      <c r="G1762" s="8" t="n">
        <v>210852</v>
      </c>
      <c r="H1762" s="8" t="n">
        <v>9610</v>
      </c>
      <c r="I1762" s="8" t="n">
        <v>9650</v>
      </c>
      <c r="J1762" s="8" t="n">
        <v>9760</v>
      </c>
      <c r="K1762" s="8" t="n">
        <v>9590</v>
      </c>
      <c r="L1762" s="8" t="n">
        <v>539024</v>
      </c>
      <c r="M1762" s="8" t="n">
        <v>442894</v>
      </c>
      <c r="N1762" t="inlineStr">
        <is>
          <t>是</t>
        </is>
      </c>
    </row>
    <row r="1763">
      <c r="A1763" s="7" t="inlineStr">
        <is>
          <t>2014-10-21</t>
        </is>
      </c>
      <c r="B1763" s="8" t="n">
        <v>9413</v>
      </c>
      <c r="C1763" s="8" t="n">
        <v>9401</v>
      </c>
      <c r="D1763" s="8" t="n">
        <v>9455</v>
      </c>
      <c r="E1763" s="8" t="n">
        <v>9340</v>
      </c>
      <c r="F1763" s="8" t="n">
        <v>372964</v>
      </c>
      <c r="G1763" s="8" t="n">
        <v>202614</v>
      </c>
      <c r="H1763" s="8" t="n">
        <v>9665</v>
      </c>
      <c r="I1763" s="8" t="n">
        <v>9590</v>
      </c>
      <c r="J1763" s="8" t="n">
        <v>9675</v>
      </c>
      <c r="K1763" s="8" t="n">
        <v>9490</v>
      </c>
      <c r="L1763" s="8" t="n">
        <v>918996</v>
      </c>
      <c r="M1763" s="8" t="n">
        <v>431146</v>
      </c>
      <c r="N1763" t="inlineStr">
        <is>
          <t>是</t>
        </is>
      </c>
    </row>
    <row r="1764">
      <c r="A1764" s="7" t="inlineStr">
        <is>
          <t>2014-10-22</t>
        </is>
      </c>
      <c r="B1764" s="8" t="n">
        <v>9456</v>
      </c>
      <c r="C1764" s="8" t="n">
        <v>9480</v>
      </c>
      <c r="D1764" s="8" t="n">
        <v>9499</v>
      </c>
      <c r="E1764" s="8" t="n">
        <v>9426</v>
      </c>
      <c r="F1764" s="8" t="n">
        <v>198268</v>
      </c>
      <c r="G1764" s="8" t="n">
        <v>198546</v>
      </c>
      <c r="H1764" s="8" t="n">
        <v>9730</v>
      </c>
      <c r="I1764" s="8" t="n">
        <v>9710</v>
      </c>
      <c r="J1764" s="8" t="n">
        <v>9775</v>
      </c>
      <c r="K1764" s="8" t="n">
        <v>9670</v>
      </c>
      <c r="L1764" s="8" t="n">
        <v>500554</v>
      </c>
      <c r="M1764" s="8" t="n">
        <v>410520</v>
      </c>
      <c r="N1764" t="inlineStr">
        <is>
          <t>是</t>
        </is>
      </c>
    </row>
    <row r="1765">
      <c r="A1765" s="7" t="inlineStr">
        <is>
          <t>2014-10-23</t>
        </is>
      </c>
      <c r="B1765" s="8" t="n">
        <v>9595</v>
      </c>
      <c r="C1765" s="8" t="n">
        <v>9367</v>
      </c>
      <c r="D1765" s="8" t="n">
        <v>9597</v>
      </c>
      <c r="E1765" s="8" t="n">
        <v>9358</v>
      </c>
      <c r="F1765" s="8" t="n">
        <v>343798</v>
      </c>
      <c r="G1765" s="8" t="n">
        <v>188658</v>
      </c>
      <c r="H1765" s="8" t="n">
        <v>9810</v>
      </c>
      <c r="I1765" s="8" t="n">
        <v>9650</v>
      </c>
      <c r="J1765" s="8" t="n">
        <v>9815</v>
      </c>
      <c r="K1765" s="8" t="n">
        <v>9635</v>
      </c>
      <c r="L1765" s="8" t="n">
        <v>527912</v>
      </c>
      <c r="M1765" s="8" t="n">
        <v>394152</v>
      </c>
      <c r="N1765" t="inlineStr">
        <is>
          <t>是</t>
        </is>
      </c>
    </row>
    <row r="1766">
      <c r="A1766" s="7" t="inlineStr">
        <is>
          <t>2014-10-24</t>
        </is>
      </c>
      <c r="B1766" s="8" t="n">
        <v>9808</v>
      </c>
      <c r="C1766" s="8" t="n">
        <v>9650</v>
      </c>
      <c r="D1766" s="8" t="n">
        <v>9842</v>
      </c>
      <c r="E1766" s="8" t="n">
        <v>9635</v>
      </c>
      <c r="F1766" s="8" t="n">
        <v>450098</v>
      </c>
      <c r="G1766" s="8" t="n">
        <v>188912</v>
      </c>
      <c r="H1766" s="8" t="n">
        <v>9930</v>
      </c>
      <c r="I1766" s="8" t="n">
        <v>9870</v>
      </c>
      <c r="J1766" s="8" t="n">
        <v>9975</v>
      </c>
      <c r="K1766" s="8" t="n">
        <v>9840</v>
      </c>
      <c r="L1766" s="8" t="n">
        <v>644338</v>
      </c>
      <c r="M1766" s="8" t="n">
        <v>352720</v>
      </c>
      <c r="N1766" t="inlineStr">
        <is>
          <t>是</t>
        </is>
      </c>
    </row>
    <row r="1767">
      <c r="A1767" s="7" t="inlineStr">
        <is>
          <t>2014-10-27</t>
        </is>
      </c>
      <c r="B1767" s="8" t="n">
        <v>9767</v>
      </c>
      <c r="C1767" s="8" t="n">
        <v>9799</v>
      </c>
      <c r="D1767" s="8" t="n">
        <v>9828</v>
      </c>
      <c r="E1767" s="8" t="n">
        <v>9734</v>
      </c>
      <c r="F1767" s="8" t="n">
        <v>300528</v>
      </c>
      <c r="G1767" s="8" t="n">
        <v>194788</v>
      </c>
      <c r="H1767" s="8" t="n">
        <v>9850</v>
      </c>
      <c r="I1767" s="8" t="n">
        <v>9920</v>
      </c>
      <c r="J1767" s="8" t="n">
        <v>9990</v>
      </c>
      <c r="K1767" s="8" t="n">
        <v>9850</v>
      </c>
      <c r="L1767" s="8" t="n">
        <v>557614</v>
      </c>
      <c r="M1767" s="8" t="n">
        <v>362968</v>
      </c>
      <c r="N1767" t="inlineStr">
        <is>
          <t>是</t>
        </is>
      </c>
    </row>
    <row r="1768">
      <c r="A1768" s="7" t="inlineStr">
        <is>
          <t>2014-10-28</t>
        </is>
      </c>
      <c r="B1768" s="8" t="n">
        <v>9922</v>
      </c>
      <c r="C1768" s="8" t="n">
        <v>9819</v>
      </c>
      <c r="D1768" s="8" t="n">
        <v>9950</v>
      </c>
      <c r="E1768" s="8" t="n">
        <v>9771</v>
      </c>
      <c r="F1768" s="8" t="n">
        <v>415556</v>
      </c>
      <c r="G1768" s="8" t="n">
        <v>207540</v>
      </c>
      <c r="H1768" s="8" t="n">
        <v>10055</v>
      </c>
      <c r="I1768" s="8" t="n">
        <v>9910</v>
      </c>
      <c r="J1768" s="8" t="n">
        <v>10110</v>
      </c>
      <c r="K1768" s="8" t="n">
        <v>9880</v>
      </c>
      <c r="L1768" s="8" t="n">
        <v>789756</v>
      </c>
      <c r="M1768" s="8" t="n">
        <v>347514</v>
      </c>
      <c r="N1768" t="inlineStr">
        <is>
          <t>是</t>
        </is>
      </c>
    </row>
    <row r="1769">
      <c r="A1769" s="7" t="inlineStr">
        <is>
          <t>2014-10-29</t>
        </is>
      </c>
      <c r="B1769" s="8" t="n">
        <v>10007</v>
      </c>
      <c r="C1769" s="8" t="n">
        <v>9930</v>
      </c>
      <c r="D1769" s="8" t="n">
        <v>10009</v>
      </c>
      <c r="E1769" s="8" t="n">
        <v>9909</v>
      </c>
      <c r="F1769" s="8" t="n">
        <v>338048</v>
      </c>
      <c r="G1769" s="8" t="n">
        <v>209566</v>
      </c>
      <c r="H1769" s="8" t="n">
        <v>10160</v>
      </c>
      <c r="I1769" s="8" t="n">
        <v>10085</v>
      </c>
      <c r="J1769" s="8" t="n">
        <v>10160</v>
      </c>
      <c r="K1769" s="8" t="n">
        <v>10045</v>
      </c>
      <c r="L1769" s="8" t="n">
        <v>631346</v>
      </c>
      <c r="M1769" s="8" t="n">
        <v>334106</v>
      </c>
      <c r="N1769" t="inlineStr">
        <is>
          <t>是</t>
        </is>
      </c>
    </row>
    <row r="1770">
      <c r="A1770" s="7" t="inlineStr">
        <is>
          <t>2014-10-30</t>
        </is>
      </c>
      <c r="B1770" s="8" t="n">
        <v>10001</v>
      </c>
      <c r="C1770" s="8" t="n">
        <v>10010</v>
      </c>
      <c r="D1770" s="8" t="n">
        <v>10043</v>
      </c>
      <c r="E1770" s="8" t="n">
        <v>9960</v>
      </c>
      <c r="F1770" s="8" t="n">
        <v>328400</v>
      </c>
      <c r="G1770" s="8" t="n">
        <v>178560</v>
      </c>
      <c r="H1770" s="8" t="n">
        <v>10225</v>
      </c>
      <c r="I1770" s="8" t="n">
        <v>10160</v>
      </c>
      <c r="J1770" s="8" t="n">
        <v>10235</v>
      </c>
      <c r="K1770" s="8" t="n">
        <v>10120</v>
      </c>
      <c r="L1770" s="8" t="n">
        <v>574882</v>
      </c>
      <c r="M1770" s="8" t="n">
        <v>351688</v>
      </c>
      <c r="N1770" t="inlineStr">
        <is>
          <t>是</t>
        </is>
      </c>
    </row>
    <row r="1771">
      <c r="A1771" s="7" t="inlineStr">
        <is>
          <t>2014-10-31</t>
        </is>
      </c>
      <c r="B1771" s="8" t="n">
        <v>10086</v>
      </c>
      <c r="C1771" s="8" t="n">
        <v>9980</v>
      </c>
      <c r="D1771" s="8" t="n">
        <v>10108</v>
      </c>
      <c r="E1771" s="8" t="n">
        <v>9880</v>
      </c>
      <c r="F1771" s="8" t="n">
        <v>496812</v>
      </c>
      <c r="G1771" s="8" t="n">
        <v>164442</v>
      </c>
      <c r="H1771" s="8" t="n">
        <v>10230</v>
      </c>
      <c r="I1771" s="8" t="n">
        <v>10180</v>
      </c>
      <c r="J1771" s="8" t="n">
        <v>10280</v>
      </c>
      <c r="K1771" s="8" t="n">
        <v>10110</v>
      </c>
      <c r="L1771" s="8" t="n">
        <v>839340</v>
      </c>
      <c r="M1771" s="8" t="n">
        <v>334054</v>
      </c>
      <c r="N1771" t="inlineStr">
        <is>
          <t>是</t>
        </is>
      </c>
    </row>
    <row r="1772">
      <c r="A1772" s="7" t="inlineStr">
        <is>
          <t>2014-11-03</t>
        </is>
      </c>
      <c r="B1772" s="8" t="n">
        <v>9979</v>
      </c>
      <c r="C1772" s="8" t="n">
        <v>10074</v>
      </c>
      <c r="D1772" s="8" t="n">
        <v>10099</v>
      </c>
      <c r="E1772" s="8" t="n">
        <v>9946</v>
      </c>
      <c r="F1772" s="8" t="n">
        <v>298418</v>
      </c>
      <c r="G1772" s="8" t="n">
        <v>160046</v>
      </c>
      <c r="H1772" s="8" t="n">
        <v>10160</v>
      </c>
      <c r="I1772" s="8" t="n">
        <v>10210</v>
      </c>
      <c r="J1772" s="8" t="n">
        <v>10260</v>
      </c>
      <c r="K1772" s="8" t="n">
        <v>10140</v>
      </c>
      <c r="L1772" s="8" t="n">
        <v>631838</v>
      </c>
      <c r="M1772" s="8" t="n">
        <v>335362</v>
      </c>
      <c r="N1772" t="inlineStr">
        <is>
          <t>是</t>
        </is>
      </c>
    </row>
    <row r="1773">
      <c r="A1773" s="7" t="inlineStr">
        <is>
          <t>2014-11-04</t>
        </is>
      </c>
      <c r="B1773" s="8" t="n">
        <v>9837</v>
      </c>
      <c r="C1773" s="8" t="n">
        <v>9900</v>
      </c>
      <c r="D1773" s="8" t="n">
        <v>9950</v>
      </c>
      <c r="E1773" s="8" t="n">
        <v>9804</v>
      </c>
      <c r="F1773" s="8" t="n">
        <v>370966</v>
      </c>
      <c r="G1773" s="8" t="n">
        <v>161800</v>
      </c>
      <c r="H1773" s="8" t="n">
        <v>10095</v>
      </c>
      <c r="I1773" s="8" t="n">
        <v>10090</v>
      </c>
      <c r="J1773" s="8" t="n">
        <v>10170</v>
      </c>
      <c r="K1773" s="8" t="n">
        <v>10040</v>
      </c>
      <c r="L1773" s="8" t="n">
        <v>816046</v>
      </c>
      <c r="M1773" s="8" t="n">
        <v>348674</v>
      </c>
      <c r="N1773" t="inlineStr">
        <is>
          <t>是</t>
        </is>
      </c>
    </row>
    <row r="1774">
      <c r="A1774" s="7" t="inlineStr">
        <is>
          <t>2014-11-05</t>
        </is>
      </c>
      <c r="B1774" s="8" t="n">
        <v>9652</v>
      </c>
      <c r="C1774" s="8" t="n">
        <v>9810</v>
      </c>
      <c r="D1774" s="8" t="n">
        <v>9810</v>
      </c>
      <c r="E1774" s="8" t="n">
        <v>9634</v>
      </c>
      <c r="F1774" s="8" t="n">
        <v>273814</v>
      </c>
      <c r="G1774" s="8" t="n">
        <v>156948</v>
      </c>
      <c r="H1774" s="8" t="n">
        <v>9920</v>
      </c>
      <c r="I1774" s="8" t="n">
        <v>10090</v>
      </c>
      <c r="J1774" s="8" t="n">
        <v>10115</v>
      </c>
      <c r="K1774" s="8" t="n">
        <v>9910</v>
      </c>
      <c r="L1774" s="8" t="n">
        <v>717242</v>
      </c>
      <c r="M1774" s="8" t="n">
        <v>334604</v>
      </c>
      <c r="N1774" t="inlineStr">
        <is>
          <t>是</t>
        </is>
      </c>
    </row>
    <row r="1775">
      <c r="A1775" s="7" t="inlineStr">
        <is>
          <t>2014-11-06</t>
        </is>
      </c>
      <c r="B1775" s="8" t="n">
        <v>9887</v>
      </c>
      <c r="C1775" s="8" t="n">
        <v>9740</v>
      </c>
      <c r="D1775" s="8" t="n">
        <v>9895</v>
      </c>
      <c r="E1775" s="8" t="n">
        <v>9722</v>
      </c>
      <c r="F1775" s="8" t="n">
        <v>447392</v>
      </c>
      <c r="G1775" s="8" t="n">
        <v>170260</v>
      </c>
      <c r="H1775" s="8" t="n">
        <v>10085</v>
      </c>
      <c r="I1775" s="8" t="n">
        <v>9975</v>
      </c>
      <c r="J1775" s="8" t="n">
        <v>10095</v>
      </c>
      <c r="K1775" s="8" t="n">
        <v>9965</v>
      </c>
      <c r="L1775" s="8" t="n">
        <v>555062</v>
      </c>
      <c r="M1775" s="8" t="n">
        <v>314926</v>
      </c>
      <c r="N1775" t="inlineStr">
        <is>
          <t>是</t>
        </is>
      </c>
    </row>
    <row r="1776">
      <c r="A1776" s="7" t="inlineStr">
        <is>
          <t>2014-11-07</t>
        </is>
      </c>
      <c r="B1776" s="8" t="n">
        <v>9974</v>
      </c>
      <c r="C1776" s="8" t="n">
        <v>9877</v>
      </c>
      <c r="D1776" s="8" t="n">
        <v>9998</v>
      </c>
      <c r="E1776" s="8" t="n">
        <v>9841</v>
      </c>
      <c r="F1776" s="8" t="n">
        <v>399342</v>
      </c>
      <c r="G1776" s="8" t="n">
        <v>177706</v>
      </c>
      <c r="H1776" s="8" t="n">
        <v>10135</v>
      </c>
      <c r="I1776" s="8" t="n">
        <v>10085</v>
      </c>
      <c r="J1776" s="8" t="n">
        <v>10160</v>
      </c>
      <c r="K1776" s="8" t="n">
        <v>10040</v>
      </c>
      <c r="L1776" s="8" t="n">
        <v>525544</v>
      </c>
      <c r="M1776" s="8" t="n">
        <v>305526</v>
      </c>
      <c r="N1776" t="inlineStr">
        <is>
          <t>是</t>
        </is>
      </c>
    </row>
    <row r="1777">
      <c r="A1777" s="7" t="inlineStr">
        <is>
          <t>2014-11-10</t>
        </is>
      </c>
      <c r="B1777" s="8" t="n">
        <v>10055</v>
      </c>
      <c r="C1777" s="8" t="n">
        <v>9995</v>
      </c>
      <c r="D1777" s="8" t="n">
        <v>10069</v>
      </c>
      <c r="E1777" s="8" t="n">
        <v>9947</v>
      </c>
      <c r="F1777" s="8" t="n">
        <v>325110</v>
      </c>
      <c r="G1777" s="8" t="n">
        <v>183414</v>
      </c>
      <c r="H1777" s="8" t="n">
        <v>10285</v>
      </c>
      <c r="I1777" s="8" t="n">
        <v>10160</v>
      </c>
      <c r="J1777" s="8" t="n">
        <v>10315</v>
      </c>
      <c r="K1777" s="8" t="n">
        <v>10160</v>
      </c>
      <c r="L1777" s="8" t="n">
        <v>555148</v>
      </c>
      <c r="M1777" s="8" t="n">
        <v>309294</v>
      </c>
      <c r="N1777" t="inlineStr">
        <is>
          <t>是</t>
        </is>
      </c>
    </row>
    <row r="1778">
      <c r="A1778" s="7" t="inlineStr">
        <is>
          <t>2014-11-11</t>
        </is>
      </c>
      <c r="B1778" s="8" t="n">
        <v>9829</v>
      </c>
      <c r="C1778" s="8" t="n">
        <v>10018</v>
      </c>
      <c r="D1778" s="8" t="n">
        <v>10033</v>
      </c>
      <c r="E1778" s="8" t="n">
        <v>9792</v>
      </c>
      <c r="F1778" s="8" t="n">
        <v>448950</v>
      </c>
      <c r="G1778" s="8" t="n">
        <v>170366</v>
      </c>
      <c r="H1778" s="8" t="n">
        <v>10045</v>
      </c>
      <c r="I1778" s="8" t="n">
        <v>10225</v>
      </c>
      <c r="J1778" s="8" t="n">
        <v>10245</v>
      </c>
      <c r="K1778" s="8" t="n">
        <v>10025</v>
      </c>
      <c r="L1778" s="8" t="n">
        <v>713318</v>
      </c>
      <c r="M1778" s="8" t="n">
        <v>335148</v>
      </c>
      <c r="N1778" t="inlineStr">
        <is>
          <t>是</t>
        </is>
      </c>
    </row>
    <row r="1779">
      <c r="A1779" s="7" t="inlineStr">
        <is>
          <t>2014-11-12</t>
        </is>
      </c>
      <c r="B1779" s="8" t="n">
        <v>9849</v>
      </c>
      <c r="C1779" s="8" t="n">
        <v>9835</v>
      </c>
      <c r="D1779" s="8" t="n">
        <v>9905</v>
      </c>
      <c r="E1779" s="8" t="n">
        <v>9800</v>
      </c>
      <c r="F1779" s="8" t="n">
        <v>300092</v>
      </c>
      <c r="G1779" s="8" t="n">
        <v>156266</v>
      </c>
      <c r="H1779" s="8" t="n">
        <v>10140</v>
      </c>
      <c r="I1779" s="8" t="n">
        <v>10050</v>
      </c>
      <c r="J1779" s="8" t="n">
        <v>10160</v>
      </c>
      <c r="K1779" s="8" t="n">
        <v>10035</v>
      </c>
      <c r="L1779" s="8" t="n">
        <v>551356</v>
      </c>
      <c r="M1779" s="8" t="n">
        <v>343032</v>
      </c>
      <c r="N1779" t="inlineStr">
        <is>
          <t>是</t>
        </is>
      </c>
    </row>
    <row r="1780">
      <c r="A1780" s="7" t="inlineStr">
        <is>
          <t>2014-11-13</t>
        </is>
      </c>
      <c r="B1780" s="8" t="n">
        <v>9885</v>
      </c>
      <c r="C1780" s="8" t="n">
        <v>9818</v>
      </c>
      <c r="D1780" s="8" t="n">
        <v>9895</v>
      </c>
      <c r="E1780" s="8" t="n">
        <v>9756</v>
      </c>
      <c r="F1780" s="8" t="n">
        <v>367992</v>
      </c>
      <c r="G1780" s="8" t="n">
        <v>165544</v>
      </c>
      <c r="H1780" s="8" t="n">
        <v>10135</v>
      </c>
      <c r="I1780" s="8" t="n">
        <v>10120</v>
      </c>
      <c r="J1780" s="8" t="n">
        <v>10170</v>
      </c>
      <c r="K1780" s="8" t="n">
        <v>10030</v>
      </c>
      <c r="L1780" s="8" t="n">
        <v>660960</v>
      </c>
      <c r="M1780" s="8" t="n">
        <v>359632</v>
      </c>
      <c r="N1780" t="inlineStr">
        <is>
          <t>是</t>
        </is>
      </c>
    </row>
    <row r="1781">
      <c r="A1781" s="7" t="inlineStr">
        <is>
          <t>2014-11-14</t>
        </is>
      </c>
      <c r="B1781" s="8" t="n">
        <v>9742</v>
      </c>
      <c r="C1781" s="8" t="n">
        <v>9780</v>
      </c>
      <c r="D1781" s="8" t="n">
        <v>9803</v>
      </c>
      <c r="E1781" s="8" t="n">
        <v>9667</v>
      </c>
      <c r="F1781" s="8" t="n">
        <v>378250</v>
      </c>
      <c r="G1781" s="8" t="n">
        <v>173250</v>
      </c>
      <c r="H1781" s="8" t="n">
        <v>10005</v>
      </c>
      <c r="I1781" s="8" t="n">
        <v>9975</v>
      </c>
      <c r="J1781" s="8" t="n">
        <v>10085</v>
      </c>
      <c r="K1781" s="8" t="n">
        <v>9935</v>
      </c>
      <c r="L1781" s="8" t="n">
        <v>616170</v>
      </c>
      <c r="M1781" s="8" t="n">
        <v>353326</v>
      </c>
      <c r="N1781" t="inlineStr">
        <is>
          <t>是</t>
        </is>
      </c>
    </row>
    <row r="1782">
      <c r="A1782" s="7" t="inlineStr">
        <is>
          <t>2014-11-17</t>
        </is>
      </c>
      <c r="B1782" s="8" t="n">
        <v>9720</v>
      </c>
      <c r="C1782" s="8" t="n">
        <v>9830</v>
      </c>
      <c r="D1782" s="8" t="n">
        <v>9848</v>
      </c>
      <c r="E1782" s="8" t="n">
        <v>9706</v>
      </c>
      <c r="F1782" s="8" t="n">
        <v>253574</v>
      </c>
      <c r="G1782" s="8" t="n">
        <v>172694</v>
      </c>
      <c r="H1782" s="8" t="n">
        <v>9905</v>
      </c>
      <c r="I1782" s="8" t="n">
        <v>10050</v>
      </c>
      <c r="J1782" s="8" t="n">
        <v>10095</v>
      </c>
      <c r="K1782" s="8" t="n">
        <v>9880</v>
      </c>
      <c r="L1782" s="8" t="n">
        <v>551380</v>
      </c>
      <c r="M1782" s="8" t="n">
        <v>345524</v>
      </c>
      <c r="N1782" t="inlineStr">
        <is>
          <t>是</t>
        </is>
      </c>
    </row>
    <row r="1783">
      <c r="A1783" s="7" t="inlineStr">
        <is>
          <t>2014-11-18</t>
        </is>
      </c>
      <c r="B1783" s="8" t="n">
        <v>9688</v>
      </c>
      <c r="C1783" s="8" t="n">
        <v>9766</v>
      </c>
      <c r="D1783" s="8" t="n">
        <v>9766</v>
      </c>
      <c r="E1783" s="8" t="n">
        <v>9635</v>
      </c>
      <c r="F1783" s="8" t="n">
        <v>264490</v>
      </c>
      <c r="G1783" s="8" t="n">
        <v>167732</v>
      </c>
      <c r="H1783" s="8" t="n">
        <v>9860</v>
      </c>
      <c r="I1783" s="8" t="n">
        <v>9910</v>
      </c>
      <c r="J1783" s="8" t="n">
        <v>9925</v>
      </c>
      <c r="K1783" s="8" t="n">
        <v>9815</v>
      </c>
      <c r="L1783" s="8" t="n">
        <v>458184</v>
      </c>
      <c r="M1783" s="8" t="n">
        <v>347886</v>
      </c>
      <c r="N1783" t="inlineStr">
        <is>
          <t>是</t>
        </is>
      </c>
    </row>
    <row r="1784">
      <c r="A1784" s="7" t="inlineStr">
        <is>
          <t>2014-11-19</t>
        </is>
      </c>
      <c r="B1784" s="8" t="n">
        <v>9731</v>
      </c>
      <c r="C1784" s="8" t="n">
        <v>9678</v>
      </c>
      <c r="D1784" s="8" t="n">
        <v>9815</v>
      </c>
      <c r="E1784" s="8" t="n">
        <v>9611</v>
      </c>
      <c r="F1784" s="8" t="n">
        <v>306022</v>
      </c>
      <c r="G1784" s="8" t="n">
        <v>163632</v>
      </c>
      <c r="H1784" s="8" t="n">
        <v>9880</v>
      </c>
      <c r="I1784" s="8" t="n">
        <v>9820</v>
      </c>
      <c r="J1784" s="8" t="n">
        <v>9990</v>
      </c>
      <c r="K1784" s="8" t="n">
        <v>9795</v>
      </c>
      <c r="L1784" s="8" t="n">
        <v>716324</v>
      </c>
      <c r="M1784" s="8" t="n">
        <v>303952</v>
      </c>
      <c r="N1784" t="inlineStr">
        <is>
          <t>是</t>
        </is>
      </c>
    </row>
    <row r="1785">
      <c r="A1785" s="7" t="inlineStr">
        <is>
          <t>2014-11-20</t>
        </is>
      </c>
      <c r="B1785" s="8" t="n">
        <v>9639</v>
      </c>
      <c r="C1785" s="8" t="n">
        <v>9717</v>
      </c>
      <c r="D1785" s="8" t="n">
        <v>9761</v>
      </c>
      <c r="E1785" s="8" t="n">
        <v>9631</v>
      </c>
      <c r="F1785" s="8" t="n">
        <v>214840</v>
      </c>
      <c r="G1785" s="8" t="n">
        <v>159614</v>
      </c>
      <c r="H1785" s="8" t="n">
        <v>9830</v>
      </c>
      <c r="I1785" s="8" t="n">
        <v>9850</v>
      </c>
      <c r="J1785" s="8" t="n">
        <v>9905</v>
      </c>
      <c r="K1785" s="8" t="n">
        <v>9805</v>
      </c>
      <c r="L1785" s="8" t="n">
        <v>479200</v>
      </c>
      <c r="M1785" s="8" t="n">
        <v>288200</v>
      </c>
      <c r="N1785" t="inlineStr">
        <is>
          <t>是</t>
        </is>
      </c>
    </row>
    <row r="1786">
      <c r="A1786" s="7" t="inlineStr">
        <is>
          <t>2014-11-21</t>
        </is>
      </c>
      <c r="B1786" s="8" t="n">
        <v>9742</v>
      </c>
      <c r="C1786" s="8" t="n">
        <v>9739</v>
      </c>
      <c r="D1786" s="8" t="n">
        <v>9757</v>
      </c>
      <c r="E1786" s="8" t="n">
        <v>9666</v>
      </c>
      <c r="F1786" s="8" t="n">
        <v>210940</v>
      </c>
      <c r="G1786" s="8" t="n">
        <v>154158</v>
      </c>
      <c r="H1786" s="8" t="n">
        <v>9875</v>
      </c>
      <c r="I1786" s="8" t="n">
        <v>9900</v>
      </c>
      <c r="J1786" s="8" t="n">
        <v>9905</v>
      </c>
      <c r="K1786" s="8" t="n">
        <v>9840</v>
      </c>
      <c r="L1786" s="8" t="n">
        <v>358686</v>
      </c>
      <c r="M1786" s="8" t="n">
        <v>292182</v>
      </c>
      <c r="N1786" t="inlineStr">
        <is>
          <t>是</t>
        </is>
      </c>
    </row>
    <row r="1787">
      <c r="A1787" s="7" t="inlineStr">
        <is>
          <t>2014-11-24</t>
        </is>
      </c>
      <c r="B1787" s="8" t="n">
        <v>9716</v>
      </c>
      <c r="C1787" s="8" t="n">
        <v>9793</v>
      </c>
      <c r="D1787" s="8" t="n">
        <v>9826</v>
      </c>
      <c r="E1787" s="8" t="n">
        <v>9664</v>
      </c>
      <c r="F1787" s="8" t="n">
        <v>228546</v>
      </c>
      <c r="G1787" s="8" t="n">
        <v>137338</v>
      </c>
      <c r="H1787" s="8" t="n">
        <v>9850</v>
      </c>
      <c r="I1787" s="8" t="n">
        <v>9965</v>
      </c>
      <c r="J1787" s="8" t="n">
        <v>9970</v>
      </c>
      <c r="K1787" s="8" t="n">
        <v>9775</v>
      </c>
      <c r="L1787" s="8" t="n">
        <v>551790</v>
      </c>
      <c r="M1787" s="8" t="n">
        <v>301022</v>
      </c>
      <c r="N1787" t="inlineStr">
        <is>
          <t>是</t>
        </is>
      </c>
    </row>
    <row r="1788">
      <c r="A1788" s="7" t="inlineStr">
        <is>
          <t>2014-11-25</t>
        </is>
      </c>
      <c r="B1788" s="8" t="n">
        <v>8872</v>
      </c>
      <c r="C1788" s="8" t="n">
        <v>8783</v>
      </c>
      <c r="D1788" s="8" t="n">
        <v>8885</v>
      </c>
      <c r="E1788" s="8" t="n">
        <v>8680</v>
      </c>
      <c r="F1788" s="8" t="n">
        <v>272294</v>
      </c>
      <c r="G1788" s="8" t="n">
        <v>162486</v>
      </c>
      <c r="H1788" s="8" t="n">
        <v>9900</v>
      </c>
      <c r="I1788" s="8" t="n">
        <v>9840</v>
      </c>
      <c r="J1788" s="8" t="n">
        <v>9930</v>
      </c>
      <c r="K1788" s="8" t="n">
        <v>9810</v>
      </c>
      <c r="L1788" s="8" t="n">
        <v>280816</v>
      </c>
      <c r="M1788" s="8" t="n">
        <v>295204</v>
      </c>
      <c r="N1788" t="inlineStr">
        <is>
          <t>是</t>
        </is>
      </c>
    </row>
    <row r="1789">
      <c r="A1789" s="7" t="inlineStr">
        <is>
          <t>2014-11-26</t>
        </is>
      </c>
      <c r="B1789" s="8" t="n">
        <v>8795</v>
      </c>
      <c r="C1789" s="8" t="n">
        <v>8785</v>
      </c>
      <c r="D1789" s="8" t="n">
        <v>8832</v>
      </c>
      <c r="E1789" s="8" t="n">
        <v>8739</v>
      </c>
      <c r="F1789" s="8" t="n">
        <v>196550</v>
      </c>
      <c r="G1789" s="8" t="n">
        <v>164768</v>
      </c>
      <c r="H1789" s="8" t="n">
        <v>9910</v>
      </c>
      <c r="I1789" s="8" t="n">
        <v>9860</v>
      </c>
      <c r="J1789" s="8" t="n">
        <v>9930</v>
      </c>
      <c r="K1789" s="8" t="n">
        <v>9850</v>
      </c>
      <c r="L1789" s="8" t="n">
        <v>183022</v>
      </c>
      <c r="M1789" s="8" t="n">
        <v>296254</v>
      </c>
      <c r="N1789" t="inlineStr">
        <is>
          <t>是</t>
        </is>
      </c>
    </row>
    <row r="1790">
      <c r="A1790" s="7" t="inlineStr">
        <is>
          <t>2014-11-27</t>
        </is>
      </c>
      <c r="B1790" s="8" t="n">
        <v>8801</v>
      </c>
      <c r="C1790" s="8" t="n">
        <v>8764</v>
      </c>
      <c r="D1790" s="8" t="n">
        <v>8830</v>
      </c>
      <c r="E1790" s="8" t="n">
        <v>8720</v>
      </c>
      <c r="F1790" s="8" t="n">
        <v>200290</v>
      </c>
      <c r="G1790" s="8" t="n">
        <v>166262</v>
      </c>
      <c r="H1790" s="8" t="n">
        <v>9920</v>
      </c>
      <c r="I1790" s="8" t="n">
        <v>9900</v>
      </c>
      <c r="J1790" s="8" t="n">
        <v>9950</v>
      </c>
      <c r="K1790" s="8" t="n">
        <v>9865</v>
      </c>
      <c r="L1790" s="8" t="n">
        <v>153018</v>
      </c>
      <c r="M1790" s="8" t="n">
        <v>284350</v>
      </c>
      <c r="N1790" t="inlineStr">
        <is>
          <t>是</t>
        </is>
      </c>
    </row>
    <row r="1791">
      <c r="A1791" s="7" t="inlineStr">
        <is>
          <t>2014-11-28</t>
        </is>
      </c>
      <c r="B1791" s="8" t="n">
        <v>8511</v>
      </c>
      <c r="C1791" s="8" t="n">
        <v>8438</v>
      </c>
      <c r="D1791" s="8" t="n">
        <v>8623</v>
      </c>
      <c r="E1791" s="8" t="n">
        <v>8438</v>
      </c>
      <c r="F1791" s="8" t="n">
        <v>335482</v>
      </c>
      <c r="G1791" s="8" t="n">
        <v>182854</v>
      </c>
      <c r="H1791" s="8" t="n">
        <v>9610</v>
      </c>
      <c r="I1791" s="8" t="n">
        <v>9730</v>
      </c>
      <c r="J1791" s="8" t="n">
        <v>9810</v>
      </c>
      <c r="K1791" s="8" t="n">
        <v>9545</v>
      </c>
      <c r="L1791" s="8" t="n">
        <v>350330</v>
      </c>
      <c r="M1791" s="8" t="n">
        <v>262102</v>
      </c>
      <c r="N1791" t="inlineStr">
        <is>
          <t>是</t>
        </is>
      </c>
    </row>
    <row r="1792">
      <c r="A1792" s="7" t="inlineStr">
        <is>
          <t>2014-12-01</t>
        </is>
      </c>
      <c r="B1792" s="8" t="n">
        <v>8208</v>
      </c>
      <c r="C1792" s="8" t="n">
        <v>8395</v>
      </c>
      <c r="D1792" s="8" t="n">
        <v>8395</v>
      </c>
      <c r="E1792" s="8" t="n">
        <v>8208</v>
      </c>
      <c r="F1792" s="8" t="n">
        <v>208926</v>
      </c>
      <c r="G1792" s="8" t="n">
        <v>170124</v>
      </c>
      <c r="H1792" s="8" t="n">
        <v>8445</v>
      </c>
      <c r="I1792" s="8" t="n">
        <v>8470</v>
      </c>
      <c r="J1792" s="8" t="n">
        <v>8520</v>
      </c>
      <c r="K1792" s="8" t="n">
        <v>8445</v>
      </c>
      <c r="L1792" s="8" t="n">
        <v>412964</v>
      </c>
      <c r="M1792" s="8" t="n">
        <v>351098</v>
      </c>
      <c r="N1792" t="inlineStr">
        <is>
          <t>是</t>
        </is>
      </c>
    </row>
    <row r="1793">
      <c r="A1793" s="7" t="inlineStr">
        <is>
          <t>2014-12-02</t>
        </is>
      </c>
      <c r="B1793" s="8" t="n">
        <v>8300</v>
      </c>
      <c r="C1793" s="8" t="n">
        <v>8498</v>
      </c>
      <c r="D1793" s="8" t="n">
        <v>8498</v>
      </c>
      <c r="E1793" s="8" t="n">
        <v>8283</v>
      </c>
      <c r="F1793" s="8" t="n">
        <v>204610</v>
      </c>
      <c r="G1793" s="8" t="n">
        <v>162220</v>
      </c>
      <c r="H1793" s="8" t="n">
        <v>8550</v>
      </c>
      <c r="I1793" s="8" t="n">
        <v>8670</v>
      </c>
      <c r="J1793" s="8" t="n">
        <v>8735</v>
      </c>
      <c r="K1793" s="8" t="n">
        <v>8545</v>
      </c>
      <c r="L1793" s="8" t="n">
        <v>628898</v>
      </c>
      <c r="M1793" s="8" t="n">
        <v>349398</v>
      </c>
      <c r="N1793" t="inlineStr">
        <is>
          <t>是</t>
        </is>
      </c>
    </row>
    <row r="1794">
      <c r="A1794" s="7" t="inlineStr">
        <is>
          <t>2014-12-03</t>
        </is>
      </c>
      <c r="B1794" s="8" t="n">
        <v>8216</v>
      </c>
      <c r="C1794" s="8" t="n">
        <v>8254</v>
      </c>
      <c r="D1794" s="8" t="n">
        <v>8270</v>
      </c>
      <c r="E1794" s="8" t="n">
        <v>8141</v>
      </c>
      <c r="F1794" s="8" t="n">
        <v>273594</v>
      </c>
      <c r="G1794" s="8" t="n">
        <v>175842</v>
      </c>
      <c r="H1794" s="8" t="n">
        <v>8510</v>
      </c>
      <c r="I1794" s="8" t="n">
        <v>8530</v>
      </c>
      <c r="J1794" s="8" t="n">
        <v>8585</v>
      </c>
      <c r="K1794" s="8" t="n">
        <v>8445</v>
      </c>
      <c r="L1794" s="8" t="n">
        <v>551404</v>
      </c>
      <c r="M1794" s="8" t="n">
        <v>375388</v>
      </c>
      <c r="N1794" t="inlineStr">
        <is>
          <t>是</t>
        </is>
      </c>
    </row>
    <row r="1795">
      <c r="A1795" s="7" t="inlineStr">
        <is>
          <t>2014-12-04</t>
        </is>
      </c>
      <c r="B1795" s="8" t="n">
        <v>8251</v>
      </c>
      <c r="C1795" s="8" t="n">
        <v>8204</v>
      </c>
      <c r="D1795" s="8" t="n">
        <v>8309</v>
      </c>
      <c r="E1795" s="8" t="n">
        <v>8191</v>
      </c>
      <c r="F1795" s="8" t="n">
        <v>251842</v>
      </c>
      <c r="G1795" s="8" t="n">
        <v>166950</v>
      </c>
      <c r="H1795" s="8" t="n">
        <v>8540</v>
      </c>
      <c r="I1795" s="8" t="n">
        <v>8510</v>
      </c>
      <c r="J1795" s="8" t="n">
        <v>8615</v>
      </c>
      <c r="K1795" s="8" t="n">
        <v>8490</v>
      </c>
      <c r="L1795" s="8" t="n">
        <v>558628</v>
      </c>
      <c r="M1795" s="8" t="n">
        <v>369914</v>
      </c>
      <c r="N1795" t="inlineStr">
        <is>
          <t>是</t>
        </is>
      </c>
    </row>
    <row r="1796">
      <c r="A1796" s="7" t="inlineStr">
        <is>
          <t>2014-12-05</t>
        </is>
      </c>
      <c r="B1796" s="8" t="n">
        <v>8170</v>
      </c>
      <c r="C1796" s="8" t="n">
        <v>8221</v>
      </c>
      <c r="D1796" s="8" t="n">
        <v>8228</v>
      </c>
      <c r="E1796" s="8" t="n">
        <v>8092</v>
      </c>
      <c r="F1796" s="8" t="n">
        <v>242324</v>
      </c>
      <c r="G1796" s="8" t="n">
        <v>166204</v>
      </c>
      <c r="H1796" s="8" t="n">
        <v>8505</v>
      </c>
      <c r="I1796" s="8" t="n">
        <v>8520</v>
      </c>
      <c r="J1796" s="8" t="n">
        <v>8520</v>
      </c>
      <c r="K1796" s="8" t="n">
        <v>8335</v>
      </c>
      <c r="L1796" s="8" t="n">
        <v>732956</v>
      </c>
      <c r="M1796" s="8" t="n">
        <v>369792</v>
      </c>
      <c r="N1796" t="inlineStr">
        <is>
          <t>是</t>
        </is>
      </c>
    </row>
    <row r="1797">
      <c r="A1797" s="7" t="inlineStr">
        <is>
          <t>2014-12-08</t>
        </is>
      </c>
      <c r="B1797" s="8" t="n">
        <v>8001</v>
      </c>
      <c r="C1797" s="8" t="n">
        <v>8122</v>
      </c>
      <c r="D1797" s="8" t="n">
        <v>8200</v>
      </c>
      <c r="E1797" s="8" t="n">
        <v>7990</v>
      </c>
      <c r="F1797" s="8" t="n">
        <v>313614</v>
      </c>
      <c r="G1797" s="8" t="n">
        <v>183242</v>
      </c>
      <c r="H1797" s="8" t="n">
        <v>8305</v>
      </c>
      <c r="I1797" s="8" t="n">
        <v>8470</v>
      </c>
      <c r="J1797" s="8" t="n">
        <v>8520</v>
      </c>
      <c r="K1797" s="8" t="n">
        <v>8290</v>
      </c>
      <c r="L1797" s="8" t="n">
        <v>743438</v>
      </c>
      <c r="M1797" s="8" t="n">
        <v>388490</v>
      </c>
      <c r="N1797" t="inlineStr">
        <is>
          <t>是</t>
        </is>
      </c>
    </row>
    <row r="1798">
      <c r="A1798" s="7" t="inlineStr">
        <is>
          <t>2014-12-09</t>
        </is>
      </c>
      <c r="B1798" s="8" t="n">
        <v>7779</v>
      </c>
      <c r="C1798" s="8" t="n">
        <v>7880</v>
      </c>
      <c r="D1798" s="8" t="n">
        <v>7900</v>
      </c>
      <c r="E1798" s="8" t="n">
        <v>7759</v>
      </c>
      <c r="F1798" s="8" t="n">
        <v>243632</v>
      </c>
      <c r="G1798" s="8" t="n">
        <v>183746</v>
      </c>
      <c r="H1798" s="8" t="n">
        <v>8075</v>
      </c>
      <c r="I1798" s="8" t="n">
        <v>8200</v>
      </c>
      <c r="J1798" s="8" t="n">
        <v>8230</v>
      </c>
      <c r="K1798" s="8" t="n">
        <v>8065</v>
      </c>
      <c r="L1798" s="8" t="n">
        <v>649850</v>
      </c>
      <c r="M1798" s="8" t="n">
        <v>390204</v>
      </c>
      <c r="N1798" t="inlineStr">
        <is>
          <t>是</t>
        </is>
      </c>
    </row>
    <row r="1799">
      <c r="A1799" s="7" t="inlineStr">
        <is>
          <t>2014-12-10</t>
        </is>
      </c>
      <c r="B1799" s="8" t="n">
        <v>7778</v>
      </c>
      <c r="C1799" s="8" t="n">
        <v>7800</v>
      </c>
      <c r="D1799" s="8" t="n">
        <v>7835</v>
      </c>
      <c r="E1799" s="8" t="n">
        <v>7700</v>
      </c>
      <c r="F1799" s="8" t="n">
        <v>312406</v>
      </c>
      <c r="G1799" s="8" t="n">
        <v>183808</v>
      </c>
      <c r="H1799" s="8" t="n">
        <v>8145</v>
      </c>
      <c r="I1799" s="8" t="n">
        <v>8105</v>
      </c>
      <c r="J1799" s="8" t="n">
        <v>8195</v>
      </c>
      <c r="K1799" s="8" t="n">
        <v>8010</v>
      </c>
      <c r="L1799" s="8" t="n">
        <v>765140</v>
      </c>
      <c r="M1799" s="8" t="n">
        <v>398614</v>
      </c>
      <c r="N1799" t="inlineStr">
        <is>
          <t>是</t>
        </is>
      </c>
    </row>
    <row r="1800">
      <c r="A1800" s="7" t="inlineStr">
        <is>
          <t>2014-12-11</t>
        </is>
      </c>
      <c r="B1800" s="8" t="n">
        <v>7694</v>
      </c>
      <c r="C1800" s="8" t="n">
        <v>7700</v>
      </c>
      <c r="D1800" s="8" t="n">
        <v>7709</v>
      </c>
      <c r="E1800" s="8" t="n">
        <v>7600</v>
      </c>
      <c r="F1800" s="8" t="n">
        <v>320034</v>
      </c>
      <c r="G1800" s="8" t="n">
        <v>188884</v>
      </c>
      <c r="H1800" s="8" t="n">
        <v>8145</v>
      </c>
      <c r="I1800" s="8" t="n">
        <v>8050</v>
      </c>
      <c r="J1800" s="8" t="n">
        <v>8155</v>
      </c>
      <c r="K1800" s="8" t="n">
        <v>8020</v>
      </c>
      <c r="L1800" s="8" t="n">
        <v>606802</v>
      </c>
      <c r="M1800" s="8" t="n">
        <v>418254</v>
      </c>
      <c r="N1800" t="inlineStr">
        <is>
          <t>是</t>
        </is>
      </c>
    </row>
    <row r="1801">
      <c r="A1801" s="7" t="inlineStr">
        <is>
          <t>2014-12-12</t>
        </is>
      </c>
      <c r="B1801" s="8" t="n">
        <v>7732</v>
      </c>
      <c r="C1801" s="8" t="n">
        <v>7620</v>
      </c>
      <c r="D1801" s="8" t="n">
        <v>7769</v>
      </c>
      <c r="E1801" s="8" t="n">
        <v>7583</v>
      </c>
      <c r="F1801" s="8" t="n">
        <v>324902</v>
      </c>
      <c r="G1801" s="8" t="n">
        <v>186440</v>
      </c>
      <c r="H1801" s="8" t="n">
        <v>8240</v>
      </c>
      <c r="I1801" s="8" t="n">
        <v>8050</v>
      </c>
      <c r="J1801" s="8" t="n">
        <v>8250</v>
      </c>
      <c r="K1801" s="8" t="n">
        <v>8045</v>
      </c>
      <c r="L1801" s="8" t="n">
        <v>756212</v>
      </c>
      <c r="M1801" s="8" t="n">
        <v>408520</v>
      </c>
      <c r="N1801" t="inlineStr">
        <is>
          <t>是</t>
        </is>
      </c>
    </row>
    <row r="1802">
      <c r="A1802" s="7" t="inlineStr">
        <is>
          <t>2014-12-15</t>
        </is>
      </c>
      <c r="B1802" s="8" t="n">
        <v>7860</v>
      </c>
      <c r="C1802" s="8" t="n">
        <v>7666</v>
      </c>
      <c r="D1802" s="8" t="n">
        <v>7921</v>
      </c>
      <c r="E1802" s="8" t="n">
        <v>7540</v>
      </c>
      <c r="F1802" s="8" t="n">
        <v>763202</v>
      </c>
      <c r="G1802" s="8" t="n">
        <v>200346</v>
      </c>
      <c r="H1802" s="8" t="n">
        <v>8425</v>
      </c>
      <c r="I1802" s="8" t="n">
        <v>8165</v>
      </c>
      <c r="J1802" s="8" t="n">
        <v>8490</v>
      </c>
      <c r="K1802" s="8" t="n">
        <v>8105</v>
      </c>
      <c r="L1802" s="8" t="n">
        <v>1296736</v>
      </c>
      <c r="M1802" s="8" t="n">
        <v>434700</v>
      </c>
      <c r="N1802" t="inlineStr">
        <is>
          <t>是</t>
        </is>
      </c>
    </row>
    <row r="1803">
      <c r="A1803" s="7" t="inlineStr">
        <is>
          <t>2014-12-16</t>
        </is>
      </c>
      <c r="B1803" s="8" t="n">
        <v>7793</v>
      </c>
      <c r="C1803" s="8" t="n">
        <v>7729</v>
      </c>
      <c r="D1803" s="8" t="n">
        <v>7853</v>
      </c>
      <c r="E1803" s="8" t="n">
        <v>7720</v>
      </c>
      <c r="F1803" s="8" t="n">
        <v>563586</v>
      </c>
      <c r="G1803" s="8" t="n">
        <v>209282</v>
      </c>
      <c r="H1803" s="8" t="n">
        <v>8300</v>
      </c>
      <c r="I1803" s="8" t="n">
        <v>8335</v>
      </c>
      <c r="J1803" s="8" t="n">
        <v>8395</v>
      </c>
      <c r="K1803" s="8" t="n">
        <v>8220</v>
      </c>
      <c r="L1803" s="8" t="n">
        <v>946150</v>
      </c>
      <c r="M1803" s="8" t="n">
        <v>442740</v>
      </c>
      <c r="N1803" t="inlineStr">
        <is>
          <t>是</t>
        </is>
      </c>
    </row>
    <row r="1804">
      <c r="A1804" s="7" t="inlineStr">
        <is>
          <t>2014-12-17</t>
        </is>
      </c>
      <c r="B1804" s="8" t="n">
        <v>7750</v>
      </c>
      <c r="C1804" s="8" t="n">
        <v>7800</v>
      </c>
      <c r="D1804" s="8" t="n">
        <v>7861</v>
      </c>
      <c r="E1804" s="8" t="n">
        <v>7628</v>
      </c>
      <c r="F1804" s="8" t="n">
        <v>656538</v>
      </c>
      <c r="G1804" s="8" t="n">
        <v>219406</v>
      </c>
      <c r="H1804" s="8" t="n">
        <v>8335</v>
      </c>
      <c r="I1804" s="8" t="n">
        <v>8320</v>
      </c>
      <c r="J1804" s="8" t="n">
        <v>8410</v>
      </c>
      <c r="K1804" s="8" t="n">
        <v>8180</v>
      </c>
      <c r="L1804" s="8" t="n">
        <v>1588922</v>
      </c>
      <c r="M1804" s="8" t="n">
        <v>497300</v>
      </c>
      <c r="N1804" t="inlineStr">
        <is>
          <t>是</t>
        </is>
      </c>
    </row>
    <row r="1805">
      <c r="A1805" s="7" t="inlineStr">
        <is>
          <t>2014-12-18</t>
        </is>
      </c>
      <c r="B1805" s="8" t="n">
        <v>7806</v>
      </c>
      <c r="C1805" s="8" t="n">
        <v>7802</v>
      </c>
      <c r="D1805" s="8" t="n">
        <v>7893</v>
      </c>
      <c r="E1805" s="8" t="n">
        <v>7741</v>
      </c>
      <c r="F1805" s="8" t="n">
        <v>673286</v>
      </c>
      <c r="G1805" s="8" t="n">
        <v>258554</v>
      </c>
      <c r="H1805" s="8" t="n">
        <v>8465</v>
      </c>
      <c r="I1805" s="8" t="n">
        <v>8400</v>
      </c>
      <c r="J1805" s="8" t="n">
        <v>8540</v>
      </c>
      <c r="K1805" s="8" t="n">
        <v>8385</v>
      </c>
      <c r="L1805" s="8" t="n">
        <v>1362216</v>
      </c>
      <c r="M1805" s="8" t="n">
        <v>519932</v>
      </c>
      <c r="N1805" t="inlineStr">
        <is>
          <t>是</t>
        </is>
      </c>
    </row>
    <row r="1806">
      <c r="A1806" s="7" t="inlineStr">
        <is>
          <t>2014-12-19</t>
        </is>
      </c>
      <c r="B1806" s="8" t="n">
        <v>7744</v>
      </c>
      <c r="C1806" s="8" t="n">
        <v>7766</v>
      </c>
      <c r="D1806" s="8" t="n">
        <v>7791</v>
      </c>
      <c r="E1806" s="8" t="n">
        <v>7700</v>
      </c>
      <c r="F1806" s="8" t="n">
        <v>232278</v>
      </c>
      <c r="G1806" s="8" t="n">
        <v>276074</v>
      </c>
      <c r="H1806" s="8" t="n">
        <v>8430</v>
      </c>
      <c r="I1806" s="8" t="n">
        <v>8435</v>
      </c>
      <c r="J1806" s="8" t="n">
        <v>8480</v>
      </c>
      <c r="K1806" s="8" t="n">
        <v>8385</v>
      </c>
      <c r="L1806" s="8" t="n">
        <v>417892</v>
      </c>
      <c r="M1806" s="8" t="n">
        <v>514222</v>
      </c>
      <c r="N1806" t="inlineStr">
        <is>
          <t>是</t>
        </is>
      </c>
    </row>
    <row r="1807">
      <c r="A1807" s="7" t="inlineStr">
        <is>
          <t>2014-12-22</t>
        </is>
      </c>
      <c r="B1807" s="8" t="n">
        <v>7847</v>
      </c>
      <c r="C1807" s="8" t="n">
        <v>7860</v>
      </c>
      <c r="D1807" s="8" t="n">
        <v>7993</v>
      </c>
      <c r="E1807" s="8" t="n">
        <v>7800</v>
      </c>
      <c r="F1807" s="8" t="n">
        <v>618598</v>
      </c>
      <c r="G1807" s="8" t="n">
        <v>267312</v>
      </c>
      <c r="H1807" s="8" t="n">
        <v>8460</v>
      </c>
      <c r="I1807" s="8" t="n">
        <v>8530</v>
      </c>
      <c r="J1807" s="8" t="n">
        <v>8670</v>
      </c>
      <c r="K1807" s="8" t="n">
        <v>8450</v>
      </c>
      <c r="L1807" s="8" t="n">
        <v>1251354</v>
      </c>
      <c r="M1807" s="8" t="n">
        <v>524536</v>
      </c>
      <c r="N1807" t="inlineStr">
        <is>
          <t>是</t>
        </is>
      </c>
    </row>
    <row r="1808">
      <c r="A1808" s="7" t="inlineStr">
        <is>
          <t>2014-12-23</t>
        </is>
      </c>
      <c r="B1808" s="8" t="n">
        <v>7801</v>
      </c>
      <c r="C1808" s="8" t="n">
        <v>7780</v>
      </c>
      <c r="D1808" s="8" t="n">
        <v>7840</v>
      </c>
      <c r="E1808" s="8" t="n">
        <v>7750</v>
      </c>
      <c r="F1808" s="8" t="n">
        <v>395642</v>
      </c>
      <c r="G1808" s="8" t="n">
        <v>251068</v>
      </c>
      <c r="H1808" s="8" t="n">
        <v>8320</v>
      </c>
      <c r="I1808" s="8" t="n">
        <v>8405</v>
      </c>
      <c r="J1808" s="8" t="n">
        <v>8475</v>
      </c>
      <c r="K1808" s="8" t="n">
        <v>8315</v>
      </c>
      <c r="L1808" s="8" t="n">
        <v>828610</v>
      </c>
      <c r="M1808" s="8" t="n">
        <v>487314</v>
      </c>
      <c r="N1808" t="inlineStr">
        <is>
          <t>是</t>
        </is>
      </c>
    </row>
    <row r="1809">
      <c r="A1809" s="7" t="inlineStr">
        <is>
          <t>2014-12-24</t>
        </is>
      </c>
      <c r="B1809" s="8" t="n">
        <v>7830</v>
      </c>
      <c r="C1809" s="8" t="n">
        <v>7880</v>
      </c>
      <c r="D1809" s="8" t="n">
        <v>7900</v>
      </c>
      <c r="E1809" s="8" t="n">
        <v>7750</v>
      </c>
      <c r="F1809" s="8" t="n">
        <v>486930</v>
      </c>
      <c r="G1809" s="8" t="n">
        <v>256032</v>
      </c>
      <c r="H1809" s="8" t="n">
        <v>8405</v>
      </c>
      <c r="I1809" s="8" t="n">
        <v>8365</v>
      </c>
      <c r="J1809" s="8" t="n">
        <v>8430</v>
      </c>
      <c r="K1809" s="8" t="n">
        <v>8245</v>
      </c>
      <c r="L1809" s="8" t="n">
        <v>1008342</v>
      </c>
      <c r="M1809" s="8" t="n">
        <v>466704</v>
      </c>
      <c r="N1809" t="inlineStr">
        <is>
          <t>是</t>
        </is>
      </c>
    </row>
    <row r="1810">
      <c r="A1810" s="7" t="inlineStr">
        <is>
          <t>2014-12-25</t>
        </is>
      </c>
      <c r="B1810" s="8" t="n">
        <v>7806</v>
      </c>
      <c r="C1810" s="8" t="n">
        <v>7808</v>
      </c>
      <c r="D1810" s="8" t="n">
        <v>7882</v>
      </c>
      <c r="E1810" s="8" t="n">
        <v>7790</v>
      </c>
      <c r="F1810" s="8" t="n">
        <v>344286</v>
      </c>
      <c r="G1810" s="8" t="n">
        <v>260798</v>
      </c>
      <c r="H1810" s="8" t="n">
        <v>8305</v>
      </c>
      <c r="I1810" s="8" t="n">
        <v>8390</v>
      </c>
      <c r="J1810" s="8" t="n">
        <v>8470</v>
      </c>
      <c r="K1810" s="8" t="n">
        <v>8290</v>
      </c>
      <c r="L1810" s="8" t="n">
        <v>811326</v>
      </c>
      <c r="M1810" s="8" t="n">
        <v>479906</v>
      </c>
      <c r="N1810" t="inlineStr">
        <is>
          <t>是</t>
        </is>
      </c>
    </row>
    <row r="1811">
      <c r="A1811" s="7" t="inlineStr">
        <is>
          <t>2014-12-26</t>
        </is>
      </c>
      <c r="B1811" s="8" t="n">
        <v>7764</v>
      </c>
      <c r="C1811" s="8" t="n">
        <v>7826</v>
      </c>
      <c r="D1811" s="8" t="n">
        <v>7843</v>
      </c>
      <c r="E1811" s="8" t="n">
        <v>7753</v>
      </c>
      <c r="F1811" s="8" t="n">
        <v>420184</v>
      </c>
      <c r="G1811" s="8" t="n">
        <v>261242</v>
      </c>
      <c r="H1811" s="8" t="n">
        <v>8195</v>
      </c>
      <c r="I1811" s="8" t="n">
        <v>8305</v>
      </c>
      <c r="J1811" s="8" t="n">
        <v>8355</v>
      </c>
      <c r="K1811" s="8" t="n">
        <v>8190</v>
      </c>
      <c r="L1811" s="8" t="n">
        <v>970836</v>
      </c>
      <c r="M1811" s="8" t="n">
        <v>502178</v>
      </c>
      <c r="N1811" t="inlineStr">
        <is>
          <t>是</t>
        </is>
      </c>
    </row>
    <row r="1812">
      <c r="A1812" s="7" t="inlineStr">
        <is>
          <t>2014-12-29</t>
        </is>
      </c>
      <c r="B1812" s="8" t="n">
        <v>7764</v>
      </c>
      <c r="C1812" s="8" t="n">
        <v>7750</v>
      </c>
      <c r="D1812" s="8" t="n">
        <v>7820</v>
      </c>
      <c r="E1812" s="8" t="n">
        <v>7734</v>
      </c>
      <c r="F1812" s="8" t="n">
        <v>338842</v>
      </c>
      <c r="G1812" s="8" t="n">
        <v>266030</v>
      </c>
      <c r="H1812" s="8" t="n">
        <v>8260</v>
      </c>
      <c r="I1812" s="8" t="n">
        <v>8185</v>
      </c>
      <c r="J1812" s="8" t="n">
        <v>8300</v>
      </c>
      <c r="K1812" s="8" t="n">
        <v>8180</v>
      </c>
      <c r="L1812" s="8" t="n">
        <v>660262</v>
      </c>
      <c r="M1812" s="8" t="n">
        <v>477086</v>
      </c>
      <c r="N1812" t="inlineStr">
        <is>
          <t>是</t>
        </is>
      </c>
    </row>
    <row r="1813">
      <c r="A1813" s="7" t="inlineStr">
        <is>
          <t>2014-12-30</t>
        </is>
      </c>
      <c r="B1813" s="8" t="n">
        <v>7806</v>
      </c>
      <c r="C1813" s="8" t="n">
        <v>7742</v>
      </c>
      <c r="D1813" s="8" t="n">
        <v>7946</v>
      </c>
      <c r="E1813" s="8" t="n">
        <v>7721</v>
      </c>
      <c r="F1813" s="8" t="n">
        <v>528030</v>
      </c>
      <c r="G1813" s="8" t="n">
        <v>256062</v>
      </c>
      <c r="H1813" s="8" t="n">
        <v>8325</v>
      </c>
      <c r="I1813" s="8" t="n">
        <v>8240</v>
      </c>
      <c r="J1813" s="8" t="n">
        <v>8530</v>
      </c>
      <c r="K1813" s="8" t="n">
        <v>8220</v>
      </c>
      <c r="L1813" s="8" t="n">
        <v>1298712</v>
      </c>
      <c r="M1813" s="8" t="n">
        <v>444288</v>
      </c>
      <c r="N1813" t="inlineStr">
        <is>
          <t>是</t>
        </is>
      </c>
    </row>
    <row r="1814">
      <c r="A1814" s="7" t="inlineStr">
        <is>
          <t>2014-12-31</t>
        </is>
      </c>
      <c r="B1814" s="8" t="n">
        <v>7972</v>
      </c>
      <c r="C1814" s="8" t="n">
        <v>7836</v>
      </c>
      <c r="D1814" s="8" t="n">
        <v>7978</v>
      </c>
      <c r="E1814" s="8" t="n">
        <v>7816</v>
      </c>
      <c r="F1814" s="8" t="n">
        <v>390722</v>
      </c>
      <c r="G1814" s="8" t="n">
        <v>264914</v>
      </c>
      <c r="H1814" s="8" t="n">
        <v>8585</v>
      </c>
      <c r="I1814" s="8" t="n">
        <v>8360</v>
      </c>
      <c r="J1814" s="8" t="n">
        <v>8600</v>
      </c>
      <c r="K1814" s="8" t="n">
        <v>8345</v>
      </c>
      <c r="L1814" s="8" t="n">
        <v>868452</v>
      </c>
      <c r="M1814" s="8" t="n">
        <v>403184</v>
      </c>
      <c r="N1814" t="inlineStr">
        <is>
          <t>是</t>
        </is>
      </c>
    </row>
    <row r="1815">
      <c r="A1815" s="7" t="inlineStr">
        <is>
          <t>2015-01-05</t>
        </is>
      </c>
      <c r="B1815" s="8" t="n">
        <v>7597</v>
      </c>
      <c r="C1815" s="8" t="n">
        <v>7892</v>
      </c>
      <c r="D1815" s="8" t="n">
        <v>7892</v>
      </c>
      <c r="E1815" s="8" t="n">
        <v>7552</v>
      </c>
      <c r="F1815" s="8" t="n">
        <v>562276</v>
      </c>
      <c r="G1815" s="8" t="n">
        <v>264666</v>
      </c>
      <c r="H1815" s="8" t="n">
        <v>8330</v>
      </c>
      <c r="I1815" s="8" t="n">
        <v>8540</v>
      </c>
      <c r="J1815" s="8" t="n">
        <v>8540</v>
      </c>
      <c r="K1815" s="8" t="n">
        <v>8265</v>
      </c>
      <c r="L1815" s="8" t="n">
        <v>779082</v>
      </c>
      <c r="M1815" s="8" t="n">
        <v>402742</v>
      </c>
      <c r="N1815" t="inlineStr">
        <is>
          <t>是</t>
        </is>
      </c>
    </row>
    <row r="1816">
      <c r="A1816" s="7" t="inlineStr">
        <is>
          <t>2015-01-06</t>
        </is>
      </c>
      <c r="B1816" s="8" t="n">
        <v>7523</v>
      </c>
      <c r="C1816" s="8" t="n">
        <v>7500</v>
      </c>
      <c r="D1816" s="8" t="n">
        <v>7588</v>
      </c>
      <c r="E1816" s="8" t="n">
        <v>7427</v>
      </c>
      <c r="F1816" s="8" t="n">
        <v>698670</v>
      </c>
      <c r="G1816" s="8" t="n">
        <v>299502</v>
      </c>
      <c r="H1816" s="8" t="n">
        <v>8445</v>
      </c>
      <c r="I1816" s="8" t="n">
        <v>8300</v>
      </c>
      <c r="J1816" s="8" t="n">
        <v>8500</v>
      </c>
      <c r="K1816" s="8" t="n">
        <v>8225</v>
      </c>
      <c r="L1816" s="8" t="n">
        <v>1168312</v>
      </c>
      <c r="M1816" s="8" t="n">
        <v>506026</v>
      </c>
      <c r="N1816" t="inlineStr">
        <is>
          <t>是</t>
        </is>
      </c>
    </row>
    <row r="1817">
      <c r="A1817" s="7" t="inlineStr">
        <is>
          <t>2015-01-07</t>
        </is>
      </c>
      <c r="B1817" s="8" t="n">
        <v>7432</v>
      </c>
      <c r="C1817" s="8" t="n">
        <v>7485</v>
      </c>
      <c r="D1817" s="8" t="n">
        <v>7540</v>
      </c>
      <c r="E1817" s="8" t="n">
        <v>7380</v>
      </c>
      <c r="F1817" s="8" t="n">
        <v>682236</v>
      </c>
      <c r="G1817" s="8" t="n">
        <v>332888</v>
      </c>
      <c r="H1817" s="8" t="n">
        <v>8380</v>
      </c>
      <c r="I1817" s="8" t="n">
        <v>8380</v>
      </c>
      <c r="J1817" s="8" t="n">
        <v>8475</v>
      </c>
      <c r="K1817" s="8" t="n">
        <v>8285</v>
      </c>
      <c r="L1817" s="8" t="n">
        <v>1345648</v>
      </c>
      <c r="M1817" s="8" t="n">
        <v>543988</v>
      </c>
      <c r="N1817" t="inlineStr">
        <is>
          <t>是</t>
        </is>
      </c>
    </row>
    <row r="1818">
      <c r="A1818" s="7" t="inlineStr">
        <is>
          <t>2015-01-08</t>
        </is>
      </c>
      <c r="B1818" s="8" t="n">
        <v>7389</v>
      </c>
      <c r="C1818" s="8" t="n">
        <v>7480</v>
      </c>
      <c r="D1818" s="8" t="n">
        <v>7498</v>
      </c>
      <c r="E1818" s="8" t="n">
        <v>7388</v>
      </c>
      <c r="F1818" s="8" t="n">
        <v>531934</v>
      </c>
      <c r="G1818" s="8" t="n">
        <v>366918</v>
      </c>
      <c r="H1818" s="8" t="n">
        <v>8290</v>
      </c>
      <c r="I1818" s="8" t="n">
        <v>8445</v>
      </c>
      <c r="J1818" s="8" t="n">
        <v>8460</v>
      </c>
      <c r="K1818" s="8" t="n">
        <v>8285</v>
      </c>
      <c r="L1818" s="8" t="n">
        <v>938734</v>
      </c>
      <c r="M1818" s="8" t="n">
        <v>521644</v>
      </c>
      <c r="N1818" t="inlineStr">
        <is>
          <t>是</t>
        </is>
      </c>
    </row>
    <row r="1819">
      <c r="A1819" s="7" t="inlineStr">
        <is>
          <t>2015-01-09</t>
        </is>
      </c>
      <c r="B1819" s="8" t="n">
        <v>7150</v>
      </c>
      <c r="C1819" s="8" t="n">
        <v>7390</v>
      </c>
      <c r="D1819" s="8" t="n">
        <v>7412</v>
      </c>
      <c r="E1819" s="8" t="n">
        <v>7150</v>
      </c>
      <c r="F1819" s="8" t="n">
        <v>1112100</v>
      </c>
      <c r="G1819" s="8" t="n">
        <v>420154</v>
      </c>
      <c r="H1819" s="8" t="n">
        <v>8095</v>
      </c>
      <c r="I1819" s="8" t="n">
        <v>8300</v>
      </c>
      <c r="J1819" s="8" t="n">
        <v>8315</v>
      </c>
      <c r="K1819" s="8" t="n">
        <v>8055</v>
      </c>
      <c r="L1819" s="8" t="n">
        <v>1701760</v>
      </c>
      <c r="M1819" s="8" t="n">
        <v>558858</v>
      </c>
      <c r="N1819" t="inlineStr">
        <is>
          <t>是</t>
        </is>
      </c>
    </row>
    <row r="1820">
      <c r="A1820" s="7" t="inlineStr">
        <is>
          <t>2015-01-12</t>
        </is>
      </c>
      <c r="B1820" s="8" t="n">
        <v>7203</v>
      </c>
      <c r="C1820" s="8" t="n">
        <v>7100</v>
      </c>
      <c r="D1820" s="8" t="n">
        <v>7215</v>
      </c>
      <c r="E1820" s="8" t="n">
        <v>7076</v>
      </c>
      <c r="F1820" s="8" t="n">
        <v>636866</v>
      </c>
      <c r="G1820" s="8" t="n">
        <v>374892</v>
      </c>
      <c r="H1820" s="8" t="n">
        <v>8030</v>
      </c>
      <c r="I1820" s="8" t="n">
        <v>8055</v>
      </c>
      <c r="J1820" s="8" t="n">
        <v>8095</v>
      </c>
      <c r="K1820" s="8" t="n">
        <v>7945</v>
      </c>
      <c r="L1820" s="8" t="n">
        <v>1125148</v>
      </c>
      <c r="M1820" s="8" t="n">
        <v>550808</v>
      </c>
      <c r="N1820" t="inlineStr">
        <is>
          <t>是</t>
        </is>
      </c>
    </row>
    <row r="1821">
      <c r="A1821" s="7" t="inlineStr">
        <is>
          <t>2015-01-13</t>
        </is>
      </c>
      <c r="B1821" s="8" t="n">
        <v>7188</v>
      </c>
      <c r="C1821" s="8" t="n">
        <v>7140</v>
      </c>
      <c r="D1821" s="8" t="n">
        <v>7268</v>
      </c>
      <c r="E1821" s="8" t="n">
        <v>7123</v>
      </c>
      <c r="F1821" s="8" t="n">
        <v>767458</v>
      </c>
      <c r="G1821" s="8" t="n">
        <v>359776</v>
      </c>
      <c r="H1821" s="8" t="n">
        <v>8005</v>
      </c>
      <c r="I1821" s="8" t="n">
        <v>7950</v>
      </c>
      <c r="J1821" s="8" t="n">
        <v>8055</v>
      </c>
      <c r="K1821" s="8" t="n">
        <v>7920</v>
      </c>
      <c r="L1821" s="8" t="n">
        <v>1059444</v>
      </c>
      <c r="M1821" s="8" t="n">
        <v>548806</v>
      </c>
      <c r="N1821" t="inlineStr">
        <is>
          <t>是</t>
        </is>
      </c>
    </row>
    <row r="1822">
      <c r="A1822" s="7" t="inlineStr">
        <is>
          <t>2015-01-14</t>
        </is>
      </c>
      <c r="B1822" s="8" t="n">
        <v>7199</v>
      </c>
      <c r="C1822" s="8" t="n">
        <v>7250</v>
      </c>
      <c r="D1822" s="8" t="n">
        <v>7295</v>
      </c>
      <c r="E1822" s="8" t="n">
        <v>7150</v>
      </c>
      <c r="F1822" s="8" t="n">
        <v>732474</v>
      </c>
      <c r="G1822" s="8" t="n">
        <v>360046</v>
      </c>
      <c r="H1822" s="8" t="n">
        <v>8125</v>
      </c>
      <c r="I1822" s="8" t="n">
        <v>8025</v>
      </c>
      <c r="J1822" s="8" t="n">
        <v>8150</v>
      </c>
      <c r="K1822" s="8" t="n">
        <v>8025</v>
      </c>
      <c r="L1822" s="8" t="n">
        <v>1379548</v>
      </c>
      <c r="M1822" s="8" t="n">
        <v>591678</v>
      </c>
      <c r="N1822" t="inlineStr">
        <is>
          <t>是</t>
        </is>
      </c>
    </row>
    <row r="1823">
      <c r="A1823" s="7" t="inlineStr">
        <is>
          <t>2015-01-15</t>
        </is>
      </c>
      <c r="B1823" s="8" t="n">
        <v>7314</v>
      </c>
      <c r="C1823" s="8" t="n">
        <v>7280</v>
      </c>
      <c r="D1823" s="8" t="n">
        <v>7347</v>
      </c>
      <c r="E1823" s="8" t="n">
        <v>7235</v>
      </c>
      <c r="F1823" s="8" t="n">
        <v>642340</v>
      </c>
      <c r="G1823" s="8" t="n">
        <v>350150</v>
      </c>
      <c r="H1823" s="8" t="n">
        <v>8360</v>
      </c>
      <c r="I1823" s="8" t="n">
        <v>8230</v>
      </c>
      <c r="J1823" s="8" t="n">
        <v>8365</v>
      </c>
      <c r="K1823" s="8" t="n">
        <v>8170</v>
      </c>
      <c r="L1823" s="8" t="n">
        <v>1444956</v>
      </c>
      <c r="M1823" s="8" t="n">
        <v>601982</v>
      </c>
      <c r="N1823" t="inlineStr">
        <is>
          <t>是</t>
        </is>
      </c>
    </row>
    <row r="1824">
      <c r="A1824" s="7" t="inlineStr">
        <is>
          <t>2015-01-16</t>
        </is>
      </c>
      <c r="B1824" s="8" t="n">
        <v>7260</v>
      </c>
      <c r="C1824" s="8" t="n">
        <v>7250</v>
      </c>
      <c r="D1824" s="8" t="n">
        <v>7298</v>
      </c>
      <c r="E1824" s="8" t="n">
        <v>7203</v>
      </c>
      <c r="F1824" s="8" t="n">
        <v>552494</v>
      </c>
      <c r="G1824" s="8" t="n">
        <v>367084</v>
      </c>
      <c r="H1824" s="8" t="n">
        <v>8340</v>
      </c>
      <c r="I1824" s="8" t="n">
        <v>8300</v>
      </c>
      <c r="J1824" s="8" t="n">
        <v>8385</v>
      </c>
      <c r="K1824" s="8" t="n">
        <v>8250</v>
      </c>
      <c r="L1824" s="8" t="n">
        <v>1044956</v>
      </c>
      <c r="M1824" s="8" t="n">
        <v>576324</v>
      </c>
      <c r="N1824" t="inlineStr">
        <is>
          <t>是</t>
        </is>
      </c>
    </row>
    <row r="1825">
      <c r="A1825" s="7" t="inlineStr">
        <is>
          <t>2015-01-19</t>
        </is>
      </c>
      <c r="B1825" s="8" t="n">
        <v>7435</v>
      </c>
      <c r="C1825" s="8" t="n">
        <v>7320</v>
      </c>
      <c r="D1825" s="8" t="n">
        <v>7449</v>
      </c>
      <c r="E1825" s="8" t="n">
        <v>7320</v>
      </c>
      <c r="F1825" s="8" t="n">
        <v>614316</v>
      </c>
      <c r="G1825" s="8" t="n">
        <v>334606</v>
      </c>
      <c r="H1825" s="8" t="n">
        <v>8490</v>
      </c>
      <c r="I1825" s="8" t="n">
        <v>8400</v>
      </c>
      <c r="J1825" s="8" t="n">
        <v>8510</v>
      </c>
      <c r="K1825" s="8" t="n">
        <v>8350</v>
      </c>
      <c r="L1825" s="8" t="n">
        <v>992862</v>
      </c>
      <c r="M1825" s="8" t="n">
        <v>585118</v>
      </c>
      <c r="N1825" t="inlineStr">
        <is>
          <t>是</t>
        </is>
      </c>
    </row>
    <row r="1826">
      <c r="A1826" s="7" t="inlineStr">
        <is>
          <t>2015-01-20</t>
        </is>
      </c>
      <c r="B1826" s="8" t="n">
        <v>7285</v>
      </c>
      <c r="C1826" s="8" t="n">
        <v>7392</v>
      </c>
      <c r="D1826" s="8" t="n">
        <v>7414</v>
      </c>
      <c r="E1826" s="8" t="n">
        <v>7253</v>
      </c>
      <c r="F1826" s="8" t="n">
        <v>516482</v>
      </c>
      <c r="G1826" s="8" t="n">
        <v>345654</v>
      </c>
      <c r="H1826" s="8" t="n">
        <v>8345</v>
      </c>
      <c r="I1826" s="8" t="n">
        <v>8455</v>
      </c>
      <c r="J1826" s="8" t="n">
        <v>8465</v>
      </c>
      <c r="K1826" s="8" t="n">
        <v>8305</v>
      </c>
      <c r="L1826" s="8" t="n">
        <v>805830</v>
      </c>
      <c r="M1826" s="8" t="n">
        <v>585556</v>
      </c>
      <c r="N1826" t="inlineStr">
        <is>
          <t>是</t>
        </is>
      </c>
    </row>
    <row r="1827">
      <c r="A1827" s="7" t="inlineStr">
        <is>
          <t>2015-01-21</t>
        </is>
      </c>
      <c r="B1827" s="8" t="n">
        <v>7357</v>
      </c>
      <c r="C1827" s="8" t="n">
        <v>7270</v>
      </c>
      <c r="D1827" s="8" t="n">
        <v>7400</v>
      </c>
      <c r="E1827" s="8" t="n">
        <v>7252</v>
      </c>
      <c r="F1827" s="8" t="n">
        <v>451430</v>
      </c>
      <c r="G1827" s="8" t="n">
        <v>349252</v>
      </c>
      <c r="H1827" s="8" t="n">
        <v>8450</v>
      </c>
      <c r="I1827" s="8" t="n">
        <v>8330</v>
      </c>
      <c r="J1827" s="8" t="n">
        <v>8490</v>
      </c>
      <c r="K1827" s="8" t="n">
        <v>8300</v>
      </c>
      <c r="L1827" s="8" t="n">
        <v>945896</v>
      </c>
      <c r="M1827" s="8" t="n">
        <v>595038</v>
      </c>
      <c r="N1827" t="inlineStr">
        <is>
          <t>是</t>
        </is>
      </c>
    </row>
    <row r="1828">
      <c r="A1828" s="7" t="inlineStr">
        <is>
          <t>2015-01-22</t>
        </is>
      </c>
      <c r="B1828" s="8" t="n">
        <v>7343</v>
      </c>
      <c r="C1828" s="8" t="n">
        <v>7403</v>
      </c>
      <c r="D1828" s="8" t="n">
        <v>7429</v>
      </c>
      <c r="E1828" s="8" t="n">
        <v>7270</v>
      </c>
      <c r="F1828" s="8" t="n">
        <v>652580</v>
      </c>
      <c r="G1828" s="8" t="n">
        <v>361158</v>
      </c>
      <c r="H1828" s="8" t="n">
        <v>8400</v>
      </c>
      <c r="I1828" s="8" t="n">
        <v>8500</v>
      </c>
      <c r="J1828" s="8" t="n">
        <v>8545</v>
      </c>
      <c r="K1828" s="8" t="n">
        <v>8365</v>
      </c>
      <c r="L1828" s="8" t="n">
        <v>1106476</v>
      </c>
      <c r="M1828" s="8" t="n">
        <v>619714</v>
      </c>
      <c r="N1828" t="inlineStr">
        <is>
          <t>是</t>
        </is>
      </c>
    </row>
    <row r="1829">
      <c r="A1829" s="7" t="inlineStr">
        <is>
          <t>2015-01-23</t>
        </is>
      </c>
      <c r="B1829" s="8" t="n">
        <v>7350</v>
      </c>
      <c r="C1829" s="8" t="n">
        <v>7364</v>
      </c>
      <c r="D1829" s="8" t="n">
        <v>7364</v>
      </c>
      <c r="E1829" s="8" t="n">
        <v>7286</v>
      </c>
      <c r="F1829" s="8" t="n">
        <v>477166</v>
      </c>
      <c r="G1829" s="8" t="n">
        <v>346118</v>
      </c>
      <c r="H1829" s="8" t="n">
        <v>8360</v>
      </c>
      <c r="I1829" s="8" t="n">
        <v>8400</v>
      </c>
      <c r="J1829" s="8" t="n">
        <v>8410</v>
      </c>
      <c r="K1829" s="8" t="n">
        <v>8305</v>
      </c>
      <c r="L1829" s="8" t="n">
        <v>743546</v>
      </c>
      <c r="M1829" s="8" t="n">
        <v>620920</v>
      </c>
      <c r="N1829" t="inlineStr">
        <is>
          <t>是</t>
        </is>
      </c>
    </row>
    <row r="1830">
      <c r="A1830" s="7" t="inlineStr">
        <is>
          <t>2015-01-26</t>
        </is>
      </c>
      <c r="B1830" s="8" t="n">
        <v>7204</v>
      </c>
      <c r="C1830" s="8" t="n">
        <v>7300</v>
      </c>
      <c r="D1830" s="8" t="n">
        <v>7310</v>
      </c>
      <c r="E1830" s="8" t="n">
        <v>7152</v>
      </c>
      <c r="F1830" s="8" t="n">
        <v>534490</v>
      </c>
      <c r="G1830" s="8" t="n">
        <v>359362</v>
      </c>
      <c r="H1830" s="8" t="n">
        <v>8135</v>
      </c>
      <c r="I1830" s="8" t="n">
        <v>8300</v>
      </c>
      <c r="J1830" s="8" t="n">
        <v>8320</v>
      </c>
      <c r="K1830" s="8" t="n">
        <v>8110</v>
      </c>
      <c r="L1830" s="8" t="n">
        <v>902156</v>
      </c>
      <c r="M1830" s="8" t="n">
        <v>593982</v>
      </c>
      <c r="N1830" t="inlineStr">
        <is>
          <t>是</t>
        </is>
      </c>
    </row>
    <row r="1831">
      <c r="A1831" s="7" t="inlineStr">
        <is>
          <t>2015-01-27</t>
        </is>
      </c>
      <c r="B1831" s="8" t="n">
        <v>7225</v>
      </c>
      <c r="C1831" s="8" t="n">
        <v>7240</v>
      </c>
      <c r="D1831" s="8" t="n">
        <v>7248</v>
      </c>
      <c r="E1831" s="8" t="n">
        <v>7189</v>
      </c>
      <c r="F1831" s="8" t="n">
        <v>319230</v>
      </c>
      <c r="G1831" s="8" t="n">
        <v>354234</v>
      </c>
      <c r="H1831" s="8" t="n">
        <v>8190</v>
      </c>
      <c r="I1831" s="8" t="n">
        <v>8185</v>
      </c>
      <c r="J1831" s="8" t="n">
        <v>8245</v>
      </c>
      <c r="K1831" s="8" t="n">
        <v>8160</v>
      </c>
      <c r="L1831" s="8" t="n">
        <v>621704</v>
      </c>
      <c r="M1831" s="8" t="n">
        <v>565850</v>
      </c>
      <c r="N1831" t="inlineStr">
        <is>
          <t>是</t>
        </is>
      </c>
    </row>
    <row r="1832">
      <c r="A1832" s="7" t="inlineStr">
        <is>
          <t>2015-01-28</t>
        </is>
      </c>
      <c r="B1832" s="8" t="n">
        <v>7306</v>
      </c>
      <c r="C1832" s="8" t="n">
        <v>7229</v>
      </c>
      <c r="D1832" s="8" t="n">
        <v>7315</v>
      </c>
      <c r="E1832" s="8" t="n">
        <v>7184</v>
      </c>
      <c r="F1832" s="8" t="n">
        <v>449806</v>
      </c>
      <c r="G1832" s="8" t="n">
        <v>368876</v>
      </c>
      <c r="H1832" s="8" t="n">
        <v>8270</v>
      </c>
      <c r="I1832" s="8" t="n">
        <v>8220</v>
      </c>
      <c r="J1832" s="8" t="n">
        <v>8270</v>
      </c>
      <c r="K1832" s="8" t="n">
        <v>8150</v>
      </c>
      <c r="L1832" s="8" t="n">
        <v>615710</v>
      </c>
      <c r="M1832" s="8" t="n">
        <v>567848</v>
      </c>
      <c r="N1832" t="inlineStr">
        <is>
          <t>是</t>
        </is>
      </c>
    </row>
    <row r="1833">
      <c r="A1833" s="7" t="inlineStr">
        <is>
          <t>2015-01-29</t>
        </is>
      </c>
      <c r="B1833" s="8" t="n">
        <v>7294</v>
      </c>
      <c r="C1833" s="8" t="n">
        <v>7273</v>
      </c>
      <c r="D1833" s="8" t="n">
        <v>7334</v>
      </c>
      <c r="E1833" s="8" t="n">
        <v>7253</v>
      </c>
      <c r="F1833" s="8" t="n">
        <v>445320</v>
      </c>
      <c r="G1833" s="8" t="n">
        <v>371830</v>
      </c>
      <c r="H1833" s="8" t="n">
        <v>8295</v>
      </c>
      <c r="I1833" s="8" t="n">
        <v>8205</v>
      </c>
      <c r="J1833" s="8" t="n">
        <v>8310</v>
      </c>
      <c r="K1833" s="8" t="n">
        <v>8200</v>
      </c>
      <c r="L1833" s="8" t="n">
        <v>611108</v>
      </c>
      <c r="M1833" s="8" t="n">
        <v>588744</v>
      </c>
      <c r="N1833" t="inlineStr">
        <is>
          <t>是</t>
        </is>
      </c>
    </row>
    <row r="1834">
      <c r="A1834" s="7" t="inlineStr">
        <is>
          <t>2015-01-30</t>
        </is>
      </c>
      <c r="B1834" s="8" t="n">
        <v>7218</v>
      </c>
      <c r="C1834" s="8" t="n">
        <v>7285</v>
      </c>
      <c r="D1834" s="8" t="n">
        <v>7300</v>
      </c>
      <c r="E1834" s="8" t="n">
        <v>7193</v>
      </c>
      <c r="F1834" s="8" t="n">
        <v>402960</v>
      </c>
      <c r="G1834" s="8" t="n">
        <v>386436</v>
      </c>
      <c r="H1834" s="8" t="n">
        <v>8165</v>
      </c>
      <c r="I1834" s="8" t="n">
        <v>8305</v>
      </c>
      <c r="J1834" s="8" t="n">
        <v>8315</v>
      </c>
      <c r="K1834" s="8" t="n">
        <v>8165</v>
      </c>
      <c r="L1834" s="8" t="n">
        <v>621016</v>
      </c>
      <c r="M1834" s="8" t="n">
        <v>585274</v>
      </c>
      <c r="N1834" t="inlineStr">
        <is>
          <t>是</t>
        </is>
      </c>
    </row>
    <row r="1835">
      <c r="A1835" s="7" t="inlineStr">
        <is>
          <t>2015-02-02</t>
        </is>
      </c>
      <c r="B1835" s="8" t="n">
        <v>7364</v>
      </c>
      <c r="C1835" s="8" t="n">
        <v>7340</v>
      </c>
      <c r="D1835" s="8" t="n">
        <v>7405</v>
      </c>
      <c r="E1835" s="8" t="n">
        <v>7319</v>
      </c>
      <c r="F1835" s="8" t="n">
        <v>455496</v>
      </c>
      <c r="G1835" s="8" t="n">
        <v>378378</v>
      </c>
      <c r="H1835" s="8" t="n">
        <v>8375</v>
      </c>
      <c r="I1835" s="8" t="n">
        <v>8300</v>
      </c>
      <c r="J1835" s="8" t="n">
        <v>8420</v>
      </c>
      <c r="K1835" s="8" t="n">
        <v>8260</v>
      </c>
      <c r="L1835" s="8" t="n">
        <v>887414</v>
      </c>
      <c r="M1835" s="8" t="n">
        <v>611610</v>
      </c>
      <c r="N1835" t="inlineStr">
        <is>
          <t>是</t>
        </is>
      </c>
    </row>
    <row r="1836">
      <c r="A1836" s="7" t="inlineStr">
        <is>
          <t>2015-02-03</t>
        </is>
      </c>
      <c r="B1836" s="8" t="n">
        <v>7588</v>
      </c>
      <c r="C1836" s="8" t="n">
        <v>7450</v>
      </c>
      <c r="D1836" s="8" t="n">
        <v>7599</v>
      </c>
      <c r="E1836" s="8" t="n">
        <v>7435</v>
      </c>
      <c r="F1836" s="8" t="n">
        <v>671370</v>
      </c>
      <c r="G1836" s="8" t="n">
        <v>350898</v>
      </c>
      <c r="H1836" s="8" t="n">
        <v>8630</v>
      </c>
      <c r="I1836" s="8" t="n">
        <v>8435</v>
      </c>
      <c r="J1836" s="8" t="n">
        <v>8635</v>
      </c>
      <c r="K1836" s="8" t="n">
        <v>8435</v>
      </c>
      <c r="L1836" s="8" t="n">
        <v>1135554</v>
      </c>
      <c r="M1836" s="8" t="n">
        <v>616988</v>
      </c>
      <c r="N1836" t="inlineStr">
        <is>
          <t>是</t>
        </is>
      </c>
    </row>
    <row r="1837">
      <c r="A1837" s="7" t="inlineStr">
        <is>
          <t>2015-02-04</t>
        </is>
      </c>
      <c r="B1837" s="8" t="n">
        <v>7723</v>
      </c>
      <c r="C1837" s="8" t="n">
        <v>7650</v>
      </c>
      <c r="D1837" s="8" t="n">
        <v>7803</v>
      </c>
      <c r="E1837" s="8" t="n">
        <v>7641</v>
      </c>
      <c r="F1837" s="8" t="n">
        <v>716642</v>
      </c>
      <c r="G1837" s="8" t="n">
        <v>311828</v>
      </c>
      <c r="H1837" s="8" t="n">
        <v>8615</v>
      </c>
      <c r="I1837" s="8" t="n">
        <v>8730</v>
      </c>
      <c r="J1837" s="8" t="n">
        <v>8850</v>
      </c>
      <c r="K1837" s="8" t="n">
        <v>8610</v>
      </c>
      <c r="L1837" s="8" t="n">
        <v>1392350</v>
      </c>
      <c r="M1837" s="8" t="n">
        <v>536306</v>
      </c>
      <c r="N1837" t="inlineStr">
        <is>
          <t>是</t>
        </is>
      </c>
    </row>
    <row r="1838">
      <c r="A1838" s="7" t="inlineStr">
        <is>
          <t>2015-02-05</t>
        </is>
      </c>
      <c r="B1838" s="8" t="n">
        <v>7619</v>
      </c>
      <c r="C1838" s="8" t="n">
        <v>7600</v>
      </c>
      <c r="D1838" s="8" t="n">
        <v>7627</v>
      </c>
      <c r="E1838" s="8" t="n">
        <v>7555</v>
      </c>
      <c r="F1838" s="8" t="n">
        <v>431884</v>
      </c>
      <c r="G1838" s="8" t="n">
        <v>290712</v>
      </c>
      <c r="H1838" s="8" t="n">
        <v>8545</v>
      </c>
      <c r="I1838" s="8" t="n">
        <v>8485</v>
      </c>
      <c r="J1838" s="8" t="n">
        <v>8580</v>
      </c>
      <c r="K1838" s="8" t="n">
        <v>8480</v>
      </c>
      <c r="L1838" s="8" t="n">
        <v>732686</v>
      </c>
      <c r="M1838" s="8" t="n">
        <v>565020</v>
      </c>
      <c r="N1838" t="inlineStr">
        <is>
          <t>是</t>
        </is>
      </c>
    </row>
    <row r="1839">
      <c r="A1839" s="7" t="inlineStr">
        <is>
          <t>2015-02-06</t>
        </is>
      </c>
      <c r="B1839" s="8" t="n">
        <v>7846</v>
      </c>
      <c r="C1839" s="8" t="n">
        <v>7730</v>
      </c>
      <c r="D1839" s="8" t="n">
        <v>7856</v>
      </c>
      <c r="E1839" s="8" t="n">
        <v>7693</v>
      </c>
      <c r="F1839" s="8" t="n">
        <v>720726</v>
      </c>
      <c r="G1839" s="8" t="n">
        <v>312442</v>
      </c>
      <c r="H1839" s="8" t="n">
        <v>8850</v>
      </c>
      <c r="I1839" s="8" t="n">
        <v>8650</v>
      </c>
      <c r="J1839" s="8" t="n">
        <v>8860</v>
      </c>
      <c r="K1839" s="8" t="n">
        <v>8635</v>
      </c>
      <c r="L1839" s="8" t="n">
        <v>1311966</v>
      </c>
      <c r="M1839" s="8" t="n">
        <v>555284</v>
      </c>
      <c r="N1839" t="inlineStr">
        <is>
          <t>是</t>
        </is>
      </c>
    </row>
    <row r="1840">
      <c r="A1840" s="7" t="inlineStr">
        <is>
          <t>2015-02-09</t>
        </is>
      </c>
      <c r="B1840" s="8" t="n">
        <v>7776</v>
      </c>
      <c r="C1840" s="8" t="n">
        <v>7830</v>
      </c>
      <c r="D1840" s="8" t="n">
        <v>7842</v>
      </c>
      <c r="E1840" s="8" t="n">
        <v>7718</v>
      </c>
      <c r="F1840" s="8" t="n">
        <v>512586</v>
      </c>
      <c r="G1840" s="8" t="n">
        <v>307756</v>
      </c>
      <c r="H1840" s="8" t="n">
        <v>8805</v>
      </c>
      <c r="I1840" s="8" t="n">
        <v>8800</v>
      </c>
      <c r="J1840" s="8" t="n">
        <v>8820</v>
      </c>
      <c r="K1840" s="8" t="n">
        <v>8715</v>
      </c>
      <c r="L1840" s="8" t="n">
        <v>833018</v>
      </c>
      <c r="M1840" s="8" t="n">
        <v>556174</v>
      </c>
      <c r="N1840" t="inlineStr">
        <is>
          <t>是</t>
        </is>
      </c>
    </row>
    <row r="1841">
      <c r="A1841" s="7" t="inlineStr">
        <is>
          <t>2015-02-10</t>
        </is>
      </c>
      <c r="B1841" s="8" t="n">
        <v>7792</v>
      </c>
      <c r="C1841" s="8" t="n">
        <v>7770</v>
      </c>
      <c r="D1841" s="8" t="n">
        <v>7803</v>
      </c>
      <c r="E1841" s="8" t="n">
        <v>7720</v>
      </c>
      <c r="F1841" s="8" t="n">
        <v>409386</v>
      </c>
      <c r="G1841" s="8" t="n">
        <v>306070</v>
      </c>
      <c r="H1841" s="8" t="n">
        <v>8860</v>
      </c>
      <c r="I1841" s="8" t="n">
        <v>8765</v>
      </c>
      <c r="J1841" s="8" t="n">
        <v>8880</v>
      </c>
      <c r="K1841" s="8" t="n">
        <v>8755</v>
      </c>
      <c r="L1841" s="8" t="n">
        <v>825678</v>
      </c>
      <c r="M1841" s="8" t="n">
        <v>594322</v>
      </c>
      <c r="N1841" t="inlineStr">
        <is>
          <t>是</t>
        </is>
      </c>
    </row>
    <row r="1842">
      <c r="A1842" s="7" t="inlineStr">
        <is>
          <t>2015-02-11</t>
        </is>
      </c>
      <c r="B1842" s="8" t="n">
        <v>7817</v>
      </c>
      <c r="C1842" s="8" t="n">
        <v>7745</v>
      </c>
      <c r="D1842" s="8" t="n">
        <v>7832</v>
      </c>
      <c r="E1842" s="8" t="n">
        <v>7727</v>
      </c>
      <c r="F1842" s="8" t="n">
        <v>424152</v>
      </c>
      <c r="G1842" s="8" t="n">
        <v>316438</v>
      </c>
      <c r="H1842" s="8" t="n">
        <v>8910</v>
      </c>
      <c r="I1842" s="8" t="n">
        <v>8810</v>
      </c>
      <c r="J1842" s="8" t="n">
        <v>8945</v>
      </c>
      <c r="K1842" s="8" t="n">
        <v>8795</v>
      </c>
      <c r="L1842" s="8" t="n">
        <v>878898</v>
      </c>
      <c r="M1842" s="8" t="n">
        <v>634858</v>
      </c>
      <c r="N1842" t="inlineStr">
        <is>
          <t>是</t>
        </is>
      </c>
    </row>
    <row r="1843">
      <c r="A1843" s="7" t="inlineStr">
        <is>
          <t>2015-02-12</t>
        </is>
      </c>
      <c r="B1843" s="8" t="n">
        <v>7843</v>
      </c>
      <c r="C1843" s="8" t="n">
        <v>7800</v>
      </c>
      <c r="D1843" s="8" t="n">
        <v>7850</v>
      </c>
      <c r="E1843" s="8" t="n">
        <v>7751</v>
      </c>
      <c r="F1843" s="8" t="n">
        <v>421732</v>
      </c>
      <c r="G1843" s="8" t="n">
        <v>305188</v>
      </c>
      <c r="H1843" s="8" t="n">
        <v>8945</v>
      </c>
      <c r="I1843" s="8" t="n">
        <v>8890</v>
      </c>
      <c r="J1843" s="8" t="n">
        <v>8955</v>
      </c>
      <c r="K1843" s="8" t="n">
        <v>8845</v>
      </c>
      <c r="L1843" s="8" t="n">
        <v>754240</v>
      </c>
      <c r="M1843" s="8" t="n">
        <v>618950</v>
      </c>
      <c r="N1843" t="inlineStr">
        <is>
          <t>是</t>
        </is>
      </c>
    </row>
    <row r="1844">
      <c r="A1844" s="7" t="inlineStr">
        <is>
          <t>2015-02-13</t>
        </is>
      </c>
      <c r="B1844" s="8" t="n">
        <v>8109</v>
      </c>
      <c r="C1844" s="8" t="n">
        <v>7900</v>
      </c>
      <c r="D1844" s="8" t="n">
        <v>8109</v>
      </c>
      <c r="E1844" s="8" t="n">
        <v>7900</v>
      </c>
      <c r="F1844" s="8" t="n">
        <v>767140</v>
      </c>
      <c r="G1844" s="8" t="n">
        <v>297250</v>
      </c>
      <c r="H1844" s="8" t="n">
        <v>9155</v>
      </c>
      <c r="I1844" s="8" t="n">
        <v>9000</v>
      </c>
      <c r="J1844" s="8" t="n">
        <v>9205</v>
      </c>
      <c r="K1844" s="8" t="n">
        <v>8990</v>
      </c>
      <c r="L1844" s="8" t="n">
        <v>1326618</v>
      </c>
      <c r="M1844" s="8" t="n">
        <v>572348</v>
      </c>
      <c r="N1844" t="inlineStr">
        <is>
          <t>是</t>
        </is>
      </c>
    </row>
    <row r="1845">
      <c r="A1845" s="7" t="inlineStr">
        <is>
          <t>2015-02-16</t>
        </is>
      </c>
      <c r="B1845" s="8" t="n">
        <v>8204</v>
      </c>
      <c r="C1845" s="8" t="n">
        <v>8122</v>
      </c>
      <c r="D1845" s="8" t="n">
        <v>8207</v>
      </c>
      <c r="E1845" s="8" t="n">
        <v>8060</v>
      </c>
      <c r="F1845" s="8" t="n">
        <v>457112</v>
      </c>
      <c r="G1845" s="8" t="n">
        <v>242170</v>
      </c>
      <c r="H1845" s="8" t="n">
        <v>9225</v>
      </c>
      <c r="I1845" s="8" t="n">
        <v>9175</v>
      </c>
      <c r="J1845" s="8" t="n">
        <v>9245</v>
      </c>
      <c r="K1845" s="8" t="n">
        <v>9120</v>
      </c>
      <c r="L1845" s="8" t="n">
        <v>668340</v>
      </c>
      <c r="M1845" s="8" t="n">
        <v>503252</v>
      </c>
      <c r="N1845" t="inlineStr">
        <is>
          <t>是</t>
        </is>
      </c>
    </row>
    <row r="1846">
      <c r="A1846" s="7" t="inlineStr">
        <is>
          <t>2015-02-17</t>
        </is>
      </c>
      <c r="B1846" s="8" t="n">
        <v>8188</v>
      </c>
      <c r="C1846" s="8" t="n">
        <v>8182</v>
      </c>
      <c r="D1846" s="8" t="n">
        <v>8244</v>
      </c>
      <c r="E1846" s="8" t="n">
        <v>8120</v>
      </c>
      <c r="F1846" s="8" t="n">
        <v>329060</v>
      </c>
      <c r="G1846" s="8" t="n">
        <v>218304</v>
      </c>
      <c r="H1846" s="8" t="n">
        <v>9270</v>
      </c>
      <c r="I1846" s="8" t="n">
        <v>9230</v>
      </c>
      <c r="J1846" s="8" t="n">
        <v>9310</v>
      </c>
      <c r="K1846" s="8" t="n">
        <v>9155</v>
      </c>
      <c r="L1846" s="8" t="n">
        <v>482938</v>
      </c>
      <c r="M1846" s="8" t="n">
        <v>457040</v>
      </c>
      <c r="N1846" t="inlineStr">
        <is>
          <t>是</t>
        </is>
      </c>
    </row>
    <row r="1847">
      <c r="A1847" s="7" t="inlineStr">
        <is>
          <t>2015-02-25</t>
        </is>
      </c>
      <c r="B1847" s="8" t="n">
        <v>8887</v>
      </c>
      <c r="C1847" s="8" t="n">
        <v>9088</v>
      </c>
      <c r="D1847" s="8" t="n">
        <v>9088</v>
      </c>
      <c r="E1847" s="8" t="n">
        <v>8514</v>
      </c>
      <c r="F1847" s="8" t="n">
        <v>84</v>
      </c>
      <c r="G1847" s="8" t="n">
        <v>78</v>
      </c>
      <c r="H1847" s="8" t="n"/>
      <c r="I1847" s="8" t="n"/>
      <c r="J1847" s="8" t="n"/>
      <c r="K1847" s="8" t="n"/>
      <c r="L1847" s="8" t="n"/>
      <c r="M1847" s="8" t="n"/>
      <c r="N1847" s="9" t="inlineStr">
        <is>
          <t>否</t>
        </is>
      </c>
      <c r="O1847" t="inlineStr">
        <is>
          <t>缺 L</t>
        </is>
      </c>
    </row>
    <row r="1848">
      <c r="A1848" s="7" t="inlineStr">
        <is>
          <t>2015-02-26</t>
        </is>
      </c>
      <c r="B1848" s="8" t="n">
        <v>8396</v>
      </c>
      <c r="C1848" s="8" t="n">
        <v>8290</v>
      </c>
      <c r="D1848" s="8" t="n">
        <v>8398</v>
      </c>
      <c r="E1848" s="8" t="n">
        <v>8261</v>
      </c>
      <c r="F1848" s="8" t="n">
        <v>481504</v>
      </c>
      <c r="G1848" s="8" t="n">
        <v>222606</v>
      </c>
      <c r="H1848" s="8" t="n">
        <v>9490</v>
      </c>
      <c r="I1848" s="8" t="n">
        <v>9340</v>
      </c>
      <c r="J1848" s="8" t="n">
        <v>9500</v>
      </c>
      <c r="K1848" s="8" t="n">
        <v>9285</v>
      </c>
      <c r="L1848" s="8" t="n">
        <v>806708</v>
      </c>
      <c r="M1848" s="8" t="n">
        <v>570006</v>
      </c>
      <c r="N1848" t="inlineStr">
        <is>
          <t>是</t>
        </is>
      </c>
    </row>
    <row r="1849">
      <c r="A1849" s="7" t="inlineStr">
        <is>
          <t>2015-02-27</t>
        </is>
      </c>
      <c r="B1849" s="8" t="n">
        <v>8293</v>
      </c>
      <c r="C1849" s="8" t="n">
        <v>8330</v>
      </c>
      <c r="D1849" s="8" t="n">
        <v>8364</v>
      </c>
      <c r="E1849" s="8" t="n">
        <v>8173</v>
      </c>
      <c r="F1849" s="8" t="n">
        <v>821588</v>
      </c>
      <c r="G1849" s="8" t="n">
        <v>245664</v>
      </c>
      <c r="H1849" s="8" t="n">
        <v>9405</v>
      </c>
      <c r="I1849" s="8" t="n">
        <v>9430</v>
      </c>
      <c r="J1849" s="8" t="n">
        <v>9455</v>
      </c>
      <c r="K1849" s="8" t="n">
        <v>9330</v>
      </c>
      <c r="L1849" s="8" t="n">
        <v>827950</v>
      </c>
      <c r="M1849" s="8" t="n">
        <v>504824</v>
      </c>
      <c r="N1849" t="inlineStr">
        <is>
          <t>是</t>
        </is>
      </c>
    </row>
    <row r="1850">
      <c r="A1850" s="7" t="inlineStr">
        <is>
          <t>2015-03-02</t>
        </is>
      </c>
      <c r="B1850" s="8" t="n">
        <v>8532</v>
      </c>
      <c r="C1850" s="8" t="n">
        <v>8342</v>
      </c>
      <c r="D1850" s="8" t="n">
        <v>8601</v>
      </c>
      <c r="E1850" s="8" t="n">
        <v>8340</v>
      </c>
      <c r="F1850" s="8" t="n">
        <v>872478</v>
      </c>
      <c r="G1850" s="8" t="n">
        <v>261942</v>
      </c>
      <c r="H1850" s="8" t="n">
        <v>9645</v>
      </c>
      <c r="I1850" s="8" t="n">
        <v>9560</v>
      </c>
      <c r="J1850" s="8" t="n">
        <v>9710</v>
      </c>
      <c r="K1850" s="8" t="n">
        <v>9470</v>
      </c>
      <c r="L1850" s="8" t="n">
        <v>1266814</v>
      </c>
      <c r="M1850" s="8" t="n">
        <v>514240</v>
      </c>
      <c r="N1850" t="inlineStr">
        <is>
          <t>是</t>
        </is>
      </c>
    </row>
    <row r="1851">
      <c r="A1851" s="7" t="inlineStr">
        <is>
          <t>2015-03-03</t>
        </is>
      </c>
      <c r="B1851" s="8" t="n">
        <v>8446</v>
      </c>
      <c r="C1851" s="8" t="n">
        <v>8582</v>
      </c>
      <c r="D1851" s="8" t="n">
        <v>8590</v>
      </c>
      <c r="E1851" s="8" t="n">
        <v>8417</v>
      </c>
      <c r="F1851" s="8" t="n">
        <v>584510</v>
      </c>
      <c r="G1851" s="8" t="n">
        <v>237230</v>
      </c>
      <c r="H1851" s="8" t="n">
        <v>9515</v>
      </c>
      <c r="I1851" s="8" t="n">
        <v>9700</v>
      </c>
      <c r="J1851" s="8" t="n">
        <v>9715</v>
      </c>
      <c r="K1851" s="8" t="n">
        <v>9490</v>
      </c>
      <c r="L1851" s="8" t="n">
        <v>1163208</v>
      </c>
      <c r="M1851" s="8" t="n">
        <v>442638</v>
      </c>
      <c r="N1851" t="inlineStr">
        <is>
          <t>是</t>
        </is>
      </c>
    </row>
    <row r="1852">
      <c r="A1852" s="7" t="inlineStr">
        <is>
          <t>2015-03-04</t>
        </is>
      </c>
      <c r="B1852" s="8" t="n">
        <v>8439</v>
      </c>
      <c r="C1852" s="8" t="n">
        <v>8460</v>
      </c>
      <c r="D1852" s="8" t="n">
        <v>8468</v>
      </c>
      <c r="E1852" s="8" t="n">
        <v>8320</v>
      </c>
      <c r="F1852" s="8" t="n">
        <v>663964</v>
      </c>
      <c r="G1852" s="8" t="n">
        <v>259408</v>
      </c>
      <c r="H1852" s="8" t="n">
        <v>9540</v>
      </c>
      <c r="I1852" s="8" t="n">
        <v>9525</v>
      </c>
      <c r="J1852" s="8" t="n">
        <v>9595</v>
      </c>
      <c r="K1852" s="8" t="n">
        <v>9435</v>
      </c>
      <c r="L1852" s="8" t="n">
        <v>952588</v>
      </c>
      <c r="M1852" s="8" t="n">
        <v>449146</v>
      </c>
      <c r="N1852" t="inlineStr">
        <is>
          <t>是</t>
        </is>
      </c>
    </row>
    <row r="1853">
      <c r="A1853" s="7" t="inlineStr">
        <is>
          <t>2015-03-05</t>
        </is>
      </c>
      <c r="B1853" s="8" t="n">
        <v>8255</v>
      </c>
      <c r="C1853" s="8" t="n">
        <v>8360</v>
      </c>
      <c r="D1853" s="8" t="n">
        <v>8392</v>
      </c>
      <c r="E1853" s="8" t="n">
        <v>8176</v>
      </c>
      <c r="F1853" s="8" t="n">
        <v>801850</v>
      </c>
      <c r="G1853" s="8" t="n">
        <v>253400</v>
      </c>
      <c r="H1853" s="8" t="n">
        <v>9370</v>
      </c>
      <c r="I1853" s="8" t="n">
        <v>9440</v>
      </c>
      <c r="J1853" s="8" t="n">
        <v>9510</v>
      </c>
      <c r="K1853" s="8" t="n">
        <v>9285</v>
      </c>
      <c r="L1853" s="8" t="n">
        <v>1178868</v>
      </c>
      <c r="M1853" s="8" t="n">
        <v>403184</v>
      </c>
      <c r="N1853" t="inlineStr">
        <is>
          <t>是</t>
        </is>
      </c>
    </row>
    <row r="1854">
      <c r="A1854" s="7" t="inlineStr">
        <is>
          <t>2015-03-06</t>
        </is>
      </c>
      <c r="B1854" s="8" t="n">
        <v>8190</v>
      </c>
      <c r="C1854" s="8" t="n">
        <v>8250</v>
      </c>
      <c r="D1854" s="8" t="n">
        <v>8264</v>
      </c>
      <c r="E1854" s="8" t="n">
        <v>8152</v>
      </c>
      <c r="F1854" s="8" t="n">
        <v>507550</v>
      </c>
      <c r="G1854" s="8" t="n">
        <v>250246</v>
      </c>
      <c r="H1854" s="8" t="n">
        <v>9350</v>
      </c>
      <c r="I1854" s="8" t="n">
        <v>9380</v>
      </c>
      <c r="J1854" s="8" t="n">
        <v>9380</v>
      </c>
      <c r="K1854" s="8" t="n">
        <v>9275</v>
      </c>
      <c r="L1854" s="8" t="n">
        <v>600714</v>
      </c>
      <c r="M1854" s="8" t="n">
        <v>420522</v>
      </c>
      <c r="N1854" t="inlineStr">
        <is>
          <t>是</t>
        </is>
      </c>
    </row>
    <row r="1855">
      <c r="A1855" s="7" t="inlineStr">
        <is>
          <t>2015-03-09</t>
        </is>
      </c>
      <c r="B1855" s="8" t="n">
        <v>8108</v>
      </c>
      <c r="C1855" s="8" t="n">
        <v>8100</v>
      </c>
      <c r="D1855" s="8" t="n">
        <v>8143</v>
      </c>
      <c r="E1855" s="8" t="n">
        <v>7999</v>
      </c>
      <c r="F1855" s="8" t="n">
        <v>579606</v>
      </c>
      <c r="G1855" s="8" t="n">
        <v>238176</v>
      </c>
      <c r="H1855" s="8" t="n">
        <v>9310</v>
      </c>
      <c r="I1855" s="8" t="n">
        <v>9275</v>
      </c>
      <c r="J1855" s="8" t="n">
        <v>9340</v>
      </c>
      <c r="K1855" s="8" t="n">
        <v>9160</v>
      </c>
      <c r="L1855" s="8" t="n">
        <v>882212</v>
      </c>
      <c r="M1855" s="8" t="n">
        <v>400038</v>
      </c>
      <c r="N1855" t="inlineStr">
        <is>
          <t>是</t>
        </is>
      </c>
    </row>
    <row r="1856">
      <c r="A1856" s="7" t="inlineStr">
        <is>
          <t>2015-03-10</t>
        </is>
      </c>
      <c r="B1856" s="8" t="n">
        <v>8076</v>
      </c>
      <c r="C1856" s="8" t="n">
        <v>8112</v>
      </c>
      <c r="D1856" s="8" t="n">
        <v>8163</v>
      </c>
      <c r="E1856" s="8" t="n">
        <v>8071</v>
      </c>
      <c r="F1856" s="8" t="n">
        <v>476754</v>
      </c>
      <c r="G1856" s="8" t="n">
        <v>244400</v>
      </c>
      <c r="H1856" s="8" t="n">
        <v>9305</v>
      </c>
      <c r="I1856" s="8" t="n">
        <v>9305</v>
      </c>
      <c r="J1856" s="8" t="n">
        <v>9365</v>
      </c>
      <c r="K1856" s="8" t="n">
        <v>9260</v>
      </c>
      <c r="L1856" s="8" t="n">
        <v>900402</v>
      </c>
      <c r="M1856" s="8" t="n">
        <v>381598</v>
      </c>
      <c r="N1856" t="inlineStr">
        <is>
          <t>是</t>
        </is>
      </c>
    </row>
    <row r="1857">
      <c r="A1857" s="7" t="inlineStr">
        <is>
          <t>2015-03-11</t>
        </is>
      </c>
      <c r="B1857" s="8" t="n">
        <v>7931</v>
      </c>
      <c r="C1857" s="8" t="n">
        <v>8018</v>
      </c>
      <c r="D1857" s="8" t="n">
        <v>8060</v>
      </c>
      <c r="E1857" s="8" t="n">
        <v>7931</v>
      </c>
      <c r="F1857" s="8" t="n">
        <v>550380</v>
      </c>
      <c r="G1857" s="8" t="n">
        <v>266110</v>
      </c>
      <c r="H1857" s="8" t="n">
        <v>9125</v>
      </c>
      <c r="I1857" s="8" t="n">
        <v>9250</v>
      </c>
      <c r="J1857" s="8" t="n">
        <v>9285</v>
      </c>
      <c r="K1857" s="8" t="n">
        <v>9120</v>
      </c>
      <c r="L1857" s="8" t="n">
        <v>891356</v>
      </c>
      <c r="M1857" s="8" t="n">
        <v>366864</v>
      </c>
      <c r="N1857" t="inlineStr">
        <is>
          <t>是</t>
        </is>
      </c>
    </row>
    <row r="1858">
      <c r="A1858" s="7" t="inlineStr">
        <is>
          <t>2015-03-12</t>
        </is>
      </c>
      <c r="B1858" s="8" t="n">
        <v>8281</v>
      </c>
      <c r="C1858" s="8" t="n">
        <v>7940</v>
      </c>
      <c r="D1858" s="8" t="n">
        <v>8285</v>
      </c>
      <c r="E1858" s="8" t="n">
        <v>7935</v>
      </c>
      <c r="F1858" s="8" t="n">
        <v>894976</v>
      </c>
      <c r="G1858" s="8" t="n">
        <v>251744</v>
      </c>
      <c r="H1858" s="8" t="n">
        <v>9485</v>
      </c>
      <c r="I1858" s="8" t="n">
        <v>9130</v>
      </c>
      <c r="J1858" s="8" t="n">
        <v>9490</v>
      </c>
      <c r="K1858" s="8" t="n">
        <v>9130</v>
      </c>
      <c r="L1858" s="8" t="n">
        <v>1229520</v>
      </c>
      <c r="M1858" s="8" t="n">
        <v>352868</v>
      </c>
      <c r="N1858" t="inlineStr">
        <is>
          <t>是</t>
        </is>
      </c>
    </row>
    <row r="1859">
      <c r="A1859" s="7" t="inlineStr">
        <is>
          <t>2015-03-13</t>
        </is>
      </c>
      <c r="B1859" s="8" t="n">
        <v>8358</v>
      </c>
      <c r="C1859" s="8" t="n">
        <v>8248</v>
      </c>
      <c r="D1859" s="8" t="n">
        <v>8377</v>
      </c>
      <c r="E1859" s="8" t="n">
        <v>8209</v>
      </c>
      <c r="F1859" s="8" t="n">
        <v>950650</v>
      </c>
      <c r="G1859" s="8" t="n">
        <v>221716</v>
      </c>
      <c r="H1859" s="8" t="n">
        <v>9425</v>
      </c>
      <c r="I1859" s="8" t="n">
        <v>9450</v>
      </c>
      <c r="J1859" s="8" t="n">
        <v>9465</v>
      </c>
      <c r="K1859" s="8" t="n">
        <v>9340</v>
      </c>
      <c r="L1859" s="8" t="n">
        <v>761066</v>
      </c>
      <c r="M1859" s="8" t="n">
        <v>334830</v>
      </c>
      <c r="N1859" t="inlineStr">
        <is>
          <t>是</t>
        </is>
      </c>
    </row>
    <row r="1860">
      <c r="A1860" s="7" t="inlineStr">
        <is>
          <t>2015-03-16</t>
        </is>
      </c>
      <c r="B1860" s="8" t="n">
        <v>8006</v>
      </c>
      <c r="C1860" s="8" t="n">
        <v>7900</v>
      </c>
      <c r="D1860" s="8" t="n">
        <v>8035</v>
      </c>
      <c r="E1860" s="8" t="n">
        <v>7809</v>
      </c>
      <c r="F1860" s="8" t="n">
        <v>334518</v>
      </c>
      <c r="G1860" s="8" t="n">
        <v>258872</v>
      </c>
      <c r="H1860" s="8" t="n">
        <v>9325</v>
      </c>
      <c r="I1860" s="8" t="n">
        <v>9275</v>
      </c>
      <c r="J1860" s="8" t="n">
        <v>9370</v>
      </c>
      <c r="K1860" s="8" t="n">
        <v>9185</v>
      </c>
      <c r="L1860" s="8" t="n">
        <v>778730</v>
      </c>
      <c r="M1860" s="8" t="n">
        <v>308044</v>
      </c>
      <c r="N1860" t="inlineStr">
        <is>
          <t>是</t>
        </is>
      </c>
    </row>
    <row r="1861">
      <c r="A1861" s="7" t="inlineStr">
        <is>
          <t>2015-03-17</t>
        </is>
      </c>
      <c r="B1861" s="8" t="n">
        <v>8426</v>
      </c>
      <c r="C1861" s="8" t="n">
        <v>8420</v>
      </c>
      <c r="D1861" s="8" t="n">
        <v>8483</v>
      </c>
      <c r="E1861" s="8" t="n">
        <v>8350</v>
      </c>
      <c r="F1861" s="8" t="n">
        <v>1159624</v>
      </c>
      <c r="G1861" s="8" t="n">
        <v>243250</v>
      </c>
      <c r="H1861" s="8" t="n">
        <v>9465</v>
      </c>
      <c r="I1861" s="8" t="n">
        <v>9330</v>
      </c>
      <c r="J1861" s="8" t="n">
        <v>9480</v>
      </c>
      <c r="K1861" s="8" t="n">
        <v>9310</v>
      </c>
      <c r="L1861" s="8" t="n">
        <v>858800</v>
      </c>
      <c r="M1861" s="8" t="n">
        <v>304606</v>
      </c>
      <c r="N1861" t="inlineStr">
        <is>
          <t>是</t>
        </is>
      </c>
    </row>
    <row r="1862">
      <c r="A1862" s="7" t="inlineStr">
        <is>
          <t>2015-03-18</t>
        </is>
      </c>
      <c r="B1862" s="8" t="n">
        <v>7757</v>
      </c>
      <c r="C1862" s="8" t="n">
        <v>7940</v>
      </c>
      <c r="D1862" s="8" t="n">
        <v>7980</v>
      </c>
      <c r="E1862" s="8" t="n">
        <v>7756</v>
      </c>
      <c r="F1862" s="8" t="n">
        <v>412706</v>
      </c>
      <c r="G1862" s="8" t="n">
        <v>303854</v>
      </c>
      <c r="H1862" s="8" t="n">
        <v>8845</v>
      </c>
      <c r="I1862" s="8" t="n">
        <v>9070</v>
      </c>
      <c r="J1862" s="8" t="n">
        <v>9125</v>
      </c>
      <c r="K1862" s="8" t="n">
        <v>8840</v>
      </c>
      <c r="L1862" s="8" t="n">
        <v>694364</v>
      </c>
      <c r="M1862" s="8" t="n">
        <v>325258</v>
      </c>
      <c r="N1862" t="inlineStr">
        <is>
          <t>是</t>
        </is>
      </c>
    </row>
    <row r="1863">
      <c r="A1863" s="7" t="inlineStr">
        <is>
          <t>2015-03-19</t>
        </is>
      </c>
      <c r="B1863" s="8" t="n">
        <v>7849</v>
      </c>
      <c r="C1863" s="8" t="n">
        <v>7878</v>
      </c>
      <c r="D1863" s="8" t="n">
        <v>7946</v>
      </c>
      <c r="E1863" s="8" t="n">
        <v>7802</v>
      </c>
      <c r="F1863" s="8" t="n">
        <v>382784</v>
      </c>
      <c r="G1863" s="8" t="n">
        <v>303718</v>
      </c>
      <c r="H1863" s="8" t="n">
        <v>8890</v>
      </c>
      <c r="I1863" s="8" t="n">
        <v>8990</v>
      </c>
      <c r="J1863" s="8" t="n">
        <v>9080</v>
      </c>
      <c r="K1863" s="8" t="n">
        <v>8855</v>
      </c>
      <c r="L1863" s="8" t="n">
        <v>711632</v>
      </c>
      <c r="M1863" s="8" t="n">
        <v>338418</v>
      </c>
      <c r="N1863" t="inlineStr">
        <is>
          <t>是</t>
        </is>
      </c>
    </row>
    <row r="1864">
      <c r="A1864" s="7" t="inlineStr">
        <is>
          <t>2015-03-20</t>
        </is>
      </c>
      <c r="B1864" s="8" t="n">
        <v>7872</v>
      </c>
      <c r="C1864" s="8" t="n">
        <v>7898</v>
      </c>
      <c r="D1864" s="8" t="n">
        <v>7960</v>
      </c>
      <c r="E1864" s="8" t="n">
        <v>7828</v>
      </c>
      <c r="F1864" s="8" t="n">
        <v>335316</v>
      </c>
      <c r="G1864" s="8" t="n">
        <v>295150</v>
      </c>
      <c r="H1864" s="8" t="n">
        <v>8895</v>
      </c>
      <c r="I1864" s="8" t="n">
        <v>8955</v>
      </c>
      <c r="J1864" s="8" t="n">
        <v>9010</v>
      </c>
      <c r="K1864" s="8" t="n">
        <v>8855</v>
      </c>
      <c r="L1864" s="8" t="n">
        <v>729456</v>
      </c>
      <c r="M1864" s="8" t="n">
        <v>349612</v>
      </c>
      <c r="N1864" t="inlineStr">
        <is>
          <t>是</t>
        </is>
      </c>
    </row>
    <row r="1865">
      <c r="A1865" s="7" t="inlineStr">
        <is>
          <t>2015-03-23</t>
        </is>
      </c>
      <c r="B1865" s="8" t="n">
        <v>8155</v>
      </c>
      <c r="C1865" s="8" t="n">
        <v>8000</v>
      </c>
      <c r="D1865" s="8" t="n">
        <v>8190</v>
      </c>
      <c r="E1865" s="8" t="n">
        <v>7965</v>
      </c>
      <c r="F1865" s="8" t="n">
        <v>467886</v>
      </c>
      <c r="G1865" s="8" t="n">
        <v>316526</v>
      </c>
      <c r="H1865" s="8" t="n">
        <v>9285</v>
      </c>
      <c r="I1865" s="8" t="n">
        <v>9030</v>
      </c>
      <c r="J1865" s="8" t="n">
        <v>9285</v>
      </c>
      <c r="K1865" s="8" t="n">
        <v>9025</v>
      </c>
      <c r="L1865" s="8" t="n">
        <v>964674</v>
      </c>
      <c r="M1865" s="8" t="n">
        <v>377902</v>
      </c>
      <c r="N1865" t="inlineStr">
        <is>
          <t>是</t>
        </is>
      </c>
    </row>
    <row r="1866">
      <c r="A1866" s="7" t="inlineStr">
        <is>
          <t>2015-03-24</t>
        </is>
      </c>
      <c r="B1866" s="8" t="n">
        <v>8233</v>
      </c>
      <c r="C1866" s="8" t="n">
        <v>8290</v>
      </c>
      <c r="D1866" s="8" t="n">
        <v>8355</v>
      </c>
      <c r="E1866" s="8" t="n">
        <v>8136</v>
      </c>
      <c r="F1866" s="8" t="n">
        <v>667844</v>
      </c>
      <c r="G1866" s="8" t="n">
        <v>336008</v>
      </c>
      <c r="H1866" s="8" t="n">
        <v>9565</v>
      </c>
      <c r="I1866" s="8" t="n">
        <v>9495</v>
      </c>
      <c r="J1866" s="8" t="n">
        <v>9615</v>
      </c>
      <c r="K1866" s="8" t="n">
        <v>9440</v>
      </c>
      <c r="L1866" s="8" t="n">
        <v>1191982</v>
      </c>
      <c r="M1866" s="8" t="n">
        <v>413824</v>
      </c>
      <c r="N1866" t="inlineStr">
        <is>
          <t>是</t>
        </is>
      </c>
    </row>
    <row r="1867">
      <c r="A1867" s="7" t="inlineStr">
        <is>
          <t>2015-03-25</t>
        </is>
      </c>
      <c r="B1867" s="8" t="n">
        <v>8176</v>
      </c>
      <c r="C1867" s="8" t="n">
        <v>8201</v>
      </c>
      <c r="D1867" s="8" t="n">
        <v>8250</v>
      </c>
      <c r="E1867" s="8" t="n">
        <v>8161</v>
      </c>
      <c r="F1867" s="8" t="n">
        <v>616610</v>
      </c>
      <c r="G1867" s="8" t="n">
        <v>364448</v>
      </c>
      <c r="H1867" s="8" t="n">
        <v>9525</v>
      </c>
      <c r="I1867" s="8" t="n">
        <v>9545</v>
      </c>
      <c r="J1867" s="8" t="n">
        <v>9630</v>
      </c>
      <c r="K1867" s="8" t="n">
        <v>9495</v>
      </c>
      <c r="L1867" s="8" t="n">
        <v>1106536</v>
      </c>
      <c r="M1867" s="8" t="n">
        <v>441416</v>
      </c>
      <c r="N1867" t="inlineStr">
        <is>
          <t>是</t>
        </is>
      </c>
    </row>
    <row r="1868">
      <c r="A1868" s="7" t="inlineStr">
        <is>
          <t>2015-03-26</t>
        </is>
      </c>
      <c r="B1868" s="8" t="n">
        <v>8260</v>
      </c>
      <c r="C1868" s="8" t="n">
        <v>8300</v>
      </c>
      <c r="D1868" s="8" t="n">
        <v>8325</v>
      </c>
      <c r="E1868" s="8" t="n">
        <v>8154</v>
      </c>
      <c r="F1868" s="8" t="n">
        <v>850792</v>
      </c>
      <c r="G1868" s="8" t="n">
        <v>393994</v>
      </c>
      <c r="H1868" s="8" t="n">
        <v>9675</v>
      </c>
      <c r="I1868" s="8" t="n">
        <v>9680</v>
      </c>
      <c r="J1868" s="8" t="n">
        <v>9720</v>
      </c>
      <c r="K1868" s="8" t="n">
        <v>9550</v>
      </c>
      <c r="L1868" s="8" t="n">
        <v>1127056</v>
      </c>
      <c r="M1868" s="8" t="n">
        <v>451592</v>
      </c>
      <c r="N1868" t="inlineStr">
        <is>
          <t>是</t>
        </is>
      </c>
    </row>
    <row r="1869">
      <c r="A1869" s="7" t="inlineStr">
        <is>
          <t>2015-03-27</t>
        </is>
      </c>
      <c r="B1869" s="8" t="n">
        <v>8255</v>
      </c>
      <c r="C1869" s="8" t="n">
        <v>8202</v>
      </c>
      <c r="D1869" s="8" t="n">
        <v>8274</v>
      </c>
      <c r="E1869" s="8" t="n">
        <v>8151</v>
      </c>
      <c r="F1869" s="8" t="n">
        <v>706858</v>
      </c>
      <c r="G1869" s="8" t="n">
        <v>383118</v>
      </c>
      <c r="H1869" s="8" t="n">
        <v>9675</v>
      </c>
      <c r="I1869" s="8" t="n">
        <v>9625</v>
      </c>
      <c r="J1869" s="8" t="n">
        <v>9685</v>
      </c>
      <c r="K1869" s="8" t="n">
        <v>9510</v>
      </c>
      <c r="L1869" s="8" t="n">
        <v>949380</v>
      </c>
      <c r="M1869" s="8" t="n">
        <v>471492</v>
      </c>
      <c r="N1869" t="inlineStr">
        <is>
          <t>是</t>
        </is>
      </c>
    </row>
    <row r="1870">
      <c r="A1870" s="7" t="inlineStr">
        <is>
          <t>2015-03-30</t>
        </is>
      </c>
      <c r="B1870" s="8" t="n">
        <v>8219</v>
      </c>
      <c r="C1870" s="8" t="n">
        <v>8182</v>
      </c>
      <c r="D1870" s="8" t="n">
        <v>8262</v>
      </c>
      <c r="E1870" s="8" t="n">
        <v>8126</v>
      </c>
      <c r="F1870" s="8" t="n">
        <v>602048</v>
      </c>
      <c r="G1870" s="8" t="n">
        <v>398592</v>
      </c>
      <c r="H1870" s="8" t="n">
        <v>9715</v>
      </c>
      <c r="I1870" s="8" t="n">
        <v>9590</v>
      </c>
      <c r="J1870" s="8" t="n">
        <v>9715</v>
      </c>
      <c r="K1870" s="8" t="n">
        <v>9555</v>
      </c>
      <c r="L1870" s="8" t="n">
        <v>904790</v>
      </c>
      <c r="M1870" s="8" t="n">
        <v>498938</v>
      </c>
      <c r="N1870" t="inlineStr">
        <is>
          <t>是</t>
        </is>
      </c>
    </row>
    <row r="1871">
      <c r="A1871" s="7" t="inlineStr">
        <is>
          <t>2015-03-31</t>
        </is>
      </c>
      <c r="B1871" s="8" t="n">
        <v>8233</v>
      </c>
      <c r="C1871" s="8" t="n">
        <v>8240</v>
      </c>
      <c r="D1871" s="8" t="n">
        <v>8298</v>
      </c>
      <c r="E1871" s="8" t="n">
        <v>8202</v>
      </c>
      <c r="F1871" s="8" t="n">
        <v>571614</v>
      </c>
      <c r="G1871" s="8" t="n">
        <v>403422</v>
      </c>
      <c r="H1871" s="8" t="n">
        <v>9650</v>
      </c>
      <c r="I1871" s="8" t="n">
        <v>9740</v>
      </c>
      <c r="J1871" s="8" t="n">
        <v>9805</v>
      </c>
      <c r="K1871" s="8" t="n">
        <v>9650</v>
      </c>
      <c r="L1871" s="8" t="n">
        <v>1184812</v>
      </c>
      <c r="M1871" s="8" t="n">
        <v>481116</v>
      </c>
      <c r="N1871" t="inlineStr">
        <is>
          <t>是</t>
        </is>
      </c>
    </row>
    <row r="1872">
      <c r="A1872" s="7" t="inlineStr">
        <is>
          <t>2015-04-01</t>
        </is>
      </c>
      <c r="B1872" s="8" t="n">
        <v>8377</v>
      </c>
      <c r="C1872" s="8" t="n">
        <v>8180</v>
      </c>
      <c r="D1872" s="8" t="n">
        <v>8397</v>
      </c>
      <c r="E1872" s="8" t="n">
        <v>8160</v>
      </c>
      <c r="F1872" s="8" t="n">
        <v>878208</v>
      </c>
      <c r="G1872" s="8" t="n">
        <v>419150</v>
      </c>
      <c r="H1872" s="8" t="n">
        <v>9775</v>
      </c>
      <c r="I1872" s="8" t="n">
        <v>9620</v>
      </c>
      <c r="J1872" s="8" t="n">
        <v>9780</v>
      </c>
      <c r="K1872" s="8" t="n">
        <v>9555</v>
      </c>
      <c r="L1872" s="8" t="n">
        <v>981790</v>
      </c>
      <c r="M1872" s="8" t="n">
        <v>491932</v>
      </c>
      <c r="N1872" t="inlineStr">
        <is>
          <t>是</t>
        </is>
      </c>
    </row>
    <row r="1873">
      <c r="A1873" s="7" t="inlineStr">
        <is>
          <t>2015-04-02</t>
        </is>
      </c>
      <c r="B1873" s="8" t="n">
        <v>8466</v>
      </c>
      <c r="C1873" s="8" t="n">
        <v>8500</v>
      </c>
      <c r="D1873" s="8" t="n">
        <v>8516</v>
      </c>
      <c r="E1873" s="8" t="n">
        <v>8421</v>
      </c>
      <c r="F1873" s="8" t="n">
        <v>761786</v>
      </c>
      <c r="G1873" s="8" t="n">
        <v>443512</v>
      </c>
      <c r="H1873" s="8" t="n">
        <v>9875</v>
      </c>
      <c r="I1873" s="8" t="n">
        <v>9900</v>
      </c>
      <c r="J1873" s="8" t="n">
        <v>9935</v>
      </c>
      <c r="K1873" s="8" t="n">
        <v>9805</v>
      </c>
      <c r="L1873" s="8" t="n">
        <v>1002908</v>
      </c>
      <c r="M1873" s="8" t="n">
        <v>484498</v>
      </c>
      <c r="N1873" t="inlineStr">
        <is>
          <t>是</t>
        </is>
      </c>
    </row>
    <row r="1874">
      <c r="A1874" s="7" t="inlineStr">
        <is>
          <t>2015-04-03</t>
        </is>
      </c>
      <c r="B1874" s="8" t="n">
        <v>8158</v>
      </c>
      <c r="C1874" s="8" t="n">
        <v>8450</v>
      </c>
      <c r="D1874" s="8" t="n">
        <v>8456</v>
      </c>
      <c r="E1874" s="8" t="n">
        <v>8122</v>
      </c>
      <c r="F1874" s="8" t="n">
        <v>1258298</v>
      </c>
      <c r="G1874" s="8" t="n">
        <v>456070</v>
      </c>
      <c r="H1874" s="8" t="n">
        <v>9515</v>
      </c>
      <c r="I1874" s="8" t="n">
        <v>9850</v>
      </c>
      <c r="J1874" s="8" t="n">
        <v>9850</v>
      </c>
      <c r="K1874" s="8" t="n">
        <v>9470</v>
      </c>
      <c r="L1874" s="8" t="n">
        <v>1429202</v>
      </c>
      <c r="M1874" s="8" t="n">
        <v>481258</v>
      </c>
      <c r="N1874" t="inlineStr">
        <is>
          <t>是</t>
        </is>
      </c>
    </row>
    <row r="1875">
      <c r="A1875" s="7" t="inlineStr">
        <is>
          <t>2015-04-07</t>
        </is>
      </c>
      <c r="B1875" s="8" t="n">
        <v>8228</v>
      </c>
      <c r="C1875" s="8" t="n">
        <v>8300</v>
      </c>
      <c r="D1875" s="8" t="n">
        <v>8308</v>
      </c>
      <c r="E1875" s="8" t="n">
        <v>8186</v>
      </c>
      <c r="F1875" s="8" t="n">
        <v>598384</v>
      </c>
      <c r="G1875" s="8" t="n">
        <v>449724</v>
      </c>
      <c r="H1875" s="8" t="n">
        <v>9515</v>
      </c>
      <c r="I1875" s="8" t="n">
        <v>9645</v>
      </c>
      <c r="J1875" s="8" t="n">
        <v>9675</v>
      </c>
      <c r="K1875" s="8" t="n">
        <v>9480</v>
      </c>
      <c r="L1875" s="8" t="n">
        <v>951034</v>
      </c>
      <c r="M1875" s="8" t="n">
        <v>488366</v>
      </c>
      <c r="N1875" t="inlineStr">
        <is>
          <t>是</t>
        </is>
      </c>
    </row>
    <row r="1876">
      <c r="A1876" s="7" t="inlineStr">
        <is>
          <t>2015-04-08</t>
        </is>
      </c>
      <c r="B1876" s="8" t="n">
        <v>8394</v>
      </c>
      <c r="C1876" s="8" t="n">
        <v>8254</v>
      </c>
      <c r="D1876" s="8" t="n">
        <v>8488</v>
      </c>
      <c r="E1876" s="8" t="n">
        <v>8232</v>
      </c>
      <c r="F1876" s="8" t="n">
        <v>1162138</v>
      </c>
      <c r="G1876" s="8" t="n">
        <v>395174</v>
      </c>
      <c r="H1876" s="8" t="n">
        <v>9580</v>
      </c>
      <c r="I1876" s="8" t="n">
        <v>9550</v>
      </c>
      <c r="J1876" s="8" t="n">
        <v>9680</v>
      </c>
      <c r="K1876" s="8" t="n">
        <v>9455</v>
      </c>
      <c r="L1876" s="8" t="n">
        <v>1348240</v>
      </c>
      <c r="M1876" s="8" t="n">
        <v>454404</v>
      </c>
      <c r="N1876" t="inlineStr">
        <is>
          <t>是</t>
        </is>
      </c>
    </row>
    <row r="1877">
      <c r="A1877" s="7" t="inlineStr">
        <is>
          <t>2015-04-09</t>
        </is>
      </c>
      <c r="B1877" s="8" t="n">
        <v>8305</v>
      </c>
      <c r="C1877" s="8" t="n">
        <v>8302</v>
      </c>
      <c r="D1877" s="8" t="n">
        <v>8345</v>
      </c>
      <c r="E1877" s="8" t="n">
        <v>8221</v>
      </c>
      <c r="F1877" s="8" t="n">
        <v>745280</v>
      </c>
      <c r="G1877" s="8" t="n">
        <v>394348</v>
      </c>
      <c r="H1877" s="8" t="n">
        <v>9460</v>
      </c>
      <c r="I1877" s="8" t="n">
        <v>9480</v>
      </c>
      <c r="J1877" s="8" t="n">
        <v>9530</v>
      </c>
      <c r="K1877" s="8" t="n">
        <v>9380</v>
      </c>
      <c r="L1877" s="8" t="n">
        <v>1008978</v>
      </c>
      <c r="M1877" s="8" t="n">
        <v>465456</v>
      </c>
      <c r="N1877" t="inlineStr">
        <is>
          <t>是</t>
        </is>
      </c>
    </row>
    <row r="1878">
      <c r="A1878" s="7" t="inlineStr">
        <is>
          <t>2015-04-10</t>
        </is>
      </c>
      <c r="B1878" s="8" t="n">
        <v>8335</v>
      </c>
      <c r="C1878" s="8" t="n">
        <v>8289</v>
      </c>
      <c r="D1878" s="8" t="n">
        <v>8383</v>
      </c>
      <c r="E1878" s="8" t="n">
        <v>8260</v>
      </c>
      <c r="F1878" s="8" t="n">
        <v>748738</v>
      </c>
      <c r="G1878" s="8" t="n">
        <v>405286</v>
      </c>
      <c r="H1878" s="8" t="n">
        <v>9430</v>
      </c>
      <c r="I1878" s="8" t="n">
        <v>9450</v>
      </c>
      <c r="J1878" s="8" t="n">
        <v>9505</v>
      </c>
      <c r="K1878" s="8" t="n">
        <v>9360</v>
      </c>
      <c r="L1878" s="8" t="n">
        <v>756874</v>
      </c>
      <c r="M1878" s="8" t="n">
        <v>460646</v>
      </c>
      <c r="N1878" t="inlineStr">
        <is>
          <t>是</t>
        </is>
      </c>
    </row>
    <row r="1879">
      <c r="A1879" s="7" t="inlineStr">
        <is>
          <t>2015-04-13</t>
        </is>
      </c>
      <c r="B1879" s="8" t="n">
        <v>8391</v>
      </c>
      <c r="C1879" s="8" t="n">
        <v>8380</v>
      </c>
      <c r="D1879" s="8" t="n">
        <v>8510</v>
      </c>
      <c r="E1879" s="8" t="n">
        <v>8355</v>
      </c>
      <c r="F1879" s="8" t="n">
        <v>798370</v>
      </c>
      <c r="G1879" s="8" t="n">
        <v>438058</v>
      </c>
      <c r="H1879" s="8" t="n">
        <v>9450</v>
      </c>
      <c r="I1879" s="8" t="n">
        <v>9460</v>
      </c>
      <c r="J1879" s="8" t="n">
        <v>9565</v>
      </c>
      <c r="K1879" s="8" t="n">
        <v>9395</v>
      </c>
      <c r="L1879" s="8" t="n">
        <v>754714</v>
      </c>
      <c r="M1879" s="8" t="n">
        <v>454914</v>
      </c>
      <c r="N1879" t="inlineStr">
        <is>
          <t>是</t>
        </is>
      </c>
    </row>
    <row r="1880">
      <c r="A1880" s="7" t="inlineStr">
        <is>
          <t>2015-04-14</t>
        </is>
      </c>
      <c r="B1880" s="8" t="n">
        <v>8351</v>
      </c>
      <c r="C1880" s="8" t="n">
        <v>8398</v>
      </c>
      <c r="D1880" s="8" t="n">
        <v>8428</v>
      </c>
      <c r="E1880" s="8" t="n">
        <v>8287</v>
      </c>
      <c r="F1880" s="8" t="n">
        <v>879148</v>
      </c>
      <c r="G1880" s="8" t="n">
        <v>430134</v>
      </c>
      <c r="H1880" s="8" t="n">
        <v>9390</v>
      </c>
      <c r="I1880" s="8" t="n">
        <v>9470</v>
      </c>
      <c r="J1880" s="8" t="n">
        <v>9520</v>
      </c>
      <c r="K1880" s="8" t="n">
        <v>9355</v>
      </c>
      <c r="L1880" s="8" t="n">
        <v>1052610</v>
      </c>
      <c r="M1880" s="8" t="n">
        <v>435012</v>
      </c>
      <c r="N1880" t="inlineStr">
        <is>
          <t>是</t>
        </is>
      </c>
    </row>
    <row r="1881">
      <c r="A1881" s="7" t="inlineStr">
        <is>
          <t>2015-04-15</t>
        </is>
      </c>
      <c r="B1881" s="8" t="n">
        <v>8334</v>
      </c>
      <c r="C1881" s="8" t="n">
        <v>8400</v>
      </c>
      <c r="D1881" s="8" t="n">
        <v>8400</v>
      </c>
      <c r="E1881" s="8" t="n">
        <v>8281</v>
      </c>
      <c r="F1881" s="8" t="n">
        <v>616584</v>
      </c>
      <c r="G1881" s="8" t="n">
        <v>413624</v>
      </c>
      <c r="H1881" s="8" t="n">
        <v>9385</v>
      </c>
      <c r="I1881" s="8" t="n">
        <v>9450</v>
      </c>
      <c r="J1881" s="8" t="n">
        <v>9460</v>
      </c>
      <c r="K1881" s="8" t="n">
        <v>9325</v>
      </c>
      <c r="L1881" s="8" t="n">
        <v>715116</v>
      </c>
      <c r="M1881" s="8" t="n">
        <v>421006</v>
      </c>
      <c r="N1881" t="inlineStr">
        <is>
          <t>是</t>
        </is>
      </c>
    </row>
    <row r="1882">
      <c r="A1882" s="7" t="inlineStr">
        <is>
          <t>2015-04-16</t>
        </is>
      </c>
      <c r="B1882" s="8" t="n">
        <v>8591</v>
      </c>
      <c r="C1882" s="8" t="n">
        <v>8414</v>
      </c>
      <c r="D1882" s="8" t="n">
        <v>8669</v>
      </c>
      <c r="E1882" s="8" t="n">
        <v>8409</v>
      </c>
      <c r="F1882" s="8" t="n">
        <v>1038202</v>
      </c>
      <c r="G1882" s="8" t="n">
        <v>440044</v>
      </c>
      <c r="H1882" s="8" t="n">
        <v>9645</v>
      </c>
      <c r="I1882" s="8" t="n">
        <v>9480</v>
      </c>
      <c r="J1882" s="8" t="n">
        <v>9760</v>
      </c>
      <c r="K1882" s="8" t="n">
        <v>9455</v>
      </c>
      <c r="L1882" s="8" t="n">
        <v>1304228</v>
      </c>
      <c r="M1882" s="8" t="n">
        <v>389250</v>
      </c>
      <c r="N1882" t="inlineStr">
        <is>
          <t>是</t>
        </is>
      </c>
    </row>
    <row r="1883">
      <c r="A1883" s="7" t="inlineStr">
        <is>
          <t>2015-04-17</t>
        </is>
      </c>
      <c r="B1883" s="8" t="n">
        <v>8669</v>
      </c>
      <c r="C1883" s="8" t="n">
        <v>8591</v>
      </c>
      <c r="D1883" s="8" t="n">
        <v>8775</v>
      </c>
      <c r="E1883" s="8" t="n">
        <v>8560</v>
      </c>
      <c r="F1883" s="8" t="n">
        <v>863376</v>
      </c>
      <c r="G1883" s="8" t="n">
        <v>461216</v>
      </c>
      <c r="H1883" s="8" t="n">
        <v>9665</v>
      </c>
      <c r="I1883" s="8" t="n">
        <v>9660</v>
      </c>
      <c r="J1883" s="8" t="n">
        <v>9780</v>
      </c>
      <c r="K1883" s="8" t="n">
        <v>9630</v>
      </c>
      <c r="L1883" s="8" t="n">
        <v>795356</v>
      </c>
      <c r="M1883" s="8" t="n">
        <v>376424</v>
      </c>
      <c r="N1883" t="inlineStr">
        <is>
          <t>是</t>
        </is>
      </c>
    </row>
    <row r="1884">
      <c r="A1884" s="7" t="inlineStr">
        <is>
          <t>2015-04-20</t>
        </is>
      </c>
      <c r="B1884" s="8" t="n">
        <v>8689</v>
      </c>
      <c r="C1884" s="8" t="n">
        <v>8728</v>
      </c>
      <c r="D1884" s="8" t="n">
        <v>8807</v>
      </c>
      <c r="E1884" s="8" t="n">
        <v>8675</v>
      </c>
      <c r="F1884" s="8" t="n">
        <v>686934</v>
      </c>
      <c r="G1884" s="8" t="n">
        <v>469068</v>
      </c>
      <c r="H1884" s="8" t="n">
        <v>9810</v>
      </c>
      <c r="I1884" s="8" t="n">
        <v>9730</v>
      </c>
      <c r="J1884" s="8" t="n">
        <v>9845</v>
      </c>
      <c r="K1884" s="8" t="n">
        <v>9705</v>
      </c>
      <c r="L1884" s="8" t="n">
        <v>755154</v>
      </c>
      <c r="M1884" s="8" t="n">
        <v>370004</v>
      </c>
      <c r="N1884" t="inlineStr">
        <is>
          <t>是</t>
        </is>
      </c>
    </row>
    <row r="1885">
      <c r="A1885" s="7" t="inlineStr">
        <is>
          <t>2015-04-21</t>
        </is>
      </c>
      <c r="B1885" s="8" t="n">
        <v>8663</v>
      </c>
      <c r="C1885" s="8" t="n">
        <v>8703</v>
      </c>
      <c r="D1885" s="8" t="n">
        <v>8735</v>
      </c>
      <c r="E1885" s="8" t="n">
        <v>8621</v>
      </c>
      <c r="F1885" s="8" t="n">
        <v>720582</v>
      </c>
      <c r="G1885" s="8" t="n">
        <v>493562</v>
      </c>
      <c r="H1885" s="8" t="n">
        <v>9870</v>
      </c>
      <c r="I1885" s="8" t="n">
        <v>9855</v>
      </c>
      <c r="J1885" s="8" t="n">
        <v>9910</v>
      </c>
      <c r="K1885" s="8" t="n">
        <v>9810</v>
      </c>
      <c r="L1885" s="8" t="n">
        <v>766316</v>
      </c>
      <c r="M1885" s="8" t="n">
        <v>386228</v>
      </c>
      <c r="N1885" t="inlineStr">
        <is>
          <t>是</t>
        </is>
      </c>
    </row>
    <row r="1886">
      <c r="A1886" s="7" t="inlineStr">
        <is>
          <t>2015-04-22</t>
        </is>
      </c>
      <c r="B1886" s="8" t="n">
        <v>8586</v>
      </c>
      <c r="C1886" s="8" t="n">
        <v>8628</v>
      </c>
      <c r="D1886" s="8" t="n">
        <v>8630</v>
      </c>
      <c r="E1886" s="8" t="n">
        <v>8515</v>
      </c>
      <c r="F1886" s="8" t="n">
        <v>718660</v>
      </c>
      <c r="G1886" s="8" t="n">
        <v>474268</v>
      </c>
      <c r="H1886" s="8" t="n">
        <v>9715</v>
      </c>
      <c r="I1886" s="8" t="n">
        <v>9810</v>
      </c>
      <c r="J1886" s="8" t="n">
        <v>9840</v>
      </c>
      <c r="K1886" s="8" t="n">
        <v>9705</v>
      </c>
      <c r="L1886" s="8" t="n">
        <v>677438</v>
      </c>
      <c r="M1886" s="8" t="n">
        <v>375214</v>
      </c>
      <c r="N1886" t="inlineStr">
        <is>
          <t>是</t>
        </is>
      </c>
    </row>
    <row r="1887">
      <c r="A1887" s="7" t="inlineStr">
        <is>
          <t>2015-04-23</t>
        </is>
      </c>
      <c r="B1887" s="8" t="n">
        <v>8650</v>
      </c>
      <c r="C1887" s="8" t="n">
        <v>8620</v>
      </c>
      <c r="D1887" s="8" t="n">
        <v>8712</v>
      </c>
      <c r="E1887" s="8" t="n">
        <v>8596</v>
      </c>
      <c r="F1887" s="8" t="n">
        <v>685344</v>
      </c>
      <c r="G1887" s="8" t="n">
        <v>473706</v>
      </c>
      <c r="H1887" s="8" t="n">
        <v>9880</v>
      </c>
      <c r="I1887" s="8" t="n">
        <v>9720</v>
      </c>
      <c r="J1887" s="8" t="n">
        <v>9950</v>
      </c>
      <c r="K1887" s="8" t="n">
        <v>9720</v>
      </c>
      <c r="L1887" s="8" t="n">
        <v>1147078</v>
      </c>
      <c r="M1887" s="8" t="n">
        <v>431750</v>
      </c>
      <c r="N1887" t="inlineStr">
        <is>
          <t>是</t>
        </is>
      </c>
    </row>
    <row r="1888">
      <c r="A1888" s="7" t="inlineStr">
        <is>
          <t>2015-04-24</t>
        </is>
      </c>
      <c r="B1888" s="8" t="n">
        <v>8681</v>
      </c>
      <c r="C1888" s="8" t="n">
        <v>8745</v>
      </c>
      <c r="D1888" s="8" t="n">
        <v>8771</v>
      </c>
      <c r="E1888" s="8" t="n">
        <v>8639</v>
      </c>
      <c r="F1888" s="8" t="n">
        <v>653556</v>
      </c>
      <c r="G1888" s="8" t="n">
        <v>493140</v>
      </c>
      <c r="H1888" s="8" t="n">
        <v>10095</v>
      </c>
      <c r="I1888" s="8" t="n">
        <v>9980</v>
      </c>
      <c r="J1888" s="8" t="n">
        <v>10100</v>
      </c>
      <c r="K1888" s="8" t="n">
        <v>9955</v>
      </c>
      <c r="L1888" s="8" t="n">
        <v>1118568</v>
      </c>
      <c r="M1888" s="8" t="n">
        <v>491872</v>
      </c>
      <c r="N1888" t="inlineStr">
        <is>
          <t>是</t>
        </is>
      </c>
    </row>
    <row r="1889">
      <c r="A1889" s="7" t="inlineStr">
        <is>
          <t>2015-04-27</t>
        </is>
      </c>
      <c r="B1889" s="8" t="n">
        <v>8886</v>
      </c>
      <c r="C1889" s="8" t="n">
        <v>8705</v>
      </c>
      <c r="D1889" s="8" t="n">
        <v>8950</v>
      </c>
      <c r="E1889" s="8" t="n">
        <v>8663</v>
      </c>
      <c r="F1889" s="8" t="n">
        <v>854574</v>
      </c>
      <c r="G1889" s="8" t="n">
        <v>504426</v>
      </c>
      <c r="H1889" s="8" t="n">
        <v>10370</v>
      </c>
      <c r="I1889" s="8" t="n">
        <v>10120</v>
      </c>
      <c r="J1889" s="8" t="n">
        <v>10400</v>
      </c>
      <c r="K1889" s="8" t="n">
        <v>10050</v>
      </c>
      <c r="L1889" s="8" t="n">
        <v>1255114</v>
      </c>
      <c r="M1889" s="8" t="n">
        <v>510500</v>
      </c>
      <c r="N1889" t="inlineStr">
        <is>
          <t>是</t>
        </is>
      </c>
    </row>
    <row r="1890">
      <c r="A1890" s="7" t="inlineStr">
        <is>
          <t>2015-04-28</t>
        </is>
      </c>
      <c r="B1890" s="8" t="n">
        <v>8892</v>
      </c>
      <c r="C1890" s="8" t="n">
        <v>8886</v>
      </c>
      <c r="D1890" s="8" t="n">
        <v>8947</v>
      </c>
      <c r="E1890" s="8" t="n">
        <v>8853</v>
      </c>
      <c r="F1890" s="8" t="n">
        <v>647844</v>
      </c>
      <c r="G1890" s="8" t="n">
        <v>485802</v>
      </c>
      <c r="H1890" s="8" t="n">
        <v>10280</v>
      </c>
      <c r="I1890" s="8" t="n">
        <v>10365</v>
      </c>
      <c r="J1890" s="8" t="n">
        <v>10385</v>
      </c>
      <c r="K1890" s="8" t="n">
        <v>10220</v>
      </c>
      <c r="L1890" s="8" t="n">
        <v>665514</v>
      </c>
      <c r="M1890" s="8" t="n">
        <v>458658</v>
      </c>
      <c r="N1890" t="inlineStr">
        <is>
          <t>是</t>
        </is>
      </c>
    </row>
    <row r="1891">
      <c r="A1891" s="7" t="inlineStr">
        <is>
          <t>2015-04-29</t>
        </is>
      </c>
      <c r="B1891" s="8" t="n">
        <v>8824</v>
      </c>
      <c r="C1891" s="8" t="n">
        <v>8902</v>
      </c>
      <c r="D1891" s="8" t="n">
        <v>8968</v>
      </c>
      <c r="E1891" s="8" t="n">
        <v>8766</v>
      </c>
      <c r="F1891" s="8" t="n">
        <v>938358</v>
      </c>
      <c r="G1891" s="8" t="n">
        <v>467124</v>
      </c>
      <c r="H1891" s="8" t="n">
        <v>10115</v>
      </c>
      <c r="I1891" s="8" t="n">
        <v>10290</v>
      </c>
      <c r="J1891" s="8" t="n">
        <v>10305</v>
      </c>
      <c r="K1891" s="8" t="n">
        <v>10055</v>
      </c>
      <c r="L1891" s="8" t="n">
        <v>937934</v>
      </c>
      <c r="M1891" s="8" t="n">
        <v>407502</v>
      </c>
      <c r="N1891" t="inlineStr">
        <is>
          <t>是</t>
        </is>
      </c>
    </row>
    <row r="1892">
      <c r="A1892" s="7" t="inlineStr">
        <is>
          <t>2015-04-30</t>
        </is>
      </c>
      <c r="B1892" s="8" t="n">
        <v>8933</v>
      </c>
      <c r="C1892" s="8" t="n">
        <v>8926</v>
      </c>
      <c r="D1892" s="8" t="n">
        <v>8954</v>
      </c>
      <c r="E1892" s="8" t="n">
        <v>8887</v>
      </c>
      <c r="F1892" s="8" t="n">
        <v>580340</v>
      </c>
      <c r="G1892" s="8" t="n">
        <v>477372</v>
      </c>
      <c r="H1892" s="8" t="n">
        <v>10290</v>
      </c>
      <c r="I1892" s="8" t="n">
        <v>10190</v>
      </c>
      <c r="J1892" s="8" t="n">
        <v>10330</v>
      </c>
      <c r="K1892" s="8" t="n">
        <v>10160</v>
      </c>
      <c r="L1892" s="8" t="n">
        <v>716452</v>
      </c>
      <c r="M1892" s="8" t="n">
        <v>398828</v>
      </c>
      <c r="N1892" t="inlineStr">
        <is>
          <t>是</t>
        </is>
      </c>
    </row>
    <row r="1893">
      <c r="A1893" s="7" t="inlineStr">
        <is>
          <t>2015-05-04</t>
        </is>
      </c>
      <c r="B1893" s="8" t="n">
        <v>8910</v>
      </c>
      <c r="C1893" s="8" t="n">
        <v>8943</v>
      </c>
      <c r="D1893" s="8" t="n">
        <v>9027</v>
      </c>
      <c r="E1893" s="8" t="n">
        <v>8865</v>
      </c>
      <c r="F1893" s="8" t="n">
        <v>666462</v>
      </c>
      <c r="G1893" s="8" t="n">
        <v>485920</v>
      </c>
      <c r="H1893" s="8" t="n">
        <v>10235</v>
      </c>
      <c r="I1893" s="8" t="n">
        <v>10310</v>
      </c>
      <c r="J1893" s="8" t="n">
        <v>10380</v>
      </c>
      <c r="K1893" s="8" t="n">
        <v>10175</v>
      </c>
      <c r="L1893" s="8" t="n">
        <v>799930</v>
      </c>
      <c r="M1893" s="8" t="n">
        <v>407198</v>
      </c>
      <c r="N1893" t="inlineStr">
        <is>
          <t>是</t>
        </is>
      </c>
    </row>
    <row r="1894">
      <c r="A1894" s="7" t="inlineStr">
        <is>
          <t>2015-05-05</t>
        </is>
      </c>
      <c r="B1894" s="8" t="n">
        <v>8885</v>
      </c>
      <c r="C1894" s="8" t="n">
        <v>8920</v>
      </c>
      <c r="D1894" s="8" t="n">
        <v>8920</v>
      </c>
      <c r="E1894" s="8" t="n">
        <v>8833</v>
      </c>
      <c r="F1894" s="8" t="n">
        <v>541926</v>
      </c>
      <c r="G1894" s="8" t="n">
        <v>470744</v>
      </c>
      <c r="H1894" s="8" t="n">
        <v>10165</v>
      </c>
      <c r="I1894" s="8" t="n">
        <v>10230</v>
      </c>
      <c r="J1894" s="8" t="n">
        <v>10245</v>
      </c>
      <c r="K1894" s="8" t="n">
        <v>10130</v>
      </c>
      <c r="L1894" s="8" t="n">
        <v>694146</v>
      </c>
      <c r="M1894" s="8" t="n">
        <v>420352</v>
      </c>
      <c r="N1894" t="inlineStr">
        <is>
          <t>是</t>
        </is>
      </c>
    </row>
    <row r="1895">
      <c r="A1895" s="7" t="inlineStr">
        <is>
          <t>2015-05-06</t>
        </is>
      </c>
      <c r="B1895" s="8" t="n">
        <v>8890</v>
      </c>
      <c r="C1895" s="8" t="n">
        <v>9000</v>
      </c>
      <c r="D1895" s="8" t="n">
        <v>9020</v>
      </c>
      <c r="E1895" s="8" t="n">
        <v>8858</v>
      </c>
      <c r="F1895" s="8" t="n">
        <v>794516</v>
      </c>
      <c r="G1895" s="8" t="n">
        <v>513422</v>
      </c>
      <c r="H1895" s="8" t="n">
        <v>10005</v>
      </c>
      <c r="I1895" s="8" t="n">
        <v>10280</v>
      </c>
      <c r="J1895" s="8" t="n">
        <v>10310</v>
      </c>
      <c r="K1895" s="8" t="n">
        <v>9970</v>
      </c>
      <c r="L1895" s="8" t="n">
        <v>1283080</v>
      </c>
      <c r="M1895" s="8" t="n">
        <v>420798</v>
      </c>
      <c r="N1895" t="inlineStr">
        <is>
          <t>是</t>
        </is>
      </c>
    </row>
    <row r="1896">
      <c r="A1896" s="7" t="inlineStr">
        <is>
          <t>2015-05-07</t>
        </is>
      </c>
      <c r="B1896" s="8" t="n">
        <v>8709</v>
      </c>
      <c r="C1896" s="8" t="n">
        <v>8800</v>
      </c>
      <c r="D1896" s="8" t="n">
        <v>8810</v>
      </c>
      <c r="E1896" s="8" t="n">
        <v>8703</v>
      </c>
      <c r="F1896" s="8" t="n">
        <v>625970</v>
      </c>
      <c r="G1896" s="8" t="n">
        <v>517406</v>
      </c>
      <c r="H1896" s="8" t="n">
        <v>9805</v>
      </c>
      <c r="I1896" s="8" t="n">
        <v>9910</v>
      </c>
      <c r="J1896" s="8" t="n">
        <v>9955</v>
      </c>
      <c r="K1896" s="8" t="n">
        <v>9795</v>
      </c>
      <c r="L1896" s="8" t="n">
        <v>818468</v>
      </c>
      <c r="M1896" s="8" t="n">
        <v>399034</v>
      </c>
      <c r="N1896" t="inlineStr">
        <is>
          <t>是</t>
        </is>
      </c>
    </row>
    <row r="1897">
      <c r="A1897" s="7" t="inlineStr">
        <is>
          <t>2015-05-08</t>
        </is>
      </c>
      <c r="B1897" s="8" t="n">
        <v>8624</v>
      </c>
      <c r="C1897" s="8" t="n">
        <v>8662</v>
      </c>
      <c r="D1897" s="8" t="n">
        <v>8662</v>
      </c>
      <c r="E1897" s="8" t="n">
        <v>8560</v>
      </c>
      <c r="F1897" s="8" t="n">
        <v>599934</v>
      </c>
      <c r="G1897" s="8" t="n">
        <v>483812</v>
      </c>
      <c r="H1897" s="8" t="n">
        <v>9745</v>
      </c>
      <c r="I1897" s="8" t="n">
        <v>9720</v>
      </c>
      <c r="J1897" s="8" t="n">
        <v>9810</v>
      </c>
      <c r="K1897" s="8" t="n">
        <v>9690</v>
      </c>
      <c r="L1897" s="8" t="n">
        <v>745540</v>
      </c>
      <c r="M1897" s="8" t="n">
        <v>371868</v>
      </c>
      <c r="N1897" t="inlineStr">
        <is>
          <t>是</t>
        </is>
      </c>
    </row>
    <row r="1898">
      <c r="A1898" s="7" t="inlineStr">
        <is>
          <t>2015-05-11</t>
        </is>
      </c>
      <c r="B1898" s="8" t="n">
        <v>8559</v>
      </c>
      <c r="C1898" s="8" t="n">
        <v>8698</v>
      </c>
      <c r="D1898" s="8" t="n">
        <v>8698</v>
      </c>
      <c r="E1898" s="8" t="n">
        <v>8540</v>
      </c>
      <c r="F1898" s="8" t="n">
        <v>513852</v>
      </c>
      <c r="G1898" s="8" t="n">
        <v>508940</v>
      </c>
      <c r="H1898" s="8" t="n">
        <v>9680</v>
      </c>
      <c r="I1898" s="8" t="n">
        <v>9805</v>
      </c>
      <c r="J1898" s="8" t="n">
        <v>9830</v>
      </c>
      <c r="K1898" s="8" t="n">
        <v>9670</v>
      </c>
      <c r="L1898" s="8" t="n">
        <v>577998</v>
      </c>
      <c r="M1898" s="8" t="n">
        <v>399728</v>
      </c>
      <c r="N1898" t="inlineStr">
        <is>
          <t>是</t>
        </is>
      </c>
    </row>
    <row r="1899">
      <c r="A1899" s="7" t="inlineStr">
        <is>
          <t>2015-05-12</t>
        </is>
      </c>
      <c r="B1899" s="8" t="n">
        <v>8436</v>
      </c>
      <c r="C1899" s="8" t="n">
        <v>8538</v>
      </c>
      <c r="D1899" s="8" t="n">
        <v>8554</v>
      </c>
      <c r="E1899" s="8" t="n">
        <v>8418</v>
      </c>
      <c r="F1899" s="8" t="n">
        <v>668836</v>
      </c>
      <c r="G1899" s="8" t="n">
        <v>551666</v>
      </c>
      <c r="H1899" s="8" t="n">
        <v>9605</v>
      </c>
      <c r="I1899" s="8" t="n">
        <v>9655</v>
      </c>
      <c r="J1899" s="8" t="n">
        <v>9710</v>
      </c>
      <c r="K1899" s="8" t="n">
        <v>9580</v>
      </c>
      <c r="L1899" s="8" t="n">
        <v>912250</v>
      </c>
      <c r="M1899" s="8" t="n">
        <v>422060</v>
      </c>
      <c r="N1899" t="inlineStr">
        <is>
          <t>是</t>
        </is>
      </c>
    </row>
    <row r="1900">
      <c r="A1900" s="7" t="inlineStr">
        <is>
          <t>2015-05-13</t>
        </is>
      </c>
      <c r="B1900" s="8" t="n">
        <v>8450</v>
      </c>
      <c r="C1900" s="8" t="n">
        <v>8484</v>
      </c>
      <c r="D1900" s="8" t="n">
        <v>8535</v>
      </c>
      <c r="E1900" s="8" t="n">
        <v>8435</v>
      </c>
      <c r="F1900" s="8" t="n">
        <v>518676</v>
      </c>
      <c r="G1900" s="8" t="n">
        <v>563066</v>
      </c>
      <c r="H1900" s="8" t="n">
        <v>9680</v>
      </c>
      <c r="I1900" s="8" t="n">
        <v>9700</v>
      </c>
      <c r="J1900" s="8" t="n">
        <v>9780</v>
      </c>
      <c r="K1900" s="8" t="n">
        <v>9630</v>
      </c>
      <c r="L1900" s="8" t="n">
        <v>804682</v>
      </c>
      <c r="M1900" s="8" t="n">
        <v>430178</v>
      </c>
      <c r="N1900" t="inlineStr">
        <is>
          <t>是</t>
        </is>
      </c>
    </row>
    <row r="1901">
      <c r="A1901" s="7" t="inlineStr">
        <is>
          <t>2015-05-14</t>
        </is>
      </c>
      <c r="B1901" s="8" t="n">
        <v>8467</v>
      </c>
      <c r="C1901" s="8" t="n">
        <v>8376</v>
      </c>
      <c r="D1901" s="8" t="n">
        <v>8471</v>
      </c>
      <c r="E1901" s="8" t="n">
        <v>8350</v>
      </c>
      <c r="F1901" s="8" t="n">
        <v>544820</v>
      </c>
      <c r="G1901" s="8" t="n">
        <v>567016</v>
      </c>
      <c r="H1901" s="8" t="n">
        <v>9725</v>
      </c>
      <c r="I1901" s="8" t="n">
        <v>9600</v>
      </c>
      <c r="J1901" s="8" t="n">
        <v>9730</v>
      </c>
      <c r="K1901" s="8" t="n">
        <v>9550</v>
      </c>
      <c r="L1901" s="8" t="n">
        <v>844182</v>
      </c>
      <c r="M1901" s="8" t="n">
        <v>454968</v>
      </c>
      <c r="N1901" t="inlineStr">
        <is>
          <t>是</t>
        </is>
      </c>
    </row>
    <row r="1902">
      <c r="A1902" s="7" t="inlineStr">
        <is>
          <t>2015-05-15</t>
        </is>
      </c>
      <c r="B1902" s="8" t="n">
        <v>8504</v>
      </c>
      <c r="C1902" s="8" t="n">
        <v>8430</v>
      </c>
      <c r="D1902" s="8" t="n">
        <v>8529</v>
      </c>
      <c r="E1902" s="8" t="n">
        <v>8430</v>
      </c>
      <c r="F1902" s="8" t="n">
        <v>575734</v>
      </c>
      <c r="G1902" s="8" t="n">
        <v>587750</v>
      </c>
      <c r="H1902" s="8" t="n">
        <v>9630</v>
      </c>
      <c r="I1902" s="8" t="n">
        <v>9705</v>
      </c>
      <c r="J1902" s="8" t="n">
        <v>9740</v>
      </c>
      <c r="K1902" s="8" t="n">
        <v>9615</v>
      </c>
      <c r="L1902" s="8" t="n">
        <v>821274</v>
      </c>
      <c r="M1902" s="8" t="n">
        <v>469096</v>
      </c>
      <c r="N1902" t="inlineStr">
        <is>
          <t>是</t>
        </is>
      </c>
    </row>
    <row r="1903">
      <c r="A1903" s="7" t="inlineStr">
        <is>
          <t>2015-05-18</t>
        </is>
      </c>
      <c r="B1903" s="8" t="n">
        <v>8378</v>
      </c>
      <c r="C1903" s="8" t="n">
        <v>8490</v>
      </c>
      <c r="D1903" s="8" t="n">
        <v>8493</v>
      </c>
      <c r="E1903" s="8" t="n">
        <v>8354</v>
      </c>
      <c r="F1903" s="8" t="n">
        <v>502952</v>
      </c>
      <c r="G1903" s="8" t="n">
        <v>579122</v>
      </c>
      <c r="H1903" s="8" t="n">
        <v>9460</v>
      </c>
      <c r="I1903" s="8" t="n">
        <v>9620</v>
      </c>
      <c r="J1903" s="8" t="n">
        <v>9655</v>
      </c>
      <c r="K1903" s="8" t="n">
        <v>9460</v>
      </c>
      <c r="L1903" s="8" t="n">
        <v>838540</v>
      </c>
      <c r="M1903" s="8" t="n">
        <v>492282</v>
      </c>
      <c r="N1903" t="inlineStr">
        <is>
          <t>是</t>
        </is>
      </c>
    </row>
    <row r="1904">
      <c r="A1904" s="7" t="inlineStr">
        <is>
          <t>2015-05-19</t>
        </is>
      </c>
      <c r="B1904" s="8" t="n">
        <v>8266</v>
      </c>
      <c r="C1904" s="8" t="n">
        <v>8370</v>
      </c>
      <c r="D1904" s="8" t="n">
        <v>8370</v>
      </c>
      <c r="E1904" s="8" t="n">
        <v>8265</v>
      </c>
      <c r="F1904" s="8" t="n">
        <v>499700</v>
      </c>
      <c r="G1904" s="8" t="n">
        <v>547874</v>
      </c>
      <c r="H1904" s="8" t="n">
        <v>9315</v>
      </c>
      <c r="I1904" s="8" t="n">
        <v>9425</v>
      </c>
      <c r="J1904" s="8" t="n">
        <v>9455</v>
      </c>
      <c r="K1904" s="8" t="n">
        <v>9310</v>
      </c>
      <c r="L1904" s="8" t="n">
        <v>886224</v>
      </c>
      <c r="M1904" s="8" t="n">
        <v>509174</v>
      </c>
      <c r="N1904" t="inlineStr">
        <is>
          <t>是</t>
        </is>
      </c>
    </row>
    <row r="1905">
      <c r="A1905" s="7" t="inlineStr">
        <is>
          <t>2015-05-20</t>
        </is>
      </c>
      <c r="B1905" s="8" t="n">
        <v>8275</v>
      </c>
      <c r="C1905" s="8" t="n">
        <v>8150</v>
      </c>
      <c r="D1905" s="8" t="n">
        <v>8328</v>
      </c>
      <c r="E1905" s="8" t="n">
        <v>8097</v>
      </c>
      <c r="F1905" s="8" t="n">
        <v>842262</v>
      </c>
      <c r="G1905" s="8" t="n">
        <v>460178</v>
      </c>
      <c r="H1905" s="8" t="n">
        <v>9365</v>
      </c>
      <c r="I1905" s="8" t="n">
        <v>9190</v>
      </c>
      <c r="J1905" s="8" t="n">
        <v>9385</v>
      </c>
      <c r="K1905" s="8" t="n">
        <v>9165</v>
      </c>
      <c r="L1905" s="8" t="n">
        <v>1067326</v>
      </c>
      <c r="M1905" s="8" t="n">
        <v>471952</v>
      </c>
      <c r="N1905" t="inlineStr">
        <is>
          <t>是</t>
        </is>
      </c>
    </row>
    <row r="1906">
      <c r="A1906" s="7" t="inlineStr">
        <is>
          <t>2015-05-21</t>
        </is>
      </c>
      <c r="B1906" s="8" t="n">
        <v>8429</v>
      </c>
      <c r="C1906" s="8" t="n">
        <v>8298</v>
      </c>
      <c r="D1906" s="8" t="n">
        <v>8463</v>
      </c>
      <c r="E1906" s="8" t="n">
        <v>8253</v>
      </c>
      <c r="F1906" s="8" t="n">
        <v>727784</v>
      </c>
      <c r="G1906" s="8" t="n">
        <v>473328</v>
      </c>
      <c r="H1906" s="8" t="n">
        <v>9510</v>
      </c>
      <c r="I1906" s="8" t="n">
        <v>9370</v>
      </c>
      <c r="J1906" s="8" t="n">
        <v>9595</v>
      </c>
      <c r="K1906" s="8" t="n">
        <v>9315</v>
      </c>
      <c r="L1906" s="8" t="n">
        <v>1173148</v>
      </c>
      <c r="M1906" s="8" t="n">
        <v>468306</v>
      </c>
      <c r="N1906" t="inlineStr">
        <is>
          <t>是</t>
        </is>
      </c>
    </row>
    <row r="1907">
      <c r="A1907" s="7" t="inlineStr">
        <is>
          <t>2015-05-22</t>
        </is>
      </c>
      <c r="B1907" s="8" t="n">
        <v>8430</v>
      </c>
      <c r="C1907" s="8" t="n">
        <v>8482</v>
      </c>
      <c r="D1907" s="8" t="n">
        <v>8489</v>
      </c>
      <c r="E1907" s="8" t="n">
        <v>8365</v>
      </c>
      <c r="F1907" s="8" t="n">
        <v>518006</v>
      </c>
      <c r="G1907" s="8" t="n">
        <v>485538</v>
      </c>
      <c r="H1907" s="8" t="n">
        <v>9640</v>
      </c>
      <c r="I1907" s="8" t="n">
        <v>9620</v>
      </c>
      <c r="J1907" s="8" t="n">
        <v>9645</v>
      </c>
      <c r="K1907" s="8" t="n">
        <v>9495</v>
      </c>
      <c r="L1907" s="8" t="n">
        <v>1003380</v>
      </c>
      <c r="M1907" s="8" t="n">
        <v>478932</v>
      </c>
      <c r="N1907" t="inlineStr">
        <is>
          <t>是</t>
        </is>
      </c>
    </row>
    <row r="1908">
      <c r="A1908" s="7" t="inlineStr">
        <is>
          <t>2015-05-25</t>
        </is>
      </c>
      <c r="B1908" s="8" t="n">
        <v>8403</v>
      </c>
      <c r="C1908" s="8" t="n">
        <v>8375</v>
      </c>
      <c r="D1908" s="8" t="n">
        <v>8426</v>
      </c>
      <c r="E1908" s="8" t="n">
        <v>8345</v>
      </c>
      <c r="F1908" s="8" t="n">
        <v>406648</v>
      </c>
      <c r="G1908" s="8" t="n">
        <v>481768</v>
      </c>
      <c r="H1908" s="8" t="n">
        <v>9560</v>
      </c>
      <c r="I1908" s="8" t="n">
        <v>9575</v>
      </c>
      <c r="J1908" s="8" t="n">
        <v>9610</v>
      </c>
      <c r="K1908" s="8" t="n">
        <v>9500</v>
      </c>
      <c r="L1908" s="8" t="n">
        <v>847984</v>
      </c>
      <c r="M1908" s="8" t="n">
        <v>481730</v>
      </c>
      <c r="N1908" t="inlineStr">
        <is>
          <t>是</t>
        </is>
      </c>
    </row>
    <row r="1909">
      <c r="A1909" s="7" t="inlineStr">
        <is>
          <t>2015-05-26</t>
        </is>
      </c>
      <c r="B1909" s="8" t="n">
        <v>8325</v>
      </c>
      <c r="C1909" s="8" t="n">
        <v>8485</v>
      </c>
      <c r="D1909" s="8" t="n">
        <v>8566</v>
      </c>
      <c r="E1909" s="8" t="n">
        <v>8324</v>
      </c>
      <c r="F1909" s="8" t="n">
        <v>865060</v>
      </c>
      <c r="G1909" s="8" t="n">
        <v>483532</v>
      </c>
      <c r="H1909" s="8" t="n">
        <v>9400</v>
      </c>
      <c r="I1909" s="8" t="n">
        <v>9655</v>
      </c>
      <c r="J1909" s="8" t="n">
        <v>9700</v>
      </c>
      <c r="K1909" s="8" t="n">
        <v>9370</v>
      </c>
      <c r="L1909" s="8" t="n">
        <v>1236368</v>
      </c>
      <c r="M1909" s="8" t="n">
        <v>521240</v>
      </c>
      <c r="N1909" t="inlineStr">
        <is>
          <t>是</t>
        </is>
      </c>
    </row>
    <row r="1910">
      <c r="A1910" s="7" t="inlineStr">
        <is>
          <t>2015-05-27</t>
        </is>
      </c>
      <c r="B1910" s="8" t="n">
        <v>8343</v>
      </c>
      <c r="C1910" s="8" t="n">
        <v>8295</v>
      </c>
      <c r="D1910" s="8" t="n">
        <v>8367</v>
      </c>
      <c r="E1910" s="8" t="n">
        <v>8285</v>
      </c>
      <c r="F1910" s="8" t="n">
        <v>496430</v>
      </c>
      <c r="G1910" s="8" t="n">
        <v>458034</v>
      </c>
      <c r="H1910" s="8" t="n">
        <v>9410</v>
      </c>
      <c r="I1910" s="8" t="n">
        <v>9365</v>
      </c>
      <c r="J1910" s="8" t="n">
        <v>9430</v>
      </c>
      <c r="K1910" s="8" t="n">
        <v>9330</v>
      </c>
      <c r="L1910" s="8" t="n">
        <v>730382</v>
      </c>
      <c r="M1910" s="8" t="n">
        <v>487576</v>
      </c>
      <c r="N1910" t="inlineStr">
        <is>
          <t>是</t>
        </is>
      </c>
    </row>
    <row r="1911">
      <c r="A1911" s="7" t="inlineStr">
        <is>
          <t>2015-05-28</t>
        </is>
      </c>
      <c r="B1911" s="8" t="n">
        <v>8294</v>
      </c>
      <c r="C1911" s="8" t="n">
        <v>8367</v>
      </c>
      <c r="D1911" s="8" t="n">
        <v>8370</v>
      </c>
      <c r="E1911" s="8" t="n">
        <v>8231</v>
      </c>
      <c r="F1911" s="8" t="n">
        <v>451278</v>
      </c>
      <c r="G1911" s="8" t="n">
        <v>459288</v>
      </c>
      <c r="H1911" s="8" t="n">
        <v>9345</v>
      </c>
      <c r="I1911" s="8" t="n">
        <v>9430</v>
      </c>
      <c r="J1911" s="8" t="n">
        <v>9440</v>
      </c>
      <c r="K1911" s="8" t="n">
        <v>9250</v>
      </c>
      <c r="L1911" s="8" t="n">
        <v>881822</v>
      </c>
      <c r="M1911" s="8" t="n">
        <v>506958</v>
      </c>
      <c r="N1911" t="inlineStr">
        <is>
          <t>是</t>
        </is>
      </c>
    </row>
    <row r="1912">
      <c r="A1912" s="7" t="inlineStr">
        <is>
          <t>2015-05-29</t>
        </is>
      </c>
      <c r="B1912" s="8" t="n">
        <v>8316</v>
      </c>
      <c r="C1912" s="8" t="n">
        <v>8320</v>
      </c>
      <c r="D1912" s="8" t="n">
        <v>8357</v>
      </c>
      <c r="E1912" s="8" t="n">
        <v>8297</v>
      </c>
      <c r="F1912" s="8" t="n">
        <v>325204</v>
      </c>
      <c r="G1912" s="8" t="n">
        <v>459820</v>
      </c>
      <c r="H1912" s="8" t="n">
        <v>9355</v>
      </c>
      <c r="I1912" s="8" t="n">
        <v>9385</v>
      </c>
      <c r="J1912" s="8" t="n">
        <v>9400</v>
      </c>
      <c r="K1912" s="8" t="n">
        <v>9310</v>
      </c>
      <c r="L1912" s="8" t="n">
        <v>513858</v>
      </c>
      <c r="M1912" s="8" t="n">
        <v>497372</v>
      </c>
      <c r="N1912" t="inlineStr">
        <is>
          <t>是</t>
        </is>
      </c>
    </row>
    <row r="1913">
      <c r="A1913" s="7" t="inlineStr">
        <is>
          <t>2015-06-01</t>
        </is>
      </c>
      <c r="B1913" s="8" t="n">
        <v>8319</v>
      </c>
      <c r="C1913" s="8" t="n">
        <v>8436</v>
      </c>
      <c r="D1913" s="8" t="n">
        <v>8462</v>
      </c>
      <c r="E1913" s="8" t="n">
        <v>8304</v>
      </c>
      <c r="F1913" s="8" t="n">
        <v>353788</v>
      </c>
      <c r="G1913" s="8" t="n">
        <v>465980</v>
      </c>
      <c r="H1913" s="8" t="n">
        <v>9380</v>
      </c>
      <c r="I1913" s="8" t="n">
        <v>9480</v>
      </c>
      <c r="J1913" s="8" t="n">
        <v>9485</v>
      </c>
      <c r="K1913" s="8" t="n">
        <v>9305</v>
      </c>
      <c r="L1913" s="8" t="n">
        <v>679014</v>
      </c>
      <c r="M1913" s="8" t="n">
        <v>497792</v>
      </c>
      <c r="N1913" t="inlineStr">
        <is>
          <t>是</t>
        </is>
      </c>
    </row>
    <row r="1914">
      <c r="A1914" s="7" t="inlineStr">
        <is>
          <t>2015-06-02</t>
        </is>
      </c>
      <c r="B1914" s="8" t="n">
        <v>8365</v>
      </c>
      <c r="C1914" s="8" t="n">
        <v>8320</v>
      </c>
      <c r="D1914" s="8" t="n">
        <v>8366</v>
      </c>
      <c r="E1914" s="8" t="n">
        <v>8263</v>
      </c>
      <c r="F1914" s="8" t="n">
        <v>415198</v>
      </c>
      <c r="G1914" s="8" t="n">
        <v>474100</v>
      </c>
      <c r="H1914" s="8" t="n">
        <v>9415</v>
      </c>
      <c r="I1914" s="8" t="n">
        <v>9395</v>
      </c>
      <c r="J1914" s="8" t="n">
        <v>9430</v>
      </c>
      <c r="K1914" s="8" t="n">
        <v>9265</v>
      </c>
      <c r="L1914" s="8" t="n">
        <v>730604</v>
      </c>
      <c r="M1914" s="8" t="n">
        <v>509860</v>
      </c>
      <c r="N1914" t="inlineStr">
        <is>
          <t>是</t>
        </is>
      </c>
    </row>
    <row r="1915">
      <c r="A1915" s="7" t="inlineStr">
        <is>
          <t>2015-06-03</t>
        </is>
      </c>
      <c r="B1915" s="8" t="n">
        <v>8407</v>
      </c>
      <c r="C1915" s="8" t="n">
        <v>8400</v>
      </c>
      <c r="D1915" s="8" t="n">
        <v>8440</v>
      </c>
      <c r="E1915" s="8" t="n">
        <v>8334</v>
      </c>
      <c r="F1915" s="8" t="n">
        <v>509894</v>
      </c>
      <c r="G1915" s="8" t="n">
        <v>469476</v>
      </c>
      <c r="H1915" s="8" t="n">
        <v>9430</v>
      </c>
      <c r="I1915" s="8" t="n">
        <v>9470</v>
      </c>
      <c r="J1915" s="8" t="n">
        <v>9475</v>
      </c>
      <c r="K1915" s="8" t="n">
        <v>9355</v>
      </c>
      <c r="L1915" s="8" t="n">
        <v>812408</v>
      </c>
      <c r="M1915" s="8" t="n">
        <v>521582</v>
      </c>
      <c r="N1915" t="inlineStr">
        <is>
          <t>是</t>
        </is>
      </c>
    </row>
    <row r="1916">
      <c r="A1916" s="7" t="inlineStr">
        <is>
          <t>2015-06-04</t>
        </is>
      </c>
      <c r="B1916" s="8" t="n">
        <v>8460</v>
      </c>
      <c r="C1916" s="8" t="n">
        <v>8368</v>
      </c>
      <c r="D1916" s="8" t="n">
        <v>8489</v>
      </c>
      <c r="E1916" s="8" t="n">
        <v>8336</v>
      </c>
      <c r="F1916" s="8" t="n">
        <v>505674</v>
      </c>
      <c r="G1916" s="8" t="n">
        <v>454424</v>
      </c>
      <c r="H1916" s="8" t="n">
        <v>9465</v>
      </c>
      <c r="I1916" s="8" t="n">
        <v>9380</v>
      </c>
      <c r="J1916" s="8" t="n">
        <v>9535</v>
      </c>
      <c r="K1916" s="8" t="n">
        <v>9320</v>
      </c>
      <c r="L1916" s="8" t="n">
        <v>940012</v>
      </c>
      <c r="M1916" s="8" t="n">
        <v>516910</v>
      </c>
      <c r="N1916" t="inlineStr">
        <is>
          <t>是</t>
        </is>
      </c>
    </row>
    <row r="1917">
      <c r="A1917" s="7" t="inlineStr">
        <is>
          <t>2015-06-05</t>
        </is>
      </c>
      <c r="B1917" s="8" t="n">
        <v>8487</v>
      </c>
      <c r="C1917" s="8" t="n">
        <v>8423</v>
      </c>
      <c r="D1917" s="8" t="n">
        <v>8497</v>
      </c>
      <c r="E1917" s="8" t="n">
        <v>8401</v>
      </c>
      <c r="F1917" s="8" t="n">
        <v>485372</v>
      </c>
      <c r="G1917" s="8" t="n">
        <v>445684</v>
      </c>
      <c r="H1917" s="8" t="n">
        <v>9455</v>
      </c>
      <c r="I1917" s="8" t="n">
        <v>9410</v>
      </c>
      <c r="J1917" s="8" t="n">
        <v>9500</v>
      </c>
      <c r="K1917" s="8" t="n">
        <v>9390</v>
      </c>
      <c r="L1917" s="8" t="n">
        <v>741334</v>
      </c>
      <c r="M1917" s="8" t="n">
        <v>510202</v>
      </c>
      <c r="N1917" t="inlineStr">
        <is>
          <t>是</t>
        </is>
      </c>
    </row>
    <row r="1918">
      <c r="A1918" s="7" t="inlineStr">
        <is>
          <t>2015-06-08</t>
        </is>
      </c>
      <c r="B1918" s="8" t="n">
        <v>8402</v>
      </c>
      <c r="C1918" s="8" t="n">
        <v>8500</v>
      </c>
      <c r="D1918" s="8" t="n">
        <v>8512</v>
      </c>
      <c r="E1918" s="8" t="n">
        <v>8387</v>
      </c>
      <c r="F1918" s="8" t="n">
        <v>322326</v>
      </c>
      <c r="G1918" s="8" t="n">
        <v>442928</v>
      </c>
      <c r="H1918" s="8" t="n">
        <v>9350</v>
      </c>
      <c r="I1918" s="8" t="n">
        <v>9475</v>
      </c>
      <c r="J1918" s="8" t="n">
        <v>9485</v>
      </c>
      <c r="K1918" s="8" t="n">
        <v>9315</v>
      </c>
      <c r="L1918" s="8" t="n">
        <v>568616</v>
      </c>
      <c r="M1918" s="8" t="n">
        <v>518206</v>
      </c>
      <c r="N1918" t="inlineStr">
        <is>
          <t>是</t>
        </is>
      </c>
    </row>
    <row r="1919">
      <c r="A1919" s="7" t="inlineStr">
        <is>
          <t>2015-06-09</t>
        </is>
      </c>
      <c r="B1919" s="8" t="n">
        <v>8399</v>
      </c>
      <c r="C1919" s="8" t="n">
        <v>8385</v>
      </c>
      <c r="D1919" s="8" t="n">
        <v>8423</v>
      </c>
      <c r="E1919" s="8" t="n">
        <v>8370</v>
      </c>
      <c r="F1919" s="8" t="n">
        <v>221000</v>
      </c>
      <c r="G1919" s="8" t="n">
        <v>440626</v>
      </c>
      <c r="H1919" s="8" t="n">
        <v>9355</v>
      </c>
      <c r="I1919" s="8" t="n">
        <v>9340</v>
      </c>
      <c r="J1919" s="8" t="n">
        <v>9390</v>
      </c>
      <c r="K1919" s="8" t="n">
        <v>9305</v>
      </c>
      <c r="L1919" s="8" t="n">
        <v>377540</v>
      </c>
      <c r="M1919" s="8" t="n">
        <v>521486</v>
      </c>
      <c r="N1919" t="inlineStr">
        <is>
          <t>是</t>
        </is>
      </c>
    </row>
    <row r="1920">
      <c r="A1920" s="7" t="inlineStr">
        <is>
          <t>2015-06-10</t>
        </is>
      </c>
      <c r="B1920" s="8" t="n">
        <v>8586</v>
      </c>
      <c r="C1920" s="8" t="n">
        <v>8450</v>
      </c>
      <c r="D1920" s="8" t="n">
        <v>8590</v>
      </c>
      <c r="E1920" s="8" t="n">
        <v>8435</v>
      </c>
      <c r="F1920" s="8" t="n">
        <v>505588</v>
      </c>
      <c r="G1920" s="8" t="n">
        <v>438984</v>
      </c>
      <c r="H1920" s="8" t="n">
        <v>9635</v>
      </c>
      <c r="I1920" s="8" t="n">
        <v>9430</v>
      </c>
      <c r="J1920" s="8" t="n">
        <v>9640</v>
      </c>
      <c r="K1920" s="8" t="n">
        <v>9410</v>
      </c>
      <c r="L1920" s="8" t="n">
        <v>882290</v>
      </c>
      <c r="M1920" s="8" t="n">
        <v>541152</v>
      </c>
      <c r="N1920" t="inlineStr">
        <is>
          <t>是</t>
        </is>
      </c>
    </row>
    <row r="1921">
      <c r="A1921" s="7" t="inlineStr">
        <is>
          <t>2015-06-11</t>
        </is>
      </c>
      <c r="B1921" s="8" t="n">
        <v>8680</v>
      </c>
      <c r="C1921" s="8" t="n">
        <v>8550</v>
      </c>
      <c r="D1921" s="8" t="n">
        <v>8696</v>
      </c>
      <c r="E1921" s="8" t="n">
        <v>8535</v>
      </c>
      <c r="F1921" s="8" t="n">
        <v>688530</v>
      </c>
      <c r="G1921" s="8" t="n">
        <v>485738</v>
      </c>
      <c r="H1921" s="8" t="n">
        <v>9700</v>
      </c>
      <c r="I1921" s="8" t="n">
        <v>9590</v>
      </c>
      <c r="J1921" s="8" t="n">
        <v>9755</v>
      </c>
      <c r="K1921" s="8" t="n">
        <v>9580</v>
      </c>
      <c r="L1921" s="8" t="n">
        <v>963926</v>
      </c>
      <c r="M1921" s="8" t="n">
        <v>535260</v>
      </c>
      <c r="N1921" t="inlineStr">
        <is>
          <t>是</t>
        </is>
      </c>
    </row>
    <row r="1922">
      <c r="A1922" s="7" t="inlineStr">
        <is>
          <t>2015-06-12</t>
        </is>
      </c>
      <c r="B1922" s="8" t="n">
        <v>8577</v>
      </c>
      <c r="C1922" s="8" t="n">
        <v>8612</v>
      </c>
      <c r="D1922" s="8" t="n">
        <v>8656</v>
      </c>
      <c r="E1922" s="8" t="n">
        <v>8561</v>
      </c>
      <c r="F1922" s="8" t="n">
        <v>541052</v>
      </c>
      <c r="G1922" s="8" t="n">
        <v>474026</v>
      </c>
      <c r="H1922" s="8" t="n">
        <v>9585</v>
      </c>
      <c r="I1922" s="8" t="n">
        <v>9650</v>
      </c>
      <c r="J1922" s="8" t="n">
        <v>9685</v>
      </c>
      <c r="K1922" s="8" t="n">
        <v>9555</v>
      </c>
      <c r="L1922" s="8" t="n">
        <v>762826</v>
      </c>
      <c r="M1922" s="8" t="n">
        <v>486596</v>
      </c>
      <c r="N1922" t="inlineStr">
        <is>
          <t>是</t>
        </is>
      </c>
    </row>
    <row r="1923">
      <c r="A1923" s="7" t="inlineStr">
        <is>
          <t>2015-06-15</t>
        </is>
      </c>
      <c r="B1923" s="8" t="n">
        <v>8634</v>
      </c>
      <c r="C1923" s="8" t="n">
        <v>8576</v>
      </c>
      <c r="D1923" s="8" t="n">
        <v>8639</v>
      </c>
      <c r="E1923" s="8" t="n">
        <v>8512</v>
      </c>
      <c r="F1923" s="8" t="n">
        <v>361376</v>
      </c>
      <c r="G1923" s="8" t="n">
        <v>478020</v>
      </c>
      <c r="H1923" s="8" t="n">
        <v>9725</v>
      </c>
      <c r="I1923" s="8" t="n">
        <v>9580</v>
      </c>
      <c r="J1923" s="8" t="n">
        <v>9735</v>
      </c>
      <c r="K1923" s="8" t="n">
        <v>9565</v>
      </c>
      <c r="L1923" s="8" t="n">
        <v>605660</v>
      </c>
      <c r="M1923" s="8" t="n">
        <v>513566</v>
      </c>
      <c r="N1923" t="inlineStr">
        <is>
          <t>是</t>
        </is>
      </c>
    </row>
    <row r="1924">
      <c r="A1924" s="7" t="inlineStr">
        <is>
          <t>2015-06-16</t>
        </is>
      </c>
      <c r="B1924" s="8" t="n">
        <v>8591</v>
      </c>
      <c r="C1924" s="8" t="n">
        <v>8649</v>
      </c>
      <c r="D1924" s="8" t="n">
        <v>8799</v>
      </c>
      <c r="E1924" s="8" t="n">
        <v>8555</v>
      </c>
      <c r="F1924" s="8" t="n">
        <v>706318</v>
      </c>
      <c r="G1924" s="8" t="n">
        <v>490096</v>
      </c>
      <c r="H1924" s="8" t="n">
        <v>9690</v>
      </c>
      <c r="I1924" s="8" t="n">
        <v>9745</v>
      </c>
      <c r="J1924" s="8" t="n">
        <v>9855</v>
      </c>
      <c r="K1924" s="8" t="n">
        <v>9620</v>
      </c>
      <c r="L1924" s="8" t="n">
        <v>934930</v>
      </c>
      <c r="M1924" s="8" t="n">
        <v>483880</v>
      </c>
      <c r="N1924" t="inlineStr">
        <is>
          <t>是</t>
        </is>
      </c>
    </row>
    <row r="1925">
      <c r="A1925" s="7" t="inlineStr">
        <is>
          <t>2015-06-17</t>
        </is>
      </c>
      <c r="B1925" s="8" t="n">
        <v>8454</v>
      </c>
      <c r="C1925" s="8" t="n">
        <v>8571</v>
      </c>
      <c r="D1925" s="8" t="n">
        <v>8628</v>
      </c>
      <c r="E1925" s="8" t="n">
        <v>8453</v>
      </c>
      <c r="F1925" s="8" t="n">
        <v>473064</v>
      </c>
      <c r="G1925" s="8" t="n">
        <v>443334</v>
      </c>
      <c r="H1925" s="8" t="n">
        <v>9505</v>
      </c>
      <c r="I1925" s="8" t="n">
        <v>9655</v>
      </c>
      <c r="J1925" s="8" t="n">
        <v>9700</v>
      </c>
      <c r="K1925" s="8" t="n">
        <v>9500</v>
      </c>
      <c r="L1925" s="8" t="n">
        <v>834782</v>
      </c>
      <c r="M1925" s="8" t="n">
        <v>495688</v>
      </c>
      <c r="N1925" t="inlineStr">
        <is>
          <t>是</t>
        </is>
      </c>
    </row>
    <row r="1926">
      <c r="A1926" s="7" t="inlineStr">
        <is>
          <t>2015-06-18</t>
        </is>
      </c>
      <c r="B1926" s="8" t="n">
        <v>8464</v>
      </c>
      <c r="C1926" s="8" t="n">
        <v>8440</v>
      </c>
      <c r="D1926" s="8" t="n">
        <v>8515</v>
      </c>
      <c r="E1926" s="8" t="n">
        <v>8385</v>
      </c>
      <c r="F1926" s="8" t="n">
        <v>343896</v>
      </c>
      <c r="G1926" s="8" t="n">
        <v>415060</v>
      </c>
      <c r="H1926" s="8" t="n">
        <v>9500</v>
      </c>
      <c r="I1926" s="8" t="n">
        <v>9510</v>
      </c>
      <c r="J1926" s="8" t="n">
        <v>9555</v>
      </c>
      <c r="K1926" s="8" t="n">
        <v>9445</v>
      </c>
      <c r="L1926" s="8" t="n">
        <v>555652</v>
      </c>
      <c r="M1926" s="8" t="n">
        <v>464584</v>
      </c>
      <c r="N1926" t="inlineStr">
        <is>
          <t>是</t>
        </is>
      </c>
    </row>
    <row r="1927">
      <c r="A1927" s="7" t="inlineStr">
        <is>
          <t>2015-06-19</t>
        </is>
      </c>
      <c r="B1927" s="8" t="n">
        <v>8536</v>
      </c>
      <c r="C1927" s="8" t="n">
        <v>8493</v>
      </c>
      <c r="D1927" s="8" t="n">
        <v>8573</v>
      </c>
      <c r="E1927" s="8" t="n">
        <v>8483</v>
      </c>
      <c r="F1927" s="8" t="n">
        <v>448344</v>
      </c>
      <c r="G1927" s="8" t="n">
        <v>406728</v>
      </c>
      <c r="H1927" s="8" t="n">
        <v>9570</v>
      </c>
      <c r="I1927" s="8" t="n">
        <v>9520</v>
      </c>
      <c r="J1927" s="8" t="n">
        <v>9675</v>
      </c>
      <c r="K1927" s="8" t="n">
        <v>9520</v>
      </c>
      <c r="L1927" s="8" t="n">
        <v>831752</v>
      </c>
      <c r="M1927" s="8" t="n">
        <v>484886</v>
      </c>
      <c r="N1927" t="inlineStr">
        <is>
          <t>是</t>
        </is>
      </c>
    </row>
    <row r="1928">
      <c r="A1928" s="7" t="inlineStr">
        <is>
          <t>2015-06-23</t>
        </is>
      </c>
      <c r="B1928" s="8" t="n">
        <v>8880</v>
      </c>
      <c r="C1928" s="8" t="n">
        <v>8880</v>
      </c>
      <c r="D1928" s="8" t="n">
        <v>8880</v>
      </c>
      <c r="E1928" s="8" t="n">
        <v>8880</v>
      </c>
      <c r="F1928" s="8" t="n">
        <v>2</v>
      </c>
      <c r="G1928" s="8" t="n">
        <v>164</v>
      </c>
      <c r="H1928" s="8" t="n">
        <v>9415</v>
      </c>
      <c r="I1928" s="8" t="n">
        <v>9405</v>
      </c>
      <c r="J1928" s="8" t="n">
        <v>9450</v>
      </c>
      <c r="K1928" s="8" t="n">
        <v>9405</v>
      </c>
      <c r="L1928" s="8" t="n">
        <v>8</v>
      </c>
      <c r="M1928" s="8" t="n">
        <v>190</v>
      </c>
      <c r="N1928" t="inlineStr">
        <is>
          <t>是</t>
        </is>
      </c>
    </row>
    <row r="1929">
      <c r="A1929" s="7" t="inlineStr">
        <is>
          <t>2015-06-24</t>
        </is>
      </c>
      <c r="B1929" s="8" t="n">
        <v>8631</v>
      </c>
      <c r="C1929" s="8" t="n">
        <v>8615</v>
      </c>
      <c r="D1929" s="8" t="n">
        <v>8644</v>
      </c>
      <c r="E1929" s="8" t="n">
        <v>8536</v>
      </c>
      <c r="F1929" s="8" t="n">
        <v>407676</v>
      </c>
      <c r="G1929" s="8" t="n">
        <v>404570</v>
      </c>
      <c r="H1929" s="8" t="n">
        <v>9685</v>
      </c>
      <c r="I1929" s="8" t="n">
        <v>9600</v>
      </c>
      <c r="J1929" s="8" t="n">
        <v>9715</v>
      </c>
      <c r="K1929" s="8" t="n">
        <v>9575</v>
      </c>
      <c r="L1929" s="8" t="n">
        <v>705944</v>
      </c>
      <c r="M1929" s="8" t="n">
        <v>496784</v>
      </c>
      <c r="N1929" t="inlineStr">
        <is>
          <t>是</t>
        </is>
      </c>
    </row>
    <row r="1930">
      <c r="A1930" s="7" t="inlineStr">
        <is>
          <t>2015-06-25</t>
        </is>
      </c>
      <c r="B1930" s="8" t="n">
        <v>8615</v>
      </c>
      <c r="C1930" s="8" t="n">
        <v>8599</v>
      </c>
      <c r="D1930" s="8" t="n">
        <v>8626</v>
      </c>
      <c r="E1930" s="8" t="n">
        <v>8577</v>
      </c>
      <c r="F1930" s="8" t="n">
        <v>287230</v>
      </c>
      <c r="G1930" s="8" t="n">
        <v>406608</v>
      </c>
      <c r="H1930" s="8" t="n">
        <v>9685</v>
      </c>
      <c r="I1930" s="8" t="n">
        <v>9655</v>
      </c>
      <c r="J1930" s="8" t="n">
        <v>9700</v>
      </c>
      <c r="K1930" s="8" t="n">
        <v>9625</v>
      </c>
      <c r="L1930" s="8" t="n">
        <v>435574</v>
      </c>
      <c r="M1930" s="8" t="n">
        <v>508190</v>
      </c>
      <c r="N1930" t="inlineStr">
        <is>
          <t>是</t>
        </is>
      </c>
    </row>
    <row r="1931">
      <c r="A1931" s="7" t="inlineStr">
        <is>
          <t>2015-06-26</t>
        </is>
      </c>
      <c r="B1931" s="8" t="n">
        <v>8708</v>
      </c>
      <c r="C1931" s="8" t="n">
        <v>8610</v>
      </c>
      <c r="D1931" s="8" t="n">
        <v>8736</v>
      </c>
      <c r="E1931" s="8" t="n">
        <v>8604</v>
      </c>
      <c r="F1931" s="8" t="n">
        <v>495398</v>
      </c>
      <c r="G1931" s="8" t="n">
        <v>421836</v>
      </c>
      <c r="H1931" s="8" t="n">
        <v>9870</v>
      </c>
      <c r="I1931" s="8" t="n">
        <v>9685</v>
      </c>
      <c r="J1931" s="8" t="n">
        <v>9920</v>
      </c>
      <c r="K1931" s="8" t="n">
        <v>9680</v>
      </c>
      <c r="L1931" s="8" t="n">
        <v>1059966</v>
      </c>
      <c r="M1931" s="8" t="n">
        <v>580046</v>
      </c>
      <c r="N1931" t="inlineStr">
        <is>
          <t>是</t>
        </is>
      </c>
    </row>
    <row r="1932">
      <c r="A1932" s="7" t="inlineStr">
        <is>
          <t>2015-06-29</t>
        </is>
      </c>
      <c r="B1932" s="8" t="n">
        <v>8621</v>
      </c>
      <c r="C1932" s="8" t="n">
        <v>8699</v>
      </c>
      <c r="D1932" s="8" t="n">
        <v>8763</v>
      </c>
      <c r="E1932" s="8" t="n">
        <v>8487</v>
      </c>
      <c r="F1932" s="8" t="n">
        <v>465912</v>
      </c>
      <c r="G1932" s="8" t="n">
        <v>401760</v>
      </c>
      <c r="H1932" s="8" t="n">
        <v>9785</v>
      </c>
      <c r="I1932" s="8" t="n">
        <v>9865</v>
      </c>
      <c r="J1932" s="8" t="n">
        <v>9885</v>
      </c>
      <c r="K1932" s="8" t="n">
        <v>9510</v>
      </c>
      <c r="L1932" s="8" t="n">
        <v>1275490</v>
      </c>
      <c r="M1932" s="8" t="n">
        <v>546538</v>
      </c>
      <c r="N1932" t="inlineStr">
        <is>
          <t>是</t>
        </is>
      </c>
    </row>
    <row r="1933">
      <c r="A1933" s="7" t="inlineStr">
        <is>
          <t>2015-06-30</t>
        </is>
      </c>
      <c r="B1933" s="8" t="n">
        <v>8619</v>
      </c>
      <c r="C1933" s="8" t="n">
        <v>8588</v>
      </c>
      <c r="D1933" s="8" t="n">
        <v>8654</v>
      </c>
      <c r="E1933" s="8" t="n">
        <v>8537</v>
      </c>
      <c r="F1933" s="8" t="n">
        <v>379768</v>
      </c>
      <c r="G1933" s="8" t="n">
        <v>406014</v>
      </c>
      <c r="H1933" s="8" t="n">
        <v>9855</v>
      </c>
      <c r="I1933" s="8" t="n">
        <v>9730</v>
      </c>
      <c r="J1933" s="8" t="n">
        <v>9875</v>
      </c>
      <c r="K1933" s="8" t="n">
        <v>9665</v>
      </c>
      <c r="L1933" s="8" t="n">
        <v>987974</v>
      </c>
      <c r="M1933" s="8" t="n">
        <v>554654</v>
      </c>
      <c r="N1933" t="inlineStr">
        <is>
          <t>是</t>
        </is>
      </c>
    </row>
    <row r="1934">
      <c r="A1934" s="7" t="inlineStr">
        <is>
          <t>2015-07-01</t>
        </is>
      </c>
      <c r="B1934" s="8" t="n">
        <v>8616</v>
      </c>
      <c r="C1934" s="8" t="n">
        <v>8628</v>
      </c>
      <c r="D1934" s="8" t="n">
        <v>8698</v>
      </c>
      <c r="E1934" s="8" t="n">
        <v>8595</v>
      </c>
      <c r="F1934" s="8" t="n">
        <v>329198</v>
      </c>
      <c r="G1934" s="8" t="n">
        <v>397704</v>
      </c>
      <c r="H1934" s="8" t="n">
        <v>9910</v>
      </c>
      <c r="I1934" s="8" t="n">
        <v>9865</v>
      </c>
      <c r="J1934" s="8" t="n">
        <v>9995</v>
      </c>
      <c r="K1934" s="8" t="n">
        <v>9835</v>
      </c>
      <c r="L1934" s="8" t="n">
        <v>785576</v>
      </c>
      <c r="M1934" s="8" t="n">
        <v>537446</v>
      </c>
      <c r="N1934" t="inlineStr">
        <is>
          <t>是</t>
        </is>
      </c>
    </row>
    <row r="1935">
      <c r="A1935" s="7" t="inlineStr">
        <is>
          <t>2015-07-02</t>
        </is>
      </c>
      <c r="B1935" s="8" t="n">
        <v>8644</v>
      </c>
      <c r="C1935" s="8" t="n">
        <v>8553</v>
      </c>
      <c r="D1935" s="8" t="n">
        <v>8656</v>
      </c>
      <c r="E1935" s="8" t="n">
        <v>8540</v>
      </c>
      <c r="F1935" s="8" t="n">
        <v>294620</v>
      </c>
      <c r="G1935" s="8" t="n">
        <v>390502</v>
      </c>
      <c r="H1935" s="8" t="n">
        <v>9915</v>
      </c>
      <c r="I1935" s="8" t="n">
        <v>9915</v>
      </c>
      <c r="J1935" s="8" t="n">
        <v>9915</v>
      </c>
      <c r="K1935" s="8" t="n">
        <v>9915</v>
      </c>
      <c r="L1935" s="8" t="n">
        <v>619352</v>
      </c>
      <c r="M1935" s="8" t="n">
        <v>536312</v>
      </c>
      <c r="N1935" t="inlineStr">
        <is>
          <t>是</t>
        </is>
      </c>
    </row>
    <row r="1936">
      <c r="A1936" s="7" t="inlineStr">
        <is>
          <t>2015-07-03</t>
        </is>
      </c>
      <c r="B1936" s="8" t="n">
        <v>8596</v>
      </c>
      <c r="C1936" s="8" t="n">
        <v>8643</v>
      </c>
      <c r="D1936" s="8" t="n">
        <v>8643</v>
      </c>
      <c r="E1936" s="8" t="n">
        <v>8565</v>
      </c>
      <c r="F1936" s="8" t="n">
        <v>364080</v>
      </c>
      <c r="G1936" s="8" t="n">
        <v>381318</v>
      </c>
      <c r="H1936" s="8" t="n">
        <v>9900</v>
      </c>
      <c r="I1936" s="8" t="n">
        <v>9880</v>
      </c>
      <c r="J1936" s="8" t="n">
        <v>9960</v>
      </c>
      <c r="K1936" s="8" t="n">
        <v>9800</v>
      </c>
      <c r="L1936" s="8" t="n">
        <v>1018180</v>
      </c>
      <c r="M1936" s="8" t="n">
        <v>478530</v>
      </c>
      <c r="N1936" t="inlineStr">
        <is>
          <t>是</t>
        </is>
      </c>
    </row>
    <row r="1937">
      <c r="A1937" s="7" t="inlineStr">
        <is>
          <t>2015-07-06</t>
        </is>
      </c>
      <c r="B1937" s="8" t="n">
        <v>8362</v>
      </c>
      <c r="C1937" s="8" t="n">
        <v>8569</v>
      </c>
      <c r="D1937" s="8" t="n">
        <v>8570</v>
      </c>
      <c r="E1937" s="8" t="n">
        <v>8300</v>
      </c>
      <c r="F1937" s="8" t="n">
        <v>579164</v>
      </c>
      <c r="G1937" s="8" t="n">
        <v>352042</v>
      </c>
      <c r="H1937" s="8" t="n">
        <v>9635</v>
      </c>
      <c r="I1937" s="8" t="n">
        <v>9820</v>
      </c>
      <c r="J1937" s="8" t="n">
        <v>9850</v>
      </c>
      <c r="K1937" s="8" t="n">
        <v>9555</v>
      </c>
      <c r="L1937" s="8" t="n">
        <v>1157054</v>
      </c>
      <c r="M1937" s="8" t="n">
        <v>460958</v>
      </c>
      <c r="N1937" t="inlineStr">
        <is>
          <t>是</t>
        </is>
      </c>
    </row>
    <row r="1938">
      <c r="A1938" s="7" t="inlineStr">
        <is>
          <t>2015-07-07</t>
        </is>
      </c>
      <c r="B1938" s="8" t="n">
        <v>8169</v>
      </c>
      <c r="C1938" s="8" t="n">
        <v>8270</v>
      </c>
      <c r="D1938" s="8" t="n">
        <v>8384</v>
      </c>
      <c r="E1938" s="8" t="n">
        <v>8120</v>
      </c>
      <c r="F1938" s="8" t="n">
        <v>600490</v>
      </c>
      <c r="G1938" s="8" t="n">
        <v>330664</v>
      </c>
      <c r="H1938" s="8" t="n">
        <v>9325</v>
      </c>
      <c r="I1938" s="8" t="n">
        <v>9515</v>
      </c>
      <c r="J1938" s="8" t="n">
        <v>9560</v>
      </c>
      <c r="K1938" s="8" t="n">
        <v>9325</v>
      </c>
      <c r="L1938" s="8" t="n">
        <v>917928</v>
      </c>
      <c r="M1938" s="8" t="n">
        <v>465556</v>
      </c>
      <c r="N1938" t="inlineStr">
        <is>
          <t>是</t>
        </is>
      </c>
    </row>
    <row r="1939">
      <c r="A1939" s="7" t="inlineStr">
        <is>
          <t>2015-07-08</t>
        </is>
      </c>
      <c r="B1939" s="8" t="n">
        <v>7932</v>
      </c>
      <c r="C1939" s="8" t="n">
        <v>7933</v>
      </c>
      <c r="D1939" s="8" t="n">
        <v>8038</v>
      </c>
      <c r="E1939" s="8" t="n">
        <v>7932</v>
      </c>
      <c r="F1939" s="8" t="n">
        <v>162446</v>
      </c>
      <c r="G1939" s="8" t="n">
        <v>290576</v>
      </c>
      <c r="H1939" s="8" t="n">
        <v>8885</v>
      </c>
      <c r="I1939" s="8" t="n">
        <v>9055</v>
      </c>
      <c r="J1939" s="8" t="n">
        <v>9180</v>
      </c>
      <c r="K1939" s="8" t="n">
        <v>8885</v>
      </c>
      <c r="L1939" s="8" t="n">
        <v>791374</v>
      </c>
      <c r="M1939" s="8" t="n">
        <v>411950</v>
      </c>
      <c r="N1939" t="inlineStr">
        <is>
          <t>是</t>
        </is>
      </c>
    </row>
    <row r="1940">
      <c r="A1940" s="7" t="inlineStr">
        <is>
          <t>2015-07-09</t>
        </is>
      </c>
      <c r="B1940" s="8" t="n">
        <v>8355</v>
      </c>
      <c r="C1940" s="8" t="n">
        <v>8061</v>
      </c>
      <c r="D1940" s="8" t="n">
        <v>8415</v>
      </c>
      <c r="E1940" s="8" t="n">
        <v>8050</v>
      </c>
      <c r="F1940" s="8" t="n">
        <v>511154</v>
      </c>
      <c r="G1940" s="8" t="n">
        <v>250206</v>
      </c>
      <c r="H1940" s="8" t="n">
        <v>9515</v>
      </c>
      <c r="I1940" s="8" t="n">
        <v>9135</v>
      </c>
      <c r="J1940" s="8" t="n">
        <v>9605</v>
      </c>
      <c r="K1940" s="8" t="n">
        <v>9110</v>
      </c>
      <c r="L1940" s="8" t="n">
        <v>1070770</v>
      </c>
      <c r="M1940" s="8" t="n">
        <v>343690</v>
      </c>
      <c r="N1940" t="inlineStr">
        <is>
          <t>是</t>
        </is>
      </c>
    </row>
    <row r="1941">
      <c r="A1941" s="7" t="inlineStr">
        <is>
          <t>2015-07-10</t>
        </is>
      </c>
      <c r="B1941" s="8" t="n">
        <v>8339</v>
      </c>
      <c r="C1941" s="8" t="n">
        <v>8379</v>
      </c>
      <c r="D1941" s="8" t="n">
        <v>8490</v>
      </c>
      <c r="E1941" s="8" t="n">
        <v>8283</v>
      </c>
      <c r="F1941" s="8" t="n">
        <v>492566</v>
      </c>
      <c r="G1941" s="8" t="n">
        <v>271972</v>
      </c>
      <c r="H1941" s="8" t="n">
        <v>9550</v>
      </c>
      <c r="I1941" s="8" t="n">
        <v>9535</v>
      </c>
      <c r="J1941" s="8" t="n">
        <v>9755</v>
      </c>
      <c r="K1941" s="8" t="n">
        <v>9465</v>
      </c>
      <c r="L1941" s="8" t="n">
        <v>856314</v>
      </c>
      <c r="M1941" s="8" t="n">
        <v>344544</v>
      </c>
      <c r="N1941" t="inlineStr">
        <is>
          <t>是</t>
        </is>
      </c>
    </row>
    <row r="1942">
      <c r="A1942" s="7" t="inlineStr">
        <is>
          <t>2015-07-13</t>
        </is>
      </c>
      <c r="B1942" s="8" t="n">
        <v>8241</v>
      </c>
      <c r="C1942" s="8" t="n">
        <v>8300</v>
      </c>
      <c r="D1942" s="8" t="n">
        <v>8334</v>
      </c>
      <c r="E1942" s="8" t="n">
        <v>8158</v>
      </c>
      <c r="F1942" s="8" t="n">
        <v>323980</v>
      </c>
      <c r="G1942" s="8" t="n">
        <v>267064</v>
      </c>
      <c r="H1942" s="8" t="n">
        <v>9480</v>
      </c>
      <c r="I1942" s="8" t="n">
        <v>9515</v>
      </c>
      <c r="J1942" s="8" t="n">
        <v>9560</v>
      </c>
      <c r="K1942" s="8" t="n">
        <v>9390</v>
      </c>
      <c r="L1942" s="8" t="n">
        <v>621488</v>
      </c>
      <c r="M1942" s="8" t="n">
        <v>380462</v>
      </c>
      <c r="N1942" t="inlineStr">
        <is>
          <t>是</t>
        </is>
      </c>
    </row>
    <row r="1943">
      <c r="A1943" s="7" t="inlineStr">
        <is>
          <t>2015-07-14</t>
        </is>
      </c>
      <c r="B1943" s="8" t="n">
        <v>8195</v>
      </c>
      <c r="C1943" s="8" t="n">
        <v>8280</v>
      </c>
      <c r="D1943" s="8" t="n">
        <v>8350</v>
      </c>
      <c r="E1943" s="8" t="n">
        <v>8195</v>
      </c>
      <c r="F1943" s="8" t="n">
        <v>353062</v>
      </c>
      <c r="G1943" s="8" t="n">
        <v>274778</v>
      </c>
      <c r="H1943" s="8" t="n">
        <v>9445</v>
      </c>
      <c r="I1943" s="8" t="n">
        <v>9500</v>
      </c>
      <c r="J1943" s="8" t="n">
        <v>9630</v>
      </c>
      <c r="K1943" s="8" t="n">
        <v>9425</v>
      </c>
      <c r="L1943" s="8" t="n">
        <v>650584</v>
      </c>
      <c r="M1943" s="8" t="n">
        <v>362940</v>
      </c>
      <c r="N1943" t="inlineStr">
        <is>
          <t>是</t>
        </is>
      </c>
    </row>
    <row r="1944">
      <c r="A1944" s="7" t="inlineStr">
        <is>
          <t>2015-07-15</t>
        </is>
      </c>
      <c r="B1944" s="8" t="n">
        <v>8226</v>
      </c>
      <c r="C1944" s="8" t="n">
        <v>8300</v>
      </c>
      <c r="D1944" s="8" t="n">
        <v>8323</v>
      </c>
      <c r="E1944" s="8" t="n">
        <v>8195</v>
      </c>
      <c r="F1944" s="8" t="n">
        <v>303452</v>
      </c>
      <c r="G1944" s="8" t="n">
        <v>276598</v>
      </c>
      <c r="H1944" s="8" t="n">
        <v>9485</v>
      </c>
      <c r="I1944" s="8" t="n">
        <v>9570</v>
      </c>
      <c r="J1944" s="8" t="n">
        <v>9605</v>
      </c>
      <c r="K1944" s="8" t="n">
        <v>9450</v>
      </c>
      <c r="L1944" s="8" t="n">
        <v>585200</v>
      </c>
      <c r="M1944" s="8" t="n">
        <v>361984</v>
      </c>
      <c r="N1944" t="inlineStr">
        <is>
          <t>是</t>
        </is>
      </c>
    </row>
    <row r="1945">
      <c r="A1945" s="7" t="inlineStr">
        <is>
          <t>2015-07-16</t>
        </is>
      </c>
      <c r="B1945" s="8" t="n">
        <v>8124</v>
      </c>
      <c r="C1945" s="8" t="n">
        <v>8171</v>
      </c>
      <c r="D1945" s="8" t="n">
        <v>8187</v>
      </c>
      <c r="E1945" s="8" t="n">
        <v>8055</v>
      </c>
      <c r="F1945" s="8" t="n">
        <v>336856</v>
      </c>
      <c r="G1945" s="8" t="n">
        <v>278894</v>
      </c>
      <c r="H1945" s="8" t="n">
        <v>9315</v>
      </c>
      <c r="I1945" s="8" t="n">
        <v>9420</v>
      </c>
      <c r="J1945" s="8" t="n">
        <v>9425</v>
      </c>
      <c r="K1945" s="8" t="n">
        <v>9265</v>
      </c>
      <c r="L1945" s="8" t="n">
        <v>693942</v>
      </c>
      <c r="M1945" s="8" t="n">
        <v>358580</v>
      </c>
      <c r="N1945" t="inlineStr">
        <is>
          <t>是</t>
        </is>
      </c>
    </row>
    <row r="1946">
      <c r="A1946" s="7" t="inlineStr">
        <is>
          <t>2015-07-17</t>
        </is>
      </c>
      <c r="B1946" s="8" t="n">
        <v>8130</v>
      </c>
      <c r="C1946" s="8" t="n">
        <v>8098</v>
      </c>
      <c r="D1946" s="8" t="n">
        <v>8154</v>
      </c>
      <c r="E1946" s="8" t="n">
        <v>8064</v>
      </c>
      <c r="F1946" s="8" t="n">
        <v>240864</v>
      </c>
      <c r="G1946" s="8" t="n">
        <v>281666</v>
      </c>
      <c r="H1946" s="8" t="n">
        <v>9290</v>
      </c>
      <c r="I1946" s="8" t="n">
        <v>9285</v>
      </c>
      <c r="J1946" s="8" t="n">
        <v>9345</v>
      </c>
      <c r="K1946" s="8" t="n">
        <v>9220</v>
      </c>
      <c r="L1946" s="8" t="n">
        <v>500810</v>
      </c>
      <c r="M1946" s="8" t="n">
        <v>365276</v>
      </c>
      <c r="N1946" t="inlineStr">
        <is>
          <t>是</t>
        </is>
      </c>
    </row>
    <row r="1947">
      <c r="A1947" s="7" t="inlineStr">
        <is>
          <t>2015-07-20</t>
        </is>
      </c>
      <c r="B1947" s="8" t="n">
        <v>8175</v>
      </c>
      <c r="C1947" s="8" t="n">
        <v>8101</v>
      </c>
      <c r="D1947" s="8" t="n">
        <v>8185</v>
      </c>
      <c r="E1947" s="8" t="n">
        <v>8092</v>
      </c>
      <c r="F1947" s="8" t="n">
        <v>274620</v>
      </c>
      <c r="G1947" s="8" t="n">
        <v>267576</v>
      </c>
      <c r="H1947" s="8" t="n">
        <v>9330</v>
      </c>
      <c r="I1947" s="8" t="n">
        <v>9295</v>
      </c>
      <c r="J1947" s="8" t="n">
        <v>9370</v>
      </c>
      <c r="K1947" s="8" t="n">
        <v>9210</v>
      </c>
      <c r="L1947" s="8" t="n">
        <v>521088</v>
      </c>
      <c r="M1947" s="8" t="n">
        <v>360372</v>
      </c>
      <c r="N1947" t="inlineStr">
        <is>
          <t>是</t>
        </is>
      </c>
    </row>
    <row r="1948">
      <c r="A1948" s="7" t="inlineStr">
        <is>
          <t>2015-07-21</t>
        </is>
      </c>
      <c r="B1948" s="8" t="n">
        <v>8142</v>
      </c>
      <c r="C1948" s="8" t="n">
        <v>8150</v>
      </c>
      <c r="D1948" s="8" t="n">
        <v>8163</v>
      </c>
      <c r="E1948" s="8" t="n">
        <v>8061</v>
      </c>
      <c r="F1948" s="8" t="n">
        <v>273990</v>
      </c>
      <c r="G1948" s="8" t="n">
        <v>264384</v>
      </c>
      <c r="H1948" s="8" t="n">
        <v>9270</v>
      </c>
      <c r="I1948" s="8" t="n">
        <v>9305</v>
      </c>
      <c r="J1948" s="8" t="n">
        <v>9315</v>
      </c>
      <c r="K1948" s="8" t="n">
        <v>9195</v>
      </c>
      <c r="L1948" s="8" t="n">
        <v>503300</v>
      </c>
      <c r="M1948" s="8" t="n">
        <v>372848</v>
      </c>
      <c r="N1948" t="inlineStr">
        <is>
          <t>是</t>
        </is>
      </c>
    </row>
    <row r="1949">
      <c r="A1949" s="7" t="inlineStr">
        <is>
          <t>2015-07-22</t>
        </is>
      </c>
      <c r="B1949" s="8" t="n">
        <v>8240</v>
      </c>
      <c r="C1949" s="8" t="n">
        <v>8125</v>
      </c>
      <c r="D1949" s="8" t="n">
        <v>8255</v>
      </c>
      <c r="E1949" s="8" t="n">
        <v>8121</v>
      </c>
      <c r="F1949" s="8" t="n">
        <v>330756</v>
      </c>
      <c r="G1949" s="8" t="n">
        <v>249126</v>
      </c>
      <c r="H1949" s="8" t="n">
        <v>9400</v>
      </c>
      <c r="I1949" s="8" t="n">
        <v>9270</v>
      </c>
      <c r="J1949" s="8" t="n">
        <v>9410</v>
      </c>
      <c r="K1949" s="8" t="n">
        <v>9240</v>
      </c>
      <c r="L1949" s="8" t="n">
        <v>749768</v>
      </c>
      <c r="M1949" s="8" t="n">
        <v>370268</v>
      </c>
      <c r="N1949" t="inlineStr">
        <is>
          <t>是</t>
        </is>
      </c>
    </row>
    <row r="1950">
      <c r="A1950" s="7" t="inlineStr">
        <is>
          <t>2015-07-23</t>
        </is>
      </c>
      <c r="B1950" s="8" t="n">
        <v>8211</v>
      </c>
      <c r="C1950" s="8" t="n">
        <v>8200</v>
      </c>
      <c r="D1950" s="8" t="n">
        <v>8244</v>
      </c>
      <c r="E1950" s="8" t="n">
        <v>8179</v>
      </c>
      <c r="F1950" s="8" t="n">
        <v>244362</v>
      </c>
      <c r="G1950" s="8" t="n">
        <v>234584</v>
      </c>
      <c r="H1950" s="8" t="n">
        <v>9365</v>
      </c>
      <c r="I1950" s="8" t="n">
        <v>9340</v>
      </c>
      <c r="J1950" s="8" t="n">
        <v>9425</v>
      </c>
      <c r="K1950" s="8" t="n">
        <v>9320</v>
      </c>
      <c r="L1950" s="8" t="n">
        <v>560050</v>
      </c>
      <c r="M1950" s="8" t="n">
        <v>354426</v>
      </c>
      <c r="N1950" t="inlineStr">
        <is>
          <t>是</t>
        </is>
      </c>
    </row>
    <row r="1951">
      <c r="A1951" s="7" t="inlineStr">
        <is>
          <t>2015-07-24</t>
        </is>
      </c>
      <c r="B1951" s="8" t="n">
        <v>8007</v>
      </c>
      <c r="C1951" s="8" t="n">
        <v>8185</v>
      </c>
      <c r="D1951" s="8" t="n">
        <v>8185</v>
      </c>
      <c r="E1951" s="8" t="n">
        <v>8005</v>
      </c>
      <c r="F1951" s="8" t="n">
        <v>359462</v>
      </c>
      <c r="G1951" s="8" t="n">
        <v>222764</v>
      </c>
      <c r="H1951" s="8" t="n">
        <v>9110</v>
      </c>
      <c r="I1951" s="8" t="n">
        <v>9325</v>
      </c>
      <c r="J1951" s="8" t="n">
        <v>9330</v>
      </c>
      <c r="K1951" s="8" t="n">
        <v>9100</v>
      </c>
      <c r="L1951" s="8" t="n">
        <v>761236</v>
      </c>
      <c r="M1951" s="8" t="n">
        <v>328746</v>
      </c>
      <c r="N1951" t="inlineStr">
        <is>
          <t>是</t>
        </is>
      </c>
    </row>
    <row r="1952">
      <c r="A1952" s="7" t="inlineStr">
        <is>
          <t>2015-07-27</t>
        </is>
      </c>
      <c r="B1952" s="8" t="n">
        <v>7790</v>
      </c>
      <c r="C1952" s="8" t="n">
        <v>8011</v>
      </c>
      <c r="D1952" s="8" t="n">
        <v>8018</v>
      </c>
      <c r="E1952" s="8" t="n">
        <v>7757</v>
      </c>
      <c r="F1952" s="8" t="n">
        <v>471434</v>
      </c>
      <c r="G1952" s="8" t="n">
        <v>213668</v>
      </c>
      <c r="H1952" s="8" t="n">
        <v>8835</v>
      </c>
      <c r="I1952" s="8" t="n">
        <v>9090</v>
      </c>
      <c r="J1952" s="8" t="n">
        <v>9100</v>
      </c>
      <c r="K1952" s="8" t="n">
        <v>8835</v>
      </c>
      <c r="L1952" s="8" t="n">
        <v>683066</v>
      </c>
      <c r="M1952" s="8" t="n">
        <v>314136</v>
      </c>
      <c r="N1952" t="inlineStr">
        <is>
          <t>是</t>
        </is>
      </c>
    </row>
    <row r="1953">
      <c r="A1953" s="7" t="inlineStr">
        <is>
          <t>2015-07-28</t>
        </is>
      </c>
      <c r="B1953" s="8" t="n">
        <v>7898</v>
      </c>
      <c r="C1953" s="8" t="n">
        <v>7720</v>
      </c>
      <c r="D1953" s="8" t="n">
        <v>7950</v>
      </c>
      <c r="E1953" s="8" t="n">
        <v>7664</v>
      </c>
      <c r="F1953" s="8" t="n">
        <v>415238</v>
      </c>
      <c r="G1953" s="8" t="n">
        <v>194912</v>
      </c>
      <c r="H1953" s="8" t="n">
        <v>8860</v>
      </c>
      <c r="I1953" s="8" t="n">
        <v>8600</v>
      </c>
      <c r="J1953" s="8" t="n">
        <v>8860</v>
      </c>
      <c r="K1953" s="8" t="n">
        <v>8600</v>
      </c>
      <c r="L1953" s="8" t="n">
        <v>742356</v>
      </c>
      <c r="M1953" s="8" t="n">
        <v>277636</v>
      </c>
      <c r="N1953" t="inlineStr">
        <is>
          <t>是</t>
        </is>
      </c>
    </row>
    <row r="1954">
      <c r="A1954" s="7" t="inlineStr">
        <is>
          <t>2015-07-29</t>
        </is>
      </c>
      <c r="B1954" s="8" t="n">
        <v>7957</v>
      </c>
      <c r="C1954" s="8" t="n">
        <v>7958</v>
      </c>
      <c r="D1954" s="8" t="n">
        <v>8055</v>
      </c>
      <c r="E1954" s="8" t="n">
        <v>7924</v>
      </c>
      <c r="F1954" s="8" t="n">
        <v>260192</v>
      </c>
      <c r="G1954" s="8" t="n">
        <v>186884</v>
      </c>
      <c r="H1954" s="8" t="n">
        <v>8965</v>
      </c>
      <c r="I1954" s="8" t="n">
        <v>8920</v>
      </c>
      <c r="J1954" s="8" t="n">
        <v>9075</v>
      </c>
      <c r="K1954" s="8" t="n">
        <v>8910</v>
      </c>
      <c r="L1954" s="8" t="n">
        <v>606616</v>
      </c>
      <c r="M1954" s="8" t="n">
        <v>278838</v>
      </c>
      <c r="N1954" t="inlineStr">
        <is>
          <t>是</t>
        </is>
      </c>
    </row>
    <row r="1955">
      <c r="A1955" s="7" t="inlineStr">
        <is>
          <t>2015-07-30</t>
        </is>
      </c>
      <c r="B1955" s="8" t="n">
        <v>7915</v>
      </c>
      <c r="C1955" s="8" t="n">
        <v>8006</v>
      </c>
      <c r="D1955" s="8" t="n">
        <v>8043</v>
      </c>
      <c r="E1955" s="8" t="n">
        <v>7908</v>
      </c>
      <c r="F1955" s="8" t="n">
        <v>205798</v>
      </c>
      <c r="G1955" s="8" t="n">
        <v>184090</v>
      </c>
      <c r="H1955" s="8" t="n">
        <v>8920</v>
      </c>
      <c r="I1955" s="8" t="n">
        <v>9050</v>
      </c>
      <c r="J1955" s="8" t="n">
        <v>9120</v>
      </c>
      <c r="K1955" s="8" t="n">
        <v>8905</v>
      </c>
      <c r="L1955" s="8" t="n">
        <v>460166</v>
      </c>
      <c r="M1955" s="8" t="n">
        <v>268898</v>
      </c>
      <c r="N1955" t="inlineStr">
        <is>
          <t>是</t>
        </is>
      </c>
    </row>
    <row r="1956">
      <c r="A1956" s="7" t="inlineStr">
        <is>
          <t>2015-07-31</t>
        </is>
      </c>
      <c r="B1956" s="8" t="n">
        <v>7885</v>
      </c>
      <c r="C1956" s="8" t="n">
        <v>7888</v>
      </c>
      <c r="D1956" s="8" t="n">
        <v>7950</v>
      </c>
      <c r="E1956" s="8" t="n">
        <v>7851</v>
      </c>
      <c r="F1956" s="8" t="n">
        <v>194680</v>
      </c>
      <c r="G1956" s="8" t="n">
        <v>187314</v>
      </c>
      <c r="H1956" s="8" t="n">
        <v>8910</v>
      </c>
      <c r="I1956" s="8" t="n">
        <v>8885</v>
      </c>
      <c r="J1956" s="8" t="n">
        <v>8940</v>
      </c>
      <c r="K1956" s="8" t="n">
        <v>8850</v>
      </c>
      <c r="L1956" s="8" t="n">
        <v>340486</v>
      </c>
      <c r="M1956" s="8" t="n">
        <v>266040</v>
      </c>
      <c r="N1956" t="inlineStr">
        <is>
          <t>是</t>
        </is>
      </c>
    </row>
    <row r="1957">
      <c r="A1957" s="7" t="inlineStr">
        <is>
          <t>2015-08-03</t>
        </is>
      </c>
      <c r="B1957" s="8" t="n">
        <v>7730</v>
      </c>
      <c r="C1957" s="8" t="n">
        <v>7815</v>
      </c>
      <c r="D1957" s="8" t="n">
        <v>7843</v>
      </c>
      <c r="E1957" s="8" t="n">
        <v>7615</v>
      </c>
      <c r="F1957" s="8" t="n">
        <v>285424</v>
      </c>
      <c r="G1957" s="8" t="n">
        <v>175960</v>
      </c>
      <c r="H1957" s="8" t="n">
        <v>8750</v>
      </c>
      <c r="I1957" s="8" t="n">
        <v>8805</v>
      </c>
      <c r="J1957" s="8" t="n">
        <v>8885</v>
      </c>
      <c r="K1957" s="8" t="n">
        <v>8610</v>
      </c>
      <c r="L1957" s="8" t="n">
        <v>571302</v>
      </c>
      <c r="M1957" s="8" t="n">
        <v>279472</v>
      </c>
      <c r="N1957" t="inlineStr">
        <is>
          <t>是</t>
        </is>
      </c>
    </row>
    <row r="1958">
      <c r="A1958" s="7" t="inlineStr">
        <is>
          <t>2015-08-04</t>
        </is>
      </c>
      <c r="B1958" s="8" t="n">
        <v>7488</v>
      </c>
      <c r="C1958" s="8" t="n">
        <v>7330</v>
      </c>
      <c r="D1958" s="8" t="n">
        <v>7498</v>
      </c>
      <c r="E1958" s="8" t="n">
        <v>7286</v>
      </c>
      <c r="F1958" s="8" t="n">
        <v>221662</v>
      </c>
      <c r="G1958" s="8" t="n">
        <v>190856</v>
      </c>
      <c r="H1958" s="8" t="n">
        <v>8365</v>
      </c>
      <c r="I1958" s="8" t="n">
        <v>8095</v>
      </c>
      <c r="J1958" s="8" t="n">
        <v>8380</v>
      </c>
      <c r="K1958" s="8" t="n">
        <v>8085</v>
      </c>
      <c r="L1958" s="8" t="n">
        <v>758844</v>
      </c>
      <c r="M1958" s="8" t="n">
        <v>365862</v>
      </c>
      <c r="N1958" t="inlineStr">
        <is>
          <t>是</t>
        </is>
      </c>
    </row>
    <row r="1959">
      <c r="A1959" s="7" t="inlineStr">
        <is>
          <t>2015-08-05</t>
        </is>
      </c>
      <c r="B1959" s="8" t="n">
        <v>7553</v>
      </c>
      <c r="C1959" s="8" t="n">
        <v>7533</v>
      </c>
      <c r="D1959" s="8" t="n">
        <v>7560</v>
      </c>
      <c r="E1959" s="8" t="n">
        <v>7430</v>
      </c>
      <c r="F1959" s="8" t="n">
        <v>218010</v>
      </c>
      <c r="G1959" s="8" t="n">
        <v>188612</v>
      </c>
      <c r="H1959" s="8" t="n">
        <v>8480</v>
      </c>
      <c r="I1959" s="8" t="n">
        <v>8380</v>
      </c>
      <c r="J1959" s="8" t="n">
        <v>8490</v>
      </c>
      <c r="K1959" s="8" t="n">
        <v>8315</v>
      </c>
      <c r="L1959" s="8" t="n">
        <v>733438</v>
      </c>
      <c r="M1959" s="8" t="n">
        <v>349772</v>
      </c>
      <c r="N1959" t="inlineStr">
        <is>
          <t>是</t>
        </is>
      </c>
    </row>
    <row r="1960">
      <c r="A1960" s="7" t="inlineStr">
        <is>
          <t>2015-08-06</t>
        </is>
      </c>
      <c r="B1960" s="8" t="n">
        <v>7482</v>
      </c>
      <c r="C1960" s="8" t="n">
        <v>7499</v>
      </c>
      <c r="D1960" s="8" t="n">
        <v>7550</v>
      </c>
      <c r="E1960" s="8" t="n">
        <v>7436</v>
      </c>
      <c r="F1960" s="8" t="n">
        <v>266824</v>
      </c>
      <c r="G1960" s="8" t="n">
        <v>209390</v>
      </c>
      <c r="H1960" s="8" t="n">
        <v>8380</v>
      </c>
      <c r="I1960" s="8" t="n">
        <v>8405</v>
      </c>
      <c r="J1960" s="8" t="n">
        <v>8455</v>
      </c>
      <c r="K1960" s="8" t="n">
        <v>8305</v>
      </c>
      <c r="L1960" s="8" t="n">
        <v>861970</v>
      </c>
      <c r="M1960" s="8" t="n">
        <v>385976</v>
      </c>
      <c r="N1960" t="inlineStr">
        <is>
          <t>是</t>
        </is>
      </c>
    </row>
    <row r="1961">
      <c r="A1961" s="7" t="inlineStr">
        <is>
          <t>2015-08-07</t>
        </is>
      </c>
      <c r="B1961" s="8" t="n">
        <v>7607</v>
      </c>
      <c r="C1961" s="8" t="n">
        <v>7480</v>
      </c>
      <c r="D1961" s="8" t="n">
        <v>7620</v>
      </c>
      <c r="E1961" s="8" t="n">
        <v>7373</v>
      </c>
      <c r="F1961" s="8" t="n">
        <v>329454</v>
      </c>
      <c r="G1961" s="8" t="n">
        <v>218532</v>
      </c>
      <c r="H1961" s="8" t="n">
        <v>8495</v>
      </c>
      <c r="I1961" s="8" t="n">
        <v>8330</v>
      </c>
      <c r="J1961" s="8" t="n">
        <v>8510</v>
      </c>
      <c r="K1961" s="8" t="n">
        <v>8270</v>
      </c>
      <c r="L1961" s="8" t="n">
        <v>896740</v>
      </c>
      <c r="M1961" s="8" t="n">
        <v>397508</v>
      </c>
      <c r="N1961" t="inlineStr">
        <is>
          <t>是</t>
        </is>
      </c>
    </row>
    <row r="1962">
      <c r="A1962" s="7" t="inlineStr">
        <is>
          <t>2015-08-10</t>
        </is>
      </c>
      <c r="B1962" s="8" t="n">
        <v>7688</v>
      </c>
      <c r="C1962" s="8" t="n">
        <v>7580</v>
      </c>
      <c r="D1962" s="8" t="n">
        <v>7698</v>
      </c>
      <c r="E1962" s="8" t="n">
        <v>7536</v>
      </c>
      <c r="F1962" s="8" t="n">
        <v>336920</v>
      </c>
      <c r="G1962" s="8" t="n">
        <v>226844</v>
      </c>
      <c r="H1962" s="8" t="n">
        <v>8590</v>
      </c>
      <c r="I1962" s="8" t="n">
        <v>8450</v>
      </c>
      <c r="J1962" s="8" t="n">
        <v>8590</v>
      </c>
      <c r="K1962" s="8" t="n">
        <v>8395</v>
      </c>
      <c r="L1962" s="8" t="n">
        <v>780982</v>
      </c>
      <c r="M1962" s="8" t="n">
        <v>422446</v>
      </c>
      <c r="N1962" t="inlineStr">
        <is>
          <t>是</t>
        </is>
      </c>
    </row>
    <row r="1963">
      <c r="A1963" s="7" t="inlineStr">
        <is>
          <t>2015-08-11</t>
        </is>
      </c>
      <c r="B1963" s="8" t="n">
        <v>7896</v>
      </c>
      <c r="C1963" s="8" t="n">
        <v>7750</v>
      </c>
      <c r="D1963" s="8" t="n">
        <v>7922</v>
      </c>
      <c r="E1963" s="8" t="n">
        <v>7748</v>
      </c>
      <c r="F1963" s="8" t="n">
        <v>553286</v>
      </c>
      <c r="G1963" s="8" t="n">
        <v>226260</v>
      </c>
      <c r="H1963" s="8" t="n">
        <v>8810</v>
      </c>
      <c r="I1963" s="8" t="n">
        <v>8625</v>
      </c>
      <c r="J1963" s="8" t="n">
        <v>8810</v>
      </c>
      <c r="K1963" s="8" t="n">
        <v>8625</v>
      </c>
      <c r="L1963" s="8" t="n">
        <v>1228036</v>
      </c>
      <c r="M1963" s="8" t="n">
        <v>409136</v>
      </c>
      <c r="N1963" t="inlineStr">
        <is>
          <t>是</t>
        </is>
      </c>
    </row>
    <row r="1964">
      <c r="A1964" s="7" t="inlineStr">
        <is>
          <t>2015-08-12</t>
        </is>
      </c>
      <c r="B1964" s="8" t="n">
        <v>7898</v>
      </c>
      <c r="C1964" s="8" t="n">
        <v>7870</v>
      </c>
      <c r="D1964" s="8" t="n">
        <v>7929</v>
      </c>
      <c r="E1964" s="8" t="n">
        <v>7821</v>
      </c>
      <c r="F1964" s="8" t="n">
        <v>405254</v>
      </c>
      <c r="G1964" s="8" t="n">
        <v>217438</v>
      </c>
      <c r="H1964" s="8" t="n">
        <v>8870</v>
      </c>
      <c r="I1964" s="8" t="n">
        <v>8790</v>
      </c>
      <c r="J1964" s="8" t="n">
        <v>8880</v>
      </c>
      <c r="K1964" s="8" t="n">
        <v>8720</v>
      </c>
      <c r="L1964" s="8" t="n">
        <v>1061996</v>
      </c>
      <c r="M1964" s="8" t="n">
        <v>416456</v>
      </c>
      <c r="N1964" t="inlineStr">
        <is>
          <t>是</t>
        </is>
      </c>
    </row>
    <row r="1965">
      <c r="A1965" s="7" t="inlineStr">
        <is>
          <t>2015-08-13</t>
        </is>
      </c>
      <c r="B1965" s="8" t="n">
        <v>7911</v>
      </c>
      <c r="C1965" s="8" t="n">
        <v>7910</v>
      </c>
      <c r="D1965" s="8" t="n">
        <v>7945</v>
      </c>
      <c r="E1965" s="8" t="n">
        <v>7804</v>
      </c>
      <c r="F1965" s="8" t="n">
        <v>358884</v>
      </c>
      <c r="G1965" s="8" t="n">
        <v>227930</v>
      </c>
      <c r="H1965" s="8" t="n">
        <v>8885</v>
      </c>
      <c r="I1965" s="8" t="n">
        <v>8895</v>
      </c>
      <c r="J1965" s="8" t="n">
        <v>8920</v>
      </c>
      <c r="K1965" s="8" t="n">
        <v>8755</v>
      </c>
      <c r="L1965" s="8" t="n">
        <v>910750</v>
      </c>
      <c r="M1965" s="8" t="n">
        <v>422034</v>
      </c>
      <c r="N1965" t="inlineStr">
        <is>
          <t>是</t>
        </is>
      </c>
    </row>
    <row r="1966">
      <c r="A1966" s="7" t="inlineStr">
        <is>
          <t>2015-08-14</t>
        </is>
      </c>
      <c r="B1966" s="8" t="n">
        <v>7913</v>
      </c>
      <c r="C1966" s="8" t="n">
        <v>7831</v>
      </c>
      <c r="D1966" s="8" t="n">
        <v>8008</v>
      </c>
      <c r="E1966" s="8" t="n">
        <v>7831</v>
      </c>
      <c r="F1966" s="8" t="n">
        <v>647010</v>
      </c>
      <c r="G1966" s="8" t="n">
        <v>252664</v>
      </c>
      <c r="H1966" s="8" t="n">
        <v>8875</v>
      </c>
      <c r="I1966" s="8" t="n">
        <v>8800</v>
      </c>
      <c r="J1966" s="8" t="n">
        <v>8915</v>
      </c>
      <c r="K1966" s="8" t="n">
        <v>8785</v>
      </c>
      <c r="L1966" s="8" t="n">
        <v>812658</v>
      </c>
      <c r="M1966" s="8" t="n">
        <v>447552</v>
      </c>
      <c r="N1966" t="inlineStr">
        <is>
          <t>是</t>
        </is>
      </c>
    </row>
    <row r="1967">
      <c r="A1967" s="7" t="inlineStr">
        <is>
          <t>2015-08-17</t>
        </is>
      </c>
      <c r="B1967" s="8" t="n">
        <v>7746</v>
      </c>
      <c r="C1967" s="8" t="n">
        <v>7900</v>
      </c>
      <c r="D1967" s="8" t="n">
        <v>7917</v>
      </c>
      <c r="E1967" s="8" t="n">
        <v>7730</v>
      </c>
      <c r="F1967" s="8" t="n">
        <v>507074</v>
      </c>
      <c r="G1967" s="8" t="n">
        <v>230436</v>
      </c>
      <c r="H1967" s="8" t="n">
        <v>8680</v>
      </c>
      <c r="I1967" s="8" t="n">
        <v>8860</v>
      </c>
      <c r="J1967" s="8" t="n">
        <v>8875</v>
      </c>
      <c r="K1967" s="8" t="n">
        <v>8650</v>
      </c>
      <c r="L1967" s="8" t="n">
        <v>997086</v>
      </c>
      <c r="M1967" s="8" t="n">
        <v>426500</v>
      </c>
      <c r="N1967" t="inlineStr">
        <is>
          <t>是</t>
        </is>
      </c>
    </row>
    <row r="1968">
      <c r="A1968" s="7" t="inlineStr">
        <is>
          <t>2015-08-18</t>
        </is>
      </c>
      <c r="B1968" s="8" t="n">
        <v>7640</v>
      </c>
      <c r="C1968" s="8" t="n">
        <v>7735</v>
      </c>
      <c r="D1968" s="8" t="n">
        <v>7774</v>
      </c>
      <c r="E1968" s="8" t="n">
        <v>7588</v>
      </c>
      <c r="F1968" s="8" t="n">
        <v>522864</v>
      </c>
      <c r="G1968" s="8" t="n">
        <v>223498</v>
      </c>
      <c r="H1968" s="8" t="n">
        <v>8535</v>
      </c>
      <c r="I1968" s="8" t="n">
        <v>8655</v>
      </c>
      <c r="J1968" s="8" t="n">
        <v>8675</v>
      </c>
      <c r="K1968" s="8" t="n">
        <v>8475</v>
      </c>
      <c r="L1968" s="8" t="n">
        <v>1023460</v>
      </c>
      <c r="M1968" s="8" t="n">
        <v>412236</v>
      </c>
      <c r="N1968" t="inlineStr">
        <is>
          <t>是</t>
        </is>
      </c>
    </row>
    <row r="1969">
      <c r="A1969" s="7" t="inlineStr">
        <is>
          <t>2015-08-19</t>
        </is>
      </c>
      <c r="B1969" s="8" t="n">
        <v>7701</v>
      </c>
      <c r="C1969" s="8" t="n">
        <v>7660</v>
      </c>
      <c r="D1969" s="8" t="n">
        <v>7745</v>
      </c>
      <c r="E1969" s="8" t="n">
        <v>7626</v>
      </c>
      <c r="F1969" s="8" t="n">
        <v>597716</v>
      </c>
      <c r="G1969" s="8" t="n">
        <v>221950</v>
      </c>
      <c r="H1969" s="8" t="n">
        <v>8550</v>
      </c>
      <c r="I1969" s="8" t="n">
        <v>8565</v>
      </c>
      <c r="J1969" s="8" t="n">
        <v>8625</v>
      </c>
      <c r="K1969" s="8" t="n">
        <v>8515</v>
      </c>
      <c r="L1969" s="8" t="n">
        <v>852906</v>
      </c>
      <c r="M1969" s="8" t="n">
        <v>427996</v>
      </c>
      <c r="N1969" t="inlineStr">
        <is>
          <t>是</t>
        </is>
      </c>
    </row>
    <row r="1970">
      <c r="A1970" s="7" t="inlineStr">
        <is>
          <t>2015-08-20</t>
        </is>
      </c>
      <c r="B1970" s="8" t="n">
        <v>7650</v>
      </c>
      <c r="C1970" s="8" t="n">
        <v>7619</v>
      </c>
      <c r="D1970" s="8" t="n">
        <v>7676</v>
      </c>
      <c r="E1970" s="8" t="n">
        <v>7525</v>
      </c>
      <c r="F1970" s="8" t="n">
        <v>570184</v>
      </c>
      <c r="G1970" s="8" t="n">
        <v>223478</v>
      </c>
      <c r="H1970" s="8" t="n">
        <v>8460</v>
      </c>
      <c r="I1970" s="8" t="n">
        <v>8425</v>
      </c>
      <c r="J1970" s="8" t="n">
        <v>8475</v>
      </c>
      <c r="K1970" s="8" t="n">
        <v>8350</v>
      </c>
      <c r="L1970" s="8" t="n">
        <v>809264</v>
      </c>
      <c r="M1970" s="8" t="n">
        <v>434264</v>
      </c>
      <c r="N1970" t="inlineStr">
        <is>
          <t>是</t>
        </is>
      </c>
    </row>
    <row r="1971">
      <c r="A1971" s="7" t="inlineStr">
        <is>
          <t>2015-08-21</t>
        </is>
      </c>
      <c r="B1971" s="8" t="n">
        <v>7617</v>
      </c>
      <c r="C1971" s="8" t="n">
        <v>7683</v>
      </c>
      <c r="D1971" s="8" t="n">
        <v>7760</v>
      </c>
      <c r="E1971" s="8" t="n">
        <v>7604</v>
      </c>
      <c r="F1971" s="8" t="n">
        <v>480488</v>
      </c>
      <c r="G1971" s="8" t="n">
        <v>225626</v>
      </c>
      <c r="H1971" s="8" t="n">
        <v>8460</v>
      </c>
      <c r="I1971" s="8" t="n">
        <v>8495</v>
      </c>
      <c r="J1971" s="8" t="n">
        <v>8525</v>
      </c>
      <c r="K1971" s="8" t="n">
        <v>8420</v>
      </c>
      <c r="L1971" s="8" t="n">
        <v>716152</v>
      </c>
      <c r="M1971" s="8" t="n">
        <v>430124</v>
      </c>
      <c r="N1971" t="inlineStr">
        <is>
          <t>是</t>
        </is>
      </c>
    </row>
    <row r="1972">
      <c r="A1972" s="7" t="inlineStr">
        <is>
          <t>2015-08-24</t>
        </is>
      </c>
      <c r="B1972" s="8" t="n">
        <v>7347</v>
      </c>
      <c r="C1972" s="8" t="n">
        <v>7500</v>
      </c>
      <c r="D1972" s="8" t="n">
        <v>7505</v>
      </c>
      <c r="E1972" s="8" t="n">
        <v>7347</v>
      </c>
      <c r="F1972" s="8" t="n">
        <v>486910</v>
      </c>
      <c r="G1972" s="8" t="n">
        <v>236070</v>
      </c>
      <c r="H1972" s="8" t="n">
        <v>8155</v>
      </c>
      <c r="I1972" s="8" t="n">
        <v>8300</v>
      </c>
      <c r="J1972" s="8" t="n">
        <v>8300</v>
      </c>
      <c r="K1972" s="8" t="n">
        <v>8140</v>
      </c>
      <c r="L1972" s="8" t="n">
        <v>1042544</v>
      </c>
      <c r="M1972" s="8" t="n">
        <v>444318</v>
      </c>
      <c r="N1972" t="inlineStr">
        <is>
          <t>是</t>
        </is>
      </c>
    </row>
    <row r="1973">
      <c r="A1973" s="7" t="inlineStr">
        <is>
          <t>2015-08-25</t>
        </is>
      </c>
      <c r="B1973" s="8" t="n">
        <v>7359</v>
      </c>
      <c r="C1973" s="8" t="n">
        <v>7248</v>
      </c>
      <c r="D1973" s="8" t="n">
        <v>7455</v>
      </c>
      <c r="E1973" s="8" t="n">
        <v>7195</v>
      </c>
      <c r="F1973" s="8" t="n">
        <v>499310</v>
      </c>
      <c r="G1973" s="8" t="n">
        <v>222590</v>
      </c>
      <c r="H1973" s="8" t="n">
        <v>8270</v>
      </c>
      <c r="I1973" s="8" t="n">
        <v>8070</v>
      </c>
      <c r="J1973" s="8" t="n">
        <v>8335</v>
      </c>
      <c r="K1973" s="8" t="n">
        <v>8040</v>
      </c>
      <c r="L1973" s="8" t="n">
        <v>1162484</v>
      </c>
      <c r="M1973" s="8" t="n">
        <v>448018</v>
      </c>
      <c r="N1973" t="inlineStr">
        <is>
          <t>是</t>
        </is>
      </c>
    </row>
    <row r="1974">
      <c r="A1974" s="7" t="inlineStr">
        <is>
          <t>2015-08-26</t>
        </is>
      </c>
      <c r="B1974" s="8" t="n">
        <v>7364</v>
      </c>
      <c r="C1974" s="8" t="n">
        <v>7440</v>
      </c>
      <c r="D1974" s="8" t="n">
        <v>7447</v>
      </c>
      <c r="E1974" s="8" t="n">
        <v>7313</v>
      </c>
      <c r="F1974" s="8" t="n">
        <v>407654</v>
      </c>
      <c r="G1974" s="8" t="n">
        <v>228572</v>
      </c>
      <c r="H1974" s="8" t="n">
        <v>8255</v>
      </c>
      <c r="I1974" s="8" t="n">
        <v>8335</v>
      </c>
      <c r="J1974" s="8" t="n">
        <v>8350</v>
      </c>
      <c r="K1974" s="8" t="n">
        <v>8210</v>
      </c>
      <c r="L1974" s="8" t="n">
        <v>790224</v>
      </c>
      <c r="M1974" s="8" t="n">
        <v>448282</v>
      </c>
      <c r="N1974" t="inlineStr">
        <is>
          <t>是</t>
        </is>
      </c>
    </row>
    <row r="1975">
      <c r="A1975" s="7" t="inlineStr">
        <is>
          <t>2015-08-27</t>
        </is>
      </c>
      <c r="B1975" s="8" t="n">
        <v>7467</v>
      </c>
      <c r="C1975" s="8" t="n">
        <v>7400</v>
      </c>
      <c r="D1975" s="8" t="n">
        <v>7474</v>
      </c>
      <c r="E1975" s="8" t="n">
        <v>7361</v>
      </c>
      <c r="F1975" s="8" t="n">
        <v>491752</v>
      </c>
      <c r="G1975" s="8" t="n">
        <v>231610</v>
      </c>
      <c r="H1975" s="8" t="n">
        <v>8515</v>
      </c>
      <c r="I1975" s="8" t="n">
        <v>8295</v>
      </c>
      <c r="J1975" s="8" t="n">
        <v>8520</v>
      </c>
      <c r="K1975" s="8" t="n">
        <v>8290</v>
      </c>
      <c r="L1975" s="8" t="n">
        <v>1031300</v>
      </c>
      <c r="M1975" s="8" t="n">
        <v>474944</v>
      </c>
      <c r="N1975" t="inlineStr">
        <is>
          <t>是</t>
        </is>
      </c>
    </row>
    <row r="1976">
      <c r="A1976" s="7" t="inlineStr">
        <is>
          <t>2015-08-28</t>
        </is>
      </c>
      <c r="B1976" s="8" t="n">
        <v>7628</v>
      </c>
      <c r="C1976" s="8" t="n">
        <v>7710</v>
      </c>
      <c r="D1976" s="8" t="n">
        <v>7719</v>
      </c>
      <c r="E1976" s="8" t="n">
        <v>7600</v>
      </c>
      <c r="F1976" s="8" t="n">
        <v>471652</v>
      </c>
      <c r="G1976" s="8" t="n">
        <v>220482</v>
      </c>
      <c r="H1976" s="8" t="n">
        <v>8655</v>
      </c>
      <c r="I1976" s="8" t="n">
        <v>8755</v>
      </c>
      <c r="J1976" s="8" t="n">
        <v>8755</v>
      </c>
      <c r="K1976" s="8" t="n">
        <v>8635</v>
      </c>
      <c r="L1976" s="8" t="n">
        <v>819400</v>
      </c>
      <c r="M1976" s="8" t="n">
        <v>395906</v>
      </c>
      <c r="N1976" t="inlineStr">
        <is>
          <t>是</t>
        </is>
      </c>
    </row>
    <row r="1977">
      <c r="A1977" s="7" t="inlineStr">
        <is>
          <t>2015-08-31</t>
        </is>
      </c>
      <c r="B1977" s="8" t="n">
        <v>7551</v>
      </c>
      <c r="C1977" s="8" t="n">
        <v>7655</v>
      </c>
      <c r="D1977" s="8" t="n">
        <v>7658</v>
      </c>
      <c r="E1977" s="8" t="n">
        <v>7531</v>
      </c>
      <c r="F1977" s="8" t="n">
        <v>388692</v>
      </c>
      <c r="G1977" s="8" t="n">
        <v>228256</v>
      </c>
      <c r="H1977" s="8" t="n">
        <v>8555</v>
      </c>
      <c r="I1977" s="8" t="n">
        <v>8655</v>
      </c>
      <c r="J1977" s="8" t="n">
        <v>8680</v>
      </c>
      <c r="K1977" s="8" t="n">
        <v>8530</v>
      </c>
      <c r="L1977" s="8" t="n">
        <v>781986</v>
      </c>
      <c r="M1977" s="8" t="n">
        <v>407470</v>
      </c>
      <c r="N1977" t="inlineStr">
        <is>
          <t>是</t>
        </is>
      </c>
    </row>
    <row r="1978">
      <c r="A1978" s="7" t="inlineStr">
        <is>
          <t>2015-09-01</t>
        </is>
      </c>
      <c r="B1978" s="8" t="n">
        <v>7678</v>
      </c>
      <c r="C1978" s="8" t="n">
        <v>7720</v>
      </c>
      <c r="D1978" s="8" t="n">
        <v>7720</v>
      </c>
      <c r="E1978" s="8" t="n">
        <v>7632</v>
      </c>
      <c r="F1978" s="8" t="n">
        <v>464922</v>
      </c>
      <c r="G1978" s="8" t="n">
        <v>222958</v>
      </c>
      <c r="H1978" s="8" t="n">
        <v>8625</v>
      </c>
      <c r="I1978" s="8" t="n">
        <v>8660</v>
      </c>
      <c r="J1978" s="8" t="n">
        <v>8735</v>
      </c>
      <c r="K1978" s="8" t="n">
        <v>8610</v>
      </c>
      <c r="L1978" s="8" t="n">
        <v>704624</v>
      </c>
      <c r="M1978" s="8" t="n">
        <v>408086</v>
      </c>
      <c r="N1978" t="inlineStr">
        <is>
          <t>是</t>
        </is>
      </c>
    </row>
    <row r="1979">
      <c r="A1979" s="7" t="inlineStr">
        <is>
          <t>2015-09-02</t>
        </is>
      </c>
      <c r="B1979" s="8" t="n">
        <v>7632</v>
      </c>
      <c r="C1979" s="8" t="n">
        <v>7551</v>
      </c>
      <c r="D1979" s="8" t="n">
        <v>7651</v>
      </c>
      <c r="E1979" s="8" t="n">
        <v>7541</v>
      </c>
      <c r="F1979" s="8" t="n">
        <v>426118</v>
      </c>
      <c r="G1979" s="8" t="n">
        <v>218276</v>
      </c>
      <c r="H1979" s="8" t="n">
        <v>8610</v>
      </c>
      <c r="I1979" s="8" t="n">
        <v>8505</v>
      </c>
      <c r="J1979" s="8" t="n">
        <v>8610</v>
      </c>
      <c r="K1979" s="8" t="n">
        <v>8475</v>
      </c>
      <c r="L1979" s="8" t="n">
        <v>445662</v>
      </c>
      <c r="M1979" s="8" t="n">
        <v>407536</v>
      </c>
      <c r="N1979" t="inlineStr">
        <is>
          <t>是</t>
        </is>
      </c>
    </row>
    <row r="1980">
      <c r="A1980" s="7" t="inlineStr">
        <is>
          <t>2015-09-03</t>
        </is>
      </c>
      <c r="B1980" s="8" t="n">
        <v>7610</v>
      </c>
      <c r="C1980" s="8" t="n">
        <v>7551</v>
      </c>
      <c r="D1980" s="8" t="n">
        <v>7651</v>
      </c>
      <c r="E1980" s="8" t="n">
        <v>7541</v>
      </c>
      <c r="F1980" s="8" t="n">
        <v>0</v>
      </c>
      <c r="G1980" s="8" t="n">
        <v>218276</v>
      </c>
      <c r="H1980" s="8" t="n">
        <v>8540</v>
      </c>
      <c r="I1980" s="8" t="n">
        <v>8505</v>
      </c>
      <c r="J1980" s="8" t="n">
        <v>8610</v>
      </c>
      <c r="K1980" s="8" t="n">
        <v>8475</v>
      </c>
      <c r="L1980" s="8" t="n">
        <v>0</v>
      </c>
      <c r="M1980" s="8" t="n">
        <v>407536</v>
      </c>
      <c r="N1980" t="inlineStr">
        <is>
          <t>是</t>
        </is>
      </c>
    </row>
    <row r="1981">
      <c r="A1981" s="7" t="inlineStr">
        <is>
          <t>2015-09-07</t>
        </is>
      </c>
      <c r="B1981" s="8" t="n">
        <v>7940</v>
      </c>
      <c r="C1981" s="8" t="n">
        <v>7900</v>
      </c>
      <c r="D1981" s="8" t="n">
        <v>8028</v>
      </c>
      <c r="E1981" s="8" t="n">
        <v>7900</v>
      </c>
      <c r="F1981" s="8" t="n">
        <v>598</v>
      </c>
      <c r="G1981" s="8" t="n">
        <v>4280</v>
      </c>
      <c r="H1981" s="8" t="n">
        <v>9155</v>
      </c>
      <c r="I1981" s="8" t="n">
        <v>9100</v>
      </c>
      <c r="J1981" s="8" t="n">
        <v>9155</v>
      </c>
      <c r="K1981" s="8" t="n">
        <v>8995</v>
      </c>
      <c r="L1981" s="8" t="n">
        <v>534</v>
      </c>
      <c r="M1981" s="8" t="n">
        <v>8830</v>
      </c>
      <c r="N1981" t="inlineStr">
        <is>
          <t>是</t>
        </is>
      </c>
    </row>
    <row r="1982">
      <c r="A1982" s="7" t="inlineStr">
        <is>
          <t>2015-09-08</t>
        </is>
      </c>
      <c r="B1982" s="8" t="n">
        <v>7582</v>
      </c>
      <c r="C1982" s="8" t="n">
        <v>7605</v>
      </c>
      <c r="D1982" s="8" t="n">
        <v>7645</v>
      </c>
      <c r="E1982" s="8" t="n">
        <v>7493</v>
      </c>
      <c r="F1982" s="8" t="n">
        <v>685694</v>
      </c>
      <c r="G1982" s="8" t="n">
        <v>238844</v>
      </c>
      <c r="H1982" s="8" t="n">
        <v>8460</v>
      </c>
      <c r="I1982" s="8" t="n">
        <v>8495</v>
      </c>
      <c r="J1982" s="8" t="n">
        <v>8540</v>
      </c>
      <c r="K1982" s="8" t="n">
        <v>8380</v>
      </c>
      <c r="L1982" s="8" t="n">
        <v>892116</v>
      </c>
      <c r="M1982" s="8" t="n">
        <v>448110</v>
      </c>
      <c r="N1982" t="inlineStr">
        <is>
          <t>是</t>
        </is>
      </c>
    </row>
    <row r="1983">
      <c r="A1983" s="7" t="inlineStr">
        <is>
          <t>2015-09-09</t>
        </is>
      </c>
      <c r="B1983" s="8" t="n">
        <v>7630</v>
      </c>
      <c r="C1983" s="8" t="n">
        <v>7680</v>
      </c>
      <c r="D1983" s="8" t="n">
        <v>7729</v>
      </c>
      <c r="E1983" s="8" t="n">
        <v>7626</v>
      </c>
      <c r="F1983" s="8" t="n">
        <v>741058</v>
      </c>
      <c r="G1983" s="8" t="n">
        <v>237078</v>
      </c>
      <c r="H1983" s="8" t="n">
        <v>8580</v>
      </c>
      <c r="I1983" s="8" t="n">
        <v>8575</v>
      </c>
      <c r="J1983" s="8" t="n">
        <v>8670</v>
      </c>
      <c r="K1983" s="8" t="n">
        <v>8550</v>
      </c>
      <c r="L1983" s="8" t="n">
        <v>1085748</v>
      </c>
      <c r="M1983" s="8" t="n">
        <v>413416</v>
      </c>
      <c r="N1983" t="inlineStr">
        <is>
          <t>是</t>
        </is>
      </c>
    </row>
    <row r="1984">
      <c r="A1984" s="7" t="inlineStr">
        <is>
          <t>2015-09-10</t>
        </is>
      </c>
      <c r="B1984" s="8" t="n">
        <v>7622</v>
      </c>
      <c r="C1984" s="8" t="n">
        <v>7557</v>
      </c>
      <c r="D1984" s="8" t="n">
        <v>7622</v>
      </c>
      <c r="E1984" s="8" t="n">
        <v>7472</v>
      </c>
      <c r="F1984" s="8" t="n">
        <v>928298</v>
      </c>
      <c r="G1984" s="8" t="n">
        <v>274002</v>
      </c>
      <c r="H1984" s="8" t="n">
        <v>8680</v>
      </c>
      <c r="I1984" s="8" t="n">
        <v>8515</v>
      </c>
      <c r="J1984" s="8" t="n">
        <v>8685</v>
      </c>
      <c r="K1984" s="8" t="n">
        <v>8445</v>
      </c>
      <c r="L1984" s="8" t="n">
        <v>1064994</v>
      </c>
      <c r="M1984" s="8" t="n">
        <v>452864</v>
      </c>
      <c r="N1984" t="inlineStr">
        <is>
          <t>是</t>
        </is>
      </c>
    </row>
    <row r="1985">
      <c r="A1985" s="7" t="inlineStr">
        <is>
          <t>2015-09-11</t>
        </is>
      </c>
      <c r="B1985" s="8" t="n">
        <v>7595</v>
      </c>
      <c r="C1985" s="8" t="n">
        <v>7644</v>
      </c>
      <c r="D1985" s="8" t="n">
        <v>7676</v>
      </c>
      <c r="E1985" s="8" t="n">
        <v>7576</v>
      </c>
      <c r="F1985" s="8" t="n">
        <v>840514</v>
      </c>
      <c r="G1985" s="8" t="n">
        <v>291928</v>
      </c>
      <c r="H1985" s="8" t="n">
        <v>8640</v>
      </c>
      <c r="I1985" s="8" t="n">
        <v>8720</v>
      </c>
      <c r="J1985" s="8" t="n">
        <v>8795</v>
      </c>
      <c r="K1985" s="8" t="n">
        <v>8620</v>
      </c>
      <c r="L1985" s="8" t="n">
        <v>1266668</v>
      </c>
      <c r="M1985" s="8" t="n">
        <v>456624</v>
      </c>
      <c r="N1985" t="inlineStr">
        <is>
          <t>是</t>
        </is>
      </c>
    </row>
    <row r="1986">
      <c r="A1986" s="7" t="inlineStr">
        <is>
          <t>2015-09-14</t>
        </is>
      </c>
      <c r="B1986" s="8" t="n">
        <v>7516</v>
      </c>
      <c r="C1986" s="8" t="n">
        <v>7598</v>
      </c>
      <c r="D1986" s="8" t="n">
        <v>7654</v>
      </c>
      <c r="E1986" s="8" t="n">
        <v>7509</v>
      </c>
      <c r="F1986" s="8" t="n">
        <v>693352</v>
      </c>
      <c r="G1986" s="8" t="n">
        <v>301046</v>
      </c>
      <c r="H1986" s="8" t="n">
        <v>8530</v>
      </c>
      <c r="I1986" s="8" t="n">
        <v>8640</v>
      </c>
      <c r="J1986" s="8" t="n">
        <v>8710</v>
      </c>
      <c r="K1986" s="8" t="n">
        <v>8525</v>
      </c>
      <c r="L1986" s="8" t="n">
        <v>792222</v>
      </c>
      <c r="M1986" s="8" t="n">
        <v>464912</v>
      </c>
      <c r="N1986" t="inlineStr">
        <is>
          <t>是</t>
        </is>
      </c>
    </row>
    <row r="1987">
      <c r="A1987" s="7" t="inlineStr">
        <is>
          <t>2015-09-15</t>
        </is>
      </c>
      <c r="B1987" s="8" t="n">
        <v>7430</v>
      </c>
      <c r="C1987" s="8" t="n">
        <v>7505</v>
      </c>
      <c r="D1987" s="8" t="n">
        <v>7533</v>
      </c>
      <c r="E1987" s="8" t="n">
        <v>7393</v>
      </c>
      <c r="F1987" s="8" t="n">
        <v>805132</v>
      </c>
      <c r="G1987" s="8" t="n">
        <v>336244</v>
      </c>
      <c r="H1987" s="8" t="n">
        <v>8510</v>
      </c>
      <c r="I1987" s="8" t="n">
        <v>8530</v>
      </c>
      <c r="J1987" s="8" t="n">
        <v>8565</v>
      </c>
      <c r="K1987" s="8" t="n">
        <v>8430</v>
      </c>
      <c r="L1987" s="8" t="n">
        <v>835622</v>
      </c>
      <c r="M1987" s="8" t="n">
        <v>470368</v>
      </c>
      <c r="N1987" t="inlineStr">
        <is>
          <t>是</t>
        </is>
      </c>
    </row>
    <row r="1988">
      <c r="A1988" s="7" t="inlineStr">
        <is>
          <t>2015-09-16</t>
        </is>
      </c>
      <c r="B1988" s="8" t="n">
        <v>7436</v>
      </c>
      <c r="C1988" s="8" t="n">
        <v>7490</v>
      </c>
      <c r="D1988" s="8" t="n">
        <v>7502</v>
      </c>
      <c r="E1988" s="8" t="n">
        <v>7374</v>
      </c>
      <c r="F1988" s="8" t="n">
        <v>981924</v>
      </c>
      <c r="G1988" s="8" t="n">
        <v>350524</v>
      </c>
      <c r="H1988" s="8" t="n">
        <v>8535</v>
      </c>
      <c r="I1988" s="8" t="n">
        <v>8570</v>
      </c>
      <c r="J1988" s="8" t="n">
        <v>8590</v>
      </c>
      <c r="K1988" s="8" t="n">
        <v>8435</v>
      </c>
      <c r="L1988" s="8" t="n">
        <v>882912</v>
      </c>
      <c r="M1988" s="8" t="n">
        <v>455902</v>
      </c>
      <c r="N1988" t="inlineStr">
        <is>
          <t>是</t>
        </is>
      </c>
    </row>
    <row r="1989">
      <c r="A1989" s="7" t="inlineStr">
        <is>
          <t>2015-09-17</t>
        </is>
      </c>
      <c r="B1989" s="8" t="n">
        <v>7343</v>
      </c>
      <c r="C1989" s="8" t="n">
        <v>7500</v>
      </c>
      <c r="D1989" s="8" t="n">
        <v>7514</v>
      </c>
      <c r="E1989" s="8" t="n">
        <v>7336</v>
      </c>
      <c r="F1989" s="8" t="n">
        <v>1042884</v>
      </c>
      <c r="G1989" s="8" t="n">
        <v>398752</v>
      </c>
      <c r="H1989" s="8" t="n">
        <v>8455</v>
      </c>
      <c r="I1989" s="8" t="n">
        <v>8630</v>
      </c>
      <c r="J1989" s="8" t="n">
        <v>8635</v>
      </c>
      <c r="K1989" s="8" t="n">
        <v>8455</v>
      </c>
      <c r="L1989" s="8" t="n">
        <v>900066</v>
      </c>
      <c r="M1989" s="8" t="n">
        <v>474322</v>
      </c>
      <c r="N1989" t="inlineStr">
        <is>
          <t>是</t>
        </is>
      </c>
    </row>
    <row r="1990">
      <c r="A1990" s="7" t="inlineStr">
        <is>
          <t>2015-09-18</t>
        </is>
      </c>
      <c r="B1990" s="8" t="n">
        <v>7340</v>
      </c>
      <c r="C1990" s="8" t="n">
        <v>7367</v>
      </c>
      <c r="D1990" s="8" t="n">
        <v>7408</v>
      </c>
      <c r="E1990" s="8" t="n">
        <v>7305</v>
      </c>
      <c r="F1990" s="8" t="n">
        <v>1164916</v>
      </c>
      <c r="G1990" s="8" t="n">
        <v>379826</v>
      </c>
      <c r="H1990" s="8" t="n">
        <v>8375</v>
      </c>
      <c r="I1990" s="8" t="n">
        <v>8475</v>
      </c>
      <c r="J1990" s="8" t="n">
        <v>8525</v>
      </c>
      <c r="K1990" s="8" t="n">
        <v>8365</v>
      </c>
      <c r="L1990" s="8" t="n">
        <v>1032110</v>
      </c>
      <c r="M1990" s="8" t="n">
        <v>505886</v>
      </c>
      <c r="N1990" t="inlineStr">
        <is>
          <t>是</t>
        </is>
      </c>
    </row>
    <row r="1991">
      <c r="A1991" s="7" t="inlineStr">
        <is>
          <t>2015-09-21</t>
        </is>
      </c>
      <c r="B1991" s="8" t="n">
        <v>7426</v>
      </c>
      <c r="C1991" s="8" t="n">
        <v>7301</v>
      </c>
      <c r="D1991" s="8" t="n">
        <v>7428</v>
      </c>
      <c r="E1991" s="8" t="n">
        <v>7293</v>
      </c>
      <c r="F1991" s="8" t="n">
        <v>971442</v>
      </c>
      <c r="G1991" s="8" t="n">
        <v>360238</v>
      </c>
      <c r="H1991" s="8" t="n">
        <v>8475</v>
      </c>
      <c r="I1991" s="8" t="n">
        <v>8310</v>
      </c>
      <c r="J1991" s="8" t="n">
        <v>8485</v>
      </c>
      <c r="K1991" s="8" t="n">
        <v>8300</v>
      </c>
      <c r="L1991" s="8" t="n">
        <v>767744</v>
      </c>
      <c r="M1991" s="8" t="n">
        <v>469870</v>
      </c>
      <c r="N1991" t="inlineStr">
        <is>
          <t>是</t>
        </is>
      </c>
    </row>
    <row r="1992">
      <c r="A1992" s="7" t="inlineStr">
        <is>
          <t>2015-09-22</t>
        </is>
      </c>
      <c r="B1992" s="8" t="n">
        <v>7363</v>
      </c>
      <c r="C1992" s="8" t="n">
        <v>7429</v>
      </c>
      <c r="D1992" s="8" t="n">
        <v>7429</v>
      </c>
      <c r="E1992" s="8" t="n">
        <v>7343</v>
      </c>
      <c r="F1992" s="8" t="n">
        <v>776358</v>
      </c>
      <c r="G1992" s="8" t="n">
        <v>351844</v>
      </c>
      <c r="H1992" s="8" t="n">
        <v>8420</v>
      </c>
      <c r="I1992" s="8" t="n">
        <v>8460</v>
      </c>
      <c r="J1992" s="8" t="n">
        <v>8470</v>
      </c>
      <c r="K1992" s="8" t="n">
        <v>8360</v>
      </c>
      <c r="L1992" s="8" t="n">
        <v>674178</v>
      </c>
      <c r="M1992" s="8" t="n">
        <v>439544</v>
      </c>
      <c r="N1992" t="inlineStr">
        <is>
          <t>是</t>
        </is>
      </c>
    </row>
    <row r="1993">
      <c r="A1993" s="7" t="inlineStr">
        <is>
          <t>2015-09-23</t>
        </is>
      </c>
      <c r="B1993" s="8" t="n">
        <v>7380</v>
      </c>
      <c r="C1993" s="8" t="n">
        <v>7375</v>
      </c>
      <c r="D1993" s="8" t="n">
        <v>7394</v>
      </c>
      <c r="E1993" s="8" t="n">
        <v>7291</v>
      </c>
      <c r="F1993" s="8" t="n">
        <v>1023354</v>
      </c>
      <c r="G1993" s="8" t="n">
        <v>344794</v>
      </c>
      <c r="H1993" s="8" t="n">
        <v>8515</v>
      </c>
      <c r="I1993" s="8" t="n">
        <v>8440</v>
      </c>
      <c r="J1993" s="8" t="n">
        <v>8520</v>
      </c>
      <c r="K1993" s="8" t="n">
        <v>8390</v>
      </c>
      <c r="L1993" s="8" t="n">
        <v>996838</v>
      </c>
      <c r="M1993" s="8" t="n">
        <v>455596</v>
      </c>
      <c r="N1993" t="inlineStr">
        <is>
          <t>是</t>
        </is>
      </c>
    </row>
    <row r="1994">
      <c r="A1994" s="7" t="inlineStr">
        <is>
          <t>2015-09-24</t>
        </is>
      </c>
      <c r="B1994" s="8" t="n">
        <v>7313</v>
      </c>
      <c r="C1994" s="8" t="n">
        <v>7300</v>
      </c>
      <c r="D1994" s="8" t="n">
        <v>7349</v>
      </c>
      <c r="E1994" s="8" t="n">
        <v>7273</v>
      </c>
      <c r="F1994" s="8" t="n">
        <v>910516</v>
      </c>
      <c r="G1994" s="8" t="n">
        <v>366472</v>
      </c>
      <c r="H1994" s="8" t="n">
        <v>8460</v>
      </c>
      <c r="I1994" s="8" t="n">
        <v>8445</v>
      </c>
      <c r="J1994" s="8" t="n">
        <v>8485</v>
      </c>
      <c r="K1994" s="8" t="n">
        <v>8405</v>
      </c>
      <c r="L1994" s="8" t="n">
        <v>631180</v>
      </c>
      <c r="M1994" s="8" t="n">
        <v>438422</v>
      </c>
      <c r="N1994" t="inlineStr">
        <is>
          <t>是</t>
        </is>
      </c>
    </row>
    <row r="1995">
      <c r="A1995" s="7" t="inlineStr">
        <is>
          <t>2015-09-25</t>
        </is>
      </c>
      <c r="B1995" s="8" t="n">
        <v>7216</v>
      </c>
      <c r="C1995" s="8" t="n">
        <v>7337</v>
      </c>
      <c r="D1995" s="8" t="n">
        <v>7344</v>
      </c>
      <c r="E1995" s="8" t="n">
        <v>7216</v>
      </c>
      <c r="F1995" s="8" t="n">
        <v>1022434</v>
      </c>
      <c r="G1995" s="8" t="n">
        <v>395452</v>
      </c>
      <c r="H1995" s="8" t="n">
        <v>8345</v>
      </c>
      <c r="I1995" s="8" t="n">
        <v>8500</v>
      </c>
      <c r="J1995" s="8" t="n">
        <v>8505</v>
      </c>
      <c r="K1995" s="8" t="n">
        <v>8340</v>
      </c>
      <c r="L1995" s="8" t="n">
        <v>779346</v>
      </c>
      <c r="M1995" s="8" t="n">
        <v>462524</v>
      </c>
      <c r="N1995" t="inlineStr">
        <is>
          <t>是</t>
        </is>
      </c>
    </row>
    <row r="1996">
      <c r="A1996" s="7" t="inlineStr">
        <is>
          <t>2015-09-28</t>
        </is>
      </c>
      <c r="B1996" s="8" t="n">
        <v>7178</v>
      </c>
      <c r="C1996" s="8" t="n">
        <v>7205</v>
      </c>
      <c r="D1996" s="8" t="n">
        <v>7249</v>
      </c>
      <c r="E1996" s="8" t="n">
        <v>7168</v>
      </c>
      <c r="F1996" s="8" t="n">
        <v>844070</v>
      </c>
      <c r="G1996" s="8" t="n">
        <v>367142</v>
      </c>
      <c r="H1996" s="8" t="n">
        <v>8250</v>
      </c>
      <c r="I1996" s="8" t="n">
        <v>8350</v>
      </c>
      <c r="J1996" s="8" t="n">
        <v>8365</v>
      </c>
      <c r="K1996" s="8" t="n">
        <v>8235</v>
      </c>
      <c r="L1996" s="8" t="n">
        <v>644404</v>
      </c>
      <c r="M1996" s="8" t="n">
        <v>463966</v>
      </c>
      <c r="N1996" t="inlineStr">
        <is>
          <t>是</t>
        </is>
      </c>
    </row>
    <row r="1997">
      <c r="A1997" s="7" t="inlineStr">
        <is>
          <t>2015-09-29</t>
        </is>
      </c>
      <c r="B1997" s="8" t="n">
        <v>7081</v>
      </c>
      <c r="C1997" s="8" t="n">
        <v>7158</v>
      </c>
      <c r="D1997" s="8" t="n">
        <v>7168</v>
      </c>
      <c r="E1997" s="8" t="n">
        <v>6997</v>
      </c>
      <c r="F1997" s="8" t="n">
        <v>857968</v>
      </c>
      <c r="G1997" s="8" t="n">
        <v>336898</v>
      </c>
      <c r="H1997" s="8" t="n">
        <v>8230</v>
      </c>
      <c r="I1997" s="8" t="n">
        <v>8210</v>
      </c>
      <c r="J1997" s="8" t="n">
        <v>8240</v>
      </c>
      <c r="K1997" s="8" t="n">
        <v>8110</v>
      </c>
      <c r="L1997" s="8" t="n">
        <v>643004</v>
      </c>
      <c r="M1997" s="8" t="n">
        <v>410446</v>
      </c>
      <c r="N1997" t="inlineStr">
        <is>
          <t>是</t>
        </is>
      </c>
    </row>
    <row r="1998">
      <c r="A1998" s="7" t="inlineStr">
        <is>
          <t>2015-09-30</t>
        </is>
      </c>
      <c r="B1998" s="8" t="n">
        <v>7088</v>
      </c>
      <c r="C1998" s="8" t="n">
        <v>7055</v>
      </c>
      <c r="D1998" s="8" t="n">
        <v>7095</v>
      </c>
      <c r="E1998" s="8" t="n">
        <v>7030</v>
      </c>
      <c r="F1998" s="8" t="n">
        <v>572638</v>
      </c>
      <c r="G1998" s="8" t="n">
        <v>323876</v>
      </c>
      <c r="H1998" s="8" t="n">
        <v>8300</v>
      </c>
      <c r="I1998" s="8" t="n">
        <v>8230</v>
      </c>
      <c r="J1998" s="8" t="n">
        <v>8310</v>
      </c>
      <c r="K1998" s="8" t="n">
        <v>8195</v>
      </c>
      <c r="L1998" s="8" t="n">
        <v>445568</v>
      </c>
      <c r="M1998" s="8" t="n">
        <v>400268</v>
      </c>
      <c r="N1998" t="inlineStr">
        <is>
          <t>是</t>
        </is>
      </c>
    </row>
    <row r="1999">
      <c r="A1999" s="7" t="inlineStr">
        <is>
          <t>2015-10-01</t>
        </is>
      </c>
      <c r="B1999" s="8" t="n">
        <v>7064</v>
      </c>
      <c r="C1999" s="8" t="n">
        <v>7055</v>
      </c>
      <c r="D1999" s="8" t="n">
        <v>7095</v>
      </c>
      <c r="E1999" s="8" t="n">
        <v>7030</v>
      </c>
      <c r="F1999" s="8" t="n">
        <v>0</v>
      </c>
      <c r="G1999" s="8" t="n">
        <v>323876</v>
      </c>
      <c r="H1999" s="8" t="n">
        <v>8250</v>
      </c>
      <c r="I1999" s="8" t="n">
        <v>8230</v>
      </c>
      <c r="J1999" s="8" t="n">
        <v>8310</v>
      </c>
      <c r="K1999" s="8" t="n">
        <v>8195</v>
      </c>
      <c r="L1999" s="8" t="n">
        <v>0</v>
      </c>
      <c r="M1999" s="8" t="n">
        <v>400268</v>
      </c>
      <c r="N1999" t="inlineStr">
        <is>
          <t>是</t>
        </is>
      </c>
    </row>
    <row r="2000">
      <c r="A2000" s="7" t="inlineStr">
        <is>
          <t>2015-10-08</t>
        </is>
      </c>
      <c r="B2000" s="8" t="n">
        <v>7580</v>
      </c>
      <c r="C2000" s="8" t="n">
        <v>7580</v>
      </c>
      <c r="D2000" s="8" t="n">
        <v>7580</v>
      </c>
      <c r="E2000" s="8" t="n">
        <v>7550</v>
      </c>
      <c r="F2000" s="8" t="n">
        <v>4</v>
      </c>
      <c r="G2000" s="8" t="n">
        <v>36</v>
      </c>
      <c r="H2000" s="8" t="n">
        <v>8805</v>
      </c>
      <c r="I2000" s="8" t="n">
        <v>8805</v>
      </c>
      <c r="J2000" s="8" t="n">
        <v>8805</v>
      </c>
      <c r="K2000" s="8" t="n">
        <v>8805</v>
      </c>
      <c r="L2000" s="8" t="n">
        <v>14</v>
      </c>
      <c r="M2000" s="8" t="n">
        <v>14</v>
      </c>
      <c r="N2000" t="inlineStr">
        <is>
          <t>是</t>
        </is>
      </c>
    </row>
    <row r="2001">
      <c r="A2001" s="7" t="inlineStr">
        <is>
          <t>2015-10-09</t>
        </is>
      </c>
      <c r="B2001" s="8" t="n">
        <v>7426</v>
      </c>
      <c r="C2001" s="8" t="n">
        <v>7225</v>
      </c>
      <c r="D2001" s="8" t="n">
        <v>7470</v>
      </c>
      <c r="E2001" s="8" t="n">
        <v>7217</v>
      </c>
      <c r="F2001" s="8" t="n">
        <v>936508</v>
      </c>
      <c r="G2001" s="8" t="n">
        <v>305496</v>
      </c>
      <c r="H2001" s="8" t="n">
        <v>8665</v>
      </c>
      <c r="I2001" s="8" t="n">
        <v>8490</v>
      </c>
      <c r="J2001" s="8" t="n">
        <v>8730</v>
      </c>
      <c r="K2001" s="8" t="n">
        <v>8455</v>
      </c>
      <c r="L2001" s="8" t="n">
        <v>932116</v>
      </c>
      <c r="M2001" s="8" t="n">
        <v>365570</v>
      </c>
      <c r="N2001" t="inlineStr">
        <is>
          <t>是</t>
        </is>
      </c>
    </row>
    <row r="2002">
      <c r="A2002" s="7" t="inlineStr">
        <is>
          <t>2015-10-12</t>
        </is>
      </c>
      <c r="B2002" s="8" t="n">
        <v>7388</v>
      </c>
      <c r="C2002" s="8" t="n">
        <v>7397</v>
      </c>
      <c r="D2002" s="8" t="n">
        <v>7417</v>
      </c>
      <c r="E2002" s="8" t="n">
        <v>7355</v>
      </c>
      <c r="F2002" s="8" t="n">
        <v>587578</v>
      </c>
      <c r="G2002" s="8" t="n">
        <v>306264</v>
      </c>
      <c r="H2002" s="8" t="n">
        <v>8630</v>
      </c>
      <c r="I2002" s="8" t="n">
        <v>8645</v>
      </c>
      <c r="J2002" s="8" t="n">
        <v>8680</v>
      </c>
      <c r="K2002" s="8" t="n">
        <v>8605</v>
      </c>
      <c r="L2002" s="8" t="n">
        <v>461448</v>
      </c>
      <c r="M2002" s="8" t="n">
        <v>378396</v>
      </c>
      <c r="N2002" t="inlineStr">
        <is>
          <t>是</t>
        </is>
      </c>
    </row>
    <row r="2003">
      <c r="A2003" s="7" t="inlineStr">
        <is>
          <t>2015-10-13</t>
        </is>
      </c>
      <c r="B2003" s="8" t="n">
        <v>7292</v>
      </c>
      <c r="C2003" s="8" t="n">
        <v>7300</v>
      </c>
      <c r="D2003" s="8" t="n">
        <v>7316</v>
      </c>
      <c r="E2003" s="8" t="n">
        <v>7248</v>
      </c>
      <c r="F2003" s="8" t="n">
        <v>604678</v>
      </c>
      <c r="G2003" s="8" t="n">
        <v>300282</v>
      </c>
      <c r="H2003" s="8" t="n">
        <v>8595</v>
      </c>
      <c r="I2003" s="8" t="n">
        <v>8530</v>
      </c>
      <c r="J2003" s="8" t="n">
        <v>8605</v>
      </c>
      <c r="K2003" s="8" t="n">
        <v>8515</v>
      </c>
      <c r="L2003" s="8" t="n">
        <v>464530</v>
      </c>
      <c r="M2003" s="8" t="n">
        <v>375776</v>
      </c>
      <c r="N2003" t="inlineStr">
        <is>
          <t>是</t>
        </is>
      </c>
    </row>
    <row r="2004">
      <c r="A2004" s="7" t="inlineStr">
        <is>
          <t>2015-10-14</t>
        </is>
      </c>
      <c r="B2004" s="8" t="n">
        <v>7248</v>
      </c>
      <c r="C2004" s="8" t="n">
        <v>7260</v>
      </c>
      <c r="D2004" s="8" t="n">
        <v>7332</v>
      </c>
      <c r="E2004" s="8" t="n">
        <v>7233</v>
      </c>
      <c r="F2004" s="8" t="n">
        <v>723040</v>
      </c>
      <c r="G2004" s="8" t="n">
        <v>305668</v>
      </c>
      <c r="H2004" s="8" t="n">
        <v>8450</v>
      </c>
      <c r="I2004" s="8" t="n">
        <v>8540</v>
      </c>
      <c r="J2004" s="8" t="n">
        <v>8590</v>
      </c>
      <c r="K2004" s="8" t="n">
        <v>8435</v>
      </c>
      <c r="L2004" s="8" t="n">
        <v>576534</v>
      </c>
      <c r="M2004" s="8" t="n">
        <v>372352</v>
      </c>
      <c r="N2004" t="inlineStr">
        <is>
          <t>是</t>
        </is>
      </c>
    </row>
    <row r="2005">
      <c r="A2005" s="7" t="inlineStr">
        <is>
          <t>2015-10-15</t>
        </is>
      </c>
      <c r="B2005" s="8" t="n">
        <v>7214</v>
      </c>
      <c r="C2005" s="8" t="n">
        <v>7237</v>
      </c>
      <c r="D2005" s="8" t="n">
        <v>7279</v>
      </c>
      <c r="E2005" s="8" t="n">
        <v>7214</v>
      </c>
      <c r="F2005" s="8" t="n">
        <v>731592</v>
      </c>
      <c r="G2005" s="8" t="n">
        <v>314892</v>
      </c>
      <c r="H2005" s="8" t="n">
        <v>8450</v>
      </c>
      <c r="I2005" s="8" t="n">
        <v>8455</v>
      </c>
      <c r="J2005" s="8" t="n">
        <v>8495</v>
      </c>
      <c r="K2005" s="8" t="n">
        <v>8420</v>
      </c>
      <c r="L2005" s="8" t="n">
        <v>558098</v>
      </c>
      <c r="M2005" s="8" t="n">
        <v>367252</v>
      </c>
      <c r="N2005" t="inlineStr">
        <is>
          <t>是</t>
        </is>
      </c>
    </row>
    <row r="2006">
      <c r="A2006" s="7" t="inlineStr">
        <is>
          <t>2015-10-16</t>
        </is>
      </c>
      <c r="B2006" s="8" t="n">
        <v>7139</v>
      </c>
      <c r="C2006" s="8" t="n">
        <v>7237</v>
      </c>
      <c r="D2006" s="8" t="n">
        <v>7240</v>
      </c>
      <c r="E2006" s="8" t="n">
        <v>7136</v>
      </c>
      <c r="F2006" s="8" t="n">
        <v>769518</v>
      </c>
      <c r="G2006" s="8" t="n">
        <v>336958</v>
      </c>
      <c r="H2006" s="8" t="n">
        <v>8395</v>
      </c>
      <c r="I2006" s="8" t="n">
        <v>8485</v>
      </c>
      <c r="J2006" s="8" t="n">
        <v>8490</v>
      </c>
      <c r="K2006" s="8" t="n">
        <v>8380</v>
      </c>
      <c r="L2006" s="8" t="n">
        <v>545592</v>
      </c>
      <c r="M2006" s="8" t="n">
        <v>368908</v>
      </c>
      <c r="N2006" t="inlineStr">
        <is>
          <t>是</t>
        </is>
      </c>
    </row>
    <row r="2007">
      <c r="A2007" s="7" t="inlineStr">
        <is>
          <t>2015-10-19</t>
        </is>
      </c>
      <c r="B2007" s="8" t="n">
        <v>7098</v>
      </c>
      <c r="C2007" s="8" t="n">
        <v>7152</v>
      </c>
      <c r="D2007" s="8" t="n">
        <v>7169</v>
      </c>
      <c r="E2007" s="8" t="n">
        <v>7065</v>
      </c>
      <c r="F2007" s="8" t="n">
        <v>722434</v>
      </c>
      <c r="G2007" s="8" t="n">
        <v>353156</v>
      </c>
      <c r="H2007" s="8" t="n">
        <v>8350</v>
      </c>
      <c r="I2007" s="8" t="n">
        <v>8400</v>
      </c>
      <c r="J2007" s="8" t="n">
        <v>8410</v>
      </c>
      <c r="K2007" s="8" t="n">
        <v>8325</v>
      </c>
      <c r="L2007" s="8" t="n">
        <v>419002</v>
      </c>
      <c r="M2007" s="8" t="n">
        <v>389186</v>
      </c>
      <c r="N2007" t="inlineStr">
        <is>
          <t>是</t>
        </is>
      </c>
    </row>
    <row r="2008">
      <c r="A2008" s="7" t="inlineStr">
        <is>
          <t>2015-10-20</t>
        </is>
      </c>
      <c r="B2008" s="8" t="n">
        <v>7141</v>
      </c>
      <c r="C2008" s="8" t="n">
        <v>7080</v>
      </c>
      <c r="D2008" s="8" t="n">
        <v>7142</v>
      </c>
      <c r="E2008" s="8" t="n">
        <v>7052</v>
      </c>
      <c r="F2008" s="8" t="n">
        <v>771580</v>
      </c>
      <c r="G2008" s="8" t="n">
        <v>341440</v>
      </c>
      <c r="H2008" s="8" t="n">
        <v>8395</v>
      </c>
      <c r="I2008" s="8" t="n">
        <v>8325</v>
      </c>
      <c r="J2008" s="8" t="n">
        <v>8420</v>
      </c>
      <c r="K2008" s="8" t="n">
        <v>8305</v>
      </c>
      <c r="L2008" s="8" t="n">
        <v>478972</v>
      </c>
      <c r="M2008" s="8" t="n">
        <v>395992</v>
      </c>
      <c r="N2008" t="inlineStr">
        <is>
          <t>是</t>
        </is>
      </c>
    </row>
    <row r="2009">
      <c r="A2009" s="7" t="inlineStr">
        <is>
          <t>2015-10-21</t>
        </is>
      </c>
      <c r="B2009" s="8" t="n">
        <v>7102</v>
      </c>
      <c r="C2009" s="8" t="n">
        <v>7120</v>
      </c>
      <c r="D2009" s="8" t="n">
        <v>7132</v>
      </c>
      <c r="E2009" s="8" t="n">
        <v>7061</v>
      </c>
      <c r="F2009" s="8" t="n">
        <v>820340</v>
      </c>
      <c r="G2009" s="8" t="n">
        <v>365324</v>
      </c>
      <c r="H2009" s="8" t="n">
        <v>8340</v>
      </c>
      <c r="I2009" s="8" t="n">
        <v>8380</v>
      </c>
      <c r="J2009" s="8" t="n">
        <v>8380</v>
      </c>
      <c r="K2009" s="8" t="n">
        <v>8315</v>
      </c>
      <c r="L2009" s="8" t="n">
        <v>431966</v>
      </c>
      <c r="M2009" s="8" t="n">
        <v>382766</v>
      </c>
      <c r="N2009" t="inlineStr">
        <is>
          <t>是</t>
        </is>
      </c>
    </row>
    <row r="2010">
      <c r="A2010" s="7" t="inlineStr">
        <is>
          <t>2015-10-22</t>
        </is>
      </c>
      <c r="B2010" s="8" t="n">
        <v>7157</v>
      </c>
      <c r="C2010" s="8" t="n">
        <v>7110</v>
      </c>
      <c r="D2010" s="8" t="n">
        <v>7212</v>
      </c>
      <c r="E2010" s="8" t="n">
        <v>7105</v>
      </c>
      <c r="F2010" s="8" t="n">
        <v>923232</v>
      </c>
      <c r="G2010" s="8" t="n">
        <v>367596</v>
      </c>
      <c r="H2010" s="8" t="n">
        <v>8435</v>
      </c>
      <c r="I2010" s="8" t="n">
        <v>8370</v>
      </c>
      <c r="J2010" s="8" t="n">
        <v>8535</v>
      </c>
      <c r="K2010" s="8" t="n">
        <v>8360</v>
      </c>
      <c r="L2010" s="8" t="n">
        <v>827884</v>
      </c>
      <c r="M2010" s="8" t="n">
        <v>404132</v>
      </c>
      <c r="N2010" t="inlineStr">
        <is>
          <t>是</t>
        </is>
      </c>
    </row>
    <row r="2011">
      <c r="A2011" s="7" t="inlineStr">
        <is>
          <t>2015-10-23</t>
        </is>
      </c>
      <c r="B2011" s="8" t="n">
        <v>7079</v>
      </c>
      <c r="C2011" s="8" t="n">
        <v>7146</v>
      </c>
      <c r="D2011" s="8" t="n">
        <v>7168</v>
      </c>
      <c r="E2011" s="8" t="n">
        <v>7021</v>
      </c>
      <c r="F2011" s="8" t="n">
        <v>934156</v>
      </c>
      <c r="G2011" s="8" t="n">
        <v>378148</v>
      </c>
      <c r="H2011" s="8" t="n">
        <v>8375</v>
      </c>
      <c r="I2011" s="8" t="n">
        <v>8435</v>
      </c>
      <c r="J2011" s="8" t="n">
        <v>8475</v>
      </c>
      <c r="K2011" s="8" t="n">
        <v>8315</v>
      </c>
      <c r="L2011" s="8" t="n">
        <v>776318</v>
      </c>
      <c r="M2011" s="8" t="n">
        <v>377954</v>
      </c>
      <c r="N2011" t="inlineStr">
        <is>
          <t>是</t>
        </is>
      </c>
    </row>
    <row r="2012">
      <c r="A2012" s="7" t="inlineStr">
        <is>
          <t>2015-10-26</t>
        </is>
      </c>
      <c r="B2012" s="8" t="n">
        <v>6984</v>
      </c>
      <c r="C2012" s="8" t="n">
        <v>7059</v>
      </c>
      <c r="D2012" s="8" t="n">
        <v>7059</v>
      </c>
      <c r="E2012" s="8" t="n">
        <v>6965</v>
      </c>
      <c r="F2012" s="8" t="n">
        <v>1004494</v>
      </c>
      <c r="G2012" s="8" t="n">
        <v>400364</v>
      </c>
      <c r="H2012" s="8" t="n">
        <v>8240</v>
      </c>
      <c r="I2012" s="8" t="n">
        <v>8335</v>
      </c>
      <c r="J2012" s="8" t="n">
        <v>8360</v>
      </c>
      <c r="K2012" s="8" t="n">
        <v>8230</v>
      </c>
      <c r="L2012" s="8" t="n">
        <v>738192</v>
      </c>
      <c r="M2012" s="8" t="n">
        <v>421592</v>
      </c>
      <c r="N2012" t="inlineStr">
        <is>
          <t>是</t>
        </is>
      </c>
    </row>
    <row r="2013">
      <c r="A2013" s="7" t="inlineStr">
        <is>
          <t>2015-10-27</t>
        </is>
      </c>
      <c r="B2013" s="8" t="n">
        <v>6973</v>
      </c>
      <c r="C2013" s="8" t="n">
        <v>6965</v>
      </c>
      <c r="D2013" s="8" t="n">
        <v>7000</v>
      </c>
      <c r="E2013" s="8" t="n">
        <v>6912</v>
      </c>
      <c r="F2013" s="8" t="n">
        <v>788244</v>
      </c>
      <c r="G2013" s="8" t="n">
        <v>391368</v>
      </c>
      <c r="H2013" s="8" t="n">
        <v>8300</v>
      </c>
      <c r="I2013" s="8" t="n">
        <v>8210</v>
      </c>
      <c r="J2013" s="8" t="n">
        <v>8330</v>
      </c>
      <c r="K2013" s="8" t="n">
        <v>8190</v>
      </c>
      <c r="L2013" s="8" t="n">
        <v>745458</v>
      </c>
      <c r="M2013" s="8" t="n">
        <v>403800</v>
      </c>
      <c r="N2013" t="inlineStr">
        <is>
          <t>是</t>
        </is>
      </c>
    </row>
    <row r="2014">
      <c r="A2014" s="7" t="inlineStr">
        <is>
          <t>2015-10-28</t>
        </is>
      </c>
      <c r="B2014" s="8" t="n">
        <v>6963</v>
      </c>
      <c r="C2014" s="8" t="n">
        <v>6988</v>
      </c>
      <c r="D2014" s="8" t="n">
        <v>6991</v>
      </c>
      <c r="E2014" s="8" t="n">
        <v>6927</v>
      </c>
      <c r="F2014" s="8" t="n">
        <v>688002</v>
      </c>
      <c r="G2014" s="8" t="n">
        <v>381042</v>
      </c>
      <c r="H2014" s="8" t="n">
        <v>8280</v>
      </c>
      <c r="I2014" s="8" t="n">
        <v>8295</v>
      </c>
      <c r="J2014" s="8" t="n">
        <v>8315</v>
      </c>
      <c r="K2014" s="8" t="n">
        <v>8245</v>
      </c>
      <c r="L2014" s="8" t="n">
        <v>539474</v>
      </c>
      <c r="M2014" s="8" t="n">
        <v>411712</v>
      </c>
      <c r="N2014" t="inlineStr">
        <is>
          <t>是</t>
        </is>
      </c>
    </row>
    <row r="2015">
      <c r="A2015" s="7" t="inlineStr">
        <is>
          <t>2015-10-29</t>
        </is>
      </c>
      <c r="B2015" s="8" t="n">
        <v>6946</v>
      </c>
      <c r="C2015" s="8" t="n">
        <v>7036</v>
      </c>
      <c r="D2015" s="8" t="n">
        <v>7055</v>
      </c>
      <c r="E2015" s="8" t="n">
        <v>6944</v>
      </c>
      <c r="F2015" s="8" t="n">
        <v>645244</v>
      </c>
      <c r="G2015" s="8" t="n">
        <v>399584</v>
      </c>
      <c r="H2015" s="8" t="n">
        <v>8285</v>
      </c>
      <c r="I2015" s="8" t="n">
        <v>8380</v>
      </c>
      <c r="J2015" s="8" t="n">
        <v>8390</v>
      </c>
      <c r="K2015" s="8" t="n">
        <v>8265</v>
      </c>
      <c r="L2015" s="8" t="n">
        <v>496372</v>
      </c>
      <c r="M2015" s="8" t="n">
        <v>431106</v>
      </c>
      <c r="N2015" t="inlineStr">
        <is>
          <t>是</t>
        </is>
      </c>
    </row>
    <row r="2016">
      <c r="A2016" s="7" t="inlineStr">
        <is>
          <t>2015-10-30</t>
        </is>
      </c>
      <c r="B2016" s="8" t="n">
        <v>6842</v>
      </c>
      <c r="C2016" s="8" t="n">
        <v>6935</v>
      </c>
      <c r="D2016" s="8" t="n">
        <v>6941</v>
      </c>
      <c r="E2016" s="8" t="n">
        <v>6810</v>
      </c>
      <c r="F2016" s="8" t="n">
        <v>895076</v>
      </c>
      <c r="G2016" s="8" t="n">
        <v>428352</v>
      </c>
      <c r="H2016" s="8" t="n">
        <v>8245</v>
      </c>
      <c r="I2016" s="8" t="n">
        <v>8285</v>
      </c>
      <c r="J2016" s="8" t="n">
        <v>8285</v>
      </c>
      <c r="K2016" s="8" t="n">
        <v>8170</v>
      </c>
      <c r="L2016" s="8" t="n">
        <v>548120</v>
      </c>
      <c r="M2016" s="8" t="n">
        <v>441454</v>
      </c>
      <c r="N2016" t="inlineStr">
        <is>
          <t>是</t>
        </is>
      </c>
    </row>
    <row r="2017">
      <c r="A2017" s="7" t="inlineStr">
        <is>
          <t>2015-11-02</t>
        </is>
      </c>
      <c r="B2017" s="8" t="n">
        <v>6865</v>
      </c>
      <c r="C2017" s="8" t="n">
        <v>6852</v>
      </c>
      <c r="D2017" s="8" t="n">
        <v>6928</v>
      </c>
      <c r="E2017" s="8" t="n">
        <v>6832</v>
      </c>
      <c r="F2017" s="8" t="n">
        <v>783608</v>
      </c>
      <c r="G2017" s="8" t="n">
        <v>417940</v>
      </c>
      <c r="H2017" s="8" t="n">
        <v>8285</v>
      </c>
      <c r="I2017" s="8" t="n">
        <v>8230</v>
      </c>
      <c r="J2017" s="8" t="n">
        <v>8315</v>
      </c>
      <c r="K2017" s="8" t="n">
        <v>8220</v>
      </c>
      <c r="L2017" s="8" t="n">
        <v>456500</v>
      </c>
      <c r="M2017" s="8" t="n">
        <v>431514</v>
      </c>
      <c r="N2017" t="inlineStr">
        <is>
          <t>是</t>
        </is>
      </c>
    </row>
    <row r="2018">
      <c r="A2018" s="7" t="inlineStr">
        <is>
          <t>2015-11-03</t>
        </is>
      </c>
      <c r="B2018" s="8" t="n">
        <v>6780</v>
      </c>
      <c r="C2018" s="8" t="n">
        <v>6855</v>
      </c>
      <c r="D2018" s="8" t="n">
        <v>6865</v>
      </c>
      <c r="E2018" s="8" t="n">
        <v>6755</v>
      </c>
      <c r="F2018" s="8" t="n">
        <v>875844</v>
      </c>
      <c r="G2018" s="8" t="n">
        <v>435944</v>
      </c>
      <c r="H2018" s="8" t="n">
        <v>8215</v>
      </c>
      <c r="I2018" s="8" t="n">
        <v>8270</v>
      </c>
      <c r="J2018" s="8" t="n">
        <v>8290</v>
      </c>
      <c r="K2018" s="8" t="n">
        <v>8205</v>
      </c>
      <c r="L2018" s="8" t="n">
        <v>538360</v>
      </c>
      <c r="M2018" s="8" t="n">
        <v>428926</v>
      </c>
      <c r="N2018" t="inlineStr">
        <is>
          <t>是</t>
        </is>
      </c>
    </row>
    <row r="2019">
      <c r="A2019" s="7" t="inlineStr">
        <is>
          <t>2015-11-04</t>
        </is>
      </c>
      <c r="B2019" s="8" t="n">
        <v>6824</v>
      </c>
      <c r="C2019" s="8" t="n">
        <v>6810</v>
      </c>
      <c r="D2019" s="8" t="n">
        <v>6873</v>
      </c>
      <c r="E2019" s="8" t="n">
        <v>6773</v>
      </c>
      <c r="F2019" s="8" t="n">
        <v>1096552</v>
      </c>
      <c r="G2019" s="8" t="n">
        <v>415862</v>
      </c>
      <c r="H2019" s="8" t="n">
        <v>8300</v>
      </c>
      <c r="I2019" s="8" t="n">
        <v>8270</v>
      </c>
      <c r="J2019" s="8" t="n">
        <v>8345</v>
      </c>
      <c r="K2019" s="8" t="n">
        <v>8235</v>
      </c>
      <c r="L2019" s="8" t="n">
        <v>663848</v>
      </c>
      <c r="M2019" s="8" t="n">
        <v>449920</v>
      </c>
      <c r="N2019" t="inlineStr">
        <is>
          <t>是</t>
        </is>
      </c>
    </row>
    <row r="2020">
      <c r="A2020" s="7" t="inlineStr">
        <is>
          <t>2015-11-05</t>
        </is>
      </c>
      <c r="B2020" s="8" t="n">
        <v>6641</v>
      </c>
      <c r="C2020" s="8" t="n">
        <v>6750</v>
      </c>
      <c r="D2020" s="8" t="n">
        <v>6774</v>
      </c>
      <c r="E2020" s="8" t="n">
        <v>6627</v>
      </c>
      <c r="F2020" s="8" t="n">
        <v>1131482</v>
      </c>
      <c r="G2020" s="8" t="n">
        <v>439720</v>
      </c>
      <c r="H2020" s="8" t="n">
        <v>8010</v>
      </c>
      <c r="I2020" s="8" t="n">
        <v>8245</v>
      </c>
      <c r="J2020" s="8" t="n">
        <v>8260</v>
      </c>
      <c r="K2020" s="8" t="n">
        <v>7995</v>
      </c>
      <c r="L2020" s="8" t="n">
        <v>1337040</v>
      </c>
      <c r="M2020" s="8" t="n">
        <v>571680</v>
      </c>
      <c r="N2020" t="inlineStr">
        <is>
          <t>是</t>
        </is>
      </c>
    </row>
    <row r="2021">
      <c r="A2021" s="7" t="inlineStr">
        <is>
          <t>2015-11-06</t>
        </is>
      </c>
      <c r="B2021" s="8" t="n">
        <v>6655</v>
      </c>
      <c r="C2021" s="8" t="n">
        <v>6627</v>
      </c>
      <c r="D2021" s="8" t="n">
        <v>6695</v>
      </c>
      <c r="E2021" s="8" t="n">
        <v>6607</v>
      </c>
      <c r="F2021" s="8" t="n">
        <v>1029888</v>
      </c>
      <c r="G2021" s="8" t="n">
        <v>407236</v>
      </c>
      <c r="H2021" s="8" t="n">
        <v>8100</v>
      </c>
      <c r="I2021" s="8" t="n">
        <v>8000</v>
      </c>
      <c r="J2021" s="8" t="n">
        <v>8130</v>
      </c>
      <c r="K2021" s="8" t="n">
        <v>7955</v>
      </c>
      <c r="L2021" s="8" t="n">
        <v>1085524</v>
      </c>
      <c r="M2021" s="8" t="n">
        <v>571406</v>
      </c>
      <c r="N2021" t="inlineStr">
        <is>
          <t>是</t>
        </is>
      </c>
    </row>
    <row r="2022">
      <c r="A2022" s="7" t="inlineStr">
        <is>
          <t>2015-11-09</t>
        </is>
      </c>
      <c r="B2022" s="8" t="n">
        <v>6620</v>
      </c>
      <c r="C2022" s="8" t="n">
        <v>6620</v>
      </c>
      <c r="D2022" s="8" t="n">
        <v>6685</v>
      </c>
      <c r="E2022" s="8" t="n">
        <v>6600</v>
      </c>
      <c r="F2022" s="8" t="n">
        <v>845808</v>
      </c>
      <c r="G2022" s="8" t="n">
        <v>408720</v>
      </c>
      <c r="H2022" s="8" t="n">
        <v>8040</v>
      </c>
      <c r="I2022" s="8" t="n">
        <v>8070</v>
      </c>
      <c r="J2022" s="8" t="n">
        <v>8120</v>
      </c>
      <c r="K2022" s="8" t="n">
        <v>8010</v>
      </c>
      <c r="L2022" s="8" t="n">
        <v>623460</v>
      </c>
      <c r="M2022" s="8" t="n">
        <v>565366</v>
      </c>
      <c r="N2022" t="inlineStr">
        <is>
          <t>是</t>
        </is>
      </c>
    </row>
    <row r="2023">
      <c r="A2023" s="7" t="inlineStr">
        <is>
          <t>2015-11-10</t>
        </is>
      </c>
      <c r="B2023" s="8" t="n">
        <v>6519</v>
      </c>
      <c r="C2023" s="8" t="n">
        <v>6610</v>
      </c>
      <c r="D2023" s="8" t="n">
        <v>6610</v>
      </c>
      <c r="E2023" s="8" t="n">
        <v>6482</v>
      </c>
      <c r="F2023" s="8" t="n">
        <v>932452</v>
      </c>
      <c r="G2023" s="8" t="n">
        <v>415748</v>
      </c>
      <c r="H2023" s="8" t="n">
        <v>8025</v>
      </c>
      <c r="I2023" s="8" t="n">
        <v>8030</v>
      </c>
      <c r="J2023" s="8" t="n">
        <v>8035</v>
      </c>
      <c r="K2023" s="8" t="n">
        <v>7930</v>
      </c>
      <c r="L2023" s="8" t="n">
        <v>805580</v>
      </c>
      <c r="M2023" s="8" t="n">
        <v>527706</v>
      </c>
      <c r="N2023" t="inlineStr">
        <is>
          <t>是</t>
        </is>
      </c>
    </row>
    <row r="2024">
      <c r="A2024" s="7" t="inlineStr">
        <is>
          <t>2015-11-11</t>
        </is>
      </c>
      <c r="B2024" s="8" t="n">
        <v>6498</v>
      </c>
      <c r="C2024" s="8" t="n">
        <v>6530</v>
      </c>
      <c r="D2024" s="8" t="n">
        <v>6542</v>
      </c>
      <c r="E2024" s="8" t="n">
        <v>6462</v>
      </c>
      <c r="F2024" s="8" t="n">
        <v>919940</v>
      </c>
      <c r="G2024" s="8" t="n">
        <v>379736</v>
      </c>
      <c r="H2024" s="8" t="n">
        <v>8045</v>
      </c>
      <c r="I2024" s="8" t="n">
        <v>8005</v>
      </c>
      <c r="J2024" s="8" t="n">
        <v>8065</v>
      </c>
      <c r="K2024" s="8" t="n">
        <v>7970</v>
      </c>
      <c r="L2024" s="8" t="n">
        <v>557614</v>
      </c>
      <c r="M2024" s="8" t="n">
        <v>495466</v>
      </c>
      <c r="N2024" t="inlineStr">
        <is>
          <t>是</t>
        </is>
      </c>
    </row>
    <row r="2025">
      <c r="A2025" s="7" t="inlineStr">
        <is>
          <t>2015-11-12</t>
        </is>
      </c>
      <c r="B2025" s="8" t="n">
        <v>6471</v>
      </c>
      <c r="C2025" s="8" t="n">
        <v>6490</v>
      </c>
      <c r="D2025" s="8" t="n">
        <v>6520</v>
      </c>
      <c r="E2025" s="8" t="n">
        <v>6451</v>
      </c>
      <c r="F2025" s="8" t="n">
        <v>821988</v>
      </c>
      <c r="G2025" s="8" t="n">
        <v>366526</v>
      </c>
      <c r="H2025" s="8" t="n">
        <v>8035</v>
      </c>
      <c r="I2025" s="8" t="n">
        <v>8025</v>
      </c>
      <c r="J2025" s="8" t="n">
        <v>8085</v>
      </c>
      <c r="K2025" s="8" t="n">
        <v>8010</v>
      </c>
      <c r="L2025" s="8" t="n">
        <v>505510</v>
      </c>
      <c r="M2025" s="8" t="n">
        <v>464110</v>
      </c>
      <c r="N2025" t="inlineStr">
        <is>
          <t>是</t>
        </is>
      </c>
    </row>
    <row r="2026">
      <c r="A2026" s="7" t="inlineStr">
        <is>
          <t>2015-11-13</t>
        </is>
      </c>
      <c r="B2026" s="8" t="n">
        <v>6303</v>
      </c>
      <c r="C2026" s="8" t="n">
        <v>6447</v>
      </c>
      <c r="D2026" s="8" t="n">
        <v>6461</v>
      </c>
      <c r="E2026" s="8" t="n">
        <v>6263</v>
      </c>
      <c r="F2026" s="8" t="n">
        <v>1241032</v>
      </c>
      <c r="G2026" s="8" t="n">
        <v>395702</v>
      </c>
      <c r="H2026" s="8" t="n">
        <v>7860</v>
      </c>
      <c r="I2026" s="8" t="n">
        <v>8005</v>
      </c>
      <c r="J2026" s="8" t="n">
        <v>8030</v>
      </c>
      <c r="K2026" s="8" t="n">
        <v>7810</v>
      </c>
      <c r="L2026" s="8" t="n">
        <v>1006050</v>
      </c>
      <c r="M2026" s="8" t="n">
        <v>452350</v>
      </c>
      <c r="N2026" t="inlineStr">
        <is>
          <t>是</t>
        </is>
      </c>
    </row>
    <row r="2027">
      <c r="A2027" s="7" t="inlineStr">
        <is>
          <t>2015-11-16</t>
        </is>
      </c>
      <c r="B2027" s="8" t="n">
        <v>6181</v>
      </c>
      <c r="C2027" s="8" t="n">
        <v>6291</v>
      </c>
      <c r="D2027" s="8" t="n">
        <v>6333</v>
      </c>
      <c r="E2027" s="8" t="n">
        <v>6179</v>
      </c>
      <c r="F2027" s="8" t="n">
        <v>1120294</v>
      </c>
      <c r="G2027" s="8" t="n">
        <v>410182</v>
      </c>
      <c r="H2027" s="8" t="n">
        <v>7845</v>
      </c>
      <c r="I2027" s="8" t="n">
        <v>7860</v>
      </c>
      <c r="J2027" s="8" t="n">
        <v>7925</v>
      </c>
      <c r="K2027" s="8" t="n">
        <v>7805</v>
      </c>
      <c r="L2027" s="8" t="n">
        <v>552460</v>
      </c>
      <c r="M2027" s="8" t="n">
        <v>451804</v>
      </c>
      <c r="N2027" t="inlineStr">
        <is>
          <t>是</t>
        </is>
      </c>
    </row>
    <row r="2028">
      <c r="A2028" s="7" t="inlineStr">
        <is>
          <t>2015-11-17</t>
        </is>
      </c>
      <c r="B2028" s="8" t="n">
        <v>6177</v>
      </c>
      <c r="C2028" s="8" t="n">
        <v>6204</v>
      </c>
      <c r="D2028" s="8" t="n">
        <v>6215</v>
      </c>
      <c r="E2028" s="8" t="n">
        <v>6075</v>
      </c>
      <c r="F2028" s="8" t="n">
        <v>1582158</v>
      </c>
      <c r="G2028" s="8" t="n">
        <v>411880</v>
      </c>
      <c r="H2028" s="8" t="n">
        <v>7895</v>
      </c>
      <c r="I2028" s="8" t="n">
        <v>7865</v>
      </c>
      <c r="J2028" s="8" t="n">
        <v>7935</v>
      </c>
      <c r="K2028" s="8" t="n">
        <v>7760</v>
      </c>
      <c r="L2028" s="8" t="n">
        <v>913630</v>
      </c>
      <c r="M2028" s="8" t="n">
        <v>443174</v>
      </c>
      <c r="N2028" t="inlineStr">
        <is>
          <t>是</t>
        </is>
      </c>
    </row>
    <row r="2029">
      <c r="A2029" s="7" t="inlineStr">
        <is>
          <t>2015-11-18</t>
        </is>
      </c>
      <c r="B2029" s="8" t="n">
        <v>6183</v>
      </c>
      <c r="C2029" s="8" t="n">
        <v>6158</v>
      </c>
      <c r="D2029" s="8" t="n">
        <v>6198</v>
      </c>
      <c r="E2029" s="8" t="n">
        <v>6085</v>
      </c>
      <c r="F2029" s="8" t="n">
        <v>1361362</v>
      </c>
      <c r="G2029" s="8" t="n">
        <v>365448</v>
      </c>
      <c r="H2029" s="8" t="n">
        <v>7775</v>
      </c>
      <c r="I2029" s="8" t="n">
        <v>7880</v>
      </c>
      <c r="J2029" s="8" t="n">
        <v>7890</v>
      </c>
      <c r="K2029" s="8" t="n">
        <v>7750</v>
      </c>
      <c r="L2029" s="8" t="n">
        <v>882910</v>
      </c>
      <c r="M2029" s="8" t="n">
        <v>454912</v>
      </c>
      <c r="N2029" t="inlineStr">
        <is>
          <t>是</t>
        </is>
      </c>
    </row>
    <row r="2030">
      <c r="A2030" s="7" t="inlineStr">
        <is>
          <t>2015-11-19</t>
        </is>
      </c>
      <c r="B2030" s="8" t="n">
        <v>6157</v>
      </c>
      <c r="C2030" s="8" t="n">
        <v>6180</v>
      </c>
      <c r="D2030" s="8" t="n">
        <v>6238</v>
      </c>
      <c r="E2030" s="8" t="n">
        <v>6137</v>
      </c>
      <c r="F2030" s="8" t="n">
        <v>1387652</v>
      </c>
      <c r="G2030" s="8" t="n">
        <v>356562</v>
      </c>
      <c r="H2030" s="8" t="n">
        <v>7710</v>
      </c>
      <c r="I2030" s="8" t="n">
        <v>7760</v>
      </c>
      <c r="J2030" s="8" t="n">
        <v>7820</v>
      </c>
      <c r="K2030" s="8" t="n">
        <v>7695</v>
      </c>
      <c r="L2030" s="8" t="n">
        <v>763510</v>
      </c>
      <c r="M2030" s="8" t="n">
        <v>456296</v>
      </c>
      <c r="N2030" t="inlineStr">
        <is>
          <t>是</t>
        </is>
      </c>
    </row>
    <row r="2031">
      <c r="A2031" s="7" t="inlineStr">
        <is>
          <t>2015-11-20</t>
        </is>
      </c>
      <c r="B2031" s="8" t="n">
        <v>5934</v>
      </c>
      <c r="C2031" s="8" t="n">
        <v>6177</v>
      </c>
      <c r="D2031" s="8" t="n">
        <v>6208</v>
      </c>
      <c r="E2031" s="8" t="n">
        <v>5934</v>
      </c>
      <c r="F2031" s="8" t="n">
        <v>1586614</v>
      </c>
      <c r="G2031" s="8" t="n">
        <v>360016</v>
      </c>
      <c r="H2031" s="8" t="n">
        <v>7565</v>
      </c>
      <c r="I2031" s="8" t="n">
        <v>7735</v>
      </c>
      <c r="J2031" s="8" t="n">
        <v>7775</v>
      </c>
      <c r="K2031" s="8" t="n">
        <v>7500</v>
      </c>
      <c r="L2031" s="8" t="n">
        <v>1313040</v>
      </c>
      <c r="M2031" s="8" t="n">
        <v>435114</v>
      </c>
      <c r="N2031" t="inlineStr">
        <is>
          <t>是</t>
        </is>
      </c>
    </row>
    <row r="2032">
      <c r="A2032" s="7" t="inlineStr">
        <is>
          <t>2015-11-23</t>
        </is>
      </c>
      <c r="B2032" s="8" t="n">
        <v>5734</v>
      </c>
      <c r="C2032" s="8" t="n">
        <v>5915</v>
      </c>
      <c r="D2032" s="8" t="n">
        <v>5932</v>
      </c>
      <c r="E2032" s="8" t="n">
        <v>5672</v>
      </c>
      <c r="F2032" s="8" t="n">
        <v>1625038</v>
      </c>
      <c r="G2032" s="8" t="n">
        <v>336652</v>
      </c>
      <c r="H2032" s="8" t="n">
        <v>7690</v>
      </c>
      <c r="I2032" s="8" t="n">
        <v>7590</v>
      </c>
      <c r="J2032" s="8" t="n">
        <v>7705</v>
      </c>
      <c r="K2032" s="8" t="n">
        <v>7485</v>
      </c>
      <c r="L2032" s="8" t="n">
        <v>1028126</v>
      </c>
      <c r="M2032" s="8" t="n">
        <v>402160</v>
      </c>
      <c r="N2032" t="inlineStr">
        <is>
          <t>是</t>
        </is>
      </c>
    </row>
    <row r="2033">
      <c r="A2033" s="7" t="inlineStr">
        <is>
          <t>2015-11-24</t>
        </is>
      </c>
      <c r="B2033" s="8" t="n">
        <v>5960</v>
      </c>
      <c r="C2033" s="8" t="n">
        <v>5751</v>
      </c>
      <c r="D2033" s="8" t="n">
        <v>5984</v>
      </c>
      <c r="E2033" s="8" t="n">
        <v>5750</v>
      </c>
      <c r="F2033" s="8" t="n">
        <v>1782796</v>
      </c>
      <c r="G2033" s="8" t="n">
        <v>306958</v>
      </c>
      <c r="H2033" s="8" t="n">
        <v>7920</v>
      </c>
      <c r="I2033" s="8" t="n">
        <v>7710</v>
      </c>
      <c r="J2033" s="8" t="n">
        <v>7920</v>
      </c>
      <c r="K2033" s="8" t="n">
        <v>7690</v>
      </c>
      <c r="L2033" s="8" t="n">
        <v>720276</v>
      </c>
      <c r="M2033" s="8" t="n">
        <v>369426</v>
      </c>
      <c r="N2033" t="inlineStr">
        <is>
          <t>是</t>
        </is>
      </c>
    </row>
    <row r="2034">
      <c r="A2034" s="7" t="inlineStr">
        <is>
          <t>2015-11-25</t>
        </is>
      </c>
      <c r="B2034" s="8" t="n">
        <v>5530</v>
      </c>
      <c r="C2034" s="8" t="n">
        <v>5620</v>
      </c>
      <c r="D2034" s="8" t="n">
        <v>5660</v>
      </c>
      <c r="E2034" s="8" t="n">
        <v>5440</v>
      </c>
      <c r="F2034" s="8" t="n">
        <v>1151526</v>
      </c>
      <c r="G2034" s="8" t="n">
        <v>381792</v>
      </c>
      <c r="H2034" s="8" t="n">
        <v>8000</v>
      </c>
      <c r="I2034" s="8" t="n">
        <v>8010</v>
      </c>
      <c r="J2034" s="8" t="n">
        <v>8060</v>
      </c>
      <c r="K2034" s="8" t="n">
        <v>7935</v>
      </c>
      <c r="L2034" s="8" t="n">
        <v>774738</v>
      </c>
      <c r="M2034" s="8" t="n">
        <v>298170</v>
      </c>
      <c r="N2034" t="inlineStr">
        <is>
          <t>是</t>
        </is>
      </c>
    </row>
    <row r="2035">
      <c r="A2035" s="7" t="inlineStr">
        <is>
          <t>2015-11-26</t>
        </is>
      </c>
      <c r="B2035" s="8" t="n">
        <v>5740</v>
      </c>
      <c r="C2035" s="8" t="n">
        <v>5520</v>
      </c>
      <c r="D2035" s="8" t="n">
        <v>5740</v>
      </c>
      <c r="E2035" s="8" t="n">
        <v>5505</v>
      </c>
      <c r="F2035" s="8" t="n">
        <v>1178546</v>
      </c>
      <c r="G2035" s="8" t="n">
        <v>340214</v>
      </c>
      <c r="H2035" s="8" t="n">
        <v>7460</v>
      </c>
      <c r="I2035" s="8" t="n">
        <v>7275</v>
      </c>
      <c r="J2035" s="8" t="n">
        <v>7565</v>
      </c>
      <c r="K2035" s="8" t="n">
        <v>7245</v>
      </c>
      <c r="L2035" s="8" t="n">
        <v>794526</v>
      </c>
      <c r="M2035" s="8" t="n">
        <v>300948</v>
      </c>
      <c r="N2035" t="inlineStr">
        <is>
          <t>是</t>
        </is>
      </c>
    </row>
    <row r="2036">
      <c r="A2036" s="7" t="inlineStr">
        <is>
          <t>2015-11-27</t>
        </is>
      </c>
      <c r="B2036" s="8" t="n">
        <v>5724</v>
      </c>
      <c r="C2036" s="8" t="n">
        <v>5740</v>
      </c>
      <c r="D2036" s="8" t="n">
        <v>5810</v>
      </c>
      <c r="E2036" s="8" t="n">
        <v>5638</v>
      </c>
      <c r="F2036" s="8" t="n">
        <v>1466588</v>
      </c>
      <c r="G2036" s="8" t="n">
        <v>346492</v>
      </c>
      <c r="H2036" s="8" t="n">
        <v>7375</v>
      </c>
      <c r="I2036" s="8" t="n">
        <v>7435</v>
      </c>
      <c r="J2036" s="8" t="n">
        <v>7530</v>
      </c>
      <c r="K2036" s="8" t="n">
        <v>7310</v>
      </c>
      <c r="L2036" s="8" t="n">
        <v>642276</v>
      </c>
      <c r="M2036" s="8" t="n">
        <v>277080</v>
      </c>
      <c r="N2036" t="inlineStr">
        <is>
          <t>是</t>
        </is>
      </c>
    </row>
    <row r="2037">
      <c r="A2037" s="7" t="inlineStr">
        <is>
          <t>2015-11-30</t>
        </is>
      </c>
      <c r="B2037" s="8" t="n">
        <v>5665</v>
      </c>
      <c r="C2037" s="8" t="n">
        <v>5690</v>
      </c>
      <c r="D2037" s="8" t="n">
        <v>5690</v>
      </c>
      <c r="E2037" s="8" t="n">
        <v>5525</v>
      </c>
      <c r="F2037" s="8" t="n">
        <v>1487366</v>
      </c>
      <c r="G2037" s="8" t="n">
        <v>363938</v>
      </c>
      <c r="H2037" s="8" t="n">
        <v>7440</v>
      </c>
      <c r="I2037" s="8" t="n">
        <v>7350</v>
      </c>
      <c r="J2037" s="8" t="n">
        <v>7445</v>
      </c>
      <c r="K2037" s="8" t="n">
        <v>7235</v>
      </c>
      <c r="L2037" s="8" t="n">
        <v>852068</v>
      </c>
      <c r="M2037" s="8" t="n">
        <v>340684</v>
      </c>
      <c r="N2037" t="inlineStr">
        <is>
          <t>是</t>
        </is>
      </c>
    </row>
    <row r="2038">
      <c r="A2038" s="7" t="inlineStr">
        <is>
          <t>2015-12-01</t>
        </is>
      </c>
      <c r="B2038" s="8" t="n">
        <v>5804</v>
      </c>
      <c r="C2038" s="8" t="n">
        <v>5650</v>
      </c>
      <c r="D2038" s="8" t="n">
        <v>5846</v>
      </c>
      <c r="E2038" s="8" t="n">
        <v>5624</v>
      </c>
      <c r="F2038" s="8" t="n">
        <v>1801748</v>
      </c>
      <c r="G2038" s="8" t="n">
        <v>395910</v>
      </c>
      <c r="H2038" s="8" t="n">
        <v>7505</v>
      </c>
      <c r="I2038" s="8" t="n">
        <v>7445</v>
      </c>
      <c r="J2038" s="8" t="n">
        <v>7540</v>
      </c>
      <c r="K2038" s="8" t="n">
        <v>7395</v>
      </c>
      <c r="L2038" s="8" t="n">
        <v>782062</v>
      </c>
      <c r="M2038" s="8" t="n">
        <v>340652</v>
      </c>
      <c r="N2038" t="inlineStr">
        <is>
          <t>是</t>
        </is>
      </c>
    </row>
    <row r="2039">
      <c r="A2039" s="7" t="inlineStr">
        <is>
          <t>2015-12-02</t>
        </is>
      </c>
      <c r="B2039" s="8" t="n">
        <v>5766</v>
      </c>
      <c r="C2039" s="8" t="n">
        <v>5830</v>
      </c>
      <c r="D2039" s="8" t="n">
        <v>5890</v>
      </c>
      <c r="E2039" s="8" t="n">
        <v>5743</v>
      </c>
      <c r="F2039" s="8" t="n">
        <v>1479292</v>
      </c>
      <c r="G2039" s="8" t="n">
        <v>440504</v>
      </c>
      <c r="H2039" s="8" t="n">
        <v>7445</v>
      </c>
      <c r="I2039" s="8" t="n">
        <v>7535</v>
      </c>
      <c r="J2039" s="8" t="n">
        <v>7595</v>
      </c>
      <c r="K2039" s="8" t="n">
        <v>7425</v>
      </c>
      <c r="L2039" s="8" t="n">
        <v>638304</v>
      </c>
      <c r="M2039" s="8" t="n">
        <v>351822</v>
      </c>
      <c r="N2039" t="inlineStr">
        <is>
          <t>是</t>
        </is>
      </c>
    </row>
    <row r="2040">
      <c r="A2040" s="7" t="inlineStr">
        <is>
          <t>2015-12-03</t>
        </is>
      </c>
      <c r="B2040" s="8" t="n">
        <v>5777</v>
      </c>
      <c r="C2040" s="8" t="n">
        <v>5680</v>
      </c>
      <c r="D2040" s="8" t="n">
        <v>5796</v>
      </c>
      <c r="E2040" s="8" t="n">
        <v>5626</v>
      </c>
      <c r="F2040" s="8" t="n">
        <v>1488698</v>
      </c>
      <c r="G2040" s="8" t="n">
        <v>457446</v>
      </c>
      <c r="H2040" s="8" t="n">
        <v>7440</v>
      </c>
      <c r="I2040" s="8" t="n">
        <v>7390</v>
      </c>
      <c r="J2040" s="8" t="n">
        <v>7440</v>
      </c>
      <c r="K2040" s="8" t="n">
        <v>7265</v>
      </c>
      <c r="L2040" s="8" t="n">
        <v>804346</v>
      </c>
      <c r="M2040" s="8" t="n">
        <v>376732</v>
      </c>
      <c r="N2040" t="inlineStr">
        <is>
          <t>是</t>
        </is>
      </c>
    </row>
    <row r="2041">
      <c r="A2041" s="7" t="inlineStr">
        <is>
          <t>2015-12-04</t>
        </is>
      </c>
      <c r="B2041" s="8" t="n">
        <v>5709</v>
      </c>
      <c r="C2041" s="8" t="n">
        <v>5820</v>
      </c>
      <c r="D2041" s="8" t="n">
        <v>5833</v>
      </c>
      <c r="E2041" s="8" t="n">
        <v>5696</v>
      </c>
      <c r="F2041" s="8" t="n">
        <v>1472110</v>
      </c>
      <c r="G2041" s="8" t="n">
        <v>454318</v>
      </c>
      <c r="H2041" s="8" t="n">
        <v>7405</v>
      </c>
      <c r="I2041" s="8" t="n">
        <v>7490</v>
      </c>
      <c r="J2041" s="8" t="n">
        <v>7505</v>
      </c>
      <c r="K2041" s="8" t="n">
        <v>7400</v>
      </c>
      <c r="L2041" s="8" t="n">
        <v>725298</v>
      </c>
      <c r="M2041" s="8" t="n">
        <v>377824</v>
      </c>
      <c r="N2041" t="inlineStr">
        <is>
          <t>是</t>
        </is>
      </c>
    </row>
    <row r="2042">
      <c r="A2042" s="7" t="inlineStr">
        <is>
          <t>2015-12-07</t>
        </is>
      </c>
      <c r="B2042" s="8" t="n">
        <v>5710</v>
      </c>
      <c r="C2042" s="8" t="n">
        <v>5627</v>
      </c>
      <c r="D2042" s="8" t="n">
        <v>5735</v>
      </c>
      <c r="E2042" s="8" t="n">
        <v>5551</v>
      </c>
      <c r="F2042" s="8" t="n">
        <v>1302884</v>
      </c>
      <c r="G2042" s="8" t="n">
        <v>472772</v>
      </c>
      <c r="H2042" s="8" t="n">
        <v>7470</v>
      </c>
      <c r="I2042" s="8" t="n">
        <v>7325</v>
      </c>
      <c r="J2042" s="8" t="n">
        <v>7475</v>
      </c>
      <c r="K2042" s="8" t="n">
        <v>7290</v>
      </c>
      <c r="L2042" s="8" t="n">
        <v>666402</v>
      </c>
      <c r="M2042" s="8" t="n">
        <v>393996</v>
      </c>
      <c r="N2042" t="inlineStr">
        <is>
          <t>是</t>
        </is>
      </c>
    </row>
    <row r="2043">
      <c r="A2043" s="7" t="inlineStr">
        <is>
          <t>2015-12-08</t>
        </is>
      </c>
      <c r="B2043" s="8" t="n">
        <v>5400</v>
      </c>
      <c r="C2043" s="8" t="n">
        <v>5584</v>
      </c>
      <c r="D2043" s="8" t="n">
        <v>5611</v>
      </c>
      <c r="E2043" s="8" t="n">
        <v>5400</v>
      </c>
      <c r="F2043" s="8" t="n">
        <v>1487484</v>
      </c>
      <c r="G2043" s="8" t="n">
        <v>513566</v>
      </c>
      <c r="H2043" s="8" t="n">
        <v>7145</v>
      </c>
      <c r="I2043" s="8" t="n">
        <v>7350</v>
      </c>
      <c r="J2043" s="8" t="n">
        <v>7360</v>
      </c>
      <c r="K2043" s="8" t="n">
        <v>7080</v>
      </c>
      <c r="L2043" s="8" t="n">
        <v>1062600</v>
      </c>
      <c r="M2043" s="8" t="n">
        <v>377280</v>
      </c>
      <c r="N2043" t="inlineStr">
        <is>
          <t>是</t>
        </is>
      </c>
    </row>
    <row r="2044">
      <c r="A2044" s="7" t="inlineStr">
        <is>
          <t>2015-12-09</t>
        </is>
      </c>
      <c r="B2044" s="8" t="n">
        <v>5447</v>
      </c>
      <c r="C2044" s="8" t="n">
        <v>5424</v>
      </c>
      <c r="D2044" s="8" t="n">
        <v>5470</v>
      </c>
      <c r="E2044" s="8" t="n">
        <v>5383</v>
      </c>
      <c r="F2044" s="8" t="n">
        <v>1380366</v>
      </c>
      <c r="G2044" s="8" t="n">
        <v>512054</v>
      </c>
      <c r="H2044" s="8" t="n">
        <v>7295</v>
      </c>
      <c r="I2044" s="8" t="n">
        <v>7210</v>
      </c>
      <c r="J2044" s="8" t="n">
        <v>7300</v>
      </c>
      <c r="K2044" s="8" t="n">
        <v>7180</v>
      </c>
      <c r="L2044" s="8" t="n">
        <v>623370</v>
      </c>
      <c r="M2044" s="8" t="n">
        <v>362956</v>
      </c>
      <c r="N2044" t="inlineStr">
        <is>
          <t>是</t>
        </is>
      </c>
    </row>
    <row r="2045">
      <c r="A2045" s="7" t="inlineStr">
        <is>
          <t>2015-12-10</t>
        </is>
      </c>
      <c r="B2045" s="8" t="n">
        <v>5466</v>
      </c>
      <c r="C2045" s="8" t="n">
        <v>5420</v>
      </c>
      <c r="D2045" s="8" t="n">
        <v>5496</v>
      </c>
      <c r="E2045" s="8" t="n">
        <v>5362</v>
      </c>
      <c r="F2045" s="8" t="n">
        <v>1589114</v>
      </c>
      <c r="G2045" s="8" t="n">
        <v>538356</v>
      </c>
      <c r="H2045" s="8" t="n">
        <v>7420</v>
      </c>
      <c r="I2045" s="8" t="n">
        <v>7260</v>
      </c>
      <c r="J2045" s="8" t="n">
        <v>7435</v>
      </c>
      <c r="K2045" s="8" t="n">
        <v>7235</v>
      </c>
      <c r="L2045" s="8" t="n">
        <v>943958</v>
      </c>
      <c r="M2045" s="8" t="n">
        <v>403226</v>
      </c>
      <c r="N2045" t="inlineStr">
        <is>
          <t>是</t>
        </is>
      </c>
    </row>
    <row r="2046">
      <c r="A2046" s="7" t="inlineStr">
        <is>
          <t>2015-12-11</t>
        </is>
      </c>
      <c r="B2046" s="8" t="n">
        <v>5481</v>
      </c>
      <c r="C2046" s="8" t="n">
        <v>5446</v>
      </c>
      <c r="D2046" s="8" t="n">
        <v>5494</v>
      </c>
      <c r="E2046" s="8" t="n">
        <v>5410</v>
      </c>
      <c r="F2046" s="8" t="n">
        <v>1413590</v>
      </c>
      <c r="G2046" s="8" t="n">
        <v>575194</v>
      </c>
      <c r="H2046" s="8" t="n">
        <v>7470</v>
      </c>
      <c r="I2046" s="8" t="n">
        <v>7395</v>
      </c>
      <c r="J2046" s="8" t="n">
        <v>7475</v>
      </c>
      <c r="K2046" s="8" t="n">
        <v>7320</v>
      </c>
      <c r="L2046" s="8" t="n">
        <v>754894</v>
      </c>
      <c r="M2046" s="8" t="n">
        <v>412904</v>
      </c>
      <c r="N2046" t="inlineStr">
        <is>
          <t>是</t>
        </is>
      </c>
    </row>
    <row r="2047">
      <c r="A2047" s="7" t="inlineStr">
        <is>
          <t>2015-12-14</t>
        </is>
      </c>
      <c r="B2047" s="8" t="n">
        <v>5521</v>
      </c>
      <c r="C2047" s="8" t="n">
        <v>5420</v>
      </c>
      <c r="D2047" s="8" t="n">
        <v>5543</v>
      </c>
      <c r="E2047" s="8" t="n">
        <v>5361</v>
      </c>
      <c r="F2047" s="8" t="n">
        <v>1763012</v>
      </c>
      <c r="G2047" s="8" t="n">
        <v>603972</v>
      </c>
      <c r="H2047" s="8" t="n">
        <v>7525</v>
      </c>
      <c r="I2047" s="8" t="n">
        <v>7390</v>
      </c>
      <c r="J2047" s="8" t="n">
        <v>7530</v>
      </c>
      <c r="K2047" s="8" t="n">
        <v>7345</v>
      </c>
      <c r="L2047" s="8" t="n">
        <v>819318</v>
      </c>
      <c r="M2047" s="8" t="n">
        <v>436672</v>
      </c>
      <c r="N2047" t="inlineStr">
        <is>
          <t>是</t>
        </is>
      </c>
    </row>
    <row r="2048">
      <c r="A2048" s="7" t="inlineStr">
        <is>
          <t>2015-12-15</t>
        </is>
      </c>
      <c r="B2048" s="8" t="n">
        <v>5523</v>
      </c>
      <c r="C2048" s="8" t="n">
        <v>5560</v>
      </c>
      <c r="D2048" s="8" t="n">
        <v>5606</v>
      </c>
      <c r="E2048" s="8" t="n">
        <v>5500</v>
      </c>
      <c r="F2048" s="8" t="n">
        <v>1285550</v>
      </c>
      <c r="G2048" s="8" t="n">
        <v>590526</v>
      </c>
      <c r="H2048" s="8" t="n">
        <v>7455</v>
      </c>
      <c r="I2048" s="8" t="n">
        <v>7555</v>
      </c>
      <c r="J2048" s="8" t="n">
        <v>7580</v>
      </c>
      <c r="K2048" s="8" t="n">
        <v>7415</v>
      </c>
      <c r="L2048" s="8" t="n">
        <v>734604</v>
      </c>
      <c r="M2048" s="8" t="n">
        <v>417090</v>
      </c>
      <c r="N2048" t="inlineStr">
        <is>
          <t>是</t>
        </is>
      </c>
    </row>
    <row r="2049">
      <c r="A2049" s="7" t="inlineStr">
        <is>
          <t>2015-12-16</t>
        </is>
      </c>
      <c r="B2049" s="8" t="n">
        <v>5540</v>
      </c>
      <c r="C2049" s="8" t="n">
        <v>5519</v>
      </c>
      <c r="D2049" s="8" t="n">
        <v>5568</v>
      </c>
      <c r="E2049" s="8" t="n">
        <v>5505</v>
      </c>
      <c r="F2049" s="8" t="n">
        <v>1201566</v>
      </c>
      <c r="G2049" s="8" t="n">
        <v>571470</v>
      </c>
      <c r="H2049" s="8" t="n">
        <v>7505</v>
      </c>
      <c r="I2049" s="8" t="n">
        <v>7465</v>
      </c>
      <c r="J2049" s="8" t="n">
        <v>7520</v>
      </c>
      <c r="K2049" s="8" t="n">
        <v>7395</v>
      </c>
      <c r="L2049" s="8" t="n">
        <v>658964</v>
      </c>
      <c r="M2049" s="8" t="n">
        <v>447172</v>
      </c>
      <c r="N2049" t="inlineStr">
        <is>
          <t>是</t>
        </is>
      </c>
    </row>
    <row r="2050">
      <c r="A2050" s="7" t="inlineStr">
        <is>
          <t>2015-12-17</t>
        </is>
      </c>
      <c r="B2050" s="8" t="n">
        <v>5529</v>
      </c>
      <c r="C2050" s="8" t="n">
        <v>5521</v>
      </c>
      <c r="D2050" s="8" t="n">
        <v>5625</v>
      </c>
      <c r="E2050" s="8" t="n">
        <v>5510</v>
      </c>
      <c r="F2050" s="8" t="n">
        <v>1433718</v>
      </c>
      <c r="G2050" s="8" t="n">
        <v>554626</v>
      </c>
      <c r="H2050" s="8" t="n">
        <v>7465</v>
      </c>
      <c r="I2050" s="8" t="n">
        <v>7475</v>
      </c>
      <c r="J2050" s="8" t="n">
        <v>7615</v>
      </c>
      <c r="K2050" s="8" t="n">
        <v>7445</v>
      </c>
      <c r="L2050" s="8" t="n">
        <v>908036</v>
      </c>
      <c r="M2050" s="8" t="n">
        <v>455188</v>
      </c>
      <c r="N2050" t="inlineStr">
        <is>
          <t>是</t>
        </is>
      </c>
    </row>
    <row r="2051">
      <c r="A2051" s="7" t="inlineStr">
        <is>
          <t>2015-12-18</t>
        </is>
      </c>
      <c r="B2051" s="8" t="n">
        <v>5565</v>
      </c>
      <c r="C2051" s="8" t="n">
        <v>5512</v>
      </c>
      <c r="D2051" s="8" t="n">
        <v>5569</v>
      </c>
      <c r="E2051" s="8" t="n">
        <v>5465</v>
      </c>
      <c r="F2051" s="8" t="n">
        <v>1525388</v>
      </c>
      <c r="G2051" s="8" t="n">
        <v>559270</v>
      </c>
      <c r="H2051" s="8" t="n">
        <v>7650</v>
      </c>
      <c r="I2051" s="8" t="n">
        <v>7430</v>
      </c>
      <c r="J2051" s="8" t="n">
        <v>7650</v>
      </c>
      <c r="K2051" s="8" t="n">
        <v>7415</v>
      </c>
      <c r="L2051" s="8" t="n">
        <v>967714</v>
      </c>
      <c r="M2051" s="8" t="n">
        <v>524322</v>
      </c>
      <c r="N2051" t="inlineStr">
        <is>
          <t>是</t>
        </is>
      </c>
    </row>
    <row r="2052">
      <c r="A2052" s="7" t="inlineStr">
        <is>
          <t>2015-12-21</t>
        </is>
      </c>
      <c r="B2052" s="8" t="n">
        <v>5717</v>
      </c>
      <c r="C2052" s="8" t="n">
        <v>5575</v>
      </c>
      <c r="D2052" s="8" t="n">
        <v>5720</v>
      </c>
      <c r="E2052" s="8" t="n">
        <v>5546</v>
      </c>
      <c r="F2052" s="8" t="n">
        <v>1597198</v>
      </c>
      <c r="G2052" s="8" t="n">
        <v>565696</v>
      </c>
      <c r="H2052" s="8" t="n">
        <v>7710</v>
      </c>
      <c r="I2052" s="8" t="n">
        <v>7640</v>
      </c>
      <c r="J2052" s="8" t="n">
        <v>7720</v>
      </c>
      <c r="K2052" s="8" t="n">
        <v>7580</v>
      </c>
      <c r="L2052" s="8" t="n">
        <v>870848</v>
      </c>
      <c r="M2052" s="8" t="n">
        <v>484704</v>
      </c>
      <c r="N2052" t="inlineStr">
        <is>
          <t>是</t>
        </is>
      </c>
    </row>
    <row r="2053">
      <c r="A2053" s="7" t="inlineStr">
        <is>
          <t>2015-12-22</t>
        </is>
      </c>
      <c r="B2053" s="8" t="n">
        <v>5794</v>
      </c>
      <c r="C2053" s="8" t="n">
        <v>5708</v>
      </c>
      <c r="D2053" s="8" t="n">
        <v>5795</v>
      </c>
      <c r="E2053" s="8" t="n">
        <v>5692</v>
      </c>
      <c r="F2053" s="8" t="n">
        <v>1510868</v>
      </c>
      <c r="G2053" s="8" t="n">
        <v>575152</v>
      </c>
      <c r="H2053" s="8" t="n">
        <v>7820</v>
      </c>
      <c r="I2053" s="8" t="n">
        <v>7710</v>
      </c>
      <c r="J2053" s="8" t="n">
        <v>7825</v>
      </c>
      <c r="K2053" s="8" t="n">
        <v>7680</v>
      </c>
      <c r="L2053" s="8" t="n">
        <v>885864</v>
      </c>
      <c r="M2053" s="8" t="n">
        <v>508286</v>
      </c>
      <c r="N2053" t="inlineStr">
        <is>
          <t>是</t>
        </is>
      </c>
    </row>
    <row r="2054">
      <c r="A2054" s="7" t="inlineStr">
        <is>
          <t>2015-12-23</t>
        </is>
      </c>
      <c r="B2054" s="8" t="n">
        <v>5766</v>
      </c>
      <c r="C2054" s="8" t="n">
        <v>5782</v>
      </c>
      <c r="D2054" s="8" t="n">
        <v>5802</v>
      </c>
      <c r="E2054" s="8" t="n">
        <v>5680</v>
      </c>
      <c r="F2054" s="8" t="n">
        <v>1543840</v>
      </c>
      <c r="G2054" s="8" t="n">
        <v>586584</v>
      </c>
      <c r="H2054" s="8" t="n">
        <v>7865</v>
      </c>
      <c r="I2054" s="8" t="n">
        <v>7805</v>
      </c>
      <c r="J2054" s="8" t="n">
        <v>7870</v>
      </c>
      <c r="K2054" s="8" t="n">
        <v>7705</v>
      </c>
      <c r="L2054" s="8" t="n">
        <v>979014</v>
      </c>
      <c r="M2054" s="8" t="n">
        <v>546152</v>
      </c>
      <c r="N2054" t="inlineStr">
        <is>
          <t>是</t>
        </is>
      </c>
    </row>
    <row r="2055">
      <c r="A2055" s="7" t="inlineStr">
        <is>
          <t>2015-12-24</t>
        </is>
      </c>
      <c r="B2055" s="8" t="n">
        <v>5887</v>
      </c>
      <c r="C2055" s="8" t="n">
        <v>5801</v>
      </c>
      <c r="D2055" s="8" t="n">
        <v>5951</v>
      </c>
      <c r="E2055" s="8" t="n">
        <v>5796</v>
      </c>
      <c r="F2055" s="8" t="n">
        <v>2597512</v>
      </c>
      <c r="G2055" s="8" t="n">
        <v>646276</v>
      </c>
      <c r="H2055" s="8" t="n">
        <v>7845</v>
      </c>
      <c r="I2055" s="8" t="n">
        <v>7885</v>
      </c>
      <c r="J2055" s="8" t="n">
        <v>7915</v>
      </c>
      <c r="K2055" s="8" t="n">
        <v>7815</v>
      </c>
      <c r="L2055" s="8" t="n">
        <v>1113814</v>
      </c>
      <c r="M2055" s="8" t="n">
        <v>532518</v>
      </c>
      <c r="N2055" t="inlineStr">
        <is>
          <t>是</t>
        </is>
      </c>
    </row>
    <row r="2056">
      <c r="A2056" s="7" t="inlineStr">
        <is>
          <t>2015-12-25</t>
        </is>
      </c>
      <c r="B2056" s="8" t="n">
        <v>5870</v>
      </c>
      <c r="C2056" s="8" t="n">
        <v>5897</v>
      </c>
      <c r="D2056" s="8" t="n">
        <v>5914</v>
      </c>
      <c r="E2056" s="8" t="n">
        <v>5840</v>
      </c>
      <c r="F2056" s="8" t="n">
        <v>1469024</v>
      </c>
      <c r="G2056" s="8" t="n">
        <v>633576</v>
      </c>
      <c r="H2056" s="8" t="n">
        <v>7885</v>
      </c>
      <c r="I2056" s="8" t="n">
        <v>7860</v>
      </c>
      <c r="J2056" s="8" t="n">
        <v>7895</v>
      </c>
      <c r="K2056" s="8" t="n">
        <v>7780</v>
      </c>
      <c r="L2056" s="8" t="n">
        <v>738778</v>
      </c>
      <c r="M2056" s="8" t="n">
        <v>530546</v>
      </c>
      <c r="N2056" t="inlineStr">
        <is>
          <t>是</t>
        </is>
      </c>
    </row>
    <row r="2057">
      <c r="A2057" s="7" t="inlineStr">
        <is>
          <t>2015-12-28</t>
        </is>
      </c>
      <c r="B2057" s="8" t="n">
        <v>5736</v>
      </c>
      <c r="C2057" s="8" t="n">
        <v>5868</v>
      </c>
      <c r="D2057" s="8" t="n">
        <v>5920</v>
      </c>
      <c r="E2057" s="8" t="n">
        <v>5731</v>
      </c>
      <c r="F2057" s="8" t="n">
        <v>1613154</v>
      </c>
      <c r="G2057" s="8" t="n">
        <v>640722</v>
      </c>
      <c r="H2057" s="8" t="n">
        <v>7790</v>
      </c>
      <c r="I2057" s="8" t="n">
        <v>7865</v>
      </c>
      <c r="J2057" s="8" t="n">
        <v>7885</v>
      </c>
      <c r="K2057" s="8" t="n">
        <v>7775</v>
      </c>
      <c r="L2057" s="8" t="n">
        <v>855016</v>
      </c>
      <c r="M2057" s="8" t="n">
        <v>523832</v>
      </c>
      <c r="N2057" t="inlineStr">
        <is>
          <t>是</t>
        </is>
      </c>
    </row>
    <row r="2058">
      <c r="A2058" s="7" t="inlineStr">
        <is>
          <t>2015-12-29</t>
        </is>
      </c>
      <c r="B2058" s="8" t="n">
        <v>5825</v>
      </c>
      <c r="C2058" s="8" t="n">
        <v>5720</v>
      </c>
      <c r="D2058" s="8" t="n">
        <v>5842</v>
      </c>
      <c r="E2058" s="8" t="n">
        <v>5690</v>
      </c>
      <c r="F2058" s="8" t="n">
        <v>1672192</v>
      </c>
      <c r="G2058" s="8" t="n">
        <v>592636</v>
      </c>
      <c r="H2058" s="8" t="n">
        <v>7885</v>
      </c>
      <c r="I2058" s="8" t="n">
        <v>7760</v>
      </c>
      <c r="J2058" s="8" t="n">
        <v>7920</v>
      </c>
      <c r="K2058" s="8" t="n">
        <v>7730</v>
      </c>
      <c r="L2058" s="8" t="n">
        <v>882248</v>
      </c>
      <c r="M2058" s="8" t="n">
        <v>532868</v>
      </c>
      <c r="N2058" t="inlineStr">
        <is>
          <t>是</t>
        </is>
      </c>
    </row>
    <row r="2059">
      <c r="A2059" s="7" t="inlineStr">
        <is>
          <t>2015-12-30</t>
        </is>
      </c>
      <c r="B2059" s="8" t="n">
        <v>5815</v>
      </c>
      <c r="C2059" s="8" t="n">
        <v>5868</v>
      </c>
      <c r="D2059" s="8" t="n">
        <v>5898</v>
      </c>
      <c r="E2059" s="8" t="n">
        <v>5777</v>
      </c>
      <c r="F2059" s="8" t="n">
        <v>1843764</v>
      </c>
      <c r="G2059" s="8" t="n">
        <v>605356</v>
      </c>
      <c r="H2059" s="8" t="n">
        <v>8000</v>
      </c>
      <c r="I2059" s="8" t="n">
        <v>7925</v>
      </c>
      <c r="J2059" s="8" t="n">
        <v>8025</v>
      </c>
      <c r="K2059" s="8" t="n">
        <v>7895</v>
      </c>
      <c r="L2059" s="8" t="n">
        <v>1087368</v>
      </c>
      <c r="M2059" s="8" t="n">
        <v>552014</v>
      </c>
      <c r="N2059" t="inlineStr">
        <is>
          <t>是</t>
        </is>
      </c>
    </row>
    <row r="2060">
      <c r="A2060" s="7" t="inlineStr">
        <is>
          <t>2015-12-31</t>
        </is>
      </c>
      <c r="B2060" s="8" t="n">
        <v>5825</v>
      </c>
      <c r="C2060" s="8" t="n">
        <v>5806</v>
      </c>
      <c r="D2060" s="8" t="n">
        <v>5926</v>
      </c>
      <c r="E2060" s="8" t="n">
        <v>5787</v>
      </c>
      <c r="F2060" s="8" t="n">
        <v>1982910</v>
      </c>
      <c r="G2060" s="8" t="n">
        <v>595356</v>
      </c>
      <c r="H2060" s="8" t="n">
        <v>8040</v>
      </c>
      <c r="I2060" s="8" t="n">
        <v>7980</v>
      </c>
      <c r="J2060" s="8" t="n">
        <v>8130</v>
      </c>
      <c r="K2060" s="8" t="n">
        <v>7965</v>
      </c>
      <c r="L2060" s="8" t="n">
        <v>1189100</v>
      </c>
      <c r="M2060" s="8" t="n">
        <v>528958</v>
      </c>
      <c r="N2060" t="inlineStr">
        <is>
          <t>是</t>
        </is>
      </c>
    </row>
    <row r="2061">
      <c r="A2061" s="7" t="inlineStr">
        <is>
          <t>2016-01-04</t>
        </is>
      </c>
      <c r="B2061" s="8" t="n">
        <v>5792</v>
      </c>
      <c r="C2061" s="8" t="n">
        <v>5880</v>
      </c>
      <c r="D2061" s="8" t="n">
        <v>5890</v>
      </c>
      <c r="E2061" s="8" t="n">
        <v>5744</v>
      </c>
      <c r="F2061" s="8" t="n">
        <v>1657982</v>
      </c>
      <c r="G2061" s="8" t="n">
        <v>581870</v>
      </c>
      <c r="H2061" s="8" t="n">
        <v>8030</v>
      </c>
      <c r="I2061" s="8" t="n">
        <v>8075</v>
      </c>
      <c r="J2061" s="8" t="n">
        <v>8095</v>
      </c>
      <c r="K2061" s="8" t="n">
        <v>7960</v>
      </c>
      <c r="L2061" s="8" t="n">
        <v>1096256</v>
      </c>
      <c r="M2061" s="8" t="n">
        <v>550526</v>
      </c>
      <c r="N2061" t="inlineStr">
        <is>
          <t>是</t>
        </is>
      </c>
    </row>
    <row r="2062">
      <c r="A2062" s="7" t="inlineStr">
        <is>
          <t>2016-01-05</t>
        </is>
      </c>
      <c r="B2062" s="8" t="n">
        <v>5815</v>
      </c>
      <c r="C2062" s="8" t="n">
        <v>5770</v>
      </c>
      <c r="D2062" s="8" t="n">
        <v>5845</v>
      </c>
      <c r="E2062" s="8" t="n">
        <v>5745</v>
      </c>
      <c r="F2062" s="8" t="n">
        <v>1719956</v>
      </c>
      <c r="G2062" s="8" t="n">
        <v>572814</v>
      </c>
      <c r="H2062" s="8" t="n">
        <v>8050</v>
      </c>
      <c r="I2062" s="8" t="n">
        <v>8010</v>
      </c>
      <c r="J2062" s="8" t="n">
        <v>8145</v>
      </c>
      <c r="K2062" s="8" t="n">
        <v>7980</v>
      </c>
      <c r="L2062" s="8" t="n">
        <v>1025808</v>
      </c>
      <c r="M2062" s="8" t="n">
        <v>554896</v>
      </c>
      <c r="N2062" t="inlineStr">
        <is>
          <t>是</t>
        </is>
      </c>
    </row>
    <row r="2063">
      <c r="A2063" s="7" t="inlineStr">
        <is>
          <t>2016-01-06</t>
        </is>
      </c>
      <c r="B2063" s="8" t="n">
        <v>5726</v>
      </c>
      <c r="C2063" s="8" t="n">
        <v>5760</v>
      </c>
      <c r="D2063" s="8" t="n">
        <v>5825</v>
      </c>
      <c r="E2063" s="8" t="n">
        <v>5724</v>
      </c>
      <c r="F2063" s="8" t="n">
        <v>1778976</v>
      </c>
      <c r="G2063" s="8" t="n">
        <v>630836</v>
      </c>
      <c r="H2063" s="8" t="n">
        <v>7970</v>
      </c>
      <c r="I2063" s="8" t="n">
        <v>8020</v>
      </c>
      <c r="J2063" s="8" t="n">
        <v>8070</v>
      </c>
      <c r="K2063" s="8" t="n">
        <v>7940</v>
      </c>
      <c r="L2063" s="8" t="n">
        <v>1148230</v>
      </c>
      <c r="M2063" s="8" t="n">
        <v>563010</v>
      </c>
      <c r="N2063" t="inlineStr">
        <is>
          <t>是</t>
        </is>
      </c>
    </row>
    <row r="2064">
      <c r="A2064" s="7" t="inlineStr">
        <is>
          <t>2016-01-07</t>
        </is>
      </c>
      <c r="B2064" s="8" t="n">
        <v>5627</v>
      </c>
      <c r="C2064" s="8" t="n">
        <v>5701</v>
      </c>
      <c r="D2064" s="8" t="n">
        <v>5722</v>
      </c>
      <c r="E2064" s="8" t="n">
        <v>5558</v>
      </c>
      <c r="F2064" s="8" t="n">
        <v>1843020</v>
      </c>
      <c r="G2064" s="8" t="n">
        <v>578888</v>
      </c>
      <c r="H2064" s="8" t="n">
        <v>7895</v>
      </c>
      <c r="I2064" s="8" t="n">
        <v>7905</v>
      </c>
      <c r="J2064" s="8" t="n">
        <v>7955</v>
      </c>
      <c r="K2064" s="8" t="n">
        <v>7810</v>
      </c>
      <c r="L2064" s="8" t="n">
        <v>957560</v>
      </c>
      <c r="M2064" s="8" t="n">
        <v>555754</v>
      </c>
      <c r="N2064" t="inlineStr">
        <is>
          <t>是</t>
        </is>
      </c>
    </row>
    <row r="2065">
      <c r="A2065" s="7" t="inlineStr">
        <is>
          <t>2016-01-08</t>
        </is>
      </c>
      <c r="B2065" s="8" t="n">
        <v>5684</v>
      </c>
      <c r="C2065" s="8" t="n">
        <v>5656</v>
      </c>
      <c r="D2065" s="8" t="n">
        <v>5686</v>
      </c>
      <c r="E2065" s="8" t="n">
        <v>5631</v>
      </c>
      <c r="F2065" s="8" t="n">
        <v>1321982</v>
      </c>
      <c r="G2065" s="8" t="n">
        <v>546276</v>
      </c>
      <c r="H2065" s="8" t="n">
        <v>7905</v>
      </c>
      <c r="I2065" s="8" t="n">
        <v>7910</v>
      </c>
      <c r="J2065" s="8" t="n">
        <v>7940</v>
      </c>
      <c r="K2065" s="8" t="n">
        <v>7840</v>
      </c>
      <c r="L2065" s="8" t="n">
        <v>860966</v>
      </c>
      <c r="M2065" s="8" t="n">
        <v>525926</v>
      </c>
      <c r="N2065" t="inlineStr">
        <is>
          <t>是</t>
        </is>
      </c>
    </row>
    <row r="2066">
      <c r="A2066" s="7" t="inlineStr">
        <is>
          <t>2016-01-11</t>
        </is>
      </c>
      <c r="B2066" s="8" t="n">
        <v>5633</v>
      </c>
      <c r="C2066" s="8" t="n">
        <v>5624</v>
      </c>
      <c r="D2066" s="8" t="n">
        <v>5679</v>
      </c>
      <c r="E2066" s="8" t="n">
        <v>5576</v>
      </c>
      <c r="F2066" s="8" t="n">
        <v>1808536</v>
      </c>
      <c r="G2066" s="8" t="n">
        <v>541142</v>
      </c>
      <c r="H2066" s="8" t="n">
        <v>7850</v>
      </c>
      <c r="I2066" s="8" t="n">
        <v>7865</v>
      </c>
      <c r="J2066" s="8" t="n">
        <v>7875</v>
      </c>
      <c r="K2066" s="8" t="n">
        <v>7760</v>
      </c>
      <c r="L2066" s="8" t="n">
        <v>1024802</v>
      </c>
      <c r="M2066" s="8" t="n">
        <v>528074</v>
      </c>
      <c r="N2066" t="inlineStr">
        <is>
          <t>是</t>
        </is>
      </c>
    </row>
    <row r="2067">
      <c r="A2067" s="7" t="inlineStr">
        <is>
          <t>2016-01-12</t>
        </is>
      </c>
      <c r="B2067" s="8" t="n">
        <v>5584</v>
      </c>
      <c r="C2067" s="8" t="n">
        <v>5580</v>
      </c>
      <c r="D2067" s="8" t="n">
        <v>5600</v>
      </c>
      <c r="E2067" s="8" t="n">
        <v>5525</v>
      </c>
      <c r="F2067" s="8" t="n">
        <v>1719300</v>
      </c>
      <c r="G2067" s="8" t="n">
        <v>562956</v>
      </c>
      <c r="H2067" s="8" t="n">
        <v>7875</v>
      </c>
      <c r="I2067" s="8" t="n">
        <v>7790</v>
      </c>
      <c r="J2067" s="8" t="n">
        <v>7885</v>
      </c>
      <c r="K2067" s="8" t="n">
        <v>7745</v>
      </c>
      <c r="L2067" s="8" t="n">
        <v>1227180</v>
      </c>
      <c r="M2067" s="8" t="n">
        <v>567334</v>
      </c>
      <c r="N2067" t="inlineStr">
        <is>
          <t>是</t>
        </is>
      </c>
    </row>
    <row r="2068">
      <c r="A2068" s="7" t="inlineStr">
        <is>
          <t>2016-01-13</t>
        </is>
      </c>
      <c r="B2068" s="8" t="n">
        <v>5585</v>
      </c>
      <c r="C2068" s="8" t="n">
        <v>5588</v>
      </c>
      <c r="D2068" s="8" t="n">
        <v>5615</v>
      </c>
      <c r="E2068" s="8" t="n">
        <v>5550</v>
      </c>
      <c r="F2068" s="8" t="n">
        <v>1472742</v>
      </c>
      <c r="G2068" s="8" t="n">
        <v>593060</v>
      </c>
      <c r="H2068" s="8" t="n">
        <v>7800</v>
      </c>
      <c r="I2068" s="8" t="n">
        <v>7875</v>
      </c>
      <c r="J2068" s="8" t="n">
        <v>7890</v>
      </c>
      <c r="K2068" s="8" t="n">
        <v>7710</v>
      </c>
      <c r="L2068" s="8" t="n">
        <v>1360308</v>
      </c>
      <c r="M2068" s="8" t="n">
        <v>599752</v>
      </c>
      <c r="N2068" t="inlineStr">
        <is>
          <t>是</t>
        </is>
      </c>
    </row>
    <row r="2069">
      <c r="A2069" s="7" t="inlineStr">
        <is>
          <t>2016-01-14</t>
        </is>
      </c>
      <c r="B2069" s="8" t="n">
        <v>5677</v>
      </c>
      <c r="C2069" s="8" t="n">
        <v>5575</v>
      </c>
      <c r="D2069" s="8" t="n">
        <v>5679</v>
      </c>
      <c r="E2069" s="8" t="n">
        <v>5561</v>
      </c>
      <c r="F2069" s="8" t="n">
        <v>1601162</v>
      </c>
      <c r="G2069" s="8" t="n">
        <v>637190</v>
      </c>
      <c r="H2069" s="8" t="n">
        <v>7795</v>
      </c>
      <c r="I2069" s="8" t="n">
        <v>7780</v>
      </c>
      <c r="J2069" s="8" t="n">
        <v>7835</v>
      </c>
      <c r="K2069" s="8" t="n">
        <v>7740</v>
      </c>
      <c r="L2069" s="8" t="n">
        <v>953256</v>
      </c>
      <c r="M2069" s="8" t="n">
        <v>589678</v>
      </c>
      <c r="N2069" t="inlineStr">
        <is>
          <t>是</t>
        </is>
      </c>
    </row>
    <row r="2070">
      <c r="A2070" s="7" t="inlineStr">
        <is>
          <t>2016-01-15</t>
        </is>
      </c>
      <c r="B2070" s="8" t="n">
        <v>5673</v>
      </c>
      <c r="C2070" s="8" t="n">
        <v>5696</v>
      </c>
      <c r="D2070" s="8" t="n">
        <v>5728</v>
      </c>
      <c r="E2070" s="8" t="n">
        <v>5663</v>
      </c>
      <c r="F2070" s="8" t="n">
        <v>1422758</v>
      </c>
      <c r="G2070" s="8" t="n">
        <v>574440</v>
      </c>
      <c r="H2070" s="8" t="n">
        <v>7820</v>
      </c>
      <c r="I2070" s="8" t="n">
        <v>7815</v>
      </c>
      <c r="J2070" s="8" t="n">
        <v>7845</v>
      </c>
      <c r="K2070" s="8" t="n">
        <v>7755</v>
      </c>
      <c r="L2070" s="8" t="n">
        <v>936456</v>
      </c>
      <c r="M2070" s="8" t="n">
        <v>582720</v>
      </c>
      <c r="N2070" t="inlineStr">
        <is>
          <t>是</t>
        </is>
      </c>
    </row>
    <row r="2071">
      <c r="A2071" s="7" t="inlineStr">
        <is>
          <t>2016-01-18</t>
        </is>
      </c>
      <c r="B2071" s="8" t="n">
        <v>5806</v>
      </c>
      <c r="C2071" s="8" t="n">
        <v>5640</v>
      </c>
      <c r="D2071" s="8" t="n">
        <v>5815</v>
      </c>
      <c r="E2071" s="8" t="n">
        <v>5622</v>
      </c>
      <c r="F2071" s="8" t="n">
        <v>1574722</v>
      </c>
      <c r="G2071" s="8" t="n">
        <v>614378</v>
      </c>
      <c r="H2071" s="8" t="n">
        <v>8035</v>
      </c>
      <c r="I2071" s="8" t="n">
        <v>7765</v>
      </c>
      <c r="J2071" s="8" t="n">
        <v>8045</v>
      </c>
      <c r="K2071" s="8" t="n">
        <v>7740</v>
      </c>
      <c r="L2071" s="8" t="n">
        <v>1492578</v>
      </c>
      <c r="M2071" s="8" t="n">
        <v>602266</v>
      </c>
      <c r="N2071" t="inlineStr">
        <is>
          <t>是</t>
        </is>
      </c>
    </row>
    <row r="2072">
      <c r="A2072" s="7" t="inlineStr">
        <is>
          <t>2016-01-19</t>
        </is>
      </c>
      <c r="B2072" s="8" t="n">
        <v>5948</v>
      </c>
      <c r="C2072" s="8" t="n">
        <v>5800</v>
      </c>
      <c r="D2072" s="8" t="n">
        <v>5977</v>
      </c>
      <c r="E2072" s="8" t="n">
        <v>5778</v>
      </c>
      <c r="F2072" s="8" t="n">
        <v>1839824</v>
      </c>
      <c r="G2072" s="8" t="n">
        <v>652440</v>
      </c>
      <c r="H2072" s="8" t="n">
        <v>8275</v>
      </c>
      <c r="I2072" s="8" t="n">
        <v>8010</v>
      </c>
      <c r="J2072" s="8" t="n">
        <v>8280</v>
      </c>
      <c r="K2072" s="8" t="n">
        <v>8005</v>
      </c>
      <c r="L2072" s="8" t="n">
        <v>1361454</v>
      </c>
      <c r="M2072" s="8" t="n">
        <v>666698</v>
      </c>
      <c r="N2072" t="inlineStr">
        <is>
          <t>是</t>
        </is>
      </c>
    </row>
    <row r="2073">
      <c r="A2073" s="7" t="inlineStr">
        <is>
          <t>2016-01-20</t>
        </is>
      </c>
      <c r="B2073" s="8" t="n">
        <v>5896</v>
      </c>
      <c r="C2073" s="8" t="n">
        <v>5900</v>
      </c>
      <c r="D2073" s="8" t="n">
        <v>5925</v>
      </c>
      <c r="E2073" s="8" t="n">
        <v>5850</v>
      </c>
      <c r="F2073" s="8" t="n">
        <v>1452430</v>
      </c>
      <c r="G2073" s="8" t="n">
        <v>618040</v>
      </c>
      <c r="H2073" s="8" t="n">
        <v>8210</v>
      </c>
      <c r="I2073" s="8" t="n">
        <v>8205</v>
      </c>
      <c r="J2073" s="8" t="n">
        <v>8240</v>
      </c>
      <c r="K2073" s="8" t="n">
        <v>8155</v>
      </c>
      <c r="L2073" s="8" t="n">
        <v>1044442</v>
      </c>
      <c r="M2073" s="8" t="n">
        <v>632580</v>
      </c>
      <c r="N2073" t="inlineStr">
        <is>
          <t>是</t>
        </is>
      </c>
    </row>
    <row r="2074">
      <c r="A2074" s="7" t="inlineStr">
        <is>
          <t>2016-01-21</t>
        </is>
      </c>
      <c r="B2074" s="8" t="n">
        <v>5917</v>
      </c>
      <c r="C2074" s="8" t="n">
        <v>5894</v>
      </c>
      <c r="D2074" s="8" t="n">
        <v>5998</v>
      </c>
      <c r="E2074" s="8" t="n">
        <v>5846</v>
      </c>
      <c r="F2074" s="8" t="n">
        <v>1940902</v>
      </c>
      <c r="G2074" s="8" t="n">
        <v>653694</v>
      </c>
      <c r="H2074" s="8" t="n">
        <v>8200</v>
      </c>
      <c r="I2074" s="8" t="n">
        <v>8210</v>
      </c>
      <c r="J2074" s="8" t="n">
        <v>8285</v>
      </c>
      <c r="K2074" s="8" t="n">
        <v>8155</v>
      </c>
      <c r="L2074" s="8" t="n">
        <v>1145412</v>
      </c>
      <c r="M2074" s="8" t="n">
        <v>708754</v>
      </c>
      <c r="N2074" t="inlineStr">
        <is>
          <t>是</t>
        </is>
      </c>
    </row>
    <row r="2075">
      <c r="A2075" s="7" t="inlineStr">
        <is>
          <t>2016-01-22</t>
        </is>
      </c>
      <c r="B2075" s="8" t="n">
        <v>5967</v>
      </c>
      <c r="C2075" s="8" t="n">
        <v>6001</v>
      </c>
      <c r="D2075" s="8" t="n">
        <v>6076</v>
      </c>
      <c r="E2075" s="8" t="n">
        <v>5936</v>
      </c>
      <c r="F2075" s="8" t="n">
        <v>1738438</v>
      </c>
      <c r="G2075" s="8" t="n">
        <v>663044</v>
      </c>
      <c r="H2075" s="8" t="n">
        <v>8225</v>
      </c>
      <c r="I2075" s="8" t="n">
        <v>8280</v>
      </c>
      <c r="J2075" s="8" t="n">
        <v>8340</v>
      </c>
      <c r="K2075" s="8" t="n">
        <v>8195</v>
      </c>
      <c r="L2075" s="8" t="n">
        <v>1014620</v>
      </c>
      <c r="M2075" s="8" t="n">
        <v>719390</v>
      </c>
      <c r="N2075" t="inlineStr">
        <is>
          <t>是</t>
        </is>
      </c>
    </row>
    <row r="2076">
      <c r="A2076" s="7" t="inlineStr">
        <is>
          <t>2016-01-25</t>
        </is>
      </c>
      <c r="B2076" s="8" t="n">
        <v>5992</v>
      </c>
      <c r="C2076" s="8" t="n">
        <v>6010</v>
      </c>
      <c r="D2076" s="8" t="n">
        <v>6027</v>
      </c>
      <c r="E2076" s="8" t="n">
        <v>5945</v>
      </c>
      <c r="F2076" s="8" t="n">
        <v>1203556</v>
      </c>
      <c r="G2076" s="8" t="n">
        <v>664138</v>
      </c>
      <c r="H2076" s="8" t="n">
        <v>8205</v>
      </c>
      <c r="I2076" s="8" t="n">
        <v>8260</v>
      </c>
      <c r="J2076" s="8" t="n">
        <v>8270</v>
      </c>
      <c r="K2076" s="8" t="n">
        <v>8160</v>
      </c>
      <c r="L2076" s="8" t="n">
        <v>777508</v>
      </c>
      <c r="M2076" s="8" t="n">
        <v>780750</v>
      </c>
      <c r="N2076" t="inlineStr">
        <is>
          <t>是</t>
        </is>
      </c>
    </row>
    <row r="2077">
      <c r="A2077" s="7" t="inlineStr">
        <is>
          <t>2016-01-26</t>
        </is>
      </c>
      <c r="B2077" s="8" t="n">
        <v>6066</v>
      </c>
      <c r="C2077" s="8" t="n">
        <v>5962</v>
      </c>
      <c r="D2077" s="8" t="n">
        <v>6072</v>
      </c>
      <c r="E2077" s="8" t="n">
        <v>5955</v>
      </c>
      <c r="F2077" s="8" t="n">
        <v>1437344</v>
      </c>
      <c r="G2077" s="8" t="n">
        <v>705280</v>
      </c>
      <c r="H2077" s="8" t="n">
        <v>8350</v>
      </c>
      <c r="I2077" s="8" t="n">
        <v>8160</v>
      </c>
      <c r="J2077" s="8" t="n">
        <v>8350</v>
      </c>
      <c r="K2077" s="8" t="n">
        <v>8150</v>
      </c>
      <c r="L2077" s="8" t="n">
        <v>1059276</v>
      </c>
      <c r="M2077" s="8" t="n">
        <v>799540</v>
      </c>
      <c r="N2077" t="inlineStr">
        <is>
          <t>是</t>
        </is>
      </c>
    </row>
    <row r="2078">
      <c r="A2078" s="7" t="inlineStr">
        <is>
          <t>2016-01-27</t>
        </is>
      </c>
      <c r="B2078" s="8" t="n">
        <v>6194</v>
      </c>
      <c r="C2078" s="8" t="n">
        <v>6097</v>
      </c>
      <c r="D2078" s="8" t="n">
        <v>6196</v>
      </c>
      <c r="E2078" s="8" t="n">
        <v>6085</v>
      </c>
      <c r="F2078" s="8" t="n">
        <v>1740748</v>
      </c>
      <c r="G2078" s="8" t="n">
        <v>713740</v>
      </c>
      <c r="H2078" s="8" t="n">
        <v>8470</v>
      </c>
      <c r="I2078" s="8" t="n">
        <v>8370</v>
      </c>
      <c r="J2078" s="8" t="n">
        <v>8500</v>
      </c>
      <c r="K2078" s="8" t="n">
        <v>8355</v>
      </c>
      <c r="L2078" s="8" t="n">
        <v>1345184</v>
      </c>
      <c r="M2078" s="8" t="n">
        <v>809298</v>
      </c>
      <c r="N2078" t="inlineStr">
        <is>
          <t>是</t>
        </is>
      </c>
    </row>
    <row r="2079">
      <c r="A2079" s="7" t="inlineStr">
        <is>
          <t>2016-01-28</t>
        </is>
      </c>
      <c r="B2079" s="8" t="n">
        <v>6176</v>
      </c>
      <c r="C2079" s="8" t="n">
        <v>6196</v>
      </c>
      <c r="D2079" s="8" t="n">
        <v>6214</v>
      </c>
      <c r="E2079" s="8" t="n">
        <v>6156</v>
      </c>
      <c r="F2079" s="8" t="n">
        <v>1214980</v>
      </c>
      <c r="G2079" s="8" t="n">
        <v>715636</v>
      </c>
      <c r="H2079" s="8" t="n">
        <v>8415</v>
      </c>
      <c r="I2079" s="8" t="n">
        <v>8465</v>
      </c>
      <c r="J2079" s="8" t="n">
        <v>8485</v>
      </c>
      <c r="K2079" s="8" t="n">
        <v>8390</v>
      </c>
      <c r="L2079" s="8" t="n">
        <v>879260</v>
      </c>
      <c r="M2079" s="8" t="n">
        <v>769850</v>
      </c>
      <c r="N2079" t="inlineStr">
        <is>
          <t>是</t>
        </is>
      </c>
    </row>
    <row r="2080">
      <c r="A2080" s="7" t="inlineStr">
        <is>
          <t>2016-01-29</t>
        </is>
      </c>
      <c r="B2080" s="8" t="n">
        <v>6114</v>
      </c>
      <c r="C2080" s="8" t="n">
        <v>6174</v>
      </c>
      <c r="D2080" s="8" t="n">
        <v>6180</v>
      </c>
      <c r="E2080" s="8" t="n">
        <v>6062</v>
      </c>
      <c r="F2080" s="8" t="n">
        <v>1453450</v>
      </c>
      <c r="G2080" s="8" t="n">
        <v>660092</v>
      </c>
      <c r="H2080" s="8" t="n">
        <v>8410</v>
      </c>
      <c r="I2080" s="8" t="n">
        <v>8425</v>
      </c>
      <c r="J2080" s="8" t="n">
        <v>8425</v>
      </c>
      <c r="K2080" s="8" t="n">
        <v>8310</v>
      </c>
      <c r="L2080" s="8" t="n">
        <v>970698</v>
      </c>
      <c r="M2080" s="8" t="n">
        <v>771166</v>
      </c>
      <c r="N2080" t="inlineStr">
        <is>
          <t>是</t>
        </is>
      </c>
    </row>
    <row r="2081">
      <c r="A2081" s="7" t="inlineStr">
        <is>
          <t>2016-02-01</t>
        </is>
      </c>
      <c r="B2081" s="8" t="n">
        <v>6111</v>
      </c>
      <c r="C2081" s="8" t="n">
        <v>6125</v>
      </c>
      <c r="D2081" s="8" t="n">
        <v>6165</v>
      </c>
      <c r="E2081" s="8" t="n">
        <v>6092</v>
      </c>
      <c r="F2081" s="8" t="n">
        <v>1096390</v>
      </c>
      <c r="G2081" s="8" t="n">
        <v>652848</v>
      </c>
      <c r="H2081" s="8" t="n">
        <v>8380</v>
      </c>
      <c r="I2081" s="8" t="n">
        <v>8425</v>
      </c>
      <c r="J2081" s="8" t="n">
        <v>8475</v>
      </c>
      <c r="K2081" s="8" t="n">
        <v>8360</v>
      </c>
      <c r="L2081" s="8" t="n">
        <v>918766</v>
      </c>
      <c r="M2081" s="8" t="n">
        <v>751336</v>
      </c>
      <c r="N2081" t="inlineStr">
        <is>
          <t>是</t>
        </is>
      </c>
    </row>
    <row r="2082">
      <c r="A2082" s="7" t="inlineStr">
        <is>
          <t>2016-02-02</t>
        </is>
      </c>
      <c r="B2082" s="8" t="n">
        <v>6189</v>
      </c>
      <c r="C2082" s="8" t="n">
        <v>6096</v>
      </c>
      <c r="D2082" s="8" t="n">
        <v>6197</v>
      </c>
      <c r="E2082" s="8" t="n">
        <v>6092</v>
      </c>
      <c r="F2082" s="8" t="n">
        <v>1337286</v>
      </c>
      <c r="G2082" s="8" t="n">
        <v>649400</v>
      </c>
      <c r="H2082" s="8" t="n">
        <v>8465</v>
      </c>
      <c r="I2082" s="8" t="n">
        <v>8375</v>
      </c>
      <c r="J2082" s="8" t="n">
        <v>8490</v>
      </c>
      <c r="K2082" s="8" t="n">
        <v>8340</v>
      </c>
      <c r="L2082" s="8" t="n">
        <v>1007642</v>
      </c>
      <c r="M2082" s="8" t="n">
        <v>751282</v>
      </c>
      <c r="N2082" t="inlineStr">
        <is>
          <t>是</t>
        </is>
      </c>
    </row>
    <row r="2083">
      <c r="A2083" s="7" t="inlineStr">
        <is>
          <t>2016-02-03</t>
        </is>
      </c>
      <c r="B2083" s="8" t="n">
        <v>6258</v>
      </c>
      <c r="C2083" s="8" t="n">
        <v>6166</v>
      </c>
      <c r="D2083" s="8" t="n">
        <v>6275</v>
      </c>
      <c r="E2083" s="8" t="n">
        <v>6154</v>
      </c>
      <c r="F2083" s="8" t="n">
        <v>1215024</v>
      </c>
      <c r="G2083" s="8" t="n">
        <v>620684</v>
      </c>
      <c r="H2083" s="8" t="n">
        <v>8490</v>
      </c>
      <c r="I2083" s="8" t="n">
        <v>8425</v>
      </c>
      <c r="J2083" s="8" t="n">
        <v>8515</v>
      </c>
      <c r="K2083" s="8" t="n">
        <v>8410</v>
      </c>
      <c r="L2083" s="8" t="n">
        <v>794146</v>
      </c>
      <c r="M2083" s="8" t="n">
        <v>733810</v>
      </c>
      <c r="N2083" t="inlineStr">
        <is>
          <t>是</t>
        </is>
      </c>
    </row>
    <row r="2084">
      <c r="A2084" s="7" t="inlineStr">
        <is>
          <t>2016-02-04</t>
        </is>
      </c>
      <c r="B2084" s="8" t="n">
        <v>6409</v>
      </c>
      <c r="C2084" s="8" t="n">
        <v>6301</v>
      </c>
      <c r="D2084" s="8" t="n">
        <v>6418</v>
      </c>
      <c r="E2084" s="8" t="n">
        <v>6287</v>
      </c>
      <c r="F2084" s="8" t="n">
        <v>1028124</v>
      </c>
      <c r="G2084" s="8" t="n">
        <v>585154</v>
      </c>
      <c r="H2084" s="8" t="n">
        <v>8700</v>
      </c>
      <c r="I2084" s="8" t="n">
        <v>8540</v>
      </c>
      <c r="J2084" s="8" t="n">
        <v>8710</v>
      </c>
      <c r="K2084" s="8" t="n">
        <v>8520</v>
      </c>
      <c r="L2084" s="8" t="n">
        <v>894438</v>
      </c>
      <c r="M2084" s="8" t="n">
        <v>674854</v>
      </c>
      <c r="N2084" t="inlineStr">
        <is>
          <t>是</t>
        </is>
      </c>
    </row>
    <row r="2085">
      <c r="A2085" s="7" t="inlineStr">
        <is>
          <t>2016-02-05</t>
        </is>
      </c>
      <c r="B2085" s="8" t="n">
        <v>6428</v>
      </c>
      <c r="C2085" s="8" t="n">
        <v>6386</v>
      </c>
      <c r="D2085" s="8" t="n">
        <v>6442</v>
      </c>
      <c r="E2085" s="8" t="n">
        <v>6336</v>
      </c>
      <c r="F2085" s="8" t="n">
        <v>930298</v>
      </c>
      <c r="G2085" s="8" t="n">
        <v>572468</v>
      </c>
      <c r="H2085" s="8" t="n">
        <v>8685</v>
      </c>
      <c r="I2085" s="8" t="n">
        <v>8645</v>
      </c>
      <c r="J2085" s="8" t="n">
        <v>8695</v>
      </c>
      <c r="K2085" s="8" t="n">
        <v>8590</v>
      </c>
      <c r="L2085" s="8" t="n">
        <v>646356</v>
      </c>
      <c r="M2085" s="8" t="n">
        <v>626344</v>
      </c>
      <c r="N2085" t="inlineStr">
        <is>
          <t>是</t>
        </is>
      </c>
    </row>
    <row r="2086">
      <c r="A2086" s="7" t="inlineStr">
        <is>
          <t>2016-02-15</t>
        </is>
      </c>
      <c r="B2086" s="8" t="n">
        <v>6312</v>
      </c>
      <c r="C2086" s="8" t="n">
        <v>6390</v>
      </c>
      <c r="D2086" s="8" t="n">
        <v>6407</v>
      </c>
      <c r="E2086" s="8" t="n">
        <v>6268</v>
      </c>
      <c r="F2086" s="8" t="n">
        <v>1101400</v>
      </c>
      <c r="G2086" s="8" t="n">
        <v>606436</v>
      </c>
      <c r="H2086" s="8" t="n">
        <v>8625</v>
      </c>
      <c r="I2086" s="8" t="n">
        <v>8625</v>
      </c>
      <c r="J2086" s="8" t="n">
        <v>8735</v>
      </c>
      <c r="K2086" s="8" t="n">
        <v>8560</v>
      </c>
      <c r="L2086" s="8" t="n">
        <v>756280</v>
      </c>
      <c r="M2086" s="8" t="n">
        <v>637774</v>
      </c>
      <c r="N2086" t="inlineStr">
        <is>
          <t>是</t>
        </is>
      </c>
    </row>
    <row r="2087">
      <c r="A2087" s="7" t="inlineStr">
        <is>
          <t>2016-02-16</t>
        </is>
      </c>
      <c r="B2087" s="8" t="n">
        <v>6279</v>
      </c>
      <c r="C2087" s="8" t="n">
        <v>6336</v>
      </c>
      <c r="D2087" s="8" t="n">
        <v>6342</v>
      </c>
      <c r="E2087" s="8" t="n">
        <v>6250</v>
      </c>
      <c r="F2087" s="8" t="n">
        <v>1181420</v>
      </c>
      <c r="G2087" s="8" t="n">
        <v>646570</v>
      </c>
      <c r="H2087" s="8" t="n">
        <v>8615</v>
      </c>
      <c r="I2087" s="8" t="n">
        <v>8645</v>
      </c>
      <c r="J2087" s="8" t="n">
        <v>8650</v>
      </c>
      <c r="K2087" s="8" t="n">
        <v>8550</v>
      </c>
      <c r="L2087" s="8" t="n">
        <v>748270</v>
      </c>
      <c r="M2087" s="8" t="n">
        <v>695790</v>
      </c>
      <c r="N2087" t="inlineStr">
        <is>
          <t>是</t>
        </is>
      </c>
    </row>
    <row r="2088">
      <c r="A2088" s="7" t="inlineStr">
        <is>
          <t>2016-02-17</t>
        </is>
      </c>
      <c r="B2088" s="8" t="n">
        <v>6182</v>
      </c>
      <c r="C2088" s="8" t="n">
        <v>6268</v>
      </c>
      <c r="D2088" s="8" t="n">
        <v>6300</v>
      </c>
      <c r="E2088" s="8" t="n">
        <v>6162</v>
      </c>
      <c r="F2088" s="8" t="n">
        <v>1202360</v>
      </c>
      <c r="G2088" s="8" t="n">
        <v>624126</v>
      </c>
      <c r="H2088" s="8" t="n">
        <v>8530</v>
      </c>
      <c r="I2088" s="8" t="n">
        <v>8600</v>
      </c>
      <c r="J2088" s="8" t="n">
        <v>8630</v>
      </c>
      <c r="K2088" s="8" t="n">
        <v>8485</v>
      </c>
      <c r="L2088" s="8" t="n">
        <v>763928</v>
      </c>
      <c r="M2088" s="8" t="n">
        <v>746912</v>
      </c>
      <c r="N2088" t="inlineStr">
        <is>
          <t>是</t>
        </is>
      </c>
    </row>
    <row r="2089">
      <c r="A2089" s="7" t="inlineStr">
        <is>
          <t>2016-02-18</t>
        </is>
      </c>
      <c r="B2089" s="8" t="n">
        <v>6243</v>
      </c>
      <c r="C2089" s="8" t="n">
        <v>6212</v>
      </c>
      <c r="D2089" s="8" t="n">
        <v>6279</v>
      </c>
      <c r="E2089" s="8" t="n">
        <v>6206</v>
      </c>
      <c r="F2089" s="8" t="n">
        <v>1046246</v>
      </c>
      <c r="G2089" s="8" t="n">
        <v>610854</v>
      </c>
      <c r="H2089" s="8" t="n">
        <v>8580</v>
      </c>
      <c r="I2089" s="8" t="n">
        <v>8555</v>
      </c>
      <c r="J2089" s="8" t="n">
        <v>8605</v>
      </c>
      <c r="K2089" s="8" t="n">
        <v>8530</v>
      </c>
      <c r="L2089" s="8" t="n">
        <v>505838</v>
      </c>
      <c r="M2089" s="8" t="n">
        <v>751964</v>
      </c>
      <c r="N2089" t="inlineStr">
        <is>
          <t>是</t>
        </is>
      </c>
    </row>
    <row r="2090">
      <c r="A2090" s="7" t="inlineStr">
        <is>
          <t>2016-02-19</t>
        </is>
      </c>
      <c r="B2090" s="8" t="n">
        <v>6404</v>
      </c>
      <c r="C2090" s="8" t="n">
        <v>6230</v>
      </c>
      <c r="D2090" s="8" t="n">
        <v>6415</v>
      </c>
      <c r="E2090" s="8" t="n">
        <v>6177</v>
      </c>
      <c r="F2090" s="8" t="n">
        <v>1857600</v>
      </c>
      <c r="G2090" s="8" t="n">
        <v>625670</v>
      </c>
      <c r="H2090" s="8" t="n">
        <v>8845</v>
      </c>
      <c r="I2090" s="8" t="n">
        <v>8565</v>
      </c>
      <c r="J2090" s="8" t="n">
        <v>8870</v>
      </c>
      <c r="K2090" s="8" t="n">
        <v>8505</v>
      </c>
      <c r="L2090" s="8" t="n">
        <v>1615470</v>
      </c>
      <c r="M2090" s="8" t="n">
        <v>802702</v>
      </c>
      <c r="N2090" t="inlineStr">
        <is>
          <t>是</t>
        </is>
      </c>
    </row>
    <row r="2091">
      <c r="A2091" s="7" t="inlineStr">
        <is>
          <t>2016-02-22</t>
        </is>
      </c>
      <c r="B2091" s="8" t="n">
        <v>6380</v>
      </c>
      <c r="C2091" s="8" t="n">
        <v>6414</v>
      </c>
      <c r="D2091" s="8" t="n">
        <v>6506</v>
      </c>
      <c r="E2091" s="8" t="n">
        <v>6357</v>
      </c>
      <c r="F2091" s="8" t="n">
        <v>1593786</v>
      </c>
      <c r="G2091" s="8" t="n">
        <v>615240</v>
      </c>
      <c r="H2091" s="8" t="n">
        <v>8770</v>
      </c>
      <c r="I2091" s="8" t="n">
        <v>8870</v>
      </c>
      <c r="J2091" s="8" t="n">
        <v>8950</v>
      </c>
      <c r="K2091" s="8" t="n">
        <v>8740</v>
      </c>
      <c r="L2091" s="8" t="n">
        <v>1092360</v>
      </c>
      <c r="M2091" s="8" t="n">
        <v>707814</v>
      </c>
      <c r="N2091" t="inlineStr">
        <is>
          <t>是</t>
        </is>
      </c>
    </row>
    <row r="2092">
      <c r="A2092" s="7" t="inlineStr">
        <is>
          <t>2016-02-23</t>
        </is>
      </c>
      <c r="B2092" s="8" t="n">
        <v>6423</v>
      </c>
      <c r="C2092" s="8" t="n">
        <v>6405</v>
      </c>
      <c r="D2092" s="8" t="n">
        <v>6433</v>
      </c>
      <c r="E2092" s="8" t="n">
        <v>6328</v>
      </c>
      <c r="F2092" s="8" t="n">
        <v>1437560</v>
      </c>
      <c r="G2092" s="8" t="n">
        <v>618024</v>
      </c>
      <c r="H2092" s="8" t="n">
        <v>8780</v>
      </c>
      <c r="I2092" s="8" t="n">
        <v>8785</v>
      </c>
      <c r="J2092" s="8" t="n">
        <v>8820</v>
      </c>
      <c r="K2092" s="8" t="n">
        <v>8730</v>
      </c>
      <c r="L2092" s="8" t="n">
        <v>754440</v>
      </c>
      <c r="M2092" s="8" t="n">
        <v>689708</v>
      </c>
      <c r="N2092" t="inlineStr">
        <is>
          <t>是</t>
        </is>
      </c>
    </row>
    <row r="2093">
      <c r="A2093" s="7" t="inlineStr">
        <is>
          <t>2016-02-24</t>
        </is>
      </c>
      <c r="B2093" s="8" t="n">
        <v>6442</v>
      </c>
      <c r="C2093" s="8" t="n">
        <v>6380</v>
      </c>
      <c r="D2093" s="8" t="n">
        <v>6466</v>
      </c>
      <c r="E2093" s="8" t="n">
        <v>6374</v>
      </c>
      <c r="F2093" s="8" t="n">
        <v>1833850</v>
      </c>
      <c r="G2093" s="8" t="n">
        <v>634604</v>
      </c>
      <c r="H2093" s="8" t="n">
        <v>8840</v>
      </c>
      <c r="I2093" s="8" t="n">
        <v>8745</v>
      </c>
      <c r="J2093" s="8" t="n">
        <v>8870</v>
      </c>
      <c r="K2093" s="8" t="n">
        <v>8735</v>
      </c>
      <c r="L2093" s="8" t="n">
        <v>933270</v>
      </c>
      <c r="M2093" s="8" t="n">
        <v>720748</v>
      </c>
      <c r="N2093" t="inlineStr">
        <is>
          <t>是</t>
        </is>
      </c>
    </row>
    <row r="2094">
      <c r="A2094" s="7" t="inlineStr">
        <is>
          <t>2016-02-25</t>
        </is>
      </c>
      <c r="B2094" s="8" t="n">
        <v>6544</v>
      </c>
      <c r="C2094" s="8" t="n">
        <v>6469</v>
      </c>
      <c r="D2094" s="8" t="n">
        <v>6597</v>
      </c>
      <c r="E2094" s="8" t="n">
        <v>6467</v>
      </c>
      <c r="F2094" s="8" t="n">
        <v>1876442</v>
      </c>
      <c r="G2094" s="8" t="n">
        <v>615786</v>
      </c>
      <c r="H2094" s="8" t="n">
        <v>8885</v>
      </c>
      <c r="I2094" s="8" t="n">
        <v>8875</v>
      </c>
      <c r="J2094" s="8" t="n">
        <v>9010</v>
      </c>
      <c r="K2094" s="8" t="n">
        <v>8825</v>
      </c>
      <c r="L2094" s="8" t="n">
        <v>1188700</v>
      </c>
      <c r="M2094" s="8" t="n">
        <v>682546</v>
      </c>
      <c r="N2094" t="inlineStr">
        <is>
          <t>是</t>
        </is>
      </c>
    </row>
    <row r="2095">
      <c r="A2095" s="7" t="inlineStr">
        <is>
          <t>2016-02-26</t>
        </is>
      </c>
      <c r="B2095" s="8" t="n">
        <v>6588</v>
      </c>
      <c r="C2095" s="8" t="n">
        <v>6500</v>
      </c>
      <c r="D2095" s="8" t="n">
        <v>6615</v>
      </c>
      <c r="E2095" s="8" t="n">
        <v>6455</v>
      </c>
      <c r="F2095" s="8" t="n">
        <v>2018324</v>
      </c>
      <c r="G2095" s="8" t="n">
        <v>662904</v>
      </c>
      <c r="H2095" s="8" t="n">
        <v>8820</v>
      </c>
      <c r="I2095" s="8" t="n">
        <v>8850</v>
      </c>
      <c r="J2095" s="8" t="n">
        <v>8875</v>
      </c>
      <c r="K2095" s="8" t="n">
        <v>8740</v>
      </c>
      <c r="L2095" s="8" t="n">
        <v>1228444</v>
      </c>
      <c r="M2095" s="8" t="n">
        <v>668148</v>
      </c>
      <c r="N2095" t="inlineStr">
        <is>
          <t>是</t>
        </is>
      </c>
    </row>
    <row r="2096">
      <c r="A2096" s="7" t="inlineStr">
        <is>
          <t>2016-02-29</t>
        </is>
      </c>
      <c r="B2096" s="8" t="n">
        <v>6548</v>
      </c>
      <c r="C2096" s="8" t="n">
        <v>6588</v>
      </c>
      <c r="D2096" s="8" t="n">
        <v>6612</v>
      </c>
      <c r="E2096" s="8" t="n">
        <v>6483</v>
      </c>
      <c r="F2096" s="8" t="n">
        <v>1790690</v>
      </c>
      <c r="G2096" s="8" t="n">
        <v>615600</v>
      </c>
      <c r="H2096" s="8" t="n">
        <v>8875</v>
      </c>
      <c r="I2096" s="8" t="n">
        <v>8820</v>
      </c>
      <c r="J2096" s="8" t="n">
        <v>8920</v>
      </c>
      <c r="K2096" s="8" t="n">
        <v>8760</v>
      </c>
      <c r="L2096" s="8" t="n">
        <v>1218468</v>
      </c>
      <c r="M2096" s="8" t="n">
        <v>711564</v>
      </c>
      <c r="N2096" t="inlineStr">
        <is>
          <t>是</t>
        </is>
      </c>
    </row>
    <row r="2097">
      <c r="A2097" s="7" t="inlineStr">
        <is>
          <t>2016-03-01</t>
        </is>
      </c>
      <c r="B2097" s="8" t="n">
        <v>6639</v>
      </c>
      <c r="C2097" s="8" t="n">
        <v>6612</v>
      </c>
      <c r="D2097" s="8" t="n">
        <v>6655</v>
      </c>
      <c r="E2097" s="8" t="n">
        <v>6554</v>
      </c>
      <c r="F2097" s="8" t="n">
        <v>1801238</v>
      </c>
      <c r="G2097" s="8" t="n">
        <v>633174</v>
      </c>
      <c r="H2097" s="8" t="n">
        <v>9000</v>
      </c>
      <c r="I2097" s="8" t="n">
        <v>8930</v>
      </c>
      <c r="J2097" s="8" t="n">
        <v>9035</v>
      </c>
      <c r="K2097" s="8" t="n">
        <v>8860</v>
      </c>
      <c r="L2097" s="8" t="n">
        <v>1305668</v>
      </c>
      <c r="M2097" s="8" t="n">
        <v>739970</v>
      </c>
      <c r="N2097" t="inlineStr">
        <is>
          <t>是</t>
        </is>
      </c>
    </row>
    <row r="2098">
      <c r="A2098" s="7" t="inlineStr">
        <is>
          <t>2016-03-02</t>
        </is>
      </c>
      <c r="B2098" s="8" t="n">
        <v>6746</v>
      </c>
      <c r="C2098" s="8" t="n">
        <v>6620</v>
      </c>
      <c r="D2098" s="8" t="n">
        <v>6774</v>
      </c>
      <c r="E2098" s="8" t="n">
        <v>6607</v>
      </c>
      <c r="F2098" s="8" t="n">
        <v>1720716</v>
      </c>
      <c r="G2098" s="8" t="n">
        <v>656144</v>
      </c>
      <c r="H2098" s="8" t="n">
        <v>9035</v>
      </c>
      <c r="I2098" s="8" t="n">
        <v>8960</v>
      </c>
      <c r="J2098" s="8" t="n">
        <v>9095</v>
      </c>
      <c r="K2098" s="8" t="n">
        <v>8940</v>
      </c>
      <c r="L2098" s="8" t="n">
        <v>1206872</v>
      </c>
      <c r="M2098" s="8" t="n">
        <v>691162</v>
      </c>
      <c r="N2098" t="inlineStr">
        <is>
          <t>是</t>
        </is>
      </c>
    </row>
    <row r="2099">
      <c r="A2099" s="7" t="inlineStr">
        <is>
          <t>2016-03-03</t>
        </is>
      </c>
      <c r="B2099" s="8" t="n">
        <v>6820</v>
      </c>
      <c r="C2099" s="8" t="n">
        <v>6754</v>
      </c>
      <c r="D2099" s="8" t="n">
        <v>6830</v>
      </c>
      <c r="E2099" s="8" t="n">
        <v>6743</v>
      </c>
      <c r="F2099" s="8" t="n">
        <v>1652624</v>
      </c>
      <c r="G2099" s="8" t="n">
        <v>629560</v>
      </c>
      <c r="H2099" s="8" t="n">
        <v>9015</v>
      </c>
      <c r="I2099" s="8" t="n">
        <v>9050</v>
      </c>
      <c r="J2099" s="8" t="n">
        <v>9110</v>
      </c>
      <c r="K2099" s="8" t="n">
        <v>8970</v>
      </c>
      <c r="L2099" s="8" t="n">
        <v>897014</v>
      </c>
      <c r="M2099" s="8" t="n">
        <v>665168</v>
      </c>
      <c r="N2099" t="inlineStr">
        <is>
          <t>是</t>
        </is>
      </c>
    </row>
    <row r="2100">
      <c r="A2100" s="7" t="inlineStr">
        <is>
          <t>2016-03-04</t>
        </is>
      </c>
      <c r="B2100" s="8" t="n">
        <v>7014</v>
      </c>
      <c r="C2100" s="8" t="n">
        <v>6845</v>
      </c>
      <c r="D2100" s="8" t="n">
        <v>7097</v>
      </c>
      <c r="E2100" s="8" t="n">
        <v>6841</v>
      </c>
      <c r="F2100" s="8" t="n">
        <v>2261682</v>
      </c>
      <c r="G2100" s="8" t="n">
        <v>544974</v>
      </c>
      <c r="H2100" s="8" t="n">
        <v>9150</v>
      </c>
      <c r="I2100" s="8" t="n">
        <v>9055</v>
      </c>
      <c r="J2100" s="8" t="n">
        <v>9275</v>
      </c>
      <c r="K2100" s="8" t="n">
        <v>9050</v>
      </c>
      <c r="L2100" s="8" t="n">
        <v>1529002</v>
      </c>
      <c r="M2100" s="8" t="n">
        <v>622164</v>
      </c>
      <c r="N2100" t="inlineStr">
        <is>
          <t>是</t>
        </is>
      </c>
    </row>
    <row r="2101">
      <c r="A2101" s="7" t="inlineStr">
        <is>
          <t>2016-03-07</t>
        </is>
      </c>
      <c r="B2101" s="8" t="n">
        <v>7037</v>
      </c>
      <c r="C2101" s="8" t="n">
        <v>7351</v>
      </c>
      <c r="D2101" s="8" t="n">
        <v>7351</v>
      </c>
      <c r="E2101" s="8" t="n">
        <v>6991</v>
      </c>
      <c r="F2101" s="8" t="n">
        <v>2351100</v>
      </c>
      <c r="G2101" s="8" t="n">
        <v>494644</v>
      </c>
      <c r="H2101" s="8" t="n">
        <v>9010</v>
      </c>
      <c r="I2101" s="8" t="n">
        <v>9400</v>
      </c>
      <c r="J2101" s="8" t="n">
        <v>9480</v>
      </c>
      <c r="K2101" s="8" t="n">
        <v>9000</v>
      </c>
      <c r="L2101" s="8" t="n">
        <v>1696840</v>
      </c>
      <c r="M2101" s="8" t="n">
        <v>525960</v>
      </c>
      <c r="N2101" t="inlineStr">
        <is>
          <t>是</t>
        </is>
      </c>
    </row>
    <row r="2102">
      <c r="A2102" s="7" t="inlineStr">
        <is>
          <t>2016-03-08</t>
        </is>
      </c>
      <c r="B2102" s="8" t="n">
        <v>7056</v>
      </c>
      <c r="C2102" s="8" t="n">
        <v>7074</v>
      </c>
      <c r="D2102" s="8" t="n">
        <v>7144</v>
      </c>
      <c r="E2102" s="8" t="n">
        <v>6864</v>
      </c>
      <c r="F2102" s="8" t="n">
        <v>2054450</v>
      </c>
      <c r="G2102" s="8" t="n">
        <v>450880</v>
      </c>
      <c r="H2102" s="8" t="n">
        <v>9020</v>
      </c>
      <c r="I2102" s="8" t="n">
        <v>9045</v>
      </c>
      <c r="J2102" s="8" t="n">
        <v>9095</v>
      </c>
      <c r="K2102" s="8" t="n">
        <v>8765</v>
      </c>
      <c r="L2102" s="8" t="n">
        <v>1361628</v>
      </c>
      <c r="M2102" s="8" t="n">
        <v>471576</v>
      </c>
      <c r="N2102" t="inlineStr">
        <is>
          <t>是</t>
        </is>
      </c>
    </row>
    <row r="2103">
      <c r="A2103" s="7" t="inlineStr">
        <is>
          <t>2016-03-09</t>
        </is>
      </c>
      <c r="B2103" s="8" t="n">
        <v>7173</v>
      </c>
      <c r="C2103" s="8" t="n">
        <v>6908</v>
      </c>
      <c r="D2103" s="8" t="n">
        <v>7233</v>
      </c>
      <c r="E2103" s="8" t="n">
        <v>6863</v>
      </c>
      <c r="F2103" s="8" t="n">
        <v>2183104</v>
      </c>
      <c r="G2103" s="8" t="n">
        <v>446254</v>
      </c>
      <c r="H2103" s="8" t="n">
        <v>9210</v>
      </c>
      <c r="I2103" s="8" t="n">
        <v>8860</v>
      </c>
      <c r="J2103" s="8" t="n">
        <v>9275</v>
      </c>
      <c r="K2103" s="8" t="n">
        <v>8820</v>
      </c>
      <c r="L2103" s="8" t="n">
        <v>1383218</v>
      </c>
      <c r="M2103" s="8" t="n">
        <v>554530</v>
      </c>
      <c r="N2103" t="inlineStr">
        <is>
          <t>是</t>
        </is>
      </c>
    </row>
    <row r="2104">
      <c r="A2104" s="7" t="inlineStr">
        <is>
          <t>2016-03-10</t>
        </is>
      </c>
      <c r="B2104" s="8" t="n">
        <v>7082</v>
      </c>
      <c r="C2104" s="8" t="n">
        <v>7211</v>
      </c>
      <c r="D2104" s="8" t="n">
        <v>7309</v>
      </c>
      <c r="E2104" s="8" t="n">
        <v>7050</v>
      </c>
      <c r="F2104" s="8" t="n">
        <v>2264710</v>
      </c>
      <c r="G2104" s="8" t="n">
        <v>436100</v>
      </c>
      <c r="H2104" s="8" t="n">
        <v>8880</v>
      </c>
      <c r="I2104" s="8" t="n">
        <v>9280</v>
      </c>
      <c r="J2104" s="8" t="n">
        <v>9305</v>
      </c>
      <c r="K2104" s="8" t="n">
        <v>8860</v>
      </c>
      <c r="L2104" s="8" t="n">
        <v>1169814</v>
      </c>
      <c r="M2104" s="8" t="n">
        <v>464514</v>
      </c>
      <c r="N2104" t="inlineStr">
        <is>
          <t>是</t>
        </is>
      </c>
    </row>
    <row r="2105">
      <c r="A2105" s="7" t="inlineStr">
        <is>
          <t>2016-03-11</t>
        </is>
      </c>
      <c r="B2105" s="8" t="n">
        <v>6918</v>
      </c>
      <c r="C2105" s="8" t="n">
        <v>7100</v>
      </c>
      <c r="D2105" s="8" t="n">
        <v>7157</v>
      </c>
      <c r="E2105" s="8" t="n">
        <v>6913</v>
      </c>
      <c r="F2105" s="8" t="n">
        <v>1992794</v>
      </c>
      <c r="G2105" s="8" t="n">
        <v>426880</v>
      </c>
      <c r="H2105" s="8" t="n">
        <v>8905</v>
      </c>
      <c r="I2105" s="8" t="n">
        <v>8860</v>
      </c>
      <c r="J2105" s="8" t="n">
        <v>9000</v>
      </c>
      <c r="K2105" s="8" t="n">
        <v>8850</v>
      </c>
      <c r="L2105" s="8" t="n">
        <v>838778</v>
      </c>
      <c r="M2105" s="8" t="n">
        <v>460310</v>
      </c>
      <c r="N2105" t="inlineStr">
        <is>
          <t>是</t>
        </is>
      </c>
    </row>
    <row r="2106">
      <c r="A2106" s="7" t="inlineStr">
        <is>
          <t>2016-03-14</t>
        </is>
      </c>
      <c r="B2106" s="8" t="n">
        <v>6878</v>
      </c>
      <c r="C2106" s="8" t="n">
        <v>6940</v>
      </c>
      <c r="D2106" s="8" t="n">
        <v>7039</v>
      </c>
      <c r="E2106" s="8" t="n">
        <v>6867</v>
      </c>
      <c r="F2106" s="8" t="n">
        <v>2033706</v>
      </c>
      <c r="G2106" s="8" t="n">
        <v>415660</v>
      </c>
      <c r="H2106" s="8" t="n">
        <v>8720</v>
      </c>
      <c r="I2106" s="8" t="n">
        <v>8925</v>
      </c>
      <c r="J2106" s="8" t="n">
        <v>8960</v>
      </c>
      <c r="K2106" s="8" t="n">
        <v>8690</v>
      </c>
      <c r="L2106" s="8" t="n">
        <v>1140238</v>
      </c>
      <c r="M2106" s="8" t="n">
        <v>494498</v>
      </c>
      <c r="N2106" t="inlineStr">
        <is>
          <t>是</t>
        </is>
      </c>
    </row>
    <row r="2107">
      <c r="A2107" s="7" t="inlineStr">
        <is>
          <t>2016-03-15</t>
        </is>
      </c>
      <c r="B2107" s="8" t="n">
        <v>6870</v>
      </c>
      <c r="C2107" s="8" t="n">
        <v>6876</v>
      </c>
      <c r="D2107" s="8" t="n">
        <v>6990</v>
      </c>
      <c r="E2107" s="8" t="n">
        <v>6829</v>
      </c>
      <c r="F2107" s="8" t="n">
        <v>1856488</v>
      </c>
      <c r="G2107" s="8" t="n">
        <v>408518</v>
      </c>
      <c r="H2107" s="8" t="n">
        <v>8800</v>
      </c>
      <c r="I2107" s="8" t="n">
        <v>8750</v>
      </c>
      <c r="J2107" s="8" t="n">
        <v>8855</v>
      </c>
      <c r="K2107" s="8" t="n">
        <v>8725</v>
      </c>
      <c r="L2107" s="8" t="n">
        <v>875738</v>
      </c>
      <c r="M2107" s="8" t="n">
        <v>497612</v>
      </c>
      <c r="N2107" t="inlineStr">
        <is>
          <t>是</t>
        </is>
      </c>
    </row>
    <row r="2108">
      <c r="A2108" s="7" t="inlineStr">
        <is>
          <t>2016-03-16</t>
        </is>
      </c>
      <c r="B2108" s="8" t="n">
        <v>7073</v>
      </c>
      <c r="C2108" s="8" t="n">
        <v>6901</v>
      </c>
      <c r="D2108" s="8" t="n">
        <v>7084</v>
      </c>
      <c r="E2108" s="8" t="n">
        <v>6901</v>
      </c>
      <c r="F2108" s="8" t="n">
        <v>2001136</v>
      </c>
      <c r="G2108" s="8" t="n">
        <v>427488</v>
      </c>
      <c r="H2108" s="8" t="n">
        <v>9145</v>
      </c>
      <c r="I2108" s="8" t="n">
        <v>8870</v>
      </c>
      <c r="J2108" s="8" t="n">
        <v>9175</v>
      </c>
      <c r="K2108" s="8" t="n">
        <v>8855</v>
      </c>
      <c r="L2108" s="8" t="n">
        <v>1320494</v>
      </c>
      <c r="M2108" s="8" t="n">
        <v>545350</v>
      </c>
      <c r="N2108" t="inlineStr">
        <is>
          <t>是</t>
        </is>
      </c>
    </row>
    <row r="2109">
      <c r="A2109" s="7" t="inlineStr">
        <is>
          <t>2016-03-17</t>
        </is>
      </c>
      <c r="B2109" s="8" t="n">
        <v>7298</v>
      </c>
      <c r="C2109" s="8" t="n">
        <v>7167</v>
      </c>
      <c r="D2109" s="8" t="n">
        <v>7298</v>
      </c>
      <c r="E2109" s="8" t="n">
        <v>7138</v>
      </c>
      <c r="F2109" s="8" t="n">
        <v>1703294</v>
      </c>
      <c r="G2109" s="8" t="n">
        <v>467790</v>
      </c>
      <c r="H2109" s="8" t="n">
        <v>9380</v>
      </c>
      <c r="I2109" s="8" t="n">
        <v>9200</v>
      </c>
      <c r="J2109" s="8" t="n">
        <v>9385</v>
      </c>
      <c r="K2109" s="8" t="n">
        <v>9200</v>
      </c>
      <c r="L2109" s="8" t="n">
        <v>979274</v>
      </c>
      <c r="M2109" s="8" t="n">
        <v>574220</v>
      </c>
      <c r="N2109" t="inlineStr">
        <is>
          <t>是</t>
        </is>
      </c>
    </row>
    <row r="2110">
      <c r="A2110" s="7" t="inlineStr">
        <is>
          <t>2016-03-18</t>
        </is>
      </c>
      <c r="B2110" s="8" t="n">
        <v>7391</v>
      </c>
      <c r="C2110" s="8" t="n">
        <v>7358</v>
      </c>
      <c r="D2110" s="8" t="n">
        <v>7457</v>
      </c>
      <c r="E2110" s="8" t="n">
        <v>7284</v>
      </c>
      <c r="F2110" s="8" t="n">
        <v>2112582</v>
      </c>
      <c r="G2110" s="8" t="n">
        <v>410488</v>
      </c>
      <c r="H2110" s="8" t="n">
        <v>9525</v>
      </c>
      <c r="I2110" s="8" t="n">
        <v>9470</v>
      </c>
      <c r="J2110" s="8" t="n">
        <v>9545</v>
      </c>
      <c r="K2110" s="8" t="n">
        <v>9370</v>
      </c>
      <c r="L2110" s="8" t="n">
        <v>1197942</v>
      </c>
      <c r="M2110" s="8" t="n">
        <v>562586</v>
      </c>
      <c r="N2110" t="inlineStr">
        <is>
          <t>是</t>
        </is>
      </c>
    </row>
    <row r="2111">
      <c r="A2111" s="7" t="inlineStr">
        <is>
          <t>2016-03-21</t>
        </is>
      </c>
      <c r="B2111" s="8" t="n">
        <v>7398</v>
      </c>
      <c r="C2111" s="8" t="n">
        <v>7360</v>
      </c>
      <c r="D2111" s="8" t="n">
        <v>7520</v>
      </c>
      <c r="E2111" s="8" t="n">
        <v>7307</v>
      </c>
      <c r="F2111" s="8" t="n">
        <v>1720086</v>
      </c>
      <c r="G2111" s="8" t="n">
        <v>424110</v>
      </c>
      <c r="H2111" s="8" t="n">
        <v>9535</v>
      </c>
      <c r="I2111" s="8" t="n">
        <v>9480</v>
      </c>
      <c r="J2111" s="8" t="n">
        <v>9630</v>
      </c>
      <c r="K2111" s="8" t="n">
        <v>9430</v>
      </c>
      <c r="L2111" s="8" t="n">
        <v>991700</v>
      </c>
      <c r="M2111" s="8" t="n">
        <v>537782</v>
      </c>
      <c r="N2111" t="inlineStr">
        <is>
          <t>是</t>
        </is>
      </c>
    </row>
    <row r="2112">
      <c r="A2112" s="7" t="inlineStr">
        <is>
          <t>2016-03-22</t>
        </is>
      </c>
      <c r="B2112" s="8" t="n">
        <v>7182</v>
      </c>
      <c r="C2112" s="8" t="n">
        <v>7424</v>
      </c>
      <c r="D2112" s="8" t="n">
        <v>7458</v>
      </c>
      <c r="E2112" s="8" t="n">
        <v>7166</v>
      </c>
      <c r="F2112" s="8" t="n">
        <v>1881220</v>
      </c>
      <c r="G2112" s="8" t="n">
        <v>447902</v>
      </c>
      <c r="H2112" s="8" t="n">
        <v>9230</v>
      </c>
      <c r="I2112" s="8" t="n">
        <v>9555</v>
      </c>
      <c r="J2112" s="8" t="n">
        <v>9570</v>
      </c>
      <c r="K2112" s="8" t="n">
        <v>9190</v>
      </c>
      <c r="L2112" s="8" t="n">
        <v>1352510</v>
      </c>
      <c r="M2112" s="8" t="n">
        <v>489292</v>
      </c>
      <c r="N2112" t="inlineStr">
        <is>
          <t>是</t>
        </is>
      </c>
    </row>
    <row r="2113">
      <c r="A2113" s="7" t="inlineStr">
        <is>
          <t>2016-03-23</t>
        </is>
      </c>
      <c r="B2113" s="8" t="n">
        <v>7206</v>
      </c>
      <c r="C2113" s="8" t="n">
        <v>7220</v>
      </c>
      <c r="D2113" s="8" t="n">
        <v>7313</v>
      </c>
      <c r="E2113" s="8" t="n">
        <v>7183</v>
      </c>
      <c r="F2113" s="8" t="n">
        <v>1580266</v>
      </c>
      <c r="G2113" s="8" t="n">
        <v>411006</v>
      </c>
      <c r="H2113" s="8" t="n">
        <v>9235</v>
      </c>
      <c r="I2113" s="8" t="n">
        <v>9240</v>
      </c>
      <c r="J2113" s="8" t="n">
        <v>9375</v>
      </c>
      <c r="K2113" s="8" t="n">
        <v>9175</v>
      </c>
      <c r="L2113" s="8" t="n">
        <v>830374</v>
      </c>
      <c r="M2113" s="8" t="n">
        <v>452382</v>
      </c>
      <c r="N2113" t="inlineStr">
        <is>
          <t>是</t>
        </is>
      </c>
    </row>
    <row r="2114">
      <c r="A2114" s="7" t="inlineStr">
        <is>
          <t>2016-03-24</t>
        </is>
      </c>
      <c r="B2114" s="8" t="n">
        <v>7280</v>
      </c>
      <c r="C2114" s="8" t="n">
        <v>7117</v>
      </c>
      <c r="D2114" s="8" t="n">
        <v>7354</v>
      </c>
      <c r="E2114" s="8" t="n">
        <v>7083</v>
      </c>
      <c r="F2114" s="8" t="n">
        <v>2082480</v>
      </c>
      <c r="G2114" s="8" t="n">
        <v>414084</v>
      </c>
      <c r="H2114" s="8" t="n">
        <v>9240</v>
      </c>
      <c r="I2114" s="8" t="n">
        <v>9150</v>
      </c>
      <c r="J2114" s="8" t="n">
        <v>9385</v>
      </c>
      <c r="K2114" s="8" t="n">
        <v>9115</v>
      </c>
      <c r="L2114" s="8" t="n">
        <v>958376</v>
      </c>
      <c r="M2114" s="8" t="n">
        <v>400738</v>
      </c>
      <c r="N2114" t="inlineStr">
        <is>
          <t>是</t>
        </is>
      </c>
    </row>
    <row r="2115">
      <c r="A2115" s="7" t="inlineStr">
        <is>
          <t>2016-03-25</t>
        </is>
      </c>
      <c r="B2115" s="8" t="n">
        <v>7408</v>
      </c>
      <c r="C2115" s="8" t="n">
        <v>7330</v>
      </c>
      <c r="D2115" s="8" t="n">
        <v>7456</v>
      </c>
      <c r="E2115" s="8" t="n">
        <v>7285</v>
      </c>
      <c r="F2115" s="8" t="n">
        <v>1955992</v>
      </c>
      <c r="G2115" s="8" t="n">
        <v>391552</v>
      </c>
      <c r="H2115" s="8" t="n">
        <v>8725</v>
      </c>
      <c r="I2115" s="8" t="n">
        <v>8610</v>
      </c>
      <c r="J2115" s="8" t="n">
        <v>8745</v>
      </c>
      <c r="K2115" s="8" t="n">
        <v>8605</v>
      </c>
      <c r="L2115" s="8" t="n">
        <v>486212</v>
      </c>
      <c r="M2115" s="8" t="n">
        <v>482236</v>
      </c>
      <c r="N2115" t="inlineStr">
        <is>
          <t>是</t>
        </is>
      </c>
    </row>
    <row r="2116">
      <c r="A2116" s="7" t="inlineStr">
        <is>
          <t>2016-03-28</t>
        </is>
      </c>
      <c r="B2116" s="8" t="n">
        <v>6836</v>
      </c>
      <c r="C2116" s="8" t="n">
        <v>6959</v>
      </c>
      <c r="D2116" s="8" t="n">
        <v>6990</v>
      </c>
      <c r="E2116" s="8" t="n">
        <v>6810</v>
      </c>
      <c r="F2116" s="8" t="n">
        <v>517982</v>
      </c>
      <c r="G2116" s="8" t="n">
        <v>418658</v>
      </c>
      <c r="H2116" s="8" t="n">
        <v>8565</v>
      </c>
      <c r="I2116" s="8" t="n">
        <v>8780</v>
      </c>
      <c r="J2116" s="8" t="n">
        <v>8800</v>
      </c>
      <c r="K2116" s="8" t="n">
        <v>8495</v>
      </c>
      <c r="L2116" s="8" t="n">
        <v>526468</v>
      </c>
      <c r="M2116" s="8" t="n">
        <v>509710</v>
      </c>
      <c r="N2116" t="inlineStr">
        <is>
          <t>是</t>
        </is>
      </c>
    </row>
    <row r="2117">
      <c r="A2117" s="7" t="inlineStr">
        <is>
          <t>2016-03-29</t>
        </is>
      </c>
      <c r="B2117" s="8" t="n">
        <v>6827</v>
      </c>
      <c r="C2117" s="8" t="n">
        <v>6880</v>
      </c>
      <c r="D2117" s="8" t="n">
        <v>6880</v>
      </c>
      <c r="E2117" s="8" t="n">
        <v>6732</v>
      </c>
      <c r="F2117" s="8" t="n">
        <v>687966</v>
      </c>
      <c r="G2117" s="8" t="n">
        <v>440140</v>
      </c>
      <c r="H2117" s="8" t="n">
        <v>8435</v>
      </c>
      <c r="I2117" s="8" t="n">
        <v>8570</v>
      </c>
      <c r="J2117" s="8" t="n">
        <v>8610</v>
      </c>
      <c r="K2117" s="8" t="n">
        <v>8410</v>
      </c>
      <c r="L2117" s="8" t="n">
        <v>745440</v>
      </c>
      <c r="M2117" s="8" t="n">
        <v>537218</v>
      </c>
      <c r="N2117" t="inlineStr">
        <is>
          <t>是</t>
        </is>
      </c>
    </row>
    <row r="2118">
      <c r="A2118" s="7" t="inlineStr">
        <is>
          <t>2016-03-30</t>
        </is>
      </c>
      <c r="B2118" s="8" t="n">
        <v>6859</v>
      </c>
      <c r="C2118" s="8" t="n">
        <v>6840</v>
      </c>
      <c r="D2118" s="8" t="n">
        <v>6880</v>
      </c>
      <c r="E2118" s="8" t="n">
        <v>6760</v>
      </c>
      <c r="F2118" s="8" t="n">
        <v>723276</v>
      </c>
      <c r="G2118" s="8" t="n">
        <v>454802</v>
      </c>
      <c r="H2118" s="8" t="n">
        <v>8475</v>
      </c>
      <c r="I2118" s="8" t="n">
        <v>8475</v>
      </c>
      <c r="J2118" s="8" t="n">
        <v>8535</v>
      </c>
      <c r="K2118" s="8" t="n">
        <v>8375</v>
      </c>
      <c r="L2118" s="8" t="n">
        <v>683976</v>
      </c>
      <c r="M2118" s="8" t="n">
        <v>542524</v>
      </c>
      <c r="N2118" t="inlineStr">
        <is>
          <t>是</t>
        </is>
      </c>
    </row>
    <row r="2119">
      <c r="A2119" s="7" t="inlineStr">
        <is>
          <t>2016-03-31</t>
        </is>
      </c>
      <c r="B2119" s="8" t="n">
        <v>6780</v>
      </c>
      <c r="C2119" s="8" t="n">
        <v>6800</v>
      </c>
      <c r="D2119" s="8" t="n">
        <v>6828</v>
      </c>
      <c r="E2119" s="8" t="n">
        <v>6669</v>
      </c>
      <c r="F2119" s="8" t="n">
        <v>1228816</v>
      </c>
      <c r="G2119" s="8" t="n">
        <v>525678</v>
      </c>
      <c r="H2119" s="8" t="n">
        <v>8575</v>
      </c>
      <c r="I2119" s="8" t="n">
        <v>8450</v>
      </c>
      <c r="J2119" s="8" t="n">
        <v>8585</v>
      </c>
      <c r="K2119" s="8" t="n">
        <v>8385</v>
      </c>
      <c r="L2119" s="8" t="n">
        <v>1059860</v>
      </c>
      <c r="M2119" s="8" t="n">
        <v>600026</v>
      </c>
      <c r="N2119" t="inlineStr">
        <is>
          <t>是</t>
        </is>
      </c>
    </row>
    <row r="2120">
      <c r="A2120" s="7" t="inlineStr">
        <is>
          <t>2016-04-01</t>
        </is>
      </c>
      <c r="B2120" s="8" t="n">
        <v>7131</v>
      </c>
      <c r="C2120" s="8" t="n">
        <v>6834</v>
      </c>
      <c r="D2120" s="8" t="n">
        <v>7158</v>
      </c>
      <c r="E2120" s="8" t="n">
        <v>6820</v>
      </c>
      <c r="F2120" s="8" t="n">
        <v>1728160</v>
      </c>
      <c r="G2120" s="8" t="n">
        <v>612720</v>
      </c>
      <c r="H2120" s="8" t="n">
        <v>8775</v>
      </c>
      <c r="I2120" s="8" t="n">
        <v>8600</v>
      </c>
      <c r="J2120" s="8" t="n">
        <v>8825</v>
      </c>
      <c r="K2120" s="8" t="n">
        <v>8550</v>
      </c>
      <c r="L2120" s="8" t="n">
        <v>1013148</v>
      </c>
      <c r="M2120" s="8" t="n">
        <v>636258</v>
      </c>
      <c r="N2120" t="inlineStr">
        <is>
          <t>是</t>
        </is>
      </c>
    </row>
    <row r="2121">
      <c r="A2121" s="7" t="inlineStr">
        <is>
          <t>2016-04-05</t>
        </is>
      </c>
      <c r="B2121" s="8" t="n">
        <v>7580</v>
      </c>
      <c r="C2121" s="8" t="n">
        <v>7098</v>
      </c>
      <c r="D2121" s="8" t="n">
        <v>7580</v>
      </c>
      <c r="E2121" s="8" t="n">
        <v>7098</v>
      </c>
      <c r="F2121" s="8" t="n">
        <v>16</v>
      </c>
      <c r="G2121" s="8" t="n">
        <v>0</v>
      </c>
      <c r="H2121" s="8" t="n"/>
      <c r="I2121" s="8" t="n"/>
      <c r="J2121" s="8" t="n"/>
      <c r="K2121" s="8" t="n"/>
      <c r="L2121" s="8" t="n"/>
      <c r="M2121" s="8" t="n"/>
      <c r="N2121" s="9" t="inlineStr">
        <is>
          <t>否</t>
        </is>
      </c>
      <c r="O2121" t="inlineStr">
        <is>
          <t>缺 L</t>
        </is>
      </c>
    </row>
    <row r="2122">
      <c r="A2122" s="7" t="inlineStr">
        <is>
          <t>2016-04-06</t>
        </is>
      </c>
      <c r="B2122" s="8" t="n">
        <v>6912</v>
      </c>
      <c r="C2122" s="8" t="n">
        <v>7020</v>
      </c>
      <c r="D2122" s="8" t="n">
        <v>7025</v>
      </c>
      <c r="E2122" s="8" t="n">
        <v>6862</v>
      </c>
      <c r="F2122" s="8" t="n">
        <v>1657416</v>
      </c>
      <c r="G2122" s="8" t="n">
        <v>645182</v>
      </c>
      <c r="H2122" s="8" t="n">
        <v>8395</v>
      </c>
      <c r="I2122" s="8" t="n">
        <v>8615</v>
      </c>
      <c r="J2122" s="8" t="n">
        <v>8635</v>
      </c>
      <c r="K2122" s="8" t="n">
        <v>8355</v>
      </c>
      <c r="L2122" s="8" t="n">
        <v>1084802</v>
      </c>
      <c r="M2122" s="8" t="n">
        <v>727888</v>
      </c>
      <c r="N2122" t="inlineStr">
        <is>
          <t>是</t>
        </is>
      </c>
    </row>
    <row r="2123">
      <c r="A2123" s="7" t="inlineStr">
        <is>
          <t>2016-04-07</t>
        </is>
      </c>
      <c r="B2123" s="8" t="n">
        <v>6817</v>
      </c>
      <c r="C2123" s="8" t="n">
        <v>6965</v>
      </c>
      <c r="D2123" s="8" t="n">
        <v>6979</v>
      </c>
      <c r="E2123" s="8" t="n">
        <v>6817</v>
      </c>
      <c r="F2123" s="8" t="n">
        <v>1893184</v>
      </c>
      <c r="G2123" s="8" t="n">
        <v>702980</v>
      </c>
      <c r="H2123" s="8" t="n">
        <v>8295</v>
      </c>
      <c r="I2123" s="8" t="n">
        <v>8450</v>
      </c>
      <c r="J2123" s="8" t="n">
        <v>8470</v>
      </c>
      <c r="K2123" s="8" t="n">
        <v>8290</v>
      </c>
      <c r="L2123" s="8" t="n">
        <v>937272</v>
      </c>
      <c r="M2123" s="8" t="n">
        <v>726502</v>
      </c>
      <c r="N2123" t="inlineStr">
        <is>
          <t>是</t>
        </is>
      </c>
    </row>
    <row r="2124">
      <c r="A2124" s="7" t="inlineStr">
        <is>
          <t>2016-04-08</t>
        </is>
      </c>
      <c r="B2124" s="8" t="n">
        <v>6720</v>
      </c>
      <c r="C2124" s="8" t="n">
        <v>6799</v>
      </c>
      <c r="D2124" s="8" t="n">
        <v>6809</v>
      </c>
      <c r="E2124" s="8" t="n">
        <v>6619</v>
      </c>
      <c r="F2124" s="8" t="n">
        <v>2144190</v>
      </c>
      <c r="G2124" s="8" t="n">
        <v>683212</v>
      </c>
      <c r="H2124" s="8" t="n">
        <v>8335</v>
      </c>
      <c r="I2124" s="8" t="n">
        <v>8260</v>
      </c>
      <c r="J2124" s="8" t="n">
        <v>8340</v>
      </c>
      <c r="K2124" s="8" t="n">
        <v>8195</v>
      </c>
      <c r="L2124" s="8" t="n">
        <v>987092</v>
      </c>
      <c r="M2124" s="8" t="n">
        <v>691984</v>
      </c>
      <c r="N2124" t="inlineStr">
        <is>
          <t>是</t>
        </is>
      </c>
    </row>
    <row r="2125">
      <c r="A2125" s="7" t="inlineStr">
        <is>
          <t>2016-04-11</t>
        </is>
      </c>
      <c r="B2125" s="8" t="n">
        <v>6830</v>
      </c>
      <c r="C2125" s="8" t="n">
        <v>6818</v>
      </c>
      <c r="D2125" s="8" t="n">
        <v>6890</v>
      </c>
      <c r="E2125" s="8" t="n">
        <v>6702</v>
      </c>
      <c r="F2125" s="8" t="n">
        <v>2436560</v>
      </c>
      <c r="G2125" s="8" t="n">
        <v>617346</v>
      </c>
      <c r="H2125" s="8" t="n">
        <v>8340</v>
      </c>
      <c r="I2125" s="8" t="n">
        <v>8450</v>
      </c>
      <c r="J2125" s="8" t="n">
        <v>8465</v>
      </c>
      <c r="K2125" s="8" t="n">
        <v>8275</v>
      </c>
      <c r="L2125" s="8" t="n">
        <v>1278882</v>
      </c>
      <c r="M2125" s="8" t="n">
        <v>666010</v>
      </c>
      <c r="N2125" t="inlineStr">
        <is>
          <t>是</t>
        </is>
      </c>
    </row>
    <row r="2126">
      <c r="A2126" s="7" t="inlineStr">
        <is>
          <t>2016-04-12</t>
        </is>
      </c>
      <c r="B2126" s="8" t="n">
        <v>6842</v>
      </c>
      <c r="C2126" s="8" t="n">
        <v>6853</v>
      </c>
      <c r="D2126" s="8" t="n">
        <v>6909</v>
      </c>
      <c r="E2126" s="8" t="n">
        <v>6732</v>
      </c>
      <c r="F2126" s="8" t="n">
        <v>2110122</v>
      </c>
      <c r="G2126" s="8" t="n">
        <v>599636</v>
      </c>
      <c r="H2126" s="8" t="n">
        <v>8375</v>
      </c>
      <c r="I2126" s="8" t="n">
        <v>8360</v>
      </c>
      <c r="J2126" s="8" t="n">
        <v>8405</v>
      </c>
      <c r="K2126" s="8" t="n">
        <v>8235</v>
      </c>
      <c r="L2126" s="8" t="n">
        <v>924562</v>
      </c>
      <c r="M2126" s="8" t="n">
        <v>627302</v>
      </c>
      <c r="N2126" t="inlineStr">
        <is>
          <t>是</t>
        </is>
      </c>
    </row>
    <row r="2127">
      <c r="A2127" s="7" t="inlineStr">
        <is>
          <t>2016-04-13</t>
        </is>
      </c>
      <c r="B2127" s="8" t="n">
        <v>6803</v>
      </c>
      <c r="C2127" s="8" t="n">
        <v>6945</v>
      </c>
      <c r="D2127" s="8" t="n">
        <v>7116</v>
      </c>
      <c r="E2127" s="8" t="n">
        <v>6800</v>
      </c>
      <c r="F2127" s="8" t="n">
        <v>2966390</v>
      </c>
      <c r="G2127" s="8" t="n">
        <v>571120</v>
      </c>
      <c r="H2127" s="8" t="n">
        <v>8245</v>
      </c>
      <c r="I2127" s="8" t="n">
        <v>8495</v>
      </c>
      <c r="J2127" s="8" t="n">
        <v>8665</v>
      </c>
      <c r="K2127" s="8" t="n">
        <v>8240</v>
      </c>
      <c r="L2127" s="8" t="n">
        <v>1743216</v>
      </c>
      <c r="M2127" s="8" t="n">
        <v>598380</v>
      </c>
      <c r="N2127" t="inlineStr">
        <is>
          <t>是</t>
        </is>
      </c>
    </row>
    <row r="2128">
      <c r="A2128" s="7" t="inlineStr">
        <is>
          <t>2016-04-14</t>
        </is>
      </c>
      <c r="B2128" s="8" t="n">
        <v>6842</v>
      </c>
      <c r="C2128" s="8" t="n">
        <v>6800</v>
      </c>
      <c r="D2128" s="8" t="n">
        <v>6887</v>
      </c>
      <c r="E2128" s="8" t="n">
        <v>6758</v>
      </c>
      <c r="F2128" s="8" t="n">
        <v>2149250</v>
      </c>
      <c r="G2128" s="8" t="n">
        <v>562786</v>
      </c>
      <c r="H2128" s="8" t="n">
        <v>8355</v>
      </c>
      <c r="I2128" s="8" t="n">
        <v>8230</v>
      </c>
      <c r="J2128" s="8" t="n">
        <v>8375</v>
      </c>
      <c r="K2128" s="8" t="n">
        <v>8205</v>
      </c>
      <c r="L2128" s="8" t="n">
        <v>998060</v>
      </c>
      <c r="M2128" s="8" t="n">
        <v>603570</v>
      </c>
      <c r="N2128" t="inlineStr">
        <is>
          <t>是</t>
        </is>
      </c>
    </row>
    <row r="2129">
      <c r="A2129" s="7" t="inlineStr">
        <is>
          <t>2016-04-15</t>
        </is>
      </c>
      <c r="B2129" s="8" t="n">
        <v>6814</v>
      </c>
      <c r="C2129" s="8" t="n">
        <v>6845</v>
      </c>
      <c r="D2129" s="8" t="n">
        <v>6932</v>
      </c>
      <c r="E2129" s="8" t="n">
        <v>6785</v>
      </c>
      <c r="F2129" s="8" t="n">
        <v>2165136</v>
      </c>
      <c r="G2129" s="8" t="n">
        <v>610936</v>
      </c>
      <c r="H2129" s="8" t="n">
        <v>8335</v>
      </c>
      <c r="I2129" s="8" t="n">
        <v>8380</v>
      </c>
      <c r="J2129" s="8" t="n">
        <v>8470</v>
      </c>
      <c r="K2129" s="8" t="n">
        <v>8295</v>
      </c>
      <c r="L2129" s="8" t="n">
        <v>1116096</v>
      </c>
      <c r="M2129" s="8" t="n">
        <v>603446</v>
      </c>
      <c r="N2129" t="inlineStr">
        <is>
          <t>是</t>
        </is>
      </c>
    </row>
    <row r="2130">
      <c r="A2130" s="7" t="inlineStr">
        <is>
          <t>2016-04-18</t>
        </is>
      </c>
      <c r="B2130" s="8" t="n">
        <v>6788</v>
      </c>
      <c r="C2130" s="8" t="n">
        <v>6730</v>
      </c>
      <c r="D2130" s="8" t="n">
        <v>6857</v>
      </c>
      <c r="E2130" s="8" t="n">
        <v>6682</v>
      </c>
      <c r="F2130" s="8" t="n">
        <v>2103780</v>
      </c>
      <c r="G2130" s="8" t="n">
        <v>604780</v>
      </c>
      <c r="H2130" s="8" t="n">
        <v>8325</v>
      </c>
      <c r="I2130" s="8" t="n">
        <v>8210</v>
      </c>
      <c r="J2130" s="8" t="n">
        <v>8410</v>
      </c>
      <c r="K2130" s="8" t="n">
        <v>8205</v>
      </c>
      <c r="L2130" s="8" t="n">
        <v>979432</v>
      </c>
      <c r="M2130" s="8" t="n">
        <v>596330</v>
      </c>
      <c r="N2130" t="inlineStr">
        <is>
          <t>是</t>
        </is>
      </c>
    </row>
    <row r="2131">
      <c r="A2131" s="7" t="inlineStr">
        <is>
          <t>2016-04-19</t>
        </is>
      </c>
      <c r="B2131" s="8" t="n">
        <v>6700</v>
      </c>
      <c r="C2131" s="8" t="n">
        <v>6861</v>
      </c>
      <c r="D2131" s="8" t="n">
        <v>6929</v>
      </c>
      <c r="E2131" s="8" t="n">
        <v>6642</v>
      </c>
      <c r="F2131" s="8" t="n">
        <v>2360906</v>
      </c>
      <c r="G2131" s="8" t="n">
        <v>671876</v>
      </c>
      <c r="H2131" s="8" t="n">
        <v>8225</v>
      </c>
      <c r="I2131" s="8" t="n">
        <v>8410</v>
      </c>
      <c r="J2131" s="8" t="n">
        <v>8440</v>
      </c>
      <c r="K2131" s="8" t="n">
        <v>8135</v>
      </c>
      <c r="L2131" s="8" t="n">
        <v>1280926</v>
      </c>
      <c r="M2131" s="8" t="n">
        <v>607922</v>
      </c>
      <c r="N2131" t="inlineStr">
        <is>
          <t>是</t>
        </is>
      </c>
    </row>
    <row r="2132">
      <c r="A2132" s="7" t="inlineStr">
        <is>
          <t>2016-04-20</t>
        </is>
      </c>
      <c r="B2132" s="8" t="n">
        <v>6590</v>
      </c>
      <c r="C2132" s="8" t="n">
        <v>6760</v>
      </c>
      <c r="D2132" s="8" t="n">
        <v>6778</v>
      </c>
      <c r="E2132" s="8" t="n">
        <v>6540</v>
      </c>
      <c r="F2132" s="8" t="n">
        <v>2705704</v>
      </c>
      <c r="G2132" s="8" t="n">
        <v>697386</v>
      </c>
      <c r="H2132" s="8" t="n">
        <v>8210</v>
      </c>
      <c r="I2132" s="8" t="n">
        <v>8280</v>
      </c>
      <c r="J2132" s="8" t="n">
        <v>8325</v>
      </c>
      <c r="K2132" s="8" t="n">
        <v>8150</v>
      </c>
      <c r="L2132" s="8" t="n">
        <v>1184994</v>
      </c>
      <c r="M2132" s="8" t="n">
        <v>579272</v>
      </c>
      <c r="N2132" t="inlineStr">
        <is>
          <t>是</t>
        </is>
      </c>
    </row>
    <row r="2133">
      <c r="A2133" s="7" t="inlineStr">
        <is>
          <t>2016-04-21</t>
        </is>
      </c>
      <c r="B2133" s="8" t="n">
        <v>6852</v>
      </c>
      <c r="C2133" s="8" t="n">
        <v>6629</v>
      </c>
      <c r="D2133" s="8" t="n">
        <v>6924</v>
      </c>
      <c r="E2133" s="8" t="n">
        <v>6620</v>
      </c>
      <c r="F2133" s="8" t="n">
        <v>3628622</v>
      </c>
      <c r="G2133" s="8" t="n">
        <v>652332</v>
      </c>
      <c r="H2133" s="8" t="n">
        <v>8600</v>
      </c>
      <c r="I2133" s="8" t="n">
        <v>8290</v>
      </c>
      <c r="J2133" s="8" t="n">
        <v>8645</v>
      </c>
      <c r="K2133" s="8" t="n">
        <v>8270</v>
      </c>
      <c r="L2133" s="8" t="n">
        <v>1945914</v>
      </c>
      <c r="M2133" s="8" t="n">
        <v>540662</v>
      </c>
      <c r="N2133" t="inlineStr">
        <is>
          <t>是</t>
        </is>
      </c>
    </row>
    <row r="2134">
      <c r="A2134" s="7" t="inlineStr">
        <is>
          <t>2016-04-22</t>
        </is>
      </c>
      <c r="B2134" s="8" t="n">
        <v>6802</v>
      </c>
      <c r="C2134" s="8" t="n">
        <v>6750</v>
      </c>
      <c r="D2134" s="8" t="n">
        <v>6894</v>
      </c>
      <c r="E2134" s="8" t="n">
        <v>6694</v>
      </c>
      <c r="F2134" s="8" t="n">
        <v>2372606</v>
      </c>
      <c r="G2134" s="8" t="n">
        <v>576014</v>
      </c>
      <c r="H2134" s="8" t="n">
        <v>8475</v>
      </c>
      <c r="I2134" s="8" t="n">
        <v>8460</v>
      </c>
      <c r="J2134" s="8" t="n">
        <v>8585</v>
      </c>
      <c r="K2134" s="8" t="n">
        <v>8395</v>
      </c>
      <c r="L2134" s="8" t="n">
        <v>1102282</v>
      </c>
      <c r="M2134" s="8" t="n">
        <v>513854</v>
      </c>
      <c r="N2134" t="inlineStr">
        <is>
          <t>是</t>
        </is>
      </c>
    </row>
    <row r="2135">
      <c r="A2135" s="7" t="inlineStr">
        <is>
          <t>2016-04-25</t>
        </is>
      </c>
      <c r="B2135" s="8" t="n">
        <v>6952</v>
      </c>
      <c r="C2135" s="8" t="n">
        <v>6750</v>
      </c>
      <c r="D2135" s="8" t="n">
        <v>6985</v>
      </c>
      <c r="E2135" s="8" t="n">
        <v>6732</v>
      </c>
      <c r="F2135" s="8" t="n">
        <v>2051390</v>
      </c>
      <c r="G2135" s="8" t="n">
        <v>602826</v>
      </c>
      <c r="H2135" s="8" t="n">
        <v>8730</v>
      </c>
      <c r="I2135" s="8" t="n">
        <v>8455</v>
      </c>
      <c r="J2135" s="8" t="n">
        <v>8780</v>
      </c>
      <c r="K2135" s="8" t="n">
        <v>8425</v>
      </c>
      <c r="L2135" s="8" t="n">
        <v>1415372</v>
      </c>
      <c r="M2135" s="8" t="n">
        <v>560388</v>
      </c>
      <c r="N2135" t="inlineStr">
        <is>
          <t>是</t>
        </is>
      </c>
    </row>
    <row r="2136">
      <c r="A2136" s="7" t="inlineStr">
        <is>
          <t>2016-04-26</t>
        </is>
      </c>
      <c r="B2136" s="8" t="n">
        <v>7092</v>
      </c>
      <c r="C2136" s="8" t="n">
        <v>6945</v>
      </c>
      <c r="D2136" s="8" t="n">
        <v>7174</v>
      </c>
      <c r="E2136" s="8" t="n">
        <v>6913</v>
      </c>
      <c r="F2136" s="8" t="n">
        <v>1756130</v>
      </c>
      <c r="G2136" s="8" t="n">
        <v>613152</v>
      </c>
      <c r="H2136" s="8" t="n">
        <v>8770</v>
      </c>
      <c r="I2136" s="8" t="n">
        <v>8750</v>
      </c>
      <c r="J2136" s="8" t="n">
        <v>8945</v>
      </c>
      <c r="K2136" s="8" t="n">
        <v>8635</v>
      </c>
      <c r="L2136" s="8" t="n">
        <v>1131962</v>
      </c>
      <c r="M2136" s="8" t="n">
        <v>514854</v>
      </c>
      <c r="N2136" t="inlineStr">
        <is>
          <t>是</t>
        </is>
      </c>
    </row>
    <row r="2137">
      <c r="A2137" s="7" t="inlineStr">
        <is>
          <t>2016-04-27</t>
        </is>
      </c>
      <c r="B2137" s="8" t="n">
        <v>7100</v>
      </c>
      <c r="C2137" s="8" t="n">
        <v>7150</v>
      </c>
      <c r="D2137" s="8" t="n">
        <v>7255</v>
      </c>
      <c r="E2137" s="8" t="n">
        <v>7003</v>
      </c>
      <c r="F2137" s="8" t="n">
        <v>1364186</v>
      </c>
      <c r="G2137" s="8" t="n">
        <v>587326</v>
      </c>
      <c r="H2137" s="8" t="n">
        <v>8685</v>
      </c>
      <c r="I2137" s="8" t="n">
        <v>8845</v>
      </c>
      <c r="J2137" s="8" t="n">
        <v>8985</v>
      </c>
      <c r="K2137" s="8" t="n">
        <v>8635</v>
      </c>
      <c r="L2137" s="8" t="n">
        <v>997982</v>
      </c>
      <c r="M2137" s="8" t="n">
        <v>501624</v>
      </c>
      <c r="N2137" t="inlineStr">
        <is>
          <t>是</t>
        </is>
      </c>
    </row>
    <row r="2138">
      <c r="A2138" s="7" t="inlineStr">
        <is>
          <t>2016-04-28</t>
        </is>
      </c>
      <c r="B2138" s="8" t="n">
        <v>6897</v>
      </c>
      <c r="C2138" s="8" t="n">
        <v>7095</v>
      </c>
      <c r="D2138" s="8" t="n">
        <v>7132</v>
      </c>
      <c r="E2138" s="8" t="n">
        <v>6886</v>
      </c>
      <c r="F2138" s="8" t="n">
        <v>1135952</v>
      </c>
      <c r="G2138" s="8" t="n">
        <v>573692</v>
      </c>
      <c r="H2138" s="8" t="n">
        <v>8635</v>
      </c>
      <c r="I2138" s="8" t="n">
        <v>8650</v>
      </c>
      <c r="J2138" s="8" t="n">
        <v>8755</v>
      </c>
      <c r="K2138" s="8" t="n">
        <v>8555</v>
      </c>
      <c r="L2138" s="8" t="n">
        <v>732764</v>
      </c>
      <c r="M2138" s="8" t="n">
        <v>497838</v>
      </c>
      <c r="N2138" t="inlineStr">
        <is>
          <t>是</t>
        </is>
      </c>
    </row>
    <row r="2139">
      <c r="A2139" s="7" t="inlineStr">
        <is>
          <t>2016-04-29</t>
        </is>
      </c>
      <c r="B2139" s="8" t="n">
        <v>6950</v>
      </c>
      <c r="C2139" s="8" t="n">
        <v>6947</v>
      </c>
      <c r="D2139" s="8" t="n">
        <v>6998</v>
      </c>
      <c r="E2139" s="8" t="n">
        <v>6910</v>
      </c>
      <c r="F2139" s="8" t="n">
        <v>816642</v>
      </c>
      <c r="G2139" s="8" t="n">
        <v>556980</v>
      </c>
      <c r="H2139" s="8" t="n">
        <v>8595</v>
      </c>
      <c r="I2139" s="8" t="n">
        <v>8710</v>
      </c>
      <c r="J2139" s="8" t="n">
        <v>8760</v>
      </c>
      <c r="K2139" s="8" t="n">
        <v>8555</v>
      </c>
      <c r="L2139" s="8" t="n">
        <v>725234</v>
      </c>
      <c r="M2139" s="8" t="n">
        <v>475196</v>
      </c>
      <c r="N2139" t="inlineStr">
        <is>
          <t>是</t>
        </is>
      </c>
    </row>
    <row r="2140">
      <c r="A2140" s="7" t="inlineStr">
        <is>
          <t>2016-05-03</t>
        </is>
      </c>
      <c r="B2140" s="8" t="n">
        <v>6834</v>
      </c>
      <c r="C2140" s="8" t="n">
        <v>6950</v>
      </c>
      <c r="D2140" s="8" t="n">
        <v>6950</v>
      </c>
      <c r="E2140" s="8" t="n">
        <v>6760</v>
      </c>
      <c r="F2140" s="8" t="n">
        <v>690010</v>
      </c>
      <c r="G2140" s="8" t="n">
        <v>561700</v>
      </c>
      <c r="H2140" s="8" t="n">
        <v>8320</v>
      </c>
      <c r="I2140" s="8" t="n">
        <v>8515</v>
      </c>
      <c r="J2140" s="8" t="n">
        <v>8560</v>
      </c>
      <c r="K2140" s="8" t="n">
        <v>8290</v>
      </c>
      <c r="L2140" s="8" t="n">
        <v>720778</v>
      </c>
      <c r="M2140" s="8" t="n">
        <v>469014</v>
      </c>
      <c r="N2140" t="inlineStr">
        <is>
          <t>是</t>
        </is>
      </c>
    </row>
    <row r="2141">
      <c r="A2141" s="7" t="inlineStr">
        <is>
          <t>2016-05-04</t>
        </is>
      </c>
      <c r="B2141" s="8" t="n">
        <v>6811</v>
      </c>
      <c r="C2141" s="8" t="n">
        <v>6798</v>
      </c>
      <c r="D2141" s="8" t="n">
        <v>6877</v>
      </c>
      <c r="E2141" s="8" t="n">
        <v>6747</v>
      </c>
      <c r="F2141" s="8" t="n">
        <v>714508</v>
      </c>
      <c r="G2141" s="8" t="n">
        <v>589768</v>
      </c>
      <c r="H2141" s="8" t="n">
        <v>8290</v>
      </c>
      <c r="I2141" s="8" t="n">
        <v>8280</v>
      </c>
      <c r="J2141" s="8" t="n">
        <v>8345</v>
      </c>
      <c r="K2141" s="8" t="n">
        <v>8250</v>
      </c>
      <c r="L2141" s="8" t="n">
        <v>541680</v>
      </c>
      <c r="M2141" s="8" t="n">
        <v>486038</v>
      </c>
      <c r="N2141" t="inlineStr">
        <is>
          <t>是</t>
        </is>
      </c>
    </row>
    <row r="2142">
      <c r="A2142" s="7" t="inlineStr">
        <is>
          <t>2016-05-05</t>
        </is>
      </c>
      <c r="B2142" s="8" t="n">
        <v>6814</v>
      </c>
      <c r="C2142" s="8" t="n">
        <v>6836</v>
      </c>
      <c r="D2142" s="8" t="n">
        <v>6865</v>
      </c>
      <c r="E2142" s="8" t="n">
        <v>6770</v>
      </c>
      <c r="F2142" s="8" t="n">
        <v>661884</v>
      </c>
      <c r="G2142" s="8" t="n">
        <v>595650</v>
      </c>
      <c r="H2142" s="8" t="n">
        <v>8210</v>
      </c>
      <c r="I2142" s="8" t="n">
        <v>8345</v>
      </c>
      <c r="J2142" s="8" t="n">
        <v>8345</v>
      </c>
      <c r="K2142" s="8" t="n">
        <v>8170</v>
      </c>
      <c r="L2142" s="8" t="n">
        <v>609982</v>
      </c>
      <c r="M2142" s="8" t="n">
        <v>510710</v>
      </c>
      <c r="N2142" t="inlineStr">
        <is>
          <t>是</t>
        </is>
      </c>
    </row>
    <row r="2143">
      <c r="A2143" s="7" t="inlineStr">
        <is>
          <t>2016-05-06</t>
        </is>
      </c>
      <c r="B2143" s="8" t="n">
        <v>6742</v>
      </c>
      <c r="C2143" s="8" t="n">
        <v>6739</v>
      </c>
      <c r="D2143" s="8" t="n">
        <v>6796</v>
      </c>
      <c r="E2143" s="8" t="n">
        <v>6642</v>
      </c>
      <c r="F2143" s="8" t="n">
        <v>747232</v>
      </c>
      <c r="G2143" s="8" t="n">
        <v>554094</v>
      </c>
      <c r="H2143" s="8" t="n">
        <v>8145</v>
      </c>
      <c r="I2143" s="8" t="n">
        <v>8100</v>
      </c>
      <c r="J2143" s="8" t="n">
        <v>8255</v>
      </c>
      <c r="K2143" s="8" t="n">
        <v>8055</v>
      </c>
      <c r="L2143" s="8" t="n">
        <v>633006</v>
      </c>
      <c r="M2143" s="8" t="n">
        <v>508712</v>
      </c>
      <c r="N2143" t="inlineStr">
        <is>
          <t>是</t>
        </is>
      </c>
    </row>
    <row r="2144">
      <c r="A2144" s="7" t="inlineStr">
        <is>
          <t>2016-05-09</t>
        </is>
      </c>
      <c r="B2144" s="8" t="n">
        <v>6633</v>
      </c>
      <c r="C2144" s="8" t="n">
        <v>6786</v>
      </c>
      <c r="D2144" s="8" t="n">
        <v>6795</v>
      </c>
      <c r="E2144" s="8" t="n">
        <v>6544</v>
      </c>
      <c r="F2144" s="8" t="n">
        <v>742110</v>
      </c>
      <c r="G2144" s="8" t="n">
        <v>571126</v>
      </c>
      <c r="H2144" s="8" t="n">
        <v>8070</v>
      </c>
      <c r="I2144" s="8" t="n">
        <v>8195</v>
      </c>
      <c r="J2144" s="8" t="n">
        <v>8205</v>
      </c>
      <c r="K2144" s="8" t="n">
        <v>7900</v>
      </c>
      <c r="L2144" s="8" t="n">
        <v>896826</v>
      </c>
      <c r="M2144" s="8" t="n">
        <v>513974</v>
      </c>
      <c r="N2144" t="inlineStr">
        <is>
          <t>是</t>
        </is>
      </c>
    </row>
    <row r="2145">
      <c r="A2145" s="7" t="inlineStr">
        <is>
          <t>2016-05-10</t>
        </is>
      </c>
      <c r="B2145" s="8" t="n">
        <v>6693</v>
      </c>
      <c r="C2145" s="8" t="n">
        <v>6551</v>
      </c>
      <c r="D2145" s="8" t="n">
        <v>6698</v>
      </c>
      <c r="E2145" s="8" t="n">
        <v>6496</v>
      </c>
      <c r="F2145" s="8" t="n">
        <v>762718</v>
      </c>
      <c r="G2145" s="8" t="n">
        <v>520188</v>
      </c>
      <c r="H2145" s="8" t="n">
        <v>8165</v>
      </c>
      <c r="I2145" s="8" t="n">
        <v>8025</v>
      </c>
      <c r="J2145" s="8" t="n">
        <v>8200</v>
      </c>
      <c r="K2145" s="8" t="n">
        <v>7950</v>
      </c>
      <c r="L2145" s="8" t="n">
        <v>855686</v>
      </c>
      <c r="M2145" s="8" t="n">
        <v>487152</v>
      </c>
      <c r="N2145" t="inlineStr">
        <is>
          <t>是</t>
        </is>
      </c>
    </row>
    <row r="2146">
      <c r="A2146" s="7" t="inlineStr">
        <is>
          <t>2016-05-11</t>
        </is>
      </c>
      <c r="B2146" s="8" t="n">
        <v>6765</v>
      </c>
      <c r="C2146" s="8" t="n">
        <v>6733</v>
      </c>
      <c r="D2146" s="8" t="n">
        <v>6810</v>
      </c>
      <c r="E2146" s="8" t="n">
        <v>6701</v>
      </c>
      <c r="F2146" s="8" t="n">
        <v>608602</v>
      </c>
      <c r="G2146" s="8" t="n">
        <v>511618</v>
      </c>
      <c r="H2146" s="8" t="n">
        <v>8175</v>
      </c>
      <c r="I2146" s="8" t="n">
        <v>8210</v>
      </c>
      <c r="J2146" s="8" t="n">
        <v>8260</v>
      </c>
      <c r="K2146" s="8" t="n">
        <v>8140</v>
      </c>
      <c r="L2146" s="8" t="n">
        <v>570372</v>
      </c>
      <c r="M2146" s="8" t="n">
        <v>460878</v>
      </c>
      <c r="N2146" t="inlineStr">
        <is>
          <t>是</t>
        </is>
      </c>
    </row>
    <row r="2147">
      <c r="A2147" s="7" t="inlineStr">
        <is>
          <t>2016-05-12</t>
        </is>
      </c>
      <c r="B2147" s="8" t="n">
        <v>6820</v>
      </c>
      <c r="C2147" s="8" t="n">
        <v>6784</v>
      </c>
      <c r="D2147" s="8" t="n">
        <v>6868</v>
      </c>
      <c r="E2147" s="8" t="n">
        <v>6730</v>
      </c>
      <c r="F2147" s="8" t="n">
        <v>517110</v>
      </c>
      <c r="G2147" s="8" t="n">
        <v>495552</v>
      </c>
      <c r="H2147" s="8" t="n">
        <v>8205</v>
      </c>
      <c r="I2147" s="8" t="n">
        <v>8205</v>
      </c>
      <c r="J2147" s="8" t="n">
        <v>8280</v>
      </c>
      <c r="K2147" s="8" t="n">
        <v>8125</v>
      </c>
      <c r="L2147" s="8" t="n">
        <v>598256</v>
      </c>
      <c r="M2147" s="8" t="n">
        <v>450660</v>
      </c>
      <c r="N2147" t="inlineStr">
        <is>
          <t>是</t>
        </is>
      </c>
    </row>
    <row r="2148">
      <c r="A2148" s="7" t="inlineStr">
        <is>
          <t>2016-05-13</t>
        </is>
      </c>
      <c r="B2148" s="8" t="n">
        <v>6815</v>
      </c>
      <c r="C2148" s="8" t="n">
        <v>6717</v>
      </c>
      <c r="D2148" s="8" t="n">
        <v>6829</v>
      </c>
      <c r="E2148" s="8" t="n">
        <v>6654</v>
      </c>
      <c r="F2148" s="8" t="n">
        <v>858810</v>
      </c>
      <c r="G2148" s="8" t="n">
        <v>509264</v>
      </c>
      <c r="H2148" s="8" t="n">
        <v>8155</v>
      </c>
      <c r="I2148" s="8" t="n">
        <v>8100</v>
      </c>
      <c r="J2148" s="8" t="n">
        <v>8190</v>
      </c>
      <c r="K2148" s="8" t="n">
        <v>7980</v>
      </c>
      <c r="L2148" s="8" t="n">
        <v>908082</v>
      </c>
      <c r="M2148" s="8" t="n">
        <v>425410</v>
      </c>
      <c r="N2148" t="inlineStr">
        <is>
          <t>是</t>
        </is>
      </c>
    </row>
    <row r="2149">
      <c r="A2149" s="7" t="inlineStr">
        <is>
          <t>2016-05-16</t>
        </is>
      </c>
      <c r="B2149" s="8" t="n">
        <v>6691</v>
      </c>
      <c r="C2149" s="8" t="n">
        <v>6807</v>
      </c>
      <c r="D2149" s="8" t="n">
        <v>6850</v>
      </c>
      <c r="E2149" s="8" t="n">
        <v>6680</v>
      </c>
      <c r="F2149" s="8" t="n">
        <v>679290</v>
      </c>
      <c r="G2149" s="8" t="n">
        <v>508950</v>
      </c>
      <c r="H2149" s="8" t="n">
        <v>7905</v>
      </c>
      <c r="I2149" s="8" t="n">
        <v>8155</v>
      </c>
      <c r="J2149" s="8" t="n">
        <v>8185</v>
      </c>
      <c r="K2149" s="8" t="n">
        <v>7870</v>
      </c>
      <c r="L2149" s="8" t="n">
        <v>914904</v>
      </c>
      <c r="M2149" s="8" t="n">
        <v>523020</v>
      </c>
      <c r="N2149" t="inlineStr">
        <is>
          <t>是</t>
        </is>
      </c>
    </row>
    <row r="2150">
      <c r="A2150" s="7" t="inlineStr">
        <is>
          <t>2016-05-17</t>
        </is>
      </c>
      <c r="B2150" s="8" t="n">
        <v>6694</v>
      </c>
      <c r="C2150" s="8" t="n">
        <v>6721</v>
      </c>
      <c r="D2150" s="8" t="n">
        <v>6768</v>
      </c>
      <c r="E2150" s="8" t="n">
        <v>6641</v>
      </c>
      <c r="F2150" s="8" t="n">
        <v>667398</v>
      </c>
      <c r="G2150" s="8" t="n">
        <v>520366</v>
      </c>
      <c r="H2150" s="8" t="n">
        <v>7970</v>
      </c>
      <c r="I2150" s="8" t="n">
        <v>7945</v>
      </c>
      <c r="J2150" s="8" t="n">
        <v>7995</v>
      </c>
      <c r="K2150" s="8" t="n">
        <v>7900</v>
      </c>
      <c r="L2150" s="8" t="n">
        <v>619398</v>
      </c>
      <c r="M2150" s="8" t="n">
        <v>545314</v>
      </c>
      <c r="N2150" t="inlineStr">
        <is>
          <t>是</t>
        </is>
      </c>
    </row>
    <row r="2151">
      <c r="A2151" s="7" t="inlineStr">
        <is>
          <t>2016-05-18</t>
        </is>
      </c>
      <c r="B2151" s="8" t="n">
        <v>6601</v>
      </c>
      <c r="C2151" s="8" t="n">
        <v>6740</v>
      </c>
      <c r="D2151" s="8" t="n">
        <v>6810</v>
      </c>
      <c r="E2151" s="8" t="n">
        <v>6600</v>
      </c>
      <c r="F2151" s="8" t="n">
        <v>737366</v>
      </c>
      <c r="G2151" s="8" t="n">
        <v>570764</v>
      </c>
      <c r="H2151" s="8" t="n">
        <v>7935</v>
      </c>
      <c r="I2151" s="8" t="n">
        <v>8000</v>
      </c>
      <c r="J2151" s="8" t="n">
        <v>8100</v>
      </c>
      <c r="K2151" s="8" t="n">
        <v>7880</v>
      </c>
      <c r="L2151" s="8" t="n">
        <v>719624</v>
      </c>
      <c r="M2151" s="8" t="n">
        <v>535940</v>
      </c>
      <c r="N2151" t="inlineStr">
        <is>
          <t>是</t>
        </is>
      </c>
    </row>
    <row r="2152">
      <c r="A2152" s="7" t="inlineStr">
        <is>
          <t>2016-05-19</t>
        </is>
      </c>
      <c r="B2152" s="8" t="n">
        <v>6554</v>
      </c>
      <c r="C2152" s="8" t="n">
        <v>6577</v>
      </c>
      <c r="D2152" s="8" t="n">
        <v>6645</v>
      </c>
      <c r="E2152" s="8" t="n">
        <v>6510</v>
      </c>
      <c r="F2152" s="8" t="n">
        <v>642336</v>
      </c>
      <c r="G2152" s="8" t="n">
        <v>593406</v>
      </c>
      <c r="H2152" s="8" t="n">
        <v>7915</v>
      </c>
      <c r="I2152" s="8" t="n">
        <v>7895</v>
      </c>
      <c r="J2152" s="8" t="n">
        <v>8000</v>
      </c>
      <c r="K2152" s="8" t="n">
        <v>7850</v>
      </c>
      <c r="L2152" s="8" t="n">
        <v>634530</v>
      </c>
      <c r="M2152" s="8" t="n">
        <v>557282</v>
      </c>
      <c r="N2152" t="inlineStr">
        <is>
          <t>是</t>
        </is>
      </c>
    </row>
    <row r="2153">
      <c r="A2153" s="7" t="inlineStr">
        <is>
          <t>2016-05-20</t>
        </is>
      </c>
      <c r="B2153" s="8" t="n">
        <v>6506</v>
      </c>
      <c r="C2153" s="8" t="n">
        <v>6604</v>
      </c>
      <c r="D2153" s="8" t="n">
        <v>6610</v>
      </c>
      <c r="E2153" s="8" t="n">
        <v>6501</v>
      </c>
      <c r="F2153" s="8" t="n">
        <v>506490</v>
      </c>
      <c r="G2153" s="8" t="n">
        <v>626582</v>
      </c>
      <c r="H2153" s="8" t="n">
        <v>7965</v>
      </c>
      <c r="I2153" s="8" t="n">
        <v>7970</v>
      </c>
      <c r="J2153" s="8" t="n">
        <v>8035</v>
      </c>
      <c r="K2153" s="8" t="n">
        <v>7920</v>
      </c>
      <c r="L2153" s="8" t="n">
        <v>513356</v>
      </c>
      <c r="M2153" s="8" t="n">
        <v>539208</v>
      </c>
      <c r="N2153" t="inlineStr">
        <is>
          <t>是</t>
        </is>
      </c>
    </row>
    <row r="2154">
      <c r="A2154" s="7" t="inlineStr">
        <is>
          <t>2016-05-23</t>
        </is>
      </c>
      <c r="B2154" s="8" t="n">
        <v>6368</v>
      </c>
      <c r="C2154" s="8" t="n">
        <v>6432</v>
      </c>
      <c r="D2154" s="8" t="n">
        <v>6474</v>
      </c>
      <c r="E2154" s="8" t="n">
        <v>6310</v>
      </c>
      <c r="F2154" s="8" t="n">
        <v>795046</v>
      </c>
      <c r="G2154" s="8" t="n">
        <v>637144</v>
      </c>
      <c r="H2154" s="8" t="n">
        <v>7850</v>
      </c>
      <c r="I2154" s="8" t="n">
        <v>7850</v>
      </c>
      <c r="J2154" s="8" t="n">
        <v>7945</v>
      </c>
      <c r="K2154" s="8" t="n">
        <v>7760</v>
      </c>
      <c r="L2154" s="8" t="n">
        <v>757888</v>
      </c>
      <c r="M2154" s="8" t="n">
        <v>533184</v>
      </c>
      <c r="N2154" t="inlineStr">
        <is>
          <t>是</t>
        </is>
      </c>
    </row>
    <row r="2155">
      <c r="A2155" s="7" t="inlineStr">
        <is>
          <t>2016-05-24</t>
        </is>
      </c>
      <c r="B2155" s="8" t="n">
        <v>6312</v>
      </c>
      <c r="C2155" s="8" t="n">
        <v>6389</v>
      </c>
      <c r="D2155" s="8" t="n">
        <v>6408</v>
      </c>
      <c r="E2155" s="8" t="n">
        <v>6280</v>
      </c>
      <c r="F2155" s="8" t="n">
        <v>603668</v>
      </c>
      <c r="G2155" s="8" t="n">
        <v>664590</v>
      </c>
      <c r="H2155" s="8" t="n">
        <v>7940</v>
      </c>
      <c r="I2155" s="8" t="n">
        <v>7850</v>
      </c>
      <c r="J2155" s="8" t="n">
        <v>7975</v>
      </c>
      <c r="K2155" s="8" t="n">
        <v>7825</v>
      </c>
      <c r="L2155" s="8" t="n">
        <v>555062</v>
      </c>
      <c r="M2155" s="8" t="n">
        <v>528238</v>
      </c>
      <c r="N2155" t="inlineStr">
        <is>
          <t>是</t>
        </is>
      </c>
    </row>
    <row r="2156">
      <c r="A2156" s="7" t="inlineStr">
        <is>
          <t>2016-05-25</t>
        </is>
      </c>
      <c r="B2156" s="8" t="n">
        <v>6403</v>
      </c>
      <c r="C2156" s="8" t="n">
        <v>6367</v>
      </c>
      <c r="D2156" s="8" t="n">
        <v>6453</v>
      </c>
      <c r="E2156" s="8" t="n">
        <v>6327</v>
      </c>
      <c r="F2156" s="8" t="n">
        <v>638484</v>
      </c>
      <c r="G2156" s="8" t="n">
        <v>632102</v>
      </c>
      <c r="H2156" s="8" t="n">
        <v>8000</v>
      </c>
      <c r="I2156" s="8" t="n">
        <v>7995</v>
      </c>
      <c r="J2156" s="8" t="n">
        <v>8095</v>
      </c>
      <c r="K2156" s="8" t="n">
        <v>7960</v>
      </c>
      <c r="L2156" s="8" t="n">
        <v>638964</v>
      </c>
      <c r="M2156" s="8" t="n">
        <v>510938</v>
      </c>
      <c r="N2156" t="inlineStr">
        <is>
          <t>是</t>
        </is>
      </c>
    </row>
    <row r="2157">
      <c r="A2157" s="7" t="inlineStr">
        <is>
          <t>2016-05-26</t>
        </is>
      </c>
      <c r="B2157" s="8" t="n">
        <v>6499</v>
      </c>
      <c r="C2157" s="8" t="n">
        <v>6420</v>
      </c>
      <c r="D2157" s="8" t="n">
        <v>6500</v>
      </c>
      <c r="E2157" s="8" t="n">
        <v>6377</v>
      </c>
      <c r="F2157" s="8" t="n">
        <v>603498</v>
      </c>
      <c r="G2157" s="8" t="n">
        <v>610996</v>
      </c>
      <c r="H2157" s="8" t="n">
        <v>7995</v>
      </c>
      <c r="I2157" s="8" t="n">
        <v>8040</v>
      </c>
      <c r="J2157" s="8" t="n">
        <v>8085</v>
      </c>
      <c r="K2157" s="8" t="n">
        <v>7960</v>
      </c>
      <c r="L2157" s="8" t="n">
        <v>596938</v>
      </c>
      <c r="M2157" s="8" t="n">
        <v>504132</v>
      </c>
      <c r="N2157" t="inlineStr">
        <is>
          <t>是</t>
        </is>
      </c>
    </row>
    <row r="2158">
      <c r="A2158" s="7" t="inlineStr">
        <is>
          <t>2016-05-27</t>
        </is>
      </c>
      <c r="B2158" s="8" t="n">
        <v>6423</v>
      </c>
      <c r="C2158" s="8" t="n">
        <v>6450</v>
      </c>
      <c r="D2158" s="8" t="n">
        <v>6470</v>
      </c>
      <c r="E2158" s="8" t="n">
        <v>6348</v>
      </c>
      <c r="F2158" s="8" t="n">
        <v>580086</v>
      </c>
      <c r="G2158" s="8" t="n">
        <v>627606</v>
      </c>
      <c r="H2158" s="8" t="n">
        <v>7835</v>
      </c>
      <c r="I2158" s="8" t="n">
        <v>7960</v>
      </c>
      <c r="J2158" s="8" t="n">
        <v>7960</v>
      </c>
      <c r="K2158" s="8" t="n">
        <v>7825</v>
      </c>
      <c r="L2158" s="8" t="n">
        <v>669076</v>
      </c>
      <c r="M2158" s="8" t="n">
        <v>533426</v>
      </c>
      <c r="N2158" t="inlineStr">
        <is>
          <t>是</t>
        </is>
      </c>
    </row>
    <row r="2159">
      <c r="A2159" s="7" t="inlineStr">
        <is>
          <t>2016-05-30</t>
        </is>
      </c>
      <c r="B2159" s="8" t="n">
        <v>6587</v>
      </c>
      <c r="C2159" s="8" t="n">
        <v>6390</v>
      </c>
      <c r="D2159" s="8" t="n">
        <v>6594</v>
      </c>
      <c r="E2159" s="8" t="n">
        <v>6382</v>
      </c>
      <c r="F2159" s="8" t="n">
        <v>615290</v>
      </c>
      <c r="G2159" s="8" t="n">
        <v>619904</v>
      </c>
      <c r="H2159" s="8" t="n">
        <v>8025</v>
      </c>
      <c r="I2159" s="8" t="n">
        <v>7830</v>
      </c>
      <c r="J2159" s="8" t="n">
        <v>8040</v>
      </c>
      <c r="K2159" s="8" t="n">
        <v>7800</v>
      </c>
      <c r="L2159" s="8" t="n">
        <v>525392</v>
      </c>
      <c r="M2159" s="8" t="n">
        <v>502770</v>
      </c>
      <c r="N2159" t="inlineStr">
        <is>
          <t>是</t>
        </is>
      </c>
    </row>
    <row r="2160">
      <c r="A2160" s="7" t="inlineStr">
        <is>
          <t>2016-05-31</t>
        </is>
      </c>
      <c r="B2160" s="8" t="n">
        <v>6700</v>
      </c>
      <c r="C2160" s="8" t="n">
        <v>6584</v>
      </c>
      <c r="D2160" s="8" t="n">
        <v>6735</v>
      </c>
      <c r="E2160" s="8" t="n">
        <v>6553</v>
      </c>
      <c r="F2160" s="8" t="n">
        <v>759728</v>
      </c>
      <c r="G2160" s="8" t="n">
        <v>628164</v>
      </c>
      <c r="H2160" s="8" t="n">
        <v>8105</v>
      </c>
      <c r="I2160" s="8" t="n">
        <v>8040</v>
      </c>
      <c r="J2160" s="8" t="n">
        <v>8150</v>
      </c>
      <c r="K2160" s="8" t="n">
        <v>8005</v>
      </c>
      <c r="L2160" s="8" t="n">
        <v>518504</v>
      </c>
      <c r="M2160" s="8" t="n">
        <v>484500</v>
      </c>
      <c r="N2160" t="inlineStr">
        <is>
          <t>是</t>
        </is>
      </c>
    </row>
    <row r="2161">
      <c r="A2161" s="7" t="inlineStr">
        <is>
          <t>2016-06-01</t>
        </is>
      </c>
      <c r="B2161" s="8" t="n">
        <v>6648</v>
      </c>
      <c r="C2161" s="8" t="n">
        <v>6665</v>
      </c>
      <c r="D2161" s="8" t="n">
        <v>6696</v>
      </c>
      <c r="E2161" s="8" t="n">
        <v>6600</v>
      </c>
      <c r="F2161" s="8" t="n">
        <v>483788</v>
      </c>
      <c r="G2161" s="8" t="n">
        <v>605666</v>
      </c>
      <c r="H2161" s="8" t="n">
        <v>8035</v>
      </c>
      <c r="I2161" s="8" t="n">
        <v>8075</v>
      </c>
      <c r="J2161" s="8" t="n">
        <v>8140</v>
      </c>
      <c r="K2161" s="8" t="n">
        <v>8005</v>
      </c>
      <c r="L2161" s="8" t="n">
        <v>422890</v>
      </c>
      <c r="M2161" s="8" t="n">
        <v>484302</v>
      </c>
      <c r="N2161" t="inlineStr">
        <is>
          <t>是</t>
        </is>
      </c>
    </row>
    <row r="2162">
      <c r="A2162" s="7" t="inlineStr">
        <is>
          <t>2016-06-02</t>
        </is>
      </c>
      <c r="B2162" s="8" t="n">
        <v>6617</v>
      </c>
      <c r="C2162" s="8" t="n">
        <v>6688</v>
      </c>
      <c r="D2162" s="8" t="n">
        <v>6716</v>
      </c>
      <c r="E2162" s="8" t="n">
        <v>6600</v>
      </c>
      <c r="F2162" s="8" t="n">
        <v>458002</v>
      </c>
      <c r="G2162" s="8" t="n">
        <v>599518</v>
      </c>
      <c r="H2162" s="8" t="n">
        <v>7960</v>
      </c>
      <c r="I2162" s="8" t="n">
        <v>8075</v>
      </c>
      <c r="J2162" s="8" t="n">
        <v>8100</v>
      </c>
      <c r="K2162" s="8" t="n">
        <v>7910</v>
      </c>
      <c r="L2162" s="8" t="n">
        <v>492056</v>
      </c>
      <c r="M2162" s="8" t="n">
        <v>519680</v>
      </c>
      <c r="N2162" t="inlineStr">
        <is>
          <t>是</t>
        </is>
      </c>
    </row>
    <row r="2163">
      <c r="A2163" s="7" t="inlineStr">
        <is>
          <t>2016-06-03</t>
        </is>
      </c>
      <c r="B2163" s="8" t="n">
        <v>6777</v>
      </c>
      <c r="C2163" s="8" t="n">
        <v>6630</v>
      </c>
      <c r="D2163" s="8" t="n">
        <v>6780</v>
      </c>
      <c r="E2163" s="8" t="n">
        <v>6630</v>
      </c>
      <c r="F2163" s="8" t="n">
        <v>516954</v>
      </c>
      <c r="G2163" s="8" t="n">
        <v>599732</v>
      </c>
      <c r="H2163" s="8" t="n">
        <v>8135</v>
      </c>
      <c r="I2163" s="8" t="n">
        <v>7985</v>
      </c>
      <c r="J2163" s="8" t="n">
        <v>8135</v>
      </c>
      <c r="K2163" s="8" t="n">
        <v>7975</v>
      </c>
      <c r="L2163" s="8" t="n">
        <v>493440</v>
      </c>
      <c r="M2163" s="8" t="n">
        <v>514498</v>
      </c>
      <c r="N2163" t="inlineStr">
        <is>
          <t>是</t>
        </is>
      </c>
    </row>
    <row r="2164">
      <c r="A2164" s="7" t="inlineStr">
        <is>
          <t>2016-06-06</t>
        </is>
      </c>
      <c r="B2164" s="8" t="n">
        <v>6773</v>
      </c>
      <c r="C2164" s="8" t="n">
        <v>6798</v>
      </c>
      <c r="D2164" s="8" t="n">
        <v>6807</v>
      </c>
      <c r="E2164" s="8" t="n">
        <v>6707</v>
      </c>
      <c r="F2164" s="8" t="n">
        <v>494628</v>
      </c>
      <c r="G2164" s="8" t="n">
        <v>578148</v>
      </c>
      <c r="H2164" s="8" t="n">
        <v>8160</v>
      </c>
      <c r="I2164" s="8" t="n">
        <v>8140</v>
      </c>
      <c r="J2164" s="8" t="n">
        <v>8200</v>
      </c>
      <c r="K2164" s="8" t="n">
        <v>8115</v>
      </c>
      <c r="L2164" s="8" t="n">
        <v>454806</v>
      </c>
      <c r="M2164" s="8" t="n">
        <v>518234</v>
      </c>
      <c r="N2164" t="inlineStr">
        <is>
          <t>是</t>
        </is>
      </c>
    </row>
    <row r="2165">
      <c r="A2165" s="7" t="inlineStr">
        <is>
          <t>2016-06-07</t>
        </is>
      </c>
      <c r="B2165" s="8" t="n">
        <v>6771</v>
      </c>
      <c r="C2165" s="8" t="n">
        <v>6798</v>
      </c>
      <c r="D2165" s="8" t="n">
        <v>6798</v>
      </c>
      <c r="E2165" s="8" t="n">
        <v>6720</v>
      </c>
      <c r="F2165" s="8" t="n">
        <v>293902</v>
      </c>
      <c r="G2165" s="8" t="n">
        <v>580272</v>
      </c>
      <c r="H2165" s="8" t="n">
        <v>8145</v>
      </c>
      <c r="I2165" s="8" t="n">
        <v>8170</v>
      </c>
      <c r="J2165" s="8" t="n">
        <v>8175</v>
      </c>
      <c r="K2165" s="8" t="n">
        <v>8080</v>
      </c>
      <c r="L2165" s="8" t="n">
        <v>325436</v>
      </c>
      <c r="M2165" s="8" t="n">
        <v>511646</v>
      </c>
      <c r="N2165" t="inlineStr">
        <is>
          <t>是</t>
        </is>
      </c>
    </row>
    <row r="2166">
      <c r="A2166" s="7" t="inlineStr">
        <is>
          <t>2016-06-08</t>
        </is>
      </c>
      <c r="B2166" s="8" t="n">
        <v>6833</v>
      </c>
      <c r="C2166" s="8" t="n">
        <v>6770</v>
      </c>
      <c r="D2166" s="8" t="n">
        <v>6897</v>
      </c>
      <c r="E2166" s="8" t="n">
        <v>6755</v>
      </c>
      <c r="F2166" s="8" t="n">
        <v>487628</v>
      </c>
      <c r="G2166" s="8" t="n">
        <v>570496</v>
      </c>
      <c r="H2166" s="8" t="n">
        <v>8175</v>
      </c>
      <c r="I2166" s="8" t="n">
        <v>8105</v>
      </c>
      <c r="J2166" s="8" t="n">
        <v>8255</v>
      </c>
      <c r="K2166" s="8" t="n">
        <v>8095</v>
      </c>
      <c r="L2166" s="8" t="n">
        <v>408508</v>
      </c>
      <c r="M2166" s="8" t="n">
        <v>511324</v>
      </c>
      <c r="N2166" t="inlineStr">
        <is>
          <t>是</t>
        </is>
      </c>
    </row>
    <row r="2167">
      <c r="A2167" s="7" t="inlineStr">
        <is>
          <t>2016-06-13</t>
        </is>
      </c>
      <c r="B2167" s="8" t="n">
        <v>6930</v>
      </c>
      <c r="C2167" s="8" t="n">
        <v>6780</v>
      </c>
      <c r="D2167" s="8" t="n">
        <v>6935</v>
      </c>
      <c r="E2167" s="8" t="n">
        <v>6770</v>
      </c>
      <c r="F2167" s="8" t="n">
        <v>438592</v>
      </c>
      <c r="G2167" s="8" t="n">
        <v>577740</v>
      </c>
      <c r="H2167" s="8" t="n">
        <v>8340</v>
      </c>
      <c r="I2167" s="8" t="n">
        <v>8145</v>
      </c>
      <c r="J2167" s="8" t="n">
        <v>8345</v>
      </c>
      <c r="K2167" s="8" t="n">
        <v>8105</v>
      </c>
      <c r="L2167" s="8" t="n">
        <v>437766</v>
      </c>
      <c r="M2167" s="8" t="n">
        <v>552096</v>
      </c>
      <c r="N2167" t="inlineStr">
        <is>
          <t>是</t>
        </is>
      </c>
    </row>
    <row r="2168">
      <c r="A2168" s="7" t="inlineStr">
        <is>
          <t>2016-06-14</t>
        </is>
      </c>
      <c r="B2168" s="8" t="n">
        <v>6840</v>
      </c>
      <c r="C2168" s="8" t="n">
        <v>6932</v>
      </c>
      <c r="D2168" s="8" t="n">
        <v>6950</v>
      </c>
      <c r="E2168" s="8" t="n">
        <v>6805</v>
      </c>
      <c r="F2168" s="8" t="n">
        <v>439962</v>
      </c>
      <c r="G2168" s="8" t="n">
        <v>568166</v>
      </c>
      <c r="H2168" s="8" t="n">
        <v>8255</v>
      </c>
      <c r="I2168" s="8" t="n">
        <v>8350</v>
      </c>
      <c r="J2168" s="8" t="n">
        <v>8370</v>
      </c>
      <c r="K2168" s="8" t="n">
        <v>8235</v>
      </c>
      <c r="L2168" s="8" t="n">
        <v>488288</v>
      </c>
      <c r="M2168" s="8" t="n">
        <v>570984</v>
      </c>
      <c r="N2168" t="inlineStr">
        <is>
          <t>是</t>
        </is>
      </c>
    </row>
    <row r="2169">
      <c r="A2169" s="7" t="inlineStr">
        <is>
          <t>2016-06-15</t>
        </is>
      </c>
      <c r="B2169" s="8" t="n">
        <v>6821</v>
      </c>
      <c r="C2169" s="8" t="n">
        <v>6806</v>
      </c>
      <c r="D2169" s="8" t="n">
        <v>6835</v>
      </c>
      <c r="E2169" s="8" t="n">
        <v>6730</v>
      </c>
      <c r="F2169" s="8" t="n">
        <v>476088</v>
      </c>
      <c r="G2169" s="8" t="n">
        <v>573428</v>
      </c>
      <c r="H2169" s="8" t="n">
        <v>8390</v>
      </c>
      <c r="I2169" s="8" t="n">
        <v>8220</v>
      </c>
      <c r="J2169" s="8" t="n">
        <v>8410</v>
      </c>
      <c r="K2169" s="8" t="n">
        <v>8200</v>
      </c>
      <c r="L2169" s="8" t="n">
        <v>533482</v>
      </c>
      <c r="M2169" s="8" t="n">
        <v>604216</v>
      </c>
      <c r="N2169" t="inlineStr">
        <is>
          <t>是</t>
        </is>
      </c>
    </row>
    <row r="2170">
      <c r="A2170" s="7" t="inlineStr">
        <is>
          <t>2016-06-16</t>
        </is>
      </c>
      <c r="B2170" s="8" t="n">
        <v>6919</v>
      </c>
      <c r="C2170" s="8" t="n">
        <v>6805</v>
      </c>
      <c r="D2170" s="8" t="n">
        <v>6939</v>
      </c>
      <c r="E2170" s="8" t="n">
        <v>6780</v>
      </c>
      <c r="F2170" s="8" t="n">
        <v>446652</v>
      </c>
      <c r="G2170" s="8" t="n">
        <v>607560</v>
      </c>
      <c r="H2170" s="8" t="n">
        <v>8470</v>
      </c>
      <c r="I2170" s="8" t="n">
        <v>8360</v>
      </c>
      <c r="J2170" s="8" t="n">
        <v>8510</v>
      </c>
      <c r="K2170" s="8" t="n">
        <v>8355</v>
      </c>
      <c r="L2170" s="8" t="n">
        <v>564062</v>
      </c>
      <c r="M2170" s="8" t="n">
        <v>599102</v>
      </c>
      <c r="N2170" t="inlineStr">
        <is>
          <t>是</t>
        </is>
      </c>
    </row>
    <row r="2171">
      <c r="A2171" s="7" t="inlineStr">
        <is>
          <t>2016-06-17</t>
        </is>
      </c>
      <c r="B2171" s="8" t="n">
        <v>7065</v>
      </c>
      <c r="C2171" s="8" t="n">
        <v>6900</v>
      </c>
      <c r="D2171" s="8" t="n">
        <v>7080</v>
      </c>
      <c r="E2171" s="8" t="n">
        <v>6845</v>
      </c>
      <c r="F2171" s="8" t="n">
        <v>574906</v>
      </c>
      <c r="G2171" s="8" t="n">
        <v>647362</v>
      </c>
      <c r="H2171" s="8" t="n">
        <v>8650</v>
      </c>
      <c r="I2171" s="8" t="n">
        <v>8430</v>
      </c>
      <c r="J2171" s="8" t="n">
        <v>8675</v>
      </c>
      <c r="K2171" s="8" t="n">
        <v>8390</v>
      </c>
      <c r="L2171" s="8" t="n">
        <v>627492</v>
      </c>
      <c r="M2171" s="8" t="n">
        <v>633542</v>
      </c>
      <c r="N2171" t="inlineStr">
        <is>
          <t>是</t>
        </is>
      </c>
    </row>
    <row r="2172">
      <c r="A2172" s="7" t="inlineStr">
        <is>
          <t>2016-06-20</t>
        </is>
      </c>
      <c r="B2172" s="8" t="n">
        <v>7207</v>
      </c>
      <c r="C2172" s="8" t="n">
        <v>7138</v>
      </c>
      <c r="D2172" s="8" t="n">
        <v>7220</v>
      </c>
      <c r="E2172" s="8" t="n">
        <v>7088</v>
      </c>
      <c r="F2172" s="8" t="n">
        <v>464834</v>
      </c>
      <c r="G2172" s="8" t="n">
        <v>664602</v>
      </c>
      <c r="H2172" s="8" t="n">
        <v>8780</v>
      </c>
      <c r="I2172" s="8" t="n">
        <v>8690</v>
      </c>
      <c r="J2172" s="8" t="n">
        <v>8790</v>
      </c>
      <c r="K2172" s="8" t="n">
        <v>8635</v>
      </c>
      <c r="L2172" s="8" t="n">
        <v>535094</v>
      </c>
      <c r="M2172" s="8" t="n">
        <v>617888</v>
      </c>
      <c r="N2172" t="inlineStr">
        <is>
          <t>是</t>
        </is>
      </c>
    </row>
    <row r="2173">
      <c r="A2173" s="7" t="inlineStr">
        <is>
          <t>2016-06-21</t>
        </is>
      </c>
      <c r="B2173" s="8" t="n">
        <v>7290</v>
      </c>
      <c r="C2173" s="8" t="n">
        <v>7210</v>
      </c>
      <c r="D2173" s="8" t="n">
        <v>7334</v>
      </c>
      <c r="E2173" s="8" t="n">
        <v>7200</v>
      </c>
      <c r="F2173" s="8" t="n">
        <v>690500</v>
      </c>
      <c r="G2173" s="8" t="n">
        <v>682840</v>
      </c>
      <c r="H2173" s="8" t="n">
        <v>8755</v>
      </c>
      <c r="I2173" s="8" t="n">
        <v>8765</v>
      </c>
      <c r="J2173" s="8" t="n">
        <v>8850</v>
      </c>
      <c r="K2173" s="8" t="n">
        <v>8680</v>
      </c>
      <c r="L2173" s="8" t="n">
        <v>651458</v>
      </c>
      <c r="M2173" s="8" t="n">
        <v>585336</v>
      </c>
      <c r="N2173" t="inlineStr">
        <is>
          <t>是</t>
        </is>
      </c>
    </row>
    <row r="2174">
      <c r="A2174" s="7" t="inlineStr">
        <is>
          <t>2016-06-22</t>
        </is>
      </c>
      <c r="B2174" s="8" t="n">
        <v>7365</v>
      </c>
      <c r="C2174" s="8" t="n">
        <v>7323</v>
      </c>
      <c r="D2174" s="8" t="n">
        <v>7395</v>
      </c>
      <c r="E2174" s="8" t="n">
        <v>7240</v>
      </c>
      <c r="F2174" s="8" t="n">
        <v>495160</v>
      </c>
      <c r="G2174" s="8" t="n">
        <v>697784</v>
      </c>
      <c r="H2174" s="8" t="n">
        <v>8855</v>
      </c>
      <c r="I2174" s="8" t="n">
        <v>8780</v>
      </c>
      <c r="J2174" s="8" t="n">
        <v>8870</v>
      </c>
      <c r="K2174" s="8" t="n">
        <v>8705</v>
      </c>
      <c r="L2174" s="8" t="n">
        <v>537674</v>
      </c>
      <c r="M2174" s="8" t="n">
        <v>577684</v>
      </c>
      <c r="N2174" t="inlineStr">
        <is>
          <t>是</t>
        </is>
      </c>
    </row>
    <row r="2175">
      <c r="A2175" s="7" t="inlineStr">
        <is>
          <t>2016-06-23</t>
        </is>
      </c>
      <c r="B2175" s="8" t="n">
        <v>7355</v>
      </c>
      <c r="C2175" s="8" t="n">
        <v>7361</v>
      </c>
      <c r="D2175" s="8" t="n">
        <v>7380</v>
      </c>
      <c r="E2175" s="8" t="n">
        <v>7280</v>
      </c>
      <c r="F2175" s="8" t="n">
        <v>450752</v>
      </c>
      <c r="G2175" s="8" t="n">
        <v>684150</v>
      </c>
      <c r="H2175" s="8" t="n">
        <v>8835</v>
      </c>
      <c r="I2175" s="8" t="n">
        <v>8850</v>
      </c>
      <c r="J2175" s="8" t="n">
        <v>8885</v>
      </c>
      <c r="K2175" s="8" t="n">
        <v>8780</v>
      </c>
      <c r="L2175" s="8" t="n">
        <v>464488</v>
      </c>
      <c r="M2175" s="8" t="n">
        <v>577422</v>
      </c>
      <c r="N2175" t="inlineStr">
        <is>
          <t>是</t>
        </is>
      </c>
    </row>
    <row r="2176">
      <c r="A2176" s="7" t="inlineStr">
        <is>
          <t>2016-06-24</t>
        </is>
      </c>
      <c r="B2176" s="8" t="n">
        <v>7462</v>
      </c>
      <c r="C2176" s="8" t="n">
        <v>7340</v>
      </c>
      <c r="D2176" s="8" t="n">
        <v>7497</v>
      </c>
      <c r="E2176" s="8" t="n">
        <v>7288</v>
      </c>
      <c r="F2176" s="8" t="n">
        <v>817218</v>
      </c>
      <c r="G2176" s="8" t="n">
        <v>749774</v>
      </c>
      <c r="H2176" s="8" t="n">
        <v>8875</v>
      </c>
      <c r="I2176" s="8" t="n">
        <v>8800</v>
      </c>
      <c r="J2176" s="8" t="n">
        <v>8950</v>
      </c>
      <c r="K2176" s="8" t="n">
        <v>8780</v>
      </c>
      <c r="L2176" s="8" t="n">
        <v>785462</v>
      </c>
      <c r="M2176" s="8" t="n">
        <v>598814</v>
      </c>
      <c r="N2176" t="inlineStr">
        <is>
          <t>是</t>
        </is>
      </c>
    </row>
    <row r="2177">
      <c r="A2177" s="7" t="inlineStr">
        <is>
          <t>2016-06-27</t>
        </is>
      </c>
      <c r="B2177" s="8" t="n">
        <v>7784</v>
      </c>
      <c r="C2177" s="8" t="n">
        <v>7466</v>
      </c>
      <c r="D2177" s="8" t="n">
        <v>7784</v>
      </c>
      <c r="E2177" s="8" t="n">
        <v>7464</v>
      </c>
      <c r="F2177" s="8" t="n">
        <v>822222</v>
      </c>
      <c r="G2177" s="8" t="n">
        <v>779948</v>
      </c>
      <c r="H2177" s="8" t="n">
        <v>9080</v>
      </c>
      <c r="I2177" s="8" t="n">
        <v>8870</v>
      </c>
      <c r="J2177" s="8" t="n">
        <v>9155</v>
      </c>
      <c r="K2177" s="8" t="n">
        <v>8860</v>
      </c>
      <c r="L2177" s="8" t="n">
        <v>943940</v>
      </c>
      <c r="M2177" s="8" t="n">
        <v>560204</v>
      </c>
      <c r="N2177" t="inlineStr">
        <is>
          <t>是</t>
        </is>
      </c>
    </row>
    <row r="2178">
      <c r="A2178" s="7" t="inlineStr">
        <is>
          <t>2016-06-28</t>
        </is>
      </c>
      <c r="B2178" s="8" t="n">
        <v>8067</v>
      </c>
      <c r="C2178" s="8" t="n">
        <v>7800</v>
      </c>
      <c r="D2178" s="8" t="n">
        <v>8080</v>
      </c>
      <c r="E2178" s="8" t="n">
        <v>7742</v>
      </c>
      <c r="F2178" s="8" t="n">
        <v>903746</v>
      </c>
      <c r="G2178" s="8" t="n">
        <v>762800</v>
      </c>
      <c r="H2178" s="8" t="n">
        <v>9215</v>
      </c>
      <c r="I2178" s="8" t="n">
        <v>9055</v>
      </c>
      <c r="J2178" s="8" t="n">
        <v>9280</v>
      </c>
      <c r="K2178" s="8" t="n">
        <v>8980</v>
      </c>
      <c r="L2178" s="8" t="n">
        <v>666338</v>
      </c>
      <c r="M2178" s="8" t="n">
        <v>543558</v>
      </c>
      <c r="N2178" t="inlineStr">
        <is>
          <t>是</t>
        </is>
      </c>
    </row>
    <row r="2179">
      <c r="A2179" s="7" t="inlineStr">
        <is>
          <t>2016-06-29</t>
        </is>
      </c>
      <c r="B2179" s="8" t="n">
        <v>7929</v>
      </c>
      <c r="C2179" s="8" t="n">
        <v>8080</v>
      </c>
      <c r="D2179" s="8" t="n">
        <v>8080</v>
      </c>
      <c r="E2179" s="8" t="n">
        <v>7790</v>
      </c>
      <c r="F2179" s="8" t="n">
        <v>1009648</v>
      </c>
      <c r="G2179" s="8" t="n">
        <v>725744</v>
      </c>
      <c r="H2179" s="8" t="n">
        <v>8905</v>
      </c>
      <c r="I2179" s="8" t="n">
        <v>9215</v>
      </c>
      <c r="J2179" s="8" t="n">
        <v>9230</v>
      </c>
      <c r="K2179" s="8" t="n">
        <v>8895</v>
      </c>
      <c r="L2179" s="8" t="n">
        <v>853690</v>
      </c>
      <c r="M2179" s="8" t="n">
        <v>508178</v>
      </c>
      <c r="N2179" t="inlineStr">
        <is>
          <t>是</t>
        </is>
      </c>
    </row>
    <row r="2180">
      <c r="A2180" s="7" t="inlineStr">
        <is>
          <t>2016-06-30</t>
        </is>
      </c>
      <c r="B2180" s="8" t="n">
        <v>8052</v>
      </c>
      <c r="C2180" s="8" t="n">
        <v>7930</v>
      </c>
      <c r="D2180" s="8" t="n">
        <v>8217</v>
      </c>
      <c r="E2180" s="8" t="n">
        <v>7919</v>
      </c>
      <c r="F2180" s="8" t="n">
        <v>1012602</v>
      </c>
      <c r="G2180" s="8" t="n">
        <v>733656</v>
      </c>
      <c r="H2180" s="8" t="n">
        <v>8915</v>
      </c>
      <c r="I2180" s="8" t="n">
        <v>8930</v>
      </c>
      <c r="J2180" s="8" t="n">
        <v>9260</v>
      </c>
      <c r="K2180" s="8" t="n">
        <v>8890</v>
      </c>
      <c r="L2180" s="8" t="n">
        <v>1159030</v>
      </c>
      <c r="M2180" s="8" t="n">
        <v>483806</v>
      </c>
      <c r="N2180" t="inlineStr">
        <is>
          <t>是</t>
        </is>
      </c>
    </row>
    <row r="2181">
      <c r="A2181" s="7" t="inlineStr">
        <is>
          <t>2016-07-01</t>
        </is>
      </c>
      <c r="B2181" s="8" t="n">
        <v>8007</v>
      </c>
      <c r="C2181" s="8" t="n">
        <v>8075</v>
      </c>
      <c r="D2181" s="8" t="n">
        <v>8076</v>
      </c>
      <c r="E2181" s="8" t="n">
        <v>7880</v>
      </c>
      <c r="F2181" s="8" t="n">
        <v>634410</v>
      </c>
      <c r="G2181" s="8" t="n">
        <v>698462</v>
      </c>
      <c r="H2181" s="8" t="n">
        <v>9055</v>
      </c>
      <c r="I2181" s="8" t="n">
        <v>8905</v>
      </c>
      <c r="J2181" s="8" t="n">
        <v>9115</v>
      </c>
      <c r="K2181" s="8" t="n">
        <v>8810</v>
      </c>
      <c r="L2181" s="8" t="n">
        <v>776998</v>
      </c>
      <c r="M2181" s="8" t="n">
        <v>490056</v>
      </c>
      <c r="N2181" t="inlineStr">
        <is>
          <t>是</t>
        </is>
      </c>
    </row>
    <row r="2182">
      <c r="A2182" s="7" t="inlineStr">
        <is>
          <t>2016-07-04</t>
        </is>
      </c>
      <c r="B2182" s="8" t="n">
        <v>8379</v>
      </c>
      <c r="C2182" s="8" t="n">
        <v>8180</v>
      </c>
      <c r="D2182" s="8" t="n">
        <v>8379</v>
      </c>
      <c r="E2182" s="8" t="n">
        <v>8070</v>
      </c>
      <c r="F2182" s="8" t="n">
        <v>625036</v>
      </c>
      <c r="G2182" s="8" t="n">
        <v>711710</v>
      </c>
      <c r="H2182" s="8" t="n">
        <v>9435</v>
      </c>
      <c r="I2182" s="8" t="n">
        <v>9175</v>
      </c>
      <c r="J2182" s="8" t="n">
        <v>9435</v>
      </c>
      <c r="K2182" s="8" t="n">
        <v>9120</v>
      </c>
      <c r="L2182" s="8" t="n">
        <v>723662</v>
      </c>
      <c r="M2182" s="8" t="n">
        <v>464940</v>
      </c>
      <c r="N2182" t="inlineStr">
        <is>
          <t>是</t>
        </is>
      </c>
    </row>
    <row r="2183">
      <c r="A2183" s="7" t="inlineStr">
        <is>
          <t>2016-07-05</t>
        </is>
      </c>
      <c r="B2183" s="8" t="n">
        <v>8365</v>
      </c>
      <c r="C2183" s="8" t="n">
        <v>8308</v>
      </c>
      <c r="D2183" s="8" t="n">
        <v>8400</v>
      </c>
      <c r="E2183" s="8" t="n">
        <v>8108</v>
      </c>
      <c r="F2183" s="8" t="n">
        <v>911010</v>
      </c>
      <c r="G2183" s="8" t="n">
        <v>706660</v>
      </c>
      <c r="H2183" s="8" t="n">
        <v>9515</v>
      </c>
      <c r="I2183" s="8" t="n">
        <v>9330</v>
      </c>
      <c r="J2183" s="8" t="n">
        <v>9565</v>
      </c>
      <c r="K2183" s="8" t="n">
        <v>9150</v>
      </c>
      <c r="L2183" s="8" t="n">
        <v>1238200</v>
      </c>
      <c r="M2183" s="8" t="n">
        <v>486524</v>
      </c>
      <c r="N2183" t="inlineStr">
        <is>
          <t>是</t>
        </is>
      </c>
    </row>
    <row r="2184">
      <c r="A2184" s="7" t="inlineStr">
        <is>
          <t>2016-07-06</t>
        </is>
      </c>
      <c r="B2184" s="8" t="n">
        <v>8325</v>
      </c>
      <c r="C2184" s="8" t="n">
        <v>8126</v>
      </c>
      <c r="D2184" s="8" t="n">
        <v>8349</v>
      </c>
      <c r="E2184" s="8" t="n">
        <v>8038</v>
      </c>
      <c r="F2184" s="8" t="n">
        <v>1126588</v>
      </c>
      <c r="G2184" s="8" t="n">
        <v>812448</v>
      </c>
      <c r="H2184" s="8" t="n">
        <v>9405</v>
      </c>
      <c r="I2184" s="8" t="n">
        <v>9250</v>
      </c>
      <c r="J2184" s="8" t="n">
        <v>9475</v>
      </c>
      <c r="K2184" s="8" t="n">
        <v>9205</v>
      </c>
      <c r="L2184" s="8" t="n">
        <v>1161354</v>
      </c>
      <c r="M2184" s="8" t="n">
        <v>436856</v>
      </c>
      <c r="N2184" t="inlineStr">
        <is>
          <t>是</t>
        </is>
      </c>
    </row>
    <row r="2185">
      <c r="A2185" s="7" t="inlineStr">
        <is>
          <t>2016-07-07</t>
        </is>
      </c>
      <c r="B2185" s="8" t="n">
        <v>8298</v>
      </c>
      <c r="C2185" s="8" t="n">
        <v>8420</v>
      </c>
      <c r="D2185" s="8" t="n">
        <v>8490</v>
      </c>
      <c r="E2185" s="8" t="n">
        <v>8252</v>
      </c>
      <c r="F2185" s="8" t="n">
        <v>823050</v>
      </c>
      <c r="G2185" s="8" t="n">
        <v>774282</v>
      </c>
      <c r="H2185" s="8" t="n">
        <v>9400</v>
      </c>
      <c r="I2185" s="8" t="n">
        <v>9450</v>
      </c>
      <c r="J2185" s="8" t="n">
        <v>9540</v>
      </c>
      <c r="K2185" s="8" t="n">
        <v>9345</v>
      </c>
      <c r="L2185" s="8" t="n">
        <v>739716</v>
      </c>
      <c r="M2185" s="8" t="n">
        <v>407158</v>
      </c>
      <c r="N2185" t="inlineStr">
        <is>
          <t>是</t>
        </is>
      </c>
    </row>
    <row r="2186">
      <c r="A2186" s="7" t="inlineStr">
        <is>
          <t>2016-07-08</t>
        </is>
      </c>
      <c r="B2186" s="8" t="n">
        <v>8097</v>
      </c>
      <c r="C2186" s="8" t="n">
        <v>8170</v>
      </c>
      <c r="D2186" s="8" t="n">
        <v>8200</v>
      </c>
      <c r="E2186" s="8" t="n">
        <v>7964</v>
      </c>
      <c r="F2186" s="8" t="n">
        <v>1008210</v>
      </c>
      <c r="G2186" s="8" t="n">
        <v>793920</v>
      </c>
      <c r="H2186" s="8" t="n">
        <v>9010</v>
      </c>
      <c r="I2186" s="8" t="n">
        <v>9230</v>
      </c>
      <c r="J2186" s="8" t="n">
        <v>9240</v>
      </c>
      <c r="K2186" s="8" t="n">
        <v>8995</v>
      </c>
      <c r="L2186" s="8" t="n">
        <v>869502</v>
      </c>
      <c r="M2186" s="8" t="n">
        <v>377226</v>
      </c>
      <c r="N2186" t="inlineStr">
        <is>
          <t>是</t>
        </is>
      </c>
    </row>
    <row r="2187">
      <c r="A2187" s="7" t="inlineStr">
        <is>
          <t>2016-07-11</t>
        </is>
      </c>
      <c r="B2187" s="8" t="n">
        <v>8094</v>
      </c>
      <c r="C2187" s="8" t="n">
        <v>8097</v>
      </c>
      <c r="D2187" s="8" t="n">
        <v>8158</v>
      </c>
      <c r="E2187" s="8" t="n">
        <v>8012</v>
      </c>
      <c r="F2187" s="8" t="n">
        <v>550186</v>
      </c>
      <c r="G2187" s="8" t="n">
        <v>766906</v>
      </c>
      <c r="H2187" s="8" t="n">
        <v>9095</v>
      </c>
      <c r="I2187" s="8" t="n">
        <v>9035</v>
      </c>
      <c r="J2187" s="8" t="n">
        <v>9140</v>
      </c>
      <c r="K2187" s="8" t="n">
        <v>8950</v>
      </c>
      <c r="L2187" s="8" t="n">
        <v>527926</v>
      </c>
      <c r="M2187" s="8" t="n">
        <v>378146</v>
      </c>
      <c r="N2187" t="inlineStr">
        <is>
          <t>是</t>
        </is>
      </c>
    </row>
    <row r="2188">
      <c r="A2188" s="7" t="inlineStr">
        <is>
          <t>2016-07-12</t>
        </is>
      </c>
      <c r="B2188" s="8" t="n">
        <v>8300</v>
      </c>
      <c r="C2188" s="8" t="n">
        <v>8080</v>
      </c>
      <c r="D2188" s="8" t="n">
        <v>8320</v>
      </c>
      <c r="E2188" s="8" t="n">
        <v>8043</v>
      </c>
      <c r="F2188" s="8" t="n">
        <v>699860</v>
      </c>
      <c r="G2188" s="8" t="n">
        <v>792914</v>
      </c>
      <c r="H2188" s="8" t="n">
        <v>9315</v>
      </c>
      <c r="I2188" s="8" t="n">
        <v>9080</v>
      </c>
      <c r="J2188" s="8" t="n">
        <v>9345</v>
      </c>
      <c r="K2188" s="8" t="n">
        <v>9060</v>
      </c>
      <c r="L2188" s="8" t="n">
        <v>589034</v>
      </c>
      <c r="M2188" s="8" t="n">
        <v>379704</v>
      </c>
      <c r="N2188" t="inlineStr">
        <is>
          <t>是</t>
        </is>
      </c>
    </row>
    <row r="2189">
      <c r="A2189" s="7" t="inlineStr">
        <is>
          <t>2016-07-13</t>
        </is>
      </c>
      <c r="B2189" s="8" t="n">
        <v>8141</v>
      </c>
      <c r="C2189" s="8" t="n">
        <v>8370</v>
      </c>
      <c r="D2189" s="8" t="n">
        <v>8395</v>
      </c>
      <c r="E2189" s="8" t="n">
        <v>8110</v>
      </c>
      <c r="F2189" s="8" t="n">
        <v>774878</v>
      </c>
      <c r="G2189" s="8" t="n">
        <v>766342</v>
      </c>
      <c r="H2189" s="8" t="n">
        <v>9115</v>
      </c>
      <c r="I2189" s="8" t="n">
        <v>9380</v>
      </c>
      <c r="J2189" s="8" t="n">
        <v>9420</v>
      </c>
      <c r="K2189" s="8" t="n">
        <v>9090</v>
      </c>
      <c r="L2189" s="8" t="n">
        <v>740420</v>
      </c>
      <c r="M2189" s="8" t="n">
        <v>376892</v>
      </c>
      <c r="N2189" t="inlineStr">
        <is>
          <t>是</t>
        </is>
      </c>
    </row>
    <row r="2190">
      <c r="A2190" s="7" t="inlineStr">
        <is>
          <t>2016-07-14</t>
        </is>
      </c>
      <c r="B2190" s="8" t="n">
        <v>8211</v>
      </c>
      <c r="C2190" s="8" t="n">
        <v>8110</v>
      </c>
      <c r="D2190" s="8" t="n">
        <v>8277</v>
      </c>
      <c r="E2190" s="8" t="n">
        <v>8040</v>
      </c>
      <c r="F2190" s="8" t="n">
        <v>700040</v>
      </c>
      <c r="G2190" s="8" t="n">
        <v>753658</v>
      </c>
      <c r="H2190" s="8" t="n">
        <v>9190</v>
      </c>
      <c r="I2190" s="8" t="n">
        <v>9075</v>
      </c>
      <c r="J2190" s="8" t="n">
        <v>9270</v>
      </c>
      <c r="K2190" s="8" t="n">
        <v>9020</v>
      </c>
      <c r="L2190" s="8" t="n">
        <v>758252</v>
      </c>
      <c r="M2190" s="8" t="n">
        <v>370236</v>
      </c>
      <c r="N2190" t="inlineStr">
        <is>
          <t>是</t>
        </is>
      </c>
    </row>
    <row r="2191">
      <c r="A2191" s="7" t="inlineStr">
        <is>
          <t>2016-07-15</t>
        </is>
      </c>
      <c r="B2191" s="8" t="n">
        <v>8195</v>
      </c>
      <c r="C2191" s="8" t="n">
        <v>8160</v>
      </c>
      <c r="D2191" s="8" t="n">
        <v>8239</v>
      </c>
      <c r="E2191" s="8" t="n">
        <v>8124</v>
      </c>
      <c r="F2191" s="8" t="n">
        <v>515518</v>
      </c>
      <c r="G2191" s="8" t="n">
        <v>744410</v>
      </c>
      <c r="H2191" s="8" t="n">
        <v>9130</v>
      </c>
      <c r="I2191" s="8" t="n">
        <v>9160</v>
      </c>
      <c r="J2191" s="8" t="n">
        <v>9190</v>
      </c>
      <c r="K2191" s="8" t="n">
        <v>9010</v>
      </c>
      <c r="L2191" s="8" t="n">
        <v>567424</v>
      </c>
      <c r="M2191" s="8" t="n">
        <v>355980</v>
      </c>
      <c r="N2191" t="inlineStr">
        <is>
          <t>是</t>
        </is>
      </c>
    </row>
    <row r="2192">
      <c r="A2192" s="7" t="inlineStr">
        <is>
          <t>2016-07-18</t>
        </is>
      </c>
      <c r="B2192" s="8" t="n">
        <v>8068</v>
      </c>
      <c r="C2192" s="8" t="n">
        <v>8128</v>
      </c>
      <c r="D2192" s="8" t="n">
        <v>8230</v>
      </c>
      <c r="E2192" s="8" t="n">
        <v>8016</v>
      </c>
      <c r="F2192" s="8" t="n">
        <v>544440</v>
      </c>
      <c r="G2192" s="8" t="n">
        <v>725096</v>
      </c>
      <c r="H2192" s="8" t="n">
        <v>9010</v>
      </c>
      <c r="I2192" s="8" t="n">
        <v>9070</v>
      </c>
      <c r="J2192" s="8" t="n">
        <v>9230</v>
      </c>
      <c r="K2192" s="8" t="n">
        <v>8920</v>
      </c>
      <c r="L2192" s="8" t="n">
        <v>572708</v>
      </c>
      <c r="M2192" s="8" t="n">
        <v>362592</v>
      </c>
      <c r="N2192" t="inlineStr">
        <is>
          <t>是</t>
        </is>
      </c>
    </row>
    <row r="2193">
      <c r="A2193" s="7" t="inlineStr">
        <is>
          <t>2016-07-19</t>
        </is>
      </c>
      <c r="B2193" s="8" t="n">
        <v>8051</v>
      </c>
      <c r="C2193" s="8" t="n">
        <v>8080</v>
      </c>
      <c r="D2193" s="8" t="n">
        <v>8098</v>
      </c>
      <c r="E2193" s="8" t="n">
        <v>7937</v>
      </c>
      <c r="F2193" s="8" t="n">
        <v>720592</v>
      </c>
      <c r="G2193" s="8" t="n">
        <v>802210</v>
      </c>
      <c r="H2193" s="8" t="n">
        <v>8845</v>
      </c>
      <c r="I2193" s="8" t="n">
        <v>9030</v>
      </c>
      <c r="J2193" s="8" t="n">
        <v>9045</v>
      </c>
      <c r="K2193" s="8" t="n">
        <v>8765</v>
      </c>
      <c r="L2193" s="8" t="n">
        <v>622486</v>
      </c>
      <c r="M2193" s="8" t="n">
        <v>333624</v>
      </c>
      <c r="N2193" t="inlineStr">
        <is>
          <t>是</t>
        </is>
      </c>
    </row>
    <row r="2194">
      <c r="A2194" s="7" t="inlineStr">
        <is>
          <t>2016-07-20</t>
        </is>
      </c>
      <c r="B2194" s="8" t="n">
        <v>8051</v>
      </c>
      <c r="C2194" s="8" t="n">
        <v>8050</v>
      </c>
      <c r="D2194" s="8" t="n">
        <v>8332</v>
      </c>
      <c r="E2194" s="8" t="n">
        <v>7978</v>
      </c>
      <c r="F2194" s="8" t="n">
        <v>589886</v>
      </c>
      <c r="G2194" s="8" t="n">
        <v>774552</v>
      </c>
      <c r="H2194" s="8" t="n">
        <v>8875</v>
      </c>
      <c r="I2194" s="8" t="n">
        <v>8850</v>
      </c>
      <c r="J2194" s="8" t="n">
        <v>8910</v>
      </c>
      <c r="K2194" s="8" t="n">
        <v>8770</v>
      </c>
      <c r="L2194" s="8" t="n">
        <v>425988</v>
      </c>
      <c r="M2194" s="8" t="n">
        <v>307066</v>
      </c>
      <c r="N2194" t="inlineStr">
        <is>
          <t>是</t>
        </is>
      </c>
    </row>
    <row r="2195">
      <c r="A2195" s="7" t="inlineStr">
        <is>
          <t>2016-07-21</t>
        </is>
      </c>
      <c r="B2195" s="8" t="n">
        <v>8192</v>
      </c>
      <c r="C2195" s="8" t="n">
        <v>8080</v>
      </c>
      <c r="D2195" s="8" t="n">
        <v>8196</v>
      </c>
      <c r="E2195" s="8" t="n">
        <v>8010</v>
      </c>
      <c r="F2195" s="8" t="n">
        <v>531386</v>
      </c>
      <c r="G2195" s="8" t="n">
        <v>770622</v>
      </c>
      <c r="H2195" s="8" t="n">
        <v>9020</v>
      </c>
      <c r="I2195" s="8" t="n">
        <v>8915</v>
      </c>
      <c r="J2195" s="8" t="n">
        <v>9050</v>
      </c>
      <c r="K2195" s="8" t="n">
        <v>8870</v>
      </c>
      <c r="L2195" s="8" t="n">
        <v>428408</v>
      </c>
      <c r="M2195" s="8" t="n">
        <v>306932</v>
      </c>
      <c r="N2195" t="inlineStr">
        <is>
          <t>是</t>
        </is>
      </c>
    </row>
    <row r="2196">
      <c r="A2196" s="7" t="inlineStr">
        <is>
          <t>2016-07-22</t>
        </is>
      </c>
      <c r="B2196" s="8" t="n">
        <v>8168</v>
      </c>
      <c r="C2196" s="8" t="n">
        <v>8150</v>
      </c>
      <c r="D2196" s="8" t="n">
        <v>8218</v>
      </c>
      <c r="E2196" s="8" t="n">
        <v>8120</v>
      </c>
      <c r="F2196" s="8" t="n">
        <v>431420</v>
      </c>
      <c r="G2196" s="8" t="n">
        <v>750010</v>
      </c>
      <c r="H2196" s="8" t="n">
        <v>9020</v>
      </c>
      <c r="I2196" s="8" t="n">
        <v>8975</v>
      </c>
      <c r="J2196" s="8" t="n">
        <v>9105</v>
      </c>
      <c r="K2196" s="8" t="n">
        <v>8955</v>
      </c>
      <c r="L2196" s="8" t="n">
        <v>422630</v>
      </c>
      <c r="M2196" s="8" t="n">
        <v>279254</v>
      </c>
      <c r="N2196" t="inlineStr">
        <is>
          <t>是</t>
        </is>
      </c>
    </row>
    <row r="2197">
      <c r="A2197" s="7" t="inlineStr">
        <is>
          <t>2016-07-25</t>
        </is>
      </c>
      <c r="B2197" s="8" t="n">
        <v>8057</v>
      </c>
      <c r="C2197" s="8" t="n">
        <v>8148</v>
      </c>
      <c r="D2197" s="8" t="n">
        <v>8148</v>
      </c>
      <c r="E2197" s="8" t="n">
        <v>8010</v>
      </c>
      <c r="F2197" s="8" t="n">
        <v>438678</v>
      </c>
      <c r="G2197" s="8" t="n">
        <v>743536</v>
      </c>
      <c r="H2197" s="8" t="n">
        <v>8575</v>
      </c>
      <c r="I2197" s="8" t="n">
        <v>8680</v>
      </c>
      <c r="J2197" s="8" t="n">
        <v>8710</v>
      </c>
      <c r="K2197" s="8" t="n">
        <v>8530</v>
      </c>
      <c r="L2197" s="8" t="n">
        <v>153042</v>
      </c>
      <c r="M2197" s="8" t="n">
        <v>308904</v>
      </c>
      <c r="N2197" t="inlineStr">
        <is>
          <t>是</t>
        </is>
      </c>
    </row>
    <row r="2198">
      <c r="A2198" s="7" t="inlineStr">
        <is>
          <t>2016-07-26</t>
        </is>
      </c>
      <c r="B2198" s="8" t="n">
        <v>8018</v>
      </c>
      <c r="C2198" s="8" t="n">
        <v>8011</v>
      </c>
      <c r="D2198" s="8" t="n">
        <v>8051</v>
      </c>
      <c r="E2198" s="8" t="n">
        <v>7958</v>
      </c>
      <c r="F2198" s="8" t="n">
        <v>500512</v>
      </c>
      <c r="G2198" s="8" t="n">
        <v>762972</v>
      </c>
      <c r="H2198" s="8" t="n">
        <v>8415</v>
      </c>
      <c r="I2198" s="8" t="n">
        <v>8525</v>
      </c>
      <c r="J2198" s="8" t="n">
        <v>8530</v>
      </c>
      <c r="K2198" s="8" t="n">
        <v>8345</v>
      </c>
      <c r="L2198" s="8" t="n">
        <v>272740</v>
      </c>
      <c r="M2198" s="8" t="n">
        <v>349528</v>
      </c>
      <c r="N2198" t="inlineStr">
        <is>
          <t>是</t>
        </is>
      </c>
    </row>
    <row r="2199">
      <c r="A2199" s="7" t="inlineStr">
        <is>
          <t>2016-07-27</t>
        </is>
      </c>
      <c r="B2199" s="8" t="n">
        <v>8033</v>
      </c>
      <c r="C2199" s="8" t="n">
        <v>8055</v>
      </c>
      <c r="D2199" s="8" t="n">
        <v>8122</v>
      </c>
      <c r="E2199" s="8" t="n">
        <v>7978</v>
      </c>
      <c r="F2199" s="8" t="n">
        <v>457166</v>
      </c>
      <c r="G2199" s="8" t="n">
        <v>734832</v>
      </c>
      <c r="H2199" s="8" t="n">
        <v>8425</v>
      </c>
      <c r="I2199" s="8" t="n">
        <v>8460</v>
      </c>
      <c r="J2199" s="8" t="n">
        <v>8500</v>
      </c>
      <c r="K2199" s="8" t="n">
        <v>8370</v>
      </c>
      <c r="L2199" s="8" t="n">
        <v>180796</v>
      </c>
      <c r="M2199" s="8" t="n">
        <v>346588</v>
      </c>
      <c r="N2199" t="inlineStr">
        <is>
          <t>是</t>
        </is>
      </c>
    </row>
    <row r="2200">
      <c r="A2200" s="7" t="inlineStr">
        <is>
          <t>2016-07-28</t>
        </is>
      </c>
      <c r="B2200" s="8" t="n">
        <v>8328</v>
      </c>
      <c r="C2200" s="8" t="n">
        <v>7999</v>
      </c>
      <c r="D2200" s="8" t="n">
        <v>8340</v>
      </c>
      <c r="E2200" s="8" t="n">
        <v>7990</v>
      </c>
      <c r="F2200" s="8" t="n">
        <v>740978</v>
      </c>
      <c r="G2200" s="8" t="n">
        <v>711256</v>
      </c>
      <c r="H2200" s="8" t="n">
        <v>8805</v>
      </c>
      <c r="I2200" s="8" t="n">
        <v>8410</v>
      </c>
      <c r="J2200" s="8" t="n">
        <v>8810</v>
      </c>
      <c r="K2200" s="8" t="n">
        <v>8400</v>
      </c>
      <c r="L2200" s="8" t="n">
        <v>379346</v>
      </c>
      <c r="M2200" s="8" t="n">
        <v>339272</v>
      </c>
      <c r="N2200" t="inlineStr">
        <is>
          <t>是</t>
        </is>
      </c>
    </row>
    <row r="2201">
      <c r="A2201" s="7" t="inlineStr">
        <is>
          <t>2016-07-29</t>
        </is>
      </c>
      <c r="B2201" s="8" t="n">
        <v>8206</v>
      </c>
      <c r="C2201" s="8" t="n">
        <v>8308</v>
      </c>
      <c r="D2201" s="8" t="n">
        <v>8323</v>
      </c>
      <c r="E2201" s="8" t="n">
        <v>8169</v>
      </c>
      <c r="F2201" s="8" t="n">
        <v>368926</v>
      </c>
      <c r="G2201" s="8" t="n">
        <v>647698</v>
      </c>
      <c r="H2201" s="8" t="n">
        <v>8750</v>
      </c>
      <c r="I2201" s="8" t="n">
        <v>8795</v>
      </c>
      <c r="J2201" s="8" t="n">
        <v>8810</v>
      </c>
      <c r="K2201" s="8" t="n">
        <v>8680</v>
      </c>
      <c r="L2201" s="8" t="n">
        <v>254068</v>
      </c>
      <c r="M2201" s="8" t="n">
        <v>358070</v>
      </c>
      <c r="N2201" t="inlineStr">
        <is>
          <t>是</t>
        </is>
      </c>
    </row>
    <row r="2202">
      <c r="A2202" s="7" t="inlineStr">
        <is>
          <t>2016-08-01</t>
        </is>
      </c>
      <c r="B2202" s="8" t="n">
        <v>8293</v>
      </c>
      <c r="C2202" s="8" t="n">
        <v>8266</v>
      </c>
      <c r="D2202" s="8" t="n">
        <v>8390</v>
      </c>
      <c r="E2202" s="8" t="n">
        <v>8264</v>
      </c>
      <c r="F2202" s="8" t="n">
        <v>374038</v>
      </c>
      <c r="G2202" s="8" t="n">
        <v>627270</v>
      </c>
      <c r="H2202" s="8" t="n">
        <v>9060</v>
      </c>
      <c r="I2202" s="8" t="n">
        <v>8850</v>
      </c>
      <c r="J2202" s="8" t="n">
        <v>9115</v>
      </c>
      <c r="K2202" s="8" t="n">
        <v>8825</v>
      </c>
      <c r="L2202" s="8" t="n">
        <v>405212</v>
      </c>
      <c r="M2202" s="8" t="n">
        <v>421180</v>
      </c>
      <c r="N2202" t="inlineStr">
        <is>
          <t>是</t>
        </is>
      </c>
    </row>
    <row r="2203">
      <c r="A2203" s="7" t="inlineStr">
        <is>
          <t>2016-08-02</t>
        </is>
      </c>
      <c r="B2203" s="8" t="n">
        <v>8315</v>
      </c>
      <c r="C2203" s="8" t="n">
        <v>8230</v>
      </c>
      <c r="D2203" s="8" t="n">
        <v>8377</v>
      </c>
      <c r="E2203" s="8" t="n">
        <v>8200</v>
      </c>
      <c r="F2203" s="8" t="n">
        <v>360302</v>
      </c>
      <c r="G2203" s="8" t="n">
        <v>620956</v>
      </c>
      <c r="H2203" s="8" t="n">
        <v>8885</v>
      </c>
      <c r="I2203" s="8" t="n">
        <v>9005</v>
      </c>
      <c r="J2203" s="8" t="n">
        <v>9160</v>
      </c>
      <c r="K2203" s="8" t="n">
        <v>8845</v>
      </c>
      <c r="L2203" s="8" t="n">
        <v>630172</v>
      </c>
      <c r="M2203" s="8" t="n">
        <v>438302</v>
      </c>
      <c r="N2203" t="inlineStr">
        <is>
          <t>是</t>
        </is>
      </c>
    </row>
    <row r="2204">
      <c r="A2204" s="7" t="inlineStr">
        <is>
          <t>2016-08-03</t>
        </is>
      </c>
      <c r="B2204" s="8" t="n">
        <v>8311</v>
      </c>
      <c r="C2204" s="8" t="n">
        <v>8300</v>
      </c>
      <c r="D2204" s="8" t="n">
        <v>8330</v>
      </c>
      <c r="E2204" s="8" t="n">
        <v>8250</v>
      </c>
      <c r="F2204" s="8" t="n">
        <v>274086</v>
      </c>
      <c r="G2204" s="8" t="n">
        <v>613092</v>
      </c>
      <c r="H2204" s="8" t="n">
        <v>8975</v>
      </c>
      <c r="I2204" s="8" t="n">
        <v>8840</v>
      </c>
      <c r="J2204" s="8" t="n">
        <v>8985</v>
      </c>
      <c r="K2204" s="8" t="n">
        <v>8840</v>
      </c>
      <c r="L2204" s="8" t="n">
        <v>504810</v>
      </c>
      <c r="M2204" s="8" t="n">
        <v>461100</v>
      </c>
      <c r="N2204" t="inlineStr">
        <is>
          <t>是</t>
        </is>
      </c>
    </row>
    <row r="2205">
      <c r="A2205" s="7" t="inlineStr">
        <is>
          <t>2016-08-04</t>
        </is>
      </c>
      <c r="B2205" s="8" t="n">
        <v>8261</v>
      </c>
      <c r="C2205" s="8" t="n">
        <v>8330</v>
      </c>
      <c r="D2205" s="8" t="n">
        <v>8415</v>
      </c>
      <c r="E2205" s="8" t="n">
        <v>8202</v>
      </c>
      <c r="F2205" s="8" t="n">
        <v>321036</v>
      </c>
      <c r="G2205" s="8" t="n">
        <v>590404</v>
      </c>
      <c r="H2205" s="8" t="n">
        <v>8900</v>
      </c>
      <c r="I2205" s="8" t="n">
        <v>9030</v>
      </c>
      <c r="J2205" s="8" t="n">
        <v>9050</v>
      </c>
      <c r="K2205" s="8" t="n">
        <v>8800</v>
      </c>
      <c r="L2205" s="8" t="n">
        <v>454854</v>
      </c>
      <c r="M2205" s="8" t="n">
        <v>461302</v>
      </c>
      <c r="N2205" t="inlineStr">
        <is>
          <t>是</t>
        </is>
      </c>
    </row>
    <row r="2206">
      <c r="A2206" s="7" t="inlineStr">
        <is>
          <t>2016-08-05</t>
        </is>
      </c>
      <c r="B2206" s="8" t="n">
        <v>8320</v>
      </c>
      <c r="C2206" s="8" t="n">
        <v>8315</v>
      </c>
      <c r="D2206" s="8" t="n">
        <v>8335</v>
      </c>
      <c r="E2206" s="8" t="n">
        <v>8262</v>
      </c>
      <c r="F2206" s="8" t="n">
        <v>278924</v>
      </c>
      <c r="G2206" s="8" t="n">
        <v>552644</v>
      </c>
      <c r="H2206" s="8" t="n">
        <v>9085</v>
      </c>
      <c r="I2206" s="8" t="n">
        <v>8955</v>
      </c>
      <c r="J2206" s="8" t="n">
        <v>9120</v>
      </c>
      <c r="K2206" s="8" t="n">
        <v>8925</v>
      </c>
      <c r="L2206" s="8" t="n">
        <v>514182</v>
      </c>
      <c r="M2206" s="8" t="n">
        <v>487926</v>
      </c>
      <c r="N2206" t="inlineStr">
        <is>
          <t>是</t>
        </is>
      </c>
    </row>
    <row r="2207">
      <c r="A2207" s="7" t="inlineStr">
        <is>
          <t>2016-08-08</t>
        </is>
      </c>
      <c r="B2207" s="8" t="n">
        <v>8440</v>
      </c>
      <c r="C2207" s="8" t="n">
        <v>8320</v>
      </c>
      <c r="D2207" s="8" t="n">
        <v>8485</v>
      </c>
      <c r="E2207" s="8" t="n">
        <v>8320</v>
      </c>
      <c r="F2207" s="8" t="n">
        <v>362992</v>
      </c>
      <c r="G2207" s="8" t="n">
        <v>541586</v>
      </c>
      <c r="H2207" s="8" t="n">
        <v>9070</v>
      </c>
      <c r="I2207" s="8" t="n">
        <v>9100</v>
      </c>
      <c r="J2207" s="8" t="n">
        <v>9145</v>
      </c>
      <c r="K2207" s="8" t="n">
        <v>8920</v>
      </c>
      <c r="L2207" s="8" t="n">
        <v>519952</v>
      </c>
      <c r="M2207" s="8" t="n">
        <v>477310</v>
      </c>
      <c r="N2207" t="inlineStr">
        <is>
          <t>是</t>
        </is>
      </c>
    </row>
    <row r="2208">
      <c r="A2208" s="7" t="inlineStr">
        <is>
          <t>2016-08-09</t>
        </is>
      </c>
      <c r="B2208" s="8" t="n">
        <v>8492</v>
      </c>
      <c r="C2208" s="8" t="n">
        <v>8483</v>
      </c>
      <c r="D2208" s="8" t="n">
        <v>8516</v>
      </c>
      <c r="E2208" s="8" t="n">
        <v>8380</v>
      </c>
      <c r="F2208" s="8" t="n">
        <v>229418</v>
      </c>
      <c r="G2208" s="8" t="n">
        <v>517558</v>
      </c>
      <c r="H2208" s="8" t="n">
        <v>9050</v>
      </c>
      <c r="I2208" s="8" t="n">
        <v>9075</v>
      </c>
      <c r="J2208" s="8" t="n">
        <v>9180</v>
      </c>
      <c r="K2208" s="8" t="n">
        <v>8980</v>
      </c>
      <c r="L2208" s="8" t="n">
        <v>633762</v>
      </c>
      <c r="M2208" s="8" t="n">
        <v>485908</v>
      </c>
      <c r="N2208" t="inlineStr">
        <is>
          <t>是</t>
        </is>
      </c>
    </row>
    <row r="2209">
      <c r="A2209" s="7" t="inlineStr">
        <is>
          <t>2016-08-10</t>
        </is>
      </c>
      <c r="B2209" s="8" t="n">
        <v>8259</v>
      </c>
      <c r="C2209" s="8" t="n">
        <v>8480</v>
      </c>
      <c r="D2209" s="8" t="n">
        <v>8505</v>
      </c>
      <c r="E2209" s="8" t="n">
        <v>8169</v>
      </c>
      <c r="F2209" s="8" t="n">
        <v>390982</v>
      </c>
      <c r="G2209" s="8" t="n">
        <v>478100</v>
      </c>
      <c r="H2209" s="8" t="n">
        <v>8905</v>
      </c>
      <c r="I2209" s="8" t="n">
        <v>9040</v>
      </c>
      <c r="J2209" s="8" t="n">
        <v>9100</v>
      </c>
      <c r="K2209" s="8" t="n">
        <v>8825</v>
      </c>
      <c r="L2209" s="8" t="n">
        <v>614314</v>
      </c>
      <c r="M2209" s="8" t="n">
        <v>476808</v>
      </c>
      <c r="N2209" t="inlineStr">
        <is>
          <t>是</t>
        </is>
      </c>
    </row>
    <row r="2210">
      <c r="A2210" s="7" t="inlineStr">
        <is>
          <t>2016-08-11</t>
        </is>
      </c>
      <c r="B2210" s="8" t="n">
        <v>7365</v>
      </c>
      <c r="C2210" s="8" t="n">
        <v>7340</v>
      </c>
      <c r="D2210" s="8" t="n">
        <v>7430</v>
      </c>
      <c r="E2210" s="8" t="n">
        <v>7290</v>
      </c>
      <c r="F2210" s="8" t="n">
        <v>201300</v>
      </c>
      <c r="G2210" s="8" t="n">
        <v>475614</v>
      </c>
      <c r="H2210" s="8" t="n">
        <v>8890</v>
      </c>
      <c r="I2210" s="8" t="n">
        <v>8850</v>
      </c>
      <c r="J2210" s="8" t="n">
        <v>8960</v>
      </c>
      <c r="K2210" s="8" t="n">
        <v>8775</v>
      </c>
      <c r="L2210" s="8" t="n">
        <v>464312</v>
      </c>
      <c r="M2210" s="8" t="n">
        <v>468748</v>
      </c>
      <c r="N2210" t="inlineStr">
        <is>
          <t>是</t>
        </is>
      </c>
    </row>
    <row r="2211">
      <c r="A2211" s="7" t="inlineStr">
        <is>
          <t>2016-08-12</t>
        </is>
      </c>
      <c r="B2211" s="8" t="n">
        <v>7419</v>
      </c>
      <c r="C2211" s="8" t="n">
        <v>7430</v>
      </c>
      <c r="D2211" s="8" t="n">
        <v>7430</v>
      </c>
      <c r="E2211" s="8" t="n">
        <v>7361</v>
      </c>
      <c r="F2211" s="8" t="n">
        <v>137190</v>
      </c>
      <c r="G2211" s="8" t="n">
        <v>473492</v>
      </c>
      <c r="H2211" s="8" t="n">
        <v>8900</v>
      </c>
      <c r="I2211" s="8" t="n">
        <v>8960</v>
      </c>
      <c r="J2211" s="8" t="n">
        <v>8975</v>
      </c>
      <c r="K2211" s="8" t="n">
        <v>8860</v>
      </c>
      <c r="L2211" s="8" t="n">
        <v>299916</v>
      </c>
      <c r="M2211" s="8" t="n">
        <v>470194</v>
      </c>
      <c r="N2211" t="inlineStr">
        <is>
          <t>是</t>
        </is>
      </c>
    </row>
    <row r="2212">
      <c r="A2212" s="7" t="inlineStr">
        <is>
          <t>2016-08-15</t>
        </is>
      </c>
      <c r="B2212" s="8" t="n">
        <v>7511</v>
      </c>
      <c r="C2212" s="8" t="n">
        <v>7397</v>
      </c>
      <c r="D2212" s="8" t="n">
        <v>7530</v>
      </c>
      <c r="E2212" s="8" t="n">
        <v>7386</v>
      </c>
      <c r="F2212" s="8" t="n">
        <v>241778</v>
      </c>
      <c r="G2212" s="8" t="n">
        <v>503872</v>
      </c>
      <c r="H2212" s="8" t="n">
        <v>8970</v>
      </c>
      <c r="I2212" s="8" t="n">
        <v>8880</v>
      </c>
      <c r="J2212" s="8" t="n">
        <v>9075</v>
      </c>
      <c r="K2212" s="8" t="n">
        <v>8845</v>
      </c>
      <c r="L2212" s="8" t="n">
        <v>420172</v>
      </c>
      <c r="M2212" s="8" t="n">
        <v>480396</v>
      </c>
      <c r="N2212" t="inlineStr">
        <is>
          <t>是</t>
        </is>
      </c>
    </row>
    <row r="2213">
      <c r="A2213" s="7" t="inlineStr">
        <is>
          <t>2016-08-16</t>
        </is>
      </c>
      <c r="B2213" s="8" t="n">
        <v>7458</v>
      </c>
      <c r="C2213" s="8" t="n">
        <v>7520</v>
      </c>
      <c r="D2213" s="8" t="n">
        <v>7550</v>
      </c>
      <c r="E2213" s="8" t="n">
        <v>7413</v>
      </c>
      <c r="F2213" s="8" t="n">
        <v>245536</v>
      </c>
      <c r="G2213" s="8" t="n">
        <v>495594</v>
      </c>
      <c r="H2213" s="8" t="n">
        <v>8910</v>
      </c>
      <c r="I2213" s="8" t="n">
        <v>9000</v>
      </c>
      <c r="J2213" s="8" t="n">
        <v>9040</v>
      </c>
      <c r="K2213" s="8" t="n">
        <v>8855</v>
      </c>
      <c r="L2213" s="8" t="n">
        <v>418652</v>
      </c>
      <c r="M2213" s="8" t="n">
        <v>466006</v>
      </c>
      <c r="N2213" t="inlineStr">
        <is>
          <t>是</t>
        </is>
      </c>
    </row>
    <row r="2214">
      <c r="A2214" s="7" t="inlineStr">
        <is>
          <t>2016-08-17</t>
        </is>
      </c>
      <c r="B2214" s="8" t="n">
        <v>7355</v>
      </c>
      <c r="C2214" s="8" t="n">
        <v>7468</v>
      </c>
      <c r="D2214" s="8" t="n">
        <v>7492</v>
      </c>
      <c r="E2214" s="8" t="n">
        <v>7336</v>
      </c>
      <c r="F2214" s="8" t="n">
        <v>306198</v>
      </c>
      <c r="G2214" s="8" t="n">
        <v>534214</v>
      </c>
      <c r="H2214" s="8" t="n">
        <v>8840</v>
      </c>
      <c r="I2214" s="8" t="n">
        <v>8930</v>
      </c>
      <c r="J2214" s="8" t="n">
        <v>8935</v>
      </c>
      <c r="K2214" s="8" t="n">
        <v>8835</v>
      </c>
      <c r="L2214" s="8" t="n">
        <v>357212</v>
      </c>
      <c r="M2214" s="8" t="n">
        <v>460030</v>
      </c>
      <c r="N2214" t="inlineStr">
        <is>
          <t>是</t>
        </is>
      </c>
    </row>
    <row r="2215">
      <c r="A2215" s="7" t="inlineStr">
        <is>
          <t>2016-08-18</t>
        </is>
      </c>
      <c r="B2215" s="8" t="n">
        <v>7510</v>
      </c>
      <c r="C2215" s="8" t="n">
        <v>7340</v>
      </c>
      <c r="D2215" s="8" t="n">
        <v>7570</v>
      </c>
      <c r="E2215" s="8" t="n">
        <v>7321</v>
      </c>
      <c r="F2215" s="8" t="n">
        <v>433360</v>
      </c>
      <c r="G2215" s="8" t="n">
        <v>504812</v>
      </c>
      <c r="H2215" s="8" t="n">
        <v>8950</v>
      </c>
      <c r="I2215" s="8" t="n">
        <v>8855</v>
      </c>
      <c r="J2215" s="8" t="n">
        <v>9060</v>
      </c>
      <c r="K2215" s="8" t="n">
        <v>8830</v>
      </c>
      <c r="L2215" s="8" t="n">
        <v>527020</v>
      </c>
      <c r="M2215" s="8" t="n">
        <v>437372</v>
      </c>
      <c r="N2215" t="inlineStr">
        <is>
          <t>是</t>
        </is>
      </c>
    </row>
    <row r="2216">
      <c r="A2216" s="7" t="inlineStr">
        <is>
          <t>2016-08-19</t>
        </is>
      </c>
      <c r="B2216" s="8" t="n">
        <v>7567</v>
      </c>
      <c r="C2216" s="8" t="n">
        <v>7539</v>
      </c>
      <c r="D2216" s="8" t="n">
        <v>7590</v>
      </c>
      <c r="E2216" s="8" t="n">
        <v>7496</v>
      </c>
      <c r="F2216" s="8" t="n">
        <v>276490</v>
      </c>
      <c r="G2216" s="8" t="n">
        <v>501316</v>
      </c>
      <c r="H2216" s="8" t="n">
        <v>9025</v>
      </c>
      <c r="I2216" s="8" t="n">
        <v>8985</v>
      </c>
      <c r="J2216" s="8" t="n">
        <v>9085</v>
      </c>
      <c r="K2216" s="8" t="n">
        <v>8935</v>
      </c>
      <c r="L2216" s="8" t="n">
        <v>431020</v>
      </c>
      <c r="M2216" s="8" t="n">
        <v>452520</v>
      </c>
      <c r="N2216" t="inlineStr">
        <is>
          <t>是</t>
        </is>
      </c>
    </row>
    <row r="2217">
      <c r="A2217" s="7" t="inlineStr">
        <is>
          <t>2016-08-22</t>
        </is>
      </c>
      <c r="B2217" s="8" t="n">
        <v>7468</v>
      </c>
      <c r="C2217" s="8" t="n">
        <v>7575</v>
      </c>
      <c r="D2217" s="8" t="n">
        <v>7595</v>
      </c>
      <c r="E2217" s="8" t="n">
        <v>7418</v>
      </c>
      <c r="F2217" s="8" t="n">
        <v>291552</v>
      </c>
      <c r="G2217" s="8" t="n">
        <v>500542</v>
      </c>
      <c r="H2217" s="8" t="n">
        <v>8915</v>
      </c>
      <c r="I2217" s="8" t="n">
        <v>9025</v>
      </c>
      <c r="J2217" s="8" t="n">
        <v>9040</v>
      </c>
      <c r="K2217" s="8" t="n">
        <v>8880</v>
      </c>
      <c r="L2217" s="8" t="n">
        <v>350826</v>
      </c>
      <c r="M2217" s="8" t="n">
        <v>438266</v>
      </c>
      <c r="N2217" t="inlineStr">
        <is>
          <t>是</t>
        </is>
      </c>
    </row>
    <row r="2218">
      <c r="A2218" s="7" t="inlineStr">
        <is>
          <t>2016-08-23</t>
        </is>
      </c>
      <c r="B2218" s="8" t="n">
        <v>7601</v>
      </c>
      <c r="C2218" s="8" t="n">
        <v>7468</v>
      </c>
      <c r="D2218" s="8" t="n">
        <v>7627</v>
      </c>
      <c r="E2218" s="8" t="n">
        <v>7468</v>
      </c>
      <c r="F2218" s="8" t="n">
        <v>341362</v>
      </c>
      <c r="G2218" s="8" t="n">
        <v>530826</v>
      </c>
      <c r="H2218" s="8" t="n">
        <v>9105</v>
      </c>
      <c r="I2218" s="8" t="n">
        <v>8950</v>
      </c>
      <c r="J2218" s="8" t="n">
        <v>9115</v>
      </c>
      <c r="K2218" s="8" t="n">
        <v>8910</v>
      </c>
      <c r="L2218" s="8" t="n">
        <v>419328</v>
      </c>
      <c r="M2218" s="8" t="n">
        <v>472502</v>
      </c>
      <c r="N2218" t="inlineStr">
        <is>
          <t>是</t>
        </is>
      </c>
    </row>
    <row r="2219">
      <c r="A2219" s="7" t="inlineStr">
        <is>
          <t>2016-08-24</t>
        </is>
      </c>
      <c r="B2219" s="8" t="n">
        <v>7547</v>
      </c>
      <c r="C2219" s="8" t="n">
        <v>7622</v>
      </c>
      <c r="D2219" s="8" t="n">
        <v>7709</v>
      </c>
      <c r="E2219" s="8" t="n">
        <v>7509</v>
      </c>
      <c r="F2219" s="8" t="n">
        <v>540730</v>
      </c>
      <c r="G2219" s="8" t="n">
        <v>584666</v>
      </c>
      <c r="H2219" s="8" t="n">
        <v>9060</v>
      </c>
      <c r="I2219" s="8" t="n">
        <v>9120</v>
      </c>
      <c r="J2219" s="8" t="n">
        <v>9270</v>
      </c>
      <c r="K2219" s="8" t="n">
        <v>9045</v>
      </c>
      <c r="L2219" s="8" t="n">
        <v>761252</v>
      </c>
      <c r="M2219" s="8" t="n">
        <v>460488</v>
      </c>
      <c r="N2219" t="inlineStr">
        <is>
          <t>是</t>
        </is>
      </c>
    </row>
    <row r="2220">
      <c r="A2220" s="7" t="inlineStr">
        <is>
          <t>2016-08-25</t>
        </is>
      </c>
      <c r="B2220" s="8" t="n">
        <v>7497</v>
      </c>
      <c r="C2220" s="8" t="n">
        <v>7492</v>
      </c>
      <c r="D2220" s="8" t="n">
        <v>7540</v>
      </c>
      <c r="E2220" s="8" t="n">
        <v>7410</v>
      </c>
      <c r="F2220" s="8" t="n">
        <v>324930</v>
      </c>
      <c r="G2220" s="8" t="n">
        <v>516730</v>
      </c>
      <c r="H2220" s="8" t="n">
        <v>9080</v>
      </c>
      <c r="I2220" s="8" t="n">
        <v>9005</v>
      </c>
      <c r="J2220" s="8" t="n">
        <v>9120</v>
      </c>
      <c r="K2220" s="8" t="n">
        <v>8960</v>
      </c>
      <c r="L2220" s="8" t="n">
        <v>487978</v>
      </c>
      <c r="M2220" s="8" t="n">
        <v>472600</v>
      </c>
      <c r="N2220" t="inlineStr">
        <is>
          <t>是</t>
        </is>
      </c>
    </row>
    <row r="2221">
      <c r="A2221" s="7" t="inlineStr">
        <is>
          <t>2016-08-26</t>
        </is>
      </c>
      <c r="B2221" s="8" t="n">
        <v>7440</v>
      </c>
      <c r="C2221" s="8" t="n">
        <v>7497</v>
      </c>
      <c r="D2221" s="8" t="n">
        <v>7510</v>
      </c>
      <c r="E2221" s="8" t="n">
        <v>7417</v>
      </c>
      <c r="F2221" s="8" t="n">
        <v>316168</v>
      </c>
      <c r="G2221" s="8" t="n">
        <v>547882</v>
      </c>
      <c r="H2221" s="8" t="n">
        <v>9110</v>
      </c>
      <c r="I2221" s="8" t="n">
        <v>9090</v>
      </c>
      <c r="J2221" s="8" t="n">
        <v>9150</v>
      </c>
      <c r="K2221" s="8" t="n">
        <v>9040</v>
      </c>
      <c r="L2221" s="8" t="n">
        <v>458692</v>
      </c>
      <c r="M2221" s="8" t="n">
        <v>498236</v>
      </c>
      <c r="N2221" t="inlineStr">
        <is>
          <t>是</t>
        </is>
      </c>
    </row>
    <row r="2222">
      <c r="A2222" s="7" t="inlineStr">
        <is>
          <t>2016-08-29</t>
        </is>
      </c>
      <c r="B2222" s="8" t="n">
        <v>7251</v>
      </c>
      <c r="C2222" s="8" t="n">
        <v>7401</v>
      </c>
      <c r="D2222" s="8" t="n">
        <v>7421</v>
      </c>
      <c r="E2222" s="8" t="n">
        <v>7102</v>
      </c>
      <c r="F2222" s="8" t="n">
        <v>504090</v>
      </c>
      <c r="G2222" s="8" t="n">
        <v>620194</v>
      </c>
      <c r="H2222" s="8" t="n">
        <v>8795</v>
      </c>
      <c r="I2222" s="8" t="n">
        <v>9100</v>
      </c>
      <c r="J2222" s="8" t="n">
        <v>9130</v>
      </c>
      <c r="K2222" s="8" t="n">
        <v>8785</v>
      </c>
      <c r="L2222" s="8" t="n">
        <v>758262</v>
      </c>
      <c r="M2222" s="8" t="n">
        <v>509850</v>
      </c>
      <c r="N2222" t="inlineStr">
        <is>
          <t>是</t>
        </is>
      </c>
    </row>
    <row r="2223">
      <c r="A2223" s="7" t="inlineStr">
        <is>
          <t>2016-08-30</t>
        </is>
      </c>
      <c r="B2223" s="8" t="n">
        <v>7262</v>
      </c>
      <c r="C2223" s="8" t="n">
        <v>7252</v>
      </c>
      <c r="D2223" s="8" t="n">
        <v>7331</v>
      </c>
      <c r="E2223" s="8" t="n">
        <v>7252</v>
      </c>
      <c r="F2223" s="8" t="n">
        <v>265062</v>
      </c>
      <c r="G2223" s="8" t="n">
        <v>595204</v>
      </c>
      <c r="H2223" s="8" t="n">
        <v>8755</v>
      </c>
      <c r="I2223" s="8" t="n">
        <v>8795</v>
      </c>
      <c r="J2223" s="8" t="n">
        <v>8850</v>
      </c>
      <c r="K2223" s="8" t="n">
        <v>8730</v>
      </c>
      <c r="L2223" s="8" t="n">
        <v>494440</v>
      </c>
      <c r="M2223" s="8" t="n">
        <v>519030</v>
      </c>
      <c r="N2223" t="inlineStr">
        <is>
          <t>是</t>
        </is>
      </c>
    </row>
    <row r="2224">
      <c r="A2224" s="7" t="inlineStr">
        <is>
          <t>2016-08-31</t>
        </is>
      </c>
      <c r="B2224" s="8" t="n">
        <v>7274</v>
      </c>
      <c r="C2224" s="8" t="n">
        <v>7269</v>
      </c>
      <c r="D2224" s="8" t="n">
        <v>7368</v>
      </c>
      <c r="E2224" s="8" t="n">
        <v>7214</v>
      </c>
      <c r="F2224" s="8" t="n">
        <v>370504</v>
      </c>
      <c r="G2224" s="8" t="n">
        <v>617544</v>
      </c>
      <c r="H2224" s="8" t="n">
        <v>8795</v>
      </c>
      <c r="I2224" s="8" t="n">
        <v>8755</v>
      </c>
      <c r="J2224" s="8" t="n">
        <v>8820</v>
      </c>
      <c r="K2224" s="8" t="n">
        <v>8720</v>
      </c>
      <c r="L2224" s="8" t="n">
        <v>401438</v>
      </c>
      <c r="M2224" s="8" t="n">
        <v>508598</v>
      </c>
      <c r="N2224" t="inlineStr">
        <is>
          <t>是</t>
        </is>
      </c>
    </row>
    <row r="2225">
      <c r="A2225" s="7" t="inlineStr">
        <is>
          <t>2016-09-01</t>
        </is>
      </c>
      <c r="B2225" s="8" t="n">
        <v>7224</v>
      </c>
      <c r="C2225" s="8" t="n">
        <v>7272</v>
      </c>
      <c r="D2225" s="8" t="n">
        <v>7300</v>
      </c>
      <c r="E2225" s="8" t="n">
        <v>7210</v>
      </c>
      <c r="F2225" s="8" t="n">
        <v>293158</v>
      </c>
      <c r="G2225" s="8" t="n">
        <v>614546</v>
      </c>
      <c r="H2225" s="8" t="n">
        <v>8735</v>
      </c>
      <c r="I2225" s="8" t="n">
        <v>8790</v>
      </c>
      <c r="J2225" s="8" t="n">
        <v>8820</v>
      </c>
      <c r="K2225" s="8" t="n">
        <v>8685</v>
      </c>
      <c r="L2225" s="8" t="n">
        <v>485448</v>
      </c>
      <c r="M2225" s="8" t="n">
        <v>527924</v>
      </c>
      <c r="N2225" t="inlineStr">
        <is>
          <t>是</t>
        </is>
      </c>
    </row>
    <row r="2226">
      <c r="A2226" s="7" t="inlineStr">
        <is>
          <t>2016-09-02</t>
        </is>
      </c>
      <c r="B2226" s="8" t="n">
        <v>7170</v>
      </c>
      <c r="C2226" s="8" t="n">
        <v>7250</v>
      </c>
      <c r="D2226" s="8" t="n">
        <v>7278</v>
      </c>
      <c r="E2226" s="8" t="n">
        <v>7150</v>
      </c>
      <c r="F2226" s="8" t="n">
        <v>471888</v>
      </c>
      <c r="G2226" s="8" t="n">
        <v>652090</v>
      </c>
      <c r="H2226" s="8" t="n">
        <v>8730</v>
      </c>
      <c r="I2226" s="8" t="n">
        <v>8750</v>
      </c>
      <c r="J2226" s="8" t="n">
        <v>8800</v>
      </c>
      <c r="K2226" s="8" t="n">
        <v>8700</v>
      </c>
      <c r="L2226" s="8" t="n">
        <v>476926</v>
      </c>
      <c r="M2226" s="8" t="n">
        <v>501620</v>
      </c>
      <c r="N2226" t="inlineStr">
        <is>
          <t>是</t>
        </is>
      </c>
    </row>
    <row r="2227">
      <c r="A2227" s="7" t="inlineStr">
        <is>
          <t>2016-09-05</t>
        </is>
      </c>
      <c r="B2227" s="8" t="n">
        <v>7140</v>
      </c>
      <c r="C2227" s="8" t="n">
        <v>7198</v>
      </c>
      <c r="D2227" s="8" t="n">
        <v>7227</v>
      </c>
      <c r="E2227" s="8" t="n">
        <v>7120</v>
      </c>
      <c r="F2227" s="8" t="n">
        <v>288338</v>
      </c>
      <c r="G2227" s="8" t="n">
        <v>647424</v>
      </c>
      <c r="H2227" s="8" t="n">
        <v>8655</v>
      </c>
      <c r="I2227" s="8" t="n">
        <v>8760</v>
      </c>
      <c r="J2227" s="8" t="n">
        <v>8825</v>
      </c>
      <c r="K2227" s="8" t="n">
        <v>8630</v>
      </c>
      <c r="L2227" s="8" t="n">
        <v>504608</v>
      </c>
      <c r="M2227" s="8" t="n">
        <v>543806</v>
      </c>
      <c r="N2227" t="inlineStr">
        <is>
          <t>是</t>
        </is>
      </c>
    </row>
    <row r="2228">
      <c r="A2228" s="7" t="inlineStr">
        <is>
          <t>2016-09-06</t>
        </is>
      </c>
      <c r="B2228" s="8" t="n">
        <v>7311</v>
      </c>
      <c r="C2228" s="8" t="n">
        <v>7158</v>
      </c>
      <c r="D2228" s="8" t="n">
        <v>7350</v>
      </c>
      <c r="E2228" s="8" t="n">
        <v>7148</v>
      </c>
      <c r="F2228" s="8" t="n">
        <v>542748</v>
      </c>
      <c r="G2228" s="8" t="n">
        <v>675630</v>
      </c>
      <c r="H2228" s="8" t="n">
        <v>8835</v>
      </c>
      <c r="I2228" s="8" t="n">
        <v>8665</v>
      </c>
      <c r="J2228" s="8" t="n">
        <v>8860</v>
      </c>
      <c r="K2228" s="8" t="n">
        <v>8655</v>
      </c>
      <c r="L2228" s="8" t="n">
        <v>582312</v>
      </c>
      <c r="M2228" s="8" t="n">
        <v>541656</v>
      </c>
      <c r="N2228" t="inlineStr">
        <is>
          <t>是</t>
        </is>
      </c>
    </row>
    <row r="2229">
      <c r="A2229" s="7" t="inlineStr">
        <is>
          <t>2016-09-07</t>
        </is>
      </c>
      <c r="B2229" s="8" t="n">
        <v>7318</v>
      </c>
      <c r="C2229" s="8" t="n">
        <v>7321</v>
      </c>
      <c r="D2229" s="8" t="n">
        <v>7330</v>
      </c>
      <c r="E2229" s="8" t="n">
        <v>7250</v>
      </c>
      <c r="F2229" s="8" t="n">
        <v>236164</v>
      </c>
      <c r="G2229" s="8" t="n">
        <v>636016</v>
      </c>
      <c r="H2229" s="8" t="n">
        <v>8865</v>
      </c>
      <c r="I2229" s="8" t="n">
        <v>8840</v>
      </c>
      <c r="J2229" s="8" t="n">
        <v>8880</v>
      </c>
      <c r="K2229" s="8" t="n">
        <v>8790</v>
      </c>
      <c r="L2229" s="8" t="n">
        <v>372134</v>
      </c>
      <c r="M2229" s="8" t="n">
        <v>536788</v>
      </c>
      <c r="N2229" t="inlineStr">
        <is>
          <t>是</t>
        </is>
      </c>
    </row>
    <row r="2230">
      <c r="A2230" s="7" t="inlineStr">
        <is>
          <t>2016-09-08</t>
        </is>
      </c>
      <c r="B2230" s="8" t="n">
        <v>7289</v>
      </c>
      <c r="C2230" s="8" t="n">
        <v>7315</v>
      </c>
      <c r="D2230" s="8" t="n">
        <v>7350</v>
      </c>
      <c r="E2230" s="8" t="n">
        <v>7283</v>
      </c>
      <c r="F2230" s="8" t="n">
        <v>337158</v>
      </c>
      <c r="G2230" s="8" t="n">
        <v>641016</v>
      </c>
      <c r="H2230" s="8" t="n">
        <v>9005</v>
      </c>
      <c r="I2230" s="8" t="n">
        <v>8865</v>
      </c>
      <c r="J2230" s="8" t="n">
        <v>9015</v>
      </c>
      <c r="K2230" s="8" t="n">
        <v>8840</v>
      </c>
      <c r="L2230" s="8" t="n">
        <v>620034</v>
      </c>
      <c r="M2230" s="8" t="n">
        <v>539328</v>
      </c>
      <c r="N2230" t="inlineStr">
        <is>
          <t>是</t>
        </is>
      </c>
    </row>
    <row r="2231">
      <c r="A2231" s="7" t="inlineStr">
        <is>
          <t>2016-09-09</t>
        </is>
      </c>
      <c r="B2231" s="8" t="n">
        <v>7215</v>
      </c>
      <c r="C2231" s="8" t="n">
        <v>7300</v>
      </c>
      <c r="D2231" s="8" t="n">
        <v>7330</v>
      </c>
      <c r="E2231" s="8" t="n">
        <v>7195</v>
      </c>
      <c r="F2231" s="8" t="n">
        <v>402464</v>
      </c>
      <c r="G2231" s="8" t="n">
        <v>662714</v>
      </c>
      <c r="H2231" s="8" t="n">
        <v>8980</v>
      </c>
      <c r="I2231" s="8" t="n">
        <v>9020</v>
      </c>
      <c r="J2231" s="8" t="n">
        <v>9045</v>
      </c>
      <c r="K2231" s="8" t="n">
        <v>8950</v>
      </c>
      <c r="L2231" s="8" t="n">
        <v>412668</v>
      </c>
      <c r="M2231" s="8" t="n">
        <v>525932</v>
      </c>
      <c r="N2231" t="inlineStr">
        <is>
          <t>是</t>
        </is>
      </c>
    </row>
    <row r="2232">
      <c r="A2232" s="7" t="inlineStr">
        <is>
          <t>2016-09-12</t>
        </is>
      </c>
      <c r="B2232" s="8" t="n">
        <v>7110</v>
      </c>
      <c r="C2232" s="8" t="n">
        <v>7188</v>
      </c>
      <c r="D2232" s="8" t="n">
        <v>7188</v>
      </c>
      <c r="E2232" s="8" t="n">
        <v>7036</v>
      </c>
      <c r="F2232" s="8" t="n">
        <v>433330</v>
      </c>
      <c r="G2232" s="8" t="n">
        <v>728332</v>
      </c>
      <c r="H2232" s="8" t="n">
        <v>8740</v>
      </c>
      <c r="I2232" s="8" t="n">
        <v>8950</v>
      </c>
      <c r="J2232" s="8" t="n">
        <v>8975</v>
      </c>
      <c r="K2232" s="8" t="n">
        <v>8715</v>
      </c>
      <c r="L2232" s="8" t="n">
        <v>655782</v>
      </c>
      <c r="M2232" s="8" t="n">
        <v>489676</v>
      </c>
      <c r="N2232" t="inlineStr">
        <is>
          <t>是</t>
        </is>
      </c>
    </row>
    <row r="2233">
      <c r="A2233" s="7" t="inlineStr">
        <is>
          <t>2016-09-13</t>
        </is>
      </c>
      <c r="B2233" s="8" t="n">
        <v>7096</v>
      </c>
      <c r="C2233" s="8" t="n">
        <v>7138</v>
      </c>
      <c r="D2233" s="8" t="n">
        <v>7173</v>
      </c>
      <c r="E2233" s="8" t="n">
        <v>7060</v>
      </c>
      <c r="F2233" s="8" t="n">
        <v>312858</v>
      </c>
      <c r="G2233" s="8" t="n">
        <v>718244</v>
      </c>
      <c r="H2233" s="8" t="n">
        <v>8745</v>
      </c>
      <c r="I2233" s="8" t="n">
        <v>8770</v>
      </c>
      <c r="J2233" s="8" t="n">
        <v>8795</v>
      </c>
      <c r="K2233" s="8" t="n">
        <v>8705</v>
      </c>
      <c r="L2233" s="8" t="n">
        <v>367338</v>
      </c>
      <c r="M2233" s="8" t="n">
        <v>479244</v>
      </c>
      <c r="N2233" t="inlineStr">
        <is>
          <t>是</t>
        </is>
      </c>
    </row>
    <row r="2234">
      <c r="A2234" s="7" t="inlineStr">
        <is>
          <t>2016-09-14</t>
        </is>
      </c>
      <c r="B2234" s="8" t="n">
        <v>7118</v>
      </c>
      <c r="C2234" s="8" t="n">
        <v>7066</v>
      </c>
      <c r="D2234" s="8" t="n">
        <v>7150</v>
      </c>
      <c r="E2234" s="8" t="n">
        <v>7043</v>
      </c>
      <c r="F2234" s="8" t="n">
        <v>251600</v>
      </c>
      <c r="G2234" s="8" t="n">
        <v>699166</v>
      </c>
      <c r="H2234" s="8" t="n">
        <v>8750</v>
      </c>
      <c r="I2234" s="8" t="n">
        <v>8730</v>
      </c>
      <c r="J2234" s="8" t="n">
        <v>8820</v>
      </c>
      <c r="K2234" s="8" t="n">
        <v>8690</v>
      </c>
      <c r="L2234" s="8" t="n">
        <v>380338</v>
      </c>
      <c r="M2234" s="8" t="n">
        <v>474360</v>
      </c>
      <c r="N2234" t="inlineStr">
        <is>
          <t>是</t>
        </is>
      </c>
    </row>
    <row r="2235">
      <c r="A2235" s="7" t="inlineStr">
        <is>
          <t>2016-09-19</t>
        </is>
      </c>
      <c r="B2235" s="8" t="n">
        <v>7102</v>
      </c>
      <c r="C2235" s="8" t="n">
        <v>7100</v>
      </c>
      <c r="D2235" s="8" t="n">
        <v>7161</v>
      </c>
      <c r="E2235" s="8" t="n">
        <v>7076</v>
      </c>
      <c r="F2235" s="8" t="n">
        <v>222084</v>
      </c>
      <c r="G2235" s="8" t="n">
        <v>705248</v>
      </c>
      <c r="H2235" s="8" t="n">
        <v>8730</v>
      </c>
      <c r="I2235" s="8" t="n">
        <v>8710</v>
      </c>
      <c r="J2235" s="8" t="n">
        <v>8780</v>
      </c>
      <c r="K2235" s="8" t="n">
        <v>8680</v>
      </c>
      <c r="L2235" s="8" t="n">
        <v>349738</v>
      </c>
      <c r="M2235" s="8" t="n">
        <v>494574</v>
      </c>
      <c r="N2235" t="inlineStr">
        <is>
          <t>是</t>
        </is>
      </c>
    </row>
    <row r="2236">
      <c r="A2236" s="7" t="inlineStr">
        <is>
          <t>2016-09-20</t>
        </is>
      </c>
      <c r="B2236" s="8" t="n">
        <v>7132</v>
      </c>
      <c r="C2236" s="8" t="n">
        <v>7103</v>
      </c>
      <c r="D2236" s="8" t="n">
        <v>7155</v>
      </c>
      <c r="E2236" s="8" t="n">
        <v>6966</v>
      </c>
      <c r="F2236" s="8" t="n">
        <v>394958</v>
      </c>
      <c r="G2236" s="8" t="n">
        <v>730236</v>
      </c>
      <c r="H2236" s="8" t="n">
        <v>8715</v>
      </c>
      <c r="I2236" s="8" t="n">
        <v>8740</v>
      </c>
      <c r="J2236" s="8" t="n">
        <v>8795</v>
      </c>
      <c r="K2236" s="8" t="n">
        <v>8640</v>
      </c>
      <c r="L2236" s="8" t="n">
        <v>526398</v>
      </c>
      <c r="M2236" s="8" t="n">
        <v>515982</v>
      </c>
      <c r="N2236" t="inlineStr">
        <is>
          <t>是</t>
        </is>
      </c>
    </row>
    <row r="2237">
      <c r="A2237" s="7" t="inlineStr">
        <is>
          <t>2016-09-21</t>
        </is>
      </c>
      <c r="B2237" s="8" t="n">
        <v>7169</v>
      </c>
      <c r="C2237" s="8" t="n">
        <v>7170</v>
      </c>
      <c r="D2237" s="8" t="n">
        <v>7332</v>
      </c>
      <c r="E2237" s="8" t="n">
        <v>7133</v>
      </c>
      <c r="F2237" s="8" t="n">
        <v>319436</v>
      </c>
      <c r="G2237" s="8" t="n">
        <v>674056</v>
      </c>
      <c r="H2237" s="8" t="n">
        <v>8705</v>
      </c>
      <c r="I2237" s="8" t="n">
        <v>8750</v>
      </c>
      <c r="J2237" s="8" t="n">
        <v>8785</v>
      </c>
      <c r="K2237" s="8" t="n">
        <v>8685</v>
      </c>
      <c r="L2237" s="8" t="n">
        <v>459858</v>
      </c>
      <c r="M2237" s="8" t="n">
        <v>530350</v>
      </c>
      <c r="N2237" t="inlineStr">
        <is>
          <t>是</t>
        </is>
      </c>
    </row>
    <row r="2238">
      <c r="A2238" s="7" t="inlineStr">
        <is>
          <t>2016-09-22</t>
        </is>
      </c>
      <c r="B2238" s="8" t="n">
        <v>7117</v>
      </c>
      <c r="C2238" s="8" t="n">
        <v>7190</v>
      </c>
      <c r="D2238" s="8" t="n">
        <v>7246</v>
      </c>
      <c r="E2238" s="8" t="n">
        <v>7114</v>
      </c>
      <c r="F2238" s="8" t="n">
        <v>337144</v>
      </c>
      <c r="G2238" s="8" t="n">
        <v>678638</v>
      </c>
      <c r="H2238" s="8" t="n">
        <v>8625</v>
      </c>
      <c r="I2238" s="8" t="n">
        <v>8735</v>
      </c>
      <c r="J2238" s="8" t="n">
        <v>8795</v>
      </c>
      <c r="K2238" s="8" t="n">
        <v>8570</v>
      </c>
      <c r="L2238" s="8" t="n">
        <v>879274</v>
      </c>
      <c r="M2238" s="8" t="n">
        <v>597252</v>
      </c>
      <c r="N2238" t="inlineStr">
        <is>
          <t>是</t>
        </is>
      </c>
    </row>
    <row r="2239">
      <c r="A2239" s="7" t="inlineStr">
        <is>
          <t>2016-09-23</t>
        </is>
      </c>
      <c r="B2239" s="8" t="n">
        <v>7077</v>
      </c>
      <c r="C2239" s="8" t="n">
        <v>7119</v>
      </c>
      <c r="D2239" s="8" t="n">
        <v>7135</v>
      </c>
      <c r="E2239" s="8" t="n">
        <v>7020</v>
      </c>
      <c r="F2239" s="8" t="n">
        <v>261336</v>
      </c>
      <c r="G2239" s="8" t="n">
        <v>679472</v>
      </c>
      <c r="H2239" s="8" t="n">
        <v>8585</v>
      </c>
      <c r="I2239" s="8" t="n">
        <v>8630</v>
      </c>
      <c r="J2239" s="8" t="n">
        <v>8645</v>
      </c>
      <c r="K2239" s="8" t="n">
        <v>8520</v>
      </c>
      <c r="L2239" s="8" t="n">
        <v>522324</v>
      </c>
      <c r="M2239" s="8" t="n">
        <v>609080</v>
      </c>
      <c r="N2239" t="inlineStr">
        <is>
          <t>是</t>
        </is>
      </c>
    </row>
    <row r="2240">
      <c r="A2240" s="7" t="inlineStr">
        <is>
          <t>2016-09-26</t>
        </is>
      </c>
      <c r="B2240" s="8" t="n">
        <v>7066</v>
      </c>
      <c r="C2240" s="8" t="n">
        <v>7100</v>
      </c>
      <c r="D2240" s="8" t="n">
        <v>7110</v>
      </c>
      <c r="E2240" s="8" t="n">
        <v>7022</v>
      </c>
      <c r="F2240" s="8" t="n">
        <v>199242</v>
      </c>
      <c r="G2240" s="8" t="n">
        <v>677482</v>
      </c>
      <c r="H2240" s="8" t="n">
        <v>8590</v>
      </c>
      <c r="I2240" s="8" t="n">
        <v>8610</v>
      </c>
      <c r="J2240" s="8" t="n">
        <v>8635</v>
      </c>
      <c r="K2240" s="8" t="n">
        <v>8550</v>
      </c>
      <c r="L2240" s="8" t="n">
        <v>307886</v>
      </c>
      <c r="M2240" s="8" t="n">
        <v>596578</v>
      </c>
      <c r="N2240" t="inlineStr">
        <is>
          <t>是</t>
        </is>
      </c>
    </row>
    <row r="2241">
      <c r="A2241" s="7" t="inlineStr">
        <is>
          <t>2016-09-27</t>
        </is>
      </c>
      <c r="B2241" s="8" t="n">
        <v>7171</v>
      </c>
      <c r="C2241" s="8" t="n">
        <v>7109</v>
      </c>
      <c r="D2241" s="8" t="n">
        <v>7186</v>
      </c>
      <c r="E2241" s="8" t="n">
        <v>7030</v>
      </c>
      <c r="F2241" s="8" t="n">
        <v>331626</v>
      </c>
      <c r="G2241" s="8" t="n">
        <v>673950</v>
      </c>
      <c r="H2241" s="8" t="n">
        <v>8635</v>
      </c>
      <c r="I2241" s="8" t="n">
        <v>8610</v>
      </c>
      <c r="J2241" s="8" t="n">
        <v>8675</v>
      </c>
      <c r="K2241" s="8" t="n">
        <v>8535</v>
      </c>
      <c r="L2241" s="8" t="n">
        <v>408110</v>
      </c>
      <c r="M2241" s="8" t="n">
        <v>593756</v>
      </c>
      <c r="N2241" t="inlineStr">
        <is>
          <t>是</t>
        </is>
      </c>
    </row>
    <row r="2242">
      <c r="A2242" s="7" t="inlineStr">
        <is>
          <t>2016-09-28</t>
        </is>
      </c>
      <c r="B2242" s="8" t="n">
        <v>7176</v>
      </c>
      <c r="C2242" s="8" t="n">
        <v>7171</v>
      </c>
      <c r="D2242" s="8" t="n">
        <v>7219</v>
      </c>
      <c r="E2242" s="8" t="n">
        <v>7130</v>
      </c>
      <c r="F2242" s="8" t="n">
        <v>245460</v>
      </c>
      <c r="G2242" s="8" t="n">
        <v>649372</v>
      </c>
      <c r="H2242" s="8" t="n">
        <v>8660</v>
      </c>
      <c r="I2242" s="8" t="n">
        <v>8635</v>
      </c>
      <c r="J2242" s="8" t="n">
        <v>8675</v>
      </c>
      <c r="K2242" s="8" t="n">
        <v>8610</v>
      </c>
      <c r="L2242" s="8" t="n">
        <v>269746</v>
      </c>
      <c r="M2242" s="8" t="n">
        <v>573816</v>
      </c>
      <c r="N2242" t="inlineStr">
        <is>
          <t>是</t>
        </is>
      </c>
    </row>
    <row r="2243">
      <c r="A2243" s="7" t="inlineStr">
        <is>
          <t>2016-09-29</t>
        </is>
      </c>
      <c r="B2243" s="8" t="n">
        <v>7317</v>
      </c>
      <c r="C2243" s="8" t="n">
        <v>7252</v>
      </c>
      <c r="D2243" s="8" t="n">
        <v>7396</v>
      </c>
      <c r="E2243" s="8" t="n">
        <v>7211</v>
      </c>
      <c r="F2243" s="8" t="n">
        <v>415134</v>
      </c>
      <c r="G2243" s="8" t="n">
        <v>666846</v>
      </c>
      <c r="H2243" s="8" t="n">
        <v>8745</v>
      </c>
      <c r="I2243" s="8" t="n">
        <v>8730</v>
      </c>
      <c r="J2243" s="8" t="n">
        <v>8875</v>
      </c>
      <c r="K2243" s="8" t="n">
        <v>8695</v>
      </c>
      <c r="L2243" s="8" t="n">
        <v>528332</v>
      </c>
      <c r="M2243" s="8" t="n">
        <v>501134</v>
      </c>
      <c r="N2243" t="inlineStr">
        <is>
          <t>是</t>
        </is>
      </c>
    </row>
    <row r="2244">
      <c r="A2244" s="7" t="inlineStr">
        <is>
          <t>2016-09-30</t>
        </is>
      </c>
      <c r="B2244" s="8" t="n">
        <v>7309</v>
      </c>
      <c r="C2244" s="8" t="n">
        <v>7320</v>
      </c>
      <c r="D2244" s="8" t="n">
        <v>7340</v>
      </c>
      <c r="E2244" s="8" t="n">
        <v>7269</v>
      </c>
      <c r="F2244" s="8" t="n">
        <v>184402</v>
      </c>
      <c r="G2244" s="8" t="n">
        <v>620804</v>
      </c>
      <c r="H2244" s="8" t="n">
        <v>8800</v>
      </c>
      <c r="I2244" s="8" t="n">
        <v>8750</v>
      </c>
      <c r="J2244" s="8" t="n">
        <v>8810</v>
      </c>
      <c r="K2244" s="8" t="n">
        <v>8730</v>
      </c>
      <c r="L2244" s="8" t="n">
        <v>201660</v>
      </c>
      <c r="M2244" s="8" t="n">
        <v>473946</v>
      </c>
      <c r="N2244" t="inlineStr">
        <is>
          <t>是</t>
        </is>
      </c>
    </row>
    <row r="2245">
      <c r="A2245" s="7" t="inlineStr">
        <is>
          <t>2016-10-10</t>
        </is>
      </c>
      <c r="B2245" s="8" t="n">
        <v>7578</v>
      </c>
      <c r="C2245" s="8" t="n">
        <v>7444</v>
      </c>
      <c r="D2245" s="8" t="n">
        <v>7584</v>
      </c>
      <c r="E2245" s="8" t="n">
        <v>7405</v>
      </c>
      <c r="F2245" s="8" t="n">
        <v>387862</v>
      </c>
      <c r="G2245" s="8" t="n">
        <v>682362</v>
      </c>
      <c r="H2245" s="8" t="n">
        <v>9170</v>
      </c>
      <c r="I2245" s="8" t="n">
        <v>8980</v>
      </c>
      <c r="J2245" s="8" t="n">
        <v>9195</v>
      </c>
      <c r="K2245" s="8" t="n">
        <v>8960</v>
      </c>
      <c r="L2245" s="8" t="n">
        <v>532374</v>
      </c>
      <c r="M2245" s="8" t="n">
        <v>462212</v>
      </c>
      <c r="N2245" t="inlineStr">
        <is>
          <t>是</t>
        </is>
      </c>
    </row>
    <row r="2246">
      <c r="A2246" s="7" t="inlineStr">
        <is>
          <t>2016-10-11</t>
        </is>
      </c>
      <c r="B2246" s="8" t="n">
        <v>7662</v>
      </c>
      <c r="C2246" s="8" t="n">
        <v>7670</v>
      </c>
      <c r="D2246" s="8" t="n">
        <v>7698</v>
      </c>
      <c r="E2246" s="8" t="n">
        <v>7602</v>
      </c>
      <c r="F2246" s="8" t="n">
        <v>343908</v>
      </c>
      <c r="G2246" s="8" t="n">
        <v>686512</v>
      </c>
      <c r="H2246" s="8" t="n">
        <v>9285</v>
      </c>
      <c r="I2246" s="8" t="n">
        <v>9260</v>
      </c>
      <c r="J2246" s="8" t="n">
        <v>9345</v>
      </c>
      <c r="K2246" s="8" t="n">
        <v>9205</v>
      </c>
      <c r="L2246" s="8" t="n">
        <v>517602</v>
      </c>
      <c r="M2246" s="8" t="n">
        <v>485410</v>
      </c>
      <c r="N2246" t="inlineStr">
        <is>
          <t>是</t>
        </is>
      </c>
    </row>
    <row r="2247">
      <c r="A2247" s="7" t="inlineStr">
        <is>
          <t>2016-10-12</t>
        </is>
      </c>
      <c r="B2247" s="8" t="n">
        <v>7674</v>
      </c>
      <c r="C2247" s="8" t="n">
        <v>7633</v>
      </c>
      <c r="D2247" s="8" t="n">
        <v>7696</v>
      </c>
      <c r="E2247" s="8" t="n">
        <v>7601</v>
      </c>
      <c r="F2247" s="8" t="n">
        <v>265586</v>
      </c>
      <c r="G2247" s="8" t="n">
        <v>700172</v>
      </c>
      <c r="H2247" s="8" t="n">
        <v>9330</v>
      </c>
      <c r="I2247" s="8" t="n">
        <v>9265</v>
      </c>
      <c r="J2247" s="8" t="n">
        <v>9335</v>
      </c>
      <c r="K2247" s="8" t="n">
        <v>9225</v>
      </c>
      <c r="L2247" s="8" t="n">
        <v>319846</v>
      </c>
      <c r="M2247" s="8" t="n">
        <v>501466</v>
      </c>
      <c r="N2247" t="inlineStr">
        <is>
          <t>是</t>
        </is>
      </c>
    </row>
    <row r="2248">
      <c r="A2248" s="7" t="inlineStr">
        <is>
          <t>2016-10-13</t>
        </is>
      </c>
      <c r="B2248" s="8" t="n">
        <v>7527</v>
      </c>
      <c r="C2248" s="8" t="n">
        <v>7694</v>
      </c>
      <c r="D2248" s="8" t="n">
        <v>7694</v>
      </c>
      <c r="E2248" s="8" t="n">
        <v>7505</v>
      </c>
      <c r="F2248" s="8" t="n">
        <v>359958</v>
      </c>
      <c r="G2248" s="8" t="n">
        <v>675326</v>
      </c>
      <c r="H2248" s="8" t="n">
        <v>9265</v>
      </c>
      <c r="I2248" s="8" t="n">
        <v>9300</v>
      </c>
      <c r="J2248" s="8" t="n">
        <v>9315</v>
      </c>
      <c r="K2248" s="8" t="n">
        <v>9165</v>
      </c>
      <c r="L2248" s="8" t="n">
        <v>490960</v>
      </c>
      <c r="M2248" s="8" t="n">
        <v>499724</v>
      </c>
      <c r="N2248" t="inlineStr">
        <is>
          <t>是</t>
        </is>
      </c>
    </row>
    <row r="2249">
      <c r="A2249" s="7" t="inlineStr">
        <is>
          <t>2016-10-14</t>
        </is>
      </c>
      <c r="B2249" s="8" t="n">
        <v>7518</v>
      </c>
      <c r="C2249" s="8" t="n">
        <v>7534</v>
      </c>
      <c r="D2249" s="8" t="n">
        <v>7573</v>
      </c>
      <c r="E2249" s="8" t="n">
        <v>7452</v>
      </c>
      <c r="F2249" s="8" t="n">
        <v>302206</v>
      </c>
      <c r="G2249" s="8" t="n">
        <v>698350</v>
      </c>
      <c r="H2249" s="8" t="n">
        <v>9285</v>
      </c>
      <c r="I2249" s="8" t="n">
        <v>9285</v>
      </c>
      <c r="J2249" s="8" t="n">
        <v>9325</v>
      </c>
      <c r="K2249" s="8" t="n">
        <v>9180</v>
      </c>
      <c r="L2249" s="8" t="n">
        <v>454306</v>
      </c>
      <c r="M2249" s="8" t="n">
        <v>517942</v>
      </c>
      <c r="N2249" t="inlineStr">
        <is>
          <t>是</t>
        </is>
      </c>
    </row>
    <row r="2250">
      <c r="A2250" s="7" t="inlineStr">
        <is>
          <t>2016-10-17</t>
        </is>
      </c>
      <c r="B2250" s="8" t="n">
        <v>7602</v>
      </c>
      <c r="C2250" s="8" t="n">
        <v>7530</v>
      </c>
      <c r="D2250" s="8" t="n">
        <v>7660</v>
      </c>
      <c r="E2250" s="8" t="n">
        <v>7498</v>
      </c>
      <c r="F2250" s="8" t="n">
        <v>399866</v>
      </c>
      <c r="G2250" s="8" t="n">
        <v>716266</v>
      </c>
      <c r="H2250" s="8" t="n">
        <v>9245</v>
      </c>
      <c r="I2250" s="8" t="n">
        <v>9300</v>
      </c>
      <c r="J2250" s="8" t="n">
        <v>9420</v>
      </c>
      <c r="K2250" s="8" t="n">
        <v>9205</v>
      </c>
      <c r="L2250" s="8" t="n">
        <v>491848</v>
      </c>
      <c r="M2250" s="8" t="n">
        <v>505092</v>
      </c>
      <c r="N2250" t="inlineStr">
        <is>
          <t>是</t>
        </is>
      </c>
    </row>
    <row r="2251">
      <c r="A2251" s="7" t="inlineStr">
        <is>
          <t>2016-10-18</t>
        </is>
      </c>
      <c r="B2251" s="8" t="n">
        <v>7822</v>
      </c>
      <c r="C2251" s="8" t="n">
        <v>7594</v>
      </c>
      <c r="D2251" s="8" t="n">
        <v>7828</v>
      </c>
      <c r="E2251" s="8" t="n">
        <v>7515</v>
      </c>
      <c r="F2251" s="8" t="n">
        <v>423786</v>
      </c>
      <c r="G2251" s="8" t="n">
        <v>754296</v>
      </c>
      <c r="H2251" s="8" t="n">
        <v>9495</v>
      </c>
      <c r="I2251" s="8" t="n">
        <v>9220</v>
      </c>
      <c r="J2251" s="8" t="n">
        <v>9500</v>
      </c>
      <c r="K2251" s="8" t="n">
        <v>9155</v>
      </c>
      <c r="L2251" s="8" t="n">
        <v>525090</v>
      </c>
      <c r="M2251" s="8" t="n">
        <v>564862</v>
      </c>
      <c r="N2251" t="inlineStr">
        <is>
          <t>是</t>
        </is>
      </c>
    </row>
    <row r="2252">
      <c r="A2252" s="7" t="inlineStr">
        <is>
          <t>2016-10-19</t>
        </is>
      </c>
      <c r="B2252" s="8" t="n">
        <v>7874</v>
      </c>
      <c r="C2252" s="8" t="n">
        <v>7835</v>
      </c>
      <c r="D2252" s="8" t="n">
        <v>7945</v>
      </c>
      <c r="E2252" s="8" t="n">
        <v>7776</v>
      </c>
      <c r="F2252" s="8" t="n">
        <v>465806</v>
      </c>
      <c r="G2252" s="8" t="n">
        <v>768372</v>
      </c>
      <c r="H2252" s="8" t="n">
        <v>9460</v>
      </c>
      <c r="I2252" s="8" t="n">
        <v>9550</v>
      </c>
      <c r="J2252" s="8" t="n">
        <v>9580</v>
      </c>
      <c r="K2252" s="8" t="n">
        <v>9365</v>
      </c>
      <c r="L2252" s="8" t="n">
        <v>468804</v>
      </c>
      <c r="M2252" s="8" t="n">
        <v>537218</v>
      </c>
      <c r="N2252" t="inlineStr">
        <is>
          <t>是</t>
        </is>
      </c>
    </row>
    <row r="2253">
      <c r="A2253" s="7" t="inlineStr">
        <is>
          <t>2016-10-20</t>
        </is>
      </c>
      <c r="B2253" s="8" t="n">
        <v>7815</v>
      </c>
      <c r="C2253" s="8" t="n">
        <v>7901</v>
      </c>
      <c r="D2253" s="8" t="n">
        <v>7939</v>
      </c>
      <c r="E2253" s="8" t="n">
        <v>7803</v>
      </c>
      <c r="F2253" s="8" t="n">
        <v>314574</v>
      </c>
      <c r="G2253" s="8" t="n">
        <v>736696</v>
      </c>
      <c r="H2253" s="8" t="n">
        <v>9435</v>
      </c>
      <c r="I2253" s="8" t="n">
        <v>9475</v>
      </c>
      <c r="J2253" s="8" t="n">
        <v>9580</v>
      </c>
      <c r="K2253" s="8" t="n">
        <v>9420</v>
      </c>
      <c r="L2253" s="8" t="n">
        <v>376528</v>
      </c>
      <c r="M2253" s="8" t="n">
        <v>537244</v>
      </c>
      <c r="N2253" t="inlineStr">
        <is>
          <t>是</t>
        </is>
      </c>
    </row>
    <row r="2254">
      <c r="A2254" s="7" t="inlineStr">
        <is>
          <t>2016-10-21</t>
        </is>
      </c>
      <c r="B2254" s="8" t="n">
        <v>7877</v>
      </c>
      <c r="C2254" s="8" t="n">
        <v>7765</v>
      </c>
      <c r="D2254" s="8" t="n">
        <v>7910</v>
      </c>
      <c r="E2254" s="8" t="n">
        <v>7712</v>
      </c>
      <c r="F2254" s="8" t="n">
        <v>340494</v>
      </c>
      <c r="G2254" s="8" t="n">
        <v>765736</v>
      </c>
      <c r="H2254" s="8" t="n">
        <v>9485</v>
      </c>
      <c r="I2254" s="8" t="n">
        <v>9380</v>
      </c>
      <c r="J2254" s="8" t="n">
        <v>9510</v>
      </c>
      <c r="K2254" s="8" t="n">
        <v>9350</v>
      </c>
      <c r="L2254" s="8" t="n">
        <v>338970</v>
      </c>
      <c r="M2254" s="8" t="n">
        <v>536718</v>
      </c>
      <c r="N2254" t="inlineStr">
        <is>
          <t>是</t>
        </is>
      </c>
    </row>
    <row r="2255">
      <c r="A2255" s="7" t="inlineStr">
        <is>
          <t>2016-10-24</t>
        </is>
      </c>
      <c r="B2255" s="8" t="n">
        <v>7993</v>
      </c>
      <c r="C2255" s="8" t="n">
        <v>7893</v>
      </c>
      <c r="D2255" s="8" t="n">
        <v>8008</v>
      </c>
      <c r="E2255" s="8" t="n">
        <v>7877</v>
      </c>
      <c r="F2255" s="8" t="n">
        <v>304602</v>
      </c>
      <c r="G2255" s="8" t="n">
        <v>761178</v>
      </c>
      <c r="H2255" s="8" t="n">
        <v>9610</v>
      </c>
      <c r="I2255" s="8" t="n">
        <v>9490</v>
      </c>
      <c r="J2255" s="8" t="n">
        <v>9660</v>
      </c>
      <c r="K2255" s="8" t="n">
        <v>9460</v>
      </c>
      <c r="L2255" s="8" t="n">
        <v>384694</v>
      </c>
      <c r="M2255" s="8" t="n">
        <v>548484</v>
      </c>
      <c r="N2255" t="inlineStr">
        <is>
          <t>是</t>
        </is>
      </c>
    </row>
    <row r="2256">
      <c r="A2256" s="7" t="inlineStr">
        <is>
          <t>2016-10-25</t>
        </is>
      </c>
      <c r="B2256" s="8" t="n">
        <v>8246</v>
      </c>
      <c r="C2256" s="8" t="n">
        <v>8020</v>
      </c>
      <c r="D2256" s="8" t="n">
        <v>8338</v>
      </c>
      <c r="E2256" s="8" t="n">
        <v>8002</v>
      </c>
      <c r="F2256" s="8" t="n">
        <v>532404</v>
      </c>
      <c r="G2256" s="8" t="n">
        <v>735592</v>
      </c>
      <c r="H2256" s="8" t="n">
        <v>9675</v>
      </c>
      <c r="I2256" s="8" t="n">
        <v>9625</v>
      </c>
      <c r="J2256" s="8" t="n">
        <v>9935</v>
      </c>
      <c r="K2256" s="8" t="n">
        <v>9610</v>
      </c>
      <c r="L2256" s="8" t="n">
        <v>635252</v>
      </c>
      <c r="M2256" s="8" t="n">
        <v>492184</v>
      </c>
      <c r="N2256" t="inlineStr">
        <is>
          <t>是</t>
        </is>
      </c>
    </row>
    <row r="2257">
      <c r="A2257" s="7" t="inlineStr">
        <is>
          <t>2016-10-26</t>
        </is>
      </c>
      <c r="B2257" s="8" t="n">
        <v>8172</v>
      </c>
      <c r="C2257" s="8" t="n">
        <v>8185</v>
      </c>
      <c r="D2257" s="8" t="n">
        <v>8196</v>
      </c>
      <c r="E2257" s="8" t="n">
        <v>8072</v>
      </c>
      <c r="F2257" s="8" t="n">
        <v>327356</v>
      </c>
      <c r="G2257" s="8" t="n">
        <v>685920</v>
      </c>
      <c r="H2257" s="8" t="n">
        <v>9625</v>
      </c>
      <c r="I2257" s="8" t="n">
        <v>9615</v>
      </c>
      <c r="J2257" s="8" t="n">
        <v>9670</v>
      </c>
      <c r="K2257" s="8" t="n">
        <v>9525</v>
      </c>
      <c r="L2257" s="8" t="n">
        <v>439698</v>
      </c>
      <c r="M2257" s="8" t="n">
        <v>474088</v>
      </c>
      <c r="N2257" t="inlineStr">
        <is>
          <t>是</t>
        </is>
      </c>
    </row>
    <row r="2258">
      <c r="A2258" s="7" t="inlineStr">
        <is>
          <t>2016-10-27</t>
        </is>
      </c>
      <c r="B2258" s="8" t="n">
        <v>8099</v>
      </c>
      <c r="C2258" s="8" t="n">
        <v>8182</v>
      </c>
      <c r="D2258" s="8" t="n">
        <v>8197</v>
      </c>
      <c r="E2258" s="8" t="n">
        <v>8024</v>
      </c>
      <c r="F2258" s="8" t="n">
        <v>265224</v>
      </c>
      <c r="G2258" s="8" t="n">
        <v>669492</v>
      </c>
      <c r="H2258" s="8" t="n">
        <v>9565</v>
      </c>
      <c r="I2258" s="8" t="n">
        <v>9645</v>
      </c>
      <c r="J2258" s="8" t="n">
        <v>9660</v>
      </c>
      <c r="K2258" s="8" t="n">
        <v>9545</v>
      </c>
      <c r="L2258" s="8" t="n">
        <v>336396</v>
      </c>
      <c r="M2258" s="8" t="n">
        <v>467376</v>
      </c>
      <c r="N2258" t="inlineStr">
        <is>
          <t>是</t>
        </is>
      </c>
    </row>
    <row r="2259">
      <c r="A2259" s="7" t="inlineStr">
        <is>
          <t>2016-10-28</t>
        </is>
      </c>
      <c r="B2259" s="8" t="n">
        <v>8407</v>
      </c>
      <c r="C2259" s="8" t="n">
        <v>8099</v>
      </c>
      <c r="D2259" s="8" t="n">
        <v>8430</v>
      </c>
      <c r="E2259" s="8" t="n">
        <v>8099</v>
      </c>
      <c r="F2259" s="8" t="n">
        <v>464784</v>
      </c>
      <c r="G2259" s="8" t="n">
        <v>717478</v>
      </c>
      <c r="H2259" s="8" t="n">
        <v>9870</v>
      </c>
      <c r="I2259" s="8" t="n">
        <v>9595</v>
      </c>
      <c r="J2259" s="8" t="n">
        <v>9895</v>
      </c>
      <c r="K2259" s="8" t="n">
        <v>9565</v>
      </c>
      <c r="L2259" s="8" t="n">
        <v>519192</v>
      </c>
      <c r="M2259" s="8" t="n">
        <v>494104</v>
      </c>
      <c r="N2259" t="inlineStr">
        <is>
          <t>是</t>
        </is>
      </c>
    </row>
    <row r="2260">
      <c r="A2260" s="7" t="inlineStr">
        <is>
          <t>2016-10-31</t>
        </is>
      </c>
      <c r="B2260" s="8" t="n">
        <v>8733</v>
      </c>
      <c r="C2260" s="8" t="n">
        <v>8370</v>
      </c>
      <c r="D2260" s="8" t="n">
        <v>8733</v>
      </c>
      <c r="E2260" s="8" t="n">
        <v>8358</v>
      </c>
      <c r="F2260" s="8" t="n">
        <v>591396</v>
      </c>
      <c r="G2260" s="8" t="n">
        <v>678532</v>
      </c>
      <c r="H2260" s="8" t="n">
        <v>10045</v>
      </c>
      <c r="I2260" s="8" t="n">
        <v>9840</v>
      </c>
      <c r="J2260" s="8" t="n">
        <v>10215</v>
      </c>
      <c r="K2260" s="8" t="n">
        <v>9810</v>
      </c>
      <c r="L2260" s="8" t="n">
        <v>761874</v>
      </c>
      <c r="M2260" s="8" t="n">
        <v>461834</v>
      </c>
      <c r="N2260" t="inlineStr">
        <is>
          <t>是</t>
        </is>
      </c>
    </row>
    <row r="2261">
      <c r="A2261" s="7" t="inlineStr">
        <is>
          <t>2016-11-01</t>
        </is>
      </c>
      <c r="B2261" s="8" t="n">
        <v>8672</v>
      </c>
      <c r="C2261" s="8" t="n">
        <v>8660</v>
      </c>
      <c r="D2261" s="8" t="n">
        <v>8755</v>
      </c>
      <c r="E2261" s="8" t="n">
        <v>8550</v>
      </c>
      <c r="F2261" s="8" t="n">
        <v>358858</v>
      </c>
      <c r="G2261" s="8" t="n">
        <v>641048</v>
      </c>
      <c r="H2261" s="8" t="n">
        <v>10110</v>
      </c>
      <c r="I2261" s="8" t="n">
        <v>9950</v>
      </c>
      <c r="J2261" s="8" t="n">
        <v>10145</v>
      </c>
      <c r="K2261" s="8" t="n">
        <v>9895</v>
      </c>
      <c r="L2261" s="8" t="n">
        <v>493054</v>
      </c>
      <c r="M2261" s="8" t="n">
        <v>443132</v>
      </c>
      <c r="N2261" t="inlineStr">
        <is>
          <t>是</t>
        </is>
      </c>
    </row>
    <row r="2262">
      <c r="A2262" s="7" t="inlineStr">
        <is>
          <t>2016-11-02</t>
        </is>
      </c>
      <c r="B2262" s="8" t="n">
        <v>8428</v>
      </c>
      <c r="C2262" s="8" t="n">
        <v>8672</v>
      </c>
      <c r="D2262" s="8" t="n">
        <v>8777</v>
      </c>
      <c r="E2262" s="8" t="n">
        <v>8368</v>
      </c>
      <c r="F2262" s="8" t="n">
        <v>527830</v>
      </c>
      <c r="G2262" s="8" t="n">
        <v>613894</v>
      </c>
      <c r="H2262" s="8" t="n">
        <v>9945</v>
      </c>
      <c r="I2262" s="8" t="n">
        <v>10095</v>
      </c>
      <c r="J2262" s="8" t="n">
        <v>10175</v>
      </c>
      <c r="K2262" s="8" t="n">
        <v>9870</v>
      </c>
      <c r="L2262" s="8" t="n">
        <v>536444</v>
      </c>
      <c r="M2262" s="8" t="n">
        <v>432392</v>
      </c>
      <c r="N2262" t="inlineStr">
        <is>
          <t>是</t>
        </is>
      </c>
    </row>
    <row r="2263">
      <c r="A2263" s="7" t="inlineStr">
        <is>
          <t>2016-11-03</t>
        </is>
      </c>
      <c r="B2263" s="8" t="n">
        <v>8500</v>
      </c>
      <c r="C2263" s="8" t="n">
        <v>8439</v>
      </c>
      <c r="D2263" s="8" t="n">
        <v>8535</v>
      </c>
      <c r="E2263" s="8" t="n">
        <v>8386</v>
      </c>
      <c r="F2263" s="8" t="n">
        <v>288526</v>
      </c>
      <c r="G2263" s="8" t="n">
        <v>587338</v>
      </c>
      <c r="H2263" s="8" t="n">
        <v>10035</v>
      </c>
      <c r="I2263" s="8" t="n">
        <v>9945</v>
      </c>
      <c r="J2263" s="8" t="n">
        <v>10060</v>
      </c>
      <c r="K2263" s="8" t="n">
        <v>9915</v>
      </c>
      <c r="L2263" s="8" t="n">
        <v>371002</v>
      </c>
      <c r="M2263" s="8" t="n">
        <v>438312</v>
      </c>
      <c r="N2263" t="inlineStr">
        <is>
          <t>是</t>
        </is>
      </c>
    </row>
    <row r="2264">
      <c r="A2264" s="7" t="inlineStr">
        <is>
          <t>2016-11-04</t>
        </is>
      </c>
      <c r="B2264" s="8" t="n">
        <v>8274</v>
      </c>
      <c r="C2264" s="8" t="n">
        <v>8531</v>
      </c>
      <c r="D2264" s="8" t="n">
        <v>8672</v>
      </c>
      <c r="E2264" s="8" t="n">
        <v>8255</v>
      </c>
      <c r="F2264" s="8" t="n">
        <v>565234</v>
      </c>
      <c r="G2264" s="8" t="n">
        <v>618982</v>
      </c>
      <c r="H2264" s="8" t="n">
        <v>9865</v>
      </c>
      <c r="I2264" s="8" t="n">
        <v>10065</v>
      </c>
      <c r="J2264" s="8" t="n">
        <v>10125</v>
      </c>
      <c r="K2264" s="8" t="n">
        <v>9820</v>
      </c>
      <c r="L2264" s="8" t="n">
        <v>544380</v>
      </c>
      <c r="M2264" s="8" t="n">
        <v>421330</v>
      </c>
      <c r="N2264" t="inlineStr">
        <is>
          <t>是</t>
        </is>
      </c>
    </row>
    <row r="2265">
      <c r="A2265" s="7" t="inlineStr">
        <is>
          <t>2016-11-07</t>
        </is>
      </c>
      <c r="B2265" s="8" t="n">
        <v>8273</v>
      </c>
      <c r="C2265" s="8" t="n">
        <v>8324</v>
      </c>
      <c r="D2265" s="8" t="n">
        <v>8469</v>
      </c>
      <c r="E2265" s="8" t="n">
        <v>8240</v>
      </c>
      <c r="F2265" s="8" t="n">
        <v>425584</v>
      </c>
      <c r="G2265" s="8" t="n">
        <v>564222</v>
      </c>
      <c r="H2265" s="8" t="n">
        <v>9790</v>
      </c>
      <c r="I2265" s="8" t="n">
        <v>9900</v>
      </c>
      <c r="J2265" s="8" t="n">
        <v>9990</v>
      </c>
      <c r="K2265" s="8" t="n">
        <v>9785</v>
      </c>
      <c r="L2265" s="8" t="n">
        <v>516860</v>
      </c>
      <c r="M2265" s="8" t="n">
        <v>415660</v>
      </c>
      <c r="N2265" t="inlineStr">
        <is>
          <t>是</t>
        </is>
      </c>
    </row>
    <row r="2266">
      <c r="A2266" s="7" t="inlineStr">
        <is>
          <t>2016-11-08</t>
        </is>
      </c>
      <c r="B2266" s="8" t="n">
        <v>8536</v>
      </c>
      <c r="C2266" s="8" t="n">
        <v>8330</v>
      </c>
      <c r="D2266" s="8" t="n">
        <v>8583</v>
      </c>
      <c r="E2266" s="8" t="n">
        <v>8274</v>
      </c>
      <c r="F2266" s="8" t="n">
        <v>447348</v>
      </c>
      <c r="G2266" s="8" t="n">
        <v>572844</v>
      </c>
      <c r="H2266" s="8" t="n">
        <v>9990</v>
      </c>
      <c r="I2266" s="8" t="n">
        <v>9800</v>
      </c>
      <c r="J2266" s="8" t="n">
        <v>10090</v>
      </c>
      <c r="K2266" s="8" t="n">
        <v>9780</v>
      </c>
      <c r="L2266" s="8" t="n">
        <v>488390</v>
      </c>
      <c r="M2266" s="8" t="n">
        <v>410376</v>
      </c>
      <c r="N2266" t="inlineStr">
        <is>
          <t>是</t>
        </is>
      </c>
    </row>
    <row r="2267">
      <c r="A2267" s="7" t="inlineStr">
        <is>
          <t>2016-11-09</t>
        </is>
      </c>
      <c r="B2267" s="8" t="n">
        <v>8808</v>
      </c>
      <c r="C2267" s="8" t="n">
        <v>8551</v>
      </c>
      <c r="D2267" s="8" t="n">
        <v>8847</v>
      </c>
      <c r="E2267" s="8" t="n">
        <v>8551</v>
      </c>
      <c r="F2267" s="8" t="n">
        <v>534220</v>
      </c>
      <c r="G2267" s="8" t="n">
        <v>601948</v>
      </c>
      <c r="H2267" s="8" t="n">
        <v>10240</v>
      </c>
      <c r="I2267" s="8" t="n">
        <v>10050</v>
      </c>
      <c r="J2267" s="8" t="n">
        <v>10335</v>
      </c>
      <c r="K2267" s="8" t="n">
        <v>10010</v>
      </c>
      <c r="L2267" s="8" t="n">
        <v>728156</v>
      </c>
      <c r="M2267" s="8" t="n">
        <v>391384</v>
      </c>
      <c r="N2267" t="inlineStr">
        <is>
          <t>是</t>
        </is>
      </c>
    </row>
    <row r="2268">
      <c r="A2268" s="7" t="inlineStr">
        <is>
          <t>2016-11-10</t>
        </is>
      </c>
      <c r="B2268" s="8" t="n">
        <v>8909</v>
      </c>
      <c r="C2268" s="8" t="n">
        <v>8790</v>
      </c>
      <c r="D2268" s="8" t="n">
        <v>8926</v>
      </c>
      <c r="E2268" s="8" t="n">
        <v>8661</v>
      </c>
      <c r="F2268" s="8" t="n">
        <v>450948</v>
      </c>
      <c r="G2268" s="8" t="n">
        <v>506670</v>
      </c>
      <c r="H2268" s="8" t="n">
        <v>10260</v>
      </c>
      <c r="I2268" s="8" t="n">
        <v>10230</v>
      </c>
      <c r="J2268" s="8" t="n">
        <v>10335</v>
      </c>
      <c r="K2268" s="8" t="n">
        <v>10130</v>
      </c>
      <c r="L2268" s="8" t="n">
        <v>435148</v>
      </c>
      <c r="M2268" s="8" t="n">
        <v>381192</v>
      </c>
      <c r="N2268" t="inlineStr">
        <is>
          <t>是</t>
        </is>
      </c>
    </row>
    <row r="2269">
      <c r="A2269" s="7" t="inlineStr">
        <is>
          <t>2016-11-11</t>
        </is>
      </c>
      <c r="B2269" s="8" t="n">
        <v>9070</v>
      </c>
      <c r="C2269" s="8" t="n">
        <v>8975</v>
      </c>
      <c r="D2269" s="8" t="n">
        <v>9258</v>
      </c>
      <c r="E2269" s="8" t="n">
        <v>8950</v>
      </c>
      <c r="F2269" s="8" t="n">
        <v>505490</v>
      </c>
      <c r="G2269" s="8" t="n">
        <v>531450</v>
      </c>
      <c r="H2269" s="8" t="n">
        <v>10275</v>
      </c>
      <c r="I2269" s="8" t="n">
        <v>10265</v>
      </c>
      <c r="J2269" s="8" t="n">
        <v>10615</v>
      </c>
      <c r="K2269" s="8" t="n">
        <v>10220</v>
      </c>
      <c r="L2269" s="8" t="n">
        <v>736660</v>
      </c>
      <c r="M2269" s="8" t="n">
        <v>379444</v>
      </c>
      <c r="N2269" t="inlineStr">
        <is>
          <t>是</t>
        </is>
      </c>
    </row>
    <row r="2270">
      <c r="A2270" s="7" t="inlineStr">
        <is>
          <t>2016-11-14</t>
        </is>
      </c>
      <c r="B2270" s="8" t="n">
        <v>8663</v>
      </c>
      <c r="C2270" s="8" t="n">
        <v>8722</v>
      </c>
      <c r="D2270" s="8" t="n">
        <v>8808</v>
      </c>
      <c r="E2270" s="8" t="n">
        <v>8663</v>
      </c>
      <c r="F2270" s="8" t="n">
        <v>296322</v>
      </c>
      <c r="G2270" s="8" t="n">
        <v>462062</v>
      </c>
      <c r="H2270" s="8" t="n">
        <v>9875</v>
      </c>
      <c r="I2270" s="8" t="n">
        <v>9950</v>
      </c>
      <c r="J2270" s="8" t="n">
        <v>9995</v>
      </c>
      <c r="K2270" s="8" t="n">
        <v>9875</v>
      </c>
      <c r="L2270" s="8" t="n">
        <v>353710</v>
      </c>
      <c r="M2270" s="8" t="n">
        <v>358748</v>
      </c>
      <c r="N2270" t="inlineStr">
        <is>
          <t>是</t>
        </is>
      </c>
    </row>
    <row r="2271">
      <c r="A2271" s="7" t="inlineStr">
        <is>
          <t>2016-11-15</t>
        </is>
      </c>
      <c r="B2271" s="8" t="n">
        <v>8556</v>
      </c>
      <c r="C2271" s="8" t="n">
        <v>8663</v>
      </c>
      <c r="D2271" s="8" t="n">
        <v>8845</v>
      </c>
      <c r="E2271" s="8" t="n">
        <v>8386</v>
      </c>
      <c r="F2271" s="8" t="n">
        <v>507802</v>
      </c>
      <c r="G2271" s="8" t="n">
        <v>439788</v>
      </c>
      <c r="H2271" s="8" t="n">
        <v>9665</v>
      </c>
      <c r="I2271" s="8" t="n">
        <v>9875</v>
      </c>
      <c r="J2271" s="8" t="n">
        <v>10005</v>
      </c>
      <c r="K2271" s="8" t="n">
        <v>9500</v>
      </c>
      <c r="L2271" s="8" t="n">
        <v>672412</v>
      </c>
      <c r="M2271" s="8" t="n">
        <v>315400</v>
      </c>
      <c r="N2271" t="inlineStr">
        <is>
          <t>是</t>
        </is>
      </c>
    </row>
    <row r="2272">
      <c r="A2272" s="7" t="inlineStr">
        <is>
          <t>2016-11-16</t>
        </is>
      </c>
      <c r="B2272" s="8" t="n">
        <v>8553</v>
      </c>
      <c r="C2272" s="8" t="n">
        <v>8650</v>
      </c>
      <c r="D2272" s="8" t="n">
        <v>8739</v>
      </c>
      <c r="E2272" s="8" t="n">
        <v>8420</v>
      </c>
      <c r="F2272" s="8" t="n">
        <v>306564</v>
      </c>
      <c r="G2272" s="8" t="n">
        <v>399880</v>
      </c>
      <c r="H2272" s="8" t="n">
        <v>9720</v>
      </c>
      <c r="I2272" s="8" t="n">
        <v>9770</v>
      </c>
      <c r="J2272" s="8" t="n">
        <v>9800</v>
      </c>
      <c r="K2272" s="8" t="n">
        <v>9620</v>
      </c>
      <c r="L2272" s="8" t="n">
        <v>426878</v>
      </c>
      <c r="M2272" s="8" t="n">
        <v>316734</v>
      </c>
      <c r="N2272" t="inlineStr">
        <is>
          <t>是</t>
        </is>
      </c>
    </row>
    <row r="2273">
      <c r="A2273" s="7" t="inlineStr">
        <is>
          <t>2016-11-17</t>
        </is>
      </c>
      <c r="B2273" s="8" t="n">
        <v>8512</v>
      </c>
      <c r="C2273" s="8" t="n">
        <v>8570</v>
      </c>
      <c r="D2273" s="8" t="n">
        <v>8602</v>
      </c>
      <c r="E2273" s="8" t="n">
        <v>8450</v>
      </c>
      <c r="F2273" s="8" t="n">
        <v>249974</v>
      </c>
      <c r="G2273" s="8" t="n">
        <v>410144</v>
      </c>
      <c r="H2273" s="8" t="n">
        <v>9655</v>
      </c>
      <c r="I2273" s="8" t="n">
        <v>9700</v>
      </c>
      <c r="J2273" s="8" t="n">
        <v>9710</v>
      </c>
      <c r="K2273" s="8" t="n">
        <v>9585</v>
      </c>
      <c r="L2273" s="8" t="n">
        <v>284792</v>
      </c>
      <c r="M2273" s="8" t="n">
        <v>299842</v>
      </c>
      <c r="N2273" t="inlineStr">
        <is>
          <t>是</t>
        </is>
      </c>
    </row>
    <row r="2274">
      <c r="A2274" s="7" t="inlineStr">
        <is>
          <t>2016-11-18</t>
        </is>
      </c>
      <c r="B2274" s="8" t="n">
        <v>8308</v>
      </c>
      <c r="C2274" s="8" t="n">
        <v>8500</v>
      </c>
      <c r="D2274" s="8" t="n">
        <v>8511</v>
      </c>
      <c r="E2274" s="8" t="n">
        <v>8250</v>
      </c>
      <c r="F2274" s="8" t="n">
        <v>342502</v>
      </c>
      <c r="G2274" s="8" t="n">
        <v>414098</v>
      </c>
      <c r="H2274" s="8" t="n">
        <v>9420</v>
      </c>
      <c r="I2274" s="8" t="n">
        <v>9620</v>
      </c>
      <c r="J2274" s="8" t="n">
        <v>9635</v>
      </c>
      <c r="K2274" s="8" t="n">
        <v>9400</v>
      </c>
      <c r="L2274" s="8" t="n">
        <v>416232</v>
      </c>
      <c r="M2274" s="8" t="n">
        <v>287458</v>
      </c>
      <c r="N2274" t="inlineStr">
        <is>
          <t>是</t>
        </is>
      </c>
    </row>
    <row r="2275">
      <c r="A2275" s="7" t="inlineStr">
        <is>
          <t>2016-11-21</t>
        </is>
      </c>
      <c r="B2275" s="8" t="n">
        <v>8515</v>
      </c>
      <c r="C2275" s="8" t="n">
        <v>8276</v>
      </c>
      <c r="D2275" s="8" t="n">
        <v>8585</v>
      </c>
      <c r="E2275" s="8" t="n">
        <v>8276</v>
      </c>
      <c r="F2275" s="8" t="n">
        <v>351556</v>
      </c>
      <c r="G2275" s="8" t="n">
        <v>402032</v>
      </c>
      <c r="H2275" s="8" t="n">
        <v>9610</v>
      </c>
      <c r="I2275" s="8" t="n">
        <v>9400</v>
      </c>
      <c r="J2275" s="8" t="n">
        <v>9665</v>
      </c>
      <c r="K2275" s="8" t="n">
        <v>9390</v>
      </c>
      <c r="L2275" s="8" t="n">
        <v>379114</v>
      </c>
      <c r="M2275" s="8" t="n">
        <v>285638</v>
      </c>
      <c r="N2275" t="inlineStr">
        <is>
          <t>是</t>
        </is>
      </c>
    </row>
    <row r="2276">
      <c r="A2276" s="7" t="inlineStr">
        <is>
          <t>2016-11-22</t>
        </is>
      </c>
      <c r="B2276" s="8" t="n">
        <v>8747</v>
      </c>
      <c r="C2276" s="8" t="n">
        <v>8590</v>
      </c>
      <c r="D2276" s="8" t="n">
        <v>8796</v>
      </c>
      <c r="E2276" s="8" t="n">
        <v>8590</v>
      </c>
      <c r="F2276" s="8" t="n">
        <v>340828</v>
      </c>
      <c r="G2276" s="8" t="n">
        <v>418960</v>
      </c>
      <c r="H2276" s="8" t="n">
        <v>9775</v>
      </c>
      <c r="I2276" s="8" t="n">
        <v>9675</v>
      </c>
      <c r="J2276" s="8" t="n">
        <v>9840</v>
      </c>
      <c r="K2276" s="8" t="n">
        <v>9675</v>
      </c>
      <c r="L2276" s="8" t="n">
        <v>391896</v>
      </c>
      <c r="M2276" s="8" t="n">
        <v>270704</v>
      </c>
      <c r="N2276" t="inlineStr">
        <is>
          <t>是</t>
        </is>
      </c>
    </row>
    <row r="2277">
      <c r="A2277" s="7" t="inlineStr">
        <is>
          <t>2016-11-23</t>
        </is>
      </c>
      <c r="B2277" s="8" t="n">
        <v>8514</v>
      </c>
      <c r="C2277" s="8" t="n">
        <v>8757</v>
      </c>
      <c r="D2277" s="8" t="n">
        <v>8800</v>
      </c>
      <c r="E2277" s="8" t="n">
        <v>8453</v>
      </c>
      <c r="F2277" s="8" t="n">
        <v>366486</v>
      </c>
      <c r="G2277" s="8" t="n">
        <v>376038</v>
      </c>
      <c r="H2277" s="8" t="n">
        <v>9525</v>
      </c>
      <c r="I2277" s="8" t="n">
        <v>9800</v>
      </c>
      <c r="J2277" s="8" t="n">
        <v>9820</v>
      </c>
      <c r="K2277" s="8" t="n">
        <v>9460</v>
      </c>
      <c r="L2277" s="8" t="n">
        <v>452542</v>
      </c>
      <c r="M2277" s="8" t="n">
        <v>262830</v>
      </c>
      <c r="N2277" t="inlineStr">
        <is>
          <t>是</t>
        </is>
      </c>
    </row>
    <row r="2278">
      <c r="A2278" s="7" t="inlineStr">
        <is>
          <t>2016-11-24</t>
        </is>
      </c>
      <c r="B2278" s="8" t="n">
        <v>8464</v>
      </c>
      <c r="C2278" s="8" t="n">
        <v>8600</v>
      </c>
      <c r="D2278" s="8" t="n">
        <v>8765</v>
      </c>
      <c r="E2278" s="8" t="n">
        <v>8420</v>
      </c>
      <c r="F2278" s="8" t="n">
        <v>362596</v>
      </c>
      <c r="G2278" s="8" t="n">
        <v>349150</v>
      </c>
      <c r="H2278" s="8" t="n">
        <v>9325</v>
      </c>
      <c r="I2278" s="8" t="n">
        <v>9590</v>
      </c>
      <c r="J2278" s="8" t="n">
        <v>9750</v>
      </c>
      <c r="K2278" s="8" t="n">
        <v>9300</v>
      </c>
      <c r="L2278" s="8" t="n">
        <v>550376</v>
      </c>
      <c r="M2278" s="8" t="n">
        <v>250458</v>
      </c>
      <c r="N2278" t="inlineStr">
        <is>
          <t>是</t>
        </is>
      </c>
    </row>
    <row r="2279">
      <c r="A2279" s="7" t="inlineStr">
        <is>
          <t>2016-11-25</t>
        </is>
      </c>
      <c r="B2279" s="8" t="n">
        <v>8396</v>
      </c>
      <c r="C2279" s="8" t="n">
        <v>8475</v>
      </c>
      <c r="D2279" s="8" t="n">
        <v>8544</v>
      </c>
      <c r="E2279" s="8" t="n">
        <v>8345</v>
      </c>
      <c r="F2279" s="8" t="n">
        <v>225240</v>
      </c>
      <c r="G2279" s="8" t="n">
        <v>313254</v>
      </c>
      <c r="H2279" s="8" t="n">
        <v>9335</v>
      </c>
      <c r="I2279" s="8" t="n">
        <v>9335</v>
      </c>
      <c r="J2279" s="8" t="n">
        <v>9475</v>
      </c>
      <c r="K2279" s="8" t="n">
        <v>9325</v>
      </c>
      <c r="L2279" s="8" t="n">
        <v>302420</v>
      </c>
      <c r="M2279" s="8" t="n">
        <v>213788</v>
      </c>
      <c r="N2279" t="inlineStr">
        <is>
          <t>是</t>
        </is>
      </c>
    </row>
    <row r="2280">
      <c r="A2280" s="7" t="inlineStr">
        <is>
          <t>2016-11-28</t>
        </is>
      </c>
      <c r="B2280" s="8" t="n">
        <v>8478</v>
      </c>
      <c r="C2280" s="8" t="n">
        <v>8352</v>
      </c>
      <c r="D2280" s="8" t="n">
        <v>8556</v>
      </c>
      <c r="E2280" s="8" t="n">
        <v>8326</v>
      </c>
      <c r="F2280" s="8" t="n">
        <v>239098</v>
      </c>
      <c r="G2280" s="8" t="n">
        <v>309848</v>
      </c>
      <c r="H2280" s="8" t="n">
        <v>9655</v>
      </c>
      <c r="I2280" s="8" t="n">
        <v>9360</v>
      </c>
      <c r="J2280" s="8" t="n">
        <v>9705</v>
      </c>
      <c r="K2280" s="8" t="n">
        <v>9290</v>
      </c>
      <c r="L2280" s="8" t="n">
        <v>341782</v>
      </c>
      <c r="M2280" s="8" t="n">
        <v>232256</v>
      </c>
      <c r="N2280" t="inlineStr">
        <is>
          <t>是</t>
        </is>
      </c>
    </row>
    <row r="2281">
      <c r="A2281" s="7" t="inlineStr">
        <is>
          <t>2016-11-29</t>
        </is>
      </c>
      <c r="B2281" s="8" t="n">
        <v>8361</v>
      </c>
      <c r="C2281" s="8" t="n">
        <v>8508</v>
      </c>
      <c r="D2281" s="8" t="n">
        <v>8508</v>
      </c>
      <c r="E2281" s="8" t="n">
        <v>8190</v>
      </c>
      <c r="F2281" s="8" t="n">
        <v>326016</v>
      </c>
      <c r="G2281" s="8" t="n">
        <v>261470</v>
      </c>
      <c r="H2281" s="8" t="n">
        <v>9540</v>
      </c>
      <c r="I2281" s="8" t="n">
        <v>9625</v>
      </c>
      <c r="J2281" s="8" t="n">
        <v>9660</v>
      </c>
      <c r="K2281" s="8" t="n">
        <v>9410</v>
      </c>
      <c r="L2281" s="8" t="n">
        <v>490096</v>
      </c>
      <c r="M2281" s="8" t="n">
        <v>260004</v>
      </c>
      <c r="N2281" t="inlineStr">
        <is>
          <t>是</t>
        </is>
      </c>
    </row>
    <row r="2282">
      <c r="A2282" s="7" t="inlineStr">
        <is>
          <t>2016-11-30</t>
        </is>
      </c>
      <c r="B2282" s="8" t="n">
        <v>8187</v>
      </c>
      <c r="C2282" s="8" t="n">
        <v>8207</v>
      </c>
      <c r="D2282" s="8" t="n">
        <v>8354</v>
      </c>
      <c r="E2282" s="8" t="n">
        <v>8100</v>
      </c>
      <c r="F2282" s="8" t="n">
        <v>218440</v>
      </c>
      <c r="G2282" s="8" t="n">
        <v>226408</v>
      </c>
      <c r="H2282" s="8" t="n">
        <v>9265</v>
      </c>
      <c r="I2282" s="8" t="n">
        <v>9405</v>
      </c>
      <c r="J2282" s="8" t="n">
        <v>9480</v>
      </c>
      <c r="K2282" s="8" t="n">
        <v>9195</v>
      </c>
      <c r="L2282" s="8" t="n">
        <v>488166</v>
      </c>
      <c r="M2282" s="8" t="n">
        <v>280780</v>
      </c>
      <c r="N2282" t="inlineStr">
        <is>
          <t>是</t>
        </is>
      </c>
    </row>
    <row r="2283">
      <c r="A2283" s="7" t="inlineStr">
        <is>
          <t>2016-12-01</t>
        </is>
      </c>
      <c r="B2283" s="8" t="n">
        <v>8330</v>
      </c>
      <c r="C2283" s="8" t="n">
        <v>8211</v>
      </c>
      <c r="D2283" s="8" t="n">
        <v>8448</v>
      </c>
      <c r="E2283" s="8" t="n">
        <v>8211</v>
      </c>
      <c r="F2283" s="8" t="n">
        <v>235588</v>
      </c>
      <c r="G2283" s="8" t="n">
        <v>303868</v>
      </c>
      <c r="H2283" s="8" t="n">
        <v>9375</v>
      </c>
      <c r="I2283" s="8" t="n">
        <v>9420</v>
      </c>
      <c r="J2283" s="8" t="n">
        <v>9480</v>
      </c>
      <c r="K2283" s="8" t="n">
        <v>9340</v>
      </c>
      <c r="L2283" s="8" t="n">
        <v>405480</v>
      </c>
      <c r="M2283" s="8" t="n">
        <v>265834</v>
      </c>
      <c r="N2283" t="inlineStr">
        <is>
          <t>是</t>
        </is>
      </c>
    </row>
    <row r="2284">
      <c r="A2284" s="7" t="inlineStr">
        <is>
          <t>2016-12-02</t>
        </is>
      </c>
      <c r="B2284" s="8" t="n">
        <v>8498</v>
      </c>
      <c r="C2284" s="8" t="n">
        <v>8388</v>
      </c>
      <c r="D2284" s="8" t="n">
        <v>8550</v>
      </c>
      <c r="E2284" s="8" t="n">
        <v>8322</v>
      </c>
      <c r="F2284" s="8" t="n">
        <v>363040</v>
      </c>
      <c r="G2284" s="8" t="n">
        <v>366328</v>
      </c>
      <c r="H2284" s="8" t="n">
        <v>9545</v>
      </c>
      <c r="I2284" s="8" t="n">
        <v>9400</v>
      </c>
      <c r="J2284" s="8" t="n">
        <v>9615</v>
      </c>
      <c r="K2284" s="8" t="n">
        <v>9390</v>
      </c>
      <c r="L2284" s="8" t="n">
        <v>544042</v>
      </c>
      <c r="M2284" s="8" t="n">
        <v>281792</v>
      </c>
      <c r="N2284" t="inlineStr">
        <is>
          <t>是</t>
        </is>
      </c>
    </row>
    <row r="2285">
      <c r="A2285" s="7" t="inlineStr">
        <is>
          <t>2016-12-05</t>
        </is>
      </c>
      <c r="B2285" s="8" t="n">
        <v>8875</v>
      </c>
      <c r="C2285" s="8" t="n">
        <v>8540</v>
      </c>
      <c r="D2285" s="8" t="n">
        <v>8883</v>
      </c>
      <c r="E2285" s="8" t="n">
        <v>8510</v>
      </c>
      <c r="F2285" s="8" t="n">
        <v>464512</v>
      </c>
      <c r="G2285" s="8" t="n">
        <v>413460</v>
      </c>
      <c r="H2285" s="8" t="n">
        <v>9930</v>
      </c>
      <c r="I2285" s="8" t="n">
        <v>9590</v>
      </c>
      <c r="J2285" s="8" t="n">
        <v>9960</v>
      </c>
      <c r="K2285" s="8" t="n">
        <v>9565</v>
      </c>
      <c r="L2285" s="8" t="n">
        <v>635248</v>
      </c>
      <c r="M2285" s="8" t="n">
        <v>307144</v>
      </c>
      <c r="N2285" t="inlineStr">
        <is>
          <t>是</t>
        </is>
      </c>
    </row>
    <row r="2286">
      <c r="A2286" s="7" t="inlineStr">
        <is>
          <t>2016-12-06</t>
        </is>
      </c>
      <c r="B2286" s="8" t="n">
        <v>8934</v>
      </c>
      <c r="C2286" s="8" t="n">
        <v>8880</v>
      </c>
      <c r="D2286" s="8" t="n">
        <v>8965</v>
      </c>
      <c r="E2286" s="8" t="n">
        <v>8810</v>
      </c>
      <c r="F2286" s="8" t="n">
        <v>345314</v>
      </c>
      <c r="G2286" s="8" t="n">
        <v>435124</v>
      </c>
      <c r="H2286" s="8" t="n">
        <v>9920</v>
      </c>
      <c r="I2286" s="8" t="n">
        <v>9960</v>
      </c>
      <c r="J2286" s="8" t="n">
        <v>9990</v>
      </c>
      <c r="K2286" s="8" t="n">
        <v>9850</v>
      </c>
      <c r="L2286" s="8" t="n">
        <v>353298</v>
      </c>
      <c r="M2286" s="8" t="n">
        <v>301344</v>
      </c>
      <c r="N2286" t="inlineStr">
        <is>
          <t>是</t>
        </is>
      </c>
    </row>
    <row r="2287">
      <c r="A2287" s="7" t="inlineStr">
        <is>
          <t>2016-12-07</t>
        </is>
      </c>
      <c r="B2287" s="8" t="n">
        <v>9315</v>
      </c>
      <c r="C2287" s="8" t="n">
        <v>9000</v>
      </c>
      <c r="D2287" s="8" t="n">
        <v>9326</v>
      </c>
      <c r="E2287" s="8" t="n">
        <v>8968</v>
      </c>
      <c r="F2287" s="8" t="n">
        <v>487228</v>
      </c>
      <c r="G2287" s="8" t="n">
        <v>464030</v>
      </c>
      <c r="H2287" s="8" t="n">
        <v>10155</v>
      </c>
      <c r="I2287" s="8" t="n">
        <v>9930</v>
      </c>
      <c r="J2287" s="8" t="n">
        <v>10330</v>
      </c>
      <c r="K2287" s="8" t="n">
        <v>9925</v>
      </c>
      <c r="L2287" s="8" t="n">
        <v>640478</v>
      </c>
      <c r="M2287" s="8" t="n">
        <v>306578</v>
      </c>
      <c r="N2287" t="inlineStr">
        <is>
          <t>是</t>
        </is>
      </c>
    </row>
    <row r="2288">
      <c r="A2288" s="7" t="inlineStr">
        <is>
          <t>2016-12-08</t>
        </is>
      </c>
      <c r="B2288" s="8" t="n">
        <v>9266</v>
      </c>
      <c r="C2288" s="8" t="n">
        <v>9200</v>
      </c>
      <c r="D2288" s="8" t="n">
        <v>9348</v>
      </c>
      <c r="E2288" s="8" t="n">
        <v>9157</v>
      </c>
      <c r="F2288" s="8" t="n">
        <v>384248</v>
      </c>
      <c r="G2288" s="8" t="n">
        <v>441050</v>
      </c>
      <c r="H2288" s="8" t="n">
        <v>10180</v>
      </c>
      <c r="I2288" s="8" t="n">
        <v>10090</v>
      </c>
      <c r="J2288" s="8" t="n">
        <v>10290</v>
      </c>
      <c r="K2288" s="8" t="n">
        <v>10005</v>
      </c>
      <c r="L2288" s="8" t="n">
        <v>545156</v>
      </c>
      <c r="M2288" s="8" t="n">
        <v>320500</v>
      </c>
      <c r="N2288" t="inlineStr">
        <is>
          <t>是</t>
        </is>
      </c>
    </row>
    <row r="2289">
      <c r="A2289" s="7" t="inlineStr">
        <is>
          <t>2016-12-09</t>
        </is>
      </c>
      <c r="B2289" s="8" t="n">
        <v>9449</v>
      </c>
      <c r="C2289" s="8" t="n">
        <v>9160</v>
      </c>
      <c r="D2289" s="8" t="n">
        <v>9510</v>
      </c>
      <c r="E2289" s="8" t="n">
        <v>9120</v>
      </c>
      <c r="F2289" s="8" t="n">
        <v>485178</v>
      </c>
      <c r="G2289" s="8" t="n">
        <v>492038</v>
      </c>
      <c r="H2289" s="8" t="n">
        <v>10355</v>
      </c>
      <c r="I2289" s="8" t="n">
        <v>10105</v>
      </c>
      <c r="J2289" s="8" t="n">
        <v>10440</v>
      </c>
      <c r="K2289" s="8" t="n">
        <v>10055</v>
      </c>
      <c r="L2289" s="8" t="n">
        <v>622776</v>
      </c>
      <c r="M2289" s="8" t="n">
        <v>347054</v>
      </c>
      <c r="N2289" t="inlineStr">
        <is>
          <t>是</t>
        </is>
      </c>
    </row>
    <row r="2290">
      <c r="A2290" s="7" t="inlineStr">
        <is>
          <t>2016-12-12</t>
        </is>
      </c>
      <c r="B2290" s="8" t="n">
        <v>9581</v>
      </c>
      <c r="C2290" s="8" t="n">
        <v>9620</v>
      </c>
      <c r="D2290" s="8" t="n">
        <v>9788</v>
      </c>
      <c r="E2290" s="8" t="n">
        <v>9517</v>
      </c>
      <c r="F2290" s="8" t="n">
        <v>387128</v>
      </c>
      <c r="G2290" s="8" t="n">
        <v>438644</v>
      </c>
      <c r="H2290" s="8" t="n">
        <v>10400</v>
      </c>
      <c r="I2290" s="8" t="n">
        <v>10515</v>
      </c>
      <c r="J2290" s="8" t="n">
        <v>10710</v>
      </c>
      <c r="K2290" s="8" t="n">
        <v>10360</v>
      </c>
      <c r="L2290" s="8" t="n">
        <v>562598</v>
      </c>
      <c r="M2290" s="8" t="n">
        <v>326448</v>
      </c>
      <c r="N2290" t="inlineStr">
        <is>
          <t>是</t>
        </is>
      </c>
    </row>
    <row r="2291">
      <c r="A2291" s="7" t="inlineStr">
        <is>
          <t>2016-12-13</t>
        </is>
      </c>
      <c r="B2291" s="8" t="n">
        <v>9670</v>
      </c>
      <c r="C2291" s="8" t="n">
        <v>9550</v>
      </c>
      <c r="D2291" s="8" t="n">
        <v>9740</v>
      </c>
      <c r="E2291" s="8" t="n">
        <v>9462</v>
      </c>
      <c r="F2291" s="8" t="n">
        <v>349562</v>
      </c>
      <c r="G2291" s="8" t="n">
        <v>469196</v>
      </c>
      <c r="H2291" s="8" t="n">
        <v>10450</v>
      </c>
      <c r="I2291" s="8" t="n">
        <v>10370</v>
      </c>
      <c r="J2291" s="8" t="n">
        <v>10525</v>
      </c>
      <c r="K2291" s="8" t="n">
        <v>10325</v>
      </c>
      <c r="L2291" s="8" t="n">
        <v>363292</v>
      </c>
      <c r="M2291" s="8" t="n">
        <v>341996</v>
      </c>
      <c r="N2291" t="inlineStr">
        <is>
          <t>是</t>
        </is>
      </c>
    </row>
    <row r="2292">
      <c r="A2292" s="7" t="inlineStr">
        <is>
          <t>2016-12-14</t>
        </is>
      </c>
      <c r="B2292" s="8" t="n">
        <v>9792</v>
      </c>
      <c r="C2292" s="8" t="n">
        <v>9590</v>
      </c>
      <c r="D2292" s="8" t="n">
        <v>9857</v>
      </c>
      <c r="E2292" s="8" t="n">
        <v>9572</v>
      </c>
      <c r="F2292" s="8" t="n">
        <v>524842</v>
      </c>
      <c r="G2292" s="8" t="n">
        <v>511112</v>
      </c>
      <c r="H2292" s="8" t="n">
        <v>10345</v>
      </c>
      <c r="I2292" s="8" t="n">
        <v>10370</v>
      </c>
      <c r="J2292" s="8" t="n">
        <v>10430</v>
      </c>
      <c r="K2292" s="8" t="n">
        <v>10250</v>
      </c>
      <c r="L2292" s="8" t="n">
        <v>497348</v>
      </c>
      <c r="M2292" s="8" t="n">
        <v>343614</v>
      </c>
      <c r="N2292" t="inlineStr">
        <is>
          <t>是</t>
        </is>
      </c>
    </row>
    <row r="2293">
      <c r="A2293" s="7" t="inlineStr">
        <is>
          <t>2016-12-15</t>
        </is>
      </c>
      <c r="B2293" s="8" t="n">
        <v>9719</v>
      </c>
      <c r="C2293" s="8" t="n">
        <v>9680</v>
      </c>
      <c r="D2293" s="8" t="n">
        <v>9830</v>
      </c>
      <c r="E2293" s="8" t="n">
        <v>9590</v>
      </c>
      <c r="F2293" s="8" t="n">
        <v>462032</v>
      </c>
      <c r="G2293" s="8" t="n">
        <v>484814</v>
      </c>
      <c r="H2293" s="8" t="n">
        <v>10220</v>
      </c>
      <c r="I2293" s="8" t="n">
        <v>10300</v>
      </c>
      <c r="J2293" s="8" t="n">
        <v>10345</v>
      </c>
      <c r="K2293" s="8" t="n">
        <v>10100</v>
      </c>
      <c r="L2293" s="8" t="n">
        <v>492350</v>
      </c>
      <c r="M2293" s="8" t="n">
        <v>325602</v>
      </c>
      <c r="N2293" t="inlineStr">
        <is>
          <t>是</t>
        </is>
      </c>
    </row>
    <row r="2294">
      <c r="A2294" s="7" t="inlineStr">
        <is>
          <t>2016-12-16</t>
        </is>
      </c>
      <c r="B2294" s="8" t="n">
        <v>9632</v>
      </c>
      <c r="C2294" s="8" t="n">
        <v>9749</v>
      </c>
      <c r="D2294" s="8" t="n">
        <v>9829</v>
      </c>
      <c r="E2294" s="8" t="n">
        <v>9551</v>
      </c>
      <c r="F2294" s="8" t="n">
        <v>431950</v>
      </c>
      <c r="G2294" s="8" t="n">
        <v>479402</v>
      </c>
      <c r="H2294" s="8" t="n">
        <v>10150</v>
      </c>
      <c r="I2294" s="8" t="n">
        <v>10250</v>
      </c>
      <c r="J2294" s="8" t="n">
        <v>10470</v>
      </c>
      <c r="K2294" s="8" t="n">
        <v>10100</v>
      </c>
      <c r="L2294" s="8" t="n">
        <v>601794</v>
      </c>
      <c r="M2294" s="8" t="n">
        <v>342856</v>
      </c>
      <c r="N2294" t="inlineStr">
        <is>
          <t>是</t>
        </is>
      </c>
    </row>
    <row r="2295">
      <c r="A2295" s="7" t="inlineStr">
        <is>
          <t>2016-12-19</t>
        </is>
      </c>
      <c r="B2295" s="8" t="n">
        <v>9243</v>
      </c>
      <c r="C2295" s="8" t="n">
        <v>9630</v>
      </c>
      <c r="D2295" s="8" t="n">
        <v>9663</v>
      </c>
      <c r="E2295" s="8" t="n">
        <v>9243</v>
      </c>
      <c r="F2295" s="8" t="n">
        <v>496700</v>
      </c>
      <c r="G2295" s="8" t="n">
        <v>470268</v>
      </c>
      <c r="H2295" s="8" t="n">
        <v>10025</v>
      </c>
      <c r="I2295" s="8" t="n">
        <v>10150</v>
      </c>
      <c r="J2295" s="8" t="n">
        <v>10205</v>
      </c>
      <c r="K2295" s="8" t="n">
        <v>10010</v>
      </c>
      <c r="L2295" s="8" t="n">
        <v>400812</v>
      </c>
      <c r="M2295" s="8" t="n">
        <v>329808</v>
      </c>
      <c r="N2295" t="inlineStr">
        <is>
          <t>是</t>
        </is>
      </c>
    </row>
    <row r="2296">
      <c r="A2296" s="7" t="inlineStr">
        <is>
          <t>2016-12-20</t>
        </is>
      </c>
      <c r="B2296" s="8" t="n">
        <v>9037</v>
      </c>
      <c r="C2296" s="8" t="n">
        <v>9213</v>
      </c>
      <c r="D2296" s="8" t="n">
        <v>9230</v>
      </c>
      <c r="E2296" s="8" t="n">
        <v>8972</v>
      </c>
      <c r="F2296" s="8" t="n">
        <v>485174</v>
      </c>
      <c r="G2296" s="8" t="n">
        <v>428454</v>
      </c>
      <c r="H2296" s="8" t="n">
        <v>9845</v>
      </c>
      <c r="I2296" s="8" t="n">
        <v>10035</v>
      </c>
      <c r="J2296" s="8" t="n">
        <v>10035</v>
      </c>
      <c r="K2296" s="8" t="n">
        <v>9780</v>
      </c>
      <c r="L2296" s="8" t="n">
        <v>505274</v>
      </c>
      <c r="M2296" s="8" t="n">
        <v>311468</v>
      </c>
      <c r="N2296" t="inlineStr">
        <is>
          <t>是</t>
        </is>
      </c>
    </row>
    <row r="2297">
      <c r="A2297" s="7" t="inlineStr">
        <is>
          <t>2016-12-21</t>
        </is>
      </c>
      <c r="B2297" s="8" t="n">
        <v>9106</v>
      </c>
      <c r="C2297" s="8" t="n">
        <v>9111</v>
      </c>
      <c r="D2297" s="8" t="n">
        <v>9233</v>
      </c>
      <c r="E2297" s="8" t="n">
        <v>8950</v>
      </c>
      <c r="F2297" s="8" t="n">
        <v>460660</v>
      </c>
      <c r="G2297" s="8" t="n">
        <v>421024</v>
      </c>
      <c r="H2297" s="8" t="n">
        <v>9865</v>
      </c>
      <c r="I2297" s="8" t="n">
        <v>9895</v>
      </c>
      <c r="J2297" s="8" t="n">
        <v>9960</v>
      </c>
      <c r="K2297" s="8" t="n">
        <v>9755</v>
      </c>
      <c r="L2297" s="8" t="n">
        <v>366644</v>
      </c>
      <c r="M2297" s="8" t="n">
        <v>292110</v>
      </c>
      <c r="N2297" t="inlineStr">
        <is>
          <t>是</t>
        </is>
      </c>
    </row>
    <row r="2298">
      <c r="A2298" s="7" t="inlineStr">
        <is>
          <t>2016-12-22</t>
        </is>
      </c>
      <c r="B2298" s="8" t="n">
        <v>8983</v>
      </c>
      <c r="C2298" s="8" t="n">
        <v>9080</v>
      </c>
      <c r="D2298" s="8" t="n">
        <v>9180</v>
      </c>
      <c r="E2298" s="8" t="n">
        <v>8978</v>
      </c>
      <c r="F2298" s="8" t="n">
        <v>408030</v>
      </c>
      <c r="G2298" s="8" t="n">
        <v>425558</v>
      </c>
      <c r="H2298" s="8" t="n">
        <v>9890</v>
      </c>
      <c r="I2298" s="8" t="n">
        <v>9850</v>
      </c>
      <c r="J2298" s="8" t="n">
        <v>10025</v>
      </c>
      <c r="K2298" s="8" t="n">
        <v>9835</v>
      </c>
      <c r="L2298" s="8" t="n">
        <v>504672</v>
      </c>
      <c r="M2298" s="8" t="n">
        <v>305782</v>
      </c>
      <c r="N2298" t="inlineStr">
        <is>
          <t>是</t>
        </is>
      </c>
    </row>
    <row r="2299">
      <c r="A2299" s="7" t="inlineStr">
        <is>
          <t>2016-12-23</t>
        </is>
      </c>
      <c r="B2299" s="8" t="n">
        <v>8872</v>
      </c>
      <c r="C2299" s="8" t="n">
        <v>9022</v>
      </c>
      <c r="D2299" s="8" t="n">
        <v>9051</v>
      </c>
      <c r="E2299" s="8" t="n">
        <v>8801</v>
      </c>
      <c r="F2299" s="8" t="n">
        <v>479032</v>
      </c>
      <c r="G2299" s="8" t="n">
        <v>411582</v>
      </c>
      <c r="H2299" s="8" t="n">
        <v>9845</v>
      </c>
      <c r="I2299" s="8" t="n">
        <v>9940</v>
      </c>
      <c r="J2299" s="8" t="n">
        <v>9980</v>
      </c>
      <c r="K2299" s="8" t="n">
        <v>9750</v>
      </c>
      <c r="L2299" s="8" t="n">
        <v>535750</v>
      </c>
      <c r="M2299" s="8" t="n">
        <v>273336</v>
      </c>
      <c r="N2299" t="inlineStr">
        <is>
          <t>是</t>
        </is>
      </c>
    </row>
    <row r="2300">
      <c r="A2300" s="7" t="inlineStr">
        <is>
          <t>2016-12-26</t>
        </is>
      </c>
      <c r="B2300" s="8" t="n">
        <v>9053</v>
      </c>
      <c r="C2300" s="8" t="n">
        <v>8853</v>
      </c>
      <c r="D2300" s="8" t="n">
        <v>9065</v>
      </c>
      <c r="E2300" s="8" t="n">
        <v>8702</v>
      </c>
      <c r="F2300" s="8" t="n">
        <v>436288</v>
      </c>
      <c r="G2300" s="8" t="n">
        <v>394334</v>
      </c>
      <c r="H2300" s="8" t="n">
        <v>10045</v>
      </c>
      <c r="I2300" s="8" t="n">
        <v>9835</v>
      </c>
      <c r="J2300" s="8" t="n">
        <v>10050</v>
      </c>
      <c r="K2300" s="8" t="n">
        <v>9680</v>
      </c>
      <c r="L2300" s="8" t="n">
        <v>665896</v>
      </c>
      <c r="M2300" s="8" t="n">
        <v>298658</v>
      </c>
      <c r="N2300" t="inlineStr">
        <is>
          <t>是</t>
        </is>
      </c>
    </row>
    <row r="2301">
      <c r="A2301" s="7" t="inlineStr">
        <is>
          <t>2016-12-27</t>
        </is>
      </c>
      <c r="B2301" s="8" t="n">
        <v>9175</v>
      </c>
      <c r="C2301" s="8" t="n">
        <v>9005</v>
      </c>
      <c r="D2301" s="8" t="n">
        <v>9180</v>
      </c>
      <c r="E2301" s="8" t="n">
        <v>8959</v>
      </c>
      <c r="F2301" s="8" t="n">
        <v>407080</v>
      </c>
      <c r="G2301" s="8" t="n">
        <v>401280</v>
      </c>
      <c r="H2301" s="8" t="n">
        <v>10190</v>
      </c>
      <c r="I2301" s="8" t="n">
        <v>10000</v>
      </c>
      <c r="J2301" s="8" t="n">
        <v>10205</v>
      </c>
      <c r="K2301" s="8" t="n">
        <v>9975</v>
      </c>
      <c r="L2301" s="8" t="n">
        <v>574910</v>
      </c>
      <c r="M2301" s="8" t="n">
        <v>309364</v>
      </c>
      <c r="N2301" t="inlineStr">
        <is>
          <t>是</t>
        </is>
      </c>
    </row>
    <row r="2302">
      <c r="A2302" s="7" t="inlineStr">
        <is>
          <t>2016-12-28</t>
        </is>
      </c>
      <c r="B2302" s="8" t="n">
        <v>9197</v>
      </c>
      <c r="C2302" s="8" t="n">
        <v>9305</v>
      </c>
      <c r="D2302" s="8" t="n">
        <v>9450</v>
      </c>
      <c r="E2302" s="8" t="n">
        <v>9150</v>
      </c>
      <c r="F2302" s="8" t="n">
        <v>493574</v>
      </c>
      <c r="G2302" s="8" t="n">
        <v>422880</v>
      </c>
      <c r="H2302" s="8" t="n">
        <v>10140</v>
      </c>
      <c r="I2302" s="8" t="n">
        <v>10340</v>
      </c>
      <c r="J2302" s="8" t="n">
        <v>10355</v>
      </c>
      <c r="K2302" s="8" t="n">
        <v>10105</v>
      </c>
      <c r="L2302" s="8" t="n">
        <v>508830</v>
      </c>
      <c r="M2302" s="8" t="n">
        <v>288264</v>
      </c>
      <c r="N2302" t="inlineStr">
        <is>
          <t>是</t>
        </is>
      </c>
    </row>
    <row r="2303">
      <c r="A2303" s="7" t="inlineStr">
        <is>
          <t>2016-12-29</t>
        </is>
      </c>
      <c r="B2303" s="8" t="n">
        <v>9176</v>
      </c>
      <c r="C2303" s="8" t="n">
        <v>9200</v>
      </c>
      <c r="D2303" s="8" t="n">
        <v>9365</v>
      </c>
      <c r="E2303" s="8" t="n">
        <v>9118</v>
      </c>
      <c r="F2303" s="8" t="n">
        <v>400124</v>
      </c>
      <c r="G2303" s="8" t="n">
        <v>390182</v>
      </c>
      <c r="H2303" s="8" t="n">
        <v>10175</v>
      </c>
      <c r="I2303" s="8" t="n">
        <v>10155</v>
      </c>
      <c r="J2303" s="8" t="n">
        <v>10315</v>
      </c>
      <c r="K2303" s="8" t="n">
        <v>10085</v>
      </c>
      <c r="L2303" s="8" t="n">
        <v>474254</v>
      </c>
      <c r="M2303" s="8" t="n">
        <v>295066</v>
      </c>
      <c r="N2303" t="inlineStr">
        <is>
          <t>是</t>
        </is>
      </c>
    </row>
    <row r="2304">
      <c r="A2304" s="7" t="inlineStr">
        <is>
          <t>2016-12-30</t>
        </is>
      </c>
      <c r="B2304" s="8" t="n">
        <v>8800</v>
      </c>
      <c r="C2304" s="8" t="n">
        <v>9040</v>
      </c>
      <c r="D2304" s="8" t="n">
        <v>9085</v>
      </c>
      <c r="E2304" s="8" t="n">
        <v>8800</v>
      </c>
      <c r="F2304" s="8" t="n">
        <v>476568</v>
      </c>
      <c r="G2304" s="8" t="n">
        <v>396768</v>
      </c>
      <c r="H2304" s="8" t="n">
        <v>9880</v>
      </c>
      <c r="I2304" s="8" t="n">
        <v>10090</v>
      </c>
      <c r="J2304" s="8" t="n">
        <v>10100</v>
      </c>
      <c r="K2304" s="8" t="n">
        <v>9855</v>
      </c>
      <c r="L2304" s="8" t="n">
        <v>490418</v>
      </c>
      <c r="M2304" s="8" t="n">
        <v>256034</v>
      </c>
      <c r="N2304" t="inlineStr">
        <is>
          <t>是</t>
        </is>
      </c>
    </row>
    <row r="2305">
      <c r="A2305" s="7" t="inlineStr">
        <is>
          <t>2017-01-02</t>
        </is>
      </c>
      <c r="B2305" s="8" t="n">
        <v>9040</v>
      </c>
      <c r="C2305" s="8" t="n">
        <v>9040</v>
      </c>
      <c r="D2305" s="8" t="n">
        <v>9085</v>
      </c>
      <c r="E2305" s="8" t="n">
        <v>8800</v>
      </c>
      <c r="F2305" s="8" t="n">
        <v>0</v>
      </c>
      <c r="G2305" s="8" t="n">
        <v>396768</v>
      </c>
      <c r="H2305" s="8" t="n">
        <v>10090</v>
      </c>
      <c r="I2305" s="8" t="n">
        <v>10090</v>
      </c>
      <c r="J2305" s="8" t="n">
        <v>10100</v>
      </c>
      <c r="K2305" s="8" t="n">
        <v>9855</v>
      </c>
      <c r="L2305" s="8" t="n">
        <v>0</v>
      </c>
      <c r="M2305" s="8" t="n">
        <v>256034</v>
      </c>
      <c r="N2305" t="inlineStr">
        <is>
          <t>是</t>
        </is>
      </c>
    </row>
    <row r="2306">
      <c r="A2306" s="7" t="inlineStr">
        <is>
          <t>2017-01-03</t>
        </is>
      </c>
      <c r="B2306" s="8" t="n">
        <v>8569</v>
      </c>
      <c r="C2306" s="8" t="n">
        <v>8788</v>
      </c>
      <c r="D2306" s="8" t="n">
        <v>8847</v>
      </c>
      <c r="E2306" s="8" t="n">
        <v>8550</v>
      </c>
      <c r="F2306" s="8" t="n">
        <v>397284</v>
      </c>
      <c r="G2306" s="8" t="n">
        <v>399904</v>
      </c>
      <c r="H2306" s="8" t="n">
        <v>9710</v>
      </c>
      <c r="I2306" s="8" t="n">
        <v>9875</v>
      </c>
      <c r="J2306" s="8" t="n">
        <v>9955</v>
      </c>
      <c r="K2306" s="8" t="n">
        <v>9705</v>
      </c>
      <c r="L2306" s="8" t="n">
        <v>415780</v>
      </c>
      <c r="M2306" s="8" t="n">
        <v>259528</v>
      </c>
      <c r="N2306" t="inlineStr">
        <is>
          <t>是</t>
        </is>
      </c>
    </row>
    <row r="2307">
      <c r="A2307" s="7" t="inlineStr">
        <is>
          <t>2017-01-04</t>
        </is>
      </c>
      <c r="B2307" s="8" t="n">
        <v>8532</v>
      </c>
      <c r="C2307" s="8" t="n">
        <v>8542</v>
      </c>
      <c r="D2307" s="8" t="n">
        <v>8699</v>
      </c>
      <c r="E2307" s="8" t="n">
        <v>8476</v>
      </c>
      <c r="F2307" s="8" t="n">
        <v>430724</v>
      </c>
      <c r="G2307" s="8" t="n">
        <v>429800</v>
      </c>
      <c r="H2307" s="8" t="n">
        <v>9695</v>
      </c>
      <c r="I2307" s="8" t="n">
        <v>9670</v>
      </c>
      <c r="J2307" s="8" t="n">
        <v>9820</v>
      </c>
      <c r="K2307" s="8" t="n">
        <v>9635</v>
      </c>
      <c r="L2307" s="8" t="n">
        <v>435098</v>
      </c>
      <c r="M2307" s="8" t="n">
        <v>264658</v>
      </c>
      <c r="N2307" t="inlineStr">
        <is>
          <t>是</t>
        </is>
      </c>
    </row>
    <row r="2308">
      <c r="A2308" s="7" t="inlineStr">
        <is>
          <t>2017-01-05</t>
        </is>
      </c>
      <c r="B2308" s="8" t="n">
        <v>8552</v>
      </c>
      <c r="C2308" s="8" t="n">
        <v>8588</v>
      </c>
      <c r="D2308" s="8" t="n">
        <v>8637</v>
      </c>
      <c r="E2308" s="8" t="n">
        <v>8508</v>
      </c>
      <c r="F2308" s="8" t="n">
        <v>308804</v>
      </c>
      <c r="G2308" s="8" t="n">
        <v>400468</v>
      </c>
      <c r="H2308" s="8" t="n">
        <v>9700</v>
      </c>
      <c r="I2308" s="8" t="n">
        <v>9740</v>
      </c>
      <c r="J2308" s="8" t="n">
        <v>9770</v>
      </c>
      <c r="K2308" s="8" t="n">
        <v>9620</v>
      </c>
      <c r="L2308" s="8" t="n">
        <v>422060</v>
      </c>
      <c r="M2308" s="8" t="n">
        <v>269682</v>
      </c>
      <c r="N2308" t="inlineStr">
        <is>
          <t>是</t>
        </is>
      </c>
    </row>
    <row r="2309">
      <c r="A2309" s="7" t="inlineStr">
        <is>
          <t>2017-01-06</t>
        </is>
      </c>
      <c r="B2309" s="8" t="n">
        <v>8438</v>
      </c>
      <c r="C2309" s="8" t="n">
        <v>8586</v>
      </c>
      <c r="D2309" s="8" t="n">
        <v>8735</v>
      </c>
      <c r="E2309" s="8" t="n">
        <v>8420</v>
      </c>
      <c r="F2309" s="8" t="n">
        <v>514820</v>
      </c>
      <c r="G2309" s="8" t="n">
        <v>472878</v>
      </c>
      <c r="H2309" s="8" t="n">
        <v>9525</v>
      </c>
      <c r="I2309" s="8" t="n">
        <v>9740</v>
      </c>
      <c r="J2309" s="8" t="n">
        <v>9900</v>
      </c>
      <c r="K2309" s="8" t="n">
        <v>9525</v>
      </c>
      <c r="L2309" s="8" t="n">
        <v>676846</v>
      </c>
      <c r="M2309" s="8" t="n">
        <v>280058</v>
      </c>
      <c r="N2309" t="inlineStr">
        <is>
          <t>是</t>
        </is>
      </c>
    </row>
    <row r="2310">
      <c r="A2310" s="7" t="inlineStr">
        <is>
          <t>2017-01-09</t>
        </is>
      </c>
      <c r="B2310" s="8" t="n">
        <v>8645</v>
      </c>
      <c r="C2310" s="8" t="n">
        <v>8454</v>
      </c>
      <c r="D2310" s="8" t="n">
        <v>8648</v>
      </c>
      <c r="E2310" s="8" t="n">
        <v>8431</v>
      </c>
      <c r="F2310" s="8" t="n">
        <v>371340</v>
      </c>
      <c r="G2310" s="8" t="n">
        <v>416492</v>
      </c>
      <c r="H2310" s="8" t="n">
        <v>9795</v>
      </c>
      <c r="I2310" s="8" t="n">
        <v>9550</v>
      </c>
      <c r="J2310" s="8" t="n">
        <v>9795</v>
      </c>
      <c r="K2310" s="8" t="n">
        <v>9520</v>
      </c>
      <c r="L2310" s="8" t="n">
        <v>455126</v>
      </c>
      <c r="M2310" s="8" t="n">
        <v>255758</v>
      </c>
      <c r="N2310" t="inlineStr">
        <is>
          <t>是</t>
        </is>
      </c>
    </row>
    <row r="2311">
      <c r="A2311" s="7" t="inlineStr">
        <is>
          <t>2017-01-10</t>
        </is>
      </c>
      <c r="B2311" s="8" t="n">
        <v>8590</v>
      </c>
      <c r="C2311" s="8" t="n">
        <v>8623</v>
      </c>
      <c r="D2311" s="8" t="n">
        <v>8645</v>
      </c>
      <c r="E2311" s="8" t="n">
        <v>8448</v>
      </c>
      <c r="F2311" s="8" t="n">
        <v>437096</v>
      </c>
      <c r="G2311" s="8" t="n">
        <v>439790</v>
      </c>
      <c r="H2311" s="8" t="n">
        <v>9860</v>
      </c>
      <c r="I2311" s="8" t="n">
        <v>9770</v>
      </c>
      <c r="J2311" s="8" t="n">
        <v>9870</v>
      </c>
      <c r="K2311" s="8" t="n">
        <v>9650</v>
      </c>
      <c r="L2311" s="8" t="n">
        <v>468766</v>
      </c>
      <c r="M2311" s="8" t="n">
        <v>252054</v>
      </c>
      <c r="N2311" t="inlineStr">
        <is>
          <t>是</t>
        </is>
      </c>
    </row>
    <row r="2312">
      <c r="A2312" s="7" t="inlineStr">
        <is>
          <t>2017-01-11</t>
        </is>
      </c>
      <c r="B2312" s="8" t="n">
        <v>8590</v>
      </c>
      <c r="C2312" s="8" t="n">
        <v>8630</v>
      </c>
      <c r="D2312" s="8" t="n">
        <v>8690</v>
      </c>
      <c r="E2312" s="8" t="n">
        <v>8543</v>
      </c>
      <c r="F2312" s="8" t="n">
        <v>426290</v>
      </c>
      <c r="G2312" s="8" t="n">
        <v>432650</v>
      </c>
      <c r="H2312" s="8" t="n">
        <v>9815</v>
      </c>
      <c r="I2312" s="8" t="n">
        <v>9870</v>
      </c>
      <c r="J2312" s="8" t="n">
        <v>9940</v>
      </c>
      <c r="K2312" s="8" t="n">
        <v>9730</v>
      </c>
      <c r="L2312" s="8" t="n">
        <v>486490</v>
      </c>
      <c r="M2312" s="8" t="n">
        <v>253340</v>
      </c>
      <c r="N2312" t="inlineStr">
        <is>
          <t>是</t>
        </is>
      </c>
    </row>
    <row r="2313">
      <c r="A2313" s="7" t="inlineStr">
        <is>
          <t>2017-01-12</t>
        </is>
      </c>
      <c r="B2313" s="8" t="n">
        <v>8742</v>
      </c>
      <c r="C2313" s="8" t="n">
        <v>8650</v>
      </c>
      <c r="D2313" s="8" t="n">
        <v>8845</v>
      </c>
      <c r="E2313" s="8" t="n">
        <v>8613</v>
      </c>
      <c r="F2313" s="8" t="n">
        <v>573354</v>
      </c>
      <c r="G2313" s="8" t="n">
        <v>448196</v>
      </c>
      <c r="H2313" s="8" t="n">
        <v>9825</v>
      </c>
      <c r="I2313" s="8" t="n">
        <v>9850</v>
      </c>
      <c r="J2313" s="8" t="n">
        <v>9990</v>
      </c>
      <c r="K2313" s="8" t="n">
        <v>9755</v>
      </c>
      <c r="L2313" s="8" t="n">
        <v>541204</v>
      </c>
      <c r="M2313" s="8" t="n">
        <v>264852</v>
      </c>
      <c r="N2313" t="inlineStr">
        <is>
          <t>是</t>
        </is>
      </c>
    </row>
    <row r="2314">
      <c r="A2314" s="7" t="inlineStr">
        <is>
          <t>2017-01-13</t>
        </is>
      </c>
      <c r="B2314" s="8" t="n">
        <v>8881</v>
      </c>
      <c r="C2314" s="8" t="n">
        <v>8800</v>
      </c>
      <c r="D2314" s="8" t="n">
        <v>8882</v>
      </c>
      <c r="E2314" s="8" t="n">
        <v>8691</v>
      </c>
      <c r="F2314" s="8" t="n">
        <v>411280</v>
      </c>
      <c r="G2314" s="8" t="n">
        <v>429188</v>
      </c>
      <c r="H2314" s="8" t="n">
        <v>10105</v>
      </c>
      <c r="I2314" s="8" t="n">
        <v>9860</v>
      </c>
      <c r="J2314" s="8" t="n">
        <v>10125</v>
      </c>
      <c r="K2314" s="8" t="n">
        <v>9830</v>
      </c>
      <c r="L2314" s="8" t="n">
        <v>597018</v>
      </c>
      <c r="M2314" s="8" t="n">
        <v>305540</v>
      </c>
      <c r="N2314" t="inlineStr">
        <is>
          <t>是</t>
        </is>
      </c>
    </row>
    <row r="2315">
      <c r="A2315" s="7" t="inlineStr">
        <is>
          <t>2017-01-16</t>
        </is>
      </c>
      <c r="B2315" s="8" t="n">
        <v>9199</v>
      </c>
      <c r="C2315" s="8" t="n">
        <v>9040</v>
      </c>
      <c r="D2315" s="8" t="n">
        <v>9210</v>
      </c>
      <c r="E2315" s="8" t="n">
        <v>8915</v>
      </c>
      <c r="F2315" s="8" t="n">
        <v>463044</v>
      </c>
      <c r="G2315" s="8" t="n">
        <v>446084</v>
      </c>
      <c r="H2315" s="8" t="n">
        <v>10270</v>
      </c>
      <c r="I2315" s="8" t="n">
        <v>10215</v>
      </c>
      <c r="J2315" s="8" t="n">
        <v>10315</v>
      </c>
      <c r="K2315" s="8" t="n">
        <v>10120</v>
      </c>
      <c r="L2315" s="8" t="n">
        <v>512566</v>
      </c>
      <c r="M2315" s="8" t="n">
        <v>302868</v>
      </c>
      <c r="N2315" t="inlineStr">
        <is>
          <t>是</t>
        </is>
      </c>
    </row>
    <row r="2316">
      <c r="A2316" s="7" t="inlineStr">
        <is>
          <t>2017-01-17</t>
        </is>
      </c>
      <c r="B2316" s="8" t="n">
        <v>9023</v>
      </c>
      <c r="C2316" s="8" t="n">
        <v>9199</v>
      </c>
      <c r="D2316" s="8" t="n">
        <v>9238</v>
      </c>
      <c r="E2316" s="8" t="n">
        <v>8953</v>
      </c>
      <c r="F2316" s="8" t="n">
        <v>376488</v>
      </c>
      <c r="G2316" s="8" t="n">
        <v>400852</v>
      </c>
      <c r="H2316" s="8" t="n">
        <v>10130</v>
      </c>
      <c r="I2316" s="8" t="n">
        <v>10235</v>
      </c>
      <c r="J2316" s="8" t="n">
        <v>10330</v>
      </c>
      <c r="K2316" s="8" t="n">
        <v>10080</v>
      </c>
      <c r="L2316" s="8" t="n">
        <v>443762</v>
      </c>
      <c r="M2316" s="8" t="n">
        <v>298556</v>
      </c>
      <c r="N2316" t="inlineStr">
        <is>
          <t>是</t>
        </is>
      </c>
    </row>
    <row r="2317">
      <c r="A2317" s="7" t="inlineStr">
        <is>
          <t>2017-01-18</t>
        </is>
      </c>
      <c r="B2317" s="8" t="n">
        <v>9088</v>
      </c>
      <c r="C2317" s="8" t="n">
        <v>9003</v>
      </c>
      <c r="D2317" s="8" t="n">
        <v>9129</v>
      </c>
      <c r="E2317" s="8" t="n">
        <v>8951</v>
      </c>
      <c r="F2317" s="8" t="n">
        <v>314528</v>
      </c>
      <c r="G2317" s="8" t="n">
        <v>422450</v>
      </c>
      <c r="H2317" s="8" t="n">
        <v>10220</v>
      </c>
      <c r="I2317" s="8" t="n">
        <v>10145</v>
      </c>
      <c r="J2317" s="8" t="n">
        <v>10275</v>
      </c>
      <c r="K2317" s="8" t="n">
        <v>10085</v>
      </c>
      <c r="L2317" s="8" t="n">
        <v>464360</v>
      </c>
      <c r="M2317" s="8" t="n">
        <v>318414</v>
      </c>
      <c r="N2317" t="inlineStr">
        <is>
          <t>是</t>
        </is>
      </c>
    </row>
    <row r="2318">
      <c r="A2318" s="7" t="inlineStr">
        <is>
          <t>2017-01-19</t>
        </is>
      </c>
      <c r="B2318" s="8" t="n">
        <v>8946</v>
      </c>
      <c r="C2318" s="8" t="n">
        <v>9016</v>
      </c>
      <c r="D2318" s="8" t="n">
        <v>9040</v>
      </c>
      <c r="E2318" s="8" t="n">
        <v>8820</v>
      </c>
      <c r="F2318" s="8" t="n">
        <v>363246</v>
      </c>
      <c r="G2318" s="8" t="n">
        <v>387656</v>
      </c>
      <c r="H2318" s="8" t="n">
        <v>10140</v>
      </c>
      <c r="I2318" s="8" t="n">
        <v>10195</v>
      </c>
      <c r="J2318" s="8" t="n">
        <v>10215</v>
      </c>
      <c r="K2318" s="8" t="n">
        <v>10050</v>
      </c>
      <c r="L2318" s="8" t="n">
        <v>331550</v>
      </c>
      <c r="M2318" s="8" t="n">
        <v>290632</v>
      </c>
      <c r="N2318" t="inlineStr">
        <is>
          <t>是</t>
        </is>
      </c>
    </row>
    <row r="2319">
      <c r="A2319" s="7" t="inlineStr">
        <is>
          <t>2017-01-20</t>
        </is>
      </c>
      <c r="B2319" s="8" t="n">
        <v>9028</v>
      </c>
      <c r="C2319" s="8" t="n">
        <v>8956</v>
      </c>
      <c r="D2319" s="8" t="n">
        <v>9152</v>
      </c>
      <c r="E2319" s="8" t="n">
        <v>8906</v>
      </c>
      <c r="F2319" s="8" t="n">
        <v>398296</v>
      </c>
      <c r="G2319" s="8" t="n">
        <v>427400</v>
      </c>
      <c r="H2319" s="8" t="n">
        <v>10265</v>
      </c>
      <c r="I2319" s="8" t="n">
        <v>10120</v>
      </c>
      <c r="J2319" s="8" t="n">
        <v>10390</v>
      </c>
      <c r="K2319" s="8" t="n">
        <v>10105</v>
      </c>
      <c r="L2319" s="8" t="n">
        <v>581066</v>
      </c>
      <c r="M2319" s="8" t="n">
        <v>327438</v>
      </c>
      <c r="N2319" t="inlineStr">
        <is>
          <t>是</t>
        </is>
      </c>
    </row>
    <row r="2320">
      <c r="A2320" s="7" t="inlineStr">
        <is>
          <t>2017-01-23</t>
        </is>
      </c>
      <c r="B2320" s="8" t="n">
        <v>9190</v>
      </c>
      <c r="C2320" s="8" t="n">
        <v>9108</v>
      </c>
      <c r="D2320" s="8" t="n">
        <v>9262</v>
      </c>
      <c r="E2320" s="8" t="n">
        <v>9073</v>
      </c>
      <c r="F2320" s="8" t="n">
        <v>378960</v>
      </c>
      <c r="G2320" s="8" t="n">
        <v>412436</v>
      </c>
      <c r="H2320" s="8" t="n">
        <v>10325</v>
      </c>
      <c r="I2320" s="8" t="n">
        <v>10330</v>
      </c>
      <c r="J2320" s="8" t="n">
        <v>10445</v>
      </c>
      <c r="K2320" s="8" t="n">
        <v>10260</v>
      </c>
      <c r="L2320" s="8" t="n">
        <v>426468</v>
      </c>
      <c r="M2320" s="8" t="n">
        <v>340644</v>
      </c>
      <c r="N2320" t="inlineStr">
        <is>
          <t>是</t>
        </is>
      </c>
    </row>
    <row r="2321">
      <c r="A2321" s="7" t="inlineStr">
        <is>
          <t>2017-01-24</t>
        </is>
      </c>
      <c r="B2321" s="8" t="n">
        <v>9128</v>
      </c>
      <c r="C2321" s="8" t="n">
        <v>9205</v>
      </c>
      <c r="D2321" s="8" t="n">
        <v>9250</v>
      </c>
      <c r="E2321" s="8" t="n">
        <v>9054</v>
      </c>
      <c r="F2321" s="8" t="n">
        <v>289342</v>
      </c>
      <c r="G2321" s="8" t="n">
        <v>403896</v>
      </c>
      <c r="H2321" s="8" t="n">
        <v>10230</v>
      </c>
      <c r="I2321" s="8" t="n">
        <v>10300</v>
      </c>
      <c r="J2321" s="8" t="n">
        <v>10380</v>
      </c>
      <c r="K2321" s="8" t="n">
        <v>10150</v>
      </c>
      <c r="L2321" s="8" t="n">
        <v>380182</v>
      </c>
      <c r="M2321" s="8" t="n">
        <v>296570</v>
      </c>
      <c r="N2321" t="inlineStr">
        <is>
          <t>是</t>
        </is>
      </c>
    </row>
    <row r="2322">
      <c r="A2322" s="7" t="inlineStr">
        <is>
          <t>2017-01-25</t>
        </is>
      </c>
      <c r="B2322" s="8" t="n">
        <v>9418</v>
      </c>
      <c r="C2322" s="8" t="n">
        <v>9128</v>
      </c>
      <c r="D2322" s="8" t="n">
        <v>9456</v>
      </c>
      <c r="E2322" s="8" t="n">
        <v>9106</v>
      </c>
      <c r="F2322" s="8" t="n">
        <v>361554</v>
      </c>
      <c r="G2322" s="8" t="n">
        <v>448956</v>
      </c>
      <c r="H2322" s="8" t="n">
        <v>10405</v>
      </c>
      <c r="I2322" s="8" t="n">
        <v>10200</v>
      </c>
      <c r="J2322" s="8" t="n">
        <v>10425</v>
      </c>
      <c r="K2322" s="8" t="n">
        <v>10190</v>
      </c>
      <c r="L2322" s="8" t="n">
        <v>295564</v>
      </c>
      <c r="M2322" s="8" t="n">
        <v>309676</v>
      </c>
      <c r="N2322" t="inlineStr">
        <is>
          <t>是</t>
        </is>
      </c>
    </row>
    <row r="2323">
      <c r="A2323" s="7" t="inlineStr">
        <is>
          <t>2017-01-26</t>
        </is>
      </c>
      <c r="B2323" s="8" t="n">
        <v>9320</v>
      </c>
      <c r="C2323" s="8" t="n">
        <v>9385</v>
      </c>
      <c r="D2323" s="8" t="n">
        <v>9462</v>
      </c>
      <c r="E2323" s="8" t="n">
        <v>9240</v>
      </c>
      <c r="F2323" s="8" t="n">
        <v>255380</v>
      </c>
      <c r="G2323" s="8" t="n">
        <v>410214</v>
      </c>
      <c r="H2323" s="8" t="n">
        <v>10260</v>
      </c>
      <c r="I2323" s="8" t="n">
        <v>10435</v>
      </c>
      <c r="J2323" s="8" t="n">
        <v>10460</v>
      </c>
      <c r="K2323" s="8" t="n">
        <v>10210</v>
      </c>
      <c r="L2323" s="8" t="n">
        <v>290286</v>
      </c>
      <c r="M2323" s="8" t="n">
        <v>292882</v>
      </c>
      <c r="N2323" t="inlineStr">
        <is>
          <t>是</t>
        </is>
      </c>
    </row>
    <row r="2324">
      <c r="A2324" s="7" t="inlineStr">
        <is>
          <t>2017-02-03</t>
        </is>
      </c>
      <c r="B2324" s="8" t="n">
        <v>9252</v>
      </c>
      <c r="C2324" s="8" t="n">
        <v>9450</v>
      </c>
      <c r="D2324" s="8" t="n">
        <v>9450</v>
      </c>
      <c r="E2324" s="8" t="n">
        <v>9116</v>
      </c>
      <c r="F2324" s="8" t="n">
        <v>261094</v>
      </c>
      <c r="G2324" s="8" t="n">
        <v>420434</v>
      </c>
      <c r="H2324" s="8" t="n">
        <v>10240</v>
      </c>
      <c r="I2324" s="8" t="n">
        <v>10300</v>
      </c>
      <c r="J2324" s="8" t="n">
        <v>10410</v>
      </c>
      <c r="K2324" s="8" t="n">
        <v>10160</v>
      </c>
      <c r="L2324" s="8" t="n">
        <v>301228</v>
      </c>
      <c r="M2324" s="8" t="n">
        <v>292186</v>
      </c>
      <c r="N2324" t="inlineStr">
        <is>
          <t>是</t>
        </is>
      </c>
    </row>
    <row r="2325">
      <c r="A2325" s="7" t="inlineStr">
        <is>
          <t>2017-02-06</t>
        </is>
      </c>
      <c r="B2325" s="8" t="n">
        <v>9349</v>
      </c>
      <c r="C2325" s="8" t="n">
        <v>9260</v>
      </c>
      <c r="D2325" s="8" t="n">
        <v>9386</v>
      </c>
      <c r="E2325" s="8" t="n">
        <v>9200</v>
      </c>
      <c r="F2325" s="8" t="n">
        <v>263518</v>
      </c>
      <c r="G2325" s="8" t="n">
        <v>444670</v>
      </c>
      <c r="H2325" s="8" t="n">
        <v>10390</v>
      </c>
      <c r="I2325" s="8" t="n">
        <v>10220</v>
      </c>
      <c r="J2325" s="8" t="n">
        <v>10420</v>
      </c>
      <c r="K2325" s="8" t="n">
        <v>10175</v>
      </c>
      <c r="L2325" s="8" t="n">
        <v>449064</v>
      </c>
      <c r="M2325" s="8" t="n">
        <v>351494</v>
      </c>
      <c r="N2325" t="inlineStr">
        <is>
          <t>是</t>
        </is>
      </c>
    </row>
    <row r="2326">
      <c r="A2326" s="7" t="inlineStr">
        <is>
          <t>2017-02-07</t>
        </is>
      </c>
      <c r="B2326" s="8" t="n">
        <v>9262</v>
      </c>
      <c r="C2326" s="8" t="n">
        <v>9340</v>
      </c>
      <c r="D2326" s="8" t="n">
        <v>9398</v>
      </c>
      <c r="E2326" s="8" t="n">
        <v>9250</v>
      </c>
      <c r="F2326" s="8" t="n">
        <v>311548</v>
      </c>
      <c r="G2326" s="8" t="n">
        <v>473426</v>
      </c>
      <c r="H2326" s="8" t="n">
        <v>10310</v>
      </c>
      <c r="I2326" s="8" t="n">
        <v>10390</v>
      </c>
      <c r="J2326" s="8" t="n">
        <v>10520</v>
      </c>
      <c r="K2326" s="8" t="n">
        <v>10310</v>
      </c>
      <c r="L2326" s="8" t="n">
        <v>540664</v>
      </c>
      <c r="M2326" s="8" t="n">
        <v>359940</v>
      </c>
      <c r="N2326" t="inlineStr">
        <is>
          <t>是</t>
        </is>
      </c>
    </row>
    <row r="2327">
      <c r="A2327" s="7" t="inlineStr">
        <is>
          <t>2017-02-08</t>
        </is>
      </c>
      <c r="B2327" s="8" t="n">
        <v>9209</v>
      </c>
      <c r="C2327" s="8" t="n">
        <v>9201</v>
      </c>
      <c r="D2327" s="8" t="n">
        <v>9346</v>
      </c>
      <c r="E2327" s="8" t="n">
        <v>9131</v>
      </c>
      <c r="F2327" s="8" t="n">
        <v>379092</v>
      </c>
      <c r="G2327" s="8" t="n">
        <v>459330</v>
      </c>
      <c r="H2327" s="8" t="n">
        <v>10225</v>
      </c>
      <c r="I2327" s="8" t="n">
        <v>10280</v>
      </c>
      <c r="J2327" s="8" t="n">
        <v>10350</v>
      </c>
      <c r="K2327" s="8" t="n">
        <v>10150</v>
      </c>
      <c r="L2327" s="8" t="n">
        <v>494180</v>
      </c>
      <c r="M2327" s="8" t="n">
        <v>358150</v>
      </c>
      <c r="N2327" t="inlineStr">
        <is>
          <t>是</t>
        </is>
      </c>
    </row>
    <row r="2328">
      <c r="A2328" s="7" t="inlineStr">
        <is>
          <t>2017-02-09</t>
        </is>
      </c>
      <c r="B2328" s="8" t="n">
        <v>9207</v>
      </c>
      <c r="C2328" s="8" t="n">
        <v>9215</v>
      </c>
      <c r="D2328" s="8" t="n">
        <v>9372</v>
      </c>
      <c r="E2328" s="8" t="n">
        <v>9200</v>
      </c>
      <c r="F2328" s="8" t="n">
        <v>437600</v>
      </c>
      <c r="G2328" s="8" t="n">
        <v>518448</v>
      </c>
      <c r="H2328" s="8" t="n">
        <v>10220</v>
      </c>
      <c r="I2328" s="8" t="n">
        <v>10255</v>
      </c>
      <c r="J2328" s="8" t="n">
        <v>10345</v>
      </c>
      <c r="K2328" s="8" t="n">
        <v>10205</v>
      </c>
      <c r="L2328" s="8" t="n">
        <v>418832</v>
      </c>
      <c r="M2328" s="8" t="n">
        <v>344460</v>
      </c>
      <c r="N2328" t="inlineStr">
        <is>
          <t>是</t>
        </is>
      </c>
    </row>
    <row r="2329">
      <c r="A2329" s="7" t="inlineStr">
        <is>
          <t>2017-02-10</t>
        </is>
      </c>
      <c r="B2329" s="8" t="n">
        <v>9230</v>
      </c>
      <c r="C2329" s="8" t="n">
        <v>9260</v>
      </c>
      <c r="D2329" s="8" t="n">
        <v>9288</v>
      </c>
      <c r="E2329" s="8" t="n">
        <v>9102</v>
      </c>
      <c r="F2329" s="8" t="n">
        <v>408898</v>
      </c>
      <c r="G2329" s="8" t="n">
        <v>492612</v>
      </c>
      <c r="H2329" s="8" t="n">
        <v>10250</v>
      </c>
      <c r="I2329" s="8" t="n">
        <v>10255</v>
      </c>
      <c r="J2329" s="8" t="n">
        <v>10305</v>
      </c>
      <c r="K2329" s="8" t="n">
        <v>10115</v>
      </c>
      <c r="L2329" s="8" t="n">
        <v>436310</v>
      </c>
      <c r="M2329" s="8" t="n">
        <v>327314</v>
      </c>
      <c r="N2329" t="inlineStr">
        <is>
          <t>是</t>
        </is>
      </c>
    </row>
    <row r="2330">
      <c r="A2330" s="7" t="inlineStr">
        <is>
          <t>2017-02-13</t>
        </is>
      </c>
      <c r="B2330" s="8" t="n">
        <v>9548</v>
      </c>
      <c r="C2330" s="8" t="n">
        <v>9333</v>
      </c>
      <c r="D2330" s="8" t="n">
        <v>9550</v>
      </c>
      <c r="E2330" s="8" t="n">
        <v>9330</v>
      </c>
      <c r="F2330" s="8" t="n">
        <v>444492</v>
      </c>
      <c r="G2330" s="8" t="n">
        <v>559038</v>
      </c>
      <c r="H2330" s="8" t="n">
        <v>10605</v>
      </c>
      <c r="I2330" s="8" t="n">
        <v>10350</v>
      </c>
      <c r="J2330" s="8" t="n">
        <v>10625</v>
      </c>
      <c r="K2330" s="8" t="n">
        <v>10350</v>
      </c>
      <c r="L2330" s="8" t="n">
        <v>600652</v>
      </c>
      <c r="M2330" s="8" t="n">
        <v>386424</v>
      </c>
      <c r="N2330" t="inlineStr">
        <is>
          <t>是</t>
        </is>
      </c>
    </row>
    <row r="2331">
      <c r="A2331" s="7" t="inlineStr">
        <is>
          <t>2017-02-14</t>
        </is>
      </c>
      <c r="B2331" s="8" t="n">
        <v>9575</v>
      </c>
      <c r="C2331" s="8" t="n">
        <v>9500</v>
      </c>
      <c r="D2331" s="8" t="n">
        <v>9588</v>
      </c>
      <c r="E2331" s="8" t="n">
        <v>9450</v>
      </c>
      <c r="F2331" s="8" t="n">
        <v>274746</v>
      </c>
      <c r="G2331" s="8" t="n">
        <v>535832</v>
      </c>
      <c r="H2331" s="8" t="n">
        <v>10590</v>
      </c>
      <c r="I2331" s="8" t="n">
        <v>10580</v>
      </c>
      <c r="J2331" s="8" t="n">
        <v>10615</v>
      </c>
      <c r="K2331" s="8" t="n">
        <v>10480</v>
      </c>
      <c r="L2331" s="8" t="n">
        <v>334462</v>
      </c>
      <c r="M2331" s="8" t="n">
        <v>374202</v>
      </c>
      <c r="N2331" t="inlineStr">
        <is>
          <t>是</t>
        </is>
      </c>
    </row>
    <row r="2332">
      <c r="A2332" s="7" t="inlineStr">
        <is>
          <t>2017-02-15</t>
        </is>
      </c>
      <c r="B2332" s="8" t="n">
        <v>9210</v>
      </c>
      <c r="C2332" s="8" t="n">
        <v>9466</v>
      </c>
      <c r="D2332" s="8" t="n">
        <v>9480</v>
      </c>
      <c r="E2332" s="8" t="n">
        <v>9210</v>
      </c>
      <c r="F2332" s="8" t="n">
        <v>475748</v>
      </c>
      <c r="G2332" s="8" t="n">
        <v>531300</v>
      </c>
      <c r="H2332" s="8" t="n">
        <v>10015</v>
      </c>
      <c r="I2332" s="8" t="n">
        <v>10460</v>
      </c>
      <c r="J2332" s="8" t="n">
        <v>10520</v>
      </c>
      <c r="K2332" s="8" t="n">
        <v>10015</v>
      </c>
      <c r="L2332" s="8" t="n">
        <v>628750</v>
      </c>
      <c r="M2332" s="8" t="n">
        <v>329870</v>
      </c>
      <c r="N2332" t="inlineStr">
        <is>
          <t>是</t>
        </is>
      </c>
    </row>
    <row r="2333">
      <c r="A2333" s="7" t="inlineStr">
        <is>
          <t>2017-02-16</t>
        </is>
      </c>
      <c r="B2333" s="8" t="n">
        <v>8980</v>
      </c>
      <c r="C2333" s="8" t="n">
        <v>9204</v>
      </c>
      <c r="D2333" s="8" t="n">
        <v>9232</v>
      </c>
      <c r="E2333" s="8" t="n">
        <v>8970</v>
      </c>
      <c r="F2333" s="8" t="n">
        <v>511262</v>
      </c>
      <c r="G2333" s="8" t="n">
        <v>436182</v>
      </c>
      <c r="H2333" s="8" t="n">
        <v>9910</v>
      </c>
      <c r="I2333" s="8" t="n">
        <v>10100</v>
      </c>
      <c r="J2333" s="8" t="n">
        <v>10200</v>
      </c>
      <c r="K2333" s="8" t="n">
        <v>9905</v>
      </c>
      <c r="L2333" s="8" t="n">
        <v>659612</v>
      </c>
      <c r="M2333" s="8" t="n">
        <v>288706</v>
      </c>
      <c r="N2333" t="inlineStr">
        <is>
          <t>是</t>
        </is>
      </c>
    </row>
    <row r="2334">
      <c r="A2334" s="7" t="inlineStr">
        <is>
          <t>2017-02-17</t>
        </is>
      </c>
      <c r="B2334" s="8" t="n">
        <v>8921</v>
      </c>
      <c r="C2334" s="8" t="n">
        <v>8998</v>
      </c>
      <c r="D2334" s="8" t="n">
        <v>9096</v>
      </c>
      <c r="E2334" s="8" t="n">
        <v>8845</v>
      </c>
      <c r="F2334" s="8" t="n">
        <v>439962</v>
      </c>
      <c r="G2334" s="8" t="n">
        <v>454782</v>
      </c>
      <c r="H2334" s="8" t="n">
        <v>9885</v>
      </c>
      <c r="I2334" s="8" t="n">
        <v>10000</v>
      </c>
      <c r="J2334" s="8" t="n">
        <v>10040</v>
      </c>
      <c r="K2334" s="8" t="n">
        <v>9830</v>
      </c>
      <c r="L2334" s="8" t="n">
        <v>485284</v>
      </c>
      <c r="M2334" s="8" t="n">
        <v>280162</v>
      </c>
      <c r="N2334" t="inlineStr">
        <is>
          <t>是</t>
        </is>
      </c>
    </row>
    <row r="2335">
      <c r="A2335" s="7" t="inlineStr">
        <is>
          <t>2017-02-20</t>
        </is>
      </c>
      <c r="B2335" s="8" t="n">
        <v>8937</v>
      </c>
      <c r="C2335" s="8" t="n">
        <v>8910</v>
      </c>
      <c r="D2335" s="8" t="n">
        <v>9045</v>
      </c>
      <c r="E2335" s="8" t="n">
        <v>8892</v>
      </c>
      <c r="F2335" s="8" t="n">
        <v>267494</v>
      </c>
      <c r="G2335" s="8" t="n">
        <v>407460</v>
      </c>
      <c r="H2335" s="8" t="n">
        <v>9925</v>
      </c>
      <c r="I2335" s="8" t="n">
        <v>9905</v>
      </c>
      <c r="J2335" s="8" t="n">
        <v>10015</v>
      </c>
      <c r="K2335" s="8" t="n">
        <v>9870</v>
      </c>
      <c r="L2335" s="8" t="n">
        <v>372246</v>
      </c>
      <c r="M2335" s="8" t="n">
        <v>285172</v>
      </c>
      <c r="N2335" t="inlineStr">
        <is>
          <t>是</t>
        </is>
      </c>
    </row>
    <row r="2336">
      <c r="A2336" s="7" t="inlineStr">
        <is>
          <t>2017-02-21</t>
        </is>
      </c>
      <c r="B2336" s="8" t="n">
        <v>8778</v>
      </c>
      <c r="C2336" s="8" t="n">
        <v>8986</v>
      </c>
      <c r="D2336" s="8" t="n">
        <v>9018</v>
      </c>
      <c r="E2336" s="8" t="n">
        <v>8753</v>
      </c>
      <c r="F2336" s="8" t="n">
        <v>403716</v>
      </c>
      <c r="G2336" s="8" t="n">
        <v>485182</v>
      </c>
      <c r="H2336" s="8" t="n">
        <v>9830</v>
      </c>
      <c r="I2336" s="8" t="n">
        <v>9950</v>
      </c>
      <c r="J2336" s="8" t="n">
        <v>10025</v>
      </c>
      <c r="K2336" s="8" t="n">
        <v>9770</v>
      </c>
      <c r="L2336" s="8" t="n">
        <v>535186</v>
      </c>
      <c r="M2336" s="8" t="n">
        <v>304060</v>
      </c>
      <c r="N2336" t="inlineStr">
        <is>
          <t>是</t>
        </is>
      </c>
    </row>
    <row r="2337">
      <c r="A2337" s="7" t="inlineStr">
        <is>
          <t>2017-02-22</t>
        </is>
      </c>
      <c r="B2337" s="8" t="n">
        <v>8773</v>
      </c>
      <c r="C2337" s="8" t="n">
        <v>8754</v>
      </c>
      <c r="D2337" s="8" t="n">
        <v>8877</v>
      </c>
      <c r="E2337" s="8" t="n">
        <v>8732</v>
      </c>
      <c r="F2337" s="8" t="n">
        <v>294338</v>
      </c>
      <c r="G2337" s="8" t="n">
        <v>422144</v>
      </c>
      <c r="H2337" s="8" t="n">
        <v>9850</v>
      </c>
      <c r="I2337" s="8" t="n">
        <v>9830</v>
      </c>
      <c r="J2337" s="8" t="n">
        <v>9930</v>
      </c>
      <c r="K2337" s="8" t="n">
        <v>9795</v>
      </c>
      <c r="L2337" s="8" t="n">
        <v>403142</v>
      </c>
      <c r="M2337" s="8" t="n">
        <v>289336</v>
      </c>
      <c r="N2337" t="inlineStr">
        <is>
          <t>是</t>
        </is>
      </c>
    </row>
    <row r="2338">
      <c r="A2338" s="7" t="inlineStr">
        <is>
          <t>2017-02-23</t>
        </is>
      </c>
      <c r="B2338" s="8" t="n">
        <v>8640</v>
      </c>
      <c r="C2338" s="8" t="n">
        <v>8768</v>
      </c>
      <c r="D2338" s="8" t="n">
        <v>8812</v>
      </c>
      <c r="E2338" s="8" t="n">
        <v>8580</v>
      </c>
      <c r="F2338" s="8" t="n">
        <v>400994</v>
      </c>
      <c r="G2338" s="8" t="n">
        <v>501212</v>
      </c>
      <c r="H2338" s="8" t="n">
        <v>9645</v>
      </c>
      <c r="I2338" s="8" t="n">
        <v>9850</v>
      </c>
      <c r="J2338" s="8" t="n">
        <v>9900</v>
      </c>
      <c r="K2338" s="8" t="n">
        <v>9580</v>
      </c>
      <c r="L2338" s="8" t="n">
        <v>611368</v>
      </c>
      <c r="M2338" s="8" t="n">
        <v>338616</v>
      </c>
      <c r="N2338" t="inlineStr">
        <is>
          <t>是</t>
        </is>
      </c>
    </row>
    <row r="2339">
      <c r="A2339" s="7" t="inlineStr">
        <is>
          <t>2017-02-24</t>
        </is>
      </c>
      <c r="B2339" s="8" t="n">
        <v>8656</v>
      </c>
      <c r="C2339" s="8" t="n">
        <v>8598</v>
      </c>
      <c r="D2339" s="8" t="n">
        <v>8728</v>
      </c>
      <c r="E2339" s="8" t="n">
        <v>8546</v>
      </c>
      <c r="F2339" s="8" t="n">
        <v>333514</v>
      </c>
      <c r="G2339" s="8" t="n">
        <v>435918</v>
      </c>
      <c r="H2339" s="8" t="n">
        <v>9675</v>
      </c>
      <c r="I2339" s="8" t="n">
        <v>9580</v>
      </c>
      <c r="J2339" s="8" t="n">
        <v>9745</v>
      </c>
      <c r="K2339" s="8" t="n">
        <v>9565</v>
      </c>
      <c r="L2339" s="8" t="n">
        <v>448394</v>
      </c>
      <c r="M2339" s="8" t="n">
        <v>322912</v>
      </c>
      <c r="N2339" t="inlineStr">
        <is>
          <t>是</t>
        </is>
      </c>
    </row>
    <row r="2340">
      <c r="A2340" s="7" t="inlineStr">
        <is>
          <t>2017-02-27</t>
        </is>
      </c>
      <c r="B2340" s="8" t="n">
        <v>8687</v>
      </c>
      <c r="C2340" s="8" t="n">
        <v>8703</v>
      </c>
      <c r="D2340" s="8" t="n">
        <v>8851</v>
      </c>
      <c r="E2340" s="8" t="n">
        <v>8673</v>
      </c>
      <c r="F2340" s="8" t="n">
        <v>391784</v>
      </c>
      <c r="G2340" s="8" t="n">
        <v>479966</v>
      </c>
      <c r="H2340" s="8" t="n">
        <v>9675</v>
      </c>
      <c r="I2340" s="8" t="n">
        <v>9725</v>
      </c>
      <c r="J2340" s="8" t="n">
        <v>9805</v>
      </c>
      <c r="K2340" s="8" t="n">
        <v>9665</v>
      </c>
      <c r="L2340" s="8" t="n">
        <v>444308</v>
      </c>
      <c r="M2340" s="8" t="n">
        <v>328532</v>
      </c>
      <c r="N2340" t="inlineStr">
        <is>
          <t>是</t>
        </is>
      </c>
    </row>
    <row r="2341">
      <c r="A2341" s="7" t="inlineStr">
        <is>
          <t>2017-02-28</t>
        </is>
      </c>
      <c r="B2341" s="8" t="n">
        <v>8580</v>
      </c>
      <c r="C2341" s="8" t="n">
        <v>8673</v>
      </c>
      <c r="D2341" s="8" t="n">
        <v>8750</v>
      </c>
      <c r="E2341" s="8" t="n">
        <v>8490</v>
      </c>
      <c r="F2341" s="8" t="n">
        <v>387294</v>
      </c>
      <c r="G2341" s="8" t="n">
        <v>462220</v>
      </c>
      <c r="H2341" s="8" t="n">
        <v>9620</v>
      </c>
      <c r="I2341" s="8" t="n">
        <v>9650</v>
      </c>
      <c r="J2341" s="8" t="n">
        <v>9765</v>
      </c>
      <c r="K2341" s="8" t="n">
        <v>9510</v>
      </c>
      <c r="L2341" s="8" t="n">
        <v>510746</v>
      </c>
      <c r="M2341" s="8" t="n">
        <v>345974</v>
      </c>
      <c r="N2341" t="inlineStr">
        <is>
          <t>是</t>
        </is>
      </c>
    </row>
    <row r="2342">
      <c r="A2342" s="7" t="inlineStr">
        <is>
          <t>2017-03-01</t>
        </is>
      </c>
      <c r="B2342" s="8" t="n">
        <v>8564</v>
      </c>
      <c r="C2342" s="8" t="n">
        <v>8640</v>
      </c>
      <c r="D2342" s="8" t="n">
        <v>8695</v>
      </c>
      <c r="E2342" s="8" t="n">
        <v>8524</v>
      </c>
      <c r="F2342" s="8" t="n">
        <v>362828</v>
      </c>
      <c r="G2342" s="8" t="n">
        <v>492328</v>
      </c>
      <c r="H2342" s="8" t="n">
        <v>9585</v>
      </c>
      <c r="I2342" s="8" t="n">
        <v>9650</v>
      </c>
      <c r="J2342" s="8" t="n">
        <v>9690</v>
      </c>
      <c r="K2342" s="8" t="n">
        <v>9535</v>
      </c>
      <c r="L2342" s="8" t="n">
        <v>463070</v>
      </c>
      <c r="M2342" s="8" t="n">
        <v>380176</v>
      </c>
      <c r="N2342" t="inlineStr">
        <is>
          <t>是</t>
        </is>
      </c>
    </row>
    <row r="2343">
      <c r="A2343" s="7" t="inlineStr">
        <is>
          <t>2017-03-02</t>
        </is>
      </c>
      <c r="B2343" s="8" t="n">
        <v>8591</v>
      </c>
      <c r="C2343" s="8" t="n">
        <v>8600</v>
      </c>
      <c r="D2343" s="8" t="n">
        <v>8620</v>
      </c>
      <c r="E2343" s="8" t="n">
        <v>8474</v>
      </c>
      <c r="F2343" s="8" t="n">
        <v>402160</v>
      </c>
      <c r="G2343" s="8" t="n">
        <v>506818</v>
      </c>
      <c r="H2343" s="8" t="n">
        <v>9625</v>
      </c>
      <c r="I2343" s="8" t="n">
        <v>9605</v>
      </c>
      <c r="J2343" s="8" t="n">
        <v>9650</v>
      </c>
      <c r="K2343" s="8" t="n">
        <v>9545</v>
      </c>
      <c r="L2343" s="8" t="n">
        <v>508490</v>
      </c>
      <c r="M2343" s="8" t="n">
        <v>411554</v>
      </c>
      <c r="N2343" t="inlineStr">
        <is>
          <t>是</t>
        </is>
      </c>
    </row>
    <row r="2344">
      <c r="A2344" s="7" t="inlineStr">
        <is>
          <t>2017-03-03</t>
        </is>
      </c>
      <c r="B2344" s="8" t="n">
        <v>8622</v>
      </c>
      <c r="C2344" s="8" t="n">
        <v>8533</v>
      </c>
      <c r="D2344" s="8" t="n">
        <v>8645</v>
      </c>
      <c r="E2344" s="8" t="n">
        <v>8488</v>
      </c>
      <c r="F2344" s="8" t="n">
        <v>397862</v>
      </c>
      <c r="G2344" s="8" t="n">
        <v>507256</v>
      </c>
      <c r="H2344" s="8" t="n">
        <v>9660</v>
      </c>
      <c r="I2344" s="8" t="n">
        <v>9570</v>
      </c>
      <c r="J2344" s="8" t="n">
        <v>9700</v>
      </c>
      <c r="K2344" s="8" t="n">
        <v>9520</v>
      </c>
      <c r="L2344" s="8" t="n">
        <v>551636</v>
      </c>
      <c r="M2344" s="8" t="n">
        <v>398926</v>
      </c>
      <c r="N2344" t="inlineStr">
        <is>
          <t>是</t>
        </is>
      </c>
    </row>
    <row r="2345">
      <c r="A2345" s="7" t="inlineStr">
        <is>
          <t>2017-03-06</t>
        </is>
      </c>
      <c r="B2345" s="8" t="n">
        <v>8725</v>
      </c>
      <c r="C2345" s="8" t="n">
        <v>8620</v>
      </c>
      <c r="D2345" s="8" t="n">
        <v>8766</v>
      </c>
      <c r="E2345" s="8" t="n">
        <v>8618</v>
      </c>
      <c r="F2345" s="8" t="n">
        <v>357766</v>
      </c>
      <c r="G2345" s="8" t="n">
        <v>468702</v>
      </c>
      <c r="H2345" s="8" t="n">
        <v>9720</v>
      </c>
      <c r="I2345" s="8" t="n">
        <v>9670</v>
      </c>
      <c r="J2345" s="8" t="n">
        <v>9790</v>
      </c>
      <c r="K2345" s="8" t="n">
        <v>9660</v>
      </c>
      <c r="L2345" s="8" t="n">
        <v>451708</v>
      </c>
      <c r="M2345" s="8" t="n">
        <v>378426</v>
      </c>
      <c r="N2345" t="inlineStr">
        <is>
          <t>是</t>
        </is>
      </c>
    </row>
    <row r="2346">
      <c r="A2346" s="7" t="inlineStr">
        <is>
          <t>2017-03-07</t>
        </is>
      </c>
      <c r="B2346" s="8" t="n">
        <v>8642</v>
      </c>
      <c r="C2346" s="8" t="n">
        <v>8745</v>
      </c>
      <c r="D2346" s="8" t="n">
        <v>8760</v>
      </c>
      <c r="E2346" s="8" t="n">
        <v>8608</v>
      </c>
      <c r="F2346" s="8" t="n">
        <v>303646</v>
      </c>
      <c r="G2346" s="8" t="n">
        <v>480734</v>
      </c>
      <c r="H2346" s="8" t="n">
        <v>9655</v>
      </c>
      <c r="I2346" s="8" t="n">
        <v>9745</v>
      </c>
      <c r="J2346" s="8" t="n">
        <v>9760</v>
      </c>
      <c r="K2346" s="8" t="n">
        <v>9600</v>
      </c>
      <c r="L2346" s="8" t="n">
        <v>444340</v>
      </c>
      <c r="M2346" s="8" t="n">
        <v>400504</v>
      </c>
      <c r="N2346" t="inlineStr">
        <is>
          <t>是</t>
        </is>
      </c>
    </row>
    <row r="2347">
      <c r="A2347" s="7" t="inlineStr">
        <is>
          <t>2017-03-08</t>
        </is>
      </c>
      <c r="B2347" s="8" t="n">
        <v>8316</v>
      </c>
      <c r="C2347" s="8" t="n">
        <v>8550</v>
      </c>
      <c r="D2347" s="8" t="n">
        <v>8550</v>
      </c>
      <c r="E2347" s="8" t="n">
        <v>8316</v>
      </c>
      <c r="F2347" s="8" t="n">
        <v>450648</v>
      </c>
      <c r="G2347" s="8" t="n">
        <v>511334</v>
      </c>
      <c r="H2347" s="8" t="n">
        <v>9305</v>
      </c>
      <c r="I2347" s="8" t="n">
        <v>9510</v>
      </c>
      <c r="J2347" s="8" t="n">
        <v>9530</v>
      </c>
      <c r="K2347" s="8" t="n">
        <v>9275</v>
      </c>
      <c r="L2347" s="8" t="n">
        <v>715286</v>
      </c>
      <c r="M2347" s="8" t="n">
        <v>426496</v>
      </c>
      <c r="N2347" t="inlineStr">
        <is>
          <t>是</t>
        </is>
      </c>
    </row>
    <row r="2348">
      <c r="A2348" s="7" t="inlineStr">
        <is>
          <t>2017-03-09</t>
        </is>
      </c>
      <c r="B2348" s="8" t="n">
        <v>8276</v>
      </c>
      <c r="C2348" s="8" t="n">
        <v>8200</v>
      </c>
      <c r="D2348" s="8" t="n">
        <v>8308</v>
      </c>
      <c r="E2348" s="8" t="n">
        <v>8163</v>
      </c>
      <c r="F2348" s="8" t="n">
        <v>339306</v>
      </c>
      <c r="G2348" s="8" t="n">
        <v>456080</v>
      </c>
      <c r="H2348" s="8" t="n">
        <v>9260</v>
      </c>
      <c r="I2348" s="8" t="n">
        <v>9250</v>
      </c>
      <c r="J2348" s="8" t="n">
        <v>9310</v>
      </c>
      <c r="K2348" s="8" t="n">
        <v>9175</v>
      </c>
      <c r="L2348" s="8" t="n">
        <v>513392</v>
      </c>
      <c r="M2348" s="8" t="n">
        <v>394126</v>
      </c>
      <c r="N2348" t="inlineStr">
        <is>
          <t>是</t>
        </is>
      </c>
    </row>
    <row r="2349">
      <c r="A2349" s="7" t="inlineStr">
        <is>
          <t>2017-03-10</t>
        </is>
      </c>
      <c r="B2349" s="8" t="n">
        <v>8120</v>
      </c>
      <c r="C2349" s="8" t="n">
        <v>8280</v>
      </c>
      <c r="D2349" s="8" t="n">
        <v>8315</v>
      </c>
      <c r="E2349" s="8" t="n">
        <v>8080</v>
      </c>
      <c r="F2349" s="8" t="n">
        <v>316454</v>
      </c>
      <c r="G2349" s="8" t="n">
        <v>482002</v>
      </c>
      <c r="H2349" s="8" t="n">
        <v>9115</v>
      </c>
      <c r="I2349" s="8" t="n">
        <v>9295</v>
      </c>
      <c r="J2349" s="8" t="n">
        <v>9325</v>
      </c>
      <c r="K2349" s="8" t="n">
        <v>9110</v>
      </c>
      <c r="L2349" s="8" t="n">
        <v>432912</v>
      </c>
      <c r="M2349" s="8" t="n">
        <v>403938</v>
      </c>
      <c r="N2349" t="inlineStr">
        <is>
          <t>是</t>
        </is>
      </c>
    </row>
    <row r="2350">
      <c r="A2350" s="7" t="inlineStr">
        <is>
          <t>2017-03-13</t>
        </is>
      </c>
      <c r="B2350" s="8" t="n">
        <v>8245</v>
      </c>
      <c r="C2350" s="8" t="n">
        <v>8035</v>
      </c>
      <c r="D2350" s="8" t="n">
        <v>8249</v>
      </c>
      <c r="E2350" s="8" t="n">
        <v>8000</v>
      </c>
      <c r="F2350" s="8" t="n">
        <v>370700</v>
      </c>
      <c r="G2350" s="8" t="n">
        <v>457092</v>
      </c>
      <c r="H2350" s="8" t="n">
        <v>9210</v>
      </c>
      <c r="I2350" s="8" t="n">
        <v>9050</v>
      </c>
      <c r="J2350" s="8" t="n">
        <v>9225</v>
      </c>
      <c r="K2350" s="8" t="n">
        <v>9025</v>
      </c>
      <c r="L2350" s="8" t="n">
        <v>466488</v>
      </c>
      <c r="M2350" s="8" t="n">
        <v>385160</v>
      </c>
      <c r="N2350" t="inlineStr">
        <is>
          <t>是</t>
        </is>
      </c>
    </row>
    <row r="2351">
      <c r="A2351" s="7" t="inlineStr">
        <is>
          <t>2017-03-14</t>
        </is>
      </c>
      <c r="B2351" s="8" t="n">
        <v>8140</v>
      </c>
      <c r="C2351" s="8" t="n">
        <v>8218</v>
      </c>
      <c r="D2351" s="8" t="n">
        <v>8282</v>
      </c>
      <c r="E2351" s="8" t="n">
        <v>8100</v>
      </c>
      <c r="F2351" s="8" t="n">
        <v>324754</v>
      </c>
      <c r="G2351" s="8" t="n">
        <v>465382</v>
      </c>
      <c r="H2351" s="8" t="n">
        <v>9195</v>
      </c>
      <c r="I2351" s="8" t="n">
        <v>9215</v>
      </c>
      <c r="J2351" s="8" t="n">
        <v>9290</v>
      </c>
      <c r="K2351" s="8" t="n">
        <v>9160</v>
      </c>
      <c r="L2351" s="8" t="n">
        <v>458866</v>
      </c>
      <c r="M2351" s="8" t="n">
        <v>375552</v>
      </c>
      <c r="N2351" t="inlineStr">
        <is>
          <t>是</t>
        </is>
      </c>
    </row>
    <row r="2352">
      <c r="A2352" s="7" t="inlineStr">
        <is>
          <t>2017-03-15</t>
        </is>
      </c>
      <c r="B2352" s="8" t="n">
        <v>8238</v>
      </c>
      <c r="C2352" s="8" t="n">
        <v>8212</v>
      </c>
      <c r="D2352" s="8" t="n">
        <v>8339</v>
      </c>
      <c r="E2352" s="8" t="n">
        <v>8185</v>
      </c>
      <c r="F2352" s="8" t="n">
        <v>344696</v>
      </c>
      <c r="G2352" s="8" t="n">
        <v>465442</v>
      </c>
      <c r="H2352" s="8" t="n">
        <v>9250</v>
      </c>
      <c r="I2352" s="8" t="n">
        <v>9265</v>
      </c>
      <c r="J2352" s="8" t="n">
        <v>9340</v>
      </c>
      <c r="K2352" s="8" t="n">
        <v>9200</v>
      </c>
      <c r="L2352" s="8" t="n">
        <v>378776</v>
      </c>
      <c r="M2352" s="8" t="n">
        <v>361786</v>
      </c>
      <c r="N2352" t="inlineStr">
        <is>
          <t>是</t>
        </is>
      </c>
    </row>
    <row r="2353">
      <c r="A2353" s="7" t="inlineStr">
        <is>
          <t>2017-03-16</t>
        </is>
      </c>
      <c r="B2353" s="8" t="n">
        <v>8348</v>
      </c>
      <c r="C2353" s="8" t="n">
        <v>8284</v>
      </c>
      <c r="D2353" s="8" t="n">
        <v>8385</v>
      </c>
      <c r="E2353" s="8" t="n">
        <v>8242</v>
      </c>
      <c r="F2353" s="8" t="n">
        <v>329468</v>
      </c>
      <c r="G2353" s="8" t="n">
        <v>456842</v>
      </c>
      <c r="H2353" s="8" t="n">
        <v>9390</v>
      </c>
      <c r="I2353" s="8" t="n">
        <v>9300</v>
      </c>
      <c r="J2353" s="8" t="n">
        <v>9390</v>
      </c>
      <c r="K2353" s="8" t="n">
        <v>9265</v>
      </c>
      <c r="L2353" s="8" t="n">
        <v>450104</v>
      </c>
      <c r="M2353" s="8" t="n">
        <v>349640</v>
      </c>
      <c r="N2353" t="inlineStr">
        <is>
          <t>是</t>
        </is>
      </c>
    </row>
    <row r="2354">
      <c r="A2354" s="7" t="inlineStr">
        <is>
          <t>2017-03-17</t>
        </is>
      </c>
      <c r="B2354" s="8" t="n">
        <v>8355</v>
      </c>
      <c r="C2354" s="8" t="n">
        <v>8351</v>
      </c>
      <c r="D2354" s="8" t="n">
        <v>8418</v>
      </c>
      <c r="E2354" s="8" t="n">
        <v>8302</v>
      </c>
      <c r="F2354" s="8" t="n">
        <v>270334</v>
      </c>
      <c r="G2354" s="8" t="n">
        <v>427624</v>
      </c>
      <c r="H2354" s="8" t="n">
        <v>9405</v>
      </c>
      <c r="I2354" s="8" t="n">
        <v>9380</v>
      </c>
      <c r="J2354" s="8" t="n">
        <v>9440</v>
      </c>
      <c r="K2354" s="8" t="n">
        <v>9350</v>
      </c>
      <c r="L2354" s="8" t="n">
        <v>347798</v>
      </c>
      <c r="M2354" s="8" t="n">
        <v>355620</v>
      </c>
      <c r="N2354" t="inlineStr">
        <is>
          <t>是</t>
        </is>
      </c>
    </row>
    <row r="2355">
      <c r="A2355" s="7" t="inlineStr">
        <is>
          <t>2017-03-20</t>
        </is>
      </c>
      <c r="B2355" s="8" t="n">
        <v>8292</v>
      </c>
      <c r="C2355" s="8" t="n">
        <v>8350</v>
      </c>
      <c r="D2355" s="8" t="n">
        <v>8384</v>
      </c>
      <c r="E2355" s="8" t="n">
        <v>8170</v>
      </c>
      <c r="F2355" s="8" t="n">
        <v>410990</v>
      </c>
      <c r="G2355" s="8" t="n">
        <v>454700</v>
      </c>
      <c r="H2355" s="8" t="n">
        <v>9445</v>
      </c>
      <c r="I2355" s="8" t="n">
        <v>9395</v>
      </c>
      <c r="J2355" s="8" t="n">
        <v>9455</v>
      </c>
      <c r="K2355" s="8" t="n">
        <v>9275</v>
      </c>
      <c r="L2355" s="8" t="n">
        <v>443606</v>
      </c>
      <c r="M2355" s="8" t="n">
        <v>344674</v>
      </c>
      <c r="N2355" t="inlineStr">
        <is>
          <t>是</t>
        </is>
      </c>
    </row>
    <row r="2356">
      <c r="A2356" s="7" t="inlineStr">
        <is>
          <t>2017-03-21</t>
        </is>
      </c>
      <c r="B2356" s="8" t="n">
        <v>8269</v>
      </c>
      <c r="C2356" s="8" t="n">
        <v>8277</v>
      </c>
      <c r="D2356" s="8" t="n">
        <v>8369</v>
      </c>
      <c r="E2356" s="8" t="n">
        <v>8260</v>
      </c>
      <c r="F2356" s="8" t="n">
        <v>370740</v>
      </c>
      <c r="G2356" s="8" t="n">
        <v>405980</v>
      </c>
      <c r="H2356" s="8" t="n">
        <v>9400</v>
      </c>
      <c r="I2356" s="8" t="n">
        <v>9440</v>
      </c>
      <c r="J2356" s="8" t="n">
        <v>9490</v>
      </c>
      <c r="K2356" s="8" t="n">
        <v>9380</v>
      </c>
      <c r="L2356" s="8" t="n">
        <v>471444</v>
      </c>
      <c r="M2356" s="8" t="n">
        <v>334690</v>
      </c>
      <c r="N2356" t="inlineStr">
        <is>
          <t>是</t>
        </is>
      </c>
    </row>
    <row r="2357">
      <c r="A2357" s="7" t="inlineStr">
        <is>
          <t>2017-03-22</t>
        </is>
      </c>
      <c r="B2357" s="8" t="n">
        <v>8103</v>
      </c>
      <c r="C2357" s="8" t="n">
        <v>8200</v>
      </c>
      <c r="D2357" s="8" t="n">
        <v>8215</v>
      </c>
      <c r="E2357" s="8" t="n">
        <v>8080</v>
      </c>
      <c r="F2357" s="8" t="n">
        <v>364782</v>
      </c>
      <c r="G2357" s="8" t="n">
        <v>444344</v>
      </c>
      <c r="H2357" s="8" t="n">
        <v>9245</v>
      </c>
      <c r="I2357" s="8" t="n">
        <v>9355</v>
      </c>
      <c r="J2357" s="8" t="n">
        <v>9355</v>
      </c>
      <c r="K2357" s="8" t="n">
        <v>9200</v>
      </c>
      <c r="L2357" s="8" t="n">
        <v>456576</v>
      </c>
      <c r="M2357" s="8" t="n">
        <v>325900</v>
      </c>
      <c r="N2357" t="inlineStr">
        <is>
          <t>是</t>
        </is>
      </c>
    </row>
    <row r="2358">
      <c r="A2358" s="7" t="inlineStr">
        <is>
          <t>2017-03-23</t>
        </is>
      </c>
      <c r="B2358" s="8" t="n">
        <v>8171</v>
      </c>
      <c r="C2358" s="8" t="n">
        <v>8166</v>
      </c>
      <c r="D2358" s="8" t="n">
        <v>8244</v>
      </c>
      <c r="E2358" s="8" t="n">
        <v>8160</v>
      </c>
      <c r="F2358" s="8" t="n">
        <v>269586</v>
      </c>
      <c r="G2358" s="8" t="n">
        <v>379726</v>
      </c>
      <c r="H2358" s="8" t="n">
        <v>9345</v>
      </c>
      <c r="I2358" s="8" t="n">
        <v>9335</v>
      </c>
      <c r="J2358" s="8" t="n">
        <v>9405</v>
      </c>
      <c r="K2358" s="8" t="n">
        <v>9305</v>
      </c>
      <c r="L2358" s="8" t="n">
        <v>370792</v>
      </c>
      <c r="M2358" s="8" t="n">
        <v>310868</v>
      </c>
      <c r="N2358" t="inlineStr">
        <is>
          <t>是</t>
        </is>
      </c>
    </row>
    <row r="2359">
      <c r="A2359" s="7" t="inlineStr">
        <is>
          <t>2017-03-24</t>
        </is>
      </c>
      <c r="B2359" s="8" t="n">
        <v>8142</v>
      </c>
      <c r="C2359" s="8" t="n">
        <v>8192</v>
      </c>
      <c r="D2359" s="8" t="n">
        <v>8275</v>
      </c>
      <c r="E2359" s="8" t="n">
        <v>8125</v>
      </c>
      <c r="F2359" s="8" t="n">
        <v>309698</v>
      </c>
      <c r="G2359" s="8" t="n">
        <v>379196</v>
      </c>
      <c r="H2359" s="8" t="n">
        <v>9260</v>
      </c>
      <c r="I2359" s="8" t="n">
        <v>9350</v>
      </c>
      <c r="J2359" s="8" t="n">
        <v>9470</v>
      </c>
      <c r="K2359" s="8" t="n">
        <v>9260</v>
      </c>
      <c r="L2359" s="8" t="n">
        <v>415988</v>
      </c>
      <c r="M2359" s="8" t="n">
        <v>290498</v>
      </c>
      <c r="N2359" t="inlineStr">
        <is>
          <t>是</t>
        </is>
      </c>
    </row>
    <row r="2360">
      <c r="A2360" s="7" t="inlineStr">
        <is>
          <t>2017-03-27</t>
        </is>
      </c>
      <c r="B2360" s="8" t="n">
        <v>7906</v>
      </c>
      <c r="C2360" s="8" t="n">
        <v>8090</v>
      </c>
      <c r="D2360" s="8" t="n">
        <v>8092</v>
      </c>
      <c r="E2360" s="8" t="n">
        <v>7824</v>
      </c>
      <c r="F2360" s="8" t="n">
        <v>373946</v>
      </c>
      <c r="G2360" s="8" t="n">
        <v>382504</v>
      </c>
      <c r="H2360" s="8" t="n">
        <v>9195</v>
      </c>
      <c r="I2360" s="8" t="n">
        <v>9205</v>
      </c>
      <c r="J2360" s="8" t="n">
        <v>9280</v>
      </c>
      <c r="K2360" s="8" t="n">
        <v>9015</v>
      </c>
      <c r="L2360" s="8" t="n">
        <v>497698</v>
      </c>
      <c r="M2360" s="8" t="n">
        <v>281574</v>
      </c>
      <c r="N2360" t="inlineStr">
        <is>
          <t>是</t>
        </is>
      </c>
    </row>
    <row r="2361">
      <c r="A2361" s="7" t="inlineStr">
        <is>
          <t>2017-03-28</t>
        </is>
      </c>
      <c r="B2361" s="8" t="n">
        <v>7928</v>
      </c>
      <c r="C2361" s="8" t="n">
        <v>7978</v>
      </c>
      <c r="D2361" s="8" t="n">
        <v>8017</v>
      </c>
      <c r="E2361" s="8" t="n">
        <v>7910</v>
      </c>
      <c r="F2361" s="8" t="n">
        <v>202182</v>
      </c>
      <c r="G2361" s="8" t="n">
        <v>348306</v>
      </c>
      <c r="H2361" s="8" t="n">
        <v>9145</v>
      </c>
      <c r="I2361" s="8" t="n">
        <v>9235</v>
      </c>
      <c r="J2361" s="8" t="n">
        <v>9250</v>
      </c>
      <c r="K2361" s="8" t="n">
        <v>9135</v>
      </c>
      <c r="L2361" s="8" t="n">
        <v>298168</v>
      </c>
      <c r="M2361" s="8" t="n">
        <v>268340</v>
      </c>
      <c r="N2361" t="inlineStr">
        <is>
          <t>是</t>
        </is>
      </c>
    </row>
    <row r="2362">
      <c r="A2362" s="7" t="inlineStr">
        <is>
          <t>2017-03-29</t>
        </is>
      </c>
      <c r="B2362" s="8" t="n">
        <v>8237</v>
      </c>
      <c r="C2362" s="8" t="n">
        <v>8040</v>
      </c>
      <c r="D2362" s="8" t="n">
        <v>8240</v>
      </c>
      <c r="E2362" s="8" t="n">
        <v>8030</v>
      </c>
      <c r="F2362" s="8" t="n">
        <v>317482</v>
      </c>
      <c r="G2362" s="8" t="n">
        <v>354810</v>
      </c>
      <c r="H2362" s="8" t="n">
        <v>9305</v>
      </c>
      <c r="I2362" s="8" t="n">
        <v>9205</v>
      </c>
      <c r="J2362" s="8" t="n">
        <v>9350</v>
      </c>
      <c r="K2362" s="8" t="n">
        <v>9205</v>
      </c>
      <c r="L2362" s="8" t="n">
        <v>334256</v>
      </c>
      <c r="M2362" s="8" t="n">
        <v>243040</v>
      </c>
      <c r="N2362" t="inlineStr">
        <is>
          <t>是</t>
        </is>
      </c>
    </row>
    <row r="2363">
      <c r="A2363" s="7" t="inlineStr">
        <is>
          <t>2017-03-30</t>
        </is>
      </c>
      <c r="B2363" s="8" t="n">
        <v>8124</v>
      </c>
      <c r="C2363" s="8" t="n">
        <v>8268</v>
      </c>
      <c r="D2363" s="8" t="n">
        <v>8320</v>
      </c>
      <c r="E2363" s="8" t="n">
        <v>8100</v>
      </c>
      <c r="F2363" s="8" t="n">
        <v>264878</v>
      </c>
      <c r="G2363" s="8" t="n">
        <v>318396</v>
      </c>
      <c r="H2363" s="8" t="n">
        <v>9180</v>
      </c>
      <c r="I2363" s="8" t="n">
        <v>9380</v>
      </c>
      <c r="J2363" s="8" t="n">
        <v>9390</v>
      </c>
      <c r="K2363" s="8" t="n">
        <v>9150</v>
      </c>
      <c r="L2363" s="8" t="n">
        <v>308258</v>
      </c>
      <c r="M2363" s="8" t="n">
        <v>252234</v>
      </c>
      <c r="N2363" t="inlineStr">
        <is>
          <t>是</t>
        </is>
      </c>
    </row>
    <row r="2364">
      <c r="A2364" s="7" t="inlineStr">
        <is>
          <t>2017-03-31</t>
        </is>
      </c>
      <c r="B2364" s="8" t="n">
        <v>8047</v>
      </c>
      <c r="C2364" s="8" t="n">
        <v>8201</v>
      </c>
      <c r="D2364" s="8" t="n">
        <v>8254</v>
      </c>
      <c r="E2364" s="8" t="n">
        <v>8000</v>
      </c>
      <c r="F2364" s="8" t="n">
        <v>291422</v>
      </c>
      <c r="G2364" s="8" t="n">
        <v>345412</v>
      </c>
      <c r="H2364" s="8" t="n">
        <v>9140</v>
      </c>
      <c r="I2364" s="8" t="n">
        <v>9225</v>
      </c>
      <c r="J2364" s="8" t="n">
        <v>9295</v>
      </c>
      <c r="K2364" s="8" t="n">
        <v>9070</v>
      </c>
      <c r="L2364" s="8" t="n">
        <v>334164</v>
      </c>
      <c r="M2364" s="8" t="n">
        <v>238466</v>
      </c>
      <c r="N2364" t="inlineStr">
        <is>
          <t>是</t>
        </is>
      </c>
    </row>
    <row r="2365">
      <c r="A2365" s="7" t="inlineStr">
        <is>
          <t>2017-04-05</t>
        </is>
      </c>
      <c r="B2365" s="8" t="n">
        <v>8311</v>
      </c>
      <c r="C2365" s="8" t="n">
        <v>7936</v>
      </c>
      <c r="D2365" s="8" t="n">
        <v>8349</v>
      </c>
      <c r="E2365" s="8" t="n">
        <v>7936</v>
      </c>
      <c r="F2365" s="8" t="n">
        <v>310452</v>
      </c>
      <c r="G2365" s="8" t="n">
        <v>306436</v>
      </c>
      <c r="H2365" s="8" t="n">
        <v>9475</v>
      </c>
      <c r="I2365" s="8" t="n">
        <v>9175</v>
      </c>
      <c r="J2365" s="8" t="n">
        <v>9485</v>
      </c>
      <c r="K2365" s="8" t="n">
        <v>9160</v>
      </c>
      <c r="L2365" s="8" t="n">
        <v>385288</v>
      </c>
      <c r="M2365" s="8" t="n">
        <v>208768</v>
      </c>
      <c r="N2365" t="inlineStr">
        <is>
          <t>是</t>
        </is>
      </c>
    </row>
    <row r="2366">
      <c r="A2366" s="7" t="inlineStr">
        <is>
          <t>2017-04-06</t>
        </is>
      </c>
      <c r="B2366" s="8" t="n">
        <v>8323</v>
      </c>
      <c r="C2366" s="8" t="n">
        <v>8280</v>
      </c>
      <c r="D2366" s="8" t="n">
        <v>8337</v>
      </c>
      <c r="E2366" s="8" t="n">
        <v>8222</v>
      </c>
      <c r="F2366" s="8" t="n">
        <v>186936</v>
      </c>
      <c r="G2366" s="8" t="n">
        <v>283376</v>
      </c>
      <c r="H2366" s="8" t="n">
        <v>9530</v>
      </c>
      <c r="I2366" s="8" t="n">
        <v>9450</v>
      </c>
      <c r="J2366" s="8" t="n">
        <v>9535</v>
      </c>
      <c r="K2366" s="8" t="n">
        <v>9405</v>
      </c>
      <c r="L2366" s="8" t="n">
        <v>295334</v>
      </c>
      <c r="M2366" s="8" t="n">
        <v>197144</v>
      </c>
      <c r="N2366" t="inlineStr">
        <is>
          <t>是</t>
        </is>
      </c>
    </row>
    <row r="2367">
      <c r="A2367" s="7" t="inlineStr">
        <is>
          <t>2017-04-07</t>
        </is>
      </c>
      <c r="B2367" s="8" t="n">
        <v>8261</v>
      </c>
      <c r="C2367" s="8" t="n">
        <v>8222</v>
      </c>
      <c r="D2367" s="8" t="n">
        <v>8472</v>
      </c>
      <c r="E2367" s="8" t="n">
        <v>8179</v>
      </c>
      <c r="F2367" s="8" t="n">
        <v>331484</v>
      </c>
      <c r="G2367" s="8" t="n">
        <v>303880</v>
      </c>
      <c r="H2367" s="8" t="n">
        <v>9370</v>
      </c>
      <c r="I2367" s="8" t="n">
        <v>9380</v>
      </c>
      <c r="J2367" s="8" t="n">
        <v>9570</v>
      </c>
      <c r="K2367" s="8" t="n">
        <v>9310</v>
      </c>
      <c r="L2367" s="8" t="n">
        <v>540022</v>
      </c>
      <c r="M2367" s="8" t="n">
        <v>269732</v>
      </c>
      <c r="N2367" t="inlineStr">
        <is>
          <t>是</t>
        </is>
      </c>
    </row>
    <row r="2368">
      <c r="A2368" s="7" t="inlineStr">
        <is>
          <t>2017-04-10</t>
        </is>
      </c>
      <c r="B2368" s="8" t="n">
        <v>8052</v>
      </c>
      <c r="C2368" s="8" t="n">
        <v>8300</v>
      </c>
      <c r="D2368" s="8" t="n">
        <v>8300</v>
      </c>
      <c r="E2368" s="8" t="n">
        <v>8050</v>
      </c>
      <c r="F2368" s="8" t="n">
        <v>252836</v>
      </c>
      <c r="G2368" s="8" t="n">
        <v>239216</v>
      </c>
      <c r="H2368" s="8" t="n">
        <v>9140</v>
      </c>
      <c r="I2368" s="8" t="n">
        <v>9430</v>
      </c>
      <c r="J2368" s="8" t="n">
        <v>9465</v>
      </c>
      <c r="K2368" s="8" t="n">
        <v>9135</v>
      </c>
      <c r="L2368" s="8" t="n">
        <v>576324</v>
      </c>
      <c r="M2368" s="8" t="n">
        <v>317040</v>
      </c>
      <c r="N2368" t="inlineStr">
        <is>
          <t>是</t>
        </is>
      </c>
    </row>
    <row r="2369">
      <c r="A2369" s="7" t="inlineStr">
        <is>
          <t>2017-04-11</t>
        </is>
      </c>
      <c r="B2369" s="8" t="n">
        <v>7996</v>
      </c>
      <c r="C2369" s="8" t="n">
        <v>8053</v>
      </c>
      <c r="D2369" s="8" t="n">
        <v>8094</v>
      </c>
      <c r="E2369" s="8" t="n">
        <v>7977</v>
      </c>
      <c r="F2369" s="8" t="n">
        <v>289386</v>
      </c>
      <c r="G2369" s="8" t="n">
        <v>372298</v>
      </c>
      <c r="H2369" s="8" t="n">
        <v>9160</v>
      </c>
      <c r="I2369" s="8" t="n">
        <v>9170</v>
      </c>
      <c r="J2369" s="8" t="n">
        <v>9210</v>
      </c>
      <c r="K2369" s="8" t="n">
        <v>9125</v>
      </c>
      <c r="L2369" s="8" t="n">
        <v>395228</v>
      </c>
      <c r="M2369" s="8" t="n">
        <v>321480</v>
      </c>
      <c r="N2369" t="inlineStr">
        <is>
          <t>是</t>
        </is>
      </c>
    </row>
    <row r="2370">
      <c r="A2370" s="7" t="inlineStr">
        <is>
          <t>2017-04-12</t>
        </is>
      </c>
      <c r="B2370" s="8" t="n">
        <v>7925</v>
      </c>
      <c r="C2370" s="8" t="n">
        <v>8000</v>
      </c>
      <c r="D2370" s="8" t="n">
        <v>8058</v>
      </c>
      <c r="E2370" s="8" t="n">
        <v>7908</v>
      </c>
      <c r="F2370" s="8" t="n">
        <v>326514</v>
      </c>
      <c r="G2370" s="8" t="n">
        <v>408616</v>
      </c>
      <c r="H2370" s="8" t="n">
        <v>9075</v>
      </c>
      <c r="I2370" s="8" t="n">
        <v>9170</v>
      </c>
      <c r="J2370" s="8" t="n">
        <v>9245</v>
      </c>
      <c r="K2370" s="8" t="n">
        <v>9055</v>
      </c>
      <c r="L2370" s="8" t="n">
        <v>579694</v>
      </c>
      <c r="M2370" s="8" t="n">
        <v>347882</v>
      </c>
      <c r="N2370" t="inlineStr">
        <is>
          <t>是</t>
        </is>
      </c>
    </row>
    <row r="2371">
      <c r="A2371" s="7" t="inlineStr">
        <is>
          <t>2017-04-13</t>
        </is>
      </c>
      <c r="B2371" s="8" t="n">
        <v>7935</v>
      </c>
      <c r="C2371" s="8" t="n">
        <v>7885</v>
      </c>
      <c r="D2371" s="8" t="n">
        <v>8013</v>
      </c>
      <c r="E2371" s="8" t="n">
        <v>7851</v>
      </c>
      <c r="F2371" s="8" t="n">
        <v>300354</v>
      </c>
      <c r="G2371" s="8" t="n">
        <v>401456</v>
      </c>
      <c r="H2371" s="8" t="n">
        <v>9040</v>
      </c>
      <c r="I2371" s="8" t="n">
        <v>9065</v>
      </c>
      <c r="J2371" s="8" t="n">
        <v>9170</v>
      </c>
      <c r="K2371" s="8" t="n">
        <v>9005</v>
      </c>
      <c r="L2371" s="8" t="n">
        <v>462646</v>
      </c>
      <c r="M2371" s="8" t="n">
        <v>337672</v>
      </c>
      <c r="N2371" t="inlineStr">
        <is>
          <t>是</t>
        </is>
      </c>
    </row>
    <row r="2372">
      <c r="A2372" s="7" t="inlineStr">
        <is>
          <t>2017-04-14</t>
        </is>
      </c>
      <c r="B2372" s="8" t="n">
        <v>7739</v>
      </c>
      <c r="C2372" s="8" t="n">
        <v>7955</v>
      </c>
      <c r="D2372" s="8" t="n">
        <v>7997</v>
      </c>
      <c r="E2372" s="8" t="n">
        <v>7715</v>
      </c>
      <c r="F2372" s="8" t="n">
        <v>463558</v>
      </c>
      <c r="G2372" s="8" t="n">
        <v>510168</v>
      </c>
      <c r="H2372" s="8" t="n">
        <v>8840</v>
      </c>
      <c r="I2372" s="8" t="n">
        <v>9060</v>
      </c>
      <c r="J2372" s="8" t="n">
        <v>9105</v>
      </c>
      <c r="K2372" s="8" t="n">
        <v>8740</v>
      </c>
      <c r="L2372" s="8" t="n">
        <v>778964</v>
      </c>
      <c r="M2372" s="8" t="n">
        <v>406584</v>
      </c>
      <c r="N2372" t="inlineStr">
        <is>
          <t>是</t>
        </is>
      </c>
    </row>
    <row r="2373">
      <c r="A2373" s="7" t="inlineStr">
        <is>
          <t>2017-04-17</t>
        </is>
      </c>
      <c r="B2373" s="8" t="n">
        <v>7670</v>
      </c>
      <c r="C2373" s="8" t="n">
        <v>7789</v>
      </c>
      <c r="D2373" s="8" t="n">
        <v>7854</v>
      </c>
      <c r="E2373" s="8" t="n">
        <v>7658</v>
      </c>
      <c r="F2373" s="8" t="n">
        <v>347320</v>
      </c>
      <c r="G2373" s="8" t="n">
        <v>513174</v>
      </c>
      <c r="H2373" s="8" t="n">
        <v>8805</v>
      </c>
      <c r="I2373" s="8" t="n">
        <v>8880</v>
      </c>
      <c r="J2373" s="8" t="n">
        <v>8935</v>
      </c>
      <c r="K2373" s="8" t="n">
        <v>8770</v>
      </c>
      <c r="L2373" s="8" t="n">
        <v>385900</v>
      </c>
      <c r="M2373" s="8" t="n">
        <v>404496</v>
      </c>
      <c r="N2373" t="inlineStr">
        <is>
          <t>是</t>
        </is>
      </c>
    </row>
    <row r="2374">
      <c r="A2374" s="7" t="inlineStr">
        <is>
          <t>2017-04-18</t>
        </is>
      </c>
      <c r="B2374" s="8" t="n">
        <v>7687</v>
      </c>
      <c r="C2374" s="8" t="n">
        <v>7670</v>
      </c>
      <c r="D2374" s="8" t="n">
        <v>7738</v>
      </c>
      <c r="E2374" s="8" t="n">
        <v>7571</v>
      </c>
      <c r="F2374" s="8" t="n">
        <v>363122</v>
      </c>
      <c r="G2374" s="8" t="n">
        <v>540702</v>
      </c>
      <c r="H2374" s="8" t="n">
        <v>8820</v>
      </c>
      <c r="I2374" s="8" t="n">
        <v>8810</v>
      </c>
      <c r="J2374" s="8" t="n">
        <v>8880</v>
      </c>
      <c r="K2374" s="8" t="n">
        <v>8700</v>
      </c>
      <c r="L2374" s="8" t="n">
        <v>515812</v>
      </c>
      <c r="M2374" s="8" t="n">
        <v>407630</v>
      </c>
      <c r="N2374" t="inlineStr">
        <is>
          <t>是</t>
        </is>
      </c>
    </row>
    <row r="2375">
      <c r="A2375" s="7" t="inlineStr">
        <is>
          <t>2017-04-19</t>
        </is>
      </c>
      <c r="B2375" s="8" t="n">
        <v>7668</v>
      </c>
      <c r="C2375" s="8" t="n">
        <v>7660</v>
      </c>
      <c r="D2375" s="8" t="n">
        <v>7732</v>
      </c>
      <c r="E2375" s="8" t="n">
        <v>7532</v>
      </c>
      <c r="F2375" s="8" t="n">
        <v>452090</v>
      </c>
      <c r="G2375" s="8" t="n">
        <v>529450</v>
      </c>
      <c r="H2375" s="8" t="n">
        <v>8785</v>
      </c>
      <c r="I2375" s="8" t="n">
        <v>8780</v>
      </c>
      <c r="J2375" s="8" t="n">
        <v>8835</v>
      </c>
      <c r="K2375" s="8" t="n">
        <v>8675</v>
      </c>
      <c r="L2375" s="8" t="n">
        <v>517110</v>
      </c>
      <c r="M2375" s="8" t="n">
        <v>416112</v>
      </c>
      <c r="N2375" t="inlineStr">
        <is>
          <t>是</t>
        </is>
      </c>
    </row>
    <row r="2376">
      <c r="A2376" s="7" t="inlineStr">
        <is>
          <t>2017-04-20</t>
        </is>
      </c>
      <c r="B2376" s="8" t="n">
        <v>7729</v>
      </c>
      <c r="C2376" s="8" t="n">
        <v>7619</v>
      </c>
      <c r="D2376" s="8" t="n">
        <v>7773</v>
      </c>
      <c r="E2376" s="8" t="n">
        <v>7511</v>
      </c>
      <c r="F2376" s="8" t="n">
        <v>478454</v>
      </c>
      <c r="G2376" s="8" t="n">
        <v>553608</v>
      </c>
      <c r="H2376" s="8" t="n">
        <v>8830</v>
      </c>
      <c r="I2376" s="8" t="n">
        <v>8740</v>
      </c>
      <c r="J2376" s="8" t="n">
        <v>8875</v>
      </c>
      <c r="K2376" s="8" t="n">
        <v>8655</v>
      </c>
      <c r="L2376" s="8" t="n">
        <v>663926</v>
      </c>
      <c r="M2376" s="8" t="n">
        <v>404456</v>
      </c>
      <c r="N2376" t="inlineStr">
        <is>
          <t>是</t>
        </is>
      </c>
    </row>
    <row r="2377">
      <c r="A2377" s="7" t="inlineStr">
        <is>
          <t>2017-04-21</t>
        </is>
      </c>
      <c r="B2377" s="8" t="n">
        <v>7642</v>
      </c>
      <c r="C2377" s="8" t="n">
        <v>7747</v>
      </c>
      <c r="D2377" s="8" t="n">
        <v>7806</v>
      </c>
      <c r="E2377" s="8" t="n">
        <v>7640</v>
      </c>
      <c r="F2377" s="8" t="n">
        <v>389164</v>
      </c>
      <c r="G2377" s="8" t="n">
        <v>529630</v>
      </c>
      <c r="H2377" s="8" t="n">
        <v>8745</v>
      </c>
      <c r="I2377" s="8" t="n">
        <v>8845</v>
      </c>
      <c r="J2377" s="8" t="n">
        <v>8900</v>
      </c>
      <c r="K2377" s="8" t="n">
        <v>8715</v>
      </c>
      <c r="L2377" s="8" t="n">
        <v>494366</v>
      </c>
      <c r="M2377" s="8" t="n">
        <v>399360</v>
      </c>
      <c r="N2377" t="inlineStr">
        <is>
          <t>是</t>
        </is>
      </c>
    </row>
    <row r="2378">
      <c r="A2378" s="7" t="inlineStr">
        <is>
          <t>2017-04-24</t>
        </is>
      </c>
      <c r="B2378" s="8" t="n">
        <v>7565</v>
      </c>
      <c r="C2378" s="8" t="n">
        <v>7630</v>
      </c>
      <c r="D2378" s="8" t="n">
        <v>7635</v>
      </c>
      <c r="E2378" s="8" t="n">
        <v>7468</v>
      </c>
      <c r="F2378" s="8" t="n">
        <v>433406</v>
      </c>
      <c r="G2378" s="8" t="n">
        <v>576954</v>
      </c>
      <c r="H2378" s="8" t="n">
        <v>8640</v>
      </c>
      <c r="I2378" s="8" t="n">
        <v>8750</v>
      </c>
      <c r="J2378" s="8" t="n">
        <v>8750</v>
      </c>
      <c r="K2378" s="8" t="n">
        <v>8525</v>
      </c>
      <c r="L2378" s="8" t="n">
        <v>577426</v>
      </c>
      <c r="M2378" s="8" t="n">
        <v>416868</v>
      </c>
      <c r="N2378" t="inlineStr">
        <is>
          <t>是</t>
        </is>
      </c>
    </row>
    <row r="2379">
      <c r="A2379" s="7" t="inlineStr">
        <is>
          <t>2017-04-25</t>
        </is>
      </c>
      <c r="B2379" s="8" t="n">
        <v>7553</v>
      </c>
      <c r="C2379" s="8" t="n">
        <v>7537</v>
      </c>
      <c r="D2379" s="8" t="n">
        <v>7634</v>
      </c>
      <c r="E2379" s="8" t="n">
        <v>7521</v>
      </c>
      <c r="F2379" s="8" t="n">
        <v>305836</v>
      </c>
      <c r="G2379" s="8" t="n">
        <v>544330</v>
      </c>
      <c r="H2379" s="8" t="n">
        <v>8580</v>
      </c>
      <c r="I2379" s="8" t="n">
        <v>8640</v>
      </c>
      <c r="J2379" s="8" t="n">
        <v>8695</v>
      </c>
      <c r="K2379" s="8" t="n">
        <v>8570</v>
      </c>
      <c r="L2379" s="8" t="n">
        <v>402374</v>
      </c>
      <c r="M2379" s="8" t="n">
        <v>431100</v>
      </c>
      <c r="N2379" t="inlineStr">
        <is>
          <t>是</t>
        </is>
      </c>
    </row>
    <row r="2380">
      <c r="A2380" s="7" t="inlineStr">
        <is>
          <t>2017-04-26</t>
        </is>
      </c>
      <c r="B2380" s="8" t="n">
        <v>7668</v>
      </c>
      <c r="C2380" s="8" t="n">
        <v>7560</v>
      </c>
      <c r="D2380" s="8" t="n">
        <v>7745</v>
      </c>
      <c r="E2380" s="8" t="n">
        <v>7493</v>
      </c>
      <c r="F2380" s="8" t="n">
        <v>472108</v>
      </c>
      <c r="G2380" s="8" t="n">
        <v>586722</v>
      </c>
      <c r="H2380" s="8" t="n">
        <v>8635</v>
      </c>
      <c r="I2380" s="8" t="n">
        <v>8595</v>
      </c>
      <c r="J2380" s="8" t="n">
        <v>8735</v>
      </c>
      <c r="K2380" s="8" t="n">
        <v>8550</v>
      </c>
      <c r="L2380" s="8" t="n">
        <v>469784</v>
      </c>
      <c r="M2380" s="8" t="n">
        <v>408618</v>
      </c>
      <c r="N2380" t="inlineStr">
        <is>
          <t>是</t>
        </is>
      </c>
    </row>
    <row r="2381">
      <c r="A2381" s="7" t="inlineStr">
        <is>
          <t>2017-04-27</t>
        </is>
      </c>
      <c r="B2381" s="8" t="n">
        <v>7781</v>
      </c>
      <c r="C2381" s="8" t="n">
        <v>7692</v>
      </c>
      <c r="D2381" s="8" t="n">
        <v>7781</v>
      </c>
      <c r="E2381" s="8" t="n">
        <v>7681</v>
      </c>
      <c r="F2381" s="8" t="n">
        <v>313008</v>
      </c>
      <c r="G2381" s="8" t="n">
        <v>541996</v>
      </c>
      <c r="H2381" s="8" t="n">
        <v>8680</v>
      </c>
      <c r="I2381" s="8" t="n">
        <v>8655</v>
      </c>
      <c r="J2381" s="8" t="n">
        <v>8700</v>
      </c>
      <c r="K2381" s="8" t="n">
        <v>8620</v>
      </c>
      <c r="L2381" s="8" t="n">
        <v>341594</v>
      </c>
      <c r="M2381" s="8" t="n">
        <v>416608</v>
      </c>
      <c r="N2381" t="inlineStr">
        <is>
          <t>是</t>
        </is>
      </c>
    </row>
    <row r="2382">
      <c r="A2382" s="7" t="inlineStr">
        <is>
          <t>2017-04-28</t>
        </is>
      </c>
      <c r="B2382" s="8" t="n">
        <v>7849</v>
      </c>
      <c r="C2382" s="8" t="n">
        <v>7805</v>
      </c>
      <c r="D2382" s="8" t="n">
        <v>7891</v>
      </c>
      <c r="E2382" s="8" t="n">
        <v>7785</v>
      </c>
      <c r="F2382" s="8" t="n">
        <v>391796</v>
      </c>
      <c r="G2382" s="8" t="n">
        <v>552974</v>
      </c>
      <c r="H2382" s="8" t="n">
        <v>8880</v>
      </c>
      <c r="I2382" s="8" t="n">
        <v>8720</v>
      </c>
      <c r="J2382" s="8" t="n">
        <v>8900</v>
      </c>
      <c r="K2382" s="8" t="n">
        <v>8715</v>
      </c>
      <c r="L2382" s="8" t="n">
        <v>523468</v>
      </c>
      <c r="M2382" s="8" t="n">
        <v>385734</v>
      </c>
      <c r="N2382" t="inlineStr">
        <is>
          <t>是</t>
        </is>
      </c>
    </row>
    <row r="2383">
      <c r="A2383" s="7" t="inlineStr">
        <is>
          <t>2017-05-02</t>
        </is>
      </c>
      <c r="B2383" s="8" t="n">
        <v>7833</v>
      </c>
      <c r="C2383" s="8" t="n">
        <v>7862</v>
      </c>
      <c r="D2383" s="8" t="n">
        <v>7862</v>
      </c>
      <c r="E2383" s="8" t="n">
        <v>7720</v>
      </c>
      <c r="F2383" s="8" t="n">
        <v>296154</v>
      </c>
      <c r="G2383" s="8" t="n">
        <v>516642</v>
      </c>
      <c r="H2383" s="8" t="n">
        <v>8880</v>
      </c>
      <c r="I2383" s="8" t="n">
        <v>8865</v>
      </c>
      <c r="J2383" s="8" t="n">
        <v>8920</v>
      </c>
      <c r="K2383" s="8" t="n">
        <v>8780</v>
      </c>
      <c r="L2383" s="8" t="n">
        <v>333184</v>
      </c>
      <c r="M2383" s="8" t="n">
        <v>378104</v>
      </c>
      <c r="N2383" t="inlineStr">
        <is>
          <t>是</t>
        </is>
      </c>
    </row>
    <row r="2384">
      <c r="A2384" s="7" t="inlineStr">
        <is>
          <t>2017-05-03</t>
        </is>
      </c>
      <c r="B2384" s="8" t="n">
        <v>7794</v>
      </c>
      <c r="C2384" s="8" t="n">
        <v>7828</v>
      </c>
      <c r="D2384" s="8" t="n">
        <v>7850</v>
      </c>
      <c r="E2384" s="8" t="n">
        <v>7751</v>
      </c>
      <c r="F2384" s="8" t="n">
        <v>295128</v>
      </c>
      <c r="G2384" s="8" t="n">
        <v>549716</v>
      </c>
      <c r="H2384" s="8" t="n">
        <v>8840</v>
      </c>
      <c r="I2384" s="8" t="n">
        <v>8855</v>
      </c>
      <c r="J2384" s="8" t="n">
        <v>8930</v>
      </c>
      <c r="K2384" s="8" t="n">
        <v>8795</v>
      </c>
      <c r="L2384" s="8" t="n">
        <v>415754</v>
      </c>
      <c r="M2384" s="8" t="n">
        <v>387392</v>
      </c>
      <c r="N2384" t="inlineStr">
        <is>
          <t>是</t>
        </is>
      </c>
    </row>
    <row r="2385">
      <c r="A2385" s="7" t="inlineStr">
        <is>
          <t>2017-05-04</t>
        </is>
      </c>
      <c r="B2385" s="8" t="n">
        <v>7592</v>
      </c>
      <c r="C2385" s="8" t="n">
        <v>7611</v>
      </c>
      <c r="D2385" s="8" t="n">
        <v>7675</v>
      </c>
      <c r="E2385" s="8" t="n">
        <v>7500</v>
      </c>
      <c r="F2385" s="8" t="n">
        <v>524168</v>
      </c>
      <c r="G2385" s="8" t="n">
        <v>581184</v>
      </c>
      <c r="H2385" s="8" t="n">
        <v>8755</v>
      </c>
      <c r="I2385" s="8" t="n">
        <v>8685</v>
      </c>
      <c r="J2385" s="8" t="n">
        <v>8775</v>
      </c>
      <c r="K2385" s="8" t="n">
        <v>8605</v>
      </c>
      <c r="L2385" s="8" t="n">
        <v>614526</v>
      </c>
      <c r="M2385" s="8" t="n">
        <v>398342</v>
      </c>
      <c r="N2385" t="inlineStr">
        <is>
          <t>是</t>
        </is>
      </c>
    </row>
    <row r="2386">
      <c r="A2386" s="7" t="inlineStr">
        <is>
          <t>2017-05-05</t>
        </is>
      </c>
      <c r="B2386" s="8" t="n">
        <v>7521</v>
      </c>
      <c r="C2386" s="8" t="n">
        <v>7548</v>
      </c>
      <c r="D2386" s="8" t="n">
        <v>7598</v>
      </c>
      <c r="E2386" s="8" t="n">
        <v>7455</v>
      </c>
      <c r="F2386" s="8" t="n">
        <v>361674</v>
      </c>
      <c r="G2386" s="8" t="n">
        <v>551552</v>
      </c>
      <c r="H2386" s="8" t="n">
        <v>8705</v>
      </c>
      <c r="I2386" s="8" t="n">
        <v>8695</v>
      </c>
      <c r="J2386" s="8" t="n">
        <v>8765</v>
      </c>
      <c r="K2386" s="8" t="n">
        <v>8650</v>
      </c>
      <c r="L2386" s="8" t="n">
        <v>501596</v>
      </c>
      <c r="M2386" s="8" t="n">
        <v>389422</v>
      </c>
      <c r="N2386" t="inlineStr">
        <is>
          <t>是</t>
        </is>
      </c>
    </row>
    <row r="2387">
      <c r="A2387" s="7" t="inlineStr">
        <is>
          <t>2017-05-08</t>
        </is>
      </c>
      <c r="B2387" s="8" t="n">
        <v>7570</v>
      </c>
      <c r="C2387" s="8" t="n">
        <v>7648</v>
      </c>
      <c r="D2387" s="8" t="n">
        <v>7750</v>
      </c>
      <c r="E2387" s="8" t="n">
        <v>7556</v>
      </c>
      <c r="F2387" s="8" t="n">
        <v>394432</v>
      </c>
      <c r="G2387" s="8" t="n">
        <v>574618</v>
      </c>
      <c r="H2387" s="8" t="n">
        <v>8735</v>
      </c>
      <c r="I2387" s="8" t="n">
        <v>8835</v>
      </c>
      <c r="J2387" s="8" t="n">
        <v>8895</v>
      </c>
      <c r="K2387" s="8" t="n">
        <v>8720</v>
      </c>
      <c r="L2387" s="8" t="n">
        <v>507678</v>
      </c>
      <c r="M2387" s="8" t="n">
        <v>399014</v>
      </c>
      <c r="N2387" t="inlineStr">
        <is>
          <t>是</t>
        </is>
      </c>
    </row>
    <row r="2388">
      <c r="A2388" s="7" t="inlineStr">
        <is>
          <t>2017-05-09</t>
        </is>
      </c>
      <c r="B2388" s="8" t="n">
        <v>7565</v>
      </c>
      <c r="C2388" s="8" t="n">
        <v>7602</v>
      </c>
      <c r="D2388" s="8" t="n">
        <v>7609</v>
      </c>
      <c r="E2388" s="8" t="n">
        <v>7515</v>
      </c>
      <c r="F2388" s="8" t="n">
        <v>230992</v>
      </c>
      <c r="G2388" s="8" t="n">
        <v>551822</v>
      </c>
      <c r="H2388" s="8" t="n">
        <v>8740</v>
      </c>
      <c r="I2388" s="8" t="n">
        <v>8755</v>
      </c>
      <c r="J2388" s="8" t="n">
        <v>8780</v>
      </c>
      <c r="K2388" s="8" t="n">
        <v>8700</v>
      </c>
      <c r="L2388" s="8" t="n">
        <v>283060</v>
      </c>
      <c r="M2388" s="8" t="n">
        <v>401044</v>
      </c>
      <c r="N2388" t="inlineStr">
        <is>
          <t>是</t>
        </is>
      </c>
    </row>
    <row r="2389">
      <c r="A2389" s="7" t="inlineStr">
        <is>
          <t>2017-05-10</t>
        </is>
      </c>
      <c r="B2389" s="8" t="n">
        <v>7446</v>
      </c>
      <c r="C2389" s="8" t="n">
        <v>7580</v>
      </c>
      <c r="D2389" s="8" t="n">
        <v>7595</v>
      </c>
      <c r="E2389" s="8" t="n">
        <v>7361</v>
      </c>
      <c r="F2389" s="8" t="n">
        <v>595458</v>
      </c>
      <c r="G2389" s="8" t="n">
        <v>644038</v>
      </c>
      <c r="H2389" s="8" t="n">
        <v>8645</v>
      </c>
      <c r="I2389" s="8" t="n">
        <v>8775</v>
      </c>
      <c r="J2389" s="8" t="n">
        <v>8775</v>
      </c>
      <c r="K2389" s="8" t="n">
        <v>8535</v>
      </c>
      <c r="L2389" s="8" t="n">
        <v>619286</v>
      </c>
      <c r="M2389" s="8" t="n">
        <v>408452</v>
      </c>
      <c r="N2389" t="inlineStr">
        <is>
          <t>是</t>
        </is>
      </c>
    </row>
    <row r="2390">
      <c r="A2390" s="7" t="inlineStr">
        <is>
          <t>2017-05-11</t>
        </is>
      </c>
      <c r="B2390" s="8" t="n">
        <v>7520</v>
      </c>
      <c r="C2390" s="8" t="n">
        <v>7460</v>
      </c>
      <c r="D2390" s="8" t="n">
        <v>7566</v>
      </c>
      <c r="E2390" s="8" t="n">
        <v>7404</v>
      </c>
      <c r="F2390" s="8" t="n">
        <v>431388</v>
      </c>
      <c r="G2390" s="8" t="n">
        <v>579854</v>
      </c>
      <c r="H2390" s="8" t="n">
        <v>8795</v>
      </c>
      <c r="I2390" s="8" t="n">
        <v>8665</v>
      </c>
      <c r="J2390" s="8" t="n">
        <v>8795</v>
      </c>
      <c r="K2390" s="8" t="n">
        <v>8610</v>
      </c>
      <c r="L2390" s="8" t="n">
        <v>451914</v>
      </c>
      <c r="M2390" s="8" t="n">
        <v>389336</v>
      </c>
      <c r="N2390" t="inlineStr">
        <is>
          <t>是</t>
        </is>
      </c>
    </row>
    <row r="2391">
      <c r="A2391" s="7" t="inlineStr">
        <is>
          <t>2017-05-12</t>
        </is>
      </c>
      <c r="B2391" s="8" t="n">
        <v>7488</v>
      </c>
      <c r="C2391" s="8" t="n">
        <v>7480</v>
      </c>
      <c r="D2391" s="8" t="n">
        <v>7549</v>
      </c>
      <c r="E2391" s="8" t="n">
        <v>7463</v>
      </c>
      <c r="F2391" s="8" t="n">
        <v>325342</v>
      </c>
      <c r="G2391" s="8" t="n">
        <v>597494</v>
      </c>
      <c r="H2391" s="8" t="n">
        <v>8810</v>
      </c>
      <c r="I2391" s="8" t="n">
        <v>8760</v>
      </c>
      <c r="J2391" s="8" t="n">
        <v>8840</v>
      </c>
      <c r="K2391" s="8" t="n">
        <v>8720</v>
      </c>
      <c r="L2391" s="8" t="n">
        <v>465566</v>
      </c>
      <c r="M2391" s="8" t="n">
        <v>404414</v>
      </c>
      <c r="N2391" t="inlineStr">
        <is>
          <t>是</t>
        </is>
      </c>
    </row>
    <row r="2392">
      <c r="A2392" s="7" t="inlineStr">
        <is>
          <t>2017-05-15</t>
        </is>
      </c>
      <c r="B2392" s="8" t="n">
        <v>7714</v>
      </c>
      <c r="C2392" s="8" t="n">
        <v>7577</v>
      </c>
      <c r="D2392" s="8" t="n">
        <v>7718</v>
      </c>
      <c r="E2392" s="8" t="n">
        <v>7535</v>
      </c>
      <c r="F2392" s="8" t="n">
        <v>526280</v>
      </c>
      <c r="G2392" s="8" t="n">
        <v>620746</v>
      </c>
      <c r="H2392" s="8" t="n">
        <v>9060</v>
      </c>
      <c r="I2392" s="8" t="n">
        <v>8850</v>
      </c>
      <c r="J2392" s="8" t="n">
        <v>9060</v>
      </c>
      <c r="K2392" s="8" t="n">
        <v>8815</v>
      </c>
      <c r="L2392" s="8" t="n">
        <v>699816</v>
      </c>
      <c r="M2392" s="8" t="n">
        <v>478048</v>
      </c>
      <c r="N2392" t="inlineStr">
        <is>
          <t>是</t>
        </is>
      </c>
    </row>
    <row r="2393">
      <c r="A2393" s="7" t="inlineStr">
        <is>
          <t>2017-05-16</t>
        </is>
      </c>
      <c r="B2393" s="8" t="n">
        <v>7793</v>
      </c>
      <c r="C2393" s="8" t="n">
        <v>7713</v>
      </c>
      <c r="D2393" s="8" t="n">
        <v>7796</v>
      </c>
      <c r="E2393" s="8" t="n">
        <v>7671</v>
      </c>
      <c r="F2393" s="8" t="n">
        <v>404698</v>
      </c>
      <c r="G2393" s="8" t="n">
        <v>612030</v>
      </c>
      <c r="H2393" s="8" t="n">
        <v>9150</v>
      </c>
      <c r="I2393" s="8" t="n">
        <v>9060</v>
      </c>
      <c r="J2393" s="8" t="n">
        <v>9155</v>
      </c>
      <c r="K2393" s="8" t="n">
        <v>8995</v>
      </c>
      <c r="L2393" s="8" t="n">
        <v>521186</v>
      </c>
      <c r="M2393" s="8" t="n">
        <v>484092</v>
      </c>
      <c r="N2393" t="inlineStr">
        <is>
          <t>是</t>
        </is>
      </c>
    </row>
    <row r="2394">
      <c r="A2394" s="7" t="inlineStr">
        <is>
          <t>2017-05-17</t>
        </is>
      </c>
      <c r="B2394" s="8" t="n">
        <v>7765</v>
      </c>
      <c r="C2394" s="8" t="n">
        <v>7792</v>
      </c>
      <c r="D2394" s="8" t="n">
        <v>7825</v>
      </c>
      <c r="E2394" s="8" t="n">
        <v>7702</v>
      </c>
      <c r="F2394" s="8" t="n">
        <v>362910</v>
      </c>
      <c r="G2394" s="8" t="n">
        <v>601764</v>
      </c>
      <c r="H2394" s="8" t="n">
        <v>9115</v>
      </c>
      <c r="I2394" s="8" t="n">
        <v>9110</v>
      </c>
      <c r="J2394" s="8" t="n">
        <v>9175</v>
      </c>
      <c r="K2394" s="8" t="n">
        <v>9075</v>
      </c>
      <c r="L2394" s="8" t="n">
        <v>523658</v>
      </c>
      <c r="M2394" s="8" t="n">
        <v>461694</v>
      </c>
      <c r="N2394" t="inlineStr">
        <is>
          <t>是</t>
        </is>
      </c>
    </row>
    <row r="2395">
      <c r="A2395" s="7" t="inlineStr">
        <is>
          <t>2017-05-18</t>
        </is>
      </c>
      <c r="B2395" s="8" t="n">
        <v>7837</v>
      </c>
      <c r="C2395" s="8" t="n">
        <v>7730</v>
      </c>
      <c r="D2395" s="8" t="n">
        <v>7845</v>
      </c>
      <c r="E2395" s="8" t="n">
        <v>7654</v>
      </c>
      <c r="F2395" s="8" t="n">
        <v>454544</v>
      </c>
      <c r="G2395" s="8" t="n">
        <v>633068</v>
      </c>
      <c r="H2395" s="8" t="n">
        <v>9205</v>
      </c>
      <c r="I2395" s="8" t="n">
        <v>9070</v>
      </c>
      <c r="J2395" s="8" t="n">
        <v>9230</v>
      </c>
      <c r="K2395" s="8" t="n">
        <v>9045</v>
      </c>
      <c r="L2395" s="8" t="n">
        <v>511532</v>
      </c>
      <c r="M2395" s="8" t="n">
        <v>488494</v>
      </c>
      <c r="N2395" t="inlineStr">
        <is>
          <t>是</t>
        </is>
      </c>
    </row>
    <row r="2396">
      <c r="A2396" s="7" t="inlineStr">
        <is>
          <t>2017-05-19</t>
        </is>
      </c>
      <c r="B2396" s="8" t="n">
        <v>8095</v>
      </c>
      <c r="C2396" s="8" t="n">
        <v>7930</v>
      </c>
      <c r="D2396" s="8" t="n">
        <v>8109</v>
      </c>
      <c r="E2396" s="8" t="n">
        <v>7895</v>
      </c>
      <c r="F2396" s="8" t="n">
        <v>609674</v>
      </c>
      <c r="G2396" s="8" t="n">
        <v>658964</v>
      </c>
      <c r="H2396" s="8" t="n">
        <v>9350</v>
      </c>
      <c r="I2396" s="8" t="n">
        <v>9300</v>
      </c>
      <c r="J2396" s="8" t="n">
        <v>9425</v>
      </c>
      <c r="K2396" s="8" t="n">
        <v>9240</v>
      </c>
      <c r="L2396" s="8" t="n">
        <v>572054</v>
      </c>
      <c r="M2396" s="8" t="n">
        <v>458424</v>
      </c>
      <c r="N2396" t="inlineStr">
        <is>
          <t>是</t>
        </is>
      </c>
    </row>
    <row r="2397">
      <c r="A2397" s="7" t="inlineStr">
        <is>
          <t>2017-05-22</t>
        </is>
      </c>
      <c r="B2397" s="8" t="n">
        <v>8092</v>
      </c>
      <c r="C2397" s="8" t="n">
        <v>8138</v>
      </c>
      <c r="D2397" s="8" t="n">
        <v>8173</v>
      </c>
      <c r="E2397" s="8" t="n">
        <v>8012</v>
      </c>
      <c r="F2397" s="8" t="n">
        <v>425032</v>
      </c>
      <c r="G2397" s="8" t="n">
        <v>661534</v>
      </c>
      <c r="H2397" s="8" t="n">
        <v>9295</v>
      </c>
      <c r="I2397" s="8" t="n">
        <v>9390</v>
      </c>
      <c r="J2397" s="8" t="n">
        <v>9420</v>
      </c>
      <c r="K2397" s="8" t="n">
        <v>9235</v>
      </c>
      <c r="L2397" s="8" t="n">
        <v>467626</v>
      </c>
      <c r="M2397" s="8" t="n">
        <v>432954</v>
      </c>
      <c r="N2397" t="inlineStr">
        <is>
          <t>是</t>
        </is>
      </c>
    </row>
    <row r="2398">
      <c r="A2398" s="7" t="inlineStr">
        <is>
          <t>2017-05-23</t>
        </is>
      </c>
      <c r="B2398" s="8" t="n">
        <v>8080</v>
      </c>
      <c r="C2398" s="8" t="n">
        <v>8100</v>
      </c>
      <c r="D2398" s="8" t="n">
        <v>8166</v>
      </c>
      <c r="E2398" s="8" t="n">
        <v>8040</v>
      </c>
      <c r="F2398" s="8" t="n">
        <v>408572</v>
      </c>
      <c r="G2398" s="8" t="n">
        <v>673166</v>
      </c>
      <c r="H2398" s="8" t="n">
        <v>9275</v>
      </c>
      <c r="I2398" s="8" t="n">
        <v>9325</v>
      </c>
      <c r="J2398" s="8" t="n">
        <v>9365</v>
      </c>
      <c r="K2398" s="8" t="n">
        <v>9250</v>
      </c>
      <c r="L2398" s="8" t="n">
        <v>364062</v>
      </c>
      <c r="M2398" s="8" t="n">
        <v>432006</v>
      </c>
      <c r="N2398" t="inlineStr">
        <is>
          <t>是</t>
        </is>
      </c>
    </row>
    <row r="2399">
      <c r="A2399" s="7" t="inlineStr">
        <is>
          <t>2017-05-24</t>
        </is>
      </c>
      <c r="B2399" s="8" t="n">
        <v>8013</v>
      </c>
      <c r="C2399" s="8" t="n">
        <v>8102</v>
      </c>
      <c r="D2399" s="8" t="n">
        <v>8135</v>
      </c>
      <c r="E2399" s="8" t="n">
        <v>7901</v>
      </c>
      <c r="F2399" s="8" t="n">
        <v>518678</v>
      </c>
      <c r="G2399" s="8" t="n">
        <v>680632</v>
      </c>
      <c r="H2399" s="8" t="n">
        <v>9205</v>
      </c>
      <c r="I2399" s="8" t="n">
        <v>9330</v>
      </c>
      <c r="J2399" s="8" t="n">
        <v>9330</v>
      </c>
      <c r="K2399" s="8" t="n">
        <v>9100</v>
      </c>
      <c r="L2399" s="8" t="n">
        <v>537906</v>
      </c>
      <c r="M2399" s="8" t="n">
        <v>406688</v>
      </c>
      <c r="N2399" t="inlineStr">
        <is>
          <t>是</t>
        </is>
      </c>
    </row>
    <row r="2400">
      <c r="A2400" s="7" t="inlineStr">
        <is>
          <t>2017-05-25</t>
        </is>
      </c>
      <c r="B2400" s="8" t="n">
        <v>8084</v>
      </c>
      <c r="C2400" s="8" t="n">
        <v>8015</v>
      </c>
      <c r="D2400" s="8" t="n">
        <v>8198</v>
      </c>
      <c r="E2400" s="8" t="n">
        <v>8000</v>
      </c>
      <c r="F2400" s="8" t="n">
        <v>553958</v>
      </c>
      <c r="G2400" s="8" t="n">
        <v>706528</v>
      </c>
      <c r="H2400" s="8" t="n">
        <v>9190</v>
      </c>
      <c r="I2400" s="8" t="n">
        <v>9205</v>
      </c>
      <c r="J2400" s="8" t="n">
        <v>9340</v>
      </c>
      <c r="K2400" s="8" t="n">
        <v>9170</v>
      </c>
      <c r="L2400" s="8" t="n">
        <v>454686</v>
      </c>
      <c r="M2400" s="8" t="n">
        <v>400208</v>
      </c>
      <c r="N2400" t="inlineStr">
        <is>
          <t>是</t>
        </is>
      </c>
    </row>
    <row r="2401">
      <c r="A2401" s="7" t="inlineStr">
        <is>
          <t>2017-05-26</t>
        </is>
      </c>
      <c r="B2401" s="8" t="n">
        <v>8026</v>
      </c>
      <c r="C2401" s="8" t="n">
        <v>7970</v>
      </c>
      <c r="D2401" s="8" t="n">
        <v>8043</v>
      </c>
      <c r="E2401" s="8" t="n">
        <v>7941</v>
      </c>
      <c r="F2401" s="8" t="n">
        <v>450206</v>
      </c>
      <c r="G2401" s="8" t="n">
        <v>675740</v>
      </c>
      <c r="H2401" s="8" t="n">
        <v>9130</v>
      </c>
      <c r="I2401" s="8" t="n">
        <v>9100</v>
      </c>
      <c r="J2401" s="8" t="n">
        <v>9155</v>
      </c>
      <c r="K2401" s="8" t="n">
        <v>9045</v>
      </c>
      <c r="L2401" s="8" t="n">
        <v>430900</v>
      </c>
      <c r="M2401" s="8" t="n">
        <v>387540</v>
      </c>
      <c r="N2401" t="inlineStr">
        <is>
          <t>是</t>
        </is>
      </c>
    </row>
    <row r="2402">
      <c r="A2402" s="7" t="inlineStr">
        <is>
          <t>2017-05-31</t>
        </is>
      </c>
      <c r="B2402" s="8" t="n">
        <v>7848</v>
      </c>
      <c r="C2402" s="8" t="n">
        <v>8156</v>
      </c>
      <c r="D2402" s="8" t="n">
        <v>8156</v>
      </c>
      <c r="E2402" s="8" t="n">
        <v>7835</v>
      </c>
      <c r="F2402" s="8" t="n">
        <v>626018</v>
      </c>
      <c r="G2402" s="8" t="n">
        <v>698112</v>
      </c>
      <c r="H2402" s="8" t="n">
        <v>9000</v>
      </c>
      <c r="I2402" s="8" t="n">
        <v>9150</v>
      </c>
      <c r="J2402" s="8" t="n">
        <v>9235</v>
      </c>
      <c r="K2402" s="8" t="n">
        <v>8980</v>
      </c>
      <c r="L2402" s="8" t="n">
        <v>634398</v>
      </c>
      <c r="M2402" s="8" t="n">
        <v>379688</v>
      </c>
      <c r="N2402" t="inlineStr">
        <is>
          <t>是</t>
        </is>
      </c>
    </row>
    <row r="2403">
      <c r="A2403" s="7" t="inlineStr">
        <is>
          <t>2017-06-01</t>
        </is>
      </c>
      <c r="B2403" s="8" t="n">
        <v>7903</v>
      </c>
      <c r="C2403" s="8" t="n">
        <v>7860</v>
      </c>
      <c r="D2403" s="8" t="n">
        <v>7960</v>
      </c>
      <c r="E2403" s="8" t="n">
        <v>7842</v>
      </c>
      <c r="F2403" s="8" t="n">
        <v>445960</v>
      </c>
      <c r="G2403" s="8" t="n">
        <v>678376</v>
      </c>
      <c r="H2403" s="8" t="n">
        <v>9220</v>
      </c>
      <c r="I2403" s="8" t="n">
        <v>9040</v>
      </c>
      <c r="J2403" s="8" t="n">
        <v>9275</v>
      </c>
      <c r="K2403" s="8" t="n">
        <v>9005</v>
      </c>
      <c r="L2403" s="8" t="n">
        <v>627782</v>
      </c>
      <c r="M2403" s="8" t="n">
        <v>411280</v>
      </c>
      <c r="N2403" t="inlineStr">
        <is>
          <t>是</t>
        </is>
      </c>
    </row>
    <row r="2404">
      <c r="A2404" s="7" t="inlineStr">
        <is>
          <t>2017-06-02</t>
        </is>
      </c>
      <c r="B2404" s="8" t="n">
        <v>7674</v>
      </c>
      <c r="C2404" s="8" t="n">
        <v>7807</v>
      </c>
      <c r="D2404" s="8" t="n">
        <v>7897</v>
      </c>
      <c r="E2404" s="8" t="n">
        <v>7662</v>
      </c>
      <c r="F2404" s="8" t="n">
        <v>660402</v>
      </c>
      <c r="G2404" s="8" t="n">
        <v>688416</v>
      </c>
      <c r="H2404" s="8" t="n">
        <v>8930</v>
      </c>
      <c r="I2404" s="8" t="n">
        <v>9195</v>
      </c>
      <c r="J2404" s="8" t="n">
        <v>9210</v>
      </c>
      <c r="K2404" s="8" t="n">
        <v>8905</v>
      </c>
      <c r="L2404" s="8" t="n">
        <v>730692</v>
      </c>
      <c r="M2404" s="8" t="n">
        <v>398122</v>
      </c>
      <c r="N2404" t="inlineStr">
        <is>
          <t>是</t>
        </is>
      </c>
    </row>
    <row r="2405">
      <c r="A2405" s="7" t="inlineStr">
        <is>
          <t>2017-06-05</t>
        </is>
      </c>
      <c r="B2405" s="8" t="n">
        <v>7661</v>
      </c>
      <c r="C2405" s="8" t="n">
        <v>7700</v>
      </c>
      <c r="D2405" s="8" t="n">
        <v>7748</v>
      </c>
      <c r="E2405" s="8" t="n">
        <v>7628</v>
      </c>
      <c r="F2405" s="8" t="n">
        <v>407484</v>
      </c>
      <c r="G2405" s="8" t="n">
        <v>613284</v>
      </c>
      <c r="H2405" s="8" t="n">
        <v>8900</v>
      </c>
      <c r="I2405" s="8" t="n">
        <v>8955</v>
      </c>
      <c r="J2405" s="8" t="n">
        <v>8990</v>
      </c>
      <c r="K2405" s="8" t="n">
        <v>8870</v>
      </c>
      <c r="L2405" s="8" t="n">
        <v>492108</v>
      </c>
      <c r="M2405" s="8" t="n">
        <v>422958</v>
      </c>
      <c r="N2405" t="inlineStr">
        <is>
          <t>是</t>
        </is>
      </c>
    </row>
    <row r="2406">
      <c r="A2406" s="7" t="inlineStr">
        <is>
          <t>2017-06-06</t>
        </is>
      </c>
      <c r="B2406" s="8" t="n">
        <v>7676</v>
      </c>
      <c r="C2406" s="8" t="n">
        <v>7703</v>
      </c>
      <c r="D2406" s="8" t="n">
        <v>7719</v>
      </c>
      <c r="E2406" s="8" t="n">
        <v>7600</v>
      </c>
      <c r="F2406" s="8" t="n">
        <v>425562</v>
      </c>
      <c r="G2406" s="8" t="n">
        <v>645828</v>
      </c>
      <c r="H2406" s="8" t="n">
        <v>8895</v>
      </c>
      <c r="I2406" s="8" t="n">
        <v>8930</v>
      </c>
      <c r="J2406" s="8" t="n">
        <v>8955</v>
      </c>
      <c r="K2406" s="8" t="n">
        <v>8850</v>
      </c>
      <c r="L2406" s="8" t="n">
        <v>477104</v>
      </c>
      <c r="M2406" s="8" t="n">
        <v>425258</v>
      </c>
      <c r="N2406" t="inlineStr">
        <is>
          <t>是</t>
        </is>
      </c>
    </row>
    <row r="2407">
      <c r="A2407" s="7" t="inlineStr">
        <is>
          <t>2017-06-07</t>
        </is>
      </c>
      <c r="B2407" s="8" t="n">
        <v>7695</v>
      </c>
      <c r="C2407" s="8" t="n">
        <v>7650</v>
      </c>
      <c r="D2407" s="8" t="n">
        <v>7755</v>
      </c>
      <c r="E2407" s="8" t="n">
        <v>7650</v>
      </c>
      <c r="F2407" s="8" t="n">
        <v>381774</v>
      </c>
      <c r="G2407" s="8" t="n">
        <v>624456</v>
      </c>
      <c r="H2407" s="8" t="n">
        <v>8860</v>
      </c>
      <c r="I2407" s="8" t="n">
        <v>8900</v>
      </c>
      <c r="J2407" s="8" t="n">
        <v>8960</v>
      </c>
      <c r="K2407" s="8" t="n">
        <v>8820</v>
      </c>
      <c r="L2407" s="8" t="n">
        <v>435562</v>
      </c>
      <c r="M2407" s="8" t="n">
        <v>446972</v>
      </c>
      <c r="N2407" t="inlineStr">
        <is>
          <t>是</t>
        </is>
      </c>
    </row>
    <row r="2408">
      <c r="A2408" s="7" t="inlineStr">
        <is>
          <t>2017-06-08</t>
        </is>
      </c>
      <c r="B2408" s="8" t="n">
        <v>7730</v>
      </c>
      <c r="C2408" s="8" t="n">
        <v>7625</v>
      </c>
      <c r="D2408" s="8" t="n">
        <v>7790</v>
      </c>
      <c r="E2408" s="8" t="n">
        <v>7580</v>
      </c>
      <c r="F2408" s="8" t="n">
        <v>498872</v>
      </c>
      <c r="G2408" s="8" t="n">
        <v>665548</v>
      </c>
      <c r="H2408" s="8" t="n">
        <v>8915</v>
      </c>
      <c r="I2408" s="8" t="n">
        <v>8805</v>
      </c>
      <c r="J2408" s="8" t="n">
        <v>9000</v>
      </c>
      <c r="K2408" s="8" t="n">
        <v>8780</v>
      </c>
      <c r="L2408" s="8" t="n">
        <v>504234</v>
      </c>
      <c r="M2408" s="8" t="n">
        <v>430522</v>
      </c>
      <c r="N2408" t="inlineStr">
        <is>
          <t>是</t>
        </is>
      </c>
    </row>
    <row r="2409">
      <c r="A2409" s="7" t="inlineStr">
        <is>
          <t>2017-06-09</t>
        </is>
      </c>
      <c r="B2409" s="8" t="n">
        <v>7720</v>
      </c>
      <c r="C2409" s="8" t="n">
        <v>7749</v>
      </c>
      <c r="D2409" s="8" t="n">
        <v>7800</v>
      </c>
      <c r="E2409" s="8" t="n">
        <v>7690</v>
      </c>
      <c r="F2409" s="8" t="n">
        <v>324382</v>
      </c>
      <c r="G2409" s="8" t="n">
        <v>604198</v>
      </c>
      <c r="H2409" s="8" t="n">
        <v>8930</v>
      </c>
      <c r="I2409" s="8" t="n">
        <v>8920</v>
      </c>
      <c r="J2409" s="8" t="n">
        <v>8985</v>
      </c>
      <c r="K2409" s="8" t="n">
        <v>8875</v>
      </c>
      <c r="L2409" s="8" t="n">
        <v>303974</v>
      </c>
      <c r="M2409" s="8" t="n">
        <v>431668</v>
      </c>
      <c r="N2409" t="inlineStr">
        <is>
          <t>是</t>
        </is>
      </c>
    </row>
    <row r="2410">
      <c r="A2410" s="7" t="inlineStr">
        <is>
          <t>2017-06-12</t>
        </is>
      </c>
      <c r="B2410" s="8" t="n">
        <v>7927</v>
      </c>
      <c r="C2410" s="8" t="n">
        <v>7760</v>
      </c>
      <c r="D2410" s="8" t="n">
        <v>7948</v>
      </c>
      <c r="E2410" s="8" t="n">
        <v>7756</v>
      </c>
      <c r="F2410" s="8" t="n">
        <v>496242</v>
      </c>
      <c r="G2410" s="8" t="n">
        <v>675648</v>
      </c>
      <c r="H2410" s="8" t="n">
        <v>9135</v>
      </c>
      <c r="I2410" s="8" t="n">
        <v>8960</v>
      </c>
      <c r="J2410" s="8" t="n">
        <v>9170</v>
      </c>
      <c r="K2410" s="8" t="n">
        <v>8960</v>
      </c>
      <c r="L2410" s="8" t="n">
        <v>466676</v>
      </c>
      <c r="M2410" s="8" t="n">
        <v>437058</v>
      </c>
      <c r="N2410" t="inlineStr">
        <is>
          <t>是</t>
        </is>
      </c>
    </row>
    <row r="2411">
      <c r="A2411" s="7" t="inlineStr">
        <is>
          <t>2017-06-13</t>
        </is>
      </c>
      <c r="B2411" s="8" t="n">
        <v>7688</v>
      </c>
      <c r="C2411" s="8" t="n">
        <v>7920</v>
      </c>
      <c r="D2411" s="8" t="n">
        <v>7927</v>
      </c>
      <c r="E2411" s="8" t="n">
        <v>7679</v>
      </c>
      <c r="F2411" s="8" t="n">
        <v>520230</v>
      </c>
      <c r="G2411" s="8" t="n">
        <v>609056</v>
      </c>
      <c r="H2411" s="8" t="n">
        <v>8930</v>
      </c>
      <c r="I2411" s="8" t="n">
        <v>9130</v>
      </c>
      <c r="J2411" s="8" t="n">
        <v>9165</v>
      </c>
      <c r="K2411" s="8" t="n">
        <v>8905</v>
      </c>
      <c r="L2411" s="8" t="n">
        <v>460360</v>
      </c>
      <c r="M2411" s="8" t="n">
        <v>425312</v>
      </c>
      <c r="N2411" t="inlineStr">
        <is>
          <t>是</t>
        </is>
      </c>
    </row>
    <row r="2412">
      <c r="A2412" s="7" t="inlineStr">
        <is>
          <t>2017-06-14</t>
        </is>
      </c>
      <c r="B2412" s="8" t="n">
        <v>7720</v>
      </c>
      <c r="C2412" s="8" t="n">
        <v>7702</v>
      </c>
      <c r="D2412" s="8" t="n">
        <v>7765</v>
      </c>
      <c r="E2412" s="8" t="n">
        <v>7641</v>
      </c>
      <c r="F2412" s="8" t="n">
        <v>434970</v>
      </c>
      <c r="G2412" s="8" t="n">
        <v>636462</v>
      </c>
      <c r="H2412" s="8" t="n">
        <v>8925</v>
      </c>
      <c r="I2412" s="8" t="n">
        <v>8955</v>
      </c>
      <c r="J2412" s="8" t="n">
        <v>9065</v>
      </c>
      <c r="K2412" s="8" t="n">
        <v>8870</v>
      </c>
      <c r="L2412" s="8" t="n">
        <v>550678</v>
      </c>
      <c r="M2412" s="8" t="n">
        <v>412192</v>
      </c>
      <c r="N2412" t="inlineStr">
        <is>
          <t>是</t>
        </is>
      </c>
    </row>
    <row r="2413">
      <c r="A2413" s="7" t="inlineStr">
        <is>
          <t>2017-06-15</t>
        </is>
      </c>
      <c r="B2413" s="8" t="n">
        <v>7630</v>
      </c>
      <c r="C2413" s="8" t="n">
        <v>7672</v>
      </c>
      <c r="D2413" s="8" t="n">
        <v>7714</v>
      </c>
      <c r="E2413" s="8" t="n">
        <v>7590</v>
      </c>
      <c r="F2413" s="8" t="n">
        <v>442556</v>
      </c>
      <c r="G2413" s="8" t="n">
        <v>601108</v>
      </c>
      <c r="H2413" s="8" t="n">
        <v>8835</v>
      </c>
      <c r="I2413" s="8" t="n">
        <v>8880</v>
      </c>
      <c r="J2413" s="8" t="n">
        <v>8935</v>
      </c>
      <c r="K2413" s="8" t="n">
        <v>8820</v>
      </c>
      <c r="L2413" s="8" t="n">
        <v>463508</v>
      </c>
      <c r="M2413" s="8" t="n">
        <v>426900</v>
      </c>
      <c r="N2413" t="inlineStr">
        <is>
          <t>是</t>
        </is>
      </c>
    </row>
    <row r="2414">
      <c r="A2414" s="7" t="inlineStr">
        <is>
          <t>2017-06-16</t>
        </is>
      </c>
      <c r="B2414" s="8" t="n">
        <v>7683</v>
      </c>
      <c r="C2414" s="8" t="n">
        <v>7640</v>
      </c>
      <c r="D2414" s="8" t="n">
        <v>7738</v>
      </c>
      <c r="E2414" s="8" t="n">
        <v>7640</v>
      </c>
      <c r="F2414" s="8" t="n">
        <v>322320</v>
      </c>
      <c r="G2414" s="8" t="n">
        <v>598826</v>
      </c>
      <c r="H2414" s="8" t="n">
        <v>8840</v>
      </c>
      <c r="I2414" s="8" t="n">
        <v>8855</v>
      </c>
      <c r="J2414" s="8" t="n">
        <v>8930</v>
      </c>
      <c r="K2414" s="8" t="n">
        <v>8795</v>
      </c>
      <c r="L2414" s="8" t="n">
        <v>441252</v>
      </c>
      <c r="M2414" s="8" t="n">
        <v>438224</v>
      </c>
      <c r="N2414" t="inlineStr">
        <is>
          <t>是</t>
        </is>
      </c>
    </row>
    <row r="2415">
      <c r="A2415" s="7" t="inlineStr">
        <is>
          <t>2017-06-19</t>
        </is>
      </c>
      <c r="B2415" s="8" t="n">
        <v>7708</v>
      </c>
      <c r="C2415" s="8" t="n">
        <v>7670</v>
      </c>
      <c r="D2415" s="8" t="n">
        <v>7831</v>
      </c>
      <c r="E2415" s="8" t="n">
        <v>7670</v>
      </c>
      <c r="F2415" s="8" t="n">
        <v>539452</v>
      </c>
      <c r="G2415" s="8" t="n">
        <v>662092</v>
      </c>
      <c r="H2415" s="8" t="n">
        <v>8910</v>
      </c>
      <c r="I2415" s="8" t="n">
        <v>8855</v>
      </c>
      <c r="J2415" s="8" t="n">
        <v>8990</v>
      </c>
      <c r="K2415" s="8" t="n">
        <v>8825</v>
      </c>
      <c r="L2415" s="8" t="n">
        <v>481022</v>
      </c>
      <c r="M2415" s="8" t="n">
        <v>440090</v>
      </c>
      <c r="N2415" t="inlineStr">
        <is>
          <t>是</t>
        </is>
      </c>
    </row>
    <row r="2416">
      <c r="A2416" s="7" t="inlineStr">
        <is>
          <t>2017-06-20</t>
        </is>
      </c>
      <c r="B2416" s="8" t="n">
        <v>7662</v>
      </c>
      <c r="C2416" s="8" t="n">
        <v>7700</v>
      </c>
      <c r="D2416" s="8" t="n">
        <v>7734</v>
      </c>
      <c r="E2416" s="8" t="n">
        <v>7599</v>
      </c>
      <c r="F2416" s="8" t="n">
        <v>487780</v>
      </c>
      <c r="G2416" s="8" t="n">
        <v>640814</v>
      </c>
      <c r="H2416" s="8" t="n">
        <v>8890</v>
      </c>
      <c r="I2416" s="8" t="n">
        <v>8910</v>
      </c>
      <c r="J2416" s="8" t="n">
        <v>8955</v>
      </c>
      <c r="K2416" s="8" t="n">
        <v>8830</v>
      </c>
      <c r="L2416" s="8" t="n">
        <v>391512</v>
      </c>
      <c r="M2416" s="8" t="n">
        <v>430718</v>
      </c>
      <c r="N2416" t="inlineStr">
        <is>
          <t>是</t>
        </is>
      </c>
    </row>
    <row r="2417">
      <c r="A2417" s="7" t="inlineStr">
        <is>
          <t>2017-06-21</t>
        </is>
      </c>
      <c r="B2417" s="8" t="n">
        <v>7636</v>
      </c>
      <c r="C2417" s="8" t="n">
        <v>7601</v>
      </c>
      <c r="D2417" s="8" t="n">
        <v>7698</v>
      </c>
      <c r="E2417" s="8" t="n">
        <v>7569</v>
      </c>
      <c r="F2417" s="8" t="n">
        <v>412374</v>
      </c>
      <c r="G2417" s="8" t="n">
        <v>635464</v>
      </c>
      <c r="H2417" s="8" t="n">
        <v>8840</v>
      </c>
      <c r="I2417" s="8" t="n">
        <v>8835</v>
      </c>
      <c r="J2417" s="8" t="n">
        <v>8940</v>
      </c>
      <c r="K2417" s="8" t="n">
        <v>8785</v>
      </c>
      <c r="L2417" s="8" t="n">
        <v>430386</v>
      </c>
      <c r="M2417" s="8" t="n">
        <v>436588</v>
      </c>
      <c r="N2417" t="inlineStr">
        <is>
          <t>是</t>
        </is>
      </c>
    </row>
    <row r="2418">
      <c r="A2418" s="7" t="inlineStr">
        <is>
          <t>2017-06-22</t>
        </is>
      </c>
      <c r="B2418" s="8" t="n">
        <v>7547</v>
      </c>
      <c r="C2418" s="8" t="n">
        <v>7650</v>
      </c>
      <c r="D2418" s="8" t="n">
        <v>7675</v>
      </c>
      <c r="E2418" s="8" t="n">
        <v>7534</v>
      </c>
      <c r="F2418" s="8" t="n">
        <v>426576</v>
      </c>
      <c r="G2418" s="8" t="n">
        <v>633946</v>
      </c>
      <c r="H2418" s="8" t="n">
        <v>8690</v>
      </c>
      <c r="I2418" s="8" t="n">
        <v>8860</v>
      </c>
      <c r="J2418" s="8" t="n">
        <v>8885</v>
      </c>
      <c r="K2418" s="8" t="n">
        <v>8660</v>
      </c>
      <c r="L2418" s="8" t="n">
        <v>551948</v>
      </c>
      <c r="M2418" s="8" t="n">
        <v>459842</v>
      </c>
      <c r="N2418" t="inlineStr">
        <is>
          <t>是</t>
        </is>
      </c>
    </row>
    <row r="2419">
      <c r="A2419" s="7" t="inlineStr">
        <is>
          <t>2017-06-23</t>
        </is>
      </c>
      <c r="B2419" s="8" t="n">
        <v>7625</v>
      </c>
      <c r="C2419" s="8" t="n">
        <v>7580</v>
      </c>
      <c r="D2419" s="8" t="n">
        <v>7630</v>
      </c>
      <c r="E2419" s="8" t="n">
        <v>7562</v>
      </c>
      <c r="F2419" s="8" t="n">
        <v>313158</v>
      </c>
      <c r="G2419" s="8" t="n">
        <v>589076</v>
      </c>
      <c r="H2419" s="8" t="n">
        <v>8730</v>
      </c>
      <c r="I2419" s="8" t="n">
        <v>8710</v>
      </c>
      <c r="J2419" s="8" t="n">
        <v>8755</v>
      </c>
      <c r="K2419" s="8" t="n">
        <v>8675</v>
      </c>
      <c r="L2419" s="8" t="n">
        <v>289682</v>
      </c>
      <c r="M2419" s="8" t="n">
        <v>440766</v>
      </c>
      <c r="N2419" t="inlineStr">
        <is>
          <t>是</t>
        </is>
      </c>
    </row>
    <row r="2420">
      <c r="A2420" s="7" t="inlineStr">
        <is>
          <t>2017-06-26</t>
        </is>
      </c>
      <c r="B2420" s="8" t="n">
        <v>7725</v>
      </c>
      <c r="C2420" s="8" t="n">
        <v>7642</v>
      </c>
      <c r="D2420" s="8" t="n">
        <v>7777</v>
      </c>
      <c r="E2420" s="8" t="n">
        <v>7630</v>
      </c>
      <c r="F2420" s="8" t="n">
        <v>459842</v>
      </c>
      <c r="G2420" s="8" t="n">
        <v>632600</v>
      </c>
      <c r="H2420" s="8" t="n">
        <v>8820</v>
      </c>
      <c r="I2420" s="8" t="n">
        <v>8755</v>
      </c>
      <c r="J2420" s="8" t="n">
        <v>8840</v>
      </c>
      <c r="K2420" s="8" t="n">
        <v>8735</v>
      </c>
      <c r="L2420" s="8" t="n">
        <v>326780</v>
      </c>
      <c r="M2420" s="8" t="n">
        <v>410940</v>
      </c>
      <c r="N2420" t="inlineStr">
        <is>
          <t>是</t>
        </is>
      </c>
    </row>
    <row r="2421">
      <c r="A2421" s="7" t="inlineStr">
        <is>
          <t>2017-06-27</t>
        </is>
      </c>
      <c r="B2421" s="8" t="n">
        <v>7777</v>
      </c>
      <c r="C2421" s="8" t="n">
        <v>7732</v>
      </c>
      <c r="D2421" s="8" t="n">
        <v>7790</v>
      </c>
      <c r="E2421" s="8" t="n">
        <v>7685</v>
      </c>
      <c r="F2421" s="8" t="n">
        <v>350088</v>
      </c>
      <c r="G2421" s="8" t="n">
        <v>582220</v>
      </c>
      <c r="H2421" s="8" t="n">
        <v>8880</v>
      </c>
      <c r="I2421" s="8" t="n">
        <v>8800</v>
      </c>
      <c r="J2421" s="8" t="n">
        <v>8920</v>
      </c>
      <c r="K2421" s="8" t="n">
        <v>8800</v>
      </c>
      <c r="L2421" s="8" t="n">
        <v>336906</v>
      </c>
      <c r="M2421" s="8" t="n">
        <v>395378</v>
      </c>
      <c r="N2421" t="inlineStr">
        <is>
          <t>是</t>
        </is>
      </c>
    </row>
    <row r="2422">
      <c r="A2422" s="7" t="inlineStr">
        <is>
          <t>2017-06-28</t>
        </is>
      </c>
      <c r="B2422" s="8" t="n">
        <v>7714</v>
      </c>
      <c r="C2422" s="8" t="n">
        <v>7838</v>
      </c>
      <c r="D2422" s="8" t="n">
        <v>7874</v>
      </c>
      <c r="E2422" s="8" t="n">
        <v>7673</v>
      </c>
      <c r="F2422" s="8" t="n">
        <v>407954</v>
      </c>
      <c r="G2422" s="8" t="n">
        <v>613764</v>
      </c>
      <c r="H2422" s="8" t="n">
        <v>8830</v>
      </c>
      <c r="I2422" s="8" t="n">
        <v>8910</v>
      </c>
      <c r="J2422" s="8" t="n">
        <v>8960</v>
      </c>
      <c r="K2422" s="8" t="n">
        <v>8780</v>
      </c>
      <c r="L2422" s="8" t="n">
        <v>364390</v>
      </c>
      <c r="M2422" s="8" t="n">
        <v>404050</v>
      </c>
      <c r="N2422" t="inlineStr">
        <is>
          <t>是</t>
        </is>
      </c>
    </row>
    <row r="2423">
      <c r="A2423" s="7" t="inlineStr">
        <is>
          <t>2017-06-29</t>
        </is>
      </c>
      <c r="B2423" s="8" t="n">
        <v>7873</v>
      </c>
      <c r="C2423" s="8" t="n">
        <v>7777</v>
      </c>
      <c r="D2423" s="8" t="n">
        <v>7931</v>
      </c>
      <c r="E2423" s="8" t="n">
        <v>7753</v>
      </c>
      <c r="F2423" s="8" t="n">
        <v>583836</v>
      </c>
      <c r="G2423" s="8" t="n">
        <v>645586</v>
      </c>
      <c r="H2423" s="8" t="n">
        <v>8975</v>
      </c>
      <c r="I2423" s="8" t="n">
        <v>8885</v>
      </c>
      <c r="J2423" s="8" t="n">
        <v>9070</v>
      </c>
      <c r="K2423" s="8" t="n">
        <v>8855</v>
      </c>
      <c r="L2423" s="8" t="n">
        <v>563122</v>
      </c>
      <c r="M2423" s="8" t="n">
        <v>400136</v>
      </c>
      <c r="N2423" t="inlineStr">
        <is>
          <t>是</t>
        </is>
      </c>
    </row>
    <row r="2424">
      <c r="A2424" s="7" t="inlineStr">
        <is>
          <t>2017-06-30</t>
        </is>
      </c>
      <c r="B2424" s="8" t="n">
        <v>7903</v>
      </c>
      <c r="C2424" s="8" t="n">
        <v>7884</v>
      </c>
      <c r="D2424" s="8" t="n">
        <v>7936</v>
      </c>
      <c r="E2424" s="8" t="n">
        <v>7802</v>
      </c>
      <c r="F2424" s="8" t="n">
        <v>352562</v>
      </c>
      <c r="G2424" s="8" t="n">
        <v>623596</v>
      </c>
      <c r="H2424" s="8" t="n">
        <v>9025</v>
      </c>
      <c r="I2424" s="8" t="n">
        <v>8970</v>
      </c>
      <c r="J2424" s="8" t="n">
        <v>9045</v>
      </c>
      <c r="K2424" s="8" t="n">
        <v>8915</v>
      </c>
      <c r="L2424" s="8" t="n">
        <v>313526</v>
      </c>
      <c r="M2424" s="8" t="n">
        <v>402232</v>
      </c>
      <c r="N2424" t="inlineStr">
        <is>
          <t>是</t>
        </is>
      </c>
    </row>
    <row r="2425">
      <c r="A2425" s="7" t="inlineStr">
        <is>
          <t>2017-07-03</t>
        </is>
      </c>
      <c r="B2425" s="8" t="n">
        <v>7979</v>
      </c>
      <c r="C2425" s="8" t="n">
        <v>7970</v>
      </c>
      <c r="D2425" s="8" t="n">
        <v>8020</v>
      </c>
      <c r="E2425" s="8" t="n">
        <v>7908</v>
      </c>
      <c r="F2425" s="8" t="n">
        <v>387056</v>
      </c>
      <c r="G2425" s="8" t="n">
        <v>674814</v>
      </c>
      <c r="H2425" s="8" t="n">
        <v>9030</v>
      </c>
      <c r="I2425" s="8" t="n">
        <v>9065</v>
      </c>
      <c r="J2425" s="8" t="n">
        <v>9125</v>
      </c>
      <c r="K2425" s="8" t="n">
        <v>8995</v>
      </c>
      <c r="L2425" s="8" t="n">
        <v>338346</v>
      </c>
      <c r="M2425" s="8" t="n">
        <v>413588</v>
      </c>
      <c r="N2425" t="inlineStr">
        <is>
          <t>是</t>
        </is>
      </c>
    </row>
    <row r="2426">
      <c r="A2426" s="7" t="inlineStr">
        <is>
          <t>2017-07-04</t>
        </is>
      </c>
      <c r="B2426" s="8" t="n">
        <v>7798</v>
      </c>
      <c r="C2426" s="8" t="n">
        <v>7963</v>
      </c>
      <c r="D2426" s="8" t="n">
        <v>7963</v>
      </c>
      <c r="E2426" s="8" t="n">
        <v>7778</v>
      </c>
      <c r="F2426" s="8" t="n">
        <v>407584</v>
      </c>
      <c r="G2426" s="8" t="n">
        <v>626332</v>
      </c>
      <c r="H2426" s="8" t="n">
        <v>8820</v>
      </c>
      <c r="I2426" s="8" t="n">
        <v>9025</v>
      </c>
      <c r="J2426" s="8" t="n">
        <v>9025</v>
      </c>
      <c r="K2426" s="8" t="n">
        <v>8790</v>
      </c>
      <c r="L2426" s="8" t="n">
        <v>520642</v>
      </c>
      <c r="M2426" s="8" t="n">
        <v>413188</v>
      </c>
      <c r="N2426" t="inlineStr">
        <is>
          <t>是</t>
        </is>
      </c>
    </row>
    <row r="2427">
      <c r="A2427" s="7" t="inlineStr">
        <is>
          <t>2017-07-05</t>
        </is>
      </c>
      <c r="B2427" s="8" t="n">
        <v>7849</v>
      </c>
      <c r="C2427" s="8" t="n">
        <v>7850</v>
      </c>
      <c r="D2427" s="8" t="n">
        <v>7924</v>
      </c>
      <c r="E2427" s="8" t="n">
        <v>7801</v>
      </c>
      <c r="F2427" s="8" t="n">
        <v>351266</v>
      </c>
      <c r="G2427" s="8" t="n">
        <v>644240</v>
      </c>
      <c r="H2427" s="8" t="n">
        <v>8825</v>
      </c>
      <c r="I2427" s="8" t="n">
        <v>8845</v>
      </c>
      <c r="J2427" s="8" t="n">
        <v>8915</v>
      </c>
      <c r="K2427" s="8" t="n">
        <v>8805</v>
      </c>
      <c r="L2427" s="8" t="n">
        <v>333882</v>
      </c>
      <c r="M2427" s="8" t="n">
        <v>413158</v>
      </c>
      <c r="N2427" t="inlineStr">
        <is>
          <t>是</t>
        </is>
      </c>
    </row>
    <row r="2428">
      <c r="A2428" s="7" t="inlineStr">
        <is>
          <t>2017-07-06</t>
        </is>
      </c>
      <c r="B2428" s="8" t="n">
        <v>8014</v>
      </c>
      <c r="C2428" s="8" t="n">
        <v>7826</v>
      </c>
      <c r="D2428" s="8" t="n">
        <v>8058</v>
      </c>
      <c r="E2428" s="8" t="n">
        <v>7808</v>
      </c>
      <c r="F2428" s="8" t="n">
        <v>504638</v>
      </c>
      <c r="G2428" s="8" t="n">
        <v>726450</v>
      </c>
      <c r="H2428" s="8" t="n">
        <v>8955</v>
      </c>
      <c r="I2428" s="8" t="n">
        <v>8805</v>
      </c>
      <c r="J2428" s="8" t="n">
        <v>8960</v>
      </c>
      <c r="K2428" s="8" t="n">
        <v>8790</v>
      </c>
      <c r="L2428" s="8" t="n">
        <v>359488</v>
      </c>
      <c r="M2428" s="8" t="n">
        <v>392190</v>
      </c>
      <c r="N2428" t="inlineStr">
        <is>
          <t>是</t>
        </is>
      </c>
    </row>
    <row r="2429">
      <c r="A2429" s="7" t="inlineStr">
        <is>
          <t>2017-07-07</t>
        </is>
      </c>
      <c r="B2429" s="8" t="n">
        <v>8097</v>
      </c>
      <c r="C2429" s="8" t="n">
        <v>7990</v>
      </c>
      <c r="D2429" s="8" t="n">
        <v>8110</v>
      </c>
      <c r="E2429" s="8" t="n">
        <v>7965</v>
      </c>
      <c r="F2429" s="8" t="n">
        <v>435806</v>
      </c>
      <c r="G2429" s="8" t="n">
        <v>743834</v>
      </c>
      <c r="H2429" s="8" t="n">
        <v>9015</v>
      </c>
      <c r="I2429" s="8" t="n">
        <v>8930</v>
      </c>
      <c r="J2429" s="8" t="n">
        <v>9045</v>
      </c>
      <c r="K2429" s="8" t="n">
        <v>8915</v>
      </c>
      <c r="L2429" s="8" t="n">
        <v>472638</v>
      </c>
      <c r="M2429" s="8" t="n">
        <v>391896</v>
      </c>
      <c r="N2429" t="inlineStr">
        <is>
          <t>是</t>
        </is>
      </c>
    </row>
    <row r="2430">
      <c r="A2430" s="7" t="inlineStr">
        <is>
          <t>2017-07-10</t>
        </is>
      </c>
      <c r="B2430" s="8" t="n">
        <v>7985</v>
      </c>
      <c r="C2430" s="8" t="n">
        <v>8100</v>
      </c>
      <c r="D2430" s="8" t="n">
        <v>8132</v>
      </c>
      <c r="E2430" s="8" t="n">
        <v>7956</v>
      </c>
      <c r="F2430" s="8" t="n">
        <v>432422</v>
      </c>
      <c r="G2430" s="8" t="n">
        <v>705540</v>
      </c>
      <c r="H2430" s="8" t="n">
        <v>8860</v>
      </c>
      <c r="I2430" s="8" t="n">
        <v>9005</v>
      </c>
      <c r="J2430" s="8" t="n">
        <v>9105</v>
      </c>
      <c r="K2430" s="8" t="n">
        <v>8845</v>
      </c>
      <c r="L2430" s="8" t="n">
        <v>545904</v>
      </c>
      <c r="M2430" s="8" t="n">
        <v>408312</v>
      </c>
      <c r="N2430" t="inlineStr">
        <is>
          <t>是</t>
        </is>
      </c>
    </row>
    <row r="2431">
      <c r="A2431" s="7" t="inlineStr">
        <is>
          <t>2017-07-11</t>
        </is>
      </c>
      <c r="B2431" s="8" t="n">
        <v>8067</v>
      </c>
      <c r="C2431" s="8" t="n">
        <v>8077</v>
      </c>
      <c r="D2431" s="8" t="n">
        <v>8153</v>
      </c>
      <c r="E2431" s="8" t="n">
        <v>7991</v>
      </c>
      <c r="F2431" s="8" t="n">
        <v>489538</v>
      </c>
      <c r="G2431" s="8" t="n">
        <v>739888</v>
      </c>
      <c r="H2431" s="8" t="n">
        <v>9005</v>
      </c>
      <c r="I2431" s="8" t="n">
        <v>8915</v>
      </c>
      <c r="J2431" s="8" t="n">
        <v>9025</v>
      </c>
      <c r="K2431" s="8" t="n">
        <v>8855</v>
      </c>
      <c r="L2431" s="8" t="n">
        <v>535442</v>
      </c>
      <c r="M2431" s="8" t="n">
        <v>403472</v>
      </c>
      <c r="N2431" t="inlineStr">
        <is>
          <t>是</t>
        </is>
      </c>
    </row>
    <row r="2432">
      <c r="A2432" s="7" t="inlineStr">
        <is>
          <t>2017-07-12</t>
        </is>
      </c>
      <c r="B2432" s="8" t="n">
        <v>8058</v>
      </c>
      <c r="C2432" s="8" t="n">
        <v>8115</v>
      </c>
      <c r="D2432" s="8" t="n">
        <v>8188</v>
      </c>
      <c r="E2432" s="8" t="n">
        <v>8030</v>
      </c>
      <c r="F2432" s="8" t="n">
        <v>460578</v>
      </c>
      <c r="G2432" s="8" t="n">
        <v>719062</v>
      </c>
      <c r="H2432" s="8" t="n">
        <v>9075</v>
      </c>
      <c r="I2432" s="8" t="n">
        <v>9035</v>
      </c>
      <c r="J2432" s="8" t="n">
        <v>9165</v>
      </c>
      <c r="K2432" s="8" t="n">
        <v>9015</v>
      </c>
      <c r="L2432" s="8" t="n">
        <v>658162</v>
      </c>
      <c r="M2432" s="8" t="n">
        <v>408342</v>
      </c>
      <c r="N2432" t="inlineStr">
        <is>
          <t>是</t>
        </is>
      </c>
    </row>
    <row r="2433">
      <c r="A2433" s="7" t="inlineStr">
        <is>
          <t>2017-07-13</t>
        </is>
      </c>
      <c r="B2433" s="8" t="n">
        <v>8020</v>
      </c>
      <c r="C2433" s="8" t="n">
        <v>8055</v>
      </c>
      <c r="D2433" s="8" t="n">
        <v>8101</v>
      </c>
      <c r="E2433" s="8" t="n">
        <v>7951</v>
      </c>
      <c r="F2433" s="8" t="n">
        <v>467188</v>
      </c>
      <c r="G2433" s="8" t="n">
        <v>714854</v>
      </c>
      <c r="H2433" s="8" t="n">
        <v>9135</v>
      </c>
      <c r="I2433" s="8" t="n">
        <v>9055</v>
      </c>
      <c r="J2433" s="8" t="n">
        <v>9265</v>
      </c>
      <c r="K2433" s="8" t="n">
        <v>9025</v>
      </c>
      <c r="L2433" s="8" t="n">
        <v>648510</v>
      </c>
      <c r="M2433" s="8" t="n">
        <v>427080</v>
      </c>
      <c r="N2433" t="inlineStr">
        <is>
          <t>是</t>
        </is>
      </c>
    </row>
    <row r="2434">
      <c r="A2434" s="7" t="inlineStr">
        <is>
          <t>2017-07-14</t>
        </is>
      </c>
      <c r="B2434" s="8" t="n">
        <v>8064</v>
      </c>
      <c r="C2434" s="8" t="n">
        <v>8050</v>
      </c>
      <c r="D2434" s="8" t="n">
        <v>8108</v>
      </c>
      <c r="E2434" s="8" t="n">
        <v>8002</v>
      </c>
      <c r="F2434" s="8" t="n">
        <v>336680</v>
      </c>
      <c r="G2434" s="8" t="n">
        <v>670922</v>
      </c>
      <c r="H2434" s="8" t="n">
        <v>9160</v>
      </c>
      <c r="I2434" s="8" t="n">
        <v>9155</v>
      </c>
      <c r="J2434" s="8" t="n">
        <v>9200</v>
      </c>
      <c r="K2434" s="8" t="n">
        <v>9105</v>
      </c>
      <c r="L2434" s="8" t="n">
        <v>421188</v>
      </c>
      <c r="M2434" s="8" t="n">
        <v>412114</v>
      </c>
      <c r="N2434" t="inlineStr">
        <is>
          <t>是</t>
        </is>
      </c>
    </row>
    <row r="2435">
      <c r="A2435" s="7" t="inlineStr">
        <is>
          <t>2017-07-17</t>
        </is>
      </c>
      <c r="B2435" s="8" t="n">
        <v>8120</v>
      </c>
      <c r="C2435" s="8" t="n">
        <v>8145</v>
      </c>
      <c r="D2435" s="8" t="n">
        <v>8255</v>
      </c>
      <c r="E2435" s="8" t="n">
        <v>8092</v>
      </c>
      <c r="F2435" s="8" t="n">
        <v>576808</v>
      </c>
      <c r="G2435" s="8" t="n">
        <v>766602</v>
      </c>
      <c r="H2435" s="8" t="n">
        <v>9165</v>
      </c>
      <c r="I2435" s="8" t="n">
        <v>9195</v>
      </c>
      <c r="J2435" s="8" t="n">
        <v>9290</v>
      </c>
      <c r="K2435" s="8" t="n">
        <v>9155</v>
      </c>
      <c r="L2435" s="8" t="n">
        <v>514016</v>
      </c>
      <c r="M2435" s="8" t="n">
        <v>409972</v>
      </c>
      <c r="N2435" t="inlineStr">
        <is>
          <t>是</t>
        </is>
      </c>
    </row>
    <row r="2436">
      <c r="A2436" s="7" t="inlineStr">
        <is>
          <t>2017-07-18</t>
        </is>
      </c>
      <c r="B2436" s="8" t="n">
        <v>8193</v>
      </c>
      <c r="C2436" s="8" t="n">
        <v>8131</v>
      </c>
      <c r="D2436" s="8" t="n">
        <v>8259</v>
      </c>
      <c r="E2436" s="8" t="n">
        <v>8131</v>
      </c>
      <c r="F2436" s="8" t="n">
        <v>367982</v>
      </c>
      <c r="G2436" s="8" t="n">
        <v>678402</v>
      </c>
      <c r="H2436" s="8" t="n">
        <v>9220</v>
      </c>
      <c r="I2436" s="8" t="n">
        <v>9180</v>
      </c>
      <c r="J2436" s="8" t="n">
        <v>9270</v>
      </c>
      <c r="K2436" s="8" t="n">
        <v>9165</v>
      </c>
      <c r="L2436" s="8" t="n">
        <v>364950</v>
      </c>
      <c r="M2436" s="8" t="n">
        <v>413922</v>
      </c>
      <c r="N2436" t="inlineStr">
        <is>
          <t>是</t>
        </is>
      </c>
    </row>
    <row r="2437">
      <c r="A2437" s="7" t="inlineStr">
        <is>
          <t>2017-07-19</t>
        </is>
      </c>
      <c r="B2437" s="8" t="n">
        <v>8250</v>
      </c>
      <c r="C2437" s="8" t="n">
        <v>8230</v>
      </c>
      <c r="D2437" s="8" t="n">
        <v>8288</v>
      </c>
      <c r="E2437" s="8" t="n">
        <v>8204</v>
      </c>
      <c r="F2437" s="8" t="n">
        <v>331406</v>
      </c>
      <c r="G2437" s="8" t="n">
        <v>718600</v>
      </c>
      <c r="H2437" s="8" t="n">
        <v>9250</v>
      </c>
      <c r="I2437" s="8" t="n">
        <v>9190</v>
      </c>
      <c r="J2437" s="8" t="n">
        <v>9305</v>
      </c>
      <c r="K2437" s="8" t="n">
        <v>9190</v>
      </c>
      <c r="L2437" s="8" t="n">
        <v>404210</v>
      </c>
      <c r="M2437" s="8" t="n">
        <v>396368</v>
      </c>
      <c r="N2437" t="inlineStr">
        <is>
          <t>是</t>
        </is>
      </c>
    </row>
    <row r="2438">
      <c r="A2438" s="7" t="inlineStr">
        <is>
          <t>2017-07-20</t>
        </is>
      </c>
      <c r="B2438" s="8" t="n">
        <v>8495</v>
      </c>
      <c r="C2438" s="8" t="n">
        <v>8275</v>
      </c>
      <c r="D2438" s="8" t="n">
        <v>8643</v>
      </c>
      <c r="E2438" s="8" t="n">
        <v>8275</v>
      </c>
      <c r="F2438" s="8" t="n">
        <v>801040</v>
      </c>
      <c r="G2438" s="8" t="n">
        <v>705396</v>
      </c>
      <c r="H2438" s="8" t="n">
        <v>9650</v>
      </c>
      <c r="I2438" s="8" t="n">
        <v>9295</v>
      </c>
      <c r="J2438" s="8" t="n">
        <v>9725</v>
      </c>
      <c r="K2438" s="8" t="n">
        <v>9295</v>
      </c>
      <c r="L2438" s="8" t="n">
        <v>1088292</v>
      </c>
      <c r="M2438" s="8" t="n">
        <v>381646</v>
      </c>
      <c r="N2438" t="inlineStr">
        <is>
          <t>是</t>
        </is>
      </c>
    </row>
    <row r="2439">
      <c r="A2439" s="7" t="inlineStr">
        <is>
          <t>2017-07-21</t>
        </is>
      </c>
      <c r="B2439" s="8" t="n">
        <v>8499</v>
      </c>
      <c r="C2439" s="8" t="n">
        <v>8380</v>
      </c>
      <c r="D2439" s="8" t="n">
        <v>8518</v>
      </c>
      <c r="E2439" s="8" t="n">
        <v>8363</v>
      </c>
      <c r="F2439" s="8" t="n">
        <v>464146</v>
      </c>
      <c r="G2439" s="8" t="n">
        <v>607630</v>
      </c>
      <c r="H2439" s="8" t="n">
        <v>9660</v>
      </c>
      <c r="I2439" s="8" t="n">
        <v>9580</v>
      </c>
      <c r="J2439" s="8" t="n">
        <v>9685</v>
      </c>
      <c r="K2439" s="8" t="n">
        <v>9475</v>
      </c>
      <c r="L2439" s="8" t="n">
        <v>665868</v>
      </c>
      <c r="M2439" s="8" t="n">
        <v>359462</v>
      </c>
      <c r="N2439" t="inlineStr">
        <is>
          <t>是</t>
        </is>
      </c>
    </row>
    <row r="2440">
      <c r="A2440" s="7" t="inlineStr">
        <is>
          <t>2017-07-24</t>
        </is>
      </c>
      <c r="B2440" s="8" t="n">
        <v>8469</v>
      </c>
      <c r="C2440" s="8" t="n">
        <v>8400</v>
      </c>
      <c r="D2440" s="8" t="n">
        <v>8538</v>
      </c>
      <c r="E2440" s="8" t="n">
        <v>8400</v>
      </c>
      <c r="F2440" s="8" t="n">
        <v>398732</v>
      </c>
      <c r="G2440" s="8" t="n">
        <v>631720</v>
      </c>
      <c r="H2440" s="8" t="n">
        <v>9640</v>
      </c>
      <c r="I2440" s="8" t="n">
        <v>9570</v>
      </c>
      <c r="J2440" s="8" t="n">
        <v>9755</v>
      </c>
      <c r="K2440" s="8" t="n">
        <v>9545</v>
      </c>
      <c r="L2440" s="8" t="n">
        <v>556912</v>
      </c>
      <c r="M2440" s="8" t="n">
        <v>359574</v>
      </c>
      <c r="N2440" t="inlineStr">
        <is>
          <t>是</t>
        </is>
      </c>
    </row>
    <row r="2441">
      <c r="A2441" s="7" t="inlineStr">
        <is>
          <t>2017-07-25</t>
        </is>
      </c>
      <c r="B2441" s="8" t="n">
        <v>8500</v>
      </c>
      <c r="C2441" s="8" t="n">
        <v>8500</v>
      </c>
      <c r="D2441" s="8" t="n">
        <v>8559</v>
      </c>
      <c r="E2441" s="8" t="n">
        <v>8450</v>
      </c>
      <c r="F2441" s="8" t="n">
        <v>341862</v>
      </c>
      <c r="G2441" s="8" t="n">
        <v>580700</v>
      </c>
      <c r="H2441" s="8" t="n">
        <v>9630</v>
      </c>
      <c r="I2441" s="8" t="n">
        <v>9665</v>
      </c>
      <c r="J2441" s="8" t="n">
        <v>9725</v>
      </c>
      <c r="K2441" s="8" t="n">
        <v>9565</v>
      </c>
      <c r="L2441" s="8" t="n">
        <v>383720</v>
      </c>
      <c r="M2441" s="8" t="n">
        <v>339518</v>
      </c>
      <c r="N2441" t="inlineStr">
        <is>
          <t>是</t>
        </is>
      </c>
    </row>
    <row r="2442">
      <c r="A2442" s="7" t="inlineStr">
        <is>
          <t>2017-07-26</t>
        </is>
      </c>
      <c r="B2442" s="8" t="n">
        <v>8398</v>
      </c>
      <c r="C2442" s="8" t="n">
        <v>8590</v>
      </c>
      <c r="D2442" s="8" t="n">
        <v>8620</v>
      </c>
      <c r="E2442" s="8" t="n">
        <v>8360</v>
      </c>
      <c r="F2442" s="8" t="n">
        <v>474826</v>
      </c>
      <c r="G2442" s="8" t="n">
        <v>585716</v>
      </c>
      <c r="H2442" s="8" t="n">
        <v>9540</v>
      </c>
      <c r="I2442" s="8" t="n">
        <v>9700</v>
      </c>
      <c r="J2442" s="8" t="n">
        <v>9745</v>
      </c>
      <c r="K2442" s="8" t="n">
        <v>9470</v>
      </c>
      <c r="L2442" s="8" t="n">
        <v>472246</v>
      </c>
      <c r="M2442" s="8" t="n">
        <v>320284</v>
      </c>
      <c r="N2442" t="inlineStr">
        <is>
          <t>是</t>
        </is>
      </c>
    </row>
    <row r="2443">
      <c r="A2443" s="7" t="inlineStr">
        <is>
          <t>2017-07-27</t>
        </is>
      </c>
      <c r="B2443" s="8" t="n">
        <v>8349</v>
      </c>
      <c r="C2443" s="8" t="n">
        <v>8440</v>
      </c>
      <c r="D2443" s="8" t="n">
        <v>8440</v>
      </c>
      <c r="E2443" s="8" t="n">
        <v>8309</v>
      </c>
      <c r="F2443" s="8" t="n">
        <v>319166</v>
      </c>
      <c r="G2443" s="8" t="n">
        <v>532550</v>
      </c>
      <c r="H2443" s="8" t="n">
        <v>9550</v>
      </c>
      <c r="I2443" s="8" t="n">
        <v>9575</v>
      </c>
      <c r="J2443" s="8" t="n">
        <v>9580</v>
      </c>
      <c r="K2443" s="8" t="n">
        <v>9450</v>
      </c>
      <c r="L2443" s="8" t="n">
        <v>283278</v>
      </c>
      <c r="M2443" s="8" t="n">
        <v>307752</v>
      </c>
      <c r="N2443" t="inlineStr">
        <is>
          <t>是</t>
        </is>
      </c>
    </row>
    <row r="2444">
      <c r="A2444" s="7" t="inlineStr">
        <is>
          <t>2017-07-28</t>
        </is>
      </c>
      <c r="B2444" s="8" t="n">
        <v>8178</v>
      </c>
      <c r="C2444" s="8" t="n">
        <v>8349</v>
      </c>
      <c r="D2444" s="8" t="n">
        <v>8372</v>
      </c>
      <c r="E2444" s="8" t="n">
        <v>8167</v>
      </c>
      <c r="F2444" s="8" t="n">
        <v>426230</v>
      </c>
      <c r="G2444" s="8" t="n">
        <v>527236</v>
      </c>
      <c r="H2444" s="8" t="n">
        <v>9475</v>
      </c>
      <c r="I2444" s="8" t="n">
        <v>9635</v>
      </c>
      <c r="J2444" s="8" t="n">
        <v>9640</v>
      </c>
      <c r="K2444" s="8" t="n">
        <v>9450</v>
      </c>
      <c r="L2444" s="8" t="n">
        <v>186966</v>
      </c>
      <c r="M2444" s="8" t="n">
        <v>307328</v>
      </c>
      <c r="N2444" t="inlineStr">
        <is>
          <t>是</t>
        </is>
      </c>
    </row>
    <row r="2445">
      <c r="A2445" s="7" t="inlineStr">
        <is>
          <t>2017-07-31</t>
        </is>
      </c>
      <c r="B2445" s="8" t="n">
        <v>8225</v>
      </c>
      <c r="C2445" s="8" t="n">
        <v>8205</v>
      </c>
      <c r="D2445" s="8" t="n">
        <v>8264</v>
      </c>
      <c r="E2445" s="8" t="n">
        <v>8105</v>
      </c>
      <c r="F2445" s="8" t="n">
        <v>435940</v>
      </c>
      <c r="G2445" s="8" t="n">
        <v>456418</v>
      </c>
      <c r="H2445" s="8" t="n">
        <v>9560</v>
      </c>
      <c r="I2445" s="8" t="n">
        <v>9525</v>
      </c>
      <c r="J2445" s="8" t="n">
        <v>9600</v>
      </c>
      <c r="K2445" s="8" t="n">
        <v>9430</v>
      </c>
      <c r="L2445" s="8" t="n">
        <v>231092</v>
      </c>
      <c r="M2445" s="8" t="n">
        <v>331520</v>
      </c>
      <c r="N2445" t="inlineStr">
        <is>
          <t>是</t>
        </is>
      </c>
    </row>
    <row r="2446">
      <c r="A2446" s="7" t="inlineStr">
        <is>
          <t>2017-08-01</t>
        </is>
      </c>
      <c r="B2446" s="8" t="n">
        <v>8339</v>
      </c>
      <c r="C2446" s="8" t="n">
        <v>8238</v>
      </c>
      <c r="D2446" s="8" t="n">
        <v>8422</v>
      </c>
      <c r="E2446" s="8" t="n">
        <v>8200</v>
      </c>
      <c r="F2446" s="8" t="n">
        <v>467672</v>
      </c>
      <c r="G2446" s="8" t="n">
        <v>457938</v>
      </c>
      <c r="H2446" s="8" t="n">
        <v>9655</v>
      </c>
      <c r="I2446" s="8" t="n">
        <v>9600</v>
      </c>
      <c r="J2446" s="8" t="n">
        <v>9805</v>
      </c>
      <c r="K2446" s="8" t="n">
        <v>9545</v>
      </c>
      <c r="L2446" s="8" t="n">
        <v>336180</v>
      </c>
      <c r="M2446" s="8" t="n">
        <v>369348</v>
      </c>
      <c r="N2446" t="inlineStr">
        <is>
          <t>是</t>
        </is>
      </c>
    </row>
    <row r="2447">
      <c r="A2447" s="7" t="inlineStr">
        <is>
          <t>2017-08-02</t>
        </is>
      </c>
      <c r="B2447" s="8" t="n">
        <v>8368</v>
      </c>
      <c r="C2447" s="8" t="n">
        <v>8339</v>
      </c>
      <c r="D2447" s="8" t="n">
        <v>8429</v>
      </c>
      <c r="E2447" s="8" t="n">
        <v>8300</v>
      </c>
      <c r="F2447" s="8" t="n">
        <v>344740</v>
      </c>
      <c r="G2447" s="8" t="n">
        <v>405698</v>
      </c>
      <c r="H2447" s="8" t="n">
        <v>9665</v>
      </c>
      <c r="I2447" s="8" t="n">
        <v>9600</v>
      </c>
      <c r="J2447" s="8" t="n">
        <v>9720</v>
      </c>
      <c r="K2447" s="8" t="n">
        <v>9575</v>
      </c>
      <c r="L2447" s="8" t="n">
        <v>254390</v>
      </c>
      <c r="M2447" s="8" t="n">
        <v>380894</v>
      </c>
      <c r="N2447" t="inlineStr">
        <is>
          <t>是</t>
        </is>
      </c>
    </row>
    <row r="2448">
      <c r="A2448" s="7" t="inlineStr">
        <is>
          <t>2017-08-03</t>
        </is>
      </c>
      <c r="B2448" s="8" t="n">
        <v>8251</v>
      </c>
      <c r="C2448" s="8" t="n">
        <v>8380</v>
      </c>
      <c r="D2448" s="8" t="n">
        <v>8430</v>
      </c>
      <c r="E2448" s="8" t="n">
        <v>8238</v>
      </c>
      <c r="F2448" s="8" t="n">
        <v>368024</v>
      </c>
      <c r="G2448" s="8" t="n">
        <v>391832</v>
      </c>
      <c r="H2448" s="8" t="n">
        <v>9525</v>
      </c>
      <c r="I2448" s="8" t="n">
        <v>9705</v>
      </c>
      <c r="J2448" s="8" t="n">
        <v>9730</v>
      </c>
      <c r="K2448" s="8" t="n">
        <v>9490</v>
      </c>
      <c r="L2448" s="8" t="n">
        <v>439056</v>
      </c>
      <c r="M2448" s="8" t="n">
        <v>397886</v>
      </c>
      <c r="N2448" t="inlineStr">
        <is>
          <t>是</t>
        </is>
      </c>
    </row>
    <row r="2449">
      <c r="A2449" s="7" t="inlineStr">
        <is>
          <t>2017-08-04</t>
        </is>
      </c>
      <c r="B2449" s="8" t="n">
        <v>8400</v>
      </c>
      <c r="C2449" s="8" t="n">
        <v>8301</v>
      </c>
      <c r="D2449" s="8" t="n">
        <v>8496</v>
      </c>
      <c r="E2449" s="8" t="n">
        <v>8277</v>
      </c>
      <c r="F2449" s="8" t="n">
        <v>372210</v>
      </c>
      <c r="G2449" s="8" t="n">
        <v>362352</v>
      </c>
      <c r="H2449" s="8" t="n">
        <v>9700</v>
      </c>
      <c r="I2449" s="8" t="n">
        <v>9545</v>
      </c>
      <c r="J2449" s="8" t="n">
        <v>9775</v>
      </c>
      <c r="K2449" s="8" t="n">
        <v>9535</v>
      </c>
      <c r="L2449" s="8" t="n">
        <v>441806</v>
      </c>
      <c r="M2449" s="8" t="n">
        <v>422420</v>
      </c>
      <c r="N2449" t="inlineStr">
        <is>
          <t>是</t>
        </is>
      </c>
    </row>
    <row r="2450">
      <c r="A2450" s="7" t="inlineStr">
        <is>
          <t>2017-08-07</t>
        </is>
      </c>
      <c r="B2450" s="8" t="n">
        <v>8302</v>
      </c>
      <c r="C2450" s="8" t="n">
        <v>8488</v>
      </c>
      <c r="D2450" s="8" t="n">
        <v>8544</v>
      </c>
      <c r="E2450" s="8" t="n">
        <v>8270</v>
      </c>
      <c r="F2450" s="8" t="n">
        <v>375414</v>
      </c>
      <c r="G2450" s="8" t="n">
        <v>329828</v>
      </c>
      <c r="H2450" s="8" t="n">
        <v>9575</v>
      </c>
      <c r="I2450" s="8" t="n">
        <v>9760</v>
      </c>
      <c r="J2450" s="8" t="n">
        <v>9830</v>
      </c>
      <c r="K2450" s="8" t="n">
        <v>9550</v>
      </c>
      <c r="L2450" s="8" t="n">
        <v>509884</v>
      </c>
      <c r="M2450" s="8" t="n">
        <v>414914</v>
      </c>
      <c r="N2450" t="inlineStr">
        <is>
          <t>是</t>
        </is>
      </c>
    </row>
    <row r="2451">
      <c r="A2451" s="7" t="inlineStr">
        <is>
          <t>2017-08-08</t>
        </is>
      </c>
      <c r="B2451" s="8" t="n">
        <v>8486</v>
      </c>
      <c r="C2451" s="8" t="n">
        <v>8321</v>
      </c>
      <c r="D2451" s="8" t="n">
        <v>8510</v>
      </c>
      <c r="E2451" s="8" t="n">
        <v>8315</v>
      </c>
      <c r="F2451" s="8" t="n">
        <v>316518</v>
      </c>
      <c r="G2451" s="8" t="n">
        <v>292396</v>
      </c>
      <c r="H2451" s="8" t="n">
        <v>9780</v>
      </c>
      <c r="I2451" s="8" t="n">
        <v>9615</v>
      </c>
      <c r="J2451" s="8" t="n">
        <v>9820</v>
      </c>
      <c r="K2451" s="8" t="n">
        <v>9605</v>
      </c>
      <c r="L2451" s="8" t="n">
        <v>616222</v>
      </c>
      <c r="M2451" s="8" t="n">
        <v>470254</v>
      </c>
      <c r="N2451" t="inlineStr">
        <is>
          <t>是</t>
        </is>
      </c>
    </row>
    <row r="2452">
      <c r="A2452" s="7" t="inlineStr">
        <is>
          <t>2017-08-09</t>
        </is>
      </c>
      <c r="B2452" s="8" t="n">
        <v>8779</v>
      </c>
      <c r="C2452" s="8" t="n">
        <v>8800</v>
      </c>
      <c r="D2452" s="8" t="n">
        <v>8870</v>
      </c>
      <c r="E2452" s="8" t="n">
        <v>8700</v>
      </c>
      <c r="F2452" s="8" t="n">
        <v>401342</v>
      </c>
      <c r="G2452" s="8" t="n">
        <v>431464</v>
      </c>
      <c r="H2452" s="8" t="n">
        <v>9805</v>
      </c>
      <c r="I2452" s="8" t="n">
        <v>9850</v>
      </c>
      <c r="J2452" s="8" t="n">
        <v>9960</v>
      </c>
      <c r="K2452" s="8" t="n">
        <v>9730</v>
      </c>
      <c r="L2452" s="8" t="n">
        <v>539200</v>
      </c>
      <c r="M2452" s="8" t="n">
        <v>463686</v>
      </c>
      <c r="N2452" t="inlineStr">
        <is>
          <t>是</t>
        </is>
      </c>
    </row>
    <row r="2453">
      <c r="A2453" s="7" t="inlineStr">
        <is>
          <t>2017-08-10</t>
        </is>
      </c>
      <c r="B2453" s="8" t="n">
        <v>8825</v>
      </c>
      <c r="C2453" s="8" t="n">
        <v>8780</v>
      </c>
      <c r="D2453" s="8" t="n">
        <v>8888</v>
      </c>
      <c r="E2453" s="8" t="n">
        <v>8733</v>
      </c>
      <c r="F2453" s="8" t="n">
        <v>363726</v>
      </c>
      <c r="G2453" s="8" t="n">
        <v>456302</v>
      </c>
      <c r="H2453" s="8" t="n">
        <v>9820</v>
      </c>
      <c r="I2453" s="8" t="n">
        <v>9820</v>
      </c>
      <c r="J2453" s="8" t="n">
        <v>9880</v>
      </c>
      <c r="K2453" s="8" t="n">
        <v>9745</v>
      </c>
      <c r="L2453" s="8" t="n">
        <v>420660</v>
      </c>
      <c r="M2453" s="8" t="n">
        <v>457868</v>
      </c>
      <c r="N2453" t="inlineStr">
        <is>
          <t>是</t>
        </is>
      </c>
    </row>
    <row r="2454">
      <c r="A2454" s="7" t="inlineStr">
        <is>
          <t>2017-08-11</t>
        </is>
      </c>
      <c r="B2454" s="8" t="n">
        <v>8714</v>
      </c>
      <c r="C2454" s="8" t="n">
        <v>8756</v>
      </c>
      <c r="D2454" s="8" t="n">
        <v>8828</v>
      </c>
      <c r="E2454" s="8" t="n">
        <v>8615</v>
      </c>
      <c r="F2454" s="8" t="n">
        <v>454656</v>
      </c>
      <c r="G2454" s="8" t="n">
        <v>417050</v>
      </c>
      <c r="H2454" s="8" t="n">
        <v>9555</v>
      </c>
      <c r="I2454" s="8" t="n">
        <v>9745</v>
      </c>
      <c r="J2454" s="8" t="n">
        <v>9770</v>
      </c>
      <c r="K2454" s="8" t="n">
        <v>9480</v>
      </c>
      <c r="L2454" s="8" t="n">
        <v>600550</v>
      </c>
      <c r="M2454" s="8" t="n">
        <v>420300</v>
      </c>
      <c r="N2454" t="inlineStr">
        <is>
          <t>是</t>
        </is>
      </c>
    </row>
    <row r="2455">
      <c r="A2455" s="7" t="inlineStr">
        <is>
          <t>2017-08-14</t>
        </is>
      </c>
      <c r="B2455" s="8" t="n">
        <v>8677</v>
      </c>
      <c r="C2455" s="8" t="n">
        <v>8726</v>
      </c>
      <c r="D2455" s="8" t="n">
        <v>8755</v>
      </c>
      <c r="E2455" s="8" t="n">
        <v>8656</v>
      </c>
      <c r="F2455" s="8" t="n">
        <v>289238</v>
      </c>
      <c r="G2455" s="8" t="n">
        <v>401498</v>
      </c>
      <c r="H2455" s="8" t="n">
        <v>9545</v>
      </c>
      <c r="I2455" s="8" t="n">
        <v>9585</v>
      </c>
      <c r="J2455" s="8" t="n">
        <v>9620</v>
      </c>
      <c r="K2455" s="8" t="n">
        <v>9510</v>
      </c>
      <c r="L2455" s="8" t="n">
        <v>336070</v>
      </c>
      <c r="M2455" s="8" t="n">
        <v>432874</v>
      </c>
      <c r="N2455" t="inlineStr">
        <is>
          <t>是</t>
        </is>
      </c>
    </row>
    <row r="2456">
      <c r="A2456" s="7" t="inlineStr">
        <is>
          <t>2017-08-15</t>
        </is>
      </c>
      <c r="B2456" s="8" t="n">
        <v>8541</v>
      </c>
      <c r="C2456" s="8" t="n">
        <v>8606</v>
      </c>
      <c r="D2456" s="8" t="n">
        <v>8636</v>
      </c>
      <c r="E2456" s="8" t="n">
        <v>8500</v>
      </c>
      <c r="F2456" s="8" t="n">
        <v>438640</v>
      </c>
      <c r="G2456" s="8" t="n">
        <v>399640</v>
      </c>
      <c r="H2456" s="8" t="n">
        <v>9450</v>
      </c>
      <c r="I2456" s="8" t="n">
        <v>9495</v>
      </c>
      <c r="J2456" s="8" t="n">
        <v>9515</v>
      </c>
      <c r="K2456" s="8" t="n">
        <v>9325</v>
      </c>
      <c r="L2456" s="8" t="n">
        <v>583920</v>
      </c>
      <c r="M2456" s="8" t="n">
        <v>410332</v>
      </c>
      <c r="N2456" t="inlineStr">
        <is>
          <t>是</t>
        </is>
      </c>
    </row>
    <row r="2457">
      <c r="A2457" s="7" t="inlineStr">
        <is>
          <t>2017-08-16</t>
        </is>
      </c>
      <c r="B2457" s="8" t="n">
        <v>8540</v>
      </c>
      <c r="C2457" s="8" t="n">
        <v>8540</v>
      </c>
      <c r="D2457" s="8" t="n">
        <v>8580</v>
      </c>
      <c r="E2457" s="8" t="n">
        <v>8450</v>
      </c>
      <c r="F2457" s="8" t="n">
        <v>273590</v>
      </c>
      <c r="G2457" s="8" t="n">
        <v>386216</v>
      </c>
      <c r="H2457" s="8" t="n">
        <v>9455</v>
      </c>
      <c r="I2457" s="8" t="n">
        <v>9450</v>
      </c>
      <c r="J2457" s="8" t="n">
        <v>9515</v>
      </c>
      <c r="K2457" s="8" t="n">
        <v>9400</v>
      </c>
      <c r="L2457" s="8" t="n">
        <v>318628</v>
      </c>
      <c r="M2457" s="8" t="n">
        <v>423286</v>
      </c>
      <c r="N2457" t="inlineStr">
        <is>
          <t>是</t>
        </is>
      </c>
    </row>
    <row r="2458">
      <c r="A2458" s="7" t="inlineStr">
        <is>
          <t>2017-08-17</t>
        </is>
      </c>
      <c r="B2458" s="8" t="n">
        <v>8810</v>
      </c>
      <c r="C2458" s="8" t="n">
        <v>8636</v>
      </c>
      <c r="D2458" s="8" t="n">
        <v>8823</v>
      </c>
      <c r="E2458" s="8" t="n">
        <v>8630</v>
      </c>
      <c r="F2458" s="8" t="n">
        <v>450204</v>
      </c>
      <c r="G2458" s="8" t="n">
        <v>425452</v>
      </c>
      <c r="H2458" s="8" t="n">
        <v>9675</v>
      </c>
      <c r="I2458" s="8" t="n">
        <v>9560</v>
      </c>
      <c r="J2458" s="8" t="n">
        <v>9750</v>
      </c>
      <c r="K2458" s="8" t="n">
        <v>9555</v>
      </c>
      <c r="L2458" s="8" t="n">
        <v>498946</v>
      </c>
      <c r="M2458" s="8" t="n">
        <v>428002</v>
      </c>
      <c r="N2458" t="inlineStr">
        <is>
          <t>是</t>
        </is>
      </c>
    </row>
    <row r="2459">
      <c r="A2459" s="7" t="inlineStr">
        <is>
          <t>2017-08-18</t>
        </is>
      </c>
      <c r="B2459" s="8" t="n">
        <v>8837</v>
      </c>
      <c r="C2459" s="8" t="n">
        <v>8788</v>
      </c>
      <c r="D2459" s="8" t="n">
        <v>8854</v>
      </c>
      <c r="E2459" s="8" t="n">
        <v>8767</v>
      </c>
      <c r="F2459" s="8" t="n">
        <v>278104</v>
      </c>
      <c r="G2459" s="8" t="n">
        <v>425042</v>
      </c>
      <c r="H2459" s="8" t="n">
        <v>9735</v>
      </c>
      <c r="I2459" s="8" t="n">
        <v>9680</v>
      </c>
      <c r="J2459" s="8" t="n">
        <v>9735</v>
      </c>
      <c r="K2459" s="8" t="n">
        <v>9645</v>
      </c>
      <c r="L2459" s="8" t="n">
        <v>297454</v>
      </c>
      <c r="M2459" s="8" t="n">
        <v>434592</v>
      </c>
      <c r="N2459" t="inlineStr">
        <is>
          <t>是</t>
        </is>
      </c>
    </row>
    <row r="2460">
      <c r="A2460" s="7" t="inlineStr">
        <is>
          <t>2017-08-21</t>
        </is>
      </c>
      <c r="B2460" s="8" t="n">
        <v>8957</v>
      </c>
      <c r="C2460" s="8" t="n">
        <v>8900</v>
      </c>
      <c r="D2460" s="8" t="n">
        <v>8990</v>
      </c>
      <c r="E2460" s="8" t="n">
        <v>8878</v>
      </c>
      <c r="F2460" s="8" t="n">
        <v>327270</v>
      </c>
      <c r="G2460" s="8" t="n">
        <v>457194</v>
      </c>
      <c r="H2460" s="8" t="n">
        <v>9805</v>
      </c>
      <c r="I2460" s="8" t="n">
        <v>9805</v>
      </c>
      <c r="J2460" s="8" t="n">
        <v>9855</v>
      </c>
      <c r="K2460" s="8" t="n">
        <v>9760</v>
      </c>
      <c r="L2460" s="8" t="n">
        <v>359956</v>
      </c>
      <c r="M2460" s="8" t="n">
        <v>456350</v>
      </c>
      <c r="N2460" t="inlineStr">
        <is>
          <t>是</t>
        </is>
      </c>
    </row>
    <row r="2461">
      <c r="A2461" s="7" t="inlineStr">
        <is>
          <t>2017-08-22</t>
        </is>
      </c>
      <c r="B2461" s="8" t="n">
        <v>9134</v>
      </c>
      <c r="C2461" s="8" t="n">
        <v>8942</v>
      </c>
      <c r="D2461" s="8" t="n">
        <v>9153</v>
      </c>
      <c r="E2461" s="8" t="n">
        <v>8838</v>
      </c>
      <c r="F2461" s="8" t="n">
        <v>535006</v>
      </c>
      <c r="G2461" s="8" t="n">
        <v>482592</v>
      </c>
      <c r="H2461" s="8" t="n">
        <v>10040</v>
      </c>
      <c r="I2461" s="8" t="n">
        <v>9795</v>
      </c>
      <c r="J2461" s="8" t="n">
        <v>10075</v>
      </c>
      <c r="K2461" s="8" t="n">
        <v>9690</v>
      </c>
      <c r="L2461" s="8" t="n">
        <v>815126</v>
      </c>
      <c r="M2461" s="8" t="n">
        <v>524522</v>
      </c>
      <c r="N2461" t="inlineStr">
        <is>
          <t>是</t>
        </is>
      </c>
    </row>
    <row r="2462">
      <c r="A2462" s="7" t="inlineStr">
        <is>
          <t>2017-08-23</t>
        </is>
      </c>
      <c r="B2462" s="8" t="n">
        <v>9091</v>
      </c>
      <c r="C2462" s="8" t="n">
        <v>9084</v>
      </c>
      <c r="D2462" s="8" t="n">
        <v>9140</v>
      </c>
      <c r="E2462" s="8" t="n">
        <v>9027</v>
      </c>
      <c r="F2462" s="8" t="n">
        <v>365466</v>
      </c>
      <c r="G2462" s="8" t="n">
        <v>481728</v>
      </c>
      <c r="H2462" s="8" t="n">
        <v>9945</v>
      </c>
      <c r="I2462" s="8" t="n">
        <v>9985</v>
      </c>
      <c r="J2462" s="8" t="n">
        <v>10035</v>
      </c>
      <c r="K2462" s="8" t="n">
        <v>9910</v>
      </c>
      <c r="L2462" s="8" t="n">
        <v>516788</v>
      </c>
      <c r="M2462" s="8" t="n">
        <v>527838</v>
      </c>
      <c r="N2462" t="inlineStr">
        <is>
          <t>是</t>
        </is>
      </c>
    </row>
    <row r="2463">
      <c r="A2463" s="7" t="inlineStr">
        <is>
          <t>2017-08-24</t>
        </is>
      </c>
      <c r="B2463" s="8" t="n">
        <v>9085</v>
      </c>
      <c r="C2463" s="8" t="n">
        <v>9130</v>
      </c>
      <c r="D2463" s="8" t="n">
        <v>9228</v>
      </c>
      <c r="E2463" s="8" t="n">
        <v>9071</v>
      </c>
      <c r="F2463" s="8" t="n">
        <v>341234</v>
      </c>
      <c r="G2463" s="8" t="n">
        <v>470322</v>
      </c>
      <c r="H2463" s="8" t="n">
        <v>9940</v>
      </c>
      <c r="I2463" s="8" t="n">
        <v>9980</v>
      </c>
      <c r="J2463" s="8" t="n">
        <v>10045</v>
      </c>
      <c r="K2463" s="8" t="n">
        <v>9920</v>
      </c>
      <c r="L2463" s="8" t="n">
        <v>375046</v>
      </c>
      <c r="M2463" s="8" t="n">
        <v>508236</v>
      </c>
      <c r="N2463" t="inlineStr">
        <is>
          <t>是</t>
        </is>
      </c>
    </row>
    <row r="2464">
      <c r="A2464" s="7" t="inlineStr">
        <is>
          <t>2017-08-25</t>
        </is>
      </c>
      <c r="B2464" s="8" t="n">
        <v>9155</v>
      </c>
      <c r="C2464" s="8" t="n">
        <v>9115</v>
      </c>
      <c r="D2464" s="8" t="n">
        <v>9246</v>
      </c>
      <c r="E2464" s="8" t="n">
        <v>9096</v>
      </c>
      <c r="F2464" s="8" t="n">
        <v>343064</v>
      </c>
      <c r="G2464" s="8" t="n">
        <v>481224</v>
      </c>
      <c r="H2464" s="8" t="n">
        <v>9955</v>
      </c>
      <c r="I2464" s="8" t="n">
        <v>9975</v>
      </c>
      <c r="J2464" s="8" t="n">
        <v>10130</v>
      </c>
      <c r="K2464" s="8" t="n">
        <v>9935</v>
      </c>
      <c r="L2464" s="8" t="n">
        <v>494334</v>
      </c>
      <c r="M2464" s="8" t="n">
        <v>527448</v>
      </c>
      <c r="N2464" t="inlineStr">
        <is>
          <t>是</t>
        </is>
      </c>
    </row>
    <row r="2465">
      <c r="A2465" s="7" t="inlineStr">
        <is>
          <t>2017-08-28</t>
        </is>
      </c>
      <c r="B2465" s="8" t="n">
        <v>9124</v>
      </c>
      <c r="C2465" s="8" t="n">
        <v>9100</v>
      </c>
      <c r="D2465" s="8" t="n">
        <v>9140</v>
      </c>
      <c r="E2465" s="8" t="n">
        <v>8952</v>
      </c>
      <c r="F2465" s="8" t="n">
        <v>311818</v>
      </c>
      <c r="G2465" s="8" t="n">
        <v>458768</v>
      </c>
      <c r="H2465" s="8" t="n">
        <v>9955</v>
      </c>
      <c r="I2465" s="8" t="n">
        <v>9900</v>
      </c>
      <c r="J2465" s="8" t="n">
        <v>9975</v>
      </c>
      <c r="K2465" s="8" t="n">
        <v>9830</v>
      </c>
      <c r="L2465" s="8" t="n">
        <v>325500</v>
      </c>
      <c r="M2465" s="8" t="n">
        <v>500786</v>
      </c>
      <c r="N2465" t="inlineStr">
        <is>
          <t>是</t>
        </is>
      </c>
    </row>
    <row r="2466">
      <c r="A2466" s="7" t="inlineStr">
        <is>
          <t>2017-08-29</t>
        </is>
      </c>
      <c r="B2466" s="8" t="n">
        <v>9287</v>
      </c>
      <c r="C2466" s="8" t="n">
        <v>9135</v>
      </c>
      <c r="D2466" s="8" t="n">
        <v>9293</v>
      </c>
      <c r="E2466" s="8" t="n">
        <v>9106</v>
      </c>
      <c r="F2466" s="8" t="n">
        <v>484036</v>
      </c>
      <c r="G2466" s="8" t="n">
        <v>515518</v>
      </c>
      <c r="H2466" s="8" t="n">
        <v>10060</v>
      </c>
      <c r="I2466" s="8" t="n">
        <v>9970</v>
      </c>
      <c r="J2466" s="8" t="n">
        <v>10105</v>
      </c>
      <c r="K2466" s="8" t="n">
        <v>9945</v>
      </c>
      <c r="L2466" s="8" t="n">
        <v>501842</v>
      </c>
      <c r="M2466" s="8" t="n">
        <v>522980</v>
      </c>
      <c r="N2466" t="inlineStr">
        <is>
          <t>是</t>
        </is>
      </c>
    </row>
    <row r="2467">
      <c r="A2467" s="7" t="inlineStr">
        <is>
          <t>2017-08-30</t>
        </is>
      </c>
      <c r="B2467" s="8" t="n">
        <v>9275</v>
      </c>
      <c r="C2467" s="8" t="n">
        <v>9259</v>
      </c>
      <c r="D2467" s="8" t="n">
        <v>9307</v>
      </c>
      <c r="E2467" s="8" t="n">
        <v>9230</v>
      </c>
      <c r="F2467" s="8" t="n">
        <v>283882</v>
      </c>
      <c r="G2467" s="8" t="n">
        <v>500388</v>
      </c>
      <c r="H2467" s="8" t="n">
        <v>10065</v>
      </c>
      <c r="I2467" s="8" t="n">
        <v>10040</v>
      </c>
      <c r="J2467" s="8" t="n">
        <v>10100</v>
      </c>
      <c r="K2467" s="8" t="n">
        <v>9980</v>
      </c>
      <c r="L2467" s="8" t="n">
        <v>314928</v>
      </c>
      <c r="M2467" s="8" t="n">
        <v>493144</v>
      </c>
      <c r="N2467" t="inlineStr">
        <is>
          <t>是</t>
        </is>
      </c>
    </row>
    <row r="2468">
      <c r="A2468" s="7" t="inlineStr">
        <is>
          <t>2017-08-31</t>
        </is>
      </c>
      <c r="B2468" s="8" t="n">
        <v>9358</v>
      </c>
      <c r="C2468" s="8" t="n">
        <v>9230</v>
      </c>
      <c r="D2468" s="8" t="n">
        <v>9396</v>
      </c>
      <c r="E2468" s="8" t="n">
        <v>9220</v>
      </c>
      <c r="F2468" s="8" t="n">
        <v>362964</v>
      </c>
      <c r="G2468" s="8" t="n">
        <v>542744</v>
      </c>
      <c r="H2468" s="8" t="n">
        <v>10175</v>
      </c>
      <c r="I2468" s="8" t="n">
        <v>10040</v>
      </c>
      <c r="J2468" s="8" t="n">
        <v>10245</v>
      </c>
      <c r="K2468" s="8" t="n">
        <v>9985</v>
      </c>
      <c r="L2468" s="8" t="n">
        <v>524200</v>
      </c>
      <c r="M2468" s="8" t="n">
        <v>542920</v>
      </c>
      <c r="N2468" t="inlineStr">
        <is>
          <t>是</t>
        </is>
      </c>
    </row>
    <row r="2469">
      <c r="A2469" s="7" t="inlineStr">
        <is>
          <t>2017-09-01</t>
        </is>
      </c>
      <c r="B2469" s="8" t="n">
        <v>9565</v>
      </c>
      <c r="C2469" s="8" t="n">
        <v>9400</v>
      </c>
      <c r="D2469" s="8" t="n">
        <v>9584</v>
      </c>
      <c r="E2469" s="8" t="n">
        <v>9367</v>
      </c>
      <c r="F2469" s="8" t="n">
        <v>442472</v>
      </c>
      <c r="G2469" s="8" t="n">
        <v>547880</v>
      </c>
      <c r="H2469" s="8" t="n">
        <v>10360</v>
      </c>
      <c r="I2469" s="8" t="n">
        <v>10220</v>
      </c>
      <c r="J2469" s="8" t="n">
        <v>10375</v>
      </c>
      <c r="K2469" s="8" t="n">
        <v>10165</v>
      </c>
      <c r="L2469" s="8" t="n">
        <v>398594</v>
      </c>
      <c r="M2469" s="8" t="n">
        <v>525652</v>
      </c>
      <c r="N2469" t="inlineStr">
        <is>
          <t>是</t>
        </is>
      </c>
    </row>
    <row r="2470">
      <c r="A2470" s="7" t="inlineStr">
        <is>
          <t>2017-09-04</t>
        </is>
      </c>
      <c r="B2470" s="8" t="n">
        <v>9611</v>
      </c>
      <c r="C2470" s="8" t="n">
        <v>9788</v>
      </c>
      <c r="D2470" s="8" t="n">
        <v>9813</v>
      </c>
      <c r="E2470" s="8" t="n">
        <v>9591</v>
      </c>
      <c r="F2470" s="8" t="n">
        <v>415262</v>
      </c>
      <c r="G2470" s="8" t="n">
        <v>522552</v>
      </c>
      <c r="H2470" s="8" t="n">
        <v>10395</v>
      </c>
      <c r="I2470" s="8" t="n">
        <v>10550</v>
      </c>
      <c r="J2470" s="8" t="n">
        <v>10605</v>
      </c>
      <c r="K2470" s="8" t="n">
        <v>10350</v>
      </c>
      <c r="L2470" s="8" t="n">
        <v>450094</v>
      </c>
      <c r="M2470" s="8" t="n">
        <v>522240</v>
      </c>
      <c r="N2470" t="inlineStr">
        <is>
          <t>是</t>
        </is>
      </c>
    </row>
    <row r="2471">
      <c r="A2471" s="7" t="inlineStr">
        <is>
          <t>2017-09-05</t>
        </is>
      </c>
      <c r="B2471" s="8" t="n">
        <v>9610</v>
      </c>
      <c r="C2471" s="8" t="n">
        <v>9595</v>
      </c>
      <c r="D2471" s="8" t="n">
        <v>9676</v>
      </c>
      <c r="E2471" s="8" t="n">
        <v>9501</v>
      </c>
      <c r="F2471" s="8" t="n">
        <v>362682</v>
      </c>
      <c r="G2471" s="8" t="n">
        <v>500056</v>
      </c>
      <c r="H2471" s="8" t="n">
        <v>10440</v>
      </c>
      <c r="I2471" s="8" t="n">
        <v>10385</v>
      </c>
      <c r="J2471" s="8" t="n">
        <v>10480</v>
      </c>
      <c r="K2471" s="8" t="n">
        <v>10330</v>
      </c>
      <c r="L2471" s="8" t="n">
        <v>369598</v>
      </c>
      <c r="M2471" s="8" t="n">
        <v>490608</v>
      </c>
      <c r="N2471" t="inlineStr">
        <is>
          <t>是</t>
        </is>
      </c>
    </row>
    <row r="2472">
      <c r="A2472" s="7" t="inlineStr">
        <is>
          <t>2017-09-06</t>
        </is>
      </c>
      <c r="B2472" s="8" t="n">
        <v>9427</v>
      </c>
      <c r="C2472" s="8" t="n">
        <v>9500</v>
      </c>
      <c r="D2472" s="8" t="n">
        <v>9584</v>
      </c>
      <c r="E2472" s="8" t="n">
        <v>9423</v>
      </c>
      <c r="F2472" s="8" t="n">
        <v>431538</v>
      </c>
      <c r="G2472" s="8" t="n">
        <v>486962</v>
      </c>
      <c r="H2472" s="8" t="n">
        <v>10285</v>
      </c>
      <c r="I2472" s="8" t="n">
        <v>10380</v>
      </c>
      <c r="J2472" s="8" t="n">
        <v>10395</v>
      </c>
      <c r="K2472" s="8" t="n">
        <v>10240</v>
      </c>
      <c r="L2472" s="8" t="n">
        <v>496786</v>
      </c>
      <c r="M2472" s="8" t="n">
        <v>499882</v>
      </c>
      <c r="N2472" t="inlineStr">
        <is>
          <t>是</t>
        </is>
      </c>
    </row>
    <row r="2473">
      <c r="A2473" s="7" t="inlineStr">
        <is>
          <t>2017-09-07</t>
        </is>
      </c>
      <c r="B2473" s="8" t="n">
        <v>9310</v>
      </c>
      <c r="C2473" s="8" t="n">
        <v>9458</v>
      </c>
      <c r="D2473" s="8" t="n">
        <v>9494</v>
      </c>
      <c r="E2473" s="8" t="n">
        <v>9271</v>
      </c>
      <c r="F2473" s="8" t="n">
        <v>426186</v>
      </c>
      <c r="G2473" s="8" t="n">
        <v>472428</v>
      </c>
      <c r="H2473" s="8" t="n">
        <v>10160</v>
      </c>
      <c r="I2473" s="8" t="n">
        <v>10320</v>
      </c>
      <c r="J2473" s="8" t="n">
        <v>10345</v>
      </c>
      <c r="K2473" s="8" t="n">
        <v>10085</v>
      </c>
      <c r="L2473" s="8" t="n">
        <v>482420</v>
      </c>
      <c r="M2473" s="8" t="n">
        <v>478192</v>
      </c>
      <c r="N2473" t="inlineStr">
        <is>
          <t>是</t>
        </is>
      </c>
    </row>
    <row r="2474">
      <c r="A2474" s="7" t="inlineStr">
        <is>
          <t>2017-09-08</t>
        </is>
      </c>
      <c r="B2474" s="8" t="n">
        <v>9243</v>
      </c>
      <c r="C2474" s="8" t="n">
        <v>9330</v>
      </c>
      <c r="D2474" s="8" t="n">
        <v>9376</v>
      </c>
      <c r="E2474" s="8" t="n">
        <v>9200</v>
      </c>
      <c r="F2474" s="8" t="n">
        <v>364954</v>
      </c>
      <c r="G2474" s="8" t="n">
        <v>453258</v>
      </c>
      <c r="H2474" s="8" t="n">
        <v>10075</v>
      </c>
      <c r="I2474" s="8" t="n">
        <v>10200</v>
      </c>
      <c r="J2474" s="8" t="n">
        <v>10210</v>
      </c>
      <c r="K2474" s="8" t="n">
        <v>10000</v>
      </c>
      <c r="L2474" s="8" t="n">
        <v>445580</v>
      </c>
      <c r="M2474" s="8" t="n">
        <v>496434</v>
      </c>
      <c r="N2474" t="inlineStr">
        <is>
          <t>是</t>
        </is>
      </c>
    </row>
    <row r="2475">
      <c r="A2475" s="7" t="inlineStr">
        <is>
          <t>2017-09-11</t>
        </is>
      </c>
      <c r="B2475" s="8" t="n">
        <v>9166</v>
      </c>
      <c r="C2475" s="8" t="n">
        <v>9100</v>
      </c>
      <c r="D2475" s="8" t="n">
        <v>9204</v>
      </c>
      <c r="E2475" s="8" t="n">
        <v>9100</v>
      </c>
      <c r="F2475" s="8" t="n">
        <v>318842</v>
      </c>
      <c r="G2475" s="8" t="n">
        <v>428802</v>
      </c>
      <c r="H2475" s="8" t="n">
        <v>10020</v>
      </c>
      <c r="I2475" s="8" t="n">
        <v>9990</v>
      </c>
      <c r="J2475" s="8" t="n">
        <v>10075</v>
      </c>
      <c r="K2475" s="8" t="n">
        <v>9915</v>
      </c>
      <c r="L2475" s="8" t="n">
        <v>446342</v>
      </c>
      <c r="M2475" s="8" t="n">
        <v>450340</v>
      </c>
      <c r="N2475" t="inlineStr">
        <is>
          <t>是</t>
        </is>
      </c>
    </row>
    <row r="2476">
      <c r="A2476" s="7" t="inlineStr">
        <is>
          <t>2017-09-12</t>
        </is>
      </c>
      <c r="B2476" s="8" t="n">
        <v>9380</v>
      </c>
      <c r="C2476" s="8" t="n">
        <v>9288</v>
      </c>
      <c r="D2476" s="8" t="n">
        <v>9402</v>
      </c>
      <c r="E2476" s="8" t="n">
        <v>9196</v>
      </c>
      <c r="F2476" s="8" t="n">
        <v>472890</v>
      </c>
      <c r="G2476" s="8" t="n">
        <v>445668</v>
      </c>
      <c r="H2476" s="8" t="n">
        <v>10180</v>
      </c>
      <c r="I2476" s="8" t="n">
        <v>10100</v>
      </c>
      <c r="J2476" s="8" t="n">
        <v>10215</v>
      </c>
      <c r="K2476" s="8" t="n">
        <v>10050</v>
      </c>
      <c r="L2476" s="8" t="n">
        <v>425644</v>
      </c>
      <c r="M2476" s="8" t="n">
        <v>461044</v>
      </c>
      <c r="N2476" t="inlineStr">
        <is>
          <t>是</t>
        </is>
      </c>
    </row>
    <row r="2477">
      <c r="A2477" s="7" t="inlineStr">
        <is>
          <t>2017-09-13</t>
        </is>
      </c>
      <c r="B2477" s="8" t="n">
        <v>9081</v>
      </c>
      <c r="C2477" s="8" t="n">
        <v>9407</v>
      </c>
      <c r="D2477" s="8" t="n">
        <v>9427</v>
      </c>
      <c r="E2477" s="8" t="n">
        <v>9058</v>
      </c>
      <c r="F2477" s="8" t="n">
        <v>531066</v>
      </c>
      <c r="G2477" s="8" t="n">
        <v>435098</v>
      </c>
      <c r="H2477" s="8" t="n">
        <v>9935</v>
      </c>
      <c r="I2477" s="8" t="n">
        <v>10195</v>
      </c>
      <c r="J2477" s="8" t="n">
        <v>10215</v>
      </c>
      <c r="K2477" s="8" t="n">
        <v>9895</v>
      </c>
      <c r="L2477" s="8" t="n">
        <v>511604</v>
      </c>
      <c r="M2477" s="8" t="n">
        <v>451668</v>
      </c>
      <c r="N2477" t="inlineStr">
        <is>
          <t>是</t>
        </is>
      </c>
    </row>
    <row r="2478">
      <c r="A2478" s="7" t="inlineStr">
        <is>
          <t>2017-09-14</t>
        </is>
      </c>
      <c r="B2478" s="8" t="n">
        <v>8906</v>
      </c>
      <c r="C2478" s="8" t="n">
        <v>9101</v>
      </c>
      <c r="D2478" s="8" t="n">
        <v>9145</v>
      </c>
      <c r="E2478" s="8" t="n">
        <v>8900</v>
      </c>
      <c r="F2478" s="8" t="n">
        <v>444756</v>
      </c>
      <c r="G2478" s="8" t="n">
        <v>431630</v>
      </c>
      <c r="H2478" s="8" t="n">
        <v>9765</v>
      </c>
      <c r="I2478" s="8" t="n">
        <v>9970</v>
      </c>
      <c r="J2478" s="8" t="n">
        <v>10000</v>
      </c>
      <c r="K2478" s="8" t="n">
        <v>9750</v>
      </c>
      <c r="L2478" s="8" t="n">
        <v>433594</v>
      </c>
      <c r="M2478" s="8" t="n">
        <v>456314</v>
      </c>
      <c r="N2478" t="inlineStr">
        <is>
          <t>是</t>
        </is>
      </c>
    </row>
    <row r="2479">
      <c r="A2479" s="7" t="inlineStr">
        <is>
          <t>2017-09-15</t>
        </is>
      </c>
      <c r="B2479" s="8" t="n">
        <v>8885</v>
      </c>
      <c r="C2479" s="8" t="n">
        <v>8905</v>
      </c>
      <c r="D2479" s="8" t="n">
        <v>8953</v>
      </c>
      <c r="E2479" s="8" t="n">
        <v>8818</v>
      </c>
      <c r="F2479" s="8" t="n">
        <v>406666</v>
      </c>
      <c r="G2479" s="8" t="n">
        <v>430878</v>
      </c>
      <c r="H2479" s="8" t="n">
        <v>9750</v>
      </c>
      <c r="I2479" s="8" t="n">
        <v>9775</v>
      </c>
      <c r="J2479" s="8" t="n">
        <v>9825</v>
      </c>
      <c r="K2479" s="8" t="n">
        <v>9690</v>
      </c>
      <c r="L2479" s="8" t="n">
        <v>419642</v>
      </c>
      <c r="M2479" s="8" t="n">
        <v>447064</v>
      </c>
      <c r="N2479" t="inlineStr">
        <is>
          <t>是</t>
        </is>
      </c>
    </row>
    <row r="2480">
      <c r="A2480" s="7" t="inlineStr">
        <is>
          <t>2017-09-18</t>
        </is>
      </c>
      <c r="B2480" s="8" t="n">
        <v>8913</v>
      </c>
      <c r="C2480" s="8" t="n">
        <v>8880</v>
      </c>
      <c r="D2480" s="8" t="n">
        <v>8960</v>
      </c>
      <c r="E2480" s="8" t="n">
        <v>8730</v>
      </c>
      <c r="F2480" s="8" t="n">
        <v>492438</v>
      </c>
      <c r="G2480" s="8" t="n">
        <v>411166</v>
      </c>
      <c r="H2480" s="8" t="n">
        <v>9790</v>
      </c>
      <c r="I2480" s="8" t="n">
        <v>9710</v>
      </c>
      <c r="J2480" s="8" t="n">
        <v>9860</v>
      </c>
      <c r="K2480" s="8" t="n">
        <v>9635</v>
      </c>
      <c r="L2480" s="8" t="n">
        <v>511100</v>
      </c>
      <c r="M2480" s="8" t="n">
        <v>442800</v>
      </c>
      <c r="N2480" t="inlineStr">
        <is>
          <t>是</t>
        </is>
      </c>
    </row>
    <row r="2481">
      <c r="A2481" s="7" t="inlineStr">
        <is>
          <t>2017-09-19</t>
        </is>
      </c>
      <c r="B2481" s="8" t="n">
        <v>8757</v>
      </c>
      <c r="C2481" s="8" t="n">
        <v>8935</v>
      </c>
      <c r="D2481" s="8" t="n">
        <v>8976</v>
      </c>
      <c r="E2481" s="8" t="n">
        <v>8755</v>
      </c>
      <c r="F2481" s="8" t="n">
        <v>410164</v>
      </c>
      <c r="G2481" s="8" t="n">
        <v>425674</v>
      </c>
      <c r="H2481" s="8" t="n">
        <v>9670</v>
      </c>
      <c r="I2481" s="8" t="n">
        <v>9790</v>
      </c>
      <c r="J2481" s="8" t="n">
        <v>9835</v>
      </c>
      <c r="K2481" s="8" t="n">
        <v>9660</v>
      </c>
      <c r="L2481" s="8" t="n">
        <v>348114</v>
      </c>
      <c r="M2481" s="8" t="n">
        <v>419114</v>
      </c>
      <c r="N2481" t="inlineStr">
        <is>
          <t>是</t>
        </is>
      </c>
    </row>
    <row r="2482">
      <c r="A2482" s="7" t="inlineStr">
        <is>
          <t>2017-09-20</t>
        </is>
      </c>
      <c r="B2482" s="8" t="n">
        <v>8848</v>
      </c>
      <c r="C2482" s="8" t="n">
        <v>8804</v>
      </c>
      <c r="D2482" s="8" t="n">
        <v>8885</v>
      </c>
      <c r="E2482" s="8" t="n">
        <v>8745</v>
      </c>
      <c r="F2482" s="8" t="n">
        <v>460256</v>
      </c>
      <c r="G2482" s="8" t="n">
        <v>426934</v>
      </c>
      <c r="H2482" s="8" t="n">
        <v>9730</v>
      </c>
      <c r="I2482" s="8" t="n">
        <v>9720</v>
      </c>
      <c r="J2482" s="8" t="n">
        <v>9785</v>
      </c>
      <c r="K2482" s="8" t="n">
        <v>9645</v>
      </c>
      <c r="L2482" s="8" t="n">
        <v>419062</v>
      </c>
      <c r="M2482" s="8" t="n">
        <v>436680</v>
      </c>
      <c r="N2482" t="inlineStr">
        <is>
          <t>是</t>
        </is>
      </c>
    </row>
    <row r="2483">
      <c r="A2483" s="7" t="inlineStr">
        <is>
          <t>2017-09-21</t>
        </is>
      </c>
      <c r="B2483" s="8" t="n">
        <v>8610</v>
      </c>
      <c r="C2483" s="8" t="n">
        <v>8830</v>
      </c>
      <c r="D2483" s="8" t="n">
        <v>8836</v>
      </c>
      <c r="E2483" s="8" t="n">
        <v>8600</v>
      </c>
      <c r="F2483" s="8" t="n">
        <v>470834</v>
      </c>
      <c r="G2483" s="8" t="n">
        <v>429442</v>
      </c>
      <c r="H2483" s="8" t="n">
        <v>9520</v>
      </c>
      <c r="I2483" s="8" t="n">
        <v>9705</v>
      </c>
      <c r="J2483" s="8" t="n">
        <v>9710</v>
      </c>
      <c r="K2483" s="8" t="n">
        <v>9485</v>
      </c>
      <c r="L2483" s="8" t="n">
        <v>444992</v>
      </c>
      <c r="M2483" s="8" t="n">
        <v>436282</v>
      </c>
      <c r="N2483" t="inlineStr">
        <is>
          <t>是</t>
        </is>
      </c>
    </row>
    <row r="2484">
      <c r="A2484" s="7" t="inlineStr">
        <is>
          <t>2017-09-22</t>
        </is>
      </c>
      <c r="B2484" s="8" t="n">
        <v>8662</v>
      </c>
      <c r="C2484" s="8" t="n">
        <v>8610</v>
      </c>
      <c r="D2484" s="8" t="n">
        <v>8706</v>
      </c>
      <c r="E2484" s="8" t="n">
        <v>8530</v>
      </c>
      <c r="F2484" s="8" t="n">
        <v>381666</v>
      </c>
      <c r="G2484" s="8" t="n">
        <v>396058</v>
      </c>
      <c r="H2484" s="8" t="n">
        <v>9540</v>
      </c>
      <c r="I2484" s="8" t="n">
        <v>9520</v>
      </c>
      <c r="J2484" s="8" t="n">
        <v>9600</v>
      </c>
      <c r="K2484" s="8" t="n">
        <v>9465</v>
      </c>
      <c r="L2484" s="8" t="n">
        <v>380308</v>
      </c>
      <c r="M2484" s="8" t="n">
        <v>444930</v>
      </c>
      <c r="N2484" t="inlineStr">
        <is>
          <t>是</t>
        </is>
      </c>
    </row>
    <row r="2485">
      <c r="A2485" s="7" t="inlineStr">
        <is>
          <t>2017-09-25</t>
        </is>
      </c>
      <c r="B2485" s="8" t="n">
        <v>8783</v>
      </c>
      <c r="C2485" s="8" t="n">
        <v>8660</v>
      </c>
      <c r="D2485" s="8" t="n">
        <v>8810</v>
      </c>
      <c r="E2485" s="8" t="n">
        <v>8550</v>
      </c>
      <c r="F2485" s="8" t="n">
        <v>555076</v>
      </c>
      <c r="G2485" s="8" t="n">
        <v>412058</v>
      </c>
      <c r="H2485" s="8" t="n">
        <v>9590</v>
      </c>
      <c r="I2485" s="8" t="n">
        <v>9570</v>
      </c>
      <c r="J2485" s="8" t="n">
        <v>9630</v>
      </c>
      <c r="K2485" s="8" t="n">
        <v>9490</v>
      </c>
      <c r="L2485" s="8" t="n">
        <v>419526</v>
      </c>
      <c r="M2485" s="8" t="n">
        <v>427394</v>
      </c>
      <c r="N2485" t="inlineStr">
        <is>
          <t>是</t>
        </is>
      </c>
    </row>
    <row r="2486">
      <c r="A2486" s="7" t="inlineStr">
        <is>
          <t>2017-09-26</t>
        </is>
      </c>
      <c r="B2486" s="8" t="n">
        <v>8843</v>
      </c>
      <c r="C2486" s="8" t="n">
        <v>8810</v>
      </c>
      <c r="D2486" s="8" t="n">
        <v>8863</v>
      </c>
      <c r="E2486" s="8" t="n">
        <v>8746</v>
      </c>
      <c r="F2486" s="8" t="n">
        <v>415396</v>
      </c>
      <c r="G2486" s="8" t="n">
        <v>384158</v>
      </c>
      <c r="H2486" s="8" t="n">
        <v>9670</v>
      </c>
      <c r="I2486" s="8" t="n">
        <v>9645</v>
      </c>
      <c r="J2486" s="8" t="n">
        <v>9695</v>
      </c>
      <c r="K2486" s="8" t="n">
        <v>9555</v>
      </c>
      <c r="L2486" s="8" t="n">
        <v>361064</v>
      </c>
      <c r="M2486" s="8" t="n">
        <v>431670</v>
      </c>
      <c r="N2486" t="inlineStr">
        <is>
          <t>是</t>
        </is>
      </c>
    </row>
    <row r="2487">
      <c r="A2487" s="7" t="inlineStr">
        <is>
          <t>2017-09-27</t>
        </is>
      </c>
      <c r="B2487" s="8" t="n">
        <v>8903</v>
      </c>
      <c r="C2487" s="8" t="n">
        <v>8866</v>
      </c>
      <c r="D2487" s="8" t="n">
        <v>8922</v>
      </c>
      <c r="E2487" s="8" t="n">
        <v>8845</v>
      </c>
      <c r="F2487" s="8" t="n">
        <v>334774</v>
      </c>
      <c r="G2487" s="8" t="n">
        <v>383034</v>
      </c>
      <c r="H2487" s="8" t="n">
        <v>9665</v>
      </c>
      <c r="I2487" s="8" t="n">
        <v>9700</v>
      </c>
      <c r="J2487" s="8" t="n">
        <v>9720</v>
      </c>
      <c r="K2487" s="8" t="n">
        <v>9615</v>
      </c>
      <c r="L2487" s="8" t="n">
        <v>251388</v>
      </c>
      <c r="M2487" s="8" t="n">
        <v>405310</v>
      </c>
      <c r="N2487" t="inlineStr">
        <is>
          <t>是</t>
        </is>
      </c>
    </row>
    <row r="2488">
      <c r="A2488" s="7" t="inlineStr">
        <is>
          <t>2017-09-28</t>
        </is>
      </c>
      <c r="B2488" s="8" t="n">
        <v>8661</v>
      </c>
      <c r="C2488" s="8" t="n">
        <v>8795</v>
      </c>
      <c r="D2488" s="8" t="n">
        <v>8800</v>
      </c>
      <c r="E2488" s="8" t="n">
        <v>8496</v>
      </c>
      <c r="F2488" s="8" t="n">
        <v>642302</v>
      </c>
      <c r="G2488" s="8" t="n">
        <v>372194</v>
      </c>
      <c r="H2488" s="8" t="n">
        <v>9450</v>
      </c>
      <c r="I2488" s="8" t="n">
        <v>9560</v>
      </c>
      <c r="J2488" s="8" t="n">
        <v>9560</v>
      </c>
      <c r="K2488" s="8" t="n">
        <v>9245</v>
      </c>
      <c r="L2488" s="8" t="n">
        <v>614288</v>
      </c>
      <c r="M2488" s="8" t="n">
        <v>394158</v>
      </c>
      <c r="N2488" t="inlineStr">
        <is>
          <t>是</t>
        </is>
      </c>
    </row>
    <row r="2489">
      <c r="A2489" s="7" t="inlineStr">
        <is>
          <t>2017-09-29</t>
        </is>
      </c>
      <c r="B2489" s="8" t="n">
        <v>8858</v>
      </c>
      <c r="C2489" s="8" t="n">
        <v>8726</v>
      </c>
      <c r="D2489" s="8" t="n">
        <v>8858</v>
      </c>
      <c r="E2489" s="8" t="n">
        <v>8675</v>
      </c>
      <c r="F2489" s="8" t="n">
        <v>329084</v>
      </c>
      <c r="G2489" s="8" t="n">
        <v>350240</v>
      </c>
      <c r="H2489" s="8" t="n">
        <v>9510</v>
      </c>
      <c r="I2489" s="8" t="n">
        <v>9485</v>
      </c>
      <c r="J2489" s="8" t="n">
        <v>9540</v>
      </c>
      <c r="K2489" s="8" t="n">
        <v>9410</v>
      </c>
      <c r="L2489" s="8" t="n">
        <v>254664</v>
      </c>
      <c r="M2489" s="8" t="n">
        <v>386506</v>
      </c>
      <c r="N2489" t="inlineStr">
        <is>
          <t>是</t>
        </is>
      </c>
    </row>
    <row r="2490">
      <c r="A2490" s="7" t="inlineStr">
        <is>
          <t>2017-10-09</t>
        </is>
      </c>
      <c r="B2490" s="8" t="n"/>
      <c r="C2490" s="8" t="n"/>
      <c r="D2490" s="8" t="n"/>
      <c r="E2490" s="8" t="n"/>
      <c r="F2490" s="8" t="n"/>
      <c r="G2490" s="8" t="n"/>
      <c r="H2490" s="8" t="n">
        <v>9200</v>
      </c>
      <c r="I2490" s="8" t="n">
        <v>9700</v>
      </c>
      <c r="J2490" s="8" t="n">
        <v>9700</v>
      </c>
      <c r="K2490" s="8" t="n">
        <v>8705</v>
      </c>
      <c r="L2490" s="8" t="n">
        <v>0</v>
      </c>
      <c r="M2490" s="8" t="n">
        <v>4</v>
      </c>
      <c r="N2490" s="9" t="inlineStr">
        <is>
          <t>否</t>
        </is>
      </c>
      <c r="O2490" t="inlineStr">
        <is>
          <t>缺 PP</t>
        </is>
      </c>
    </row>
    <row r="2491">
      <c r="A2491" s="7" t="inlineStr">
        <is>
          <t>2017-10-10</t>
        </is>
      </c>
      <c r="B2491" s="8" t="n">
        <v>8732</v>
      </c>
      <c r="C2491" s="8" t="n">
        <v>8726</v>
      </c>
      <c r="D2491" s="8" t="n">
        <v>8910</v>
      </c>
      <c r="E2491" s="8" t="n">
        <v>8708</v>
      </c>
      <c r="F2491" s="8" t="n">
        <v>513118</v>
      </c>
      <c r="G2491" s="8" t="n">
        <v>380578</v>
      </c>
      <c r="H2491" s="8" t="n">
        <v>9455</v>
      </c>
      <c r="I2491" s="8" t="n">
        <v>9485</v>
      </c>
      <c r="J2491" s="8" t="n">
        <v>9640</v>
      </c>
      <c r="K2491" s="8" t="n">
        <v>9440</v>
      </c>
      <c r="L2491" s="8" t="n">
        <v>428270</v>
      </c>
      <c r="M2491" s="8" t="n">
        <v>406002</v>
      </c>
      <c r="N2491" t="inlineStr">
        <is>
          <t>是</t>
        </is>
      </c>
    </row>
    <row r="2492">
      <c r="A2492" s="7" t="inlineStr">
        <is>
          <t>2017-10-11</t>
        </is>
      </c>
      <c r="B2492" s="8" t="n">
        <v>8662</v>
      </c>
      <c r="C2492" s="8" t="n">
        <v>8770</v>
      </c>
      <c r="D2492" s="8" t="n">
        <v>8780</v>
      </c>
      <c r="E2492" s="8" t="n">
        <v>8630</v>
      </c>
      <c r="F2492" s="8" t="n">
        <v>455062</v>
      </c>
      <c r="G2492" s="8" t="n">
        <v>396628</v>
      </c>
      <c r="H2492" s="8" t="n">
        <v>9365</v>
      </c>
      <c r="I2492" s="8" t="n">
        <v>9515</v>
      </c>
      <c r="J2492" s="8" t="n">
        <v>9520</v>
      </c>
      <c r="K2492" s="8" t="n">
        <v>9355</v>
      </c>
      <c r="L2492" s="8" t="n">
        <v>417942</v>
      </c>
      <c r="M2492" s="8" t="n">
        <v>437754</v>
      </c>
      <c r="N2492" t="inlineStr">
        <is>
          <t>是</t>
        </is>
      </c>
    </row>
    <row r="2493">
      <c r="A2493" s="7" t="inlineStr">
        <is>
          <t>2017-10-12</t>
        </is>
      </c>
      <c r="B2493" s="8" t="n">
        <v>8691</v>
      </c>
      <c r="C2493" s="8" t="n">
        <v>8680</v>
      </c>
      <c r="D2493" s="8" t="n">
        <v>8732</v>
      </c>
      <c r="E2493" s="8" t="n">
        <v>8563</v>
      </c>
      <c r="F2493" s="8" t="n">
        <v>564374</v>
      </c>
      <c r="G2493" s="8" t="n">
        <v>406204</v>
      </c>
      <c r="H2493" s="8" t="n">
        <v>9530</v>
      </c>
      <c r="I2493" s="8" t="n">
        <v>9395</v>
      </c>
      <c r="J2493" s="8" t="n">
        <v>9540</v>
      </c>
      <c r="K2493" s="8" t="n">
        <v>9300</v>
      </c>
      <c r="L2493" s="8" t="n">
        <v>533218</v>
      </c>
      <c r="M2493" s="8" t="n">
        <v>415372</v>
      </c>
      <c r="N2493" t="inlineStr">
        <is>
          <t>是</t>
        </is>
      </c>
    </row>
    <row r="2494">
      <c r="A2494" s="7" t="inlineStr">
        <is>
          <t>2017-10-13</t>
        </is>
      </c>
      <c r="B2494" s="8" t="n">
        <v>8958</v>
      </c>
      <c r="C2494" s="8" t="n">
        <v>8728</v>
      </c>
      <c r="D2494" s="8" t="n">
        <v>8960</v>
      </c>
      <c r="E2494" s="8" t="n">
        <v>8712</v>
      </c>
      <c r="F2494" s="8" t="n">
        <v>563468</v>
      </c>
      <c r="G2494" s="8" t="n">
        <v>406306</v>
      </c>
      <c r="H2494" s="8" t="n">
        <v>9720</v>
      </c>
      <c r="I2494" s="8" t="n">
        <v>9560</v>
      </c>
      <c r="J2494" s="8" t="n">
        <v>9760</v>
      </c>
      <c r="K2494" s="8" t="n">
        <v>9540</v>
      </c>
      <c r="L2494" s="8" t="n">
        <v>519844</v>
      </c>
      <c r="M2494" s="8" t="n">
        <v>408808</v>
      </c>
      <c r="N2494" t="inlineStr">
        <is>
          <t>是</t>
        </is>
      </c>
    </row>
    <row r="2495">
      <c r="A2495" s="7" t="inlineStr">
        <is>
          <t>2017-10-16</t>
        </is>
      </c>
      <c r="B2495" s="8" t="n">
        <v>9110</v>
      </c>
      <c r="C2495" s="8" t="n">
        <v>9000</v>
      </c>
      <c r="D2495" s="8" t="n">
        <v>9122</v>
      </c>
      <c r="E2495" s="8" t="n">
        <v>8910</v>
      </c>
      <c r="F2495" s="8" t="n">
        <v>640360</v>
      </c>
      <c r="G2495" s="8" t="n">
        <v>439822</v>
      </c>
      <c r="H2495" s="8" t="n">
        <v>9795</v>
      </c>
      <c r="I2495" s="8" t="n">
        <v>9760</v>
      </c>
      <c r="J2495" s="8" t="n">
        <v>9810</v>
      </c>
      <c r="K2495" s="8" t="n">
        <v>9665</v>
      </c>
      <c r="L2495" s="8" t="n">
        <v>444784</v>
      </c>
      <c r="M2495" s="8" t="n">
        <v>395494</v>
      </c>
      <c r="N2495" t="inlineStr">
        <is>
          <t>是</t>
        </is>
      </c>
    </row>
    <row r="2496">
      <c r="A2496" s="7" t="inlineStr">
        <is>
          <t>2017-10-17</t>
        </is>
      </c>
      <c r="B2496" s="8" t="n">
        <v>9106</v>
      </c>
      <c r="C2496" s="8" t="n">
        <v>9002</v>
      </c>
      <c r="D2496" s="8" t="n">
        <v>9176</v>
      </c>
      <c r="E2496" s="8" t="n">
        <v>8971</v>
      </c>
      <c r="F2496" s="8" t="n">
        <v>701292</v>
      </c>
      <c r="G2496" s="8" t="n">
        <v>471118</v>
      </c>
      <c r="H2496" s="8" t="n">
        <v>9845</v>
      </c>
      <c r="I2496" s="8" t="n">
        <v>9640</v>
      </c>
      <c r="J2496" s="8" t="n">
        <v>9890</v>
      </c>
      <c r="K2496" s="8" t="n">
        <v>9630</v>
      </c>
      <c r="L2496" s="8" t="n">
        <v>561760</v>
      </c>
      <c r="M2496" s="8" t="n">
        <v>421826</v>
      </c>
      <c r="N2496" t="inlineStr">
        <is>
          <t>是</t>
        </is>
      </c>
    </row>
    <row r="2497">
      <c r="A2497" s="7" t="inlineStr">
        <is>
          <t>2017-10-18</t>
        </is>
      </c>
      <c r="B2497" s="8" t="n">
        <v>9105</v>
      </c>
      <c r="C2497" s="8" t="n">
        <v>9119</v>
      </c>
      <c r="D2497" s="8" t="n">
        <v>9194</v>
      </c>
      <c r="E2497" s="8" t="n">
        <v>9050</v>
      </c>
      <c r="F2497" s="8" t="n">
        <v>481342</v>
      </c>
      <c r="G2497" s="8" t="n">
        <v>467170</v>
      </c>
      <c r="H2497" s="8" t="n">
        <v>9860</v>
      </c>
      <c r="I2497" s="8" t="n">
        <v>9850</v>
      </c>
      <c r="J2497" s="8" t="n">
        <v>9920</v>
      </c>
      <c r="K2497" s="8" t="n">
        <v>9795</v>
      </c>
      <c r="L2497" s="8" t="n">
        <v>322536</v>
      </c>
      <c r="M2497" s="8" t="n">
        <v>387470</v>
      </c>
      <c r="N2497" t="inlineStr">
        <is>
          <t>是</t>
        </is>
      </c>
    </row>
    <row r="2498">
      <c r="A2498" s="7" t="inlineStr">
        <is>
          <t>2017-10-19</t>
        </is>
      </c>
      <c r="B2498" s="8" t="n">
        <v>8854</v>
      </c>
      <c r="C2498" s="8" t="n">
        <v>8990</v>
      </c>
      <c r="D2498" s="8" t="n">
        <v>9030</v>
      </c>
      <c r="E2498" s="8" t="n">
        <v>8795</v>
      </c>
      <c r="F2498" s="8" t="n">
        <v>726994</v>
      </c>
      <c r="G2498" s="8" t="n">
        <v>453288</v>
      </c>
      <c r="H2498" s="8" t="n">
        <v>9690</v>
      </c>
      <c r="I2498" s="8" t="n">
        <v>9805</v>
      </c>
      <c r="J2498" s="8" t="n">
        <v>9810</v>
      </c>
      <c r="K2498" s="8" t="n">
        <v>9620</v>
      </c>
      <c r="L2498" s="8" t="n">
        <v>521722</v>
      </c>
      <c r="M2498" s="8" t="n">
        <v>379216</v>
      </c>
      <c r="N2498" t="inlineStr">
        <is>
          <t>是</t>
        </is>
      </c>
    </row>
    <row r="2499">
      <c r="A2499" s="7" t="inlineStr">
        <is>
          <t>2017-10-20</t>
        </is>
      </c>
      <c r="B2499" s="8" t="n">
        <v>9140</v>
      </c>
      <c r="C2499" s="8" t="n">
        <v>8890</v>
      </c>
      <c r="D2499" s="8" t="n">
        <v>9140</v>
      </c>
      <c r="E2499" s="8" t="n">
        <v>8842</v>
      </c>
      <c r="F2499" s="8" t="n">
        <v>606714</v>
      </c>
      <c r="G2499" s="8" t="n">
        <v>444410</v>
      </c>
      <c r="H2499" s="8" t="n">
        <v>9940</v>
      </c>
      <c r="I2499" s="8" t="n">
        <v>9715</v>
      </c>
      <c r="J2499" s="8" t="n">
        <v>9955</v>
      </c>
      <c r="K2499" s="8" t="n">
        <v>9665</v>
      </c>
      <c r="L2499" s="8" t="n">
        <v>504616</v>
      </c>
      <c r="M2499" s="8" t="n">
        <v>394622</v>
      </c>
      <c r="N2499" t="inlineStr">
        <is>
          <t>是</t>
        </is>
      </c>
    </row>
    <row r="2500">
      <c r="A2500" s="7" t="inlineStr">
        <is>
          <t>2017-10-23</t>
        </is>
      </c>
      <c r="B2500" s="8" t="n">
        <v>9068</v>
      </c>
      <c r="C2500" s="8" t="n">
        <v>9080</v>
      </c>
      <c r="D2500" s="8" t="n">
        <v>9155</v>
      </c>
      <c r="E2500" s="8" t="n">
        <v>9026</v>
      </c>
      <c r="F2500" s="8" t="n">
        <v>494648</v>
      </c>
      <c r="G2500" s="8" t="n">
        <v>458502</v>
      </c>
      <c r="H2500" s="8" t="n">
        <v>9850</v>
      </c>
      <c r="I2500" s="8" t="n">
        <v>9870</v>
      </c>
      <c r="J2500" s="8" t="n">
        <v>9920</v>
      </c>
      <c r="K2500" s="8" t="n">
        <v>9800</v>
      </c>
      <c r="L2500" s="8" t="n">
        <v>391406</v>
      </c>
      <c r="M2500" s="8" t="n">
        <v>392952</v>
      </c>
      <c r="N2500" t="inlineStr">
        <is>
          <t>是</t>
        </is>
      </c>
    </row>
    <row r="2501">
      <c r="A2501" s="7" t="inlineStr">
        <is>
          <t>2017-10-24</t>
        </is>
      </c>
      <c r="B2501" s="8" t="n">
        <v>9057</v>
      </c>
      <c r="C2501" s="8" t="n">
        <v>9098</v>
      </c>
      <c r="D2501" s="8" t="n">
        <v>9160</v>
      </c>
      <c r="E2501" s="8" t="n">
        <v>8989</v>
      </c>
      <c r="F2501" s="8" t="n">
        <v>542638</v>
      </c>
      <c r="G2501" s="8" t="n">
        <v>445070</v>
      </c>
      <c r="H2501" s="8" t="n">
        <v>9835</v>
      </c>
      <c r="I2501" s="8" t="n">
        <v>9870</v>
      </c>
      <c r="J2501" s="8" t="n">
        <v>9930</v>
      </c>
      <c r="K2501" s="8" t="n">
        <v>9820</v>
      </c>
      <c r="L2501" s="8" t="n">
        <v>349344</v>
      </c>
      <c r="M2501" s="8" t="n">
        <v>387848</v>
      </c>
      <c r="N2501" t="inlineStr">
        <is>
          <t>是</t>
        </is>
      </c>
    </row>
    <row r="2502">
      <c r="A2502" s="7" t="inlineStr">
        <is>
          <t>2017-10-25</t>
        </is>
      </c>
      <c r="B2502" s="8" t="n">
        <v>9005</v>
      </c>
      <c r="C2502" s="8" t="n">
        <v>9097</v>
      </c>
      <c r="D2502" s="8" t="n">
        <v>9168</v>
      </c>
      <c r="E2502" s="8" t="n">
        <v>8960</v>
      </c>
      <c r="F2502" s="8" t="n">
        <v>612254</v>
      </c>
      <c r="G2502" s="8" t="n">
        <v>446442</v>
      </c>
      <c r="H2502" s="8" t="n">
        <v>9885</v>
      </c>
      <c r="I2502" s="8" t="n">
        <v>9860</v>
      </c>
      <c r="J2502" s="8" t="n">
        <v>9915</v>
      </c>
      <c r="K2502" s="8" t="n">
        <v>9790</v>
      </c>
      <c r="L2502" s="8" t="n">
        <v>404290</v>
      </c>
      <c r="M2502" s="8" t="n">
        <v>403368</v>
      </c>
      <c r="N2502" t="inlineStr">
        <is>
          <t>是</t>
        </is>
      </c>
    </row>
    <row r="2503">
      <c r="A2503" s="7" t="inlineStr">
        <is>
          <t>2017-10-26</t>
        </is>
      </c>
      <c r="B2503" s="8" t="n">
        <v>8859</v>
      </c>
      <c r="C2503" s="8" t="n">
        <v>9000</v>
      </c>
      <c r="D2503" s="8" t="n">
        <v>9061</v>
      </c>
      <c r="E2503" s="8" t="n">
        <v>8856</v>
      </c>
      <c r="F2503" s="8" t="n">
        <v>564134</v>
      </c>
      <c r="G2503" s="8" t="n">
        <v>421860</v>
      </c>
      <c r="H2503" s="8" t="n">
        <v>9760</v>
      </c>
      <c r="I2503" s="8" t="n">
        <v>9870</v>
      </c>
      <c r="J2503" s="8" t="n">
        <v>9980</v>
      </c>
      <c r="K2503" s="8" t="n">
        <v>9740</v>
      </c>
      <c r="L2503" s="8" t="n">
        <v>520804</v>
      </c>
      <c r="M2503" s="8" t="n">
        <v>393778</v>
      </c>
      <c r="N2503" t="inlineStr">
        <is>
          <t>是</t>
        </is>
      </c>
    </row>
    <row r="2504">
      <c r="A2504" s="7" t="inlineStr">
        <is>
          <t>2017-10-27</t>
        </is>
      </c>
      <c r="B2504" s="8" t="n">
        <v>8764</v>
      </c>
      <c r="C2504" s="8" t="n">
        <v>8888</v>
      </c>
      <c r="D2504" s="8" t="n">
        <v>8918</v>
      </c>
      <c r="E2504" s="8" t="n">
        <v>8731</v>
      </c>
      <c r="F2504" s="8" t="n">
        <v>570604</v>
      </c>
      <c r="G2504" s="8" t="n">
        <v>437836</v>
      </c>
      <c r="H2504" s="8" t="n">
        <v>9610</v>
      </c>
      <c r="I2504" s="8" t="n">
        <v>9780</v>
      </c>
      <c r="J2504" s="8" t="n">
        <v>9805</v>
      </c>
      <c r="K2504" s="8" t="n">
        <v>9590</v>
      </c>
      <c r="L2504" s="8" t="n">
        <v>418120</v>
      </c>
      <c r="M2504" s="8" t="n">
        <v>363920</v>
      </c>
      <c r="N2504" t="inlineStr">
        <is>
          <t>是</t>
        </is>
      </c>
    </row>
    <row r="2505">
      <c r="A2505" s="7" t="inlineStr">
        <is>
          <t>2017-10-30</t>
        </is>
      </c>
      <c r="B2505" s="8" t="n">
        <v>8765</v>
      </c>
      <c r="C2505" s="8" t="n">
        <v>8790</v>
      </c>
      <c r="D2505" s="8" t="n">
        <v>8824</v>
      </c>
      <c r="E2505" s="8" t="n">
        <v>8750</v>
      </c>
      <c r="F2505" s="8" t="n">
        <v>360292</v>
      </c>
      <c r="G2505" s="8" t="n">
        <v>412588</v>
      </c>
      <c r="H2505" s="8" t="n">
        <v>9595</v>
      </c>
      <c r="I2505" s="8" t="n">
        <v>9630</v>
      </c>
      <c r="J2505" s="8" t="n">
        <v>9670</v>
      </c>
      <c r="K2505" s="8" t="n">
        <v>9565</v>
      </c>
      <c r="L2505" s="8" t="n">
        <v>314930</v>
      </c>
      <c r="M2505" s="8" t="n">
        <v>365264</v>
      </c>
      <c r="N2505" t="inlineStr">
        <is>
          <t>是</t>
        </is>
      </c>
    </row>
    <row r="2506">
      <c r="A2506" s="7" t="inlineStr">
        <is>
          <t>2017-10-31</t>
        </is>
      </c>
      <c r="B2506" s="8" t="n">
        <v>8678</v>
      </c>
      <c r="C2506" s="8" t="n">
        <v>8780</v>
      </c>
      <c r="D2506" s="8" t="n">
        <v>8780</v>
      </c>
      <c r="E2506" s="8" t="n">
        <v>8625</v>
      </c>
      <c r="F2506" s="8" t="n">
        <v>436256</v>
      </c>
      <c r="G2506" s="8" t="n">
        <v>416642</v>
      </c>
      <c r="H2506" s="8" t="n">
        <v>9510</v>
      </c>
      <c r="I2506" s="8" t="n">
        <v>9595</v>
      </c>
      <c r="J2506" s="8" t="n">
        <v>9595</v>
      </c>
      <c r="K2506" s="8" t="n">
        <v>9450</v>
      </c>
      <c r="L2506" s="8" t="n">
        <v>311812</v>
      </c>
      <c r="M2506" s="8" t="n">
        <v>371344</v>
      </c>
      <c r="N2506" t="inlineStr">
        <is>
          <t>是</t>
        </is>
      </c>
    </row>
    <row r="2507">
      <c r="A2507" s="7" t="inlineStr">
        <is>
          <t>2017-11-01</t>
        </is>
      </c>
      <c r="B2507" s="8" t="n">
        <v>8677</v>
      </c>
      <c r="C2507" s="8" t="n">
        <v>8660</v>
      </c>
      <c r="D2507" s="8" t="n">
        <v>8890</v>
      </c>
      <c r="E2507" s="8" t="n">
        <v>8652</v>
      </c>
      <c r="F2507" s="8" t="n">
        <v>457284</v>
      </c>
      <c r="G2507" s="8" t="n">
        <v>424968</v>
      </c>
      <c r="H2507" s="8" t="n">
        <v>9485</v>
      </c>
      <c r="I2507" s="8" t="n">
        <v>9530</v>
      </c>
      <c r="J2507" s="8" t="n">
        <v>9625</v>
      </c>
      <c r="K2507" s="8" t="n">
        <v>9470</v>
      </c>
      <c r="L2507" s="8" t="n">
        <v>319416</v>
      </c>
      <c r="M2507" s="8" t="n">
        <v>379322</v>
      </c>
      <c r="N2507" t="inlineStr">
        <is>
          <t>是</t>
        </is>
      </c>
    </row>
    <row r="2508">
      <c r="A2508" s="7" t="inlineStr">
        <is>
          <t>2017-11-02</t>
        </is>
      </c>
      <c r="B2508" s="8" t="n">
        <v>8815</v>
      </c>
      <c r="C2508" s="8" t="n">
        <v>8790</v>
      </c>
      <c r="D2508" s="8" t="n">
        <v>8830</v>
      </c>
      <c r="E2508" s="8" t="n">
        <v>8695</v>
      </c>
      <c r="F2508" s="8" t="n">
        <v>543936</v>
      </c>
      <c r="G2508" s="8" t="n">
        <v>406710</v>
      </c>
      <c r="H2508" s="8" t="n">
        <v>9645</v>
      </c>
      <c r="I2508" s="8" t="n">
        <v>9570</v>
      </c>
      <c r="J2508" s="8" t="n">
        <v>9665</v>
      </c>
      <c r="K2508" s="8" t="n">
        <v>9525</v>
      </c>
      <c r="L2508" s="8" t="n">
        <v>401758</v>
      </c>
      <c r="M2508" s="8" t="n">
        <v>376274</v>
      </c>
      <c r="N2508" t="inlineStr">
        <is>
          <t>是</t>
        </is>
      </c>
    </row>
    <row r="2509">
      <c r="A2509" s="7" t="inlineStr">
        <is>
          <t>2017-11-03</t>
        </is>
      </c>
      <c r="B2509" s="8" t="n">
        <v>8960</v>
      </c>
      <c r="C2509" s="8" t="n">
        <v>8838</v>
      </c>
      <c r="D2509" s="8" t="n">
        <v>8971</v>
      </c>
      <c r="E2509" s="8" t="n">
        <v>8804</v>
      </c>
      <c r="F2509" s="8" t="n">
        <v>565870</v>
      </c>
      <c r="G2509" s="8" t="n">
        <v>407296</v>
      </c>
      <c r="H2509" s="8" t="n">
        <v>9715</v>
      </c>
      <c r="I2509" s="8" t="n">
        <v>9660</v>
      </c>
      <c r="J2509" s="8" t="n">
        <v>9760</v>
      </c>
      <c r="K2509" s="8" t="n">
        <v>9630</v>
      </c>
      <c r="L2509" s="8" t="n">
        <v>428156</v>
      </c>
      <c r="M2509" s="8" t="n">
        <v>370654</v>
      </c>
      <c r="N2509" t="inlineStr">
        <is>
          <t>是</t>
        </is>
      </c>
    </row>
    <row r="2510">
      <c r="A2510" s="7" t="inlineStr">
        <is>
          <t>2017-11-06</t>
        </is>
      </c>
      <c r="B2510" s="8" t="n">
        <v>9105</v>
      </c>
      <c r="C2510" s="8" t="n">
        <v>9050</v>
      </c>
      <c r="D2510" s="8" t="n">
        <v>9112</v>
      </c>
      <c r="E2510" s="8" t="n">
        <v>9000</v>
      </c>
      <c r="F2510" s="8" t="n">
        <v>413498</v>
      </c>
      <c r="G2510" s="8" t="n">
        <v>374102</v>
      </c>
      <c r="H2510" s="8" t="n">
        <v>9870</v>
      </c>
      <c r="I2510" s="8" t="n">
        <v>9780</v>
      </c>
      <c r="J2510" s="8" t="n">
        <v>9880</v>
      </c>
      <c r="K2510" s="8" t="n">
        <v>9760</v>
      </c>
      <c r="L2510" s="8" t="n">
        <v>355534</v>
      </c>
      <c r="M2510" s="8" t="n">
        <v>348606</v>
      </c>
      <c r="N2510" t="inlineStr">
        <is>
          <t>是</t>
        </is>
      </c>
    </row>
    <row r="2511">
      <c r="A2511" s="7" t="inlineStr">
        <is>
          <t>2017-11-07</t>
        </is>
      </c>
      <c r="B2511" s="8" t="n">
        <v>9156</v>
      </c>
      <c r="C2511" s="8" t="n">
        <v>9133</v>
      </c>
      <c r="D2511" s="8" t="n">
        <v>9188</v>
      </c>
      <c r="E2511" s="8" t="n">
        <v>9070</v>
      </c>
      <c r="F2511" s="8" t="n">
        <v>392528</v>
      </c>
      <c r="G2511" s="8" t="n">
        <v>406336</v>
      </c>
      <c r="H2511" s="8" t="n">
        <v>9885</v>
      </c>
      <c r="I2511" s="8" t="n">
        <v>9895</v>
      </c>
      <c r="J2511" s="8" t="n">
        <v>9930</v>
      </c>
      <c r="K2511" s="8" t="n">
        <v>9805</v>
      </c>
      <c r="L2511" s="8" t="n">
        <v>286624</v>
      </c>
      <c r="M2511" s="8" t="n">
        <v>366962</v>
      </c>
      <c r="N2511" t="inlineStr">
        <is>
          <t>是</t>
        </is>
      </c>
    </row>
    <row r="2512">
      <c r="A2512" s="7" t="inlineStr">
        <is>
          <t>2017-11-08</t>
        </is>
      </c>
      <c r="B2512" s="8" t="n">
        <v>9191</v>
      </c>
      <c r="C2512" s="8" t="n">
        <v>9108</v>
      </c>
      <c r="D2512" s="8" t="n">
        <v>9250</v>
      </c>
      <c r="E2512" s="8" t="n">
        <v>9085</v>
      </c>
      <c r="F2512" s="8" t="n">
        <v>525508</v>
      </c>
      <c r="G2512" s="8" t="n">
        <v>412532</v>
      </c>
      <c r="H2512" s="8" t="n">
        <v>9850</v>
      </c>
      <c r="I2512" s="8" t="n">
        <v>9835</v>
      </c>
      <c r="J2512" s="8" t="n">
        <v>9925</v>
      </c>
      <c r="K2512" s="8" t="n">
        <v>9830</v>
      </c>
      <c r="L2512" s="8" t="n">
        <v>276708</v>
      </c>
      <c r="M2512" s="8" t="n">
        <v>356612</v>
      </c>
      <c r="N2512" t="inlineStr">
        <is>
          <t>是</t>
        </is>
      </c>
    </row>
    <row r="2513">
      <c r="A2513" s="7" t="inlineStr">
        <is>
          <t>2017-11-09</t>
        </is>
      </c>
      <c r="B2513" s="8" t="n">
        <v>9206</v>
      </c>
      <c r="C2513" s="8" t="n">
        <v>9236</v>
      </c>
      <c r="D2513" s="8" t="n">
        <v>9346</v>
      </c>
      <c r="E2513" s="8" t="n">
        <v>9125</v>
      </c>
      <c r="F2513" s="8" t="n">
        <v>510450</v>
      </c>
      <c r="G2513" s="8" t="n">
        <v>411994</v>
      </c>
      <c r="H2513" s="8" t="n">
        <v>9915</v>
      </c>
      <c r="I2513" s="8" t="n">
        <v>9880</v>
      </c>
      <c r="J2513" s="8" t="n">
        <v>10015</v>
      </c>
      <c r="K2513" s="8" t="n">
        <v>9845</v>
      </c>
      <c r="L2513" s="8" t="n">
        <v>454888</v>
      </c>
      <c r="M2513" s="8" t="n">
        <v>357682</v>
      </c>
      <c r="N2513" t="inlineStr">
        <is>
          <t>是</t>
        </is>
      </c>
    </row>
    <row r="2514">
      <c r="A2514" s="7" t="inlineStr">
        <is>
          <t>2017-11-10</t>
        </is>
      </c>
      <c r="B2514" s="8" t="n">
        <v>9077</v>
      </c>
      <c r="C2514" s="8" t="n">
        <v>9230</v>
      </c>
      <c r="D2514" s="8" t="n">
        <v>9258</v>
      </c>
      <c r="E2514" s="8" t="n">
        <v>9038</v>
      </c>
      <c r="F2514" s="8" t="n">
        <v>475216</v>
      </c>
      <c r="G2514" s="8" t="n">
        <v>402410</v>
      </c>
      <c r="H2514" s="8" t="n">
        <v>9810</v>
      </c>
      <c r="I2514" s="8" t="n">
        <v>9930</v>
      </c>
      <c r="J2514" s="8" t="n">
        <v>9955</v>
      </c>
      <c r="K2514" s="8" t="n">
        <v>9775</v>
      </c>
      <c r="L2514" s="8" t="n">
        <v>420064</v>
      </c>
      <c r="M2514" s="8" t="n">
        <v>345994</v>
      </c>
      <c r="N2514" t="inlineStr">
        <is>
          <t>是</t>
        </is>
      </c>
    </row>
    <row r="2515">
      <c r="A2515" s="7" t="inlineStr">
        <is>
          <t>2017-11-13</t>
        </is>
      </c>
      <c r="B2515" s="8" t="n">
        <v>9181</v>
      </c>
      <c r="C2515" s="8" t="n">
        <v>9061</v>
      </c>
      <c r="D2515" s="8" t="n">
        <v>9200</v>
      </c>
      <c r="E2515" s="8" t="n">
        <v>9027</v>
      </c>
      <c r="F2515" s="8" t="n">
        <v>459500</v>
      </c>
      <c r="G2515" s="8" t="n">
        <v>412104</v>
      </c>
      <c r="H2515" s="8" t="n">
        <v>9845</v>
      </c>
      <c r="I2515" s="8" t="n">
        <v>9815</v>
      </c>
      <c r="J2515" s="8" t="n">
        <v>9850</v>
      </c>
      <c r="K2515" s="8" t="n">
        <v>9715</v>
      </c>
      <c r="L2515" s="8" t="n">
        <v>355744</v>
      </c>
      <c r="M2515" s="8" t="n">
        <v>345982</v>
      </c>
      <c r="N2515" t="inlineStr">
        <is>
          <t>是</t>
        </is>
      </c>
    </row>
    <row r="2516">
      <c r="A2516" s="7" t="inlineStr">
        <is>
          <t>2017-11-14</t>
        </is>
      </c>
      <c r="B2516" s="8" t="n">
        <v>9097</v>
      </c>
      <c r="C2516" s="8" t="n">
        <v>9200</v>
      </c>
      <c r="D2516" s="8" t="n">
        <v>9220</v>
      </c>
      <c r="E2516" s="8" t="n">
        <v>9045</v>
      </c>
      <c r="F2516" s="8" t="n">
        <v>416250</v>
      </c>
      <c r="G2516" s="8" t="n">
        <v>384012</v>
      </c>
      <c r="H2516" s="8" t="n">
        <v>9805</v>
      </c>
      <c r="I2516" s="8" t="n">
        <v>9860</v>
      </c>
      <c r="J2516" s="8" t="n">
        <v>9890</v>
      </c>
      <c r="K2516" s="8" t="n">
        <v>9765</v>
      </c>
      <c r="L2516" s="8" t="n">
        <v>297436</v>
      </c>
      <c r="M2516" s="8" t="n">
        <v>336644</v>
      </c>
      <c r="N2516" t="inlineStr">
        <is>
          <t>是</t>
        </is>
      </c>
    </row>
    <row r="2517">
      <c r="A2517" s="7" t="inlineStr">
        <is>
          <t>2017-11-15</t>
        </is>
      </c>
      <c r="B2517" s="8" t="n">
        <v>8921</v>
      </c>
      <c r="C2517" s="8" t="n">
        <v>8900</v>
      </c>
      <c r="D2517" s="8" t="n">
        <v>8979</v>
      </c>
      <c r="E2517" s="8" t="n">
        <v>8795</v>
      </c>
      <c r="F2517" s="8" t="n">
        <v>507818</v>
      </c>
      <c r="G2517" s="8" t="n">
        <v>353400</v>
      </c>
      <c r="H2517" s="8" t="n">
        <v>9660</v>
      </c>
      <c r="I2517" s="8" t="n">
        <v>9605</v>
      </c>
      <c r="J2517" s="8" t="n">
        <v>9735</v>
      </c>
      <c r="K2517" s="8" t="n">
        <v>9565</v>
      </c>
      <c r="L2517" s="8" t="n">
        <v>430140</v>
      </c>
      <c r="M2517" s="8" t="n">
        <v>312728</v>
      </c>
      <c r="N2517" t="inlineStr">
        <is>
          <t>是</t>
        </is>
      </c>
    </row>
    <row r="2518">
      <c r="A2518" s="7" t="inlineStr">
        <is>
          <t>2017-11-16</t>
        </is>
      </c>
      <c r="B2518" s="8" t="n">
        <v>8873</v>
      </c>
      <c r="C2518" s="8" t="n">
        <v>8922</v>
      </c>
      <c r="D2518" s="8" t="n">
        <v>8970</v>
      </c>
      <c r="E2518" s="8" t="n">
        <v>8844</v>
      </c>
      <c r="F2518" s="8" t="n">
        <v>406500</v>
      </c>
      <c r="G2518" s="8" t="n">
        <v>337464</v>
      </c>
      <c r="H2518" s="8" t="n">
        <v>9555</v>
      </c>
      <c r="I2518" s="8" t="n">
        <v>9685</v>
      </c>
      <c r="J2518" s="8" t="n">
        <v>9690</v>
      </c>
      <c r="K2518" s="8" t="n">
        <v>9535</v>
      </c>
      <c r="L2518" s="8" t="n">
        <v>306992</v>
      </c>
      <c r="M2518" s="8" t="n">
        <v>318174</v>
      </c>
      <c r="N2518" t="inlineStr">
        <is>
          <t>是</t>
        </is>
      </c>
    </row>
    <row r="2519">
      <c r="A2519" s="7" t="inlineStr">
        <is>
          <t>2017-11-17</t>
        </is>
      </c>
      <c r="B2519" s="8" t="n">
        <v>9060</v>
      </c>
      <c r="C2519" s="8" t="n">
        <v>8864</v>
      </c>
      <c r="D2519" s="8" t="n">
        <v>9078</v>
      </c>
      <c r="E2519" s="8" t="n">
        <v>8830</v>
      </c>
      <c r="F2519" s="8" t="n">
        <v>527044</v>
      </c>
      <c r="G2519" s="8" t="n">
        <v>358478</v>
      </c>
      <c r="H2519" s="8" t="n">
        <v>9620</v>
      </c>
      <c r="I2519" s="8" t="n">
        <v>9535</v>
      </c>
      <c r="J2519" s="8" t="n">
        <v>9635</v>
      </c>
      <c r="K2519" s="8" t="n">
        <v>9505</v>
      </c>
      <c r="L2519" s="8" t="n">
        <v>325944</v>
      </c>
      <c r="M2519" s="8" t="n">
        <v>296580</v>
      </c>
      <c r="N2519" t="inlineStr">
        <is>
          <t>是</t>
        </is>
      </c>
    </row>
    <row r="2520">
      <c r="A2520" s="7" t="inlineStr">
        <is>
          <t>2017-11-20</t>
        </is>
      </c>
      <c r="B2520" s="8" t="n">
        <v>9155</v>
      </c>
      <c r="C2520" s="8" t="n">
        <v>9086</v>
      </c>
      <c r="D2520" s="8" t="n">
        <v>9166</v>
      </c>
      <c r="E2520" s="8" t="n">
        <v>8995</v>
      </c>
      <c r="F2520" s="8" t="n">
        <v>408884</v>
      </c>
      <c r="G2520" s="8" t="n">
        <v>360206</v>
      </c>
      <c r="H2520" s="8" t="n">
        <v>9705</v>
      </c>
      <c r="I2520" s="8" t="n">
        <v>9650</v>
      </c>
      <c r="J2520" s="8" t="n">
        <v>9750</v>
      </c>
      <c r="K2520" s="8" t="n">
        <v>9580</v>
      </c>
      <c r="L2520" s="8" t="n">
        <v>318018</v>
      </c>
      <c r="M2520" s="8" t="n">
        <v>295884</v>
      </c>
      <c r="N2520" t="inlineStr">
        <is>
          <t>是</t>
        </is>
      </c>
    </row>
    <row r="2521">
      <c r="A2521" s="7" t="inlineStr">
        <is>
          <t>2017-11-21</t>
        </is>
      </c>
      <c r="B2521" s="8" t="n">
        <v>9191</v>
      </c>
      <c r="C2521" s="8" t="n">
        <v>9181</v>
      </c>
      <c r="D2521" s="8" t="n">
        <v>9226</v>
      </c>
      <c r="E2521" s="8" t="n">
        <v>9146</v>
      </c>
      <c r="F2521" s="8" t="n">
        <v>323314</v>
      </c>
      <c r="G2521" s="8" t="n">
        <v>362190</v>
      </c>
      <c r="H2521" s="8" t="n">
        <v>9780</v>
      </c>
      <c r="I2521" s="8" t="n">
        <v>9705</v>
      </c>
      <c r="J2521" s="8" t="n">
        <v>9800</v>
      </c>
      <c r="K2521" s="8" t="n">
        <v>9705</v>
      </c>
      <c r="L2521" s="8" t="n">
        <v>236484</v>
      </c>
      <c r="M2521" s="8" t="n">
        <v>288014</v>
      </c>
      <c r="N2521" t="inlineStr">
        <is>
          <t>是</t>
        </is>
      </c>
    </row>
    <row r="2522">
      <c r="A2522" s="7" t="inlineStr">
        <is>
          <t>2017-11-22</t>
        </is>
      </c>
      <c r="B2522" s="8" t="n">
        <v>9218</v>
      </c>
      <c r="C2522" s="8" t="n">
        <v>9240</v>
      </c>
      <c r="D2522" s="8" t="n">
        <v>9265</v>
      </c>
      <c r="E2522" s="8" t="n">
        <v>9097</v>
      </c>
      <c r="F2522" s="8" t="n">
        <v>370478</v>
      </c>
      <c r="G2522" s="8" t="n">
        <v>360890</v>
      </c>
      <c r="H2522" s="8" t="n">
        <v>9825</v>
      </c>
      <c r="I2522" s="8" t="n">
        <v>9805</v>
      </c>
      <c r="J2522" s="8" t="n">
        <v>9855</v>
      </c>
      <c r="K2522" s="8" t="n">
        <v>9720</v>
      </c>
      <c r="L2522" s="8" t="n">
        <v>289188</v>
      </c>
      <c r="M2522" s="8" t="n">
        <v>285618</v>
      </c>
      <c r="N2522" t="inlineStr">
        <is>
          <t>是</t>
        </is>
      </c>
    </row>
    <row r="2523">
      <c r="A2523" s="7" t="inlineStr">
        <is>
          <t>2017-11-23</t>
        </is>
      </c>
      <c r="B2523" s="8" t="n">
        <v>9143</v>
      </c>
      <c r="C2523" s="8" t="n">
        <v>9233</v>
      </c>
      <c r="D2523" s="8" t="n">
        <v>9310</v>
      </c>
      <c r="E2523" s="8" t="n">
        <v>9125</v>
      </c>
      <c r="F2523" s="8" t="n">
        <v>375072</v>
      </c>
      <c r="G2523" s="8" t="n">
        <v>337648</v>
      </c>
      <c r="H2523" s="8" t="n">
        <v>9725</v>
      </c>
      <c r="I2523" s="8" t="n">
        <v>9855</v>
      </c>
      <c r="J2523" s="8" t="n">
        <v>9905</v>
      </c>
      <c r="K2523" s="8" t="n">
        <v>9675</v>
      </c>
      <c r="L2523" s="8" t="n">
        <v>264342</v>
      </c>
      <c r="M2523" s="8" t="n">
        <v>274848</v>
      </c>
      <c r="N2523" t="inlineStr">
        <is>
          <t>是</t>
        </is>
      </c>
    </row>
    <row r="2524">
      <c r="A2524" s="7" t="inlineStr">
        <is>
          <t>2017-11-24</t>
        </is>
      </c>
      <c r="B2524" s="8" t="n">
        <v>9190</v>
      </c>
      <c r="C2524" s="8" t="n">
        <v>9163</v>
      </c>
      <c r="D2524" s="8" t="n">
        <v>9251</v>
      </c>
      <c r="E2524" s="8" t="n">
        <v>9150</v>
      </c>
      <c r="F2524" s="8" t="n">
        <v>276732</v>
      </c>
      <c r="G2524" s="8" t="n">
        <v>342214</v>
      </c>
      <c r="H2524" s="8" t="n">
        <v>9780</v>
      </c>
      <c r="I2524" s="8" t="n">
        <v>9745</v>
      </c>
      <c r="J2524" s="8" t="n">
        <v>9795</v>
      </c>
      <c r="K2524" s="8" t="n">
        <v>9705</v>
      </c>
      <c r="L2524" s="8" t="n">
        <v>175288</v>
      </c>
      <c r="M2524" s="8" t="n">
        <v>264334</v>
      </c>
      <c r="N2524" t="inlineStr">
        <is>
          <t>是</t>
        </is>
      </c>
    </row>
    <row r="2525">
      <c r="A2525" s="7" t="inlineStr">
        <is>
          <t>2017-11-27</t>
        </is>
      </c>
      <c r="B2525" s="8" t="n">
        <v>8910</v>
      </c>
      <c r="C2525" s="8" t="n">
        <v>9227</v>
      </c>
      <c r="D2525" s="8" t="n">
        <v>9338</v>
      </c>
      <c r="E2525" s="8" t="n">
        <v>8904</v>
      </c>
      <c r="F2525" s="8" t="n">
        <v>578808</v>
      </c>
      <c r="G2525" s="8" t="n">
        <v>302536</v>
      </c>
      <c r="H2525" s="8" t="n">
        <v>9530</v>
      </c>
      <c r="I2525" s="8" t="n">
        <v>9790</v>
      </c>
      <c r="J2525" s="8" t="n">
        <v>9895</v>
      </c>
      <c r="K2525" s="8" t="n">
        <v>9500</v>
      </c>
      <c r="L2525" s="8" t="n">
        <v>436782</v>
      </c>
      <c r="M2525" s="8" t="n">
        <v>243910</v>
      </c>
      <c r="N2525" t="inlineStr">
        <is>
          <t>是</t>
        </is>
      </c>
    </row>
    <row r="2526">
      <c r="A2526" s="7" t="inlineStr">
        <is>
          <t>2017-11-28</t>
        </is>
      </c>
      <c r="B2526" s="8" t="n">
        <v>8855</v>
      </c>
      <c r="C2526" s="8" t="n">
        <v>8910</v>
      </c>
      <c r="D2526" s="8" t="n">
        <v>8944</v>
      </c>
      <c r="E2526" s="8" t="n">
        <v>8855</v>
      </c>
      <c r="F2526" s="8" t="n">
        <v>292702</v>
      </c>
      <c r="G2526" s="8" t="n">
        <v>272930</v>
      </c>
      <c r="H2526" s="8" t="n">
        <v>9375</v>
      </c>
      <c r="I2526" s="8" t="n">
        <v>9405</v>
      </c>
      <c r="J2526" s="8" t="n">
        <v>9480</v>
      </c>
      <c r="K2526" s="8" t="n">
        <v>9350</v>
      </c>
      <c r="L2526" s="8" t="n">
        <v>209552</v>
      </c>
      <c r="M2526" s="8" t="n">
        <v>281294</v>
      </c>
      <c r="N2526" t="inlineStr">
        <is>
          <t>是</t>
        </is>
      </c>
    </row>
    <row r="2527">
      <c r="A2527" s="7" t="inlineStr">
        <is>
          <t>2017-11-29</t>
        </is>
      </c>
      <c r="B2527" s="8" t="n">
        <v>8893</v>
      </c>
      <c r="C2527" s="8" t="n">
        <v>8848</v>
      </c>
      <c r="D2527" s="8" t="n">
        <v>8957</v>
      </c>
      <c r="E2527" s="8" t="n">
        <v>8836</v>
      </c>
      <c r="F2527" s="8" t="n">
        <v>272086</v>
      </c>
      <c r="G2527" s="8" t="n">
        <v>257364</v>
      </c>
      <c r="H2527" s="8" t="n">
        <v>9435</v>
      </c>
      <c r="I2527" s="8" t="n">
        <v>9370</v>
      </c>
      <c r="J2527" s="8" t="n">
        <v>9515</v>
      </c>
      <c r="K2527" s="8" t="n">
        <v>9360</v>
      </c>
      <c r="L2527" s="8" t="n">
        <v>231444</v>
      </c>
      <c r="M2527" s="8" t="n">
        <v>314848</v>
      </c>
      <c r="N2527" t="inlineStr">
        <is>
          <t>是</t>
        </is>
      </c>
    </row>
    <row r="2528">
      <c r="A2528" s="7" t="inlineStr">
        <is>
          <t>2017-11-30</t>
        </is>
      </c>
      <c r="B2528" s="8" t="n">
        <v>8865</v>
      </c>
      <c r="C2528" s="8" t="n">
        <v>8950</v>
      </c>
      <c r="D2528" s="8" t="n">
        <v>8989</v>
      </c>
      <c r="E2528" s="8" t="n">
        <v>8782</v>
      </c>
      <c r="F2528" s="8" t="n">
        <v>403816</v>
      </c>
      <c r="G2528" s="8" t="n">
        <v>226474</v>
      </c>
      <c r="H2528" s="8" t="n">
        <v>9305</v>
      </c>
      <c r="I2528" s="8" t="n">
        <v>9480</v>
      </c>
      <c r="J2528" s="8" t="n">
        <v>9495</v>
      </c>
      <c r="K2528" s="8" t="n">
        <v>9235</v>
      </c>
      <c r="L2528" s="8" t="n">
        <v>418012</v>
      </c>
      <c r="M2528" s="8" t="n">
        <v>370292</v>
      </c>
      <c r="N2528" t="inlineStr">
        <is>
          <t>是</t>
        </is>
      </c>
    </row>
    <row r="2529">
      <c r="A2529" s="7" t="inlineStr">
        <is>
          <t>2017-12-01</t>
        </is>
      </c>
      <c r="B2529" s="8" t="n">
        <v>8903</v>
      </c>
      <c r="C2529" s="8" t="n">
        <v>8770</v>
      </c>
      <c r="D2529" s="8" t="n">
        <v>8962</v>
      </c>
      <c r="E2529" s="8" t="n">
        <v>8750</v>
      </c>
      <c r="F2529" s="8" t="n">
        <v>273000</v>
      </c>
      <c r="G2529" s="8" t="n">
        <v>298314</v>
      </c>
      <c r="H2529" s="8" t="n">
        <v>9390</v>
      </c>
      <c r="I2529" s="8" t="n">
        <v>9335</v>
      </c>
      <c r="J2529" s="8" t="n">
        <v>9450</v>
      </c>
      <c r="K2529" s="8" t="n">
        <v>9280</v>
      </c>
      <c r="L2529" s="8" t="n">
        <v>325814</v>
      </c>
      <c r="M2529" s="8" t="n">
        <v>387066</v>
      </c>
      <c r="N2529" t="inlineStr">
        <is>
          <t>是</t>
        </is>
      </c>
    </row>
    <row r="2530">
      <c r="A2530" s="7" t="inlineStr">
        <is>
          <t>2017-12-04</t>
        </is>
      </c>
      <c r="B2530" s="8" t="n">
        <v>9145</v>
      </c>
      <c r="C2530" s="8" t="n">
        <v>8985</v>
      </c>
      <c r="D2530" s="8" t="n">
        <v>9175</v>
      </c>
      <c r="E2530" s="8" t="n">
        <v>8985</v>
      </c>
      <c r="F2530" s="8" t="n">
        <v>408432</v>
      </c>
      <c r="G2530" s="8" t="n">
        <v>300906</v>
      </c>
      <c r="H2530" s="8" t="n">
        <v>9575</v>
      </c>
      <c r="I2530" s="8" t="n">
        <v>9480</v>
      </c>
      <c r="J2530" s="8" t="n">
        <v>9620</v>
      </c>
      <c r="K2530" s="8" t="n">
        <v>9460</v>
      </c>
      <c r="L2530" s="8" t="n">
        <v>437786</v>
      </c>
      <c r="M2530" s="8" t="n">
        <v>376856</v>
      </c>
      <c r="N2530" t="inlineStr">
        <is>
          <t>是</t>
        </is>
      </c>
    </row>
    <row r="2531">
      <c r="A2531" s="7" t="inlineStr">
        <is>
          <t>2017-12-05</t>
        </is>
      </c>
      <c r="B2531" s="8" t="n">
        <v>9137</v>
      </c>
      <c r="C2531" s="8" t="n">
        <v>9163</v>
      </c>
      <c r="D2531" s="8" t="n">
        <v>9249</v>
      </c>
      <c r="E2531" s="8" t="n">
        <v>9100</v>
      </c>
      <c r="F2531" s="8" t="n">
        <v>383300</v>
      </c>
      <c r="G2531" s="8" t="n">
        <v>332430</v>
      </c>
      <c r="H2531" s="8" t="n">
        <v>9520</v>
      </c>
      <c r="I2531" s="8" t="n">
        <v>9570</v>
      </c>
      <c r="J2531" s="8" t="n">
        <v>9650</v>
      </c>
      <c r="K2531" s="8" t="n">
        <v>9505</v>
      </c>
      <c r="L2531" s="8" t="n">
        <v>355494</v>
      </c>
      <c r="M2531" s="8" t="n">
        <v>390842</v>
      </c>
      <c r="N2531" t="inlineStr">
        <is>
          <t>是</t>
        </is>
      </c>
    </row>
    <row r="2532">
      <c r="A2532" s="7" t="inlineStr">
        <is>
          <t>2017-12-06</t>
        </is>
      </c>
      <c r="B2532" s="8" t="n">
        <v>9139</v>
      </c>
      <c r="C2532" s="8" t="n">
        <v>9110</v>
      </c>
      <c r="D2532" s="8" t="n">
        <v>9215</v>
      </c>
      <c r="E2532" s="8" t="n">
        <v>9091</v>
      </c>
      <c r="F2532" s="8" t="n">
        <v>379684</v>
      </c>
      <c r="G2532" s="8" t="n">
        <v>338238</v>
      </c>
      <c r="H2532" s="8" t="n">
        <v>9510</v>
      </c>
      <c r="I2532" s="8" t="n">
        <v>9480</v>
      </c>
      <c r="J2532" s="8" t="n">
        <v>9630</v>
      </c>
      <c r="K2532" s="8" t="n">
        <v>9470</v>
      </c>
      <c r="L2532" s="8" t="n">
        <v>399134</v>
      </c>
      <c r="M2532" s="8" t="n">
        <v>374792</v>
      </c>
      <c r="N2532" t="inlineStr">
        <is>
          <t>是</t>
        </is>
      </c>
    </row>
    <row r="2533">
      <c r="A2533" s="7" t="inlineStr">
        <is>
          <t>2017-12-07</t>
        </is>
      </c>
      <c r="B2533" s="8" t="n">
        <v>8822</v>
      </c>
      <c r="C2533" s="8" t="n">
        <v>9074</v>
      </c>
      <c r="D2533" s="8" t="n">
        <v>9090</v>
      </c>
      <c r="E2533" s="8" t="n">
        <v>8802</v>
      </c>
      <c r="F2533" s="8" t="n">
        <v>528646</v>
      </c>
      <c r="G2533" s="8" t="n">
        <v>352114</v>
      </c>
      <c r="H2533" s="8" t="n">
        <v>9355</v>
      </c>
      <c r="I2533" s="8" t="n">
        <v>9455</v>
      </c>
      <c r="J2533" s="8" t="n">
        <v>9480</v>
      </c>
      <c r="K2533" s="8" t="n">
        <v>9305</v>
      </c>
      <c r="L2533" s="8" t="n">
        <v>471410</v>
      </c>
      <c r="M2533" s="8" t="n">
        <v>405988</v>
      </c>
      <c r="N2533" t="inlineStr">
        <is>
          <t>是</t>
        </is>
      </c>
    </row>
    <row r="2534">
      <c r="A2534" s="7" t="inlineStr">
        <is>
          <t>2017-12-08</t>
        </is>
      </c>
      <c r="B2534" s="8" t="n">
        <v>9018</v>
      </c>
      <c r="C2534" s="8" t="n">
        <v>8822</v>
      </c>
      <c r="D2534" s="8" t="n">
        <v>9048</v>
      </c>
      <c r="E2534" s="8" t="n">
        <v>8822</v>
      </c>
      <c r="F2534" s="8" t="n">
        <v>411600</v>
      </c>
      <c r="G2534" s="8" t="n">
        <v>338048</v>
      </c>
      <c r="H2534" s="8" t="n">
        <v>9465</v>
      </c>
      <c r="I2534" s="8" t="n">
        <v>9355</v>
      </c>
      <c r="J2534" s="8" t="n">
        <v>9525</v>
      </c>
      <c r="K2534" s="8" t="n">
        <v>9335</v>
      </c>
      <c r="L2534" s="8" t="n">
        <v>465984</v>
      </c>
      <c r="M2534" s="8" t="n">
        <v>397328</v>
      </c>
      <c r="N2534" t="inlineStr">
        <is>
          <t>是</t>
        </is>
      </c>
    </row>
    <row r="2535">
      <c r="A2535" s="7" t="inlineStr">
        <is>
          <t>2017-12-11</t>
        </is>
      </c>
      <c r="B2535" s="8" t="n">
        <v>9086</v>
      </c>
      <c r="C2535" s="8" t="n">
        <v>9030</v>
      </c>
      <c r="D2535" s="8" t="n">
        <v>9150</v>
      </c>
      <c r="E2535" s="8" t="n">
        <v>9001</v>
      </c>
      <c r="F2535" s="8" t="n">
        <v>472474</v>
      </c>
      <c r="G2535" s="8" t="n">
        <v>336512</v>
      </c>
      <c r="H2535" s="8" t="n">
        <v>9455</v>
      </c>
      <c r="I2535" s="8" t="n">
        <v>9480</v>
      </c>
      <c r="J2535" s="8" t="n">
        <v>9580</v>
      </c>
      <c r="K2535" s="8" t="n">
        <v>9380</v>
      </c>
      <c r="L2535" s="8" t="n">
        <v>457520</v>
      </c>
      <c r="M2535" s="8" t="n">
        <v>420318</v>
      </c>
      <c r="N2535" t="inlineStr">
        <is>
          <t>是</t>
        </is>
      </c>
    </row>
    <row r="2536">
      <c r="A2536" s="7" t="inlineStr">
        <is>
          <t>2017-12-12</t>
        </is>
      </c>
      <c r="B2536" s="8" t="n">
        <v>9179</v>
      </c>
      <c r="C2536" s="8" t="n">
        <v>9150</v>
      </c>
      <c r="D2536" s="8" t="n">
        <v>9180</v>
      </c>
      <c r="E2536" s="8" t="n">
        <v>9081</v>
      </c>
      <c r="F2536" s="8" t="n">
        <v>372734</v>
      </c>
      <c r="G2536" s="8" t="n">
        <v>354704</v>
      </c>
      <c r="H2536" s="8" t="n">
        <v>9570</v>
      </c>
      <c r="I2536" s="8" t="n">
        <v>9510</v>
      </c>
      <c r="J2536" s="8" t="n">
        <v>9575</v>
      </c>
      <c r="K2536" s="8" t="n">
        <v>9490</v>
      </c>
      <c r="L2536" s="8" t="n">
        <v>366978</v>
      </c>
      <c r="M2536" s="8" t="n">
        <v>406902</v>
      </c>
      <c r="N2536" t="inlineStr">
        <is>
          <t>是</t>
        </is>
      </c>
    </row>
    <row r="2537">
      <c r="A2537" s="7" t="inlineStr">
        <is>
          <t>2017-12-13</t>
        </is>
      </c>
      <c r="B2537" s="8" t="n">
        <v>9077</v>
      </c>
      <c r="C2537" s="8" t="n">
        <v>9161</v>
      </c>
      <c r="D2537" s="8" t="n">
        <v>9200</v>
      </c>
      <c r="E2537" s="8" t="n">
        <v>8960</v>
      </c>
      <c r="F2537" s="8" t="n">
        <v>522752</v>
      </c>
      <c r="G2537" s="8" t="n">
        <v>361982</v>
      </c>
      <c r="H2537" s="8" t="n">
        <v>9455</v>
      </c>
      <c r="I2537" s="8" t="n">
        <v>9560</v>
      </c>
      <c r="J2537" s="8" t="n">
        <v>9590</v>
      </c>
      <c r="K2537" s="8" t="n">
        <v>9365</v>
      </c>
      <c r="L2537" s="8" t="n">
        <v>435024</v>
      </c>
      <c r="M2537" s="8" t="n">
        <v>430762</v>
      </c>
      <c r="N2537" t="inlineStr">
        <is>
          <t>是</t>
        </is>
      </c>
    </row>
    <row r="2538">
      <c r="A2538" s="7" t="inlineStr">
        <is>
          <t>2017-12-14</t>
        </is>
      </c>
      <c r="B2538" s="8" t="n">
        <v>9000</v>
      </c>
      <c r="C2538" s="8" t="n">
        <v>9070</v>
      </c>
      <c r="D2538" s="8" t="n">
        <v>9150</v>
      </c>
      <c r="E2538" s="8" t="n">
        <v>8980</v>
      </c>
      <c r="F2538" s="8" t="n">
        <v>461118</v>
      </c>
      <c r="G2538" s="8" t="n">
        <v>356202</v>
      </c>
      <c r="H2538" s="8" t="n">
        <v>9415</v>
      </c>
      <c r="I2538" s="8" t="n">
        <v>9450</v>
      </c>
      <c r="J2538" s="8" t="n">
        <v>9525</v>
      </c>
      <c r="K2538" s="8" t="n">
        <v>9390</v>
      </c>
      <c r="L2538" s="8" t="n">
        <v>397734</v>
      </c>
      <c r="M2538" s="8" t="n">
        <v>416538</v>
      </c>
      <c r="N2538" t="inlineStr">
        <is>
          <t>是</t>
        </is>
      </c>
    </row>
    <row r="2539">
      <c r="A2539" s="7" t="inlineStr">
        <is>
          <t>2017-12-15</t>
        </is>
      </c>
      <c r="B2539" s="8" t="n">
        <v>8935</v>
      </c>
      <c r="C2539" s="8" t="n">
        <v>9010</v>
      </c>
      <c r="D2539" s="8" t="n">
        <v>9020</v>
      </c>
      <c r="E2539" s="8" t="n">
        <v>8885</v>
      </c>
      <c r="F2539" s="8" t="n">
        <v>391872</v>
      </c>
      <c r="G2539" s="8" t="n">
        <v>373960</v>
      </c>
      <c r="H2539" s="8" t="n">
        <v>9370</v>
      </c>
      <c r="I2539" s="8" t="n">
        <v>9430</v>
      </c>
      <c r="J2539" s="8" t="n">
        <v>9455</v>
      </c>
      <c r="K2539" s="8" t="n">
        <v>9330</v>
      </c>
      <c r="L2539" s="8" t="n">
        <v>356256</v>
      </c>
      <c r="M2539" s="8" t="n">
        <v>445474</v>
      </c>
      <c r="N2539" t="inlineStr">
        <is>
          <t>是</t>
        </is>
      </c>
    </row>
    <row r="2540">
      <c r="A2540" s="7" t="inlineStr">
        <is>
          <t>2017-12-18</t>
        </is>
      </c>
      <c r="B2540" s="8" t="n">
        <v>9073</v>
      </c>
      <c r="C2540" s="8" t="n">
        <v>9025</v>
      </c>
      <c r="D2540" s="8" t="n">
        <v>9122</v>
      </c>
      <c r="E2540" s="8" t="n">
        <v>8979</v>
      </c>
      <c r="F2540" s="8" t="n">
        <v>497600</v>
      </c>
      <c r="G2540" s="8" t="n">
        <v>352930</v>
      </c>
      <c r="H2540" s="8" t="n">
        <v>9460</v>
      </c>
      <c r="I2540" s="8" t="n">
        <v>9440</v>
      </c>
      <c r="J2540" s="8" t="n">
        <v>9495</v>
      </c>
      <c r="K2540" s="8" t="n">
        <v>9365</v>
      </c>
      <c r="L2540" s="8" t="n">
        <v>404128</v>
      </c>
      <c r="M2540" s="8" t="n">
        <v>421496</v>
      </c>
      <c r="N2540" t="inlineStr">
        <is>
          <t>是</t>
        </is>
      </c>
    </row>
    <row r="2541">
      <c r="A2541" s="7" t="inlineStr">
        <is>
          <t>2017-12-19</t>
        </is>
      </c>
      <c r="B2541" s="8" t="n">
        <v>9240</v>
      </c>
      <c r="C2541" s="8" t="n">
        <v>9065</v>
      </c>
      <c r="D2541" s="8" t="n">
        <v>9250</v>
      </c>
      <c r="E2541" s="8" t="n">
        <v>9040</v>
      </c>
      <c r="F2541" s="8" t="n">
        <v>594492</v>
      </c>
      <c r="G2541" s="8" t="n">
        <v>448048</v>
      </c>
      <c r="H2541" s="8" t="n">
        <v>9640</v>
      </c>
      <c r="I2541" s="8" t="n">
        <v>9480</v>
      </c>
      <c r="J2541" s="8" t="n">
        <v>9685</v>
      </c>
      <c r="K2541" s="8" t="n">
        <v>9440</v>
      </c>
      <c r="L2541" s="8" t="n">
        <v>589980</v>
      </c>
      <c r="M2541" s="8" t="n">
        <v>454568</v>
      </c>
      <c r="N2541" t="inlineStr">
        <is>
          <t>是</t>
        </is>
      </c>
    </row>
    <row r="2542">
      <c r="A2542" s="7" t="inlineStr">
        <is>
          <t>2017-12-20</t>
        </is>
      </c>
      <c r="B2542" s="8" t="n">
        <v>9250</v>
      </c>
      <c r="C2542" s="8" t="n">
        <v>9260</v>
      </c>
      <c r="D2542" s="8" t="n">
        <v>9284</v>
      </c>
      <c r="E2542" s="8" t="n">
        <v>9194</v>
      </c>
      <c r="F2542" s="8" t="n">
        <v>288822</v>
      </c>
      <c r="G2542" s="8" t="n">
        <v>443906</v>
      </c>
      <c r="H2542" s="8" t="n">
        <v>9670</v>
      </c>
      <c r="I2542" s="8" t="n">
        <v>9650</v>
      </c>
      <c r="J2542" s="8" t="n">
        <v>9690</v>
      </c>
      <c r="K2542" s="8" t="n">
        <v>9615</v>
      </c>
      <c r="L2542" s="8" t="n">
        <v>297986</v>
      </c>
      <c r="M2542" s="8" t="n">
        <v>433346</v>
      </c>
      <c r="N2542" t="inlineStr">
        <is>
          <t>是</t>
        </is>
      </c>
    </row>
    <row r="2543">
      <c r="A2543" s="7" t="inlineStr">
        <is>
          <t>2017-12-21</t>
        </is>
      </c>
      <c r="B2543" s="8" t="n">
        <v>9236</v>
      </c>
      <c r="C2543" s="8" t="n">
        <v>9193</v>
      </c>
      <c r="D2543" s="8" t="n">
        <v>9309</v>
      </c>
      <c r="E2543" s="8" t="n">
        <v>9168</v>
      </c>
      <c r="F2543" s="8" t="n">
        <v>407684</v>
      </c>
      <c r="G2543" s="8" t="n">
        <v>454078</v>
      </c>
      <c r="H2543" s="8" t="n">
        <v>9675</v>
      </c>
      <c r="I2543" s="8" t="n">
        <v>9630</v>
      </c>
      <c r="J2543" s="8" t="n">
        <v>9710</v>
      </c>
      <c r="K2543" s="8" t="n">
        <v>9600</v>
      </c>
      <c r="L2543" s="8" t="n">
        <v>371236</v>
      </c>
      <c r="M2543" s="8" t="n">
        <v>430420</v>
      </c>
      <c r="N2543" t="inlineStr">
        <is>
          <t>是</t>
        </is>
      </c>
    </row>
    <row r="2544">
      <c r="A2544" s="7" t="inlineStr">
        <is>
          <t>2017-12-22</t>
        </is>
      </c>
      <c r="B2544" s="8" t="n">
        <v>9217</v>
      </c>
      <c r="C2544" s="8" t="n">
        <v>9275</v>
      </c>
      <c r="D2544" s="8" t="n">
        <v>9290</v>
      </c>
      <c r="E2544" s="8" t="n">
        <v>9120</v>
      </c>
      <c r="F2544" s="8" t="n">
        <v>389648</v>
      </c>
      <c r="G2544" s="8" t="n">
        <v>427474</v>
      </c>
      <c r="H2544" s="8" t="n">
        <v>9620</v>
      </c>
      <c r="I2544" s="8" t="n">
        <v>9695</v>
      </c>
      <c r="J2544" s="8" t="n">
        <v>9720</v>
      </c>
      <c r="K2544" s="8" t="n">
        <v>9540</v>
      </c>
      <c r="L2544" s="8" t="n">
        <v>399446</v>
      </c>
      <c r="M2544" s="8" t="n">
        <v>412828</v>
      </c>
      <c r="N2544" t="inlineStr">
        <is>
          <t>是</t>
        </is>
      </c>
    </row>
    <row r="2545">
      <c r="A2545" s="7" t="inlineStr">
        <is>
          <t>2017-12-25</t>
        </is>
      </c>
      <c r="B2545" s="8" t="n">
        <v>9144</v>
      </c>
      <c r="C2545" s="8" t="n">
        <v>9190</v>
      </c>
      <c r="D2545" s="8" t="n">
        <v>9306</v>
      </c>
      <c r="E2545" s="8" t="n">
        <v>9103</v>
      </c>
      <c r="F2545" s="8" t="n">
        <v>459048</v>
      </c>
      <c r="G2545" s="8" t="n">
        <v>408772</v>
      </c>
      <c r="H2545" s="8" t="n">
        <v>9530</v>
      </c>
      <c r="I2545" s="8" t="n">
        <v>9630</v>
      </c>
      <c r="J2545" s="8" t="n">
        <v>9690</v>
      </c>
      <c r="K2545" s="8" t="n">
        <v>9525</v>
      </c>
      <c r="L2545" s="8" t="n">
        <v>334826</v>
      </c>
      <c r="M2545" s="8" t="n">
        <v>383404</v>
      </c>
      <c r="N2545" t="inlineStr">
        <is>
          <t>是</t>
        </is>
      </c>
    </row>
    <row r="2546">
      <c r="A2546" s="7" t="inlineStr">
        <is>
          <t>2017-12-26</t>
        </is>
      </c>
      <c r="B2546" s="8" t="n">
        <v>9333</v>
      </c>
      <c r="C2546" s="8" t="n">
        <v>9156</v>
      </c>
      <c r="D2546" s="8" t="n">
        <v>9370</v>
      </c>
      <c r="E2546" s="8" t="n">
        <v>9142</v>
      </c>
      <c r="F2546" s="8" t="n">
        <v>558254</v>
      </c>
      <c r="G2546" s="8" t="n">
        <v>510098</v>
      </c>
      <c r="H2546" s="8" t="n">
        <v>9795</v>
      </c>
      <c r="I2546" s="8" t="n">
        <v>9560</v>
      </c>
      <c r="J2546" s="8" t="n">
        <v>9815</v>
      </c>
      <c r="K2546" s="8" t="n">
        <v>9530</v>
      </c>
      <c r="L2546" s="8" t="n">
        <v>643370</v>
      </c>
      <c r="M2546" s="8" t="n">
        <v>506416</v>
      </c>
      <c r="N2546" t="inlineStr">
        <is>
          <t>是</t>
        </is>
      </c>
    </row>
    <row r="2547">
      <c r="A2547" s="7" t="inlineStr">
        <is>
          <t>2017-12-27</t>
        </is>
      </c>
      <c r="B2547" s="8" t="n">
        <v>9250</v>
      </c>
      <c r="C2547" s="8" t="n">
        <v>9340</v>
      </c>
      <c r="D2547" s="8" t="n">
        <v>9390</v>
      </c>
      <c r="E2547" s="8" t="n">
        <v>9210</v>
      </c>
      <c r="F2547" s="8" t="n">
        <v>422778</v>
      </c>
      <c r="G2547" s="8" t="n">
        <v>449456</v>
      </c>
      <c r="H2547" s="8" t="n">
        <v>9745</v>
      </c>
      <c r="I2547" s="8" t="n">
        <v>9800</v>
      </c>
      <c r="J2547" s="8" t="n">
        <v>9810</v>
      </c>
      <c r="K2547" s="8" t="n">
        <v>9715</v>
      </c>
      <c r="L2547" s="8" t="n">
        <v>379262</v>
      </c>
      <c r="M2547" s="8" t="n">
        <v>472706</v>
      </c>
      <c r="N2547" t="inlineStr">
        <is>
          <t>是</t>
        </is>
      </c>
    </row>
    <row r="2548">
      <c r="A2548" s="7" t="inlineStr">
        <is>
          <t>2017-12-28</t>
        </is>
      </c>
      <c r="B2548" s="8" t="n">
        <v>9265</v>
      </c>
      <c r="C2548" s="8" t="n">
        <v>9250</v>
      </c>
      <c r="D2548" s="8" t="n">
        <v>9312</v>
      </c>
      <c r="E2548" s="8" t="n">
        <v>9209</v>
      </c>
      <c r="F2548" s="8" t="n">
        <v>314022</v>
      </c>
      <c r="G2548" s="8" t="n">
        <v>449960</v>
      </c>
      <c r="H2548" s="8" t="n">
        <v>9760</v>
      </c>
      <c r="I2548" s="8" t="n">
        <v>9755</v>
      </c>
      <c r="J2548" s="8" t="n">
        <v>9825</v>
      </c>
      <c r="K2548" s="8" t="n">
        <v>9705</v>
      </c>
      <c r="L2548" s="8" t="n">
        <v>382954</v>
      </c>
      <c r="M2548" s="8" t="n">
        <v>480470</v>
      </c>
      <c r="N2548" t="inlineStr">
        <is>
          <t>是</t>
        </is>
      </c>
    </row>
    <row r="2549">
      <c r="A2549" s="7" t="inlineStr">
        <is>
          <t>2017-12-29</t>
        </is>
      </c>
      <c r="B2549" s="8" t="n">
        <v>9285</v>
      </c>
      <c r="C2549" s="8" t="n">
        <v>9300</v>
      </c>
      <c r="D2549" s="8" t="n">
        <v>9340</v>
      </c>
      <c r="E2549" s="8" t="n">
        <v>9222</v>
      </c>
      <c r="F2549" s="8" t="n">
        <v>357500</v>
      </c>
      <c r="G2549" s="8" t="n">
        <v>421596</v>
      </c>
      <c r="H2549" s="8" t="n">
        <v>9800</v>
      </c>
      <c r="I2549" s="8" t="n">
        <v>9780</v>
      </c>
      <c r="J2549" s="8" t="n">
        <v>9805</v>
      </c>
      <c r="K2549" s="8" t="n">
        <v>9735</v>
      </c>
      <c r="L2549" s="8" t="n">
        <v>302284</v>
      </c>
      <c r="M2549" s="8" t="n">
        <v>474078</v>
      </c>
      <c r="N2549" t="inlineStr">
        <is>
          <t>是</t>
        </is>
      </c>
    </row>
    <row r="2550">
      <c r="A2550" s="7" t="inlineStr">
        <is>
          <t>2018-01-02</t>
        </is>
      </c>
      <c r="B2550" s="8" t="n">
        <v>9493</v>
      </c>
      <c r="C2550" s="8" t="n">
        <v>9344</v>
      </c>
      <c r="D2550" s="8" t="n">
        <v>9560</v>
      </c>
      <c r="E2550" s="8" t="n">
        <v>9300</v>
      </c>
      <c r="F2550" s="8" t="n">
        <v>675036</v>
      </c>
      <c r="G2550" s="8" t="n">
        <v>548540</v>
      </c>
      <c r="H2550" s="8" t="n">
        <v>9955</v>
      </c>
      <c r="I2550" s="8" t="n">
        <v>9810</v>
      </c>
      <c r="J2550" s="8" t="n">
        <v>10095</v>
      </c>
      <c r="K2550" s="8" t="n">
        <v>9810</v>
      </c>
      <c r="L2550" s="8" t="n">
        <v>816092</v>
      </c>
      <c r="M2550" s="8" t="n">
        <v>576250</v>
      </c>
      <c r="N2550" t="inlineStr">
        <is>
          <t>是</t>
        </is>
      </c>
    </row>
    <row r="2551">
      <c r="A2551" s="7" t="inlineStr">
        <is>
          <t>2018-01-03</t>
        </is>
      </c>
      <c r="B2551" s="8" t="n">
        <v>9490</v>
      </c>
      <c r="C2551" s="8" t="n">
        <v>9515</v>
      </c>
      <c r="D2551" s="8" t="n">
        <v>9515</v>
      </c>
      <c r="E2551" s="8" t="n">
        <v>9454</v>
      </c>
      <c r="F2551" s="8" t="n">
        <v>280648</v>
      </c>
      <c r="G2551" s="8" t="n">
        <v>516452</v>
      </c>
      <c r="H2551" s="8" t="n">
        <v>9975</v>
      </c>
      <c r="I2551" s="8" t="n">
        <v>9960</v>
      </c>
      <c r="J2551" s="8" t="n">
        <v>9995</v>
      </c>
      <c r="K2551" s="8" t="n">
        <v>9900</v>
      </c>
      <c r="L2551" s="8" t="n">
        <v>294862</v>
      </c>
      <c r="M2551" s="8" t="n">
        <v>547130</v>
      </c>
      <c r="N2551" t="inlineStr">
        <is>
          <t>是</t>
        </is>
      </c>
    </row>
    <row r="2552">
      <c r="A2552" s="7" t="inlineStr">
        <is>
          <t>2018-01-04</t>
        </is>
      </c>
      <c r="B2552" s="8" t="n">
        <v>9524</v>
      </c>
      <c r="C2552" s="8" t="n">
        <v>9522</v>
      </c>
      <c r="D2552" s="8" t="n">
        <v>9565</v>
      </c>
      <c r="E2552" s="8" t="n">
        <v>9430</v>
      </c>
      <c r="F2552" s="8" t="n">
        <v>389460</v>
      </c>
      <c r="G2552" s="8" t="n">
        <v>516480</v>
      </c>
      <c r="H2552" s="8" t="n">
        <v>9990</v>
      </c>
      <c r="I2552" s="8" t="n">
        <v>10000</v>
      </c>
      <c r="J2552" s="8" t="n">
        <v>10035</v>
      </c>
      <c r="K2552" s="8" t="n">
        <v>9885</v>
      </c>
      <c r="L2552" s="8" t="n">
        <v>398900</v>
      </c>
      <c r="M2552" s="8" t="n">
        <v>539944</v>
      </c>
      <c r="N2552" t="inlineStr">
        <is>
          <t>是</t>
        </is>
      </c>
    </row>
    <row r="2553">
      <c r="A2553" s="7" t="inlineStr">
        <is>
          <t>2018-01-05</t>
        </is>
      </c>
      <c r="B2553" s="8" t="n">
        <v>9508</v>
      </c>
      <c r="C2553" s="8" t="n">
        <v>9509</v>
      </c>
      <c r="D2553" s="8" t="n">
        <v>9554</v>
      </c>
      <c r="E2553" s="8" t="n">
        <v>9441</v>
      </c>
      <c r="F2553" s="8" t="n">
        <v>396494</v>
      </c>
      <c r="G2553" s="8" t="n">
        <v>514038</v>
      </c>
      <c r="H2553" s="8" t="n">
        <v>9975</v>
      </c>
      <c r="I2553" s="8" t="n">
        <v>9970</v>
      </c>
      <c r="J2553" s="8" t="n">
        <v>10015</v>
      </c>
      <c r="K2553" s="8" t="n">
        <v>9850</v>
      </c>
      <c r="L2553" s="8" t="n">
        <v>442418</v>
      </c>
      <c r="M2553" s="8" t="n">
        <v>536522</v>
      </c>
      <c r="N2553" t="inlineStr">
        <is>
          <t>是</t>
        </is>
      </c>
    </row>
    <row r="2554">
      <c r="A2554" s="7" t="inlineStr">
        <is>
          <t>2018-01-08</t>
        </is>
      </c>
      <c r="B2554" s="8" t="n">
        <v>9529</v>
      </c>
      <c r="C2554" s="8" t="n">
        <v>9465</v>
      </c>
      <c r="D2554" s="8" t="n">
        <v>9604</v>
      </c>
      <c r="E2554" s="8" t="n">
        <v>9465</v>
      </c>
      <c r="F2554" s="8" t="n">
        <v>378628</v>
      </c>
      <c r="G2554" s="8" t="n">
        <v>520284</v>
      </c>
      <c r="H2554" s="8" t="n">
        <v>9960</v>
      </c>
      <c r="I2554" s="8" t="n">
        <v>9970</v>
      </c>
      <c r="J2554" s="8" t="n">
        <v>10025</v>
      </c>
      <c r="K2554" s="8" t="n">
        <v>9930</v>
      </c>
      <c r="L2554" s="8" t="n">
        <v>256472</v>
      </c>
      <c r="M2554" s="8" t="n">
        <v>527394</v>
      </c>
      <c r="N2554" t="inlineStr">
        <is>
          <t>是</t>
        </is>
      </c>
    </row>
    <row r="2555">
      <c r="A2555" s="7" t="inlineStr">
        <is>
          <t>2018-01-09</t>
        </is>
      </c>
      <c r="B2555" s="8" t="n">
        <v>9499</v>
      </c>
      <c r="C2555" s="8" t="n">
        <v>9568</v>
      </c>
      <c r="D2555" s="8" t="n">
        <v>9575</v>
      </c>
      <c r="E2555" s="8" t="n">
        <v>9455</v>
      </c>
      <c r="F2555" s="8" t="n">
        <v>305640</v>
      </c>
      <c r="G2555" s="8" t="n">
        <v>507380</v>
      </c>
      <c r="H2555" s="8" t="n">
        <v>9930</v>
      </c>
      <c r="I2555" s="8" t="n">
        <v>9990</v>
      </c>
      <c r="J2555" s="8" t="n">
        <v>9995</v>
      </c>
      <c r="K2555" s="8" t="n">
        <v>9895</v>
      </c>
      <c r="L2555" s="8" t="n">
        <v>221002</v>
      </c>
      <c r="M2555" s="8" t="n">
        <v>530742</v>
      </c>
      <c r="N2555" t="inlineStr">
        <is>
          <t>是</t>
        </is>
      </c>
    </row>
    <row r="2556">
      <c r="A2556" s="7" t="inlineStr">
        <is>
          <t>2018-01-10</t>
        </is>
      </c>
      <c r="B2556" s="8" t="n">
        <v>9588</v>
      </c>
      <c r="C2556" s="8" t="n">
        <v>9486</v>
      </c>
      <c r="D2556" s="8" t="n">
        <v>9645</v>
      </c>
      <c r="E2556" s="8" t="n">
        <v>9480</v>
      </c>
      <c r="F2556" s="8" t="n">
        <v>466632</v>
      </c>
      <c r="G2556" s="8" t="n">
        <v>541026</v>
      </c>
      <c r="H2556" s="8" t="n">
        <v>10020</v>
      </c>
      <c r="I2556" s="8" t="n">
        <v>9950</v>
      </c>
      <c r="J2556" s="8" t="n">
        <v>10110</v>
      </c>
      <c r="K2556" s="8" t="n">
        <v>9930</v>
      </c>
      <c r="L2556" s="8" t="n">
        <v>500548</v>
      </c>
      <c r="M2556" s="8" t="n">
        <v>536404</v>
      </c>
      <c r="N2556" t="inlineStr">
        <is>
          <t>是</t>
        </is>
      </c>
    </row>
    <row r="2557">
      <c r="A2557" s="7" t="inlineStr">
        <is>
          <t>2018-01-11</t>
        </is>
      </c>
      <c r="B2557" s="8" t="n">
        <v>9632</v>
      </c>
      <c r="C2557" s="8" t="n">
        <v>9605</v>
      </c>
      <c r="D2557" s="8" t="n">
        <v>9640</v>
      </c>
      <c r="E2557" s="8" t="n">
        <v>9562</v>
      </c>
      <c r="F2557" s="8" t="n">
        <v>287540</v>
      </c>
      <c r="G2557" s="8" t="n">
        <v>549096</v>
      </c>
      <c r="H2557" s="8" t="n">
        <v>10085</v>
      </c>
      <c r="I2557" s="8" t="n">
        <v>10025</v>
      </c>
      <c r="J2557" s="8" t="n">
        <v>10110</v>
      </c>
      <c r="K2557" s="8" t="n">
        <v>10000</v>
      </c>
      <c r="L2557" s="8" t="n">
        <v>337508</v>
      </c>
      <c r="M2557" s="8" t="n">
        <v>564628</v>
      </c>
      <c r="N2557" t="inlineStr">
        <is>
          <t>是</t>
        </is>
      </c>
    </row>
    <row r="2558">
      <c r="A2558" s="7" t="inlineStr">
        <is>
          <t>2018-01-12</t>
        </is>
      </c>
      <c r="B2558" s="8" t="n">
        <v>9679</v>
      </c>
      <c r="C2558" s="8" t="n">
        <v>9610</v>
      </c>
      <c r="D2558" s="8" t="n">
        <v>9683</v>
      </c>
      <c r="E2558" s="8" t="n">
        <v>9592</v>
      </c>
      <c r="F2558" s="8" t="n">
        <v>355290</v>
      </c>
      <c r="G2558" s="8" t="n">
        <v>586786</v>
      </c>
      <c r="H2558" s="8" t="n">
        <v>10150</v>
      </c>
      <c r="I2558" s="8" t="n">
        <v>10060</v>
      </c>
      <c r="J2558" s="8" t="n">
        <v>10165</v>
      </c>
      <c r="K2558" s="8" t="n">
        <v>10035</v>
      </c>
      <c r="L2558" s="8" t="n">
        <v>419740</v>
      </c>
      <c r="M2558" s="8" t="n">
        <v>616584</v>
      </c>
      <c r="N2558" t="inlineStr">
        <is>
          <t>是</t>
        </is>
      </c>
    </row>
    <row r="2559">
      <c r="A2559" s="7" t="inlineStr">
        <is>
          <t>2018-01-15</t>
        </is>
      </c>
      <c r="B2559" s="8" t="n">
        <v>9664</v>
      </c>
      <c r="C2559" s="8" t="n">
        <v>9680</v>
      </c>
      <c r="D2559" s="8" t="n">
        <v>9695</v>
      </c>
      <c r="E2559" s="8" t="n">
        <v>9606</v>
      </c>
      <c r="F2559" s="8" t="n">
        <v>319842</v>
      </c>
      <c r="G2559" s="8" t="n">
        <v>562106</v>
      </c>
      <c r="H2559" s="8" t="n">
        <v>10115</v>
      </c>
      <c r="I2559" s="8" t="n">
        <v>10160</v>
      </c>
      <c r="J2559" s="8" t="n">
        <v>10180</v>
      </c>
      <c r="K2559" s="8" t="n">
        <v>10090</v>
      </c>
      <c r="L2559" s="8" t="n">
        <v>266106</v>
      </c>
      <c r="M2559" s="8" t="n">
        <v>588744</v>
      </c>
      <c r="N2559" t="inlineStr">
        <is>
          <t>是</t>
        </is>
      </c>
    </row>
    <row r="2560">
      <c r="A2560" s="7" t="inlineStr">
        <is>
          <t>2018-01-16</t>
        </is>
      </c>
      <c r="B2560" s="8" t="n">
        <v>9416</v>
      </c>
      <c r="C2560" s="8" t="n">
        <v>9671</v>
      </c>
      <c r="D2560" s="8" t="n">
        <v>9679</v>
      </c>
      <c r="E2560" s="8" t="n">
        <v>9381</v>
      </c>
      <c r="F2560" s="8" t="n">
        <v>601486</v>
      </c>
      <c r="G2560" s="8" t="n">
        <v>531310</v>
      </c>
      <c r="H2560" s="8" t="n">
        <v>9875</v>
      </c>
      <c r="I2560" s="8" t="n">
        <v>10115</v>
      </c>
      <c r="J2560" s="8" t="n">
        <v>10145</v>
      </c>
      <c r="K2560" s="8" t="n">
        <v>9825</v>
      </c>
      <c r="L2560" s="8" t="n">
        <v>608812</v>
      </c>
      <c r="M2560" s="8" t="n">
        <v>506848</v>
      </c>
      <c r="N2560" t="inlineStr">
        <is>
          <t>是</t>
        </is>
      </c>
    </row>
    <row r="2561">
      <c r="A2561" s="7" t="inlineStr">
        <is>
          <t>2018-01-17</t>
        </is>
      </c>
      <c r="B2561" s="8" t="n">
        <v>9380</v>
      </c>
      <c r="C2561" s="8" t="n">
        <v>9415</v>
      </c>
      <c r="D2561" s="8" t="n">
        <v>9448</v>
      </c>
      <c r="E2561" s="8" t="n">
        <v>9350</v>
      </c>
      <c r="F2561" s="8" t="n">
        <v>278838</v>
      </c>
      <c r="G2561" s="8" t="n">
        <v>477216</v>
      </c>
      <c r="H2561" s="8" t="n">
        <v>9820</v>
      </c>
      <c r="I2561" s="8" t="n">
        <v>9885</v>
      </c>
      <c r="J2561" s="8" t="n">
        <v>9910</v>
      </c>
      <c r="K2561" s="8" t="n">
        <v>9810</v>
      </c>
      <c r="L2561" s="8" t="n">
        <v>215858</v>
      </c>
      <c r="M2561" s="8" t="n">
        <v>475982</v>
      </c>
      <c r="N2561" t="inlineStr">
        <is>
          <t>是</t>
        </is>
      </c>
    </row>
    <row r="2562">
      <c r="A2562" s="7" t="inlineStr">
        <is>
          <t>2018-01-18</t>
        </is>
      </c>
      <c r="B2562" s="8" t="n">
        <v>9400</v>
      </c>
      <c r="C2562" s="8" t="n">
        <v>9395</v>
      </c>
      <c r="D2562" s="8" t="n">
        <v>9468</v>
      </c>
      <c r="E2562" s="8" t="n">
        <v>9383</v>
      </c>
      <c r="F2562" s="8" t="n">
        <v>264886</v>
      </c>
      <c r="G2562" s="8" t="n">
        <v>484226</v>
      </c>
      <c r="H2562" s="8" t="n">
        <v>9825</v>
      </c>
      <c r="I2562" s="8" t="n">
        <v>9835</v>
      </c>
      <c r="J2562" s="8" t="n">
        <v>9880</v>
      </c>
      <c r="K2562" s="8" t="n">
        <v>9800</v>
      </c>
      <c r="L2562" s="8" t="n">
        <v>189352</v>
      </c>
      <c r="M2562" s="8" t="n">
        <v>466746</v>
      </c>
      <c r="N2562" t="inlineStr">
        <is>
          <t>是</t>
        </is>
      </c>
    </row>
    <row r="2563">
      <c r="A2563" s="7" t="inlineStr">
        <is>
          <t>2018-01-19</t>
        </is>
      </c>
      <c r="B2563" s="8" t="n">
        <v>9468</v>
      </c>
      <c r="C2563" s="8" t="n">
        <v>9357</v>
      </c>
      <c r="D2563" s="8" t="n">
        <v>9509</v>
      </c>
      <c r="E2563" s="8" t="n">
        <v>9315</v>
      </c>
      <c r="F2563" s="8" t="n">
        <v>381238</v>
      </c>
      <c r="G2563" s="8" t="n">
        <v>492352</v>
      </c>
      <c r="H2563" s="8" t="n">
        <v>9865</v>
      </c>
      <c r="I2563" s="8" t="n">
        <v>9805</v>
      </c>
      <c r="J2563" s="8" t="n">
        <v>9895</v>
      </c>
      <c r="K2563" s="8" t="n">
        <v>9780</v>
      </c>
      <c r="L2563" s="8" t="n">
        <v>253472</v>
      </c>
      <c r="M2563" s="8" t="n">
        <v>474582</v>
      </c>
      <c r="N2563" t="inlineStr">
        <is>
          <t>是</t>
        </is>
      </c>
    </row>
    <row r="2564">
      <c r="A2564" s="7" t="inlineStr">
        <is>
          <t>2018-01-22</t>
        </is>
      </c>
      <c r="B2564" s="8" t="n">
        <v>9456</v>
      </c>
      <c r="C2564" s="8" t="n">
        <v>9480</v>
      </c>
      <c r="D2564" s="8" t="n">
        <v>9518</v>
      </c>
      <c r="E2564" s="8" t="n">
        <v>9443</v>
      </c>
      <c r="F2564" s="8" t="n">
        <v>250900</v>
      </c>
      <c r="G2564" s="8" t="n">
        <v>484250</v>
      </c>
      <c r="H2564" s="8" t="n">
        <v>9890</v>
      </c>
      <c r="I2564" s="8" t="n">
        <v>9875</v>
      </c>
      <c r="J2564" s="8" t="n">
        <v>9940</v>
      </c>
      <c r="K2564" s="8" t="n">
        <v>9860</v>
      </c>
      <c r="L2564" s="8" t="n">
        <v>203262</v>
      </c>
      <c r="M2564" s="8" t="n">
        <v>477416</v>
      </c>
      <c r="N2564" t="inlineStr">
        <is>
          <t>是</t>
        </is>
      </c>
    </row>
    <row r="2565">
      <c r="A2565" s="7" t="inlineStr">
        <is>
          <t>2018-01-23</t>
        </is>
      </c>
      <c r="B2565" s="8" t="n">
        <v>9537</v>
      </c>
      <c r="C2565" s="8" t="n">
        <v>9467</v>
      </c>
      <c r="D2565" s="8" t="n">
        <v>9550</v>
      </c>
      <c r="E2565" s="8" t="n">
        <v>9385</v>
      </c>
      <c r="F2565" s="8" t="n">
        <v>427482</v>
      </c>
      <c r="G2565" s="8" t="n">
        <v>528870</v>
      </c>
      <c r="H2565" s="8" t="n">
        <v>9965</v>
      </c>
      <c r="I2565" s="8" t="n">
        <v>9905</v>
      </c>
      <c r="J2565" s="8" t="n">
        <v>9970</v>
      </c>
      <c r="K2565" s="8" t="n">
        <v>9815</v>
      </c>
      <c r="L2565" s="8" t="n">
        <v>321858</v>
      </c>
      <c r="M2565" s="8" t="n">
        <v>501806</v>
      </c>
      <c r="N2565" t="inlineStr">
        <is>
          <t>是</t>
        </is>
      </c>
    </row>
    <row r="2566">
      <c r="A2566" s="7" t="inlineStr">
        <is>
          <t>2018-01-24</t>
        </is>
      </c>
      <c r="B2566" s="8" t="n">
        <v>9497</v>
      </c>
      <c r="C2566" s="8" t="n">
        <v>9542</v>
      </c>
      <c r="D2566" s="8" t="n">
        <v>9562</v>
      </c>
      <c r="E2566" s="8" t="n">
        <v>9480</v>
      </c>
      <c r="F2566" s="8" t="n">
        <v>319956</v>
      </c>
      <c r="G2566" s="8" t="n">
        <v>507678</v>
      </c>
      <c r="H2566" s="8" t="n">
        <v>9890</v>
      </c>
      <c r="I2566" s="8" t="n">
        <v>9940</v>
      </c>
      <c r="J2566" s="8" t="n">
        <v>9990</v>
      </c>
      <c r="K2566" s="8" t="n">
        <v>9870</v>
      </c>
      <c r="L2566" s="8" t="n">
        <v>334890</v>
      </c>
      <c r="M2566" s="8" t="n">
        <v>482268</v>
      </c>
      <c r="N2566" t="inlineStr">
        <is>
          <t>是</t>
        </is>
      </c>
    </row>
    <row r="2567">
      <c r="A2567" s="7" t="inlineStr">
        <is>
          <t>2018-01-25</t>
        </is>
      </c>
      <c r="B2567" s="8" t="n">
        <v>9543</v>
      </c>
      <c r="C2567" s="8" t="n">
        <v>9552</v>
      </c>
      <c r="D2567" s="8" t="n">
        <v>9626</v>
      </c>
      <c r="E2567" s="8" t="n">
        <v>9530</v>
      </c>
      <c r="F2567" s="8" t="n">
        <v>408194</v>
      </c>
      <c r="G2567" s="8" t="n">
        <v>533032</v>
      </c>
      <c r="H2567" s="8" t="n">
        <v>9945</v>
      </c>
      <c r="I2567" s="8" t="n">
        <v>9950</v>
      </c>
      <c r="J2567" s="8" t="n">
        <v>10050</v>
      </c>
      <c r="K2567" s="8" t="n">
        <v>9925</v>
      </c>
      <c r="L2567" s="8" t="n">
        <v>364720</v>
      </c>
      <c r="M2567" s="8" t="n">
        <v>480178</v>
      </c>
      <c r="N2567" t="inlineStr">
        <is>
          <t>是</t>
        </is>
      </c>
    </row>
    <row r="2568">
      <c r="A2568" s="7" t="inlineStr">
        <is>
          <t>2018-01-26</t>
        </is>
      </c>
      <c r="B2568" s="8" t="n">
        <v>9596</v>
      </c>
      <c r="C2568" s="8" t="n">
        <v>9503</v>
      </c>
      <c r="D2568" s="8" t="n">
        <v>9646</v>
      </c>
      <c r="E2568" s="8" t="n">
        <v>9492</v>
      </c>
      <c r="F2568" s="8" t="n">
        <v>398884</v>
      </c>
      <c r="G2568" s="8" t="n">
        <v>550156</v>
      </c>
      <c r="H2568" s="8" t="n">
        <v>10010</v>
      </c>
      <c r="I2568" s="8" t="n">
        <v>9915</v>
      </c>
      <c r="J2568" s="8" t="n">
        <v>10030</v>
      </c>
      <c r="K2568" s="8" t="n">
        <v>9890</v>
      </c>
      <c r="L2568" s="8" t="n">
        <v>271810</v>
      </c>
      <c r="M2568" s="8" t="n">
        <v>490872</v>
      </c>
      <c r="N2568" t="inlineStr">
        <is>
          <t>是</t>
        </is>
      </c>
    </row>
    <row r="2569">
      <c r="A2569" s="7" t="inlineStr">
        <is>
          <t>2018-01-29</t>
        </is>
      </c>
      <c r="B2569" s="8" t="n">
        <v>9564</v>
      </c>
      <c r="C2569" s="8" t="n">
        <v>9582</v>
      </c>
      <c r="D2569" s="8" t="n">
        <v>9668</v>
      </c>
      <c r="E2569" s="8" t="n">
        <v>9545</v>
      </c>
      <c r="F2569" s="8" t="n">
        <v>318274</v>
      </c>
      <c r="G2569" s="8" t="n">
        <v>551616</v>
      </c>
      <c r="H2569" s="8" t="n">
        <v>9965</v>
      </c>
      <c r="I2569" s="8" t="n">
        <v>10010</v>
      </c>
      <c r="J2569" s="8" t="n">
        <v>10065</v>
      </c>
      <c r="K2569" s="8" t="n">
        <v>9960</v>
      </c>
      <c r="L2569" s="8" t="n">
        <v>226256</v>
      </c>
      <c r="M2569" s="8" t="n">
        <v>467360</v>
      </c>
      <c r="N2569" t="inlineStr">
        <is>
          <t>是</t>
        </is>
      </c>
    </row>
    <row r="2570">
      <c r="A2570" s="7" t="inlineStr">
        <is>
          <t>2018-01-30</t>
        </is>
      </c>
      <c r="B2570" s="8" t="n">
        <v>9489</v>
      </c>
      <c r="C2570" s="8" t="n">
        <v>9530</v>
      </c>
      <c r="D2570" s="8" t="n">
        <v>9600</v>
      </c>
      <c r="E2570" s="8" t="n">
        <v>9470</v>
      </c>
      <c r="F2570" s="8" t="n">
        <v>449708</v>
      </c>
      <c r="G2570" s="8" t="n">
        <v>536356</v>
      </c>
      <c r="H2570" s="8" t="n">
        <v>9840</v>
      </c>
      <c r="I2570" s="8" t="n">
        <v>9950</v>
      </c>
      <c r="J2570" s="8" t="n">
        <v>9985</v>
      </c>
      <c r="K2570" s="8" t="n">
        <v>9815</v>
      </c>
      <c r="L2570" s="8" t="n">
        <v>323186</v>
      </c>
      <c r="M2570" s="8" t="n">
        <v>467142</v>
      </c>
      <c r="N2570" t="inlineStr">
        <is>
          <t>是</t>
        </is>
      </c>
    </row>
    <row r="2571">
      <c r="A2571" s="7" t="inlineStr">
        <is>
          <t>2018-01-31</t>
        </is>
      </c>
      <c r="B2571" s="8" t="n">
        <v>9512</v>
      </c>
      <c r="C2571" s="8" t="n">
        <v>9454</v>
      </c>
      <c r="D2571" s="8" t="n">
        <v>9520</v>
      </c>
      <c r="E2571" s="8" t="n">
        <v>9442</v>
      </c>
      <c r="F2571" s="8" t="n">
        <v>317800</v>
      </c>
      <c r="G2571" s="8" t="n">
        <v>533148</v>
      </c>
      <c r="H2571" s="8" t="n">
        <v>9795</v>
      </c>
      <c r="I2571" s="8" t="n">
        <v>9800</v>
      </c>
      <c r="J2571" s="8" t="n">
        <v>9840</v>
      </c>
      <c r="K2571" s="8" t="n">
        <v>9750</v>
      </c>
      <c r="L2571" s="8" t="n">
        <v>255410</v>
      </c>
      <c r="M2571" s="8" t="n">
        <v>442584</v>
      </c>
      <c r="N2571" t="inlineStr">
        <is>
          <t>是</t>
        </is>
      </c>
    </row>
    <row r="2572">
      <c r="A2572" s="7" t="inlineStr">
        <is>
          <t>2018-02-01</t>
        </is>
      </c>
      <c r="B2572" s="8" t="n">
        <v>9408</v>
      </c>
      <c r="C2572" s="8" t="n">
        <v>9518</v>
      </c>
      <c r="D2572" s="8" t="n">
        <v>9528</v>
      </c>
      <c r="E2572" s="8" t="n">
        <v>9402</v>
      </c>
      <c r="F2572" s="8" t="n">
        <v>348798</v>
      </c>
      <c r="G2572" s="8" t="n">
        <v>529374</v>
      </c>
      <c r="H2572" s="8" t="n">
        <v>9720</v>
      </c>
      <c r="I2572" s="8" t="n">
        <v>9805</v>
      </c>
      <c r="J2572" s="8" t="n">
        <v>9835</v>
      </c>
      <c r="K2572" s="8" t="n">
        <v>9700</v>
      </c>
      <c r="L2572" s="8" t="n">
        <v>243588</v>
      </c>
      <c r="M2572" s="8" t="n">
        <v>429582</v>
      </c>
      <c r="N2572" t="inlineStr">
        <is>
          <t>是</t>
        </is>
      </c>
    </row>
    <row r="2573">
      <c r="A2573" s="7" t="inlineStr">
        <is>
          <t>2018-02-02</t>
        </is>
      </c>
      <c r="B2573" s="8" t="n">
        <v>9375</v>
      </c>
      <c r="C2573" s="8" t="n">
        <v>9450</v>
      </c>
      <c r="D2573" s="8" t="n">
        <v>9460</v>
      </c>
      <c r="E2573" s="8" t="n">
        <v>9360</v>
      </c>
      <c r="F2573" s="8" t="n">
        <v>256816</v>
      </c>
      <c r="G2573" s="8" t="n">
        <v>513962</v>
      </c>
      <c r="H2573" s="8" t="n">
        <v>9660</v>
      </c>
      <c r="I2573" s="8" t="n">
        <v>9770</v>
      </c>
      <c r="J2573" s="8" t="n">
        <v>9775</v>
      </c>
      <c r="K2573" s="8" t="n">
        <v>9655</v>
      </c>
      <c r="L2573" s="8" t="n">
        <v>200996</v>
      </c>
      <c r="M2573" s="8" t="n">
        <v>427718</v>
      </c>
      <c r="N2573" t="inlineStr">
        <is>
          <t>是</t>
        </is>
      </c>
    </row>
    <row r="2574">
      <c r="A2574" s="7" t="inlineStr">
        <is>
          <t>2018-02-05</t>
        </is>
      </c>
      <c r="B2574" s="8" t="n">
        <v>9500</v>
      </c>
      <c r="C2574" s="8" t="n">
        <v>9336</v>
      </c>
      <c r="D2574" s="8" t="n">
        <v>9500</v>
      </c>
      <c r="E2574" s="8" t="n">
        <v>9336</v>
      </c>
      <c r="F2574" s="8" t="n">
        <v>337956</v>
      </c>
      <c r="G2574" s="8" t="n">
        <v>535404</v>
      </c>
      <c r="H2574" s="8" t="n">
        <v>9715</v>
      </c>
      <c r="I2574" s="8" t="n">
        <v>9640</v>
      </c>
      <c r="J2574" s="8" t="n">
        <v>9730</v>
      </c>
      <c r="K2574" s="8" t="n">
        <v>9615</v>
      </c>
      <c r="L2574" s="8" t="n">
        <v>249374</v>
      </c>
      <c r="M2574" s="8" t="n">
        <v>427032</v>
      </c>
      <c r="N2574" t="inlineStr">
        <is>
          <t>是</t>
        </is>
      </c>
    </row>
    <row r="2575">
      <c r="A2575" s="7" t="inlineStr">
        <is>
          <t>2018-02-06</t>
        </is>
      </c>
      <c r="B2575" s="8" t="n">
        <v>9416</v>
      </c>
      <c r="C2575" s="8" t="n">
        <v>9461</v>
      </c>
      <c r="D2575" s="8" t="n">
        <v>9489</v>
      </c>
      <c r="E2575" s="8" t="n">
        <v>9390</v>
      </c>
      <c r="F2575" s="8" t="n">
        <v>350276</v>
      </c>
      <c r="G2575" s="8" t="n">
        <v>504170</v>
      </c>
      <c r="H2575" s="8" t="n">
        <v>9610</v>
      </c>
      <c r="I2575" s="8" t="n">
        <v>9670</v>
      </c>
      <c r="J2575" s="8" t="n">
        <v>9705</v>
      </c>
      <c r="K2575" s="8" t="n">
        <v>9575</v>
      </c>
      <c r="L2575" s="8" t="n">
        <v>281534</v>
      </c>
      <c r="M2575" s="8" t="n">
        <v>411502</v>
      </c>
      <c r="N2575" t="inlineStr">
        <is>
          <t>是</t>
        </is>
      </c>
    </row>
    <row r="2576">
      <c r="A2576" s="7" t="inlineStr">
        <is>
          <t>2018-02-07</t>
        </is>
      </c>
      <c r="B2576" s="8" t="n">
        <v>9306</v>
      </c>
      <c r="C2576" s="8" t="n">
        <v>9450</v>
      </c>
      <c r="D2576" s="8" t="n">
        <v>9473</v>
      </c>
      <c r="E2576" s="8" t="n">
        <v>9288</v>
      </c>
      <c r="F2576" s="8" t="n">
        <v>450102</v>
      </c>
      <c r="G2576" s="8" t="n">
        <v>539000</v>
      </c>
      <c r="H2576" s="8" t="n">
        <v>9585</v>
      </c>
      <c r="I2576" s="8" t="n">
        <v>9645</v>
      </c>
      <c r="J2576" s="8" t="n">
        <v>9665</v>
      </c>
      <c r="K2576" s="8" t="n">
        <v>9570</v>
      </c>
      <c r="L2576" s="8" t="n">
        <v>196988</v>
      </c>
      <c r="M2576" s="8" t="n">
        <v>420834</v>
      </c>
      <c r="N2576" t="inlineStr">
        <is>
          <t>是</t>
        </is>
      </c>
    </row>
    <row r="2577">
      <c r="A2577" s="7" t="inlineStr">
        <is>
          <t>2018-02-08</t>
        </is>
      </c>
      <c r="B2577" s="8" t="n">
        <v>9239</v>
      </c>
      <c r="C2577" s="8" t="n">
        <v>9264</v>
      </c>
      <c r="D2577" s="8" t="n">
        <v>9297</v>
      </c>
      <c r="E2577" s="8" t="n">
        <v>9187</v>
      </c>
      <c r="F2577" s="8" t="n">
        <v>392830</v>
      </c>
      <c r="G2577" s="8" t="n">
        <v>533450</v>
      </c>
      <c r="H2577" s="8" t="n">
        <v>9555</v>
      </c>
      <c r="I2577" s="8" t="n">
        <v>9555</v>
      </c>
      <c r="J2577" s="8" t="n">
        <v>9600</v>
      </c>
      <c r="K2577" s="8" t="n">
        <v>9470</v>
      </c>
      <c r="L2577" s="8" t="n">
        <v>336400</v>
      </c>
      <c r="M2577" s="8" t="n">
        <v>408152</v>
      </c>
      <c r="N2577" t="inlineStr">
        <is>
          <t>是</t>
        </is>
      </c>
    </row>
    <row r="2578">
      <c r="A2578" s="7" t="inlineStr">
        <is>
          <t>2018-02-09</t>
        </is>
      </c>
      <c r="B2578" s="8" t="n">
        <v>9238</v>
      </c>
      <c r="C2578" s="8" t="n">
        <v>9219</v>
      </c>
      <c r="D2578" s="8" t="n">
        <v>9267</v>
      </c>
      <c r="E2578" s="8" t="n">
        <v>9205</v>
      </c>
      <c r="F2578" s="8" t="n">
        <v>237382</v>
      </c>
      <c r="G2578" s="8" t="n">
        <v>520366</v>
      </c>
      <c r="H2578" s="8" t="n">
        <v>9510</v>
      </c>
      <c r="I2578" s="8" t="n">
        <v>9550</v>
      </c>
      <c r="J2578" s="8" t="n">
        <v>9595</v>
      </c>
      <c r="K2578" s="8" t="n">
        <v>9490</v>
      </c>
      <c r="L2578" s="8" t="n">
        <v>221408</v>
      </c>
      <c r="M2578" s="8" t="n">
        <v>396434</v>
      </c>
      <c r="N2578" t="inlineStr">
        <is>
          <t>是</t>
        </is>
      </c>
    </row>
    <row r="2579">
      <c r="A2579" s="7" t="inlineStr">
        <is>
          <t>2018-02-12</t>
        </is>
      </c>
      <c r="B2579" s="8" t="n">
        <v>9203</v>
      </c>
      <c r="C2579" s="8" t="n">
        <v>9239</v>
      </c>
      <c r="D2579" s="8" t="n">
        <v>9257</v>
      </c>
      <c r="E2579" s="8" t="n">
        <v>9161</v>
      </c>
      <c r="F2579" s="8" t="n">
        <v>317312</v>
      </c>
      <c r="G2579" s="8" t="n">
        <v>527150</v>
      </c>
      <c r="H2579" s="8" t="n">
        <v>9440</v>
      </c>
      <c r="I2579" s="8" t="n">
        <v>9500</v>
      </c>
      <c r="J2579" s="8" t="n">
        <v>9530</v>
      </c>
      <c r="K2579" s="8" t="n">
        <v>9425</v>
      </c>
      <c r="L2579" s="8" t="n">
        <v>225278</v>
      </c>
      <c r="M2579" s="8" t="n">
        <v>408924</v>
      </c>
      <c r="N2579" t="inlineStr">
        <is>
          <t>是</t>
        </is>
      </c>
    </row>
    <row r="2580">
      <c r="A2580" s="7" t="inlineStr">
        <is>
          <t>2018-02-13</t>
        </is>
      </c>
      <c r="B2580" s="8" t="n">
        <v>9204</v>
      </c>
      <c r="C2580" s="8" t="n">
        <v>9218</v>
      </c>
      <c r="D2580" s="8" t="n">
        <v>9218</v>
      </c>
      <c r="E2580" s="8" t="n">
        <v>9150</v>
      </c>
      <c r="F2580" s="8" t="n">
        <v>180666</v>
      </c>
      <c r="G2580" s="8" t="n">
        <v>492132</v>
      </c>
      <c r="H2580" s="8" t="n">
        <v>9420</v>
      </c>
      <c r="I2580" s="8" t="n">
        <v>9450</v>
      </c>
      <c r="J2580" s="8" t="n">
        <v>9465</v>
      </c>
      <c r="K2580" s="8" t="n">
        <v>9400</v>
      </c>
      <c r="L2580" s="8" t="n">
        <v>127712</v>
      </c>
      <c r="M2580" s="8" t="n">
        <v>385148</v>
      </c>
      <c r="N2580" t="inlineStr">
        <is>
          <t>是</t>
        </is>
      </c>
    </row>
    <row r="2581">
      <c r="A2581" s="7" t="inlineStr">
        <is>
          <t>2018-02-14</t>
        </is>
      </c>
      <c r="B2581" s="8" t="n">
        <v>9326</v>
      </c>
      <c r="C2581" s="8" t="n">
        <v>9210</v>
      </c>
      <c r="D2581" s="8" t="n">
        <v>9375</v>
      </c>
      <c r="E2581" s="8" t="n">
        <v>9207</v>
      </c>
      <c r="F2581" s="8" t="n">
        <v>308776</v>
      </c>
      <c r="G2581" s="8" t="n">
        <v>465374</v>
      </c>
      <c r="H2581" s="8" t="n">
        <v>9535</v>
      </c>
      <c r="I2581" s="8" t="n">
        <v>9435</v>
      </c>
      <c r="J2581" s="8" t="n">
        <v>9545</v>
      </c>
      <c r="K2581" s="8" t="n">
        <v>9435</v>
      </c>
      <c r="L2581" s="8" t="n">
        <v>185858</v>
      </c>
      <c r="M2581" s="8" t="n">
        <v>379152</v>
      </c>
      <c r="N2581" t="inlineStr">
        <is>
          <t>是</t>
        </is>
      </c>
    </row>
    <row r="2582">
      <c r="A2582" s="7" t="inlineStr">
        <is>
          <t>2018-02-22</t>
        </is>
      </c>
      <c r="B2582" s="8" t="n">
        <v>9282</v>
      </c>
      <c r="C2582" s="8" t="n">
        <v>9373</v>
      </c>
      <c r="D2582" s="8" t="n">
        <v>9395</v>
      </c>
      <c r="E2582" s="8" t="n">
        <v>9264</v>
      </c>
      <c r="F2582" s="8" t="n">
        <v>208774</v>
      </c>
      <c r="G2582" s="8" t="n">
        <v>464306</v>
      </c>
      <c r="H2582" s="8" t="n">
        <v>9520</v>
      </c>
      <c r="I2582" s="8" t="n">
        <v>9555</v>
      </c>
      <c r="J2582" s="8" t="n">
        <v>9630</v>
      </c>
      <c r="K2582" s="8" t="n">
        <v>9515</v>
      </c>
      <c r="L2582" s="8" t="n">
        <v>181236</v>
      </c>
      <c r="M2582" s="8" t="n">
        <v>382004</v>
      </c>
      <c r="N2582" t="inlineStr">
        <is>
          <t>是</t>
        </is>
      </c>
    </row>
    <row r="2583">
      <c r="A2583" s="7" t="inlineStr">
        <is>
          <t>2018-02-23</t>
        </is>
      </c>
      <c r="B2583" s="8" t="n">
        <v>9304</v>
      </c>
      <c r="C2583" s="8" t="n">
        <v>9328</v>
      </c>
      <c r="D2583" s="8" t="n">
        <v>9336</v>
      </c>
      <c r="E2583" s="8" t="n">
        <v>9280</v>
      </c>
      <c r="F2583" s="8" t="n">
        <v>241936</v>
      </c>
      <c r="G2583" s="8" t="n">
        <v>483770</v>
      </c>
      <c r="H2583" s="8" t="n">
        <v>9590</v>
      </c>
      <c r="I2583" s="8" t="n">
        <v>9560</v>
      </c>
      <c r="J2583" s="8" t="n">
        <v>9605</v>
      </c>
      <c r="K2583" s="8" t="n">
        <v>9550</v>
      </c>
      <c r="L2583" s="8" t="n">
        <v>173832</v>
      </c>
      <c r="M2583" s="8" t="n">
        <v>394386</v>
      </c>
      <c r="N2583" t="inlineStr">
        <is>
          <t>是</t>
        </is>
      </c>
    </row>
    <row r="2584">
      <c r="A2584" s="7" t="inlineStr">
        <is>
          <t>2018-02-26</t>
        </is>
      </c>
      <c r="B2584" s="8" t="n">
        <v>9210</v>
      </c>
      <c r="C2584" s="8" t="n">
        <v>9328</v>
      </c>
      <c r="D2584" s="8" t="n">
        <v>9395</v>
      </c>
      <c r="E2584" s="8" t="n">
        <v>9210</v>
      </c>
      <c r="F2584" s="8" t="n">
        <v>451562</v>
      </c>
      <c r="G2584" s="8" t="n">
        <v>526832</v>
      </c>
      <c r="H2584" s="8" t="n">
        <v>9565</v>
      </c>
      <c r="I2584" s="8" t="n">
        <v>9610</v>
      </c>
      <c r="J2584" s="8" t="n">
        <v>9665</v>
      </c>
      <c r="K2584" s="8" t="n">
        <v>9545</v>
      </c>
      <c r="L2584" s="8" t="n">
        <v>265180</v>
      </c>
      <c r="M2584" s="8" t="n">
        <v>410284</v>
      </c>
      <c r="N2584" t="inlineStr">
        <is>
          <t>是</t>
        </is>
      </c>
    </row>
    <row r="2585">
      <c r="A2585" s="7" t="inlineStr">
        <is>
          <t>2018-02-27</t>
        </is>
      </c>
      <c r="B2585" s="8" t="n">
        <v>9174</v>
      </c>
      <c r="C2585" s="8" t="n">
        <v>9210</v>
      </c>
      <c r="D2585" s="8" t="n">
        <v>9238</v>
      </c>
      <c r="E2585" s="8" t="n">
        <v>9115</v>
      </c>
      <c r="F2585" s="8" t="n">
        <v>383254</v>
      </c>
      <c r="G2585" s="8" t="n">
        <v>516680</v>
      </c>
      <c r="H2585" s="8" t="n">
        <v>9485</v>
      </c>
      <c r="I2585" s="8" t="n">
        <v>9565</v>
      </c>
      <c r="J2585" s="8" t="n">
        <v>9590</v>
      </c>
      <c r="K2585" s="8" t="n">
        <v>9425</v>
      </c>
      <c r="L2585" s="8" t="n">
        <v>343036</v>
      </c>
      <c r="M2585" s="8" t="n">
        <v>431542</v>
      </c>
      <c r="N2585" t="inlineStr">
        <is>
          <t>是</t>
        </is>
      </c>
    </row>
    <row r="2586">
      <c r="A2586" s="7" t="inlineStr">
        <is>
          <t>2018-02-28</t>
        </is>
      </c>
      <c r="B2586" s="8" t="n">
        <v>9149</v>
      </c>
      <c r="C2586" s="8" t="n">
        <v>9170</v>
      </c>
      <c r="D2586" s="8" t="n">
        <v>9196</v>
      </c>
      <c r="E2586" s="8" t="n">
        <v>9142</v>
      </c>
      <c r="F2586" s="8" t="n">
        <v>241040</v>
      </c>
      <c r="G2586" s="8" t="n">
        <v>508156</v>
      </c>
      <c r="H2586" s="8" t="n">
        <v>9485</v>
      </c>
      <c r="I2586" s="8" t="n">
        <v>9465</v>
      </c>
      <c r="J2586" s="8" t="n">
        <v>9525</v>
      </c>
      <c r="K2586" s="8" t="n">
        <v>9465</v>
      </c>
      <c r="L2586" s="8" t="n">
        <v>187466</v>
      </c>
      <c r="M2586" s="8" t="n">
        <v>424874</v>
      </c>
      <c r="N2586" t="inlineStr">
        <is>
          <t>是</t>
        </is>
      </c>
    </row>
    <row r="2587">
      <c r="A2587" s="7" t="inlineStr">
        <is>
          <t>2018-03-01</t>
        </is>
      </c>
      <c r="B2587" s="8" t="n">
        <v>9272</v>
      </c>
      <c r="C2587" s="8" t="n">
        <v>9129</v>
      </c>
      <c r="D2587" s="8" t="n">
        <v>9302</v>
      </c>
      <c r="E2587" s="8" t="n">
        <v>9097</v>
      </c>
      <c r="F2587" s="8" t="n">
        <v>505484</v>
      </c>
      <c r="G2587" s="8" t="n">
        <v>509836</v>
      </c>
      <c r="H2587" s="8" t="n">
        <v>9680</v>
      </c>
      <c r="I2587" s="8" t="n">
        <v>9465</v>
      </c>
      <c r="J2587" s="8" t="n">
        <v>9705</v>
      </c>
      <c r="K2587" s="8" t="n">
        <v>9455</v>
      </c>
      <c r="L2587" s="8" t="n">
        <v>497622</v>
      </c>
      <c r="M2587" s="8" t="n">
        <v>462932</v>
      </c>
      <c r="N2587" t="inlineStr">
        <is>
          <t>是</t>
        </is>
      </c>
    </row>
    <row r="2588">
      <c r="A2588" s="7" t="inlineStr">
        <is>
          <t>2018-03-02</t>
        </is>
      </c>
      <c r="B2588" s="8" t="n">
        <v>9262</v>
      </c>
      <c r="C2588" s="8" t="n">
        <v>9264</v>
      </c>
      <c r="D2588" s="8" t="n">
        <v>9284</v>
      </c>
      <c r="E2588" s="8" t="n">
        <v>9204</v>
      </c>
      <c r="F2588" s="8" t="n">
        <v>269974</v>
      </c>
      <c r="G2588" s="8" t="n">
        <v>465750</v>
      </c>
      <c r="H2588" s="8" t="n">
        <v>9625</v>
      </c>
      <c r="I2588" s="8" t="n">
        <v>9670</v>
      </c>
      <c r="J2588" s="8" t="n">
        <v>9670</v>
      </c>
      <c r="K2588" s="8" t="n">
        <v>9615</v>
      </c>
      <c r="L2588" s="8" t="n">
        <v>218166</v>
      </c>
      <c r="M2588" s="8" t="n">
        <v>436008</v>
      </c>
      <c r="N2588" t="inlineStr">
        <is>
          <t>是</t>
        </is>
      </c>
    </row>
    <row r="2589">
      <c r="A2589" s="7" t="inlineStr">
        <is>
          <t>2018-03-05</t>
        </is>
      </c>
      <c r="B2589" s="8" t="n">
        <v>9172</v>
      </c>
      <c r="C2589" s="8" t="n">
        <v>9262</v>
      </c>
      <c r="D2589" s="8" t="n">
        <v>9294</v>
      </c>
      <c r="E2589" s="8" t="n">
        <v>9161</v>
      </c>
      <c r="F2589" s="8" t="n">
        <v>321566</v>
      </c>
      <c r="G2589" s="8" t="n">
        <v>484508</v>
      </c>
      <c r="H2589" s="8" t="n">
        <v>9540</v>
      </c>
      <c r="I2589" s="8" t="n">
        <v>9635</v>
      </c>
      <c r="J2589" s="8" t="n">
        <v>9675</v>
      </c>
      <c r="K2589" s="8" t="n">
        <v>9540</v>
      </c>
      <c r="L2589" s="8" t="n">
        <v>289782</v>
      </c>
      <c r="M2589" s="8" t="n">
        <v>428236</v>
      </c>
      <c r="N2589" t="inlineStr">
        <is>
          <t>是</t>
        </is>
      </c>
    </row>
    <row r="2590">
      <c r="A2590" s="7" t="inlineStr">
        <is>
          <t>2018-03-06</t>
        </is>
      </c>
      <c r="B2590" s="8" t="n">
        <v>9227</v>
      </c>
      <c r="C2590" s="8" t="n">
        <v>9200</v>
      </c>
      <c r="D2590" s="8" t="n">
        <v>9251</v>
      </c>
      <c r="E2590" s="8" t="n">
        <v>9157</v>
      </c>
      <c r="F2590" s="8" t="n">
        <v>311564</v>
      </c>
      <c r="G2590" s="8" t="n">
        <v>445948</v>
      </c>
      <c r="H2590" s="8" t="n">
        <v>9535</v>
      </c>
      <c r="I2590" s="8" t="n">
        <v>9560</v>
      </c>
      <c r="J2590" s="8" t="n">
        <v>9580</v>
      </c>
      <c r="K2590" s="8" t="n">
        <v>9475</v>
      </c>
      <c r="L2590" s="8" t="n">
        <v>328454</v>
      </c>
      <c r="M2590" s="8" t="n">
        <v>421374</v>
      </c>
      <c r="N2590" t="inlineStr">
        <is>
          <t>是</t>
        </is>
      </c>
    </row>
    <row r="2591">
      <c r="A2591" s="7" t="inlineStr">
        <is>
          <t>2018-03-07</t>
        </is>
      </c>
      <c r="B2591" s="8" t="n">
        <v>9150</v>
      </c>
      <c r="C2591" s="8" t="n">
        <v>9200</v>
      </c>
      <c r="D2591" s="8" t="n">
        <v>9229</v>
      </c>
      <c r="E2591" s="8" t="n">
        <v>9114</v>
      </c>
      <c r="F2591" s="8" t="n">
        <v>375912</v>
      </c>
      <c r="G2591" s="8" t="n">
        <v>458360</v>
      </c>
      <c r="H2591" s="8" t="n">
        <v>9470</v>
      </c>
      <c r="I2591" s="8" t="n">
        <v>9530</v>
      </c>
      <c r="J2591" s="8" t="n">
        <v>9545</v>
      </c>
      <c r="K2591" s="8" t="n">
        <v>9400</v>
      </c>
      <c r="L2591" s="8" t="n">
        <v>388898</v>
      </c>
      <c r="M2591" s="8" t="n">
        <v>404336</v>
      </c>
      <c r="N2591" t="inlineStr">
        <is>
          <t>是</t>
        </is>
      </c>
    </row>
    <row r="2592">
      <c r="A2592" s="7" t="inlineStr">
        <is>
          <t>2018-03-08</t>
        </is>
      </c>
      <c r="B2592" s="8" t="n">
        <v>8970</v>
      </c>
      <c r="C2592" s="8" t="n">
        <v>9160</v>
      </c>
      <c r="D2592" s="8" t="n">
        <v>9160</v>
      </c>
      <c r="E2592" s="8" t="n">
        <v>8956</v>
      </c>
      <c r="F2592" s="8" t="n">
        <v>481658</v>
      </c>
      <c r="G2592" s="8" t="n">
        <v>457276</v>
      </c>
      <c r="H2592" s="8" t="n">
        <v>9305</v>
      </c>
      <c r="I2592" s="8" t="n">
        <v>9470</v>
      </c>
      <c r="J2592" s="8" t="n">
        <v>9485</v>
      </c>
      <c r="K2592" s="8" t="n">
        <v>9285</v>
      </c>
      <c r="L2592" s="8" t="n">
        <v>353064</v>
      </c>
      <c r="M2592" s="8" t="n">
        <v>437644</v>
      </c>
      <c r="N2592" t="inlineStr">
        <is>
          <t>是</t>
        </is>
      </c>
    </row>
    <row r="2593">
      <c r="A2593" s="7" t="inlineStr">
        <is>
          <t>2018-03-09</t>
        </is>
      </c>
      <c r="B2593" s="8" t="n">
        <v>8982</v>
      </c>
      <c r="C2593" s="8" t="n">
        <v>8970</v>
      </c>
      <c r="D2593" s="8" t="n">
        <v>9018</v>
      </c>
      <c r="E2593" s="8" t="n">
        <v>8942</v>
      </c>
      <c r="F2593" s="8" t="n">
        <v>282568</v>
      </c>
      <c r="G2593" s="8" t="n">
        <v>436654</v>
      </c>
      <c r="H2593" s="8" t="n">
        <v>9305</v>
      </c>
      <c r="I2593" s="8" t="n">
        <v>9310</v>
      </c>
      <c r="J2593" s="8" t="n">
        <v>9360</v>
      </c>
      <c r="K2593" s="8" t="n">
        <v>9260</v>
      </c>
      <c r="L2593" s="8" t="n">
        <v>281654</v>
      </c>
      <c r="M2593" s="8" t="n">
        <v>403534</v>
      </c>
      <c r="N2593" t="inlineStr">
        <is>
          <t>是</t>
        </is>
      </c>
    </row>
    <row r="2594">
      <c r="A2594" s="7" t="inlineStr">
        <is>
          <t>2018-03-12</t>
        </is>
      </c>
      <c r="B2594" s="8" t="n">
        <v>8889</v>
      </c>
      <c r="C2594" s="8" t="n">
        <v>9030</v>
      </c>
      <c r="D2594" s="8" t="n">
        <v>9050</v>
      </c>
      <c r="E2594" s="8" t="n">
        <v>8851</v>
      </c>
      <c r="F2594" s="8" t="n">
        <v>396998</v>
      </c>
      <c r="G2594" s="8" t="n">
        <v>457028</v>
      </c>
      <c r="H2594" s="8" t="n">
        <v>9160</v>
      </c>
      <c r="I2594" s="8" t="n">
        <v>9365</v>
      </c>
      <c r="J2594" s="8" t="n">
        <v>9370</v>
      </c>
      <c r="K2594" s="8" t="n">
        <v>9135</v>
      </c>
      <c r="L2594" s="8" t="n">
        <v>463248</v>
      </c>
      <c r="M2594" s="8" t="n">
        <v>420668</v>
      </c>
      <c r="N2594" t="inlineStr">
        <is>
          <t>是</t>
        </is>
      </c>
    </row>
    <row r="2595">
      <c r="A2595" s="7" t="inlineStr">
        <is>
          <t>2018-03-13</t>
        </is>
      </c>
      <c r="B2595" s="8" t="n">
        <v>8882</v>
      </c>
      <c r="C2595" s="8" t="n">
        <v>8882</v>
      </c>
      <c r="D2595" s="8" t="n">
        <v>8919</v>
      </c>
      <c r="E2595" s="8" t="n">
        <v>8860</v>
      </c>
      <c r="F2595" s="8" t="n">
        <v>193506</v>
      </c>
      <c r="G2595" s="8" t="n">
        <v>426618</v>
      </c>
      <c r="H2595" s="8" t="n">
        <v>9195</v>
      </c>
      <c r="I2595" s="8" t="n">
        <v>9170</v>
      </c>
      <c r="J2595" s="8" t="n">
        <v>9225</v>
      </c>
      <c r="K2595" s="8" t="n">
        <v>9145</v>
      </c>
      <c r="L2595" s="8" t="n">
        <v>186746</v>
      </c>
      <c r="M2595" s="8" t="n">
        <v>395472</v>
      </c>
      <c r="N2595" t="inlineStr">
        <is>
          <t>是</t>
        </is>
      </c>
    </row>
    <row r="2596">
      <c r="A2596" s="7" t="inlineStr">
        <is>
          <t>2018-03-14</t>
        </is>
      </c>
      <c r="B2596" s="8" t="n">
        <v>8931</v>
      </c>
      <c r="C2596" s="8" t="n">
        <v>8909</v>
      </c>
      <c r="D2596" s="8" t="n">
        <v>8986</v>
      </c>
      <c r="E2596" s="8" t="n">
        <v>8840</v>
      </c>
      <c r="F2596" s="8" t="n">
        <v>360530</v>
      </c>
      <c r="G2596" s="8" t="n">
        <v>404244</v>
      </c>
      <c r="H2596" s="8" t="n">
        <v>9350</v>
      </c>
      <c r="I2596" s="8" t="n">
        <v>9205</v>
      </c>
      <c r="J2596" s="8" t="n">
        <v>9365</v>
      </c>
      <c r="K2596" s="8" t="n">
        <v>9175</v>
      </c>
      <c r="L2596" s="8" t="n">
        <v>400000</v>
      </c>
      <c r="M2596" s="8" t="n">
        <v>380922</v>
      </c>
      <c r="N2596" t="inlineStr">
        <is>
          <t>是</t>
        </is>
      </c>
    </row>
    <row r="2597">
      <c r="A2597" s="7" t="inlineStr">
        <is>
          <t>2018-03-15</t>
        </is>
      </c>
      <c r="B2597" s="8" t="n">
        <v>8890</v>
      </c>
      <c r="C2597" s="8" t="n">
        <v>8911</v>
      </c>
      <c r="D2597" s="8" t="n">
        <v>8973</v>
      </c>
      <c r="E2597" s="8" t="n">
        <v>8867</v>
      </c>
      <c r="F2597" s="8" t="n">
        <v>284398</v>
      </c>
      <c r="G2597" s="8" t="n">
        <v>412496</v>
      </c>
      <c r="H2597" s="8" t="n">
        <v>9330</v>
      </c>
      <c r="I2597" s="8" t="n">
        <v>9330</v>
      </c>
      <c r="J2597" s="8" t="n">
        <v>9365</v>
      </c>
      <c r="K2597" s="8" t="n">
        <v>9275</v>
      </c>
      <c r="L2597" s="8" t="n">
        <v>243382</v>
      </c>
      <c r="M2597" s="8" t="n">
        <v>383460</v>
      </c>
      <c r="N2597" t="inlineStr">
        <is>
          <t>是</t>
        </is>
      </c>
    </row>
    <row r="2598">
      <c r="A2598" s="7" t="inlineStr">
        <is>
          <t>2018-03-16</t>
        </is>
      </c>
      <c r="B2598" s="8" t="n">
        <v>8758</v>
      </c>
      <c r="C2598" s="8" t="n">
        <v>8888</v>
      </c>
      <c r="D2598" s="8" t="n">
        <v>8900</v>
      </c>
      <c r="E2598" s="8" t="n">
        <v>8745</v>
      </c>
      <c r="F2598" s="8" t="n">
        <v>426120</v>
      </c>
      <c r="G2598" s="8" t="n">
        <v>458116</v>
      </c>
      <c r="H2598" s="8" t="n">
        <v>9260</v>
      </c>
      <c r="I2598" s="8" t="n">
        <v>9330</v>
      </c>
      <c r="J2598" s="8" t="n">
        <v>9345</v>
      </c>
      <c r="K2598" s="8" t="n">
        <v>9225</v>
      </c>
      <c r="L2598" s="8" t="n">
        <v>276574</v>
      </c>
      <c r="M2598" s="8" t="n">
        <v>385894</v>
      </c>
      <c r="N2598" t="inlineStr">
        <is>
          <t>是</t>
        </is>
      </c>
    </row>
    <row r="2599">
      <c r="A2599" s="7" t="inlineStr">
        <is>
          <t>2018-03-19</t>
        </is>
      </c>
      <c r="B2599" s="8" t="n">
        <v>8757</v>
      </c>
      <c r="C2599" s="8" t="n">
        <v>8760</v>
      </c>
      <c r="D2599" s="8" t="n">
        <v>8815</v>
      </c>
      <c r="E2599" s="8" t="n">
        <v>8732</v>
      </c>
      <c r="F2599" s="8" t="n">
        <v>339602</v>
      </c>
      <c r="G2599" s="8" t="n">
        <v>452004</v>
      </c>
      <c r="H2599" s="8" t="n">
        <v>9345</v>
      </c>
      <c r="I2599" s="8" t="n">
        <v>9270</v>
      </c>
      <c r="J2599" s="8" t="n">
        <v>9390</v>
      </c>
      <c r="K2599" s="8" t="n">
        <v>9225</v>
      </c>
      <c r="L2599" s="8" t="n">
        <v>365010</v>
      </c>
      <c r="M2599" s="8" t="n">
        <v>403498</v>
      </c>
      <c r="N2599" t="inlineStr">
        <is>
          <t>是</t>
        </is>
      </c>
    </row>
    <row r="2600">
      <c r="A2600" s="7" t="inlineStr">
        <is>
          <t>2018-03-20</t>
        </is>
      </c>
      <c r="B2600" s="8" t="n">
        <v>8706</v>
      </c>
      <c r="C2600" s="8" t="n">
        <v>8750</v>
      </c>
      <c r="D2600" s="8" t="n">
        <v>8757</v>
      </c>
      <c r="E2600" s="8" t="n">
        <v>8605</v>
      </c>
      <c r="F2600" s="8" t="n">
        <v>410838</v>
      </c>
      <c r="G2600" s="8" t="n">
        <v>462610</v>
      </c>
      <c r="H2600" s="8" t="n">
        <v>9315</v>
      </c>
      <c r="I2600" s="8" t="n">
        <v>9345</v>
      </c>
      <c r="J2600" s="8" t="n">
        <v>9365</v>
      </c>
      <c r="K2600" s="8" t="n">
        <v>9165</v>
      </c>
      <c r="L2600" s="8" t="n">
        <v>418688</v>
      </c>
      <c r="M2600" s="8" t="n">
        <v>414786</v>
      </c>
      <c r="N2600" t="inlineStr">
        <is>
          <t>是</t>
        </is>
      </c>
    </row>
    <row r="2601">
      <c r="A2601" s="7" t="inlineStr">
        <is>
          <t>2018-03-21</t>
        </is>
      </c>
      <c r="B2601" s="8" t="n">
        <v>8697</v>
      </c>
      <c r="C2601" s="8" t="n">
        <v>8720</v>
      </c>
      <c r="D2601" s="8" t="n">
        <v>8752</v>
      </c>
      <c r="E2601" s="8" t="n">
        <v>8667</v>
      </c>
      <c r="F2601" s="8" t="n">
        <v>238880</v>
      </c>
      <c r="G2601" s="8" t="n">
        <v>444822</v>
      </c>
      <c r="H2601" s="8" t="n">
        <v>9275</v>
      </c>
      <c r="I2601" s="8" t="n">
        <v>9350</v>
      </c>
      <c r="J2601" s="8" t="n">
        <v>9365</v>
      </c>
      <c r="K2601" s="8" t="n">
        <v>9240</v>
      </c>
      <c r="L2601" s="8" t="n">
        <v>243028</v>
      </c>
      <c r="M2601" s="8" t="n">
        <v>390944</v>
      </c>
      <c r="N2601" t="inlineStr">
        <is>
          <t>是</t>
        </is>
      </c>
    </row>
    <row r="2602">
      <c r="A2602" s="7" t="inlineStr">
        <is>
          <t>2018-03-22</t>
        </is>
      </c>
      <c r="B2602" s="8" t="n">
        <v>8752</v>
      </c>
      <c r="C2602" s="8" t="n">
        <v>8750</v>
      </c>
      <c r="D2602" s="8" t="n">
        <v>8820</v>
      </c>
      <c r="E2602" s="8" t="n">
        <v>8740</v>
      </c>
      <c r="F2602" s="8" t="n">
        <v>279754</v>
      </c>
      <c r="G2602" s="8" t="n">
        <v>431692</v>
      </c>
      <c r="H2602" s="8" t="n">
        <v>9270</v>
      </c>
      <c r="I2602" s="8" t="n">
        <v>9330</v>
      </c>
      <c r="J2602" s="8" t="n">
        <v>9410</v>
      </c>
      <c r="K2602" s="8" t="n">
        <v>9265</v>
      </c>
      <c r="L2602" s="8" t="n">
        <v>289602</v>
      </c>
      <c r="M2602" s="8" t="n">
        <v>391278</v>
      </c>
      <c r="N2602" t="inlineStr">
        <is>
          <t>是</t>
        </is>
      </c>
    </row>
    <row r="2603">
      <c r="A2603" s="7" t="inlineStr">
        <is>
          <t>2018-03-23</t>
        </is>
      </c>
      <c r="B2603" s="8" t="n">
        <v>8525</v>
      </c>
      <c r="C2603" s="8" t="n">
        <v>8698</v>
      </c>
      <c r="D2603" s="8" t="n">
        <v>8698</v>
      </c>
      <c r="E2603" s="8" t="n">
        <v>8431</v>
      </c>
      <c r="F2603" s="8" t="n">
        <v>463556</v>
      </c>
      <c r="G2603" s="8" t="n">
        <v>405064</v>
      </c>
      <c r="H2603" s="8" t="n">
        <v>9165</v>
      </c>
      <c r="I2603" s="8" t="n">
        <v>9215</v>
      </c>
      <c r="J2603" s="8" t="n">
        <v>9230</v>
      </c>
      <c r="K2603" s="8" t="n">
        <v>9070</v>
      </c>
      <c r="L2603" s="8" t="n">
        <v>444560</v>
      </c>
      <c r="M2603" s="8" t="n">
        <v>361350</v>
      </c>
      <c r="N2603" t="inlineStr">
        <is>
          <t>是</t>
        </is>
      </c>
    </row>
    <row r="2604">
      <c r="A2604" s="7" t="inlineStr">
        <is>
          <t>2018-03-26</t>
        </is>
      </c>
      <c r="B2604" s="8" t="n">
        <v>8512</v>
      </c>
      <c r="C2604" s="8" t="n">
        <v>8575</v>
      </c>
      <c r="D2604" s="8" t="n">
        <v>8598</v>
      </c>
      <c r="E2604" s="8" t="n">
        <v>8501</v>
      </c>
      <c r="F2604" s="8" t="n">
        <v>247092</v>
      </c>
      <c r="G2604" s="8" t="n">
        <v>402426</v>
      </c>
      <c r="H2604" s="8" t="n">
        <v>9060</v>
      </c>
      <c r="I2604" s="8" t="n">
        <v>9205</v>
      </c>
      <c r="J2604" s="8" t="n">
        <v>9225</v>
      </c>
      <c r="K2604" s="8" t="n">
        <v>9045</v>
      </c>
      <c r="L2604" s="8" t="n">
        <v>288022</v>
      </c>
      <c r="M2604" s="8" t="n">
        <v>359318</v>
      </c>
      <c r="N2604" t="inlineStr">
        <is>
          <t>是</t>
        </is>
      </c>
    </row>
    <row r="2605">
      <c r="A2605" s="7" t="inlineStr">
        <is>
          <t>2018-03-27</t>
        </is>
      </c>
      <c r="B2605" s="8" t="n">
        <v>8609</v>
      </c>
      <c r="C2605" s="8" t="n">
        <v>8517</v>
      </c>
      <c r="D2605" s="8" t="n">
        <v>8640</v>
      </c>
      <c r="E2605" s="8" t="n">
        <v>8515</v>
      </c>
      <c r="F2605" s="8" t="n">
        <v>262914</v>
      </c>
      <c r="G2605" s="8" t="n">
        <v>379814</v>
      </c>
      <c r="H2605" s="8" t="n">
        <v>9175</v>
      </c>
      <c r="I2605" s="8" t="n">
        <v>9095</v>
      </c>
      <c r="J2605" s="8" t="n">
        <v>9180</v>
      </c>
      <c r="K2605" s="8" t="n">
        <v>9065</v>
      </c>
      <c r="L2605" s="8" t="n">
        <v>253374</v>
      </c>
      <c r="M2605" s="8" t="n">
        <v>340802</v>
      </c>
      <c r="N2605" t="inlineStr">
        <is>
          <t>是</t>
        </is>
      </c>
    </row>
    <row r="2606">
      <c r="A2606" s="7" t="inlineStr">
        <is>
          <t>2018-03-28</t>
        </is>
      </c>
      <c r="B2606" s="8" t="n">
        <v>8543</v>
      </c>
      <c r="C2606" s="8" t="n">
        <v>8580</v>
      </c>
      <c r="D2606" s="8" t="n">
        <v>8648</v>
      </c>
      <c r="E2606" s="8" t="n">
        <v>8512</v>
      </c>
      <c r="F2606" s="8" t="n">
        <v>280848</v>
      </c>
      <c r="G2606" s="8" t="n">
        <v>376344</v>
      </c>
      <c r="H2606" s="8" t="n">
        <v>9140</v>
      </c>
      <c r="I2606" s="8" t="n">
        <v>9145</v>
      </c>
      <c r="J2606" s="8" t="n">
        <v>9230</v>
      </c>
      <c r="K2606" s="8" t="n">
        <v>9110</v>
      </c>
      <c r="L2606" s="8" t="n">
        <v>239690</v>
      </c>
      <c r="M2606" s="8" t="n">
        <v>335634</v>
      </c>
      <c r="N2606" t="inlineStr">
        <is>
          <t>是</t>
        </is>
      </c>
    </row>
    <row r="2607">
      <c r="A2607" s="7" t="inlineStr">
        <is>
          <t>2018-03-29</t>
        </is>
      </c>
      <c r="B2607" s="8" t="n">
        <v>8688</v>
      </c>
      <c r="C2607" s="8" t="n">
        <v>8540</v>
      </c>
      <c r="D2607" s="8" t="n">
        <v>8716</v>
      </c>
      <c r="E2607" s="8" t="n">
        <v>8531</v>
      </c>
      <c r="F2607" s="8" t="n">
        <v>291346</v>
      </c>
      <c r="G2607" s="8" t="n">
        <v>357058</v>
      </c>
      <c r="H2607" s="8" t="n">
        <v>9220</v>
      </c>
      <c r="I2607" s="8" t="n">
        <v>9145</v>
      </c>
      <c r="J2607" s="8" t="n">
        <v>9220</v>
      </c>
      <c r="K2607" s="8" t="n">
        <v>9125</v>
      </c>
      <c r="L2607" s="8" t="n">
        <v>191618</v>
      </c>
      <c r="M2607" s="8" t="n">
        <v>326158</v>
      </c>
      <c r="N2607" t="inlineStr">
        <is>
          <t>是</t>
        </is>
      </c>
    </row>
    <row r="2608">
      <c r="A2608" s="7" t="inlineStr">
        <is>
          <t>2018-03-30</t>
        </is>
      </c>
      <c r="B2608" s="8" t="n">
        <v>8714</v>
      </c>
      <c r="C2608" s="8" t="n">
        <v>8688</v>
      </c>
      <c r="D2608" s="8" t="n">
        <v>8744</v>
      </c>
      <c r="E2608" s="8" t="n">
        <v>8660</v>
      </c>
      <c r="F2608" s="8" t="n">
        <v>240244</v>
      </c>
      <c r="G2608" s="8" t="n">
        <v>346428</v>
      </c>
      <c r="H2608" s="8" t="n">
        <v>9225</v>
      </c>
      <c r="I2608" s="8" t="n">
        <v>9225</v>
      </c>
      <c r="J2608" s="8" t="n">
        <v>9285</v>
      </c>
      <c r="K2608" s="8" t="n">
        <v>9185</v>
      </c>
      <c r="L2608" s="8" t="n">
        <v>272720</v>
      </c>
      <c r="M2608" s="8" t="n">
        <v>302130</v>
      </c>
      <c r="N2608" t="inlineStr">
        <is>
          <t>是</t>
        </is>
      </c>
    </row>
    <row r="2609">
      <c r="A2609" s="7" t="inlineStr">
        <is>
          <t>2018-04-02</t>
        </is>
      </c>
      <c r="B2609" s="8" t="n">
        <v>8843</v>
      </c>
      <c r="C2609" s="8" t="n">
        <v>8750</v>
      </c>
      <c r="D2609" s="8" t="n">
        <v>8876</v>
      </c>
      <c r="E2609" s="8" t="n">
        <v>8697</v>
      </c>
      <c r="F2609" s="8" t="n">
        <v>357092</v>
      </c>
      <c r="G2609" s="8" t="n">
        <v>288226</v>
      </c>
      <c r="H2609" s="8" t="n">
        <v>9295</v>
      </c>
      <c r="I2609" s="8" t="n">
        <v>9260</v>
      </c>
      <c r="J2609" s="8" t="n">
        <v>9320</v>
      </c>
      <c r="K2609" s="8" t="n">
        <v>9210</v>
      </c>
      <c r="L2609" s="8" t="n">
        <v>235576</v>
      </c>
      <c r="M2609" s="8" t="n">
        <v>256956</v>
      </c>
      <c r="N2609" t="inlineStr">
        <is>
          <t>是</t>
        </is>
      </c>
    </row>
    <row r="2610">
      <c r="A2610" s="7" t="inlineStr">
        <is>
          <t>2018-04-03</t>
        </is>
      </c>
      <c r="B2610" s="8" t="n">
        <v>8819</v>
      </c>
      <c r="C2610" s="8" t="n">
        <v>8819</v>
      </c>
      <c r="D2610" s="8" t="n">
        <v>8831</v>
      </c>
      <c r="E2610" s="8" t="n">
        <v>8771</v>
      </c>
      <c r="F2610" s="8" t="n">
        <v>208180</v>
      </c>
      <c r="G2610" s="8" t="n">
        <v>281344</v>
      </c>
      <c r="H2610" s="8" t="n">
        <v>9265</v>
      </c>
      <c r="I2610" s="8" t="n">
        <v>9275</v>
      </c>
      <c r="J2610" s="8" t="n">
        <v>9285</v>
      </c>
      <c r="K2610" s="8" t="n">
        <v>9235</v>
      </c>
      <c r="L2610" s="8" t="n">
        <v>122610</v>
      </c>
      <c r="M2610" s="8" t="n">
        <v>239598</v>
      </c>
      <c r="N2610" t="inlineStr">
        <is>
          <t>是</t>
        </is>
      </c>
    </row>
    <row r="2611">
      <c r="A2611" s="7" t="inlineStr">
        <is>
          <t>2018-04-04</t>
        </is>
      </c>
      <c r="B2611" s="8" t="n">
        <v>8885</v>
      </c>
      <c r="C2611" s="8" t="n">
        <v>8855</v>
      </c>
      <c r="D2611" s="8" t="n">
        <v>8970</v>
      </c>
      <c r="E2611" s="8" t="n">
        <v>8790</v>
      </c>
      <c r="F2611" s="8" t="n">
        <v>165238</v>
      </c>
      <c r="G2611" s="8" t="n">
        <v>267112</v>
      </c>
      <c r="H2611" s="8" t="n">
        <v>9145</v>
      </c>
      <c r="I2611" s="8" t="n">
        <v>9160</v>
      </c>
      <c r="J2611" s="8" t="n">
        <v>9195</v>
      </c>
      <c r="K2611" s="8" t="n">
        <v>9110</v>
      </c>
      <c r="L2611" s="8" t="n">
        <v>136392</v>
      </c>
      <c r="M2611" s="8" t="n">
        <v>276536</v>
      </c>
      <c r="N2611" t="inlineStr">
        <is>
          <t>是</t>
        </is>
      </c>
    </row>
    <row r="2612">
      <c r="A2612" s="7" t="inlineStr">
        <is>
          <t>2018-04-09</t>
        </is>
      </c>
      <c r="B2612" s="8" t="n">
        <v>9062</v>
      </c>
      <c r="C2612" s="8" t="n">
        <v>9000</v>
      </c>
      <c r="D2612" s="8" t="n">
        <v>9070</v>
      </c>
      <c r="E2612" s="8" t="n">
        <v>8917</v>
      </c>
      <c r="F2612" s="8" t="n">
        <v>192652</v>
      </c>
      <c r="G2612" s="8" t="n">
        <v>294092</v>
      </c>
      <c r="H2612" s="8" t="n">
        <v>9260</v>
      </c>
      <c r="I2612" s="8" t="n">
        <v>9160</v>
      </c>
      <c r="J2612" s="8" t="n">
        <v>9285</v>
      </c>
      <c r="K2612" s="8" t="n">
        <v>9155</v>
      </c>
      <c r="L2612" s="8" t="n">
        <v>167682</v>
      </c>
      <c r="M2612" s="8" t="n">
        <v>299382</v>
      </c>
      <c r="N2612" t="inlineStr">
        <is>
          <t>是</t>
        </is>
      </c>
    </row>
    <row r="2613">
      <c r="A2613" s="7" t="inlineStr">
        <is>
          <t>2018-04-10</t>
        </is>
      </c>
      <c r="B2613" s="8" t="n">
        <v>9098</v>
      </c>
      <c r="C2613" s="8" t="n">
        <v>9073</v>
      </c>
      <c r="D2613" s="8" t="n">
        <v>9120</v>
      </c>
      <c r="E2613" s="8" t="n">
        <v>9026</v>
      </c>
      <c r="F2613" s="8" t="n">
        <v>187796</v>
      </c>
      <c r="G2613" s="8" t="n">
        <v>314348</v>
      </c>
      <c r="H2613" s="8" t="n">
        <v>9305</v>
      </c>
      <c r="I2613" s="8" t="n">
        <v>9260</v>
      </c>
      <c r="J2613" s="8" t="n">
        <v>9330</v>
      </c>
      <c r="K2613" s="8" t="n">
        <v>9260</v>
      </c>
      <c r="L2613" s="8" t="n">
        <v>150668</v>
      </c>
      <c r="M2613" s="8" t="n">
        <v>317280</v>
      </c>
      <c r="N2613" t="inlineStr">
        <is>
          <t>是</t>
        </is>
      </c>
    </row>
    <row r="2614">
      <c r="A2614" s="7" t="inlineStr">
        <is>
          <t>2018-04-11</t>
        </is>
      </c>
      <c r="B2614" s="8" t="n">
        <v>9045</v>
      </c>
      <c r="C2614" s="8" t="n">
        <v>9140</v>
      </c>
      <c r="D2614" s="8" t="n">
        <v>9160</v>
      </c>
      <c r="E2614" s="8" t="n">
        <v>9023</v>
      </c>
      <c r="F2614" s="8" t="n">
        <v>269890</v>
      </c>
      <c r="G2614" s="8" t="n">
        <v>329278</v>
      </c>
      <c r="H2614" s="8" t="n">
        <v>9300</v>
      </c>
      <c r="I2614" s="8" t="n">
        <v>9340</v>
      </c>
      <c r="J2614" s="8" t="n">
        <v>9380</v>
      </c>
      <c r="K2614" s="8" t="n">
        <v>9260</v>
      </c>
      <c r="L2614" s="8" t="n">
        <v>250058</v>
      </c>
      <c r="M2614" s="8" t="n">
        <v>332602</v>
      </c>
      <c r="N2614" t="inlineStr">
        <is>
          <t>是</t>
        </is>
      </c>
    </row>
    <row r="2615">
      <c r="A2615" s="7" t="inlineStr">
        <is>
          <t>2018-04-12</t>
        </is>
      </c>
      <c r="B2615" s="8" t="n">
        <v>9038</v>
      </c>
      <c r="C2615" s="8" t="n">
        <v>9068</v>
      </c>
      <c r="D2615" s="8" t="n">
        <v>9094</v>
      </c>
      <c r="E2615" s="8" t="n">
        <v>8966</v>
      </c>
      <c r="F2615" s="8" t="n">
        <v>341364</v>
      </c>
      <c r="G2615" s="8" t="n">
        <v>339840</v>
      </c>
      <c r="H2615" s="8" t="n">
        <v>9280</v>
      </c>
      <c r="I2615" s="8" t="n">
        <v>9325</v>
      </c>
      <c r="J2615" s="8" t="n">
        <v>9345</v>
      </c>
      <c r="K2615" s="8" t="n">
        <v>9250</v>
      </c>
      <c r="L2615" s="8" t="n">
        <v>228564</v>
      </c>
      <c r="M2615" s="8" t="n">
        <v>327812</v>
      </c>
      <c r="N2615" t="inlineStr">
        <is>
          <t>是</t>
        </is>
      </c>
    </row>
    <row r="2616">
      <c r="A2616" s="7" t="inlineStr">
        <is>
          <t>2018-04-13</t>
        </is>
      </c>
      <c r="B2616" s="8" t="n">
        <v>9008</v>
      </c>
      <c r="C2616" s="8" t="n">
        <v>9041</v>
      </c>
      <c r="D2616" s="8" t="n">
        <v>9068</v>
      </c>
      <c r="E2616" s="8" t="n">
        <v>8949</v>
      </c>
      <c r="F2616" s="8" t="n">
        <v>317832</v>
      </c>
      <c r="G2616" s="8" t="n">
        <v>337878</v>
      </c>
      <c r="H2616" s="8" t="n">
        <v>9270</v>
      </c>
      <c r="I2616" s="8" t="n">
        <v>9270</v>
      </c>
      <c r="J2616" s="8" t="n">
        <v>9340</v>
      </c>
      <c r="K2616" s="8" t="n">
        <v>9225</v>
      </c>
      <c r="L2616" s="8" t="n">
        <v>249536</v>
      </c>
      <c r="M2616" s="8" t="n">
        <v>351738</v>
      </c>
      <c r="N2616" t="inlineStr">
        <is>
          <t>是</t>
        </is>
      </c>
    </row>
    <row r="2617">
      <c r="A2617" s="7" t="inlineStr">
        <is>
          <t>2018-04-16</t>
        </is>
      </c>
      <c r="B2617" s="8" t="n">
        <v>8942</v>
      </c>
      <c r="C2617" s="8" t="n">
        <v>9005</v>
      </c>
      <c r="D2617" s="8" t="n">
        <v>9102</v>
      </c>
      <c r="E2617" s="8" t="n">
        <v>8918</v>
      </c>
      <c r="F2617" s="8" t="n">
        <v>516986</v>
      </c>
      <c r="G2617" s="8" t="n">
        <v>369114</v>
      </c>
      <c r="H2617" s="8" t="n">
        <v>9160</v>
      </c>
      <c r="I2617" s="8" t="n">
        <v>9270</v>
      </c>
      <c r="J2617" s="8" t="n">
        <v>9330</v>
      </c>
      <c r="K2617" s="8" t="n">
        <v>9135</v>
      </c>
      <c r="L2617" s="8" t="n">
        <v>435732</v>
      </c>
      <c r="M2617" s="8" t="n">
        <v>388512</v>
      </c>
      <c r="N2617" t="inlineStr">
        <is>
          <t>是</t>
        </is>
      </c>
    </row>
    <row r="2618">
      <c r="A2618" s="7" t="inlineStr">
        <is>
          <t>2018-04-17</t>
        </is>
      </c>
      <c r="B2618" s="8" t="n">
        <v>8939</v>
      </c>
      <c r="C2618" s="8" t="n">
        <v>8936</v>
      </c>
      <c r="D2618" s="8" t="n">
        <v>8972</v>
      </c>
      <c r="E2618" s="8" t="n">
        <v>8901</v>
      </c>
      <c r="F2618" s="8" t="n">
        <v>253758</v>
      </c>
      <c r="G2618" s="8" t="n">
        <v>360422</v>
      </c>
      <c r="H2618" s="8" t="n">
        <v>9175</v>
      </c>
      <c r="I2618" s="8" t="n">
        <v>9160</v>
      </c>
      <c r="J2618" s="8" t="n">
        <v>9215</v>
      </c>
      <c r="K2618" s="8" t="n">
        <v>9140</v>
      </c>
      <c r="L2618" s="8" t="n">
        <v>232844</v>
      </c>
      <c r="M2618" s="8" t="n">
        <v>372370</v>
      </c>
      <c r="N2618" t="inlineStr">
        <is>
          <t>是</t>
        </is>
      </c>
    </row>
    <row r="2619">
      <c r="A2619" s="7" t="inlineStr">
        <is>
          <t>2018-04-18</t>
        </is>
      </c>
      <c r="B2619" s="8" t="n">
        <v>8955</v>
      </c>
      <c r="C2619" s="8" t="n">
        <v>9000</v>
      </c>
      <c r="D2619" s="8" t="n">
        <v>9048</v>
      </c>
      <c r="E2619" s="8" t="n">
        <v>8931</v>
      </c>
      <c r="F2619" s="8" t="n">
        <v>325644</v>
      </c>
      <c r="G2619" s="8" t="n">
        <v>363856</v>
      </c>
      <c r="H2619" s="8" t="n">
        <v>9210</v>
      </c>
      <c r="I2619" s="8" t="n">
        <v>9210</v>
      </c>
      <c r="J2619" s="8" t="n">
        <v>9270</v>
      </c>
      <c r="K2619" s="8" t="n">
        <v>9185</v>
      </c>
      <c r="L2619" s="8" t="n">
        <v>242358</v>
      </c>
      <c r="M2619" s="8" t="n">
        <v>387042</v>
      </c>
      <c r="N2619" t="inlineStr">
        <is>
          <t>是</t>
        </is>
      </c>
    </row>
    <row r="2620">
      <c r="A2620" s="7" t="inlineStr">
        <is>
          <t>2018-04-19</t>
        </is>
      </c>
      <c r="B2620" s="8" t="n">
        <v>9026</v>
      </c>
      <c r="C2620" s="8" t="n">
        <v>9047</v>
      </c>
      <c r="D2620" s="8" t="n">
        <v>9060</v>
      </c>
      <c r="E2620" s="8" t="n">
        <v>8950</v>
      </c>
      <c r="F2620" s="8" t="n">
        <v>375142</v>
      </c>
      <c r="G2620" s="8" t="n">
        <v>370460</v>
      </c>
      <c r="H2620" s="8" t="n">
        <v>9290</v>
      </c>
      <c r="I2620" s="8" t="n">
        <v>9275</v>
      </c>
      <c r="J2620" s="8" t="n">
        <v>9350</v>
      </c>
      <c r="K2620" s="8" t="n">
        <v>9220</v>
      </c>
      <c r="L2620" s="8" t="n">
        <v>369444</v>
      </c>
      <c r="M2620" s="8" t="n">
        <v>386362</v>
      </c>
      <c r="N2620" t="inlineStr">
        <is>
          <t>是</t>
        </is>
      </c>
    </row>
    <row r="2621">
      <c r="A2621" s="7" t="inlineStr">
        <is>
          <t>2018-04-20</t>
        </is>
      </c>
      <c r="B2621" s="8" t="n">
        <v>8805</v>
      </c>
      <c r="C2621" s="8" t="n">
        <v>9010</v>
      </c>
      <c r="D2621" s="8" t="n">
        <v>9033</v>
      </c>
      <c r="E2621" s="8" t="n">
        <v>8805</v>
      </c>
      <c r="F2621" s="8" t="n">
        <v>480000</v>
      </c>
      <c r="G2621" s="8" t="n">
        <v>388798</v>
      </c>
      <c r="H2621" s="8" t="n">
        <v>9130</v>
      </c>
      <c r="I2621" s="8" t="n">
        <v>9270</v>
      </c>
      <c r="J2621" s="8" t="n">
        <v>9335</v>
      </c>
      <c r="K2621" s="8" t="n">
        <v>9110</v>
      </c>
      <c r="L2621" s="8" t="n">
        <v>473508</v>
      </c>
      <c r="M2621" s="8" t="n">
        <v>446606</v>
      </c>
      <c r="N2621" t="inlineStr">
        <is>
          <t>是</t>
        </is>
      </c>
    </row>
    <row r="2622">
      <c r="A2622" s="7" t="inlineStr">
        <is>
          <t>2018-04-23</t>
        </is>
      </c>
      <c r="B2622" s="8" t="n">
        <v>8840</v>
      </c>
      <c r="C2622" s="8" t="n">
        <v>8820</v>
      </c>
      <c r="D2622" s="8" t="n">
        <v>8868</v>
      </c>
      <c r="E2622" s="8" t="n">
        <v>8780</v>
      </c>
      <c r="F2622" s="8" t="n">
        <v>310170</v>
      </c>
      <c r="G2622" s="8" t="n">
        <v>371942</v>
      </c>
      <c r="H2622" s="8" t="n">
        <v>9195</v>
      </c>
      <c r="I2622" s="8" t="n">
        <v>9160</v>
      </c>
      <c r="J2622" s="8" t="n">
        <v>9200</v>
      </c>
      <c r="K2622" s="8" t="n">
        <v>9135</v>
      </c>
      <c r="L2622" s="8" t="n">
        <v>231088</v>
      </c>
      <c r="M2622" s="8" t="n">
        <v>431068</v>
      </c>
      <c r="N2622" t="inlineStr">
        <is>
          <t>是</t>
        </is>
      </c>
    </row>
    <row r="2623">
      <c r="A2623" s="7" t="inlineStr">
        <is>
          <t>2018-04-24</t>
        </is>
      </c>
      <c r="B2623" s="8" t="n">
        <v>8855</v>
      </c>
      <c r="C2623" s="8" t="n">
        <v>8855</v>
      </c>
      <c r="D2623" s="8" t="n">
        <v>8888</v>
      </c>
      <c r="E2623" s="8" t="n">
        <v>8824</v>
      </c>
      <c r="F2623" s="8" t="n">
        <v>261116</v>
      </c>
      <c r="G2623" s="8" t="n">
        <v>381632</v>
      </c>
      <c r="H2623" s="8" t="n">
        <v>9230</v>
      </c>
      <c r="I2623" s="8" t="n">
        <v>9200</v>
      </c>
      <c r="J2623" s="8" t="n">
        <v>9250</v>
      </c>
      <c r="K2623" s="8" t="n">
        <v>9175</v>
      </c>
      <c r="L2623" s="8" t="n">
        <v>227670</v>
      </c>
      <c r="M2623" s="8" t="n">
        <v>429388</v>
      </c>
      <c r="N2623" t="inlineStr">
        <is>
          <t>是</t>
        </is>
      </c>
    </row>
    <row r="2624">
      <c r="A2624" s="7" t="inlineStr">
        <is>
          <t>2018-04-25</t>
        </is>
      </c>
      <c r="B2624" s="8" t="n">
        <v>8944</v>
      </c>
      <c r="C2624" s="8" t="n">
        <v>8820</v>
      </c>
      <c r="D2624" s="8" t="n">
        <v>8955</v>
      </c>
      <c r="E2624" s="8" t="n">
        <v>8790</v>
      </c>
      <c r="F2624" s="8" t="n">
        <v>425542</v>
      </c>
      <c r="G2624" s="8" t="n">
        <v>373408</v>
      </c>
      <c r="H2624" s="8" t="n">
        <v>9275</v>
      </c>
      <c r="I2624" s="8" t="n">
        <v>9205</v>
      </c>
      <c r="J2624" s="8" t="n">
        <v>9295</v>
      </c>
      <c r="K2624" s="8" t="n">
        <v>9160</v>
      </c>
      <c r="L2624" s="8" t="n">
        <v>339234</v>
      </c>
      <c r="M2624" s="8" t="n">
        <v>430044</v>
      </c>
      <c r="N2624" t="inlineStr">
        <is>
          <t>是</t>
        </is>
      </c>
    </row>
    <row r="2625">
      <c r="A2625" s="7" t="inlineStr">
        <is>
          <t>2018-04-26</t>
        </is>
      </c>
      <c r="B2625" s="8" t="n">
        <v>8930</v>
      </c>
      <c r="C2625" s="8" t="n">
        <v>8940</v>
      </c>
      <c r="D2625" s="8" t="n">
        <v>8998</v>
      </c>
      <c r="E2625" s="8" t="n">
        <v>8921</v>
      </c>
      <c r="F2625" s="8" t="n">
        <v>249084</v>
      </c>
      <c r="G2625" s="8" t="n">
        <v>350150</v>
      </c>
      <c r="H2625" s="8" t="n">
        <v>9260</v>
      </c>
      <c r="I2625" s="8" t="n">
        <v>9275</v>
      </c>
      <c r="J2625" s="8" t="n">
        <v>9315</v>
      </c>
      <c r="K2625" s="8" t="n">
        <v>9250</v>
      </c>
      <c r="L2625" s="8" t="n">
        <v>214770</v>
      </c>
      <c r="M2625" s="8" t="n">
        <v>423458</v>
      </c>
      <c r="N2625" t="inlineStr">
        <is>
          <t>是</t>
        </is>
      </c>
    </row>
    <row r="2626">
      <c r="A2626" s="7" t="inlineStr">
        <is>
          <t>2018-04-27</t>
        </is>
      </c>
      <c r="B2626" s="8" t="n">
        <v>8972</v>
      </c>
      <c r="C2626" s="8" t="n">
        <v>8950</v>
      </c>
      <c r="D2626" s="8" t="n">
        <v>9000</v>
      </c>
      <c r="E2626" s="8" t="n">
        <v>8927</v>
      </c>
      <c r="F2626" s="8" t="n">
        <v>223648</v>
      </c>
      <c r="G2626" s="8" t="n">
        <v>351954</v>
      </c>
      <c r="H2626" s="8" t="n">
        <v>9275</v>
      </c>
      <c r="I2626" s="8" t="n">
        <v>9260</v>
      </c>
      <c r="J2626" s="8" t="n">
        <v>9315</v>
      </c>
      <c r="K2626" s="8" t="n">
        <v>9250</v>
      </c>
      <c r="L2626" s="8" t="n">
        <v>195598</v>
      </c>
      <c r="M2626" s="8" t="n">
        <v>428050</v>
      </c>
      <c r="N2626" t="inlineStr">
        <is>
          <t>是</t>
        </is>
      </c>
    </row>
    <row r="2627">
      <c r="A2627" s="7" t="inlineStr">
        <is>
          <t>2018-05-02</t>
        </is>
      </c>
      <c r="B2627" s="8" t="n">
        <v>9185</v>
      </c>
      <c r="C2627" s="8" t="n">
        <v>8970</v>
      </c>
      <c r="D2627" s="8" t="n">
        <v>9187</v>
      </c>
      <c r="E2627" s="8" t="n">
        <v>8967</v>
      </c>
      <c r="F2627" s="8" t="n">
        <v>441450</v>
      </c>
      <c r="G2627" s="8" t="n">
        <v>400714</v>
      </c>
      <c r="H2627" s="8" t="n">
        <v>9415</v>
      </c>
      <c r="I2627" s="8" t="n">
        <v>9275</v>
      </c>
      <c r="J2627" s="8" t="n">
        <v>9425</v>
      </c>
      <c r="K2627" s="8" t="n">
        <v>9270</v>
      </c>
      <c r="L2627" s="8" t="n">
        <v>345510</v>
      </c>
      <c r="M2627" s="8" t="n">
        <v>442980</v>
      </c>
      <c r="N2627" t="inlineStr">
        <is>
          <t>是</t>
        </is>
      </c>
    </row>
    <row r="2628">
      <c r="A2628" s="7" t="inlineStr">
        <is>
          <t>2018-05-03</t>
        </is>
      </c>
      <c r="B2628" s="8" t="n">
        <v>9199</v>
      </c>
      <c r="C2628" s="8" t="n">
        <v>9200</v>
      </c>
      <c r="D2628" s="8" t="n">
        <v>9219</v>
      </c>
      <c r="E2628" s="8" t="n">
        <v>9166</v>
      </c>
      <c r="F2628" s="8" t="n">
        <v>263958</v>
      </c>
      <c r="G2628" s="8" t="n">
        <v>404806</v>
      </c>
      <c r="H2628" s="8" t="n">
        <v>9485</v>
      </c>
      <c r="I2628" s="8" t="n">
        <v>9420</v>
      </c>
      <c r="J2628" s="8" t="n">
        <v>9495</v>
      </c>
      <c r="K2628" s="8" t="n">
        <v>9390</v>
      </c>
      <c r="L2628" s="8" t="n">
        <v>265798</v>
      </c>
      <c r="M2628" s="8" t="n">
        <v>455178</v>
      </c>
      <c r="N2628" t="inlineStr">
        <is>
          <t>是</t>
        </is>
      </c>
    </row>
    <row r="2629">
      <c r="A2629" s="7" t="inlineStr">
        <is>
          <t>2018-05-04</t>
        </is>
      </c>
      <c r="B2629" s="8" t="n">
        <v>9283</v>
      </c>
      <c r="C2629" s="8" t="n">
        <v>9220</v>
      </c>
      <c r="D2629" s="8" t="n">
        <v>9287</v>
      </c>
      <c r="E2629" s="8" t="n">
        <v>9186</v>
      </c>
      <c r="F2629" s="8" t="n">
        <v>268944</v>
      </c>
      <c r="G2629" s="8" t="n">
        <v>427338</v>
      </c>
      <c r="H2629" s="8" t="n">
        <v>9540</v>
      </c>
      <c r="I2629" s="8" t="n">
        <v>9485</v>
      </c>
      <c r="J2629" s="8" t="n">
        <v>9545</v>
      </c>
      <c r="K2629" s="8" t="n">
        <v>9480</v>
      </c>
      <c r="L2629" s="8" t="n">
        <v>234492</v>
      </c>
      <c r="M2629" s="8" t="n">
        <v>463168</v>
      </c>
      <c r="N2629" t="inlineStr">
        <is>
          <t>是</t>
        </is>
      </c>
    </row>
    <row r="2630">
      <c r="A2630" s="7" t="inlineStr">
        <is>
          <t>2018-05-07</t>
        </is>
      </c>
      <c r="B2630" s="8" t="n">
        <v>9277</v>
      </c>
      <c r="C2630" s="8" t="n">
        <v>9299</v>
      </c>
      <c r="D2630" s="8" t="n">
        <v>9321</v>
      </c>
      <c r="E2630" s="8" t="n">
        <v>9234</v>
      </c>
      <c r="F2630" s="8" t="n">
        <v>236126</v>
      </c>
      <c r="G2630" s="8" t="n">
        <v>426274</v>
      </c>
      <c r="H2630" s="8" t="n">
        <v>9575</v>
      </c>
      <c r="I2630" s="8" t="n">
        <v>9550</v>
      </c>
      <c r="J2630" s="8" t="n">
        <v>9590</v>
      </c>
      <c r="K2630" s="8" t="n">
        <v>9505</v>
      </c>
      <c r="L2630" s="8" t="n">
        <v>252068</v>
      </c>
      <c r="M2630" s="8" t="n">
        <v>472150</v>
      </c>
      <c r="N2630" t="inlineStr">
        <is>
          <t>是</t>
        </is>
      </c>
    </row>
    <row r="2631">
      <c r="A2631" s="7" t="inlineStr">
        <is>
          <t>2018-05-08</t>
        </is>
      </c>
      <c r="B2631" s="8" t="n">
        <v>9253</v>
      </c>
      <c r="C2631" s="8" t="n">
        <v>9271</v>
      </c>
      <c r="D2631" s="8" t="n">
        <v>9280</v>
      </c>
      <c r="E2631" s="8" t="n">
        <v>9185</v>
      </c>
      <c r="F2631" s="8" t="n">
        <v>220900</v>
      </c>
      <c r="G2631" s="8" t="n">
        <v>422348</v>
      </c>
      <c r="H2631" s="8" t="n">
        <v>9550</v>
      </c>
      <c r="I2631" s="8" t="n">
        <v>9565</v>
      </c>
      <c r="J2631" s="8" t="n">
        <v>9565</v>
      </c>
      <c r="K2631" s="8" t="n">
        <v>9490</v>
      </c>
      <c r="L2631" s="8" t="n">
        <v>196904</v>
      </c>
      <c r="M2631" s="8" t="n">
        <v>464020</v>
      </c>
      <c r="N2631" t="inlineStr">
        <is>
          <t>是</t>
        </is>
      </c>
    </row>
    <row r="2632">
      <c r="A2632" s="7" t="inlineStr">
        <is>
          <t>2018-05-09</t>
        </is>
      </c>
      <c r="B2632" s="8" t="n">
        <v>9222</v>
      </c>
      <c r="C2632" s="8" t="n">
        <v>9233</v>
      </c>
      <c r="D2632" s="8" t="n">
        <v>9346</v>
      </c>
      <c r="E2632" s="8" t="n">
        <v>9200</v>
      </c>
      <c r="F2632" s="8" t="n">
        <v>323450</v>
      </c>
      <c r="G2632" s="8" t="n">
        <v>424488</v>
      </c>
      <c r="H2632" s="8" t="n">
        <v>9530</v>
      </c>
      <c r="I2632" s="8" t="n">
        <v>9550</v>
      </c>
      <c r="J2632" s="8" t="n">
        <v>9635</v>
      </c>
      <c r="K2632" s="8" t="n">
        <v>9510</v>
      </c>
      <c r="L2632" s="8" t="n">
        <v>287380</v>
      </c>
      <c r="M2632" s="8" t="n">
        <v>464296</v>
      </c>
      <c r="N2632" t="inlineStr">
        <is>
          <t>是</t>
        </is>
      </c>
    </row>
    <row r="2633">
      <c r="A2633" s="7" t="inlineStr">
        <is>
          <t>2018-05-10</t>
        </is>
      </c>
      <c r="B2633" s="8" t="n">
        <v>9276</v>
      </c>
      <c r="C2633" s="8" t="n">
        <v>9259</v>
      </c>
      <c r="D2633" s="8" t="n">
        <v>9295</v>
      </c>
      <c r="E2633" s="8" t="n">
        <v>9215</v>
      </c>
      <c r="F2633" s="8" t="n">
        <v>263262</v>
      </c>
      <c r="G2633" s="8" t="n">
        <v>427606</v>
      </c>
      <c r="H2633" s="8" t="n">
        <v>9515</v>
      </c>
      <c r="I2633" s="8" t="n">
        <v>9550</v>
      </c>
      <c r="J2633" s="8" t="n">
        <v>9575</v>
      </c>
      <c r="K2633" s="8" t="n">
        <v>9470</v>
      </c>
      <c r="L2633" s="8" t="n">
        <v>238458</v>
      </c>
      <c r="M2633" s="8" t="n">
        <v>457790</v>
      </c>
      <c r="N2633" t="inlineStr">
        <is>
          <t>是</t>
        </is>
      </c>
    </row>
    <row r="2634">
      <c r="A2634" s="7" t="inlineStr">
        <is>
          <t>2018-05-11</t>
        </is>
      </c>
      <c r="B2634" s="8" t="n">
        <v>9263</v>
      </c>
      <c r="C2634" s="8" t="n">
        <v>9277</v>
      </c>
      <c r="D2634" s="8" t="n">
        <v>9307</v>
      </c>
      <c r="E2634" s="8" t="n">
        <v>9210</v>
      </c>
      <c r="F2634" s="8" t="n">
        <v>288426</v>
      </c>
      <c r="G2634" s="8" t="n">
        <v>423084</v>
      </c>
      <c r="H2634" s="8" t="n">
        <v>9520</v>
      </c>
      <c r="I2634" s="8" t="n">
        <v>9520</v>
      </c>
      <c r="J2634" s="8" t="n">
        <v>9540</v>
      </c>
      <c r="K2634" s="8" t="n">
        <v>9440</v>
      </c>
      <c r="L2634" s="8" t="n">
        <v>252024</v>
      </c>
      <c r="M2634" s="8" t="n">
        <v>448664</v>
      </c>
      <c r="N2634" t="inlineStr">
        <is>
          <t>是</t>
        </is>
      </c>
    </row>
    <row r="2635">
      <c r="A2635" s="7" t="inlineStr">
        <is>
          <t>2018-05-14</t>
        </is>
      </c>
      <c r="B2635" s="8" t="n">
        <v>9188</v>
      </c>
      <c r="C2635" s="8" t="n">
        <v>9285</v>
      </c>
      <c r="D2635" s="8" t="n">
        <v>9380</v>
      </c>
      <c r="E2635" s="8" t="n">
        <v>9168</v>
      </c>
      <c r="F2635" s="8" t="n">
        <v>453900</v>
      </c>
      <c r="G2635" s="8" t="n">
        <v>434316</v>
      </c>
      <c r="H2635" s="8" t="n">
        <v>9440</v>
      </c>
      <c r="I2635" s="8" t="n">
        <v>9540</v>
      </c>
      <c r="J2635" s="8" t="n">
        <v>9595</v>
      </c>
      <c r="K2635" s="8" t="n">
        <v>9410</v>
      </c>
      <c r="L2635" s="8" t="n">
        <v>348284</v>
      </c>
      <c r="M2635" s="8" t="n">
        <v>460306</v>
      </c>
      <c r="N2635" t="inlineStr">
        <is>
          <t>是</t>
        </is>
      </c>
    </row>
    <row r="2636">
      <c r="A2636" s="7" t="inlineStr">
        <is>
          <t>2018-05-15</t>
        </is>
      </c>
      <c r="B2636" s="8" t="n">
        <v>9220</v>
      </c>
      <c r="C2636" s="8" t="n">
        <v>9229</v>
      </c>
      <c r="D2636" s="8" t="n">
        <v>9240</v>
      </c>
      <c r="E2636" s="8" t="n">
        <v>9160</v>
      </c>
      <c r="F2636" s="8" t="n">
        <v>229882</v>
      </c>
      <c r="G2636" s="8" t="n">
        <v>409818</v>
      </c>
      <c r="H2636" s="8" t="n">
        <v>9440</v>
      </c>
      <c r="I2636" s="8" t="n">
        <v>9460</v>
      </c>
      <c r="J2636" s="8" t="n">
        <v>9470</v>
      </c>
      <c r="K2636" s="8" t="n">
        <v>9405</v>
      </c>
      <c r="L2636" s="8" t="n">
        <v>172384</v>
      </c>
      <c r="M2636" s="8" t="n">
        <v>451294</v>
      </c>
      <c r="N2636" t="inlineStr">
        <is>
          <t>是</t>
        </is>
      </c>
    </row>
    <row r="2637">
      <c r="A2637" s="7" t="inlineStr">
        <is>
          <t>2018-05-16</t>
        </is>
      </c>
      <c r="B2637" s="8" t="n">
        <v>9274</v>
      </c>
      <c r="C2637" s="8" t="n">
        <v>9250</v>
      </c>
      <c r="D2637" s="8" t="n">
        <v>9340</v>
      </c>
      <c r="E2637" s="8" t="n">
        <v>9220</v>
      </c>
      <c r="F2637" s="8" t="n">
        <v>400636</v>
      </c>
      <c r="G2637" s="8" t="n">
        <v>449588</v>
      </c>
      <c r="H2637" s="8" t="n">
        <v>9455</v>
      </c>
      <c r="I2637" s="8" t="n">
        <v>9450</v>
      </c>
      <c r="J2637" s="8" t="n">
        <v>9535</v>
      </c>
      <c r="K2637" s="8" t="n">
        <v>9420</v>
      </c>
      <c r="L2637" s="8" t="n">
        <v>319776</v>
      </c>
      <c r="M2637" s="8" t="n">
        <v>453222</v>
      </c>
      <c r="N2637" t="inlineStr">
        <is>
          <t>是</t>
        </is>
      </c>
    </row>
    <row r="2638">
      <c r="A2638" s="7" t="inlineStr">
        <is>
          <t>2018-05-17</t>
        </is>
      </c>
      <c r="B2638" s="8" t="n">
        <v>9235</v>
      </c>
      <c r="C2638" s="8" t="n">
        <v>9296</v>
      </c>
      <c r="D2638" s="8" t="n">
        <v>9315</v>
      </c>
      <c r="E2638" s="8" t="n">
        <v>9205</v>
      </c>
      <c r="F2638" s="8" t="n">
        <v>339870</v>
      </c>
      <c r="G2638" s="8" t="n">
        <v>440854</v>
      </c>
      <c r="H2638" s="8" t="n">
        <v>9375</v>
      </c>
      <c r="I2638" s="8" t="n">
        <v>9470</v>
      </c>
      <c r="J2638" s="8" t="n">
        <v>9490</v>
      </c>
      <c r="K2638" s="8" t="n">
        <v>9350</v>
      </c>
      <c r="L2638" s="8" t="n">
        <v>329540</v>
      </c>
      <c r="M2638" s="8" t="n">
        <v>454062</v>
      </c>
      <c r="N2638" t="inlineStr">
        <is>
          <t>是</t>
        </is>
      </c>
    </row>
    <row r="2639">
      <c r="A2639" s="7" t="inlineStr">
        <is>
          <t>2018-05-18</t>
        </is>
      </c>
      <c r="B2639" s="8" t="n">
        <v>9233</v>
      </c>
      <c r="C2639" s="8" t="n">
        <v>9255</v>
      </c>
      <c r="D2639" s="8" t="n">
        <v>9280</v>
      </c>
      <c r="E2639" s="8" t="n">
        <v>9125</v>
      </c>
      <c r="F2639" s="8" t="n">
        <v>310368</v>
      </c>
      <c r="G2639" s="8" t="n">
        <v>418760</v>
      </c>
      <c r="H2639" s="8" t="n">
        <v>9385</v>
      </c>
      <c r="I2639" s="8" t="n">
        <v>9385</v>
      </c>
      <c r="J2639" s="8" t="n">
        <v>9400</v>
      </c>
      <c r="K2639" s="8" t="n">
        <v>9320</v>
      </c>
      <c r="L2639" s="8" t="n">
        <v>233108</v>
      </c>
      <c r="M2639" s="8" t="n">
        <v>436312</v>
      </c>
      <c r="N2639" t="inlineStr">
        <is>
          <t>是</t>
        </is>
      </c>
    </row>
    <row r="2640">
      <c r="A2640" s="7" t="inlineStr">
        <is>
          <t>2018-05-21</t>
        </is>
      </c>
      <c r="B2640" s="8" t="n">
        <v>9308</v>
      </c>
      <c r="C2640" s="8" t="n">
        <v>9238</v>
      </c>
      <c r="D2640" s="8" t="n">
        <v>9415</v>
      </c>
      <c r="E2640" s="8" t="n">
        <v>9211</v>
      </c>
      <c r="F2640" s="8" t="n">
        <v>476304</v>
      </c>
      <c r="G2640" s="8" t="n">
        <v>458530</v>
      </c>
      <c r="H2640" s="8" t="n">
        <v>9395</v>
      </c>
      <c r="I2640" s="8" t="n">
        <v>9380</v>
      </c>
      <c r="J2640" s="8" t="n">
        <v>9470</v>
      </c>
      <c r="K2640" s="8" t="n">
        <v>9365</v>
      </c>
      <c r="L2640" s="8" t="n">
        <v>320792</v>
      </c>
      <c r="M2640" s="8" t="n">
        <v>442286</v>
      </c>
      <c r="N2640" t="inlineStr">
        <is>
          <t>是</t>
        </is>
      </c>
    </row>
    <row r="2641">
      <c r="A2641" s="7" t="inlineStr">
        <is>
          <t>2018-05-22</t>
        </is>
      </c>
      <c r="B2641" s="8" t="n">
        <v>9308</v>
      </c>
      <c r="C2641" s="8" t="n">
        <v>9322</v>
      </c>
      <c r="D2641" s="8" t="n">
        <v>9358</v>
      </c>
      <c r="E2641" s="8" t="n">
        <v>9270</v>
      </c>
      <c r="F2641" s="8" t="n">
        <v>213120</v>
      </c>
      <c r="G2641" s="8" t="n">
        <v>442180</v>
      </c>
      <c r="H2641" s="8" t="n">
        <v>9340</v>
      </c>
      <c r="I2641" s="8" t="n">
        <v>9415</v>
      </c>
      <c r="J2641" s="8" t="n">
        <v>9430</v>
      </c>
      <c r="K2641" s="8" t="n">
        <v>9330</v>
      </c>
      <c r="L2641" s="8" t="n">
        <v>230114</v>
      </c>
      <c r="M2641" s="8" t="n">
        <v>441422</v>
      </c>
      <c r="N2641" t="inlineStr">
        <is>
          <t>是</t>
        </is>
      </c>
    </row>
    <row r="2642">
      <c r="A2642" s="7" t="inlineStr">
        <is>
          <t>2018-05-23</t>
        </is>
      </c>
      <c r="B2642" s="8" t="n">
        <v>9227</v>
      </c>
      <c r="C2642" s="8" t="n">
        <v>9308</v>
      </c>
      <c r="D2642" s="8" t="n">
        <v>9308</v>
      </c>
      <c r="E2642" s="8" t="n">
        <v>9188</v>
      </c>
      <c r="F2642" s="8" t="n">
        <v>246038</v>
      </c>
      <c r="G2642" s="8" t="n">
        <v>427364</v>
      </c>
      <c r="H2642" s="8" t="n">
        <v>9305</v>
      </c>
      <c r="I2642" s="8" t="n">
        <v>9340</v>
      </c>
      <c r="J2642" s="8" t="n">
        <v>9360</v>
      </c>
      <c r="K2642" s="8" t="n">
        <v>9290</v>
      </c>
      <c r="L2642" s="8" t="n">
        <v>190322</v>
      </c>
      <c r="M2642" s="8" t="n">
        <v>431380</v>
      </c>
      <c r="N2642" t="inlineStr">
        <is>
          <t>是</t>
        </is>
      </c>
    </row>
    <row r="2643">
      <c r="A2643" s="7" t="inlineStr">
        <is>
          <t>2018-05-24</t>
        </is>
      </c>
      <c r="B2643" s="8" t="n">
        <v>9196</v>
      </c>
      <c r="C2643" s="8" t="n">
        <v>9222</v>
      </c>
      <c r="D2643" s="8" t="n">
        <v>9239</v>
      </c>
      <c r="E2643" s="8" t="n">
        <v>9162</v>
      </c>
      <c r="F2643" s="8" t="n">
        <v>202514</v>
      </c>
      <c r="G2643" s="8" t="n">
        <v>430460</v>
      </c>
      <c r="H2643" s="8" t="n">
        <v>9225</v>
      </c>
      <c r="I2643" s="8" t="n">
        <v>9315</v>
      </c>
      <c r="J2643" s="8" t="n">
        <v>9315</v>
      </c>
      <c r="K2643" s="8" t="n">
        <v>9220</v>
      </c>
      <c r="L2643" s="8" t="n">
        <v>212768</v>
      </c>
      <c r="M2643" s="8" t="n">
        <v>444648</v>
      </c>
      <c r="N2643" t="inlineStr">
        <is>
          <t>是</t>
        </is>
      </c>
    </row>
    <row r="2644">
      <c r="A2644" s="7" t="inlineStr">
        <is>
          <t>2018-05-25</t>
        </is>
      </c>
      <c r="B2644" s="8" t="n">
        <v>9121</v>
      </c>
      <c r="C2644" s="8" t="n">
        <v>9214</v>
      </c>
      <c r="D2644" s="8" t="n">
        <v>9255</v>
      </c>
      <c r="E2644" s="8" t="n">
        <v>9092</v>
      </c>
      <c r="F2644" s="8" t="n">
        <v>396924</v>
      </c>
      <c r="G2644" s="8" t="n">
        <v>424614</v>
      </c>
      <c r="H2644" s="8" t="n">
        <v>9225</v>
      </c>
      <c r="I2644" s="8" t="n">
        <v>9230</v>
      </c>
      <c r="J2644" s="8" t="n">
        <v>9280</v>
      </c>
      <c r="K2644" s="8" t="n">
        <v>9200</v>
      </c>
      <c r="L2644" s="8" t="n">
        <v>219176</v>
      </c>
      <c r="M2644" s="8" t="n">
        <v>442148</v>
      </c>
      <c r="N2644" t="inlineStr">
        <is>
          <t>是</t>
        </is>
      </c>
    </row>
    <row r="2645">
      <c r="A2645" s="7" t="inlineStr">
        <is>
          <t>2018-05-28</t>
        </is>
      </c>
      <c r="B2645" s="8" t="n">
        <v>9066</v>
      </c>
      <c r="C2645" s="8" t="n">
        <v>9051</v>
      </c>
      <c r="D2645" s="8" t="n">
        <v>9120</v>
      </c>
      <c r="E2645" s="8" t="n">
        <v>9028</v>
      </c>
      <c r="F2645" s="8" t="n">
        <v>292616</v>
      </c>
      <c r="G2645" s="8" t="n">
        <v>413862</v>
      </c>
      <c r="H2645" s="8" t="n">
        <v>9175</v>
      </c>
      <c r="I2645" s="8" t="n">
        <v>9200</v>
      </c>
      <c r="J2645" s="8" t="n">
        <v>9225</v>
      </c>
      <c r="K2645" s="8" t="n">
        <v>9160</v>
      </c>
      <c r="L2645" s="8" t="n">
        <v>188048</v>
      </c>
      <c r="M2645" s="8" t="n">
        <v>445038</v>
      </c>
      <c r="N2645" t="inlineStr">
        <is>
          <t>是</t>
        </is>
      </c>
    </row>
    <row r="2646">
      <c r="A2646" s="7" t="inlineStr">
        <is>
          <t>2018-05-29</t>
        </is>
      </c>
      <c r="B2646" s="8" t="n">
        <v>9184</v>
      </c>
      <c r="C2646" s="8" t="n">
        <v>9081</v>
      </c>
      <c r="D2646" s="8" t="n">
        <v>9220</v>
      </c>
      <c r="E2646" s="8" t="n">
        <v>9070</v>
      </c>
      <c r="F2646" s="8" t="n">
        <v>303648</v>
      </c>
      <c r="G2646" s="8" t="n">
        <v>432804</v>
      </c>
      <c r="H2646" s="8" t="n">
        <v>9240</v>
      </c>
      <c r="I2646" s="8" t="n">
        <v>9180</v>
      </c>
      <c r="J2646" s="8" t="n">
        <v>9275</v>
      </c>
      <c r="K2646" s="8" t="n">
        <v>9165</v>
      </c>
      <c r="L2646" s="8" t="n">
        <v>195522</v>
      </c>
      <c r="M2646" s="8" t="n">
        <v>449438</v>
      </c>
      <c r="N2646" t="inlineStr">
        <is>
          <t>是</t>
        </is>
      </c>
    </row>
    <row r="2647">
      <c r="A2647" s="7" t="inlineStr">
        <is>
          <t>2018-05-30</t>
        </is>
      </c>
      <c r="B2647" s="8" t="n">
        <v>9179</v>
      </c>
      <c r="C2647" s="8" t="n">
        <v>9155</v>
      </c>
      <c r="D2647" s="8" t="n">
        <v>9218</v>
      </c>
      <c r="E2647" s="8" t="n">
        <v>9130</v>
      </c>
      <c r="F2647" s="8" t="n">
        <v>228240</v>
      </c>
      <c r="G2647" s="8" t="n">
        <v>436198</v>
      </c>
      <c r="H2647" s="8" t="n">
        <v>9210</v>
      </c>
      <c r="I2647" s="8" t="n">
        <v>9225</v>
      </c>
      <c r="J2647" s="8" t="n">
        <v>9250</v>
      </c>
      <c r="K2647" s="8" t="n">
        <v>9180</v>
      </c>
      <c r="L2647" s="8" t="n">
        <v>179462</v>
      </c>
      <c r="M2647" s="8" t="n">
        <v>452592</v>
      </c>
      <c r="N2647" t="inlineStr">
        <is>
          <t>是</t>
        </is>
      </c>
    </row>
    <row r="2648">
      <c r="A2648" s="7" t="inlineStr">
        <is>
          <t>2018-05-31</t>
        </is>
      </c>
      <c r="B2648" s="8" t="n">
        <v>9180</v>
      </c>
      <c r="C2648" s="8" t="n">
        <v>9250</v>
      </c>
      <c r="D2648" s="8" t="n">
        <v>9260</v>
      </c>
      <c r="E2648" s="8" t="n">
        <v>9142</v>
      </c>
      <c r="F2648" s="8" t="n">
        <v>266186</v>
      </c>
      <c r="G2648" s="8" t="n">
        <v>437050</v>
      </c>
      <c r="H2648" s="8" t="n">
        <v>9165</v>
      </c>
      <c r="I2648" s="8" t="n">
        <v>9245</v>
      </c>
      <c r="J2648" s="8" t="n">
        <v>9285</v>
      </c>
      <c r="K2648" s="8" t="n">
        <v>9130</v>
      </c>
      <c r="L2648" s="8" t="n">
        <v>286776</v>
      </c>
      <c r="M2648" s="8" t="n">
        <v>466256</v>
      </c>
      <c r="N2648" t="inlineStr">
        <is>
          <t>是</t>
        </is>
      </c>
    </row>
    <row r="2649">
      <c r="A2649" s="7" t="inlineStr">
        <is>
          <t>2018-06-01</t>
        </is>
      </c>
      <c r="B2649" s="8" t="n">
        <v>9290</v>
      </c>
      <c r="C2649" s="8" t="n">
        <v>9161</v>
      </c>
      <c r="D2649" s="8" t="n">
        <v>9305</v>
      </c>
      <c r="E2649" s="8" t="n">
        <v>9160</v>
      </c>
      <c r="F2649" s="8" t="n">
        <v>311868</v>
      </c>
      <c r="G2649" s="8" t="n">
        <v>450934</v>
      </c>
      <c r="H2649" s="8" t="n">
        <v>9295</v>
      </c>
      <c r="I2649" s="8" t="n">
        <v>9165</v>
      </c>
      <c r="J2649" s="8" t="n">
        <v>9305</v>
      </c>
      <c r="K2649" s="8" t="n">
        <v>9155</v>
      </c>
      <c r="L2649" s="8" t="n">
        <v>295988</v>
      </c>
      <c r="M2649" s="8" t="n">
        <v>446012</v>
      </c>
      <c r="N2649" t="inlineStr">
        <is>
          <t>是</t>
        </is>
      </c>
    </row>
    <row r="2650">
      <c r="A2650" s="7" t="inlineStr">
        <is>
          <t>2018-06-04</t>
        </is>
      </c>
      <c r="B2650" s="8" t="n">
        <v>9284</v>
      </c>
      <c r="C2650" s="8" t="n">
        <v>9302</v>
      </c>
      <c r="D2650" s="8" t="n">
        <v>9327</v>
      </c>
      <c r="E2650" s="8" t="n">
        <v>9256</v>
      </c>
      <c r="F2650" s="8" t="n">
        <v>196616</v>
      </c>
      <c r="G2650" s="8" t="n">
        <v>455558</v>
      </c>
      <c r="H2650" s="8" t="n">
        <v>9290</v>
      </c>
      <c r="I2650" s="8" t="n">
        <v>9295</v>
      </c>
      <c r="J2650" s="8" t="n">
        <v>9340</v>
      </c>
      <c r="K2650" s="8" t="n">
        <v>9280</v>
      </c>
      <c r="L2650" s="8" t="n">
        <v>158776</v>
      </c>
      <c r="M2650" s="8" t="n">
        <v>439102</v>
      </c>
      <c r="N2650" t="inlineStr">
        <is>
          <t>是</t>
        </is>
      </c>
    </row>
    <row r="2651">
      <c r="A2651" s="7" t="inlineStr">
        <is>
          <t>2018-06-05</t>
        </is>
      </c>
      <c r="B2651" s="8" t="n">
        <v>9292</v>
      </c>
      <c r="C2651" s="8" t="n">
        <v>9290</v>
      </c>
      <c r="D2651" s="8" t="n">
        <v>9308</v>
      </c>
      <c r="E2651" s="8" t="n">
        <v>9220</v>
      </c>
      <c r="F2651" s="8" t="n">
        <v>244344</v>
      </c>
      <c r="G2651" s="8" t="n">
        <v>460672</v>
      </c>
      <c r="H2651" s="8" t="n">
        <v>9280</v>
      </c>
      <c r="I2651" s="8" t="n">
        <v>9300</v>
      </c>
      <c r="J2651" s="8" t="n">
        <v>9315</v>
      </c>
      <c r="K2651" s="8" t="n">
        <v>9240</v>
      </c>
      <c r="L2651" s="8" t="n">
        <v>159386</v>
      </c>
      <c r="M2651" s="8" t="n">
        <v>440636</v>
      </c>
      <c r="N2651" t="inlineStr">
        <is>
          <t>是</t>
        </is>
      </c>
    </row>
    <row r="2652">
      <c r="A2652" s="7" t="inlineStr">
        <is>
          <t>2018-06-06</t>
        </is>
      </c>
      <c r="B2652" s="8" t="n">
        <v>9192</v>
      </c>
      <c r="C2652" s="8" t="n">
        <v>9306</v>
      </c>
      <c r="D2652" s="8" t="n">
        <v>9340</v>
      </c>
      <c r="E2652" s="8" t="n">
        <v>9183</v>
      </c>
      <c r="F2652" s="8" t="n">
        <v>346730</v>
      </c>
      <c r="G2652" s="8" t="n">
        <v>433170</v>
      </c>
      <c r="H2652" s="8" t="n">
        <v>9225</v>
      </c>
      <c r="I2652" s="8" t="n">
        <v>9295</v>
      </c>
      <c r="J2652" s="8" t="n">
        <v>9320</v>
      </c>
      <c r="K2652" s="8" t="n">
        <v>9205</v>
      </c>
      <c r="L2652" s="8" t="n">
        <v>256364</v>
      </c>
      <c r="M2652" s="8" t="n">
        <v>442752</v>
      </c>
      <c r="N2652" t="inlineStr">
        <is>
          <t>是</t>
        </is>
      </c>
    </row>
    <row r="2653">
      <c r="A2653" s="7" t="inlineStr">
        <is>
          <t>2018-06-07</t>
        </is>
      </c>
      <c r="B2653" s="8" t="n">
        <v>9290</v>
      </c>
      <c r="C2653" s="8" t="n">
        <v>9201</v>
      </c>
      <c r="D2653" s="8" t="n">
        <v>9292</v>
      </c>
      <c r="E2653" s="8" t="n">
        <v>9196</v>
      </c>
      <c r="F2653" s="8" t="n">
        <v>248994</v>
      </c>
      <c r="G2653" s="8" t="n">
        <v>435914</v>
      </c>
      <c r="H2653" s="8" t="n">
        <v>9260</v>
      </c>
      <c r="I2653" s="8" t="n">
        <v>9235</v>
      </c>
      <c r="J2653" s="8" t="n">
        <v>9270</v>
      </c>
      <c r="K2653" s="8" t="n">
        <v>9220</v>
      </c>
      <c r="L2653" s="8" t="n">
        <v>161666</v>
      </c>
      <c r="M2653" s="8" t="n">
        <v>437252</v>
      </c>
      <c r="N2653" t="inlineStr">
        <is>
          <t>是</t>
        </is>
      </c>
    </row>
    <row r="2654">
      <c r="A2654" s="7" t="inlineStr">
        <is>
          <t>2018-06-08</t>
        </is>
      </c>
      <c r="B2654" s="8" t="n">
        <v>9306</v>
      </c>
      <c r="C2654" s="8" t="n">
        <v>9295</v>
      </c>
      <c r="D2654" s="8" t="n">
        <v>9350</v>
      </c>
      <c r="E2654" s="8" t="n">
        <v>9261</v>
      </c>
      <c r="F2654" s="8" t="n">
        <v>289672</v>
      </c>
      <c r="G2654" s="8" t="n">
        <v>450776</v>
      </c>
      <c r="H2654" s="8" t="n">
        <v>9290</v>
      </c>
      <c r="I2654" s="8" t="n">
        <v>9250</v>
      </c>
      <c r="J2654" s="8" t="n">
        <v>9345</v>
      </c>
      <c r="K2654" s="8" t="n">
        <v>9235</v>
      </c>
      <c r="L2654" s="8" t="n">
        <v>296218</v>
      </c>
      <c r="M2654" s="8" t="n">
        <v>428378</v>
      </c>
      <c r="N2654" t="inlineStr">
        <is>
          <t>是</t>
        </is>
      </c>
    </row>
    <row r="2655">
      <c r="A2655" s="7" t="inlineStr">
        <is>
          <t>2018-06-11</t>
        </is>
      </c>
      <c r="B2655" s="8" t="n">
        <v>9423</v>
      </c>
      <c r="C2655" s="8" t="n">
        <v>9305</v>
      </c>
      <c r="D2655" s="8" t="n">
        <v>9425</v>
      </c>
      <c r="E2655" s="8" t="n">
        <v>9230</v>
      </c>
      <c r="F2655" s="8" t="n">
        <v>467640</v>
      </c>
      <c r="G2655" s="8" t="n">
        <v>540966</v>
      </c>
      <c r="H2655" s="8" t="n">
        <v>9350</v>
      </c>
      <c r="I2655" s="8" t="n">
        <v>9290</v>
      </c>
      <c r="J2655" s="8" t="n">
        <v>9355</v>
      </c>
      <c r="K2655" s="8" t="n">
        <v>9230</v>
      </c>
      <c r="L2655" s="8" t="n">
        <v>263054</v>
      </c>
      <c r="M2655" s="8" t="n">
        <v>433732</v>
      </c>
      <c r="N2655" t="inlineStr">
        <is>
          <t>是</t>
        </is>
      </c>
    </row>
    <row r="2656">
      <c r="A2656" s="7" t="inlineStr">
        <is>
          <t>2018-06-12</t>
        </is>
      </c>
      <c r="B2656" s="8" t="n">
        <v>9377</v>
      </c>
      <c r="C2656" s="8" t="n">
        <v>9430</v>
      </c>
      <c r="D2656" s="8" t="n">
        <v>9466</v>
      </c>
      <c r="E2656" s="8" t="n">
        <v>9355</v>
      </c>
      <c r="F2656" s="8" t="n">
        <v>292528</v>
      </c>
      <c r="G2656" s="8" t="n">
        <v>509002</v>
      </c>
      <c r="H2656" s="8" t="n">
        <v>9340</v>
      </c>
      <c r="I2656" s="8" t="n">
        <v>9350</v>
      </c>
      <c r="J2656" s="8" t="n">
        <v>9385</v>
      </c>
      <c r="K2656" s="8" t="n">
        <v>9310</v>
      </c>
      <c r="L2656" s="8" t="n">
        <v>164202</v>
      </c>
      <c r="M2656" s="8" t="n">
        <v>424830</v>
      </c>
      <c r="N2656" t="inlineStr">
        <is>
          <t>是</t>
        </is>
      </c>
    </row>
    <row r="2657">
      <c r="A2657" s="7" t="inlineStr">
        <is>
          <t>2018-06-13</t>
        </is>
      </c>
      <c r="B2657" s="8" t="n">
        <v>9335</v>
      </c>
      <c r="C2657" s="8" t="n">
        <v>9321</v>
      </c>
      <c r="D2657" s="8" t="n">
        <v>9395</v>
      </c>
      <c r="E2657" s="8" t="n">
        <v>9302</v>
      </c>
      <c r="F2657" s="8" t="n">
        <v>251444</v>
      </c>
      <c r="G2657" s="8" t="n">
        <v>488138</v>
      </c>
      <c r="H2657" s="8" t="n">
        <v>9260</v>
      </c>
      <c r="I2657" s="8" t="n">
        <v>9325</v>
      </c>
      <c r="J2657" s="8" t="n">
        <v>9340</v>
      </c>
      <c r="K2657" s="8" t="n">
        <v>9215</v>
      </c>
      <c r="L2657" s="8" t="n">
        <v>250316</v>
      </c>
      <c r="M2657" s="8" t="n">
        <v>421078</v>
      </c>
      <c r="N2657" t="inlineStr">
        <is>
          <t>是</t>
        </is>
      </c>
    </row>
    <row r="2658">
      <c r="A2658" s="7" t="inlineStr">
        <is>
          <t>2018-06-14</t>
        </is>
      </c>
      <c r="B2658" s="8" t="n">
        <v>9286</v>
      </c>
      <c r="C2658" s="8" t="n">
        <v>9366</v>
      </c>
      <c r="D2658" s="8" t="n">
        <v>9390</v>
      </c>
      <c r="E2658" s="8" t="n">
        <v>9262</v>
      </c>
      <c r="F2658" s="8" t="n">
        <v>277478</v>
      </c>
      <c r="G2658" s="8" t="n">
        <v>472024</v>
      </c>
      <c r="H2658" s="8" t="n">
        <v>9215</v>
      </c>
      <c r="I2658" s="8" t="n">
        <v>9275</v>
      </c>
      <c r="J2658" s="8" t="n">
        <v>9305</v>
      </c>
      <c r="K2658" s="8" t="n">
        <v>9175</v>
      </c>
      <c r="L2658" s="8" t="n">
        <v>271780</v>
      </c>
      <c r="M2658" s="8" t="n">
        <v>438668</v>
      </c>
      <c r="N2658" t="inlineStr">
        <is>
          <t>是</t>
        </is>
      </c>
    </row>
    <row r="2659">
      <c r="A2659" s="7" t="inlineStr">
        <is>
          <t>2018-06-15</t>
        </is>
      </c>
      <c r="B2659" s="8" t="n">
        <v>9288</v>
      </c>
      <c r="C2659" s="8" t="n">
        <v>9270</v>
      </c>
      <c r="D2659" s="8" t="n">
        <v>9295</v>
      </c>
      <c r="E2659" s="8" t="n">
        <v>9220</v>
      </c>
      <c r="F2659" s="8" t="n">
        <v>190734</v>
      </c>
      <c r="G2659" s="8" t="n">
        <v>447534</v>
      </c>
      <c r="H2659" s="8" t="n">
        <v>9210</v>
      </c>
      <c r="I2659" s="8" t="n">
        <v>9200</v>
      </c>
      <c r="J2659" s="8" t="n">
        <v>9250</v>
      </c>
      <c r="K2659" s="8" t="n">
        <v>9170</v>
      </c>
      <c r="L2659" s="8" t="n">
        <v>150058</v>
      </c>
      <c r="M2659" s="8" t="n">
        <v>433050</v>
      </c>
      <c r="N2659" t="inlineStr">
        <is>
          <t>是</t>
        </is>
      </c>
    </row>
    <row r="2660">
      <c r="A2660" s="7" t="inlineStr">
        <is>
          <t>2018-06-19</t>
        </is>
      </c>
      <c r="B2660" s="8" t="n">
        <v>9122</v>
      </c>
      <c r="C2660" s="8" t="n">
        <v>9300</v>
      </c>
      <c r="D2660" s="8" t="n">
        <v>9322</v>
      </c>
      <c r="E2660" s="8" t="n">
        <v>9115</v>
      </c>
      <c r="F2660" s="8" t="n">
        <v>354008</v>
      </c>
      <c r="G2660" s="8" t="n">
        <v>406850</v>
      </c>
      <c r="H2660" s="8" t="n">
        <v>9045</v>
      </c>
      <c r="I2660" s="8" t="n">
        <v>9185</v>
      </c>
      <c r="J2660" s="8" t="n">
        <v>9250</v>
      </c>
      <c r="K2660" s="8" t="n">
        <v>9015</v>
      </c>
      <c r="L2660" s="8" t="n">
        <v>395584</v>
      </c>
      <c r="M2660" s="8" t="n">
        <v>458978</v>
      </c>
      <c r="N2660" t="inlineStr">
        <is>
          <t>是</t>
        </is>
      </c>
    </row>
    <row r="2661">
      <c r="A2661" s="7" t="inlineStr">
        <is>
          <t>2018-06-20</t>
        </is>
      </c>
      <c r="B2661" s="8" t="n">
        <v>9130</v>
      </c>
      <c r="C2661" s="8" t="n">
        <v>9125</v>
      </c>
      <c r="D2661" s="8" t="n">
        <v>9169</v>
      </c>
      <c r="E2661" s="8" t="n">
        <v>9110</v>
      </c>
      <c r="F2661" s="8" t="n">
        <v>159884</v>
      </c>
      <c r="G2661" s="8" t="n">
        <v>392822</v>
      </c>
      <c r="H2661" s="8" t="n">
        <v>9105</v>
      </c>
      <c r="I2661" s="8" t="n">
        <v>9060</v>
      </c>
      <c r="J2661" s="8" t="n">
        <v>9110</v>
      </c>
      <c r="K2661" s="8" t="n">
        <v>9050</v>
      </c>
      <c r="L2661" s="8" t="n">
        <v>131930</v>
      </c>
      <c r="M2661" s="8" t="n">
        <v>449572</v>
      </c>
      <c r="N2661" t="inlineStr">
        <is>
          <t>是</t>
        </is>
      </c>
    </row>
    <row r="2662">
      <c r="A2662" s="7" t="inlineStr">
        <is>
          <t>2018-06-21</t>
        </is>
      </c>
      <c r="B2662" s="8" t="n">
        <v>9061</v>
      </c>
      <c r="C2662" s="8" t="n">
        <v>9150</v>
      </c>
      <c r="D2662" s="8" t="n">
        <v>9160</v>
      </c>
      <c r="E2662" s="8" t="n">
        <v>9051</v>
      </c>
      <c r="F2662" s="8" t="n">
        <v>216464</v>
      </c>
      <c r="G2662" s="8" t="n">
        <v>397602</v>
      </c>
      <c r="H2662" s="8" t="n">
        <v>9025</v>
      </c>
      <c r="I2662" s="8" t="n">
        <v>9115</v>
      </c>
      <c r="J2662" s="8" t="n">
        <v>9130</v>
      </c>
      <c r="K2662" s="8" t="n">
        <v>9015</v>
      </c>
      <c r="L2662" s="8" t="n">
        <v>171790</v>
      </c>
      <c r="M2662" s="8" t="n">
        <v>470602</v>
      </c>
      <c r="N2662" t="inlineStr">
        <is>
          <t>是</t>
        </is>
      </c>
    </row>
    <row r="2663">
      <c r="A2663" s="7" t="inlineStr">
        <is>
          <t>2018-06-22</t>
        </is>
      </c>
      <c r="B2663" s="8" t="n">
        <v>8980</v>
      </c>
      <c r="C2663" s="8" t="n">
        <v>9080</v>
      </c>
      <c r="D2663" s="8" t="n">
        <v>9080</v>
      </c>
      <c r="E2663" s="8" t="n">
        <v>8963</v>
      </c>
      <c r="F2663" s="8" t="n">
        <v>302308</v>
      </c>
      <c r="G2663" s="8" t="n">
        <v>394346</v>
      </c>
      <c r="H2663" s="8" t="n">
        <v>8945</v>
      </c>
      <c r="I2663" s="8" t="n">
        <v>9025</v>
      </c>
      <c r="J2663" s="8" t="n">
        <v>9040</v>
      </c>
      <c r="K2663" s="8" t="n">
        <v>8895</v>
      </c>
      <c r="L2663" s="8" t="n">
        <v>293154</v>
      </c>
      <c r="M2663" s="8" t="n">
        <v>484948</v>
      </c>
      <c r="N2663" t="inlineStr">
        <is>
          <t>是</t>
        </is>
      </c>
    </row>
    <row r="2664">
      <c r="A2664" s="7" t="inlineStr">
        <is>
          <t>2018-06-25</t>
        </is>
      </c>
      <c r="B2664" s="8" t="n">
        <v>9012</v>
      </c>
      <c r="C2664" s="8" t="n">
        <v>9050</v>
      </c>
      <c r="D2664" s="8" t="n">
        <v>9061</v>
      </c>
      <c r="E2664" s="8" t="n">
        <v>8968</v>
      </c>
      <c r="F2664" s="8" t="n">
        <v>232794</v>
      </c>
      <c r="G2664" s="8" t="n">
        <v>391432</v>
      </c>
      <c r="H2664" s="8" t="n">
        <v>8980</v>
      </c>
      <c r="I2664" s="8" t="n">
        <v>9000</v>
      </c>
      <c r="J2664" s="8" t="n">
        <v>9030</v>
      </c>
      <c r="K2664" s="8" t="n">
        <v>8935</v>
      </c>
      <c r="L2664" s="8" t="n">
        <v>198900</v>
      </c>
      <c r="M2664" s="8" t="n">
        <v>469086</v>
      </c>
      <c r="N2664" t="inlineStr">
        <is>
          <t>是</t>
        </is>
      </c>
    </row>
    <row r="2665">
      <c r="A2665" s="7" t="inlineStr">
        <is>
          <t>2018-06-26</t>
        </is>
      </c>
      <c r="B2665" s="8" t="n">
        <v>9058</v>
      </c>
      <c r="C2665" s="8" t="n">
        <v>8980</v>
      </c>
      <c r="D2665" s="8" t="n">
        <v>9098</v>
      </c>
      <c r="E2665" s="8" t="n">
        <v>8936</v>
      </c>
      <c r="F2665" s="8" t="n">
        <v>277414</v>
      </c>
      <c r="G2665" s="8" t="n">
        <v>407032</v>
      </c>
      <c r="H2665" s="8" t="n">
        <v>9070</v>
      </c>
      <c r="I2665" s="8" t="n">
        <v>8955</v>
      </c>
      <c r="J2665" s="8" t="n">
        <v>9085</v>
      </c>
      <c r="K2665" s="8" t="n">
        <v>8920</v>
      </c>
      <c r="L2665" s="8" t="n">
        <v>255232</v>
      </c>
      <c r="M2665" s="8" t="n">
        <v>437196</v>
      </c>
      <c r="N2665" t="inlineStr">
        <is>
          <t>是</t>
        </is>
      </c>
    </row>
    <row r="2666">
      <c r="A2666" s="7" t="inlineStr">
        <is>
          <t>2018-06-27</t>
        </is>
      </c>
      <c r="B2666" s="8" t="n">
        <v>9077</v>
      </c>
      <c r="C2666" s="8" t="n">
        <v>9085</v>
      </c>
      <c r="D2666" s="8" t="n">
        <v>9120</v>
      </c>
      <c r="E2666" s="8" t="n">
        <v>9036</v>
      </c>
      <c r="F2666" s="8" t="n">
        <v>197608</v>
      </c>
      <c r="G2666" s="8" t="n">
        <v>382424</v>
      </c>
      <c r="H2666" s="8" t="n">
        <v>9140</v>
      </c>
      <c r="I2666" s="8" t="n">
        <v>9115</v>
      </c>
      <c r="J2666" s="8" t="n">
        <v>9145</v>
      </c>
      <c r="K2666" s="8" t="n">
        <v>9080</v>
      </c>
      <c r="L2666" s="8" t="n">
        <v>212978</v>
      </c>
      <c r="M2666" s="8" t="n">
        <v>410624</v>
      </c>
      <c r="N2666" t="inlineStr">
        <is>
          <t>是</t>
        </is>
      </c>
    </row>
    <row r="2667">
      <c r="A2667" s="7" t="inlineStr">
        <is>
          <t>2018-06-28</t>
        </is>
      </c>
      <c r="B2667" s="8" t="n">
        <v>9098</v>
      </c>
      <c r="C2667" s="8" t="n">
        <v>9116</v>
      </c>
      <c r="D2667" s="8" t="n">
        <v>9147</v>
      </c>
      <c r="E2667" s="8" t="n">
        <v>9086</v>
      </c>
      <c r="F2667" s="8" t="n">
        <v>191584</v>
      </c>
      <c r="G2667" s="8" t="n">
        <v>376506</v>
      </c>
      <c r="H2667" s="8" t="n">
        <v>9110</v>
      </c>
      <c r="I2667" s="8" t="n">
        <v>9180</v>
      </c>
      <c r="J2667" s="8" t="n">
        <v>9190</v>
      </c>
      <c r="K2667" s="8" t="n">
        <v>9105</v>
      </c>
      <c r="L2667" s="8" t="n">
        <v>159092</v>
      </c>
      <c r="M2667" s="8" t="n">
        <v>402958</v>
      </c>
      <c r="N2667" t="inlineStr">
        <is>
          <t>是</t>
        </is>
      </c>
    </row>
    <row r="2668">
      <c r="A2668" s="7" t="inlineStr">
        <is>
          <t>2018-06-29</t>
        </is>
      </c>
      <c r="B2668" s="8" t="n">
        <v>9288</v>
      </c>
      <c r="C2668" s="8" t="n">
        <v>9102</v>
      </c>
      <c r="D2668" s="8" t="n">
        <v>9288</v>
      </c>
      <c r="E2668" s="8" t="n">
        <v>9099</v>
      </c>
      <c r="F2668" s="8" t="n">
        <v>338454</v>
      </c>
      <c r="G2668" s="8" t="n">
        <v>371618</v>
      </c>
      <c r="H2668" s="8" t="n">
        <v>9265</v>
      </c>
      <c r="I2668" s="8" t="n">
        <v>9125</v>
      </c>
      <c r="J2668" s="8" t="n">
        <v>9275</v>
      </c>
      <c r="K2668" s="8" t="n">
        <v>9095</v>
      </c>
      <c r="L2668" s="8" t="n">
        <v>297870</v>
      </c>
      <c r="M2668" s="8" t="n">
        <v>405052</v>
      </c>
      <c r="N2668" t="inlineStr">
        <is>
          <t>是</t>
        </is>
      </c>
    </row>
    <row r="2669">
      <c r="A2669" s="7" t="inlineStr">
        <is>
          <t>2018-07-02</t>
        </is>
      </c>
      <c r="B2669" s="8" t="n">
        <v>9242</v>
      </c>
      <c r="C2669" s="8" t="n">
        <v>9271</v>
      </c>
      <c r="D2669" s="8" t="n">
        <v>9280</v>
      </c>
      <c r="E2669" s="8" t="n">
        <v>9220</v>
      </c>
      <c r="F2669" s="8" t="n">
        <v>195574</v>
      </c>
      <c r="G2669" s="8" t="n">
        <v>361384</v>
      </c>
      <c r="H2669" s="8" t="n">
        <v>9215</v>
      </c>
      <c r="I2669" s="8" t="n">
        <v>9255</v>
      </c>
      <c r="J2669" s="8" t="n">
        <v>9260</v>
      </c>
      <c r="K2669" s="8" t="n">
        <v>9190</v>
      </c>
      <c r="L2669" s="8" t="n">
        <v>161286</v>
      </c>
      <c r="M2669" s="8" t="n">
        <v>396054</v>
      </c>
      <c r="N2669" t="inlineStr">
        <is>
          <t>是</t>
        </is>
      </c>
    </row>
    <row r="2670">
      <c r="A2670" s="7" t="inlineStr">
        <is>
          <t>2018-07-03</t>
        </is>
      </c>
      <c r="B2670" s="8" t="n">
        <v>9231</v>
      </c>
      <c r="C2670" s="8" t="n">
        <v>9236</v>
      </c>
      <c r="D2670" s="8" t="n">
        <v>9284</v>
      </c>
      <c r="E2670" s="8" t="n">
        <v>9211</v>
      </c>
      <c r="F2670" s="8" t="n">
        <v>217616</v>
      </c>
      <c r="G2670" s="8" t="n">
        <v>362178</v>
      </c>
      <c r="H2670" s="8" t="n">
        <v>9250</v>
      </c>
      <c r="I2670" s="8" t="n">
        <v>9210</v>
      </c>
      <c r="J2670" s="8" t="n">
        <v>9285</v>
      </c>
      <c r="K2670" s="8" t="n">
        <v>9190</v>
      </c>
      <c r="L2670" s="8" t="n">
        <v>166298</v>
      </c>
      <c r="M2670" s="8" t="n">
        <v>400114</v>
      </c>
      <c r="N2670" t="inlineStr">
        <is>
          <t>是</t>
        </is>
      </c>
    </row>
    <row r="2671">
      <c r="A2671" s="7" t="inlineStr">
        <is>
          <t>2018-07-04</t>
        </is>
      </c>
      <c r="B2671" s="8" t="n">
        <v>9259</v>
      </c>
      <c r="C2671" s="8" t="n">
        <v>9220</v>
      </c>
      <c r="D2671" s="8" t="n">
        <v>9300</v>
      </c>
      <c r="E2671" s="8" t="n">
        <v>9186</v>
      </c>
      <c r="F2671" s="8" t="n">
        <v>206722</v>
      </c>
      <c r="G2671" s="8" t="n">
        <v>348636</v>
      </c>
      <c r="H2671" s="8" t="n">
        <v>9275</v>
      </c>
      <c r="I2671" s="8" t="n">
        <v>9230</v>
      </c>
      <c r="J2671" s="8" t="n">
        <v>9295</v>
      </c>
      <c r="K2671" s="8" t="n">
        <v>9220</v>
      </c>
      <c r="L2671" s="8" t="n">
        <v>155358</v>
      </c>
      <c r="M2671" s="8" t="n">
        <v>377528</v>
      </c>
      <c r="N2671" t="inlineStr">
        <is>
          <t>是</t>
        </is>
      </c>
    </row>
    <row r="2672">
      <c r="A2672" s="7" t="inlineStr">
        <is>
          <t>2018-07-05</t>
        </is>
      </c>
      <c r="B2672" s="8" t="n">
        <v>9103</v>
      </c>
      <c r="C2672" s="8" t="n">
        <v>9224</v>
      </c>
      <c r="D2672" s="8" t="n">
        <v>9237</v>
      </c>
      <c r="E2672" s="8" t="n">
        <v>9100</v>
      </c>
      <c r="F2672" s="8" t="n">
        <v>284584</v>
      </c>
      <c r="G2672" s="8" t="n">
        <v>351676</v>
      </c>
      <c r="H2672" s="8" t="n">
        <v>9160</v>
      </c>
      <c r="I2672" s="8" t="n">
        <v>9255</v>
      </c>
      <c r="J2672" s="8" t="n">
        <v>9255</v>
      </c>
      <c r="K2672" s="8" t="n">
        <v>9155</v>
      </c>
      <c r="L2672" s="8" t="n">
        <v>194644</v>
      </c>
      <c r="M2672" s="8" t="n">
        <v>384476</v>
      </c>
      <c r="N2672" t="inlineStr">
        <is>
          <t>是</t>
        </is>
      </c>
    </row>
    <row r="2673">
      <c r="A2673" s="7" t="inlineStr">
        <is>
          <t>2018-07-06</t>
        </is>
      </c>
      <c r="B2673" s="8" t="n">
        <v>9095</v>
      </c>
      <c r="C2673" s="8" t="n">
        <v>9082</v>
      </c>
      <c r="D2673" s="8" t="n">
        <v>9143</v>
      </c>
      <c r="E2673" s="8" t="n">
        <v>9074</v>
      </c>
      <c r="F2673" s="8" t="n">
        <v>192250</v>
      </c>
      <c r="G2673" s="8" t="n">
        <v>338354</v>
      </c>
      <c r="H2673" s="8" t="n">
        <v>9145</v>
      </c>
      <c r="I2673" s="8" t="n">
        <v>9155</v>
      </c>
      <c r="J2673" s="8" t="n">
        <v>9200</v>
      </c>
      <c r="K2673" s="8" t="n">
        <v>9125</v>
      </c>
      <c r="L2673" s="8" t="n">
        <v>152884</v>
      </c>
      <c r="M2673" s="8" t="n">
        <v>369908</v>
      </c>
      <c r="N2673" t="inlineStr">
        <is>
          <t>是</t>
        </is>
      </c>
    </row>
    <row r="2674">
      <c r="A2674" s="7" t="inlineStr">
        <is>
          <t>2018-07-09</t>
        </is>
      </c>
      <c r="B2674" s="8" t="n">
        <v>9135</v>
      </c>
      <c r="C2674" s="8" t="n">
        <v>9123</v>
      </c>
      <c r="D2674" s="8" t="n">
        <v>9148</v>
      </c>
      <c r="E2674" s="8" t="n">
        <v>9068</v>
      </c>
      <c r="F2674" s="8" t="n">
        <v>172352</v>
      </c>
      <c r="G2674" s="8" t="n">
        <v>335918</v>
      </c>
      <c r="H2674" s="8" t="n">
        <v>9185</v>
      </c>
      <c r="I2674" s="8" t="n">
        <v>9175</v>
      </c>
      <c r="J2674" s="8" t="n">
        <v>9200</v>
      </c>
      <c r="K2674" s="8" t="n">
        <v>9115</v>
      </c>
      <c r="L2674" s="8" t="n">
        <v>152136</v>
      </c>
      <c r="M2674" s="8" t="n">
        <v>361790</v>
      </c>
      <c r="N2674" t="inlineStr">
        <is>
          <t>是</t>
        </is>
      </c>
    </row>
    <row r="2675">
      <c r="A2675" s="7" t="inlineStr">
        <is>
          <t>2018-07-10</t>
        </is>
      </c>
      <c r="B2675" s="8" t="n">
        <v>9229</v>
      </c>
      <c r="C2675" s="8" t="n">
        <v>9140</v>
      </c>
      <c r="D2675" s="8" t="n">
        <v>9245</v>
      </c>
      <c r="E2675" s="8" t="n">
        <v>9136</v>
      </c>
      <c r="F2675" s="8" t="n">
        <v>215046</v>
      </c>
      <c r="G2675" s="8" t="n">
        <v>330438</v>
      </c>
      <c r="H2675" s="8" t="n">
        <v>9255</v>
      </c>
      <c r="I2675" s="8" t="n">
        <v>9200</v>
      </c>
      <c r="J2675" s="8" t="n">
        <v>9260</v>
      </c>
      <c r="K2675" s="8" t="n">
        <v>9165</v>
      </c>
      <c r="L2675" s="8" t="n">
        <v>165368</v>
      </c>
      <c r="M2675" s="8" t="n">
        <v>353254</v>
      </c>
      <c r="N2675" t="inlineStr">
        <is>
          <t>是</t>
        </is>
      </c>
    </row>
    <row r="2676">
      <c r="A2676" s="7" t="inlineStr">
        <is>
          <t>2018-07-11</t>
        </is>
      </c>
      <c r="B2676" s="8" t="n">
        <v>9227</v>
      </c>
      <c r="C2676" s="8" t="n">
        <v>9197</v>
      </c>
      <c r="D2676" s="8" t="n">
        <v>9264</v>
      </c>
      <c r="E2676" s="8" t="n">
        <v>9150</v>
      </c>
      <c r="F2676" s="8" t="n">
        <v>234036</v>
      </c>
      <c r="G2676" s="8" t="n">
        <v>324804</v>
      </c>
      <c r="H2676" s="8" t="n">
        <v>9235</v>
      </c>
      <c r="I2676" s="8" t="n">
        <v>9220</v>
      </c>
      <c r="J2676" s="8" t="n">
        <v>9275</v>
      </c>
      <c r="K2676" s="8" t="n">
        <v>9180</v>
      </c>
      <c r="L2676" s="8" t="n">
        <v>202820</v>
      </c>
      <c r="M2676" s="8" t="n">
        <v>342306</v>
      </c>
      <c r="N2676" t="inlineStr">
        <is>
          <t>是</t>
        </is>
      </c>
    </row>
    <row r="2677">
      <c r="A2677" s="7" t="inlineStr">
        <is>
          <t>2018-07-12</t>
        </is>
      </c>
      <c r="B2677" s="8" t="n">
        <v>9315</v>
      </c>
      <c r="C2677" s="8" t="n">
        <v>9190</v>
      </c>
      <c r="D2677" s="8" t="n">
        <v>9318</v>
      </c>
      <c r="E2677" s="8" t="n">
        <v>9175</v>
      </c>
      <c r="F2677" s="8" t="n">
        <v>344720</v>
      </c>
      <c r="G2677" s="8" t="n">
        <v>386500</v>
      </c>
      <c r="H2677" s="8" t="n">
        <v>9305</v>
      </c>
      <c r="I2677" s="8" t="n">
        <v>9185</v>
      </c>
      <c r="J2677" s="8" t="n">
        <v>9330</v>
      </c>
      <c r="K2677" s="8" t="n">
        <v>9170</v>
      </c>
      <c r="L2677" s="8" t="n">
        <v>263936</v>
      </c>
      <c r="M2677" s="8" t="n">
        <v>343560</v>
      </c>
      <c r="N2677" t="inlineStr">
        <is>
          <t>是</t>
        </is>
      </c>
    </row>
    <row r="2678">
      <c r="A2678" s="7" t="inlineStr">
        <is>
          <t>2018-07-13</t>
        </is>
      </c>
      <c r="B2678" s="8" t="n">
        <v>9345</v>
      </c>
      <c r="C2678" s="8" t="n">
        <v>9325</v>
      </c>
      <c r="D2678" s="8" t="n">
        <v>9347</v>
      </c>
      <c r="E2678" s="8" t="n">
        <v>9295</v>
      </c>
      <c r="F2678" s="8" t="n">
        <v>165196</v>
      </c>
      <c r="G2678" s="8" t="n">
        <v>391286</v>
      </c>
      <c r="H2678" s="8" t="n">
        <v>9335</v>
      </c>
      <c r="I2678" s="8" t="n">
        <v>9300</v>
      </c>
      <c r="J2678" s="8" t="n">
        <v>9360</v>
      </c>
      <c r="K2678" s="8" t="n">
        <v>9295</v>
      </c>
      <c r="L2678" s="8" t="n">
        <v>149926</v>
      </c>
      <c r="M2678" s="8" t="n">
        <v>333272</v>
      </c>
      <c r="N2678" t="inlineStr">
        <is>
          <t>是</t>
        </is>
      </c>
    </row>
    <row r="2679">
      <c r="A2679" s="7" t="inlineStr">
        <is>
          <t>2018-07-16</t>
        </is>
      </c>
      <c r="B2679" s="8" t="n">
        <v>9331</v>
      </c>
      <c r="C2679" s="8" t="n">
        <v>9350</v>
      </c>
      <c r="D2679" s="8" t="n">
        <v>9380</v>
      </c>
      <c r="E2679" s="8" t="n">
        <v>9315</v>
      </c>
      <c r="F2679" s="8" t="n">
        <v>178374</v>
      </c>
      <c r="G2679" s="8" t="n">
        <v>402598</v>
      </c>
      <c r="H2679" s="8" t="n">
        <v>9325</v>
      </c>
      <c r="I2679" s="8" t="n">
        <v>9330</v>
      </c>
      <c r="J2679" s="8" t="n">
        <v>9380</v>
      </c>
      <c r="K2679" s="8" t="n">
        <v>9310</v>
      </c>
      <c r="L2679" s="8" t="n">
        <v>183504</v>
      </c>
      <c r="M2679" s="8" t="n">
        <v>315290</v>
      </c>
      <c r="N2679" t="inlineStr">
        <is>
          <t>是</t>
        </is>
      </c>
    </row>
    <row r="2680">
      <c r="A2680" s="7" t="inlineStr">
        <is>
          <t>2018-07-17</t>
        </is>
      </c>
      <c r="B2680" s="8" t="n">
        <v>9345</v>
      </c>
      <c r="C2680" s="8" t="n">
        <v>9300</v>
      </c>
      <c r="D2680" s="8" t="n">
        <v>9350</v>
      </c>
      <c r="E2680" s="8" t="n">
        <v>9260</v>
      </c>
      <c r="F2680" s="8" t="n">
        <v>205918</v>
      </c>
      <c r="G2680" s="8" t="n">
        <v>402792</v>
      </c>
      <c r="H2680" s="8" t="n">
        <v>9330</v>
      </c>
      <c r="I2680" s="8" t="n">
        <v>9300</v>
      </c>
      <c r="J2680" s="8" t="n">
        <v>9345</v>
      </c>
      <c r="K2680" s="8" t="n">
        <v>9255</v>
      </c>
      <c r="L2680" s="8" t="n">
        <v>175590</v>
      </c>
      <c r="M2680" s="8" t="n">
        <v>306084</v>
      </c>
      <c r="N2680" t="inlineStr">
        <is>
          <t>是</t>
        </is>
      </c>
    </row>
    <row r="2681">
      <c r="A2681" s="7" t="inlineStr">
        <is>
          <t>2018-07-18</t>
        </is>
      </c>
      <c r="B2681" s="8" t="n">
        <v>9333</v>
      </c>
      <c r="C2681" s="8" t="n">
        <v>9345</v>
      </c>
      <c r="D2681" s="8" t="n">
        <v>9368</v>
      </c>
      <c r="E2681" s="8" t="n">
        <v>9301</v>
      </c>
      <c r="F2681" s="8" t="n">
        <v>152450</v>
      </c>
      <c r="G2681" s="8" t="n">
        <v>397158</v>
      </c>
      <c r="H2681" s="8" t="n">
        <v>9320</v>
      </c>
      <c r="I2681" s="8" t="n">
        <v>9335</v>
      </c>
      <c r="J2681" s="8" t="n">
        <v>9355</v>
      </c>
      <c r="K2681" s="8" t="n">
        <v>9280</v>
      </c>
      <c r="L2681" s="8" t="n">
        <v>122586</v>
      </c>
      <c r="M2681" s="8" t="n">
        <v>293132</v>
      </c>
      <c r="N2681" t="inlineStr">
        <is>
          <t>是</t>
        </is>
      </c>
    </row>
    <row r="2682">
      <c r="A2682" s="7" t="inlineStr">
        <is>
          <t>2018-07-19</t>
        </is>
      </c>
      <c r="B2682" s="8" t="n">
        <v>9304</v>
      </c>
      <c r="C2682" s="8" t="n">
        <v>9365</v>
      </c>
      <c r="D2682" s="8" t="n">
        <v>9423</v>
      </c>
      <c r="E2682" s="8" t="n">
        <v>9274</v>
      </c>
      <c r="F2682" s="8" t="n">
        <v>260298</v>
      </c>
      <c r="G2682" s="8" t="n">
        <v>375608</v>
      </c>
      <c r="H2682" s="8" t="n">
        <v>9280</v>
      </c>
      <c r="I2682" s="8" t="n">
        <v>9350</v>
      </c>
      <c r="J2682" s="8" t="n">
        <v>9425</v>
      </c>
      <c r="K2682" s="8" t="n">
        <v>9245</v>
      </c>
      <c r="L2682" s="8" t="n">
        <v>214636</v>
      </c>
      <c r="M2682" s="8" t="n">
        <v>301540</v>
      </c>
      <c r="N2682" t="inlineStr">
        <is>
          <t>是</t>
        </is>
      </c>
    </row>
    <row r="2683">
      <c r="A2683" s="7" t="inlineStr">
        <is>
          <t>2018-07-20</t>
        </is>
      </c>
      <c r="B2683" s="8" t="n">
        <v>9380</v>
      </c>
      <c r="C2683" s="8" t="n">
        <v>9290</v>
      </c>
      <c r="D2683" s="8" t="n">
        <v>9385</v>
      </c>
      <c r="E2683" s="8" t="n">
        <v>9280</v>
      </c>
      <c r="F2683" s="8" t="n">
        <v>200640</v>
      </c>
      <c r="G2683" s="8" t="n">
        <v>390758</v>
      </c>
      <c r="H2683" s="8" t="n">
        <v>9370</v>
      </c>
      <c r="I2683" s="8" t="n">
        <v>9290</v>
      </c>
      <c r="J2683" s="8" t="n">
        <v>9380</v>
      </c>
      <c r="K2683" s="8" t="n">
        <v>9270</v>
      </c>
      <c r="L2683" s="8" t="n">
        <v>156804</v>
      </c>
      <c r="M2683" s="8" t="n">
        <v>298272</v>
      </c>
      <c r="N2683" t="inlineStr">
        <is>
          <t>是</t>
        </is>
      </c>
    </row>
    <row r="2684">
      <c r="A2684" s="7" t="inlineStr">
        <is>
          <t>2018-07-23</t>
        </is>
      </c>
      <c r="B2684" s="8" t="n">
        <v>9427</v>
      </c>
      <c r="C2684" s="8" t="n">
        <v>9383</v>
      </c>
      <c r="D2684" s="8" t="n">
        <v>9448</v>
      </c>
      <c r="E2684" s="8" t="n">
        <v>9350</v>
      </c>
      <c r="F2684" s="8" t="n">
        <v>187320</v>
      </c>
      <c r="G2684" s="8" t="n">
        <v>404206</v>
      </c>
      <c r="H2684" s="8" t="n">
        <v>9390</v>
      </c>
      <c r="I2684" s="8" t="n">
        <v>9380</v>
      </c>
      <c r="J2684" s="8" t="n">
        <v>9400</v>
      </c>
      <c r="K2684" s="8" t="n">
        <v>9350</v>
      </c>
      <c r="L2684" s="8" t="n">
        <v>104702</v>
      </c>
      <c r="M2684" s="8" t="n">
        <v>285532</v>
      </c>
      <c r="N2684" t="inlineStr">
        <is>
          <t>是</t>
        </is>
      </c>
    </row>
    <row r="2685">
      <c r="A2685" s="7" t="inlineStr">
        <is>
          <t>2018-07-24</t>
        </is>
      </c>
      <c r="B2685" s="8" t="n">
        <v>9506</v>
      </c>
      <c r="C2685" s="8" t="n">
        <v>9447</v>
      </c>
      <c r="D2685" s="8" t="n">
        <v>9569</v>
      </c>
      <c r="E2685" s="8" t="n">
        <v>9447</v>
      </c>
      <c r="F2685" s="8" t="n">
        <v>273004</v>
      </c>
      <c r="G2685" s="8" t="n">
        <v>429834</v>
      </c>
      <c r="H2685" s="8" t="n">
        <v>9445</v>
      </c>
      <c r="I2685" s="8" t="n">
        <v>9400</v>
      </c>
      <c r="J2685" s="8" t="n">
        <v>9480</v>
      </c>
      <c r="K2685" s="8" t="n">
        <v>9385</v>
      </c>
      <c r="L2685" s="8" t="n">
        <v>200472</v>
      </c>
      <c r="M2685" s="8" t="n">
        <v>287510</v>
      </c>
      <c r="N2685" t="inlineStr">
        <is>
          <t>是</t>
        </is>
      </c>
    </row>
    <row r="2686">
      <c r="A2686" s="7" t="inlineStr">
        <is>
          <t>2018-07-25</t>
        </is>
      </c>
      <c r="B2686" s="8" t="n">
        <v>9485</v>
      </c>
      <c r="C2686" s="8" t="n">
        <v>9520</v>
      </c>
      <c r="D2686" s="8" t="n">
        <v>9549</v>
      </c>
      <c r="E2686" s="8" t="n">
        <v>9476</v>
      </c>
      <c r="F2686" s="8" t="n">
        <v>156234</v>
      </c>
      <c r="G2686" s="8" t="n">
        <v>403632</v>
      </c>
      <c r="H2686" s="8" t="n">
        <v>9445</v>
      </c>
      <c r="I2686" s="8" t="n">
        <v>9455</v>
      </c>
      <c r="J2686" s="8" t="n">
        <v>9485</v>
      </c>
      <c r="K2686" s="8" t="n">
        <v>9425</v>
      </c>
      <c r="L2686" s="8" t="n">
        <v>119238</v>
      </c>
      <c r="M2686" s="8" t="n">
        <v>267902</v>
      </c>
      <c r="N2686" t="inlineStr">
        <is>
          <t>是</t>
        </is>
      </c>
    </row>
    <row r="2687">
      <c r="A2687" s="7" t="inlineStr">
        <is>
          <t>2018-07-26</t>
        </is>
      </c>
      <c r="B2687" s="8" t="n">
        <v>9472</v>
      </c>
      <c r="C2687" s="8" t="n">
        <v>9494</v>
      </c>
      <c r="D2687" s="8" t="n">
        <v>9507</v>
      </c>
      <c r="E2687" s="8" t="n">
        <v>9451</v>
      </c>
      <c r="F2687" s="8" t="n">
        <v>169762</v>
      </c>
      <c r="G2687" s="8" t="n">
        <v>391302</v>
      </c>
      <c r="H2687" s="8" t="n">
        <v>9430</v>
      </c>
      <c r="I2687" s="8" t="n">
        <v>9450</v>
      </c>
      <c r="J2687" s="8" t="n">
        <v>9470</v>
      </c>
      <c r="K2687" s="8" t="n">
        <v>9390</v>
      </c>
      <c r="L2687" s="8" t="n">
        <v>154046</v>
      </c>
      <c r="M2687" s="8" t="n">
        <v>277524</v>
      </c>
      <c r="N2687" t="inlineStr">
        <is>
          <t>是</t>
        </is>
      </c>
    </row>
    <row r="2688">
      <c r="A2688" s="7" t="inlineStr">
        <is>
          <t>2018-07-27</t>
        </is>
      </c>
      <c r="B2688" s="8" t="n">
        <v>9492</v>
      </c>
      <c r="C2688" s="8" t="n">
        <v>9490</v>
      </c>
      <c r="D2688" s="8" t="n">
        <v>9519</v>
      </c>
      <c r="E2688" s="8" t="n">
        <v>9430</v>
      </c>
      <c r="F2688" s="8" t="n">
        <v>178506</v>
      </c>
      <c r="G2688" s="8" t="n">
        <v>359472</v>
      </c>
      <c r="H2688" s="8" t="n">
        <v>9420</v>
      </c>
      <c r="I2688" s="8" t="n">
        <v>9440</v>
      </c>
      <c r="J2688" s="8" t="n">
        <v>9475</v>
      </c>
      <c r="K2688" s="8" t="n">
        <v>9390</v>
      </c>
      <c r="L2688" s="8" t="n">
        <v>139946</v>
      </c>
      <c r="M2688" s="8" t="n">
        <v>254690</v>
      </c>
      <c r="N2688" t="inlineStr">
        <is>
          <t>是</t>
        </is>
      </c>
    </row>
    <row r="2689">
      <c r="A2689" s="7" t="inlineStr">
        <is>
          <t>2018-07-30</t>
        </is>
      </c>
      <c r="B2689" s="8" t="n">
        <v>9601</v>
      </c>
      <c r="C2689" s="8" t="n">
        <v>9523</v>
      </c>
      <c r="D2689" s="8" t="n">
        <v>9650</v>
      </c>
      <c r="E2689" s="8" t="n">
        <v>9500</v>
      </c>
      <c r="F2689" s="8" t="n">
        <v>272748</v>
      </c>
      <c r="G2689" s="8" t="n">
        <v>387970</v>
      </c>
      <c r="H2689" s="8" t="n">
        <v>9395</v>
      </c>
      <c r="I2689" s="8" t="n">
        <v>9370</v>
      </c>
      <c r="J2689" s="8" t="n">
        <v>9435</v>
      </c>
      <c r="K2689" s="8" t="n">
        <v>9360</v>
      </c>
      <c r="L2689" s="8" t="n">
        <v>90602</v>
      </c>
      <c r="M2689" s="8" t="n">
        <v>279030</v>
      </c>
      <c r="N2689" t="inlineStr">
        <is>
          <t>是</t>
        </is>
      </c>
    </row>
    <row r="2690">
      <c r="A2690" s="7" t="inlineStr">
        <is>
          <t>2018-07-31</t>
        </is>
      </c>
      <c r="B2690" s="8" t="n">
        <v>9606</v>
      </c>
      <c r="C2690" s="8" t="n">
        <v>9605</v>
      </c>
      <c r="D2690" s="8" t="n">
        <v>9628</v>
      </c>
      <c r="E2690" s="8" t="n">
        <v>9580</v>
      </c>
      <c r="F2690" s="8" t="n">
        <v>134486</v>
      </c>
      <c r="G2690" s="8" t="n">
        <v>360158</v>
      </c>
      <c r="H2690" s="8" t="n">
        <v>9370</v>
      </c>
      <c r="I2690" s="8" t="n">
        <v>9410</v>
      </c>
      <c r="J2690" s="8" t="n">
        <v>9425</v>
      </c>
      <c r="K2690" s="8" t="n">
        <v>9350</v>
      </c>
      <c r="L2690" s="8" t="n">
        <v>70758</v>
      </c>
      <c r="M2690" s="8" t="n">
        <v>293686</v>
      </c>
      <c r="N2690" t="inlineStr">
        <is>
          <t>是</t>
        </is>
      </c>
    </row>
    <row r="2691">
      <c r="A2691" s="7" t="inlineStr">
        <is>
          <t>2018-08-01</t>
        </is>
      </c>
      <c r="B2691" s="8" t="n">
        <v>9610</v>
      </c>
      <c r="C2691" s="8" t="n">
        <v>9618</v>
      </c>
      <c r="D2691" s="8" t="n">
        <v>9685</v>
      </c>
      <c r="E2691" s="8" t="n">
        <v>9533</v>
      </c>
      <c r="F2691" s="8" t="n">
        <v>251490</v>
      </c>
      <c r="G2691" s="8" t="n">
        <v>342338</v>
      </c>
      <c r="H2691" s="8" t="n">
        <v>9385</v>
      </c>
      <c r="I2691" s="8" t="n">
        <v>9370</v>
      </c>
      <c r="J2691" s="8" t="n">
        <v>9410</v>
      </c>
      <c r="K2691" s="8" t="n">
        <v>9345</v>
      </c>
      <c r="L2691" s="8" t="n">
        <v>79272</v>
      </c>
      <c r="M2691" s="8" t="n">
        <v>296144</v>
      </c>
      <c r="N2691" t="inlineStr">
        <is>
          <t>是</t>
        </is>
      </c>
    </row>
    <row r="2692">
      <c r="A2692" s="7" t="inlineStr">
        <is>
          <t>2018-08-02</t>
        </is>
      </c>
      <c r="B2692" s="8" t="n">
        <v>9744</v>
      </c>
      <c r="C2692" s="8" t="n">
        <v>9600</v>
      </c>
      <c r="D2692" s="8" t="n">
        <v>9770</v>
      </c>
      <c r="E2692" s="8" t="n">
        <v>9587</v>
      </c>
      <c r="F2692" s="8" t="n">
        <v>343430</v>
      </c>
      <c r="G2692" s="8" t="n">
        <v>373796</v>
      </c>
      <c r="H2692" s="8" t="n">
        <v>9475</v>
      </c>
      <c r="I2692" s="8" t="n">
        <v>9375</v>
      </c>
      <c r="J2692" s="8" t="n">
        <v>9485</v>
      </c>
      <c r="K2692" s="8" t="n">
        <v>9375</v>
      </c>
      <c r="L2692" s="8" t="n">
        <v>123480</v>
      </c>
      <c r="M2692" s="8" t="n">
        <v>299662</v>
      </c>
      <c r="N2692" t="inlineStr">
        <is>
          <t>是</t>
        </is>
      </c>
    </row>
    <row r="2693">
      <c r="A2693" s="7" t="inlineStr">
        <is>
          <t>2018-08-03</t>
        </is>
      </c>
      <c r="B2693" s="8" t="n">
        <v>9900</v>
      </c>
      <c r="C2693" s="8" t="n">
        <v>9753</v>
      </c>
      <c r="D2693" s="8" t="n">
        <v>10048</v>
      </c>
      <c r="E2693" s="8" t="n">
        <v>9753</v>
      </c>
      <c r="F2693" s="8" t="n">
        <v>455914</v>
      </c>
      <c r="G2693" s="8" t="n">
        <v>336480</v>
      </c>
      <c r="H2693" s="8" t="n">
        <v>9550</v>
      </c>
      <c r="I2693" s="8" t="n">
        <v>9500</v>
      </c>
      <c r="J2693" s="8" t="n">
        <v>9650</v>
      </c>
      <c r="K2693" s="8" t="n">
        <v>9490</v>
      </c>
      <c r="L2693" s="8" t="n">
        <v>194880</v>
      </c>
      <c r="M2693" s="8" t="n">
        <v>318852</v>
      </c>
      <c r="N2693" t="inlineStr">
        <is>
          <t>是</t>
        </is>
      </c>
    </row>
    <row r="2694">
      <c r="A2694" s="7" t="inlineStr">
        <is>
          <t>2018-08-06</t>
        </is>
      </c>
      <c r="B2694" s="8" t="n">
        <v>10053</v>
      </c>
      <c r="C2694" s="8" t="n">
        <v>9984</v>
      </c>
      <c r="D2694" s="8" t="n">
        <v>10094</v>
      </c>
      <c r="E2694" s="8" t="n">
        <v>9945</v>
      </c>
      <c r="F2694" s="8" t="n">
        <v>359702</v>
      </c>
      <c r="G2694" s="8" t="n">
        <v>276872</v>
      </c>
      <c r="H2694" s="8" t="n">
        <v>9630</v>
      </c>
      <c r="I2694" s="8" t="n">
        <v>9600</v>
      </c>
      <c r="J2694" s="8" t="n">
        <v>9680</v>
      </c>
      <c r="K2694" s="8" t="n">
        <v>9555</v>
      </c>
      <c r="L2694" s="8" t="n">
        <v>218646</v>
      </c>
      <c r="M2694" s="8" t="n">
        <v>327494</v>
      </c>
      <c r="N2694" t="inlineStr">
        <is>
          <t>是</t>
        </is>
      </c>
    </row>
    <row r="2695">
      <c r="A2695" s="7" t="inlineStr">
        <is>
          <t>2018-08-07</t>
        </is>
      </c>
      <c r="B2695" s="8" t="n">
        <v>10138</v>
      </c>
      <c r="C2695" s="8" t="n">
        <v>10100</v>
      </c>
      <c r="D2695" s="8" t="n">
        <v>10199</v>
      </c>
      <c r="E2695" s="8" t="n">
        <v>10085</v>
      </c>
      <c r="F2695" s="8" t="n">
        <v>258316</v>
      </c>
      <c r="G2695" s="8" t="n">
        <v>394966</v>
      </c>
      <c r="H2695" s="8" t="n">
        <v>9665</v>
      </c>
      <c r="I2695" s="8" t="n">
        <v>9655</v>
      </c>
      <c r="J2695" s="8" t="n">
        <v>9735</v>
      </c>
      <c r="K2695" s="8" t="n">
        <v>9615</v>
      </c>
      <c r="L2695" s="8" t="n">
        <v>215614</v>
      </c>
      <c r="M2695" s="8" t="n">
        <v>348524</v>
      </c>
      <c r="N2695" t="inlineStr">
        <is>
          <t>是</t>
        </is>
      </c>
    </row>
    <row r="2696">
      <c r="A2696" s="7" t="inlineStr">
        <is>
          <t>2018-08-08</t>
        </is>
      </c>
      <c r="B2696" s="8" t="n">
        <v>10121</v>
      </c>
      <c r="C2696" s="8" t="n">
        <v>10060</v>
      </c>
      <c r="D2696" s="8" t="n">
        <v>10170</v>
      </c>
      <c r="E2696" s="8" t="n">
        <v>10000</v>
      </c>
      <c r="F2696" s="8" t="n">
        <v>265376</v>
      </c>
      <c r="G2696" s="8" t="n">
        <v>420266</v>
      </c>
      <c r="H2696" s="8" t="n">
        <v>9710</v>
      </c>
      <c r="I2696" s="8" t="n">
        <v>9635</v>
      </c>
      <c r="J2696" s="8" t="n">
        <v>9735</v>
      </c>
      <c r="K2696" s="8" t="n">
        <v>9610</v>
      </c>
      <c r="L2696" s="8" t="n">
        <v>225754</v>
      </c>
      <c r="M2696" s="8" t="n">
        <v>350204</v>
      </c>
      <c r="N2696" t="inlineStr">
        <is>
          <t>是</t>
        </is>
      </c>
    </row>
    <row r="2697">
      <c r="A2697" s="7" t="inlineStr">
        <is>
          <t>2018-08-09</t>
        </is>
      </c>
      <c r="B2697" s="8" t="n">
        <v>10119</v>
      </c>
      <c r="C2697" s="8" t="n">
        <v>10113</v>
      </c>
      <c r="D2697" s="8" t="n">
        <v>10219</v>
      </c>
      <c r="E2697" s="8" t="n">
        <v>10085</v>
      </c>
      <c r="F2697" s="8" t="n">
        <v>297432</v>
      </c>
      <c r="G2697" s="8" t="n">
        <v>460362</v>
      </c>
      <c r="H2697" s="8" t="n">
        <v>9710</v>
      </c>
      <c r="I2697" s="8" t="n">
        <v>9800</v>
      </c>
      <c r="J2697" s="8" t="n">
        <v>9860</v>
      </c>
      <c r="K2697" s="8" t="n">
        <v>9690</v>
      </c>
      <c r="L2697" s="8" t="n">
        <v>361944</v>
      </c>
      <c r="M2697" s="8" t="n">
        <v>367656</v>
      </c>
      <c r="N2697" t="inlineStr">
        <is>
          <t>是</t>
        </is>
      </c>
    </row>
    <row r="2698">
      <c r="A2698" s="7" t="inlineStr">
        <is>
          <t>2018-08-10</t>
        </is>
      </c>
      <c r="B2698" s="8" t="n">
        <v>10085</v>
      </c>
      <c r="C2698" s="8" t="n">
        <v>10120</v>
      </c>
      <c r="D2698" s="8" t="n">
        <v>10268</v>
      </c>
      <c r="E2698" s="8" t="n">
        <v>10010</v>
      </c>
      <c r="F2698" s="8" t="n">
        <v>473342</v>
      </c>
      <c r="G2698" s="8" t="n">
        <v>469078</v>
      </c>
      <c r="H2698" s="8" t="n">
        <v>9690</v>
      </c>
      <c r="I2698" s="8" t="n">
        <v>9715</v>
      </c>
      <c r="J2698" s="8" t="n">
        <v>9790</v>
      </c>
      <c r="K2698" s="8" t="n">
        <v>9655</v>
      </c>
      <c r="L2698" s="8" t="n">
        <v>250980</v>
      </c>
      <c r="M2698" s="8" t="n">
        <v>380236</v>
      </c>
      <c r="N2698" t="inlineStr">
        <is>
          <t>是</t>
        </is>
      </c>
    </row>
    <row r="2699">
      <c r="A2699" s="7" t="inlineStr">
        <is>
          <t>2018-08-13</t>
        </is>
      </c>
      <c r="B2699" s="8" t="n">
        <v>10098</v>
      </c>
      <c r="C2699" s="8" t="n">
        <v>10088</v>
      </c>
      <c r="D2699" s="8" t="n">
        <v>10150</v>
      </c>
      <c r="E2699" s="8" t="n">
        <v>9980</v>
      </c>
      <c r="F2699" s="8" t="n">
        <v>314128</v>
      </c>
      <c r="G2699" s="8" t="n">
        <v>473402</v>
      </c>
      <c r="H2699" s="8" t="n">
        <v>9710</v>
      </c>
      <c r="I2699" s="8" t="n">
        <v>9700</v>
      </c>
      <c r="J2699" s="8" t="n">
        <v>9730</v>
      </c>
      <c r="K2699" s="8" t="n">
        <v>9635</v>
      </c>
      <c r="L2699" s="8" t="n">
        <v>200244</v>
      </c>
      <c r="M2699" s="8" t="n">
        <v>386842</v>
      </c>
      <c r="N2699" t="inlineStr">
        <is>
          <t>是</t>
        </is>
      </c>
    </row>
    <row r="2700">
      <c r="A2700" s="7" t="inlineStr">
        <is>
          <t>2018-08-14</t>
        </is>
      </c>
      <c r="B2700" s="8" t="n">
        <v>10187</v>
      </c>
      <c r="C2700" s="8" t="n">
        <v>10259</v>
      </c>
      <c r="D2700" s="8" t="n">
        <v>10301</v>
      </c>
      <c r="E2700" s="8" t="n">
        <v>10125</v>
      </c>
      <c r="F2700" s="8" t="n">
        <v>416862</v>
      </c>
      <c r="G2700" s="8" t="n">
        <v>511838</v>
      </c>
      <c r="H2700" s="8" t="n">
        <v>9780</v>
      </c>
      <c r="I2700" s="8" t="n">
        <v>9750</v>
      </c>
      <c r="J2700" s="8" t="n">
        <v>9870</v>
      </c>
      <c r="K2700" s="8" t="n">
        <v>9735</v>
      </c>
      <c r="L2700" s="8" t="n">
        <v>266000</v>
      </c>
      <c r="M2700" s="8" t="n">
        <v>388838</v>
      </c>
      <c r="N2700" t="inlineStr">
        <is>
          <t>是</t>
        </is>
      </c>
    </row>
    <row r="2701">
      <c r="A2701" s="7" t="inlineStr">
        <is>
          <t>2018-08-15</t>
        </is>
      </c>
      <c r="B2701" s="8" t="n">
        <v>10176</v>
      </c>
      <c r="C2701" s="8" t="n">
        <v>10178</v>
      </c>
      <c r="D2701" s="8" t="n">
        <v>10199</v>
      </c>
      <c r="E2701" s="8" t="n">
        <v>10101</v>
      </c>
      <c r="F2701" s="8" t="n">
        <v>249252</v>
      </c>
      <c r="G2701" s="8" t="n">
        <v>511190</v>
      </c>
      <c r="H2701" s="8" t="n">
        <v>9770</v>
      </c>
      <c r="I2701" s="8" t="n">
        <v>9765</v>
      </c>
      <c r="J2701" s="8" t="n">
        <v>9780</v>
      </c>
      <c r="K2701" s="8" t="n">
        <v>9680</v>
      </c>
      <c r="L2701" s="8" t="n">
        <v>187532</v>
      </c>
      <c r="M2701" s="8" t="n">
        <v>400234</v>
      </c>
      <c r="N2701" t="inlineStr">
        <is>
          <t>是</t>
        </is>
      </c>
    </row>
    <row r="2702">
      <c r="A2702" s="7" t="inlineStr">
        <is>
          <t>2018-08-16</t>
        </is>
      </c>
      <c r="B2702" s="8" t="n">
        <v>10111</v>
      </c>
      <c r="C2702" s="8" t="n">
        <v>9983</v>
      </c>
      <c r="D2702" s="8" t="n">
        <v>10173</v>
      </c>
      <c r="E2702" s="8" t="n">
        <v>9915</v>
      </c>
      <c r="F2702" s="8" t="n">
        <v>381430</v>
      </c>
      <c r="G2702" s="8" t="n">
        <v>496844</v>
      </c>
      <c r="H2702" s="8" t="n">
        <v>9755</v>
      </c>
      <c r="I2702" s="8" t="n">
        <v>9605</v>
      </c>
      <c r="J2702" s="8" t="n">
        <v>9790</v>
      </c>
      <c r="K2702" s="8" t="n">
        <v>9580</v>
      </c>
      <c r="L2702" s="8" t="n">
        <v>325726</v>
      </c>
      <c r="M2702" s="8" t="n">
        <v>403212</v>
      </c>
      <c r="N2702" t="inlineStr">
        <is>
          <t>是</t>
        </is>
      </c>
    </row>
    <row r="2703">
      <c r="A2703" s="7" t="inlineStr">
        <is>
          <t>2018-08-17</t>
        </is>
      </c>
      <c r="B2703" s="8" t="n">
        <v>9952</v>
      </c>
      <c r="C2703" s="8" t="n">
        <v>10090</v>
      </c>
      <c r="D2703" s="8" t="n">
        <v>10111</v>
      </c>
      <c r="E2703" s="8" t="n">
        <v>9926</v>
      </c>
      <c r="F2703" s="8" t="n">
        <v>374216</v>
      </c>
      <c r="G2703" s="8" t="n">
        <v>476734</v>
      </c>
      <c r="H2703" s="8" t="n">
        <v>9635</v>
      </c>
      <c r="I2703" s="8" t="n">
        <v>9725</v>
      </c>
      <c r="J2703" s="8" t="n">
        <v>9745</v>
      </c>
      <c r="K2703" s="8" t="n">
        <v>9625</v>
      </c>
      <c r="L2703" s="8" t="n">
        <v>243952</v>
      </c>
      <c r="M2703" s="8" t="n">
        <v>404846</v>
      </c>
      <c r="N2703" t="inlineStr">
        <is>
          <t>是</t>
        </is>
      </c>
    </row>
    <row r="2704">
      <c r="A2704" s="7" t="inlineStr">
        <is>
          <t>2018-08-20</t>
        </is>
      </c>
      <c r="B2704" s="8" t="n">
        <v>10008</v>
      </c>
      <c r="C2704" s="8" t="n">
        <v>9952</v>
      </c>
      <c r="D2704" s="8" t="n">
        <v>10058</v>
      </c>
      <c r="E2704" s="8" t="n">
        <v>9850</v>
      </c>
      <c r="F2704" s="8" t="n">
        <v>430844</v>
      </c>
      <c r="G2704" s="8" t="n">
        <v>500226</v>
      </c>
      <c r="H2704" s="8" t="n">
        <v>9670</v>
      </c>
      <c r="I2704" s="8" t="n">
        <v>9635</v>
      </c>
      <c r="J2704" s="8" t="n">
        <v>9690</v>
      </c>
      <c r="K2704" s="8" t="n">
        <v>9565</v>
      </c>
      <c r="L2704" s="8" t="n">
        <v>309974</v>
      </c>
      <c r="M2704" s="8" t="n">
        <v>410170</v>
      </c>
      <c r="N2704" t="inlineStr">
        <is>
          <t>是</t>
        </is>
      </c>
    </row>
    <row r="2705">
      <c r="A2705" s="7" t="inlineStr">
        <is>
          <t>2018-08-21</t>
        </is>
      </c>
      <c r="B2705" s="8" t="n">
        <v>9923</v>
      </c>
      <c r="C2705" s="8" t="n">
        <v>10035</v>
      </c>
      <c r="D2705" s="8" t="n">
        <v>10048</v>
      </c>
      <c r="E2705" s="8" t="n">
        <v>9880</v>
      </c>
      <c r="F2705" s="8" t="n">
        <v>343848</v>
      </c>
      <c r="G2705" s="8" t="n">
        <v>473020</v>
      </c>
      <c r="H2705" s="8" t="n">
        <v>9615</v>
      </c>
      <c r="I2705" s="8" t="n">
        <v>9685</v>
      </c>
      <c r="J2705" s="8" t="n">
        <v>9690</v>
      </c>
      <c r="K2705" s="8" t="n">
        <v>9575</v>
      </c>
      <c r="L2705" s="8" t="n">
        <v>242702</v>
      </c>
      <c r="M2705" s="8" t="n">
        <v>402542</v>
      </c>
      <c r="N2705" t="inlineStr">
        <is>
          <t>是</t>
        </is>
      </c>
    </row>
    <row r="2706">
      <c r="A2706" s="7" t="inlineStr">
        <is>
          <t>2018-08-22</t>
        </is>
      </c>
      <c r="B2706" s="8" t="n">
        <v>9910</v>
      </c>
      <c r="C2706" s="8" t="n">
        <v>9950</v>
      </c>
      <c r="D2706" s="8" t="n">
        <v>10111</v>
      </c>
      <c r="E2706" s="8" t="n">
        <v>9910</v>
      </c>
      <c r="F2706" s="8" t="n">
        <v>593452</v>
      </c>
      <c r="G2706" s="8" t="n">
        <v>489720</v>
      </c>
      <c r="H2706" s="8" t="n">
        <v>9670</v>
      </c>
      <c r="I2706" s="8" t="n">
        <v>9645</v>
      </c>
      <c r="J2706" s="8" t="n">
        <v>9760</v>
      </c>
      <c r="K2706" s="8" t="n">
        <v>9615</v>
      </c>
      <c r="L2706" s="8" t="n">
        <v>415092</v>
      </c>
      <c r="M2706" s="8" t="n">
        <v>409722</v>
      </c>
      <c r="N2706" t="inlineStr">
        <is>
          <t>是</t>
        </is>
      </c>
    </row>
    <row r="2707">
      <c r="A2707" s="7" t="inlineStr">
        <is>
          <t>2018-08-23</t>
        </is>
      </c>
      <c r="B2707" s="8" t="n">
        <v>9768</v>
      </c>
      <c r="C2707" s="8" t="n">
        <v>9940</v>
      </c>
      <c r="D2707" s="8" t="n">
        <v>9983</v>
      </c>
      <c r="E2707" s="8" t="n">
        <v>9755</v>
      </c>
      <c r="F2707" s="8" t="n">
        <v>510122</v>
      </c>
      <c r="G2707" s="8" t="n">
        <v>437618</v>
      </c>
      <c r="H2707" s="8" t="n">
        <v>9610</v>
      </c>
      <c r="I2707" s="8" t="n">
        <v>9675</v>
      </c>
      <c r="J2707" s="8" t="n">
        <v>9815</v>
      </c>
      <c r="K2707" s="8" t="n">
        <v>9590</v>
      </c>
      <c r="L2707" s="8" t="n">
        <v>561094</v>
      </c>
      <c r="M2707" s="8" t="n">
        <v>434610</v>
      </c>
      <c r="N2707" t="inlineStr">
        <is>
          <t>是</t>
        </is>
      </c>
    </row>
    <row r="2708">
      <c r="A2708" s="7" t="inlineStr">
        <is>
          <t>2018-08-24</t>
        </is>
      </c>
      <c r="B2708" s="8" t="n">
        <v>9720</v>
      </c>
      <c r="C2708" s="8" t="n">
        <v>9755</v>
      </c>
      <c r="D2708" s="8" t="n">
        <v>9818</v>
      </c>
      <c r="E2708" s="8" t="n">
        <v>9680</v>
      </c>
      <c r="F2708" s="8" t="n">
        <v>353792</v>
      </c>
      <c r="G2708" s="8" t="n">
        <v>431714</v>
      </c>
      <c r="H2708" s="8" t="n">
        <v>9560</v>
      </c>
      <c r="I2708" s="8" t="n">
        <v>9625</v>
      </c>
      <c r="J2708" s="8" t="n">
        <v>9645</v>
      </c>
      <c r="K2708" s="8" t="n">
        <v>9515</v>
      </c>
      <c r="L2708" s="8" t="n">
        <v>334988</v>
      </c>
      <c r="M2708" s="8" t="n">
        <v>434538</v>
      </c>
      <c r="N2708" t="inlineStr">
        <is>
          <t>是</t>
        </is>
      </c>
    </row>
    <row r="2709">
      <c r="A2709" s="7" t="inlineStr">
        <is>
          <t>2018-08-27</t>
        </is>
      </c>
      <c r="B2709" s="8" t="n">
        <v>9772</v>
      </c>
      <c r="C2709" s="8" t="n">
        <v>9730</v>
      </c>
      <c r="D2709" s="8" t="n">
        <v>9786</v>
      </c>
      <c r="E2709" s="8" t="n">
        <v>9683</v>
      </c>
      <c r="F2709" s="8" t="n">
        <v>263230</v>
      </c>
      <c r="G2709" s="8" t="n">
        <v>420816</v>
      </c>
      <c r="H2709" s="8" t="n">
        <v>9590</v>
      </c>
      <c r="I2709" s="8" t="n">
        <v>9595</v>
      </c>
      <c r="J2709" s="8" t="n">
        <v>9625</v>
      </c>
      <c r="K2709" s="8" t="n">
        <v>9530</v>
      </c>
      <c r="L2709" s="8" t="n">
        <v>283402</v>
      </c>
      <c r="M2709" s="8" t="n">
        <v>417926</v>
      </c>
      <c r="N2709" t="inlineStr">
        <is>
          <t>是</t>
        </is>
      </c>
    </row>
    <row r="2710">
      <c r="A2710" s="7" t="inlineStr">
        <is>
          <t>2018-08-28</t>
        </is>
      </c>
      <c r="B2710" s="8" t="n">
        <v>9750</v>
      </c>
      <c r="C2710" s="8" t="n">
        <v>9800</v>
      </c>
      <c r="D2710" s="8" t="n">
        <v>9865</v>
      </c>
      <c r="E2710" s="8" t="n">
        <v>9670</v>
      </c>
      <c r="F2710" s="8" t="n">
        <v>415154</v>
      </c>
      <c r="G2710" s="8" t="n">
        <v>457308</v>
      </c>
      <c r="H2710" s="8" t="n">
        <v>9555</v>
      </c>
      <c r="I2710" s="8" t="n">
        <v>9620</v>
      </c>
      <c r="J2710" s="8" t="n">
        <v>9640</v>
      </c>
      <c r="K2710" s="8" t="n">
        <v>9505</v>
      </c>
      <c r="L2710" s="8" t="n">
        <v>283330</v>
      </c>
      <c r="M2710" s="8" t="n">
        <v>427394</v>
      </c>
      <c r="N2710" t="inlineStr">
        <is>
          <t>是</t>
        </is>
      </c>
    </row>
    <row r="2711">
      <c r="A2711" s="7" t="inlineStr">
        <is>
          <t>2018-08-29</t>
        </is>
      </c>
      <c r="B2711" s="8" t="n">
        <v>9776</v>
      </c>
      <c r="C2711" s="8" t="n">
        <v>9750</v>
      </c>
      <c r="D2711" s="8" t="n">
        <v>9850</v>
      </c>
      <c r="E2711" s="8" t="n">
        <v>9741</v>
      </c>
      <c r="F2711" s="8" t="n">
        <v>298690</v>
      </c>
      <c r="G2711" s="8" t="n">
        <v>427708</v>
      </c>
      <c r="H2711" s="8" t="n">
        <v>9495</v>
      </c>
      <c r="I2711" s="8" t="n">
        <v>9560</v>
      </c>
      <c r="J2711" s="8" t="n">
        <v>9575</v>
      </c>
      <c r="K2711" s="8" t="n">
        <v>9480</v>
      </c>
      <c r="L2711" s="8" t="n">
        <v>238800</v>
      </c>
      <c r="M2711" s="8" t="n">
        <v>438156</v>
      </c>
      <c r="N2711" t="inlineStr">
        <is>
          <t>是</t>
        </is>
      </c>
    </row>
    <row r="2712">
      <c r="A2712" s="7" t="inlineStr">
        <is>
          <t>2018-08-30</t>
        </is>
      </c>
      <c r="B2712" s="8" t="n">
        <v>9779</v>
      </c>
      <c r="C2712" s="8" t="n">
        <v>9797</v>
      </c>
      <c r="D2712" s="8" t="n">
        <v>9808</v>
      </c>
      <c r="E2712" s="8" t="n">
        <v>9720</v>
      </c>
      <c r="F2712" s="8" t="n">
        <v>280332</v>
      </c>
      <c r="G2712" s="8" t="n">
        <v>432644</v>
      </c>
      <c r="H2712" s="8" t="n">
        <v>9515</v>
      </c>
      <c r="I2712" s="8" t="n">
        <v>9510</v>
      </c>
      <c r="J2712" s="8" t="n">
        <v>9540</v>
      </c>
      <c r="K2712" s="8" t="n">
        <v>9460</v>
      </c>
      <c r="L2712" s="8" t="n">
        <v>235880</v>
      </c>
      <c r="M2712" s="8" t="n">
        <v>441510</v>
      </c>
      <c r="N2712" t="inlineStr">
        <is>
          <t>是</t>
        </is>
      </c>
    </row>
    <row r="2713">
      <c r="A2713" s="7" t="inlineStr">
        <is>
          <t>2018-08-31</t>
        </is>
      </c>
      <c r="B2713" s="8" t="n">
        <v>9737</v>
      </c>
      <c r="C2713" s="8" t="n">
        <v>9766</v>
      </c>
      <c r="D2713" s="8" t="n">
        <v>9848</v>
      </c>
      <c r="E2713" s="8" t="n">
        <v>9730</v>
      </c>
      <c r="F2713" s="8" t="n">
        <v>400788</v>
      </c>
      <c r="G2713" s="8" t="n">
        <v>447012</v>
      </c>
      <c r="H2713" s="8" t="n">
        <v>9380</v>
      </c>
      <c r="I2713" s="8" t="n">
        <v>9520</v>
      </c>
      <c r="J2713" s="8" t="n">
        <v>9550</v>
      </c>
      <c r="K2713" s="8" t="n">
        <v>9375</v>
      </c>
      <c r="L2713" s="8" t="n">
        <v>367196</v>
      </c>
      <c r="M2713" s="8" t="n">
        <v>467502</v>
      </c>
      <c r="N2713" t="inlineStr">
        <is>
          <t>是</t>
        </is>
      </c>
    </row>
    <row r="2714">
      <c r="A2714" s="7" t="inlineStr">
        <is>
          <t>2018-09-03</t>
        </is>
      </c>
      <c r="B2714" s="8" t="n">
        <v>9710</v>
      </c>
      <c r="C2714" s="8" t="n">
        <v>9712</v>
      </c>
      <c r="D2714" s="8" t="n">
        <v>9805</v>
      </c>
      <c r="E2714" s="8" t="n">
        <v>9609</v>
      </c>
      <c r="F2714" s="8" t="n">
        <v>531316</v>
      </c>
      <c r="G2714" s="8" t="n">
        <v>458442</v>
      </c>
      <c r="H2714" s="8" t="n">
        <v>9305</v>
      </c>
      <c r="I2714" s="8" t="n">
        <v>9400</v>
      </c>
      <c r="J2714" s="8" t="n">
        <v>9420</v>
      </c>
      <c r="K2714" s="8" t="n">
        <v>9265</v>
      </c>
      <c r="L2714" s="8" t="n">
        <v>382070</v>
      </c>
      <c r="M2714" s="8" t="n">
        <v>475414</v>
      </c>
      <c r="N2714" t="inlineStr">
        <is>
          <t>是</t>
        </is>
      </c>
    </row>
    <row r="2715">
      <c r="A2715" s="7" t="inlineStr">
        <is>
          <t>2018-09-04</t>
        </is>
      </c>
      <c r="B2715" s="8" t="n">
        <v>9756</v>
      </c>
      <c r="C2715" s="8" t="n">
        <v>9720</v>
      </c>
      <c r="D2715" s="8" t="n">
        <v>9818</v>
      </c>
      <c r="E2715" s="8" t="n">
        <v>9718</v>
      </c>
      <c r="F2715" s="8" t="n">
        <v>352416</v>
      </c>
      <c r="G2715" s="8" t="n">
        <v>471210</v>
      </c>
      <c r="H2715" s="8" t="n">
        <v>9340</v>
      </c>
      <c r="I2715" s="8" t="n">
        <v>9305</v>
      </c>
      <c r="J2715" s="8" t="n">
        <v>9355</v>
      </c>
      <c r="K2715" s="8" t="n">
        <v>9290</v>
      </c>
      <c r="L2715" s="8" t="n">
        <v>235390</v>
      </c>
      <c r="M2715" s="8" t="n">
        <v>459834</v>
      </c>
      <c r="N2715" t="inlineStr">
        <is>
          <t>是</t>
        </is>
      </c>
    </row>
    <row r="2716">
      <c r="A2716" s="7" t="inlineStr">
        <is>
          <t>2018-09-05</t>
        </is>
      </c>
      <c r="B2716" s="8" t="n">
        <v>9793</v>
      </c>
      <c r="C2716" s="8" t="n">
        <v>9765</v>
      </c>
      <c r="D2716" s="8" t="n">
        <v>9810</v>
      </c>
      <c r="E2716" s="8" t="n">
        <v>9721</v>
      </c>
      <c r="F2716" s="8" t="n">
        <v>287058</v>
      </c>
      <c r="G2716" s="8" t="n">
        <v>474444</v>
      </c>
      <c r="H2716" s="8" t="n">
        <v>9320</v>
      </c>
      <c r="I2716" s="8" t="n">
        <v>9340</v>
      </c>
      <c r="J2716" s="8" t="n">
        <v>9355</v>
      </c>
      <c r="K2716" s="8" t="n">
        <v>9280</v>
      </c>
      <c r="L2716" s="8" t="n">
        <v>183708</v>
      </c>
      <c r="M2716" s="8" t="n">
        <v>458584</v>
      </c>
      <c r="N2716" t="inlineStr">
        <is>
          <t>是</t>
        </is>
      </c>
    </row>
    <row r="2717">
      <c r="A2717" s="7" t="inlineStr">
        <is>
          <t>2018-09-06</t>
        </is>
      </c>
      <c r="B2717" s="8" t="n">
        <v>9755</v>
      </c>
      <c r="C2717" s="8" t="n">
        <v>9800</v>
      </c>
      <c r="D2717" s="8" t="n">
        <v>9840</v>
      </c>
      <c r="E2717" s="8" t="n">
        <v>9715</v>
      </c>
      <c r="F2717" s="8" t="n">
        <v>294072</v>
      </c>
      <c r="G2717" s="8" t="n">
        <v>475068</v>
      </c>
      <c r="H2717" s="8" t="n">
        <v>9335</v>
      </c>
      <c r="I2717" s="8" t="n">
        <v>9320</v>
      </c>
      <c r="J2717" s="8" t="n">
        <v>9375</v>
      </c>
      <c r="K2717" s="8" t="n">
        <v>9280</v>
      </c>
      <c r="L2717" s="8" t="n">
        <v>288406</v>
      </c>
      <c r="M2717" s="8" t="n">
        <v>462700</v>
      </c>
      <c r="N2717" t="inlineStr">
        <is>
          <t>是</t>
        </is>
      </c>
    </row>
    <row r="2718">
      <c r="A2718" s="7" t="inlineStr">
        <is>
          <t>2018-09-07</t>
        </is>
      </c>
      <c r="B2718" s="8" t="n">
        <v>9838</v>
      </c>
      <c r="C2718" s="8" t="n">
        <v>9773</v>
      </c>
      <c r="D2718" s="8" t="n">
        <v>9900</v>
      </c>
      <c r="E2718" s="8" t="n">
        <v>9743</v>
      </c>
      <c r="F2718" s="8" t="n">
        <v>445908</v>
      </c>
      <c r="G2718" s="8" t="n">
        <v>483862</v>
      </c>
      <c r="H2718" s="8" t="n">
        <v>9340</v>
      </c>
      <c r="I2718" s="8" t="n">
        <v>9340</v>
      </c>
      <c r="J2718" s="8" t="n">
        <v>9410</v>
      </c>
      <c r="K2718" s="8" t="n">
        <v>9310</v>
      </c>
      <c r="L2718" s="8" t="n">
        <v>318134</v>
      </c>
      <c r="M2718" s="8" t="n">
        <v>472816</v>
      </c>
      <c r="N2718" t="inlineStr">
        <is>
          <t>是</t>
        </is>
      </c>
    </row>
    <row r="2719">
      <c r="A2719" s="7" t="inlineStr">
        <is>
          <t>2018-09-10</t>
        </is>
      </c>
      <c r="B2719" s="8" t="n">
        <v>9956</v>
      </c>
      <c r="C2719" s="8" t="n">
        <v>9860</v>
      </c>
      <c r="D2719" s="8" t="n">
        <v>9987</v>
      </c>
      <c r="E2719" s="8" t="n">
        <v>9852</v>
      </c>
      <c r="F2719" s="8" t="n">
        <v>380820</v>
      </c>
      <c r="G2719" s="8" t="n">
        <v>526184</v>
      </c>
      <c r="H2719" s="8" t="n">
        <v>9395</v>
      </c>
      <c r="I2719" s="8" t="n">
        <v>9355</v>
      </c>
      <c r="J2719" s="8" t="n">
        <v>9405</v>
      </c>
      <c r="K2719" s="8" t="n">
        <v>9340</v>
      </c>
      <c r="L2719" s="8" t="n">
        <v>246554</v>
      </c>
      <c r="M2719" s="8" t="n">
        <v>463826</v>
      </c>
      <c r="N2719" t="inlineStr">
        <is>
          <t>是</t>
        </is>
      </c>
    </row>
    <row r="2720">
      <c r="A2720" s="7" t="inlineStr">
        <is>
          <t>2018-09-11</t>
        </is>
      </c>
      <c r="B2720" s="8" t="n">
        <v>9791</v>
      </c>
      <c r="C2720" s="8" t="n">
        <v>9932</v>
      </c>
      <c r="D2720" s="8" t="n">
        <v>9967</v>
      </c>
      <c r="E2720" s="8" t="n">
        <v>9785</v>
      </c>
      <c r="F2720" s="8" t="n">
        <v>409600</v>
      </c>
      <c r="G2720" s="8" t="n">
        <v>501288</v>
      </c>
      <c r="H2720" s="8" t="n">
        <v>9295</v>
      </c>
      <c r="I2720" s="8" t="n">
        <v>9385</v>
      </c>
      <c r="J2720" s="8" t="n">
        <v>9405</v>
      </c>
      <c r="K2720" s="8" t="n">
        <v>9290</v>
      </c>
      <c r="L2720" s="8" t="n">
        <v>336296</v>
      </c>
      <c r="M2720" s="8" t="n">
        <v>488402</v>
      </c>
      <c r="N2720" t="inlineStr">
        <is>
          <t>是</t>
        </is>
      </c>
    </row>
    <row r="2721">
      <c r="A2721" s="7" t="inlineStr">
        <is>
          <t>2018-09-12</t>
        </is>
      </c>
      <c r="B2721" s="8" t="n">
        <v>9767</v>
      </c>
      <c r="C2721" s="8" t="n">
        <v>9811</v>
      </c>
      <c r="D2721" s="8" t="n">
        <v>9833</v>
      </c>
      <c r="E2721" s="8" t="n">
        <v>9680</v>
      </c>
      <c r="F2721" s="8" t="n">
        <v>434966</v>
      </c>
      <c r="G2721" s="8" t="n">
        <v>467836</v>
      </c>
      <c r="H2721" s="8" t="n">
        <v>9330</v>
      </c>
      <c r="I2721" s="8" t="n">
        <v>9320</v>
      </c>
      <c r="J2721" s="8" t="n">
        <v>9355</v>
      </c>
      <c r="K2721" s="8" t="n">
        <v>9235</v>
      </c>
      <c r="L2721" s="8" t="n">
        <v>379770</v>
      </c>
      <c r="M2721" s="8" t="n">
        <v>465222</v>
      </c>
      <c r="N2721" t="inlineStr">
        <is>
          <t>是</t>
        </is>
      </c>
    </row>
    <row r="2722">
      <c r="A2722" s="7" t="inlineStr">
        <is>
          <t>2018-09-13</t>
        </is>
      </c>
      <c r="B2722" s="8" t="n">
        <v>9772</v>
      </c>
      <c r="C2722" s="8" t="n">
        <v>9769</v>
      </c>
      <c r="D2722" s="8" t="n">
        <v>9799</v>
      </c>
      <c r="E2722" s="8" t="n">
        <v>9745</v>
      </c>
      <c r="F2722" s="8" t="n">
        <v>248254</v>
      </c>
      <c r="G2722" s="8" t="n">
        <v>470720</v>
      </c>
      <c r="H2722" s="8" t="n">
        <v>9355</v>
      </c>
      <c r="I2722" s="8" t="n">
        <v>9335</v>
      </c>
      <c r="J2722" s="8" t="n">
        <v>9375</v>
      </c>
      <c r="K2722" s="8" t="n">
        <v>9300</v>
      </c>
      <c r="L2722" s="8" t="n">
        <v>264180</v>
      </c>
      <c r="M2722" s="8" t="n">
        <v>454942</v>
      </c>
      <c r="N2722" t="inlineStr">
        <is>
          <t>是</t>
        </is>
      </c>
    </row>
    <row r="2723">
      <c r="A2723" s="7" t="inlineStr">
        <is>
          <t>2018-09-14</t>
        </is>
      </c>
      <c r="B2723" s="8" t="n">
        <v>9817</v>
      </c>
      <c r="C2723" s="8" t="n">
        <v>9764</v>
      </c>
      <c r="D2723" s="8" t="n">
        <v>9867</v>
      </c>
      <c r="E2723" s="8" t="n">
        <v>9720</v>
      </c>
      <c r="F2723" s="8" t="n">
        <v>347274</v>
      </c>
      <c r="G2723" s="8" t="n">
        <v>487504</v>
      </c>
      <c r="H2723" s="8" t="n">
        <v>9395</v>
      </c>
      <c r="I2723" s="8" t="n">
        <v>9350</v>
      </c>
      <c r="J2723" s="8" t="n">
        <v>9430</v>
      </c>
      <c r="K2723" s="8" t="n">
        <v>9325</v>
      </c>
      <c r="L2723" s="8" t="n">
        <v>268192</v>
      </c>
      <c r="M2723" s="8" t="n">
        <v>441022</v>
      </c>
      <c r="N2723" t="inlineStr">
        <is>
          <t>是</t>
        </is>
      </c>
    </row>
    <row r="2724">
      <c r="A2724" s="7" t="inlineStr">
        <is>
          <t>2018-09-17</t>
        </is>
      </c>
      <c r="B2724" s="8" t="n">
        <v>9947</v>
      </c>
      <c r="C2724" s="8" t="n">
        <v>9820</v>
      </c>
      <c r="D2724" s="8" t="n">
        <v>9955</v>
      </c>
      <c r="E2724" s="8" t="n">
        <v>9805</v>
      </c>
      <c r="F2724" s="8" t="n">
        <v>495854</v>
      </c>
      <c r="G2724" s="8" t="n">
        <v>534420</v>
      </c>
      <c r="H2724" s="8" t="n">
        <v>9410</v>
      </c>
      <c r="I2724" s="8" t="n">
        <v>9400</v>
      </c>
      <c r="J2724" s="8" t="n">
        <v>9445</v>
      </c>
      <c r="K2724" s="8" t="n">
        <v>9365</v>
      </c>
      <c r="L2724" s="8" t="n">
        <v>282816</v>
      </c>
      <c r="M2724" s="8" t="n">
        <v>435068</v>
      </c>
      <c r="N2724" t="inlineStr">
        <is>
          <t>是</t>
        </is>
      </c>
    </row>
    <row r="2725">
      <c r="A2725" s="7" t="inlineStr">
        <is>
          <t>2018-09-18</t>
        </is>
      </c>
      <c r="B2725" s="8" t="n">
        <v>10050</v>
      </c>
      <c r="C2725" s="8" t="n">
        <v>9940</v>
      </c>
      <c r="D2725" s="8" t="n">
        <v>10072</v>
      </c>
      <c r="E2725" s="8" t="n">
        <v>9929</v>
      </c>
      <c r="F2725" s="8" t="n">
        <v>517440</v>
      </c>
      <c r="G2725" s="8" t="n">
        <v>559904</v>
      </c>
      <c r="H2725" s="8" t="n">
        <v>9475</v>
      </c>
      <c r="I2725" s="8" t="n">
        <v>9390</v>
      </c>
      <c r="J2725" s="8" t="n">
        <v>9475</v>
      </c>
      <c r="K2725" s="8" t="n">
        <v>9385</v>
      </c>
      <c r="L2725" s="8" t="n">
        <v>269818</v>
      </c>
      <c r="M2725" s="8" t="n">
        <v>422652</v>
      </c>
      <c r="N2725" t="inlineStr">
        <is>
          <t>是</t>
        </is>
      </c>
    </row>
    <row r="2726">
      <c r="A2726" s="7" t="inlineStr">
        <is>
          <t>2018-09-19</t>
        </is>
      </c>
      <c r="B2726" s="8" t="n">
        <v>10074</v>
      </c>
      <c r="C2726" s="8" t="n">
        <v>10070</v>
      </c>
      <c r="D2726" s="8" t="n">
        <v>10105</v>
      </c>
      <c r="E2726" s="8" t="n">
        <v>10033</v>
      </c>
      <c r="F2726" s="8" t="n">
        <v>337422</v>
      </c>
      <c r="G2726" s="8" t="n">
        <v>567530</v>
      </c>
      <c r="H2726" s="8" t="n">
        <v>9530</v>
      </c>
      <c r="I2726" s="8" t="n">
        <v>9485</v>
      </c>
      <c r="J2726" s="8" t="n">
        <v>9530</v>
      </c>
      <c r="K2726" s="8" t="n">
        <v>9465</v>
      </c>
      <c r="L2726" s="8" t="n">
        <v>222444</v>
      </c>
      <c r="M2726" s="8" t="n">
        <v>426790</v>
      </c>
      <c r="N2726" t="inlineStr">
        <is>
          <t>是</t>
        </is>
      </c>
    </row>
    <row r="2727">
      <c r="A2727" s="7" t="inlineStr">
        <is>
          <t>2018-09-20</t>
        </is>
      </c>
      <c r="B2727" s="8" t="n">
        <v>10088</v>
      </c>
      <c r="C2727" s="8" t="n">
        <v>10098</v>
      </c>
      <c r="D2727" s="8" t="n">
        <v>10166</v>
      </c>
      <c r="E2727" s="8" t="n">
        <v>10056</v>
      </c>
      <c r="F2727" s="8" t="n">
        <v>363872</v>
      </c>
      <c r="G2727" s="8" t="n">
        <v>575408</v>
      </c>
      <c r="H2727" s="8" t="n">
        <v>9565</v>
      </c>
      <c r="I2727" s="8" t="n">
        <v>9540</v>
      </c>
      <c r="J2727" s="8" t="n">
        <v>9620</v>
      </c>
      <c r="K2727" s="8" t="n">
        <v>9530</v>
      </c>
      <c r="L2727" s="8" t="n">
        <v>275764</v>
      </c>
      <c r="M2727" s="8" t="n">
        <v>423592</v>
      </c>
      <c r="N2727" t="inlineStr">
        <is>
          <t>是</t>
        </is>
      </c>
    </row>
    <row r="2728">
      <c r="A2728" s="7" t="inlineStr">
        <is>
          <t>2018-09-21</t>
        </is>
      </c>
      <c r="B2728" s="8" t="n">
        <v>10056</v>
      </c>
      <c r="C2728" s="8" t="n">
        <v>10108</v>
      </c>
      <c r="D2728" s="8" t="n">
        <v>10109</v>
      </c>
      <c r="E2728" s="8" t="n">
        <v>10007</v>
      </c>
      <c r="F2728" s="8" t="n">
        <v>343924</v>
      </c>
      <c r="G2728" s="8" t="n">
        <v>559992</v>
      </c>
      <c r="H2728" s="8" t="n">
        <v>9510</v>
      </c>
      <c r="I2728" s="8" t="n">
        <v>9560</v>
      </c>
      <c r="J2728" s="8" t="n">
        <v>9580</v>
      </c>
      <c r="K2728" s="8" t="n">
        <v>9505</v>
      </c>
      <c r="L2728" s="8" t="n">
        <v>207752</v>
      </c>
      <c r="M2728" s="8" t="n">
        <v>421522</v>
      </c>
      <c r="N2728" t="inlineStr">
        <is>
          <t>是</t>
        </is>
      </c>
    </row>
    <row r="2729">
      <c r="A2729" s="7" t="inlineStr">
        <is>
          <t>2018-09-25</t>
        </is>
      </c>
      <c r="B2729" s="8" t="n">
        <v>10034</v>
      </c>
      <c r="C2729" s="8" t="n">
        <v>10075</v>
      </c>
      <c r="D2729" s="8" t="n">
        <v>10097</v>
      </c>
      <c r="E2729" s="8" t="n">
        <v>9991</v>
      </c>
      <c r="F2729" s="8" t="n">
        <v>320070</v>
      </c>
      <c r="G2729" s="8" t="n">
        <v>552482</v>
      </c>
      <c r="H2729" s="8" t="n">
        <v>9545</v>
      </c>
      <c r="I2729" s="8" t="n">
        <v>9515</v>
      </c>
      <c r="J2729" s="8" t="n">
        <v>9575</v>
      </c>
      <c r="K2729" s="8" t="n">
        <v>9500</v>
      </c>
      <c r="L2729" s="8" t="n">
        <v>267072</v>
      </c>
      <c r="M2729" s="8" t="n">
        <v>406094</v>
      </c>
      <c r="N2729" t="inlineStr">
        <is>
          <t>是</t>
        </is>
      </c>
    </row>
    <row r="2730">
      <c r="A2730" s="7" t="inlineStr">
        <is>
          <t>2018-09-26</t>
        </is>
      </c>
      <c r="B2730" s="8" t="n">
        <v>9916</v>
      </c>
      <c r="C2730" s="8" t="n">
        <v>10040</v>
      </c>
      <c r="D2730" s="8" t="n">
        <v>10056</v>
      </c>
      <c r="E2730" s="8" t="n">
        <v>9855</v>
      </c>
      <c r="F2730" s="8" t="n">
        <v>495410</v>
      </c>
      <c r="G2730" s="8" t="n">
        <v>493654</v>
      </c>
      <c r="H2730" s="8" t="n">
        <v>9445</v>
      </c>
      <c r="I2730" s="8" t="n">
        <v>9550</v>
      </c>
      <c r="J2730" s="8" t="n">
        <v>9570</v>
      </c>
      <c r="K2730" s="8" t="n">
        <v>9350</v>
      </c>
      <c r="L2730" s="8" t="n">
        <v>450830</v>
      </c>
      <c r="M2730" s="8" t="n">
        <v>381358</v>
      </c>
      <c r="N2730" t="inlineStr">
        <is>
          <t>是</t>
        </is>
      </c>
    </row>
    <row r="2731">
      <c r="A2731" s="7" t="inlineStr">
        <is>
          <t>2018-09-27</t>
        </is>
      </c>
      <c r="B2731" s="8" t="n">
        <v>9970</v>
      </c>
      <c r="C2731" s="8" t="n">
        <v>9922</v>
      </c>
      <c r="D2731" s="8" t="n">
        <v>9993</v>
      </c>
      <c r="E2731" s="8" t="n">
        <v>9905</v>
      </c>
      <c r="F2731" s="8" t="n">
        <v>255368</v>
      </c>
      <c r="G2731" s="8" t="n">
        <v>472876</v>
      </c>
      <c r="H2731" s="8" t="n">
        <v>9470</v>
      </c>
      <c r="I2731" s="8" t="n">
        <v>9445</v>
      </c>
      <c r="J2731" s="8" t="n">
        <v>9500</v>
      </c>
      <c r="K2731" s="8" t="n">
        <v>9420</v>
      </c>
      <c r="L2731" s="8" t="n">
        <v>203000</v>
      </c>
      <c r="M2731" s="8" t="n">
        <v>351458</v>
      </c>
      <c r="N2731" t="inlineStr">
        <is>
          <t>是</t>
        </is>
      </c>
    </row>
    <row r="2732">
      <c r="A2732" s="7" t="inlineStr">
        <is>
          <t>2018-09-28</t>
        </is>
      </c>
      <c r="B2732" s="8" t="n">
        <v>9984</v>
      </c>
      <c r="C2732" s="8" t="n">
        <v>9920</v>
      </c>
      <c r="D2732" s="8" t="n">
        <v>10017</v>
      </c>
      <c r="E2732" s="8" t="n">
        <v>9890</v>
      </c>
      <c r="F2732" s="8" t="n">
        <v>259940</v>
      </c>
      <c r="G2732" s="8" t="n">
        <v>469936</v>
      </c>
      <c r="H2732" s="8" t="n">
        <v>9500</v>
      </c>
      <c r="I2732" s="8" t="n">
        <v>9435</v>
      </c>
      <c r="J2732" s="8" t="n">
        <v>9505</v>
      </c>
      <c r="K2732" s="8" t="n">
        <v>9420</v>
      </c>
      <c r="L2732" s="8" t="n">
        <v>139110</v>
      </c>
      <c r="M2732" s="8" t="n">
        <v>336070</v>
      </c>
      <c r="N2732" t="inlineStr">
        <is>
          <t>是</t>
        </is>
      </c>
    </row>
    <row r="2733">
      <c r="A2733" s="7" t="inlineStr">
        <is>
          <t>2018-10-08</t>
        </is>
      </c>
      <c r="B2733" s="8" t="n">
        <v>10386</v>
      </c>
      <c r="C2733" s="8" t="n">
        <v>10100</v>
      </c>
      <c r="D2733" s="8" t="n">
        <v>10403</v>
      </c>
      <c r="E2733" s="8" t="n">
        <v>10060</v>
      </c>
      <c r="F2733" s="8" t="n">
        <v>529870</v>
      </c>
      <c r="G2733" s="8" t="n">
        <v>564248</v>
      </c>
      <c r="H2733" s="8" t="n">
        <v>9715</v>
      </c>
      <c r="I2733" s="8" t="n">
        <v>9525</v>
      </c>
      <c r="J2733" s="8" t="n">
        <v>9720</v>
      </c>
      <c r="K2733" s="8" t="n">
        <v>9525</v>
      </c>
      <c r="L2733" s="8" t="n">
        <v>292010</v>
      </c>
      <c r="M2733" s="8" t="n">
        <v>341052</v>
      </c>
      <c r="N2733" t="inlineStr">
        <is>
          <t>是</t>
        </is>
      </c>
    </row>
    <row r="2734">
      <c r="A2734" s="7" t="inlineStr">
        <is>
          <t>2018-10-09</t>
        </is>
      </c>
      <c r="B2734" s="8" t="n">
        <v>10585</v>
      </c>
      <c r="C2734" s="8" t="n">
        <v>10438</v>
      </c>
      <c r="D2734" s="8" t="n">
        <v>10624</v>
      </c>
      <c r="E2734" s="8" t="n">
        <v>10420</v>
      </c>
      <c r="F2734" s="8" t="n">
        <v>595960</v>
      </c>
      <c r="G2734" s="8" t="n">
        <v>596530</v>
      </c>
      <c r="H2734" s="8" t="n">
        <v>9825</v>
      </c>
      <c r="I2734" s="8" t="n">
        <v>9755</v>
      </c>
      <c r="J2734" s="8" t="n">
        <v>9840</v>
      </c>
      <c r="K2734" s="8" t="n">
        <v>9705</v>
      </c>
      <c r="L2734" s="8" t="n">
        <v>315066</v>
      </c>
      <c r="M2734" s="8" t="n">
        <v>369074</v>
      </c>
      <c r="N2734" t="inlineStr">
        <is>
          <t>是</t>
        </is>
      </c>
    </row>
    <row r="2735">
      <c r="A2735" s="7" t="inlineStr">
        <is>
          <t>2018-10-10</t>
        </is>
      </c>
      <c r="B2735" s="8" t="n">
        <v>10594</v>
      </c>
      <c r="C2735" s="8" t="n">
        <v>10550</v>
      </c>
      <c r="D2735" s="8" t="n">
        <v>10642</v>
      </c>
      <c r="E2735" s="8" t="n">
        <v>10475</v>
      </c>
      <c r="F2735" s="8" t="n">
        <v>506398</v>
      </c>
      <c r="G2735" s="8" t="n">
        <v>574594</v>
      </c>
      <c r="H2735" s="8" t="n">
        <v>9670</v>
      </c>
      <c r="I2735" s="8" t="n">
        <v>9805</v>
      </c>
      <c r="J2735" s="8" t="n">
        <v>9825</v>
      </c>
      <c r="K2735" s="8" t="n">
        <v>9640</v>
      </c>
      <c r="L2735" s="8" t="n">
        <v>374178</v>
      </c>
      <c r="M2735" s="8" t="n">
        <v>376354</v>
      </c>
      <c r="N2735" t="inlineStr">
        <is>
          <t>是</t>
        </is>
      </c>
    </row>
    <row r="2736">
      <c r="A2736" s="7" t="inlineStr">
        <is>
          <t>2018-10-11</t>
        </is>
      </c>
      <c r="B2736" s="8" t="n">
        <v>10441</v>
      </c>
      <c r="C2736" s="8" t="n">
        <v>10480</v>
      </c>
      <c r="D2736" s="8" t="n">
        <v>10498</v>
      </c>
      <c r="E2736" s="8" t="n">
        <v>10305</v>
      </c>
      <c r="F2736" s="8" t="n">
        <v>544704</v>
      </c>
      <c r="G2736" s="8" t="n">
        <v>535732</v>
      </c>
      <c r="H2736" s="8" t="n">
        <v>9535</v>
      </c>
      <c r="I2736" s="8" t="n">
        <v>9575</v>
      </c>
      <c r="J2736" s="8" t="n">
        <v>9605</v>
      </c>
      <c r="K2736" s="8" t="n">
        <v>9485</v>
      </c>
      <c r="L2736" s="8" t="n">
        <v>336396</v>
      </c>
      <c r="M2736" s="8" t="n">
        <v>335712</v>
      </c>
      <c r="N2736" t="inlineStr">
        <is>
          <t>是</t>
        </is>
      </c>
    </row>
    <row r="2737">
      <c r="A2737" s="7" t="inlineStr">
        <is>
          <t>2018-10-12</t>
        </is>
      </c>
      <c r="B2737" s="8" t="n">
        <v>10427</v>
      </c>
      <c r="C2737" s="8" t="n">
        <v>10415</v>
      </c>
      <c r="D2737" s="8" t="n">
        <v>10478</v>
      </c>
      <c r="E2737" s="8" t="n">
        <v>10320</v>
      </c>
      <c r="F2737" s="8" t="n">
        <v>478268</v>
      </c>
      <c r="G2737" s="8" t="n">
        <v>516108</v>
      </c>
      <c r="H2737" s="8" t="n">
        <v>9565</v>
      </c>
      <c r="I2737" s="8" t="n">
        <v>9540</v>
      </c>
      <c r="J2737" s="8" t="n">
        <v>9575</v>
      </c>
      <c r="K2737" s="8" t="n">
        <v>9500</v>
      </c>
      <c r="L2737" s="8" t="n">
        <v>176286</v>
      </c>
      <c r="M2737" s="8" t="n">
        <v>336676</v>
      </c>
      <c r="N2737" t="inlineStr">
        <is>
          <t>是</t>
        </is>
      </c>
    </row>
    <row r="2738">
      <c r="A2738" s="7" t="inlineStr">
        <is>
          <t>2018-10-15</t>
        </is>
      </c>
      <c r="B2738" s="8" t="n">
        <v>10272</v>
      </c>
      <c r="C2738" s="8" t="n">
        <v>10447</v>
      </c>
      <c r="D2738" s="8" t="n">
        <v>10495</v>
      </c>
      <c r="E2738" s="8" t="n">
        <v>10270</v>
      </c>
      <c r="F2738" s="8" t="n">
        <v>398918</v>
      </c>
      <c r="G2738" s="8" t="n">
        <v>496002</v>
      </c>
      <c r="H2738" s="8" t="n">
        <v>9520</v>
      </c>
      <c r="I2738" s="8" t="n">
        <v>9580</v>
      </c>
      <c r="J2738" s="8" t="n">
        <v>9590</v>
      </c>
      <c r="K2738" s="8" t="n">
        <v>9515</v>
      </c>
      <c r="L2738" s="8" t="n">
        <v>140056</v>
      </c>
      <c r="M2738" s="8" t="n">
        <v>331214</v>
      </c>
      <c r="N2738" t="inlineStr">
        <is>
          <t>是</t>
        </is>
      </c>
    </row>
    <row r="2739">
      <c r="A2739" s="7" t="inlineStr">
        <is>
          <t>2018-10-16</t>
        </is>
      </c>
      <c r="B2739" s="8" t="n">
        <v>10149</v>
      </c>
      <c r="C2739" s="8" t="n">
        <v>10260</v>
      </c>
      <c r="D2739" s="8" t="n">
        <v>10290</v>
      </c>
      <c r="E2739" s="8" t="n">
        <v>10073</v>
      </c>
      <c r="F2739" s="8" t="n">
        <v>499798</v>
      </c>
      <c r="G2739" s="8" t="n">
        <v>473506</v>
      </c>
      <c r="H2739" s="8" t="n">
        <v>9400</v>
      </c>
      <c r="I2739" s="8" t="n">
        <v>9510</v>
      </c>
      <c r="J2739" s="8" t="n">
        <v>9540</v>
      </c>
      <c r="K2739" s="8" t="n">
        <v>9335</v>
      </c>
      <c r="L2739" s="8" t="n">
        <v>367028</v>
      </c>
      <c r="M2739" s="8" t="n">
        <v>334716</v>
      </c>
      <c r="N2739" t="inlineStr">
        <is>
          <t>是</t>
        </is>
      </c>
    </row>
    <row r="2740">
      <c r="A2740" s="7" t="inlineStr">
        <is>
          <t>2018-10-17</t>
        </is>
      </c>
      <c r="B2740" s="8" t="n">
        <v>10166</v>
      </c>
      <c r="C2740" s="8" t="n">
        <v>10170</v>
      </c>
      <c r="D2740" s="8" t="n">
        <v>10235</v>
      </c>
      <c r="E2740" s="8" t="n">
        <v>10142</v>
      </c>
      <c r="F2740" s="8" t="n">
        <v>311340</v>
      </c>
      <c r="G2740" s="8" t="n">
        <v>468476</v>
      </c>
      <c r="H2740" s="8" t="n">
        <v>9385</v>
      </c>
      <c r="I2740" s="8" t="n">
        <v>9400</v>
      </c>
      <c r="J2740" s="8" t="n">
        <v>9435</v>
      </c>
      <c r="K2740" s="8" t="n">
        <v>9365</v>
      </c>
      <c r="L2740" s="8" t="n">
        <v>169482</v>
      </c>
      <c r="M2740" s="8" t="n">
        <v>331624</v>
      </c>
      <c r="N2740" t="inlineStr">
        <is>
          <t>是</t>
        </is>
      </c>
    </row>
    <row r="2741">
      <c r="A2741" s="7" t="inlineStr">
        <is>
          <t>2018-10-18</t>
        </is>
      </c>
      <c r="B2741" s="8" t="n">
        <v>10218</v>
      </c>
      <c r="C2741" s="8" t="n">
        <v>10100</v>
      </c>
      <c r="D2741" s="8" t="n">
        <v>10240</v>
      </c>
      <c r="E2741" s="8" t="n">
        <v>10070</v>
      </c>
      <c r="F2741" s="8" t="n">
        <v>512140</v>
      </c>
      <c r="G2741" s="8" t="n">
        <v>494154</v>
      </c>
      <c r="H2741" s="8" t="n">
        <v>9415</v>
      </c>
      <c r="I2741" s="8" t="n">
        <v>9350</v>
      </c>
      <c r="J2741" s="8" t="n">
        <v>9425</v>
      </c>
      <c r="K2741" s="8" t="n">
        <v>9330</v>
      </c>
      <c r="L2741" s="8" t="n">
        <v>199380</v>
      </c>
      <c r="M2741" s="8" t="n">
        <v>311330</v>
      </c>
      <c r="N2741" t="inlineStr">
        <is>
          <t>是</t>
        </is>
      </c>
    </row>
    <row r="2742">
      <c r="A2742" s="7" t="inlineStr">
        <is>
          <t>2018-10-19</t>
        </is>
      </c>
      <c r="B2742" s="8" t="n">
        <v>10111</v>
      </c>
      <c r="C2742" s="8" t="n">
        <v>10207</v>
      </c>
      <c r="D2742" s="8" t="n">
        <v>10240</v>
      </c>
      <c r="E2742" s="8" t="n">
        <v>10111</v>
      </c>
      <c r="F2742" s="8" t="n">
        <v>375284</v>
      </c>
      <c r="G2742" s="8" t="n">
        <v>488174</v>
      </c>
      <c r="H2742" s="8" t="n">
        <v>9420</v>
      </c>
      <c r="I2742" s="8" t="n">
        <v>9410</v>
      </c>
      <c r="J2742" s="8" t="n">
        <v>9465</v>
      </c>
      <c r="K2742" s="8" t="n">
        <v>9405</v>
      </c>
      <c r="L2742" s="8" t="n">
        <v>194348</v>
      </c>
      <c r="M2742" s="8" t="n">
        <v>303886</v>
      </c>
      <c r="N2742" t="inlineStr">
        <is>
          <t>是</t>
        </is>
      </c>
    </row>
    <row r="2743">
      <c r="A2743" s="7" t="inlineStr">
        <is>
          <t>2018-10-22</t>
        </is>
      </c>
      <c r="B2743" s="8" t="n">
        <v>10029</v>
      </c>
      <c r="C2743" s="8" t="n">
        <v>10112</v>
      </c>
      <c r="D2743" s="8" t="n">
        <v>10150</v>
      </c>
      <c r="E2743" s="8" t="n">
        <v>10020</v>
      </c>
      <c r="F2743" s="8" t="n">
        <v>499718</v>
      </c>
      <c r="G2743" s="8" t="n">
        <v>474974</v>
      </c>
      <c r="H2743" s="8" t="n">
        <v>9445</v>
      </c>
      <c r="I2743" s="8" t="n">
        <v>9430</v>
      </c>
      <c r="J2743" s="8" t="n">
        <v>9505</v>
      </c>
      <c r="K2743" s="8" t="n">
        <v>9425</v>
      </c>
      <c r="L2743" s="8" t="n">
        <v>220810</v>
      </c>
      <c r="M2743" s="8" t="n">
        <v>282682</v>
      </c>
      <c r="N2743" t="inlineStr">
        <is>
          <t>是</t>
        </is>
      </c>
    </row>
    <row r="2744">
      <c r="A2744" s="7" t="inlineStr">
        <is>
          <t>2018-10-23</t>
        </is>
      </c>
      <c r="B2744" s="8" t="n">
        <v>10030</v>
      </c>
      <c r="C2744" s="8" t="n">
        <v>10034</v>
      </c>
      <c r="D2744" s="8" t="n">
        <v>10067</v>
      </c>
      <c r="E2744" s="8" t="n">
        <v>10006</v>
      </c>
      <c r="F2744" s="8" t="n">
        <v>324696</v>
      </c>
      <c r="G2744" s="8" t="n">
        <v>460752</v>
      </c>
      <c r="H2744" s="8" t="n">
        <v>9430</v>
      </c>
      <c r="I2744" s="8" t="n">
        <v>9440</v>
      </c>
      <c r="J2744" s="8" t="n">
        <v>9470</v>
      </c>
      <c r="K2744" s="8" t="n">
        <v>9430</v>
      </c>
      <c r="L2744" s="8" t="n">
        <v>119236</v>
      </c>
      <c r="M2744" s="8" t="n">
        <v>289462</v>
      </c>
      <c r="N2744" t="inlineStr">
        <is>
          <t>是</t>
        </is>
      </c>
    </row>
    <row r="2745">
      <c r="A2745" s="7" t="inlineStr">
        <is>
          <t>2018-10-24</t>
        </is>
      </c>
      <c r="B2745" s="8" t="n">
        <v>10001</v>
      </c>
      <c r="C2745" s="8" t="n">
        <v>9980</v>
      </c>
      <c r="D2745" s="8" t="n">
        <v>10042</v>
      </c>
      <c r="E2745" s="8" t="n">
        <v>9956</v>
      </c>
      <c r="F2745" s="8" t="n">
        <v>318560</v>
      </c>
      <c r="G2745" s="8" t="n">
        <v>455426</v>
      </c>
      <c r="H2745" s="8" t="n">
        <v>9465</v>
      </c>
      <c r="I2745" s="8" t="n">
        <v>9395</v>
      </c>
      <c r="J2745" s="8" t="n">
        <v>9475</v>
      </c>
      <c r="K2745" s="8" t="n">
        <v>9385</v>
      </c>
      <c r="L2745" s="8" t="n">
        <v>191424</v>
      </c>
      <c r="M2745" s="8" t="n">
        <v>281574</v>
      </c>
      <c r="N2745" t="inlineStr">
        <is>
          <t>是</t>
        </is>
      </c>
    </row>
    <row r="2746">
      <c r="A2746" s="7" t="inlineStr">
        <is>
          <t>2018-10-25</t>
        </is>
      </c>
      <c r="B2746" s="8" t="n">
        <v>9812</v>
      </c>
      <c r="C2746" s="8" t="n">
        <v>9970</v>
      </c>
      <c r="D2746" s="8" t="n">
        <v>9989</v>
      </c>
      <c r="E2746" s="8" t="n">
        <v>9790</v>
      </c>
      <c r="F2746" s="8" t="n">
        <v>538388</v>
      </c>
      <c r="G2746" s="8" t="n">
        <v>448736</v>
      </c>
      <c r="H2746" s="8" t="n">
        <v>9335</v>
      </c>
      <c r="I2746" s="8" t="n">
        <v>9445</v>
      </c>
      <c r="J2746" s="8" t="n">
        <v>9460</v>
      </c>
      <c r="K2746" s="8" t="n">
        <v>9280</v>
      </c>
      <c r="L2746" s="8" t="n">
        <v>289278</v>
      </c>
      <c r="M2746" s="8" t="n">
        <v>288540</v>
      </c>
      <c r="N2746" t="inlineStr">
        <is>
          <t>是</t>
        </is>
      </c>
    </row>
    <row r="2747">
      <c r="A2747" s="7" t="inlineStr">
        <is>
          <t>2018-10-26</t>
        </is>
      </c>
      <c r="B2747" s="8" t="n">
        <v>9915</v>
      </c>
      <c r="C2747" s="8" t="n">
        <v>9820</v>
      </c>
      <c r="D2747" s="8" t="n">
        <v>9937</v>
      </c>
      <c r="E2747" s="8" t="n">
        <v>9810</v>
      </c>
      <c r="F2747" s="8" t="n">
        <v>361370</v>
      </c>
      <c r="G2747" s="8" t="n">
        <v>416334</v>
      </c>
      <c r="H2747" s="8" t="n">
        <v>9285</v>
      </c>
      <c r="I2747" s="8" t="n">
        <v>9345</v>
      </c>
      <c r="J2747" s="8" t="n">
        <v>9375</v>
      </c>
      <c r="K2747" s="8" t="n">
        <v>9250</v>
      </c>
      <c r="L2747" s="8" t="n">
        <v>211322</v>
      </c>
      <c r="M2747" s="8" t="n">
        <v>302578</v>
      </c>
      <c r="N2747" t="inlineStr">
        <is>
          <t>是</t>
        </is>
      </c>
    </row>
    <row r="2748">
      <c r="A2748" s="7" t="inlineStr">
        <is>
          <t>2018-10-29</t>
        </is>
      </c>
      <c r="B2748" s="8" t="n">
        <v>9759</v>
      </c>
      <c r="C2748" s="8" t="n">
        <v>9931</v>
      </c>
      <c r="D2748" s="8" t="n">
        <v>9970</v>
      </c>
      <c r="E2748" s="8" t="n">
        <v>9705</v>
      </c>
      <c r="F2748" s="8" t="n">
        <v>465344</v>
      </c>
      <c r="G2748" s="8" t="n">
        <v>409958</v>
      </c>
      <c r="H2748" s="8" t="n">
        <v>9165</v>
      </c>
      <c r="I2748" s="8" t="n">
        <v>9310</v>
      </c>
      <c r="J2748" s="8" t="n">
        <v>9325</v>
      </c>
      <c r="K2748" s="8" t="n">
        <v>9125</v>
      </c>
      <c r="L2748" s="8" t="n">
        <v>299814</v>
      </c>
      <c r="M2748" s="8" t="n">
        <v>318460</v>
      </c>
      <c r="N2748" t="inlineStr">
        <is>
          <t>是</t>
        </is>
      </c>
    </row>
    <row r="2749">
      <c r="A2749" s="7" t="inlineStr">
        <is>
          <t>2018-10-30</t>
        </is>
      </c>
      <c r="B2749" s="8" t="n">
        <v>9760</v>
      </c>
      <c r="C2749" s="8" t="n">
        <v>9770</v>
      </c>
      <c r="D2749" s="8" t="n">
        <v>9829</v>
      </c>
      <c r="E2749" s="8" t="n">
        <v>9706</v>
      </c>
      <c r="F2749" s="8" t="n">
        <v>336472</v>
      </c>
      <c r="G2749" s="8" t="n">
        <v>397960</v>
      </c>
      <c r="H2749" s="8" t="n">
        <v>9105</v>
      </c>
      <c r="I2749" s="8" t="n">
        <v>9170</v>
      </c>
      <c r="J2749" s="8" t="n">
        <v>9205</v>
      </c>
      <c r="K2749" s="8" t="n">
        <v>9070</v>
      </c>
      <c r="L2749" s="8" t="n">
        <v>168442</v>
      </c>
      <c r="M2749" s="8" t="n">
        <v>330134</v>
      </c>
      <c r="N2749" t="inlineStr">
        <is>
          <t>是</t>
        </is>
      </c>
    </row>
    <row r="2750">
      <c r="A2750" s="7" t="inlineStr">
        <is>
          <t>2018-10-31</t>
        </is>
      </c>
      <c r="B2750" s="8" t="n">
        <v>9888</v>
      </c>
      <c r="C2750" s="8" t="n">
        <v>9760</v>
      </c>
      <c r="D2750" s="8" t="n">
        <v>9915</v>
      </c>
      <c r="E2750" s="8" t="n">
        <v>9750</v>
      </c>
      <c r="F2750" s="8" t="n">
        <v>459638</v>
      </c>
      <c r="G2750" s="8" t="n">
        <v>440778</v>
      </c>
      <c r="H2750" s="8" t="n">
        <v>9055</v>
      </c>
      <c r="I2750" s="8" t="n">
        <v>9105</v>
      </c>
      <c r="J2750" s="8" t="n">
        <v>9150</v>
      </c>
      <c r="K2750" s="8" t="n">
        <v>9015</v>
      </c>
      <c r="L2750" s="8" t="n">
        <v>312106</v>
      </c>
      <c r="M2750" s="8" t="n">
        <v>355550</v>
      </c>
      <c r="N2750" t="inlineStr">
        <is>
          <t>是</t>
        </is>
      </c>
    </row>
    <row r="2751">
      <c r="A2751" s="7" t="inlineStr">
        <is>
          <t>2018-11-01</t>
        </is>
      </c>
      <c r="B2751" s="8" t="n">
        <v>9742</v>
      </c>
      <c r="C2751" s="8" t="n">
        <v>9855</v>
      </c>
      <c r="D2751" s="8" t="n">
        <v>9877</v>
      </c>
      <c r="E2751" s="8" t="n">
        <v>9701</v>
      </c>
      <c r="F2751" s="8" t="n">
        <v>498414</v>
      </c>
      <c r="G2751" s="8" t="n">
        <v>419670</v>
      </c>
      <c r="H2751" s="8" t="n">
        <v>8965</v>
      </c>
      <c r="I2751" s="8" t="n">
        <v>9045</v>
      </c>
      <c r="J2751" s="8" t="n">
        <v>9065</v>
      </c>
      <c r="K2751" s="8" t="n">
        <v>8920</v>
      </c>
      <c r="L2751" s="8" t="n">
        <v>290464</v>
      </c>
      <c r="M2751" s="8" t="n">
        <v>361512</v>
      </c>
      <c r="N2751" t="inlineStr">
        <is>
          <t>是</t>
        </is>
      </c>
    </row>
    <row r="2752">
      <c r="A2752" s="7" t="inlineStr">
        <is>
          <t>2018-11-02</t>
        </is>
      </c>
      <c r="B2752" s="8" t="n">
        <v>9878</v>
      </c>
      <c r="C2752" s="8" t="n">
        <v>9715</v>
      </c>
      <c r="D2752" s="8" t="n">
        <v>9888</v>
      </c>
      <c r="E2752" s="8" t="n">
        <v>9645</v>
      </c>
      <c r="F2752" s="8" t="n">
        <v>540696</v>
      </c>
      <c r="G2752" s="8" t="n">
        <v>441902</v>
      </c>
      <c r="H2752" s="8" t="n">
        <v>9115</v>
      </c>
      <c r="I2752" s="8" t="n">
        <v>8950</v>
      </c>
      <c r="J2752" s="8" t="n">
        <v>9135</v>
      </c>
      <c r="K2752" s="8" t="n">
        <v>8905</v>
      </c>
      <c r="L2752" s="8" t="n">
        <v>304784</v>
      </c>
      <c r="M2752" s="8" t="n">
        <v>342340</v>
      </c>
      <c r="N2752" t="inlineStr">
        <is>
          <t>是</t>
        </is>
      </c>
    </row>
    <row r="2753">
      <c r="A2753" s="7" t="inlineStr">
        <is>
          <t>2018-11-05</t>
        </is>
      </c>
      <c r="B2753" s="8" t="n">
        <v>9857</v>
      </c>
      <c r="C2753" s="8" t="n">
        <v>9870</v>
      </c>
      <c r="D2753" s="8" t="n">
        <v>9914</v>
      </c>
      <c r="E2753" s="8" t="n">
        <v>9807</v>
      </c>
      <c r="F2753" s="8" t="n">
        <v>411894</v>
      </c>
      <c r="G2753" s="8" t="n">
        <v>451528</v>
      </c>
      <c r="H2753" s="8" t="n">
        <v>9125</v>
      </c>
      <c r="I2753" s="8" t="n">
        <v>9120</v>
      </c>
      <c r="J2753" s="8" t="n">
        <v>9165</v>
      </c>
      <c r="K2753" s="8" t="n">
        <v>9105</v>
      </c>
      <c r="L2753" s="8" t="n">
        <v>210238</v>
      </c>
      <c r="M2753" s="8" t="n">
        <v>326560</v>
      </c>
      <c r="N2753" t="inlineStr">
        <is>
          <t>是</t>
        </is>
      </c>
    </row>
    <row r="2754">
      <c r="A2754" s="7" t="inlineStr">
        <is>
          <t>2018-11-06</t>
        </is>
      </c>
      <c r="B2754" s="8" t="n">
        <v>9854</v>
      </c>
      <c r="C2754" s="8" t="n">
        <v>9850</v>
      </c>
      <c r="D2754" s="8" t="n">
        <v>9934</v>
      </c>
      <c r="E2754" s="8" t="n">
        <v>9760</v>
      </c>
      <c r="F2754" s="8" t="n">
        <v>383792</v>
      </c>
      <c r="G2754" s="8" t="n">
        <v>445162</v>
      </c>
      <c r="H2754" s="8" t="n">
        <v>9085</v>
      </c>
      <c r="I2754" s="8" t="n">
        <v>9125</v>
      </c>
      <c r="J2754" s="8" t="n">
        <v>9150</v>
      </c>
      <c r="K2754" s="8" t="n">
        <v>9015</v>
      </c>
      <c r="L2754" s="8" t="n">
        <v>233174</v>
      </c>
      <c r="M2754" s="8" t="n">
        <v>334044</v>
      </c>
      <c r="N2754" t="inlineStr">
        <is>
          <t>是</t>
        </is>
      </c>
    </row>
    <row r="2755">
      <c r="A2755" s="7" t="inlineStr">
        <is>
          <t>2018-11-07</t>
        </is>
      </c>
      <c r="B2755" s="8" t="n">
        <v>9813</v>
      </c>
      <c r="C2755" s="8" t="n">
        <v>9811</v>
      </c>
      <c r="D2755" s="8" t="n">
        <v>9828</v>
      </c>
      <c r="E2755" s="8" t="n">
        <v>9700</v>
      </c>
      <c r="F2755" s="8" t="n">
        <v>482984</v>
      </c>
      <c r="G2755" s="8" t="n">
        <v>451458</v>
      </c>
      <c r="H2755" s="8" t="n">
        <v>9070</v>
      </c>
      <c r="I2755" s="8" t="n">
        <v>9075</v>
      </c>
      <c r="J2755" s="8" t="n">
        <v>9100</v>
      </c>
      <c r="K2755" s="8" t="n">
        <v>9010</v>
      </c>
      <c r="L2755" s="8" t="n">
        <v>197492</v>
      </c>
      <c r="M2755" s="8" t="n">
        <v>324266</v>
      </c>
      <c r="N2755" t="inlineStr">
        <is>
          <t>是</t>
        </is>
      </c>
    </row>
    <row r="2756">
      <c r="A2756" s="7" t="inlineStr">
        <is>
          <t>2018-11-08</t>
        </is>
      </c>
      <c r="B2756" s="8" t="n">
        <v>9841</v>
      </c>
      <c r="C2756" s="8" t="n">
        <v>9792</v>
      </c>
      <c r="D2756" s="8" t="n">
        <v>9910</v>
      </c>
      <c r="E2756" s="8" t="n">
        <v>9772</v>
      </c>
      <c r="F2756" s="8" t="n">
        <v>524182</v>
      </c>
      <c r="G2756" s="8" t="n">
        <v>465356</v>
      </c>
      <c r="H2756" s="8" t="n">
        <v>9075</v>
      </c>
      <c r="I2756" s="8" t="n">
        <v>9085</v>
      </c>
      <c r="J2756" s="8" t="n">
        <v>9145</v>
      </c>
      <c r="K2756" s="8" t="n">
        <v>9050</v>
      </c>
      <c r="L2756" s="8" t="n">
        <v>176562</v>
      </c>
      <c r="M2756" s="8" t="n">
        <v>319484</v>
      </c>
      <c r="N2756" t="inlineStr">
        <is>
          <t>是</t>
        </is>
      </c>
    </row>
    <row r="2757">
      <c r="A2757" s="7" t="inlineStr">
        <is>
          <t>2018-11-09</t>
        </is>
      </c>
      <c r="B2757" s="8" t="n">
        <v>9602</v>
      </c>
      <c r="C2757" s="8" t="n">
        <v>9805</v>
      </c>
      <c r="D2757" s="8" t="n">
        <v>9866</v>
      </c>
      <c r="E2757" s="8" t="n">
        <v>9601</v>
      </c>
      <c r="F2757" s="8" t="n">
        <v>654668</v>
      </c>
      <c r="G2757" s="8" t="n">
        <v>476454</v>
      </c>
      <c r="H2757" s="8" t="n">
        <v>8960</v>
      </c>
      <c r="I2757" s="8" t="n">
        <v>9075</v>
      </c>
      <c r="J2757" s="8" t="n">
        <v>9090</v>
      </c>
      <c r="K2757" s="8" t="n">
        <v>8935</v>
      </c>
      <c r="L2757" s="8" t="n">
        <v>301296</v>
      </c>
      <c r="M2757" s="8" t="n">
        <v>333508</v>
      </c>
      <c r="N2757" t="inlineStr">
        <is>
          <t>是</t>
        </is>
      </c>
    </row>
    <row r="2758">
      <c r="A2758" s="7" t="inlineStr">
        <is>
          <t>2018-11-12</t>
        </is>
      </c>
      <c r="B2758" s="8" t="n">
        <v>9473</v>
      </c>
      <c r="C2758" s="8" t="n">
        <v>9580</v>
      </c>
      <c r="D2758" s="8" t="n">
        <v>9640</v>
      </c>
      <c r="E2758" s="8" t="n">
        <v>9464</v>
      </c>
      <c r="F2758" s="8" t="n">
        <v>606758</v>
      </c>
      <c r="G2758" s="8" t="n">
        <v>465538</v>
      </c>
      <c r="H2758" s="8" t="n">
        <v>8860</v>
      </c>
      <c r="I2758" s="8" t="n">
        <v>8960</v>
      </c>
      <c r="J2758" s="8" t="n">
        <v>8990</v>
      </c>
      <c r="K2758" s="8" t="n">
        <v>8840</v>
      </c>
      <c r="L2758" s="8" t="n">
        <v>302526</v>
      </c>
      <c r="M2758" s="8" t="n">
        <v>319820</v>
      </c>
      <c r="N2758" t="inlineStr">
        <is>
          <t>是</t>
        </is>
      </c>
    </row>
    <row r="2759">
      <c r="A2759" s="7" t="inlineStr">
        <is>
          <t>2018-11-13</t>
        </is>
      </c>
      <c r="B2759" s="8" t="n">
        <v>9482</v>
      </c>
      <c r="C2759" s="8" t="n">
        <v>9465</v>
      </c>
      <c r="D2759" s="8" t="n">
        <v>9519</v>
      </c>
      <c r="E2759" s="8" t="n">
        <v>9417</v>
      </c>
      <c r="F2759" s="8" t="n">
        <v>394268</v>
      </c>
      <c r="G2759" s="8" t="n">
        <v>443700</v>
      </c>
      <c r="H2759" s="8" t="n">
        <v>8960</v>
      </c>
      <c r="I2759" s="8" t="n">
        <v>8840</v>
      </c>
      <c r="J2759" s="8" t="n">
        <v>9015</v>
      </c>
      <c r="K2759" s="8" t="n">
        <v>8830</v>
      </c>
      <c r="L2759" s="8" t="n">
        <v>233612</v>
      </c>
      <c r="M2759" s="8" t="n">
        <v>301616</v>
      </c>
      <c r="N2759" t="inlineStr">
        <is>
          <t>是</t>
        </is>
      </c>
    </row>
    <row r="2760">
      <c r="A2760" s="7" t="inlineStr">
        <is>
          <t>2018-11-14</t>
        </is>
      </c>
      <c r="B2760" s="8" t="n">
        <v>9419</v>
      </c>
      <c r="C2760" s="8" t="n">
        <v>9376</v>
      </c>
      <c r="D2760" s="8" t="n">
        <v>9426</v>
      </c>
      <c r="E2760" s="8" t="n">
        <v>9250</v>
      </c>
      <c r="F2760" s="8" t="n">
        <v>641966</v>
      </c>
      <c r="G2760" s="8" t="n">
        <v>430360</v>
      </c>
      <c r="H2760" s="8" t="n">
        <v>9030</v>
      </c>
      <c r="I2760" s="8" t="n">
        <v>8875</v>
      </c>
      <c r="J2760" s="8" t="n">
        <v>9030</v>
      </c>
      <c r="K2760" s="8" t="n">
        <v>8815</v>
      </c>
      <c r="L2760" s="8" t="n">
        <v>370732</v>
      </c>
      <c r="M2760" s="8" t="n">
        <v>289680</v>
      </c>
      <c r="N2760" t="inlineStr">
        <is>
          <t>是</t>
        </is>
      </c>
    </row>
    <row r="2761">
      <c r="A2761" s="7" t="inlineStr">
        <is>
          <t>2018-11-15</t>
        </is>
      </c>
      <c r="B2761" s="8" t="n">
        <v>9438</v>
      </c>
      <c r="C2761" s="8" t="n">
        <v>9401</v>
      </c>
      <c r="D2761" s="8" t="n">
        <v>9463</v>
      </c>
      <c r="E2761" s="8" t="n">
        <v>9373</v>
      </c>
      <c r="F2761" s="8" t="n">
        <v>383138</v>
      </c>
      <c r="G2761" s="8" t="n">
        <v>420252</v>
      </c>
      <c r="H2761" s="8" t="n">
        <v>9060</v>
      </c>
      <c r="I2761" s="8" t="n">
        <v>9045</v>
      </c>
      <c r="J2761" s="8" t="n">
        <v>9080</v>
      </c>
      <c r="K2761" s="8" t="n">
        <v>9010</v>
      </c>
      <c r="L2761" s="8" t="n">
        <v>256460</v>
      </c>
      <c r="M2761" s="8" t="n">
        <v>259266</v>
      </c>
      <c r="N2761" t="inlineStr">
        <is>
          <t>是</t>
        </is>
      </c>
    </row>
    <row r="2762">
      <c r="A2762" s="7" t="inlineStr">
        <is>
          <t>2018-11-16</t>
        </is>
      </c>
      <c r="B2762" s="8" t="n">
        <v>9441</v>
      </c>
      <c r="C2762" s="8" t="n">
        <v>9450</v>
      </c>
      <c r="D2762" s="8" t="n">
        <v>9515</v>
      </c>
      <c r="E2762" s="8" t="n">
        <v>9350</v>
      </c>
      <c r="F2762" s="8" t="n">
        <v>465740</v>
      </c>
      <c r="G2762" s="8" t="n">
        <v>412892</v>
      </c>
      <c r="H2762" s="8" t="n">
        <v>8655</v>
      </c>
      <c r="I2762" s="8" t="n">
        <v>8650</v>
      </c>
      <c r="J2762" s="8" t="n">
        <v>8750</v>
      </c>
      <c r="K2762" s="8" t="n">
        <v>8605</v>
      </c>
      <c r="L2762" s="8" t="n">
        <v>132950</v>
      </c>
      <c r="M2762" s="8" t="n">
        <v>275664</v>
      </c>
      <c r="N2762" t="inlineStr">
        <is>
          <t>是</t>
        </is>
      </c>
    </row>
    <row r="2763">
      <c r="A2763" s="7" t="inlineStr">
        <is>
          <t>2018-11-19</t>
        </is>
      </c>
      <c r="B2763" s="8" t="n">
        <v>9345</v>
      </c>
      <c r="C2763" s="8" t="n">
        <v>9430</v>
      </c>
      <c r="D2763" s="8" t="n">
        <v>9466</v>
      </c>
      <c r="E2763" s="8" t="n">
        <v>9317</v>
      </c>
      <c r="F2763" s="8" t="n">
        <v>390676</v>
      </c>
      <c r="G2763" s="8" t="n">
        <v>409480</v>
      </c>
      <c r="H2763" s="8" t="n">
        <v>8645</v>
      </c>
      <c r="I2763" s="8" t="n">
        <v>8650</v>
      </c>
      <c r="J2763" s="8" t="n">
        <v>8700</v>
      </c>
      <c r="K2763" s="8" t="n">
        <v>8625</v>
      </c>
      <c r="L2763" s="8" t="n">
        <v>70058</v>
      </c>
      <c r="M2763" s="8" t="n">
        <v>287404</v>
      </c>
      <c r="N2763" t="inlineStr">
        <is>
          <t>是</t>
        </is>
      </c>
    </row>
    <row r="2764">
      <c r="A2764" s="7" t="inlineStr">
        <is>
          <t>2018-11-20</t>
        </is>
      </c>
      <c r="B2764" s="8" t="n">
        <v>9165</v>
      </c>
      <c r="C2764" s="8" t="n">
        <v>9345</v>
      </c>
      <c r="D2764" s="8" t="n">
        <v>9382</v>
      </c>
      <c r="E2764" s="8" t="n">
        <v>9155</v>
      </c>
      <c r="F2764" s="8" t="n">
        <v>485536</v>
      </c>
      <c r="G2764" s="8" t="n">
        <v>391764</v>
      </c>
      <c r="H2764" s="8" t="n">
        <v>8540</v>
      </c>
      <c r="I2764" s="8" t="n">
        <v>8630</v>
      </c>
      <c r="J2764" s="8" t="n">
        <v>8690</v>
      </c>
      <c r="K2764" s="8" t="n">
        <v>8535</v>
      </c>
      <c r="L2764" s="8" t="n">
        <v>104800</v>
      </c>
      <c r="M2764" s="8" t="n">
        <v>302532</v>
      </c>
      <c r="N2764" t="inlineStr">
        <is>
          <t>是</t>
        </is>
      </c>
    </row>
    <row r="2765">
      <c r="A2765" s="7" t="inlineStr">
        <is>
          <t>2018-11-21</t>
        </is>
      </c>
      <c r="B2765" s="8" t="n">
        <v>8864</v>
      </c>
      <c r="C2765" s="8" t="n">
        <v>8998</v>
      </c>
      <c r="D2765" s="8" t="n">
        <v>9005</v>
      </c>
      <c r="E2765" s="8" t="n">
        <v>8811</v>
      </c>
      <c r="F2765" s="8" t="n">
        <v>710686</v>
      </c>
      <c r="G2765" s="8" t="n">
        <v>382856</v>
      </c>
      <c r="H2765" s="8" t="n">
        <v>8600</v>
      </c>
      <c r="I2765" s="8" t="n">
        <v>8435</v>
      </c>
      <c r="J2765" s="8" t="n">
        <v>8630</v>
      </c>
      <c r="K2765" s="8" t="n">
        <v>8335</v>
      </c>
      <c r="L2765" s="8" t="n">
        <v>175476</v>
      </c>
      <c r="M2765" s="8" t="n">
        <v>299102</v>
      </c>
      <c r="N2765" t="inlineStr">
        <is>
          <t>是</t>
        </is>
      </c>
    </row>
    <row r="2766">
      <c r="A2766" s="7" t="inlineStr">
        <is>
          <t>2018-11-22</t>
        </is>
      </c>
      <c r="B2766" s="8" t="n">
        <v>8882</v>
      </c>
      <c r="C2766" s="8" t="n">
        <v>8883</v>
      </c>
      <c r="D2766" s="8" t="n">
        <v>8939</v>
      </c>
      <c r="E2766" s="8" t="n">
        <v>8852</v>
      </c>
      <c r="F2766" s="8" t="n">
        <v>410382</v>
      </c>
      <c r="G2766" s="8" t="n">
        <v>359582</v>
      </c>
      <c r="H2766" s="8" t="n">
        <v>8460</v>
      </c>
      <c r="I2766" s="8" t="n">
        <v>8600</v>
      </c>
      <c r="J2766" s="8" t="n">
        <v>8600</v>
      </c>
      <c r="K2766" s="8" t="n">
        <v>8450</v>
      </c>
      <c r="L2766" s="8" t="n">
        <v>94354</v>
      </c>
      <c r="M2766" s="8" t="n">
        <v>313042</v>
      </c>
      <c r="N2766" t="inlineStr">
        <is>
          <t>是</t>
        </is>
      </c>
    </row>
    <row r="2767">
      <c r="A2767" s="7" t="inlineStr">
        <is>
          <t>2018-11-23</t>
        </is>
      </c>
      <c r="B2767" s="8" t="n">
        <v>8486</v>
      </c>
      <c r="C2767" s="8" t="n">
        <v>8838</v>
      </c>
      <c r="D2767" s="8" t="n">
        <v>8870</v>
      </c>
      <c r="E2767" s="8" t="n">
        <v>8484</v>
      </c>
      <c r="F2767" s="8" t="n">
        <v>583700</v>
      </c>
      <c r="G2767" s="8" t="n">
        <v>357378</v>
      </c>
      <c r="H2767" s="8" t="n">
        <v>8250</v>
      </c>
      <c r="I2767" s="8" t="n">
        <v>8445</v>
      </c>
      <c r="J2767" s="8" t="n">
        <v>8480</v>
      </c>
      <c r="K2767" s="8" t="n">
        <v>8250</v>
      </c>
      <c r="L2767" s="8" t="n">
        <v>187982</v>
      </c>
      <c r="M2767" s="8" t="n">
        <v>348936</v>
      </c>
      <c r="N2767" t="inlineStr">
        <is>
          <t>是</t>
        </is>
      </c>
    </row>
    <row r="2768">
      <c r="A2768" s="7" t="inlineStr">
        <is>
          <t>2018-11-26</t>
        </is>
      </c>
      <c r="B2768" s="8" t="n">
        <v>8455</v>
      </c>
      <c r="C2768" s="8" t="n">
        <v>8350</v>
      </c>
      <c r="D2768" s="8" t="n">
        <v>8526</v>
      </c>
      <c r="E2768" s="8" t="n">
        <v>8305</v>
      </c>
      <c r="F2768" s="8" t="n">
        <v>644424</v>
      </c>
      <c r="G2768" s="8" t="n">
        <v>361438</v>
      </c>
      <c r="H2768" s="8" t="n">
        <v>8170</v>
      </c>
      <c r="I2768" s="8" t="n">
        <v>8200</v>
      </c>
      <c r="J2768" s="8" t="n">
        <v>8250</v>
      </c>
      <c r="K2768" s="8" t="n">
        <v>8150</v>
      </c>
      <c r="L2768" s="8" t="n">
        <v>200104</v>
      </c>
      <c r="M2768" s="8" t="n">
        <v>375808</v>
      </c>
      <c r="N2768" t="inlineStr">
        <is>
          <t>是</t>
        </is>
      </c>
    </row>
    <row r="2769">
      <c r="A2769" s="7" t="inlineStr">
        <is>
          <t>2018-11-27</t>
        </is>
      </c>
      <c r="B2769" s="8" t="n">
        <v>8457</v>
      </c>
      <c r="C2769" s="8" t="n">
        <v>8530</v>
      </c>
      <c r="D2769" s="8" t="n">
        <v>8568</v>
      </c>
      <c r="E2769" s="8" t="n">
        <v>8405</v>
      </c>
      <c r="F2769" s="8" t="n">
        <v>410418</v>
      </c>
      <c r="G2769" s="8" t="n">
        <v>356638</v>
      </c>
      <c r="H2769" s="8" t="n">
        <v>8150</v>
      </c>
      <c r="I2769" s="8" t="n">
        <v>8205</v>
      </c>
      <c r="J2769" s="8" t="n">
        <v>8255</v>
      </c>
      <c r="K2769" s="8" t="n">
        <v>8130</v>
      </c>
      <c r="L2769" s="8" t="n">
        <v>133732</v>
      </c>
      <c r="M2769" s="8" t="n">
        <v>380842</v>
      </c>
      <c r="N2769" t="inlineStr">
        <is>
          <t>是</t>
        </is>
      </c>
    </row>
    <row r="2770">
      <c r="A2770" s="7" t="inlineStr">
        <is>
          <t>2018-11-28</t>
        </is>
      </c>
      <c r="B2770" s="8" t="n">
        <v>8782</v>
      </c>
      <c r="C2770" s="8" t="n">
        <v>8486</v>
      </c>
      <c r="D2770" s="8" t="n">
        <v>8807</v>
      </c>
      <c r="E2770" s="8" t="n">
        <v>8480</v>
      </c>
      <c r="F2770" s="8" t="n">
        <v>680546</v>
      </c>
      <c r="G2770" s="8" t="n">
        <v>362320</v>
      </c>
      <c r="H2770" s="8" t="n">
        <v>8295</v>
      </c>
      <c r="I2770" s="8" t="n">
        <v>8190</v>
      </c>
      <c r="J2770" s="8" t="n">
        <v>8305</v>
      </c>
      <c r="K2770" s="8" t="n">
        <v>8180</v>
      </c>
      <c r="L2770" s="8" t="n">
        <v>175012</v>
      </c>
      <c r="M2770" s="8" t="n">
        <v>377460</v>
      </c>
      <c r="N2770" t="inlineStr">
        <is>
          <t>是</t>
        </is>
      </c>
    </row>
    <row r="2771">
      <c r="A2771" s="7" t="inlineStr">
        <is>
          <t>2018-11-29</t>
        </is>
      </c>
      <c r="B2771" s="8" t="n">
        <v>8668</v>
      </c>
      <c r="C2771" s="8" t="n">
        <v>8782</v>
      </c>
      <c r="D2771" s="8" t="n">
        <v>8787</v>
      </c>
      <c r="E2771" s="8" t="n">
        <v>8605</v>
      </c>
      <c r="F2771" s="8" t="n">
        <v>463942</v>
      </c>
      <c r="G2771" s="8" t="n">
        <v>335722</v>
      </c>
      <c r="H2771" s="8" t="n">
        <v>8270</v>
      </c>
      <c r="I2771" s="8" t="n">
        <v>8275</v>
      </c>
      <c r="J2771" s="8" t="n">
        <v>8315</v>
      </c>
      <c r="K2771" s="8" t="n">
        <v>8245</v>
      </c>
      <c r="L2771" s="8" t="n">
        <v>138116</v>
      </c>
      <c r="M2771" s="8" t="n">
        <v>382716</v>
      </c>
      <c r="N2771" t="inlineStr">
        <is>
          <t>是</t>
        </is>
      </c>
    </row>
    <row r="2772">
      <c r="A2772" s="7" t="inlineStr">
        <is>
          <t>2018-11-30</t>
        </is>
      </c>
      <c r="B2772" s="8" t="n">
        <v>8784</v>
      </c>
      <c r="C2772" s="8" t="n">
        <v>8690</v>
      </c>
      <c r="D2772" s="8" t="n">
        <v>8800</v>
      </c>
      <c r="E2772" s="8" t="n">
        <v>8646</v>
      </c>
      <c r="F2772" s="8" t="n">
        <v>447194</v>
      </c>
      <c r="G2772" s="8" t="n">
        <v>308026</v>
      </c>
      <c r="H2772" s="8" t="n">
        <v>8340</v>
      </c>
      <c r="I2772" s="8" t="n">
        <v>8310</v>
      </c>
      <c r="J2772" s="8" t="n">
        <v>8340</v>
      </c>
      <c r="K2772" s="8" t="n">
        <v>8275</v>
      </c>
      <c r="L2772" s="8" t="n">
        <v>142222</v>
      </c>
      <c r="M2772" s="8" t="n">
        <v>388034</v>
      </c>
      <c r="N2772" t="inlineStr">
        <is>
          <t>是</t>
        </is>
      </c>
    </row>
    <row r="2773">
      <c r="A2773" s="7" t="inlineStr">
        <is>
          <t>2018-12-03</t>
        </is>
      </c>
      <c r="B2773" s="8" t="n">
        <v>8982</v>
      </c>
      <c r="C2773" s="8" t="n">
        <v>8928</v>
      </c>
      <c r="D2773" s="8" t="n">
        <v>9040</v>
      </c>
      <c r="E2773" s="8" t="n">
        <v>8791</v>
      </c>
      <c r="F2773" s="8" t="n">
        <v>541898</v>
      </c>
      <c r="G2773" s="8" t="n">
        <v>286928</v>
      </c>
      <c r="H2773" s="8" t="n">
        <v>8360</v>
      </c>
      <c r="I2773" s="8" t="n">
        <v>8400</v>
      </c>
      <c r="J2773" s="8" t="n">
        <v>8510</v>
      </c>
      <c r="K2773" s="8" t="n">
        <v>8335</v>
      </c>
      <c r="L2773" s="8" t="n">
        <v>313114</v>
      </c>
      <c r="M2773" s="8" t="n">
        <v>416850</v>
      </c>
      <c r="N2773" t="inlineStr">
        <is>
          <t>是</t>
        </is>
      </c>
    </row>
    <row r="2774">
      <c r="A2774" s="7" t="inlineStr">
        <is>
          <t>2018-12-04</t>
        </is>
      </c>
      <c r="B2774" s="8" t="n">
        <v>9209</v>
      </c>
      <c r="C2774" s="8" t="n">
        <v>8950</v>
      </c>
      <c r="D2774" s="8" t="n">
        <v>9234</v>
      </c>
      <c r="E2774" s="8" t="n">
        <v>8902</v>
      </c>
      <c r="F2774" s="8" t="n">
        <v>548734</v>
      </c>
      <c r="G2774" s="8" t="n">
        <v>292162</v>
      </c>
      <c r="H2774" s="8" t="n">
        <v>8425</v>
      </c>
      <c r="I2774" s="8" t="n">
        <v>8370</v>
      </c>
      <c r="J2774" s="8" t="n">
        <v>8435</v>
      </c>
      <c r="K2774" s="8" t="n">
        <v>8355</v>
      </c>
      <c r="L2774" s="8" t="n">
        <v>220446</v>
      </c>
      <c r="M2774" s="8" t="n">
        <v>414614</v>
      </c>
      <c r="N2774" t="inlineStr">
        <is>
          <t>是</t>
        </is>
      </c>
    </row>
    <row r="2775">
      <c r="A2775" s="7" t="inlineStr">
        <is>
          <t>2018-12-05</t>
        </is>
      </c>
      <c r="B2775" s="8" t="n">
        <v>9282</v>
      </c>
      <c r="C2775" s="8" t="n">
        <v>9129</v>
      </c>
      <c r="D2775" s="8" t="n">
        <v>9286</v>
      </c>
      <c r="E2775" s="8" t="n">
        <v>9061</v>
      </c>
      <c r="F2775" s="8" t="n">
        <v>508786</v>
      </c>
      <c r="G2775" s="8" t="n">
        <v>262180</v>
      </c>
      <c r="H2775" s="8" t="n">
        <v>8460</v>
      </c>
      <c r="I2775" s="8" t="n">
        <v>8390</v>
      </c>
      <c r="J2775" s="8" t="n">
        <v>8470</v>
      </c>
      <c r="K2775" s="8" t="n">
        <v>8315</v>
      </c>
      <c r="L2775" s="8" t="n">
        <v>322636</v>
      </c>
      <c r="M2775" s="8" t="n">
        <v>433128</v>
      </c>
      <c r="N2775" t="inlineStr">
        <is>
          <t>是</t>
        </is>
      </c>
    </row>
    <row r="2776">
      <c r="A2776" s="7" t="inlineStr">
        <is>
          <t>2018-12-06</t>
        </is>
      </c>
      <c r="B2776" s="8" t="n">
        <v>8525</v>
      </c>
      <c r="C2776" s="8" t="n">
        <v>8680</v>
      </c>
      <c r="D2776" s="8" t="n">
        <v>8705</v>
      </c>
      <c r="E2776" s="8" t="n">
        <v>8521</v>
      </c>
      <c r="F2776" s="8" t="n">
        <v>270898</v>
      </c>
      <c r="G2776" s="8" t="n">
        <v>294860</v>
      </c>
      <c r="H2776" s="8" t="n">
        <v>8445</v>
      </c>
      <c r="I2776" s="8" t="n">
        <v>8455</v>
      </c>
      <c r="J2776" s="8" t="n">
        <v>8525</v>
      </c>
      <c r="K2776" s="8" t="n">
        <v>8415</v>
      </c>
      <c r="L2776" s="8" t="n">
        <v>275946</v>
      </c>
      <c r="M2776" s="8" t="n">
        <v>455350</v>
      </c>
      <c r="N2776" t="inlineStr">
        <is>
          <t>是</t>
        </is>
      </c>
    </row>
    <row r="2777">
      <c r="A2777" s="7" t="inlineStr">
        <is>
          <t>2018-12-07</t>
        </is>
      </c>
      <c r="B2777" s="8" t="n">
        <v>8608</v>
      </c>
      <c r="C2777" s="8" t="n">
        <v>8589</v>
      </c>
      <c r="D2777" s="8" t="n">
        <v>8665</v>
      </c>
      <c r="E2777" s="8" t="n">
        <v>8511</v>
      </c>
      <c r="F2777" s="8" t="n">
        <v>297328</v>
      </c>
      <c r="G2777" s="8" t="n">
        <v>289890</v>
      </c>
      <c r="H2777" s="8" t="n">
        <v>8500</v>
      </c>
      <c r="I2777" s="8" t="n">
        <v>8470</v>
      </c>
      <c r="J2777" s="8" t="n">
        <v>8505</v>
      </c>
      <c r="K2777" s="8" t="n">
        <v>8420</v>
      </c>
      <c r="L2777" s="8" t="n">
        <v>235924</v>
      </c>
      <c r="M2777" s="8" t="n">
        <v>461666</v>
      </c>
      <c r="N2777" t="inlineStr">
        <is>
          <t>是</t>
        </is>
      </c>
    </row>
    <row r="2778">
      <c r="A2778" s="7" t="inlineStr">
        <is>
          <t>2018-12-10</t>
        </is>
      </c>
      <c r="B2778" s="8" t="n">
        <v>8496</v>
      </c>
      <c r="C2778" s="8" t="n">
        <v>8625</v>
      </c>
      <c r="D2778" s="8" t="n">
        <v>8642</v>
      </c>
      <c r="E2778" s="8" t="n">
        <v>8460</v>
      </c>
      <c r="F2778" s="8" t="n">
        <v>277906</v>
      </c>
      <c r="G2778" s="8" t="n">
        <v>296002</v>
      </c>
      <c r="H2778" s="8" t="n">
        <v>8480</v>
      </c>
      <c r="I2778" s="8" t="n">
        <v>8500</v>
      </c>
      <c r="J2778" s="8" t="n">
        <v>8580</v>
      </c>
      <c r="K2778" s="8" t="n">
        <v>8450</v>
      </c>
      <c r="L2778" s="8" t="n">
        <v>264094</v>
      </c>
      <c r="M2778" s="8" t="n">
        <v>475574</v>
      </c>
      <c r="N2778" t="inlineStr">
        <is>
          <t>是</t>
        </is>
      </c>
    </row>
    <row r="2779">
      <c r="A2779" s="7" t="inlineStr">
        <is>
          <t>2018-12-11</t>
        </is>
      </c>
      <c r="B2779" s="8" t="n">
        <v>8287</v>
      </c>
      <c r="C2779" s="8" t="n">
        <v>8470</v>
      </c>
      <c r="D2779" s="8" t="n">
        <v>8470</v>
      </c>
      <c r="E2779" s="8" t="n">
        <v>8232</v>
      </c>
      <c r="F2779" s="8" t="n">
        <v>405924</v>
      </c>
      <c r="G2779" s="8" t="n">
        <v>334446</v>
      </c>
      <c r="H2779" s="8" t="n">
        <v>8355</v>
      </c>
      <c r="I2779" s="8" t="n">
        <v>8450</v>
      </c>
      <c r="J2779" s="8" t="n">
        <v>8460</v>
      </c>
      <c r="K2779" s="8" t="n">
        <v>8330</v>
      </c>
      <c r="L2779" s="8" t="n">
        <v>263302</v>
      </c>
      <c r="M2779" s="8" t="n">
        <v>490666</v>
      </c>
      <c r="N2779" t="inlineStr">
        <is>
          <t>是</t>
        </is>
      </c>
    </row>
    <row r="2780">
      <c r="A2780" s="7" t="inlineStr">
        <is>
          <t>2018-12-12</t>
        </is>
      </c>
      <c r="B2780" s="8" t="n">
        <v>8293</v>
      </c>
      <c r="C2780" s="8" t="n">
        <v>8338</v>
      </c>
      <c r="D2780" s="8" t="n">
        <v>8406</v>
      </c>
      <c r="E2780" s="8" t="n">
        <v>8272</v>
      </c>
      <c r="F2780" s="8" t="n">
        <v>477040</v>
      </c>
      <c r="G2780" s="8" t="n">
        <v>370270</v>
      </c>
      <c r="H2780" s="8" t="n">
        <v>8375</v>
      </c>
      <c r="I2780" s="8" t="n">
        <v>8385</v>
      </c>
      <c r="J2780" s="8" t="n">
        <v>8425</v>
      </c>
      <c r="K2780" s="8" t="n">
        <v>8360</v>
      </c>
      <c r="L2780" s="8" t="n">
        <v>170098</v>
      </c>
      <c r="M2780" s="8" t="n">
        <v>491918</v>
      </c>
      <c r="N2780" t="inlineStr">
        <is>
          <t>是</t>
        </is>
      </c>
    </row>
    <row r="2781">
      <c r="A2781" s="7" t="inlineStr">
        <is>
          <t>2018-12-13</t>
        </is>
      </c>
      <c r="B2781" s="8" t="n">
        <v>8427</v>
      </c>
      <c r="C2781" s="8" t="n">
        <v>8279</v>
      </c>
      <c r="D2781" s="8" t="n">
        <v>8455</v>
      </c>
      <c r="E2781" s="8" t="n">
        <v>8270</v>
      </c>
      <c r="F2781" s="8" t="n">
        <v>429958</v>
      </c>
      <c r="G2781" s="8" t="n">
        <v>365538</v>
      </c>
      <c r="H2781" s="8" t="n">
        <v>8480</v>
      </c>
      <c r="I2781" s="8" t="n">
        <v>8360</v>
      </c>
      <c r="J2781" s="8" t="n">
        <v>8480</v>
      </c>
      <c r="K2781" s="8" t="n">
        <v>8360</v>
      </c>
      <c r="L2781" s="8" t="n">
        <v>207314</v>
      </c>
      <c r="M2781" s="8" t="n">
        <v>492318</v>
      </c>
      <c r="N2781" t="inlineStr">
        <is>
          <t>是</t>
        </is>
      </c>
    </row>
    <row r="2782">
      <c r="A2782" s="7" t="inlineStr">
        <is>
          <t>2018-12-14</t>
        </is>
      </c>
      <c r="B2782" s="8" t="n">
        <v>8505</v>
      </c>
      <c r="C2782" s="8" t="n">
        <v>8520</v>
      </c>
      <c r="D2782" s="8" t="n">
        <v>8525</v>
      </c>
      <c r="E2782" s="8" t="n">
        <v>8430</v>
      </c>
      <c r="F2782" s="8" t="n">
        <v>435238</v>
      </c>
      <c r="G2782" s="8" t="n">
        <v>356632</v>
      </c>
      <c r="H2782" s="8" t="n">
        <v>8515</v>
      </c>
      <c r="I2782" s="8" t="n">
        <v>8520</v>
      </c>
      <c r="J2782" s="8" t="n">
        <v>8540</v>
      </c>
      <c r="K2782" s="8" t="n">
        <v>8460</v>
      </c>
      <c r="L2782" s="8" t="n">
        <v>197694</v>
      </c>
      <c r="M2782" s="8" t="n">
        <v>487634</v>
      </c>
      <c r="N2782" t="inlineStr">
        <is>
          <t>是</t>
        </is>
      </c>
    </row>
    <row r="2783">
      <c r="A2783" s="7" t="inlineStr">
        <is>
          <t>2018-12-17</t>
        </is>
      </c>
      <c r="B2783" s="8" t="n">
        <v>8580</v>
      </c>
      <c r="C2783" s="8" t="n">
        <v>8493</v>
      </c>
      <c r="D2783" s="8" t="n">
        <v>8609</v>
      </c>
      <c r="E2783" s="8" t="n">
        <v>8485</v>
      </c>
      <c r="F2783" s="8" t="n">
        <v>435580</v>
      </c>
      <c r="G2783" s="8" t="n">
        <v>369850</v>
      </c>
      <c r="H2783" s="8" t="n">
        <v>8575</v>
      </c>
      <c r="I2783" s="8" t="n">
        <v>8460</v>
      </c>
      <c r="J2783" s="8" t="n">
        <v>8595</v>
      </c>
      <c r="K2783" s="8" t="n">
        <v>8460</v>
      </c>
      <c r="L2783" s="8" t="n">
        <v>177366</v>
      </c>
      <c r="M2783" s="8" t="n">
        <v>483768</v>
      </c>
      <c r="N2783" t="inlineStr">
        <is>
          <t>是</t>
        </is>
      </c>
    </row>
    <row r="2784">
      <c r="A2784" s="7" t="inlineStr">
        <is>
          <t>2018-12-18</t>
        </is>
      </c>
      <c r="B2784" s="8" t="n">
        <v>8586</v>
      </c>
      <c r="C2784" s="8" t="n">
        <v>8510</v>
      </c>
      <c r="D2784" s="8" t="n">
        <v>8586</v>
      </c>
      <c r="E2784" s="8" t="n">
        <v>8478</v>
      </c>
      <c r="F2784" s="8" t="n">
        <v>477790</v>
      </c>
      <c r="G2784" s="8" t="n">
        <v>360750</v>
      </c>
      <c r="H2784" s="8" t="n">
        <v>8630</v>
      </c>
      <c r="I2784" s="8" t="n">
        <v>8525</v>
      </c>
      <c r="J2784" s="8" t="n">
        <v>8655</v>
      </c>
      <c r="K2784" s="8" t="n">
        <v>8520</v>
      </c>
      <c r="L2784" s="8" t="n">
        <v>231746</v>
      </c>
      <c r="M2784" s="8" t="n">
        <v>488198</v>
      </c>
      <c r="N2784" t="inlineStr">
        <is>
          <t>是</t>
        </is>
      </c>
    </row>
    <row r="2785">
      <c r="A2785" s="7" t="inlineStr">
        <is>
          <t>2018-12-19</t>
        </is>
      </c>
      <c r="B2785" s="8" t="n">
        <v>8635</v>
      </c>
      <c r="C2785" s="8" t="n">
        <v>8486</v>
      </c>
      <c r="D2785" s="8" t="n">
        <v>8666</v>
      </c>
      <c r="E2785" s="8" t="n">
        <v>8450</v>
      </c>
      <c r="F2785" s="8" t="n">
        <v>678928</v>
      </c>
      <c r="G2785" s="8" t="n">
        <v>393076</v>
      </c>
      <c r="H2785" s="8" t="n">
        <v>8695</v>
      </c>
      <c r="I2785" s="8" t="n">
        <v>8550</v>
      </c>
      <c r="J2785" s="8" t="n">
        <v>8715</v>
      </c>
      <c r="K2785" s="8" t="n">
        <v>8535</v>
      </c>
      <c r="L2785" s="8" t="n">
        <v>389864</v>
      </c>
      <c r="M2785" s="8" t="n">
        <v>488758</v>
      </c>
      <c r="N2785" t="inlineStr">
        <is>
          <t>是</t>
        </is>
      </c>
    </row>
    <row r="2786">
      <c r="A2786" s="7" t="inlineStr">
        <is>
          <t>2018-12-20</t>
        </is>
      </c>
      <c r="B2786" s="8" t="n">
        <v>8517</v>
      </c>
      <c r="C2786" s="8" t="n">
        <v>8645</v>
      </c>
      <c r="D2786" s="8" t="n">
        <v>8688</v>
      </c>
      <c r="E2786" s="8" t="n">
        <v>8457</v>
      </c>
      <c r="F2786" s="8" t="n">
        <v>700758</v>
      </c>
      <c r="G2786" s="8" t="n">
        <v>370952</v>
      </c>
      <c r="H2786" s="8" t="n">
        <v>8620</v>
      </c>
      <c r="I2786" s="8" t="n">
        <v>8700</v>
      </c>
      <c r="J2786" s="8" t="n">
        <v>8740</v>
      </c>
      <c r="K2786" s="8" t="n">
        <v>8540</v>
      </c>
      <c r="L2786" s="8" t="n">
        <v>357534</v>
      </c>
      <c r="M2786" s="8" t="n">
        <v>498346</v>
      </c>
      <c r="N2786" t="inlineStr">
        <is>
          <t>是</t>
        </is>
      </c>
    </row>
    <row r="2787">
      <c r="A2787" s="7" t="inlineStr">
        <is>
          <t>2018-12-21</t>
        </is>
      </c>
      <c r="B2787" s="8" t="n">
        <v>8444</v>
      </c>
      <c r="C2787" s="8" t="n">
        <v>8498</v>
      </c>
      <c r="D2787" s="8" t="n">
        <v>8546</v>
      </c>
      <c r="E2787" s="8" t="n">
        <v>8388</v>
      </c>
      <c r="F2787" s="8" t="n">
        <v>725962</v>
      </c>
      <c r="G2787" s="8" t="n">
        <v>383656</v>
      </c>
      <c r="H2787" s="8" t="n">
        <v>8605</v>
      </c>
      <c r="I2787" s="8" t="n">
        <v>8595</v>
      </c>
      <c r="J2787" s="8" t="n">
        <v>8630</v>
      </c>
      <c r="K2787" s="8" t="n">
        <v>8545</v>
      </c>
      <c r="L2787" s="8" t="n">
        <v>229704</v>
      </c>
      <c r="M2787" s="8" t="n">
        <v>504124</v>
      </c>
      <c r="N2787" t="inlineStr">
        <is>
          <t>是</t>
        </is>
      </c>
    </row>
    <row r="2788">
      <c r="A2788" s="7" t="inlineStr">
        <is>
          <t>2018-12-24</t>
        </is>
      </c>
      <c r="B2788" s="8" t="n">
        <v>8389</v>
      </c>
      <c r="C2788" s="8" t="n">
        <v>8410</v>
      </c>
      <c r="D2788" s="8" t="n">
        <v>8456</v>
      </c>
      <c r="E2788" s="8" t="n">
        <v>8348</v>
      </c>
      <c r="F2788" s="8" t="n">
        <v>506264</v>
      </c>
      <c r="G2788" s="8" t="n">
        <v>391734</v>
      </c>
      <c r="H2788" s="8" t="n">
        <v>8495</v>
      </c>
      <c r="I2788" s="8" t="n">
        <v>8560</v>
      </c>
      <c r="J2788" s="8" t="n">
        <v>8595</v>
      </c>
      <c r="K2788" s="8" t="n">
        <v>8485</v>
      </c>
      <c r="L2788" s="8" t="n">
        <v>278570</v>
      </c>
      <c r="M2788" s="8" t="n">
        <v>511618</v>
      </c>
      <c r="N2788" t="inlineStr">
        <is>
          <t>是</t>
        </is>
      </c>
    </row>
    <row r="2789">
      <c r="A2789" s="7" t="inlineStr">
        <is>
          <t>2018-12-25</t>
        </is>
      </c>
      <c r="B2789" s="8" t="n">
        <v>8313</v>
      </c>
      <c r="C2789" s="8" t="n">
        <v>8256</v>
      </c>
      <c r="D2789" s="8" t="n">
        <v>8357</v>
      </c>
      <c r="E2789" s="8" t="n">
        <v>8227</v>
      </c>
      <c r="F2789" s="8" t="n">
        <v>639546</v>
      </c>
      <c r="G2789" s="8" t="n">
        <v>436112</v>
      </c>
      <c r="H2789" s="8" t="n">
        <v>8440</v>
      </c>
      <c r="I2789" s="8" t="n">
        <v>8430</v>
      </c>
      <c r="J2789" s="8" t="n">
        <v>8460</v>
      </c>
      <c r="K2789" s="8" t="n">
        <v>8380</v>
      </c>
      <c r="L2789" s="8" t="n">
        <v>299048</v>
      </c>
      <c r="M2789" s="8" t="n">
        <v>497114</v>
      </c>
      <c r="N2789" t="inlineStr">
        <is>
          <t>是</t>
        </is>
      </c>
    </row>
    <row r="2790">
      <c r="A2790" s="7" t="inlineStr">
        <is>
          <t>2018-12-26</t>
        </is>
      </c>
      <c r="B2790" s="8" t="n">
        <v>8439</v>
      </c>
      <c r="C2790" s="8" t="n">
        <v>8333</v>
      </c>
      <c r="D2790" s="8" t="n">
        <v>8450</v>
      </c>
      <c r="E2790" s="8" t="n">
        <v>8312</v>
      </c>
      <c r="F2790" s="8" t="n">
        <v>571280</v>
      </c>
      <c r="G2790" s="8" t="n">
        <v>450202</v>
      </c>
      <c r="H2790" s="8" t="n">
        <v>8485</v>
      </c>
      <c r="I2790" s="8" t="n">
        <v>8455</v>
      </c>
      <c r="J2790" s="8" t="n">
        <v>8520</v>
      </c>
      <c r="K2790" s="8" t="n">
        <v>8430</v>
      </c>
      <c r="L2790" s="8" t="n">
        <v>224866</v>
      </c>
      <c r="M2790" s="8" t="n">
        <v>495536</v>
      </c>
      <c r="N2790" t="inlineStr">
        <is>
          <t>是</t>
        </is>
      </c>
    </row>
    <row r="2791">
      <c r="A2791" s="7" t="inlineStr">
        <is>
          <t>2018-12-27</t>
        </is>
      </c>
      <c r="B2791" s="8" t="n">
        <v>8540</v>
      </c>
      <c r="C2791" s="8" t="n">
        <v>8650</v>
      </c>
      <c r="D2791" s="8" t="n">
        <v>8650</v>
      </c>
      <c r="E2791" s="8" t="n">
        <v>8505</v>
      </c>
      <c r="F2791" s="8" t="n">
        <v>550656</v>
      </c>
      <c r="G2791" s="8" t="n">
        <v>437558</v>
      </c>
      <c r="H2791" s="8" t="n">
        <v>8570</v>
      </c>
      <c r="I2791" s="8" t="n">
        <v>8600</v>
      </c>
      <c r="J2791" s="8" t="n">
        <v>8620</v>
      </c>
      <c r="K2791" s="8" t="n">
        <v>8540</v>
      </c>
      <c r="L2791" s="8" t="n">
        <v>248718</v>
      </c>
      <c r="M2791" s="8" t="n">
        <v>487830</v>
      </c>
      <c r="N2791" t="inlineStr">
        <is>
          <t>是</t>
        </is>
      </c>
    </row>
    <row r="2792">
      <c r="A2792" s="7" t="inlineStr">
        <is>
          <t>2018-12-28</t>
        </is>
      </c>
      <c r="B2792" s="8" t="n">
        <v>8604</v>
      </c>
      <c r="C2792" s="8" t="n">
        <v>8550</v>
      </c>
      <c r="D2792" s="8" t="n">
        <v>8606</v>
      </c>
      <c r="E2792" s="8" t="n">
        <v>8485</v>
      </c>
      <c r="F2792" s="8" t="n">
        <v>510722</v>
      </c>
      <c r="G2792" s="8" t="n">
        <v>451958</v>
      </c>
      <c r="H2792" s="8" t="n">
        <v>8600</v>
      </c>
      <c r="I2792" s="8" t="n">
        <v>8550</v>
      </c>
      <c r="J2792" s="8" t="n">
        <v>8615</v>
      </c>
      <c r="K2792" s="8" t="n">
        <v>8540</v>
      </c>
      <c r="L2792" s="8" t="n">
        <v>194432</v>
      </c>
      <c r="M2792" s="8" t="n">
        <v>480752</v>
      </c>
      <c r="N2792" t="inlineStr">
        <is>
          <t>是</t>
        </is>
      </c>
    </row>
    <row r="2793">
      <c r="A2793" s="7" t="inlineStr">
        <is>
          <t>2019-01-02</t>
        </is>
      </c>
      <c r="B2793" s="8" t="n">
        <v>8471</v>
      </c>
      <c r="C2793" s="8" t="n">
        <v>8605</v>
      </c>
      <c r="D2793" s="8" t="n">
        <v>8642</v>
      </c>
      <c r="E2793" s="8" t="n">
        <v>8460</v>
      </c>
      <c r="F2793" s="8" t="n">
        <v>518442</v>
      </c>
      <c r="G2793" s="8" t="n">
        <v>457880</v>
      </c>
      <c r="H2793" s="8" t="n">
        <v>8490</v>
      </c>
      <c r="I2793" s="8" t="n">
        <v>8620</v>
      </c>
      <c r="J2793" s="8" t="n">
        <v>8625</v>
      </c>
      <c r="K2793" s="8" t="n">
        <v>8460</v>
      </c>
      <c r="L2793" s="8" t="n">
        <v>260384</v>
      </c>
      <c r="M2793" s="8" t="n">
        <v>498504</v>
      </c>
      <c r="N2793" t="inlineStr">
        <is>
          <t>是</t>
        </is>
      </c>
    </row>
    <row r="2794">
      <c r="A2794" s="7" t="inlineStr">
        <is>
          <t>2019-01-03</t>
        </is>
      </c>
      <c r="B2794" s="8" t="n">
        <v>8511</v>
      </c>
      <c r="C2794" s="8" t="n">
        <v>8524</v>
      </c>
      <c r="D2794" s="8" t="n">
        <v>8556</v>
      </c>
      <c r="E2794" s="8" t="n">
        <v>8483</v>
      </c>
      <c r="F2794" s="8" t="n">
        <v>437238</v>
      </c>
      <c r="G2794" s="8" t="n">
        <v>451202</v>
      </c>
      <c r="H2794" s="8" t="n">
        <v>8480</v>
      </c>
      <c r="I2794" s="8" t="n">
        <v>8540</v>
      </c>
      <c r="J2794" s="8" t="n">
        <v>8555</v>
      </c>
      <c r="K2794" s="8" t="n">
        <v>8450</v>
      </c>
      <c r="L2794" s="8" t="n">
        <v>226280</v>
      </c>
      <c r="M2794" s="8" t="n">
        <v>499578</v>
      </c>
      <c r="N2794" t="inlineStr">
        <is>
          <t>是</t>
        </is>
      </c>
    </row>
    <row r="2795">
      <c r="A2795" s="7" t="inlineStr">
        <is>
          <t>2019-01-04</t>
        </is>
      </c>
      <c r="B2795" s="8" t="n">
        <v>8707</v>
      </c>
      <c r="C2795" s="8" t="n">
        <v>8534</v>
      </c>
      <c r="D2795" s="8" t="n">
        <v>8720</v>
      </c>
      <c r="E2795" s="8" t="n">
        <v>8489</v>
      </c>
      <c r="F2795" s="8" t="n">
        <v>782810</v>
      </c>
      <c r="G2795" s="8" t="n">
        <v>462044</v>
      </c>
      <c r="H2795" s="8" t="n">
        <v>8645</v>
      </c>
      <c r="I2795" s="8" t="n">
        <v>8500</v>
      </c>
      <c r="J2795" s="8" t="n">
        <v>8650</v>
      </c>
      <c r="K2795" s="8" t="n">
        <v>8470</v>
      </c>
      <c r="L2795" s="8" t="n">
        <v>348942</v>
      </c>
      <c r="M2795" s="8" t="n">
        <v>470882</v>
      </c>
      <c r="N2795" t="inlineStr">
        <is>
          <t>是</t>
        </is>
      </c>
    </row>
    <row r="2796">
      <c r="A2796" s="7" t="inlineStr">
        <is>
          <t>2019-01-07</t>
        </is>
      </c>
      <c r="B2796" s="8" t="n">
        <v>8746</v>
      </c>
      <c r="C2796" s="8" t="n">
        <v>8726</v>
      </c>
      <c r="D2796" s="8" t="n">
        <v>8772</v>
      </c>
      <c r="E2796" s="8" t="n">
        <v>8686</v>
      </c>
      <c r="F2796" s="8" t="n">
        <v>483168</v>
      </c>
      <c r="G2796" s="8" t="n">
        <v>477702</v>
      </c>
      <c r="H2796" s="8" t="n">
        <v>8655</v>
      </c>
      <c r="I2796" s="8" t="n">
        <v>8655</v>
      </c>
      <c r="J2796" s="8" t="n">
        <v>8685</v>
      </c>
      <c r="K2796" s="8" t="n">
        <v>8620</v>
      </c>
      <c r="L2796" s="8" t="n">
        <v>263938</v>
      </c>
      <c r="M2796" s="8" t="n">
        <v>477070</v>
      </c>
      <c r="N2796" t="inlineStr">
        <is>
          <t>是</t>
        </is>
      </c>
    </row>
    <row r="2797">
      <c r="A2797" s="7" t="inlineStr">
        <is>
          <t>2019-01-08</t>
        </is>
      </c>
      <c r="B2797" s="8" t="n">
        <v>8618</v>
      </c>
      <c r="C2797" s="8" t="n">
        <v>8750</v>
      </c>
      <c r="D2797" s="8" t="n">
        <v>8778</v>
      </c>
      <c r="E2797" s="8" t="n">
        <v>8610</v>
      </c>
      <c r="F2797" s="8" t="n">
        <v>503310</v>
      </c>
      <c r="G2797" s="8" t="n">
        <v>466830</v>
      </c>
      <c r="H2797" s="8" t="n">
        <v>8595</v>
      </c>
      <c r="I2797" s="8" t="n">
        <v>8670</v>
      </c>
      <c r="J2797" s="8" t="n">
        <v>8675</v>
      </c>
      <c r="K2797" s="8" t="n">
        <v>8585</v>
      </c>
      <c r="L2797" s="8" t="n">
        <v>225704</v>
      </c>
      <c r="M2797" s="8" t="n">
        <v>485722</v>
      </c>
      <c r="N2797" t="inlineStr">
        <is>
          <t>是</t>
        </is>
      </c>
    </row>
    <row r="2798">
      <c r="A2798" s="7" t="inlineStr">
        <is>
          <t>2019-01-09</t>
        </is>
      </c>
      <c r="B2798" s="8" t="n">
        <v>8671</v>
      </c>
      <c r="C2798" s="8" t="n">
        <v>8663</v>
      </c>
      <c r="D2798" s="8" t="n">
        <v>8742</v>
      </c>
      <c r="E2798" s="8" t="n">
        <v>8651</v>
      </c>
      <c r="F2798" s="8" t="n">
        <v>516166</v>
      </c>
      <c r="G2798" s="8" t="n">
        <v>460958</v>
      </c>
      <c r="H2798" s="8" t="n">
        <v>8565</v>
      </c>
      <c r="I2798" s="8" t="n">
        <v>8620</v>
      </c>
      <c r="J2798" s="8" t="n">
        <v>8655</v>
      </c>
      <c r="K2798" s="8" t="n">
        <v>8565</v>
      </c>
      <c r="L2798" s="8" t="n">
        <v>274712</v>
      </c>
      <c r="M2798" s="8" t="n">
        <v>482814</v>
      </c>
      <c r="N2798" t="inlineStr">
        <is>
          <t>是</t>
        </is>
      </c>
    </row>
    <row r="2799">
      <c r="A2799" s="7" t="inlineStr">
        <is>
          <t>2019-01-10</t>
        </is>
      </c>
      <c r="B2799" s="8" t="n">
        <v>8621</v>
      </c>
      <c r="C2799" s="8" t="n">
        <v>8700</v>
      </c>
      <c r="D2799" s="8" t="n">
        <v>8714</v>
      </c>
      <c r="E2799" s="8" t="n">
        <v>8607</v>
      </c>
      <c r="F2799" s="8" t="n">
        <v>493192</v>
      </c>
      <c r="G2799" s="8" t="n">
        <v>452078</v>
      </c>
      <c r="H2799" s="8" t="n">
        <v>8535</v>
      </c>
      <c r="I2799" s="8" t="n">
        <v>8600</v>
      </c>
      <c r="J2799" s="8" t="n">
        <v>8610</v>
      </c>
      <c r="K2799" s="8" t="n">
        <v>8520</v>
      </c>
      <c r="L2799" s="8" t="n">
        <v>248736</v>
      </c>
      <c r="M2799" s="8" t="n">
        <v>481038</v>
      </c>
      <c r="N2799" t="inlineStr">
        <is>
          <t>是</t>
        </is>
      </c>
    </row>
    <row r="2800">
      <c r="A2800" s="7" t="inlineStr">
        <is>
          <t>2019-01-11</t>
        </is>
      </c>
      <c r="B2800" s="8" t="n">
        <v>8725</v>
      </c>
      <c r="C2800" s="8" t="n">
        <v>8621</v>
      </c>
      <c r="D2800" s="8" t="n">
        <v>8735</v>
      </c>
      <c r="E2800" s="8" t="n">
        <v>8595</v>
      </c>
      <c r="F2800" s="8" t="n">
        <v>520592</v>
      </c>
      <c r="G2800" s="8" t="n">
        <v>466754</v>
      </c>
      <c r="H2800" s="8" t="n">
        <v>8610</v>
      </c>
      <c r="I2800" s="8" t="n">
        <v>8540</v>
      </c>
      <c r="J2800" s="8" t="n">
        <v>8615</v>
      </c>
      <c r="K2800" s="8" t="n">
        <v>8525</v>
      </c>
      <c r="L2800" s="8" t="n">
        <v>212544</v>
      </c>
      <c r="M2800" s="8" t="n">
        <v>461500</v>
      </c>
      <c r="N2800" t="inlineStr">
        <is>
          <t>是</t>
        </is>
      </c>
    </row>
    <row r="2801">
      <c r="A2801" s="7" t="inlineStr">
        <is>
          <t>2019-01-14</t>
        </is>
      </c>
      <c r="B2801" s="8" t="n">
        <v>8585</v>
      </c>
      <c r="C2801" s="8" t="n">
        <v>8710</v>
      </c>
      <c r="D2801" s="8" t="n">
        <v>8750</v>
      </c>
      <c r="E2801" s="8" t="n">
        <v>8576</v>
      </c>
      <c r="F2801" s="8" t="n">
        <v>609344</v>
      </c>
      <c r="G2801" s="8" t="n">
        <v>458654</v>
      </c>
      <c r="H2801" s="8" t="n">
        <v>8580</v>
      </c>
      <c r="I2801" s="8" t="n">
        <v>8610</v>
      </c>
      <c r="J2801" s="8" t="n">
        <v>8645</v>
      </c>
      <c r="K2801" s="8" t="n">
        <v>8555</v>
      </c>
      <c r="L2801" s="8" t="n">
        <v>273570</v>
      </c>
      <c r="M2801" s="8" t="n">
        <v>462378</v>
      </c>
      <c r="N2801" t="inlineStr">
        <is>
          <t>是</t>
        </is>
      </c>
    </row>
    <row r="2802">
      <c r="A2802" s="7" t="inlineStr">
        <is>
          <t>2019-01-15</t>
        </is>
      </c>
      <c r="B2802" s="8" t="n">
        <v>8635</v>
      </c>
      <c r="C2802" s="8" t="n">
        <v>8560</v>
      </c>
      <c r="D2802" s="8" t="n">
        <v>8648</v>
      </c>
      <c r="E2802" s="8" t="n">
        <v>8550</v>
      </c>
      <c r="F2802" s="8" t="n">
        <v>451736</v>
      </c>
      <c r="G2802" s="8" t="n">
        <v>445492</v>
      </c>
      <c r="H2802" s="8" t="n">
        <v>8575</v>
      </c>
      <c r="I2802" s="8" t="n">
        <v>8585</v>
      </c>
      <c r="J2802" s="8" t="n">
        <v>8590</v>
      </c>
      <c r="K2802" s="8" t="n">
        <v>8535</v>
      </c>
      <c r="L2802" s="8" t="n">
        <v>208778</v>
      </c>
      <c r="M2802" s="8" t="n">
        <v>470146</v>
      </c>
      <c r="N2802" t="inlineStr">
        <is>
          <t>是</t>
        </is>
      </c>
    </row>
    <row r="2803">
      <c r="A2803" s="7" t="inlineStr">
        <is>
          <t>2019-01-16</t>
        </is>
      </c>
      <c r="B2803" s="8" t="n">
        <v>8776</v>
      </c>
      <c r="C2803" s="8" t="n">
        <v>8642</v>
      </c>
      <c r="D2803" s="8" t="n">
        <v>8785</v>
      </c>
      <c r="E2803" s="8" t="n">
        <v>8622</v>
      </c>
      <c r="F2803" s="8" t="n">
        <v>638830</v>
      </c>
      <c r="G2803" s="8" t="n">
        <v>486858</v>
      </c>
      <c r="H2803" s="8" t="n">
        <v>8655</v>
      </c>
      <c r="I2803" s="8" t="n">
        <v>8590</v>
      </c>
      <c r="J2803" s="8" t="n">
        <v>8695</v>
      </c>
      <c r="K2803" s="8" t="n">
        <v>8535</v>
      </c>
      <c r="L2803" s="8" t="n">
        <v>323388</v>
      </c>
      <c r="M2803" s="8" t="n">
        <v>452678</v>
      </c>
      <c r="N2803" t="inlineStr">
        <is>
          <t>是</t>
        </is>
      </c>
    </row>
    <row r="2804">
      <c r="A2804" s="7" t="inlineStr">
        <is>
          <t>2019-01-17</t>
        </is>
      </c>
      <c r="B2804" s="8" t="n">
        <v>8765</v>
      </c>
      <c r="C2804" s="8" t="n">
        <v>8763</v>
      </c>
      <c r="D2804" s="8" t="n">
        <v>8818</v>
      </c>
      <c r="E2804" s="8" t="n">
        <v>8742</v>
      </c>
      <c r="F2804" s="8" t="n">
        <v>517948</v>
      </c>
      <c r="G2804" s="8" t="n">
        <v>481314</v>
      </c>
      <c r="H2804" s="8" t="n">
        <v>8680</v>
      </c>
      <c r="I2804" s="8" t="n">
        <v>8655</v>
      </c>
      <c r="J2804" s="8" t="n">
        <v>8710</v>
      </c>
      <c r="K2804" s="8" t="n">
        <v>8640</v>
      </c>
      <c r="L2804" s="8" t="n">
        <v>241358</v>
      </c>
      <c r="M2804" s="8" t="n">
        <v>450530</v>
      </c>
      <c r="N2804" t="inlineStr">
        <is>
          <t>是</t>
        </is>
      </c>
    </row>
    <row r="2805">
      <c r="A2805" s="7" t="inlineStr">
        <is>
          <t>2019-01-18</t>
        </is>
      </c>
      <c r="B2805" s="8" t="n">
        <v>8866</v>
      </c>
      <c r="C2805" s="8" t="n">
        <v>8780</v>
      </c>
      <c r="D2805" s="8" t="n">
        <v>8899</v>
      </c>
      <c r="E2805" s="8" t="n">
        <v>8754</v>
      </c>
      <c r="F2805" s="8" t="n">
        <v>621038</v>
      </c>
      <c r="G2805" s="8" t="n">
        <v>499866</v>
      </c>
      <c r="H2805" s="8" t="n">
        <v>8780</v>
      </c>
      <c r="I2805" s="8" t="n">
        <v>8710</v>
      </c>
      <c r="J2805" s="8" t="n">
        <v>8785</v>
      </c>
      <c r="K2805" s="8" t="n">
        <v>8680</v>
      </c>
      <c r="L2805" s="8" t="n">
        <v>296648</v>
      </c>
      <c r="M2805" s="8" t="n">
        <v>451288</v>
      </c>
      <c r="N2805" t="inlineStr">
        <is>
          <t>是</t>
        </is>
      </c>
    </row>
    <row r="2806">
      <c r="A2806" s="7" t="inlineStr">
        <is>
          <t>2019-01-21</t>
        </is>
      </c>
      <c r="B2806" s="8" t="n">
        <v>8889</v>
      </c>
      <c r="C2806" s="8" t="n">
        <v>8920</v>
      </c>
      <c r="D2806" s="8" t="n">
        <v>8950</v>
      </c>
      <c r="E2806" s="8" t="n">
        <v>8840</v>
      </c>
      <c r="F2806" s="8" t="n">
        <v>594492</v>
      </c>
      <c r="G2806" s="8" t="n">
        <v>490266</v>
      </c>
      <c r="H2806" s="8" t="n">
        <v>8790</v>
      </c>
      <c r="I2806" s="8" t="n">
        <v>8810</v>
      </c>
      <c r="J2806" s="8" t="n">
        <v>8830</v>
      </c>
      <c r="K2806" s="8" t="n">
        <v>8740</v>
      </c>
      <c r="L2806" s="8" t="n">
        <v>312004</v>
      </c>
      <c r="M2806" s="8" t="n">
        <v>443932</v>
      </c>
      <c r="N2806" t="inlineStr">
        <is>
          <t>是</t>
        </is>
      </c>
    </row>
    <row r="2807">
      <c r="A2807" s="7" t="inlineStr">
        <is>
          <t>2019-01-22</t>
        </is>
      </c>
      <c r="B2807" s="8" t="n">
        <v>8772</v>
      </c>
      <c r="C2807" s="8" t="n">
        <v>8890</v>
      </c>
      <c r="D2807" s="8" t="n">
        <v>8986</v>
      </c>
      <c r="E2807" s="8" t="n">
        <v>8754</v>
      </c>
      <c r="F2807" s="8" t="n">
        <v>609490</v>
      </c>
      <c r="G2807" s="8" t="n">
        <v>466262</v>
      </c>
      <c r="H2807" s="8" t="n">
        <v>8695</v>
      </c>
      <c r="I2807" s="8" t="n">
        <v>8800</v>
      </c>
      <c r="J2807" s="8" t="n">
        <v>8830</v>
      </c>
      <c r="K2807" s="8" t="n">
        <v>8690</v>
      </c>
      <c r="L2807" s="8" t="n">
        <v>322594</v>
      </c>
      <c r="M2807" s="8" t="n">
        <v>435312</v>
      </c>
      <c r="N2807" t="inlineStr">
        <is>
          <t>是</t>
        </is>
      </c>
    </row>
    <row r="2808">
      <c r="A2808" s="7" t="inlineStr">
        <is>
          <t>2019-01-23</t>
        </is>
      </c>
      <c r="B2808" s="8" t="n">
        <v>8820</v>
      </c>
      <c r="C2808" s="8" t="n">
        <v>8752</v>
      </c>
      <c r="D2808" s="8" t="n">
        <v>8832</v>
      </c>
      <c r="E2808" s="8" t="n">
        <v>8728</v>
      </c>
      <c r="F2808" s="8" t="n">
        <v>353286</v>
      </c>
      <c r="G2808" s="8" t="n">
        <v>466730</v>
      </c>
      <c r="H2808" s="8" t="n">
        <v>8725</v>
      </c>
      <c r="I2808" s="8" t="n">
        <v>8690</v>
      </c>
      <c r="J2808" s="8" t="n">
        <v>8735</v>
      </c>
      <c r="K2808" s="8" t="n">
        <v>8660</v>
      </c>
      <c r="L2808" s="8" t="n">
        <v>191404</v>
      </c>
      <c r="M2808" s="8" t="n">
        <v>428094</v>
      </c>
      <c r="N2808" t="inlineStr">
        <is>
          <t>是</t>
        </is>
      </c>
    </row>
    <row r="2809">
      <c r="A2809" s="7" t="inlineStr">
        <is>
          <t>2019-01-24</t>
        </is>
      </c>
      <c r="B2809" s="8" t="n">
        <v>8765</v>
      </c>
      <c r="C2809" s="8" t="n">
        <v>8792</v>
      </c>
      <c r="D2809" s="8" t="n">
        <v>8816</v>
      </c>
      <c r="E2809" s="8" t="n">
        <v>8696</v>
      </c>
      <c r="F2809" s="8" t="n">
        <v>400212</v>
      </c>
      <c r="G2809" s="8" t="n">
        <v>453750</v>
      </c>
      <c r="H2809" s="8" t="n">
        <v>8685</v>
      </c>
      <c r="I2809" s="8" t="n">
        <v>8735</v>
      </c>
      <c r="J2809" s="8" t="n">
        <v>8735</v>
      </c>
      <c r="K2809" s="8" t="n">
        <v>8640</v>
      </c>
      <c r="L2809" s="8" t="n">
        <v>201706</v>
      </c>
      <c r="M2809" s="8" t="n">
        <v>431540</v>
      </c>
      <c r="N2809" t="inlineStr">
        <is>
          <t>是</t>
        </is>
      </c>
    </row>
    <row r="2810">
      <c r="A2810" s="7" t="inlineStr">
        <is>
          <t>2019-01-25</t>
        </is>
      </c>
      <c r="B2810" s="8" t="n">
        <v>8730</v>
      </c>
      <c r="C2810" s="8" t="n">
        <v>8806</v>
      </c>
      <c r="D2810" s="8" t="n">
        <v>8874</v>
      </c>
      <c r="E2810" s="8" t="n">
        <v>8718</v>
      </c>
      <c r="F2810" s="8" t="n">
        <v>559556</v>
      </c>
      <c r="G2810" s="8" t="n">
        <v>466004</v>
      </c>
      <c r="H2810" s="8" t="n">
        <v>8700</v>
      </c>
      <c r="I2810" s="8" t="n">
        <v>8700</v>
      </c>
      <c r="J2810" s="8" t="n">
        <v>8770</v>
      </c>
      <c r="K2810" s="8" t="n">
        <v>8690</v>
      </c>
      <c r="L2810" s="8" t="n">
        <v>253122</v>
      </c>
      <c r="M2810" s="8" t="n">
        <v>430648</v>
      </c>
      <c r="N2810" t="inlineStr">
        <is>
          <t>是</t>
        </is>
      </c>
    </row>
    <row r="2811">
      <c r="A2811" s="7" t="inlineStr">
        <is>
          <t>2019-01-28</t>
        </is>
      </c>
      <c r="B2811" s="8" t="n">
        <v>8739</v>
      </c>
      <c r="C2811" s="8" t="n">
        <v>8751</v>
      </c>
      <c r="D2811" s="8" t="n">
        <v>8807</v>
      </c>
      <c r="E2811" s="8" t="n">
        <v>8701</v>
      </c>
      <c r="F2811" s="8" t="n">
        <v>399458</v>
      </c>
      <c r="G2811" s="8" t="n">
        <v>452766</v>
      </c>
      <c r="H2811" s="8" t="n">
        <v>8665</v>
      </c>
      <c r="I2811" s="8" t="n">
        <v>8720</v>
      </c>
      <c r="J2811" s="8" t="n">
        <v>8730</v>
      </c>
      <c r="K2811" s="8" t="n">
        <v>8655</v>
      </c>
      <c r="L2811" s="8" t="n">
        <v>194588</v>
      </c>
      <c r="M2811" s="8" t="n">
        <v>429926</v>
      </c>
      <c r="N2811" t="inlineStr">
        <is>
          <t>是</t>
        </is>
      </c>
    </row>
    <row r="2812">
      <c r="A2812" s="7" t="inlineStr">
        <is>
          <t>2019-01-29</t>
        </is>
      </c>
      <c r="B2812" s="8" t="n">
        <v>8630</v>
      </c>
      <c r="C2812" s="8" t="n">
        <v>8700</v>
      </c>
      <c r="D2812" s="8" t="n">
        <v>8716</v>
      </c>
      <c r="E2812" s="8" t="n">
        <v>8620</v>
      </c>
      <c r="F2812" s="8" t="n">
        <v>503078</v>
      </c>
      <c r="G2812" s="8" t="n">
        <v>449940</v>
      </c>
      <c r="H2812" s="8" t="n">
        <v>8610</v>
      </c>
      <c r="I2812" s="8" t="n">
        <v>8640</v>
      </c>
      <c r="J2812" s="8" t="n">
        <v>8655</v>
      </c>
      <c r="K2812" s="8" t="n">
        <v>8580</v>
      </c>
      <c r="L2812" s="8" t="n">
        <v>236234</v>
      </c>
      <c r="M2812" s="8" t="n">
        <v>412566</v>
      </c>
      <c r="N2812" t="inlineStr">
        <is>
          <t>是</t>
        </is>
      </c>
    </row>
    <row r="2813">
      <c r="A2813" s="7" t="inlineStr">
        <is>
          <t>2019-01-30</t>
        </is>
      </c>
      <c r="B2813" s="8" t="n">
        <v>8825</v>
      </c>
      <c r="C2813" s="8" t="n">
        <v>8664</v>
      </c>
      <c r="D2813" s="8" t="n">
        <v>8869</v>
      </c>
      <c r="E2813" s="8" t="n">
        <v>8663</v>
      </c>
      <c r="F2813" s="8" t="n">
        <v>627662</v>
      </c>
      <c r="G2813" s="8" t="n">
        <v>447528</v>
      </c>
      <c r="H2813" s="8" t="n">
        <v>8735</v>
      </c>
      <c r="I2813" s="8" t="n">
        <v>8625</v>
      </c>
      <c r="J2813" s="8" t="n">
        <v>8785</v>
      </c>
      <c r="K2813" s="8" t="n">
        <v>8620</v>
      </c>
      <c r="L2813" s="8" t="n">
        <v>347332</v>
      </c>
      <c r="M2813" s="8" t="n">
        <v>401668</v>
      </c>
      <c r="N2813" t="inlineStr">
        <is>
          <t>是</t>
        </is>
      </c>
    </row>
    <row r="2814">
      <c r="A2814" s="7" t="inlineStr">
        <is>
          <t>2019-01-31</t>
        </is>
      </c>
      <c r="B2814" s="8" t="n">
        <v>8863</v>
      </c>
      <c r="C2814" s="8" t="n">
        <v>8852</v>
      </c>
      <c r="D2814" s="8" t="n">
        <v>8900</v>
      </c>
      <c r="E2814" s="8" t="n">
        <v>8806</v>
      </c>
      <c r="F2814" s="8" t="n">
        <v>380046</v>
      </c>
      <c r="G2814" s="8" t="n">
        <v>425556</v>
      </c>
      <c r="H2814" s="8" t="n">
        <v>8785</v>
      </c>
      <c r="I2814" s="8" t="n">
        <v>8770</v>
      </c>
      <c r="J2814" s="8" t="n">
        <v>8800</v>
      </c>
      <c r="K2814" s="8" t="n">
        <v>8745</v>
      </c>
      <c r="L2814" s="8" t="n">
        <v>172622</v>
      </c>
      <c r="M2814" s="8" t="n">
        <v>397968</v>
      </c>
      <c r="N2814" t="inlineStr">
        <is>
          <t>是</t>
        </is>
      </c>
    </row>
    <row r="2815">
      <c r="A2815" s="7" t="inlineStr">
        <is>
          <t>2019-02-01</t>
        </is>
      </c>
      <c r="B2815" s="8" t="n">
        <v>8895</v>
      </c>
      <c r="C2815" s="8" t="n">
        <v>8866</v>
      </c>
      <c r="D2815" s="8" t="n">
        <v>8920</v>
      </c>
      <c r="E2815" s="8" t="n">
        <v>8812</v>
      </c>
      <c r="F2815" s="8" t="n">
        <v>324720</v>
      </c>
      <c r="G2815" s="8" t="n">
        <v>405598</v>
      </c>
      <c r="H2815" s="8" t="n">
        <v>8780</v>
      </c>
      <c r="I2815" s="8" t="n">
        <v>8745</v>
      </c>
      <c r="J2815" s="8" t="n">
        <v>8815</v>
      </c>
      <c r="K2815" s="8" t="n">
        <v>8745</v>
      </c>
      <c r="L2815" s="8" t="n">
        <v>172324</v>
      </c>
      <c r="M2815" s="8" t="n">
        <v>391366</v>
      </c>
      <c r="N2815" t="inlineStr">
        <is>
          <t>是</t>
        </is>
      </c>
    </row>
    <row r="2816">
      <c r="A2816" s="7" t="inlineStr">
        <is>
          <t>2019-02-11</t>
        </is>
      </c>
      <c r="B2816" s="8" t="n">
        <v>8757</v>
      </c>
      <c r="C2816" s="8" t="n">
        <v>8880</v>
      </c>
      <c r="D2816" s="8" t="n">
        <v>8929</v>
      </c>
      <c r="E2816" s="8" t="n">
        <v>8715</v>
      </c>
      <c r="F2816" s="8" t="n">
        <v>453344</v>
      </c>
      <c r="G2816" s="8" t="n">
        <v>386610</v>
      </c>
      <c r="H2816" s="8" t="n">
        <v>8585</v>
      </c>
      <c r="I2816" s="8" t="n">
        <v>8775</v>
      </c>
      <c r="J2816" s="8" t="n">
        <v>8810</v>
      </c>
      <c r="K2816" s="8" t="n">
        <v>8565</v>
      </c>
      <c r="L2816" s="8" t="n">
        <v>338078</v>
      </c>
      <c r="M2816" s="8" t="n">
        <v>411814</v>
      </c>
      <c r="N2816" t="inlineStr">
        <is>
          <t>是</t>
        </is>
      </c>
    </row>
    <row r="2817">
      <c r="A2817" s="7" t="inlineStr">
        <is>
          <t>2019-02-12</t>
        </is>
      </c>
      <c r="B2817" s="8" t="n">
        <v>8740</v>
      </c>
      <c r="C2817" s="8" t="n">
        <v>8770</v>
      </c>
      <c r="D2817" s="8" t="n">
        <v>8800</v>
      </c>
      <c r="E2817" s="8" t="n">
        <v>8723</v>
      </c>
      <c r="F2817" s="8" t="n">
        <v>345144</v>
      </c>
      <c r="G2817" s="8" t="n">
        <v>398714</v>
      </c>
      <c r="H2817" s="8" t="n">
        <v>8595</v>
      </c>
      <c r="I2817" s="8" t="n">
        <v>8605</v>
      </c>
      <c r="J2817" s="8" t="n">
        <v>8635</v>
      </c>
      <c r="K2817" s="8" t="n">
        <v>8580</v>
      </c>
      <c r="L2817" s="8" t="n">
        <v>211340</v>
      </c>
      <c r="M2817" s="8" t="n">
        <v>431472</v>
      </c>
      <c r="N2817" t="inlineStr">
        <is>
          <t>是</t>
        </is>
      </c>
    </row>
    <row r="2818">
      <c r="A2818" s="7" t="inlineStr">
        <is>
          <t>2019-02-13</t>
        </is>
      </c>
      <c r="B2818" s="8" t="n">
        <v>8618</v>
      </c>
      <c r="C2818" s="8" t="n">
        <v>8710</v>
      </c>
      <c r="D2818" s="8" t="n">
        <v>8750</v>
      </c>
      <c r="E2818" s="8" t="n">
        <v>8582</v>
      </c>
      <c r="F2818" s="8" t="n">
        <v>491538</v>
      </c>
      <c r="G2818" s="8" t="n">
        <v>420716</v>
      </c>
      <c r="H2818" s="8" t="n">
        <v>8490</v>
      </c>
      <c r="I2818" s="8" t="n">
        <v>8585</v>
      </c>
      <c r="J2818" s="8" t="n">
        <v>8595</v>
      </c>
      <c r="K2818" s="8" t="n">
        <v>8485</v>
      </c>
      <c r="L2818" s="8" t="n">
        <v>303744</v>
      </c>
      <c r="M2818" s="8" t="n">
        <v>455446</v>
      </c>
      <c r="N2818" t="inlineStr">
        <is>
          <t>是</t>
        </is>
      </c>
    </row>
    <row r="2819">
      <c r="A2819" s="7" t="inlineStr">
        <is>
          <t>2019-02-14</t>
        </is>
      </c>
      <c r="B2819" s="8" t="n">
        <v>8673</v>
      </c>
      <c r="C2819" s="8" t="n">
        <v>8620</v>
      </c>
      <c r="D2819" s="8" t="n">
        <v>8689</v>
      </c>
      <c r="E2819" s="8" t="n">
        <v>8605</v>
      </c>
      <c r="F2819" s="8" t="n">
        <v>341572</v>
      </c>
      <c r="G2819" s="8" t="n">
        <v>417634</v>
      </c>
      <c r="H2819" s="8" t="n">
        <v>8565</v>
      </c>
      <c r="I2819" s="8" t="n">
        <v>8500</v>
      </c>
      <c r="J2819" s="8" t="n">
        <v>8575</v>
      </c>
      <c r="K2819" s="8" t="n">
        <v>8490</v>
      </c>
      <c r="L2819" s="8" t="n">
        <v>193980</v>
      </c>
      <c r="M2819" s="8" t="n">
        <v>445594</v>
      </c>
      <c r="N2819" t="inlineStr">
        <is>
          <t>是</t>
        </is>
      </c>
    </row>
    <row r="2820">
      <c r="A2820" s="7" t="inlineStr">
        <is>
          <t>2019-02-15</t>
        </is>
      </c>
      <c r="B2820" s="8" t="n">
        <v>8608</v>
      </c>
      <c r="C2820" s="8" t="n">
        <v>8640</v>
      </c>
      <c r="D2820" s="8" t="n">
        <v>8707</v>
      </c>
      <c r="E2820" s="8" t="n">
        <v>8593</v>
      </c>
      <c r="F2820" s="8" t="n">
        <v>468984</v>
      </c>
      <c r="G2820" s="8" t="n">
        <v>416992</v>
      </c>
      <c r="H2820" s="8" t="n">
        <v>8505</v>
      </c>
      <c r="I2820" s="8" t="n">
        <v>8560</v>
      </c>
      <c r="J2820" s="8" t="n">
        <v>8585</v>
      </c>
      <c r="K2820" s="8" t="n">
        <v>8445</v>
      </c>
      <c r="L2820" s="8" t="n">
        <v>276054</v>
      </c>
      <c r="M2820" s="8" t="n">
        <v>456932</v>
      </c>
      <c r="N2820" t="inlineStr">
        <is>
          <t>是</t>
        </is>
      </c>
    </row>
    <row r="2821">
      <c r="A2821" s="7" t="inlineStr">
        <is>
          <t>2019-02-18</t>
        </is>
      </c>
      <c r="B2821" s="8" t="n">
        <v>8643</v>
      </c>
      <c r="C2821" s="8" t="n">
        <v>8690</v>
      </c>
      <c r="D2821" s="8" t="n">
        <v>8724</v>
      </c>
      <c r="E2821" s="8" t="n">
        <v>8565</v>
      </c>
      <c r="F2821" s="8" t="n">
        <v>502400</v>
      </c>
      <c r="G2821" s="8" t="n">
        <v>425686</v>
      </c>
      <c r="H2821" s="8" t="n">
        <v>8535</v>
      </c>
      <c r="I2821" s="8" t="n">
        <v>8550</v>
      </c>
      <c r="J2821" s="8" t="n">
        <v>8575</v>
      </c>
      <c r="K2821" s="8" t="n">
        <v>8480</v>
      </c>
      <c r="L2821" s="8" t="n">
        <v>248124</v>
      </c>
      <c r="M2821" s="8" t="n">
        <v>451844</v>
      </c>
      <c r="N2821" t="inlineStr">
        <is>
          <t>是</t>
        </is>
      </c>
    </row>
    <row r="2822">
      <c r="A2822" s="7" t="inlineStr">
        <is>
          <t>2019-02-19</t>
        </is>
      </c>
      <c r="B2822" s="8" t="n">
        <v>8822</v>
      </c>
      <c r="C2822" s="8" t="n">
        <v>8666</v>
      </c>
      <c r="D2822" s="8" t="n">
        <v>8828</v>
      </c>
      <c r="E2822" s="8" t="n">
        <v>8626</v>
      </c>
      <c r="F2822" s="8" t="n">
        <v>578012</v>
      </c>
      <c r="G2822" s="8" t="n">
        <v>460530</v>
      </c>
      <c r="H2822" s="8" t="n">
        <v>8695</v>
      </c>
      <c r="I2822" s="8" t="n">
        <v>8555</v>
      </c>
      <c r="J2822" s="8" t="n">
        <v>8700</v>
      </c>
      <c r="K2822" s="8" t="n">
        <v>8535</v>
      </c>
      <c r="L2822" s="8" t="n">
        <v>325832</v>
      </c>
      <c r="M2822" s="8" t="n">
        <v>430532</v>
      </c>
      <c r="N2822" t="inlineStr">
        <is>
          <t>是</t>
        </is>
      </c>
    </row>
    <row r="2823">
      <c r="A2823" s="7" t="inlineStr">
        <is>
          <t>2019-02-20</t>
        </is>
      </c>
      <c r="B2823" s="8" t="n">
        <v>8832</v>
      </c>
      <c r="C2823" s="8" t="n">
        <v>8820</v>
      </c>
      <c r="D2823" s="8" t="n">
        <v>8844</v>
      </c>
      <c r="E2823" s="8" t="n">
        <v>8772</v>
      </c>
      <c r="F2823" s="8" t="n">
        <v>399794</v>
      </c>
      <c r="G2823" s="8" t="n">
        <v>448124</v>
      </c>
      <c r="H2823" s="8" t="n">
        <v>8730</v>
      </c>
      <c r="I2823" s="8" t="n">
        <v>8700</v>
      </c>
      <c r="J2823" s="8" t="n">
        <v>8750</v>
      </c>
      <c r="K2823" s="8" t="n">
        <v>8670</v>
      </c>
      <c r="L2823" s="8" t="n">
        <v>246556</v>
      </c>
      <c r="M2823" s="8" t="n">
        <v>429318</v>
      </c>
      <c r="N2823" t="inlineStr">
        <is>
          <t>是</t>
        </is>
      </c>
    </row>
    <row r="2824">
      <c r="A2824" s="7" t="inlineStr">
        <is>
          <t>2019-02-21</t>
        </is>
      </c>
      <c r="B2824" s="8" t="n">
        <v>8809</v>
      </c>
      <c r="C2824" s="8" t="n">
        <v>8880</v>
      </c>
      <c r="D2824" s="8" t="n">
        <v>8889</v>
      </c>
      <c r="E2824" s="8" t="n">
        <v>8770</v>
      </c>
      <c r="F2824" s="8" t="n">
        <v>425764</v>
      </c>
      <c r="G2824" s="8" t="n">
        <v>444264</v>
      </c>
      <c r="H2824" s="8" t="n">
        <v>8690</v>
      </c>
      <c r="I2824" s="8" t="n">
        <v>8765</v>
      </c>
      <c r="J2824" s="8" t="n">
        <v>8770</v>
      </c>
      <c r="K2824" s="8" t="n">
        <v>8660</v>
      </c>
      <c r="L2824" s="8" t="n">
        <v>217030</v>
      </c>
      <c r="M2824" s="8" t="n">
        <v>423114</v>
      </c>
      <c r="N2824" t="inlineStr">
        <is>
          <t>是</t>
        </is>
      </c>
    </row>
    <row r="2825">
      <c r="A2825" s="7" t="inlineStr">
        <is>
          <t>2019-02-22</t>
        </is>
      </c>
      <c r="B2825" s="8" t="n">
        <v>8784</v>
      </c>
      <c r="C2825" s="8" t="n">
        <v>8800</v>
      </c>
      <c r="D2825" s="8" t="n">
        <v>8835</v>
      </c>
      <c r="E2825" s="8" t="n">
        <v>8767</v>
      </c>
      <c r="F2825" s="8" t="n">
        <v>321180</v>
      </c>
      <c r="G2825" s="8" t="n">
        <v>430286</v>
      </c>
      <c r="H2825" s="8" t="n">
        <v>8705</v>
      </c>
      <c r="I2825" s="8" t="n">
        <v>8685</v>
      </c>
      <c r="J2825" s="8" t="n">
        <v>8730</v>
      </c>
      <c r="K2825" s="8" t="n">
        <v>8680</v>
      </c>
      <c r="L2825" s="8" t="n">
        <v>153114</v>
      </c>
      <c r="M2825" s="8" t="n">
        <v>424890</v>
      </c>
      <c r="N2825" t="inlineStr">
        <is>
          <t>是</t>
        </is>
      </c>
    </row>
    <row r="2826">
      <c r="A2826" s="7" t="inlineStr">
        <is>
          <t>2019-02-25</t>
        </is>
      </c>
      <c r="B2826" s="8" t="n">
        <v>8691</v>
      </c>
      <c r="C2826" s="8" t="n">
        <v>8775</v>
      </c>
      <c r="D2826" s="8" t="n">
        <v>8816</v>
      </c>
      <c r="E2826" s="8" t="n">
        <v>8691</v>
      </c>
      <c r="F2826" s="8" t="n">
        <v>470702</v>
      </c>
      <c r="G2826" s="8" t="n">
        <v>437852</v>
      </c>
      <c r="H2826" s="8" t="n">
        <v>8635</v>
      </c>
      <c r="I2826" s="8" t="n">
        <v>8710</v>
      </c>
      <c r="J2826" s="8" t="n">
        <v>8725</v>
      </c>
      <c r="K2826" s="8" t="n">
        <v>8625</v>
      </c>
      <c r="L2826" s="8" t="n">
        <v>196932</v>
      </c>
      <c r="M2826" s="8" t="n">
        <v>424058</v>
      </c>
      <c r="N2826" t="inlineStr">
        <is>
          <t>是</t>
        </is>
      </c>
    </row>
    <row r="2827">
      <c r="A2827" s="7" t="inlineStr">
        <is>
          <t>2019-02-26</t>
        </is>
      </c>
      <c r="B2827" s="8" t="n">
        <v>8787</v>
      </c>
      <c r="C2827" s="8" t="n">
        <v>8648</v>
      </c>
      <c r="D2827" s="8" t="n">
        <v>8787</v>
      </c>
      <c r="E2827" s="8" t="n">
        <v>8641</v>
      </c>
      <c r="F2827" s="8" t="n">
        <v>370020</v>
      </c>
      <c r="G2827" s="8" t="n">
        <v>426450</v>
      </c>
      <c r="H2827" s="8" t="n">
        <v>8690</v>
      </c>
      <c r="I2827" s="8" t="n">
        <v>8615</v>
      </c>
      <c r="J2827" s="8" t="n">
        <v>8690</v>
      </c>
      <c r="K2827" s="8" t="n">
        <v>8595</v>
      </c>
      <c r="L2827" s="8" t="n">
        <v>156712</v>
      </c>
      <c r="M2827" s="8" t="n">
        <v>416104</v>
      </c>
      <c r="N2827" t="inlineStr">
        <is>
          <t>是</t>
        </is>
      </c>
    </row>
    <row r="2828">
      <c r="A2828" s="7" t="inlineStr">
        <is>
          <t>2019-02-27</t>
        </is>
      </c>
      <c r="B2828" s="8" t="n">
        <v>8680</v>
      </c>
      <c r="C2828" s="8" t="n">
        <v>8787</v>
      </c>
      <c r="D2828" s="8" t="n">
        <v>8800</v>
      </c>
      <c r="E2828" s="8" t="n">
        <v>8663</v>
      </c>
      <c r="F2828" s="8" t="n">
        <v>346006</v>
      </c>
      <c r="G2828" s="8" t="n">
        <v>417308</v>
      </c>
      <c r="H2828" s="8" t="n">
        <v>8615</v>
      </c>
      <c r="I2828" s="8" t="n">
        <v>8695</v>
      </c>
      <c r="J2828" s="8" t="n">
        <v>8700</v>
      </c>
      <c r="K2828" s="8" t="n">
        <v>8590</v>
      </c>
      <c r="L2828" s="8" t="n">
        <v>173884</v>
      </c>
      <c r="M2828" s="8" t="n">
        <v>416412</v>
      </c>
      <c r="N2828" t="inlineStr">
        <is>
          <t>是</t>
        </is>
      </c>
    </row>
    <row r="2829">
      <c r="A2829" s="7" t="inlineStr">
        <is>
          <t>2019-02-28</t>
        </is>
      </c>
      <c r="B2829" s="8" t="n">
        <v>8657</v>
      </c>
      <c r="C2829" s="8" t="n">
        <v>8690</v>
      </c>
      <c r="D2829" s="8" t="n">
        <v>8723</v>
      </c>
      <c r="E2829" s="8" t="n">
        <v>8621</v>
      </c>
      <c r="F2829" s="8" t="n">
        <v>440016</v>
      </c>
      <c r="G2829" s="8" t="n">
        <v>423792</v>
      </c>
      <c r="H2829" s="8" t="n">
        <v>8580</v>
      </c>
      <c r="I2829" s="8" t="n">
        <v>8635</v>
      </c>
      <c r="J2829" s="8" t="n">
        <v>8635</v>
      </c>
      <c r="K2829" s="8" t="n">
        <v>8555</v>
      </c>
      <c r="L2829" s="8" t="n">
        <v>222262</v>
      </c>
      <c r="M2829" s="8" t="n">
        <v>413566</v>
      </c>
      <c r="N2829" t="inlineStr">
        <is>
          <t>是</t>
        </is>
      </c>
    </row>
    <row r="2830">
      <c r="A2830" s="7" t="inlineStr">
        <is>
          <t>2019-03-01</t>
        </is>
      </c>
      <c r="B2830" s="8" t="n">
        <v>8849</v>
      </c>
      <c r="C2830" s="8" t="n">
        <v>8688</v>
      </c>
      <c r="D2830" s="8" t="n">
        <v>8850</v>
      </c>
      <c r="E2830" s="8" t="n">
        <v>8650</v>
      </c>
      <c r="F2830" s="8" t="n">
        <v>591958</v>
      </c>
      <c r="G2830" s="8" t="n">
        <v>434818</v>
      </c>
      <c r="H2830" s="8" t="n">
        <v>8730</v>
      </c>
      <c r="I2830" s="8" t="n">
        <v>8605</v>
      </c>
      <c r="J2830" s="8" t="n">
        <v>8735</v>
      </c>
      <c r="K2830" s="8" t="n">
        <v>8570</v>
      </c>
      <c r="L2830" s="8" t="n">
        <v>301364</v>
      </c>
      <c r="M2830" s="8" t="n">
        <v>415116</v>
      </c>
      <c r="N2830" t="inlineStr">
        <is>
          <t>是</t>
        </is>
      </c>
    </row>
    <row r="2831">
      <c r="A2831" s="7" t="inlineStr">
        <is>
          <t>2019-03-04</t>
        </is>
      </c>
      <c r="B2831" s="8" t="n">
        <v>8936</v>
      </c>
      <c r="C2831" s="8" t="n">
        <v>8804</v>
      </c>
      <c r="D2831" s="8" t="n">
        <v>8962</v>
      </c>
      <c r="E2831" s="8" t="n">
        <v>8801</v>
      </c>
      <c r="F2831" s="8" t="n">
        <v>636758</v>
      </c>
      <c r="G2831" s="8" t="n">
        <v>456880</v>
      </c>
      <c r="H2831" s="8" t="n">
        <v>8750</v>
      </c>
      <c r="I2831" s="8" t="n">
        <v>8705</v>
      </c>
      <c r="J2831" s="8" t="n">
        <v>8820</v>
      </c>
      <c r="K2831" s="8" t="n">
        <v>8685</v>
      </c>
      <c r="L2831" s="8" t="n">
        <v>386054</v>
      </c>
      <c r="M2831" s="8" t="n">
        <v>399744</v>
      </c>
      <c r="N2831" t="inlineStr">
        <is>
          <t>是</t>
        </is>
      </c>
    </row>
    <row r="2832">
      <c r="A2832" s="7" t="inlineStr">
        <is>
          <t>2019-03-05</t>
        </is>
      </c>
      <c r="B2832" s="8" t="n">
        <v>8895</v>
      </c>
      <c r="C2832" s="8" t="n">
        <v>8900</v>
      </c>
      <c r="D2832" s="8" t="n">
        <v>8928</v>
      </c>
      <c r="E2832" s="8" t="n">
        <v>8862</v>
      </c>
      <c r="F2832" s="8" t="n">
        <v>377442</v>
      </c>
      <c r="G2832" s="8" t="n">
        <v>437454</v>
      </c>
      <c r="H2832" s="8" t="n">
        <v>8720</v>
      </c>
      <c r="I2832" s="8" t="n">
        <v>8745</v>
      </c>
      <c r="J2832" s="8" t="n">
        <v>8770</v>
      </c>
      <c r="K2832" s="8" t="n">
        <v>8715</v>
      </c>
      <c r="L2832" s="8" t="n">
        <v>219242</v>
      </c>
      <c r="M2832" s="8" t="n">
        <v>377610</v>
      </c>
      <c r="N2832" t="inlineStr">
        <is>
          <t>是</t>
        </is>
      </c>
    </row>
    <row r="2833">
      <c r="A2833" s="7" t="inlineStr">
        <is>
          <t>2019-03-06</t>
        </is>
      </c>
      <c r="B2833" s="8" t="n">
        <v>8927</v>
      </c>
      <c r="C2833" s="8" t="n">
        <v>8860</v>
      </c>
      <c r="D2833" s="8" t="n">
        <v>8975</v>
      </c>
      <c r="E2833" s="8" t="n">
        <v>8848</v>
      </c>
      <c r="F2833" s="8" t="n">
        <v>524350</v>
      </c>
      <c r="G2833" s="8" t="n">
        <v>443466</v>
      </c>
      <c r="H2833" s="8" t="n">
        <v>8785</v>
      </c>
      <c r="I2833" s="8" t="n">
        <v>8700</v>
      </c>
      <c r="J2833" s="8" t="n">
        <v>8790</v>
      </c>
      <c r="K2833" s="8" t="n">
        <v>8700</v>
      </c>
      <c r="L2833" s="8" t="n">
        <v>225526</v>
      </c>
      <c r="M2833" s="8" t="n">
        <v>380286</v>
      </c>
      <c r="N2833" t="inlineStr">
        <is>
          <t>是</t>
        </is>
      </c>
    </row>
    <row r="2834">
      <c r="A2834" s="7" t="inlineStr">
        <is>
          <t>2019-03-07</t>
        </is>
      </c>
      <c r="B2834" s="8" t="n">
        <v>8808</v>
      </c>
      <c r="C2834" s="8" t="n">
        <v>8908</v>
      </c>
      <c r="D2834" s="8" t="n">
        <v>8924</v>
      </c>
      <c r="E2834" s="8" t="n">
        <v>8805</v>
      </c>
      <c r="F2834" s="8" t="n">
        <v>416434</v>
      </c>
      <c r="G2834" s="8" t="n">
        <v>406506</v>
      </c>
      <c r="H2834" s="8" t="n">
        <v>8710</v>
      </c>
      <c r="I2834" s="8" t="n">
        <v>8780</v>
      </c>
      <c r="J2834" s="8" t="n">
        <v>8795</v>
      </c>
      <c r="K2834" s="8" t="n">
        <v>8705</v>
      </c>
      <c r="L2834" s="8" t="n">
        <v>198338</v>
      </c>
      <c r="M2834" s="8" t="n">
        <v>366078</v>
      </c>
      <c r="N2834" t="inlineStr">
        <is>
          <t>是</t>
        </is>
      </c>
    </row>
    <row r="2835">
      <c r="A2835" s="7" t="inlineStr">
        <is>
          <t>2019-03-08</t>
        </is>
      </c>
      <c r="B2835" s="8" t="n">
        <v>8728</v>
      </c>
      <c r="C2835" s="8" t="n">
        <v>8760</v>
      </c>
      <c r="D2835" s="8" t="n">
        <v>8783</v>
      </c>
      <c r="E2835" s="8" t="n">
        <v>8713</v>
      </c>
      <c r="F2835" s="8" t="n">
        <v>395248</v>
      </c>
      <c r="G2835" s="8" t="n">
        <v>398478</v>
      </c>
      <c r="H2835" s="8" t="n">
        <v>8650</v>
      </c>
      <c r="I2835" s="8" t="n">
        <v>8690</v>
      </c>
      <c r="J2835" s="8" t="n">
        <v>8700</v>
      </c>
      <c r="K2835" s="8" t="n">
        <v>8640</v>
      </c>
      <c r="L2835" s="8" t="n">
        <v>193738</v>
      </c>
      <c r="M2835" s="8" t="n">
        <v>365738</v>
      </c>
      <c r="N2835" t="inlineStr">
        <is>
          <t>是</t>
        </is>
      </c>
    </row>
    <row r="2836">
      <c r="A2836" s="7" t="inlineStr">
        <is>
          <t>2019-03-11</t>
        </is>
      </c>
      <c r="B2836" s="8" t="n">
        <v>8795</v>
      </c>
      <c r="C2836" s="8" t="n">
        <v>8737</v>
      </c>
      <c r="D2836" s="8" t="n">
        <v>8800</v>
      </c>
      <c r="E2836" s="8" t="n">
        <v>8697</v>
      </c>
      <c r="F2836" s="8" t="n">
        <v>404780</v>
      </c>
      <c r="G2836" s="8" t="n">
        <v>400668</v>
      </c>
      <c r="H2836" s="8" t="n">
        <v>8655</v>
      </c>
      <c r="I2836" s="8" t="n">
        <v>8655</v>
      </c>
      <c r="J2836" s="8" t="n">
        <v>8690</v>
      </c>
      <c r="K2836" s="8" t="n">
        <v>8605</v>
      </c>
      <c r="L2836" s="8" t="n">
        <v>209130</v>
      </c>
      <c r="M2836" s="8" t="n">
        <v>337608</v>
      </c>
      <c r="N2836" t="inlineStr">
        <is>
          <t>是</t>
        </is>
      </c>
    </row>
    <row r="2837">
      <c r="A2837" s="7" t="inlineStr">
        <is>
          <t>2019-03-12</t>
        </is>
      </c>
      <c r="B2837" s="8" t="n">
        <v>8834</v>
      </c>
      <c r="C2837" s="8" t="n">
        <v>8806</v>
      </c>
      <c r="D2837" s="8" t="n">
        <v>8876</v>
      </c>
      <c r="E2837" s="8" t="n">
        <v>8772</v>
      </c>
      <c r="F2837" s="8" t="n">
        <v>408886</v>
      </c>
      <c r="G2837" s="8" t="n">
        <v>395140</v>
      </c>
      <c r="H2837" s="8" t="n">
        <v>8680</v>
      </c>
      <c r="I2837" s="8" t="n">
        <v>8680</v>
      </c>
      <c r="J2837" s="8" t="n">
        <v>8725</v>
      </c>
      <c r="K2837" s="8" t="n">
        <v>8660</v>
      </c>
      <c r="L2837" s="8" t="n">
        <v>161552</v>
      </c>
      <c r="M2837" s="8" t="n">
        <v>332312</v>
      </c>
      <c r="N2837" t="inlineStr">
        <is>
          <t>是</t>
        </is>
      </c>
    </row>
    <row r="2838">
      <c r="A2838" s="7" t="inlineStr">
        <is>
          <t>2019-03-13</t>
        </is>
      </c>
      <c r="B2838" s="8" t="n">
        <v>8837</v>
      </c>
      <c r="C2838" s="8" t="n">
        <v>8828</v>
      </c>
      <c r="D2838" s="8" t="n">
        <v>8871</v>
      </c>
      <c r="E2838" s="8" t="n">
        <v>8806</v>
      </c>
      <c r="F2838" s="8" t="n">
        <v>313954</v>
      </c>
      <c r="G2838" s="8" t="n">
        <v>399798</v>
      </c>
      <c r="H2838" s="8" t="n">
        <v>8680</v>
      </c>
      <c r="I2838" s="8" t="n">
        <v>8685</v>
      </c>
      <c r="J2838" s="8" t="n">
        <v>8745</v>
      </c>
      <c r="K2838" s="8" t="n">
        <v>8665</v>
      </c>
      <c r="L2838" s="8" t="n">
        <v>188048</v>
      </c>
      <c r="M2838" s="8" t="n">
        <v>332654</v>
      </c>
      <c r="N2838" t="inlineStr">
        <is>
          <t>是</t>
        </is>
      </c>
    </row>
    <row r="2839">
      <c r="A2839" s="7" t="inlineStr">
        <is>
          <t>2019-03-14</t>
        </is>
      </c>
      <c r="B2839" s="8" t="n">
        <v>8739</v>
      </c>
      <c r="C2839" s="8" t="n">
        <v>8862</v>
      </c>
      <c r="D2839" s="8" t="n">
        <v>8882</v>
      </c>
      <c r="E2839" s="8" t="n">
        <v>8730</v>
      </c>
      <c r="F2839" s="8" t="n">
        <v>484196</v>
      </c>
      <c r="G2839" s="8" t="n">
        <v>391968</v>
      </c>
      <c r="H2839" s="8" t="n">
        <v>8615</v>
      </c>
      <c r="I2839" s="8" t="n">
        <v>8705</v>
      </c>
      <c r="J2839" s="8" t="n">
        <v>8720</v>
      </c>
      <c r="K2839" s="8" t="n">
        <v>8600</v>
      </c>
      <c r="L2839" s="8" t="n">
        <v>203124</v>
      </c>
      <c r="M2839" s="8" t="n">
        <v>343574</v>
      </c>
      <c r="N2839" t="inlineStr">
        <is>
          <t>是</t>
        </is>
      </c>
    </row>
    <row r="2840">
      <c r="A2840" s="7" t="inlineStr">
        <is>
          <t>2019-03-15</t>
        </is>
      </c>
      <c r="B2840" s="8" t="n">
        <v>8633</v>
      </c>
      <c r="C2840" s="8" t="n">
        <v>8700</v>
      </c>
      <c r="D2840" s="8" t="n">
        <v>8746</v>
      </c>
      <c r="E2840" s="8" t="n">
        <v>8616</v>
      </c>
      <c r="F2840" s="8" t="n">
        <v>546016</v>
      </c>
      <c r="G2840" s="8" t="n">
        <v>380632</v>
      </c>
      <c r="H2840" s="8" t="n">
        <v>8505</v>
      </c>
      <c r="I2840" s="8" t="n">
        <v>8600</v>
      </c>
      <c r="J2840" s="8" t="n">
        <v>8630</v>
      </c>
      <c r="K2840" s="8" t="n">
        <v>8490</v>
      </c>
      <c r="L2840" s="8" t="n">
        <v>284918</v>
      </c>
      <c r="M2840" s="8" t="n">
        <v>348410</v>
      </c>
      <c r="N2840" t="inlineStr">
        <is>
          <t>是</t>
        </is>
      </c>
    </row>
    <row r="2841">
      <c r="A2841" s="7" t="inlineStr">
        <is>
          <t>2019-03-18</t>
        </is>
      </c>
      <c r="B2841" s="8" t="n">
        <v>8452</v>
      </c>
      <c r="C2841" s="8" t="n">
        <v>8620</v>
      </c>
      <c r="D2841" s="8" t="n">
        <v>8633</v>
      </c>
      <c r="E2841" s="8" t="n">
        <v>8435</v>
      </c>
      <c r="F2841" s="8" t="n">
        <v>569934</v>
      </c>
      <c r="G2841" s="8" t="n">
        <v>433180</v>
      </c>
      <c r="H2841" s="8" t="n">
        <v>8325</v>
      </c>
      <c r="I2841" s="8" t="n">
        <v>8510</v>
      </c>
      <c r="J2841" s="8" t="n">
        <v>8520</v>
      </c>
      <c r="K2841" s="8" t="n">
        <v>8300</v>
      </c>
      <c r="L2841" s="8" t="n">
        <v>382828</v>
      </c>
      <c r="M2841" s="8" t="n">
        <v>399312</v>
      </c>
      <c r="N2841" t="inlineStr">
        <is>
          <t>是</t>
        </is>
      </c>
    </row>
    <row r="2842">
      <c r="A2842" s="7" t="inlineStr">
        <is>
          <t>2019-03-19</t>
        </is>
      </c>
      <c r="B2842" s="8" t="n">
        <v>8507</v>
      </c>
      <c r="C2842" s="8" t="n">
        <v>8474</v>
      </c>
      <c r="D2842" s="8" t="n">
        <v>8538</v>
      </c>
      <c r="E2842" s="8" t="n">
        <v>8466</v>
      </c>
      <c r="F2842" s="8" t="n">
        <v>361330</v>
      </c>
      <c r="G2842" s="8" t="n">
        <v>437806</v>
      </c>
      <c r="H2842" s="8" t="n">
        <v>8370</v>
      </c>
      <c r="I2842" s="8" t="n">
        <v>8335</v>
      </c>
      <c r="J2842" s="8" t="n">
        <v>8390</v>
      </c>
      <c r="K2842" s="8" t="n">
        <v>8320</v>
      </c>
      <c r="L2842" s="8" t="n">
        <v>195460</v>
      </c>
      <c r="M2842" s="8" t="n">
        <v>384786</v>
      </c>
      <c r="N2842" t="inlineStr">
        <is>
          <t>是</t>
        </is>
      </c>
    </row>
    <row r="2843">
      <c r="A2843" s="7" t="inlineStr">
        <is>
          <t>2019-03-20</t>
        </is>
      </c>
      <c r="B2843" s="8" t="n">
        <v>8512</v>
      </c>
      <c r="C2843" s="8" t="n">
        <v>8500</v>
      </c>
      <c r="D2843" s="8" t="n">
        <v>8548</v>
      </c>
      <c r="E2843" s="8" t="n">
        <v>8478</v>
      </c>
      <c r="F2843" s="8" t="n">
        <v>329522</v>
      </c>
      <c r="G2843" s="8" t="n">
        <v>418544</v>
      </c>
      <c r="H2843" s="8" t="n">
        <v>8360</v>
      </c>
      <c r="I2843" s="8" t="n">
        <v>8375</v>
      </c>
      <c r="J2843" s="8" t="n">
        <v>8400</v>
      </c>
      <c r="K2843" s="8" t="n">
        <v>8345</v>
      </c>
      <c r="L2843" s="8" t="n">
        <v>146346</v>
      </c>
      <c r="M2843" s="8" t="n">
        <v>373700</v>
      </c>
      <c r="N2843" t="inlineStr">
        <is>
          <t>是</t>
        </is>
      </c>
    </row>
    <row r="2844">
      <c r="A2844" s="7" t="inlineStr">
        <is>
          <t>2019-03-21</t>
        </is>
      </c>
      <c r="B2844" s="8" t="n">
        <v>8581</v>
      </c>
      <c r="C2844" s="8" t="n">
        <v>8541</v>
      </c>
      <c r="D2844" s="8" t="n">
        <v>8615</v>
      </c>
      <c r="E2844" s="8" t="n">
        <v>8533</v>
      </c>
      <c r="F2844" s="8" t="n">
        <v>349096</v>
      </c>
      <c r="G2844" s="8" t="n">
        <v>401478</v>
      </c>
      <c r="H2844" s="8" t="n">
        <v>8405</v>
      </c>
      <c r="I2844" s="8" t="n">
        <v>8400</v>
      </c>
      <c r="J2844" s="8" t="n">
        <v>8450</v>
      </c>
      <c r="K2844" s="8" t="n">
        <v>8380</v>
      </c>
      <c r="L2844" s="8" t="n">
        <v>171602</v>
      </c>
      <c r="M2844" s="8" t="n">
        <v>350262</v>
      </c>
      <c r="N2844" t="inlineStr">
        <is>
          <t>是</t>
        </is>
      </c>
    </row>
    <row r="2845">
      <c r="A2845" s="7" t="inlineStr">
        <is>
          <t>2019-03-22</t>
        </is>
      </c>
      <c r="B2845" s="8" t="n">
        <v>8607</v>
      </c>
      <c r="C2845" s="8" t="n">
        <v>8556</v>
      </c>
      <c r="D2845" s="8" t="n">
        <v>8649</v>
      </c>
      <c r="E2845" s="8" t="n">
        <v>8540</v>
      </c>
      <c r="F2845" s="8" t="n">
        <v>370144</v>
      </c>
      <c r="G2845" s="8" t="n">
        <v>385286</v>
      </c>
      <c r="H2845" s="8" t="n">
        <v>8430</v>
      </c>
      <c r="I2845" s="8" t="n">
        <v>8410</v>
      </c>
      <c r="J2845" s="8" t="n">
        <v>8470</v>
      </c>
      <c r="K2845" s="8" t="n">
        <v>8380</v>
      </c>
      <c r="L2845" s="8" t="n">
        <v>153438</v>
      </c>
      <c r="M2845" s="8" t="n">
        <v>347666</v>
      </c>
      <c r="N2845" t="inlineStr">
        <is>
          <t>是</t>
        </is>
      </c>
    </row>
    <row r="2846">
      <c r="A2846" s="7" t="inlineStr">
        <is>
          <t>2019-03-25</t>
        </is>
      </c>
      <c r="B2846" s="8" t="n">
        <v>8635</v>
      </c>
      <c r="C2846" s="8" t="n">
        <v>8570</v>
      </c>
      <c r="D2846" s="8" t="n">
        <v>8649</v>
      </c>
      <c r="E2846" s="8" t="n">
        <v>8512</v>
      </c>
      <c r="F2846" s="8" t="n">
        <v>418494</v>
      </c>
      <c r="G2846" s="8" t="n">
        <v>382982</v>
      </c>
      <c r="H2846" s="8" t="n">
        <v>8425</v>
      </c>
      <c r="I2846" s="8" t="n">
        <v>8380</v>
      </c>
      <c r="J2846" s="8" t="n">
        <v>8445</v>
      </c>
      <c r="K2846" s="8" t="n">
        <v>8350</v>
      </c>
      <c r="L2846" s="8" t="n">
        <v>181404</v>
      </c>
      <c r="M2846" s="8" t="n">
        <v>338252</v>
      </c>
      <c r="N2846" t="inlineStr">
        <is>
          <t>是</t>
        </is>
      </c>
    </row>
    <row r="2847">
      <c r="A2847" s="7" t="inlineStr">
        <is>
          <t>2019-03-26</t>
        </is>
      </c>
      <c r="B2847" s="8" t="n">
        <v>8602</v>
      </c>
      <c r="C2847" s="8" t="n">
        <v>8670</v>
      </c>
      <c r="D2847" s="8" t="n">
        <v>8672</v>
      </c>
      <c r="E2847" s="8" t="n">
        <v>8562</v>
      </c>
      <c r="F2847" s="8" t="n">
        <v>395006</v>
      </c>
      <c r="G2847" s="8" t="n">
        <v>344532</v>
      </c>
      <c r="H2847" s="8" t="n">
        <v>8385</v>
      </c>
      <c r="I2847" s="8" t="n">
        <v>8440</v>
      </c>
      <c r="J2847" s="8" t="n">
        <v>8450</v>
      </c>
      <c r="K2847" s="8" t="n">
        <v>8375</v>
      </c>
      <c r="L2847" s="8" t="n">
        <v>126910</v>
      </c>
      <c r="M2847" s="8" t="n">
        <v>335776</v>
      </c>
      <c r="N2847" t="inlineStr">
        <is>
          <t>是</t>
        </is>
      </c>
    </row>
    <row r="2848">
      <c r="A2848" s="7" t="inlineStr">
        <is>
          <t>2019-03-27</t>
        </is>
      </c>
      <c r="B2848" s="8" t="n">
        <v>8603</v>
      </c>
      <c r="C2848" s="8" t="n">
        <v>8600</v>
      </c>
      <c r="D2848" s="8" t="n">
        <v>8644</v>
      </c>
      <c r="E2848" s="8" t="n">
        <v>8575</v>
      </c>
      <c r="F2848" s="8" t="n">
        <v>314196</v>
      </c>
      <c r="G2848" s="8" t="n">
        <v>337882</v>
      </c>
      <c r="H2848" s="8" t="n">
        <v>8405</v>
      </c>
      <c r="I2848" s="8" t="n">
        <v>8395</v>
      </c>
      <c r="J2848" s="8" t="n">
        <v>8435</v>
      </c>
      <c r="K2848" s="8" t="n">
        <v>8375</v>
      </c>
      <c r="L2848" s="8" t="n">
        <v>146256</v>
      </c>
      <c r="M2848" s="8" t="n">
        <v>329534</v>
      </c>
      <c r="N2848" t="inlineStr">
        <is>
          <t>是</t>
        </is>
      </c>
    </row>
    <row r="2849">
      <c r="A2849" s="7" t="inlineStr">
        <is>
          <t>2019-03-28</t>
        </is>
      </c>
      <c r="B2849" s="8" t="n">
        <v>8523</v>
      </c>
      <c r="C2849" s="8" t="n">
        <v>8598</v>
      </c>
      <c r="D2849" s="8" t="n">
        <v>8633</v>
      </c>
      <c r="E2849" s="8" t="n">
        <v>8490</v>
      </c>
      <c r="F2849" s="8" t="n">
        <v>424608</v>
      </c>
      <c r="G2849" s="8" t="n">
        <v>363004</v>
      </c>
      <c r="H2849" s="8" t="n">
        <v>8310</v>
      </c>
      <c r="I2849" s="8" t="n">
        <v>8390</v>
      </c>
      <c r="J2849" s="8" t="n">
        <v>8455</v>
      </c>
      <c r="K2849" s="8" t="n">
        <v>8295</v>
      </c>
      <c r="L2849" s="8" t="n">
        <v>269866</v>
      </c>
      <c r="M2849" s="8" t="n">
        <v>330556</v>
      </c>
      <c r="N2849" t="inlineStr">
        <is>
          <t>是</t>
        </is>
      </c>
    </row>
    <row r="2850">
      <c r="A2850" s="7" t="inlineStr">
        <is>
          <t>2019-03-29</t>
        </is>
      </c>
      <c r="B2850" s="8" t="n">
        <v>8604</v>
      </c>
      <c r="C2850" s="8" t="n">
        <v>8532</v>
      </c>
      <c r="D2850" s="8" t="n">
        <v>8639</v>
      </c>
      <c r="E2850" s="8" t="n">
        <v>8498</v>
      </c>
      <c r="F2850" s="8" t="n">
        <v>486444</v>
      </c>
      <c r="G2850" s="8" t="n">
        <v>336896</v>
      </c>
      <c r="H2850" s="8" t="n">
        <v>8365</v>
      </c>
      <c r="I2850" s="8" t="n">
        <v>8315</v>
      </c>
      <c r="J2850" s="8" t="n">
        <v>8425</v>
      </c>
      <c r="K2850" s="8" t="n">
        <v>8275</v>
      </c>
      <c r="L2850" s="8" t="n">
        <v>244872</v>
      </c>
      <c r="M2850" s="8" t="n">
        <v>301874</v>
      </c>
      <c r="N2850" t="inlineStr">
        <is>
          <t>是</t>
        </is>
      </c>
    </row>
    <row r="2851">
      <c r="A2851" s="7" t="inlineStr">
        <is>
          <t>2019-04-01</t>
        </is>
      </c>
      <c r="B2851" s="8" t="n">
        <v>8743</v>
      </c>
      <c r="C2851" s="8" t="n">
        <v>8641</v>
      </c>
      <c r="D2851" s="8" t="n">
        <v>8749</v>
      </c>
      <c r="E2851" s="8" t="n">
        <v>8559</v>
      </c>
      <c r="F2851" s="8" t="n">
        <v>563232</v>
      </c>
      <c r="G2851" s="8" t="n">
        <v>348328</v>
      </c>
      <c r="H2851" s="8" t="n">
        <v>8290</v>
      </c>
      <c r="I2851" s="8" t="n">
        <v>8225</v>
      </c>
      <c r="J2851" s="8" t="n">
        <v>8290</v>
      </c>
      <c r="K2851" s="8" t="n">
        <v>8155</v>
      </c>
      <c r="L2851" s="8" t="n">
        <v>139442</v>
      </c>
      <c r="M2851" s="8" t="n">
        <v>324532</v>
      </c>
      <c r="N2851" t="inlineStr">
        <is>
          <t>是</t>
        </is>
      </c>
    </row>
    <row r="2852">
      <c r="A2852" s="7" t="inlineStr">
        <is>
          <t>2019-04-02</t>
        </is>
      </c>
      <c r="B2852" s="8" t="n">
        <v>8741</v>
      </c>
      <c r="C2852" s="8" t="n">
        <v>8748</v>
      </c>
      <c r="D2852" s="8" t="n">
        <v>8796</v>
      </c>
      <c r="E2852" s="8" t="n">
        <v>8724</v>
      </c>
      <c r="F2852" s="8" t="n">
        <v>409988</v>
      </c>
      <c r="G2852" s="8" t="n">
        <v>312688</v>
      </c>
      <c r="H2852" s="8" t="n">
        <v>8335</v>
      </c>
      <c r="I2852" s="8" t="n">
        <v>8285</v>
      </c>
      <c r="J2852" s="8" t="n">
        <v>8345</v>
      </c>
      <c r="K2852" s="8" t="n">
        <v>8270</v>
      </c>
      <c r="L2852" s="8" t="n">
        <v>141760</v>
      </c>
      <c r="M2852" s="8" t="n">
        <v>335352</v>
      </c>
      <c r="N2852" t="inlineStr">
        <is>
          <t>是</t>
        </is>
      </c>
    </row>
    <row r="2853">
      <c r="A2853" s="7" t="inlineStr">
        <is>
          <t>2019-04-03</t>
        </is>
      </c>
      <c r="B2853" s="8" t="n">
        <v>8827</v>
      </c>
      <c r="C2853" s="8" t="n">
        <v>8741</v>
      </c>
      <c r="D2853" s="8" t="n">
        <v>8878</v>
      </c>
      <c r="E2853" s="8" t="n">
        <v>8721</v>
      </c>
      <c r="F2853" s="8" t="n">
        <v>494030</v>
      </c>
      <c r="G2853" s="8" t="n">
        <v>296468</v>
      </c>
      <c r="H2853" s="8" t="n">
        <v>8375</v>
      </c>
      <c r="I2853" s="8" t="n">
        <v>8320</v>
      </c>
      <c r="J2853" s="8" t="n">
        <v>8425</v>
      </c>
      <c r="K2853" s="8" t="n">
        <v>8300</v>
      </c>
      <c r="L2853" s="8" t="n">
        <v>209138</v>
      </c>
      <c r="M2853" s="8" t="n">
        <v>360776</v>
      </c>
      <c r="N2853" t="inlineStr">
        <is>
          <t>是</t>
        </is>
      </c>
    </row>
    <row r="2854">
      <c r="A2854" s="7" t="inlineStr">
        <is>
          <t>2019-04-04</t>
        </is>
      </c>
      <c r="B2854" s="8" t="n">
        <v>8549</v>
      </c>
      <c r="C2854" s="8" t="n">
        <v>8537</v>
      </c>
      <c r="D2854" s="8" t="n">
        <v>8566</v>
      </c>
      <c r="E2854" s="8" t="n">
        <v>8491</v>
      </c>
      <c r="F2854" s="8" t="n">
        <v>180228</v>
      </c>
      <c r="G2854" s="8" t="n">
        <v>303562</v>
      </c>
      <c r="H2854" s="8" t="n">
        <v>8400</v>
      </c>
      <c r="I2854" s="8" t="n">
        <v>8375</v>
      </c>
      <c r="J2854" s="8" t="n">
        <v>8405</v>
      </c>
      <c r="K2854" s="8" t="n">
        <v>8330</v>
      </c>
      <c r="L2854" s="8" t="n">
        <v>192710</v>
      </c>
      <c r="M2854" s="8" t="n">
        <v>378912</v>
      </c>
      <c r="N2854" t="inlineStr">
        <is>
          <t>是</t>
        </is>
      </c>
    </row>
    <row r="2855">
      <c r="A2855" s="7" t="inlineStr">
        <is>
          <t>2019-04-08</t>
        </is>
      </c>
      <c r="B2855" s="8" t="n">
        <v>8810</v>
      </c>
      <c r="C2855" s="8" t="n">
        <v>8602</v>
      </c>
      <c r="D2855" s="8" t="n">
        <v>8861</v>
      </c>
      <c r="E2855" s="8" t="n">
        <v>8600</v>
      </c>
      <c r="F2855" s="8" t="n">
        <v>496932</v>
      </c>
      <c r="G2855" s="8" t="n">
        <v>331076</v>
      </c>
      <c r="H2855" s="8" t="n">
        <v>8535</v>
      </c>
      <c r="I2855" s="8" t="n">
        <v>8450</v>
      </c>
      <c r="J2855" s="8" t="n">
        <v>8595</v>
      </c>
      <c r="K2855" s="8" t="n">
        <v>8435</v>
      </c>
      <c r="L2855" s="8" t="n">
        <v>371654</v>
      </c>
      <c r="M2855" s="8" t="n">
        <v>389568</v>
      </c>
      <c r="N2855" t="inlineStr">
        <is>
          <t>是</t>
        </is>
      </c>
    </row>
    <row r="2856">
      <c r="A2856" s="7" t="inlineStr">
        <is>
          <t>2019-04-09</t>
        </is>
      </c>
      <c r="B2856" s="8" t="n">
        <v>8760</v>
      </c>
      <c r="C2856" s="8" t="n">
        <v>8815</v>
      </c>
      <c r="D2856" s="8" t="n">
        <v>8858</v>
      </c>
      <c r="E2856" s="8" t="n">
        <v>8721</v>
      </c>
      <c r="F2856" s="8" t="n">
        <v>549784</v>
      </c>
      <c r="G2856" s="8" t="n">
        <v>394856</v>
      </c>
      <c r="H2856" s="8" t="n">
        <v>8510</v>
      </c>
      <c r="I2856" s="8" t="n">
        <v>8535</v>
      </c>
      <c r="J2856" s="8" t="n">
        <v>8565</v>
      </c>
      <c r="K2856" s="8" t="n">
        <v>8490</v>
      </c>
      <c r="L2856" s="8" t="n">
        <v>308948</v>
      </c>
      <c r="M2856" s="8" t="n">
        <v>412738</v>
      </c>
      <c r="N2856" t="inlineStr">
        <is>
          <t>是</t>
        </is>
      </c>
    </row>
    <row r="2857">
      <c r="A2857" s="7" t="inlineStr">
        <is>
          <t>2019-04-10</t>
        </is>
      </c>
      <c r="B2857" s="8" t="n">
        <v>8781</v>
      </c>
      <c r="C2857" s="8" t="n">
        <v>8760</v>
      </c>
      <c r="D2857" s="8" t="n">
        <v>8828</v>
      </c>
      <c r="E2857" s="8" t="n">
        <v>8727</v>
      </c>
      <c r="F2857" s="8" t="n">
        <v>469250</v>
      </c>
      <c r="G2857" s="8" t="n">
        <v>428824</v>
      </c>
      <c r="H2857" s="8" t="n">
        <v>8535</v>
      </c>
      <c r="I2857" s="8" t="n">
        <v>8500</v>
      </c>
      <c r="J2857" s="8" t="n">
        <v>8555</v>
      </c>
      <c r="K2857" s="8" t="n">
        <v>8490</v>
      </c>
      <c r="L2857" s="8" t="n">
        <v>207152</v>
      </c>
      <c r="M2857" s="8" t="n">
        <v>417268</v>
      </c>
      <c r="N2857" t="inlineStr">
        <is>
          <t>是</t>
        </is>
      </c>
    </row>
    <row r="2858">
      <c r="A2858" s="7" t="inlineStr">
        <is>
          <t>2019-04-11</t>
        </is>
      </c>
      <c r="B2858" s="8" t="n">
        <v>8807</v>
      </c>
      <c r="C2858" s="8" t="n">
        <v>8780</v>
      </c>
      <c r="D2858" s="8" t="n">
        <v>8826</v>
      </c>
      <c r="E2858" s="8" t="n">
        <v>8751</v>
      </c>
      <c r="F2858" s="8" t="n">
        <v>504988</v>
      </c>
      <c r="G2858" s="8" t="n">
        <v>450560</v>
      </c>
      <c r="H2858" s="8" t="n">
        <v>8550</v>
      </c>
      <c r="I2858" s="8" t="n">
        <v>8535</v>
      </c>
      <c r="J2858" s="8" t="n">
        <v>8555</v>
      </c>
      <c r="K2858" s="8" t="n">
        <v>8505</v>
      </c>
      <c r="L2858" s="8" t="n">
        <v>226022</v>
      </c>
      <c r="M2858" s="8" t="n">
        <v>425986</v>
      </c>
      <c r="N2858" t="inlineStr">
        <is>
          <t>是</t>
        </is>
      </c>
    </row>
    <row r="2859">
      <c r="A2859" s="7" t="inlineStr">
        <is>
          <t>2019-04-12</t>
        </is>
      </c>
      <c r="B2859" s="8" t="n">
        <v>8814</v>
      </c>
      <c r="C2859" s="8" t="n">
        <v>8808</v>
      </c>
      <c r="D2859" s="8" t="n">
        <v>8845</v>
      </c>
      <c r="E2859" s="8" t="n">
        <v>8673</v>
      </c>
      <c r="F2859" s="8" t="n">
        <v>713656</v>
      </c>
      <c r="G2859" s="8" t="n">
        <v>435484</v>
      </c>
      <c r="H2859" s="8" t="n">
        <v>8545</v>
      </c>
      <c r="I2859" s="8" t="n">
        <v>8545</v>
      </c>
      <c r="J2859" s="8" t="n">
        <v>8580</v>
      </c>
      <c r="K2859" s="8" t="n">
        <v>8445</v>
      </c>
      <c r="L2859" s="8" t="n">
        <v>350420</v>
      </c>
      <c r="M2859" s="8" t="n">
        <v>416966</v>
      </c>
      <c r="N2859" t="inlineStr">
        <is>
          <t>是</t>
        </is>
      </c>
    </row>
    <row r="2860">
      <c r="A2860" s="7" t="inlineStr">
        <is>
          <t>2019-04-15</t>
        </is>
      </c>
      <c r="B2860" s="8" t="n">
        <v>8730</v>
      </c>
      <c r="C2860" s="8" t="n">
        <v>8866</v>
      </c>
      <c r="D2860" s="8" t="n">
        <v>8890</v>
      </c>
      <c r="E2860" s="8" t="n">
        <v>8708</v>
      </c>
      <c r="F2860" s="8" t="n">
        <v>566288</v>
      </c>
      <c r="G2860" s="8" t="n">
        <v>430108</v>
      </c>
      <c r="H2860" s="8" t="n">
        <v>8500</v>
      </c>
      <c r="I2860" s="8" t="n">
        <v>8560</v>
      </c>
      <c r="J2860" s="8" t="n">
        <v>8580</v>
      </c>
      <c r="K2860" s="8" t="n">
        <v>8480</v>
      </c>
      <c r="L2860" s="8" t="n">
        <v>268876</v>
      </c>
      <c r="M2860" s="8" t="n">
        <v>427012</v>
      </c>
      <c r="N2860" t="inlineStr">
        <is>
          <t>是</t>
        </is>
      </c>
    </row>
    <row r="2861">
      <c r="A2861" s="7" t="inlineStr">
        <is>
          <t>2019-04-16</t>
        </is>
      </c>
      <c r="B2861" s="8" t="n">
        <v>8713</v>
      </c>
      <c r="C2861" s="8" t="n">
        <v>8724</v>
      </c>
      <c r="D2861" s="8" t="n">
        <v>8762</v>
      </c>
      <c r="E2861" s="8" t="n">
        <v>8657</v>
      </c>
      <c r="F2861" s="8" t="n">
        <v>460674</v>
      </c>
      <c r="G2861" s="8" t="n">
        <v>422744</v>
      </c>
      <c r="H2861" s="8" t="n">
        <v>8480</v>
      </c>
      <c r="I2861" s="8" t="n">
        <v>8490</v>
      </c>
      <c r="J2861" s="8" t="n">
        <v>8525</v>
      </c>
      <c r="K2861" s="8" t="n">
        <v>8445</v>
      </c>
      <c r="L2861" s="8" t="n">
        <v>255172</v>
      </c>
      <c r="M2861" s="8" t="n">
        <v>431410</v>
      </c>
      <c r="N2861" t="inlineStr">
        <is>
          <t>是</t>
        </is>
      </c>
    </row>
    <row r="2862">
      <c r="A2862" s="7" t="inlineStr">
        <is>
          <t>2019-04-17</t>
        </is>
      </c>
      <c r="B2862" s="8" t="n">
        <v>8715</v>
      </c>
      <c r="C2862" s="8" t="n">
        <v>8708</v>
      </c>
      <c r="D2862" s="8" t="n">
        <v>8770</v>
      </c>
      <c r="E2862" s="8" t="n">
        <v>8685</v>
      </c>
      <c r="F2862" s="8" t="n">
        <v>448548</v>
      </c>
      <c r="G2862" s="8" t="n">
        <v>440574</v>
      </c>
      <c r="H2862" s="8" t="n">
        <v>8470</v>
      </c>
      <c r="I2862" s="8" t="n">
        <v>8480</v>
      </c>
      <c r="J2862" s="8" t="n">
        <v>8510</v>
      </c>
      <c r="K2862" s="8" t="n">
        <v>8440</v>
      </c>
      <c r="L2862" s="8" t="n">
        <v>248236</v>
      </c>
      <c r="M2862" s="8" t="n">
        <v>439452</v>
      </c>
      <c r="N2862" t="inlineStr">
        <is>
          <t>是</t>
        </is>
      </c>
    </row>
    <row r="2863">
      <c r="A2863" s="7" t="inlineStr">
        <is>
          <t>2019-04-18</t>
        </is>
      </c>
      <c r="B2863" s="8" t="n">
        <v>8624</v>
      </c>
      <c r="C2863" s="8" t="n">
        <v>8735</v>
      </c>
      <c r="D2863" s="8" t="n">
        <v>8747</v>
      </c>
      <c r="E2863" s="8" t="n">
        <v>8620</v>
      </c>
      <c r="F2863" s="8" t="n">
        <v>764896</v>
      </c>
      <c r="G2863" s="8" t="n">
        <v>453266</v>
      </c>
      <c r="H2863" s="8" t="n">
        <v>8330</v>
      </c>
      <c r="I2863" s="8" t="n">
        <v>8470</v>
      </c>
      <c r="J2863" s="8" t="n">
        <v>8475</v>
      </c>
      <c r="K2863" s="8" t="n">
        <v>8330</v>
      </c>
      <c r="L2863" s="8" t="n">
        <v>378560</v>
      </c>
      <c r="M2863" s="8" t="n">
        <v>475542</v>
      </c>
      <c r="N2863" t="inlineStr">
        <is>
          <t>是</t>
        </is>
      </c>
    </row>
    <row r="2864">
      <c r="A2864" s="7" t="inlineStr">
        <is>
          <t>2019-04-19</t>
        </is>
      </c>
      <c r="B2864" s="8" t="n">
        <v>8649</v>
      </c>
      <c r="C2864" s="8" t="n">
        <v>8624</v>
      </c>
      <c r="D2864" s="8" t="n">
        <v>8670</v>
      </c>
      <c r="E2864" s="8" t="n">
        <v>8595</v>
      </c>
      <c r="F2864" s="8" t="n">
        <v>495118</v>
      </c>
      <c r="G2864" s="8" t="n">
        <v>450510</v>
      </c>
      <c r="H2864" s="8" t="n">
        <v>8330</v>
      </c>
      <c r="I2864" s="8" t="n">
        <v>8330</v>
      </c>
      <c r="J2864" s="8" t="n">
        <v>8355</v>
      </c>
      <c r="K2864" s="8" t="n">
        <v>8285</v>
      </c>
      <c r="L2864" s="8" t="n">
        <v>267230</v>
      </c>
      <c r="M2864" s="8" t="n">
        <v>488014</v>
      </c>
      <c r="N2864" t="inlineStr">
        <is>
          <t>是</t>
        </is>
      </c>
    </row>
    <row r="2865">
      <c r="A2865" s="7" t="inlineStr">
        <is>
          <t>2019-04-23</t>
        </is>
      </c>
      <c r="B2865" s="8" t="n">
        <v>8690</v>
      </c>
      <c r="C2865" s="8" t="n">
        <v>8640</v>
      </c>
      <c r="D2865" s="8" t="n">
        <v>8698</v>
      </c>
      <c r="E2865" s="8" t="n">
        <v>8620</v>
      </c>
      <c r="F2865" s="8" t="n">
        <v>481746</v>
      </c>
      <c r="G2865" s="8" t="n">
        <v>479052</v>
      </c>
      <c r="H2865" s="8" t="n">
        <v>8310</v>
      </c>
      <c r="I2865" s="8" t="n">
        <v>8290</v>
      </c>
      <c r="J2865" s="8" t="n">
        <v>8320</v>
      </c>
      <c r="K2865" s="8" t="n">
        <v>8260</v>
      </c>
      <c r="L2865" s="8" t="n">
        <v>257296</v>
      </c>
      <c r="M2865" s="8" t="n">
        <v>504404</v>
      </c>
      <c r="N2865" t="inlineStr">
        <is>
          <t>是</t>
        </is>
      </c>
    </row>
    <row r="2866">
      <c r="A2866" s="7" t="inlineStr">
        <is>
          <t>2019-04-24</t>
        </is>
      </c>
      <c r="B2866" s="8" t="n">
        <v>8672</v>
      </c>
      <c r="C2866" s="8" t="n">
        <v>8685</v>
      </c>
      <c r="D2866" s="8" t="n">
        <v>8734</v>
      </c>
      <c r="E2866" s="8" t="n">
        <v>8654</v>
      </c>
      <c r="F2866" s="8" t="n">
        <v>688596</v>
      </c>
      <c r="G2866" s="8" t="n">
        <v>476268</v>
      </c>
      <c r="H2866" s="8" t="n">
        <v>8265</v>
      </c>
      <c r="I2866" s="8" t="n">
        <v>8305</v>
      </c>
      <c r="J2866" s="8" t="n">
        <v>8315</v>
      </c>
      <c r="K2866" s="8" t="n">
        <v>8260</v>
      </c>
      <c r="L2866" s="8" t="n">
        <v>353216</v>
      </c>
      <c r="M2866" s="8" t="n">
        <v>513420</v>
      </c>
      <c r="N2866" t="inlineStr">
        <is>
          <t>是</t>
        </is>
      </c>
    </row>
    <row r="2867">
      <c r="A2867" s="7" t="inlineStr">
        <is>
          <t>2019-04-25</t>
        </is>
      </c>
      <c r="B2867" s="8" t="n">
        <v>8623</v>
      </c>
      <c r="C2867" s="8" t="n">
        <v>8680</v>
      </c>
      <c r="D2867" s="8" t="n">
        <v>8715</v>
      </c>
      <c r="E2867" s="8" t="n">
        <v>8611</v>
      </c>
      <c r="F2867" s="8" t="n">
        <v>634686</v>
      </c>
      <c r="G2867" s="8" t="n">
        <v>483610</v>
      </c>
      <c r="H2867" s="8" t="n">
        <v>8295</v>
      </c>
      <c r="I2867" s="8" t="n">
        <v>8270</v>
      </c>
      <c r="J2867" s="8" t="n">
        <v>8315</v>
      </c>
      <c r="K2867" s="8" t="n">
        <v>8255</v>
      </c>
      <c r="L2867" s="8" t="n">
        <v>289240</v>
      </c>
      <c r="M2867" s="8" t="n">
        <v>491208</v>
      </c>
      <c r="N2867" t="inlineStr">
        <is>
          <t>是</t>
        </is>
      </c>
    </row>
    <row r="2868">
      <c r="A2868" s="7" t="inlineStr">
        <is>
          <t>2019-04-26</t>
        </is>
      </c>
      <c r="B2868" s="8" t="n">
        <v>8578</v>
      </c>
      <c r="C2868" s="8" t="n">
        <v>8636</v>
      </c>
      <c r="D2868" s="8" t="n">
        <v>8662</v>
      </c>
      <c r="E2868" s="8" t="n">
        <v>8553</v>
      </c>
      <c r="F2868" s="8" t="n">
        <v>632514</v>
      </c>
      <c r="G2868" s="8" t="n">
        <v>473048</v>
      </c>
      <c r="H2868" s="8" t="n">
        <v>8290</v>
      </c>
      <c r="I2868" s="8" t="n">
        <v>8285</v>
      </c>
      <c r="J2868" s="8" t="n">
        <v>8330</v>
      </c>
      <c r="K2868" s="8" t="n">
        <v>8275</v>
      </c>
      <c r="L2868" s="8" t="n">
        <v>323458</v>
      </c>
      <c r="M2868" s="8" t="n">
        <v>474684</v>
      </c>
      <c r="N2868" t="inlineStr">
        <is>
          <t>是</t>
        </is>
      </c>
    </row>
    <row r="2869">
      <c r="A2869" s="7" t="inlineStr">
        <is>
          <t>2019-04-29</t>
        </is>
      </c>
      <c r="B2869" s="8" t="n">
        <v>8605</v>
      </c>
      <c r="C2869" s="8" t="n">
        <v>8570</v>
      </c>
      <c r="D2869" s="8" t="n">
        <v>8630</v>
      </c>
      <c r="E2869" s="8" t="n">
        <v>8561</v>
      </c>
      <c r="F2869" s="8" t="n">
        <v>400782</v>
      </c>
      <c r="G2869" s="8" t="n">
        <v>458984</v>
      </c>
      <c r="H2869" s="8" t="n">
        <v>8285</v>
      </c>
      <c r="I2869" s="8" t="n">
        <v>8280</v>
      </c>
      <c r="J2869" s="8" t="n">
        <v>8345</v>
      </c>
      <c r="K2869" s="8" t="n">
        <v>8255</v>
      </c>
      <c r="L2869" s="8" t="n">
        <v>234262</v>
      </c>
      <c r="M2869" s="8" t="n">
        <v>467324</v>
      </c>
      <c r="N2869" t="inlineStr">
        <is>
          <t>是</t>
        </is>
      </c>
    </row>
    <row r="2870">
      <c r="A2870" s="7" t="inlineStr">
        <is>
          <t>2019-04-30</t>
        </is>
      </c>
      <c r="B2870" s="8" t="n">
        <v>8683</v>
      </c>
      <c r="C2870" s="8" t="n">
        <v>8604</v>
      </c>
      <c r="D2870" s="8" t="n">
        <v>8685</v>
      </c>
      <c r="E2870" s="8" t="n">
        <v>8575</v>
      </c>
      <c r="F2870" s="8" t="n">
        <v>467942</v>
      </c>
      <c r="G2870" s="8" t="n">
        <v>445326</v>
      </c>
      <c r="H2870" s="8" t="n">
        <v>8305</v>
      </c>
      <c r="I2870" s="8" t="n">
        <v>8295</v>
      </c>
      <c r="J2870" s="8" t="n">
        <v>8330</v>
      </c>
      <c r="K2870" s="8" t="n">
        <v>8270</v>
      </c>
      <c r="L2870" s="8" t="n">
        <v>200494</v>
      </c>
      <c r="M2870" s="8" t="n">
        <v>467640</v>
      </c>
      <c r="N2870" t="inlineStr">
        <is>
          <t>是</t>
        </is>
      </c>
    </row>
    <row r="2871">
      <c r="A2871" s="7" t="inlineStr">
        <is>
          <t>2019-05-06</t>
        </is>
      </c>
      <c r="B2871" s="8" t="n">
        <v>8602</v>
      </c>
      <c r="C2871" s="8" t="n">
        <v>8580</v>
      </c>
      <c r="D2871" s="8" t="n">
        <v>8635</v>
      </c>
      <c r="E2871" s="8" t="n">
        <v>8558</v>
      </c>
      <c r="F2871" s="8" t="n">
        <v>412762</v>
      </c>
      <c r="G2871" s="8" t="n">
        <v>433316</v>
      </c>
      <c r="H2871" s="8" t="n">
        <v>8235</v>
      </c>
      <c r="I2871" s="8" t="n">
        <v>8220</v>
      </c>
      <c r="J2871" s="8" t="n">
        <v>8285</v>
      </c>
      <c r="K2871" s="8" t="n">
        <v>8205</v>
      </c>
      <c r="L2871" s="8" t="n">
        <v>263104</v>
      </c>
      <c r="M2871" s="8" t="n">
        <v>473878</v>
      </c>
      <c r="N2871" t="inlineStr">
        <is>
          <t>是</t>
        </is>
      </c>
    </row>
    <row r="2872">
      <c r="A2872" s="7" t="inlineStr">
        <is>
          <t>2019-05-07</t>
        </is>
      </c>
      <c r="B2872" s="8" t="n">
        <v>8651</v>
      </c>
      <c r="C2872" s="8" t="n">
        <v>8611</v>
      </c>
      <c r="D2872" s="8" t="n">
        <v>8668</v>
      </c>
      <c r="E2872" s="8" t="n">
        <v>8573</v>
      </c>
      <c r="F2872" s="8" t="n">
        <v>524870</v>
      </c>
      <c r="G2872" s="8" t="n">
        <v>462562</v>
      </c>
      <c r="H2872" s="8" t="n">
        <v>8265</v>
      </c>
      <c r="I2872" s="8" t="n">
        <v>8240</v>
      </c>
      <c r="J2872" s="8" t="n">
        <v>8300</v>
      </c>
      <c r="K2872" s="8" t="n">
        <v>8230</v>
      </c>
      <c r="L2872" s="8" t="n">
        <v>329454</v>
      </c>
      <c r="M2872" s="8" t="n">
        <v>478206</v>
      </c>
      <c r="N2872" t="inlineStr">
        <is>
          <t>是</t>
        </is>
      </c>
    </row>
    <row r="2873">
      <c r="A2873" s="7" t="inlineStr">
        <is>
          <t>2019-05-08</t>
        </is>
      </c>
      <c r="B2873" s="8" t="n">
        <v>8501</v>
      </c>
      <c r="C2873" s="8" t="n">
        <v>8637</v>
      </c>
      <c r="D2873" s="8" t="n">
        <v>8649</v>
      </c>
      <c r="E2873" s="8" t="n">
        <v>8496</v>
      </c>
      <c r="F2873" s="8" t="n">
        <v>817650</v>
      </c>
      <c r="G2873" s="8" t="n">
        <v>486236</v>
      </c>
      <c r="H2873" s="8" t="n">
        <v>8165</v>
      </c>
      <c r="I2873" s="8" t="n">
        <v>8260</v>
      </c>
      <c r="J2873" s="8" t="n">
        <v>8265</v>
      </c>
      <c r="K2873" s="8" t="n">
        <v>8120</v>
      </c>
      <c r="L2873" s="8" t="n">
        <v>493888</v>
      </c>
      <c r="M2873" s="8" t="n">
        <v>551624</v>
      </c>
      <c r="N2873" t="inlineStr">
        <is>
          <t>是</t>
        </is>
      </c>
    </row>
    <row r="2874">
      <c r="A2874" s="7" t="inlineStr">
        <is>
          <t>2019-05-09</t>
        </is>
      </c>
      <c r="B2874" s="8" t="n">
        <v>8404</v>
      </c>
      <c r="C2874" s="8" t="n">
        <v>8496</v>
      </c>
      <c r="D2874" s="8" t="n">
        <v>8498</v>
      </c>
      <c r="E2874" s="8" t="n">
        <v>8370</v>
      </c>
      <c r="F2874" s="8" t="n">
        <v>716148</v>
      </c>
      <c r="G2874" s="8" t="n">
        <v>528936</v>
      </c>
      <c r="H2874" s="8" t="n">
        <v>8000</v>
      </c>
      <c r="I2874" s="8" t="n">
        <v>8160</v>
      </c>
      <c r="J2874" s="8" t="n">
        <v>8175</v>
      </c>
      <c r="K2874" s="8" t="n">
        <v>7970</v>
      </c>
      <c r="L2874" s="8" t="n">
        <v>640254</v>
      </c>
      <c r="M2874" s="8" t="n">
        <v>631718</v>
      </c>
      <c r="N2874" t="inlineStr">
        <is>
          <t>是</t>
        </is>
      </c>
    </row>
    <row r="2875">
      <c r="A2875" s="7" t="inlineStr">
        <is>
          <t>2019-05-10</t>
        </is>
      </c>
      <c r="B2875" s="8" t="n">
        <v>8448</v>
      </c>
      <c r="C2875" s="8" t="n">
        <v>8398</v>
      </c>
      <c r="D2875" s="8" t="n">
        <v>8482</v>
      </c>
      <c r="E2875" s="8" t="n">
        <v>8383</v>
      </c>
      <c r="F2875" s="8" t="n">
        <v>603576</v>
      </c>
      <c r="G2875" s="8" t="n">
        <v>502484</v>
      </c>
      <c r="H2875" s="8" t="n">
        <v>8035</v>
      </c>
      <c r="I2875" s="8" t="n">
        <v>7990</v>
      </c>
      <c r="J2875" s="8" t="n">
        <v>8105</v>
      </c>
      <c r="K2875" s="8" t="n">
        <v>7955</v>
      </c>
      <c r="L2875" s="8" t="n">
        <v>600432</v>
      </c>
      <c r="M2875" s="8" t="n">
        <v>614086</v>
      </c>
      <c r="N2875" t="inlineStr">
        <is>
          <t>是</t>
        </is>
      </c>
    </row>
    <row r="2876">
      <c r="A2876" s="7" t="inlineStr">
        <is>
          <t>2019-05-13</t>
        </is>
      </c>
      <c r="B2876" s="8" t="n">
        <v>8342</v>
      </c>
      <c r="C2876" s="8" t="n">
        <v>8435</v>
      </c>
      <c r="D2876" s="8" t="n">
        <v>8474</v>
      </c>
      <c r="E2876" s="8" t="n">
        <v>8316</v>
      </c>
      <c r="F2876" s="8" t="n">
        <v>114866</v>
      </c>
      <c r="G2876" s="8" t="n">
        <v>538850</v>
      </c>
      <c r="H2876" s="8" t="n">
        <v>7855</v>
      </c>
      <c r="I2876" s="8" t="n">
        <v>8035</v>
      </c>
      <c r="J2876" s="8" t="n">
        <v>8045</v>
      </c>
      <c r="K2876" s="8" t="n">
        <v>7850</v>
      </c>
      <c r="L2876" s="8" t="n">
        <v>110689</v>
      </c>
      <c r="M2876" s="8" t="n">
        <v>663898</v>
      </c>
      <c r="N2876" t="inlineStr">
        <is>
          <t>是</t>
        </is>
      </c>
    </row>
    <row r="2877">
      <c r="A2877" s="7" t="inlineStr">
        <is>
          <t>2019-05-14</t>
        </is>
      </c>
      <c r="B2877" s="8" t="n">
        <v>8137</v>
      </c>
      <c r="C2877" s="8" t="n">
        <v>8355</v>
      </c>
      <c r="D2877" s="8" t="n">
        <v>8370</v>
      </c>
      <c r="E2877" s="8" t="n">
        <v>8056</v>
      </c>
      <c r="F2877" s="8" t="n">
        <v>206551</v>
      </c>
      <c r="G2877" s="8" t="n">
        <v>613176</v>
      </c>
      <c r="H2877" s="8" t="n">
        <v>7695</v>
      </c>
      <c r="I2877" s="8" t="n">
        <v>7850</v>
      </c>
      <c r="J2877" s="8" t="n">
        <v>7885</v>
      </c>
      <c r="K2877" s="8" t="n">
        <v>7650</v>
      </c>
      <c r="L2877" s="8" t="n">
        <v>163660</v>
      </c>
      <c r="M2877" s="8" t="n">
        <v>669328</v>
      </c>
      <c r="N2877" t="inlineStr">
        <is>
          <t>是</t>
        </is>
      </c>
    </row>
    <row r="2878">
      <c r="A2878" s="7" t="inlineStr">
        <is>
          <t>2019-05-15</t>
        </is>
      </c>
      <c r="B2878" s="8" t="n">
        <v>8222</v>
      </c>
      <c r="C2878" s="8" t="n">
        <v>8160</v>
      </c>
      <c r="D2878" s="8" t="n">
        <v>8247</v>
      </c>
      <c r="E2878" s="8" t="n">
        <v>8115</v>
      </c>
      <c r="F2878" s="8" t="n">
        <v>121583</v>
      </c>
      <c r="G2878" s="8" t="n">
        <v>605376</v>
      </c>
      <c r="H2878" s="8" t="n">
        <v>7735</v>
      </c>
      <c r="I2878" s="8" t="n">
        <v>7690</v>
      </c>
      <c r="J2878" s="8" t="n">
        <v>7790</v>
      </c>
      <c r="K2878" s="8" t="n">
        <v>7680</v>
      </c>
      <c r="L2878" s="8" t="n">
        <v>95926</v>
      </c>
      <c r="M2878" s="8" t="n">
        <v>681306</v>
      </c>
      <c r="N2878" t="inlineStr">
        <is>
          <t>是</t>
        </is>
      </c>
    </row>
    <row r="2879">
      <c r="A2879" s="7" t="inlineStr">
        <is>
          <t>2019-05-16</t>
        </is>
      </c>
      <c r="B2879" s="8" t="n">
        <v>8304</v>
      </c>
      <c r="C2879" s="8" t="n">
        <v>8225</v>
      </c>
      <c r="D2879" s="8" t="n">
        <v>8333</v>
      </c>
      <c r="E2879" s="8" t="n">
        <v>8185</v>
      </c>
      <c r="F2879" s="8" t="n">
        <v>689878</v>
      </c>
      <c r="G2879" s="8" t="n">
        <v>611788</v>
      </c>
      <c r="H2879" s="8" t="n">
        <v>7800</v>
      </c>
      <c r="I2879" s="8" t="n">
        <v>7720</v>
      </c>
      <c r="J2879" s="8" t="n">
        <v>7845</v>
      </c>
      <c r="K2879" s="8" t="n">
        <v>7715</v>
      </c>
      <c r="L2879" s="8" t="n">
        <v>575180</v>
      </c>
      <c r="M2879" s="8" t="n">
        <v>684980</v>
      </c>
      <c r="N2879" t="inlineStr">
        <is>
          <t>是</t>
        </is>
      </c>
    </row>
    <row r="2880">
      <c r="A2880" s="7" t="inlineStr">
        <is>
          <t>2019-05-17</t>
        </is>
      </c>
      <c r="B2880" s="8" t="n">
        <v>8304</v>
      </c>
      <c r="C2880" s="8" t="n">
        <v>8300</v>
      </c>
      <c r="D2880" s="8" t="n">
        <v>8350</v>
      </c>
      <c r="E2880" s="8" t="n">
        <v>8220</v>
      </c>
      <c r="F2880" s="8" t="n">
        <v>778784</v>
      </c>
      <c r="G2880" s="8" t="n">
        <v>621198</v>
      </c>
      <c r="H2880" s="8" t="n">
        <v>7845</v>
      </c>
      <c r="I2880" s="8" t="n">
        <v>7800</v>
      </c>
      <c r="J2880" s="8" t="n">
        <v>7860</v>
      </c>
      <c r="K2880" s="8" t="n">
        <v>7740</v>
      </c>
      <c r="L2880" s="8" t="n">
        <v>608480</v>
      </c>
      <c r="M2880" s="8" t="n">
        <v>654912</v>
      </c>
      <c r="N2880" t="inlineStr">
        <is>
          <t>是</t>
        </is>
      </c>
    </row>
    <row r="2881">
      <c r="A2881" s="7" t="inlineStr">
        <is>
          <t>2019-05-20</t>
        </is>
      </c>
      <c r="B2881" s="8" t="n">
        <v>8382</v>
      </c>
      <c r="C2881" s="8" t="n">
        <v>8307</v>
      </c>
      <c r="D2881" s="8" t="n">
        <v>8420</v>
      </c>
      <c r="E2881" s="8" t="n">
        <v>8273</v>
      </c>
      <c r="F2881" s="8" t="n">
        <v>786236</v>
      </c>
      <c r="G2881" s="8" t="n">
        <v>601840</v>
      </c>
      <c r="H2881" s="8" t="n">
        <v>7940</v>
      </c>
      <c r="I2881" s="8" t="n">
        <v>7860</v>
      </c>
      <c r="J2881" s="8" t="n">
        <v>7965</v>
      </c>
      <c r="K2881" s="8" t="n">
        <v>7855</v>
      </c>
      <c r="L2881" s="8" t="n">
        <v>625410</v>
      </c>
      <c r="M2881" s="8" t="n">
        <v>619968</v>
      </c>
      <c r="N2881" t="inlineStr">
        <is>
          <t>是</t>
        </is>
      </c>
    </row>
    <row r="2882">
      <c r="A2882" s="7" t="inlineStr">
        <is>
          <t>2019-05-21</t>
        </is>
      </c>
      <c r="B2882" s="8" t="n">
        <v>8478</v>
      </c>
      <c r="C2882" s="8" t="n">
        <v>8400</v>
      </c>
      <c r="D2882" s="8" t="n">
        <v>8482</v>
      </c>
      <c r="E2882" s="8" t="n">
        <v>8360</v>
      </c>
      <c r="F2882" s="8" t="n">
        <v>641680</v>
      </c>
      <c r="G2882" s="8" t="n">
        <v>592110</v>
      </c>
      <c r="H2882" s="8" t="n">
        <v>8045</v>
      </c>
      <c r="I2882" s="8" t="n">
        <v>7940</v>
      </c>
      <c r="J2882" s="8" t="n">
        <v>8050</v>
      </c>
      <c r="K2882" s="8" t="n">
        <v>7915</v>
      </c>
      <c r="L2882" s="8" t="n">
        <v>387612</v>
      </c>
      <c r="M2882" s="8" t="n">
        <v>607424</v>
      </c>
      <c r="N2882" t="inlineStr">
        <is>
          <t>是</t>
        </is>
      </c>
    </row>
    <row r="2883">
      <c r="A2883" s="7" t="inlineStr">
        <is>
          <t>2019-05-22</t>
        </is>
      </c>
      <c r="B2883" s="8" t="n">
        <v>8402</v>
      </c>
      <c r="C2883" s="8" t="n">
        <v>8470</v>
      </c>
      <c r="D2883" s="8" t="n">
        <v>8478</v>
      </c>
      <c r="E2883" s="8" t="n">
        <v>8341</v>
      </c>
      <c r="F2883" s="8" t="n">
        <v>735954</v>
      </c>
      <c r="G2883" s="8" t="n">
        <v>584372</v>
      </c>
      <c r="H2883" s="8" t="n">
        <v>7905</v>
      </c>
      <c r="I2883" s="8" t="n">
        <v>8040</v>
      </c>
      <c r="J2883" s="8" t="n">
        <v>8055</v>
      </c>
      <c r="K2883" s="8" t="n">
        <v>7860</v>
      </c>
      <c r="L2883" s="8" t="n">
        <v>607972</v>
      </c>
      <c r="M2883" s="8" t="n">
        <v>629194</v>
      </c>
      <c r="N2883" t="inlineStr">
        <is>
          <t>是</t>
        </is>
      </c>
    </row>
    <row r="2884">
      <c r="A2884" s="7" t="inlineStr">
        <is>
          <t>2019-05-23</t>
        </is>
      </c>
      <c r="B2884" s="8" t="n">
        <v>8264</v>
      </c>
      <c r="C2884" s="8" t="n">
        <v>8396</v>
      </c>
      <c r="D2884" s="8" t="n">
        <v>8396</v>
      </c>
      <c r="E2884" s="8" t="n">
        <v>8256</v>
      </c>
      <c r="F2884" s="8" t="n">
        <v>635272</v>
      </c>
      <c r="G2884" s="8" t="n">
        <v>594432</v>
      </c>
      <c r="H2884" s="8" t="n">
        <v>7810</v>
      </c>
      <c r="I2884" s="8" t="n">
        <v>7890</v>
      </c>
      <c r="J2884" s="8" t="n">
        <v>7915</v>
      </c>
      <c r="K2884" s="8" t="n">
        <v>7800</v>
      </c>
      <c r="L2884" s="8" t="n">
        <v>397556</v>
      </c>
      <c r="M2884" s="8" t="n">
        <v>641544</v>
      </c>
      <c r="N2884" t="inlineStr">
        <is>
          <t>是</t>
        </is>
      </c>
    </row>
    <row r="2885">
      <c r="A2885" s="7" t="inlineStr">
        <is>
          <t>2019-05-24</t>
        </is>
      </c>
      <c r="B2885" s="8" t="n">
        <v>8227</v>
      </c>
      <c r="C2885" s="8" t="n">
        <v>8240</v>
      </c>
      <c r="D2885" s="8" t="n">
        <v>8280</v>
      </c>
      <c r="E2885" s="8" t="n">
        <v>8151</v>
      </c>
      <c r="F2885" s="8" t="n">
        <v>728194</v>
      </c>
      <c r="G2885" s="8" t="n">
        <v>594722</v>
      </c>
      <c r="H2885" s="8" t="n">
        <v>7760</v>
      </c>
      <c r="I2885" s="8" t="n">
        <v>7800</v>
      </c>
      <c r="J2885" s="8" t="n">
        <v>7805</v>
      </c>
      <c r="K2885" s="8" t="n">
        <v>7695</v>
      </c>
      <c r="L2885" s="8" t="n">
        <v>521246</v>
      </c>
      <c r="M2885" s="8" t="n">
        <v>664466</v>
      </c>
      <c r="N2885" t="inlineStr">
        <is>
          <t>是</t>
        </is>
      </c>
    </row>
    <row r="2886">
      <c r="A2886" s="7" t="inlineStr">
        <is>
          <t>2019-05-27</t>
        </is>
      </c>
      <c r="B2886" s="8" t="n">
        <v>8193</v>
      </c>
      <c r="C2886" s="8" t="n">
        <v>8227</v>
      </c>
      <c r="D2886" s="8" t="n">
        <v>8275</v>
      </c>
      <c r="E2886" s="8" t="n">
        <v>8183</v>
      </c>
      <c r="F2886" s="8" t="n">
        <v>583754</v>
      </c>
      <c r="G2886" s="8" t="n">
        <v>594654</v>
      </c>
      <c r="H2886" s="8" t="n">
        <v>7765</v>
      </c>
      <c r="I2886" s="8" t="n">
        <v>7760</v>
      </c>
      <c r="J2886" s="8" t="n">
        <v>7815</v>
      </c>
      <c r="K2886" s="8" t="n">
        <v>7715</v>
      </c>
      <c r="L2886" s="8" t="n">
        <v>400208</v>
      </c>
      <c r="M2886" s="8" t="n">
        <v>653638</v>
      </c>
      <c r="N2886" t="inlineStr">
        <is>
          <t>是</t>
        </is>
      </c>
    </row>
    <row r="2887">
      <c r="A2887" s="7" t="inlineStr">
        <is>
          <t>2019-05-28</t>
        </is>
      </c>
      <c r="B2887" s="8" t="n">
        <v>8281</v>
      </c>
      <c r="C2887" s="8" t="n">
        <v>8200</v>
      </c>
      <c r="D2887" s="8" t="n">
        <v>8296</v>
      </c>
      <c r="E2887" s="8" t="n">
        <v>8158</v>
      </c>
      <c r="F2887" s="8" t="n">
        <v>679720</v>
      </c>
      <c r="G2887" s="8" t="n">
        <v>600942</v>
      </c>
      <c r="H2887" s="8" t="n">
        <v>7890</v>
      </c>
      <c r="I2887" s="8" t="n">
        <v>7775</v>
      </c>
      <c r="J2887" s="8" t="n">
        <v>7900</v>
      </c>
      <c r="K2887" s="8" t="n">
        <v>7735</v>
      </c>
      <c r="L2887" s="8" t="n">
        <v>407710</v>
      </c>
      <c r="M2887" s="8" t="n">
        <v>640448</v>
      </c>
      <c r="N2887" t="inlineStr">
        <is>
          <t>是</t>
        </is>
      </c>
    </row>
    <row r="2888">
      <c r="A2888" s="7" t="inlineStr">
        <is>
          <t>2019-05-29</t>
        </is>
      </c>
      <c r="B2888" s="8" t="n">
        <v>8354</v>
      </c>
      <c r="C2888" s="8" t="n">
        <v>8287</v>
      </c>
      <c r="D2888" s="8" t="n">
        <v>8395</v>
      </c>
      <c r="E2888" s="8" t="n">
        <v>8261</v>
      </c>
      <c r="F2888" s="8" t="n">
        <v>742896</v>
      </c>
      <c r="G2888" s="8" t="n">
        <v>574942</v>
      </c>
      <c r="H2888" s="8" t="n">
        <v>7900</v>
      </c>
      <c r="I2888" s="8" t="n">
        <v>7890</v>
      </c>
      <c r="J2888" s="8" t="n">
        <v>7970</v>
      </c>
      <c r="K2888" s="8" t="n">
        <v>7865</v>
      </c>
      <c r="L2888" s="8" t="n">
        <v>394502</v>
      </c>
      <c r="M2888" s="8" t="n">
        <v>629978</v>
      </c>
      <c r="N2888" t="inlineStr">
        <is>
          <t>是</t>
        </is>
      </c>
    </row>
    <row r="2889">
      <c r="A2889" s="7" t="inlineStr">
        <is>
          <t>2019-05-30</t>
        </is>
      </c>
      <c r="B2889" s="8" t="n">
        <v>8248</v>
      </c>
      <c r="C2889" s="8" t="n">
        <v>8330</v>
      </c>
      <c r="D2889" s="8" t="n">
        <v>8355</v>
      </c>
      <c r="E2889" s="8" t="n">
        <v>8247</v>
      </c>
      <c r="F2889" s="8" t="n">
        <v>606490</v>
      </c>
      <c r="G2889" s="8" t="n">
        <v>563404</v>
      </c>
      <c r="H2889" s="8" t="n">
        <v>7795</v>
      </c>
      <c r="I2889" s="8" t="n">
        <v>7855</v>
      </c>
      <c r="J2889" s="8" t="n">
        <v>7920</v>
      </c>
      <c r="K2889" s="8" t="n">
        <v>7780</v>
      </c>
      <c r="L2889" s="8" t="n">
        <v>482460</v>
      </c>
      <c r="M2889" s="8" t="n">
        <v>660122</v>
      </c>
      <c r="N2889" t="inlineStr">
        <is>
          <t>是</t>
        </is>
      </c>
    </row>
    <row r="2890">
      <c r="A2890" s="7" t="inlineStr">
        <is>
          <t>2019-05-31</t>
        </is>
      </c>
      <c r="B2890" s="8" t="n">
        <v>8215</v>
      </c>
      <c r="C2890" s="8" t="n">
        <v>8230</v>
      </c>
      <c r="D2890" s="8" t="n">
        <v>8292</v>
      </c>
      <c r="E2890" s="8" t="n">
        <v>8197</v>
      </c>
      <c r="F2890" s="8" t="n">
        <v>542718</v>
      </c>
      <c r="G2890" s="8" t="n">
        <v>574528</v>
      </c>
      <c r="H2890" s="8" t="n">
        <v>7790</v>
      </c>
      <c r="I2890" s="8" t="n">
        <v>7785</v>
      </c>
      <c r="J2890" s="8" t="n">
        <v>7850</v>
      </c>
      <c r="K2890" s="8" t="n">
        <v>7780</v>
      </c>
      <c r="L2890" s="8" t="n">
        <v>306878</v>
      </c>
      <c r="M2890" s="8" t="n">
        <v>656166</v>
      </c>
      <c r="N2890" t="inlineStr">
        <is>
          <t>是</t>
        </is>
      </c>
    </row>
    <row r="2891">
      <c r="A2891" s="7" t="inlineStr">
        <is>
          <t>2019-06-03</t>
        </is>
      </c>
      <c r="B2891" s="8" t="n">
        <v>8057</v>
      </c>
      <c r="C2891" s="8" t="n">
        <v>8150</v>
      </c>
      <c r="D2891" s="8" t="n">
        <v>8191</v>
      </c>
      <c r="E2891" s="8" t="n">
        <v>7988</v>
      </c>
      <c r="F2891" s="8" t="n">
        <v>1038688</v>
      </c>
      <c r="G2891" s="8" t="n">
        <v>628140</v>
      </c>
      <c r="H2891" s="8" t="n">
        <v>7665</v>
      </c>
      <c r="I2891" s="8" t="n">
        <v>7745</v>
      </c>
      <c r="J2891" s="8" t="n">
        <v>7775</v>
      </c>
      <c r="K2891" s="8" t="n">
        <v>7615</v>
      </c>
      <c r="L2891" s="8" t="n">
        <v>683094</v>
      </c>
      <c r="M2891" s="8" t="n">
        <v>665456</v>
      </c>
      <c r="N2891" t="inlineStr">
        <is>
          <t>是</t>
        </is>
      </c>
    </row>
    <row r="2892">
      <c r="A2892" s="7" t="inlineStr">
        <is>
          <t>2019-06-04</t>
        </is>
      </c>
      <c r="B2892" s="8" t="n">
        <v>8022</v>
      </c>
      <c r="C2892" s="8" t="n">
        <v>8095</v>
      </c>
      <c r="D2892" s="8" t="n">
        <v>8114</v>
      </c>
      <c r="E2892" s="8" t="n">
        <v>7915</v>
      </c>
      <c r="F2892" s="8" t="n">
        <v>1000492</v>
      </c>
      <c r="G2892" s="8" t="n">
        <v>659534</v>
      </c>
      <c r="H2892" s="8" t="n">
        <v>7645</v>
      </c>
      <c r="I2892" s="8" t="n">
        <v>7695</v>
      </c>
      <c r="J2892" s="8" t="n">
        <v>7740</v>
      </c>
      <c r="K2892" s="8" t="n">
        <v>7575</v>
      </c>
      <c r="L2892" s="8" t="n">
        <v>499400</v>
      </c>
      <c r="M2892" s="8" t="n">
        <v>668478</v>
      </c>
      <c r="N2892" t="inlineStr">
        <is>
          <t>是</t>
        </is>
      </c>
    </row>
    <row r="2893">
      <c r="A2893" s="7" t="inlineStr">
        <is>
          <t>2019-06-05</t>
        </is>
      </c>
      <c r="B2893" s="8" t="n">
        <v>7925</v>
      </c>
      <c r="C2893" s="8" t="n">
        <v>8028</v>
      </c>
      <c r="D2893" s="8" t="n">
        <v>8048</v>
      </c>
      <c r="E2893" s="8" t="n">
        <v>7917</v>
      </c>
      <c r="F2893" s="8" t="n">
        <v>996588</v>
      </c>
      <c r="G2893" s="8" t="n">
        <v>716842</v>
      </c>
      <c r="H2893" s="8" t="n">
        <v>7510</v>
      </c>
      <c r="I2893" s="8" t="n">
        <v>7640</v>
      </c>
      <c r="J2893" s="8" t="n">
        <v>7665</v>
      </c>
      <c r="K2893" s="8" t="n">
        <v>7495</v>
      </c>
      <c r="L2893" s="8" t="n">
        <v>566046</v>
      </c>
      <c r="M2893" s="8" t="n">
        <v>742830</v>
      </c>
      <c r="N2893" t="inlineStr">
        <is>
          <t>是</t>
        </is>
      </c>
    </row>
    <row r="2894">
      <c r="A2894" s="7" t="inlineStr">
        <is>
          <t>2019-06-06</t>
        </is>
      </c>
      <c r="B2894" s="8" t="n">
        <v>8018</v>
      </c>
      <c r="C2894" s="8" t="n">
        <v>7900</v>
      </c>
      <c r="D2894" s="8" t="n">
        <v>8045</v>
      </c>
      <c r="E2894" s="8" t="n">
        <v>7811</v>
      </c>
      <c r="F2894" s="8" t="n">
        <v>1435010</v>
      </c>
      <c r="G2894" s="8" t="n">
        <v>680254</v>
      </c>
      <c r="H2894" s="8" t="n">
        <v>7585</v>
      </c>
      <c r="I2894" s="8" t="n">
        <v>7500</v>
      </c>
      <c r="J2894" s="8" t="n">
        <v>7615</v>
      </c>
      <c r="K2894" s="8" t="n">
        <v>7380</v>
      </c>
      <c r="L2894" s="8" t="n">
        <v>996572</v>
      </c>
      <c r="M2894" s="8" t="n">
        <v>700100</v>
      </c>
      <c r="N2894" t="inlineStr">
        <is>
          <t>是</t>
        </is>
      </c>
    </row>
    <row r="2895">
      <c r="A2895" s="7" t="inlineStr">
        <is>
          <t>2019-06-10</t>
        </is>
      </c>
      <c r="B2895" s="8" t="n">
        <v>8038</v>
      </c>
      <c r="C2895" s="8" t="n">
        <v>8129</v>
      </c>
      <c r="D2895" s="8" t="n">
        <v>8135</v>
      </c>
      <c r="E2895" s="8" t="n">
        <v>8015</v>
      </c>
      <c r="F2895" s="8" t="n">
        <v>637388</v>
      </c>
      <c r="G2895" s="8" t="n">
        <v>662186</v>
      </c>
      <c r="H2895" s="8" t="n">
        <v>7565</v>
      </c>
      <c r="I2895" s="8" t="n">
        <v>7675</v>
      </c>
      <c r="J2895" s="8" t="n">
        <v>7705</v>
      </c>
      <c r="K2895" s="8" t="n">
        <v>7560</v>
      </c>
      <c r="L2895" s="8" t="n">
        <v>422358</v>
      </c>
      <c r="M2895" s="8" t="n">
        <v>694134</v>
      </c>
      <c r="N2895" t="inlineStr">
        <is>
          <t>是</t>
        </is>
      </c>
    </row>
    <row r="2896">
      <c r="A2896" s="7" t="inlineStr">
        <is>
          <t>2019-06-11</t>
        </is>
      </c>
      <c r="B2896" s="8" t="n">
        <v>8062</v>
      </c>
      <c r="C2896" s="8" t="n">
        <v>8038</v>
      </c>
      <c r="D2896" s="8" t="n">
        <v>8100</v>
      </c>
      <c r="E2896" s="8" t="n">
        <v>7963</v>
      </c>
      <c r="F2896" s="8" t="n">
        <v>854284</v>
      </c>
      <c r="G2896" s="8" t="n">
        <v>655340</v>
      </c>
      <c r="H2896" s="8" t="n">
        <v>7605</v>
      </c>
      <c r="I2896" s="8" t="n">
        <v>7550</v>
      </c>
      <c r="J2896" s="8" t="n">
        <v>7660</v>
      </c>
      <c r="K2896" s="8" t="n">
        <v>7510</v>
      </c>
      <c r="L2896" s="8" t="n">
        <v>520026</v>
      </c>
      <c r="M2896" s="8" t="n">
        <v>686650</v>
      </c>
      <c r="N2896" t="inlineStr">
        <is>
          <t>是</t>
        </is>
      </c>
    </row>
    <row r="2897">
      <c r="A2897" s="7" t="inlineStr">
        <is>
          <t>2019-06-12</t>
        </is>
      </c>
      <c r="B2897" s="8" t="n">
        <v>7951</v>
      </c>
      <c r="C2897" s="8" t="n">
        <v>8067</v>
      </c>
      <c r="D2897" s="8" t="n">
        <v>8094</v>
      </c>
      <c r="E2897" s="8" t="n">
        <v>7949</v>
      </c>
      <c r="F2897" s="8" t="n">
        <v>709180</v>
      </c>
      <c r="G2897" s="8" t="n">
        <v>669036</v>
      </c>
      <c r="H2897" s="8" t="n">
        <v>7510</v>
      </c>
      <c r="I2897" s="8" t="n">
        <v>7605</v>
      </c>
      <c r="J2897" s="8" t="n">
        <v>7620</v>
      </c>
      <c r="K2897" s="8" t="n">
        <v>7505</v>
      </c>
      <c r="L2897" s="8" t="n">
        <v>439362</v>
      </c>
      <c r="M2897" s="8" t="n">
        <v>711658</v>
      </c>
      <c r="N2897" t="inlineStr">
        <is>
          <t>是</t>
        </is>
      </c>
    </row>
    <row r="2898">
      <c r="A2898" s="7" t="inlineStr">
        <is>
          <t>2019-06-13</t>
        </is>
      </c>
      <c r="B2898" s="8" t="n">
        <v>8045</v>
      </c>
      <c r="C2898" s="8" t="n">
        <v>7936</v>
      </c>
      <c r="D2898" s="8" t="n">
        <v>8084</v>
      </c>
      <c r="E2898" s="8" t="n">
        <v>7935</v>
      </c>
      <c r="F2898" s="8" t="n">
        <v>804902</v>
      </c>
      <c r="G2898" s="8" t="n">
        <v>664018</v>
      </c>
      <c r="H2898" s="8" t="n">
        <v>7585</v>
      </c>
      <c r="I2898" s="8" t="n">
        <v>7500</v>
      </c>
      <c r="J2898" s="8" t="n">
        <v>7605</v>
      </c>
      <c r="K2898" s="8" t="n">
        <v>7480</v>
      </c>
      <c r="L2898" s="8" t="n">
        <v>435666</v>
      </c>
      <c r="M2898" s="8" t="n">
        <v>724794</v>
      </c>
      <c r="N2898" t="inlineStr">
        <is>
          <t>是</t>
        </is>
      </c>
    </row>
    <row r="2899">
      <c r="A2899" s="7" t="inlineStr">
        <is>
          <t>2019-06-14</t>
        </is>
      </c>
      <c r="B2899" s="8" t="n">
        <v>8000</v>
      </c>
      <c r="C2899" s="8" t="n">
        <v>8060</v>
      </c>
      <c r="D2899" s="8" t="n">
        <v>8088</v>
      </c>
      <c r="E2899" s="8" t="n">
        <v>7970</v>
      </c>
      <c r="F2899" s="8" t="n">
        <v>667052</v>
      </c>
      <c r="G2899" s="8" t="n">
        <v>658936</v>
      </c>
      <c r="H2899" s="8" t="n">
        <v>7525</v>
      </c>
      <c r="I2899" s="8" t="n">
        <v>7590</v>
      </c>
      <c r="J2899" s="8" t="n">
        <v>7610</v>
      </c>
      <c r="K2899" s="8" t="n">
        <v>7495</v>
      </c>
      <c r="L2899" s="8" t="n">
        <v>412000</v>
      </c>
      <c r="M2899" s="8" t="n">
        <v>734252</v>
      </c>
      <c r="N2899" t="inlineStr">
        <is>
          <t>是</t>
        </is>
      </c>
    </row>
    <row r="2900">
      <c r="A2900" s="7" t="inlineStr">
        <is>
          <t>2019-06-17</t>
        </is>
      </c>
      <c r="B2900" s="8" t="n">
        <v>8015</v>
      </c>
      <c r="C2900" s="8" t="n">
        <v>8019</v>
      </c>
      <c r="D2900" s="8" t="n">
        <v>8066</v>
      </c>
      <c r="E2900" s="8" t="n">
        <v>7963</v>
      </c>
      <c r="F2900" s="8" t="n">
        <v>562278</v>
      </c>
      <c r="G2900" s="8" t="n">
        <v>662530</v>
      </c>
      <c r="H2900" s="8" t="n">
        <v>7510</v>
      </c>
      <c r="I2900" s="8" t="n">
        <v>7525</v>
      </c>
      <c r="J2900" s="8" t="n">
        <v>7595</v>
      </c>
      <c r="K2900" s="8" t="n">
        <v>7500</v>
      </c>
      <c r="L2900" s="8" t="n">
        <v>364758</v>
      </c>
      <c r="M2900" s="8" t="n">
        <v>741950</v>
      </c>
      <c r="N2900" t="inlineStr">
        <is>
          <t>是</t>
        </is>
      </c>
    </row>
    <row r="2901">
      <c r="A2901" s="7" t="inlineStr">
        <is>
          <t>2019-06-18</t>
        </is>
      </c>
      <c r="B2901" s="8" t="n">
        <v>8058</v>
      </c>
      <c r="C2901" s="8" t="n">
        <v>8002</v>
      </c>
      <c r="D2901" s="8" t="n">
        <v>8077</v>
      </c>
      <c r="E2901" s="8" t="n">
        <v>7990</v>
      </c>
      <c r="F2901" s="8" t="n">
        <v>677790</v>
      </c>
      <c r="G2901" s="8" t="n">
        <v>653610</v>
      </c>
      <c r="H2901" s="8" t="n">
        <v>7560</v>
      </c>
      <c r="I2901" s="8" t="n">
        <v>7505</v>
      </c>
      <c r="J2901" s="8" t="n">
        <v>7575</v>
      </c>
      <c r="K2901" s="8" t="n">
        <v>7485</v>
      </c>
      <c r="L2901" s="8" t="n">
        <v>390380</v>
      </c>
      <c r="M2901" s="8" t="n">
        <v>717240</v>
      </c>
      <c r="N2901" t="inlineStr">
        <is>
          <t>是</t>
        </is>
      </c>
    </row>
    <row r="2902">
      <c r="A2902" s="7" t="inlineStr">
        <is>
          <t>2019-06-19</t>
        </is>
      </c>
      <c r="B2902" s="8" t="n">
        <v>8182</v>
      </c>
      <c r="C2902" s="8" t="n">
        <v>8081</v>
      </c>
      <c r="D2902" s="8" t="n">
        <v>8209</v>
      </c>
      <c r="E2902" s="8" t="n">
        <v>8042</v>
      </c>
      <c r="F2902" s="8" t="n">
        <v>878410</v>
      </c>
      <c r="G2902" s="8" t="n">
        <v>640538</v>
      </c>
      <c r="H2902" s="8" t="n">
        <v>7645</v>
      </c>
      <c r="I2902" s="8" t="n">
        <v>7575</v>
      </c>
      <c r="J2902" s="8" t="n">
        <v>7695</v>
      </c>
      <c r="K2902" s="8" t="n">
        <v>7545</v>
      </c>
      <c r="L2902" s="8" t="n">
        <v>524752</v>
      </c>
      <c r="M2902" s="8" t="n">
        <v>703780</v>
      </c>
      <c r="N2902" t="inlineStr">
        <is>
          <t>是</t>
        </is>
      </c>
    </row>
    <row r="2903">
      <c r="A2903" s="7" t="inlineStr">
        <is>
          <t>2019-06-20</t>
        </is>
      </c>
      <c r="B2903" s="8" t="n">
        <v>8334</v>
      </c>
      <c r="C2903" s="8" t="n">
        <v>8176</v>
      </c>
      <c r="D2903" s="8" t="n">
        <v>8346</v>
      </c>
      <c r="E2903" s="8" t="n">
        <v>8146</v>
      </c>
      <c r="F2903" s="8" t="n">
        <v>859630</v>
      </c>
      <c r="G2903" s="8" t="n">
        <v>656226</v>
      </c>
      <c r="H2903" s="8" t="n">
        <v>7775</v>
      </c>
      <c r="I2903" s="8" t="n">
        <v>7640</v>
      </c>
      <c r="J2903" s="8" t="n">
        <v>7780</v>
      </c>
      <c r="K2903" s="8" t="n">
        <v>7620</v>
      </c>
      <c r="L2903" s="8" t="n">
        <v>531812</v>
      </c>
      <c r="M2903" s="8" t="n">
        <v>669818</v>
      </c>
      <c r="N2903" t="inlineStr">
        <is>
          <t>是</t>
        </is>
      </c>
    </row>
    <row r="2904">
      <c r="A2904" s="7" t="inlineStr">
        <is>
          <t>2019-06-21</t>
        </is>
      </c>
      <c r="B2904" s="8" t="n">
        <v>8315</v>
      </c>
      <c r="C2904" s="8" t="n">
        <v>8320</v>
      </c>
      <c r="D2904" s="8" t="n">
        <v>8378</v>
      </c>
      <c r="E2904" s="8" t="n">
        <v>8261</v>
      </c>
      <c r="F2904" s="8" t="n">
        <v>745140</v>
      </c>
      <c r="G2904" s="8" t="n">
        <v>631924</v>
      </c>
      <c r="H2904" s="8" t="n">
        <v>7740</v>
      </c>
      <c r="I2904" s="8" t="n">
        <v>7775</v>
      </c>
      <c r="J2904" s="8" t="n">
        <v>7800</v>
      </c>
      <c r="K2904" s="8" t="n">
        <v>7680</v>
      </c>
      <c r="L2904" s="8" t="n">
        <v>507906</v>
      </c>
      <c r="M2904" s="8" t="n">
        <v>652322</v>
      </c>
      <c r="N2904" t="inlineStr">
        <is>
          <t>是</t>
        </is>
      </c>
    </row>
    <row r="2905">
      <c r="A2905" s="7" t="inlineStr">
        <is>
          <t>2019-06-24</t>
        </is>
      </c>
      <c r="B2905" s="8" t="n">
        <v>8382</v>
      </c>
      <c r="C2905" s="8" t="n">
        <v>8315</v>
      </c>
      <c r="D2905" s="8" t="n">
        <v>8395</v>
      </c>
      <c r="E2905" s="8" t="n">
        <v>8295</v>
      </c>
      <c r="F2905" s="8" t="n">
        <v>639502</v>
      </c>
      <c r="G2905" s="8" t="n">
        <v>618760</v>
      </c>
      <c r="H2905" s="8" t="n">
        <v>7835</v>
      </c>
      <c r="I2905" s="8" t="n">
        <v>7740</v>
      </c>
      <c r="J2905" s="8" t="n">
        <v>7860</v>
      </c>
      <c r="K2905" s="8" t="n">
        <v>7725</v>
      </c>
      <c r="L2905" s="8" t="n">
        <v>428688</v>
      </c>
      <c r="M2905" s="8" t="n">
        <v>655146</v>
      </c>
      <c r="N2905" t="inlineStr">
        <is>
          <t>是</t>
        </is>
      </c>
    </row>
    <row r="2906">
      <c r="A2906" s="7" t="inlineStr">
        <is>
          <t>2019-06-25</t>
        </is>
      </c>
      <c r="B2906" s="8" t="n">
        <v>8351</v>
      </c>
      <c r="C2906" s="8" t="n">
        <v>8384</v>
      </c>
      <c r="D2906" s="8" t="n">
        <v>8455</v>
      </c>
      <c r="E2906" s="8" t="n">
        <v>8323</v>
      </c>
      <c r="F2906" s="8" t="n">
        <v>836050</v>
      </c>
      <c r="G2906" s="8" t="n">
        <v>598340</v>
      </c>
      <c r="H2906" s="8" t="n">
        <v>7845</v>
      </c>
      <c r="I2906" s="8" t="n">
        <v>7845</v>
      </c>
      <c r="J2906" s="8" t="n">
        <v>7940</v>
      </c>
      <c r="K2906" s="8" t="n">
        <v>7805</v>
      </c>
      <c r="L2906" s="8" t="n">
        <v>573412</v>
      </c>
      <c r="M2906" s="8" t="n">
        <v>645912</v>
      </c>
      <c r="N2906" t="inlineStr">
        <is>
          <t>是</t>
        </is>
      </c>
    </row>
    <row r="2907">
      <c r="A2907" s="7" t="inlineStr">
        <is>
          <t>2019-06-26</t>
        </is>
      </c>
      <c r="B2907" s="8" t="n">
        <v>8466</v>
      </c>
      <c r="C2907" s="8" t="n">
        <v>8355</v>
      </c>
      <c r="D2907" s="8" t="n">
        <v>8476</v>
      </c>
      <c r="E2907" s="8" t="n">
        <v>8310</v>
      </c>
      <c r="F2907" s="8" t="n">
        <v>801058</v>
      </c>
      <c r="G2907" s="8" t="n">
        <v>628794</v>
      </c>
      <c r="H2907" s="8" t="n">
        <v>7925</v>
      </c>
      <c r="I2907" s="8" t="n">
        <v>7850</v>
      </c>
      <c r="J2907" s="8" t="n">
        <v>7925</v>
      </c>
      <c r="K2907" s="8" t="n">
        <v>7790</v>
      </c>
      <c r="L2907" s="8" t="n">
        <v>457924</v>
      </c>
      <c r="M2907" s="8" t="n">
        <v>655992</v>
      </c>
      <c r="N2907" t="inlineStr">
        <is>
          <t>是</t>
        </is>
      </c>
    </row>
    <row r="2908">
      <c r="A2908" s="7" t="inlineStr">
        <is>
          <t>2019-06-27</t>
        </is>
      </c>
      <c r="B2908" s="8" t="n">
        <v>8373</v>
      </c>
      <c r="C2908" s="8" t="n">
        <v>8478</v>
      </c>
      <c r="D2908" s="8" t="n">
        <v>8514</v>
      </c>
      <c r="E2908" s="8" t="n">
        <v>8353</v>
      </c>
      <c r="F2908" s="8" t="n">
        <v>892074</v>
      </c>
      <c r="G2908" s="8" t="n">
        <v>592816</v>
      </c>
      <c r="H2908" s="8" t="n">
        <v>7845</v>
      </c>
      <c r="I2908" s="8" t="n">
        <v>7925</v>
      </c>
      <c r="J2908" s="8" t="n">
        <v>7975</v>
      </c>
      <c r="K2908" s="8" t="n">
        <v>7805</v>
      </c>
      <c r="L2908" s="8" t="n">
        <v>598386</v>
      </c>
      <c r="M2908" s="8" t="n">
        <v>647306</v>
      </c>
      <c r="N2908" t="inlineStr">
        <is>
          <t>是</t>
        </is>
      </c>
    </row>
    <row r="2909">
      <c r="A2909" s="7" t="inlineStr">
        <is>
          <t>2019-06-28</t>
        </is>
      </c>
      <c r="B2909" s="8" t="n">
        <v>8387</v>
      </c>
      <c r="C2909" s="8" t="n">
        <v>8373</v>
      </c>
      <c r="D2909" s="8" t="n">
        <v>8430</v>
      </c>
      <c r="E2909" s="8" t="n">
        <v>8321</v>
      </c>
      <c r="F2909" s="8" t="n">
        <v>804002</v>
      </c>
      <c r="G2909" s="8" t="n">
        <v>584182</v>
      </c>
      <c r="H2909" s="8" t="n">
        <v>7830</v>
      </c>
      <c r="I2909" s="8" t="n">
        <v>7835</v>
      </c>
      <c r="J2909" s="8" t="n">
        <v>7885</v>
      </c>
      <c r="K2909" s="8" t="n">
        <v>7770</v>
      </c>
      <c r="L2909" s="8" t="n">
        <v>447940</v>
      </c>
      <c r="M2909" s="8" t="n">
        <v>651914</v>
      </c>
      <c r="N2909" t="inlineStr">
        <is>
          <t>是</t>
        </is>
      </c>
    </row>
    <row r="2910">
      <c r="A2910" s="7" t="inlineStr">
        <is>
          <t>2019-07-01</t>
        </is>
      </c>
      <c r="B2910" s="8" t="n">
        <v>8543</v>
      </c>
      <c r="C2910" s="8" t="n">
        <v>8400</v>
      </c>
      <c r="D2910" s="8" t="n">
        <v>8548</v>
      </c>
      <c r="E2910" s="8" t="n">
        <v>8367</v>
      </c>
      <c r="F2910" s="8" t="n">
        <v>813804</v>
      </c>
      <c r="G2910" s="8" t="n">
        <v>624090</v>
      </c>
      <c r="H2910" s="8" t="n">
        <v>7905</v>
      </c>
      <c r="I2910" s="8" t="n">
        <v>7825</v>
      </c>
      <c r="J2910" s="8" t="n">
        <v>7950</v>
      </c>
      <c r="K2910" s="8" t="n">
        <v>7815</v>
      </c>
      <c r="L2910" s="8" t="n">
        <v>552758</v>
      </c>
      <c r="M2910" s="8" t="n">
        <v>673290</v>
      </c>
      <c r="N2910" t="inlineStr">
        <is>
          <t>是</t>
        </is>
      </c>
    </row>
    <row r="2911">
      <c r="A2911" s="7" t="inlineStr">
        <is>
          <t>2019-07-02</t>
        </is>
      </c>
      <c r="B2911" s="8" t="n">
        <v>8817</v>
      </c>
      <c r="C2911" s="8" t="n">
        <v>8551</v>
      </c>
      <c r="D2911" s="8" t="n">
        <v>8817</v>
      </c>
      <c r="E2911" s="8" t="n">
        <v>8481</v>
      </c>
      <c r="F2911" s="8" t="n">
        <v>1179196</v>
      </c>
      <c r="G2911" s="8" t="n">
        <v>618598</v>
      </c>
      <c r="H2911" s="8" t="n">
        <v>8065</v>
      </c>
      <c r="I2911" s="8" t="n">
        <v>7910</v>
      </c>
      <c r="J2911" s="8" t="n">
        <v>8145</v>
      </c>
      <c r="K2911" s="8" t="n">
        <v>7795</v>
      </c>
      <c r="L2911" s="8" t="n">
        <v>1154070</v>
      </c>
      <c r="M2911" s="8" t="n">
        <v>660342</v>
      </c>
      <c r="N2911" t="inlineStr">
        <is>
          <t>是</t>
        </is>
      </c>
    </row>
    <row r="2912">
      <c r="A2912" s="7" t="inlineStr">
        <is>
          <t>2019-07-03</t>
        </is>
      </c>
      <c r="B2912" s="8" t="n">
        <v>8853</v>
      </c>
      <c r="C2912" s="8" t="n">
        <v>8850</v>
      </c>
      <c r="D2912" s="8" t="n">
        <v>8994</v>
      </c>
      <c r="E2912" s="8" t="n">
        <v>8657</v>
      </c>
      <c r="F2912" s="8" t="n">
        <v>1824314</v>
      </c>
      <c r="G2912" s="8" t="n">
        <v>581080</v>
      </c>
      <c r="H2912" s="8" t="n">
        <v>8035</v>
      </c>
      <c r="I2912" s="8" t="n">
        <v>8060</v>
      </c>
      <c r="J2912" s="8" t="n">
        <v>8095</v>
      </c>
      <c r="K2912" s="8" t="n">
        <v>7920</v>
      </c>
      <c r="L2912" s="8" t="n">
        <v>1013218</v>
      </c>
      <c r="M2912" s="8" t="n">
        <v>628926</v>
      </c>
      <c r="N2912" t="inlineStr">
        <is>
          <t>是</t>
        </is>
      </c>
    </row>
    <row r="2913">
      <c r="A2913" s="7" t="inlineStr">
        <is>
          <t>2019-07-04</t>
        </is>
      </c>
      <c r="B2913" s="8" t="n">
        <v>8715</v>
      </c>
      <c r="C2913" s="8" t="n">
        <v>8880</v>
      </c>
      <c r="D2913" s="8" t="n">
        <v>8913</v>
      </c>
      <c r="E2913" s="8" t="n">
        <v>8556</v>
      </c>
      <c r="F2913" s="8" t="n">
        <v>1809134</v>
      </c>
      <c r="G2913" s="8" t="n">
        <v>550768</v>
      </c>
      <c r="H2913" s="8" t="n">
        <v>8025</v>
      </c>
      <c r="I2913" s="8" t="n">
        <v>8040</v>
      </c>
      <c r="J2913" s="8" t="n">
        <v>8120</v>
      </c>
      <c r="K2913" s="8" t="n">
        <v>7915</v>
      </c>
      <c r="L2913" s="8" t="n">
        <v>1094406</v>
      </c>
      <c r="M2913" s="8" t="n">
        <v>612026</v>
      </c>
      <c r="N2913" t="inlineStr">
        <is>
          <t>是</t>
        </is>
      </c>
    </row>
    <row r="2914">
      <c r="A2914" s="7" t="inlineStr">
        <is>
          <t>2019-07-05</t>
        </is>
      </c>
      <c r="B2914" s="8" t="n">
        <v>8775</v>
      </c>
      <c r="C2914" s="8" t="n">
        <v>8703</v>
      </c>
      <c r="D2914" s="8" t="n">
        <v>8798</v>
      </c>
      <c r="E2914" s="8" t="n">
        <v>8664</v>
      </c>
      <c r="F2914" s="8" t="n">
        <v>1200940</v>
      </c>
      <c r="G2914" s="8" t="n">
        <v>536882</v>
      </c>
      <c r="H2914" s="8" t="n">
        <v>8080</v>
      </c>
      <c r="I2914" s="8" t="n">
        <v>8025</v>
      </c>
      <c r="J2914" s="8" t="n">
        <v>8130</v>
      </c>
      <c r="K2914" s="8" t="n">
        <v>7985</v>
      </c>
      <c r="L2914" s="8" t="n">
        <v>691788</v>
      </c>
      <c r="M2914" s="8" t="n">
        <v>588928</v>
      </c>
      <c r="N2914" t="inlineStr">
        <is>
          <t>是</t>
        </is>
      </c>
    </row>
    <row r="2915">
      <c r="A2915" s="7" t="inlineStr">
        <is>
          <t>2019-07-08</t>
        </is>
      </c>
      <c r="B2915" s="8" t="n">
        <v>8872</v>
      </c>
      <c r="C2915" s="8" t="n">
        <v>8771</v>
      </c>
      <c r="D2915" s="8" t="n">
        <v>8937</v>
      </c>
      <c r="E2915" s="8" t="n">
        <v>8750</v>
      </c>
      <c r="F2915" s="8" t="n">
        <v>1285144</v>
      </c>
      <c r="G2915" s="8" t="n">
        <v>555416</v>
      </c>
      <c r="H2915" s="8" t="n">
        <v>8110</v>
      </c>
      <c r="I2915" s="8" t="n">
        <v>8080</v>
      </c>
      <c r="J2915" s="8" t="n">
        <v>8200</v>
      </c>
      <c r="K2915" s="8" t="n">
        <v>8055</v>
      </c>
      <c r="L2915" s="8" t="n">
        <v>846998</v>
      </c>
      <c r="M2915" s="8" t="n">
        <v>579618</v>
      </c>
      <c r="N2915" t="inlineStr">
        <is>
          <t>是</t>
        </is>
      </c>
    </row>
    <row r="2916">
      <c r="A2916" s="7" t="inlineStr">
        <is>
          <t>2019-07-09</t>
        </is>
      </c>
      <c r="B2916" s="8" t="n">
        <v>8804</v>
      </c>
      <c r="C2916" s="8" t="n">
        <v>8878</v>
      </c>
      <c r="D2916" s="8" t="n">
        <v>8982</v>
      </c>
      <c r="E2916" s="8" t="n">
        <v>8701</v>
      </c>
      <c r="F2916" s="8" t="n">
        <v>1601708</v>
      </c>
      <c r="G2916" s="8" t="n">
        <v>551754</v>
      </c>
      <c r="H2916" s="8" t="n">
        <v>8005</v>
      </c>
      <c r="I2916" s="8" t="n">
        <v>8100</v>
      </c>
      <c r="J2916" s="8" t="n">
        <v>8160</v>
      </c>
      <c r="K2916" s="8" t="n">
        <v>7980</v>
      </c>
      <c r="L2916" s="8" t="n">
        <v>761666</v>
      </c>
      <c r="M2916" s="8" t="n">
        <v>598472</v>
      </c>
      <c r="N2916" t="inlineStr">
        <is>
          <t>是</t>
        </is>
      </c>
    </row>
    <row r="2917">
      <c r="A2917" s="7" t="inlineStr">
        <is>
          <t>2019-07-10</t>
        </is>
      </c>
      <c r="B2917" s="8" t="n">
        <v>8878</v>
      </c>
      <c r="C2917" s="8" t="n">
        <v>8806</v>
      </c>
      <c r="D2917" s="8" t="n">
        <v>8888</v>
      </c>
      <c r="E2917" s="8" t="n">
        <v>8725</v>
      </c>
      <c r="F2917" s="8" t="n">
        <v>1356570</v>
      </c>
      <c r="G2917" s="8" t="n">
        <v>572578</v>
      </c>
      <c r="H2917" s="8" t="n">
        <v>7990</v>
      </c>
      <c r="I2917" s="8" t="n">
        <v>8010</v>
      </c>
      <c r="J2917" s="8" t="n">
        <v>8025</v>
      </c>
      <c r="K2917" s="8" t="n">
        <v>7875</v>
      </c>
      <c r="L2917" s="8" t="n">
        <v>785472</v>
      </c>
      <c r="M2917" s="8" t="n">
        <v>593296</v>
      </c>
      <c r="N2917" t="inlineStr">
        <is>
          <t>是</t>
        </is>
      </c>
    </row>
    <row r="2918">
      <c r="A2918" s="7" t="inlineStr">
        <is>
          <t>2019-07-11</t>
        </is>
      </c>
      <c r="B2918" s="8" t="n">
        <v>8781</v>
      </c>
      <c r="C2918" s="8" t="n">
        <v>8905</v>
      </c>
      <c r="D2918" s="8" t="n">
        <v>8935</v>
      </c>
      <c r="E2918" s="8" t="n">
        <v>8760</v>
      </c>
      <c r="F2918" s="8" t="n">
        <v>1355000</v>
      </c>
      <c r="G2918" s="8" t="n">
        <v>546056</v>
      </c>
      <c r="H2918" s="8" t="n">
        <v>7915</v>
      </c>
      <c r="I2918" s="8" t="n">
        <v>8010</v>
      </c>
      <c r="J2918" s="8" t="n">
        <v>8030</v>
      </c>
      <c r="K2918" s="8" t="n">
        <v>7900</v>
      </c>
      <c r="L2918" s="8" t="n">
        <v>722682</v>
      </c>
      <c r="M2918" s="8" t="n">
        <v>615028</v>
      </c>
      <c r="N2918" t="inlineStr">
        <is>
          <t>是</t>
        </is>
      </c>
    </row>
    <row r="2919">
      <c r="A2919" s="7" t="inlineStr">
        <is>
          <t>2019-07-12</t>
        </is>
      </c>
      <c r="B2919" s="8" t="n">
        <v>8654</v>
      </c>
      <c r="C2919" s="8" t="n">
        <v>8760</v>
      </c>
      <c r="D2919" s="8" t="n">
        <v>8792</v>
      </c>
      <c r="E2919" s="8" t="n">
        <v>8610</v>
      </c>
      <c r="F2919" s="8" t="n">
        <v>1253052</v>
      </c>
      <c r="G2919" s="8" t="n">
        <v>526840</v>
      </c>
      <c r="H2919" s="8" t="n">
        <v>7765</v>
      </c>
      <c r="I2919" s="8" t="n">
        <v>7905</v>
      </c>
      <c r="J2919" s="8" t="n">
        <v>7910</v>
      </c>
      <c r="K2919" s="8" t="n">
        <v>7750</v>
      </c>
      <c r="L2919" s="8" t="n">
        <v>731896</v>
      </c>
      <c r="M2919" s="8" t="n">
        <v>630456</v>
      </c>
      <c r="N2919" t="inlineStr">
        <is>
          <t>是</t>
        </is>
      </c>
    </row>
    <row r="2920">
      <c r="A2920" s="7" t="inlineStr">
        <is>
          <t>2019-07-15</t>
        </is>
      </c>
      <c r="B2920" s="8" t="n">
        <v>8846</v>
      </c>
      <c r="C2920" s="8" t="n">
        <v>8654</v>
      </c>
      <c r="D2920" s="8" t="n">
        <v>8857</v>
      </c>
      <c r="E2920" s="8" t="n">
        <v>8652</v>
      </c>
      <c r="F2920" s="8" t="n">
        <v>1293812</v>
      </c>
      <c r="G2920" s="8" t="n">
        <v>582692</v>
      </c>
      <c r="H2920" s="8" t="n">
        <v>7850</v>
      </c>
      <c r="I2920" s="8" t="n">
        <v>7765</v>
      </c>
      <c r="J2920" s="8" t="n">
        <v>7885</v>
      </c>
      <c r="K2920" s="8" t="n">
        <v>7755</v>
      </c>
      <c r="L2920" s="8" t="n">
        <v>536466</v>
      </c>
      <c r="M2920" s="8" t="n">
        <v>608136</v>
      </c>
      <c r="N2920" t="inlineStr">
        <is>
          <t>是</t>
        </is>
      </c>
    </row>
    <row r="2921">
      <c r="A2921" s="7" t="inlineStr">
        <is>
          <t>2019-07-16</t>
        </is>
      </c>
      <c r="B2921" s="8" t="n">
        <v>8789</v>
      </c>
      <c r="C2921" s="8" t="n">
        <v>8850</v>
      </c>
      <c r="D2921" s="8" t="n">
        <v>8850</v>
      </c>
      <c r="E2921" s="8" t="n">
        <v>8739</v>
      </c>
      <c r="F2921" s="8" t="n">
        <v>912046</v>
      </c>
      <c r="G2921" s="8" t="n">
        <v>536676</v>
      </c>
      <c r="H2921" s="8" t="n">
        <v>7770</v>
      </c>
      <c r="I2921" s="8" t="n">
        <v>7845</v>
      </c>
      <c r="J2921" s="8" t="n">
        <v>7880</v>
      </c>
      <c r="K2921" s="8" t="n">
        <v>7755</v>
      </c>
      <c r="L2921" s="8" t="n">
        <v>458608</v>
      </c>
      <c r="M2921" s="8" t="n">
        <v>615160</v>
      </c>
      <c r="N2921" t="inlineStr">
        <is>
          <t>是</t>
        </is>
      </c>
    </row>
    <row r="2922">
      <c r="A2922" s="7" t="inlineStr">
        <is>
          <t>2019-07-17</t>
        </is>
      </c>
      <c r="B2922" s="8" t="n">
        <v>8706</v>
      </c>
      <c r="C2922" s="8" t="n">
        <v>8790</v>
      </c>
      <c r="D2922" s="8" t="n">
        <v>8880</v>
      </c>
      <c r="E2922" s="8" t="n">
        <v>8653</v>
      </c>
      <c r="F2922" s="8" t="n">
        <v>1151564</v>
      </c>
      <c r="G2922" s="8" t="n">
        <v>486294</v>
      </c>
      <c r="H2922" s="8" t="n">
        <v>7790</v>
      </c>
      <c r="I2922" s="8" t="n">
        <v>7765</v>
      </c>
      <c r="J2922" s="8" t="n">
        <v>7850</v>
      </c>
      <c r="K2922" s="8" t="n">
        <v>7710</v>
      </c>
      <c r="L2922" s="8" t="n">
        <v>645118</v>
      </c>
      <c r="M2922" s="8" t="n">
        <v>613768</v>
      </c>
      <c r="N2922" t="inlineStr">
        <is>
          <t>是</t>
        </is>
      </c>
    </row>
    <row r="2923">
      <c r="A2923" s="7" t="inlineStr">
        <is>
          <t>2019-07-18</t>
        </is>
      </c>
      <c r="B2923" s="8" t="n">
        <v>8614</v>
      </c>
      <c r="C2923" s="8" t="n">
        <v>8713</v>
      </c>
      <c r="D2923" s="8" t="n">
        <v>8732</v>
      </c>
      <c r="E2923" s="8" t="n">
        <v>8573</v>
      </c>
      <c r="F2923" s="8" t="n">
        <v>1048644</v>
      </c>
      <c r="G2923" s="8" t="n">
        <v>453162</v>
      </c>
      <c r="H2923" s="8" t="n">
        <v>7810</v>
      </c>
      <c r="I2923" s="8" t="n">
        <v>7790</v>
      </c>
      <c r="J2923" s="8" t="n">
        <v>7860</v>
      </c>
      <c r="K2923" s="8" t="n">
        <v>7755</v>
      </c>
      <c r="L2923" s="8" t="n">
        <v>648704</v>
      </c>
      <c r="M2923" s="8" t="n">
        <v>610144</v>
      </c>
      <c r="N2923" t="inlineStr">
        <is>
          <t>是</t>
        </is>
      </c>
    </row>
    <row r="2924">
      <c r="A2924" s="7" t="inlineStr">
        <is>
          <t>2019-07-19</t>
        </is>
      </c>
      <c r="B2924" s="8" t="n">
        <v>8618</v>
      </c>
      <c r="C2924" s="8" t="n">
        <v>8622</v>
      </c>
      <c r="D2924" s="8" t="n">
        <v>8674</v>
      </c>
      <c r="E2924" s="8" t="n">
        <v>8556</v>
      </c>
      <c r="F2924" s="8" t="n">
        <v>810254</v>
      </c>
      <c r="G2924" s="8" t="n">
        <v>433168</v>
      </c>
      <c r="H2924" s="8" t="n">
        <v>7820</v>
      </c>
      <c r="I2924" s="8" t="n">
        <v>7815</v>
      </c>
      <c r="J2924" s="8" t="n">
        <v>7845</v>
      </c>
      <c r="K2924" s="8" t="n">
        <v>7690</v>
      </c>
      <c r="L2924" s="8" t="n">
        <v>731662</v>
      </c>
      <c r="M2924" s="8" t="n">
        <v>593842</v>
      </c>
      <c r="N2924" t="inlineStr">
        <is>
          <t>是</t>
        </is>
      </c>
    </row>
    <row r="2925">
      <c r="A2925" s="7" t="inlineStr">
        <is>
          <t>2019-07-22</t>
        </is>
      </c>
      <c r="B2925" s="8" t="n">
        <v>8614</v>
      </c>
      <c r="C2925" s="8" t="n">
        <v>8635</v>
      </c>
      <c r="D2925" s="8" t="n">
        <v>8670</v>
      </c>
      <c r="E2925" s="8" t="n">
        <v>8524</v>
      </c>
      <c r="F2925" s="8" t="n">
        <v>1046480</v>
      </c>
      <c r="G2925" s="8" t="n">
        <v>417386</v>
      </c>
      <c r="H2925" s="8" t="n">
        <v>7720</v>
      </c>
      <c r="I2925" s="8" t="n">
        <v>7820</v>
      </c>
      <c r="J2925" s="8" t="n">
        <v>7880</v>
      </c>
      <c r="K2925" s="8" t="n">
        <v>7700</v>
      </c>
      <c r="L2925" s="8" t="n">
        <v>734608</v>
      </c>
      <c r="M2925" s="8" t="n">
        <v>594218</v>
      </c>
      <c r="N2925" t="inlineStr">
        <is>
          <t>是</t>
        </is>
      </c>
    </row>
    <row r="2926">
      <c r="A2926" s="7" t="inlineStr">
        <is>
          <t>2019-07-23</t>
        </is>
      </c>
      <c r="B2926" s="8" t="n">
        <v>8689</v>
      </c>
      <c r="C2926" s="8" t="n">
        <v>8630</v>
      </c>
      <c r="D2926" s="8" t="n">
        <v>8717</v>
      </c>
      <c r="E2926" s="8" t="n">
        <v>8592</v>
      </c>
      <c r="F2926" s="8" t="n">
        <v>956958</v>
      </c>
      <c r="G2926" s="8" t="n">
        <v>436738</v>
      </c>
      <c r="H2926" s="8" t="n">
        <v>7745</v>
      </c>
      <c r="I2926" s="8" t="n">
        <v>7730</v>
      </c>
      <c r="J2926" s="8" t="n">
        <v>7830</v>
      </c>
      <c r="K2926" s="8" t="n">
        <v>7715</v>
      </c>
      <c r="L2926" s="8" t="n">
        <v>587370</v>
      </c>
      <c r="M2926" s="8" t="n">
        <v>574944</v>
      </c>
      <c r="N2926" t="inlineStr">
        <is>
          <t>是</t>
        </is>
      </c>
    </row>
    <row r="2927">
      <c r="A2927" s="7" t="inlineStr">
        <is>
          <t>2019-07-24</t>
        </is>
      </c>
      <c r="B2927" s="8" t="n">
        <v>8622</v>
      </c>
      <c r="C2927" s="8" t="n">
        <v>8682</v>
      </c>
      <c r="D2927" s="8" t="n">
        <v>8746</v>
      </c>
      <c r="E2927" s="8" t="n">
        <v>8563</v>
      </c>
      <c r="F2927" s="8" t="n">
        <v>1088494</v>
      </c>
      <c r="G2927" s="8" t="n">
        <v>421888</v>
      </c>
      <c r="H2927" s="8" t="n">
        <v>7650</v>
      </c>
      <c r="I2927" s="8" t="n">
        <v>7740</v>
      </c>
      <c r="J2927" s="8" t="n">
        <v>7755</v>
      </c>
      <c r="K2927" s="8" t="n">
        <v>7635</v>
      </c>
      <c r="L2927" s="8" t="n">
        <v>697510</v>
      </c>
      <c r="M2927" s="8" t="n">
        <v>567864</v>
      </c>
      <c r="N2927" t="inlineStr">
        <is>
          <t>是</t>
        </is>
      </c>
    </row>
    <row r="2928">
      <c r="A2928" s="7" t="inlineStr">
        <is>
          <t>2019-07-25</t>
        </is>
      </c>
      <c r="B2928" s="8" t="n">
        <v>8588</v>
      </c>
      <c r="C2928" s="8" t="n">
        <v>8622</v>
      </c>
      <c r="D2928" s="8" t="n">
        <v>8642</v>
      </c>
      <c r="E2928" s="8" t="n">
        <v>8545</v>
      </c>
      <c r="F2928" s="8" t="n">
        <v>804062</v>
      </c>
      <c r="G2928" s="8" t="n">
        <v>425508</v>
      </c>
      <c r="H2928" s="8" t="n">
        <v>7565</v>
      </c>
      <c r="I2928" s="8" t="n">
        <v>7650</v>
      </c>
      <c r="J2928" s="8" t="n">
        <v>7680</v>
      </c>
      <c r="K2928" s="8" t="n">
        <v>7555</v>
      </c>
      <c r="L2928" s="8" t="n">
        <v>526172</v>
      </c>
      <c r="M2928" s="8" t="n">
        <v>585406</v>
      </c>
      <c r="N2928" t="inlineStr">
        <is>
          <t>是</t>
        </is>
      </c>
    </row>
    <row r="2929">
      <c r="A2929" s="7" t="inlineStr">
        <is>
          <t>2019-07-26</t>
        </is>
      </c>
      <c r="B2929" s="8" t="n">
        <v>8652</v>
      </c>
      <c r="C2929" s="8" t="n">
        <v>8613</v>
      </c>
      <c r="D2929" s="8" t="n">
        <v>8715</v>
      </c>
      <c r="E2929" s="8" t="n">
        <v>8569</v>
      </c>
      <c r="F2929" s="8" t="n">
        <v>1042774</v>
      </c>
      <c r="G2929" s="8" t="n">
        <v>425202</v>
      </c>
      <c r="H2929" s="8" t="n">
        <v>7635</v>
      </c>
      <c r="I2929" s="8" t="n">
        <v>7585</v>
      </c>
      <c r="J2929" s="8" t="n">
        <v>7690</v>
      </c>
      <c r="K2929" s="8" t="n">
        <v>7585</v>
      </c>
      <c r="L2929" s="8" t="n">
        <v>521668</v>
      </c>
      <c r="M2929" s="8" t="n">
        <v>535996</v>
      </c>
      <c r="N2929" t="inlineStr">
        <is>
          <t>是</t>
        </is>
      </c>
    </row>
    <row r="2930">
      <c r="A2930" s="7" t="inlineStr">
        <is>
          <t>2019-07-29</t>
        </is>
      </c>
      <c r="B2930" s="8" t="n">
        <v>8685</v>
      </c>
      <c r="C2930" s="8" t="n">
        <v>8632</v>
      </c>
      <c r="D2930" s="8" t="n">
        <v>8694</v>
      </c>
      <c r="E2930" s="8" t="n">
        <v>8577</v>
      </c>
      <c r="F2930" s="8" t="n">
        <v>825316</v>
      </c>
      <c r="G2930" s="8" t="n">
        <v>450182</v>
      </c>
      <c r="H2930" s="8" t="n">
        <v>7655</v>
      </c>
      <c r="I2930" s="8" t="n">
        <v>7655</v>
      </c>
      <c r="J2930" s="8" t="n">
        <v>7685</v>
      </c>
      <c r="K2930" s="8" t="n">
        <v>7610</v>
      </c>
      <c r="L2930" s="8" t="n">
        <v>348124</v>
      </c>
      <c r="M2930" s="8" t="n">
        <v>523928</v>
      </c>
      <c r="N2930" t="inlineStr">
        <is>
          <t>是</t>
        </is>
      </c>
    </row>
    <row r="2931">
      <c r="A2931" s="7" t="inlineStr">
        <is>
          <t>2019-07-30</t>
        </is>
      </c>
      <c r="B2931" s="8" t="n">
        <v>8700</v>
      </c>
      <c r="C2931" s="8" t="n">
        <v>8682</v>
      </c>
      <c r="D2931" s="8" t="n">
        <v>8836</v>
      </c>
      <c r="E2931" s="8" t="n">
        <v>8663</v>
      </c>
      <c r="F2931" s="8" t="n">
        <v>1088762</v>
      </c>
      <c r="G2931" s="8" t="n">
        <v>438692</v>
      </c>
      <c r="H2931" s="8" t="n">
        <v>7725</v>
      </c>
      <c r="I2931" s="8" t="n">
        <v>7655</v>
      </c>
      <c r="J2931" s="8" t="n">
        <v>7765</v>
      </c>
      <c r="K2931" s="8" t="n">
        <v>7655</v>
      </c>
      <c r="L2931" s="8" t="n">
        <v>457570</v>
      </c>
      <c r="M2931" s="8" t="n">
        <v>494648</v>
      </c>
      <c r="N2931" t="inlineStr">
        <is>
          <t>是</t>
        </is>
      </c>
    </row>
    <row r="2932">
      <c r="A2932" s="7" t="inlineStr">
        <is>
          <t>2019-07-31</t>
        </is>
      </c>
      <c r="B2932" s="8" t="n">
        <v>8594</v>
      </c>
      <c r="C2932" s="8" t="n">
        <v>8690</v>
      </c>
      <c r="D2932" s="8" t="n">
        <v>8704</v>
      </c>
      <c r="E2932" s="8" t="n">
        <v>8564</v>
      </c>
      <c r="F2932" s="8" t="n">
        <v>1078412</v>
      </c>
      <c r="G2932" s="8" t="n">
        <v>398116</v>
      </c>
      <c r="H2932" s="8" t="n">
        <v>7635</v>
      </c>
      <c r="I2932" s="8" t="n">
        <v>7725</v>
      </c>
      <c r="J2932" s="8" t="n">
        <v>7745</v>
      </c>
      <c r="K2932" s="8" t="n">
        <v>7630</v>
      </c>
      <c r="L2932" s="8" t="n">
        <v>396014</v>
      </c>
      <c r="M2932" s="8" t="n">
        <v>477538</v>
      </c>
      <c r="N2932" t="inlineStr">
        <is>
          <t>是</t>
        </is>
      </c>
    </row>
    <row r="2933">
      <c r="A2933" s="7" t="inlineStr">
        <is>
          <t>2019-08-01</t>
        </is>
      </c>
      <c r="B2933" s="8" t="n">
        <v>8629</v>
      </c>
      <c r="C2933" s="8" t="n">
        <v>8600</v>
      </c>
      <c r="D2933" s="8" t="n">
        <v>8647</v>
      </c>
      <c r="E2933" s="8" t="n">
        <v>8582</v>
      </c>
      <c r="F2933" s="8" t="n">
        <v>609888</v>
      </c>
      <c r="G2933" s="8" t="n">
        <v>372368</v>
      </c>
      <c r="H2933" s="8" t="n">
        <v>7710</v>
      </c>
      <c r="I2933" s="8" t="n">
        <v>7650</v>
      </c>
      <c r="J2933" s="8" t="n">
        <v>7725</v>
      </c>
      <c r="K2933" s="8" t="n">
        <v>7635</v>
      </c>
      <c r="L2933" s="8" t="n">
        <v>362450</v>
      </c>
      <c r="M2933" s="8" t="n">
        <v>445430</v>
      </c>
      <c r="N2933" t="inlineStr">
        <is>
          <t>是</t>
        </is>
      </c>
    </row>
    <row r="2934">
      <c r="A2934" s="7" t="inlineStr">
        <is>
          <t>2019-08-02</t>
        </is>
      </c>
      <c r="B2934" s="8" t="n">
        <v>8549</v>
      </c>
      <c r="C2934" s="8" t="n">
        <v>8640</v>
      </c>
      <c r="D2934" s="8" t="n">
        <v>8640</v>
      </c>
      <c r="E2934" s="8" t="n">
        <v>8456</v>
      </c>
      <c r="F2934" s="8" t="n">
        <v>804396</v>
      </c>
      <c r="G2934" s="8" t="n">
        <v>344162</v>
      </c>
      <c r="H2934" s="8" t="n">
        <v>7605</v>
      </c>
      <c r="I2934" s="8" t="n">
        <v>7690</v>
      </c>
      <c r="J2934" s="8" t="n">
        <v>7720</v>
      </c>
      <c r="K2934" s="8" t="n">
        <v>7585</v>
      </c>
      <c r="L2934" s="8" t="n">
        <v>424956</v>
      </c>
      <c r="M2934" s="8" t="n">
        <v>415314</v>
      </c>
      <c r="N2934" t="inlineStr">
        <is>
          <t>是</t>
        </is>
      </c>
    </row>
    <row r="2935">
      <c r="A2935" s="7" t="inlineStr">
        <is>
          <t>2019-08-05</t>
        </is>
      </c>
      <c r="B2935" s="8" t="n">
        <v>8424</v>
      </c>
      <c r="C2935" s="8" t="n">
        <v>8555</v>
      </c>
      <c r="D2935" s="8" t="n">
        <v>8570</v>
      </c>
      <c r="E2935" s="8" t="n">
        <v>8387</v>
      </c>
      <c r="F2935" s="8" t="n">
        <v>702002</v>
      </c>
      <c r="G2935" s="8" t="n">
        <v>324668</v>
      </c>
      <c r="H2935" s="8" t="n">
        <v>7485</v>
      </c>
      <c r="I2935" s="8" t="n">
        <v>7600</v>
      </c>
      <c r="J2935" s="8" t="n">
        <v>7615</v>
      </c>
      <c r="K2935" s="8" t="n">
        <v>7475</v>
      </c>
      <c r="L2935" s="8" t="n">
        <v>347400</v>
      </c>
      <c r="M2935" s="8" t="n">
        <v>398770</v>
      </c>
      <c r="N2935" t="inlineStr">
        <is>
          <t>是</t>
        </is>
      </c>
    </row>
    <row r="2936">
      <c r="A2936" s="7" t="inlineStr">
        <is>
          <t>2019-08-06</t>
        </is>
      </c>
      <c r="B2936" s="8" t="n">
        <v>8497</v>
      </c>
      <c r="C2936" s="8" t="n">
        <v>8425</v>
      </c>
      <c r="D2936" s="8" t="n">
        <v>8536</v>
      </c>
      <c r="E2936" s="8" t="n">
        <v>8425</v>
      </c>
      <c r="F2936" s="8" t="n">
        <v>475646</v>
      </c>
      <c r="G2936" s="8" t="n">
        <v>314434</v>
      </c>
      <c r="H2936" s="8" t="n">
        <v>7450</v>
      </c>
      <c r="I2936" s="8" t="n">
        <v>7475</v>
      </c>
      <c r="J2936" s="8" t="n">
        <v>7520</v>
      </c>
      <c r="K2936" s="8" t="n">
        <v>7390</v>
      </c>
      <c r="L2936" s="8" t="n">
        <v>344184</v>
      </c>
      <c r="M2936" s="8" t="n">
        <v>361516</v>
      </c>
      <c r="N2936" t="inlineStr">
        <is>
          <t>是</t>
        </is>
      </c>
    </row>
    <row r="2937">
      <c r="A2937" s="7" t="inlineStr">
        <is>
          <t>2019-08-07</t>
        </is>
      </c>
      <c r="B2937" s="8" t="n">
        <v>8466</v>
      </c>
      <c r="C2937" s="8" t="n">
        <v>8490</v>
      </c>
      <c r="D2937" s="8" t="n">
        <v>8545</v>
      </c>
      <c r="E2937" s="8" t="n">
        <v>8454</v>
      </c>
      <c r="F2937" s="8" t="n">
        <v>378640</v>
      </c>
      <c r="G2937" s="8" t="n">
        <v>291870</v>
      </c>
      <c r="H2937" s="8" t="n">
        <v>7480</v>
      </c>
      <c r="I2937" s="8" t="n">
        <v>7450</v>
      </c>
      <c r="J2937" s="8" t="n">
        <v>7490</v>
      </c>
      <c r="K2937" s="8" t="n">
        <v>7410</v>
      </c>
      <c r="L2937" s="8" t="n">
        <v>256532</v>
      </c>
      <c r="M2937" s="8" t="n">
        <v>343278</v>
      </c>
      <c r="N2937" t="inlineStr">
        <is>
          <t>是</t>
        </is>
      </c>
    </row>
    <row r="2938">
      <c r="A2938" s="7" t="inlineStr">
        <is>
          <t>2019-08-08</t>
        </is>
      </c>
      <c r="B2938" s="8" t="n">
        <v>8055</v>
      </c>
      <c r="C2938" s="8" t="n">
        <v>8050</v>
      </c>
      <c r="D2938" s="8" t="n">
        <v>8097</v>
      </c>
      <c r="E2938" s="8" t="n">
        <v>7932</v>
      </c>
      <c r="F2938" s="8" t="n">
        <v>862208</v>
      </c>
      <c r="G2938" s="8" t="n">
        <v>555162</v>
      </c>
      <c r="H2938" s="8" t="n">
        <v>7470</v>
      </c>
      <c r="I2938" s="8" t="n">
        <v>7465</v>
      </c>
      <c r="J2938" s="8" t="n">
        <v>7515</v>
      </c>
      <c r="K2938" s="8" t="n">
        <v>7445</v>
      </c>
      <c r="L2938" s="8" t="n">
        <v>278098</v>
      </c>
      <c r="M2938" s="8" t="n">
        <v>322554</v>
      </c>
      <c r="N2938" t="inlineStr">
        <is>
          <t>是</t>
        </is>
      </c>
    </row>
    <row r="2939">
      <c r="A2939" s="7" t="inlineStr">
        <is>
          <t>2019-08-09</t>
        </is>
      </c>
      <c r="B2939" s="8" t="n">
        <v>8163</v>
      </c>
      <c r="C2939" s="8" t="n">
        <v>8064</v>
      </c>
      <c r="D2939" s="8" t="n">
        <v>8172</v>
      </c>
      <c r="E2939" s="8" t="n">
        <v>8034</v>
      </c>
      <c r="F2939" s="8" t="n">
        <v>750822</v>
      </c>
      <c r="G2939" s="8" t="n">
        <v>547842</v>
      </c>
      <c r="H2939" s="8" t="n">
        <v>7535</v>
      </c>
      <c r="I2939" s="8" t="n">
        <v>7470</v>
      </c>
      <c r="J2939" s="8" t="n">
        <v>7565</v>
      </c>
      <c r="K2939" s="8" t="n">
        <v>7450</v>
      </c>
      <c r="L2939" s="8" t="n">
        <v>270916</v>
      </c>
      <c r="M2939" s="8" t="n">
        <v>292534</v>
      </c>
      <c r="N2939" t="inlineStr">
        <is>
          <t>是</t>
        </is>
      </c>
    </row>
    <row r="2940">
      <c r="A2940" s="7" t="inlineStr">
        <is>
          <t>2019-08-12</t>
        </is>
      </c>
      <c r="B2940" s="8" t="n">
        <v>8168</v>
      </c>
      <c r="C2940" s="8" t="n">
        <v>8163</v>
      </c>
      <c r="D2940" s="8" t="n">
        <v>8236</v>
      </c>
      <c r="E2940" s="8" t="n">
        <v>8125</v>
      </c>
      <c r="F2940" s="8" t="n">
        <v>721204</v>
      </c>
      <c r="G2940" s="8" t="n">
        <v>558566</v>
      </c>
      <c r="H2940" s="8" t="n">
        <v>7580</v>
      </c>
      <c r="I2940" s="8" t="n">
        <v>7560</v>
      </c>
      <c r="J2940" s="8" t="n">
        <v>7640</v>
      </c>
      <c r="K2940" s="8" t="n">
        <v>7560</v>
      </c>
      <c r="L2940" s="8" t="n">
        <v>461504</v>
      </c>
      <c r="M2940" s="8" t="n">
        <v>583974</v>
      </c>
      <c r="N2940" t="inlineStr">
        <is>
          <t>是</t>
        </is>
      </c>
    </row>
    <row r="2941">
      <c r="A2941" s="7" t="inlineStr">
        <is>
          <t>2019-08-13</t>
        </is>
      </c>
      <c r="B2941" s="8" t="n">
        <v>8150</v>
      </c>
      <c r="C2941" s="8" t="n">
        <v>8150</v>
      </c>
      <c r="D2941" s="8" t="n">
        <v>8179</v>
      </c>
      <c r="E2941" s="8" t="n">
        <v>8095</v>
      </c>
      <c r="F2941" s="8" t="n">
        <v>611818</v>
      </c>
      <c r="G2941" s="8" t="n">
        <v>576134</v>
      </c>
      <c r="H2941" s="8" t="n">
        <v>7585</v>
      </c>
      <c r="I2941" s="8" t="n">
        <v>7580</v>
      </c>
      <c r="J2941" s="8" t="n">
        <v>7615</v>
      </c>
      <c r="K2941" s="8" t="n">
        <v>7565</v>
      </c>
      <c r="L2941" s="8" t="n">
        <v>283460</v>
      </c>
      <c r="M2941" s="8" t="n">
        <v>600798</v>
      </c>
      <c r="N2941" t="inlineStr">
        <is>
          <t>是</t>
        </is>
      </c>
    </row>
    <row r="2942">
      <c r="A2942" s="7" t="inlineStr">
        <is>
          <t>2019-08-14</t>
        </is>
      </c>
      <c r="B2942" s="8" t="n">
        <v>8184</v>
      </c>
      <c r="C2942" s="8" t="n">
        <v>8143</v>
      </c>
      <c r="D2942" s="8" t="n">
        <v>8255</v>
      </c>
      <c r="E2942" s="8" t="n">
        <v>8123</v>
      </c>
      <c r="F2942" s="8" t="n">
        <v>872016</v>
      </c>
      <c r="G2942" s="8" t="n">
        <v>583590</v>
      </c>
      <c r="H2942" s="8" t="n">
        <v>7515</v>
      </c>
      <c r="I2942" s="8" t="n">
        <v>7580</v>
      </c>
      <c r="J2942" s="8" t="n">
        <v>7650</v>
      </c>
      <c r="K2942" s="8" t="n">
        <v>7495</v>
      </c>
      <c r="L2942" s="8" t="n">
        <v>814050</v>
      </c>
      <c r="M2942" s="8" t="n">
        <v>645934</v>
      </c>
      <c r="N2942" t="inlineStr">
        <is>
          <t>是</t>
        </is>
      </c>
    </row>
    <row r="2943">
      <c r="A2943" s="7" t="inlineStr">
        <is>
          <t>2019-08-15</t>
        </is>
      </c>
      <c r="B2943" s="8" t="n">
        <v>8129</v>
      </c>
      <c r="C2943" s="8" t="n">
        <v>8170</v>
      </c>
      <c r="D2943" s="8" t="n">
        <v>8175</v>
      </c>
      <c r="E2943" s="8" t="n">
        <v>8070</v>
      </c>
      <c r="F2943" s="8" t="n">
        <v>714100</v>
      </c>
      <c r="G2943" s="8" t="n">
        <v>616924</v>
      </c>
      <c r="H2943" s="8" t="n">
        <v>7505</v>
      </c>
      <c r="I2943" s="8" t="n">
        <v>7510</v>
      </c>
      <c r="J2943" s="8" t="n">
        <v>7535</v>
      </c>
      <c r="K2943" s="8" t="n">
        <v>7460</v>
      </c>
      <c r="L2943" s="8" t="n">
        <v>409056</v>
      </c>
      <c r="M2943" s="8" t="n">
        <v>652496</v>
      </c>
      <c r="N2943" t="inlineStr">
        <is>
          <t>是</t>
        </is>
      </c>
    </row>
    <row r="2944">
      <c r="A2944" s="7" t="inlineStr">
        <is>
          <t>2019-08-16</t>
        </is>
      </c>
      <c r="B2944" s="8" t="n">
        <v>8134</v>
      </c>
      <c r="C2944" s="8" t="n">
        <v>8124</v>
      </c>
      <c r="D2944" s="8" t="n">
        <v>8185</v>
      </c>
      <c r="E2944" s="8" t="n">
        <v>8105</v>
      </c>
      <c r="F2944" s="8" t="n">
        <v>667292</v>
      </c>
      <c r="G2944" s="8" t="n">
        <v>607326</v>
      </c>
      <c r="H2944" s="8" t="n">
        <v>7430</v>
      </c>
      <c r="I2944" s="8" t="n">
        <v>7500</v>
      </c>
      <c r="J2944" s="8" t="n">
        <v>7505</v>
      </c>
      <c r="K2944" s="8" t="n">
        <v>7420</v>
      </c>
      <c r="L2944" s="8" t="n">
        <v>407204</v>
      </c>
      <c r="M2944" s="8" t="n">
        <v>688406</v>
      </c>
      <c r="N2944" t="inlineStr">
        <is>
          <t>是</t>
        </is>
      </c>
    </row>
    <row r="2945">
      <c r="A2945" s="7" t="inlineStr">
        <is>
          <t>2019-08-19</t>
        </is>
      </c>
      <c r="B2945" s="8" t="n">
        <v>8128</v>
      </c>
      <c r="C2945" s="8" t="n">
        <v>8142</v>
      </c>
      <c r="D2945" s="8" t="n">
        <v>8175</v>
      </c>
      <c r="E2945" s="8" t="n">
        <v>8107</v>
      </c>
      <c r="F2945" s="8" t="n">
        <v>561930</v>
      </c>
      <c r="G2945" s="8" t="n">
        <v>632116</v>
      </c>
      <c r="H2945" s="8" t="n">
        <v>7455</v>
      </c>
      <c r="I2945" s="8" t="n">
        <v>7435</v>
      </c>
      <c r="J2945" s="8" t="n">
        <v>7475</v>
      </c>
      <c r="K2945" s="8" t="n">
        <v>7425</v>
      </c>
      <c r="L2945" s="8" t="n">
        <v>336594</v>
      </c>
      <c r="M2945" s="8" t="n">
        <v>708236</v>
      </c>
      <c r="N2945" t="inlineStr">
        <is>
          <t>是</t>
        </is>
      </c>
    </row>
    <row r="2946">
      <c r="A2946" s="7" t="inlineStr">
        <is>
          <t>2019-08-20</t>
        </is>
      </c>
      <c r="B2946" s="8" t="n">
        <v>8189</v>
      </c>
      <c r="C2946" s="8" t="n">
        <v>8128</v>
      </c>
      <c r="D2946" s="8" t="n">
        <v>8273</v>
      </c>
      <c r="E2946" s="8" t="n">
        <v>8120</v>
      </c>
      <c r="F2946" s="8" t="n">
        <v>1227026</v>
      </c>
      <c r="G2946" s="8" t="n">
        <v>677814</v>
      </c>
      <c r="H2946" s="8" t="n">
        <v>7465</v>
      </c>
      <c r="I2946" s="8" t="n">
        <v>7460</v>
      </c>
      <c r="J2946" s="8" t="n">
        <v>7530</v>
      </c>
      <c r="K2946" s="8" t="n">
        <v>7440</v>
      </c>
      <c r="L2946" s="8" t="n">
        <v>474104</v>
      </c>
      <c r="M2946" s="8" t="n">
        <v>704446</v>
      </c>
      <c r="N2946" t="inlineStr">
        <is>
          <t>是</t>
        </is>
      </c>
    </row>
    <row r="2947">
      <c r="A2947" s="7" t="inlineStr">
        <is>
          <t>2019-08-21</t>
        </is>
      </c>
      <c r="B2947" s="8" t="n">
        <v>8116</v>
      </c>
      <c r="C2947" s="8" t="n">
        <v>8185</v>
      </c>
      <c r="D2947" s="8" t="n">
        <v>8195</v>
      </c>
      <c r="E2947" s="8" t="n">
        <v>8092</v>
      </c>
      <c r="F2947" s="8" t="n">
        <v>893860</v>
      </c>
      <c r="G2947" s="8" t="n">
        <v>681116</v>
      </c>
      <c r="H2947" s="8" t="n">
        <v>7400</v>
      </c>
      <c r="I2947" s="8" t="n">
        <v>7455</v>
      </c>
      <c r="J2947" s="8" t="n">
        <v>7470</v>
      </c>
      <c r="K2947" s="8" t="n">
        <v>7370</v>
      </c>
      <c r="L2947" s="8" t="n">
        <v>539366</v>
      </c>
      <c r="M2947" s="8" t="n">
        <v>736982</v>
      </c>
      <c r="N2947" t="inlineStr">
        <is>
          <t>是</t>
        </is>
      </c>
    </row>
    <row r="2948">
      <c r="A2948" s="7" t="inlineStr">
        <is>
          <t>2019-08-22</t>
        </is>
      </c>
      <c r="B2948" s="8" t="n">
        <v>8022</v>
      </c>
      <c r="C2948" s="8" t="n">
        <v>8117</v>
      </c>
      <c r="D2948" s="8" t="n">
        <v>8147</v>
      </c>
      <c r="E2948" s="8" t="n">
        <v>8010</v>
      </c>
      <c r="F2948" s="8" t="n">
        <v>888826</v>
      </c>
      <c r="G2948" s="8" t="n">
        <v>736110</v>
      </c>
      <c r="H2948" s="8" t="n">
        <v>7320</v>
      </c>
      <c r="I2948" s="8" t="n">
        <v>7415</v>
      </c>
      <c r="J2948" s="8" t="n">
        <v>7415</v>
      </c>
      <c r="K2948" s="8" t="n">
        <v>7305</v>
      </c>
      <c r="L2948" s="8" t="n">
        <v>556806</v>
      </c>
      <c r="M2948" s="8" t="n">
        <v>817920</v>
      </c>
      <c r="N2948" t="inlineStr">
        <is>
          <t>是</t>
        </is>
      </c>
    </row>
    <row r="2949">
      <c r="A2949" s="7" t="inlineStr">
        <is>
          <t>2019-08-23</t>
        </is>
      </c>
      <c r="B2949" s="8" t="n">
        <v>7905</v>
      </c>
      <c r="C2949" s="8" t="n">
        <v>8033</v>
      </c>
      <c r="D2949" s="8" t="n">
        <v>8045</v>
      </c>
      <c r="E2949" s="8" t="n">
        <v>7868</v>
      </c>
      <c r="F2949" s="8" t="n">
        <v>1334992</v>
      </c>
      <c r="G2949" s="8" t="n">
        <v>765788</v>
      </c>
      <c r="H2949" s="8" t="n">
        <v>7265</v>
      </c>
      <c r="I2949" s="8" t="n">
        <v>7330</v>
      </c>
      <c r="J2949" s="8" t="n">
        <v>7335</v>
      </c>
      <c r="K2949" s="8" t="n">
        <v>7225</v>
      </c>
      <c r="L2949" s="8" t="n">
        <v>695132</v>
      </c>
      <c r="M2949" s="8" t="n">
        <v>836242</v>
      </c>
      <c r="N2949" t="inlineStr">
        <is>
          <t>是</t>
        </is>
      </c>
    </row>
    <row r="2950">
      <c r="A2950" s="7" t="inlineStr">
        <is>
          <t>2019-08-26</t>
        </is>
      </c>
      <c r="B2950" s="8" t="n">
        <v>7909</v>
      </c>
      <c r="C2950" s="8" t="n">
        <v>7850</v>
      </c>
      <c r="D2950" s="8" t="n">
        <v>7988</v>
      </c>
      <c r="E2950" s="8" t="n">
        <v>7825</v>
      </c>
      <c r="F2950" s="8" t="n">
        <v>1073350</v>
      </c>
      <c r="G2950" s="8" t="n">
        <v>735220</v>
      </c>
      <c r="H2950" s="8" t="n">
        <v>7295</v>
      </c>
      <c r="I2950" s="8" t="n">
        <v>7245</v>
      </c>
      <c r="J2950" s="8" t="n">
        <v>7320</v>
      </c>
      <c r="K2950" s="8" t="n">
        <v>7180</v>
      </c>
      <c r="L2950" s="8" t="n">
        <v>565064</v>
      </c>
      <c r="M2950" s="8" t="n">
        <v>807084</v>
      </c>
      <c r="N2950" t="inlineStr">
        <is>
          <t>是</t>
        </is>
      </c>
    </row>
    <row r="2951">
      <c r="A2951" s="7" t="inlineStr">
        <is>
          <t>2019-08-27</t>
        </is>
      </c>
      <c r="B2951" s="8" t="n">
        <v>7868</v>
      </c>
      <c r="C2951" s="8" t="n">
        <v>7932</v>
      </c>
      <c r="D2951" s="8" t="n">
        <v>7959</v>
      </c>
      <c r="E2951" s="8" t="n">
        <v>7859</v>
      </c>
      <c r="F2951" s="8" t="n">
        <v>702340</v>
      </c>
      <c r="G2951" s="8" t="n">
        <v>749964</v>
      </c>
      <c r="H2951" s="8" t="n">
        <v>7225</v>
      </c>
      <c r="I2951" s="8" t="n">
        <v>7310</v>
      </c>
      <c r="J2951" s="8" t="n">
        <v>7330</v>
      </c>
      <c r="K2951" s="8" t="n">
        <v>7220</v>
      </c>
      <c r="L2951" s="8" t="n">
        <v>383360</v>
      </c>
      <c r="M2951" s="8" t="n">
        <v>847240</v>
      </c>
      <c r="N2951" t="inlineStr">
        <is>
          <t>是</t>
        </is>
      </c>
    </row>
    <row r="2952">
      <c r="A2952" s="7" t="inlineStr">
        <is>
          <t>2019-08-28</t>
        </is>
      </c>
      <c r="B2952" s="8" t="n">
        <v>7833</v>
      </c>
      <c r="C2952" s="8" t="n">
        <v>7882</v>
      </c>
      <c r="D2952" s="8" t="n">
        <v>7925</v>
      </c>
      <c r="E2952" s="8" t="n">
        <v>7810</v>
      </c>
      <c r="F2952" s="8" t="n">
        <v>809724</v>
      </c>
      <c r="G2952" s="8" t="n">
        <v>762624</v>
      </c>
      <c r="H2952" s="8" t="n">
        <v>7190</v>
      </c>
      <c r="I2952" s="8" t="n">
        <v>7245</v>
      </c>
      <c r="J2952" s="8" t="n">
        <v>7270</v>
      </c>
      <c r="K2952" s="8" t="n">
        <v>7175</v>
      </c>
      <c r="L2952" s="8" t="n">
        <v>592508</v>
      </c>
      <c r="M2952" s="8" t="n">
        <v>915272</v>
      </c>
      <c r="N2952" t="inlineStr">
        <is>
          <t>是</t>
        </is>
      </c>
    </row>
    <row r="2953">
      <c r="A2953" s="7" t="inlineStr">
        <is>
          <t>2019-08-29</t>
        </is>
      </c>
      <c r="B2953" s="8" t="n">
        <v>7787</v>
      </c>
      <c r="C2953" s="8" t="n">
        <v>7840</v>
      </c>
      <c r="D2953" s="8" t="n">
        <v>7893</v>
      </c>
      <c r="E2953" s="8" t="n">
        <v>7763</v>
      </c>
      <c r="F2953" s="8" t="n">
        <v>1032882</v>
      </c>
      <c r="G2953" s="8" t="n">
        <v>803756</v>
      </c>
      <c r="H2953" s="8" t="n">
        <v>7055</v>
      </c>
      <c r="I2953" s="8" t="n">
        <v>7190</v>
      </c>
      <c r="J2953" s="8" t="n">
        <v>7245</v>
      </c>
      <c r="K2953" s="8" t="n">
        <v>7035</v>
      </c>
      <c r="L2953" s="8" t="n">
        <v>800556</v>
      </c>
      <c r="M2953" s="8" t="n">
        <v>1011098</v>
      </c>
      <c r="N2953" t="inlineStr">
        <is>
          <t>是</t>
        </is>
      </c>
    </row>
    <row r="2954">
      <c r="A2954" s="7" t="inlineStr">
        <is>
          <t>2019-08-30</t>
        </is>
      </c>
      <c r="B2954" s="8" t="n">
        <v>7939</v>
      </c>
      <c r="C2954" s="8" t="n">
        <v>7800</v>
      </c>
      <c r="D2954" s="8" t="n">
        <v>7942</v>
      </c>
      <c r="E2954" s="8" t="n">
        <v>7800</v>
      </c>
      <c r="F2954" s="8" t="n">
        <v>977128</v>
      </c>
      <c r="G2954" s="8" t="n">
        <v>763122</v>
      </c>
      <c r="H2954" s="8" t="n">
        <v>7135</v>
      </c>
      <c r="I2954" s="8" t="n">
        <v>7080</v>
      </c>
      <c r="J2954" s="8" t="n">
        <v>7140</v>
      </c>
      <c r="K2954" s="8" t="n">
        <v>7055</v>
      </c>
      <c r="L2954" s="8" t="n">
        <v>627158</v>
      </c>
      <c r="M2954" s="8" t="n">
        <v>974928</v>
      </c>
      <c r="N2954" t="inlineStr">
        <is>
          <t>是</t>
        </is>
      </c>
    </row>
    <row r="2955">
      <c r="A2955" s="7" t="inlineStr">
        <is>
          <t>2019-09-02</t>
        </is>
      </c>
      <c r="B2955" s="8" t="n">
        <v>7997</v>
      </c>
      <c r="C2955" s="8" t="n">
        <v>7938</v>
      </c>
      <c r="D2955" s="8" t="n">
        <v>7999</v>
      </c>
      <c r="E2955" s="8" t="n">
        <v>7902</v>
      </c>
      <c r="F2955" s="8" t="n">
        <v>829604</v>
      </c>
      <c r="G2955" s="8" t="n">
        <v>746782</v>
      </c>
      <c r="H2955" s="8" t="n">
        <v>7185</v>
      </c>
      <c r="I2955" s="8" t="n">
        <v>7140</v>
      </c>
      <c r="J2955" s="8" t="n">
        <v>7185</v>
      </c>
      <c r="K2955" s="8" t="n">
        <v>7095</v>
      </c>
      <c r="L2955" s="8" t="n">
        <v>686764</v>
      </c>
      <c r="M2955" s="8" t="n">
        <v>959554</v>
      </c>
      <c r="N2955" t="inlineStr">
        <is>
          <t>是</t>
        </is>
      </c>
    </row>
    <row r="2956">
      <c r="A2956" s="7" t="inlineStr">
        <is>
          <t>2019-09-03</t>
        </is>
      </c>
      <c r="B2956" s="8" t="n">
        <v>7978</v>
      </c>
      <c r="C2956" s="8" t="n">
        <v>7992</v>
      </c>
      <c r="D2956" s="8" t="n">
        <v>8017</v>
      </c>
      <c r="E2956" s="8" t="n">
        <v>7937</v>
      </c>
      <c r="F2956" s="8" t="n">
        <v>663998</v>
      </c>
      <c r="G2956" s="8" t="n">
        <v>727556</v>
      </c>
      <c r="H2956" s="8" t="n">
        <v>7170</v>
      </c>
      <c r="I2956" s="8" t="n">
        <v>7175</v>
      </c>
      <c r="J2956" s="8" t="n">
        <v>7260</v>
      </c>
      <c r="K2956" s="8" t="n">
        <v>7150</v>
      </c>
      <c r="L2956" s="8" t="n">
        <v>642238</v>
      </c>
      <c r="M2956" s="8" t="n">
        <v>948088</v>
      </c>
      <c r="N2956" t="inlineStr">
        <is>
          <t>是</t>
        </is>
      </c>
    </row>
    <row r="2957">
      <c r="A2957" s="7" t="inlineStr">
        <is>
          <t>2019-09-04</t>
        </is>
      </c>
      <c r="B2957" s="8" t="n">
        <v>8074</v>
      </c>
      <c r="C2957" s="8" t="n">
        <v>7958</v>
      </c>
      <c r="D2957" s="8" t="n">
        <v>8080</v>
      </c>
      <c r="E2957" s="8" t="n">
        <v>7955</v>
      </c>
      <c r="F2957" s="8" t="n">
        <v>720912</v>
      </c>
      <c r="G2957" s="8" t="n">
        <v>729024</v>
      </c>
      <c r="H2957" s="8" t="n">
        <v>7255</v>
      </c>
      <c r="I2957" s="8" t="n">
        <v>7165</v>
      </c>
      <c r="J2957" s="8" t="n">
        <v>7275</v>
      </c>
      <c r="K2957" s="8" t="n">
        <v>7155</v>
      </c>
      <c r="L2957" s="8" t="n">
        <v>510904</v>
      </c>
      <c r="M2957" s="8" t="n">
        <v>904760</v>
      </c>
      <c r="N2957" t="inlineStr">
        <is>
          <t>是</t>
        </is>
      </c>
    </row>
    <row r="2958">
      <c r="A2958" s="7" t="inlineStr">
        <is>
          <t>2019-09-05</t>
        </is>
      </c>
      <c r="B2958" s="8" t="n">
        <v>8077</v>
      </c>
      <c r="C2958" s="8" t="n">
        <v>8095</v>
      </c>
      <c r="D2958" s="8" t="n">
        <v>8170</v>
      </c>
      <c r="E2958" s="8" t="n">
        <v>8057</v>
      </c>
      <c r="F2958" s="8" t="n">
        <v>1017074</v>
      </c>
      <c r="G2958" s="8" t="n">
        <v>775484</v>
      </c>
      <c r="H2958" s="8" t="n">
        <v>7240</v>
      </c>
      <c r="I2958" s="8" t="n">
        <v>7265</v>
      </c>
      <c r="J2958" s="8" t="n">
        <v>7300</v>
      </c>
      <c r="K2958" s="8" t="n">
        <v>7230</v>
      </c>
      <c r="L2958" s="8" t="n">
        <v>527644</v>
      </c>
      <c r="M2958" s="8" t="n">
        <v>900580</v>
      </c>
      <c r="N2958" t="inlineStr">
        <is>
          <t>是</t>
        </is>
      </c>
    </row>
    <row r="2959">
      <c r="A2959" s="7" t="inlineStr">
        <is>
          <t>2019-09-06</t>
        </is>
      </c>
      <c r="B2959" s="8" t="n">
        <v>8066</v>
      </c>
      <c r="C2959" s="8" t="n">
        <v>8091</v>
      </c>
      <c r="D2959" s="8" t="n">
        <v>8142</v>
      </c>
      <c r="E2959" s="8" t="n">
        <v>8038</v>
      </c>
      <c r="F2959" s="8" t="n">
        <v>739030</v>
      </c>
      <c r="G2959" s="8" t="n">
        <v>771350</v>
      </c>
      <c r="H2959" s="8" t="n">
        <v>7195</v>
      </c>
      <c r="I2959" s="8" t="n">
        <v>7250</v>
      </c>
      <c r="J2959" s="8" t="n">
        <v>7290</v>
      </c>
      <c r="K2959" s="8" t="n">
        <v>7165</v>
      </c>
      <c r="L2959" s="8" t="n">
        <v>542892</v>
      </c>
      <c r="M2959" s="8" t="n">
        <v>935634</v>
      </c>
      <c r="N2959" t="inlineStr">
        <is>
          <t>是</t>
        </is>
      </c>
    </row>
    <row r="2960">
      <c r="A2960" s="7" t="inlineStr">
        <is>
          <t>2019-09-09</t>
        </is>
      </c>
      <c r="B2960" s="8" t="n">
        <v>8181</v>
      </c>
      <c r="C2960" s="8" t="n">
        <v>8056</v>
      </c>
      <c r="D2960" s="8" t="n">
        <v>8185</v>
      </c>
      <c r="E2960" s="8" t="n">
        <v>8013</v>
      </c>
      <c r="F2960" s="8" t="n">
        <v>954702</v>
      </c>
      <c r="G2960" s="8" t="n">
        <v>786148</v>
      </c>
      <c r="H2960" s="8" t="n">
        <v>7350</v>
      </c>
      <c r="I2960" s="8" t="n">
        <v>7225</v>
      </c>
      <c r="J2960" s="8" t="n">
        <v>7350</v>
      </c>
      <c r="K2960" s="8" t="n">
        <v>7200</v>
      </c>
      <c r="L2960" s="8" t="n">
        <v>624878</v>
      </c>
      <c r="M2960" s="8" t="n">
        <v>871684</v>
      </c>
      <c r="N2960" t="inlineStr">
        <is>
          <t>是</t>
        </is>
      </c>
    </row>
    <row r="2961">
      <c r="A2961" s="7" t="inlineStr">
        <is>
          <t>2019-09-10</t>
        </is>
      </c>
      <c r="B2961" s="8" t="n">
        <v>8108</v>
      </c>
      <c r="C2961" s="8" t="n">
        <v>8181</v>
      </c>
      <c r="D2961" s="8" t="n">
        <v>8185</v>
      </c>
      <c r="E2961" s="8" t="n">
        <v>8072</v>
      </c>
      <c r="F2961" s="8" t="n">
        <v>675368</v>
      </c>
      <c r="G2961" s="8" t="n">
        <v>780480</v>
      </c>
      <c r="H2961" s="8" t="n">
        <v>7290</v>
      </c>
      <c r="I2961" s="8" t="n">
        <v>7350</v>
      </c>
      <c r="J2961" s="8" t="n">
        <v>7350</v>
      </c>
      <c r="K2961" s="8" t="n">
        <v>7265</v>
      </c>
      <c r="L2961" s="8" t="n">
        <v>491368</v>
      </c>
      <c r="M2961" s="8" t="n">
        <v>885968</v>
      </c>
      <c r="N2961" t="inlineStr">
        <is>
          <t>是</t>
        </is>
      </c>
    </row>
    <row r="2962">
      <c r="A2962" s="7" t="inlineStr">
        <is>
          <t>2019-09-11</t>
        </is>
      </c>
      <c r="B2962" s="8" t="n">
        <v>8124</v>
      </c>
      <c r="C2962" s="8" t="n">
        <v>8118</v>
      </c>
      <c r="D2962" s="8" t="n">
        <v>8148</v>
      </c>
      <c r="E2962" s="8" t="n">
        <v>8090</v>
      </c>
      <c r="F2962" s="8" t="n">
        <v>580058</v>
      </c>
      <c r="G2962" s="8" t="n">
        <v>769844</v>
      </c>
      <c r="H2962" s="8" t="n">
        <v>7310</v>
      </c>
      <c r="I2962" s="8" t="n">
        <v>7295</v>
      </c>
      <c r="J2962" s="8" t="n">
        <v>7325</v>
      </c>
      <c r="K2962" s="8" t="n">
        <v>7270</v>
      </c>
      <c r="L2962" s="8" t="n">
        <v>378282</v>
      </c>
      <c r="M2962" s="8" t="n">
        <v>858026</v>
      </c>
      <c r="N2962" t="inlineStr">
        <is>
          <t>是</t>
        </is>
      </c>
    </row>
    <row r="2963">
      <c r="A2963" s="7" t="inlineStr">
        <is>
          <t>2019-09-12</t>
        </is>
      </c>
      <c r="B2963" s="8" t="n">
        <v>8081</v>
      </c>
      <c r="C2963" s="8" t="n">
        <v>8122</v>
      </c>
      <c r="D2963" s="8" t="n">
        <v>8155</v>
      </c>
      <c r="E2963" s="8" t="n">
        <v>8020</v>
      </c>
      <c r="F2963" s="8" t="n">
        <v>904734</v>
      </c>
      <c r="G2963" s="8" t="n">
        <v>770722</v>
      </c>
      <c r="H2963" s="8" t="n">
        <v>7290</v>
      </c>
      <c r="I2963" s="8" t="n">
        <v>7310</v>
      </c>
      <c r="J2963" s="8" t="n">
        <v>7350</v>
      </c>
      <c r="K2963" s="8" t="n">
        <v>7255</v>
      </c>
      <c r="L2963" s="8" t="n">
        <v>509502</v>
      </c>
      <c r="M2963" s="8" t="n">
        <v>827932</v>
      </c>
      <c r="N2963" t="inlineStr">
        <is>
          <t>是</t>
        </is>
      </c>
    </row>
    <row r="2964">
      <c r="A2964" s="7" t="inlineStr">
        <is>
          <t>2019-09-16</t>
        </is>
      </c>
      <c r="B2964" s="8" t="n">
        <v>8353</v>
      </c>
      <c r="C2964" s="8" t="n">
        <v>8380</v>
      </c>
      <c r="D2964" s="8" t="n">
        <v>8398</v>
      </c>
      <c r="E2964" s="8" t="n">
        <v>8221</v>
      </c>
      <c r="F2964" s="8" t="n">
        <v>1115004</v>
      </c>
      <c r="G2964" s="8" t="n">
        <v>694042</v>
      </c>
      <c r="H2964" s="8" t="n">
        <v>7630</v>
      </c>
      <c r="I2964" s="8" t="n">
        <v>7495</v>
      </c>
      <c r="J2964" s="8" t="n">
        <v>7670</v>
      </c>
      <c r="K2964" s="8" t="n">
        <v>7390</v>
      </c>
      <c r="L2964" s="8" t="n">
        <v>1107576</v>
      </c>
      <c r="M2964" s="8" t="n">
        <v>706832</v>
      </c>
      <c r="N2964" t="inlineStr">
        <is>
          <t>是</t>
        </is>
      </c>
    </row>
    <row r="2965">
      <c r="A2965" s="7" t="inlineStr">
        <is>
          <t>2019-09-17</t>
        </is>
      </c>
      <c r="B2965" s="8" t="n">
        <v>8430</v>
      </c>
      <c r="C2965" s="8" t="n">
        <v>8351</v>
      </c>
      <c r="D2965" s="8" t="n">
        <v>8536</v>
      </c>
      <c r="E2965" s="8" t="n">
        <v>8349</v>
      </c>
      <c r="F2965" s="8" t="n">
        <v>1396470</v>
      </c>
      <c r="G2965" s="8" t="n">
        <v>699686</v>
      </c>
      <c r="H2965" s="8" t="n">
        <v>7830</v>
      </c>
      <c r="I2965" s="8" t="n">
        <v>7670</v>
      </c>
      <c r="J2965" s="8" t="n">
        <v>7830</v>
      </c>
      <c r="K2965" s="8" t="n">
        <v>7655</v>
      </c>
      <c r="L2965" s="8" t="n">
        <v>1459750</v>
      </c>
      <c r="M2965" s="8" t="n">
        <v>738720</v>
      </c>
      <c r="N2965" t="inlineStr">
        <is>
          <t>是</t>
        </is>
      </c>
    </row>
    <row r="2966">
      <c r="A2966" s="7" t="inlineStr">
        <is>
          <t>2019-09-18</t>
        </is>
      </c>
      <c r="B2966" s="8" t="n">
        <v>8299</v>
      </c>
      <c r="C2966" s="8" t="n">
        <v>8425</v>
      </c>
      <c r="D2966" s="8" t="n">
        <v>8439</v>
      </c>
      <c r="E2966" s="8" t="n">
        <v>8246</v>
      </c>
      <c r="F2966" s="8" t="n">
        <v>1108310</v>
      </c>
      <c r="G2966" s="8" t="n">
        <v>670606</v>
      </c>
      <c r="H2966" s="8" t="n">
        <v>7675</v>
      </c>
      <c r="I2966" s="8" t="n">
        <v>7895</v>
      </c>
      <c r="J2966" s="8" t="n">
        <v>7900</v>
      </c>
      <c r="K2966" s="8" t="n">
        <v>7550</v>
      </c>
      <c r="L2966" s="8" t="n">
        <v>1743910</v>
      </c>
      <c r="M2966" s="8" t="n">
        <v>653156</v>
      </c>
      <c r="N2966" t="inlineStr">
        <is>
          <t>是</t>
        </is>
      </c>
    </row>
    <row r="2967">
      <c r="A2967" s="7" t="inlineStr">
        <is>
          <t>2019-09-19</t>
        </is>
      </c>
      <c r="B2967" s="8" t="n">
        <v>8194</v>
      </c>
      <c r="C2967" s="8" t="n">
        <v>8289</v>
      </c>
      <c r="D2967" s="8" t="n">
        <v>8329</v>
      </c>
      <c r="E2967" s="8" t="n">
        <v>8192</v>
      </c>
      <c r="F2967" s="8" t="n">
        <v>938080</v>
      </c>
      <c r="G2967" s="8" t="n">
        <v>695002</v>
      </c>
      <c r="H2967" s="8" t="n">
        <v>7690</v>
      </c>
      <c r="I2967" s="8" t="n">
        <v>7675</v>
      </c>
      <c r="J2967" s="8" t="n">
        <v>7845</v>
      </c>
      <c r="K2967" s="8" t="n">
        <v>7650</v>
      </c>
      <c r="L2967" s="8" t="n">
        <v>1548900</v>
      </c>
      <c r="M2967" s="8" t="n">
        <v>712508</v>
      </c>
      <c r="N2967" t="inlineStr">
        <is>
          <t>是</t>
        </is>
      </c>
    </row>
    <row r="2968">
      <c r="A2968" s="7" t="inlineStr">
        <is>
          <t>2019-09-20</t>
        </is>
      </c>
      <c r="B2968" s="8" t="n">
        <v>8221</v>
      </c>
      <c r="C2968" s="8" t="n">
        <v>8223</v>
      </c>
      <c r="D2968" s="8" t="n">
        <v>8254</v>
      </c>
      <c r="E2968" s="8" t="n">
        <v>8172</v>
      </c>
      <c r="F2968" s="8" t="n">
        <v>708878</v>
      </c>
      <c r="G2968" s="8" t="n">
        <v>691208</v>
      </c>
      <c r="H2968" s="8" t="n">
        <v>7640</v>
      </c>
      <c r="I2968" s="8" t="n">
        <v>7740</v>
      </c>
      <c r="J2968" s="8" t="n">
        <v>7795</v>
      </c>
      <c r="K2968" s="8" t="n">
        <v>7630</v>
      </c>
      <c r="L2968" s="8" t="n">
        <v>1141660</v>
      </c>
      <c r="M2968" s="8" t="n">
        <v>715144</v>
      </c>
      <c r="N2968" t="inlineStr">
        <is>
          <t>是</t>
        </is>
      </c>
    </row>
    <row r="2969">
      <c r="A2969" s="7" t="inlineStr">
        <is>
          <t>2019-09-23</t>
        </is>
      </c>
      <c r="B2969" s="8" t="n">
        <v>8261</v>
      </c>
      <c r="C2969" s="8" t="n">
        <v>8231</v>
      </c>
      <c r="D2969" s="8" t="n">
        <v>8315</v>
      </c>
      <c r="E2969" s="8" t="n">
        <v>8231</v>
      </c>
      <c r="F2969" s="8" t="n">
        <v>769914</v>
      </c>
      <c r="G2969" s="8" t="n">
        <v>702650</v>
      </c>
      <c r="H2969" s="8" t="n">
        <v>7630</v>
      </c>
      <c r="I2969" s="8" t="n">
        <v>7650</v>
      </c>
      <c r="J2969" s="8" t="n">
        <v>7745</v>
      </c>
      <c r="K2969" s="8" t="n">
        <v>7600</v>
      </c>
      <c r="L2969" s="8" t="n">
        <v>889754</v>
      </c>
      <c r="M2969" s="8" t="n">
        <v>715588</v>
      </c>
      <c r="N2969" t="inlineStr">
        <is>
          <t>是</t>
        </is>
      </c>
    </row>
    <row r="2970">
      <c r="A2970" s="7" t="inlineStr">
        <is>
          <t>2019-09-24</t>
        </is>
      </c>
      <c r="B2970" s="8" t="n">
        <v>8274</v>
      </c>
      <c r="C2970" s="8" t="n">
        <v>8252</v>
      </c>
      <c r="D2970" s="8" t="n">
        <v>8300</v>
      </c>
      <c r="E2970" s="8" t="n">
        <v>8241</v>
      </c>
      <c r="F2970" s="8" t="n">
        <v>603996</v>
      </c>
      <c r="G2970" s="8" t="n">
        <v>684014</v>
      </c>
      <c r="H2970" s="8" t="n">
        <v>7625</v>
      </c>
      <c r="I2970" s="8" t="n">
        <v>7620</v>
      </c>
      <c r="J2970" s="8" t="n">
        <v>7665</v>
      </c>
      <c r="K2970" s="8" t="n">
        <v>7565</v>
      </c>
      <c r="L2970" s="8" t="n">
        <v>686232</v>
      </c>
      <c r="M2970" s="8" t="n">
        <v>721238</v>
      </c>
      <c r="N2970" t="inlineStr">
        <is>
          <t>是</t>
        </is>
      </c>
    </row>
    <row r="2971">
      <c r="A2971" s="7" t="inlineStr">
        <is>
          <t>2019-09-25</t>
        </is>
      </c>
      <c r="B2971" s="8" t="n">
        <v>8269</v>
      </c>
      <c r="C2971" s="8" t="n">
        <v>8273</v>
      </c>
      <c r="D2971" s="8" t="n">
        <v>8318</v>
      </c>
      <c r="E2971" s="8" t="n">
        <v>8235</v>
      </c>
      <c r="F2971" s="8" t="n">
        <v>706954</v>
      </c>
      <c r="G2971" s="8" t="n">
        <v>658826</v>
      </c>
      <c r="H2971" s="8" t="n">
        <v>7575</v>
      </c>
      <c r="I2971" s="8" t="n">
        <v>7625</v>
      </c>
      <c r="J2971" s="8" t="n">
        <v>7655</v>
      </c>
      <c r="K2971" s="8" t="n">
        <v>7560</v>
      </c>
      <c r="L2971" s="8" t="n">
        <v>702922</v>
      </c>
      <c r="M2971" s="8" t="n">
        <v>700302</v>
      </c>
      <c r="N2971" t="inlineStr">
        <is>
          <t>是</t>
        </is>
      </c>
    </row>
    <row r="2972">
      <c r="A2972" s="7" t="inlineStr">
        <is>
          <t>2019-09-26</t>
        </is>
      </c>
      <c r="B2972" s="8" t="n">
        <v>8240</v>
      </c>
      <c r="C2972" s="8" t="n">
        <v>8282</v>
      </c>
      <c r="D2972" s="8" t="n">
        <v>8282</v>
      </c>
      <c r="E2972" s="8" t="n">
        <v>8177</v>
      </c>
      <c r="F2972" s="8" t="n">
        <v>834236</v>
      </c>
      <c r="G2972" s="8" t="n">
        <v>636332</v>
      </c>
      <c r="H2972" s="8" t="n">
        <v>7530</v>
      </c>
      <c r="I2972" s="8" t="n">
        <v>7555</v>
      </c>
      <c r="J2972" s="8" t="n">
        <v>7600</v>
      </c>
      <c r="K2972" s="8" t="n">
        <v>7475</v>
      </c>
      <c r="L2972" s="8" t="n">
        <v>761212</v>
      </c>
      <c r="M2972" s="8" t="n">
        <v>653952</v>
      </c>
      <c r="N2972" t="inlineStr">
        <is>
          <t>是</t>
        </is>
      </c>
    </row>
    <row r="2973">
      <c r="A2973" s="7" t="inlineStr">
        <is>
          <t>2019-09-27</t>
        </is>
      </c>
      <c r="B2973" s="8" t="n">
        <v>8147</v>
      </c>
      <c r="C2973" s="8" t="n">
        <v>8225</v>
      </c>
      <c r="D2973" s="8" t="n">
        <v>8249</v>
      </c>
      <c r="E2973" s="8" t="n">
        <v>8133</v>
      </c>
      <c r="F2973" s="8" t="n">
        <v>559548</v>
      </c>
      <c r="G2973" s="8" t="n">
        <v>619618</v>
      </c>
      <c r="H2973" s="8" t="n">
        <v>7470</v>
      </c>
      <c r="I2973" s="8" t="n">
        <v>7530</v>
      </c>
      <c r="J2973" s="8" t="n">
        <v>7540</v>
      </c>
      <c r="K2973" s="8" t="n">
        <v>7425</v>
      </c>
      <c r="L2973" s="8" t="n">
        <v>385668</v>
      </c>
      <c r="M2973" s="8" t="n">
        <v>620894</v>
      </c>
      <c r="N2973" t="inlineStr">
        <is>
          <t>是</t>
        </is>
      </c>
    </row>
    <row r="2974">
      <c r="A2974" s="7" t="inlineStr">
        <is>
          <t>2019-09-30</t>
        </is>
      </c>
      <c r="B2974" s="8" t="n">
        <v>8183</v>
      </c>
      <c r="C2974" s="8" t="n">
        <v>8110</v>
      </c>
      <c r="D2974" s="8" t="n">
        <v>8215</v>
      </c>
      <c r="E2974" s="8" t="n">
        <v>8110</v>
      </c>
      <c r="F2974" s="8" t="n">
        <v>486102</v>
      </c>
      <c r="G2974" s="8" t="n">
        <v>576092</v>
      </c>
      <c r="H2974" s="8" t="n">
        <v>7535</v>
      </c>
      <c r="I2974" s="8" t="n">
        <v>7460</v>
      </c>
      <c r="J2974" s="8" t="n">
        <v>7545</v>
      </c>
      <c r="K2974" s="8" t="n">
        <v>7440</v>
      </c>
      <c r="L2974" s="8" t="n">
        <v>407002</v>
      </c>
      <c r="M2974" s="8" t="n">
        <v>606564</v>
      </c>
      <c r="N2974" t="inlineStr">
        <is>
          <t>是</t>
        </is>
      </c>
    </row>
    <row r="2975">
      <c r="A2975" s="7" t="inlineStr">
        <is>
          <t>2019-10-08</t>
        </is>
      </c>
      <c r="B2975" s="8" t="n">
        <v>8120</v>
      </c>
      <c r="C2975" s="8" t="n">
        <v>8130</v>
      </c>
      <c r="D2975" s="8" t="n">
        <v>8160</v>
      </c>
      <c r="E2975" s="8" t="n">
        <v>8025</v>
      </c>
      <c r="F2975" s="8" t="n">
        <v>482758</v>
      </c>
      <c r="G2975" s="8" t="n">
        <v>589432</v>
      </c>
      <c r="H2975" s="8" t="n">
        <v>7410</v>
      </c>
      <c r="I2975" s="8" t="n">
        <v>7495</v>
      </c>
      <c r="J2975" s="8" t="n">
        <v>7535</v>
      </c>
      <c r="K2975" s="8" t="n">
        <v>7345</v>
      </c>
      <c r="L2975" s="8" t="n">
        <v>481930</v>
      </c>
      <c r="M2975" s="8" t="n">
        <v>607572</v>
      </c>
      <c r="N2975" t="inlineStr">
        <is>
          <t>是</t>
        </is>
      </c>
    </row>
    <row r="2976">
      <c r="A2976" s="7" t="inlineStr">
        <is>
          <t>2019-10-09</t>
        </is>
      </c>
      <c r="B2976" s="8" t="n">
        <v>8130</v>
      </c>
      <c r="C2976" s="8" t="n">
        <v>8109</v>
      </c>
      <c r="D2976" s="8" t="n">
        <v>8198</v>
      </c>
      <c r="E2976" s="8" t="n">
        <v>8097</v>
      </c>
      <c r="F2976" s="8" t="n">
        <v>554110</v>
      </c>
      <c r="G2976" s="8" t="n">
        <v>619720</v>
      </c>
      <c r="H2976" s="8" t="n">
        <v>7390</v>
      </c>
      <c r="I2976" s="8" t="n">
        <v>7385</v>
      </c>
      <c r="J2976" s="8" t="n">
        <v>7480</v>
      </c>
      <c r="K2976" s="8" t="n">
        <v>7370</v>
      </c>
      <c r="L2976" s="8" t="n">
        <v>391476</v>
      </c>
      <c r="M2976" s="8" t="n">
        <v>624678</v>
      </c>
      <c r="N2976" t="inlineStr">
        <is>
          <t>是</t>
        </is>
      </c>
    </row>
    <row r="2977">
      <c r="A2977" s="7" t="inlineStr">
        <is>
          <t>2019-10-10</t>
        </is>
      </c>
      <c r="B2977" s="8" t="n">
        <v>8121</v>
      </c>
      <c r="C2977" s="8" t="n">
        <v>8136</v>
      </c>
      <c r="D2977" s="8" t="n">
        <v>8146</v>
      </c>
      <c r="E2977" s="8" t="n">
        <v>8088</v>
      </c>
      <c r="F2977" s="8" t="n">
        <v>556080</v>
      </c>
      <c r="G2977" s="8" t="n">
        <v>636774</v>
      </c>
      <c r="H2977" s="8" t="n">
        <v>7385</v>
      </c>
      <c r="I2977" s="8" t="n">
        <v>7395</v>
      </c>
      <c r="J2977" s="8" t="n">
        <v>7435</v>
      </c>
      <c r="K2977" s="8" t="n">
        <v>7355</v>
      </c>
      <c r="L2977" s="8" t="n">
        <v>423294</v>
      </c>
      <c r="M2977" s="8" t="n">
        <v>632140</v>
      </c>
      <c r="N2977" t="inlineStr">
        <is>
          <t>是</t>
        </is>
      </c>
    </row>
    <row r="2978">
      <c r="A2978" s="7" t="inlineStr">
        <is>
          <t>2019-10-11</t>
        </is>
      </c>
      <c r="B2978" s="8" t="n">
        <v>8162</v>
      </c>
      <c r="C2978" s="8" t="n">
        <v>8121</v>
      </c>
      <c r="D2978" s="8" t="n">
        <v>8185</v>
      </c>
      <c r="E2978" s="8" t="n">
        <v>8115</v>
      </c>
      <c r="F2978" s="8" t="n">
        <v>691024</v>
      </c>
      <c r="G2978" s="8" t="n">
        <v>640108</v>
      </c>
      <c r="H2978" s="8" t="n">
        <v>7430</v>
      </c>
      <c r="I2978" s="8" t="n">
        <v>7400</v>
      </c>
      <c r="J2978" s="8" t="n">
        <v>7475</v>
      </c>
      <c r="K2978" s="8" t="n">
        <v>7365</v>
      </c>
      <c r="L2978" s="8" t="n">
        <v>592012</v>
      </c>
      <c r="M2978" s="8" t="n">
        <v>630372</v>
      </c>
      <c r="N2978" t="inlineStr">
        <is>
          <t>是</t>
        </is>
      </c>
    </row>
    <row r="2979">
      <c r="A2979" s="7" t="inlineStr">
        <is>
          <t>2019-10-14</t>
        </is>
      </c>
      <c r="B2979" s="8" t="n">
        <v>8262</v>
      </c>
      <c r="C2979" s="8" t="n">
        <v>8170</v>
      </c>
      <c r="D2979" s="8" t="n">
        <v>8279</v>
      </c>
      <c r="E2979" s="8" t="n">
        <v>8152</v>
      </c>
      <c r="F2979" s="8" t="n">
        <v>793744</v>
      </c>
      <c r="G2979" s="8" t="n">
        <v>695118</v>
      </c>
      <c r="H2979" s="8" t="n">
        <v>7520</v>
      </c>
      <c r="I2979" s="8" t="n">
        <v>7435</v>
      </c>
      <c r="J2979" s="8" t="n">
        <v>7575</v>
      </c>
      <c r="K2979" s="8" t="n">
        <v>7410</v>
      </c>
      <c r="L2979" s="8" t="n">
        <v>698494</v>
      </c>
      <c r="M2979" s="8" t="n">
        <v>634368</v>
      </c>
      <c r="N2979" t="inlineStr">
        <is>
          <t>是</t>
        </is>
      </c>
    </row>
    <row r="2980">
      <c r="A2980" s="7" t="inlineStr">
        <is>
          <t>2019-10-15</t>
        </is>
      </c>
      <c r="B2980" s="8" t="n">
        <v>8194</v>
      </c>
      <c r="C2980" s="8" t="n">
        <v>8248</v>
      </c>
      <c r="D2980" s="8" t="n">
        <v>8255</v>
      </c>
      <c r="E2980" s="8" t="n">
        <v>8143</v>
      </c>
      <c r="F2980" s="8" t="n">
        <v>626164</v>
      </c>
      <c r="G2980" s="8" t="n">
        <v>667144</v>
      </c>
      <c r="H2980" s="8" t="n">
        <v>7450</v>
      </c>
      <c r="I2980" s="8" t="n">
        <v>7490</v>
      </c>
      <c r="J2980" s="8" t="n">
        <v>7510</v>
      </c>
      <c r="K2980" s="8" t="n">
        <v>7415</v>
      </c>
      <c r="L2980" s="8" t="n">
        <v>399880</v>
      </c>
      <c r="M2980" s="8" t="n">
        <v>628946</v>
      </c>
      <c r="N2980" t="inlineStr">
        <is>
          <t>是</t>
        </is>
      </c>
    </row>
    <row r="2981">
      <c r="A2981" s="7" t="inlineStr">
        <is>
          <t>2019-10-16</t>
        </is>
      </c>
      <c r="B2981" s="8" t="n">
        <v>8100</v>
      </c>
      <c r="C2981" s="8" t="n">
        <v>8205</v>
      </c>
      <c r="D2981" s="8" t="n">
        <v>8219</v>
      </c>
      <c r="E2981" s="8" t="n">
        <v>8095</v>
      </c>
      <c r="F2981" s="8" t="n">
        <v>683180</v>
      </c>
      <c r="G2981" s="8" t="n">
        <v>671232</v>
      </c>
      <c r="H2981" s="8" t="n">
        <v>7310</v>
      </c>
      <c r="I2981" s="8" t="n">
        <v>7465</v>
      </c>
      <c r="J2981" s="8" t="n">
        <v>7485</v>
      </c>
      <c r="K2981" s="8" t="n">
        <v>7305</v>
      </c>
      <c r="L2981" s="8" t="n">
        <v>553960</v>
      </c>
      <c r="M2981" s="8" t="n">
        <v>644664</v>
      </c>
      <c r="N2981" t="inlineStr">
        <is>
          <t>是</t>
        </is>
      </c>
    </row>
    <row r="2982">
      <c r="A2982" s="7" t="inlineStr">
        <is>
          <t>2019-10-17</t>
        </is>
      </c>
      <c r="B2982" s="8" t="n">
        <v>8075</v>
      </c>
      <c r="C2982" s="8" t="n">
        <v>8100</v>
      </c>
      <c r="D2982" s="8" t="n">
        <v>8123</v>
      </c>
      <c r="E2982" s="8" t="n">
        <v>8013</v>
      </c>
      <c r="F2982" s="8" t="n">
        <v>854426</v>
      </c>
      <c r="G2982" s="8" t="n">
        <v>713468</v>
      </c>
      <c r="H2982" s="8" t="n">
        <v>7295</v>
      </c>
      <c r="I2982" s="8" t="n">
        <v>7310</v>
      </c>
      <c r="J2982" s="8" t="n">
        <v>7325</v>
      </c>
      <c r="K2982" s="8" t="n">
        <v>7245</v>
      </c>
      <c r="L2982" s="8" t="n">
        <v>597360</v>
      </c>
      <c r="M2982" s="8" t="n">
        <v>652262</v>
      </c>
      <c r="N2982" t="inlineStr">
        <is>
          <t>是</t>
        </is>
      </c>
    </row>
    <row r="2983">
      <c r="A2983" s="7" t="inlineStr">
        <is>
          <t>2019-10-18</t>
        </is>
      </c>
      <c r="B2983" s="8" t="n">
        <v>8113</v>
      </c>
      <c r="C2983" s="8" t="n">
        <v>8073</v>
      </c>
      <c r="D2983" s="8" t="n">
        <v>8130</v>
      </c>
      <c r="E2983" s="8" t="n">
        <v>8028</v>
      </c>
      <c r="F2983" s="8" t="n">
        <v>668024</v>
      </c>
      <c r="G2983" s="8" t="n">
        <v>702682</v>
      </c>
      <c r="H2983" s="8" t="n">
        <v>7340</v>
      </c>
      <c r="I2983" s="8" t="n">
        <v>7295</v>
      </c>
      <c r="J2983" s="8" t="n">
        <v>7360</v>
      </c>
      <c r="K2983" s="8" t="n">
        <v>7280</v>
      </c>
      <c r="L2983" s="8" t="n">
        <v>391524</v>
      </c>
      <c r="M2983" s="8" t="n">
        <v>630200</v>
      </c>
      <c r="N2983" t="inlineStr">
        <is>
          <t>是</t>
        </is>
      </c>
    </row>
    <row r="2984">
      <c r="A2984" s="7" t="inlineStr">
        <is>
          <t>2019-10-21</t>
        </is>
      </c>
      <c r="B2984" s="8" t="n">
        <v>8030</v>
      </c>
      <c r="C2984" s="8" t="n">
        <v>8120</v>
      </c>
      <c r="D2984" s="8" t="n">
        <v>8130</v>
      </c>
      <c r="E2984" s="8" t="n">
        <v>7991</v>
      </c>
      <c r="F2984" s="8" t="n">
        <v>754788</v>
      </c>
      <c r="G2984" s="8" t="n">
        <v>691884</v>
      </c>
      <c r="H2984" s="8" t="n">
        <v>7255</v>
      </c>
      <c r="I2984" s="8" t="n">
        <v>7345</v>
      </c>
      <c r="J2984" s="8" t="n">
        <v>7350</v>
      </c>
      <c r="K2984" s="8" t="n">
        <v>7215</v>
      </c>
      <c r="L2984" s="8" t="n">
        <v>456538</v>
      </c>
      <c r="M2984" s="8" t="n">
        <v>645320</v>
      </c>
      <c r="N2984" t="inlineStr">
        <is>
          <t>是</t>
        </is>
      </c>
    </row>
    <row r="2985">
      <c r="A2985" s="7" t="inlineStr">
        <is>
          <t>2019-10-22</t>
        </is>
      </c>
      <c r="B2985" s="8" t="n">
        <v>8044</v>
      </c>
      <c r="C2985" s="8" t="n">
        <v>8030</v>
      </c>
      <c r="D2985" s="8" t="n">
        <v>8054</v>
      </c>
      <c r="E2985" s="8" t="n">
        <v>7965</v>
      </c>
      <c r="F2985" s="8" t="n">
        <v>839036</v>
      </c>
      <c r="G2985" s="8" t="n">
        <v>715886</v>
      </c>
      <c r="H2985" s="8" t="n">
        <v>7260</v>
      </c>
      <c r="I2985" s="8" t="n">
        <v>7235</v>
      </c>
      <c r="J2985" s="8" t="n">
        <v>7275</v>
      </c>
      <c r="K2985" s="8" t="n">
        <v>7190</v>
      </c>
      <c r="L2985" s="8" t="n">
        <v>440284</v>
      </c>
      <c r="M2985" s="8" t="n">
        <v>670152</v>
      </c>
      <c r="N2985" t="inlineStr">
        <is>
          <t>是</t>
        </is>
      </c>
    </row>
    <row r="2986">
      <c r="A2986" s="7" t="inlineStr">
        <is>
          <t>2019-10-23</t>
        </is>
      </c>
      <c r="B2986" s="8" t="n">
        <v>8063</v>
      </c>
      <c r="C2986" s="8" t="n">
        <v>8094</v>
      </c>
      <c r="D2986" s="8" t="n">
        <v>8100</v>
      </c>
      <c r="E2986" s="8" t="n">
        <v>8047</v>
      </c>
      <c r="F2986" s="8" t="n">
        <v>736898</v>
      </c>
      <c r="G2986" s="8" t="n">
        <v>690696</v>
      </c>
      <c r="H2986" s="8" t="n">
        <v>7320</v>
      </c>
      <c r="I2986" s="8" t="n">
        <v>7285</v>
      </c>
      <c r="J2986" s="8" t="n">
        <v>7345</v>
      </c>
      <c r="K2986" s="8" t="n">
        <v>7265</v>
      </c>
      <c r="L2986" s="8" t="n">
        <v>424466</v>
      </c>
      <c r="M2986" s="8" t="n">
        <v>647594</v>
      </c>
      <c r="N2986" t="inlineStr">
        <is>
          <t>是</t>
        </is>
      </c>
    </row>
    <row r="2987">
      <c r="A2987" s="7" t="inlineStr">
        <is>
          <t>2019-10-24</t>
        </is>
      </c>
      <c r="B2987" s="8" t="n">
        <v>8114</v>
      </c>
      <c r="C2987" s="8" t="n">
        <v>8054</v>
      </c>
      <c r="D2987" s="8" t="n">
        <v>8126</v>
      </c>
      <c r="E2987" s="8" t="n">
        <v>8041</v>
      </c>
      <c r="F2987" s="8" t="n">
        <v>621858</v>
      </c>
      <c r="G2987" s="8" t="n">
        <v>680468</v>
      </c>
      <c r="H2987" s="8" t="n">
        <v>7345</v>
      </c>
      <c r="I2987" s="8" t="n">
        <v>7310</v>
      </c>
      <c r="J2987" s="8" t="n">
        <v>7395</v>
      </c>
      <c r="K2987" s="8" t="n">
        <v>7300</v>
      </c>
      <c r="L2987" s="8" t="n">
        <v>420230</v>
      </c>
      <c r="M2987" s="8" t="n">
        <v>624676</v>
      </c>
      <c r="N2987" t="inlineStr">
        <is>
          <t>是</t>
        </is>
      </c>
    </row>
    <row r="2988">
      <c r="A2988" s="7" t="inlineStr">
        <is>
          <t>2019-10-25</t>
        </is>
      </c>
      <c r="B2988" s="8" t="n">
        <v>8085</v>
      </c>
      <c r="C2988" s="8" t="n">
        <v>8128</v>
      </c>
      <c r="D2988" s="8" t="n">
        <v>8184</v>
      </c>
      <c r="E2988" s="8" t="n">
        <v>8082</v>
      </c>
      <c r="F2988" s="8" t="n">
        <v>763714</v>
      </c>
      <c r="G2988" s="8" t="n">
        <v>641466</v>
      </c>
      <c r="H2988" s="8" t="n">
        <v>7305</v>
      </c>
      <c r="I2988" s="8" t="n">
        <v>7345</v>
      </c>
      <c r="J2988" s="8" t="n">
        <v>7375</v>
      </c>
      <c r="K2988" s="8" t="n">
        <v>7295</v>
      </c>
      <c r="L2988" s="8" t="n">
        <v>324674</v>
      </c>
      <c r="M2988" s="8" t="n">
        <v>623422</v>
      </c>
      <c r="N2988" t="inlineStr">
        <is>
          <t>是</t>
        </is>
      </c>
    </row>
    <row r="2989">
      <c r="A2989" s="7" t="inlineStr">
        <is>
          <t>2019-10-28</t>
        </is>
      </c>
      <c r="B2989" s="8" t="n">
        <v>8028</v>
      </c>
      <c r="C2989" s="8" t="n">
        <v>8085</v>
      </c>
      <c r="D2989" s="8" t="n">
        <v>8100</v>
      </c>
      <c r="E2989" s="8" t="n">
        <v>8007</v>
      </c>
      <c r="F2989" s="8" t="n">
        <v>710090</v>
      </c>
      <c r="G2989" s="8" t="n">
        <v>671762</v>
      </c>
      <c r="H2989" s="8" t="n">
        <v>7305</v>
      </c>
      <c r="I2989" s="8" t="n">
        <v>7305</v>
      </c>
      <c r="J2989" s="8" t="n">
        <v>7340</v>
      </c>
      <c r="K2989" s="8" t="n">
        <v>7270</v>
      </c>
      <c r="L2989" s="8" t="n">
        <v>371634</v>
      </c>
      <c r="M2989" s="8" t="n">
        <v>620114</v>
      </c>
      <c r="N2989" t="inlineStr">
        <is>
          <t>是</t>
        </is>
      </c>
    </row>
    <row r="2990">
      <c r="A2990" s="7" t="inlineStr">
        <is>
          <t>2019-10-29</t>
        </is>
      </c>
      <c r="B2990" s="8" t="n">
        <v>7973</v>
      </c>
      <c r="C2990" s="8" t="n">
        <v>8028</v>
      </c>
      <c r="D2990" s="8" t="n">
        <v>8038</v>
      </c>
      <c r="E2990" s="8" t="n">
        <v>7945</v>
      </c>
      <c r="F2990" s="8" t="n">
        <v>754866</v>
      </c>
      <c r="G2990" s="8" t="n">
        <v>686132</v>
      </c>
      <c r="H2990" s="8" t="n">
        <v>7270</v>
      </c>
      <c r="I2990" s="8" t="n">
        <v>7305</v>
      </c>
      <c r="J2990" s="8" t="n">
        <v>7325</v>
      </c>
      <c r="K2990" s="8" t="n">
        <v>7255</v>
      </c>
      <c r="L2990" s="8" t="n">
        <v>305662</v>
      </c>
      <c r="M2990" s="8" t="n">
        <v>615554</v>
      </c>
      <c r="N2990" t="inlineStr">
        <is>
          <t>是</t>
        </is>
      </c>
    </row>
    <row r="2991">
      <c r="A2991" s="7" t="inlineStr">
        <is>
          <t>2019-10-30</t>
        </is>
      </c>
      <c r="B2991" s="8" t="n">
        <v>7975</v>
      </c>
      <c r="C2991" s="8" t="n">
        <v>7961</v>
      </c>
      <c r="D2991" s="8" t="n">
        <v>7998</v>
      </c>
      <c r="E2991" s="8" t="n">
        <v>7950</v>
      </c>
      <c r="F2991" s="8" t="n">
        <v>539002</v>
      </c>
      <c r="G2991" s="8" t="n">
        <v>679992</v>
      </c>
      <c r="H2991" s="8" t="n">
        <v>7270</v>
      </c>
      <c r="I2991" s="8" t="n">
        <v>7260</v>
      </c>
      <c r="J2991" s="8" t="n">
        <v>7335</v>
      </c>
      <c r="K2991" s="8" t="n">
        <v>7255</v>
      </c>
      <c r="L2991" s="8" t="n">
        <v>388462</v>
      </c>
      <c r="M2991" s="8" t="n">
        <v>619888</v>
      </c>
      <c r="N2991" t="inlineStr">
        <is>
          <t>是</t>
        </is>
      </c>
    </row>
    <row r="2992">
      <c r="A2992" s="7" t="inlineStr">
        <is>
          <t>2019-10-31</t>
        </is>
      </c>
      <c r="B2992" s="8" t="n">
        <v>7944</v>
      </c>
      <c r="C2992" s="8" t="n">
        <v>7981</v>
      </c>
      <c r="D2992" s="8" t="n">
        <v>8029</v>
      </c>
      <c r="E2992" s="8" t="n">
        <v>7931</v>
      </c>
      <c r="F2992" s="8" t="n">
        <v>636936</v>
      </c>
      <c r="G2992" s="8" t="n">
        <v>691986</v>
      </c>
      <c r="H2992" s="8" t="n">
        <v>7290</v>
      </c>
      <c r="I2992" s="8" t="n">
        <v>7270</v>
      </c>
      <c r="J2992" s="8" t="n">
        <v>7295</v>
      </c>
      <c r="K2992" s="8" t="n">
        <v>7250</v>
      </c>
      <c r="L2992" s="8" t="n">
        <v>280792</v>
      </c>
      <c r="M2992" s="8" t="n">
        <v>610086</v>
      </c>
      <c r="N2992" t="inlineStr">
        <is>
          <t>是</t>
        </is>
      </c>
    </row>
    <row r="2993">
      <c r="A2993" s="7" t="inlineStr">
        <is>
          <t>2019-11-01</t>
        </is>
      </c>
      <c r="B2993" s="8" t="n">
        <v>7965</v>
      </c>
      <c r="C2993" s="8" t="n">
        <v>7930</v>
      </c>
      <c r="D2993" s="8" t="n">
        <v>7965</v>
      </c>
      <c r="E2993" s="8" t="n">
        <v>7835</v>
      </c>
      <c r="F2993" s="8" t="n">
        <v>1023524</v>
      </c>
      <c r="G2993" s="8" t="n">
        <v>654168</v>
      </c>
      <c r="H2993" s="8" t="n">
        <v>7255</v>
      </c>
      <c r="I2993" s="8" t="n">
        <v>7280</v>
      </c>
      <c r="J2993" s="8" t="n">
        <v>7285</v>
      </c>
      <c r="K2993" s="8" t="n">
        <v>7175</v>
      </c>
      <c r="L2993" s="8" t="n">
        <v>542810</v>
      </c>
      <c r="M2993" s="8" t="n">
        <v>629772</v>
      </c>
      <c r="N2993" t="inlineStr">
        <is>
          <t>是</t>
        </is>
      </c>
    </row>
    <row r="2994">
      <c r="A2994" s="7" t="inlineStr">
        <is>
          <t>2019-11-04</t>
        </is>
      </c>
      <c r="B2994" s="8" t="n">
        <v>8005</v>
      </c>
      <c r="C2994" s="8" t="n">
        <v>7957</v>
      </c>
      <c r="D2994" s="8" t="n">
        <v>8008</v>
      </c>
      <c r="E2994" s="8" t="n">
        <v>7924</v>
      </c>
      <c r="F2994" s="8" t="n">
        <v>646112</v>
      </c>
      <c r="G2994" s="8" t="n">
        <v>655974</v>
      </c>
      <c r="H2994" s="8" t="n">
        <v>7290</v>
      </c>
      <c r="I2994" s="8" t="n">
        <v>7255</v>
      </c>
      <c r="J2994" s="8" t="n">
        <v>7315</v>
      </c>
      <c r="K2994" s="8" t="n">
        <v>7210</v>
      </c>
      <c r="L2994" s="8" t="n">
        <v>397404</v>
      </c>
      <c r="M2994" s="8" t="n">
        <v>642392</v>
      </c>
      <c r="N2994" t="inlineStr">
        <is>
          <t>是</t>
        </is>
      </c>
    </row>
    <row r="2995">
      <c r="A2995" s="7" t="inlineStr">
        <is>
          <t>2019-11-05</t>
        </is>
      </c>
      <c r="B2995" s="8" t="n">
        <v>8022</v>
      </c>
      <c r="C2995" s="8" t="n">
        <v>8019</v>
      </c>
      <c r="D2995" s="8" t="n">
        <v>8048</v>
      </c>
      <c r="E2995" s="8" t="n">
        <v>7972</v>
      </c>
      <c r="F2995" s="8" t="n">
        <v>663174</v>
      </c>
      <c r="G2995" s="8" t="n">
        <v>643932</v>
      </c>
      <c r="H2995" s="8" t="n">
        <v>7260</v>
      </c>
      <c r="I2995" s="8" t="n">
        <v>7315</v>
      </c>
      <c r="J2995" s="8" t="n">
        <v>7345</v>
      </c>
      <c r="K2995" s="8" t="n">
        <v>7260</v>
      </c>
      <c r="L2995" s="8" t="n">
        <v>459328</v>
      </c>
      <c r="M2995" s="8" t="n">
        <v>618858</v>
      </c>
      <c r="N2995" t="inlineStr">
        <is>
          <t>是</t>
        </is>
      </c>
    </row>
    <row r="2996">
      <c r="A2996" s="7" t="inlineStr">
        <is>
          <t>2019-11-06</t>
        </is>
      </c>
      <c r="B2996" s="8" t="n">
        <v>8008</v>
      </c>
      <c r="C2996" s="8" t="n">
        <v>8022</v>
      </c>
      <c r="D2996" s="8" t="n">
        <v>8060</v>
      </c>
      <c r="E2996" s="8" t="n">
        <v>7986</v>
      </c>
      <c r="F2996" s="8" t="n">
        <v>638034</v>
      </c>
      <c r="G2996" s="8" t="n">
        <v>629276</v>
      </c>
      <c r="H2996" s="8" t="n">
        <v>7235</v>
      </c>
      <c r="I2996" s="8" t="n">
        <v>7280</v>
      </c>
      <c r="J2996" s="8" t="n">
        <v>7320</v>
      </c>
      <c r="K2996" s="8" t="n">
        <v>7230</v>
      </c>
      <c r="L2996" s="8" t="n">
        <v>378974</v>
      </c>
      <c r="M2996" s="8" t="n">
        <v>631316</v>
      </c>
      <c r="N2996" t="inlineStr">
        <is>
          <t>是</t>
        </is>
      </c>
    </row>
    <row r="2997">
      <c r="A2997" s="7" t="inlineStr">
        <is>
          <t>2019-11-07</t>
        </is>
      </c>
      <c r="B2997" s="8" t="n">
        <v>7988</v>
      </c>
      <c r="C2997" s="8" t="n">
        <v>8003</v>
      </c>
      <c r="D2997" s="8" t="n">
        <v>8034</v>
      </c>
      <c r="E2997" s="8" t="n">
        <v>7973</v>
      </c>
      <c r="F2997" s="8" t="n">
        <v>678814</v>
      </c>
      <c r="G2997" s="8" t="n">
        <v>640978</v>
      </c>
      <c r="H2997" s="8" t="n">
        <v>7255</v>
      </c>
      <c r="I2997" s="8" t="n">
        <v>7235</v>
      </c>
      <c r="J2997" s="8" t="n">
        <v>7280</v>
      </c>
      <c r="K2997" s="8" t="n">
        <v>7220</v>
      </c>
      <c r="L2997" s="8" t="n">
        <v>339466</v>
      </c>
      <c r="M2997" s="8" t="n">
        <v>623152</v>
      </c>
      <c r="N2997" t="inlineStr">
        <is>
          <t>是</t>
        </is>
      </c>
    </row>
    <row r="2998">
      <c r="A2998" s="7" t="inlineStr">
        <is>
          <t>2019-11-08</t>
        </is>
      </c>
      <c r="B2998" s="8" t="n">
        <v>7982</v>
      </c>
      <c r="C2998" s="8" t="n">
        <v>8013</v>
      </c>
      <c r="D2998" s="8" t="n">
        <v>8080</v>
      </c>
      <c r="E2998" s="8" t="n">
        <v>7957</v>
      </c>
      <c r="F2998" s="8" t="n">
        <v>932694</v>
      </c>
      <c r="G2998" s="8" t="n">
        <v>642636</v>
      </c>
      <c r="H2998" s="8" t="n">
        <v>7200</v>
      </c>
      <c r="I2998" s="8" t="n">
        <v>7270</v>
      </c>
      <c r="J2998" s="8" t="n">
        <v>7295</v>
      </c>
      <c r="K2998" s="8" t="n">
        <v>7185</v>
      </c>
      <c r="L2998" s="8" t="n">
        <v>508508</v>
      </c>
      <c r="M2998" s="8" t="n">
        <v>630994</v>
      </c>
      <c r="N2998" t="inlineStr">
        <is>
          <t>是</t>
        </is>
      </c>
    </row>
    <row r="2999">
      <c r="A2999" s="7" t="inlineStr">
        <is>
          <t>2019-11-11</t>
        </is>
      </c>
      <c r="B2999" s="8" t="n">
        <v>7913</v>
      </c>
      <c r="C2999" s="8" t="n">
        <v>7987</v>
      </c>
      <c r="D2999" s="8" t="n">
        <v>7988</v>
      </c>
      <c r="E2999" s="8" t="n">
        <v>7908</v>
      </c>
      <c r="F2999" s="8" t="n">
        <v>689268</v>
      </c>
      <c r="G2999" s="8" t="n">
        <v>633112</v>
      </c>
      <c r="H2999" s="8" t="n">
        <v>7165</v>
      </c>
      <c r="I2999" s="8" t="n">
        <v>7190</v>
      </c>
      <c r="J2999" s="8" t="n">
        <v>7205</v>
      </c>
      <c r="K2999" s="8" t="n">
        <v>7140</v>
      </c>
      <c r="L2999" s="8" t="n">
        <v>460000</v>
      </c>
      <c r="M2999" s="8" t="n">
        <v>596040</v>
      </c>
      <c r="N2999" t="inlineStr">
        <is>
          <t>是</t>
        </is>
      </c>
    </row>
    <row r="3000">
      <c r="A3000" s="7" t="inlineStr">
        <is>
          <t>2019-11-12</t>
        </is>
      </c>
      <c r="B3000" s="8" t="n">
        <v>8019</v>
      </c>
      <c r="C3000" s="8" t="n">
        <v>7906</v>
      </c>
      <c r="D3000" s="8" t="n">
        <v>8020</v>
      </c>
      <c r="E3000" s="8" t="n">
        <v>7903</v>
      </c>
      <c r="F3000" s="8" t="n">
        <v>765182</v>
      </c>
      <c r="G3000" s="8" t="n">
        <v>640244</v>
      </c>
      <c r="H3000" s="8" t="n">
        <v>7175</v>
      </c>
      <c r="I3000" s="8" t="n">
        <v>7155</v>
      </c>
      <c r="J3000" s="8" t="n">
        <v>7190</v>
      </c>
      <c r="K3000" s="8" t="n">
        <v>7140</v>
      </c>
      <c r="L3000" s="8" t="n">
        <v>313982</v>
      </c>
      <c r="M3000" s="8" t="n">
        <v>595186</v>
      </c>
      <c r="N3000" t="inlineStr">
        <is>
          <t>是</t>
        </is>
      </c>
    </row>
    <row r="3001">
      <c r="A3001" s="7" t="inlineStr">
        <is>
          <t>2019-11-13</t>
        </is>
      </c>
      <c r="B3001" s="8" t="n">
        <v>7960</v>
      </c>
      <c r="C3001" s="8" t="n">
        <v>8036</v>
      </c>
      <c r="D3001" s="8" t="n">
        <v>8050</v>
      </c>
      <c r="E3001" s="8" t="n">
        <v>7941</v>
      </c>
      <c r="F3001" s="8" t="n">
        <v>722416</v>
      </c>
      <c r="G3001" s="8" t="n">
        <v>608466</v>
      </c>
      <c r="H3001" s="8" t="n">
        <v>7145</v>
      </c>
      <c r="I3001" s="8" t="n">
        <v>7180</v>
      </c>
      <c r="J3001" s="8" t="n">
        <v>7225</v>
      </c>
      <c r="K3001" s="8" t="n">
        <v>7105</v>
      </c>
      <c r="L3001" s="8" t="n">
        <v>491848</v>
      </c>
      <c r="M3001" s="8" t="n">
        <v>621210</v>
      </c>
      <c r="N3001" t="inlineStr">
        <is>
          <t>是</t>
        </is>
      </c>
    </row>
    <row r="3002">
      <c r="A3002" s="7" t="inlineStr">
        <is>
          <t>2019-11-14</t>
        </is>
      </c>
      <c r="B3002" s="8" t="n">
        <v>7954</v>
      </c>
      <c r="C3002" s="8" t="n">
        <v>7951</v>
      </c>
      <c r="D3002" s="8" t="n">
        <v>7993</v>
      </c>
      <c r="E3002" s="8" t="n">
        <v>7912</v>
      </c>
      <c r="F3002" s="8" t="n">
        <v>645378</v>
      </c>
      <c r="G3002" s="8" t="n">
        <v>592976</v>
      </c>
      <c r="H3002" s="8" t="n">
        <v>7085</v>
      </c>
      <c r="I3002" s="8" t="n">
        <v>7130</v>
      </c>
      <c r="J3002" s="8" t="n">
        <v>7150</v>
      </c>
      <c r="K3002" s="8" t="n">
        <v>7010</v>
      </c>
      <c r="L3002" s="8" t="n">
        <v>607922</v>
      </c>
      <c r="M3002" s="8" t="n">
        <v>631628</v>
      </c>
      <c r="N3002" t="inlineStr">
        <is>
          <t>是</t>
        </is>
      </c>
    </row>
    <row r="3003">
      <c r="A3003" s="7" t="inlineStr">
        <is>
          <t>2019-11-15</t>
        </is>
      </c>
      <c r="B3003" s="8" t="n">
        <v>7860</v>
      </c>
      <c r="C3003" s="8" t="n">
        <v>7960</v>
      </c>
      <c r="D3003" s="8" t="n">
        <v>7972</v>
      </c>
      <c r="E3003" s="8" t="n">
        <v>7860</v>
      </c>
      <c r="F3003" s="8" t="n">
        <v>801116</v>
      </c>
      <c r="G3003" s="8" t="n">
        <v>601316</v>
      </c>
      <c r="H3003" s="8" t="n">
        <v>7075</v>
      </c>
      <c r="I3003" s="8" t="n">
        <v>7095</v>
      </c>
      <c r="J3003" s="8" t="n">
        <v>7120</v>
      </c>
      <c r="K3003" s="8" t="n">
        <v>7050</v>
      </c>
      <c r="L3003" s="8" t="n">
        <v>422352</v>
      </c>
      <c r="M3003" s="8" t="n">
        <v>581648</v>
      </c>
      <c r="N3003" t="inlineStr">
        <is>
          <t>是</t>
        </is>
      </c>
    </row>
    <row r="3004">
      <c r="A3004" s="7" t="inlineStr">
        <is>
          <t>2019-11-18</t>
        </is>
      </c>
      <c r="B3004" s="8" t="n">
        <v>7879</v>
      </c>
      <c r="C3004" s="8" t="n">
        <v>7860</v>
      </c>
      <c r="D3004" s="8" t="n">
        <v>7899</v>
      </c>
      <c r="E3004" s="8" t="n">
        <v>7827</v>
      </c>
      <c r="F3004" s="8" t="n">
        <v>609286</v>
      </c>
      <c r="G3004" s="8" t="n">
        <v>601292</v>
      </c>
      <c r="H3004" s="8" t="n">
        <v>7090</v>
      </c>
      <c r="I3004" s="8" t="n">
        <v>7070</v>
      </c>
      <c r="J3004" s="8" t="n">
        <v>7130</v>
      </c>
      <c r="K3004" s="8" t="n">
        <v>7035</v>
      </c>
      <c r="L3004" s="8" t="n">
        <v>338740</v>
      </c>
      <c r="M3004" s="8" t="n">
        <v>565308</v>
      </c>
      <c r="N3004" t="inlineStr">
        <is>
          <t>是</t>
        </is>
      </c>
    </row>
    <row r="3005">
      <c r="A3005" s="7" t="inlineStr">
        <is>
          <t>2019-11-19</t>
        </is>
      </c>
      <c r="B3005" s="8" t="n">
        <v>7856</v>
      </c>
      <c r="C3005" s="8" t="n">
        <v>7880</v>
      </c>
      <c r="D3005" s="8" t="n">
        <v>7893</v>
      </c>
      <c r="E3005" s="8" t="n">
        <v>7815</v>
      </c>
      <c r="F3005" s="8" t="n">
        <v>554492</v>
      </c>
      <c r="G3005" s="8" t="n">
        <v>590792</v>
      </c>
      <c r="H3005" s="8" t="n">
        <v>7080</v>
      </c>
      <c r="I3005" s="8" t="n">
        <v>7085</v>
      </c>
      <c r="J3005" s="8" t="n">
        <v>7125</v>
      </c>
      <c r="K3005" s="8" t="n">
        <v>7065</v>
      </c>
      <c r="L3005" s="8" t="n">
        <v>317722</v>
      </c>
      <c r="M3005" s="8" t="n">
        <v>548160</v>
      </c>
      <c r="N3005" t="inlineStr">
        <is>
          <t>是</t>
        </is>
      </c>
    </row>
    <row r="3006">
      <c r="A3006" s="7" t="inlineStr">
        <is>
          <t>2019-11-20</t>
        </is>
      </c>
      <c r="B3006" s="8" t="n">
        <v>7888</v>
      </c>
      <c r="C3006" s="8" t="n">
        <v>7849</v>
      </c>
      <c r="D3006" s="8" t="n">
        <v>7925</v>
      </c>
      <c r="E3006" s="8" t="n">
        <v>7812</v>
      </c>
      <c r="F3006" s="8" t="n">
        <v>615176</v>
      </c>
      <c r="G3006" s="8" t="n">
        <v>567526</v>
      </c>
      <c r="H3006" s="8" t="n">
        <v>7100</v>
      </c>
      <c r="I3006" s="8" t="n">
        <v>7080</v>
      </c>
      <c r="J3006" s="8" t="n">
        <v>7105</v>
      </c>
      <c r="K3006" s="8" t="n">
        <v>7050</v>
      </c>
      <c r="L3006" s="8" t="n">
        <v>299656</v>
      </c>
      <c r="M3006" s="8" t="n">
        <v>535694</v>
      </c>
      <c r="N3006" t="inlineStr">
        <is>
          <t>是</t>
        </is>
      </c>
    </row>
    <row r="3007">
      <c r="A3007" s="7" t="inlineStr">
        <is>
          <t>2019-11-21</t>
        </is>
      </c>
      <c r="B3007" s="8" t="n">
        <v>7941</v>
      </c>
      <c r="C3007" s="8" t="n">
        <v>7900</v>
      </c>
      <c r="D3007" s="8" t="n">
        <v>7944</v>
      </c>
      <c r="E3007" s="8" t="n">
        <v>7864</v>
      </c>
      <c r="F3007" s="8" t="n">
        <v>476312</v>
      </c>
      <c r="G3007" s="8" t="n">
        <v>545408</v>
      </c>
      <c r="H3007" s="8" t="n">
        <v>7180</v>
      </c>
      <c r="I3007" s="8" t="n">
        <v>7110</v>
      </c>
      <c r="J3007" s="8" t="n">
        <v>7200</v>
      </c>
      <c r="K3007" s="8" t="n">
        <v>7080</v>
      </c>
      <c r="L3007" s="8" t="n">
        <v>546422</v>
      </c>
      <c r="M3007" s="8" t="n">
        <v>507840</v>
      </c>
      <c r="N3007" t="inlineStr">
        <is>
          <t>是</t>
        </is>
      </c>
    </row>
    <row r="3008">
      <c r="A3008" s="7" t="inlineStr">
        <is>
          <t>2019-11-22</t>
        </is>
      </c>
      <c r="B3008" s="8" t="n">
        <v>7956</v>
      </c>
      <c r="C3008" s="8" t="n">
        <v>7941</v>
      </c>
      <c r="D3008" s="8" t="n">
        <v>7996</v>
      </c>
      <c r="E3008" s="8" t="n">
        <v>7896</v>
      </c>
      <c r="F3008" s="8" t="n">
        <v>672636</v>
      </c>
      <c r="G3008" s="8" t="n">
        <v>490890</v>
      </c>
      <c r="H3008" s="8" t="n">
        <v>7170</v>
      </c>
      <c r="I3008" s="8" t="n">
        <v>7195</v>
      </c>
      <c r="J3008" s="8" t="n">
        <v>7240</v>
      </c>
      <c r="K3008" s="8" t="n">
        <v>7155</v>
      </c>
      <c r="L3008" s="8" t="n">
        <v>390870</v>
      </c>
      <c r="M3008" s="8" t="n">
        <v>471228</v>
      </c>
      <c r="N3008" t="inlineStr">
        <is>
          <t>是</t>
        </is>
      </c>
    </row>
    <row r="3009">
      <c r="A3009" s="7" t="inlineStr">
        <is>
          <t>2019-11-25</t>
        </is>
      </c>
      <c r="B3009" s="8" t="n">
        <v>8034</v>
      </c>
      <c r="C3009" s="8" t="n">
        <v>7960</v>
      </c>
      <c r="D3009" s="8" t="n">
        <v>8038</v>
      </c>
      <c r="E3009" s="8" t="n">
        <v>7937</v>
      </c>
      <c r="F3009" s="8" t="n">
        <v>537820</v>
      </c>
      <c r="G3009" s="8" t="n">
        <v>481904</v>
      </c>
      <c r="H3009" s="8" t="n">
        <v>7225</v>
      </c>
      <c r="I3009" s="8" t="n">
        <v>7170</v>
      </c>
      <c r="J3009" s="8" t="n">
        <v>7250</v>
      </c>
      <c r="K3009" s="8" t="n">
        <v>7170</v>
      </c>
      <c r="L3009" s="8" t="n">
        <v>362352</v>
      </c>
      <c r="M3009" s="8" t="n">
        <v>459294</v>
      </c>
      <c r="N3009" t="inlineStr">
        <is>
          <t>是</t>
        </is>
      </c>
    </row>
    <row r="3010">
      <c r="A3010" s="7" t="inlineStr">
        <is>
          <t>2019-11-26</t>
        </is>
      </c>
      <c r="B3010" s="8" t="n">
        <v>7993</v>
      </c>
      <c r="C3010" s="8" t="n">
        <v>8034</v>
      </c>
      <c r="D3010" s="8" t="n">
        <v>8044</v>
      </c>
      <c r="E3010" s="8" t="n">
        <v>7981</v>
      </c>
      <c r="F3010" s="8" t="n">
        <v>518626</v>
      </c>
      <c r="G3010" s="8" t="n">
        <v>488294</v>
      </c>
      <c r="H3010" s="8" t="n">
        <v>7210</v>
      </c>
      <c r="I3010" s="8" t="n">
        <v>7225</v>
      </c>
      <c r="J3010" s="8" t="n">
        <v>7250</v>
      </c>
      <c r="K3010" s="8" t="n">
        <v>7200</v>
      </c>
      <c r="L3010" s="8" t="n">
        <v>305640</v>
      </c>
      <c r="M3010" s="8" t="n">
        <v>439832</v>
      </c>
      <c r="N3010" t="inlineStr">
        <is>
          <t>是</t>
        </is>
      </c>
    </row>
    <row r="3011">
      <c r="A3011" s="7" t="inlineStr">
        <is>
          <t>2019-11-27</t>
        </is>
      </c>
      <c r="B3011" s="8" t="n">
        <v>8016</v>
      </c>
      <c r="C3011" s="8" t="n">
        <v>7993</v>
      </c>
      <c r="D3011" s="8" t="n">
        <v>8094</v>
      </c>
      <c r="E3011" s="8" t="n">
        <v>7991</v>
      </c>
      <c r="F3011" s="8" t="n">
        <v>639598</v>
      </c>
      <c r="G3011" s="8" t="n">
        <v>479632</v>
      </c>
      <c r="H3011" s="8" t="n">
        <v>7190</v>
      </c>
      <c r="I3011" s="8" t="n">
        <v>7210</v>
      </c>
      <c r="J3011" s="8" t="n">
        <v>7245</v>
      </c>
      <c r="K3011" s="8" t="n">
        <v>7180</v>
      </c>
      <c r="L3011" s="8" t="n">
        <v>322292</v>
      </c>
      <c r="M3011" s="8" t="n">
        <v>433272</v>
      </c>
      <c r="N3011" t="inlineStr">
        <is>
          <t>是</t>
        </is>
      </c>
    </row>
    <row r="3012">
      <c r="A3012" s="7" t="inlineStr">
        <is>
          <t>2019-11-28</t>
        </is>
      </c>
      <c r="B3012" s="8" t="n">
        <v>8019</v>
      </c>
      <c r="C3012" s="8" t="n">
        <v>8021</v>
      </c>
      <c r="D3012" s="8" t="n">
        <v>8041</v>
      </c>
      <c r="E3012" s="8" t="n">
        <v>7988</v>
      </c>
      <c r="F3012" s="8" t="n">
        <v>429808</v>
      </c>
      <c r="G3012" s="8" t="n">
        <v>454502</v>
      </c>
      <c r="H3012" s="8" t="n">
        <v>7220</v>
      </c>
      <c r="I3012" s="8" t="n">
        <v>7205</v>
      </c>
      <c r="J3012" s="8" t="n">
        <v>7235</v>
      </c>
      <c r="K3012" s="8" t="n">
        <v>7170</v>
      </c>
      <c r="L3012" s="8" t="n">
        <v>291266</v>
      </c>
      <c r="M3012" s="8" t="n">
        <v>430694</v>
      </c>
      <c r="N3012" t="inlineStr">
        <is>
          <t>是</t>
        </is>
      </c>
    </row>
    <row r="3013">
      <c r="A3013" s="7" t="inlineStr">
        <is>
          <t>2019-11-29</t>
        </is>
      </c>
      <c r="B3013" s="8" t="n">
        <v>8072</v>
      </c>
      <c r="C3013" s="8" t="n">
        <v>8028</v>
      </c>
      <c r="D3013" s="8" t="n">
        <v>8077</v>
      </c>
      <c r="E3013" s="8" t="n">
        <v>8015</v>
      </c>
      <c r="F3013" s="8" t="n">
        <v>514088</v>
      </c>
      <c r="G3013" s="8" t="n">
        <v>464132</v>
      </c>
      <c r="H3013" s="8" t="n">
        <v>7305</v>
      </c>
      <c r="I3013" s="8" t="n">
        <v>7225</v>
      </c>
      <c r="J3013" s="8" t="n">
        <v>7310</v>
      </c>
      <c r="K3013" s="8" t="n">
        <v>7210</v>
      </c>
      <c r="L3013" s="8" t="n">
        <v>407470</v>
      </c>
      <c r="M3013" s="8" t="n">
        <v>438324</v>
      </c>
      <c r="N3013" t="inlineStr">
        <is>
          <t>是</t>
        </is>
      </c>
    </row>
    <row r="3014">
      <c r="A3014" s="7" t="inlineStr">
        <is>
          <t>2019-12-02</t>
        </is>
      </c>
      <c r="B3014" s="8" t="n">
        <v>8121</v>
      </c>
      <c r="C3014" s="8" t="n">
        <v>8070</v>
      </c>
      <c r="D3014" s="8" t="n">
        <v>8126</v>
      </c>
      <c r="E3014" s="8" t="n">
        <v>8033</v>
      </c>
      <c r="F3014" s="8" t="n">
        <v>569270</v>
      </c>
      <c r="G3014" s="8" t="n">
        <v>468780</v>
      </c>
      <c r="H3014" s="8" t="n">
        <v>7330</v>
      </c>
      <c r="I3014" s="8" t="n">
        <v>7290</v>
      </c>
      <c r="J3014" s="8" t="n">
        <v>7340</v>
      </c>
      <c r="K3014" s="8" t="n">
        <v>7250</v>
      </c>
      <c r="L3014" s="8" t="n">
        <v>333898</v>
      </c>
      <c r="M3014" s="8" t="n">
        <v>426214</v>
      </c>
      <c r="N3014" t="inlineStr">
        <is>
          <t>是</t>
        </is>
      </c>
    </row>
    <row r="3015">
      <c r="A3015" s="7" t="inlineStr">
        <is>
          <t>2019-12-03</t>
        </is>
      </c>
      <c r="B3015" s="8" t="n">
        <v>8148</v>
      </c>
      <c r="C3015" s="8" t="n">
        <v>8130</v>
      </c>
      <c r="D3015" s="8" t="n">
        <v>8199</v>
      </c>
      <c r="E3015" s="8" t="n">
        <v>8111</v>
      </c>
      <c r="F3015" s="8" t="n">
        <v>602022</v>
      </c>
      <c r="G3015" s="8" t="n">
        <v>463018</v>
      </c>
      <c r="H3015" s="8" t="n">
        <v>7290</v>
      </c>
      <c r="I3015" s="8" t="n">
        <v>7340</v>
      </c>
      <c r="J3015" s="8" t="n">
        <v>7365</v>
      </c>
      <c r="K3015" s="8" t="n">
        <v>7290</v>
      </c>
      <c r="L3015" s="8" t="n">
        <v>315202</v>
      </c>
      <c r="M3015" s="8" t="n">
        <v>405784</v>
      </c>
      <c r="N3015" t="inlineStr">
        <is>
          <t>是</t>
        </is>
      </c>
    </row>
    <row r="3016">
      <c r="A3016" s="7" t="inlineStr">
        <is>
          <t>2019-12-04</t>
        </is>
      </c>
      <c r="B3016" s="8" t="n">
        <v>8084</v>
      </c>
      <c r="C3016" s="8" t="n">
        <v>8137</v>
      </c>
      <c r="D3016" s="8" t="n">
        <v>8154</v>
      </c>
      <c r="E3016" s="8" t="n">
        <v>8079</v>
      </c>
      <c r="F3016" s="8" t="n">
        <v>476754</v>
      </c>
      <c r="G3016" s="8" t="n">
        <v>435078</v>
      </c>
      <c r="H3016" s="8" t="n">
        <v>7250</v>
      </c>
      <c r="I3016" s="8" t="n">
        <v>7290</v>
      </c>
      <c r="J3016" s="8" t="n">
        <v>7310</v>
      </c>
      <c r="K3016" s="8" t="n">
        <v>7230</v>
      </c>
      <c r="L3016" s="8" t="n">
        <v>268588</v>
      </c>
      <c r="M3016" s="8" t="n">
        <v>385342</v>
      </c>
      <c r="N3016" t="inlineStr">
        <is>
          <t>是</t>
        </is>
      </c>
    </row>
    <row r="3017">
      <c r="A3017" s="7" t="inlineStr">
        <is>
          <t>2019-12-05</t>
        </is>
      </c>
      <c r="B3017" s="8" t="n">
        <v>8052</v>
      </c>
      <c r="C3017" s="8" t="n">
        <v>8104</v>
      </c>
      <c r="D3017" s="8" t="n">
        <v>8107</v>
      </c>
      <c r="E3017" s="8" t="n">
        <v>8050</v>
      </c>
      <c r="F3017" s="8" t="n">
        <v>391744</v>
      </c>
      <c r="G3017" s="8" t="n">
        <v>411290</v>
      </c>
      <c r="H3017" s="8" t="n">
        <v>7230</v>
      </c>
      <c r="I3017" s="8" t="n">
        <v>7260</v>
      </c>
      <c r="J3017" s="8" t="n">
        <v>7275</v>
      </c>
      <c r="K3017" s="8" t="n">
        <v>7220</v>
      </c>
      <c r="L3017" s="8" t="n">
        <v>219006</v>
      </c>
      <c r="M3017" s="8" t="n">
        <v>351448</v>
      </c>
      <c r="N3017" t="inlineStr">
        <is>
          <t>是</t>
        </is>
      </c>
    </row>
    <row r="3018">
      <c r="A3018" s="7" t="inlineStr">
        <is>
          <t>2019-12-06</t>
        </is>
      </c>
      <c r="B3018" s="8" t="n">
        <v>8022</v>
      </c>
      <c r="C3018" s="8" t="n">
        <v>8043</v>
      </c>
      <c r="D3018" s="8" t="n">
        <v>8076</v>
      </c>
      <c r="E3018" s="8" t="n">
        <v>8000</v>
      </c>
      <c r="F3018" s="8" t="n">
        <v>447824</v>
      </c>
      <c r="G3018" s="8" t="n">
        <v>353742</v>
      </c>
      <c r="H3018" s="8" t="n">
        <v>7255</v>
      </c>
      <c r="I3018" s="8" t="n">
        <v>7240</v>
      </c>
      <c r="J3018" s="8" t="n">
        <v>7280</v>
      </c>
      <c r="K3018" s="8" t="n">
        <v>7235</v>
      </c>
      <c r="L3018" s="8" t="n">
        <v>186114</v>
      </c>
      <c r="M3018" s="8" t="n">
        <v>320124</v>
      </c>
      <c r="N3018" t="inlineStr">
        <is>
          <t>是</t>
        </is>
      </c>
    </row>
    <row r="3019">
      <c r="A3019" s="7" t="inlineStr">
        <is>
          <t>2019-12-09</t>
        </is>
      </c>
      <c r="B3019" s="8" t="n">
        <v>7962</v>
      </c>
      <c r="C3019" s="8" t="n">
        <v>8031</v>
      </c>
      <c r="D3019" s="8" t="n">
        <v>8086</v>
      </c>
      <c r="E3019" s="8" t="n">
        <v>7960</v>
      </c>
      <c r="F3019" s="8" t="n">
        <v>484758</v>
      </c>
      <c r="G3019" s="8" t="n">
        <v>301878</v>
      </c>
      <c r="H3019" s="8" t="n">
        <v>7275</v>
      </c>
      <c r="I3019" s="8" t="n">
        <v>7270</v>
      </c>
      <c r="J3019" s="8" t="n">
        <v>7375</v>
      </c>
      <c r="K3019" s="8" t="n">
        <v>7260</v>
      </c>
      <c r="L3019" s="8" t="n">
        <v>713842</v>
      </c>
      <c r="M3019" s="8" t="n">
        <v>585868</v>
      </c>
      <c r="N3019" t="inlineStr">
        <is>
          <t>是</t>
        </is>
      </c>
    </row>
    <row r="3020">
      <c r="A3020" s="7" t="inlineStr">
        <is>
          <t>2019-12-10</t>
        </is>
      </c>
      <c r="B3020" s="8" t="n">
        <v>7933</v>
      </c>
      <c r="C3020" s="8" t="n">
        <v>7954</v>
      </c>
      <c r="D3020" s="8" t="n">
        <v>7980</v>
      </c>
      <c r="E3020" s="8" t="n">
        <v>7925</v>
      </c>
      <c r="F3020" s="8" t="n">
        <v>310014</v>
      </c>
      <c r="G3020" s="8" t="n">
        <v>257852</v>
      </c>
      <c r="H3020" s="8" t="n">
        <v>7245</v>
      </c>
      <c r="I3020" s="8" t="n">
        <v>7265</v>
      </c>
      <c r="J3020" s="8" t="n">
        <v>7300</v>
      </c>
      <c r="K3020" s="8" t="n">
        <v>7225</v>
      </c>
      <c r="L3020" s="8" t="n">
        <v>418018</v>
      </c>
      <c r="M3020" s="8" t="n">
        <v>597566</v>
      </c>
      <c r="N3020" t="inlineStr">
        <is>
          <t>是</t>
        </is>
      </c>
    </row>
    <row r="3021">
      <c r="A3021" s="7" t="inlineStr">
        <is>
          <t>2019-12-11</t>
        </is>
      </c>
      <c r="B3021" s="8" t="n">
        <v>7844</v>
      </c>
      <c r="C3021" s="8" t="n">
        <v>7930</v>
      </c>
      <c r="D3021" s="8" t="n">
        <v>7944</v>
      </c>
      <c r="E3021" s="8" t="n">
        <v>7833</v>
      </c>
      <c r="F3021" s="8" t="n">
        <v>264954</v>
      </c>
      <c r="G3021" s="8" t="n">
        <v>242438</v>
      </c>
      <c r="H3021" s="8" t="n">
        <v>7175</v>
      </c>
      <c r="I3021" s="8" t="n">
        <v>7235</v>
      </c>
      <c r="J3021" s="8" t="n">
        <v>7255</v>
      </c>
      <c r="K3021" s="8" t="n">
        <v>7170</v>
      </c>
      <c r="L3021" s="8" t="n">
        <v>444540</v>
      </c>
      <c r="M3021" s="8" t="n">
        <v>622218</v>
      </c>
      <c r="N3021" t="inlineStr">
        <is>
          <t>是</t>
        </is>
      </c>
    </row>
    <row r="3022">
      <c r="A3022" s="7" t="inlineStr">
        <is>
          <t>2019-12-12</t>
        </is>
      </c>
      <c r="B3022" s="8" t="n">
        <v>7556</v>
      </c>
      <c r="C3022" s="8" t="n">
        <v>7549</v>
      </c>
      <c r="D3022" s="8" t="n">
        <v>7577</v>
      </c>
      <c r="E3022" s="8" t="n">
        <v>7528</v>
      </c>
      <c r="F3022" s="8" t="n">
        <v>513514</v>
      </c>
      <c r="G3022" s="8" t="n">
        <v>584268</v>
      </c>
      <c r="H3022" s="8" t="n">
        <v>7210</v>
      </c>
      <c r="I3022" s="8" t="n">
        <v>7175</v>
      </c>
      <c r="J3022" s="8" t="n">
        <v>7235</v>
      </c>
      <c r="K3022" s="8" t="n">
        <v>7165</v>
      </c>
      <c r="L3022" s="8" t="n">
        <v>418034</v>
      </c>
      <c r="M3022" s="8" t="n">
        <v>648152</v>
      </c>
      <c r="N3022" t="inlineStr">
        <is>
          <t>是</t>
        </is>
      </c>
    </row>
    <row r="3023">
      <c r="A3023" s="7" t="inlineStr">
        <is>
          <t>2019-12-13</t>
        </is>
      </c>
      <c r="B3023" s="8" t="n">
        <v>7557</v>
      </c>
      <c r="C3023" s="8" t="n">
        <v>7557</v>
      </c>
      <c r="D3023" s="8" t="n">
        <v>7621</v>
      </c>
      <c r="E3023" s="8" t="n">
        <v>7517</v>
      </c>
      <c r="F3023" s="8" t="n">
        <v>679044</v>
      </c>
      <c r="G3023" s="8" t="n">
        <v>590268</v>
      </c>
      <c r="H3023" s="8" t="n">
        <v>7275</v>
      </c>
      <c r="I3023" s="8" t="n">
        <v>7210</v>
      </c>
      <c r="J3023" s="8" t="n">
        <v>7280</v>
      </c>
      <c r="K3023" s="8" t="n">
        <v>7195</v>
      </c>
      <c r="L3023" s="8" t="n">
        <v>493532</v>
      </c>
      <c r="M3023" s="8" t="n">
        <v>661440</v>
      </c>
      <c r="N3023" t="inlineStr">
        <is>
          <t>是</t>
        </is>
      </c>
    </row>
    <row r="3024">
      <c r="A3024" s="7" t="inlineStr">
        <is>
          <t>2019-12-16</t>
        </is>
      </c>
      <c r="B3024" s="8" t="n">
        <v>7601</v>
      </c>
      <c r="C3024" s="8" t="n">
        <v>7562</v>
      </c>
      <c r="D3024" s="8" t="n">
        <v>7614</v>
      </c>
      <c r="E3024" s="8" t="n">
        <v>7547</v>
      </c>
      <c r="F3024" s="8" t="n">
        <v>604962</v>
      </c>
      <c r="G3024" s="8" t="n">
        <v>589194</v>
      </c>
      <c r="H3024" s="8" t="n">
        <v>7290</v>
      </c>
      <c r="I3024" s="8" t="n">
        <v>7275</v>
      </c>
      <c r="J3024" s="8" t="n">
        <v>7330</v>
      </c>
      <c r="K3024" s="8" t="n">
        <v>7245</v>
      </c>
      <c r="L3024" s="8" t="n">
        <v>616582</v>
      </c>
      <c r="M3024" s="8" t="n">
        <v>674506</v>
      </c>
      <c r="N3024" t="inlineStr">
        <is>
          <t>是</t>
        </is>
      </c>
    </row>
    <row r="3025">
      <c r="A3025" s="7" t="inlineStr">
        <is>
          <t>2019-12-17</t>
        </is>
      </c>
      <c r="B3025" s="8" t="n">
        <v>7525</v>
      </c>
      <c r="C3025" s="8" t="n">
        <v>7612</v>
      </c>
      <c r="D3025" s="8" t="n">
        <v>7620</v>
      </c>
      <c r="E3025" s="8" t="n">
        <v>7521</v>
      </c>
      <c r="F3025" s="8" t="n">
        <v>758268</v>
      </c>
      <c r="G3025" s="8" t="n">
        <v>662622</v>
      </c>
      <c r="H3025" s="8" t="n">
        <v>7275</v>
      </c>
      <c r="I3025" s="8" t="n">
        <v>7290</v>
      </c>
      <c r="J3025" s="8" t="n">
        <v>7330</v>
      </c>
      <c r="K3025" s="8" t="n">
        <v>7270</v>
      </c>
      <c r="L3025" s="8" t="n">
        <v>448566</v>
      </c>
      <c r="M3025" s="8" t="n">
        <v>684528</v>
      </c>
      <c r="N3025" t="inlineStr">
        <is>
          <t>是</t>
        </is>
      </c>
    </row>
    <row r="3026">
      <c r="A3026" s="7" t="inlineStr">
        <is>
          <t>2019-12-18</t>
        </is>
      </c>
      <c r="B3026" s="8" t="n">
        <v>7464</v>
      </c>
      <c r="C3026" s="8" t="n">
        <v>7525</v>
      </c>
      <c r="D3026" s="8" t="n">
        <v>7550</v>
      </c>
      <c r="E3026" s="8" t="n">
        <v>7463</v>
      </c>
      <c r="F3026" s="8" t="n">
        <v>738246</v>
      </c>
      <c r="G3026" s="8" t="n">
        <v>711856</v>
      </c>
      <c r="H3026" s="8" t="n">
        <v>7245</v>
      </c>
      <c r="I3026" s="8" t="n">
        <v>7285</v>
      </c>
      <c r="J3026" s="8" t="n">
        <v>7325</v>
      </c>
      <c r="K3026" s="8" t="n">
        <v>7235</v>
      </c>
      <c r="L3026" s="8" t="n">
        <v>445736</v>
      </c>
      <c r="M3026" s="8" t="n">
        <v>703964</v>
      </c>
      <c r="N3026" t="inlineStr">
        <is>
          <t>是</t>
        </is>
      </c>
    </row>
    <row r="3027">
      <c r="A3027" s="7" t="inlineStr">
        <is>
          <t>2019-12-19</t>
        </is>
      </c>
      <c r="B3027" s="8" t="n">
        <v>7514</v>
      </c>
      <c r="C3027" s="8" t="n">
        <v>7469</v>
      </c>
      <c r="D3027" s="8" t="n">
        <v>7520</v>
      </c>
      <c r="E3027" s="8" t="n">
        <v>7442</v>
      </c>
      <c r="F3027" s="8" t="n">
        <v>701764</v>
      </c>
      <c r="G3027" s="8" t="n">
        <v>678318</v>
      </c>
      <c r="H3027" s="8" t="n">
        <v>7270</v>
      </c>
      <c r="I3027" s="8" t="n">
        <v>7240</v>
      </c>
      <c r="J3027" s="8" t="n">
        <v>7275</v>
      </c>
      <c r="K3027" s="8" t="n">
        <v>7205</v>
      </c>
      <c r="L3027" s="8" t="n">
        <v>440720</v>
      </c>
      <c r="M3027" s="8" t="n">
        <v>692506</v>
      </c>
      <c r="N3027" t="inlineStr">
        <is>
          <t>是</t>
        </is>
      </c>
    </row>
    <row r="3028">
      <c r="A3028" s="7" t="inlineStr">
        <is>
          <t>2019-12-20</t>
        </is>
      </c>
      <c r="B3028" s="8" t="n">
        <v>7521</v>
      </c>
      <c r="C3028" s="8" t="n">
        <v>7520</v>
      </c>
      <c r="D3028" s="8" t="n">
        <v>7552</v>
      </c>
      <c r="E3028" s="8" t="n">
        <v>7510</v>
      </c>
      <c r="F3028" s="8" t="n">
        <v>597352</v>
      </c>
      <c r="G3028" s="8" t="n">
        <v>659240</v>
      </c>
      <c r="H3028" s="8" t="n">
        <v>7330</v>
      </c>
      <c r="I3028" s="8" t="n">
        <v>7260</v>
      </c>
      <c r="J3028" s="8" t="n">
        <v>7370</v>
      </c>
      <c r="K3028" s="8" t="n">
        <v>7255</v>
      </c>
      <c r="L3028" s="8" t="n">
        <v>584578</v>
      </c>
      <c r="M3028" s="8" t="n">
        <v>725956</v>
      </c>
      <c r="N3028" t="inlineStr">
        <is>
          <t>是</t>
        </is>
      </c>
    </row>
    <row r="3029">
      <c r="A3029" s="7" t="inlineStr">
        <is>
          <t>2019-12-23</t>
        </is>
      </c>
      <c r="B3029" s="8" t="n">
        <v>7532</v>
      </c>
      <c r="C3029" s="8" t="n">
        <v>7522</v>
      </c>
      <c r="D3029" s="8" t="n">
        <v>7544</v>
      </c>
      <c r="E3029" s="8" t="n">
        <v>7472</v>
      </c>
      <c r="F3029" s="8" t="n">
        <v>575764</v>
      </c>
      <c r="G3029" s="8" t="n">
        <v>669600</v>
      </c>
      <c r="H3029" s="8" t="n">
        <v>7335</v>
      </c>
      <c r="I3029" s="8" t="n">
        <v>7330</v>
      </c>
      <c r="J3029" s="8" t="n">
        <v>7355</v>
      </c>
      <c r="K3029" s="8" t="n">
        <v>7295</v>
      </c>
      <c r="L3029" s="8" t="n">
        <v>436586</v>
      </c>
      <c r="M3029" s="8" t="n">
        <v>736822</v>
      </c>
      <c r="N3029" t="inlineStr">
        <is>
          <t>是</t>
        </is>
      </c>
    </row>
    <row r="3030">
      <c r="A3030" s="7" t="inlineStr">
        <is>
          <t>2019-12-24</t>
        </is>
      </c>
      <c r="B3030" s="8" t="n">
        <v>7496</v>
      </c>
      <c r="C3030" s="8" t="n">
        <v>7532</v>
      </c>
      <c r="D3030" s="8" t="n">
        <v>7540</v>
      </c>
      <c r="E3030" s="8" t="n">
        <v>7481</v>
      </c>
      <c r="F3030" s="8" t="n">
        <v>504696</v>
      </c>
      <c r="G3030" s="8" t="n">
        <v>677872</v>
      </c>
      <c r="H3030" s="8" t="n">
        <v>7300</v>
      </c>
      <c r="I3030" s="8" t="n">
        <v>7340</v>
      </c>
      <c r="J3030" s="8" t="n">
        <v>7360</v>
      </c>
      <c r="K3030" s="8" t="n">
        <v>7290</v>
      </c>
      <c r="L3030" s="8" t="n">
        <v>407520</v>
      </c>
      <c r="M3030" s="8" t="n">
        <v>709332</v>
      </c>
      <c r="N3030" t="inlineStr">
        <is>
          <t>是</t>
        </is>
      </c>
    </row>
    <row r="3031">
      <c r="A3031" s="7" t="inlineStr">
        <is>
          <t>2019-12-25</t>
        </is>
      </c>
      <c r="B3031" s="8" t="n">
        <v>7518</v>
      </c>
      <c r="C3031" s="8" t="n">
        <v>7495</v>
      </c>
      <c r="D3031" s="8" t="n">
        <v>7520</v>
      </c>
      <c r="E3031" s="8" t="n">
        <v>7451</v>
      </c>
      <c r="F3031" s="8" t="n">
        <v>811242</v>
      </c>
      <c r="G3031" s="8" t="n">
        <v>687374</v>
      </c>
      <c r="H3031" s="8" t="n">
        <v>7350</v>
      </c>
      <c r="I3031" s="8" t="n">
        <v>7300</v>
      </c>
      <c r="J3031" s="8" t="n">
        <v>7360</v>
      </c>
      <c r="K3031" s="8" t="n">
        <v>7290</v>
      </c>
      <c r="L3031" s="8" t="n">
        <v>443344</v>
      </c>
      <c r="M3031" s="8" t="n">
        <v>755098</v>
      </c>
      <c r="N3031" t="inlineStr">
        <is>
          <t>是</t>
        </is>
      </c>
    </row>
    <row r="3032">
      <c r="A3032" s="7" t="inlineStr">
        <is>
          <t>2019-12-26</t>
        </is>
      </c>
      <c r="B3032" s="8" t="n">
        <v>7588</v>
      </c>
      <c r="C3032" s="8" t="n">
        <v>7518</v>
      </c>
      <c r="D3032" s="8" t="n">
        <v>7591</v>
      </c>
      <c r="E3032" s="8" t="n">
        <v>7505</v>
      </c>
      <c r="F3032" s="8" t="n">
        <v>596220</v>
      </c>
      <c r="G3032" s="8" t="n">
        <v>650784</v>
      </c>
      <c r="H3032" s="8" t="n">
        <v>7380</v>
      </c>
      <c r="I3032" s="8" t="n">
        <v>7350</v>
      </c>
      <c r="J3032" s="8" t="n">
        <v>7395</v>
      </c>
      <c r="K3032" s="8" t="n">
        <v>7335</v>
      </c>
      <c r="L3032" s="8" t="n">
        <v>379464</v>
      </c>
      <c r="M3032" s="8" t="n">
        <v>763304</v>
      </c>
      <c r="N3032" t="inlineStr">
        <is>
          <t>是</t>
        </is>
      </c>
    </row>
    <row r="3033">
      <c r="A3033" s="7" t="inlineStr">
        <is>
          <t>2019-12-27</t>
        </is>
      </c>
      <c r="B3033" s="8" t="n">
        <v>7615</v>
      </c>
      <c r="C3033" s="8" t="n">
        <v>7588</v>
      </c>
      <c r="D3033" s="8" t="n">
        <v>7648</v>
      </c>
      <c r="E3033" s="8" t="n">
        <v>7574</v>
      </c>
      <c r="F3033" s="8" t="n">
        <v>654556</v>
      </c>
      <c r="G3033" s="8" t="n">
        <v>620994</v>
      </c>
      <c r="H3033" s="8" t="n">
        <v>7375</v>
      </c>
      <c r="I3033" s="8" t="n">
        <v>7380</v>
      </c>
      <c r="J3033" s="8" t="n">
        <v>7420</v>
      </c>
      <c r="K3033" s="8" t="n">
        <v>7365</v>
      </c>
      <c r="L3033" s="8" t="n">
        <v>460198</v>
      </c>
      <c r="M3033" s="8" t="n">
        <v>761602</v>
      </c>
      <c r="N3033" t="inlineStr">
        <is>
          <t>是</t>
        </is>
      </c>
    </row>
    <row r="3034">
      <c r="A3034" s="7" t="inlineStr">
        <is>
          <t>2019-12-30</t>
        </is>
      </c>
      <c r="B3034" s="8" t="n">
        <v>7635</v>
      </c>
      <c r="C3034" s="8" t="n">
        <v>7604</v>
      </c>
      <c r="D3034" s="8" t="n">
        <v>7660</v>
      </c>
      <c r="E3034" s="8" t="n">
        <v>7602</v>
      </c>
      <c r="F3034" s="8" t="n">
        <v>474592</v>
      </c>
      <c r="G3034" s="8" t="n">
        <v>624460</v>
      </c>
      <c r="H3034" s="8" t="n">
        <v>7405</v>
      </c>
      <c r="I3034" s="8" t="n">
        <v>7375</v>
      </c>
      <c r="J3034" s="8" t="n">
        <v>7445</v>
      </c>
      <c r="K3034" s="8" t="n">
        <v>7370</v>
      </c>
      <c r="L3034" s="8" t="n">
        <v>420762</v>
      </c>
      <c r="M3034" s="8" t="n">
        <v>746990</v>
      </c>
      <c r="N3034" t="inlineStr">
        <is>
          <t>是</t>
        </is>
      </c>
    </row>
    <row r="3035">
      <c r="A3035" s="7" t="inlineStr">
        <is>
          <t>2019-12-31</t>
        </is>
      </c>
      <c r="B3035" s="8" t="n">
        <v>7582</v>
      </c>
      <c r="C3035" s="8" t="n">
        <v>7640</v>
      </c>
      <c r="D3035" s="8" t="n">
        <v>7650</v>
      </c>
      <c r="E3035" s="8" t="n">
        <v>7556</v>
      </c>
      <c r="F3035" s="8" t="n">
        <v>603454</v>
      </c>
      <c r="G3035" s="8" t="n">
        <v>610838</v>
      </c>
      <c r="H3035" s="8" t="n">
        <v>7310</v>
      </c>
      <c r="I3035" s="8" t="n">
        <v>7405</v>
      </c>
      <c r="J3035" s="8" t="n">
        <v>7415</v>
      </c>
      <c r="K3035" s="8" t="n">
        <v>7305</v>
      </c>
      <c r="L3035" s="8" t="n">
        <v>533090</v>
      </c>
      <c r="M3035" s="8" t="n">
        <v>732288</v>
      </c>
      <c r="N3035" t="inlineStr">
        <is>
          <t>是</t>
        </is>
      </c>
    </row>
    <row r="3036">
      <c r="A3036" s="7" t="inlineStr">
        <is>
          <t>2020-01-02</t>
        </is>
      </c>
      <c r="B3036" s="8" t="n">
        <v>7565</v>
      </c>
      <c r="C3036" s="8" t="n">
        <v>7592</v>
      </c>
      <c r="D3036" s="8" t="n">
        <v>7608</v>
      </c>
      <c r="E3036" s="8" t="n">
        <v>7552</v>
      </c>
      <c r="F3036" s="8" t="n">
        <v>173273</v>
      </c>
      <c r="G3036" s="8" t="n">
        <v>314288</v>
      </c>
      <c r="H3036" s="8" t="n">
        <v>7310</v>
      </c>
      <c r="I3036" s="8" t="n">
        <v>7325</v>
      </c>
      <c r="J3036" s="8" t="n">
        <v>7335</v>
      </c>
      <c r="K3036" s="8" t="n">
        <v>7300</v>
      </c>
      <c r="L3036" s="8" t="n">
        <v>139007</v>
      </c>
      <c r="M3036" s="8" t="n">
        <v>371698</v>
      </c>
      <c r="N3036" t="inlineStr">
        <is>
          <t>是</t>
        </is>
      </c>
    </row>
    <row r="3037">
      <c r="A3037" s="7" t="inlineStr">
        <is>
          <t>2020-01-03</t>
        </is>
      </c>
      <c r="B3037" s="8" t="n">
        <v>7519</v>
      </c>
      <c r="C3037" s="8" t="n">
        <v>7561</v>
      </c>
      <c r="D3037" s="8" t="n">
        <v>7573</v>
      </c>
      <c r="E3037" s="8" t="n">
        <v>7488</v>
      </c>
      <c r="F3037" s="8" t="n">
        <v>330045</v>
      </c>
      <c r="G3037" s="8" t="n">
        <v>324979</v>
      </c>
      <c r="H3037" s="8" t="n">
        <v>7350</v>
      </c>
      <c r="I3037" s="8" t="n">
        <v>7310</v>
      </c>
      <c r="J3037" s="8" t="n">
        <v>7360</v>
      </c>
      <c r="K3037" s="8" t="n">
        <v>7270</v>
      </c>
      <c r="L3037" s="8" t="n">
        <v>272824</v>
      </c>
      <c r="M3037" s="8" t="n">
        <v>363490</v>
      </c>
      <c r="N3037" t="inlineStr">
        <is>
          <t>是</t>
        </is>
      </c>
    </row>
    <row r="3038">
      <c r="A3038" s="7" t="inlineStr">
        <is>
          <t>2020-01-06</t>
        </is>
      </c>
      <c r="B3038" s="8" t="n">
        <v>7617</v>
      </c>
      <c r="C3038" s="8" t="n">
        <v>7525</v>
      </c>
      <c r="D3038" s="8" t="n">
        <v>7635</v>
      </c>
      <c r="E3038" s="8" t="n">
        <v>7501</v>
      </c>
      <c r="F3038" s="8" t="n">
        <v>411639</v>
      </c>
      <c r="G3038" s="8" t="n">
        <v>318906</v>
      </c>
      <c r="H3038" s="8" t="n">
        <v>7440</v>
      </c>
      <c r="I3038" s="8" t="n">
        <v>7360</v>
      </c>
      <c r="J3038" s="8" t="n">
        <v>7470</v>
      </c>
      <c r="K3038" s="8" t="n">
        <v>7330</v>
      </c>
      <c r="L3038" s="8" t="n">
        <v>356126</v>
      </c>
      <c r="M3038" s="8" t="n">
        <v>354915</v>
      </c>
      <c r="N3038" t="inlineStr">
        <is>
          <t>是</t>
        </is>
      </c>
    </row>
    <row r="3039">
      <c r="A3039" s="7" t="inlineStr">
        <is>
          <t>2020-01-07</t>
        </is>
      </c>
      <c r="B3039" s="8" t="n">
        <v>7542</v>
      </c>
      <c r="C3039" s="8" t="n">
        <v>7603</v>
      </c>
      <c r="D3039" s="8" t="n">
        <v>7610</v>
      </c>
      <c r="E3039" s="8" t="n">
        <v>7517</v>
      </c>
      <c r="F3039" s="8" t="n">
        <v>314586</v>
      </c>
      <c r="G3039" s="8" t="n">
        <v>341238</v>
      </c>
      <c r="H3039" s="8" t="n">
        <v>7400</v>
      </c>
      <c r="I3039" s="8" t="n">
        <v>7435</v>
      </c>
      <c r="J3039" s="8" t="n">
        <v>7445</v>
      </c>
      <c r="K3039" s="8" t="n">
        <v>7380</v>
      </c>
      <c r="L3039" s="8" t="n">
        <v>222297</v>
      </c>
      <c r="M3039" s="8" t="n">
        <v>352846</v>
      </c>
      <c r="N3039" t="inlineStr">
        <is>
          <t>是</t>
        </is>
      </c>
    </row>
    <row r="3040">
      <c r="A3040" s="7" t="inlineStr">
        <is>
          <t>2020-01-08</t>
        </is>
      </c>
      <c r="B3040" s="8" t="n">
        <v>7628</v>
      </c>
      <c r="C3040" s="8" t="n">
        <v>7538</v>
      </c>
      <c r="D3040" s="8" t="n">
        <v>7700</v>
      </c>
      <c r="E3040" s="8" t="n">
        <v>7533</v>
      </c>
      <c r="F3040" s="8" t="n">
        <v>411301</v>
      </c>
      <c r="G3040" s="8" t="n">
        <v>323520</v>
      </c>
      <c r="H3040" s="8" t="n">
        <v>7480</v>
      </c>
      <c r="I3040" s="8" t="n">
        <v>7405</v>
      </c>
      <c r="J3040" s="8" t="n">
        <v>7570</v>
      </c>
      <c r="K3040" s="8" t="n">
        <v>7385</v>
      </c>
      <c r="L3040" s="8" t="n">
        <v>368089</v>
      </c>
      <c r="M3040" s="8" t="n">
        <v>341983</v>
      </c>
      <c r="N3040" t="inlineStr">
        <is>
          <t>是</t>
        </is>
      </c>
    </row>
    <row r="3041">
      <c r="A3041" s="7" t="inlineStr">
        <is>
          <t>2020-01-09</t>
        </is>
      </c>
      <c r="B3041" s="8" t="n">
        <v>7617</v>
      </c>
      <c r="C3041" s="8" t="n">
        <v>7602</v>
      </c>
      <c r="D3041" s="8" t="n">
        <v>7710</v>
      </c>
      <c r="E3041" s="8" t="n">
        <v>7583</v>
      </c>
      <c r="F3041" s="8" t="n">
        <v>515129</v>
      </c>
      <c r="G3041" s="8" t="n">
        <v>332945</v>
      </c>
      <c r="H3041" s="8" t="n">
        <v>7380</v>
      </c>
      <c r="I3041" s="8" t="n">
        <v>7455</v>
      </c>
      <c r="J3041" s="8" t="n">
        <v>7500</v>
      </c>
      <c r="K3041" s="8" t="n">
        <v>7370</v>
      </c>
      <c r="L3041" s="8" t="n">
        <v>298763</v>
      </c>
      <c r="M3041" s="8" t="n">
        <v>328714</v>
      </c>
      <c r="N3041" t="inlineStr">
        <is>
          <t>是</t>
        </is>
      </c>
    </row>
    <row r="3042">
      <c r="A3042" s="7" t="inlineStr">
        <is>
          <t>2020-01-10</t>
        </is>
      </c>
      <c r="B3042" s="8" t="n">
        <v>7699</v>
      </c>
      <c r="C3042" s="8" t="n">
        <v>7625</v>
      </c>
      <c r="D3042" s="8" t="n">
        <v>7700</v>
      </c>
      <c r="E3042" s="8" t="n">
        <v>7617</v>
      </c>
      <c r="F3042" s="8" t="n">
        <v>298031</v>
      </c>
      <c r="G3042" s="8" t="n">
        <v>357975</v>
      </c>
      <c r="H3042" s="8" t="n">
        <v>7450</v>
      </c>
      <c r="I3042" s="8" t="n">
        <v>7380</v>
      </c>
      <c r="J3042" s="8" t="n">
        <v>7450</v>
      </c>
      <c r="K3042" s="8" t="n">
        <v>7360</v>
      </c>
      <c r="L3042" s="8" t="n">
        <v>160422</v>
      </c>
      <c r="M3042" s="8" t="n">
        <v>332794</v>
      </c>
      <c r="N3042" t="inlineStr">
        <is>
          <t>是</t>
        </is>
      </c>
    </row>
    <row r="3043">
      <c r="A3043" s="7" t="inlineStr">
        <is>
          <t>2020-01-13</t>
        </is>
      </c>
      <c r="B3043" s="8" t="n">
        <v>7748</v>
      </c>
      <c r="C3043" s="8" t="n">
        <v>7700</v>
      </c>
      <c r="D3043" s="8" t="n">
        <v>7765</v>
      </c>
      <c r="E3043" s="8" t="n">
        <v>7670</v>
      </c>
      <c r="F3043" s="8" t="n">
        <v>366349</v>
      </c>
      <c r="G3043" s="8" t="n">
        <v>370179</v>
      </c>
      <c r="H3043" s="8" t="n">
        <v>7485</v>
      </c>
      <c r="I3043" s="8" t="n">
        <v>7455</v>
      </c>
      <c r="J3043" s="8" t="n">
        <v>7505</v>
      </c>
      <c r="K3043" s="8" t="n">
        <v>7410</v>
      </c>
      <c r="L3043" s="8" t="n">
        <v>272202</v>
      </c>
      <c r="M3043" s="8" t="n">
        <v>337563</v>
      </c>
      <c r="N3043" t="inlineStr">
        <is>
          <t>是</t>
        </is>
      </c>
    </row>
    <row r="3044">
      <c r="A3044" s="7" t="inlineStr">
        <is>
          <t>2020-01-14</t>
        </is>
      </c>
      <c r="B3044" s="8" t="n">
        <v>7662</v>
      </c>
      <c r="C3044" s="8" t="n">
        <v>7748</v>
      </c>
      <c r="D3044" s="8" t="n">
        <v>7748</v>
      </c>
      <c r="E3044" s="8" t="n">
        <v>7658</v>
      </c>
      <c r="F3044" s="8" t="n">
        <v>245509</v>
      </c>
      <c r="G3044" s="8" t="n">
        <v>352850</v>
      </c>
      <c r="H3044" s="8" t="n">
        <v>7420</v>
      </c>
      <c r="I3044" s="8" t="n">
        <v>7475</v>
      </c>
      <c r="J3044" s="8" t="n">
        <v>7490</v>
      </c>
      <c r="K3044" s="8" t="n">
        <v>7415</v>
      </c>
      <c r="L3044" s="8" t="n">
        <v>176440</v>
      </c>
      <c r="M3044" s="8" t="n">
        <v>331991</v>
      </c>
      <c r="N3044" t="inlineStr">
        <is>
          <t>是</t>
        </is>
      </c>
    </row>
    <row r="3045">
      <c r="A3045" s="7" t="inlineStr">
        <is>
          <t>2020-01-15</t>
        </is>
      </c>
      <c r="B3045" s="8" t="n">
        <v>7566</v>
      </c>
      <c r="C3045" s="8" t="n">
        <v>7676</v>
      </c>
      <c r="D3045" s="8" t="n">
        <v>7681</v>
      </c>
      <c r="E3045" s="8" t="n">
        <v>7555</v>
      </c>
      <c r="F3045" s="8" t="n">
        <v>327181</v>
      </c>
      <c r="G3045" s="8" t="n">
        <v>340885</v>
      </c>
      <c r="H3045" s="8" t="n">
        <v>7365</v>
      </c>
      <c r="I3045" s="8" t="n">
        <v>7420</v>
      </c>
      <c r="J3045" s="8" t="n">
        <v>7435</v>
      </c>
      <c r="K3045" s="8" t="n">
        <v>7345</v>
      </c>
      <c r="L3045" s="8" t="n">
        <v>202148</v>
      </c>
      <c r="M3045" s="8" t="n">
        <v>328233</v>
      </c>
      <c r="N3045" t="inlineStr">
        <is>
          <t>是</t>
        </is>
      </c>
    </row>
    <row r="3046">
      <c r="A3046" s="7" t="inlineStr">
        <is>
          <t>2020-01-16</t>
        </is>
      </c>
      <c r="B3046" s="8" t="n">
        <v>7540</v>
      </c>
      <c r="C3046" s="8" t="n">
        <v>7568</v>
      </c>
      <c r="D3046" s="8" t="n">
        <v>7597</v>
      </c>
      <c r="E3046" s="8" t="n">
        <v>7537</v>
      </c>
      <c r="F3046" s="8" t="n">
        <v>191356</v>
      </c>
      <c r="G3046" s="8" t="n">
        <v>348027</v>
      </c>
      <c r="H3046" s="8" t="n">
        <v>7295</v>
      </c>
      <c r="I3046" s="8" t="n">
        <v>7375</v>
      </c>
      <c r="J3046" s="8" t="n">
        <v>7390</v>
      </c>
      <c r="K3046" s="8" t="n">
        <v>7290</v>
      </c>
      <c r="L3046" s="8" t="n">
        <v>205147</v>
      </c>
      <c r="M3046" s="8" t="n">
        <v>338881</v>
      </c>
      <c r="N3046" t="inlineStr">
        <is>
          <t>是</t>
        </is>
      </c>
    </row>
    <row r="3047">
      <c r="A3047" s="7" t="inlineStr">
        <is>
          <t>2020-01-17</t>
        </is>
      </c>
      <c r="B3047" s="8" t="n">
        <v>7516</v>
      </c>
      <c r="C3047" s="8" t="n">
        <v>7540</v>
      </c>
      <c r="D3047" s="8" t="n">
        <v>7560</v>
      </c>
      <c r="E3047" s="8" t="n">
        <v>7513</v>
      </c>
      <c r="F3047" s="8" t="n">
        <v>190060</v>
      </c>
      <c r="G3047" s="8" t="n">
        <v>346306</v>
      </c>
      <c r="H3047" s="8" t="n">
        <v>7305</v>
      </c>
      <c r="I3047" s="8" t="n">
        <v>7295</v>
      </c>
      <c r="J3047" s="8" t="n">
        <v>7330</v>
      </c>
      <c r="K3047" s="8" t="n">
        <v>7290</v>
      </c>
      <c r="L3047" s="8" t="n">
        <v>133380</v>
      </c>
      <c r="M3047" s="8" t="n">
        <v>336208</v>
      </c>
      <c r="N3047" t="inlineStr">
        <is>
          <t>是</t>
        </is>
      </c>
    </row>
    <row r="3048">
      <c r="A3048" s="7" t="inlineStr">
        <is>
          <t>2020-01-20</t>
        </is>
      </c>
      <c r="B3048" s="8" t="n">
        <v>7520</v>
      </c>
      <c r="C3048" s="8" t="n">
        <v>7524</v>
      </c>
      <c r="D3048" s="8" t="n">
        <v>7539</v>
      </c>
      <c r="E3048" s="8" t="n">
        <v>7490</v>
      </c>
      <c r="F3048" s="8" t="n">
        <v>224701</v>
      </c>
      <c r="G3048" s="8" t="n">
        <v>335972</v>
      </c>
      <c r="H3048" s="8" t="n">
        <v>7260</v>
      </c>
      <c r="I3048" s="8" t="n">
        <v>7305</v>
      </c>
      <c r="J3048" s="8" t="n">
        <v>7310</v>
      </c>
      <c r="K3048" s="8" t="n">
        <v>7245</v>
      </c>
      <c r="L3048" s="8" t="n">
        <v>188290</v>
      </c>
      <c r="M3048" s="8" t="n">
        <v>332199</v>
      </c>
      <c r="N3048" t="inlineStr">
        <is>
          <t>是</t>
        </is>
      </c>
    </row>
    <row r="3049">
      <c r="A3049" s="7" t="inlineStr">
        <is>
          <t>2020-01-21</t>
        </is>
      </c>
      <c r="B3049" s="8" t="n">
        <v>7447</v>
      </c>
      <c r="C3049" s="8" t="n">
        <v>7512</v>
      </c>
      <c r="D3049" s="8" t="n">
        <v>7528</v>
      </c>
      <c r="E3049" s="8" t="n">
        <v>7421</v>
      </c>
      <c r="F3049" s="8" t="n">
        <v>243338</v>
      </c>
      <c r="G3049" s="8" t="n">
        <v>348507</v>
      </c>
      <c r="H3049" s="8" t="n">
        <v>7230</v>
      </c>
      <c r="I3049" s="8" t="n">
        <v>7260</v>
      </c>
      <c r="J3049" s="8" t="n">
        <v>7280</v>
      </c>
      <c r="K3049" s="8" t="n">
        <v>7215</v>
      </c>
      <c r="L3049" s="8" t="n">
        <v>158580</v>
      </c>
      <c r="M3049" s="8" t="n">
        <v>325820</v>
      </c>
      <c r="N3049" t="inlineStr">
        <is>
          <t>是</t>
        </is>
      </c>
    </row>
    <row r="3050">
      <c r="A3050" s="7" t="inlineStr">
        <is>
          <t>2020-01-22</t>
        </is>
      </c>
      <c r="B3050" s="8" t="n">
        <v>7333</v>
      </c>
      <c r="C3050" s="8" t="n">
        <v>7442</v>
      </c>
      <c r="D3050" s="8" t="n">
        <v>7450</v>
      </c>
      <c r="E3050" s="8" t="n">
        <v>7312</v>
      </c>
      <c r="F3050" s="8" t="n">
        <v>331211</v>
      </c>
      <c r="G3050" s="8" t="n">
        <v>359167</v>
      </c>
      <c r="H3050" s="8" t="n">
        <v>7185</v>
      </c>
      <c r="I3050" s="8" t="n">
        <v>7220</v>
      </c>
      <c r="J3050" s="8" t="n">
        <v>7235</v>
      </c>
      <c r="K3050" s="8" t="n">
        <v>7165</v>
      </c>
      <c r="L3050" s="8" t="n">
        <v>228001</v>
      </c>
      <c r="M3050" s="8" t="n">
        <v>311328</v>
      </c>
      <c r="N3050" t="inlineStr">
        <is>
          <t>是</t>
        </is>
      </c>
    </row>
    <row r="3051">
      <c r="A3051" s="7" t="inlineStr">
        <is>
          <t>2020-01-23</t>
        </is>
      </c>
      <c r="B3051" s="8" t="n">
        <v>7324</v>
      </c>
      <c r="C3051" s="8" t="n">
        <v>7320</v>
      </c>
      <c r="D3051" s="8" t="n">
        <v>7398</v>
      </c>
      <c r="E3051" s="8" t="n">
        <v>7313</v>
      </c>
      <c r="F3051" s="8" t="n">
        <v>192243</v>
      </c>
      <c r="G3051" s="8" t="n">
        <v>331892</v>
      </c>
      <c r="H3051" s="8" t="n">
        <v>7155</v>
      </c>
      <c r="I3051" s="8" t="n">
        <v>7180</v>
      </c>
      <c r="J3051" s="8" t="n">
        <v>7195</v>
      </c>
      <c r="K3051" s="8" t="n">
        <v>7135</v>
      </c>
      <c r="L3051" s="8" t="n">
        <v>162071</v>
      </c>
      <c r="M3051" s="8" t="n">
        <v>299832</v>
      </c>
      <c r="N3051" t="inlineStr">
        <is>
          <t>是</t>
        </is>
      </c>
    </row>
    <row r="3052">
      <c r="A3052" s="7" t="inlineStr">
        <is>
          <t>2020-02-03</t>
        </is>
      </c>
      <c r="B3052" s="8" t="n">
        <v>6903</v>
      </c>
      <c r="C3052" s="8" t="n">
        <v>6903</v>
      </c>
      <c r="D3052" s="8" t="n">
        <v>6962</v>
      </c>
      <c r="E3052" s="8" t="n">
        <v>6903</v>
      </c>
      <c r="F3052" s="8" t="n">
        <v>182949</v>
      </c>
      <c r="G3052" s="8" t="n">
        <v>317109</v>
      </c>
      <c r="H3052" s="8" t="n">
        <v>6740</v>
      </c>
      <c r="I3052" s="8" t="n">
        <v>6740</v>
      </c>
      <c r="J3052" s="8" t="n">
        <v>6800</v>
      </c>
      <c r="K3052" s="8" t="n">
        <v>6740</v>
      </c>
      <c r="L3052" s="8" t="n">
        <v>136022</v>
      </c>
      <c r="M3052" s="8" t="n">
        <v>292865</v>
      </c>
      <c r="N3052" t="inlineStr">
        <is>
          <t>是</t>
        </is>
      </c>
    </row>
    <row r="3053">
      <c r="A3053" s="7" t="inlineStr">
        <is>
          <t>2020-02-04</t>
        </is>
      </c>
      <c r="B3053" s="8" t="n">
        <v>6921</v>
      </c>
      <c r="C3053" s="8" t="n">
        <v>6695</v>
      </c>
      <c r="D3053" s="8" t="n">
        <v>6950</v>
      </c>
      <c r="E3053" s="8" t="n">
        <v>6680</v>
      </c>
      <c r="F3053" s="8" t="n">
        <v>275020</v>
      </c>
      <c r="G3053" s="8" t="n">
        <v>289905</v>
      </c>
      <c r="H3053" s="8" t="n">
        <v>6805</v>
      </c>
      <c r="I3053" s="8" t="n">
        <v>6500</v>
      </c>
      <c r="J3053" s="8" t="n">
        <v>6830</v>
      </c>
      <c r="K3053" s="8" t="n">
        <v>6500</v>
      </c>
      <c r="L3053" s="8" t="n">
        <v>231254</v>
      </c>
      <c r="M3053" s="8" t="n">
        <v>280182</v>
      </c>
      <c r="N3053" t="inlineStr">
        <is>
          <t>是</t>
        </is>
      </c>
    </row>
    <row r="3054">
      <c r="A3054" s="7" t="inlineStr">
        <is>
          <t>2020-02-05</t>
        </is>
      </c>
      <c r="B3054" s="8" t="n">
        <v>6896</v>
      </c>
      <c r="C3054" s="8" t="n">
        <v>6933</v>
      </c>
      <c r="D3054" s="8" t="n">
        <v>6987</v>
      </c>
      <c r="E3054" s="8" t="n">
        <v>6891</v>
      </c>
      <c r="F3054" s="8" t="n">
        <v>272978</v>
      </c>
      <c r="G3054" s="8" t="n">
        <v>341031</v>
      </c>
      <c r="H3054" s="8" t="n">
        <v>6830</v>
      </c>
      <c r="I3054" s="8" t="n">
        <v>6800</v>
      </c>
      <c r="J3054" s="8" t="n">
        <v>6890</v>
      </c>
      <c r="K3054" s="8" t="n">
        <v>6795</v>
      </c>
      <c r="L3054" s="8" t="n">
        <v>178942</v>
      </c>
      <c r="M3054" s="8" t="n">
        <v>299352</v>
      </c>
      <c r="N3054" t="inlineStr">
        <is>
          <t>是</t>
        </is>
      </c>
    </row>
    <row r="3055">
      <c r="A3055" s="7" t="inlineStr">
        <is>
          <t>2020-02-06</t>
        </is>
      </c>
      <c r="B3055" s="8" t="n">
        <v>6924</v>
      </c>
      <c r="C3055" s="8" t="n">
        <v>6930</v>
      </c>
      <c r="D3055" s="8" t="n">
        <v>6939</v>
      </c>
      <c r="E3055" s="8" t="n">
        <v>6866</v>
      </c>
      <c r="F3055" s="8" t="n">
        <v>217240</v>
      </c>
      <c r="G3055" s="8" t="n">
        <v>346275</v>
      </c>
      <c r="H3055" s="8" t="n">
        <v>6845</v>
      </c>
      <c r="I3055" s="8" t="n">
        <v>6845</v>
      </c>
      <c r="J3055" s="8" t="n">
        <v>6860</v>
      </c>
      <c r="K3055" s="8" t="n">
        <v>6780</v>
      </c>
      <c r="L3055" s="8" t="n">
        <v>122158</v>
      </c>
      <c r="M3055" s="8" t="n">
        <v>300783</v>
      </c>
      <c r="N3055" t="inlineStr">
        <is>
          <t>是</t>
        </is>
      </c>
    </row>
    <row r="3056">
      <c r="A3056" s="7" t="inlineStr">
        <is>
          <t>2020-02-07</t>
        </is>
      </c>
      <c r="B3056" s="8" t="n">
        <v>6868</v>
      </c>
      <c r="C3056" s="8" t="n">
        <v>6918</v>
      </c>
      <c r="D3056" s="8" t="n">
        <v>6926</v>
      </c>
      <c r="E3056" s="8" t="n">
        <v>6855</v>
      </c>
      <c r="F3056" s="8" t="n">
        <v>250628</v>
      </c>
      <c r="G3056" s="8" t="n">
        <v>381693</v>
      </c>
      <c r="H3056" s="8" t="n">
        <v>6810</v>
      </c>
      <c r="I3056" s="8" t="n">
        <v>6830</v>
      </c>
      <c r="J3056" s="8" t="n">
        <v>6835</v>
      </c>
      <c r="K3056" s="8" t="n">
        <v>6795</v>
      </c>
      <c r="L3056" s="8" t="n">
        <v>95057</v>
      </c>
      <c r="M3056" s="8" t="n">
        <v>305131</v>
      </c>
      <c r="N3056" t="inlineStr">
        <is>
          <t>是</t>
        </is>
      </c>
    </row>
    <row r="3057">
      <c r="A3057" s="7" t="inlineStr">
        <is>
          <t>2020-02-10</t>
        </is>
      </c>
      <c r="B3057" s="8" t="n">
        <v>6833</v>
      </c>
      <c r="C3057" s="8" t="n">
        <v>6840</v>
      </c>
      <c r="D3057" s="8" t="n">
        <v>6882</v>
      </c>
      <c r="E3057" s="8" t="n">
        <v>6824</v>
      </c>
      <c r="F3057" s="8" t="n">
        <v>215328</v>
      </c>
      <c r="G3057" s="8" t="n">
        <v>399431</v>
      </c>
      <c r="H3057" s="8" t="n">
        <v>6825</v>
      </c>
      <c r="I3057" s="8" t="n">
        <v>6800</v>
      </c>
      <c r="J3057" s="8" t="n">
        <v>6845</v>
      </c>
      <c r="K3057" s="8" t="n">
        <v>6785</v>
      </c>
      <c r="L3057" s="8" t="n">
        <v>93216</v>
      </c>
      <c r="M3057" s="8" t="n">
        <v>307698</v>
      </c>
      <c r="N3057" t="inlineStr">
        <is>
          <t>是</t>
        </is>
      </c>
    </row>
    <row r="3058">
      <c r="A3058" s="7" t="inlineStr">
        <is>
          <t>2020-02-11</t>
        </is>
      </c>
      <c r="B3058" s="8" t="n">
        <v>6857</v>
      </c>
      <c r="C3058" s="8" t="n">
        <v>6840</v>
      </c>
      <c r="D3058" s="8" t="n">
        <v>6881</v>
      </c>
      <c r="E3058" s="8" t="n">
        <v>6813</v>
      </c>
      <c r="F3058" s="8" t="n">
        <v>206766</v>
      </c>
      <c r="G3058" s="8" t="n">
        <v>390308</v>
      </c>
      <c r="H3058" s="8" t="n">
        <v>6820</v>
      </c>
      <c r="I3058" s="8" t="n">
        <v>6820</v>
      </c>
      <c r="J3058" s="8" t="n">
        <v>6850</v>
      </c>
      <c r="K3058" s="8" t="n">
        <v>6810</v>
      </c>
      <c r="L3058" s="8" t="n">
        <v>112729</v>
      </c>
      <c r="M3058" s="8" t="n">
        <v>310328</v>
      </c>
      <c r="N3058" t="inlineStr">
        <is>
          <t>是</t>
        </is>
      </c>
    </row>
    <row r="3059">
      <c r="A3059" s="7" t="inlineStr">
        <is>
          <t>2020-02-12</t>
        </is>
      </c>
      <c r="B3059" s="8" t="n">
        <v>6858</v>
      </c>
      <c r="C3059" s="8" t="n">
        <v>6861</v>
      </c>
      <c r="D3059" s="8" t="n">
        <v>6895</v>
      </c>
      <c r="E3059" s="8" t="n">
        <v>6831</v>
      </c>
      <c r="F3059" s="8" t="n">
        <v>235706</v>
      </c>
      <c r="G3059" s="8" t="n">
        <v>391810</v>
      </c>
      <c r="H3059" s="8" t="n">
        <v>6820</v>
      </c>
      <c r="I3059" s="8" t="n">
        <v>6815</v>
      </c>
      <c r="J3059" s="8" t="n">
        <v>6850</v>
      </c>
      <c r="K3059" s="8" t="n">
        <v>6780</v>
      </c>
      <c r="L3059" s="8" t="n">
        <v>114397</v>
      </c>
      <c r="M3059" s="8" t="n">
        <v>309470</v>
      </c>
      <c r="N3059" t="inlineStr">
        <is>
          <t>是</t>
        </is>
      </c>
    </row>
    <row r="3060">
      <c r="A3060" s="7" t="inlineStr">
        <is>
          <t>2020-02-13</t>
        </is>
      </c>
      <c r="B3060" s="8" t="n">
        <v>6815</v>
      </c>
      <c r="C3060" s="8" t="n">
        <v>6868</v>
      </c>
      <c r="D3060" s="8" t="n">
        <v>6877</v>
      </c>
      <c r="E3060" s="8" t="n">
        <v>6802</v>
      </c>
      <c r="F3060" s="8" t="n">
        <v>221743</v>
      </c>
      <c r="G3060" s="8" t="n">
        <v>414640</v>
      </c>
      <c r="H3060" s="8" t="n">
        <v>6805</v>
      </c>
      <c r="I3060" s="8" t="n">
        <v>6825</v>
      </c>
      <c r="J3060" s="8" t="n">
        <v>6840</v>
      </c>
      <c r="K3060" s="8" t="n">
        <v>6755</v>
      </c>
      <c r="L3060" s="8" t="n">
        <v>131907</v>
      </c>
      <c r="M3060" s="8" t="n">
        <v>313235</v>
      </c>
      <c r="N3060" t="inlineStr">
        <is>
          <t>是</t>
        </is>
      </c>
    </row>
    <row r="3061">
      <c r="A3061" s="7" t="inlineStr">
        <is>
          <t>2020-02-14</t>
        </is>
      </c>
      <c r="B3061" s="8" t="n">
        <v>6854</v>
      </c>
      <c r="C3061" s="8" t="n">
        <v>6825</v>
      </c>
      <c r="D3061" s="8" t="n">
        <v>6856</v>
      </c>
      <c r="E3061" s="8" t="n">
        <v>6791</v>
      </c>
      <c r="F3061" s="8" t="n">
        <v>237812</v>
      </c>
      <c r="G3061" s="8" t="n">
        <v>396308</v>
      </c>
      <c r="H3061" s="8" t="n">
        <v>6820</v>
      </c>
      <c r="I3061" s="8" t="n">
        <v>6815</v>
      </c>
      <c r="J3061" s="8" t="n">
        <v>6825</v>
      </c>
      <c r="K3061" s="8" t="n">
        <v>6770</v>
      </c>
      <c r="L3061" s="8" t="n">
        <v>110799</v>
      </c>
      <c r="M3061" s="8" t="n">
        <v>315100</v>
      </c>
      <c r="N3061" t="inlineStr">
        <is>
          <t>是</t>
        </is>
      </c>
    </row>
    <row r="3062">
      <c r="A3062" s="7" t="inlineStr">
        <is>
          <t>2020-02-17</t>
        </is>
      </c>
      <c r="B3062" s="8" t="n">
        <v>6905</v>
      </c>
      <c r="C3062" s="8" t="n">
        <v>6856</v>
      </c>
      <c r="D3062" s="8" t="n">
        <v>6909</v>
      </c>
      <c r="E3062" s="8" t="n">
        <v>6843</v>
      </c>
      <c r="F3062" s="8" t="n">
        <v>242096</v>
      </c>
      <c r="G3062" s="8" t="n">
        <v>386096</v>
      </c>
      <c r="H3062" s="8" t="n">
        <v>6865</v>
      </c>
      <c r="I3062" s="8" t="n">
        <v>6825</v>
      </c>
      <c r="J3062" s="8" t="n">
        <v>6865</v>
      </c>
      <c r="K3062" s="8" t="n">
        <v>6805</v>
      </c>
      <c r="L3062" s="8" t="n">
        <v>144418</v>
      </c>
      <c r="M3062" s="8" t="n">
        <v>315853</v>
      </c>
      <c r="N3062" t="inlineStr">
        <is>
          <t>是</t>
        </is>
      </c>
    </row>
    <row r="3063">
      <c r="A3063" s="7" t="inlineStr">
        <is>
          <t>2020-02-18</t>
        </is>
      </c>
      <c r="B3063" s="8" t="n">
        <v>6952</v>
      </c>
      <c r="C3063" s="8" t="n">
        <v>6912</v>
      </c>
      <c r="D3063" s="8" t="n">
        <v>7014</v>
      </c>
      <c r="E3063" s="8" t="n">
        <v>6908</v>
      </c>
      <c r="F3063" s="8" t="n">
        <v>402400</v>
      </c>
      <c r="G3063" s="8" t="n">
        <v>379041</v>
      </c>
      <c r="H3063" s="8" t="n">
        <v>6885</v>
      </c>
      <c r="I3063" s="8" t="n">
        <v>6860</v>
      </c>
      <c r="J3063" s="8" t="n">
        <v>6960</v>
      </c>
      <c r="K3063" s="8" t="n">
        <v>6855</v>
      </c>
      <c r="L3063" s="8" t="n">
        <v>218339</v>
      </c>
      <c r="M3063" s="8" t="n">
        <v>311047</v>
      </c>
      <c r="N3063" t="inlineStr">
        <is>
          <t>是</t>
        </is>
      </c>
    </row>
    <row r="3064">
      <c r="A3064" s="7" t="inlineStr">
        <is>
          <t>2020-02-19</t>
        </is>
      </c>
      <c r="B3064" s="8" t="n">
        <v>7052</v>
      </c>
      <c r="C3064" s="8" t="n">
        <v>6952</v>
      </c>
      <c r="D3064" s="8" t="n">
        <v>7060</v>
      </c>
      <c r="E3064" s="8" t="n">
        <v>6952</v>
      </c>
      <c r="F3064" s="8" t="n">
        <v>338935</v>
      </c>
      <c r="G3064" s="8" t="n">
        <v>374069</v>
      </c>
      <c r="H3064" s="8" t="n">
        <v>6960</v>
      </c>
      <c r="I3064" s="8" t="n">
        <v>6885</v>
      </c>
      <c r="J3064" s="8" t="n">
        <v>6975</v>
      </c>
      <c r="K3064" s="8" t="n">
        <v>6875</v>
      </c>
      <c r="L3064" s="8" t="n">
        <v>133440</v>
      </c>
      <c r="M3064" s="8" t="n">
        <v>308348</v>
      </c>
      <c r="N3064" t="inlineStr">
        <is>
          <t>是</t>
        </is>
      </c>
    </row>
    <row r="3065">
      <c r="A3065" s="7" t="inlineStr">
        <is>
          <t>2020-02-20</t>
        </is>
      </c>
      <c r="B3065" s="8" t="n">
        <v>7138</v>
      </c>
      <c r="C3065" s="8" t="n">
        <v>7071</v>
      </c>
      <c r="D3065" s="8" t="n">
        <v>7144</v>
      </c>
      <c r="E3065" s="8" t="n">
        <v>7039</v>
      </c>
      <c r="F3065" s="8" t="n">
        <v>369751</v>
      </c>
      <c r="G3065" s="8" t="n">
        <v>375983</v>
      </c>
      <c r="H3065" s="8" t="n">
        <v>7035</v>
      </c>
      <c r="I3065" s="8" t="n">
        <v>6980</v>
      </c>
      <c r="J3065" s="8" t="n">
        <v>7040</v>
      </c>
      <c r="K3065" s="8" t="n">
        <v>6965</v>
      </c>
      <c r="L3065" s="8" t="n">
        <v>173794</v>
      </c>
      <c r="M3065" s="8" t="n">
        <v>305623</v>
      </c>
      <c r="N3065" t="inlineStr">
        <is>
          <t>是</t>
        </is>
      </c>
    </row>
    <row r="3066">
      <c r="A3066" s="7" t="inlineStr">
        <is>
          <t>2020-02-21</t>
        </is>
      </c>
      <c r="B3066" s="8" t="n">
        <v>7105</v>
      </c>
      <c r="C3066" s="8" t="n">
        <v>7138</v>
      </c>
      <c r="D3066" s="8" t="n">
        <v>7149</v>
      </c>
      <c r="E3066" s="8" t="n">
        <v>7073</v>
      </c>
      <c r="F3066" s="8" t="n">
        <v>296662</v>
      </c>
      <c r="G3066" s="8" t="n">
        <v>376154</v>
      </c>
      <c r="H3066" s="8" t="n">
        <v>7000</v>
      </c>
      <c r="I3066" s="8" t="n">
        <v>7035</v>
      </c>
      <c r="J3066" s="8" t="n">
        <v>7045</v>
      </c>
      <c r="K3066" s="8" t="n">
        <v>6980</v>
      </c>
      <c r="L3066" s="8" t="n">
        <v>124609</v>
      </c>
      <c r="M3066" s="8" t="n">
        <v>304996</v>
      </c>
      <c r="N3066" t="inlineStr">
        <is>
          <t>是</t>
        </is>
      </c>
    </row>
    <row r="3067">
      <c r="A3067" s="7" t="inlineStr">
        <is>
          <t>2020-02-24</t>
        </is>
      </c>
      <c r="B3067" s="8" t="n">
        <v>7078</v>
      </c>
      <c r="C3067" s="8" t="n">
        <v>7055</v>
      </c>
      <c r="D3067" s="8" t="n">
        <v>7108</v>
      </c>
      <c r="E3067" s="8" t="n">
        <v>7020</v>
      </c>
      <c r="F3067" s="8" t="n">
        <v>310023</v>
      </c>
      <c r="G3067" s="8" t="n">
        <v>382252</v>
      </c>
      <c r="H3067" s="8" t="n">
        <v>6935</v>
      </c>
      <c r="I3067" s="8" t="n">
        <v>6955</v>
      </c>
      <c r="J3067" s="8" t="n">
        <v>6980</v>
      </c>
      <c r="K3067" s="8" t="n">
        <v>6900</v>
      </c>
      <c r="L3067" s="8" t="n">
        <v>148545</v>
      </c>
      <c r="M3067" s="8" t="n">
        <v>300009</v>
      </c>
      <c r="N3067" t="inlineStr">
        <is>
          <t>是</t>
        </is>
      </c>
    </row>
    <row r="3068">
      <c r="A3068" s="7" t="inlineStr">
        <is>
          <t>2020-02-25</t>
        </is>
      </c>
      <c r="B3068" s="8" t="n">
        <v>7081</v>
      </c>
      <c r="C3068" s="8" t="n">
        <v>7038</v>
      </c>
      <c r="D3068" s="8" t="n">
        <v>7099</v>
      </c>
      <c r="E3068" s="8" t="n">
        <v>7011</v>
      </c>
      <c r="F3068" s="8" t="n">
        <v>311588</v>
      </c>
      <c r="G3068" s="8" t="n">
        <v>384062</v>
      </c>
      <c r="H3068" s="8" t="n">
        <v>6955</v>
      </c>
      <c r="I3068" s="8" t="n">
        <v>6915</v>
      </c>
      <c r="J3068" s="8" t="n">
        <v>6960</v>
      </c>
      <c r="K3068" s="8" t="n">
        <v>6860</v>
      </c>
      <c r="L3068" s="8" t="n">
        <v>137908</v>
      </c>
      <c r="M3068" s="8" t="n">
        <v>299848</v>
      </c>
      <c r="N3068" t="inlineStr">
        <is>
          <t>是</t>
        </is>
      </c>
    </row>
    <row r="3069">
      <c r="A3069" s="7" t="inlineStr">
        <is>
          <t>2020-02-26</t>
        </is>
      </c>
      <c r="B3069" s="8" t="n">
        <v>7045</v>
      </c>
      <c r="C3069" s="8" t="n">
        <v>7055</v>
      </c>
      <c r="D3069" s="8" t="n">
        <v>7084</v>
      </c>
      <c r="E3069" s="8" t="n">
        <v>7035</v>
      </c>
      <c r="F3069" s="8" t="n">
        <v>277991</v>
      </c>
      <c r="G3069" s="8" t="n">
        <v>388831</v>
      </c>
      <c r="H3069" s="8" t="n">
        <v>6920</v>
      </c>
      <c r="I3069" s="8" t="n">
        <v>6930</v>
      </c>
      <c r="J3069" s="8" t="n">
        <v>6935</v>
      </c>
      <c r="K3069" s="8" t="n">
        <v>6890</v>
      </c>
      <c r="L3069" s="8" t="n">
        <v>131593</v>
      </c>
      <c r="M3069" s="8" t="n">
        <v>298621</v>
      </c>
      <c r="N3069" t="inlineStr">
        <is>
          <t>是</t>
        </is>
      </c>
    </row>
    <row r="3070">
      <c r="A3070" s="7" t="inlineStr">
        <is>
          <t>2020-02-27</t>
        </is>
      </c>
      <c r="B3070" s="8" t="n">
        <v>7013</v>
      </c>
      <c r="C3070" s="8" t="n">
        <v>7011</v>
      </c>
      <c r="D3070" s="8" t="n">
        <v>7035</v>
      </c>
      <c r="E3070" s="8" t="n">
        <v>6976</v>
      </c>
      <c r="F3070" s="8" t="n">
        <v>292100</v>
      </c>
      <c r="G3070" s="8" t="n">
        <v>391623</v>
      </c>
      <c r="H3070" s="8" t="n">
        <v>6890</v>
      </c>
      <c r="I3070" s="8" t="n">
        <v>6900</v>
      </c>
      <c r="J3070" s="8" t="n">
        <v>6910</v>
      </c>
      <c r="K3070" s="8" t="n">
        <v>6845</v>
      </c>
      <c r="L3070" s="8" t="n">
        <v>140869</v>
      </c>
      <c r="M3070" s="8" t="n">
        <v>302017</v>
      </c>
      <c r="N3070" t="inlineStr">
        <is>
          <t>是</t>
        </is>
      </c>
    </row>
    <row r="3071">
      <c r="A3071" s="7" t="inlineStr">
        <is>
          <t>2020-02-28</t>
        </is>
      </c>
      <c r="B3071" s="8" t="n">
        <v>6834</v>
      </c>
      <c r="C3071" s="8" t="n">
        <v>6950</v>
      </c>
      <c r="D3071" s="8" t="n">
        <v>6960</v>
      </c>
      <c r="E3071" s="8" t="n">
        <v>6823</v>
      </c>
      <c r="F3071" s="8" t="n">
        <v>433085</v>
      </c>
      <c r="G3071" s="8" t="n">
        <v>364078</v>
      </c>
      <c r="H3071" s="8" t="n">
        <v>6725</v>
      </c>
      <c r="I3071" s="8" t="n">
        <v>6835</v>
      </c>
      <c r="J3071" s="8" t="n">
        <v>6845</v>
      </c>
      <c r="K3071" s="8" t="n">
        <v>6720</v>
      </c>
      <c r="L3071" s="8" t="n">
        <v>267257</v>
      </c>
      <c r="M3071" s="8" t="n">
        <v>297082</v>
      </c>
      <c r="N3071" t="inlineStr">
        <is>
          <t>是</t>
        </is>
      </c>
    </row>
    <row r="3072">
      <c r="A3072" s="7" t="inlineStr">
        <is>
          <t>2020-03-02</t>
        </is>
      </c>
      <c r="B3072" s="8" t="n">
        <v>6982</v>
      </c>
      <c r="C3072" s="8" t="n">
        <v>6763</v>
      </c>
      <c r="D3072" s="8" t="n">
        <v>6998</v>
      </c>
      <c r="E3072" s="8" t="n">
        <v>6763</v>
      </c>
      <c r="F3072" s="8" t="n">
        <v>385637</v>
      </c>
      <c r="G3072" s="8" t="n">
        <v>354844</v>
      </c>
      <c r="H3072" s="8" t="n">
        <v>6875</v>
      </c>
      <c r="I3072" s="8" t="n">
        <v>6725</v>
      </c>
      <c r="J3072" s="8" t="n">
        <v>6885</v>
      </c>
      <c r="K3072" s="8" t="n">
        <v>6705</v>
      </c>
      <c r="L3072" s="8" t="n">
        <v>205232</v>
      </c>
      <c r="M3072" s="8" t="n">
        <v>290238</v>
      </c>
      <c r="N3072" t="inlineStr">
        <is>
          <t>是</t>
        </is>
      </c>
    </row>
    <row r="3073">
      <c r="A3073" s="7" t="inlineStr">
        <is>
          <t>2020-03-03</t>
        </is>
      </c>
      <c r="B3073" s="8" t="n">
        <v>7064</v>
      </c>
      <c r="C3073" s="8" t="n">
        <v>7030</v>
      </c>
      <c r="D3073" s="8" t="n">
        <v>7123</v>
      </c>
      <c r="E3073" s="8" t="n">
        <v>7011</v>
      </c>
      <c r="F3073" s="8" t="n">
        <v>392649</v>
      </c>
      <c r="G3073" s="8" t="n">
        <v>347806</v>
      </c>
      <c r="H3073" s="8" t="n">
        <v>6935</v>
      </c>
      <c r="I3073" s="8" t="n">
        <v>6920</v>
      </c>
      <c r="J3073" s="8" t="n">
        <v>6985</v>
      </c>
      <c r="K3073" s="8" t="n">
        <v>6890</v>
      </c>
      <c r="L3073" s="8" t="n">
        <v>184800</v>
      </c>
      <c r="M3073" s="8" t="n">
        <v>289932</v>
      </c>
      <c r="N3073" t="inlineStr">
        <is>
          <t>是</t>
        </is>
      </c>
    </row>
    <row r="3074">
      <c r="A3074" s="7" t="inlineStr">
        <is>
          <t>2020-03-04</t>
        </is>
      </c>
      <c r="B3074" s="8" t="n">
        <v>7114</v>
      </c>
      <c r="C3074" s="8" t="n">
        <v>7055</v>
      </c>
      <c r="D3074" s="8" t="n">
        <v>7118</v>
      </c>
      <c r="E3074" s="8" t="n">
        <v>7051</v>
      </c>
      <c r="F3074" s="8" t="n">
        <v>298950</v>
      </c>
      <c r="G3074" s="8" t="n">
        <v>338602</v>
      </c>
      <c r="H3074" s="8" t="n">
        <v>6940</v>
      </c>
      <c r="I3074" s="8" t="n">
        <v>6935</v>
      </c>
      <c r="J3074" s="8" t="n">
        <v>6960</v>
      </c>
      <c r="K3074" s="8" t="n">
        <v>6910</v>
      </c>
      <c r="L3074" s="8" t="n">
        <v>150360</v>
      </c>
      <c r="M3074" s="8" t="n">
        <v>287933</v>
      </c>
      <c r="N3074" t="inlineStr">
        <is>
          <t>是</t>
        </is>
      </c>
    </row>
    <row r="3075">
      <c r="A3075" s="7" t="inlineStr">
        <is>
          <t>2020-03-05</t>
        </is>
      </c>
      <c r="B3075" s="8" t="n">
        <v>7155</v>
      </c>
      <c r="C3075" s="8" t="n">
        <v>7130</v>
      </c>
      <c r="D3075" s="8" t="n">
        <v>7177</v>
      </c>
      <c r="E3075" s="8" t="n">
        <v>7108</v>
      </c>
      <c r="F3075" s="8" t="n">
        <v>364622</v>
      </c>
      <c r="G3075" s="8" t="n">
        <v>334532</v>
      </c>
      <c r="H3075" s="8" t="n">
        <v>6945</v>
      </c>
      <c r="I3075" s="8" t="n">
        <v>6940</v>
      </c>
      <c r="J3075" s="8" t="n">
        <v>6985</v>
      </c>
      <c r="K3075" s="8" t="n">
        <v>6915</v>
      </c>
      <c r="L3075" s="8" t="n">
        <v>148171</v>
      </c>
      <c r="M3075" s="8" t="n">
        <v>289309</v>
      </c>
      <c r="N3075" t="inlineStr">
        <is>
          <t>是</t>
        </is>
      </c>
    </row>
    <row r="3076">
      <c r="A3076" s="7" t="inlineStr">
        <is>
          <t>2020-03-06</t>
        </is>
      </c>
      <c r="B3076" s="8" t="n">
        <v>7145</v>
      </c>
      <c r="C3076" s="8" t="n">
        <v>7118</v>
      </c>
      <c r="D3076" s="8" t="n">
        <v>7170</v>
      </c>
      <c r="E3076" s="8" t="n">
        <v>7088</v>
      </c>
      <c r="F3076" s="8" t="n">
        <v>350206</v>
      </c>
      <c r="G3076" s="8" t="n">
        <v>336474</v>
      </c>
      <c r="H3076" s="8" t="n">
        <v>6900</v>
      </c>
      <c r="I3076" s="8" t="n">
        <v>6925</v>
      </c>
      <c r="J3076" s="8" t="n">
        <v>6925</v>
      </c>
      <c r="K3076" s="8" t="n">
        <v>6860</v>
      </c>
      <c r="L3076" s="8" t="n">
        <v>189536</v>
      </c>
      <c r="M3076" s="8" t="n">
        <v>279085</v>
      </c>
      <c r="N3076" t="inlineStr">
        <is>
          <t>是</t>
        </is>
      </c>
    </row>
    <row r="3077">
      <c r="A3077" s="7" t="inlineStr">
        <is>
          <t>2020-03-09</t>
        </is>
      </c>
      <c r="B3077" s="8" t="n">
        <v>6841</v>
      </c>
      <c r="C3077" s="8" t="n">
        <v>6841</v>
      </c>
      <c r="D3077" s="8" t="n">
        <v>6917</v>
      </c>
      <c r="E3077" s="8" t="n">
        <v>6841</v>
      </c>
      <c r="F3077" s="8" t="n">
        <v>161530</v>
      </c>
      <c r="G3077" s="8" t="n">
        <v>310811</v>
      </c>
      <c r="H3077" s="8" t="n">
        <v>6615</v>
      </c>
      <c r="I3077" s="8" t="n">
        <v>6615</v>
      </c>
      <c r="J3077" s="8" t="n">
        <v>6680</v>
      </c>
      <c r="K3077" s="8" t="n">
        <v>6615</v>
      </c>
      <c r="L3077" s="8" t="n">
        <v>133408</v>
      </c>
      <c r="M3077" s="8" t="n">
        <v>284345</v>
      </c>
      <c r="N3077" t="inlineStr">
        <is>
          <t>是</t>
        </is>
      </c>
    </row>
    <row r="3078">
      <c r="A3078" s="7" t="inlineStr">
        <is>
          <t>2020-03-10</t>
        </is>
      </c>
      <c r="B3078" s="8" t="n">
        <v>6987</v>
      </c>
      <c r="C3078" s="8" t="n">
        <v>6841</v>
      </c>
      <c r="D3078" s="8" t="n">
        <v>7014</v>
      </c>
      <c r="E3078" s="8" t="n">
        <v>6834</v>
      </c>
      <c r="F3078" s="8" t="n">
        <v>435910</v>
      </c>
      <c r="G3078" s="8" t="n">
        <v>264440</v>
      </c>
      <c r="H3078" s="8" t="n">
        <v>6755</v>
      </c>
      <c r="I3078" s="8" t="n">
        <v>6530</v>
      </c>
      <c r="J3078" s="8" t="n">
        <v>6800</v>
      </c>
      <c r="K3078" s="8" t="n">
        <v>6530</v>
      </c>
      <c r="L3078" s="8" t="n">
        <v>326890</v>
      </c>
      <c r="M3078" s="8" t="n">
        <v>246933</v>
      </c>
      <c r="N3078" t="inlineStr">
        <is>
          <t>是</t>
        </is>
      </c>
    </row>
    <row r="3079">
      <c r="A3079" s="7" t="inlineStr">
        <is>
          <t>2020-03-11</t>
        </is>
      </c>
      <c r="B3079" s="8" t="n">
        <v>6948</v>
      </c>
      <c r="C3079" s="8" t="n">
        <v>7037</v>
      </c>
      <c r="D3079" s="8" t="n">
        <v>7073</v>
      </c>
      <c r="E3079" s="8" t="n">
        <v>6941</v>
      </c>
      <c r="F3079" s="8" t="n">
        <v>326432</v>
      </c>
      <c r="G3079" s="8" t="n">
        <v>266746</v>
      </c>
      <c r="H3079" s="8" t="n">
        <v>6720</v>
      </c>
      <c r="I3079" s="8" t="n">
        <v>6790</v>
      </c>
      <c r="J3079" s="8" t="n">
        <v>6825</v>
      </c>
      <c r="K3079" s="8" t="n">
        <v>6705</v>
      </c>
      <c r="L3079" s="8" t="n">
        <v>177484</v>
      </c>
      <c r="M3079" s="8" t="n">
        <v>245332</v>
      </c>
      <c r="N3079" t="inlineStr">
        <is>
          <t>是</t>
        </is>
      </c>
    </row>
    <row r="3080">
      <c r="A3080" s="7" t="inlineStr">
        <is>
          <t>2020-03-12</t>
        </is>
      </c>
      <c r="B3080" s="8" t="n">
        <v>6844</v>
      </c>
      <c r="C3080" s="8" t="n">
        <v>6910</v>
      </c>
      <c r="D3080" s="8" t="n">
        <v>6938</v>
      </c>
      <c r="E3080" s="8" t="n">
        <v>6827</v>
      </c>
      <c r="F3080" s="8" t="n">
        <v>408340</v>
      </c>
      <c r="G3080" s="8" t="n">
        <v>263398</v>
      </c>
      <c r="H3080" s="8" t="n">
        <v>6675</v>
      </c>
      <c r="I3080" s="8" t="n">
        <v>6690</v>
      </c>
      <c r="J3080" s="8" t="n">
        <v>6715</v>
      </c>
      <c r="K3080" s="8" t="n">
        <v>6630</v>
      </c>
      <c r="L3080" s="8" t="n">
        <v>218381</v>
      </c>
      <c r="M3080" s="8" t="n">
        <v>241641</v>
      </c>
      <c r="N3080" t="inlineStr">
        <is>
          <t>是</t>
        </is>
      </c>
    </row>
    <row r="3081">
      <c r="A3081" s="7" t="inlineStr">
        <is>
          <t>2020-03-13</t>
        </is>
      </c>
      <c r="B3081" s="8" t="n">
        <v>6834</v>
      </c>
      <c r="C3081" s="8" t="n">
        <v>6790</v>
      </c>
      <c r="D3081" s="8" t="n">
        <v>6869</v>
      </c>
      <c r="E3081" s="8" t="n">
        <v>6675</v>
      </c>
      <c r="F3081" s="8" t="n">
        <v>529468</v>
      </c>
      <c r="G3081" s="8" t="n">
        <v>255235</v>
      </c>
      <c r="H3081" s="8" t="n">
        <v>6665</v>
      </c>
      <c r="I3081" s="8" t="n">
        <v>6630</v>
      </c>
      <c r="J3081" s="8" t="n">
        <v>6690</v>
      </c>
      <c r="K3081" s="8" t="n">
        <v>6560</v>
      </c>
      <c r="L3081" s="8" t="n">
        <v>289834</v>
      </c>
      <c r="M3081" s="8" t="n">
        <v>233420</v>
      </c>
      <c r="N3081" t="inlineStr">
        <is>
          <t>是</t>
        </is>
      </c>
    </row>
    <row r="3082">
      <c r="A3082" s="7" t="inlineStr">
        <is>
          <t>2020-03-16</t>
        </is>
      </c>
      <c r="B3082" s="8" t="n">
        <v>6686</v>
      </c>
      <c r="C3082" s="8" t="n">
        <v>6782</v>
      </c>
      <c r="D3082" s="8" t="n">
        <v>6820</v>
      </c>
      <c r="E3082" s="8" t="n">
        <v>6686</v>
      </c>
      <c r="F3082" s="8" t="n">
        <v>398503</v>
      </c>
      <c r="G3082" s="8" t="n">
        <v>281752</v>
      </c>
      <c r="H3082" s="8" t="n">
        <v>6565</v>
      </c>
      <c r="I3082" s="8" t="n">
        <v>6630</v>
      </c>
      <c r="J3082" s="8" t="n">
        <v>6670</v>
      </c>
      <c r="K3082" s="8" t="n">
        <v>6560</v>
      </c>
      <c r="L3082" s="8" t="n">
        <v>197339</v>
      </c>
      <c r="M3082" s="8" t="n">
        <v>235193</v>
      </c>
      <c r="N3082" t="inlineStr">
        <is>
          <t>是</t>
        </is>
      </c>
    </row>
    <row r="3083">
      <c r="A3083" s="7" t="inlineStr">
        <is>
          <t>2020-03-17</t>
        </is>
      </c>
      <c r="B3083" s="8" t="n">
        <v>6691</v>
      </c>
      <c r="C3083" s="8" t="n">
        <v>6631</v>
      </c>
      <c r="D3083" s="8" t="n">
        <v>6702</v>
      </c>
      <c r="E3083" s="8" t="n">
        <v>6580</v>
      </c>
      <c r="F3083" s="8" t="n">
        <v>420710</v>
      </c>
      <c r="G3083" s="8" t="n">
        <v>280855</v>
      </c>
      <c r="H3083" s="8" t="n">
        <v>6515</v>
      </c>
      <c r="I3083" s="8" t="n">
        <v>6535</v>
      </c>
      <c r="J3083" s="8" t="n">
        <v>6575</v>
      </c>
      <c r="K3083" s="8" t="n">
        <v>6460</v>
      </c>
      <c r="L3083" s="8" t="n">
        <v>261636</v>
      </c>
      <c r="M3083" s="8" t="n">
        <v>237119</v>
      </c>
      <c r="N3083" t="inlineStr">
        <is>
          <t>是</t>
        </is>
      </c>
    </row>
    <row r="3084">
      <c r="A3084" s="7" t="inlineStr">
        <is>
          <t>2020-03-18</t>
        </is>
      </c>
      <c r="B3084" s="8" t="n">
        <v>6508</v>
      </c>
      <c r="C3084" s="8" t="n">
        <v>6642</v>
      </c>
      <c r="D3084" s="8" t="n">
        <v>6684</v>
      </c>
      <c r="E3084" s="8" t="n">
        <v>6505</v>
      </c>
      <c r="F3084" s="8" t="n">
        <v>372521</v>
      </c>
      <c r="G3084" s="8" t="n">
        <v>279532</v>
      </c>
      <c r="H3084" s="8" t="n">
        <v>6385</v>
      </c>
      <c r="I3084" s="8" t="n">
        <v>6470</v>
      </c>
      <c r="J3084" s="8" t="n">
        <v>6540</v>
      </c>
      <c r="K3084" s="8" t="n">
        <v>6380</v>
      </c>
      <c r="L3084" s="8" t="n">
        <v>210517</v>
      </c>
      <c r="M3084" s="8" t="n">
        <v>235822</v>
      </c>
      <c r="N3084" t="inlineStr">
        <is>
          <t>是</t>
        </is>
      </c>
    </row>
    <row r="3085">
      <c r="A3085" s="7" t="inlineStr">
        <is>
          <t>2020-03-19</t>
        </is>
      </c>
      <c r="B3085" s="8" t="n">
        <v>6447</v>
      </c>
      <c r="C3085" s="8" t="n">
        <v>6450</v>
      </c>
      <c r="D3085" s="8" t="n">
        <v>6488</v>
      </c>
      <c r="E3085" s="8" t="n">
        <v>6346</v>
      </c>
      <c r="F3085" s="8" t="n">
        <v>451185</v>
      </c>
      <c r="G3085" s="8" t="n">
        <v>252739</v>
      </c>
      <c r="H3085" s="8" t="n">
        <v>6340</v>
      </c>
      <c r="I3085" s="8" t="n">
        <v>6325</v>
      </c>
      <c r="J3085" s="8" t="n">
        <v>6365</v>
      </c>
      <c r="K3085" s="8" t="n">
        <v>6210</v>
      </c>
      <c r="L3085" s="8" t="n">
        <v>248430</v>
      </c>
      <c r="M3085" s="8" t="n">
        <v>205641</v>
      </c>
      <c r="N3085" t="inlineStr">
        <is>
          <t>是</t>
        </is>
      </c>
    </row>
    <row r="3086">
      <c r="A3086" s="7" t="inlineStr">
        <is>
          <t>2020-03-20</t>
        </is>
      </c>
      <c r="B3086" s="8" t="n">
        <v>6543</v>
      </c>
      <c r="C3086" s="8" t="n">
        <v>6530</v>
      </c>
      <c r="D3086" s="8" t="n">
        <v>6621</v>
      </c>
      <c r="E3086" s="8" t="n">
        <v>6464</v>
      </c>
      <c r="F3086" s="8" t="n">
        <v>399740</v>
      </c>
      <c r="G3086" s="8" t="n">
        <v>247889</v>
      </c>
      <c r="H3086" s="8" t="n">
        <v>6380</v>
      </c>
      <c r="I3086" s="8" t="n">
        <v>6400</v>
      </c>
      <c r="J3086" s="8" t="n">
        <v>6465</v>
      </c>
      <c r="K3086" s="8" t="n">
        <v>6335</v>
      </c>
      <c r="L3086" s="8" t="n">
        <v>200789</v>
      </c>
      <c r="M3086" s="8" t="n">
        <v>194106</v>
      </c>
      <c r="N3086" t="inlineStr">
        <is>
          <t>是</t>
        </is>
      </c>
    </row>
    <row r="3087">
      <c r="A3087" s="7" t="inlineStr">
        <is>
          <t>2020-03-23</t>
        </is>
      </c>
      <c r="B3087" s="8" t="n">
        <v>6373</v>
      </c>
      <c r="C3087" s="8" t="n">
        <v>6300</v>
      </c>
      <c r="D3087" s="8" t="n">
        <v>6415</v>
      </c>
      <c r="E3087" s="8" t="n">
        <v>6300</v>
      </c>
      <c r="F3087" s="8" t="n">
        <v>385265</v>
      </c>
      <c r="G3087" s="8" t="n">
        <v>237878</v>
      </c>
      <c r="H3087" s="8" t="n">
        <v>6270</v>
      </c>
      <c r="I3087" s="8" t="n">
        <v>6205</v>
      </c>
      <c r="J3087" s="8" t="n">
        <v>6290</v>
      </c>
      <c r="K3087" s="8" t="n">
        <v>6160</v>
      </c>
      <c r="L3087" s="8" t="n">
        <v>197802</v>
      </c>
      <c r="M3087" s="8" t="n">
        <v>185164</v>
      </c>
      <c r="N3087" t="inlineStr">
        <is>
          <t>是</t>
        </is>
      </c>
    </row>
    <row r="3088">
      <c r="A3088" s="7" t="inlineStr">
        <is>
          <t>2020-03-24</t>
        </is>
      </c>
      <c r="B3088" s="8" t="n">
        <v>6364</v>
      </c>
      <c r="C3088" s="8" t="n">
        <v>6450</v>
      </c>
      <c r="D3088" s="8" t="n">
        <v>6470</v>
      </c>
      <c r="E3088" s="8" t="n">
        <v>6240</v>
      </c>
      <c r="F3088" s="8" t="n">
        <v>445120</v>
      </c>
      <c r="G3088" s="8" t="n">
        <v>243011</v>
      </c>
      <c r="H3088" s="8" t="n">
        <v>6185</v>
      </c>
      <c r="I3088" s="8" t="n">
        <v>6330</v>
      </c>
      <c r="J3088" s="8" t="n">
        <v>6330</v>
      </c>
      <c r="K3088" s="8" t="n">
        <v>6065</v>
      </c>
      <c r="L3088" s="8" t="n">
        <v>310925</v>
      </c>
      <c r="M3088" s="8" t="n">
        <v>168342</v>
      </c>
      <c r="N3088" t="inlineStr">
        <is>
          <t>是</t>
        </is>
      </c>
    </row>
    <row r="3089">
      <c r="A3089" s="7" t="inlineStr">
        <is>
          <t>2020-03-25</t>
        </is>
      </c>
      <c r="B3089" s="8" t="n">
        <v>6376</v>
      </c>
      <c r="C3089" s="8" t="n">
        <v>6430</v>
      </c>
      <c r="D3089" s="8" t="n">
        <v>6435</v>
      </c>
      <c r="E3089" s="8" t="n">
        <v>6323</v>
      </c>
      <c r="F3089" s="8" t="n">
        <v>327400</v>
      </c>
      <c r="G3089" s="8" t="n">
        <v>241689</v>
      </c>
      <c r="H3089" s="8" t="n">
        <v>6110</v>
      </c>
      <c r="I3089" s="8" t="n">
        <v>6200</v>
      </c>
      <c r="J3089" s="8" t="n">
        <v>6225</v>
      </c>
      <c r="K3089" s="8" t="n">
        <v>6060</v>
      </c>
      <c r="L3089" s="8" t="n">
        <v>267195</v>
      </c>
      <c r="M3089" s="8" t="n">
        <v>172492</v>
      </c>
      <c r="N3089" t="inlineStr">
        <is>
          <t>是</t>
        </is>
      </c>
    </row>
    <row r="3090">
      <c r="A3090" s="7" t="inlineStr">
        <is>
          <t>2020-03-26</t>
        </is>
      </c>
      <c r="B3090" s="8" t="n">
        <v>6152</v>
      </c>
      <c r="C3090" s="8" t="n">
        <v>6345</v>
      </c>
      <c r="D3090" s="8" t="n">
        <v>6350</v>
      </c>
      <c r="E3090" s="8" t="n">
        <v>6087</v>
      </c>
      <c r="F3090" s="8" t="n">
        <v>524617</v>
      </c>
      <c r="G3090" s="8" t="n">
        <v>222584</v>
      </c>
      <c r="H3090" s="8" t="n">
        <v>5820</v>
      </c>
      <c r="I3090" s="8" t="n">
        <v>6110</v>
      </c>
      <c r="J3090" s="8" t="n">
        <v>6110</v>
      </c>
      <c r="K3090" s="8" t="n">
        <v>5790</v>
      </c>
      <c r="L3090" s="8" t="n">
        <v>382461</v>
      </c>
      <c r="M3090" s="8" t="n">
        <v>170493</v>
      </c>
      <c r="N3090" t="inlineStr">
        <is>
          <t>是</t>
        </is>
      </c>
    </row>
    <row r="3091">
      <c r="A3091" s="7" t="inlineStr">
        <is>
          <t>2020-03-27</t>
        </is>
      </c>
      <c r="B3091" s="8" t="n">
        <v>5909</v>
      </c>
      <c r="C3091" s="8" t="n">
        <v>6146</v>
      </c>
      <c r="D3091" s="8" t="n">
        <v>6165</v>
      </c>
      <c r="E3091" s="8" t="n">
        <v>5871</v>
      </c>
      <c r="F3091" s="8" t="n">
        <v>595970</v>
      </c>
      <c r="G3091" s="8" t="n">
        <v>211436</v>
      </c>
      <c r="H3091" s="8" t="n">
        <v>5650</v>
      </c>
      <c r="I3091" s="8" t="n">
        <v>5795</v>
      </c>
      <c r="J3091" s="8" t="n">
        <v>5820</v>
      </c>
      <c r="K3091" s="8" t="n">
        <v>5560</v>
      </c>
      <c r="L3091" s="8" t="n">
        <v>418489</v>
      </c>
      <c r="M3091" s="8" t="n">
        <v>152270</v>
      </c>
      <c r="N3091" t="inlineStr">
        <is>
          <t>是</t>
        </is>
      </c>
    </row>
    <row r="3092">
      <c r="A3092" s="7" t="inlineStr">
        <is>
          <t>2020-03-30</t>
        </is>
      </c>
      <c r="B3092" s="8" t="n">
        <v>5711</v>
      </c>
      <c r="C3092" s="8" t="n">
        <v>5658</v>
      </c>
      <c r="D3092" s="8" t="n">
        <v>5796</v>
      </c>
      <c r="E3092" s="8" t="n">
        <v>5658</v>
      </c>
      <c r="F3092" s="8" t="n">
        <v>481473</v>
      </c>
      <c r="G3092" s="8" t="n">
        <v>200842</v>
      </c>
      <c r="H3092" s="8" t="n">
        <v>5370</v>
      </c>
      <c r="I3092" s="8" t="n">
        <v>5535</v>
      </c>
      <c r="J3092" s="8" t="n">
        <v>5535</v>
      </c>
      <c r="K3092" s="8" t="n">
        <v>5350</v>
      </c>
      <c r="L3092" s="8" t="n">
        <v>349362</v>
      </c>
      <c r="M3092" s="8" t="n">
        <v>137841</v>
      </c>
      <c r="N3092" t="inlineStr">
        <is>
          <t>是</t>
        </is>
      </c>
    </row>
    <row r="3093">
      <c r="A3093" s="7" t="inlineStr">
        <is>
          <t>2020-03-31</t>
        </is>
      </c>
      <c r="B3093" s="8" t="n">
        <v>5912</v>
      </c>
      <c r="C3093" s="8" t="n">
        <v>5770</v>
      </c>
      <c r="D3093" s="8" t="n">
        <v>6007</v>
      </c>
      <c r="E3093" s="8" t="n">
        <v>5744</v>
      </c>
      <c r="F3093" s="8" t="n">
        <v>455745</v>
      </c>
      <c r="G3093" s="8" t="n">
        <v>194914</v>
      </c>
      <c r="H3093" s="8" t="n">
        <v>5565</v>
      </c>
      <c r="I3093" s="8" t="n">
        <v>5430</v>
      </c>
      <c r="J3093" s="8" t="n">
        <v>5680</v>
      </c>
      <c r="K3093" s="8" t="n">
        <v>5430</v>
      </c>
      <c r="L3093" s="8" t="n">
        <v>321784</v>
      </c>
      <c r="M3093" s="8" t="n">
        <v>113428</v>
      </c>
      <c r="N3093" t="inlineStr">
        <is>
          <t>是</t>
        </is>
      </c>
    </row>
    <row r="3094">
      <c r="A3094" s="7" t="inlineStr">
        <is>
          <t>2020-04-01</t>
        </is>
      </c>
      <c r="B3094" s="8" t="n">
        <v>5948</v>
      </c>
      <c r="C3094" s="8" t="n">
        <v>5878</v>
      </c>
      <c r="D3094" s="8" t="n">
        <v>5958</v>
      </c>
      <c r="E3094" s="8" t="n">
        <v>5840</v>
      </c>
      <c r="F3094" s="8" t="n">
        <v>325146</v>
      </c>
      <c r="G3094" s="8" t="n">
        <v>193502</v>
      </c>
      <c r="H3094" s="8" t="n">
        <v>5565</v>
      </c>
      <c r="I3094" s="8" t="n">
        <v>5480</v>
      </c>
      <c r="J3094" s="8" t="n">
        <v>5620</v>
      </c>
      <c r="K3094" s="8" t="n">
        <v>5415</v>
      </c>
      <c r="L3094" s="8" t="n">
        <v>470067</v>
      </c>
      <c r="M3094" s="8" t="n">
        <v>325023</v>
      </c>
      <c r="N3094" t="inlineStr">
        <is>
          <t>是</t>
        </is>
      </c>
    </row>
    <row r="3095">
      <c r="A3095" s="7" t="inlineStr">
        <is>
          <t>2020-04-02</t>
        </is>
      </c>
      <c r="B3095" s="8" t="n">
        <v>6265</v>
      </c>
      <c r="C3095" s="8" t="n">
        <v>5950</v>
      </c>
      <c r="D3095" s="8" t="n">
        <v>6265</v>
      </c>
      <c r="E3095" s="8" t="n">
        <v>5940</v>
      </c>
      <c r="F3095" s="8" t="n">
        <v>439066</v>
      </c>
      <c r="G3095" s="8" t="n">
        <v>175454</v>
      </c>
      <c r="H3095" s="8" t="n">
        <v>5805</v>
      </c>
      <c r="I3095" s="8" t="n">
        <v>5575</v>
      </c>
      <c r="J3095" s="8" t="n">
        <v>5845</v>
      </c>
      <c r="K3095" s="8" t="n">
        <v>5555</v>
      </c>
      <c r="L3095" s="8" t="n">
        <v>597898</v>
      </c>
      <c r="M3095" s="8" t="n">
        <v>322491</v>
      </c>
      <c r="N3095" t="inlineStr">
        <is>
          <t>是</t>
        </is>
      </c>
    </row>
    <row r="3096">
      <c r="A3096" s="7" t="inlineStr">
        <is>
          <t>2020-04-03</t>
        </is>
      </c>
      <c r="B3096" s="8" t="n">
        <v>6326</v>
      </c>
      <c r="C3096" s="8" t="n">
        <v>6348</v>
      </c>
      <c r="D3096" s="8" t="n">
        <v>6348</v>
      </c>
      <c r="E3096" s="8" t="n">
        <v>6172</v>
      </c>
      <c r="F3096" s="8" t="n">
        <v>562986</v>
      </c>
      <c r="G3096" s="8" t="n">
        <v>292871</v>
      </c>
      <c r="H3096" s="8" t="n">
        <v>5905</v>
      </c>
      <c r="I3096" s="8" t="n">
        <v>5850</v>
      </c>
      <c r="J3096" s="8" t="n">
        <v>5915</v>
      </c>
      <c r="K3096" s="8" t="n">
        <v>5765</v>
      </c>
      <c r="L3096" s="8" t="n">
        <v>496266</v>
      </c>
      <c r="M3096" s="8" t="n">
        <v>307130</v>
      </c>
      <c r="N3096" t="inlineStr">
        <is>
          <t>是</t>
        </is>
      </c>
    </row>
    <row r="3097">
      <c r="A3097" s="7" t="inlineStr">
        <is>
          <t>2020-04-07</t>
        </is>
      </c>
      <c r="B3097" s="8" t="n">
        <v>6639</v>
      </c>
      <c r="C3097" s="8" t="n">
        <v>6430</v>
      </c>
      <c r="D3097" s="8" t="n">
        <v>6654</v>
      </c>
      <c r="E3097" s="8" t="n">
        <v>6421</v>
      </c>
      <c r="F3097" s="8" t="n">
        <v>639500</v>
      </c>
      <c r="G3097" s="8" t="n">
        <v>299369</v>
      </c>
      <c r="H3097" s="8" t="n">
        <v>6115</v>
      </c>
      <c r="I3097" s="8" t="n">
        <v>5995</v>
      </c>
      <c r="J3097" s="8" t="n">
        <v>6150</v>
      </c>
      <c r="K3097" s="8" t="n">
        <v>5970</v>
      </c>
      <c r="L3097" s="8" t="n">
        <v>463375</v>
      </c>
      <c r="M3097" s="8" t="n">
        <v>321672</v>
      </c>
      <c r="N3097" t="inlineStr">
        <is>
          <t>是</t>
        </is>
      </c>
    </row>
    <row r="3098">
      <c r="A3098" s="7" t="inlineStr">
        <is>
          <t>2020-04-08</t>
        </is>
      </c>
      <c r="B3098" s="8" t="n">
        <v>6546</v>
      </c>
      <c r="C3098" s="8" t="n">
        <v>6569</v>
      </c>
      <c r="D3098" s="8" t="n">
        <v>6706</v>
      </c>
      <c r="E3098" s="8" t="n">
        <v>6491</v>
      </c>
      <c r="F3098" s="8" t="n">
        <v>908701</v>
      </c>
      <c r="G3098" s="8" t="n">
        <v>307594</v>
      </c>
      <c r="H3098" s="8" t="n">
        <v>5920</v>
      </c>
      <c r="I3098" s="8" t="n">
        <v>6065</v>
      </c>
      <c r="J3098" s="8" t="n">
        <v>6100</v>
      </c>
      <c r="K3098" s="8" t="n">
        <v>5910</v>
      </c>
      <c r="L3098" s="8" t="n">
        <v>615349</v>
      </c>
      <c r="M3098" s="8" t="n">
        <v>364314</v>
      </c>
      <c r="N3098" t="inlineStr">
        <is>
          <t>是</t>
        </is>
      </c>
    </row>
    <row r="3099">
      <c r="A3099" s="7" t="inlineStr">
        <is>
          <t>2020-04-09</t>
        </is>
      </c>
      <c r="B3099" s="8" t="n">
        <v>6743</v>
      </c>
      <c r="C3099" s="8" t="n">
        <v>6576</v>
      </c>
      <c r="D3099" s="8" t="n">
        <v>6788</v>
      </c>
      <c r="E3099" s="8" t="n">
        <v>6554</v>
      </c>
      <c r="F3099" s="8" t="n">
        <v>878480</v>
      </c>
      <c r="G3099" s="8" t="n">
        <v>316204</v>
      </c>
      <c r="H3099" s="8" t="n">
        <v>6045</v>
      </c>
      <c r="I3099" s="8" t="n">
        <v>5990</v>
      </c>
      <c r="J3099" s="8" t="n">
        <v>6070</v>
      </c>
      <c r="K3099" s="8" t="n">
        <v>5925</v>
      </c>
      <c r="L3099" s="8" t="n">
        <v>601372</v>
      </c>
      <c r="M3099" s="8" t="n">
        <v>365312</v>
      </c>
      <c r="N3099" t="inlineStr">
        <is>
          <t>是</t>
        </is>
      </c>
    </row>
    <row r="3100">
      <c r="A3100" s="7" t="inlineStr">
        <is>
          <t>2020-04-10</t>
        </is>
      </c>
      <c r="B3100" s="8" t="n">
        <v>6984</v>
      </c>
      <c r="C3100" s="8" t="n">
        <v>6650</v>
      </c>
      <c r="D3100" s="8" t="n">
        <v>7007</v>
      </c>
      <c r="E3100" s="8" t="n">
        <v>6613</v>
      </c>
      <c r="F3100" s="8" t="n">
        <v>1260111</v>
      </c>
      <c r="G3100" s="8" t="n">
        <v>357386</v>
      </c>
      <c r="H3100" s="8" t="n">
        <v>6260</v>
      </c>
      <c r="I3100" s="8" t="n">
        <v>5900</v>
      </c>
      <c r="J3100" s="8" t="n">
        <v>6305</v>
      </c>
      <c r="K3100" s="8" t="n">
        <v>5870</v>
      </c>
      <c r="L3100" s="8" t="n">
        <v>811355</v>
      </c>
      <c r="M3100" s="8" t="n">
        <v>346233</v>
      </c>
      <c r="N3100" t="inlineStr">
        <is>
          <t>是</t>
        </is>
      </c>
    </row>
    <row r="3101">
      <c r="A3101" s="7" t="inlineStr">
        <is>
          <t>2020-04-13</t>
        </is>
      </c>
      <c r="B3101" s="8" t="n">
        <v>7218</v>
      </c>
      <c r="C3101" s="8" t="n">
        <v>7290</v>
      </c>
      <c r="D3101" s="8" t="n">
        <v>7297</v>
      </c>
      <c r="E3101" s="8" t="n">
        <v>6948</v>
      </c>
      <c r="F3101" s="8" t="n">
        <v>2072312</v>
      </c>
      <c r="G3101" s="8" t="n">
        <v>451321</v>
      </c>
      <c r="H3101" s="8" t="n">
        <v>6330</v>
      </c>
      <c r="I3101" s="8" t="n">
        <v>6400</v>
      </c>
      <c r="J3101" s="8" t="n">
        <v>6555</v>
      </c>
      <c r="K3101" s="8" t="n">
        <v>6260</v>
      </c>
      <c r="L3101" s="8" t="n">
        <v>1108658</v>
      </c>
      <c r="M3101" s="8" t="n">
        <v>372534</v>
      </c>
      <c r="N3101" t="inlineStr">
        <is>
          <t>是</t>
        </is>
      </c>
    </row>
    <row r="3102">
      <c r="A3102" s="7" t="inlineStr">
        <is>
          <t>2020-04-14</t>
        </is>
      </c>
      <c r="B3102" s="8" t="n">
        <v>6744</v>
      </c>
      <c r="C3102" s="8" t="n">
        <v>7218</v>
      </c>
      <c r="D3102" s="8" t="n">
        <v>7218</v>
      </c>
      <c r="E3102" s="8" t="n">
        <v>6676</v>
      </c>
      <c r="F3102" s="8" t="n">
        <v>2754055</v>
      </c>
      <c r="G3102" s="8" t="n">
        <v>454828</v>
      </c>
      <c r="H3102" s="8" t="n">
        <v>6180</v>
      </c>
      <c r="I3102" s="8" t="n">
        <v>6350</v>
      </c>
      <c r="J3102" s="8" t="n">
        <v>6375</v>
      </c>
      <c r="K3102" s="8" t="n">
        <v>6105</v>
      </c>
      <c r="L3102" s="8" t="n">
        <v>876707</v>
      </c>
      <c r="M3102" s="8" t="n">
        <v>359620</v>
      </c>
      <c r="N3102" t="inlineStr">
        <is>
          <t>是</t>
        </is>
      </c>
    </row>
    <row r="3103">
      <c r="A3103" s="7" t="inlineStr">
        <is>
          <t>2020-04-15</t>
        </is>
      </c>
      <c r="B3103" s="8" t="n">
        <v>6677</v>
      </c>
      <c r="C3103" s="8" t="n">
        <v>6680</v>
      </c>
      <c r="D3103" s="8" t="n">
        <v>6868</v>
      </c>
      <c r="E3103" s="8" t="n">
        <v>6603</v>
      </c>
      <c r="F3103" s="8" t="n">
        <v>2078795</v>
      </c>
      <c r="G3103" s="8" t="n">
        <v>442899</v>
      </c>
      <c r="H3103" s="8" t="n">
        <v>6205</v>
      </c>
      <c r="I3103" s="8" t="n">
        <v>6090</v>
      </c>
      <c r="J3103" s="8" t="n">
        <v>6260</v>
      </c>
      <c r="K3103" s="8" t="n">
        <v>6045</v>
      </c>
      <c r="L3103" s="8" t="n">
        <v>623747</v>
      </c>
      <c r="M3103" s="8" t="n">
        <v>356391</v>
      </c>
      <c r="N3103" t="inlineStr">
        <is>
          <t>是</t>
        </is>
      </c>
    </row>
    <row r="3104">
      <c r="A3104" s="7" t="inlineStr">
        <is>
          <t>2020-04-16</t>
        </is>
      </c>
      <c r="B3104" s="8" t="n">
        <v>6757</v>
      </c>
      <c r="C3104" s="8" t="n">
        <v>6663</v>
      </c>
      <c r="D3104" s="8" t="n">
        <v>6791</v>
      </c>
      <c r="E3104" s="8" t="n">
        <v>6634</v>
      </c>
      <c r="F3104" s="8" t="n">
        <v>1446938</v>
      </c>
      <c r="G3104" s="8" t="n">
        <v>450047</v>
      </c>
      <c r="H3104" s="8" t="n">
        <v>6225</v>
      </c>
      <c r="I3104" s="8" t="n">
        <v>6205</v>
      </c>
      <c r="J3104" s="8" t="n">
        <v>6250</v>
      </c>
      <c r="K3104" s="8" t="n">
        <v>6120</v>
      </c>
      <c r="L3104" s="8" t="n">
        <v>555530</v>
      </c>
      <c r="M3104" s="8" t="n">
        <v>346010</v>
      </c>
      <c r="N3104" t="inlineStr">
        <is>
          <t>是</t>
        </is>
      </c>
    </row>
    <row r="3105">
      <c r="A3105" s="7" t="inlineStr">
        <is>
          <t>2020-04-17</t>
        </is>
      </c>
      <c r="B3105" s="8" t="n">
        <v>6875</v>
      </c>
      <c r="C3105" s="8" t="n">
        <v>6791</v>
      </c>
      <c r="D3105" s="8" t="n">
        <v>6986</v>
      </c>
      <c r="E3105" s="8" t="n">
        <v>6780</v>
      </c>
      <c r="F3105" s="8" t="n">
        <v>1527211</v>
      </c>
      <c r="G3105" s="8" t="n">
        <v>428265</v>
      </c>
      <c r="H3105" s="8" t="n">
        <v>6150</v>
      </c>
      <c r="I3105" s="8" t="n">
        <v>6255</v>
      </c>
      <c r="J3105" s="8" t="n">
        <v>6365</v>
      </c>
      <c r="K3105" s="8" t="n">
        <v>6125</v>
      </c>
      <c r="L3105" s="8" t="n">
        <v>586866</v>
      </c>
      <c r="M3105" s="8" t="n">
        <v>355495</v>
      </c>
      <c r="N3105" t="inlineStr">
        <is>
          <t>是</t>
        </is>
      </c>
    </row>
    <row r="3106">
      <c r="A3106" s="7" t="inlineStr">
        <is>
          <t>2020-04-20</t>
        </is>
      </c>
      <c r="B3106" s="8" t="n">
        <v>6840</v>
      </c>
      <c r="C3106" s="8" t="n">
        <v>6820</v>
      </c>
      <c r="D3106" s="8" t="n">
        <v>6866</v>
      </c>
      <c r="E3106" s="8" t="n">
        <v>6715</v>
      </c>
      <c r="F3106" s="8" t="n">
        <v>962314</v>
      </c>
      <c r="G3106" s="8" t="n">
        <v>433676</v>
      </c>
      <c r="H3106" s="8" t="n">
        <v>6095</v>
      </c>
      <c r="I3106" s="8" t="n">
        <v>6105</v>
      </c>
      <c r="J3106" s="8" t="n">
        <v>6140</v>
      </c>
      <c r="K3106" s="8" t="n">
        <v>6025</v>
      </c>
      <c r="L3106" s="8" t="n">
        <v>435087</v>
      </c>
      <c r="M3106" s="8" t="n">
        <v>364010</v>
      </c>
      <c r="N3106" t="inlineStr">
        <is>
          <t>是</t>
        </is>
      </c>
    </row>
    <row r="3107">
      <c r="A3107" s="7" t="inlineStr">
        <is>
          <t>2020-04-21</t>
        </is>
      </c>
      <c r="B3107" s="8" t="n">
        <v>6606</v>
      </c>
      <c r="C3107" s="8" t="n">
        <v>6722</v>
      </c>
      <c r="D3107" s="8" t="n">
        <v>6828</v>
      </c>
      <c r="E3107" s="8" t="n">
        <v>6480</v>
      </c>
      <c r="F3107" s="8" t="n">
        <v>1474776</v>
      </c>
      <c r="G3107" s="8" t="n">
        <v>428732</v>
      </c>
      <c r="H3107" s="8" t="n">
        <v>5865</v>
      </c>
      <c r="I3107" s="8" t="n">
        <v>5980</v>
      </c>
      <c r="J3107" s="8" t="n">
        <v>6055</v>
      </c>
      <c r="K3107" s="8" t="n">
        <v>5730</v>
      </c>
      <c r="L3107" s="8" t="n">
        <v>818647</v>
      </c>
      <c r="M3107" s="8" t="n">
        <v>378551</v>
      </c>
      <c r="N3107" t="inlineStr">
        <is>
          <t>是</t>
        </is>
      </c>
    </row>
    <row r="3108">
      <c r="A3108" s="7" t="inlineStr">
        <is>
          <t>2020-04-22</t>
        </is>
      </c>
      <c r="B3108" s="8" t="n">
        <v>6491</v>
      </c>
      <c r="C3108" s="8" t="n">
        <v>6500</v>
      </c>
      <c r="D3108" s="8" t="n">
        <v>6520</v>
      </c>
      <c r="E3108" s="8" t="n">
        <v>6357</v>
      </c>
      <c r="F3108" s="8" t="n">
        <v>1325309</v>
      </c>
      <c r="G3108" s="8" t="n">
        <v>453395</v>
      </c>
      <c r="H3108" s="8" t="n">
        <v>5730</v>
      </c>
      <c r="I3108" s="8" t="n">
        <v>5680</v>
      </c>
      <c r="J3108" s="8" t="n">
        <v>5810</v>
      </c>
      <c r="K3108" s="8" t="n">
        <v>5640</v>
      </c>
      <c r="L3108" s="8" t="n">
        <v>779041</v>
      </c>
      <c r="M3108" s="8" t="n">
        <v>358788</v>
      </c>
      <c r="N3108" t="inlineStr">
        <is>
          <t>是</t>
        </is>
      </c>
    </row>
    <row r="3109">
      <c r="A3109" s="7" t="inlineStr">
        <is>
          <t>2020-04-23</t>
        </is>
      </c>
      <c r="B3109" s="8" t="n">
        <v>6903</v>
      </c>
      <c r="C3109" s="8" t="n">
        <v>6594</v>
      </c>
      <c r="D3109" s="8" t="n">
        <v>6995</v>
      </c>
      <c r="E3109" s="8" t="n">
        <v>6588</v>
      </c>
      <c r="F3109" s="8" t="n">
        <v>1452445</v>
      </c>
      <c r="G3109" s="8" t="n">
        <v>454767</v>
      </c>
      <c r="H3109" s="8" t="n">
        <v>6100</v>
      </c>
      <c r="I3109" s="8" t="n">
        <v>5800</v>
      </c>
      <c r="J3109" s="8" t="n">
        <v>6110</v>
      </c>
      <c r="K3109" s="8" t="n">
        <v>5800</v>
      </c>
      <c r="L3109" s="8" t="n">
        <v>669397</v>
      </c>
      <c r="M3109" s="8" t="n">
        <v>351940</v>
      </c>
      <c r="N3109" t="inlineStr">
        <is>
          <t>是</t>
        </is>
      </c>
    </row>
    <row r="3110">
      <c r="A3110" s="7" t="inlineStr">
        <is>
          <t>2020-04-24</t>
        </is>
      </c>
      <c r="B3110" s="8" t="n">
        <v>6900</v>
      </c>
      <c r="C3110" s="8" t="n">
        <v>6999</v>
      </c>
      <c r="D3110" s="8" t="n">
        <v>7000</v>
      </c>
      <c r="E3110" s="8" t="n">
        <v>6824</v>
      </c>
      <c r="F3110" s="8" t="n">
        <v>1027767</v>
      </c>
      <c r="G3110" s="8" t="n">
        <v>447715</v>
      </c>
      <c r="H3110" s="8" t="n">
        <v>6110</v>
      </c>
      <c r="I3110" s="8" t="n">
        <v>6080</v>
      </c>
      <c r="J3110" s="8" t="n">
        <v>6175</v>
      </c>
      <c r="K3110" s="8" t="n">
        <v>6020</v>
      </c>
      <c r="L3110" s="8" t="n">
        <v>560181</v>
      </c>
      <c r="M3110" s="8" t="n">
        <v>353346</v>
      </c>
      <c r="N3110" t="inlineStr">
        <is>
          <t>是</t>
        </is>
      </c>
    </row>
    <row r="3111">
      <c r="A3111" s="7" t="inlineStr">
        <is>
          <t>2020-04-27</t>
        </is>
      </c>
      <c r="B3111" s="8" t="n">
        <v>6921</v>
      </c>
      <c r="C3111" s="8" t="n">
        <v>6890</v>
      </c>
      <c r="D3111" s="8" t="n">
        <v>7043</v>
      </c>
      <c r="E3111" s="8" t="n">
        <v>6888</v>
      </c>
      <c r="F3111" s="8" t="n">
        <v>1106598</v>
      </c>
      <c r="G3111" s="8" t="n">
        <v>444800</v>
      </c>
      <c r="H3111" s="8" t="n">
        <v>6225</v>
      </c>
      <c r="I3111" s="8" t="n">
        <v>6085</v>
      </c>
      <c r="J3111" s="8" t="n">
        <v>6300</v>
      </c>
      <c r="K3111" s="8" t="n">
        <v>6070</v>
      </c>
      <c r="L3111" s="8" t="n">
        <v>651184</v>
      </c>
      <c r="M3111" s="8" t="n">
        <v>366881</v>
      </c>
      <c r="N3111" t="inlineStr">
        <is>
          <t>是</t>
        </is>
      </c>
    </row>
    <row r="3112">
      <c r="A3112" s="7" t="inlineStr">
        <is>
          <t>2020-04-28</t>
        </is>
      </c>
      <c r="B3112" s="8" t="n">
        <v>6918</v>
      </c>
      <c r="C3112" s="8" t="n">
        <v>6855</v>
      </c>
      <c r="D3112" s="8" t="n">
        <v>6964</v>
      </c>
      <c r="E3112" s="8" t="n">
        <v>6824</v>
      </c>
      <c r="F3112" s="8" t="n">
        <v>865936</v>
      </c>
      <c r="G3112" s="8" t="n">
        <v>429549</v>
      </c>
      <c r="H3112" s="8" t="n">
        <v>6145</v>
      </c>
      <c r="I3112" s="8" t="n">
        <v>6160</v>
      </c>
      <c r="J3112" s="8" t="n">
        <v>6210</v>
      </c>
      <c r="K3112" s="8" t="n">
        <v>6110</v>
      </c>
      <c r="L3112" s="8" t="n">
        <v>452116</v>
      </c>
      <c r="M3112" s="8" t="n">
        <v>346682</v>
      </c>
      <c r="N3112" t="inlineStr">
        <is>
          <t>是</t>
        </is>
      </c>
    </row>
    <row r="3113">
      <c r="A3113" s="7" t="inlineStr">
        <is>
          <t>2020-04-29</t>
        </is>
      </c>
      <c r="B3113" s="8" t="n">
        <v>6848</v>
      </c>
      <c r="C3113" s="8" t="n">
        <v>6960</v>
      </c>
      <c r="D3113" s="8" t="n">
        <v>7010</v>
      </c>
      <c r="E3113" s="8" t="n">
        <v>6805</v>
      </c>
      <c r="F3113" s="8" t="n">
        <v>810038</v>
      </c>
      <c r="G3113" s="8" t="n">
        <v>412465</v>
      </c>
      <c r="H3113" s="8" t="n">
        <v>6090</v>
      </c>
      <c r="I3113" s="8" t="n">
        <v>6200</v>
      </c>
      <c r="J3113" s="8" t="n">
        <v>6245</v>
      </c>
      <c r="K3113" s="8" t="n">
        <v>6055</v>
      </c>
      <c r="L3113" s="8" t="n">
        <v>393838</v>
      </c>
      <c r="M3113" s="8" t="n">
        <v>339300</v>
      </c>
      <c r="N3113" t="inlineStr">
        <is>
          <t>是</t>
        </is>
      </c>
    </row>
    <row r="3114">
      <c r="A3114" s="7" t="inlineStr">
        <is>
          <t>2020-04-30</t>
        </is>
      </c>
      <c r="B3114" s="8" t="n">
        <v>7000</v>
      </c>
      <c r="C3114" s="8" t="n">
        <v>6888</v>
      </c>
      <c r="D3114" s="8" t="n">
        <v>7012</v>
      </c>
      <c r="E3114" s="8" t="n">
        <v>6827</v>
      </c>
      <c r="F3114" s="8" t="n">
        <v>857076</v>
      </c>
      <c r="G3114" s="8" t="n">
        <v>430440</v>
      </c>
      <c r="H3114" s="8" t="n">
        <v>6180</v>
      </c>
      <c r="I3114" s="8" t="n">
        <v>6150</v>
      </c>
      <c r="J3114" s="8" t="n">
        <v>6190</v>
      </c>
      <c r="K3114" s="8" t="n">
        <v>6020</v>
      </c>
      <c r="L3114" s="8" t="n">
        <v>423283</v>
      </c>
      <c r="M3114" s="8" t="n">
        <v>328375</v>
      </c>
      <c r="N3114" t="inlineStr">
        <is>
          <t>是</t>
        </is>
      </c>
    </row>
    <row r="3115">
      <c r="A3115" s="7" t="inlineStr">
        <is>
          <t>2020-05-06</t>
        </is>
      </c>
      <c r="B3115" s="8" t="n">
        <v>7152</v>
      </c>
      <c r="C3115" s="8" t="n">
        <v>7106</v>
      </c>
      <c r="D3115" s="8" t="n">
        <v>7198</v>
      </c>
      <c r="E3115" s="8" t="n">
        <v>7021</v>
      </c>
      <c r="F3115" s="8" t="n">
        <v>768130</v>
      </c>
      <c r="G3115" s="8" t="n">
        <v>445098</v>
      </c>
      <c r="H3115" s="8" t="n">
        <v>6450</v>
      </c>
      <c r="I3115" s="8" t="n">
        <v>6330</v>
      </c>
      <c r="J3115" s="8" t="n">
        <v>6485</v>
      </c>
      <c r="K3115" s="8" t="n">
        <v>6260</v>
      </c>
      <c r="L3115" s="8" t="n">
        <v>422975</v>
      </c>
      <c r="M3115" s="8" t="n">
        <v>352872</v>
      </c>
      <c r="N3115" t="inlineStr">
        <is>
          <t>是</t>
        </is>
      </c>
    </row>
    <row r="3116">
      <c r="A3116" s="7" t="inlineStr">
        <is>
          <t>2020-05-07</t>
        </is>
      </c>
      <c r="B3116" s="8" t="n">
        <v>7022</v>
      </c>
      <c r="C3116" s="8" t="n">
        <v>7066</v>
      </c>
      <c r="D3116" s="8" t="n">
        <v>7215</v>
      </c>
      <c r="E3116" s="8" t="n">
        <v>7008</v>
      </c>
      <c r="F3116" s="8" t="n">
        <v>1007402</v>
      </c>
      <c r="G3116" s="8" t="n">
        <v>434664</v>
      </c>
      <c r="H3116" s="8" t="n">
        <v>6340</v>
      </c>
      <c r="I3116" s="8" t="n">
        <v>6400</v>
      </c>
      <c r="J3116" s="8" t="n">
        <v>6540</v>
      </c>
      <c r="K3116" s="8" t="n">
        <v>6335</v>
      </c>
      <c r="L3116" s="8" t="n">
        <v>552622</v>
      </c>
      <c r="M3116" s="8" t="n">
        <v>384828</v>
      </c>
      <c r="N3116" t="inlineStr">
        <is>
          <t>是</t>
        </is>
      </c>
    </row>
    <row r="3117">
      <c r="A3117" s="7" t="inlineStr">
        <is>
          <t>2020-05-08</t>
        </is>
      </c>
      <c r="B3117" s="8" t="n">
        <v>7022</v>
      </c>
      <c r="C3117" s="8" t="n">
        <v>7100</v>
      </c>
      <c r="D3117" s="8" t="n">
        <v>7100</v>
      </c>
      <c r="E3117" s="8" t="n">
        <v>6912</v>
      </c>
      <c r="F3117" s="8" t="n">
        <v>961094</v>
      </c>
      <c r="G3117" s="8" t="n">
        <v>428593</v>
      </c>
      <c r="H3117" s="8" t="n">
        <v>6360</v>
      </c>
      <c r="I3117" s="8" t="n">
        <v>6400</v>
      </c>
      <c r="J3117" s="8" t="n">
        <v>6440</v>
      </c>
      <c r="K3117" s="8" t="n">
        <v>6300</v>
      </c>
      <c r="L3117" s="8" t="n">
        <v>471173</v>
      </c>
      <c r="M3117" s="8" t="n">
        <v>379205</v>
      </c>
      <c r="N3117" t="inlineStr">
        <is>
          <t>是</t>
        </is>
      </c>
    </row>
    <row r="3118">
      <c r="A3118" s="7" t="inlineStr">
        <is>
          <t>2020-05-11</t>
        </is>
      </c>
      <c r="B3118" s="8" t="n">
        <v>6788</v>
      </c>
      <c r="C3118" s="8" t="n">
        <v>7027</v>
      </c>
      <c r="D3118" s="8" t="n">
        <v>7065</v>
      </c>
      <c r="E3118" s="8" t="n">
        <v>6742</v>
      </c>
      <c r="F3118" s="8" t="n">
        <v>1226326</v>
      </c>
      <c r="G3118" s="8" t="n">
        <v>447595</v>
      </c>
      <c r="H3118" s="8" t="n">
        <v>6240</v>
      </c>
      <c r="I3118" s="8" t="n">
        <v>6360</v>
      </c>
      <c r="J3118" s="8" t="n">
        <v>6380</v>
      </c>
      <c r="K3118" s="8" t="n">
        <v>6215</v>
      </c>
      <c r="L3118" s="8" t="n">
        <v>399756</v>
      </c>
      <c r="M3118" s="8" t="n">
        <v>381787</v>
      </c>
      <c r="N3118" t="inlineStr">
        <is>
          <t>是</t>
        </is>
      </c>
    </row>
    <row r="3119">
      <c r="A3119" s="7" t="inlineStr">
        <is>
          <t>2020-05-12</t>
        </is>
      </c>
      <c r="B3119" s="8" t="n">
        <v>6845</v>
      </c>
      <c r="C3119" s="8" t="n">
        <v>6779</v>
      </c>
      <c r="D3119" s="8" t="n">
        <v>6849</v>
      </c>
      <c r="E3119" s="8" t="n">
        <v>6753</v>
      </c>
      <c r="F3119" s="8" t="n">
        <v>841052</v>
      </c>
      <c r="G3119" s="8" t="n">
        <v>442909</v>
      </c>
      <c r="H3119" s="8" t="n">
        <v>6250</v>
      </c>
      <c r="I3119" s="8" t="n">
        <v>6230</v>
      </c>
      <c r="J3119" s="8" t="n">
        <v>6275</v>
      </c>
      <c r="K3119" s="8" t="n">
        <v>6185</v>
      </c>
      <c r="L3119" s="8" t="n">
        <v>297392</v>
      </c>
      <c r="M3119" s="8" t="n">
        <v>380547</v>
      </c>
      <c r="N3119" t="inlineStr">
        <is>
          <t>是</t>
        </is>
      </c>
    </row>
    <row r="3120">
      <c r="A3120" s="7" t="inlineStr">
        <is>
          <t>2020-05-13</t>
        </is>
      </c>
      <c r="B3120" s="8" t="n">
        <v>6887</v>
      </c>
      <c r="C3120" s="8" t="n">
        <v>6856</v>
      </c>
      <c r="D3120" s="8" t="n">
        <v>6924</v>
      </c>
      <c r="E3120" s="8" t="n">
        <v>6773</v>
      </c>
      <c r="F3120" s="8" t="n">
        <v>1031466</v>
      </c>
      <c r="G3120" s="8" t="n">
        <v>450957</v>
      </c>
      <c r="H3120" s="8" t="n">
        <v>6295</v>
      </c>
      <c r="I3120" s="8" t="n">
        <v>6275</v>
      </c>
      <c r="J3120" s="8" t="n">
        <v>6355</v>
      </c>
      <c r="K3120" s="8" t="n">
        <v>6170</v>
      </c>
      <c r="L3120" s="8" t="n">
        <v>431042</v>
      </c>
      <c r="M3120" s="8" t="n">
        <v>386751</v>
      </c>
      <c r="N3120" t="inlineStr">
        <is>
          <t>是</t>
        </is>
      </c>
    </row>
    <row r="3121">
      <c r="A3121" s="7" t="inlineStr">
        <is>
          <t>2020-05-14</t>
        </is>
      </c>
      <c r="B3121" s="8" t="n">
        <v>6879</v>
      </c>
      <c r="C3121" s="8" t="n">
        <v>6900</v>
      </c>
      <c r="D3121" s="8" t="n">
        <v>6905</v>
      </c>
      <c r="E3121" s="8" t="n">
        <v>6830</v>
      </c>
      <c r="F3121" s="8" t="n">
        <v>728412</v>
      </c>
      <c r="G3121" s="8" t="n">
        <v>437058</v>
      </c>
      <c r="H3121" s="8" t="n">
        <v>6290</v>
      </c>
      <c r="I3121" s="8" t="n">
        <v>6295</v>
      </c>
      <c r="J3121" s="8" t="n">
        <v>6320</v>
      </c>
      <c r="K3121" s="8" t="n">
        <v>6230</v>
      </c>
      <c r="L3121" s="8" t="n">
        <v>255953</v>
      </c>
      <c r="M3121" s="8" t="n">
        <v>378952</v>
      </c>
      <c r="N3121" t="inlineStr">
        <is>
          <t>是</t>
        </is>
      </c>
    </row>
    <row r="3122">
      <c r="A3122" s="7" t="inlineStr">
        <is>
          <t>2020-05-15</t>
        </is>
      </c>
      <c r="B3122" s="8" t="n">
        <v>6923</v>
      </c>
      <c r="C3122" s="8" t="n">
        <v>6880</v>
      </c>
      <c r="D3122" s="8" t="n">
        <v>6958</v>
      </c>
      <c r="E3122" s="8" t="n">
        <v>6835</v>
      </c>
      <c r="F3122" s="8" t="n">
        <v>868536</v>
      </c>
      <c r="G3122" s="8" t="n">
        <v>439354</v>
      </c>
      <c r="H3122" s="8" t="n">
        <v>6395</v>
      </c>
      <c r="I3122" s="8" t="n">
        <v>6295</v>
      </c>
      <c r="J3122" s="8" t="n">
        <v>6410</v>
      </c>
      <c r="K3122" s="8" t="n">
        <v>6270</v>
      </c>
      <c r="L3122" s="8" t="n">
        <v>282673</v>
      </c>
      <c r="M3122" s="8" t="n">
        <v>388007</v>
      </c>
      <c r="N3122" t="inlineStr">
        <is>
          <t>是</t>
        </is>
      </c>
    </row>
    <row r="3123">
      <c r="A3123" s="7" t="inlineStr">
        <is>
          <t>2020-05-18</t>
        </is>
      </c>
      <c r="B3123" s="8" t="n">
        <v>6915</v>
      </c>
      <c r="C3123" s="8" t="n">
        <v>6925</v>
      </c>
      <c r="D3123" s="8" t="n">
        <v>6948</v>
      </c>
      <c r="E3123" s="8" t="n">
        <v>6823</v>
      </c>
      <c r="F3123" s="8" t="n">
        <v>852267</v>
      </c>
      <c r="G3123" s="8" t="n">
        <v>428680</v>
      </c>
      <c r="H3123" s="8" t="n">
        <v>6370</v>
      </c>
      <c r="I3123" s="8" t="n">
        <v>6385</v>
      </c>
      <c r="J3123" s="8" t="n">
        <v>6410</v>
      </c>
      <c r="K3123" s="8" t="n">
        <v>6320</v>
      </c>
      <c r="L3123" s="8" t="n">
        <v>354804</v>
      </c>
      <c r="M3123" s="8" t="n">
        <v>373941</v>
      </c>
      <c r="N3123" t="inlineStr">
        <is>
          <t>是</t>
        </is>
      </c>
    </row>
    <row r="3124">
      <c r="A3124" s="7" t="inlineStr">
        <is>
          <t>2020-05-19</t>
        </is>
      </c>
      <c r="B3124" s="8" t="n">
        <v>6982</v>
      </c>
      <c r="C3124" s="8" t="n">
        <v>6931</v>
      </c>
      <c r="D3124" s="8" t="n">
        <v>7100</v>
      </c>
      <c r="E3124" s="8" t="n">
        <v>6923</v>
      </c>
      <c r="F3124" s="8" t="n">
        <v>1065404</v>
      </c>
      <c r="G3124" s="8" t="n">
        <v>421917</v>
      </c>
      <c r="H3124" s="8" t="n">
        <v>6365</v>
      </c>
      <c r="I3124" s="8" t="n">
        <v>6380</v>
      </c>
      <c r="J3124" s="8" t="n">
        <v>6530</v>
      </c>
      <c r="K3124" s="8" t="n">
        <v>6340</v>
      </c>
      <c r="L3124" s="8" t="n">
        <v>442521</v>
      </c>
      <c r="M3124" s="8" t="n">
        <v>378240</v>
      </c>
      <c r="N3124" t="inlineStr">
        <is>
          <t>是</t>
        </is>
      </c>
    </row>
    <row r="3125">
      <c r="A3125" s="7" t="inlineStr">
        <is>
          <t>2020-05-20</t>
        </is>
      </c>
      <c r="B3125" s="8" t="n">
        <v>7141</v>
      </c>
      <c r="C3125" s="8" t="n">
        <v>6978</v>
      </c>
      <c r="D3125" s="8" t="n">
        <v>7170</v>
      </c>
      <c r="E3125" s="8" t="n">
        <v>6960</v>
      </c>
      <c r="F3125" s="8" t="n">
        <v>882577</v>
      </c>
      <c r="G3125" s="8" t="n">
        <v>473756</v>
      </c>
      <c r="H3125" s="8" t="n">
        <v>6490</v>
      </c>
      <c r="I3125" s="8" t="n">
        <v>6365</v>
      </c>
      <c r="J3125" s="8" t="n">
        <v>6495</v>
      </c>
      <c r="K3125" s="8" t="n">
        <v>6330</v>
      </c>
      <c r="L3125" s="8" t="n">
        <v>344371</v>
      </c>
      <c r="M3125" s="8" t="n">
        <v>381128</v>
      </c>
      <c r="N3125" t="inlineStr">
        <is>
          <t>是</t>
        </is>
      </c>
    </row>
    <row r="3126">
      <c r="A3126" s="7" t="inlineStr">
        <is>
          <t>2020-05-21</t>
        </is>
      </c>
      <c r="B3126" s="8" t="n">
        <v>7159</v>
      </c>
      <c r="C3126" s="8" t="n">
        <v>7168</v>
      </c>
      <c r="D3126" s="8" t="n">
        <v>7263</v>
      </c>
      <c r="E3126" s="8" t="n">
        <v>7122</v>
      </c>
      <c r="F3126" s="8" t="n">
        <v>995931</v>
      </c>
      <c r="G3126" s="8" t="n">
        <v>457083</v>
      </c>
      <c r="H3126" s="8" t="n">
        <v>6515</v>
      </c>
      <c r="I3126" s="8" t="n">
        <v>6500</v>
      </c>
      <c r="J3126" s="8" t="n">
        <v>6595</v>
      </c>
      <c r="K3126" s="8" t="n">
        <v>6460</v>
      </c>
      <c r="L3126" s="8" t="n">
        <v>436253</v>
      </c>
      <c r="M3126" s="8" t="n">
        <v>386687</v>
      </c>
      <c r="N3126" t="inlineStr">
        <is>
          <t>是</t>
        </is>
      </c>
    </row>
    <row r="3127">
      <c r="A3127" s="7" t="inlineStr">
        <is>
          <t>2020-05-22</t>
        </is>
      </c>
      <c r="B3127" s="8" t="n">
        <v>7041</v>
      </c>
      <c r="C3127" s="8" t="n">
        <v>7180</v>
      </c>
      <c r="D3127" s="8" t="n">
        <v>7198</v>
      </c>
      <c r="E3127" s="8" t="n">
        <v>7026</v>
      </c>
      <c r="F3127" s="8" t="n">
        <v>891588</v>
      </c>
      <c r="G3127" s="8" t="n">
        <v>422124</v>
      </c>
      <c r="H3127" s="8" t="n">
        <v>6415</v>
      </c>
      <c r="I3127" s="8" t="n">
        <v>6515</v>
      </c>
      <c r="J3127" s="8" t="n">
        <v>6540</v>
      </c>
      <c r="K3127" s="8" t="n">
        <v>6390</v>
      </c>
      <c r="L3127" s="8" t="n">
        <v>398959</v>
      </c>
      <c r="M3127" s="8" t="n">
        <v>376418</v>
      </c>
      <c r="N3127" t="inlineStr">
        <is>
          <t>是</t>
        </is>
      </c>
    </row>
    <row r="3128">
      <c r="A3128" s="7" t="inlineStr">
        <is>
          <t>2020-05-25</t>
        </is>
      </c>
      <c r="B3128" s="8" t="n">
        <v>7142</v>
      </c>
      <c r="C3128" s="8" t="n">
        <v>7068</v>
      </c>
      <c r="D3128" s="8" t="n">
        <v>7189</v>
      </c>
      <c r="E3128" s="8" t="n">
        <v>7038</v>
      </c>
      <c r="F3128" s="8" t="n">
        <v>711686</v>
      </c>
      <c r="G3128" s="8" t="n">
        <v>448487</v>
      </c>
      <c r="H3128" s="8" t="n">
        <v>6490</v>
      </c>
      <c r="I3128" s="8" t="n">
        <v>6415</v>
      </c>
      <c r="J3128" s="8" t="n">
        <v>6530</v>
      </c>
      <c r="K3128" s="8" t="n">
        <v>6415</v>
      </c>
      <c r="L3128" s="8" t="n">
        <v>323878</v>
      </c>
      <c r="M3128" s="8" t="n">
        <v>382452</v>
      </c>
      <c r="N3128" t="inlineStr">
        <is>
          <t>是</t>
        </is>
      </c>
    </row>
    <row r="3129">
      <c r="A3129" s="7" t="inlineStr">
        <is>
          <t>2020-05-26</t>
        </is>
      </c>
      <c r="B3129" s="8" t="n">
        <v>7110</v>
      </c>
      <c r="C3129" s="8" t="n">
        <v>7155</v>
      </c>
      <c r="D3129" s="8" t="n">
        <v>7197</v>
      </c>
      <c r="E3129" s="8" t="n">
        <v>7086</v>
      </c>
      <c r="F3129" s="8" t="n">
        <v>773919</v>
      </c>
      <c r="G3129" s="8" t="n">
        <v>419474</v>
      </c>
      <c r="H3129" s="8" t="n">
        <v>6490</v>
      </c>
      <c r="I3129" s="8" t="n">
        <v>6500</v>
      </c>
      <c r="J3129" s="8" t="n">
        <v>6530</v>
      </c>
      <c r="K3129" s="8" t="n">
        <v>6450</v>
      </c>
      <c r="L3129" s="8" t="n">
        <v>244312</v>
      </c>
      <c r="M3129" s="8" t="n">
        <v>384428</v>
      </c>
      <c r="N3129" t="inlineStr">
        <is>
          <t>是</t>
        </is>
      </c>
    </row>
    <row r="3130">
      <c r="A3130" s="7" t="inlineStr">
        <is>
          <t>2020-05-27</t>
        </is>
      </c>
      <c r="B3130" s="8" t="n">
        <v>7150</v>
      </c>
      <c r="C3130" s="8" t="n">
        <v>7124</v>
      </c>
      <c r="D3130" s="8" t="n">
        <v>7179</v>
      </c>
      <c r="E3130" s="8" t="n">
        <v>7057</v>
      </c>
      <c r="F3130" s="8" t="n">
        <v>753194</v>
      </c>
      <c r="G3130" s="8" t="n">
        <v>434556</v>
      </c>
      <c r="H3130" s="8" t="n">
        <v>6500</v>
      </c>
      <c r="I3130" s="8" t="n">
        <v>6500</v>
      </c>
      <c r="J3130" s="8" t="n">
        <v>6560</v>
      </c>
      <c r="K3130" s="8" t="n">
        <v>6430</v>
      </c>
      <c r="L3130" s="8" t="n">
        <v>362041</v>
      </c>
      <c r="M3130" s="8" t="n">
        <v>395752</v>
      </c>
      <c r="N3130" t="inlineStr">
        <is>
          <t>是</t>
        </is>
      </c>
    </row>
    <row r="3131">
      <c r="A3131" s="7" t="inlineStr">
        <is>
          <t>2020-05-28</t>
        </is>
      </c>
      <c r="B3131" s="8" t="n">
        <v>7170</v>
      </c>
      <c r="C3131" s="8" t="n">
        <v>7150</v>
      </c>
      <c r="D3131" s="8" t="n">
        <v>7245</v>
      </c>
      <c r="E3131" s="8" t="n">
        <v>7073</v>
      </c>
      <c r="F3131" s="8" t="n">
        <v>1000928</v>
      </c>
      <c r="G3131" s="8" t="n">
        <v>423802</v>
      </c>
      <c r="H3131" s="8" t="n">
        <v>6560</v>
      </c>
      <c r="I3131" s="8" t="n">
        <v>6520</v>
      </c>
      <c r="J3131" s="8" t="n">
        <v>6600</v>
      </c>
      <c r="K3131" s="8" t="n">
        <v>6450</v>
      </c>
      <c r="L3131" s="8" t="n">
        <v>470775</v>
      </c>
      <c r="M3131" s="8" t="n">
        <v>408115</v>
      </c>
      <c r="N3131" t="inlineStr">
        <is>
          <t>是</t>
        </is>
      </c>
    </row>
    <row r="3132">
      <c r="A3132" s="7" t="inlineStr">
        <is>
          <t>2020-05-29</t>
        </is>
      </c>
      <c r="B3132" s="8" t="n">
        <v>7201</v>
      </c>
      <c r="C3132" s="8" t="n">
        <v>7193</v>
      </c>
      <c r="D3132" s="8" t="n">
        <v>7295</v>
      </c>
      <c r="E3132" s="8" t="n">
        <v>7160</v>
      </c>
      <c r="F3132" s="8" t="n">
        <v>1098496</v>
      </c>
      <c r="G3132" s="8" t="n">
        <v>447403</v>
      </c>
      <c r="H3132" s="8" t="n">
        <v>6515</v>
      </c>
      <c r="I3132" s="8" t="n">
        <v>6585</v>
      </c>
      <c r="J3132" s="8" t="n">
        <v>6615</v>
      </c>
      <c r="K3132" s="8" t="n">
        <v>6515</v>
      </c>
      <c r="L3132" s="8" t="n">
        <v>427849</v>
      </c>
      <c r="M3132" s="8" t="n">
        <v>377239</v>
      </c>
      <c r="N3132" t="inlineStr">
        <is>
          <t>是</t>
        </is>
      </c>
    </row>
    <row r="3133">
      <c r="A3133" s="7" t="inlineStr">
        <is>
          <t>2020-06-01</t>
        </is>
      </c>
      <c r="B3133" s="8" t="n">
        <v>7456</v>
      </c>
      <c r="C3133" s="8" t="n">
        <v>7193</v>
      </c>
      <c r="D3133" s="8" t="n">
        <v>7457</v>
      </c>
      <c r="E3133" s="8" t="n">
        <v>7181</v>
      </c>
      <c r="F3133" s="8" t="n">
        <v>869912</v>
      </c>
      <c r="G3133" s="8" t="n">
        <v>516506</v>
      </c>
      <c r="H3133" s="8" t="n">
        <v>6685</v>
      </c>
      <c r="I3133" s="8" t="n">
        <v>6520</v>
      </c>
      <c r="J3133" s="8" t="n">
        <v>6715</v>
      </c>
      <c r="K3133" s="8" t="n">
        <v>6515</v>
      </c>
      <c r="L3133" s="8" t="n">
        <v>369881</v>
      </c>
      <c r="M3133" s="8" t="n">
        <v>389985</v>
      </c>
      <c r="N3133" t="inlineStr">
        <is>
          <t>是</t>
        </is>
      </c>
    </row>
    <row r="3134">
      <c r="A3134" s="7" t="inlineStr">
        <is>
          <t>2020-06-02</t>
        </is>
      </c>
      <c r="B3134" s="8" t="n">
        <v>7513</v>
      </c>
      <c r="C3134" s="8" t="n">
        <v>7450</v>
      </c>
      <c r="D3134" s="8" t="n">
        <v>7589</v>
      </c>
      <c r="E3134" s="8" t="n">
        <v>7406</v>
      </c>
      <c r="F3134" s="8" t="n">
        <v>929579</v>
      </c>
      <c r="G3134" s="8" t="n">
        <v>501448</v>
      </c>
      <c r="H3134" s="8" t="n">
        <v>6690</v>
      </c>
      <c r="I3134" s="8" t="n">
        <v>6685</v>
      </c>
      <c r="J3134" s="8" t="n">
        <v>6775</v>
      </c>
      <c r="K3134" s="8" t="n">
        <v>6650</v>
      </c>
      <c r="L3134" s="8" t="n">
        <v>332085</v>
      </c>
      <c r="M3134" s="8" t="n">
        <v>389045</v>
      </c>
      <c r="N3134" t="inlineStr">
        <is>
          <t>是</t>
        </is>
      </c>
    </row>
    <row r="3135">
      <c r="A3135" s="7" t="inlineStr">
        <is>
          <t>2020-06-03</t>
        </is>
      </c>
      <c r="B3135" s="8" t="n">
        <v>7504</v>
      </c>
      <c r="C3135" s="8" t="n">
        <v>7525</v>
      </c>
      <c r="D3135" s="8" t="n">
        <v>7544</v>
      </c>
      <c r="E3135" s="8" t="n">
        <v>7457</v>
      </c>
      <c r="F3135" s="8" t="n">
        <v>717650</v>
      </c>
      <c r="G3135" s="8" t="n">
        <v>503637</v>
      </c>
      <c r="H3135" s="8" t="n">
        <v>6725</v>
      </c>
      <c r="I3135" s="8" t="n">
        <v>6695</v>
      </c>
      <c r="J3135" s="8" t="n">
        <v>6755</v>
      </c>
      <c r="K3135" s="8" t="n">
        <v>6670</v>
      </c>
      <c r="L3135" s="8" t="n">
        <v>281384</v>
      </c>
      <c r="M3135" s="8" t="n">
        <v>390025</v>
      </c>
      <c r="N3135" t="inlineStr">
        <is>
          <t>是</t>
        </is>
      </c>
    </row>
    <row r="3136">
      <c r="A3136" s="7" t="inlineStr">
        <is>
          <t>2020-06-04</t>
        </is>
      </c>
      <c r="B3136" s="8" t="n">
        <v>7342</v>
      </c>
      <c r="C3136" s="8" t="n">
        <v>7478</v>
      </c>
      <c r="D3136" s="8" t="n">
        <v>7487</v>
      </c>
      <c r="E3136" s="8" t="n">
        <v>7318</v>
      </c>
      <c r="F3136" s="8" t="n">
        <v>812104</v>
      </c>
      <c r="G3136" s="8" t="n">
        <v>458151</v>
      </c>
      <c r="H3136" s="8" t="n">
        <v>6570</v>
      </c>
      <c r="I3136" s="8" t="n">
        <v>6710</v>
      </c>
      <c r="J3136" s="8" t="n">
        <v>6715</v>
      </c>
      <c r="K3136" s="8" t="n">
        <v>6550</v>
      </c>
      <c r="L3136" s="8" t="n">
        <v>401320</v>
      </c>
      <c r="M3136" s="8" t="n">
        <v>368435</v>
      </c>
      <c r="N3136" t="inlineStr">
        <is>
          <t>是</t>
        </is>
      </c>
    </row>
    <row r="3137">
      <c r="A3137" s="7" t="inlineStr">
        <is>
          <t>2020-06-05</t>
        </is>
      </c>
      <c r="B3137" s="8" t="n">
        <v>7381</v>
      </c>
      <c r="C3137" s="8" t="n">
        <v>7339</v>
      </c>
      <c r="D3137" s="8" t="n">
        <v>7407</v>
      </c>
      <c r="E3137" s="8" t="n">
        <v>7323</v>
      </c>
      <c r="F3137" s="8" t="n">
        <v>507305</v>
      </c>
      <c r="G3137" s="8" t="n">
        <v>455346</v>
      </c>
      <c r="H3137" s="8" t="n">
        <v>6630</v>
      </c>
      <c r="I3137" s="8" t="n">
        <v>6595</v>
      </c>
      <c r="J3137" s="8" t="n">
        <v>6650</v>
      </c>
      <c r="K3137" s="8" t="n">
        <v>6570</v>
      </c>
      <c r="L3137" s="8" t="n">
        <v>203128</v>
      </c>
      <c r="M3137" s="8" t="n">
        <v>363302</v>
      </c>
      <c r="N3137" t="inlineStr">
        <is>
          <t>是</t>
        </is>
      </c>
    </row>
    <row r="3138">
      <c r="A3138" s="7" t="inlineStr">
        <is>
          <t>2020-06-08</t>
        </is>
      </c>
      <c r="B3138" s="8" t="n">
        <v>7360</v>
      </c>
      <c r="C3138" s="8" t="n">
        <v>7427</v>
      </c>
      <c r="D3138" s="8" t="n">
        <v>7450</v>
      </c>
      <c r="E3138" s="8" t="n">
        <v>7280</v>
      </c>
      <c r="F3138" s="8" t="n">
        <v>809089</v>
      </c>
      <c r="G3138" s="8" t="n">
        <v>431577</v>
      </c>
      <c r="H3138" s="8" t="n">
        <v>6610</v>
      </c>
      <c r="I3138" s="8" t="n">
        <v>6660</v>
      </c>
      <c r="J3138" s="8" t="n">
        <v>6685</v>
      </c>
      <c r="K3138" s="8" t="n">
        <v>6585</v>
      </c>
      <c r="L3138" s="8" t="n">
        <v>372266</v>
      </c>
      <c r="M3138" s="8" t="n">
        <v>358411</v>
      </c>
      <c r="N3138" t="inlineStr">
        <is>
          <t>是</t>
        </is>
      </c>
    </row>
    <row r="3139">
      <c r="A3139" s="7" t="inlineStr">
        <is>
          <t>2020-06-09</t>
        </is>
      </c>
      <c r="B3139" s="8" t="n">
        <v>7457</v>
      </c>
      <c r="C3139" s="8" t="n">
        <v>7347</v>
      </c>
      <c r="D3139" s="8" t="n">
        <v>7469</v>
      </c>
      <c r="E3139" s="8" t="n">
        <v>7289</v>
      </c>
      <c r="F3139" s="8" t="n">
        <v>745304</v>
      </c>
      <c r="G3139" s="8" t="n">
        <v>467605</v>
      </c>
      <c r="H3139" s="8" t="n">
        <v>6660</v>
      </c>
      <c r="I3139" s="8" t="n">
        <v>6575</v>
      </c>
      <c r="J3139" s="8" t="n">
        <v>6670</v>
      </c>
      <c r="K3139" s="8" t="n">
        <v>6535</v>
      </c>
      <c r="L3139" s="8" t="n">
        <v>336783</v>
      </c>
      <c r="M3139" s="8" t="n">
        <v>356177</v>
      </c>
      <c r="N3139" t="inlineStr">
        <is>
          <t>是</t>
        </is>
      </c>
    </row>
    <row r="3140">
      <c r="A3140" s="7" t="inlineStr">
        <is>
          <t>2020-06-10</t>
        </is>
      </c>
      <c r="B3140" s="8" t="n">
        <v>7369</v>
      </c>
      <c r="C3140" s="8" t="n">
        <v>7443</v>
      </c>
      <c r="D3140" s="8" t="n">
        <v>7487</v>
      </c>
      <c r="E3140" s="8" t="n">
        <v>7344</v>
      </c>
      <c r="F3140" s="8" t="n">
        <v>685192</v>
      </c>
      <c r="G3140" s="8" t="n">
        <v>428524</v>
      </c>
      <c r="H3140" s="8" t="n">
        <v>6650</v>
      </c>
      <c r="I3140" s="8" t="n">
        <v>6650</v>
      </c>
      <c r="J3140" s="8" t="n">
        <v>6745</v>
      </c>
      <c r="K3140" s="8" t="n">
        <v>6625</v>
      </c>
      <c r="L3140" s="8" t="n">
        <v>363599</v>
      </c>
      <c r="M3140" s="8" t="n">
        <v>355677</v>
      </c>
      <c r="N3140" t="inlineStr">
        <is>
          <t>是</t>
        </is>
      </c>
    </row>
    <row r="3141">
      <c r="A3141" s="7" t="inlineStr">
        <is>
          <t>2020-06-11</t>
        </is>
      </c>
      <c r="B3141" s="8" t="n">
        <v>7326</v>
      </c>
      <c r="C3141" s="8" t="n">
        <v>7377</v>
      </c>
      <c r="D3141" s="8" t="n">
        <v>7390</v>
      </c>
      <c r="E3141" s="8" t="n">
        <v>7307</v>
      </c>
      <c r="F3141" s="8" t="n">
        <v>613941</v>
      </c>
      <c r="G3141" s="8" t="n">
        <v>411704</v>
      </c>
      <c r="H3141" s="8" t="n">
        <v>6645</v>
      </c>
      <c r="I3141" s="8" t="n">
        <v>6670</v>
      </c>
      <c r="J3141" s="8" t="n">
        <v>6720</v>
      </c>
      <c r="K3141" s="8" t="n">
        <v>6610</v>
      </c>
      <c r="L3141" s="8" t="n">
        <v>363202</v>
      </c>
      <c r="M3141" s="8" t="n">
        <v>355655</v>
      </c>
      <c r="N3141" t="inlineStr">
        <is>
          <t>是</t>
        </is>
      </c>
    </row>
    <row r="3142">
      <c r="A3142" s="7" t="inlineStr">
        <is>
          <t>2020-06-12</t>
        </is>
      </c>
      <c r="B3142" s="8" t="n">
        <v>7329</v>
      </c>
      <c r="C3142" s="8" t="n">
        <v>7288</v>
      </c>
      <c r="D3142" s="8" t="n">
        <v>7338</v>
      </c>
      <c r="E3142" s="8" t="n">
        <v>7190</v>
      </c>
      <c r="F3142" s="8" t="n">
        <v>693426</v>
      </c>
      <c r="G3142" s="8" t="n">
        <v>407260</v>
      </c>
      <c r="H3142" s="8" t="n">
        <v>6690</v>
      </c>
      <c r="I3142" s="8" t="n">
        <v>6600</v>
      </c>
      <c r="J3142" s="8" t="n">
        <v>6695</v>
      </c>
      <c r="K3142" s="8" t="n">
        <v>6480</v>
      </c>
      <c r="L3142" s="8" t="n">
        <v>504272</v>
      </c>
      <c r="M3142" s="8" t="n">
        <v>367290</v>
      </c>
      <c r="N3142" t="inlineStr">
        <is>
          <t>是</t>
        </is>
      </c>
    </row>
    <row r="3143">
      <c r="A3143" s="7" t="inlineStr">
        <is>
          <t>2020-06-15</t>
        </is>
      </c>
      <c r="B3143" s="8" t="n">
        <v>7303</v>
      </c>
      <c r="C3143" s="8" t="n">
        <v>7337</v>
      </c>
      <c r="D3143" s="8" t="n">
        <v>7387</v>
      </c>
      <c r="E3143" s="8" t="n">
        <v>7283</v>
      </c>
      <c r="F3143" s="8" t="n">
        <v>587364</v>
      </c>
      <c r="G3143" s="8" t="n">
        <v>391218</v>
      </c>
      <c r="H3143" s="8" t="n">
        <v>6645</v>
      </c>
      <c r="I3143" s="8" t="n">
        <v>6695</v>
      </c>
      <c r="J3143" s="8" t="n">
        <v>6760</v>
      </c>
      <c r="K3143" s="8" t="n">
        <v>6635</v>
      </c>
      <c r="L3143" s="8" t="n">
        <v>502588</v>
      </c>
      <c r="M3143" s="8" t="n">
        <v>361727</v>
      </c>
      <c r="N3143" t="inlineStr">
        <is>
          <t>是</t>
        </is>
      </c>
    </row>
    <row r="3144">
      <c r="A3144" s="7" t="inlineStr">
        <is>
          <t>2020-06-16</t>
        </is>
      </c>
      <c r="B3144" s="8" t="n">
        <v>7443</v>
      </c>
      <c r="C3144" s="8" t="n">
        <v>7303</v>
      </c>
      <c r="D3144" s="8" t="n">
        <v>7484</v>
      </c>
      <c r="E3144" s="8" t="n">
        <v>7295</v>
      </c>
      <c r="F3144" s="8" t="n">
        <v>603483</v>
      </c>
      <c r="G3144" s="8" t="n">
        <v>419894</v>
      </c>
      <c r="H3144" s="8" t="n">
        <v>6850</v>
      </c>
      <c r="I3144" s="8" t="n">
        <v>6655</v>
      </c>
      <c r="J3144" s="8" t="n">
        <v>6875</v>
      </c>
      <c r="K3144" s="8" t="n">
        <v>6620</v>
      </c>
      <c r="L3144" s="8" t="n">
        <v>525698</v>
      </c>
      <c r="M3144" s="8" t="n">
        <v>394658</v>
      </c>
      <c r="N3144" t="inlineStr">
        <is>
          <t>是</t>
        </is>
      </c>
    </row>
    <row r="3145">
      <c r="A3145" s="7" t="inlineStr">
        <is>
          <t>2020-06-17</t>
        </is>
      </c>
      <c r="B3145" s="8" t="n">
        <v>7513</v>
      </c>
      <c r="C3145" s="8" t="n">
        <v>7460</v>
      </c>
      <c r="D3145" s="8" t="n">
        <v>7535</v>
      </c>
      <c r="E3145" s="8" t="n">
        <v>7401</v>
      </c>
      <c r="F3145" s="8" t="n">
        <v>603942</v>
      </c>
      <c r="G3145" s="8" t="n">
        <v>445990</v>
      </c>
      <c r="H3145" s="8" t="n">
        <v>6825</v>
      </c>
      <c r="I3145" s="8" t="n">
        <v>6870</v>
      </c>
      <c r="J3145" s="8" t="n">
        <v>6890</v>
      </c>
      <c r="K3145" s="8" t="n">
        <v>6780</v>
      </c>
      <c r="L3145" s="8" t="n">
        <v>340600</v>
      </c>
      <c r="M3145" s="8" t="n">
        <v>385736</v>
      </c>
      <c r="N3145" t="inlineStr">
        <is>
          <t>是</t>
        </is>
      </c>
    </row>
    <row r="3146">
      <c r="A3146" s="7" t="inlineStr">
        <is>
          <t>2020-06-18</t>
        </is>
      </c>
      <c r="B3146" s="8" t="n">
        <v>7480</v>
      </c>
      <c r="C3146" s="8" t="n">
        <v>7510</v>
      </c>
      <c r="D3146" s="8" t="n">
        <v>7563</v>
      </c>
      <c r="E3146" s="8" t="n">
        <v>7463</v>
      </c>
      <c r="F3146" s="8" t="n">
        <v>595417</v>
      </c>
      <c r="G3146" s="8" t="n">
        <v>427311</v>
      </c>
      <c r="H3146" s="8" t="n">
        <v>6850</v>
      </c>
      <c r="I3146" s="8" t="n">
        <v>6825</v>
      </c>
      <c r="J3146" s="8" t="n">
        <v>6930</v>
      </c>
      <c r="K3146" s="8" t="n">
        <v>6790</v>
      </c>
      <c r="L3146" s="8" t="n">
        <v>367765</v>
      </c>
      <c r="M3146" s="8" t="n">
        <v>385743</v>
      </c>
      <c r="N3146" t="inlineStr">
        <is>
          <t>是</t>
        </is>
      </c>
    </row>
    <row r="3147">
      <c r="A3147" s="7" t="inlineStr">
        <is>
          <t>2020-06-19</t>
        </is>
      </c>
      <c r="B3147" s="8" t="n">
        <v>7475</v>
      </c>
      <c r="C3147" s="8" t="n">
        <v>7488</v>
      </c>
      <c r="D3147" s="8" t="n">
        <v>7497</v>
      </c>
      <c r="E3147" s="8" t="n">
        <v>7428</v>
      </c>
      <c r="F3147" s="8" t="n">
        <v>496313</v>
      </c>
      <c r="G3147" s="8" t="n">
        <v>415609</v>
      </c>
      <c r="H3147" s="8" t="n">
        <v>6795</v>
      </c>
      <c r="I3147" s="8" t="n">
        <v>6850</v>
      </c>
      <c r="J3147" s="8" t="n">
        <v>6875</v>
      </c>
      <c r="K3147" s="8" t="n">
        <v>6760</v>
      </c>
      <c r="L3147" s="8" t="n">
        <v>344639</v>
      </c>
      <c r="M3147" s="8" t="n">
        <v>357908</v>
      </c>
      <c r="N3147" t="inlineStr">
        <is>
          <t>是</t>
        </is>
      </c>
    </row>
    <row r="3148">
      <c r="A3148" s="7" t="inlineStr">
        <is>
          <t>2020-06-22</t>
        </is>
      </c>
      <c r="B3148" s="8" t="n">
        <v>7466</v>
      </c>
      <c r="C3148" s="8" t="n">
        <v>7488</v>
      </c>
      <c r="D3148" s="8" t="n">
        <v>7518</v>
      </c>
      <c r="E3148" s="8" t="n">
        <v>7420</v>
      </c>
      <c r="F3148" s="8" t="n">
        <v>503799</v>
      </c>
      <c r="G3148" s="8" t="n">
        <v>407185</v>
      </c>
      <c r="H3148" s="8" t="n">
        <v>6785</v>
      </c>
      <c r="I3148" s="8" t="n">
        <v>6810</v>
      </c>
      <c r="J3148" s="8" t="n">
        <v>6830</v>
      </c>
      <c r="K3148" s="8" t="n">
        <v>6745</v>
      </c>
      <c r="L3148" s="8" t="n">
        <v>279572</v>
      </c>
      <c r="M3148" s="8" t="n">
        <v>346818</v>
      </c>
      <c r="N3148" t="inlineStr">
        <is>
          <t>是</t>
        </is>
      </c>
    </row>
    <row r="3149">
      <c r="A3149" s="7" t="inlineStr">
        <is>
          <t>2020-06-23</t>
        </is>
      </c>
      <c r="B3149" s="8" t="n">
        <v>7494</v>
      </c>
      <c r="C3149" s="8" t="n">
        <v>7464</v>
      </c>
      <c r="D3149" s="8" t="n">
        <v>7499</v>
      </c>
      <c r="E3149" s="8" t="n">
        <v>7415</v>
      </c>
      <c r="F3149" s="8" t="n">
        <v>473546</v>
      </c>
      <c r="G3149" s="8" t="n">
        <v>417721</v>
      </c>
      <c r="H3149" s="8" t="n">
        <v>6835</v>
      </c>
      <c r="I3149" s="8" t="n">
        <v>6780</v>
      </c>
      <c r="J3149" s="8" t="n">
        <v>6855</v>
      </c>
      <c r="K3149" s="8" t="n">
        <v>6775</v>
      </c>
      <c r="L3149" s="8" t="n">
        <v>239772</v>
      </c>
      <c r="M3149" s="8" t="n">
        <v>342126</v>
      </c>
      <c r="N3149" t="inlineStr">
        <is>
          <t>是</t>
        </is>
      </c>
    </row>
    <row r="3150">
      <c r="A3150" s="7" t="inlineStr">
        <is>
          <t>2020-06-24</t>
        </is>
      </c>
      <c r="B3150" s="8" t="n">
        <v>7474</v>
      </c>
      <c r="C3150" s="8" t="n">
        <v>7502</v>
      </c>
      <c r="D3150" s="8" t="n">
        <v>7516</v>
      </c>
      <c r="E3150" s="8" t="n">
        <v>7420</v>
      </c>
      <c r="F3150" s="8" t="n">
        <v>408131</v>
      </c>
      <c r="G3150" s="8" t="n">
        <v>380184</v>
      </c>
      <c r="H3150" s="8" t="n">
        <v>6875</v>
      </c>
      <c r="I3150" s="8" t="n">
        <v>6860</v>
      </c>
      <c r="J3150" s="8" t="n">
        <v>6895</v>
      </c>
      <c r="K3150" s="8" t="n">
        <v>6805</v>
      </c>
      <c r="L3150" s="8" t="n">
        <v>205508</v>
      </c>
      <c r="M3150" s="8" t="n">
        <v>346938</v>
      </c>
      <c r="N3150" t="inlineStr">
        <is>
          <t>是</t>
        </is>
      </c>
    </row>
    <row r="3151">
      <c r="A3151" s="7" t="inlineStr">
        <is>
          <t>2020-06-29</t>
        </is>
      </c>
      <c r="B3151" s="8" t="n">
        <v>7374</v>
      </c>
      <c r="C3151" s="8" t="n">
        <v>7430</v>
      </c>
      <c r="D3151" s="8" t="n">
        <v>7469</v>
      </c>
      <c r="E3151" s="8" t="n">
        <v>7320</v>
      </c>
      <c r="F3151" s="8" t="n">
        <v>416940</v>
      </c>
      <c r="G3151" s="8" t="n">
        <v>374444</v>
      </c>
      <c r="H3151" s="8" t="n">
        <v>6785</v>
      </c>
      <c r="I3151" s="8" t="n">
        <v>6810</v>
      </c>
      <c r="J3151" s="8" t="n">
        <v>6865</v>
      </c>
      <c r="K3151" s="8" t="n">
        <v>6725</v>
      </c>
      <c r="L3151" s="8" t="n">
        <v>280990</v>
      </c>
      <c r="M3151" s="8" t="n">
        <v>331267</v>
      </c>
      <c r="N3151" t="inlineStr">
        <is>
          <t>是</t>
        </is>
      </c>
    </row>
    <row r="3152">
      <c r="A3152" s="7" t="inlineStr">
        <is>
          <t>2020-06-30</t>
        </is>
      </c>
      <c r="B3152" s="8" t="n">
        <v>7417</v>
      </c>
      <c r="C3152" s="8" t="n">
        <v>7382</v>
      </c>
      <c r="D3152" s="8" t="n">
        <v>7456</v>
      </c>
      <c r="E3152" s="8" t="n">
        <v>7380</v>
      </c>
      <c r="F3152" s="8" t="n">
        <v>420253</v>
      </c>
      <c r="G3152" s="8" t="n">
        <v>371406</v>
      </c>
      <c r="H3152" s="8" t="n">
        <v>6900</v>
      </c>
      <c r="I3152" s="8" t="n">
        <v>6795</v>
      </c>
      <c r="J3152" s="8" t="n">
        <v>6940</v>
      </c>
      <c r="K3152" s="8" t="n">
        <v>6785</v>
      </c>
      <c r="L3152" s="8" t="n">
        <v>335769</v>
      </c>
      <c r="M3152" s="8" t="n">
        <v>358005</v>
      </c>
      <c r="N3152" t="inlineStr">
        <is>
          <t>是</t>
        </is>
      </c>
    </row>
    <row r="3153">
      <c r="A3153" s="7" t="inlineStr">
        <is>
          <t>2020-07-01</t>
        </is>
      </c>
      <c r="B3153" s="8" t="n">
        <v>7443</v>
      </c>
      <c r="C3153" s="8" t="n">
        <v>7409</v>
      </c>
      <c r="D3153" s="8" t="n">
        <v>7485</v>
      </c>
      <c r="E3153" s="8" t="n">
        <v>7398</v>
      </c>
      <c r="F3153" s="8" t="n">
        <v>388808</v>
      </c>
      <c r="G3153" s="8" t="n">
        <v>369863</v>
      </c>
      <c r="H3153" s="8" t="n">
        <v>6890</v>
      </c>
      <c r="I3153" s="8" t="n">
        <v>6885</v>
      </c>
      <c r="J3153" s="8" t="n">
        <v>6935</v>
      </c>
      <c r="K3153" s="8" t="n">
        <v>6865</v>
      </c>
      <c r="L3153" s="8" t="n">
        <v>178228</v>
      </c>
      <c r="M3153" s="8" t="n">
        <v>354685</v>
      </c>
      <c r="N3153" t="inlineStr">
        <is>
          <t>是</t>
        </is>
      </c>
    </row>
    <row r="3154">
      <c r="A3154" s="7" t="inlineStr">
        <is>
          <t>2020-07-02</t>
        </is>
      </c>
      <c r="B3154" s="8" t="n">
        <v>7482</v>
      </c>
      <c r="C3154" s="8" t="n">
        <v>7432</v>
      </c>
      <c r="D3154" s="8" t="n">
        <v>7497</v>
      </c>
      <c r="E3154" s="8" t="n">
        <v>7387</v>
      </c>
      <c r="F3154" s="8" t="n">
        <v>551410</v>
      </c>
      <c r="G3154" s="8" t="n">
        <v>393370</v>
      </c>
      <c r="H3154" s="8" t="n">
        <v>6890</v>
      </c>
      <c r="I3154" s="8" t="n">
        <v>6890</v>
      </c>
      <c r="J3154" s="8" t="n">
        <v>6920</v>
      </c>
      <c r="K3154" s="8" t="n">
        <v>6820</v>
      </c>
      <c r="L3154" s="8" t="n">
        <v>305120</v>
      </c>
      <c r="M3154" s="8" t="n">
        <v>332353</v>
      </c>
      <c r="N3154" t="inlineStr">
        <is>
          <t>是</t>
        </is>
      </c>
    </row>
    <row r="3155">
      <c r="A3155" s="7" t="inlineStr">
        <is>
          <t>2020-07-03</t>
        </is>
      </c>
      <c r="B3155" s="8" t="n">
        <v>7570</v>
      </c>
      <c r="C3155" s="8" t="n">
        <v>7482</v>
      </c>
      <c r="D3155" s="8" t="n">
        <v>7644</v>
      </c>
      <c r="E3155" s="8" t="n">
        <v>7472</v>
      </c>
      <c r="F3155" s="8" t="n">
        <v>670650</v>
      </c>
      <c r="G3155" s="8" t="n">
        <v>416367</v>
      </c>
      <c r="H3155" s="8" t="n">
        <v>7000</v>
      </c>
      <c r="I3155" s="8" t="n">
        <v>6895</v>
      </c>
      <c r="J3155" s="8" t="n">
        <v>7010</v>
      </c>
      <c r="K3155" s="8" t="n">
        <v>6890</v>
      </c>
      <c r="L3155" s="8" t="n">
        <v>267692</v>
      </c>
      <c r="M3155" s="8" t="n">
        <v>339938</v>
      </c>
      <c r="N3155" t="inlineStr">
        <is>
          <t>是</t>
        </is>
      </c>
    </row>
    <row r="3156">
      <c r="A3156" s="7" t="inlineStr">
        <is>
          <t>2020-07-06</t>
        </is>
      </c>
      <c r="B3156" s="8" t="n">
        <v>7731</v>
      </c>
      <c r="C3156" s="8" t="n">
        <v>7570</v>
      </c>
      <c r="D3156" s="8" t="n">
        <v>7753</v>
      </c>
      <c r="E3156" s="8" t="n">
        <v>7527</v>
      </c>
      <c r="F3156" s="8" t="n">
        <v>565495</v>
      </c>
      <c r="G3156" s="8" t="n">
        <v>446855</v>
      </c>
      <c r="H3156" s="8" t="n">
        <v>7180</v>
      </c>
      <c r="I3156" s="8" t="n">
        <v>7000</v>
      </c>
      <c r="J3156" s="8" t="n">
        <v>7195</v>
      </c>
      <c r="K3156" s="8" t="n">
        <v>6960</v>
      </c>
      <c r="L3156" s="8" t="n">
        <v>366319</v>
      </c>
      <c r="M3156" s="8" t="n">
        <v>371680</v>
      </c>
      <c r="N3156" t="inlineStr">
        <is>
          <t>是</t>
        </is>
      </c>
    </row>
    <row r="3157">
      <c r="A3157" s="7" t="inlineStr">
        <is>
          <t>2020-07-07</t>
        </is>
      </c>
      <c r="B3157" s="8" t="n">
        <v>7723</v>
      </c>
      <c r="C3157" s="8" t="n">
        <v>7715</v>
      </c>
      <c r="D3157" s="8" t="n">
        <v>7772</v>
      </c>
      <c r="E3157" s="8" t="n">
        <v>7675</v>
      </c>
      <c r="F3157" s="8" t="n">
        <v>561738</v>
      </c>
      <c r="G3157" s="8" t="n">
        <v>430088</v>
      </c>
      <c r="H3157" s="8" t="n">
        <v>7280</v>
      </c>
      <c r="I3157" s="8" t="n">
        <v>7180</v>
      </c>
      <c r="J3157" s="8" t="n">
        <v>7360</v>
      </c>
      <c r="K3157" s="8" t="n">
        <v>7135</v>
      </c>
      <c r="L3157" s="8" t="n">
        <v>453984</v>
      </c>
      <c r="M3157" s="8" t="n">
        <v>372045</v>
      </c>
      <c r="N3157" t="inlineStr">
        <is>
          <t>是</t>
        </is>
      </c>
    </row>
    <row r="3158">
      <c r="A3158" s="7" t="inlineStr">
        <is>
          <t>2020-07-08</t>
        </is>
      </c>
      <c r="B3158" s="8" t="n">
        <v>7643</v>
      </c>
      <c r="C3158" s="8" t="n">
        <v>7730</v>
      </c>
      <c r="D3158" s="8" t="n">
        <v>7768</v>
      </c>
      <c r="E3158" s="8" t="n">
        <v>7625</v>
      </c>
      <c r="F3158" s="8" t="n">
        <v>622564</v>
      </c>
      <c r="G3158" s="8" t="n">
        <v>388700</v>
      </c>
      <c r="H3158" s="8" t="n">
        <v>7300</v>
      </c>
      <c r="I3158" s="8" t="n">
        <v>7265</v>
      </c>
      <c r="J3158" s="8" t="n">
        <v>7485</v>
      </c>
      <c r="K3158" s="8" t="n">
        <v>7265</v>
      </c>
      <c r="L3158" s="8" t="n">
        <v>644608</v>
      </c>
      <c r="M3158" s="8" t="n">
        <v>353324</v>
      </c>
      <c r="N3158" t="inlineStr">
        <is>
          <t>是</t>
        </is>
      </c>
    </row>
    <row r="3159">
      <c r="A3159" s="7" t="inlineStr">
        <is>
          <t>2020-07-09</t>
        </is>
      </c>
      <c r="B3159" s="8" t="n">
        <v>7720</v>
      </c>
      <c r="C3159" s="8" t="n">
        <v>7643</v>
      </c>
      <c r="D3159" s="8" t="n">
        <v>7763</v>
      </c>
      <c r="E3159" s="8" t="n">
        <v>7643</v>
      </c>
      <c r="F3159" s="8" t="n">
        <v>492694</v>
      </c>
      <c r="G3159" s="8" t="n">
        <v>394917</v>
      </c>
      <c r="H3159" s="8" t="n">
        <v>7290</v>
      </c>
      <c r="I3159" s="8" t="n">
        <v>7315</v>
      </c>
      <c r="J3159" s="8" t="n">
        <v>7400</v>
      </c>
      <c r="K3159" s="8" t="n">
        <v>7225</v>
      </c>
      <c r="L3159" s="8" t="n">
        <v>480833</v>
      </c>
      <c r="M3159" s="8" t="n">
        <v>343316</v>
      </c>
      <c r="N3159" t="inlineStr">
        <is>
          <t>是</t>
        </is>
      </c>
    </row>
    <row r="3160">
      <c r="A3160" s="7" t="inlineStr">
        <is>
          <t>2020-07-10</t>
        </is>
      </c>
      <c r="B3160" s="8" t="n">
        <v>7627</v>
      </c>
      <c r="C3160" s="8" t="n">
        <v>7712</v>
      </c>
      <c r="D3160" s="8" t="n">
        <v>7737</v>
      </c>
      <c r="E3160" s="8" t="n">
        <v>7603</v>
      </c>
      <c r="F3160" s="8" t="n">
        <v>507076</v>
      </c>
      <c r="G3160" s="8" t="n">
        <v>366141</v>
      </c>
      <c r="H3160" s="8" t="n">
        <v>7225</v>
      </c>
      <c r="I3160" s="8" t="n">
        <v>7305</v>
      </c>
      <c r="J3160" s="8" t="n">
        <v>7360</v>
      </c>
      <c r="K3160" s="8" t="n">
        <v>7150</v>
      </c>
      <c r="L3160" s="8" t="n">
        <v>455103</v>
      </c>
      <c r="M3160" s="8" t="n">
        <v>331100</v>
      </c>
      <c r="N3160" t="inlineStr">
        <is>
          <t>是</t>
        </is>
      </c>
    </row>
    <row r="3161">
      <c r="A3161" s="7" t="inlineStr">
        <is>
          <t>2020-07-13</t>
        </is>
      </c>
      <c r="B3161" s="8" t="n">
        <v>7683</v>
      </c>
      <c r="C3161" s="8" t="n">
        <v>7650</v>
      </c>
      <c r="D3161" s="8" t="n">
        <v>7748</v>
      </c>
      <c r="E3161" s="8" t="n">
        <v>7636</v>
      </c>
      <c r="F3161" s="8" t="n">
        <v>469136</v>
      </c>
      <c r="G3161" s="8" t="n">
        <v>361218</v>
      </c>
      <c r="H3161" s="8" t="n">
        <v>7290</v>
      </c>
      <c r="I3161" s="8" t="n">
        <v>7250</v>
      </c>
      <c r="J3161" s="8" t="n">
        <v>7375</v>
      </c>
      <c r="K3161" s="8" t="n">
        <v>7230</v>
      </c>
      <c r="L3161" s="8" t="n">
        <v>370778</v>
      </c>
      <c r="M3161" s="8" t="n">
        <v>325092</v>
      </c>
      <c r="N3161" t="inlineStr">
        <is>
          <t>是</t>
        </is>
      </c>
    </row>
    <row r="3162">
      <c r="A3162" s="7" t="inlineStr">
        <is>
          <t>2020-07-14</t>
        </is>
      </c>
      <c r="B3162" s="8" t="n">
        <v>7667</v>
      </c>
      <c r="C3162" s="8" t="n">
        <v>7675</v>
      </c>
      <c r="D3162" s="8" t="n">
        <v>7685</v>
      </c>
      <c r="E3162" s="8" t="n">
        <v>7565</v>
      </c>
      <c r="F3162" s="8" t="n">
        <v>542525</v>
      </c>
      <c r="G3162" s="8" t="n">
        <v>354284</v>
      </c>
      <c r="H3162" s="8" t="n">
        <v>7305</v>
      </c>
      <c r="I3162" s="8" t="n">
        <v>7300</v>
      </c>
      <c r="J3162" s="8" t="n">
        <v>7430</v>
      </c>
      <c r="K3162" s="8" t="n">
        <v>7225</v>
      </c>
      <c r="L3162" s="8" t="n">
        <v>431840</v>
      </c>
      <c r="M3162" s="8" t="n">
        <v>329654</v>
      </c>
      <c r="N3162" t="inlineStr">
        <is>
          <t>是</t>
        </is>
      </c>
    </row>
    <row r="3163">
      <c r="A3163" s="7" t="inlineStr">
        <is>
          <t>2020-07-15</t>
        </is>
      </c>
      <c r="B3163" s="8" t="n">
        <v>7570</v>
      </c>
      <c r="C3163" s="8" t="n">
        <v>7665</v>
      </c>
      <c r="D3163" s="8" t="n">
        <v>7695</v>
      </c>
      <c r="E3163" s="8" t="n">
        <v>7556</v>
      </c>
      <c r="F3163" s="8" t="n">
        <v>546588</v>
      </c>
      <c r="G3163" s="8" t="n">
        <v>351079</v>
      </c>
      <c r="H3163" s="8" t="n">
        <v>7235</v>
      </c>
      <c r="I3163" s="8" t="n">
        <v>7300</v>
      </c>
      <c r="J3163" s="8" t="n">
        <v>7325</v>
      </c>
      <c r="K3163" s="8" t="n">
        <v>7215</v>
      </c>
      <c r="L3163" s="8" t="n">
        <v>365815</v>
      </c>
      <c r="M3163" s="8" t="n">
        <v>315885</v>
      </c>
      <c r="N3163" t="inlineStr">
        <is>
          <t>是</t>
        </is>
      </c>
    </row>
    <row r="3164">
      <c r="A3164" s="7" t="inlineStr">
        <is>
          <t>2020-07-16</t>
        </is>
      </c>
      <c r="B3164" s="8" t="n">
        <v>7469</v>
      </c>
      <c r="C3164" s="8" t="n">
        <v>7570</v>
      </c>
      <c r="D3164" s="8" t="n">
        <v>7604</v>
      </c>
      <c r="E3164" s="8" t="n">
        <v>7457</v>
      </c>
      <c r="F3164" s="8" t="n">
        <v>629124</v>
      </c>
      <c r="G3164" s="8" t="n">
        <v>329637</v>
      </c>
      <c r="H3164" s="8" t="n">
        <v>7120</v>
      </c>
      <c r="I3164" s="8" t="n">
        <v>7250</v>
      </c>
      <c r="J3164" s="8" t="n">
        <v>7265</v>
      </c>
      <c r="K3164" s="8" t="n">
        <v>7105</v>
      </c>
      <c r="L3164" s="8" t="n">
        <v>413048</v>
      </c>
      <c r="M3164" s="8" t="n">
        <v>306753</v>
      </c>
      <c r="N3164" t="inlineStr">
        <is>
          <t>是</t>
        </is>
      </c>
    </row>
    <row r="3165">
      <c r="A3165" s="7" t="inlineStr">
        <is>
          <t>2020-07-17</t>
        </is>
      </c>
      <c r="B3165" s="8" t="n">
        <v>7494</v>
      </c>
      <c r="C3165" s="8" t="n">
        <v>7468</v>
      </c>
      <c r="D3165" s="8" t="n">
        <v>7519</v>
      </c>
      <c r="E3165" s="8" t="n">
        <v>7438</v>
      </c>
      <c r="F3165" s="8" t="n">
        <v>445805</v>
      </c>
      <c r="G3165" s="8" t="n">
        <v>305227</v>
      </c>
      <c r="H3165" s="8" t="n">
        <v>7090</v>
      </c>
      <c r="I3165" s="8" t="n">
        <v>7130</v>
      </c>
      <c r="J3165" s="8" t="n">
        <v>7145</v>
      </c>
      <c r="K3165" s="8" t="n">
        <v>7050</v>
      </c>
      <c r="L3165" s="8" t="n">
        <v>312619</v>
      </c>
      <c r="M3165" s="8" t="n">
        <v>304578</v>
      </c>
      <c r="N3165" t="inlineStr">
        <is>
          <t>是</t>
        </is>
      </c>
    </row>
    <row r="3166">
      <c r="A3166" s="7" t="inlineStr">
        <is>
          <t>2020-07-20</t>
        </is>
      </c>
      <c r="B3166" s="8" t="n">
        <v>7479</v>
      </c>
      <c r="C3166" s="8" t="n">
        <v>7491</v>
      </c>
      <c r="D3166" s="8" t="n">
        <v>7538</v>
      </c>
      <c r="E3166" s="8" t="n">
        <v>7410</v>
      </c>
      <c r="F3166" s="8" t="n">
        <v>510209</v>
      </c>
      <c r="G3166" s="8" t="n">
        <v>299444</v>
      </c>
      <c r="H3166" s="8" t="n">
        <v>7100</v>
      </c>
      <c r="I3166" s="8" t="n">
        <v>7085</v>
      </c>
      <c r="J3166" s="8" t="n">
        <v>7180</v>
      </c>
      <c r="K3166" s="8" t="n">
        <v>7015</v>
      </c>
      <c r="L3166" s="8" t="n">
        <v>341708</v>
      </c>
      <c r="M3166" s="8" t="n">
        <v>298304</v>
      </c>
      <c r="N3166" t="inlineStr">
        <is>
          <t>是</t>
        </is>
      </c>
    </row>
    <row r="3167">
      <c r="A3167" s="7" t="inlineStr">
        <is>
          <t>2020-07-21</t>
        </is>
      </c>
      <c r="B3167" s="8" t="n">
        <v>7459</v>
      </c>
      <c r="C3167" s="8" t="n">
        <v>7487</v>
      </c>
      <c r="D3167" s="8" t="n">
        <v>7558</v>
      </c>
      <c r="E3167" s="8" t="n">
        <v>7444</v>
      </c>
      <c r="F3167" s="8" t="n">
        <v>435966</v>
      </c>
      <c r="G3167" s="8" t="n">
        <v>303584</v>
      </c>
      <c r="H3167" s="8" t="n">
        <v>7060</v>
      </c>
      <c r="I3167" s="8" t="n">
        <v>7080</v>
      </c>
      <c r="J3167" s="8" t="n">
        <v>7165</v>
      </c>
      <c r="K3167" s="8" t="n">
        <v>7035</v>
      </c>
      <c r="L3167" s="8" t="n">
        <v>289912</v>
      </c>
      <c r="M3167" s="8" t="n">
        <v>284030</v>
      </c>
      <c r="N3167" t="inlineStr">
        <is>
          <t>是</t>
        </is>
      </c>
    </row>
    <row r="3168">
      <c r="A3168" s="7" t="inlineStr">
        <is>
          <t>2020-07-22</t>
        </is>
      </c>
      <c r="B3168" s="8" t="n">
        <v>7472</v>
      </c>
      <c r="C3168" s="8" t="n">
        <v>7471</v>
      </c>
      <c r="D3168" s="8" t="n">
        <v>7580</v>
      </c>
      <c r="E3168" s="8" t="n">
        <v>7471</v>
      </c>
      <c r="F3168" s="8" t="n">
        <v>537051</v>
      </c>
      <c r="G3168" s="8" t="n">
        <v>291405</v>
      </c>
      <c r="H3168" s="8" t="n">
        <v>6995</v>
      </c>
      <c r="I3168" s="8" t="n">
        <v>7085</v>
      </c>
      <c r="J3168" s="8" t="n">
        <v>7150</v>
      </c>
      <c r="K3168" s="8" t="n">
        <v>6975</v>
      </c>
      <c r="L3168" s="8" t="n">
        <v>349306</v>
      </c>
      <c r="M3168" s="8" t="n">
        <v>283472</v>
      </c>
      <c r="N3168" t="inlineStr">
        <is>
          <t>是</t>
        </is>
      </c>
    </row>
    <row r="3169">
      <c r="A3169" s="7" t="inlineStr">
        <is>
          <t>2020-07-23</t>
        </is>
      </c>
      <c r="B3169" s="8" t="n">
        <v>7491</v>
      </c>
      <c r="C3169" s="8" t="n">
        <v>7470</v>
      </c>
      <c r="D3169" s="8" t="n">
        <v>7515</v>
      </c>
      <c r="E3169" s="8" t="n">
        <v>7397</v>
      </c>
      <c r="F3169" s="8" t="n">
        <v>510108</v>
      </c>
      <c r="G3169" s="8" t="n">
        <v>295847</v>
      </c>
      <c r="H3169" s="8" t="n">
        <v>7025</v>
      </c>
      <c r="I3169" s="8" t="n">
        <v>6995</v>
      </c>
      <c r="J3169" s="8" t="n">
        <v>7040</v>
      </c>
      <c r="K3169" s="8" t="n">
        <v>6940</v>
      </c>
      <c r="L3169" s="8" t="n">
        <v>303700</v>
      </c>
      <c r="M3169" s="8" t="n">
        <v>271453</v>
      </c>
      <c r="N3169" t="inlineStr">
        <is>
          <t>是</t>
        </is>
      </c>
    </row>
    <row r="3170">
      <c r="A3170" s="7" t="inlineStr">
        <is>
          <t>2020-07-24</t>
        </is>
      </c>
      <c r="B3170" s="8" t="n">
        <v>7368</v>
      </c>
      <c r="C3170" s="8" t="n">
        <v>7483</v>
      </c>
      <c r="D3170" s="8" t="n">
        <v>7495</v>
      </c>
      <c r="E3170" s="8" t="n">
        <v>7350</v>
      </c>
      <c r="F3170" s="8" t="n">
        <v>499563</v>
      </c>
      <c r="G3170" s="8" t="n">
        <v>300757</v>
      </c>
      <c r="H3170" s="8" t="n">
        <v>6940</v>
      </c>
      <c r="I3170" s="8" t="n">
        <v>7005</v>
      </c>
      <c r="J3170" s="8" t="n">
        <v>7050</v>
      </c>
      <c r="K3170" s="8" t="n">
        <v>6905</v>
      </c>
      <c r="L3170" s="8" t="n">
        <v>271796</v>
      </c>
      <c r="M3170" s="8" t="n">
        <v>265178</v>
      </c>
      <c r="N3170" t="inlineStr">
        <is>
          <t>是</t>
        </is>
      </c>
    </row>
    <row r="3171">
      <c r="A3171" s="7" t="inlineStr">
        <is>
          <t>2020-07-27</t>
        </is>
      </c>
      <c r="B3171" s="8" t="n">
        <v>7528</v>
      </c>
      <c r="C3171" s="8" t="n">
        <v>7368</v>
      </c>
      <c r="D3171" s="8" t="n">
        <v>7535</v>
      </c>
      <c r="E3171" s="8" t="n">
        <v>7368</v>
      </c>
      <c r="F3171" s="8" t="n">
        <v>505281</v>
      </c>
      <c r="G3171" s="8" t="n">
        <v>295852</v>
      </c>
      <c r="H3171" s="8" t="n">
        <v>7050</v>
      </c>
      <c r="I3171" s="8" t="n">
        <v>6940</v>
      </c>
      <c r="J3171" s="8" t="n">
        <v>7085</v>
      </c>
      <c r="K3171" s="8" t="n">
        <v>6915</v>
      </c>
      <c r="L3171" s="8" t="n">
        <v>272318</v>
      </c>
      <c r="M3171" s="8" t="n">
        <v>253268</v>
      </c>
      <c r="N3171" t="inlineStr">
        <is>
          <t>是</t>
        </is>
      </c>
    </row>
    <row r="3172">
      <c r="A3172" s="7" t="inlineStr">
        <is>
          <t>2020-07-28</t>
        </is>
      </c>
      <c r="B3172" s="8" t="n">
        <v>7652</v>
      </c>
      <c r="C3172" s="8" t="n">
        <v>7536</v>
      </c>
      <c r="D3172" s="8" t="n">
        <v>7673</v>
      </c>
      <c r="E3172" s="8" t="n">
        <v>7528</v>
      </c>
      <c r="F3172" s="8" t="n">
        <v>546517</v>
      </c>
      <c r="G3172" s="8" t="n">
        <v>322309</v>
      </c>
      <c r="H3172" s="8" t="n">
        <v>7110</v>
      </c>
      <c r="I3172" s="8" t="n">
        <v>7055</v>
      </c>
      <c r="J3172" s="8" t="n">
        <v>7155</v>
      </c>
      <c r="K3172" s="8" t="n">
        <v>7025</v>
      </c>
      <c r="L3172" s="8" t="n">
        <v>245049</v>
      </c>
      <c r="M3172" s="8" t="n">
        <v>252008</v>
      </c>
      <c r="N3172" t="inlineStr">
        <is>
          <t>是</t>
        </is>
      </c>
    </row>
    <row r="3173">
      <c r="A3173" s="7" t="inlineStr">
        <is>
          <t>2020-07-29</t>
        </is>
      </c>
      <c r="B3173" s="8" t="n">
        <v>7623</v>
      </c>
      <c r="C3173" s="8" t="n">
        <v>7636</v>
      </c>
      <c r="D3173" s="8" t="n">
        <v>7673</v>
      </c>
      <c r="E3173" s="8" t="n">
        <v>7592</v>
      </c>
      <c r="F3173" s="8" t="n">
        <v>360067</v>
      </c>
      <c r="G3173" s="8" t="n">
        <v>304327</v>
      </c>
      <c r="H3173" s="8" t="n">
        <v>7095</v>
      </c>
      <c r="I3173" s="8" t="n">
        <v>7110</v>
      </c>
      <c r="J3173" s="8" t="n">
        <v>7175</v>
      </c>
      <c r="K3173" s="8" t="n">
        <v>7065</v>
      </c>
      <c r="L3173" s="8" t="n">
        <v>218083</v>
      </c>
      <c r="M3173" s="8" t="n">
        <v>244928</v>
      </c>
      <c r="N3173" t="inlineStr">
        <is>
          <t>是</t>
        </is>
      </c>
    </row>
    <row r="3174">
      <c r="A3174" s="7" t="inlineStr">
        <is>
          <t>2020-07-30</t>
        </is>
      </c>
      <c r="B3174" s="8" t="n">
        <v>7624</v>
      </c>
      <c r="C3174" s="8" t="n">
        <v>7628</v>
      </c>
      <c r="D3174" s="8" t="n">
        <v>7681</v>
      </c>
      <c r="E3174" s="8" t="n">
        <v>7600</v>
      </c>
      <c r="F3174" s="8" t="n">
        <v>371664</v>
      </c>
      <c r="G3174" s="8" t="n">
        <v>288964</v>
      </c>
      <c r="H3174" s="8" t="n">
        <v>7045</v>
      </c>
      <c r="I3174" s="8" t="n">
        <v>7105</v>
      </c>
      <c r="J3174" s="8" t="n">
        <v>7155</v>
      </c>
      <c r="K3174" s="8" t="n">
        <v>7035</v>
      </c>
      <c r="L3174" s="8" t="n">
        <v>224379</v>
      </c>
      <c r="M3174" s="8" t="n">
        <v>239017</v>
      </c>
      <c r="N3174" t="inlineStr">
        <is>
          <t>是</t>
        </is>
      </c>
    </row>
    <row r="3175">
      <c r="A3175" s="7" t="inlineStr">
        <is>
          <t>2020-07-31</t>
        </is>
      </c>
      <c r="B3175" s="8" t="n">
        <v>7635</v>
      </c>
      <c r="C3175" s="8" t="n">
        <v>7617</v>
      </c>
      <c r="D3175" s="8" t="n">
        <v>7650</v>
      </c>
      <c r="E3175" s="8" t="n">
        <v>7500</v>
      </c>
      <c r="F3175" s="8" t="n">
        <v>504763</v>
      </c>
      <c r="G3175" s="8" t="n">
        <v>271324</v>
      </c>
      <c r="H3175" s="8" t="n">
        <v>6985</v>
      </c>
      <c r="I3175" s="8" t="n">
        <v>7045</v>
      </c>
      <c r="J3175" s="8" t="n">
        <v>7055</v>
      </c>
      <c r="K3175" s="8" t="n">
        <v>6930</v>
      </c>
      <c r="L3175" s="8" t="n">
        <v>258032</v>
      </c>
      <c r="M3175" s="8" t="n">
        <v>238967</v>
      </c>
      <c r="N3175" t="inlineStr">
        <is>
          <t>是</t>
        </is>
      </c>
    </row>
    <row r="3176">
      <c r="A3176" s="7" t="inlineStr">
        <is>
          <t>2020-08-03</t>
        </is>
      </c>
      <c r="B3176" s="8" t="n">
        <v>7643</v>
      </c>
      <c r="C3176" s="8" t="n">
        <v>7635</v>
      </c>
      <c r="D3176" s="8" t="n">
        <v>7662</v>
      </c>
      <c r="E3176" s="8" t="n">
        <v>7553</v>
      </c>
      <c r="F3176" s="8" t="n">
        <v>406801</v>
      </c>
      <c r="G3176" s="8" t="n">
        <v>263512</v>
      </c>
      <c r="H3176" s="8" t="n">
        <v>7085</v>
      </c>
      <c r="I3176" s="8" t="n">
        <v>6980</v>
      </c>
      <c r="J3176" s="8" t="n">
        <v>7115</v>
      </c>
      <c r="K3176" s="8" t="n">
        <v>6965</v>
      </c>
      <c r="L3176" s="8" t="n">
        <v>228392</v>
      </c>
      <c r="M3176" s="8" t="n">
        <v>229952</v>
      </c>
      <c r="N3176" t="inlineStr">
        <is>
          <t>是</t>
        </is>
      </c>
    </row>
    <row r="3177">
      <c r="A3177" s="7" t="inlineStr">
        <is>
          <t>2020-08-04</t>
        </is>
      </c>
      <c r="B3177" s="8" t="n">
        <v>7763</v>
      </c>
      <c r="C3177" s="8" t="n">
        <v>7660</v>
      </c>
      <c r="D3177" s="8" t="n">
        <v>7796</v>
      </c>
      <c r="E3177" s="8" t="n">
        <v>7660</v>
      </c>
      <c r="F3177" s="8" t="n">
        <v>499964</v>
      </c>
      <c r="G3177" s="8" t="n">
        <v>287577</v>
      </c>
      <c r="H3177" s="8" t="n">
        <v>7190</v>
      </c>
      <c r="I3177" s="8" t="n">
        <v>7100</v>
      </c>
      <c r="J3177" s="8" t="n">
        <v>7225</v>
      </c>
      <c r="K3177" s="8" t="n">
        <v>7070</v>
      </c>
      <c r="L3177" s="8" t="n">
        <v>254709</v>
      </c>
      <c r="M3177" s="8" t="n">
        <v>230194</v>
      </c>
      <c r="N3177" t="inlineStr">
        <is>
          <t>是</t>
        </is>
      </c>
    </row>
    <row r="3178">
      <c r="A3178" s="7" t="inlineStr">
        <is>
          <t>2020-08-05</t>
        </is>
      </c>
      <c r="B3178" s="8" t="n">
        <v>7750</v>
      </c>
      <c r="C3178" s="8" t="n">
        <v>7735</v>
      </c>
      <c r="D3178" s="8" t="n">
        <v>7843</v>
      </c>
      <c r="E3178" s="8" t="n">
        <v>7726</v>
      </c>
      <c r="F3178" s="8" t="n">
        <v>465045</v>
      </c>
      <c r="G3178" s="8" t="n">
        <v>258884</v>
      </c>
      <c r="H3178" s="8" t="n">
        <v>7200</v>
      </c>
      <c r="I3178" s="8" t="n">
        <v>7165</v>
      </c>
      <c r="J3178" s="8" t="n">
        <v>7310</v>
      </c>
      <c r="K3178" s="8" t="n">
        <v>7135</v>
      </c>
      <c r="L3178" s="8" t="n">
        <v>337953</v>
      </c>
      <c r="M3178" s="8" t="n">
        <v>213271</v>
      </c>
      <c r="N3178" t="inlineStr">
        <is>
          <t>是</t>
        </is>
      </c>
    </row>
    <row r="3179">
      <c r="A3179" s="7" t="inlineStr">
        <is>
          <t>2020-08-06</t>
        </is>
      </c>
      <c r="B3179" s="8" t="n">
        <v>7727</v>
      </c>
      <c r="C3179" s="8" t="n">
        <v>7774</v>
      </c>
      <c r="D3179" s="8" t="n">
        <v>7814</v>
      </c>
      <c r="E3179" s="8" t="n">
        <v>7737</v>
      </c>
      <c r="F3179" s="8" t="n">
        <v>320263</v>
      </c>
      <c r="G3179" s="8" t="n">
        <v>242096</v>
      </c>
      <c r="H3179" s="8" t="n">
        <v>7180</v>
      </c>
      <c r="I3179" s="8" t="n">
        <v>7245</v>
      </c>
      <c r="J3179" s="8" t="n">
        <v>7245</v>
      </c>
      <c r="K3179" s="8" t="n">
        <v>7145</v>
      </c>
      <c r="L3179" s="8" t="n">
        <v>178942</v>
      </c>
      <c r="M3179" s="8" t="n">
        <v>202441</v>
      </c>
      <c r="N3179" t="inlineStr">
        <is>
          <t>是</t>
        </is>
      </c>
    </row>
    <row r="3180">
      <c r="A3180" s="7" t="inlineStr">
        <is>
          <t>2020-08-07</t>
        </is>
      </c>
      <c r="B3180" s="8" t="n">
        <v>7724</v>
      </c>
      <c r="C3180" s="8" t="n">
        <v>7729</v>
      </c>
      <c r="D3180" s="8" t="n">
        <v>7775</v>
      </c>
      <c r="E3180" s="8" t="n">
        <v>7633</v>
      </c>
      <c r="F3180" s="8" t="n">
        <v>370803</v>
      </c>
      <c r="G3180" s="8" t="n">
        <v>230119</v>
      </c>
      <c r="H3180" s="8" t="n">
        <v>7175</v>
      </c>
      <c r="I3180" s="8" t="n">
        <v>7195</v>
      </c>
      <c r="J3180" s="8" t="n">
        <v>7285</v>
      </c>
      <c r="K3180" s="8" t="n">
        <v>7120</v>
      </c>
      <c r="L3180" s="8" t="n">
        <v>237023</v>
      </c>
      <c r="M3180" s="8" t="n">
        <v>190346</v>
      </c>
      <c r="N3180" t="inlineStr">
        <is>
          <t>是</t>
        </is>
      </c>
    </row>
    <row r="3181">
      <c r="A3181" s="7" t="inlineStr">
        <is>
          <t>2020-08-10</t>
        </is>
      </c>
      <c r="B3181" s="8" t="n">
        <v>7663</v>
      </c>
      <c r="C3181" s="8" t="n">
        <v>7720</v>
      </c>
      <c r="D3181" s="8" t="n">
        <v>7758</v>
      </c>
      <c r="E3181" s="8" t="n">
        <v>7637</v>
      </c>
      <c r="F3181" s="8" t="n">
        <v>359197</v>
      </c>
      <c r="G3181" s="8" t="n">
        <v>211485</v>
      </c>
      <c r="H3181" s="8" t="n">
        <v>7070</v>
      </c>
      <c r="I3181" s="8" t="n">
        <v>7170</v>
      </c>
      <c r="J3181" s="8" t="n">
        <v>7175</v>
      </c>
      <c r="K3181" s="8" t="n">
        <v>7005</v>
      </c>
      <c r="L3181" s="8" t="n">
        <v>222978</v>
      </c>
      <c r="M3181" s="8" t="n">
        <v>175929</v>
      </c>
      <c r="N3181" t="inlineStr">
        <is>
          <t>是</t>
        </is>
      </c>
    </row>
    <row r="3182">
      <c r="A3182" s="7" t="inlineStr">
        <is>
          <t>2020-08-11</t>
        </is>
      </c>
      <c r="B3182" s="8" t="n">
        <v>7673</v>
      </c>
      <c r="C3182" s="8" t="n">
        <v>7660</v>
      </c>
      <c r="D3182" s="8" t="n">
        <v>7760</v>
      </c>
      <c r="E3182" s="8" t="n">
        <v>7627</v>
      </c>
      <c r="F3182" s="8" t="n">
        <v>361173</v>
      </c>
      <c r="G3182" s="8" t="n">
        <v>194846</v>
      </c>
      <c r="H3182" s="8" t="n">
        <v>7055</v>
      </c>
      <c r="I3182" s="8" t="n">
        <v>7085</v>
      </c>
      <c r="J3182" s="8" t="n">
        <v>7105</v>
      </c>
      <c r="K3182" s="8" t="n">
        <v>7035</v>
      </c>
      <c r="L3182" s="8" t="n">
        <v>138000</v>
      </c>
      <c r="M3182" s="8" t="n">
        <v>155064</v>
      </c>
      <c r="N3182" t="inlineStr">
        <is>
          <t>是</t>
        </is>
      </c>
    </row>
    <row r="3183">
      <c r="A3183" s="7" t="inlineStr">
        <is>
          <t>2020-08-12</t>
        </is>
      </c>
      <c r="B3183" s="8" t="n">
        <v>7598</v>
      </c>
      <c r="C3183" s="8" t="n">
        <v>7693</v>
      </c>
      <c r="D3183" s="8" t="n">
        <v>7704</v>
      </c>
      <c r="E3183" s="8" t="n">
        <v>7560</v>
      </c>
      <c r="F3183" s="8" t="n">
        <v>358922</v>
      </c>
      <c r="G3183" s="8" t="n">
        <v>173876</v>
      </c>
      <c r="H3183" s="8" t="n">
        <v>7025</v>
      </c>
      <c r="I3183" s="8" t="n">
        <v>7060</v>
      </c>
      <c r="J3183" s="8" t="n">
        <v>7100</v>
      </c>
      <c r="K3183" s="8" t="n">
        <v>6990</v>
      </c>
      <c r="L3183" s="8" t="n">
        <v>199259</v>
      </c>
      <c r="M3183" s="8" t="n">
        <v>138254</v>
      </c>
      <c r="N3183" t="inlineStr">
        <is>
          <t>是</t>
        </is>
      </c>
    </row>
    <row r="3184">
      <c r="A3184" s="7" t="inlineStr">
        <is>
          <t>2020-08-13</t>
        </is>
      </c>
      <c r="B3184" s="8" t="n">
        <v>7560</v>
      </c>
      <c r="C3184" s="8" t="n">
        <v>7622</v>
      </c>
      <c r="D3184" s="8" t="n">
        <v>7659</v>
      </c>
      <c r="E3184" s="8" t="n">
        <v>7529</v>
      </c>
      <c r="F3184" s="8" t="n">
        <v>335296</v>
      </c>
      <c r="G3184" s="8" t="n">
        <v>158738</v>
      </c>
      <c r="H3184" s="8" t="n">
        <v>6990</v>
      </c>
      <c r="I3184" s="8" t="n">
        <v>7025</v>
      </c>
      <c r="J3184" s="8" t="n">
        <v>7060</v>
      </c>
      <c r="K3184" s="8" t="n">
        <v>6935</v>
      </c>
      <c r="L3184" s="8" t="n">
        <v>139694</v>
      </c>
      <c r="M3184" s="8" t="n">
        <v>125648</v>
      </c>
      <c r="N3184" t="inlineStr">
        <is>
          <t>是</t>
        </is>
      </c>
    </row>
    <row r="3185">
      <c r="A3185" s="7" t="inlineStr">
        <is>
          <t>2020-08-14</t>
        </is>
      </c>
      <c r="B3185" s="8" t="n">
        <v>7607</v>
      </c>
      <c r="C3185" s="8" t="n">
        <v>7573</v>
      </c>
      <c r="D3185" s="8" t="n">
        <v>7666</v>
      </c>
      <c r="E3185" s="8" t="n">
        <v>7553</v>
      </c>
      <c r="F3185" s="8" t="n">
        <v>304087</v>
      </c>
      <c r="G3185" s="8" t="n">
        <v>141920</v>
      </c>
      <c r="H3185" s="8" t="n">
        <v>7035</v>
      </c>
      <c r="I3185" s="8" t="n">
        <v>6990</v>
      </c>
      <c r="J3185" s="8" t="n">
        <v>7085</v>
      </c>
      <c r="K3185" s="8" t="n">
        <v>6960</v>
      </c>
      <c r="L3185" s="8" t="n">
        <v>135504</v>
      </c>
      <c r="M3185" s="8" t="n">
        <v>114540</v>
      </c>
      <c r="N3185" t="inlineStr">
        <is>
          <t>是</t>
        </is>
      </c>
    </row>
    <row r="3186">
      <c r="A3186" s="7" t="inlineStr">
        <is>
          <t>2020-08-17</t>
        </is>
      </c>
      <c r="B3186" s="8" t="n">
        <v>7635</v>
      </c>
      <c r="C3186" s="8" t="n">
        <v>7599</v>
      </c>
      <c r="D3186" s="8" t="n">
        <v>7637</v>
      </c>
      <c r="E3186" s="8" t="n">
        <v>7544</v>
      </c>
      <c r="F3186" s="8" t="n">
        <v>259869</v>
      </c>
      <c r="G3186" s="8" t="n">
        <v>134480</v>
      </c>
      <c r="H3186" s="8" t="n">
        <v>7085</v>
      </c>
      <c r="I3186" s="8" t="n">
        <v>7020</v>
      </c>
      <c r="J3186" s="8" t="n">
        <v>7120</v>
      </c>
      <c r="K3186" s="8" t="n">
        <v>7000</v>
      </c>
      <c r="L3186" s="8" t="n">
        <v>150302</v>
      </c>
      <c r="M3186" s="8" t="n">
        <v>105596</v>
      </c>
      <c r="N3186" t="inlineStr">
        <is>
          <t>是</t>
        </is>
      </c>
    </row>
    <row r="3187">
      <c r="A3187" s="7" t="inlineStr">
        <is>
          <t>2020-08-18</t>
        </is>
      </c>
      <c r="B3187" s="8" t="n">
        <v>7740</v>
      </c>
      <c r="C3187" s="8" t="n">
        <v>7635</v>
      </c>
      <c r="D3187" s="8" t="n">
        <v>7757</v>
      </c>
      <c r="E3187" s="8" t="n">
        <v>7620</v>
      </c>
      <c r="F3187" s="8" t="n">
        <v>260426</v>
      </c>
      <c r="G3187" s="8" t="n">
        <v>135253</v>
      </c>
      <c r="H3187" s="8" t="n">
        <v>7175</v>
      </c>
      <c r="I3187" s="8" t="n">
        <v>7060</v>
      </c>
      <c r="J3187" s="8" t="n">
        <v>7195</v>
      </c>
      <c r="K3187" s="8" t="n">
        <v>7055</v>
      </c>
      <c r="L3187" s="8" t="n">
        <v>124502</v>
      </c>
      <c r="M3187" s="8" t="n">
        <v>91473</v>
      </c>
      <c r="N3187" t="inlineStr">
        <is>
          <t>是</t>
        </is>
      </c>
    </row>
    <row r="3188">
      <c r="A3188" s="7" t="inlineStr">
        <is>
          <t>2020-08-19</t>
        </is>
      </c>
      <c r="B3188" s="8" t="n">
        <v>7692</v>
      </c>
      <c r="C3188" s="8" t="n">
        <v>7725</v>
      </c>
      <c r="D3188" s="8" t="n">
        <v>7757</v>
      </c>
      <c r="E3188" s="8" t="n">
        <v>7670</v>
      </c>
      <c r="F3188" s="8" t="n">
        <v>154037</v>
      </c>
      <c r="G3188" s="8" t="n">
        <v>113387</v>
      </c>
      <c r="H3188" s="8" t="n">
        <v>7140</v>
      </c>
      <c r="I3188" s="8" t="n">
        <v>7180</v>
      </c>
      <c r="J3188" s="8" t="n">
        <v>7195</v>
      </c>
      <c r="K3188" s="8" t="n">
        <v>7095</v>
      </c>
      <c r="L3188" s="8" t="n">
        <v>190061</v>
      </c>
      <c r="M3188" s="8" t="n">
        <v>253148</v>
      </c>
      <c r="N3188" t="inlineStr">
        <is>
          <t>是</t>
        </is>
      </c>
    </row>
    <row r="3189">
      <c r="A3189" s="7" t="inlineStr">
        <is>
          <t>2020-08-20</t>
        </is>
      </c>
      <c r="B3189" s="8" t="n">
        <v>7710</v>
      </c>
      <c r="C3189" s="8" t="n">
        <v>7611</v>
      </c>
      <c r="D3189" s="8" t="n">
        <v>7726</v>
      </c>
      <c r="E3189" s="8" t="n">
        <v>7596</v>
      </c>
      <c r="F3189" s="8" t="n">
        <v>342744</v>
      </c>
      <c r="G3189" s="8" t="n">
        <v>282865</v>
      </c>
      <c r="H3189" s="8" t="n">
        <v>7250</v>
      </c>
      <c r="I3189" s="8" t="n">
        <v>7140</v>
      </c>
      <c r="J3189" s="8" t="n">
        <v>7285</v>
      </c>
      <c r="K3189" s="8" t="n">
        <v>7115</v>
      </c>
      <c r="L3189" s="8" t="n">
        <v>294948</v>
      </c>
      <c r="M3189" s="8" t="n">
        <v>288345</v>
      </c>
      <c r="N3189" t="inlineStr">
        <is>
          <t>是</t>
        </is>
      </c>
    </row>
    <row r="3190">
      <c r="A3190" s="7" t="inlineStr">
        <is>
          <t>2020-08-21</t>
        </is>
      </c>
      <c r="B3190" s="8" t="n">
        <v>7603</v>
      </c>
      <c r="C3190" s="8" t="n">
        <v>7710</v>
      </c>
      <c r="D3190" s="8" t="n">
        <v>7715</v>
      </c>
      <c r="E3190" s="8" t="n">
        <v>7552</v>
      </c>
      <c r="F3190" s="8" t="n">
        <v>394746</v>
      </c>
      <c r="G3190" s="8" t="n">
        <v>248705</v>
      </c>
      <c r="H3190" s="8" t="n">
        <v>7155</v>
      </c>
      <c r="I3190" s="8" t="n">
        <v>7250</v>
      </c>
      <c r="J3190" s="8" t="n">
        <v>7250</v>
      </c>
      <c r="K3190" s="8" t="n">
        <v>7110</v>
      </c>
      <c r="L3190" s="8" t="n">
        <v>219721</v>
      </c>
      <c r="M3190" s="8" t="n">
        <v>272953</v>
      </c>
      <c r="N3190" t="inlineStr">
        <is>
          <t>是</t>
        </is>
      </c>
    </row>
    <row r="3191">
      <c r="A3191" s="7" t="inlineStr">
        <is>
          <t>2020-08-24</t>
        </is>
      </c>
      <c r="B3191" s="8" t="n">
        <v>7632</v>
      </c>
      <c r="C3191" s="8" t="n">
        <v>7599</v>
      </c>
      <c r="D3191" s="8" t="n">
        <v>7681</v>
      </c>
      <c r="E3191" s="8" t="n">
        <v>7587</v>
      </c>
      <c r="F3191" s="8" t="n">
        <v>281781</v>
      </c>
      <c r="G3191" s="8" t="n">
        <v>264177</v>
      </c>
      <c r="H3191" s="8" t="n">
        <v>7130</v>
      </c>
      <c r="I3191" s="8" t="n">
        <v>7155</v>
      </c>
      <c r="J3191" s="8" t="n">
        <v>7175</v>
      </c>
      <c r="K3191" s="8" t="n">
        <v>7115</v>
      </c>
      <c r="L3191" s="8" t="n">
        <v>136511</v>
      </c>
      <c r="M3191" s="8" t="n">
        <v>274421</v>
      </c>
      <c r="N3191" t="inlineStr">
        <is>
          <t>是</t>
        </is>
      </c>
    </row>
    <row r="3192">
      <c r="A3192" s="7" t="inlineStr">
        <is>
          <t>2020-08-25</t>
        </is>
      </c>
      <c r="B3192" s="8" t="n">
        <v>7759</v>
      </c>
      <c r="C3192" s="8" t="n">
        <v>7648</v>
      </c>
      <c r="D3192" s="8" t="n">
        <v>7777</v>
      </c>
      <c r="E3192" s="8" t="n">
        <v>7639</v>
      </c>
      <c r="F3192" s="8" t="n">
        <v>366797</v>
      </c>
      <c r="G3192" s="8" t="n">
        <v>317182</v>
      </c>
      <c r="H3192" s="8" t="n">
        <v>7260</v>
      </c>
      <c r="I3192" s="8" t="n">
        <v>7145</v>
      </c>
      <c r="J3192" s="8" t="n">
        <v>7270</v>
      </c>
      <c r="K3192" s="8" t="n">
        <v>7140</v>
      </c>
      <c r="L3192" s="8" t="n">
        <v>194109</v>
      </c>
      <c r="M3192" s="8" t="n">
        <v>286682</v>
      </c>
      <c r="N3192" t="inlineStr">
        <is>
          <t>是</t>
        </is>
      </c>
    </row>
    <row r="3193">
      <c r="A3193" s="7" t="inlineStr">
        <is>
          <t>2020-08-26</t>
        </is>
      </c>
      <c r="B3193" s="8" t="n">
        <v>7739</v>
      </c>
      <c r="C3193" s="8" t="n">
        <v>7769</v>
      </c>
      <c r="D3193" s="8" t="n">
        <v>7807</v>
      </c>
      <c r="E3193" s="8" t="n">
        <v>7722</v>
      </c>
      <c r="F3193" s="8" t="n">
        <v>342966</v>
      </c>
      <c r="G3193" s="8" t="n">
        <v>308221</v>
      </c>
      <c r="H3193" s="8" t="n">
        <v>7250</v>
      </c>
      <c r="I3193" s="8" t="n">
        <v>7250</v>
      </c>
      <c r="J3193" s="8" t="n">
        <v>7335</v>
      </c>
      <c r="K3193" s="8" t="n">
        <v>7215</v>
      </c>
      <c r="L3193" s="8" t="n">
        <v>205651</v>
      </c>
      <c r="M3193" s="8" t="n">
        <v>291170</v>
      </c>
      <c r="N3193" t="inlineStr">
        <is>
          <t>是</t>
        </is>
      </c>
    </row>
    <row r="3194">
      <c r="A3194" s="7" t="inlineStr">
        <is>
          <t>2020-08-27</t>
        </is>
      </c>
      <c r="B3194" s="8" t="n">
        <v>7816</v>
      </c>
      <c r="C3194" s="8" t="n">
        <v>7740</v>
      </c>
      <c r="D3194" s="8" t="n">
        <v>7820</v>
      </c>
      <c r="E3194" s="8" t="n">
        <v>7730</v>
      </c>
      <c r="F3194" s="8" t="n">
        <v>370935</v>
      </c>
      <c r="G3194" s="8" t="n">
        <v>336310</v>
      </c>
      <c r="H3194" s="8" t="n">
        <v>7365</v>
      </c>
      <c r="I3194" s="8" t="n">
        <v>7260</v>
      </c>
      <c r="J3194" s="8" t="n">
        <v>7380</v>
      </c>
      <c r="K3194" s="8" t="n">
        <v>7255</v>
      </c>
      <c r="L3194" s="8" t="n">
        <v>243125</v>
      </c>
      <c r="M3194" s="8" t="n">
        <v>312735</v>
      </c>
      <c r="N3194" t="inlineStr">
        <is>
          <t>是</t>
        </is>
      </c>
    </row>
    <row r="3195">
      <c r="A3195" s="7" t="inlineStr">
        <is>
          <t>2020-08-28</t>
        </is>
      </c>
      <c r="B3195" s="8" t="n">
        <v>7809</v>
      </c>
      <c r="C3195" s="8" t="n">
        <v>7815</v>
      </c>
      <c r="D3195" s="8" t="n">
        <v>7828</v>
      </c>
      <c r="E3195" s="8" t="n">
        <v>7746</v>
      </c>
      <c r="F3195" s="8" t="n">
        <v>313374</v>
      </c>
      <c r="G3195" s="8" t="n">
        <v>322411</v>
      </c>
      <c r="H3195" s="8" t="n">
        <v>7335</v>
      </c>
      <c r="I3195" s="8" t="n">
        <v>7365</v>
      </c>
      <c r="J3195" s="8" t="n">
        <v>7385</v>
      </c>
      <c r="K3195" s="8" t="n">
        <v>7280</v>
      </c>
      <c r="L3195" s="8" t="n">
        <v>170551</v>
      </c>
      <c r="M3195" s="8" t="n">
        <v>301692</v>
      </c>
      <c r="N3195" t="inlineStr">
        <is>
          <t>是</t>
        </is>
      </c>
    </row>
    <row r="3196">
      <c r="A3196" s="7" t="inlineStr">
        <is>
          <t>2020-08-31</t>
        </is>
      </c>
      <c r="B3196" s="8" t="n">
        <v>7929</v>
      </c>
      <c r="C3196" s="8" t="n">
        <v>7809</v>
      </c>
      <c r="D3196" s="8" t="n">
        <v>8018</v>
      </c>
      <c r="E3196" s="8" t="n">
        <v>7800</v>
      </c>
      <c r="F3196" s="8" t="n">
        <v>442523</v>
      </c>
      <c r="G3196" s="8" t="n">
        <v>325154</v>
      </c>
      <c r="H3196" s="8" t="n">
        <v>7465</v>
      </c>
      <c r="I3196" s="8" t="n">
        <v>7335</v>
      </c>
      <c r="J3196" s="8" t="n">
        <v>7520</v>
      </c>
      <c r="K3196" s="8" t="n">
        <v>7330</v>
      </c>
      <c r="L3196" s="8" t="n">
        <v>276487</v>
      </c>
      <c r="M3196" s="8" t="n">
        <v>301943</v>
      </c>
      <c r="N3196" t="inlineStr">
        <is>
          <t>是</t>
        </is>
      </c>
    </row>
    <row r="3197">
      <c r="A3197" s="7" t="inlineStr">
        <is>
          <t>2020-09-01</t>
        </is>
      </c>
      <c r="B3197" s="8" t="n">
        <v>7925</v>
      </c>
      <c r="C3197" s="8" t="n">
        <v>7929</v>
      </c>
      <c r="D3197" s="8" t="n">
        <v>7954</v>
      </c>
      <c r="E3197" s="8" t="n">
        <v>7887</v>
      </c>
      <c r="F3197" s="8" t="n">
        <v>277537</v>
      </c>
      <c r="G3197" s="8" t="n">
        <v>316209</v>
      </c>
      <c r="H3197" s="8" t="n">
        <v>7480</v>
      </c>
      <c r="I3197" s="8" t="n">
        <v>7475</v>
      </c>
      <c r="J3197" s="8" t="n">
        <v>7500</v>
      </c>
      <c r="K3197" s="8" t="n">
        <v>7420</v>
      </c>
      <c r="L3197" s="8" t="n">
        <v>168014</v>
      </c>
      <c r="M3197" s="8" t="n">
        <v>297644</v>
      </c>
      <c r="N3197" t="inlineStr">
        <is>
          <t>是</t>
        </is>
      </c>
    </row>
    <row r="3198">
      <c r="A3198" s="7" t="inlineStr">
        <is>
          <t>2020-09-02</t>
        </is>
      </c>
      <c r="B3198" s="8" t="n">
        <v>8060</v>
      </c>
      <c r="C3198" s="8" t="n">
        <v>7917</v>
      </c>
      <c r="D3198" s="8" t="n">
        <v>8153</v>
      </c>
      <c r="E3198" s="8" t="n">
        <v>7907</v>
      </c>
      <c r="F3198" s="8" t="n">
        <v>600663</v>
      </c>
      <c r="G3198" s="8" t="n">
        <v>337843</v>
      </c>
      <c r="H3198" s="8" t="n">
        <v>7650</v>
      </c>
      <c r="I3198" s="8" t="n">
        <v>7485</v>
      </c>
      <c r="J3198" s="8" t="n">
        <v>7785</v>
      </c>
      <c r="K3198" s="8" t="n">
        <v>7480</v>
      </c>
      <c r="L3198" s="8" t="n">
        <v>462035</v>
      </c>
      <c r="M3198" s="8" t="n">
        <v>324368</v>
      </c>
      <c r="N3198" t="inlineStr">
        <is>
          <t>是</t>
        </is>
      </c>
    </row>
    <row r="3199">
      <c r="A3199" s="7" t="inlineStr">
        <is>
          <t>2020-09-03</t>
        </is>
      </c>
      <c r="B3199" s="8" t="n">
        <v>8032</v>
      </c>
      <c r="C3199" s="8" t="n">
        <v>8060</v>
      </c>
      <c r="D3199" s="8" t="n">
        <v>8084</v>
      </c>
      <c r="E3199" s="8" t="n">
        <v>8001</v>
      </c>
      <c r="F3199" s="8" t="n">
        <v>347285</v>
      </c>
      <c r="G3199" s="8" t="n">
        <v>337864</v>
      </c>
      <c r="H3199" s="8" t="n">
        <v>7640</v>
      </c>
      <c r="I3199" s="8" t="n">
        <v>7635</v>
      </c>
      <c r="J3199" s="8" t="n">
        <v>7690</v>
      </c>
      <c r="K3199" s="8" t="n">
        <v>7580</v>
      </c>
      <c r="L3199" s="8" t="n">
        <v>252788</v>
      </c>
      <c r="M3199" s="8" t="n">
        <v>318669</v>
      </c>
      <c r="N3199" t="inlineStr">
        <is>
          <t>是</t>
        </is>
      </c>
    </row>
    <row r="3200">
      <c r="A3200" s="7" t="inlineStr">
        <is>
          <t>2020-09-04</t>
        </is>
      </c>
      <c r="B3200" s="8" t="n">
        <v>7968</v>
      </c>
      <c r="C3200" s="8" t="n">
        <v>8026</v>
      </c>
      <c r="D3200" s="8" t="n">
        <v>8056</v>
      </c>
      <c r="E3200" s="8" t="n">
        <v>7887</v>
      </c>
      <c r="F3200" s="8" t="n">
        <v>492221</v>
      </c>
      <c r="G3200" s="8" t="n">
        <v>322155</v>
      </c>
      <c r="H3200" s="8" t="n">
        <v>7655</v>
      </c>
      <c r="I3200" s="8" t="n">
        <v>7640</v>
      </c>
      <c r="J3200" s="8" t="n">
        <v>7745</v>
      </c>
      <c r="K3200" s="8" t="n">
        <v>7565</v>
      </c>
      <c r="L3200" s="8" t="n">
        <v>438442</v>
      </c>
      <c r="M3200" s="8" t="n">
        <v>325822</v>
      </c>
      <c r="N3200" t="inlineStr">
        <is>
          <t>是</t>
        </is>
      </c>
    </row>
    <row r="3201">
      <c r="A3201" s="7" t="inlineStr">
        <is>
          <t>2020-09-07</t>
        </is>
      </c>
      <c r="B3201" s="8" t="n">
        <v>7879</v>
      </c>
      <c r="C3201" s="8" t="n">
        <v>7970</v>
      </c>
      <c r="D3201" s="8" t="n">
        <v>7985</v>
      </c>
      <c r="E3201" s="8" t="n">
        <v>7843</v>
      </c>
      <c r="F3201" s="8" t="n">
        <v>456673</v>
      </c>
      <c r="G3201" s="8" t="n">
        <v>303735</v>
      </c>
      <c r="H3201" s="8" t="n">
        <v>7590</v>
      </c>
      <c r="I3201" s="8" t="n">
        <v>7680</v>
      </c>
      <c r="J3201" s="8" t="n">
        <v>7685</v>
      </c>
      <c r="K3201" s="8" t="n">
        <v>7570</v>
      </c>
      <c r="L3201" s="8" t="n">
        <v>248104</v>
      </c>
      <c r="M3201" s="8" t="n">
        <v>309245</v>
      </c>
      <c r="N3201" t="inlineStr">
        <is>
          <t>是</t>
        </is>
      </c>
    </row>
    <row r="3202">
      <c r="A3202" s="7" t="inlineStr">
        <is>
          <t>2020-09-08</t>
        </is>
      </c>
      <c r="B3202" s="8" t="n">
        <v>7852</v>
      </c>
      <c r="C3202" s="8" t="n">
        <v>7890</v>
      </c>
      <c r="D3202" s="8" t="n">
        <v>7950</v>
      </c>
      <c r="E3202" s="8" t="n">
        <v>7828</v>
      </c>
      <c r="F3202" s="8" t="n">
        <v>411977</v>
      </c>
      <c r="G3202" s="8" t="n">
        <v>301733</v>
      </c>
      <c r="H3202" s="8" t="n">
        <v>7565</v>
      </c>
      <c r="I3202" s="8" t="n">
        <v>7580</v>
      </c>
      <c r="J3202" s="8" t="n">
        <v>7690</v>
      </c>
      <c r="K3202" s="8" t="n">
        <v>7550</v>
      </c>
      <c r="L3202" s="8" t="n">
        <v>301068</v>
      </c>
      <c r="M3202" s="8" t="n">
        <v>312944</v>
      </c>
      <c r="N3202" t="inlineStr">
        <is>
          <t>是</t>
        </is>
      </c>
    </row>
    <row r="3203">
      <c r="A3203" s="7" t="inlineStr">
        <is>
          <t>2020-09-09</t>
        </is>
      </c>
      <c r="B3203" s="8" t="n">
        <v>7761</v>
      </c>
      <c r="C3203" s="8" t="n">
        <v>7806</v>
      </c>
      <c r="D3203" s="8" t="n">
        <v>7816</v>
      </c>
      <c r="E3203" s="8" t="n">
        <v>7663</v>
      </c>
      <c r="F3203" s="8" t="n">
        <v>555988</v>
      </c>
      <c r="G3203" s="8" t="n">
        <v>303766</v>
      </c>
      <c r="H3203" s="8" t="n">
        <v>7510</v>
      </c>
      <c r="I3203" s="8" t="n">
        <v>7535</v>
      </c>
      <c r="J3203" s="8" t="n">
        <v>7565</v>
      </c>
      <c r="K3203" s="8" t="n">
        <v>7380</v>
      </c>
      <c r="L3203" s="8" t="n">
        <v>374103</v>
      </c>
      <c r="M3203" s="8" t="n">
        <v>305976</v>
      </c>
      <c r="N3203" t="inlineStr">
        <is>
          <t>是</t>
        </is>
      </c>
    </row>
    <row r="3204">
      <c r="A3204" s="7" t="inlineStr">
        <is>
          <t>2020-09-10</t>
        </is>
      </c>
      <c r="B3204" s="8" t="n">
        <v>7723</v>
      </c>
      <c r="C3204" s="8" t="n">
        <v>7777</v>
      </c>
      <c r="D3204" s="8" t="n">
        <v>7825</v>
      </c>
      <c r="E3204" s="8" t="n">
        <v>7707</v>
      </c>
      <c r="F3204" s="8" t="n">
        <v>414741</v>
      </c>
      <c r="G3204" s="8" t="n">
        <v>298527</v>
      </c>
      <c r="H3204" s="8" t="n">
        <v>7435</v>
      </c>
      <c r="I3204" s="8" t="n">
        <v>7535</v>
      </c>
      <c r="J3204" s="8" t="n">
        <v>7550</v>
      </c>
      <c r="K3204" s="8" t="n">
        <v>7405</v>
      </c>
      <c r="L3204" s="8" t="n">
        <v>261123</v>
      </c>
      <c r="M3204" s="8" t="n">
        <v>287777</v>
      </c>
      <c r="N3204" t="inlineStr">
        <is>
          <t>是</t>
        </is>
      </c>
    </row>
    <row r="3205">
      <c r="A3205" s="7" t="inlineStr">
        <is>
          <t>2020-09-11</t>
        </is>
      </c>
      <c r="B3205" s="8" t="n">
        <v>7725</v>
      </c>
      <c r="C3205" s="8" t="n">
        <v>7723</v>
      </c>
      <c r="D3205" s="8" t="n">
        <v>7735</v>
      </c>
      <c r="E3205" s="8" t="n">
        <v>7618</v>
      </c>
      <c r="F3205" s="8" t="n">
        <v>507017</v>
      </c>
      <c r="G3205" s="8" t="n">
        <v>302697</v>
      </c>
      <c r="H3205" s="8" t="n">
        <v>7415</v>
      </c>
      <c r="I3205" s="8" t="n">
        <v>7420</v>
      </c>
      <c r="J3205" s="8" t="n">
        <v>7435</v>
      </c>
      <c r="K3205" s="8" t="n">
        <v>7300</v>
      </c>
      <c r="L3205" s="8" t="n">
        <v>284259</v>
      </c>
      <c r="M3205" s="8" t="n">
        <v>272103</v>
      </c>
      <c r="N3205" t="inlineStr">
        <is>
          <t>是</t>
        </is>
      </c>
    </row>
    <row r="3206">
      <c r="A3206" s="7" t="inlineStr">
        <is>
          <t>2020-09-14</t>
        </is>
      </c>
      <c r="B3206" s="8" t="n">
        <v>7698</v>
      </c>
      <c r="C3206" s="8" t="n">
        <v>7720</v>
      </c>
      <c r="D3206" s="8" t="n">
        <v>7745</v>
      </c>
      <c r="E3206" s="8" t="n">
        <v>7675</v>
      </c>
      <c r="F3206" s="8" t="n">
        <v>359323</v>
      </c>
      <c r="G3206" s="8" t="n">
        <v>301545</v>
      </c>
      <c r="H3206" s="8" t="n">
        <v>7405</v>
      </c>
      <c r="I3206" s="8" t="n">
        <v>7390</v>
      </c>
      <c r="J3206" s="8" t="n">
        <v>7455</v>
      </c>
      <c r="K3206" s="8" t="n">
        <v>7375</v>
      </c>
      <c r="L3206" s="8" t="n">
        <v>211981</v>
      </c>
      <c r="M3206" s="8" t="n">
        <v>270249</v>
      </c>
      <c r="N3206" t="inlineStr">
        <is>
          <t>是</t>
        </is>
      </c>
    </row>
    <row r="3207">
      <c r="A3207" s="7" t="inlineStr">
        <is>
          <t>2020-09-15</t>
        </is>
      </c>
      <c r="B3207" s="8" t="n">
        <v>7666</v>
      </c>
      <c r="C3207" s="8" t="n">
        <v>7690</v>
      </c>
      <c r="D3207" s="8" t="n">
        <v>7786</v>
      </c>
      <c r="E3207" s="8" t="n">
        <v>7662</v>
      </c>
      <c r="F3207" s="8" t="n">
        <v>531129</v>
      </c>
      <c r="G3207" s="8" t="n">
        <v>316491</v>
      </c>
      <c r="H3207" s="8" t="n">
        <v>7360</v>
      </c>
      <c r="I3207" s="8" t="n">
        <v>7405</v>
      </c>
      <c r="J3207" s="8" t="n">
        <v>7440</v>
      </c>
      <c r="K3207" s="8" t="n">
        <v>7330</v>
      </c>
      <c r="L3207" s="8" t="n">
        <v>255220</v>
      </c>
      <c r="M3207" s="8" t="n">
        <v>267167</v>
      </c>
      <c r="N3207" t="inlineStr">
        <is>
          <t>是</t>
        </is>
      </c>
    </row>
    <row r="3208">
      <c r="A3208" s="7" t="inlineStr">
        <is>
          <t>2020-09-16</t>
        </is>
      </c>
      <c r="B3208" s="8" t="n">
        <v>7773</v>
      </c>
      <c r="C3208" s="8" t="n">
        <v>7710</v>
      </c>
      <c r="D3208" s="8" t="n">
        <v>7795</v>
      </c>
      <c r="E3208" s="8" t="n">
        <v>7643</v>
      </c>
      <c r="F3208" s="8" t="n">
        <v>549198</v>
      </c>
      <c r="G3208" s="8" t="n">
        <v>327233</v>
      </c>
      <c r="H3208" s="8" t="n">
        <v>7430</v>
      </c>
      <c r="I3208" s="8" t="n">
        <v>7360</v>
      </c>
      <c r="J3208" s="8" t="n">
        <v>7450</v>
      </c>
      <c r="K3208" s="8" t="n">
        <v>7305</v>
      </c>
      <c r="L3208" s="8" t="n">
        <v>232321</v>
      </c>
      <c r="M3208" s="8" t="n">
        <v>266645</v>
      </c>
      <c r="N3208" t="inlineStr">
        <is>
          <t>是</t>
        </is>
      </c>
    </row>
    <row r="3209">
      <c r="A3209" s="7" t="inlineStr">
        <is>
          <t>2020-09-17</t>
        </is>
      </c>
      <c r="B3209" s="8" t="n">
        <v>7660</v>
      </c>
      <c r="C3209" s="8" t="n">
        <v>7788</v>
      </c>
      <c r="D3209" s="8" t="n">
        <v>7818</v>
      </c>
      <c r="E3209" s="8" t="n">
        <v>7638</v>
      </c>
      <c r="F3209" s="8" t="n">
        <v>504770</v>
      </c>
      <c r="G3209" s="8" t="n">
        <v>326828</v>
      </c>
      <c r="H3209" s="8" t="n">
        <v>7305</v>
      </c>
      <c r="I3209" s="8" t="n">
        <v>7425</v>
      </c>
      <c r="J3209" s="8" t="n">
        <v>7480</v>
      </c>
      <c r="K3209" s="8" t="n">
        <v>7275</v>
      </c>
      <c r="L3209" s="8" t="n">
        <v>312648</v>
      </c>
      <c r="M3209" s="8" t="n">
        <v>267763</v>
      </c>
      <c r="N3209" t="inlineStr">
        <is>
          <t>是</t>
        </is>
      </c>
    </row>
    <row r="3210">
      <c r="A3210" s="7" t="inlineStr">
        <is>
          <t>2020-09-18</t>
        </is>
      </c>
      <c r="B3210" s="8" t="n">
        <v>7747</v>
      </c>
      <c r="C3210" s="8" t="n">
        <v>7677</v>
      </c>
      <c r="D3210" s="8" t="n">
        <v>7774</v>
      </c>
      <c r="E3210" s="8" t="n">
        <v>7665</v>
      </c>
      <c r="F3210" s="8" t="n">
        <v>403070</v>
      </c>
      <c r="G3210" s="8" t="n">
        <v>306769</v>
      </c>
      <c r="H3210" s="8" t="n">
        <v>7385</v>
      </c>
      <c r="I3210" s="8" t="n">
        <v>7315</v>
      </c>
      <c r="J3210" s="8" t="n">
        <v>7420</v>
      </c>
      <c r="K3210" s="8" t="n">
        <v>7300</v>
      </c>
      <c r="L3210" s="8" t="n">
        <v>217419</v>
      </c>
      <c r="M3210" s="8" t="n">
        <v>255320</v>
      </c>
      <c r="N3210" t="inlineStr">
        <is>
          <t>是</t>
        </is>
      </c>
    </row>
    <row r="3211">
      <c r="A3211" s="7" t="inlineStr">
        <is>
          <t>2020-09-21</t>
        </is>
      </c>
      <c r="B3211" s="8" t="n">
        <v>7802</v>
      </c>
      <c r="C3211" s="8" t="n">
        <v>7747</v>
      </c>
      <c r="D3211" s="8" t="n">
        <v>7850</v>
      </c>
      <c r="E3211" s="8" t="n">
        <v>7682</v>
      </c>
      <c r="F3211" s="8" t="n">
        <v>519929</v>
      </c>
      <c r="G3211" s="8" t="n">
        <v>319887</v>
      </c>
      <c r="H3211" s="8" t="n">
        <v>7425</v>
      </c>
      <c r="I3211" s="8" t="n">
        <v>7375</v>
      </c>
      <c r="J3211" s="8" t="n">
        <v>7470</v>
      </c>
      <c r="K3211" s="8" t="n">
        <v>7330</v>
      </c>
      <c r="L3211" s="8" t="n">
        <v>267189</v>
      </c>
      <c r="M3211" s="8" t="n">
        <v>251755</v>
      </c>
      <c r="N3211" t="inlineStr">
        <is>
          <t>是</t>
        </is>
      </c>
    </row>
    <row r="3212">
      <c r="A3212" s="7" t="inlineStr">
        <is>
          <t>2020-09-22</t>
        </is>
      </c>
      <c r="B3212" s="8" t="n">
        <v>7646</v>
      </c>
      <c r="C3212" s="8" t="n">
        <v>7790</v>
      </c>
      <c r="D3212" s="8" t="n">
        <v>7800</v>
      </c>
      <c r="E3212" s="8" t="n">
        <v>7630</v>
      </c>
      <c r="F3212" s="8" t="n">
        <v>570967</v>
      </c>
      <c r="G3212" s="8" t="n">
        <v>305788</v>
      </c>
      <c r="H3212" s="8" t="n">
        <v>7240</v>
      </c>
      <c r="I3212" s="8" t="n">
        <v>7400</v>
      </c>
      <c r="J3212" s="8" t="n">
        <v>7410</v>
      </c>
      <c r="K3212" s="8" t="n">
        <v>7240</v>
      </c>
      <c r="L3212" s="8" t="n">
        <v>329541</v>
      </c>
      <c r="M3212" s="8" t="n">
        <v>260891</v>
      </c>
      <c r="N3212" t="inlineStr">
        <is>
          <t>是</t>
        </is>
      </c>
    </row>
    <row r="3213">
      <c r="A3213" s="7" t="inlineStr">
        <is>
          <t>2020-09-23</t>
        </is>
      </c>
      <c r="B3213" s="8" t="n">
        <v>7656</v>
      </c>
      <c r="C3213" s="8" t="n">
        <v>7652</v>
      </c>
      <c r="D3213" s="8" t="n">
        <v>7707</v>
      </c>
      <c r="E3213" s="8" t="n">
        <v>7550</v>
      </c>
      <c r="F3213" s="8" t="n">
        <v>574730</v>
      </c>
      <c r="G3213" s="8" t="n">
        <v>307653</v>
      </c>
      <c r="H3213" s="8" t="n">
        <v>7235</v>
      </c>
      <c r="I3213" s="8" t="n">
        <v>7250</v>
      </c>
      <c r="J3213" s="8" t="n">
        <v>7310</v>
      </c>
      <c r="K3213" s="8" t="n">
        <v>7180</v>
      </c>
      <c r="L3213" s="8" t="n">
        <v>272585</v>
      </c>
      <c r="M3213" s="8" t="n">
        <v>249773</v>
      </c>
      <c r="N3213" t="inlineStr">
        <is>
          <t>是</t>
        </is>
      </c>
    </row>
    <row r="3214">
      <c r="A3214" s="7" t="inlineStr">
        <is>
          <t>2020-09-24</t>
        </is>
      </c>
      <c r="B3214" s="8" t="n">
        <v>7625</v>
      </c>
      <c r="C3214" s="8" t="n">
        <v>7680</v>
      </c>
      <c r="D3214" s="8" t="n">
        <v>7735</v>
      </c>
      <c r="E3214" s="8" t="n">
        <v>7580</v>
      </c>
      <c r="F3214" s="8" t="n">
        <v>532726</v>
      </c>
      <c r="G3214" s="8" t="n">
        <v>306381</v>
      </c>
      <c r="H3214" s="8" t="n">
        <v>7175</v>
      </c>
      <c r="I3214" s="8" t="n">
        <v>7255</v>
      </c>
      <c r="J3214" s="8" t="n">
        <v>7275</v>
      </c>
      <c r="K3214" s="8" t="n">
        <v>7130</v>
      </c>
      <c r="L3214" s="8" t="n">
        <v>238676</v>
      </c>
      <c r="M3214" s="8" t="n">
        <v>251205</v>
      </c>
      <c r="N3214" t="inlineStr">
        <is>
          <t>是</t>
        </is>
      </c>
    </row>
    <row r="3215">
      <c r="A3215" s="7" t="inlineStr">
        <is>
          <t>2020-09-25</t>
        </is>
      </c>
      <c r="B3215" s="8" t="n">
        <v>7772</v>
      </c>
      <c r="C3215" s="8" t="n">
        <v>7641</v>
      </c>
      <c r="D3215" s="8" t="n">
        <v>7784</v>
      </c>
      <c r="E3215" s="8" t="n">
        <v>7634</v>
      </c>
      <c r="F3215" s="8" t="n">
        <v>541012</v>
      </c>
      <c r="G3215" s="8" t="n">
        <v>316721</v>
      </c>
      <c r="H3215" s="8" t="n">
        <v>7295</v>
      </c>
      <c r="I3215" s="8" t="n">
        <v>7175</v>
      </c>
      <c r="J3215" s="8" t="n">
        <v>7310</v>
      </c>
      <c r="K3215" s="8" t="n">
        <v>7140</v>
      </c>
      <c r="L3215" s="8" t="n">
        <v>318327</v>
      </c>
      <c r="M3215" s="8" t="n">
        <v>241153</v>
      </c>
      <c r="N3215" t="inlineStr">
        <is>
          <t>是</t>
        </is>
      </c>
    </row>
    <row r="3216">
      <c r="A3216" s="7" t="inlineStr">
        <is>
          <t>2020-09-28</t>
        </is>
      </c>
      <c r="B3216" s="8" t="n">
        <v>7768</v>
      </c>
      <c r="C3216" s="8" t="n">
        <v>7772</v>
      </c>
      <c r="D3216" s="8" t="n">
        <v>7883</v>
      </c>
      <c r="E3216" s="8" t="n">
        <v>7747</v>
      </c>
      <c r="F3216" s="8" t="n">
        <v>521326</v>
      </c>
      <c r="G3216" s="8" t="n">
        <v>314090</v>
      </c>
      <c r="H3216" s="8" t="n">
        <v>7260</v>
      </c>
      <c r="I3216" s="8" t="n">
        <v>7275</v>
      </c>
      <c r="J3216" s="8" t="n">
        <v>7355</v>
      </c>
      <c r="K3216" s="8" t="n">
        <v>7245</v>
      </c>
      <c r="L3216" s="8" t="n">
        <v>253109</v>
      </c>
      <c r="M3216" s="8" t="n">
        <v>242441</v>
      </c>
      <c r="N3216" t="inlineStr">
        <is>
          <t>是</t>
        </is>
      </c>
    </row>
    <row r="3217">
      <c r="A3217" s="7" t="inlineStr">
        <is>
          <t>2020-09-29</t>
        </is>
      </c>
      <c r="B3217" s="8" t="n">
        <v>7785</v>
      </c>
      <c r="C3217" s="8" t="n">
        <v>7783</v>
      </c>
      <c r="D3217" s="8" t="n">
        <v>7835</v>
      </c>
      <c r="E3217" s="8" t="n">
        <v>7745</v>
      </c>
      <c r="F3217" s="8" t="n">
        <v>399290</v>
      </c>
      <c r="G3217" s="8" t="n">
        <v>308018</v>
      </c>
      <c r="H3217" s="8" t="n">
        <v>7265</v>
      </c>
      <c r="I3217" s="8" t="n">
        <v>7260</v>
      </c>
      <c r="J3217" s="8" t="n">
        <v>7305</v>
      </c>
      <c r="K3217" s="8" t="n">
        <v>7195</v>
      </c>
      <c r="L3217" s="8" t="n">
        <v>227146</v>
      </c>
      <c r="M3217" s="8" t="n">
        <v>241157</v>
      </c>
      <c r="N3217" t="inlineStr">
        <is>
          <t>是</t>
        </is>
      </c>
    </row>
    <row r="3218">
      <c r="A3218" s="7" t="inlineStr">
        <is>
          <t>2020-09-30</t>
        </is>
      </c>
      <c r="B3218" s="8" t="n">
        <v>7629</v>
      </c>
      <c r="C3218" s="8" t="n">
        <v>7795</v>
      </c>
      <c r="D3218" s="8" t="n">
        <v>7796</v>
      </c>
      <c r="E3218" s="8" t="n">
        <v>7603</v>
      </c>
      <c r="F3218" s="8" t="n">
        <v>465192</v>
      </c>
      <c r="G3218" s="8" t="n">
        <v>273834</v>
      </c>
      <c r="H3218" s="8" t="n">
        <v>7140</v>
      </c>
      <c r="I3218" s="8" t="n">
        <v>7265</v>
      </c>
      <c r="J3218" s="8" t="n">
        <v>7270</v>
      </c>
      <c r="K3218" s="8" t="n">
        <v>7075</v>
      </c>
      <c r="L3218" s="8" t="n">
        <v>248746</v>
      </c>
      <c r="M3218" s="8" t="n">
        <v>241029</v>
      </c>
      <c r="N3218" t="inlineStr">
        <is>
          <t>是</t>
        </is>
      </c>
    </row>
    <row r="3219">
      <c r="A3219" s="7" t="inlineStr">
        <is>
          <t>2020-10-09</t>
        </is>
      </c>
      <c r="B3219" s="8" t="n">
        <v>7820</v>
      </c>
      <c r="C3219" s="8" t="n">
        <v>7720</v>
      </c>
      <c r="D3219" s="8" t="n">
        <v>7843</v>
      </c>
      <c r="E3219" s="8" t="n">
        <v>7659</v>
      </c>
      <c r="F3219" s="8" t="n">
        <v>292938</v>
      </c>
      <c r="G3219" s="8" t="n">
        <v>294107</v>
      </c>
      <c r="H3219" s="8" t="n">
        <v>7355</v>
      </c>
      <c r="I3219" s="8" t="n">
        <v>7200</v>
      </c>
      <c r="J3219" s="8" t="n">
        <v>7370</v>
      </c>
      <c r="K3219" s="8" t="n">
        <v>7165</v>
      </c>
      <c r="L3219" s="8" t="n">
        <v>189381</v>
      </c>
      <c r="M3219" s="8" t="n">
        <v>239527</v>
      </c>
      <c r="N3219" t="inlineStr">
        <is>
          <t>是</t>
        </is>
      </c>
    </row>
    <row r="3220">
      <c r="A3220" s="7" t="inlineStr">
        <is>
          <t>2020-10-12</t>
        </is>
      </c>
      <c r="B3220" s="8" t="n">
        <v>7936</v>
      </c>
      <c r="C3220" s="8" t="n">
        <v>7835</v>
      </c>
      <c r="D3220" s="8" t="n">
        <v>7948</v>
      </c>
      <c r="E3220" s="8" t="n">
        <v>7777</v>
      </c>
      <c r="F3220" s="8" t="n">
        <v>464260</v>
      </c>
      <c r="G3220" s="8" t="n">
        <v>339834</v>
      </c>
      <c r="H3220" s="8" t="n">
        <v>7480</v>
      </c>
      <c r="I3220" s="8" t="n">
        <v>7335</v>
      </c>
      <c r="J3220" s="8" t="n">
        <v>7485</v>
      </c>
      <c r="K3220" s="8" t="n">
        <v>7330</v>
      </c>
      <c r="L3220" s="8" t="n">
        <v>237059</v>
      </c>
      <c r="M3220" s="8" t="n">
        <v>246446</v>
      </c>
      <c r="N3220" t="inlineStr">
        <is>
          <t>是</t>
        </is>
      </c>
    </row>
    <row r="3221">
      <c r="A3221" s="7" t="inlineStr">
        <is>
          <t>2020-10-13</t>
        </is>
      </c>
      <c r="B3221" s="8" t="n">
        <v>7887</v>
      </c>
      <c r="C3221" s="8" t="n">
        <v>7936</v>
      </c>
      <c r="D3221" s="8" t="n">
        <v>7948</v>
      </c>
      <c r="E3221" s="8" t="n">
        <v>7864</v>
      </c>
      <c r="F3221" s="8" t="n">
        <v>344857</v>
      </c>
      <c r="G3221" s="8" t="n">
        <v>344117</v>
      </c>
      <c r="H3221" s="8" t="n">
        <v>7415</v>
      </c>
      <c r="I3221" s="8" t="n">
        <v>7470</v>
      </c>
      <c r="J3221" s="8" t="n">
        <v>7485</v>
      </c>
      <c r="K3221" s="8" t="n">
        <v>7385</v>
      </c>
      <c r="L3221" s="8" t="n">
        <v>185552</v>
      </c>
      <c r="M3221" s="8" t="n">
        <v>250830</v>
      </c>
      <c r="N3221" t="inlineStr">
        <is>
          <t>是</t>
        </is>
      </c>
    </row>
    <row r="3222">
      <c r="A3222" s="7" t="inlineStr">
        <is>
          <t>2020-10-14</t>
        </is>
      </c>
      <c r="B3222" s="8" t="n">
        <v>7936</v>
      </c>
      <c r="C3222" s="8" t="n">
        <v>7895</v>
      </c>
      <c r="D3222" s="8" t="n">
        <v>8005</v>
      </c>
      <c r="E3222" s="8" t="n">
        <v>7889</v>
      </c>
      <c r="F3222" s="8" t="n">
        <v>510794</v>
      </c>
      <c r="G3222" s="8" t="n">
        <v>370224</v>
      </c>
      <c r="H3222" s="8" t="n">
        <v>7425</v>
      </c>
      <c r="I3222" s="8" t="n">
        <v>7430</v>
      </c>
      <c r="J3222" s="8" t="n">
        <v>7485</v>
      </c>
      <c r="K3222" s="8" t="n">
        <v>7410</v>
      </c>
      <c r="L3222" s="8" t="n">
        <v>210585</v>
      </c>
      <c r="M3222" s="8" t="n">
        <v>255804</v>
      </c>
      <c r="N3222" t="inlineStr">
        <is>
          <t>是</t>
        </is>
      </c>
    </row>
    <row r="3223">
      <c r="A3223" s="7" t="inlineStr">
        <is>
          <t>2020-10-15</t>
        </is>
      </c>
      <c r="B3223" s="8" t="n">
        <v>7914</v>
      </c>
      <c r="C3223" s="8" t="n">
        <v>7950</v>
      </c>
      <c r="D3223" s="8" t="n">
        <v>8034</v>
      </c>
      <c r="E3223" s="8" t="n">
        <v>7876</v>
      </c>
      <c r="F3223" s="8" t="n">
        <v>544717</v>
      </c>
      <c r="G3223" s="8" t="n">
        <v>366978</v>
      </c>
      <c r="H3223" s="8" t="n">
        <v>7315</v>
      </c>
      <c r="I3223" s="8" t="n">
        <v>7420</v>
      </c>
      <c r="J3223" s="8" t="n">
        <v>7460</v>
      </c>
      <c r="K3223" s="8" t="n">
        <v>7310</v>
      </c>
      <c r="L3223" s="8" t="n">
        <v>290885</v>
      </c>
      <c r="M3223" s="8" t="n">
        <v>268423</v>
      </c>
      <c r="N3223" t="inlineStr">
        <is>
          <t>是</t>
        </is>
      </c>
    </row>
    <row r="3224">
      <c r="A3224" s="7" t="inlineStr">
        <is>
          <t>2020-10-16</t>
        </is>
      </c>
      <c r="B3224" s="8" t="n">
        <v>7867</v>
      </c>
      <c r="C3224" s="8" t="n">
        <v>7884</v>
      </c>
      <c r="D3224" s="8" t="n">
        <v>7953</v>
      </c>
      <c r="E3224" s="8" t="n">
        <v>7831</v>
      </c>
      <c r="F3224" s="8" t="n">
        <v>437851</v>
      </c>
      <c r="G3224" s="8" t="n">
        <v>354558</v>
      </c>
      <c r="H3224" s="8" t="n">
        <v>7285</v>
      </c>
      <c r="I3224" s="8" t="n">
        <v>7300</v>
      </c>
      <c r="J3224" s="8" t="n">
        <v>7370</v>
      </c>
      <c r="K3224" s="8" t="n">
        <v>7250</v>
      </c>
      <c r="L3224" s="8" t="n">
        <v>260978</v>
      </c>
      <c r="M3224" s="8" t="n">
        <v>268216</v>
      </c>
      <c r="N3224" t="inlineStr">
        <is>
          <t>是</t>
        </is>
      </c>
    </row>
    <row r="3225">
      <c r="A3225" s="7" t="inlineStr">
        <is>
          <t>2020-10-19</t>
        </is>
      </c>
      <c r="B3225" s="8" t="n">
        <v>7786</v>
      </c>
      <c r="C3225" s="8" t="n">
        <v>7867</v>
      </c>
      <c r="D3225" s="8" t="n">
        <v>7888</v>
      </c>
      <c r="E3225" s="8" t="n">
        <v>7733</v>
      </c>
      <c r="F3225" s="8" t="n">
        <v>540901</v>
      </c>
      <c r="G3225" s="8" t="n">
        <v>326985</v>
      </c>
      <c r="H3225" s="8" t="n">
        <v>7250</v>
      </c>
      <c r="I3225" s="8" t="n">
        <v>7290</v>
      </c>
      <c r="J3225" s="8" t="n">
        <v>7350</v>
      </c>
      <c r="K3225" s="8" t="n">
        <v>7200</v>
      </c>
      <c r="L3225" s="8" t="n">
        <v>301615</v>
      </c>
      <c r="M3225" s="8" t="n">
        <v>260681</v>
      </c>
      <c r="N3225" t="inlineStr">
        <is>
          <t>是</t>
        </is>
      </c>
    </row>
    <row r="3226">
      <c r="A3226" s="7" t="inlineStr">
        <is>
          <t>2020-10-20</t>
        </is>
      </c>
      <c r="B3226" s="8" t="n">
        <v>7781</v>
      </c>
      <c r="C3226" s="8" t="n">
        <v>7786</v>
      </c>
      <c r="D3226" s="8" t="n">
        <v>7800</v>
      </c>
      <c r="E3226" s="8" t="n">
        <v>7723</v>
      </c>
      <c r="F3226" s="8" t="n">
        <v>363109</v>
      </c>
      <c r="G3226" s="8" t="n">
        <v>320699</v>
      </c>
      <c r="H3226" s="8" t="n">
        <v>7285</v>
      </c>
      <c r="I3226" s="8" t="n">
        <v>7250</v>
      </c>
      <c r="J3226" s="8" t="n">
        <v>7300</v>
      </c>
      <c r="K3226" s="8" t="n">
        <v>7210</v>
      </c>
      <c r="L3226" s="8" t="n">
        <v>167871</v>
      </c>
      <c r="M3226" s="8" t="n">
        <v>255821</v>
      </c>
      <c r="N3226" t="inlineStr">
        <is>
          <t>是</t>
        </is>
      </c>
    </row>
    <row r="3227">
      <c r="A3227" s="7" t="inlineStr">
        <is>
          <t>2020-10-21</t>
        </is>
      </c>
      <c r="B3227" s="8" t="n">
        <v>7788</v>
      </c>
      <c r="C3227" s="8" t="n">
        <v>7781</v>
      </c>
      <c r="D3227" s="8" t="n">
        <v>7867</v>
      </c>
      <c r="E3227" s="8" t="n">
        <v>7745</v>
      </c>
      <c r="F3227" s="8" t="n">
        <v>490597</v>
      </c>
      <c r="G3227" s="8" t="n">
        <v>323484</v>
      </c>
      <c r="H3227" s="8" t="n">
        <v>7270</v>
      </c>
      <c r="I3227" s="8" t="n">
        <v>7275</v>
      </c>
      <c r="J3227" s="8" t="n">
        <v>7375</v>
      </c>
      <c r="K3227" s="8" t="n">
        <v>7230</v>
      </c>
      <c r="L3227" s="8" t="n">
        <v>272937</v>
      </c>
      <c r="M3227" s="8" t="n">
        <v>259291</v>
      </c>
      <c r="N3227" t="inlineStr">
        <is>
          <t>是</t>
        </is>
      </c>
    </row>
    <row r="3228">
      <c r="A3228" s="7" t="inlineStr">
        <is>
          <t>2020-10-22</t>
        </is>
      </c>
      <c r="B3228" s="8" t="n">
        <v>7779</v>
      </c>
      <c r="C3228" s="8" t="n">
        <v>7792</v>
      </c>
      <c r="D3228" s="8" t="n">
        <v>7838</v>
      </c>
      <c r="E3228" s="8" t="n">
        <v>7712</v>
      </c>
      <c r="F3228" s="8" t="n">
        <v>480332</v>
      </c>
      <c r="G3228" s="8" t="n">
        <v>319727</v>
      </c>
      <c r="H3228" s="8" t="n">
        <v>7250</v>
      </c>
      <c r="I3228" s="8" t="n">
        <v>7270</v>
      </c>
      <c r="J3228" s="8" t="n">
        <v>7315</v>
      </c>
      <c r="K3228" s="8" t="n">
        <v>7215</v>
      </c>
      <c r="L3228" s="8" t="n">
        <v>201396</v>
      </c>
      <c r="M3228" s="8" t="n">
        <v>260255</v>
      </c>
      <c r="N3228" t="inlineStr">
        <is>
          <t>是</t>
        </is>
      </c>
    </row>
    <row r="3229">
      <c r="A3229" s="7" t="inlineStr">
        <is>
          <t>2020-10-23</t>
        </is>
      </c>
      <c r="B3229" s="8" t="n">
        <v>7743</v>
      </c>
      <c r="C3229" s="8" t="n">
        <v>7785</v>
      </c>
      <c r="D3229" s="8" t="n">
        <v>7795</v>
      </c>
      <c r="E3229" s="8" t="n">
        <v>7692</v>
      </c>
      <c r="F3229" s="8" t="n">
        <v>496654</v>
      </c>
      <c r="G3229" s="8" t="n">
        <v>331585</v>
      </c>
      <c r="H3229" s="8" t="n">
        <v>7195</v>
      </c>
      <c r="I3229" s="8" t="n">
        <v>7250</v>
      </c>
      <c r="J3229" s="8" t="n">
        <v>7265</v>
      </c>
      <c r="K3229" s="8" t="n">
        <v>7155</v>
      </c>
      <c r="L3229" s="8" t="n">
        <v>233395</v>
      </c>
      <c r="M3229" s="8" t="n">
        <v>265247</v>
      </c>
      <c r="N3229" t="inlineStr">
        <is>
          <t>是</t>
        </is>
      </c>
    </row>
    <row r="3230">
      <c r="A3230" s="7" t="inlineStr">
        <is>
          <t>2020-10-26</t>
        </is>
      </c>
      <c r="B3230" s="8" t="n">
        <v>7749</v>
      </c>
      <c r="C3230" s="8" t="n">
        <v>7750</v>
      </c>
      <c r="D3230" s="8" t="n">
        <v>7774</v>
      </c>
      <c r="E3230" s="8" t="n">
        <v>7650</v>
      </c>
      <c r="F3230" s="8" t="n">
        <v>542686</v>
      </c>
      <c r="G3230" s="8" t="n">
        <v>331343</v>
      </c>
      <c r="H3230" s="8" t="n">
        <v>7240</v>
      </c>
      <c r="I3230" s="8" t="n">
        <v>7195</v>
      </c>
      <c r="J3230" s="8" t="n">
        <v>7245</v>
      </c>
      <c r="K3230" s="8" t="n">
        <v>7130</v>
      </c>
      <c r="L3230" s="8" t="n">
        <v>262829</v>
      </c>
      <c r="M3230" s="8" t="n">
        <v>269502</v>
      </c>
      <c r="N3230" t="inlineStr">
        <is>
          <t>是</t>
        </is>
      </c>
    </row>
    <row r="3231">
      <c r="A3231" s="7" t="inlineStr">
        <is>
          <t>2020-10-27</t>
        </is>
      </c>
      <c r="B3231" s="8" t="n">
        <v>7809</v>
      </c>
      <c r="C3231" s="8" t="n">
        <v>7751</v>
      </c>
      <c r="D3231" s="8" t="n">
        <v>7818</v>
      </c>
      <c r="E3231" s="8" t="n">
        <v>7691</v>
      </c>
      <c r="F3231" s="8" t="n">
        <v>499657</v>
      </c>
      <c r="G3231" s="8" t="n">
        <v>345874</v>
      </c>
      <c r="H3231" s="8" t="n">
        <v>7255</v>
      </c>
      <c r="I3231" s="8" t="n">
        <v>7225</v>
      </c>
      <c r="J3231" s="8" t="n">
        <v>7300</v>
      </c>
      <c r="K3231" s="8" t="n">
        <v>7175</v>
      </c>
      <c r="L3231" s="8" t="n">
        <v>228982</v>
      </c>
      <c r="M3231" s="8" t="n">
        <v>263583</v>
      </c>
      <c r="N3231" t="inlineStr">
        <is>
          <t>是</t>
        </is>
      </c>
    </row>
    <row r="3232">
      <c r="A3232" s="7" t="inlineStr">
        <is>
          <t>2020-10-28</t>
        </is>
      </c>
      <c r="B3232" s="8" t="n">
        <v>7808</v>
      </c>
      <c r="C3232" s="8" t="n">
        <v>7800</v>
      </c>
      <c r="D3232" s="8" t="n">
        <v>7873</v>
      </c>
      <c r="E3232" s="8" t="n">
        <v>7770</v>
      </c>
      <c r="F3232" s="8" t="n">
        <v>467099</v>
      </c>
      <c r="G3232" s="8" t="n">
        <v>326217</v>
      </c>
      <c r="H3232" s="8" t="n">
        <v>7260</v>
      </c>
      <c r="I3232" s="8" t="n">
        <v>7240</v>
      </c>
      <c r="J3232" s="8" t="n">
        <v>7315</v>
      </c>
      <c r="K3232" s="8" t="n">
        <v>7230</v>
      </c>
      <c r="L3232" s="8" t="n">
        <v>242994</v>
      </c>
      <c r="M3232" s="8" t="n">
        <v>256159</v>
      </c>
      <c r="N3232" t="inlineStr">
        <is>
          <t>是</t>
        </is>
      </c>
    </row>
    <row r="3233">
      <c r="A3233" s="7" t="inlineStr">
        <is>
          <t>2020-10-29</t>
        </is>
      </c>
      <c r="B3233" s="8" t="n">
        <v>7788</v>
      </c>
      <c r="C3233" s="8" t="n">
        <v>7777</v>
      </c>
      <c r="D3233" s="8" t="n">
        <v>7890</v>
      </c>
      <c r="E3233" s="8" t="n">
        <v>7746</v>
      </c>
      <c r="F3233" s="8" t="n">
        <v>550313</v>
      </c>
      <c r="G3233" s="8" t="n">
        <v>328390</v>
      </c>
      <c r="H3233" s="8" t="n">
        <v>7185</v>
      </c>
      <c r="I3233" s="8" t="n">
        <v>7230</v>
      </c>
      <c r="J3233" s="8" t="n">
        <v>7280</v>
      </c>
      <c r="K3233" s="8" t="n">
        <v>7160</v>
      </c>
      <c r="L3233" s="8" t="n">
        <v>326168</v>
      </c>
      <c r="M3233" s="8" t="n">
        <v>257129</v>
      </c>
      <c r="N3233" t="inlineStr">
        <is>
          <t>是</t>
        </is>
      </c>
    </row>
    <row r="3234">
      <c r="A3234" s="7" t="inlineStr">
        <is>
          <t>2020-10-30</t>
        </is>
      </c>
      <c r="B3234" s="8" t="n">
        <v>7819</v>
      </c>
      <c r="C3234" s="8" t="n">
        <v>7750</v>
      </c>
      <c r="D3234" s="8" t="n">
        <v>7826</v>
      </c>
      <c r="E3234" s="8" t="n">
        <v>7680</v>
      </c>
      <c r="F3234" s="8" t="n">
        <v>619441</v>
      </c>
      <c r="G3234" s="8" t="n">
        <v>312176</v>
      </c>
      <c r="H3234" s="8" t="n">
        <v>7265</v>
      </c>
      <c r="I3234" s="8" t="n">
        <v>7145</v>
      </c>
      <c r="J3234" s="8" t="n">
        <v>7270</v>
      </c>
      <c r="K3234" s="8" t="n">
        <v>7040</v>
      </c>
      <c r="L3234" s="8" t="n">
        <v>450519</v>
      </c>
      <c r="M3234" s="8" t="n">
        <v>253679</v>
      </c>
      <c r="N3234" t="inlineStr">
        <is>
          <t>是</t>
        </is>
      </c>
    </row>
    <row r="3235">
      <c r="A3235" s="7" t="inlineStr">
        <is>
          <t>2020-11-02</t>
        </is>
      </c>
      <c r="B3235" s="8" t="n">
        <v>8098</v>
      </c>
      <c r="C3235" s="8" t="n">
        <v>7822</v>
      </c>
      <c r="D3235" s="8" t="n">
        <v>8100</v>
      </c>
      <c r="E3235" s="8" t="n">
        <v>7794</v>
      </c>
      <c r="F3235" s="8" t="n">
        <v>858164</v>
      </c>
      <c r="G3235" s="8" t="n">
        <v>396772</v>
      </c>
      <c r="H3235" s="8" t="n">
        <v>7445</v>
      </c>
      <c r="I3235" s="8" t="n">
        <v>7265</v>
      </c>
      <c r="J3235" s="8" t="n">
        <v>7450</v>
      </c>
      <c r="K3235" s="8" t="n">
        <v>7240</v>
      </c>
      <c r="L3235" s="8" t="n">
        <v>441779</v>
      </c>
      <c r="M3235" s="8" t="n">
        <v>261014</v>
      </c>
      <c r="N3235" t="inlineStr">
        <is>
          <t>是</t>
        </is>
      </c>
    </row>
    <row r="3236">
      <c r="A3236" s="7" t="inlineStr">
        <is>
          <t>2020-11-03</t>
        </is>
      </c>
      <c r="B3236" s="8" t="n">
        <v>8093</v>
      </c>
      <c r="C3236" s="8" t="n">
        <v>8098</v>
      </c>
      <c r="D3236" s="8" t="n">
        <v>8181</v>
      </c>
      <c r="E3236" s="8" t="n">
        <v>8036</v>
      </c>
      <c r="F3236" s="8" t="n">
        <v>602236</v>
      </c>
      <c r="G3236" s="8" t="n">
        <v>391331</v>
      </c>
      <c r="H3236" s="8" t="n">
        <v>7490</v>
      </c>
      <c r="I3236" s="8" t="n">
        <v>7440</v>
      </c>
      <c r="J3236" s="8" t="n">
        <v>7540</v>
      </c>
      <c r="K3236" s="8" t="n">
        <v>7400</v>
      </c>
      <c r="L3236" s="8" t="n">
        <v>320575</v>
      </c>
      <c r="M3236" s="8" t="n">
        <v>269312</v>
      </c>
      <c r="N3236" t="inlineStr">
        <is>
          <t>是</t>
        </is>
      </c>
    </row>
    <row r="3237">
      <c r="A3237" s="7" t="inlineStr">
        <is>
          <t>2020-11-04</t>
        </is>
      </c>
      <c r="B3237" s="8" t="n">
        <v>8024</v>
      </c>
      <c r="C3237" s="8" t="n">
        <v>8108</v>
      </c>
      <c r="D3237" s="8" t="n">
        <v>8196</v>
      </c>
      <c r="E3237" s="8" t="n">
        <v>8020</v>
      </c>
      <c r="F3237" s="8" t="n">
        <v>616344</v>
      </c>
      <c r="G3237" s="8" t="n">
        <v>369287</v>
      </c>
      <c r="H3237" s="8" t="n">
        <v>7415</v>
      </c>
      <c r="I3237" s="8" t="n">
        <v>7500</v>
      </c>
      <c r="J3237" s="8" t="n">
        <v>7545</v>
      </c>
      <c r="K3237" s="8" t="n">
        <v>7405</v>
      </c>
      <c r="L3237" s="8" t="n">
        <v>290662</v>
      </c>
      <c r="M3237" s="8" t="n">
        <v>269216</v>
      </c>
      <c r="N3237" t="inlineStr">
        <is>
          <t>是</t>
        </is>
      </c>
    </row>
    <row r="3238">
      <c r="A3238" s="7" t="inlineStr">
        <is>
          <t>2020-11-05</t>
        </is>
      </c>
      <c r="B3238" s="8" t="n">
        <v>7955</v>
      </c>
      <c r="C3238" s="8" t="n">
        <v>8030</v>
      </c>
      <c r="D3238" s="8" t="n">
        <v>8062</v>
      </c>
      <c r="E3238" s="8" t="n">
        <v>7913</v>
      </c>
      <c r="F3238" s="8" t="n">
        <v>542271</v>
      </c>
      <c r="G3238" s="8" t="n">
        <v>326376</v>
      </c>
      <c r="H3238" s="8" t="n">
        <v>7385</v>
      </c>
      <c r="I3238" s="8" t="n">
        <v>7430</v>
      </c>
      <c r="J3238" s="8" t="n">
        <v>7460</v>
      </c>
      <c r="K3238" s="8" t="n">
        <v>7355</v>
      </c>
      <c r="L3238" s="8" t="n">
        <v>267082</v>
      </c>
      <c r="M3238" s="8" t="n">
        <v>261953</v>
      </c>
      <c r="N3238" t="inlineStr">
        <is>
          <t>是</t>
        </is>
      </c>
    </row>
    <row r="3239">
      <c r="A3239" s="7" t="inlineStr">
        <is>
          <t>2020-11-06</t>
        </is>
      </c>
      <c r="B3239" s="8" t="n">
        <v>7948</v>
      </c>
      <c r="C3239" s="8" t="n">
        <v>7955</v>
      </c>
      <c r="D3239" s="8" t="n">
        <v>7986</v>
      </c>
      <c r="E3239" s="8" t="n">
        <v>7920</v>
      </c>
      <c r="F3239" s="8" t="n">
        <v>407979</v>
      </c>
      <c r="G3239" s="8" t="n">
        <v>314613</v>
      </c>
      <c r="H3239" s="8" t="n">
        <v>7390</v>
      </c>
      <c r="I3239" s="8" t="n">
        <v>7400</v>
      </c>
      <c r="J3239" s="8" t="n">
        <v>7440</v>
      </c>
      <c r="K3239" s="8" t="n">
        <v>7350</v>
      </c>
      <c r="L3239" s="8" t="n">
        <v>215679</v>
      </c>
      <c r="M3239" s="8" t="n">
        <v>257662</v>
      </c>
      <c r="N3239" t="inlineStr">
        <is>
          <t>是</t>
        </is>
      </c>
    </row>
    <row r="3240">
      <c r="A3240" s="7" t="inlineStr">
        <is>
          <t>2020-11-09</t>
        </is>
      </c>
      <c r="B3240" s="8" t="n">
        <v>7997</v>
      </c>
      <c r="C3240" s="8" t="n">
        <v>7950</v>
      </c>
      <c r="D3240" s="8" t="n">
        <v>8029</v>
      </c>
      <c r="E3240" s="8" t="n">
        <v>7905</v>
      </c>
      <c r="F3240" s="8" t="n">
        <v>615876</v>
      </c>
      <c r="G3240" s="8" t="n">
        <v>306372</v>
      </c>
      <c r="H3240" s="8" t="n">
        <v>7355</v>
      </c>
      <c r="I3240" s="8" t="n">
        <v>7400</v>
      </c>
      <c r="J3240" s="8" t="n">
        <v>7460</v>
      </c>
      <c r="K3240" s="8" t="n">
        <v>7290</v>
      </c>
      <c r="L3240" s="8" t="n">
        <v>378533</v>
      </c>
      <c r="M3240" s="8" t="n">
        <v>251638</v>
      </c>
      <c r="N3240" t="inlineStr">
        <is>
          <t>是</t>
        </is>
      </c>
    </row>
    <row r="3241">
      <c r="A3241" s="7" t="inlineStr">
        <is>
          <t>2020-11-10</t>
        </is>
      </c>
      <c r="B3241" s="8" t="n">
        <v>7943</v>
      </c>
      <c r="C3241" s="8" t="n">
        <v>8064</v>
      </c>
      <c r="D3241" s="8" t="n">
        <v>8132</v>
      </c>
      <c r="E3241" s="8" t="n">
        <v>7923</v>
      </c>
      <c r="F3241" s="8" t="n">
        <v>525712</v>
      </c>
      <c r="G3241" s="8" t="n">
        <v>305903</v>
      </c>
      <c r="H3241" s="8" t="n">
        <v>7310</v>
      </c>
      <c r="I3241" s="8" t="n">
        <v>7460</v>
      </c>
      <c r="J3241" s="8" t="n">
        <v>7475</v>
      </c>
      <c r="K3241" s="8" t="n">
        <v>7280</v>
      </c>
      <c r="L3241" s="8" t="n">
        <v>321388</v>
      </c>
      <c r="M3241" s="8" t="n">
        <v>241144</v>
      </c>
      <c r="N3241" t="inlineStr">
        <is>
          <t>是</t>
        </is>
      </c>
    </row>
    <row r="3242">
      <c r="A3242" s="7" t="inlineStr">
        <is>
          <t>2020-11-11</t>
        </is>
      </c>
      <c r="B3242" s="8" t="n">
        <v>8057</v>
      </c>
      <c r="C3242" s="8" t="n">
        <v>7947</v>
      </c>
      <c r="D3242" s="8" t="n">
        <v>8057</v>
      </c>
      <c r="E3242" s="8" t="n">
        <v>7930</v>
      </c>
      <c r="F3242" s="8" t="n">
        <v>448715</v>
      </c>
      <c r="G3242" s="8" t="n">
        <v>314247</v>
      </c>
      <c r="H3242" s="8" t="n">
        <v>7390</v>
      </c>
      <c r="I3242" s="8" t="n">
        <v>7320</v>
      </c>
      <c r="J3242" s="8" t="n">
        <v>7390</v>
      </c>
      <c r="K3242" s="8" t="n">
        <v>7240</v>
      </c>
      <c r="L3242" s="8" t="n">
        <v>299223</v>
      </c>
      <c r="M3242" s="8" t="n">
        <v>237358</v>
      </c>
      <c r="N3242" t="inlineStr">
        <is>
          <t>是</t>
        </is>
      </c>
    </row>
    <row r="3243">
      <c r="A3243" s="7" t="inlineStr">
        <is>
          <t>2020-11-12</t>
        </is>
      </c>
      <c r="B3243" s="8" t="n">
        <v>8082</v>
      </c>
      <c r="C3243" s="8" t="n">
        <v>8065</v>
      </c>
      <c r="D3243" s="8" t="n">
        <v>8143</v>
      </c>
      <c r="E3243" s="8" t="n">
        <v>8025</v>
      </c>
      <c r="F3243" s="8" t="n">
        <v>462089</v>
      </c>
      <c r="G3243" s="8" t="n">
        <v>320806</v>
      </c>
      <c r="H3243" s="8" t="n">
        <v>7420</v>
      </c>
      <c r="I3243" s="8" t="n">
        <v>7390</v>
      </c>
      <c r="J3243" s="8" t="n">
        <v>7450</v>
      </c>
      <c r="K3243" s="8" t="n">
        <v>7375</v>
      </c>
      <c r="L3243" s="8" t="n">
        <v>246921</v>
      </c>
      <c r="M3243" s="8" t="n">
        <v>238814</v>
      </c>
      <c r="N3243" t="inlineStr">
        <is>
          <t>是</t>
        </is>
      </c>
    </row>
    <row r="3244">
      <c r="A3244" s="7" t="inlineStr">
        <is>
          <t>2020-11-13</t>
        </is>
      </c>
      <c r="B3244" s="8" t="n">
        <v>8227</v>
      </c>
      <c r="C3244" s="8" t="n">
        <v>8076</v>
      </c>
      <c r="D3244" s="8" t="n">
        <v>8286</v>
      </c>
      <c r="E3244" s="8" t="n">
        <v>8067</v>
      </c>
      <c r="F3244" s="8" t="n">
        <v>722619</v>
      </c>
      <c r="G3244" s="8" t="n">
        <v>353691</v>
      </c>
      <c r="H3244" s="8" t="n">
        <v>7605</v>
      </c>
      <c r="I3244" s="8" t="n">
        <v>7400</v>
      </c>
      <c r="J3244" s="8" t="n">
        <v>7610</v>
      </c>
      <c r="K3244" s="8" t="n">
        <v>7400</v>
      </c>
      <c r="L3244" s="8" t="n">
        <v>412450</v>
      </c>
      <c r="M3244" s="8" t="n">
        <v>258700</v>
      </c>
      <c r="N3244" t="inlineStr">
        <is>
          <t>是</t>
        </is>
      </c>
    </row>
    <row r="3245">
      <c r="A3245" s="7" t="inlineStr">
        <is>
          <t>2020-11-16</t>
        </is>
      </c>
      <c r="B3245" s="8" t="n">
        <v>8348</v>
      </c>
      <c r="C3245" s="8" t="n">
        <v>8218</v>
      </c>
      <c r="D3245" s="8" t="n">
        <v>8427</v>
      </c>
      <c r="E3245" s="8" t="n">
        <v>8205</v>
      </c>
      <c r="F3245" s="8" t="n">
        <v>582077</v>
      </c>
      <c r="G3245" s="8" t="n">
        <v>353408</v>
      </c>
      <c r="H3245" s="8" t="n">
        <v>7655</v>
      </c>
      <c r="I3245" s="8" t="n">
        <v>7605</v>
      </c>
      <c r="J3245" s="8" t="n">
        <v>7750</v>
      </c>
      <c r="K3245" s="8" t="n">
        <v>7560</v>
      </c>
      <c r="L3245" s="8" t="n">
        <v>367260</v>
      </c>
      <c r="M3245" s="8" t="n">
        <v>265872</v>
      </c>
      <c r="N3245" t="inlineStr">
        <is>
          <t>是</t>
        </is>
      </c>
    </row>
    <row r="3246">
      <c r="A3246" s="7" t="inlineStr">
        <is>
          <t>2020-11-17</t>
        </is>
      </c>
      <c r="B3246" s="8" t="n">
        <v>8325</v>
      </c>
      <c r="C3246" s="8" t="n">
        <v>8380</v>
      </c>
      <c r="D3246" s="8" t="n">
        <v>8384</v>
      </c>
      <c r="E3246" s="8" t="n">
        <v>8266</v>
      </c>
      <c r="F3246" s="8" t="n">
        <v>416805</v>
      </c>
      <c r="G3246" s="8" t="n">
        <v>331129</v>
      </c>
      <c r="H3246" s="8" t="n">
        <v>7685</v>
      </c>
      <c r="I3246" s="8" t="n">
        <v>7680</v>
      </c>
      <c r="J3246" s="8" t="n">
        <v>7715</v>
      </c>
      <c r="K3246" s="8" t="n">
        <v>7590</v>
      </c>
      <c r="L3246" s="8" t="n">
        <v>294340</v>
      </c>
      <c r="M3246" s="8" t="n">
        <v>262559</v>
      </c>
      <c r="N3246" t="inlineStr">
        <is>
          <t>是</t>
        </is>
      </c>
    </row>
    <row r="3247">
      <c r="A3247" s="7" t="inlineStr">
        <is>
          <t>2020-11-18</t>
        </is>
      </c>
      <c r="B3247" s="8" t="n">
        <v>8492</v>
      </c>
      <c r="C3247" s="8" t="n">
        <v>8324</v>
      </c>
      <c r="D3247" s="8" t="n">
        <v>8547</v>
      </c>
      <c r="E3247" s="8" t="n">
        <v>8302</v>
      </c>
      <c r="F3247" s="8" t="n">
        <v>697599</v>
      </c>
      <c r="G3247" s="8" t="n">
        <v>364046</v>
      </c>
      <c r="H3247" s="8" t="n">
        <v>7770</v>
      </c>
      <c r="I3247" s="8" t="n">
        <v>7695</v>
      </c>
      <c r="J3247" s="8" t="n">
        <v>7825</v>
      </c>
      <c r="K3247" s="8" t="n">
        <v>7665</v>
      </c>
      <c r="L3247" s="8" t="n">
        <v>413216</v>
      </c>
      <c r="M3247" s="8" t="n">
        <v>269579</v>
      </c>
      <c r="N3247" t="inlineStr">
        <is>
          <t>是</t>
        </is>
      </c>
    </row>
    <row r="3248">
      <c r="A3248" s="7" t="inlineStr">
        <is>
          <t>2020-11-19</t>
        </is>
      </c>
      <c r="B3248" s="8" t="n">
        <v>8582</v>
      </c>
      <c r="C3248" s="8" t="n">
        <v>8547</v>
      </c>
      <c r="D3248" s="8" t="n">
        <v>8618</v>
      </c>
      <c r="E3248" s="8" t="n">
        <v>8452</v>
      </c>
      <c r="F3248" s="8" t="n">
        <v>609558</v>
      </c>
      <c r="G3248" s="8" t="n">
        <v>355836</v>
      </c>
      <c r="H3248" s="8" t="n">
        <v>7880</v>
      </c>
      <c r="I3248" s="8" t="n">
        <v>7790</v>
      </c>
      <c r="J3248" s="8" t="n">
        <v>7910</v>
      </c>
      <c r="K3248" s="8" t="n">
        <v>7715</v>
      </c>
      <c r="L3248" s="8" t="n">
        <v>375455</v>
      </c>
      <c r="M3248" s="8" t="n">
        <v>269043</v>
      </c>
      <c r="N3248" t="inlineStr">
        <is>
          <t>是</t>
        </is>
      </c>
    </row>
    <row r="3249">
      <c r="A3249" s="7" t="inlineStr">
        <is>
          <t>2020-11-20</t>
        </is>
      </c>
      <c r="B3249" s="8" t="n">
        <v>8519</v>
      </c>
      <c r="C3249" s="8" t="n">
        <v>8582</v>
      </c>
      <c r="D3249" s="8" t="n">
        <v>8628</v>
      </c>
      <c r="E3249" s="8" t="n">
        <v>8470</v>
      </c>
      <c r="F3249" s="8" t="n">
        <v>518192</v>
      </c>
      <c r="G3249" s="8" t="n">
        <v>339958</v>
      </c>
      <c r="H3249" s="8" t="n">
        <v>7740</v>
      </c>
      <c r="I3249" s="8" t="n">
        <v>7895</v>
      </c>
      <c r="J3249" s="8" t="n">
        <v>7935</v>
      </c>
      <c r="K3249" s="8" t="n">
        <v>7725</v>
      </c>
      <c r="L3249" s="8" t="n">
        <v>325612</v>
      </c>
      <c r="M3249" s="8" t="n">
        <v>264618</v>
      </c>
      <c r="N3249" t="inlineStr">
        <is>
          <t>是</t>
        </is>
      </c>
    </row>
    <row r="3250">
      <c r="A3250" s="7" t="inlineStr">
        <is>
          <t>2020-11-23</t>
        </is>
      </c>
      <c r="B3250" s="8" t="n">
        <v>8829</v>
      </c>
      <c r="C3250" s="8" t="n">
        <v>8530</v>
      </c>
      <c r="D3250" s="8" t="n">
        <v>8834</v>
      </c>
      <c r="E3250" s="8" t="n">
        <v>8507</v>
      </c>
      <c r="F3250" s="8" t="n">
        <v>778082</v>
      </c>
      <c r="G3250" s="8" t="n">
        <v>362263</v>
      </c>
      <c r="H3250" s="8" t="n">
        <v>7965</v>
      </c>
      <c r="I3250" s="8" t="n">
        <v>7760</v>
      </c>
      <c r="J3250" s="8" t="n">
        <v>7970</v>
      </c>
      <c r="K3250" s="8" t="n">
        <v>7720</v>
      </c>
      <c r="L3250" s="8" t="n">
        <v>394112</v>
      </c>
      <c r="M3250" s="8" t="n">
        <v>266921</v>
      </c>
      <c r="N3250" t="inlineStr">
        <is>
          <t>是</t>
        </is>
      </c>
    </row>
    <row r="3251">
      <c r="A3251" s="7" t="inlineStr">
        <is>
          <t>2020-11-24</t>
        </is>
      </c>
      <c r="B3251" s="8" t="n">
        <v>8824</v>
      </c>
      <c r="C3251" s="8" t="n">
        <v>8837</v>
      </c>
      <c r="D3251" s="8" t="n">
        <v>8876</v>
      </c>
      <c r="E3251" s="8" t="n">
        <v>8771</v>
      </c>
      <c r="F3251" s="8" t="n">
        <v>630475</v>
      </c>
      <c r="G3251" s="8" t="n">
        <v>342448</v>
      </c>
      <c r="H3251" s="8" t="n">
        <v>8040</v>
      </c>
      <c r="I3251" s="8" t="n">
        <v>7980</v>
      </c>
      <c r="J3251" s="8" t="n">
        <v>8110</v>
      </c>
      <c r="K3251" s="8" t="n">
        <v>7955</v>
      </c>
      <c r="L3251" s="8" t="n">
        <v>401606</v>
      </c>
      <c r="M3251" s="8" t="n">
        <v>267104</v>
      </c>
      <c r="N3251" t="inlineStr">
        <is>
          <t>是</t>
        </is>
      </c>
    </row>
    <row r="3252">
      <c r="A3252" s="7" t="inlineStr">
        <is>
          <t>2020-11-25</t>
        </is>
      </c>
      <c r="B3252" s="8" t="n">
        <v>8738</v>
      </c>
      <c r="C3252" s="8" t="n">
        <v>8832</v>
      </c>
      <c r="D3252" s="8" t="n">
        <v>8910</v>
      </c>
      <c r="E3252" s="8" t="n">
        <v>8713</v>
      </c>
      <c r="F3252" s="8" t="n">
        <v>712852</v>
      </c>
      <c r="G3252" s="8" t="n">
        <v>333365</v>
      </c>
      <c r="H3252" s="8" t="n">
        <v>7880</v>
      </c>
      <c r="I3252" s="8" t="n">
        <v>8055</v>
      </c>
      <c r="J3252" s="8" t="n">
        <v>8080</v>
      </c>
      <c r="K3252" s="8" t="n">
        <v>7870</v>
      </c>
      <c r="L3252" s="8" t="n">
        <v>358143</v>
      </c>
      <c r="M3252" s="8" t="n">
        <v>250018</v>
      </c>
      <c r="N3252" t="inlineStr">
        <is>
          <t>是</t>
        </is>
      </c>
    </row>
    <row r="3253">
      <c r="A3253" s="7" t="inlineStr">
        <is>
          <t>2020-11-26</t>
        </is>
      </c>
      <c r="B3253" s="8" t="n">
        <v>8663</v>
      </c>
      <c r="C3253" s="8" t="n">
        <v>8747</v>
      </c>
      <c r="D3253" s="8" t="n">
        <v>8866</v>
      </c>
      <c r="E3253" s="8" t="n">
        <v>8653</v>
      </c>
      <c r="F3253" s="8" t="n">
        <v>659047</v>
      </c>
      <c r="G3253" s="8" t="n">
        <v>325955</v>
      </c>
      <c r="H3253" s="8" t="n">
        <v>7855</v>
      </c>
      <c r="I3253" s="8" t="n">
        <v>7885</v>
      </c>
      <c r="J3253" s="8" t="n">
        <v>8060</v>
      </c>
      <c r="K3253" s="8" t="n">
        <v>7845</v>
      </c>
      <c r="L3253" s="8" t="n">
        <v>356299</v>
      </c>
      <c r="M3253" s="8" t="n">
        <v>245802</v>
      </c>
      <c r="N3253" t="inlineStr">
        <is>
          <t>是</t>
        </is>
      </c>
    </row>
    <row r="3254">
      <c r="A3254" s="7" t="inlineStr">
        <is>
          <t>2020-11-27</t>
        </is>
      </c>
      <c r="B3254" s="8" t="n">
        <v>8731</v>
      </c>
      <c r="C3254" s="8" t="n">
        <v>8665</v>
      </c>
      <c r="D3254" s="8" t="n">
        <v>8800</v>
      </c>
      <c r="E3254" s="8" t="n">
        <v>8603</v>
      </c>
      <c r="F3254" s="8" t="n">
        <v>595458</v>
      </c>
      <c r="G3254" s="8" t="n">
        <v>317318</v>
      </c>
      <c r="H3254" s="8" t="n">
        <v>7970</v>
      </c>
      <c r="I3254" s="8" t="n">
        <v>7850</v>
      </c>
      <c r="J3254" s="8" t="n">
        <v>8010</v>
      </c>
      <c r="K3254" s="8" t="n">
        <v>7820</v>
      </c>
      <c r="L3254" s="8" t="n">
        <v>332996</v>
      </c>
      <c r="M3254" s="8" t="n">
        <v>250857</v>
      </c>
      <c r="N3254" t="inlineStr">
        <is>
          <t>是</t>
        </is>
      </c>
    </row>
    <row r="3255">
      <c r="A3255" s="7" t="inlineStr">
        <is>
          <t>2020-11-30</t>
        </is>
      </c>
      <c r="B3255" s="8" t="n">
        <v>8720</v>
      </c>
      <c r="C3255" s="8" t="n">
        <v>8731</v>
      </c>
      <c r="D3255" s="8" t="n">
        <v>8768</v>
      </c>
      <c r="E3255" s="8" t="n">
        <v>8634</v>
      </c>
      <c r="F3255" s="8" t="n">
        <v>571481</v>
      </c>
      <c r="G3255" s="8" t="n">
        <v>301270</v>
      </c>
      <c r="H3255" s="8" t="n">
        <v>7955</v>
      </c>
      <c r="I3255" s="8" t="n">
        <v>7985</v>
      </c>
      <c r="J3255" s="8" t="n">
        <v>8030</v>
      </c>
      <c r="K3255" s="8" t="n">
        <v>7860</v>
      </c>
      <c r="L3255" s="8" t="n">
        <v>320370</v>
      </c>
      <c r="M3255" s="8" t="n">
        <v>239382</v>
      </c>
      <c r="N3255" t="inlineStr">
        <is>
          <t>是</t>
        </is>
      </c>
    </row>
    <row r="3256">
      <c r="A3256" s="7" t="inlineStr">
        <is>
          <t>2020-12-01</t>
        </is>
      </c>
      <c r="B3256" s="8" t="n">
        <v>8574</v>
      </c>
      <c r="C3256" s="8" t="n">
        <v>8715</v>
      </c>
      <c r="D3256" s="8" t="n">
        <v>8715</v>
      </c>
      <c r="E3256" s="8" t="n">
        <v>8509</v>
      </c>
      <c r="F3256" s="8" t="n">
        <v>602185</v>
      </c>
      <c r="G3256" s="8" t="n">
        <v>272137</v>
      </c>
      <c r="H3256" s="8" t="n">
        <v>7910</v>
      </c>
      <c r="I3256" s="8" t="n">
        <v>7950</v>
      </c>
      <c r="J3256" s="8" t="n">
        <v>7965</v>
      </c>
      <c r="K3256" s="8" t="n">
        <v>7800</v>
      </c>
      <c r="L3256" s="8" t="n">
        <v>305314</v>
      </c>
      <c r="M3256" s="8" t="n">
        <v>232769</v>
      </c>
      <c r="N3256" t="inlineStr">
        <is>
          <t>是</t>
        </is>
      </c>
    </row>
    <row r="3257">
      <c r="A3257" s="7" t="inlineStr">
        <is>
          <t>2020-12-02</t>
        </is>
      </c>
      <c r="B3257" s="8" t="n">
        <v>8475</v>
      </c>
      <c r="C3257" s="8" t="n">
        <v>8570</v>
      </c>
      <c r="D3257" s="8" t="n">
        <v>8617</v>
      </c>
      <c r="E3257" s="8" t="n">
        <v>8456</v>
      </c>
      <c r="F3257" s="8" t="n">
        <v>528138</v>
      </c>
      <c r="G3257" s="8" t="n">
        <v>267473</v>
      </c>
      <c r="H3257" s="8" t="n">
        <v>7775</v>
      </c>
      <c r="I3257" s="8" t="n">
        <v>7915</v>
      </c>
      <c r="J3257" s="8" t="n">
        <v>7950</v>
      </c>
      <c r="K3257" s="8" t="n">
        <v>7740</v>
      </c>
      <c r="L3257" s="8" t="n">
        <v>376438</v>
      </c>
      <c r="M3257" s="8" t="n">
        <v>220376</v>
      </c>
      <c r="N3257" t="inlineStr">
        <is>
          <t>是</t>
        </is>
      </c>
    </row>
    <row r="3258">
      <c r="A3258" s="7" t="inlineStr">
        <is>
          <t>2020-12-03</t>
        </is>
      </c>
      <c r="B3258" s="8" t="n">
        <v>8382</v>
      </c>
      <c r="C3258" s="8" t="n">
        <v>8466</v>
      </c>
      <c r="D3258" s="8" t="n">
        <v>8496</v>
      </c>
      <c r="E3258" s="8" t="n">
        <v>8372</v>
      </c>
      <c r="F3258" s="8" t="n">
        <v>465209</v>
      </c>
      <c r="G3258" s="8" t="n">
        <v>252704</v>
      </c>
      <c r="H3258" s="8" t="n">
        <v>7730</v>
      </c>
      <c r="I3258" s="8" t="n">
        <v>7770</v>
      </c>
      <c r="J3258" s="8" t="n">
        <v>7800</v>
      </c>
      <c r="K3258" s="8" t="n">
        <v>7670</v>
      </c>
      <c r="L3258" s="8" t="n">
        <v>289907</v>
      </c>
      <c r="M3258" s="8" t="n">
        <v>206880</v>
      </c>
      <c r="N3258" t="inlineStr">
        <is>
          <t>是</t>
        </is>
      </c>
    </row>
    <row r="3259">
      <c r="A3259" s="7" t="inlineStr">
        <is>
          <t>2020-12-04</t>
        </is>
      </c>
      <c r="B3259" s="8" t="n">
        <v>8492</v>
      </c>
      <c r="C3259" s="8" t="n">
        <v>8375</v>
      </c>
      <c r="D3259" s="8" t="n">
        <v>8519</v>
      </c>
      <c r="E3259" s="8" t="n">
        <v>8335</v>
      </c>
      <c r="F3259" s="8" t="n">
        <v>476499</v>
      </c>
      <c r="G3259" s="8" t="n">
        <v>233338</v>
      </c>
      <c r="H3259" s="8" t="n">
        <v>7895</v>
      </c>
      <c r="I3259" s="8" t="n">
        <v>7725</v>
      </c>
      <c r="J3259" s="8" t="n">
        <v>7905</v>
      </c>
      <c r="K3259" s="8" t="n">
        <v>7675</v>
      </c>
      <c r="L3259" s="8" t="n">
        <v>314516</v>
      </c>
      <c r="M3259" s="8" t="n">
        <v>204885</v>
      </c>
      <c r="N3259" t="inlineStr">
        <is>
          <t>是</t>
        </is>
      </c>
    </row>
    <row r="3260">
      <c r="A3260" s="7" t="inlineStr">
        <is>
          <t>2020-12-07</t>
        </is>
      </c>
      <c r="B3260" s="8" t="n">
        <v>8572</v>
      </c>
      <c r="C3260" s="8" t="n">
        <v>8486</v>
      </c>
      <c r="D3260" s="8" t="n">
        <v>8596</v>
      </c>
      <c r="E3260" s="8" t="n">
        <v>8358</v>
      </c>
      <c r="F3260" s="8" t="n">
        <v>501822</v>
      </c>
      <c r="G3260" s="8" t="n">
        <v>221021</v>
      </c>
      <c r="H3260" s="8" t="n">
        <v>8000</v>
      </c>
      <c r="I3260" s="8" t="n">
        <v>7895</v>
      </c>
      <c r="J3260" s="8" t="n">
        <v>8020</v>
      </c>
      <c r="K3260" s="8" t="n">
        <v>7805</v>
      </c>
      <c r="L3260" s="8" t="n">
        <v>339270</v>
      </c>
      <c r="M3260" s="8" t="n">
        <v>199147</v>
      </c>
      <c r="N3260" t="inlineStr">
        <is>
          <t>是</t>
        </is>
      </c>
    </row>
    <row r="3261">
      <c r="A3261" s="7" t="inlineStr">
        <is>
          <t>2020-12-08</t>
        </is>
      </c>
      <c r="B3261" s="8" t="n">
        <v>8439</v>
      </c>
      <c r="C3261" s="8" t="n">
        <v>8570</v>
      </c>
      <c r="D3261" s="8" t="n">
        <v>8618</v>
      </c>
      <c r="E3261" s="8" t="n">
        <v>8404</v>
      </c>
      <c r="F3261" s="8" t="n">
        <v>435088</v>
      </c>
      <c r="G3261" s="8" t="n">
        <v>201127</v>
      </c>
      <c r="H3261" s="8" t="n">
        <v>7875</v>
      </c>
      <c r="I3261" s="8" t="n">
        <v>8010</v>
      </c>
      <c r="J3261" s="8" t="n">
        <v>8030</v>
      </c>
      <c r="K3261" s="8" t="n">
        <v>7825</v>
      </c>
      <c r="L3261" s="8" t="n">
        <v>258061</v>
      </c>
      <c r="M3261" s="8" t="n">
        <v>171309</v>
      </c>
      <c r="N3261" t="inlineStr">
        <is>
          <t>是</t>
        </is>
      </c>
    </row>
    <row r="3262">
      <c r="A3262" s="7" t="inlineStr">
        <is>
          <t>2020-12-09</t>
        </is>
      </c>
      <c r="B3262" s="8" t="n">
        <v>8435</v>
      </c>
      <c r="C3262" s="8" t="n">
        <v>8439</v>
      </c>
      <c r="D3262" s="8" t="n">
        <v>8537</v>
      </c>
      <c r="E3262" s="8" t="n">
        <v>8400</v>
      </c>
      <c r="F3262" s="8" t="n">
        <v>424469</v>
      </c>
      <c r="G3262" s="8" t="n">
        <v>189050</v>
      </c>
      <c r="H3262" s="8" t="n">
        <v>7845</v>
      </c>
      <c r="I3262" s="8" t="n">
        <v>7870</v>
      </c>
      <c r="J3262" s="8" t="n">
        <v>7940</v>
      </c>
      <c r="K3262" s="8" t="n">
        <v>7830</v>
      </c>
      <c r="L3262" s="8" t="n">
        <v>236014</v>
      </c>
      <c r="M3262" s="8" t="n">
        <v>157823</v>
      </c>
      <c r="N3262" t="inlineStr">
        <is>
          <t>是</t>
        </is>
      </c>
    </row>
    <row r="3263">
      <c r="A3263" s="7" t="inlineStr">
        <is>
          <t>2020-12-10</t>
        </is>
      </c>
      <c r="B3263" s="8" t="n">
        <v>8484</v>
      </c>
      <c r="C3263" s="8" t="n">
        <v>8449</v>
      </c>
      <c r="D3263" s="8" t="n">
        <v>8693</v>
      </c>
      <c r="E3263" s="8" t="n">
        <v>8434</v>
      </c>
      <c r="F3263" s="8" t="n">
        <v>506450</v>
      </c>
      <c r="G3263" s="8" t="n">
        <v>171604</v>
      </c>
      <c r="H3263" s="8" t="n">
        <v>7890</v>
      </c>
      <c r="I3263" s="8" t="n">
        <v>7855</v>
      </c>
      <c r="J3263" s="8" t="n">
        <v>8145</v>
      </c>
      <c r="K3263" s="8" t="n">
        <v>7840</v>
      </c>
      <c r="L3263" s="8" t="n">
        <v>390742</v>
      </c>
      <c r="M3263" s="8" t="n">
        <v>142388</v>
      </c>
      <c r="N3263" t="inlineStr">
        <is>
          <t>是</t>
        </is>
      </c>
    </row>
    <row r="3264">
      <c r="A3264" s="7" t="inlineStr">
        <is>
          <t>2020-12-11</t>
        </is>
      </c>
      <c r="B3264" s="8" t="n">
        <v>8658</v>
      </c>
      <c r="C3264" s="8" t="n">
        <v>8483</v>
      </c>
      <c r="D3264" s="8" t="n">
        <v>8673</v>
      </c>
      <c r="E3264" s="8" t="n">
        <v>8438</v>
      </c>
      <c r="F3264" s="8" t="n">
        <v>422219</v>
      </c>
      <c r="G3264" s="8" t="n">
        <v>166300</v>
      </c>
      <c r="H3264" s="8" t="n">
        <v>7970</v>
      </c>
      <c r="I3264" s="8" t="n">
        <v>7880</v>
      </c>
      <c r="J3264" s="8" t="n">
        <v>7995</v>
      </c>
      <c r="K3264" s="8" t="n">
        <v>7850</v>
      </c>
      <c r="L3264" s="8" t="n">
        <v>275606</v>
      </c>
      <c r="M3264" s="8" t="n">
        <v>121470</v>
      </c>
      <c r="N3264" t="inlineStr">
        <is>
          <t>是</t>
        </is>
      </c>
    </row>
    <row r="3265">
      <c r="A3265" s="7" t="inlineStr">
        <is>
          <t>2020-12-14</t>
        </is>
      </c>
      <c r="B3265" s="8" t="n">
        <v>8454</v>
      </c>
      <c r="C3265" s="8" t="n">
        <v>8600</v>
      </c>
      <c r="D3265" s="8" t="n">
        <v>8780</v>
      </c>
      <c r="E3265" s="8" t="n">
        <v>8419</v>
      </c>
      <c r="F3265" s="8" t="n">
        <v>444693</v>
      </c>
      <c r="G3265" s="8" t="n">
        <v>126999</v>
      </c>
      <c r="H3265" s="8" t="n">
        <v>7950</v>
      </c>
      <c r="I3265" s="8" t="n">
        <v>7985</v>
      </c>
      <c r="J3265" s="8" t="n">
        <v>8200</v>
      </c>
      <c r="K3265" s="8" t="n">
        <v>7880</v>
      </c>
      <c r="L3265" s="8" t="n">
        <v>373124</v>
      </c>
      <c r="M3265" s="8" t="n">
        <v>102487</v>
      </c>
      <c r="N3265" t="inlineStr">
        <is>
          <t>是</t>
        </is>
      </c>
    </row>
    <row r="3266">
      <c r="A3266" s="7" t="inlineStr">
        <is>
          <t>2020-12-15</t>
        </is>
      </c>
      <c r="B3266" s="8" t="n">
        <v>8319</v>
      </c>
      <c r="C3266" s="8" t="n">
        <v>8454</v>
      </c>
      <c r="D3266" s="8" t="n">
        <v>8476</v>
      </c>
      <c r="E3266" s="8" t="n">
        <v>8317</v>
      </c>
      <c r="F3266" s="8" t="n">
        <v>274119</v>
      </c>
      <c r="G3266" s="8" t="n">
        <v>116125</v>
      </c>
      <c r="H3266" s="8" t="n">
        <v>7800</v>
      </c>
      <c r="I3266" s="8" t="n">
        <v>7920</v>
      </c>
      <c r="J3266" s="8" t="n">
        <v>7955</v>
      </c>
      <c r="K3266" s="8" t="n">
        <v>7790</v>
      </c>
      <c r="L3266" s="8" t="n">
        <v>207062</v>
      </c>
      <c r="M3266" s="8" t="n">
        <v>83307</v>
      </c>
      <c r="N3266" t="inlineStr">
        <is>
          <t>是</t>
        </is>
      </c>
    </row>
    <row r="3267">
      <c r="A3267" s="7" t="inlineStr">
        <is>
          <t>2020-12-16</t>
        </is>
      </c>
      <c r="B3267" s="8" t="n">
        <v>8258</v>
      </c>
      <c r="C3267" s="8" t="n">
        <v>8290</v>
      </c>
      <c r="D3267" s="8" t="n">
        <v>8348</v>
      </c>
      <c r="E3267" s="8" t="n">
        <v>8203</v>
      </c>
      <c r="F3267" s="8" t="n">
        <v>428651</v>
      </c>
      <c r="G3267" s="8" t="n">
        <v>239094</v>
      </c>
      <c r="H3267" s="8" t="n">
        <v>7825</v>
      </c>
      <c r="I3267" s="8" t="n">
        <v>7815</v>
      </c>
      <c r="J3267" s="8" t="n">
        <v>7860</v>
      </c>
      <c r="K3267" s="8" t="n">
        <v>7730</v>
      </c>
      <c r="L3267" s="8" t="n">
        <v>329972</v>
      </c>
      <c r="M3267" s="8" t="n">
        <v>205670</v>
      </c>
      <c r="N3267" t="inlineStr">
        <is>
          <t>是</t>
        </is>
      </c>
    </row>
    <row r="3268">
      <c r="A3268" s="7" t="inlineStr">
        <is>
          <t>2020-12-17</t>
        </is>
      </c>
      <c r="B3268" s="8" t="n">
        <v>8318</v>
      </c>
      <c r="C3268" s="8" t="n">
        <v>8260</v>
      </c>
      <c r="D3268" s="8" t="n">
        <v>8325</v>
      </c>
      <c r="E3268" s="8" t="n">
        <v>8223</v>
      </c>
      <c r="F3268" s="8" t="n">
        <v>346213</v>
      </c>
      <c r="G3268" s="8" t="n">
        <v>240457</v>
      </c>
      <c r="H3268" s="8" t="n">
        <v>7890</v>
      </c>
      <c r="I3268" s="8" t="n">
        <v>7825</v>
      </c>
      <c r="J3268" s="8" t="n">
        <v>7890</v>
      </c>
      <c r="K3268" s="8" t="n">
        <v>7765</v>
      </c>
      <c r="L3268" s="8" t="n">
        <v>251344</v>
      </c>
      <c r="M3268" s="8" t="n">
        <v>208196</v>
      </c>
      <c r="N3268" t="inlineStr">
        <is>
          <t>是</t>
        </is>
      </c>
    </row>
    <row r="3269">
      <c r="A3269" s="7" t="inlineStr">
        <is>
          <t>2020-12-18</t>
        </is>
      </c>
      <c r="B3269" s="8" t="n">
        <v>8382</v>
      </c>
      <c r="C3269" s="8" t="n">
        <v>8308</v>
      </c>
      <c r="D3269" s="8" t="n">
        <v>8474</v>
      </c>
      <c r="E3269" s="8" t="n">
        <v>8303</v>
      </c>
      <c r="F3269" s="8" t="n">
        <v>432021</v>
      </c>
      <c r="G3269" s="8" t="n">
        <v>234208</v>
      </c>
      <c r="H3269" s="8" t="n">
        <v>7955</v>
      </c>
      <c r="I3269" s="8" t="n">
        <v>7890</v>
      </c>
      <c r="J3269" s="8" t="n">
        <v>8015</v>
      </c>
      <c r="K3269" s="8" t="n">
        <v>7875</v>
      </c>
      <c r="L3269" s="8" t="n">
        <v>277949</v>
      </c>
      <c r="M3269" s="8" t="n">
        <v>213675</v>
      </c>
      <c r="N3269" t="inlineStr">
        <is>
          <t>是</t>
        </is>
      </c>
    </row>
    <row r="3270">
      <c r="A3270" s="7" t="inlineStr">
        <is>
          <t>2020-12-21</t>
        </is>
      </c>
      <c r="B3270" s="8" t="n">
        <v>8329</v>
      </c>
      <c r="C3270" s="8" t="n">
        <v>8396</v>
      </c>
      <c r="D3270" s="8" t="n">
        <v>8526</v>
      </c>
      <c r="E3270" s="8" t="n">
        <v>8306</v>
      </c>
      <c r="F3270" s="8" t="n">
        <v>438846</v>
      </c>
      <c r="G3270" s="8" t="n">
        <v>243037</v>
      </c>
      <c r="H3270" s="8" t="n">
        <v>7815</v>
      </c>
      <c r="I3270" s="8" t="n">
        <v>7955</v>
      </c>
      <c r="J3270" s="8" t="n">
        <v>8035</v>
      </c>
      <c r="K3270" s="8" t="n">
        <v>7815</v>
      </c>
      <c r="L3270" s="8" t="n">
        <v>313383</v>
      </c>
      <c r="M3270" s="8" t="n">
        <v>208300</v>
      </c>
      <c r="N3270" t="inlineStr">
        <is>
          <t>是</t>
        </is>
      </c>
    </row>
    <row r="3271">
      <c r="A3271" s="7" t="inlineStr">
        <is>
          <t>2020-12-22</t>
        </is>
      </c>
      <c r="B3271" s="8" t="n">
        <v>8220</v>
      </c>
      <c r="C3271" s="8" t="n">
        <v>8300</v>
      </c>
      <c r="D3271" s="8" t="n">
        <v>8493</v>
      </c>
      <c r="E3271" s="8" t="n">
        <v>8175</v>
      </c>
      <c r="F3271" s="8" t="n">
        <v>679195</v>
      </c>
      <c r="G3271" s="8" t="n">
        <v>239654</v>
      </c>
      <c r="H3271" s="8" t="n">
        <v>7760</v>
      </c>
      <c r="I3271" s="8" t="n">
        <v>7815</v>
      </c>
      <c r="J3271" s="8" t="n">
        <v>8000</v>
      </c>
      <c r="K3271" s="8" t="n">
        <v>7755</v>
      </c>
      <c r="L3271" s="8" t="n">
        <v>409426</v>
      </c>
      <c r="M3271" s="8" t="n">
        <v>199504</v>
      </c>
      <c r="N3271" t="inlineStr">
        <is>
          <t>是</t>
        </is>
      </c>
    </row>
    <row r="3272">
      <c r="A3272" s="7" t="inlineStr">
        <is>
          <t>2020-12-23</t>
        </is>
      </c>
      <c r="B3272" s="8" t="n">
        <v>8179</v>
      </c>
      <c r="C3272" s="8" t="n">
        <v>8250</v>
      </c>
      <c r="D3272" s="8" t="n">
        <v>8300</v>
      </c>
      <c r="E3272" s="8" t="n">
        <v>8152</v>
      </c>
      <c r="F3272" s="8" t="n">
        <v>543319</v>
      </c>
      <c r="G3272" s="8" t="n">
        <v>249467</v>
      </c>
      <c r="H3272" s="8" t="n">
        <v>7765</v>
      </c>
      <c r="I3272" s="8" t="n">
        <v>7800</v>
      </c>
      <c r="J3272" s="8" t="n">
        <v>7830</v>
      </c>
      <c r="K3272" s="8" t="n">
        <v>7715</v>
      </c>
      <c r="L3272" s="8" t="n">
        <v>285067</v>
      </c>
      <c r="M3272" s="8" t="n">
        <v>202845</v>
      </c>
      <c r="N3272" t="inlineStr">
        <is>
          <t>是</t>
        </is>
      </c>
    </row>
    <row r="3273">
      <c r="A3273" s="7" t="inlineStr">
        <is>
          <t>2020-12-24</t>
        </is>
      </c>
      <c r="B3273" s="8" t="n">
        <v>8259</v>
      </c>
      <c r="C3273" s="8" t="n">
        <v>8180</v>
      </c>
      <c r="D3273" s="8" t="n">
        <v>8318</v>
      </c>
      <c r="E3273" s="8" t="n">
        <v>8180</v>
      </c>
      <c r="F3273" s="8" t="n">
        <v>498301</v>
      </c>
      <c r="G3273" s="8" t="n">
        <v>258591</v>
      </c>
      <c r="H3273" s="8" t="n">
        <v>7900</v>
      </c>
      <c r="I3273" s="8" t="n">
        <v>7790</v>
      </c>
      <c r="J3273" s="8" t="n">
        <v>7920</v>
      </c>
      <c r="K3273" s="8" t="n">
        <v>7780</v>
      </c>
      <c r="L3273" s="8" t="n">
        <v>311563</v>
      </c>
      <c r="M3273" s="8" t="n">
        <v>218406</v>
      </c>
      <c r="N3273" t="inlineStr">
        <is>
          <t>是</t>
        </is>
      </c>
    </row>
    <row r="3274">
      <c r="A3274" s="7" t="inlineStr">
        <is>
          <t>2020-12-25</t>
        </is>
      </c>
      <c r="B3274" s="8" t="n">
        <v>8109</v>
      </c>
      <c r="C3274" s="8" t="n">
        <v>8258</v>
      </c>
      <c r="D3274" s="8" t="n">
        <v>8291</v>
      </c>
      <c r="E3274" s="8" t="n">
        <v>8083</v>
      </c>
      <c r="F3274" s="8" t="n">
        <v>533369</v>
      </c>
      <c r="G3274" s="8" t="n">
        <v>284697</v>
      </c>
      <c r="H3274" s="8" t="n">
        <v>7665</v>
      </c>
      <c r="I3274" s="8" t="n">
        <v>7885</v>
      </c>
      <c r="J3274" s="8" t="n">
        <v>7905</v>
      </c>
      <c r="K3274" s="8" t="n">
        <v>7660</v>
      </c>
      <c r="L3274" s="8" t="n">
        <v>394328</v>
      </c>
      <c r="M3274" s="8" t="n">
        <v>224012</v>
      </c>
      <c r="N3274" t="inlineStr">
        <is>
          <t>是</t>
        </is>
      </c>
    </row>
    <row r="3275">
      <c r="A3275" s="7" t="inlineStr">
        <is>
          <t>2020-12-28</t>
        </is>
      </c>
      <c r="B3275" s="8" t="n">
        <v>7975</v>
      </c>
      <c r="C3275" s="8" t="n">
        <v>8109</v>
      </c>
      <c r="D3275" s="8" t="n">
        <v>8159</v>
      </c>
      <c r="E3275" s="8" t="n">
        <v>7954</v>
      </c>
      <c r="F3275" s="8" t="n">
        <v>566881</v>
      </c>
      <c r="G3275" s="8" t="n">
        <v>290021</v>
      </c>
      <c r="H3275" s="8" t="n">
        <v>7585</v>
      </c>
      <c r="I3275" s="8" t="n">
        <v>7680</v>
      </c>
      <c r="J3275" s="8" t="n">
        <v>7715</v>
      </c>
      <c r="K3275" s="8" t="n">
        <v>7585</v>
      </c>
      <c r="L3275" s="8" t="n">
        <v>330204</v>
      </c>
      <c r="M3275" s="8" t="n">
        <v>222595</v>
      </c>
      <c r="N3275" t="inlineStr">
        <is>
          <t>是</t>
        </is>
      </c>
    </row>
    <row r="3276">
      <c r="A3276" s="7" t="inlineStr">
        <is>
          <t>2020-12-29</t>
        </is>
      </c>
      <c r="B3276" s="8" t="n">
        <v>7923</v>
      </c>
      <c r="C3276" s="8" t="n">
        <v>7975</v>
      </c>
      <c r="D3276" s="8" t="n">
        <v>8010</v>
      </c>
      <c r="E3276" s="8" t="n">
        <v>7881</v>
      </c>
      <c r="F3276" s="8" t="n">
        <v>446691</v>
      </c>
      <c r="G3276" s="8" t="n">
        <v>280717</v>
      </c>
      <c r="H3276" s="8" t="n">
        <v>7540</v>
      </c>
      <c r="I3276" s="8" t="n">
        <v>7600</v>
      </c>
      <c r="J3276" s="8" t="n">
        <v>7630</v>
      </c>
      <c r="K3276" s="8" t="n">
        <v>7540</v>
      </c>
      <c r="L3276" s="8" t="n">
        <v>264586</v>
      </c>
      <c r="M3276" s="8" t="n">
        <v>230214</v>
      </c>
      <c r="N3276" t="inlineStr">
        <is>
          <t>是</t>
        </is>
      </c>
    </row>
    <row r="3277">
      <c r="A3277" s="7" t="inlineStr">
        <is>
          <t>2020-12-30</t>
        </is>
      </c>
      <c r="B3277" s="8" t="n">
        <v>7955</v>
      </c>
      <c r="C3277" s="8" t="n">
        <v>7947</v>
      </c>
      <c r="D3277" s="8" t="n">
        <v>7999</v>
      </c>
      <c r="E3277" s="8" t="n">
        <v>7863</v>
      </c>
      <c r="F3277" s="8" t="n">
        <v>445122</v>
      </c>
      <c r="G3277" s="8" t="n">
        <v>275970</v>
      </c>
      <c r="H3277" s="8" t="n">
        <v>7565</v>
      </c>
      <c r="I3277" s="8" t="n">
        <v>7540</v>
      </c>
      <c r="J3277" s="8" t="n">
        <v>7570</v>
      </c>
      <c r="K3277" s="8" t="n">
        <v>7450</v>
      </c>
      <c r="L3277" s="8" t="n">
        <v>291874</v>
      </c>
      <c r="M3277" s="8" t="n">
        <v>231225</v>
      </c>
      <c r="N3277" t="inlineStr">
        <is>
          <t>是</t>
        </is>
      </c>
    </row>
    <row r="3278">
      <c r="A3278" s="7" t="inlineStr">
        <is>
          <t>2020-12-31</t>
        </is>
      </c>
      <c r="B3278" s="8" t="n">
        <v>8057</v>
      </c>
      <c r="C3278" s="8" t="n">
        <v>7956</v>
      </c>
      <c r="D3278" s="8" t="n">
        <v>8059</v>
      </c>
      <c r="E3278" s="8" t="n">
        <v>7868</v>
      </c>
      <c r="F3278" s="8" t="n">
        <v>471717</v>
      </c>
      <c r="G3278" s="8" t="n">
        <v>262965</v>
      </c>
      <c r="H3278" s="8" t="n">
        <v>7720</v>
      </c>
      <c r="I3278" s="8" t="n">
        <v>7575</v>
      </c>
      <c r="J3278" s="8" t="n">
        <v>7735</v>
      </c>
      <c r="K3278" s="8" t="n">
        <v>7505</v>
      </c>
      <c r="L3278" s="8" t="n">
        <v>275338</v>
      </c>
      <c r="M3278" s="8" t="n">
        <v>226111</v>
      </c>
      <c r="N3278" t="inlineStr">
        <is>
          <t>是</t>
        </is>
      </c>
    </row>
    <row r="3279">
      <c r="A3279" s="7" t="inlineStr">
        <is>
          <t>2021-01-04</t>
        </is>
      </c>
      <c r="B3279" s="8" t="n">
        <v>8032</v>
      </c>
      <c r="C3279" s="8" t="n">
        <v>8041</v>
      </c>
      <c r="D3279" s="8" t="n">
        <v>8067</v>
      </c>
      <c r="E3279" s="8" t="n">
        <v>7934</v>
      </c>
      <c r="F3279" s="8" t="n">
        <v>340849</v>
      </c>
      <c r="G3279" s="8" t="n">
        <v>275229</v>
      </c>
      <c r="H3279" s="8" t="n">
        <v>7760</v>
      </c>
      <c r="I3279" s="8" t="n">
        <v>7725</v>
      </c>
      <c r="J3279" s="8" t="n">
        <v>7770</v>
      </c>
      <c r="K3279" s="8" t="n">
        <v>7625</v>
      </c>
      <c r="L3279" s="8" t="n">
        <v>217612</v>
      </c>
      <c r="M3279" s="8" t="n">
        <v>233607</v>
      </c>
      <c r="N3279" t="inlineStr">
        <is>
          <t>是</t>
        </is>
      </c>
    </row>
    <row r="3280">
      <c r="A3280" s="7" t="inlineStr">
        <is>
          <t>2021-01-05</t>
        </is>
      </c>
      <c r="B3280" s="8" t="n">
        <v>7995</v>
      </c>
      <c r="C3280" s="8" t="n">
        <v>8031</v>
      </c>
      <c r="D3280" s="8" t="n">
        <v>8134</v>
      </c>
      <c r="E3280" s="8" t="n">
        <v>7917</v>
      </c>
      <c r="F3280" s="8" t="n">
        <v>491063</v>
      </c>
      <c r="G3280" s="8" t="n">
        <v>288464</v>
      </c>
      <c r="H3280" s="8" t="n">
        <v>7705</v>
      </c>
      <c r="I3280" s="8" t="n">
        <v>7745</v>
      </c>
      <c r="J3280" s="8" t="n">
        <v>7825</v>
      </c>
      <c r="K3280" s="8" t="n">
        <v>7660</v>
      </c>
      <c r="L3280" s="8" t="n">
        <v>255963</v>
      </c>
      <c r="M3280" s="8" t="n">
        <v>232191</v>
      </c>
      <c r="N3280" t="inlineStr">
        <is>
          <t>是</t>
        </is>
      </c>
    </row>
    <row r="3281">
      <c r="A3281" s="7" t="inlineStr">
        <is>
          <t>2021-01-06</t>
        </is>
      </c>
      <c r="B3281" s="8" t="n">
        <v>7938</v>
      </c>
      <c r="C3281" s="8" t="n">
        <v>8020</v>
      </c>
      <c r="D3281" s="8" t="n">
        <v>8093</v>
      </c>
      <c r="E3281" s="8" t="n">
        <v>7926</v>
      </c>
      <c r="F3281" s="8" t="n">
        <v>489714</v>
      </c>
      <c r="G3281" s="8" t="n">
        <v>311681</v>
      </c>
      <c r="H3281" s="8" t="n">
        <v>7640</v>
      </c>
      <c r="I3281" s="8" t="n">
        <v>7735</v>
      </c>
      <c r="J3281" s="8" t="n">
        <v>7780</v>
      </c>
      <c r="K3281" s="8" t="n">
        <v>7630</v>
      </c>
      <c r="L3281" s="8" t="n">
        <v>272375</v>
      </c>
      <c r="M3281" s="8" t="n">
        <v>234267</v>
      </c>
      <c r="N3281" t="inlineStr">
        <is>
          <t>是</t>
        </is>
      </c>
    </row>
    <row r="3282">
      <c r="A3282" s="7" t="inlineStr">
        <is>
          <t>2021-01-07</t>
        </is>
      </c>
      <c r="B3282" s="8" t="n">
        <v>7904</v>
      </c>
      <c r="C3282" s="8" t="n">
        <v>7938</v>
      </c>
      <c r="D3282" s="8" t="n">
        <v>8025</v>
      </c>
      <c r="E3282" s="8" t="n">
        <v>7844</v>
      </c>
      <c r="F3282" s="8" t="n">
        <v>680448</v>
      </c>
      <c r="G3282" s="8" t="n">
        <v>321190</v>
      </c>
      <c r="H3282" s="8" t="n">
        <v>7585</v>
      </c>
      <c r="I3282" s="8" t="n">
        <v>7625</v>
      </c>
      <c r="J3282" s="8" t="n">
        <v>7745</v>
      </c>
      <c r="K3282" s="8" t="n">
        <v>7580</v>
      </c>
      <c r="L3282" s="8" t="n">
        <v>337904</v>
      </c>
      <c r="M3282" s="8" t="n">
        <v>253878</v>
      </c>
      <c r="N3282" t="inlineStr">
        <is>
          <t>是</t>
        </is>
      </c>
    </row>
    <row r="3283">
      <c r="A3283" s="7" t="inlineStr">
        <is>
          <t>2021-01-08</t>
        </is>
      </c>
      <c r="B3283" s="8" t="n">
        <v>7775</v>
      </c>
      <c r="C3283" s="8" t="n">
        <v>7922</v>
      </c>
      <c r="D3283" s="8" t="n">
        <v>7943</v>
      </c>
      <c r="E3283" s="8" t="n">
        <v>7750</v>
      </c>
      <c r="F3283" s="8" t="n">
        <v>600847</v>
      </c>
      <c r="G3283" s="8" t="n">
        <v>349711</v>
      </c>
      <c r="H3283" s="8" t="n">
        <v>7455</v>
      </c>
      <c r="I3283" s="8" t="n">
        <v>7580</v>
      </c>
      <c r="J3283" s="8" t="n">
        <v>7630</v>
      </c>
      <c r="K3283" s="8" t="n">
        <v>7425</v>
      </c>
      <c r="L3283" s="8" t="n">
        <v>383657</v>
      </c>
      <c r="M3283" s="8" t="n">
        <v>260106</v>
      </c>
      <c r="N3283" t="inlineStr">
        <is>
          <t>是</t>
        </is>
      </c>
    </row>
    <row r="3284">
      <c r="A3284" s="7" t="inlineStr">
        <is>
          <t>2021-01-11</t>
        </is>
      </c>
      <c r="B3284" s="8" t="n">
        <v>7810</v>
      </c>
      <c r="C3284" s="8" t="n">
        <v>7787</v>
      </c>
      <c r="D3284" s="8" t="n">
        <v>7893</v>
      </c>
      <c r="E3284" s="8" t="n">
        <v>7732</v>
      </c>
      <c r="F3284" s="8" t="n">
        <v>595073</v>
      </c>
      <c r="G3284" s="8" t="n">
        <v>330025</v>
      </c>
      <c r="H3284" s="8" t="n">
        <v>7490</v>
      </c>
      <c r="I3284" s="8" t="n">
        <v>7465</v>
      </c>
      <c r="J3284" s="8" t="n">
        <v>7590</v>
      </c>
      <c r="K3284" s="8" t="n">
        <v>7415</v>
      </c>
      <c r="L3284" s="8" t="n">
        <v>399419</v>
      </c>
      <c r="M3284" s="8" t="n">
        <v>246806</v>
      </c>
      <c r="N3284" t="inlineStr">
        <is>
          <t>是</t>
        </is>
      </c>
    </row>
    <row r="3285">
      <c r="A3285" s="7" t="inlineStr">
        <is>
          <t>2021-01-12</t>
        </is>
      </c>
      <c r="B3285" s="8" t="n">
        <v>7857</v>
      </c>
      <c r="C3285" s="8" t="n">
        <v>7810</v>
      </c>
      <c r="D3285" s="8" t="n">
        <v>7870</v>
      </c>
      <c r="E3285" s="8" t="n">
        <v>7715</v>
      </c>
      <c r="F3285" s="8" t="n">
        <v>508735</v>
      </c>
      <c r="G3285" s="8" t="n">
        <v>324169</v>
      </c>
      <c r="H3285" s="8" t="n">
        <v>7560</v>
      </c>
      <c r="I3285" s="8" t="n">
        <v>7490</v>
      </c>
      <c r="J3285" s="8" t="n">
        <v>7575</v>
      </c>
      <c r="K3285" s="8" t="n">
        <v>7395</v>
      </c>
      <c r="L3285" s="8" t="n">
        <v>342648</v>
      </c>
      <c r="M3285" s="8" t="n">
        <v>246551</v>
      </c>
      <c r="N3285" t="inlineStr">
        <is>
          <t>是</t>
        </is>
      </c>
    </row>
    <row r="3286">
      <c r="A3286" s="7" t="inlineStr">
        <is>
          <t>2021-01-13</t>
        </is>
      </c>
      <c r="B3286" s="8" t="n">
        <v>7970</v>
      </c>
      <c r="C3286" s="8" t="n">
        <v>7868</v>
      </c>
      <c r="D3286" s="8" t="n">
        <v>7986</v>
      </c>
      <c r="E3286" s="8" t="n">
        <v>7787</v>
      </c>
      <c r="F3286" s="8" t="n">
        <v>565854</v>
      </c>
      <c r="G3286" s="8" t="n">
        <v>327362</v>
      </c>
      <c r="H3286" s="8" t="n">
        <v>7635</v>
      </c>
      <c r="I3286" s="8" t="n">
        <v>7575</v>
      </c>
      <c r="J3286" s="8" t="n">
        <v>7640</v>
      </c>
      <c r="K3286" s="8" t="n">
        <v>7445</v>
      </c>
      <c r="L3286" s="8" t="n">
        <v>391187</v>
      </c>
      <c r="M3286" s="8" t="n">
        <v>251538</v>
      </c>
      <c r="N3286" t="inlineStr">
        <is>
          <t>是</t>
        </is>
      </c>
    </row>
    <row r="3287">
      <c r="A3287" s="7" t="inlineStr">
        <is>
          <t>2021-01-14</t>
        </is>
      </c>
      <c r="B3287" s="8" t="n">
        <v>7925</v>
      </c>
      <c r="C3287" s="8" t="n">
        <v>7969</v>
      </c>
      <c r="D3287" s="8" t="n">
        <v>7977</v>
      </c>
      <c r="E3287" s="8" t="n">
        <v>7818</v>
      </c>
      <c r="F3287" s="8" t="n">
        <v>569260</v>
      </c>
      <c r="G3287" s="8" t="n">
        <v>316303</v>
      </c>
      <c r="H3287" s="8" t="n">
        <v>7560</v>
      </c>
      <c r="I3287" s="8" t="n">
        <v>7620</v>
      </c>
      <c r="J3287" s="8" t="n">
        <v>7630</v>
      </c>
      <c r="K3287" s="8" t="n">
        <v>7475</v>
      </c>
      <c r="L3287" s="8" t="n">
        <v>360175</v>
      </c>
      <c r="M3287" s="8" t="n">
        <v>250045</v>
      </c>
      <c r="N3287" t="inlineStr">
        <is>
          <t>是</t>
        </is>
      </c>
    </row>
    <row r="3288">
      <c r="A3288" s="7" t="inlineStr">
        <is>
          <t>2021-01-15</t>
        </is>
      </c>
      <c r="B3288" s="8" t="n">
        <v>7977</v>
      </c>
      <c r="C3288" s="8" t="n">
        <v>7950</v>
      </c>
      <c r="D3288" s="8" t="n">
        <v>8013</v>
      </c>
      <c r="E3288" s="8" t="n">
        <v>7883</v>
      </c>
      <c r="F3288" s="8" t="n">
        <v>537367</v>
      </c>
      <c r="G3288" s="8" t="n">
        <v>316477</v>
      </c>
      <c r="H3288" s="8" t="n">
        <v>7605</v>
      </c>
      <c r="I3288" s="8" t="n">
        <v>7550</v>
      </c>
      <c r="J3288" s="8" t="n">
        <v>7640</v>
      </c>
      <c r="K3288" s="8" t="n">
        <v>7490</v>
      </c>
      <c r="L3288" s="8" t="n">
        <v>360096</v>
      </c>
      <c r="M3288" s="8" t="n">
        <v>259245</v>
      </c>
      <c r="N3288" t="inlineStr">
        <is>
          <t>是</t>
        </is>
      </c>
    </row>
    <row r="3289">
      <c r="A3289" s="7" t="inlineStr">
        <is>
          <t>2021-01-18</t>
        </is>
      </c>
      <c r="B3289" s="8" t="n">
        <v>8215</v>
      </c>
      <c r="C3289" s="8" t="n">
        <v>7977</v>
      </c>
      <c r="D3289" s="8" t="n">
        <v>8220</v>
      </c>
      <c r="E3289" s="8" t="n">
        <v>7970</v>
      </c>
      <c r="F3289" s="8" t="n">
        <v>601769</v>
      </c>
      <c r="G3289" s="8" t="n">
        <v>329151</v>
      </c>
      <c r="H3289" s="8" t="n">
        <v>7760</v>
      </c>
      <c r="I3289" s="8" t="n">
        <v>7595</v>
      </c>
      <c r="J3289" s="8" t="n">
        <v>7780</v>
      </c>
      <c r="K3289" s="8" t="n">
        <v>7555</v>
      </c>
      <c r="L3289" s="8" t="n">
        <v>408359</v>
      </c>
      <c r="M3289" s="8" t="n">
        <v>255064</v>
      </c>
      <c r="N3289" t="inlineStr">
        <is>
          <t>是</t>
        </is>
      </c>
    </row>
    <row r="3290">
      <c r="A3290" s="7" t="inlineStr">
        <is>
          <t>2021-01-19</t>
        </is>
      </c>
      <c r="B3290" s="8" t="n">
        <v>8130</v>
      </c>
      <c r="C3290" s="8" t="n">
        <v>8212</v>
      </c>
      <c r="D3290" s="8" t="n">
        <v>8228</v>
      </c>
      <c r="E3290" s="8" t="n">
        <v>8079</v>
      </c>
      <c r="F3290" s="8" t="n">
        <v>547935</v>
      </c>
      <c r="G3290" s="8" t="n">
        <v>310458</v>
      </c>
      <c r="H3290" s="8" t="n">
        <v>7740</v>
      </c>
      <c r="I3290" s="8" t="n">
        <v>7750</v>
      </c>
      <c r="J3290" s="8" t="n">
        <v>7805</v>
      </c>
      <c r="K3290" s="8" t="n">
        <v>7700</v>
      </c>
      <c r="L3290" s="8" t="n">
        <v>336075</v>
      </c>
      <c r="M3290" s="8" t="n">
        <v>254483</v>
      </c>
      <c r="N3290" t="inlineStr">
        <is>
          <t>是</t>
        </is>
      </c>
    </row>
    <row r="3291">
      <c r="A3291" s="7" t="inlineStr">
        <is>
          <t>2021-01-20</t>
        </is>
      </c>
      <c r="B3291" s="8" t="n">
        <v>8033</v>
      </c>
      <c r="C3291" s="8" t="n">
        <v>8140</v>
      </c>
      <c r="D3291" s="8" t="n">
        <v>8174</v>
      </c>
      <c r="E3291" s="8" t="n">
        <v>8026</v>
      </c>
      <c r="F3291" s="8" t="n">
        <v>488464</v>
      </c>
      <c r="G3291" s="8" t="n">
        <v>309616</v>
      </c>
      <c r="H3291" s="8" t="n">
        <v>7680</v>
      </c>
      <c r="I3291" s="8" t="n">
        <v>7750</v>
      </c>
      <c r="J3291" s="8" t="n">
        <v>7790</v>
      </c>
      <c r="K3291" s="8" t="n">
        <v>7670</v>
      </c>
      <c r="L3291" s="8" t="n">
        <v>277619</v>
      </c>
      <c r="M3291" s="8" t="n">
        <v>250332</v>
      </c>
      <c r="N3291" t="inlineStr">
        <is>
          <t>是</t>
        </is>
      </c>
    </row>
    <row r="3292">
      <c r="A3292" s="7" t="inlineStr">
        <is>
          <t>2021-01-21</t>
        </is>
      </c>
      <c r="B3292" s="8" t="n">
        <v>8105</v>
      </c>
      <c r="C3292" s="8" t="n">
        <v>8033</v>
      </c>
      <c r="D3292" s="8" t="n">
        <v>8126</v>
      </c>
      <c r="E3292" s="8" t="n">
        <v>8033</v>
      </c>
      <c r="F3292" s="8" t="n">
        <v>454405</v>
      </c>
      <c r="G3292" s="8" t="n">
        <v>315051</v>
      </c>
      <c r="H3292" s="8" t="n">
        <v>7815</v>
      </c>
      <c r="I3292" s="8" t="n">
        <v>7685</v>
      </c>
      <c r="J3292" s="8" t="n">
        <v>7815</v>
      </c>
      <c r="K3292" s="8" t="n">
        <v>7685</v>
      </c>
      <c r="L3292" s="8" t="n">
        <v>299928</v>
      </c>
      <c r="M3292" s="8" t="n">
        <v>270584</v>
      </c>
      <c r="N3292" t="inlineStr">
        <is>
          <t>是</t>
        </is>
      </c>
    </row>
    <row r="3293">
      <c r="A3293" s="7" t="inlineStr">
        <is>
          <t>2021-01-22</t>
        </is>
      </c>
      <c r="B3293" s="8" t="n">
        <v>8170</v>
      </c>
      <c r="C3293" s="8" t="n">
        <v>8114</v>
      </c>
      <c r="D3293" s="8" t="n">
        <v>8214</v>
      </c>
      <c r="E3293" s="8" t="n">
        <v>8011</v>
      </c>
      <c r="F3293" s="8" t="n">
        <v>698086</v>
      </c>
      <c r="G3293" s="8" t="n">
        <v>328915</v>
      </c>
      <c r="H3293" s="8" t="n">
        <v>7880</v>
      </c>
      <c r="I3293" s="8" t="n">
        <v>7815</v>
      </c>
      <c r="J3293" s="8" t="n">
        <v>7900</v>
      </c>
      <c r="K3293" s="8" t="n">
        <v>7705</v>
      </c>
      <c r="L3293" s="8" t="n">
        <v>431625</v>
      </c>
      <c r="M3293" s="8" t="n">
        <v>294298</v>
      </c>
      <c r="N3293" t="inlineStr">
        <is>
          <t>是</t>
        </is>
      </c>
    </row>
    <row r="3294">
      <c r="A3294" s="7" t="inlineStr">
        <is>
          <t>2021-01-25</t>
        </is>
      </c>
      <c r="B3294" s="8" t="n">
        <v>8055</v>
      </c>
      <c r="C3294" s="8" t="n">
        <v>8151</v>
      </c>
      <c r="D3294" s="8" t="n">
        <v>8250</v>
      </c>
      <c r="E3294" s="8" t="n">
        <v>8030</v>
      </c>
      <c r="F3294" s="8" t="n">
        <v>631890</v>
      </c>
      <c r="G3294" s="8" t="n">
        <v>296269</v>
      </c>
      <c r="H3294" s="8" t="n">
        <v>7740</v>
      </c>
      <c r="I3294" s="8" t="n">
        <v>7855</v>
      </c>
      <c r="J3294" s="8" t="n">
        <v>7970</v>
      </c>
      <c r="K3294" s="8" t="n">
        <v>7690</v>
      </c>
      <c r="L3294" s="8" t="n">
        <v>447782</v>
      </c>
      <c r="M3294" s="8" t="n">
        <v>268814</v>
      </c>
      <c r="N3294" t="inlineStr">
        <is>
          <t>是</t>
        </is>
      </c>
    </row>
    <row r="3295">
      <c r="A3295" s="7" t="inlineStr">
        <is>
          <t>2021-01-26</t>
        </is>
      </c>
      <c r="B3295" s="8" t="n">
        <v>8071</v>
      </c>
      <c r="C3295" s="8" t="n">
        <v>8057</v>
      </c>
      <c r="D3295" s="8" t="n">
        <v>8157</v>
      </c>
      <c r="E3295" s="8" t="n">
        <v>8050</v>
      </c>
      <c r="F3295" s="8" t="n">
        <v>507754</v>
      </c>
      <c r="G3295" s="8" t="n">
        <v>292919</v>
      </c>
      <c r="H3295" s="8" t="n">
        <v>7750</v>
      </c>
      <c r="I3295" s="8" t="n">
        <v>7730</v>
      </c>
      <c r="J3295" s="8" t="n">
        <v>7850</v>
      </c>
      <c r="K3295" s="8" t="n">
        <v>7725</v>
      </c>
      <c r="L3295" s="8" t="n">
        <v>324813</v>
      </c>
      <c r="M3295" s="8" t="n">
        <v>282066</v>
      </c>
      <c r="N3295" t="inlineStr">
        <is>
          <t>是</t>
        </is>
      </c>
    </row>
    <row r="3296">
      <c r="A3296" s="7" t="inlineStr">
        <is>
          <t>2021-01-27</t>
        </is>
      </c>
      <c r="B3296" s="8" t="n">
        <v>8190</v>
      </c>
      <c r="C3296" s="8" t="n">
        <v>8111</v>
      </c>
      <c r="D3296" s="8" t="n">
        <v>8192</v>
      </c>
      <c r="E3296" s="8" t="n">
        <v>8058</v>
      </c>
      <c r="F3296" s="8" t="n">
        <v>531299</v>
      </c>
      <c r="G3296" s="8" t="n">
        <v>308421</v>
      </c>
      <c r="H3296" s="8" t="n">
        <v>7865</v>
      </c>
      <c r="I3296" s="8" t="n">
        <v>7770</v>
      </c>
      <c r="J3296" s="8" t="n">
        <v>7870</v>
      </c>
      <c r="K3296" s="8" t="n">
        <v>7745</v>
      </c>
      <c r="L3296" s="8" t="n">
        <v>302345</v>
      </c>
      <c r="M3296" s="8" t="n">
        <v>286754</v>
      </c>
      <c r="N3296" t="inlineStr">
        <is>
          <t>是</t>
        </is>
      </c>
    </row>
    <row r="3297">
      <c r="A3297" s="7" t="inlineStr">
        <is>
          <t>2021-01-28</t>
        </is>
      </c>
      <c r="B3297" s="8" t="n">
        <v>8246</v>
      </c>
      <c r="C3297" s="8" t="n">
        <v>8190</v>
      </c>
      <c r="D3297" s="8" t="n">
        <v>8278</v>
      </c>
      <c r="E3297" s="8" t="n">
        <v>8153</v>
      </c>
      <c r="F3297" s="8" t="n">
        <v>656795</v>
      </c>
      <c r="G3297" s="8" t="n">
        <v>329985</v>
      </c>
      <c r="H3297" s="8" t="n">
        <v>7935</v>
      </c>
      <c r="I3297" s="8" t="n">
        <v>7865</v>
      </c>
      <c r="J3297" s="8" t="n">
        <v>7950</v>
      </c>
      <c r="K3297" s="8" t="n">
        <v>7830</v>
      </c>
      <c r="L3297" s="8" t="n">
        <v>393399</v>
      </c>
      <c r="M3297" s="8" t="n">
        <v>307249</v>
      </c>
      <c r="N3297" t="inlineStr">
        <is>
          <t>是</t>
        </is>
      </c>
    </row>
    <row r="3298">
      <c r="A3298" s="7" t="inlineStr">
        <is>
          <t>2021-01-29</t>
        </is>
      </c>
      <c r="B3298" s="8" t="n">
        <v>8284</v>
      </c>
      <c r="C3298" s="8" t="n">
        <v>8246</v>
      </c>
      <c r="D3298" s="8" t="n">
        <v>8346</v>
      </c>
      <c r="E3298" s="8" t="n">
        <v>8218</v>
      </c>
      <c r="F3298" s="8" t="n">
        <v>541465</v>
      </c>
      <c r="G3298" s="8" t="n">
        <v>340653</v>
      </c>
      <c r="H3298" s="8" t="n">
        <v>7980</v>
      </c>
      <c r="I3298" s="8" t="n">
        <v>7945</v>
      </c>
      <c r="J3298" s="8" t="n">
        <v>8030</v>
      </c>
      <c r="K3298" s="8" t="n">
        <v>7915</v>
      </c>
      <c r="L3298" s="8" t="n">
        <v>378661</v>
      </c>
      <c r="M3298" s="8" t="n">
        <v>318279</v>
      </c>
      <c r="N3298" t="inlineStr">
        <is>
          <t>是</t>
        </is>
      </c>
    </row>
    <row r="3299">
      <c r="A3299" s="7" t="inlineStr">
        <is>
          <t>2021-02-01</t>
        </is>
      </c>
      <c r="B3299" s="8" t="n">
        <v>8163</v>
      </c>
      <c r="C3299" s="8" t="n">
        <v>8300</v>
      </c>
      <c r="D3299" s="8" t="n">
        <v>8360</v>
      </c>
      <c r="E3299" s="8" t="n">
        <v>8160</v>
      </c>
      <c r="F3299" s="8" t="n">
        <v>531089</v>
      </c>
      <c r="G3299" s="8" t="n">
        <v>313762</v>
      </c>
      <c r="H3299" s="8" t="n">
        <v>7865</v>
      </c>
      <c r="I3299" s="8" t="n">
        <v>8000</v>
      </c>
      <c r="J3299" s="8" t="n">
        <v>8065</v>
      </c>
      <c r="K3299" s="8" t="n">
        <v>7855</v>
      </c>
      <c r="L3299" s="8" t="n">
        <v>374172</v>
      </c>
      <c r="M3299" s="8" t="n">
        <v>304107</v>
      </c>
      <c r="N3299" t="inlineStr">
        <is>
          <t>是</t>
        </is>
      </c>
    </row>
    <row r="3300">
      <c r="A3300" s="7" t="inlineStr">
        <is>
          <t>2021-02-02</t>
        </is>
      </c>
      <c r="B3300" s="8" t="n">
        <v>8166</v>
      </c>
      <c r="C3300" s="8" t="n">
        <v>8189</v>
      </c>
      <c r="D3300" s="8" t="n">
        <v>8209</v>
      </c>
      <c r="E3300" s="8" t="n">
        <v>8121</v>
      </c>
      <c r="F3300" s="8" t="n">
        <v>434302</v>
      </c>
      <c r="G3300" s="8" t="n">
        <v>302190</v>
      </c>
      <c r="H3300" s="8" t="n">
        <v>7860</v>
      </c>
      <c r="I3300" s="8" t="n">
        <v>7870</v>
      </c>
      <c r="J3300" s="8" t="n">
        <v>7910</v>
      </c>
      <c r="K3300" s="8" t="n">
        <v>7805</v>
      </c>
      <c r="L3300" s="8" t="n">
        <v>301928</v>
      </c>
      <c r="M3300" s="8" t="n">
        <v>299158</v>
      </c>
      <c r="N3300" t="inlineStr">
        <is>
          <t>是</t>
        </is>
      </c>
    </row>
    <row r="3301">
      <c r="A3301" s="7" t="inlineStr">
        <is>
          <t>2021-02-03</t>
        </is>
      </c>
      <c r="B3301" s="8" t="n">
        <v>8241</v>
      </c>
      <c r="C3301" s="8" t="n">
        <v>8180</v>
      </c>
      <c r="D3301" s="8" t="n">
        <v>8245</v>
      </c>
      <c r="E3301" s="8" t="n">
        <v>8107</v>
      </c>
      <c r="F3301" s="8" t="n">
        <v>474057</v>
      </c>
      <c r="G3301" s="8" t="n">
        <v>301099</v>
      </c>
      <c r="H3301" s="8" t="n">
        <v>7980</v>
      </c>
      <c r="I3301" s="8" t="n">
        <v>7880</v>
      </c>
      <c r="J3301" s="8" t="n">
        <v>7995</v>
      </c>
      <c r="K3301" s="8" t="n">
        <v>7835</v>
      </c>
      <c r="L3301" s="8" t="n">
        <v>307188</v>
      </c>
      <c r="M3301" s="8" t="n">
        <v>321199</v>
      </c>
      <c r="N3301" t="inlineStr">
        <is>
          <t>是</t>
        </is>
      </c>
    </row>
    <row r="3302">
      <c r="A3302" s="7" t="inlineStr">
        <is>
          <t>2021-02-04</t>
        </is>
      </c>
      <c r="B3302" s="8" t="n">
        <v>8335</v>
      </c>
      <c r="C3302" s="8" t="n">
        <v>8241</v>
      </c>
      <c r="D3302" s="8" t="n">
        <v>8337</v>
      </c>
      <c r="E3302" s="8" t="n">
        <v>8185</v>
      </c>
      <c r="F3302" s="8" t="n">
        <v>456133</v>
      </c>
      <c r="G3302" s="8" t="n">
        <v>323835</v>
      </c>
      <c r="H3302" s="8" t="n">
        <v>8085</v>
      </c>
      <c r="I3302" s="8" t="n">
        <v>7995</v>
      </c>
      <c r="J3302" s="8" t="n">
        <v>8085</v>
      </c>
      <c r="K3302" s="8" t="n">
        <v>7930</v>
      </c>
      <c r="L3302" s="8" t="n">
        <v>333482</v>
      </c>
      <c r="M3302" s="8" t="n">
        <v>339712</v>
      </c>
      <c r="N3302" t="inlineStr">
        <is>
          <t>是</t>
        </is>
      </c>
    </row>
    <row r="3303">
      <c r="A3303" s="7" t="inlineStr">
        <is>
          <t>2021-02-05</t>
        </is>
      </c>
      <c r="B3303" s="8" t="n">
        <v>8342</v>
      </c>
      <c r="C3303" s="8" t="n">
        <v>8326</v>
      </c>
      <c r="D3303" s="8" t="n">
        <v>8419</v>
      </c>
      <c r="E3303" s="8" t="n">
        <v>8297</v>
      </c>
      <c r="F3303" s="8" t="n">
        <v>499824</v>
      </c>
      <c r="G3303" s="8" t="n">
        <v>334474</v>
      </c>
      <c r="H3303" s="8" t="n">
        <v>8045</v>
      </c>
      <c r="I3303" s="8" t="n">
        <v>8080</v>
      </c>
      <c r="J3303" s="8" t="n">
        <v>8115</v>
      </c>
      <c r="K3303" s="8" t="n">
        <v>8020</v>
      </c>
      <c r="L3303" s="8" t="n">
        <v>284193</v>
      </c>
      <c r="M3303" s="8" t="n">
        <v>332243</v>
      </c>
      <c r="N3303" t="inlineStr">
        <is>
          <t>是</t>
        </is>
      </c>
    </row>
    <row r="3304">
      <c r="A3304" s="7" t="inlineStr">
        <is>
          <t>2021-02-08</t>
        </is>
      </c>
      <c r="B3304" s="8" t="n">
        <v>8331</v>
      </c>
      <c r="C3304" s="8" t="n">
        <v>8342</v>
      </c>
      <c r="D3304" s="8" t="n">
        <v>8384</v>
      </c>
      <c r="E3304" s="8" t="n">
        <v>8280</v>
      </c>
      <c r="F3304" s="8" t="n">
        <v>463070</v>
      </c>
      <c r="G3304" s="8" t="n">
        <v>312709</v>
      </c>
      <c r="H3304" s="8" t="n">
        <v>8030</v>
      </c>
      <c r="I3304" s="8" t="n">
        <v>8050</v>
      </c>
      <c r="J3304" s="8" t="n">
        <v>8120</v>
      </c>
      <c r="K3304" s="8" t="n">
        <v>7980</v>
      </c>
      <c r="L3304" s="8" t="n">
        <v>297749</v>
      </c>
      <c r="M3304" s="8" t="n">
        <v>325443</v>
      </c>
      <c r="N3304" t="inlineStr">
        <is>
          <t>是</t>
        </is>
      </c>
    </row>
    <row r="3305">
      <c r="A3305" s="7" t="inlineStr">
        <is>
          <t>2021-02-09</t>
        </is>
      </c>
      <c r="B3305" s="8" t="n">
        <v>8250</v>
      </c>
      <c r="C3305" s="8" t="n">
        <v>8357</v>
      </c>
      <c r="D3305" s="8" t="n">
        <v>8360</v>
      </c>
      <c r="E3305" s="8" t="n">
        <v>8207</v>
      </c>
      <c r="F3305" s="8" t="n">
        <v>460029</v>
      </c>
      <c r="G3305" s="8" t="n">
        <v>282735</v>
      </c>
      <c r="H3305" s="8" t="n">
        <v>7995</v>
      </c>
      <c r="I3305" s="8" t="n">
        <v>8030</v>
      </c>
      <c r="J3305" s="8" t="n">
        <v>8075</v>
      </c>
      <c r="K3305" s="8" t="n">
        <v>7925</v>
      </c>
      <c r="L3305" s="8" t="n">
        <v>292385</v>
      </c>
      <c r="M3305" s="8" t="n">
        <v>307343</v>
      </c>
      <c r="N3305" t="inlineStr">
        <is>
          <t>是</t>
        </is>
      </c>
    </row>
    <row r="3306">
      <c r="A3306" s="7" t="inlineStr">
        <is>
          <t>2021-02-10</t>
        </is>
      </c>
      <c r="B3306" s="8" t="n">
        <v>8203</v>
      </c>
      <c r="C3306" s="8" t="n">
        <v>8250</v>
      </c>
      <c r="D3306" s="8" t="n">
        <v>8268</v>
      </c>
      <c r="E3306" s="8" t="n">
        <v>8125</v>
      </c>
      <c r="F3306" s="8" t="n">
        <v>448201</v>
      </c>
      <c r="G3306" s="8" t="n">
        <v>260717</v>
      </c>
      <c r="H3306" s="8" t="n">
        <v>7955</v>
      </c>
      <c r="I3306" s="8" t="n">
        <v>7970</v>
      </c>
      <c r="J3306" s="8" t="n">
        <v>8010</v>
      </c>
      <c r="K3306" s="8" t="n">
        <v>7905</v>
      </c>
      <c r="L3306" s="8" t="n">
        <v>221131</v>
      </c>
      <c r="M3306" s="8" t="n">
        <v>290582</v>
      </c>
      <c r="N3306" t="inlineStr">
        <is>
          <t>是</t>
        </is>
      </c>
    </row>
    <row r="3307">
      <c r="A3307" s="7" t="inlineStr">
        <is>
          <t>2021-02-18</t>
        </is>
      </c>
      <c r="B3307" s="8" t="n">
        <v>8772</v>
      </c>
      <c r="C3307" s="8" t="n">
        <v>8500</v>
      </c>
      <c r="D3307" s="8" t="n">
        <v>8788</v>
      </c>
      <c r="E3307" s="8" t="n">
        <v>8450</v>
      </c>
      <c r="F3307" s="8" t="n">
        <v>538072</v>
      </c>
      <c r="G3307" s="8" t="n">
        <v>302375</v>
      </c>
      <c r="H3307" s="8" t="n">
        <v>8585</v>
      </c>
      <c r="I3307" s="8" t="n">
        <v>8300</v>
      </c>
      <c r="J3307" s="8" t="n">
        <v>8605</v>
      </c>
      <c r="K3307" s="8" t="n">
        <v>8220</v>
      </c>
      <c r="L3307" s="8" t="n">
        <v>367240</v>
      </c>
      <c r="M3307" s="8" t="n">
        <v>330731</v>
      </c>
      <c r="N3307" t="inlineStr">
        <is>
          <t>是</t>
        </is>
      </c>
    </row>
    <row r="3308">
      <c r="A3308" s="7" t="inlineStr">
        <is>
          <t>2021-02-19</t>
        </is>
      </c>
      <c r="B3308" s="8" t="n">
        <v>8903</v>
      </c>
      <c r="C3308" s="8" t="n">
        <v>8772</v>
      </c>
      <c r="D3308" s="8" t="n">
        <v>8911</v>
      </c>
      <c r="E3308" s="8" t="n">
        <v>8711</v>
      </c>
      <c r="F3308" s="8" t="n">
        <v>630389</v>
      </c>
      <c r="G3308" s="8" t="n">
        <v>339400</v>
      </c>
      <c r="H3308" s="8" t="n">
        <v>8795</v>
      </c>
      <c r="I3308" s="8" t="n">
        <v>8590</v>
      </c>
      <c r="J3308" s="8" t="n">
        <v>8825</v>
      </c>
      <c r="K3308" s="8" t="n">
        <v>8520</v>
      </c>
      <c r="L3308" s="8" t="n">
        <v>547335</v>
      </c>
      <c r="M3308" s="8" t="n">
        <v>380137</v>
      </c>
      <c r="N3308" t="inlineStr">
        <is>
          <t>是</t>
        </is>
      </c>
    </row>
    <row r="3309">
      <c r="A3309" s="7" t="inlineStr">
        <is>
          <t>2021-02-22</t>
        </is>
      </c>
      <c r="B3309" s="8" t="n">
        <v>9336</v>
      </c>
      <c r="C3309" s="8" t="n">
        <v>8898</v>
      </c>
      <c r="D3309" s="8" t="n">
        <v>9413</v>
      </c>
      <c r="E3309" s="8" t="n">
        <v>8864</v>
      </c>
      <c r="F3309" s="8" t="n">
        <v>864218</v>
      </c>
      <c r="G3309" s="8" t="n">
        <v>322179</v>
      </c>
      <c r="H3309" s="8" t="n">
        <v>8995</v>
      </c>
      <c r="I3309" s="8" t="n">
        <v>8800</v>
      </c>
      <c r="J3309" s="8" t="n">
        <v>9145</v>
      </c>
      <c r="K3309" s="8" t="n">
        <v>8760</v>
      </c>
      <c r="L3309" s="8" t="n">
        <v>658351</v>
      </c>
      <c r="M3309" s="8" t="n">
        <v>359400</v>
      </c>
      <c r="N3309" t="inlineStr">
        <is>
          <t>是</t>
        </is>
      </c>
    </row>
    <row r="3310">
      <c r="A3310" s="7" t="inlineStr">
        <is>
          <t>2021-02-23</t>
        </is>
      </c>
      <c r="B3310" s="8" t="n">
        <v>9187</v>
      </c>
      <c r="C3310" s="8" t="n">
        <v>9327</v>
      </c>
      <c r="D3310" s="8" t="n">
        <v>9440</v>
      </c>
      <c r="E3310" s="8" t="n">
        <v>9102</v>
      </c>
      <c r="F3310" s="8" t="n">
        <v>809667</v>
      </c>
      <c r="G3310" s="8" t="n">
        <v>305659</v>
      </c>
      <c r="H3310" s="8" t="n">
        <v>8840</v>
      </c>
      <c r="I3310" s="8" t="n">
        <v>8970</v>
      </c>
      <c r="J3310" s="8" t="n">
        <v>9120</v>
      </c>
      <c r="K3310" s="8" t="n">
        <v>8745</v>
      </c>
      <c r="L3310" s="8" t="n">
        <v>698230</v>
      </c>
      <c r="M3310" s="8" t="n">
        <v>348254</v>
      </c>
      <c r="N3310" t="inlineStr">
        <is>
          <t>是</t>
        </is>
      </c>
    </row>
    <row r="3311">
      <c r="A3311" s="7" t="inlineStr">
        <is>
          <t>2021-02-24</t>
        </is>
      </c>
      <c r="B3311" s="8" t="n">
        <v>9170</v>
      </c>
      <c r="C3311" s="8" t="n">
        <v>9150</v>
      </c>
      <c r="D3311" s="8" t="n">
        <v>9330</v>
      </c>
      <c r="E3311" s="8" t="n">
        <v>9147</v>
      </c>
      <c r="F3311" s="8" t="n">
        <v>595558</v>
      </c>
      <c r="G3311" s="8" t="n">
        <v>305799</v>
      </c>
      <c r="H3311" s="8" t="n">
        <v>8735</v>
      </c>
      <c r="I3311" s="8" t="n">
        <v>8820</v>
      </c>
      <c r="J3311" s="8" t="n">
        <v>8980</v>
      </c>
      <c r="K3311" s="8" t="n">
        <v>8735</v>
      </c>
      <c r="L3311" s="8" t="n">
        <v>588900</v>
      </c>
      <c r="M3311" s="8" t="n">
        <v>330014</v>
      </c>
      <c r="N3311" t="inlineStr">
        <is>
          <t>是</t>
        </is>
      </c>
    </row>
    <row r="3312">
      <c r="A3312" s="7" t="inlineStr">
        <is>
          <t>2021-02-25</t>
        </is>
      </c>
      <c r="B3312" s="8" t="n">
        <v>9339</v>
      </c>
      <c r="C3312" s="8" t="n">
        <v>9200</v>
      </c>
      <c r="D3312" s="8" t="n">
        <v>9470</v>
      </c>
      <c r="E3312" s="8" t="n">
        <v>9149</v>
      </c>
      <c r="F3312" s="8" t="n">
        <v>869024</v>
      </c>
      <c r="G3312" s="8" t="n">
        <v>308559</v>
      </c>
      <c r="H3312" s="8" t="n">
        <v>8895</v>
      </c>
      <c r="I3312" s="8" t="n">
        <v>8770</v>
      </c>
      <c r="J3312" s="8" t="n">
        <v>9075</v>
      </c>
      <c r="K3312" s="8" t="n">
        <v>8680</v>
      </c>
      <c r="L3312" s="8" t="n">
        <v>733927</v>
      </c>
      <c r="M3312" s="8" t="n">
        <v>336943</v>
      </c>
      <c r="N3312" t="inlineStr">
        <is>
          <t>是</t>
        </is>
      </c>
    </row>
    <row r="3313">
      <c r="A3313" s="7" t="inlineStr">
        <is>
          <t>2021-02-26</t>
        </is>
      </c>
      <c r="B3313" s="8" t="n">
        <v>9347</v>
      </c>
      <c r="C3313" s="8" t="n">
        <v>9340</v>
      </c>
      <c r="D3313" s="8" t="n">
        <v>9502</v>
      </c>
      <c r="E3313" s="8" t="n">
        <v>9220</v>
      </c>
      <c r="F3313" s="8" t="n">
        <v>849740</v>
      </c>
      <c r="G3313" s="8" t="n">
        <v>325637</v>
      </c>
      <c r="H3313" s="8" t="n">
        <v>8885</v>
      </c>
      <c r="I3313" s="8" t="n">
        <v>8905</v>
      </c>
      <c r="J3313" s="8" t="n">
        <v>9000</v>
      </c>
      <c r="K3313" s="8" t="n">
        <v>8720</v>
      </c>
      <c r="L3313" s="8" t="n">
        <v>588458</v>
      </c>
      <c r="M3313" s="8" t="n">
        <v>323330</v>
      </c>
      <c r="N3313" t="inlineStr">
        <is>
          <t>是</t>
        </is>
      </c>
    </row>
    <row r="3314">
      <c r="A3314" s="7" t="inlineStr">
        <is>
          <t>2021-03-01</t>
        </is>
      </c>
      <c r="B3314" s="8" t="n">
        <v>9290</v>
      </c>
      <c r="C3314" s="8" t="n">
        <v>9347</v>
      </c>
      <c r="D3314" s="8" t="n">
        <v>9494</v>
      </c>
      <c r="E3314" s="8" t="n">
        <v>9185</v>
      </c>
      <c r="F3314" s="8" t="n">
        <v>846703</v>
      </c>
      <c r="G3314" s="8" t="n">
        <v>301812</v>
      </c>
      <c r="H3314" s="8" t="n">
        <v>8795</v>
      </c>
      <c r="I3314" s="8" t="n">
        <v>8850</v>
      </c>
      <c r="J3314" s="8" t="n">
        <v>8960</v>
      </c>
      <c r="K3314" s="8" t="n">
        <v>8680</v>
      </c>
      <c r="L3314" s="8" t="n">
        <v>615181</v>
      </c>
      <c r="M3314" s="8" t="n">
        <v>308280</v>
      </c>
      <c r="N3314" t="inlineStr">
        <is>
          <t>是</t>
        </is>
      </c>
    </row>
    <row r="3315">
      <c r="A3315" s="7" t="inlineStr">
        <is>
          <t>2021-03-02</t>
        </is>
      </c>
      <c r="B3315" s="8" t="n">
        <v>9294</v>
      </c>
      <c r="C3315" s="8" t="n">
        <v>9257</v>
      </c>
      <c r="D3315" s="8" t="n">
        <v>9336</v>
      </c>
      <c r="E3315" s="8" t="n">
        <v>9087</v>
      </c>
      <c r="F3315" s="8" t="n">
        <v>738268</v>
      </c>
      <c r="G3315" s="8" t="n">
        <v>300498</v>
      </c>
      <c r="H3315" s="8" t="n">
        <v>8905</v>
      </c>
      <c r="I3315" s="8" t="n">
        <v>8780</v>
      </c>
      <c r="J3315" s="8" t="n">
        <v>8945</v>
      </c>
      <c r="K3315" s="8" t="n">
        <v>8645</v>
      </c>
      <c r="L3315" s="8" t="n">
        <v>560325</v>
      </c>
      <c r="M3315" s="8" t="n">
        <v>323727</v>
      </c>
      <c r="N3315" t="inlineStr">
        <is>
          <t>是</t>
        </is>
      </c>
    </row>
    <row r="3316">
      <c r="A3316" s="7" t="inlineStr">
        <is>
          <t>2021-03-03</t>
        </is>
      </c>
      <c r="B3316" s="8" t="n">
        <v>9370</v>
      </c>
      <c r="C3316" s="8" t="n">
        <v>9320</v>
      </c>
      <c r="D3316" s="8" t="n">
        <v>9395</v>
      </c>
      <c r="E3316" s="8" t="n">
        <v>9242</v>
      </c>
      <c r="F3316" s="8" t="n">
        <v>641023</v>
      </c>
      <c r="G3316" s="8" t="n">
        <v>297499</v>
      </c>
      <c r="H3316" s="8" t="n">
        <v>9035</v>
      </c>
      <c r="I3316" s="8" t="n">
        <v>8930</v>
      </c>
      <c r="J3316" s="8" t="n">
        <v>9075</v>
      </c>
      <c r="K3316" s="8" t="n">
        <v>8865</v>
      </c>
      <c r="L3316" s="8" t="n">
        <v>690133</v>
      </c>
      <c r="M3316" s="8" t="n">
        <v>350801</v>
      </c>
      <c r="N3316" t="inlineStr">
        <is>
          <t>是</t>
        </is>
      </c>
    </row>
    <row r="3317">
      <c r="A3317" s="7" t="inlineStr">
        <is>
          <t>2021-03-04</t>
        </is>
      </c>
      <c r="B3317" s="8" t="n">
        <v>9295</v>
      </c>
      <c r="C3317" s="8" t="n">
        <v>9370</v>
      </c>
      <c r="D3317" s="8" t="n">
        <v>9495</v>
      </c>
      <c r="E3317" s="8" t="n">
        <v>9285</v>
      </c>
      <c r="F3317" s="8" t="n">
        <v>718764</v>
      </c>
      <c r="G3317" s="8" t="n">
        <v>297553</v>
      </c>
      <c r="H3317" s="8" t="n">
        <v>8940</v>
      </c>
      <c r="I3317" s="8" t="n">
        <v>9030</v>
      </c>
      <c r="J3317" s="8" t="n">
        <v>9255</v>
      </c>
      <c r="K3317" s="8" t="n">
        <v>8920</v>
      </c>
      <c r="L3317" s="8" t="n">
        <v>814938</v>
      </c>
      <c r="M3317" s="8" t="n">
        <v>346266</v>
      </c>
      <c r="N3317" t="inlineStr">
        <is>
          <t>是</t>
        </is>
      </c>
    </row>
    <row r="3318">
      <c r="A3318" s="7" t="inlineStr">
        <is>
          <t>2021-03-05</t>
        </is>
      </c>
      <c r="B3318" s="8" t="n">
        <v>9331</v>
      </c>
      <c r="C3318" s="8" t="n">
        <v>9295</v>
      </c>
      <c r="D3318" s="8" t="n">
        <v>9411</v>
      </c>
      <c r="E3318" s="8" t="n">
        <v>9211</v>
      </c>
      <c r="F3318" s="8" t="n">
        <v>562810</v>
      </c>
      <c r="G3318" s="8" t="n">
        <v>295047</v>
      </c>
      <c r="H3318" s="8" t="n">
        <v>8930</v>
      </c>
      <c r="I3318" s="8" t="n">
        <v>8940</v>
      </c>
      <c r="J3318" s="8" t="n">
        <v>9000</v>
      </c>
      <c r="K3318" s="8" t="n">
        <v>8790</v>
      </c>
      <c r="L3318" s="8" t="n">
        <v>718600</v>
      </c>
      <c r="M3318" s="8" t="n">
        <v>295751</v>
      </c>
      <c r="N3318" t="inlineStr">
        <is>
          <t>是</t>
        </is>
      </c>
    </row>
    <row r="3319">
      <c r="A3319" s="7" t="inlineStr">
        <is>
          <t>2021-03-08</t>
        </is>
      </c>
      <c r="B3319" s="8" t="n">
        <v>9582</v>
      </c>
      <c r="C3319" s="8" t="n">
        <v>9360</v>
      </c>
      <c r="D3319" s="8" t="n">
        <v>9660</v>
      </c>
      <c r="E3319" s="8" t="n">
        <v>9321</v>
      </c>
      <c r="F3319" s="8" t="n">
        <v>630413</v>
      </c>
      <c r="G3319" s="8" t="n">
        <v>319554</v>
      </c>
      <c r="H3319" s="8" t="n">
        <v>9145</v>
      </c>
      <c r="I3319" s="8" t="n">
        <v>8935</v>
      </c>
      <c r="J3319" s="8" t="n">
        <v>9265</v>
      </c>
      <c r="K3319" s="8" t="n">
        <v>8895</v>
      </c>
      <c r="L3319" s="8" t="n">
        <v>619552</v>
      </c>
      <c r="M3319" s="8" t="n">
        <v>291027</v>
      </c>
      <c r="N3319" t="inlineStr">
        <is>
          <t>是</t>
        </is>
      </c>
    </row>
    <row r="3320">
      <c r="A3320" s="7" t="inlineStr">
        <is>
          <t>2021-03-09</t>
        </is>
      </c>
      <c r="B3320" s="8" t="n">
        <v>9245</v>
      </c>
      <c r="C3320" s="8" t="n">
        <v>9557</v>
      </c>
      <c r="D3320" s="8" t="n">
        <v>9568</v>
      </c>
      <c r="E3320" s="8" t="n">
        <v>9242</v>
      </c>
      <c r="F3320" s="8" t="n">
        <v>530741</v>
      </c>
      <c r="G3320" s="8" t="n">
        <v>286882</v>
      </c>
      <c r="H3320" s="8" t="n">
        <v>8930</v>
      </c>
      <c r="I3320" s="8" t="n">
        <v>9120</v>
      </c>
      <c r="J3320" s="8" t="n">
        <v>9180</v>
      </c>
      <c r="K3320" s="8" t="n">
        <v>8925</v>
      </c>
      <c r="L3320" s="8" t="n">
        <v>521860</v>
      </c>
      <c r="M3320" s="8" t="n">
        <v>287986</v>
      </c>
      <c r="N3320" t="inlineStr">
        <is>
          <t>是</t>
        </is>
      </c>
    </row>
    <row r="3321">
      <c r="A3321" s="7" t="inlineStr">
        <is>
          <t>2021-03-10</t>
        </is>
      </c>
      <c r="B3321" s="8" t="n">
        <v>9182</v>
      </c>
      <c r="C3321" s="8" t="n">
        <v>9300</v>
      </c>
      <c r="D3321" s="8" t="n">
        <v>9388</v>
      </c>
      <c r="E3321" s="8" t="n">
        <v>9163</v>
      </c>
      <c r="F3321" s="8" t="n">
        <v>661462</v>
      </c>
      <c r="G3321" s="8" t="n">
        <v>285784</v>
      </c>
      <c r="H3321" s="8" t="n">
        <v>8765</v>
      </c>
      <c r="I3321" s="8" t="n">
        <v>8970</v>
      </c>
      <c r="J3321" s="8" t="n">
        <v>9035</v>
      </c>
      <c r="K3321" s="8" t="n">
        <v>8745</v>
      </c>
      <c r="L3321" s="8" t="n">
        <v>575373</v>
      </c>
      <c r="M3321" s="8" t="n">
        <v>266312</v>
      </c>
      <c r="N3321" t="inlineStr">
        <is>
          <t>是</t>
        </is>
      </c>
    </row>
    <row r="3322">
      <c r="A3322" s="7" t="inlineStr">
        <is>
          <t>2021-03-11</t>
        </is>
      </c>
      <c r="B3322" s="8" t="n">
        <v>9306</v>
      </c>
      <c r="C3322" s="8" t="n">
        <v>9215</v>
      </c>
      <c r="D3322" s="8" t="n">
        <v>9315</v>
      </c>
      <c r="E3322" s="8" t="n">
        <v>9130</v>
      </c>
      <c r="F3322" s="8" t="n">
        <v>541144</v>
      </c>
      <c r="G3322" s="8" t="n">
        <v>284246</v>
      </c>
      <c r="H3322" s="8" t="n">
        <v>8975</v>
      </c>
      <c r="I3322" s="8" t="n">
        <v>8800</v>
      </c>
      <c r="J3322" s="8" t="n">
        <v>8990</v>
      </c>
      <c r="K3322" s="8" t="n">
        <v>8750</v>
      </c>
      <c r="L3322" s="8" t="n">
        <v>490980</v>
      </c>
      <c r="M3322" s="8" t="n">
        <v>255219</v>
      </c>
      <c r="N3322" t="inlineStr">
        <is>
          <t>是</t>
        </is>
      </c>
    </row>
    <row r="3323">
      <c r="A3323" s="7" t="inlineStr">
        <is>
          <t>2021-03-12</t>
        </is>
      </c>
      <c r="B3323" s="8" t="n">
        <v>9430</v>
      </c>
      <c r="C3323" s="8" t="n">
        <v>9350</v>
      </c>
      <c r="D3323" s="8" t="n">
        <v>9442</v>
      </c>
      <c r="E3323" s="8" t="n">
        <v>9306</v>
      </c>
      <c r="F3323" s="8" t="n">
        <v>556210</v>
      </c>
      <c r="G3323" s="8" t="n">
        <v>289893</v>
      </c>
      <c r="H3323" s="8" t="n">
        <v>9030</v>
      </c>
      <c r="I3323" s="8" t="n">
        <v>8960</v>
      </c>
      <c r="J3323" s="8" t="n">
        <v>9125</v>
      </c>
      <c r="K3323" s="8" t="n">
        <v>8920</v>
      </c>
      <c r="L3323" s="8" t="n">
        <v>523535</v>
      </c>
      <c r="M3323" s="8" t="n">
        <v>259524</v>
      </c>
      <c r="N3323" t="inlineStr">
        <is>
          <t>是</t>
        </is>
      </c>
    </row>
    <row r="3324">
      <c r="A3324" s="7" t="inlineStr">
        <is>
          <t>2021-03-15</t>
        </is>
      </c>
      <c r="B3324" s="8" t="n">
        <v>9458</v>
      </c>
      <c r="C3324" s="8" t="n">
        <v>9393</v>
      </c>
      <c r="D3324" s="8" t="n">
        <v>9550</v>
      </c>
      <c r="E3324" s="8" t="n">
        <v>9367</v>
      </c>
      <c r="F3324" s="8" t="n">
        <v>601412</v>
      </c>
      <c r="G3324" s="8" t="n">
        <v>284667</v>
      </c>
      <c r="H3324" s="8" t="n">
        <v>9080</v>
      </c>
      <c r="I3324" s="8" t="n">
        <v>9030</v>
      </c>
      <c r="J3324" s="8" t="n">
        <v>9165</v>
      </c>
      <c r="K3324" s="8" t="n">
        <v>8950</v>
      </c>
      <c r="L3324" s="8" t="n">
        <v>603240</v>
      </c>
      <c r="M3324" s="8" t="n">
        <v>266675</v>
      </c>
      <c r="N3324" t="inlineStr">
        <is>
          <t>是</t>
        </is>
      </c>
    </row>
    <row r="3325">
      <c r="A3325" s="7" t="inlineStr">
        <is>
          <t>2021-03-16</t>
        </is>
      </c>
      <c r="B3325" s="8" t="n">
        <v>9410</v>
      </c>
      <c r="C3325" s="8" t="n">
        <v>9458</v>
      </c>
      <c r="D3325" s="8" t="n">
        <v>9566</v>
      </c>
      <c r="E3325" s="8" t="n">
        <v>9410</v>
      </c>
      <c r="F3325" s="8" t="n">
        <v>613730</v>
      </c>
      <c r="G3325" s="8" t="n">
        <v>288257</v>
      </c>
      <c r="H3325" s="8" t="n">
        <v>8980</v>
      </c>
      <c r="I3325" s="8" t="n">
        <v>9040</v>
      </c>
      <c r="J3325" s="8" t="n">
        <v>9210</v>
      </c>
      <c r="K3325" s="8" t="n">
        <v>8965</v>
      </c>
      <c r="L3325" s="8" t="n">
        <v>559281</v>
      </c>
      <c r="M3325" s="8" t="n">
        <v>269021</v>
      </c>
      <c r="N3325" t="inlineStr">
        <is>
          <t>是</t>
        </is>
      </c>
    </row>
    <row r="3326">
      <c r="A3326" s="7" t="inlineStr">
        <is>
          <t>2021-03-17</t>
        </is>
      </c>
      <c r="B3326" s="8" t="n">
        <v>9310</v>
      </c>
      <c r="C3326" s="8" t="n">
        <v>9400</v>
      </c>
      <c r="D3326" s="8" t="n">
        <v>9401</v>
      </c>
      <c r="E3326" s="8" t="n">
        <v>9227</v>
      </c>
      <c r="F3326" s="8" t="n">
        <v>665324</v>
      </c>
      <c r="G3326" s="8" t="n">
        <v>268414</v>
      </c>
      <c r="H3326" s="8" t="n">
        <v>8885</v>
      </c>
      <c r="I3326" s="8" t="n">
        <v>8960</v>
      </c>
      <c r="J3326" s="8" t="n">
        <v>9000</v>
      </c>
      <c r="K3326" s="8" t="n">
        <v>8840</v>
      </c>
      <c r="L3326" s="8" t="n">
        <v>475875</v>
      </c>
      <c r="M3326" s="8" t="n">
        <v>259686</v>
      </c>
      <c r="N3326" t="inlineStr">
        <is>
          <t>是</t>
        </is>
      </c>
    </row>
    <row r="3327">
      <c r="A3327" s="7" t="inlineStr">
        <is>
          <t>2021-03-18</t>
        </is>
      </c>
      <c r="B3327" s="8" t="n">
        <v>9207</v>
      </c>
      <c r="C3327" s="8" t="n">
        <v>9280</v>
      </c>
      <c r="D3327" s="8" t="n">
        <v>9326</v>
      </c>
      <c r="E3327" s="8" t="n">
        <v>9166</v>
      </c>
      <c r="F3327" s="8" t="n">
        <v>586366</v>
      </c>
      <c r="G3327" s="8" t="n">
        <v>266185</v>
      </c>
      <c r="H3327" s="8" t="n">
        <v>8800</v>
      </c>
      <c r="I3327" s="8" t="n">
        <v>8870</v>
      </c>
      <c r="J3327" s="8" t="n">
        <v>8920</v>
      </c>
      <c r="K3327" s="8" t="n">
        <v>8775</v>
      </c>
      <c r="L3327" s="8" t="n">
        <v>508924</v>
      </c>
      <c r="M3327" s="8" t="n">
        <v>260181</v>
      </c>
      <c r="N3327" t="inlineStr">
        <is>
          <t>是</t>
        </is>
      </c>
    </row>
    <row r="3328">
      <c r="A3328" s="7" t="inlineStr">
        <is>
          <t>2021-03-19</t>
        </is>
      </c>
      <c r="B3328" s="8" t="n">
        <v>9033</v>
      </c>
      <c r="C3328" s="8" t="n">
        <v>9200</v>
      </c>
      <c r="D3328" s="8" t="n">
        <v>9218</v>
      </c>
      <c r="E3328" s="8" t="n">
        <v>8928</v>
      </c>
      <c r="F3328" s="8" t="n">
        <v>855995</v>
      </c>
      <c r="G3328" s="8" t="n">
        <v>268347</v>
      </c>
      <c r="H3328" s="8" t="n">
        <v>8645</v>
      </c>
      <c r="I3328" s="8" t="n">
        <v>8795</v>
      </c>
      <c r="J3328" s="8" t="n">
        <v>8805</v>
      </c>
      <c r="K3328" s="8" t="n">
        <v>8620</v>
      </c>
      <c r="L3328" s="8" t="n">
        <v>606735</v>
      </c>
      <c r="M3328" s="8" t="n">
        <v>257763</v>
      </c>
      <c r="N3328" t="inlineStr">
        <is>
          <t>是</t>
        </is>
      </c>
    </row>
    <row r="3329">
      <c r="A3329" s="7" t="inlineStr">
        <is>
          <t>2021-03-22</t>
        </is>
      </c>
      <c r="B3329" s="8" t="n">
        <v>9041</v>
      </c>
      <c r="C3329" s="8" t="n">
        <v>9033</v>
      </c>
      <c r="D3329" s="8" t="n">
        <v>9200</v>
      </c>
      <c r="E3329" s="8" t="n">
        <v>9015</v>
      </c>
      <c r="F3329" s="8" t="n">
        <v>589011</v>
      </c>
      <c r="G3329" s="8" t="n">
        <v>261500</v>
      </c>
      <c r="H3329" s="8" t="n">
        <v>8670</v>
      </c>
      <c r="I3329" s="8" t="n">
        <v>8645</v>
      </c>
      <c r="J3329" s="8" t="n">
        <v>8810</v>
      </c>
      <c r="K3329" s="8" t="n">
        <v>8640</v>
      </c>
      <c r="L3329" s="8" t="n">
        <v>426185</v>
      </c>
      <c r="M3329" s="8" t="n">
        <v>263865</v>
      </c>
      <c r="N3329" t="inlineStr">
        <is>
          <t>是</t>
        </is>
      </c>
    </row>
    <row r="3330">
      <c r="A3330" s="7" t="inlineStr">
        <is>
          <t>2021-03-23</t>
        </is>
      </c>
      <c r="B3330" s="8" t="n">
        <v>8884</v>
      </c>
      <c r="C3330" s="8" t="n">
        <v>9041</v>
      </c>
      <c r="D3330" s="8" t="n">
        <v>9070</v>
      </c>
      <c r="E3330" s="8" t="n">
        <v>8852</v>
      </c>
      <c r="F3330" s="8" t="n">
        <v>696042</v>
      </c>
      <c r="G3330" s="8" t="n">
        <v>268359</v>
      </c>
      <c r="H3330" s="8" t="n">
        <v>8555</v>
      </c>
      <c r="I3330" s="8" t="n">
        <v>8675</v>
      </c>
      <c r="J3330" s="8" t="n">
        <v>8695</v>
      </c>
      <c r="K3330" s="8" t="n">
        <v>8485</v>
      </c>
      <c r="L3330" s="8" t="n">
        <v>458359</v>
      </c>
      <c r="M3330" s="8" t="n">
        <v>270313</v>
      </c>
      <c r="N3330" t="inlineStr">
        <is>
          <t>是</t>
        </is>
      </c>
    </row>
    <row r="3331">
      <c r="A3331" s="7" t="inlineStr">
        <is>
          <t>2021-03-24</t>
        </is>
      </c>
      <c r="B3331" s="8" t="n">
        <v>8936</v>
      </c>
      <c r="C3331" s="8" t="n">
        <v>8805</v>
      </c>
      <c r="D3331" s="8" t="n">
        <v>8945</v>
      </c>
      <c r="E3331" s="8" t="n">
        <v>8783</v>
      </c>
      <c r="F3331" s="8" t="n">
        <v>544170</v>
      </c>
      <c r="G3331" s="8" t="n">
        <v>263536</v>
      </c>
      <c r="H3331" s="8" t="n">
        <v>8585</v>
      </c>
      <c r="I3331" s="8" t="n">
        <v>8535</v>
      </c>
      <c r="J3331" s="8" t="n">
        <v>8610</v>
      </c>
      <c r="K3331" s="8" t="n">
        <v>8455</v>
      </c>
      <c r="L3331" s="8" t="n">
        <v>426912</v>
      </c>
      <c r="M3331" s="8" t="n">
        <v>266663</v>
      </c>
      <c r="N3331" t="inlineStr">
        <is>
          <t>是</t>
        </is>
      </c>
    </row>
    <row r="3332">
      <c r="A3332" s="7" t="inlineStr">
        <is>
          <t>2021-03-25</t>
        </is>
      </c>
      <c r="B3332" s="8" t="n">
        <v>8914</v>
      </c>
      <c r="C3332" s="8" t="n">
        <v>8958</v>
      </c>
      <c r="D3332" s="8" t="n">
        <v>9040</v>
      </c>
      <c r="E3332" s="8" t="n">
        <v>8801</v>
      </c>
      <c r="F3332" s="8" t="n">
        <v>631531</v>
      </c>
      <c r="G3332" s="8" t="n">
        <v>254338</v>
      </c>
      <c r="H3332" s="8" t="n">
        <v>8585</v>
      </c>
      <c r="I3332" s="8" t="n">
        <v>8600</v>
      </c>
      <c r="J3332" s="8" t="n">
        <v>8695</v>
      </c>
      <c r="K3332" s="8" t="n">
        <v>8480</v>
      </c>
      <c r="L3332" s="8" t="n">
        <v>419995</v>
      </c>
      <c r="M3332" s="8" t="n">
        <v>251472</v>
      </c>
      <c r="N3332" t="inlineStr">
        <is>
          <t>是</t>
        </is>
      </c>
    </row>
    <row r="3333">
      <c r="A3333" s="7" t="inlineStr">
        <is>
          <t>2021-03-26</t>
        </is>
      </c>
      <c r="B3333" s="8" t="n">
        <v>8953</v>
      </c>
      <c r="C3333" s="8" t="n">
        <v>8896</v>
      </c>
      <c r="D3333" s="8" t="n">
        <v>9020</v>
      </c>
      <c r="E3333" s="8" t="n">
        <v>8852</v>
      </c>
      <c r="F3333" s="8" t="n">
        <v>562495</v>
      </c>
      <c r="G3333" s="8" t="n">
        <v>247392</v>
      </c>
      <c r="H3333" s="8" t="n">
        <v>8645</v>
      </c>
      <c r="I3333" s="8" t="n">
        <v>8555</v>
      </c>
      <c r="J3333" s="8" t="n">
        <v>8650</v>
      </c>
      <c r="K3333" s="8" t="n">
        <v>8510</v>
      </c>
      <c r="L3333" s="8" t="n">
        <v>391415</v>
      </c>
      <c r="M3333" s="8" t="n">
        <v>249516</v>
      </c>
      <c r="N3333" t="inlineStr">
        <is>
          <t>是</t>
        </is>
      </c>
    </row>
    <row r="3334">
      <c r="A3334" s="7" t="inlineStr">
        <is>
          <t>2021-03-29</t>
        </is>
      </c>
      <c r="B3334" s="8" t="n">
        <v>8864</v>
      </c>
      <c r="C3334" s="8" t="n">
        <v>8953</v>
      </c>
      <c r="D3334" s="8" t="n">
        <v>9120</v>
      </c>
      <c r="E3334" s="8" t="n">
        <v>8837</v>
      </c>
      <c r="F3334" s="8" t="n">
        <v>658319</v>
      </c>
      <c r="G3334" s="8" t="n">
        <v>243869</v>
      </c>
      <c r="H3334" s="8" t="n">
        <v>8605</v>
      </c>
      <c r="I3334" s="8" t="n">
        <v>8645</v>
      </c>
      <c r="J3334" s="8" t="n">
        <v>8810</v>
      </c>
      <c r="K3334" s="8" t="n">
        <v>8560</v>
      </c>
      <c r="L3334" s="8" t="n">
        <v>459785</v>
      </c>
      <c r="M3334" s="8" t="n">
        <v>255633</v>
      </c>
      <c r="N3334" t="inlineStr">
        <is>
          <t>是</t>
        </is>
      </c>
    </row>
    <row r="3335">
      <c r="A3335" s="7" t="inlineStr">
        <is>
          <t>2021-03-30</t>
        </is>
      </c>
      <c r="B3335" s="8" t="n">
        <v>8856</v>
      </c>
      <c r="C3335" s="8" t="n">
        <v>8900</v>
      </c>
      <c r="D3335" s="8" t="n">
        <v>9000</v>
      </c>
      <c r="E3335" s="8" t="n">
        <v>8831</v>
      </c>
      <c r="F3335" s="8" t="n">
        <v>572728</v>
      </c>
      <c r="G3335" s="8" t="n">
        <v>236834</v>
      </c>
      <c r="H3335" s="8" t="n">
        <v>8575</v>
      </c>
      <c r="I3335" s="8" t="n">
        <v>8650</v>
      </c>
      <c r="J3335" s="8" t="n">
        <v>8730</v>
      </c>
      <c r="K3335" s="8" t="n">
        <v>8545</v>
      </c>
      <c r="L3335" s="8" t="n">
        <v>389542</v>
      </c>
      <c r="M3335" s="8" t="n">
        <v>255708</v>
      </c>
      <c r="N3335" t="inlineStr">
        <is>
          <t>是</t>
        </is>
      </c>
    </row>
    <row r="3336">
      <c r="A3336" s="7" t="inlineStr">
        <is>
          <t>2021-03-31</t>
        </is>
      </c>
      <c r="B3336" s="8" t="n">
        <v>8759</v>
      </c>
      <c r="C3336" s="8" t="n">
        <v>8840</v>
      </c>
      <c r="D3336" s="8" t="n">
        <v>8911</v>
      </c>
      <c r="E3336" s="8" t="n">
        <v>8716</v>
      </c>
      <c r="F3336" s="8" t="n">
        <v>688207</v>
      </c>
      <c r="G3336" s="8" t="n">
        <v>236030</v>
      </c>
      <c r="H3336" s="8" t="n">
        <v>8500</v>
      </c>
      <c r="I3336" s="8" t="n">
        <v>8540</v>
      </c>
      <c r="J3336" s="8" t="n">
        <v>8595</v>
      </c>
      <c r="K3336" s="8" t="n">
        <v>8425</v>
      </c>
      <c r="L3336" s="8" t="n">
        <v>411906</v>
      </c>
      <c r="M3336" s="8" t="n">
        <v>255134</v>
      </c>
      <c r="N3336" t="inlineStr">
        <is>
          <t>是</t>
        </is>
      </c>
    </row>
    <row r="3337">
      <c r="A3337" s="7" t="inlineStr">
        <is>
          <t>2021-04-01</t>
        </is>
      </c>
      <c r="B3337" s="8" t="n">
        <v>8908</v>
      </c>
      <c r="C3337" s="8" t="n">
        <v>8759</v>
      </c>
      <c r="D3337" s="8" t="n">
        <v>8937</v>
      </c>
      <c r="E3337" s="8" t="n">
        <v>8692</v>
      </c>
      <c r="F3337" s="8" t="n">
        <v>569122</v>
      </c>
      <c r="G3337" s="8" t="n">
        <v>228253</v>
      </c>
      <c r="H3337" s="8" t="n">
        <v>8625</v>
      </c>
      <c r="I3337" s="8" t="n">
        <v>8470</v>
      </c>
      <c r="J3337" s="8" t="n">
        <v>8640</v>
      </c>
      <c r="K3337" s="8" t="n">
        <v>8410</v>
      </c>
      <c r="L3337" s="8" t="n">
        <v>363793</v>
      </c>
      <c r="M3337" s="8" t="n">
        <v>251454</v>
      </c>
      <c r="N3337" t="inlineStr">
        <is>
          <t>是</t>
        </is>
      </c>
    </row>
    <row r="3338">
      <c r="A3338" s="7" t="inlineStr">
        <is>
          <t>2021-04-02</t>
        </is>
      </c>
      <c r="B3338" s="8" t="n">
        <v>8963</v>
      </c>
      <c r="C3338" s="8" t="n">
        <v>8908</v>
      </c>
      <c r="D3338" s="8" t="n">
        <v>9014</v>
      </c>
      <c r="E3338" s="8" t="n">
        <v>8842</v>
      </c>
      <c r="F3338" s="8" t="n">
        <v>542138</v>
      </c>
      <c r="G3338" s="8" t="n">
        <v>217606</v>
      </c>
      <c r="H3338" s="8" t="n">
        <v>8725</v>
      </c>
      <c r="I3338" s="8" t="n">
        <v>8625</v>
      </c>
      <c r="J3338" s="8" t="n">
        <v>8755</v>
      </c>
      <c r="K3338" s="8" t="n">
        <v>8550</v>
      </c>
      <c r="L3338" s="8" t="n">
        <v>372200</v>
      </c>
      <c r="M3338" s="8" t="n">
        <v>251664</v>
      </c>
      <c r="N3338" t="inlineStr">
        <is>
          <t>是</t>
        </is>
      </c>
    </row>
    <row r="3339">
      <c r="A3339" s="7" t="inlineStr">
        <is>
          <t>2021-04-06</t>
        </is>
      </c>
      <c r="B3339" s="8" t="n">
        <v>8935</v>
      </c>
      <c r="C3339" s="8" t="n">
        <v>8940</v>
      </c>
      <c r="D3339" s="8" t="n">
        <v>8986</v>
      </c>
      <c r="E3339" s="8" t="n">
        <v>8835</v>
      </c>
      <c r="F3339" s="8" t="n">
        <v>378384</v>
      </c>
      <c r="G3339" s="8" t="n">
        <v>206390</v>
      </c>
      <c r="H3339" s="8" t="n">
        <v>8710</v>
      </c>
      <c r="I3339" s="8" t="n">
        <v>8670</v>
      </c>
      <c r="J3339" s="8" t="n">
        <v>8745</v>
      </c>
      <c r="K3339" s="8" t="n">
        <v>8615</v>
      </c>
      <c r="L3339" s="8" t="n">
        <v>266986</v>
      </c>
      <c r="M3339" s="8" t="n">
        <v>235799</v>
      </c>
      <c r="N3339" t="inlineStr">
        <is>
          <t>是</t>
        </is>
      </c>
    </row>
    <row r="3340">
      <c r="A3340" s="7" t="inlineStr">
        <is>
          <t>2021-04-07</t>
        </is>
      </c>
      <c r="B3340" s="8" t="n">
        <v>8954</v>
      </c>
      <c r="C3340" s="8" t="n">
        <v>8935</v>
      </c>
      <c r="D3340" s="8" t="n">
        <v>9095</v>
      </c>
      <c r="E3340" s="8" t="n">
        <v>8908</v>
      </c>
      <c r="F3340" s="8" t="n">
        <v>591298</v>
      </c>
      <c r="G3340" s="8" t="n">
        <v>201329</v>
      </c>
      <c r="H3340" s="8" t="n">
        <v>8735</v>
      </c>
      <c r="I3340" s="8" t="n">
        <v>8715</v>
      </c>
      <c r="J3340" s="8" t="n">
        <v>8905</v>
      </c>
      <c r="K3340" s="8" t="n">
        <v>8710</v>
      </c>
      <c r="L3340" s="8" t="n">
        <v>418386</v>
      </c>
      <c r="M3340" s="8" t="n">
        <v>239973</v>
      </c>
      <c r="N3340" t="inlineStr">
        <is>
          <t>是</t>
        </is>
      </c>
    </row>
    <row r="3341">
      <c r="A3341" s="7" t="inlineStr">
        <is>
          <t>2021-04-08</t>
        </is>
      </c>
      <c r="B3341" s="8" t="n">
        <v>8825</v>
      </c>
      <c r="C3341" s="8" t="n">
        <v>8960</v>
      </c>
      <c r="D3341" s="8" t="n">
        <v>8962</v>
      </c>
      <c r="E3341" s="8" t="n">
        <v>8782</v>
      </c>
      <c r="F3341" s="8" t="n">
        <v>523925</v>
      </c>
      <c r="G3341" s="8" t="n">
        <v>204589</v>
      </c>
      <c r="H3341" s="8" t="n">
        <v>8610</v>
      </c>
      <c r="I3341" s="8" t="n">
        <v>8735</v>
      </c>
      <c r="J3341" s="8" t="n">
        <v>8745</v>
      </c>
      <c r="K3341" s="8" t="n">
        <v>8560</v>
      </c>
      <c r="L3341" s="8" t="n">
        <v>311610</v>
      </c>
      <c r="M3341" s="8" t="n">
        <v>226068</v>
      </c>
      <c r="N3341" t="inlineStr">
        <is>
          <t>是</t>
        </is>
      </c>
    </row>
    <row r="3342">
      <c r="A3342" s="7" t="inlineStr">
        <is>
          <t>2021-04-09</t>
        </is>
      </c>
      <c r="B3342" s="8" t="n">
        <v>8793</v>
      </c>
      <c r="C3342" s="8" t="n">
        <v>8837</v>
      </c>
      <c r="D3342" s="8" t="n">
        <v>8894</v>
      </c>
      <c r="E3342" s="8" t="n">
        <v>8777</v>
      </c>
      <c r="F3342" s="8" t="n">
        <v>497457</v>
      </c>
      <c r="G3342" s="8" t="n">
        <v>194556</v>
      </c>
      <c r="H3342" s="8" t="n">
        <v>8520</v>
      </c>
      <c r="I3342" s="8" t="n">
        <v>8600</v>
      </c>
      <c r="J3342" s="8" t="n">
        <v>8635</v>
      </c>
      <c r="K3342" s="8" t="n">
        <v>8515</v>
      </c>
      <c r="L3342" s="8" t="n">
        <v>284968</v>
      </c>
      <c r="M3342" s="8" t="n">
        <v>216264</v>
      </c>
      <c r="N3342" t="inlineStr">
        <is>
          <t>是</t>
        </is>
      </c>
    </row>
    <row r="3343">
      <c r="A3343" s="7" t="inlineStr">
        <is>
          <t>2021-04-12</t>
        </is>
      </c>
      <c r="B3343" s="8" t="n">
        <v>8644</v>
      </c>
      <c r="C3343" s="8" t="n">
        <v>8803</v>
      </c>
      <c r="D3343" s="8" t="n">
        <v>8804</v>
      </c>
      <c r="E3343" s="8" t="n">
        <v>8585</v>
      </c>
      <c r="F3343" s="8" t="n">
        <v>592554</v>
      </c>
      <c r="G3343" s="8" t="n">
        <v>203086</v>
      </c>
      <c r="H3343" s="8" t="n">
        <v>8290</v>
      </c>
      <c r="I3343" s="8" t="n">
        <v>8520</v>
      </c>
      <c r="J3343" s="8" t="n">
        <v>8520</v>
      </c>
      <c r="K3343" s="8" t="n">
        <v>8270</v>
      </c>
      <c r="L3343" s="8" t="n">
        <v>378289</v>
      </c>
      <c r="M3343" s="8" t="n">
        <v>218090</v>
      </c>
      <c r="N3343" t="inlineStr">
        <is>
          <t>是</t>
        </is>
      </c>
    </row>
    <row r="3344">
      <c r="A3344" s="7" t="inlineStr">
        <is>
          <t>2021-04-13</t>
        </is>
      </c>
      <c r="B3344" s="8" t="n">
        <v>8583</v>
      </c>
      <c r="C3344" s="8" t="n">
        <v>8655</v>
      </c>
      <c r="D3344" s="8" t="n">
        <v>8705</v>
      </c>
      <c r="E3344" s="8" t="n">
        <v>8566</v>
      </c>
      <c r="F3344" s="8" t="n">
        <v>427689</v>
      </c>
      <c r="G3344" s="8" t="n">
        <v>201882</v>
      </c>
      <c r="H3344" s="8" t="n">
        <v>8175</v>
      </c>
      <c r="I3344" s="8" t="n">
        <v>8295</v>
      </c>
      <c r="J3344" s="8" t="n">
        <v>8335</v>
      </c>
      <c r="K3344" s="8" t="n">
        <v>8160</v>
      </c>
      <c r="L3344" s="8" t="n">
        <v>345593</v>
      </c>
      <c r="M3344" s="8" t="n">
        <v>195399</v>
      </c>
      <c r="N3344" t="inlineStr">
        <is>
          <t>是</t>
        </is>
      </c>
    </row>
    <row r="3345">
      <c r="A3345" s="7" t="inlineStr">
        <is>
          <t>2021-04-14</t>
        </is>
      </c>
      <c r="B3345" s="8" t="n">
        <v>8584</v>
      </c>
      <c r="C3345" s="8" t="n">
        <v>8580</v>
      </c>
      <c r="D3345" s="8" t="n">
        <v>8625</v>
      </c>
      <c r="E3345" s="8" t="n">
        <v>8509</v>
      </c>
      <c r="F3345" s="8" t="n">
        <v>453951</v>
      </c>
      <c r="G3345" s="8" t="n">
        <v>201925</v>
      </c>
      <c r="H3345" s="8" t="n">
        <v>8235</v>
      </c>
      <c r="I3345" s="8" t="n">
        <v>8175</v>
      </c>
      <c r="J3345" s="8" t="n">
        <v>8255</v>
      </c>
      <c r="K3345" s="8" t="n">
        <v>8145</v>
      </c>
      <c r="L3345" s="8" t="n">
        <v>252307</v>
      </c>
      <c r="M3345" s="8" t="n">
        <v>180575</v>
      </c>
      <c r="N3345" t="inlineStr">
        <is>
          <t>是</t>
        </is>
      </c>
    </row>
    <row r="3346">
      <c r="A3346" s="7" t="inlineStr">
        <is>
          <t>2021-04-15</t>
        </is>
      </c>
      <c r="B3346" s="8" t="n">
        <v>8734</v>
      </c>
      <c r="C3346" s="8" t="n">
        <v>8584</v>
      </c>
      <c r="D3346" s="8" t="n">
        <v>8779</v>
      </c>
      <c r="E3346" s="8" t="n">
        <v>8580</v>
      </c>
      <c r="F3346" s="8" t="n">
        <v>549252</v>
      </c>
      <c r="G3346" s="8" t="n">
        <v>185416</v>
      </c>
      <c r="H3346" s="8" t="n">
        <v>8350</v>
      </c>
      <c r="I3346" s="8" t="n">
        <v>8235</v>
      </c>
      <c r="J3346" s="8" t="n">
        <v>8400</v>
      </c>
      <c r="K3346" s="8" t="n">
        <v>8220</v>
      </c>
      <c r="L3346" s="8" t="n">
        <v>251042</v>
      </c>
      <c r="M3346" s="8" t="n">
        <v>147439</v>
      </c>
      <c r="N3346" t="inlineStr">
        <is>
          <t>是</t>
        </is>
      </c>
    </row>
    <row r="3347">
      <c r="A3347" s="7" t="inlineStr">
        <is>
          <t>2021-04-16</t>
        </is>
      </c>
      <c r="B3347" s="8" t="n">
        <v>8735</v>
      </c>
      <c r="C3347" s="8" t="n">
        <v>8732</v>
      </c>
      <c r="D3347" s="8" t="n">
        <v>8826</v>
      </c>
      <c r="E3347" s="8" t="n">
        <v>8691</v>
      </c>
      <c r="F3347" s="8" t="n">
        <v>468174</v>
      </c>
      <c r="G3347" s="8" t="n">
        <v>169191</v>
      </c>
      <c r="H3347" s="8" t="n">
        <v>8355</v>
      </c>
      <c r="I3347" s="8" t="n">
        <v>8360</v>
      </c>
      <c r="J3347" s="8" t="n">
        <v>8470</v>
      </c>
      <c r="K3347" s="8" t="n">
        <v>8310</v>
      </c>
      <c r="L3347" s="8" t="n">
        <v>186141</v>
      </c>
      <c r="M3347" s="8" t="n">
        <v>125678</v>
      </c>
      <c r="N3347" t="inlineStr">
        <is>
          <t>是</t>
        </is>
      </c>
    </row>
    <row r="3348">
      <c r="A3348" s="7" t="inlineStr">
        <is>
          <t>2021-04-19</t>
        </is>
      </c>
      <c r="B3348" s="8" t="n">
        <v>8627</v>
      </c>
      <c r="C3348" s="8" t="n">
        <v>8745</v>
      </c>
      <c r="D3348" s="8" t="n">
        <v>8832</v>
      </c>
      <c r="E3348" s="8" t="n">
        <v>8612</v>
      </c>
      <c r="F3348" s="8" t="n">
        <v>519947</v>
      </c>
      <c r="G3348" s="8" t="n">
        <v>161015</v>
      </c>
      <c r="H3348" s="8" t="n">
        <v>8340</v>
      </c>
      <c r="I3348" s="8" t="n">
        <v>8350</v>
      </c>
      <c r="J3348" s="8" t="n">
        <v>8430</v>
      </c>
      <c r="K3348" s="8" t="n">
        <v>8290</v>
      </c>
      <c r="L3348" s="8" t="n">
        <v>419024</v>
      </c>
      <c r="M3348" s="8" t="n">
        <v>260850</v>
      </c>
      <c r="N3348" t="inlineStr">
        <is>
          <t>是</t>
        </is>
      </c>
    </row>
    <row r="3349">
      <c r="A3349" s="7" t="inlineStr">
        <is>
          <t>2021-04-20</t>
        </is>
      </c>
      <c r="B3349" s="8" t="n">
        <v>8652</v>
      </c>
      <c r="C3349" s="8" t="n">
        <v>8628</v>
      </c>
      <c r="D3349" s="8" t="n">
        <v>8765</v>
      </c>
      <c r="E3349" s="8" t="n">
        <v>8628</v>
      </c>
      <c r="F3349" s="8" t="n">
        <v>422020</v>
      </c>
      <c r="G3349" s="8" t="n">
        <v>124856</v>
      </c>
      <c r="H3349" s="8" t="n">
        <v>8260</v>
      </c>
      <c r="I3349" s="8" t="n">
        <v>8340</v>
      </c>
      <c r="J3349" s="8" t="n">
        <v>8395</v>
      </c>
      <c r="K3349" s="8" t="n">
        <v>8245</v>
      </c>
      <c r="L3349" s="8" t="n">
        <v>348793</v>
      </c>
      <c r="M3349" s="8" t="n">
        <v>286259</v>
      </c>
      <c r="N3349" t="inlineStr">
        <is>
          <t>是</t>
        </is>
      </c>
    </row>
    <row r="3350">
      <c r="A3350" s="7" t="inlineStr">
        <is>
          <t>2021-04-21</t>
        </is>
      </c>
      <c r="B3350" s="8" t="n">
        <v>8514</v>
      </c>
      <c r="C3350" s="8" t="n">
        <v>8660</v>
      </c>
      <c r="D3350" s="8" t="n">
        <v>8686</v>
      </c>
      <c r="E3350" s="8" t="n">
        <v>8472</v>
      </c>
      <c r="F3350" s="8" t="n">
        <v>408898</v>
      </c>
      <c r="G3350" s="8" t="n">
        <v>103964</v>
      </c>
      <c r="H3350" s="8" t="n">
        <v>8085</v>
      </c>
      <c r="I3350" s="8" t="n">
        <v>8260</v>
      </c>
      <c r="J3350" s="8" t="n">
        <v>8260</v>
      </c>
      <c r="K3350" s="8" t="n">
        <v>8060</v>
      </c>
      <c r="L3350" s="8" t="n">
        <v>491836</v>
      </c>
      <c r="M3350" s="8" t="n">
        <v>314967</v>
      </c>
      <c r="N3350" t="inlineStr">
        <is>
          <t>是</t>
        </is>
      </c>
    </row>
    <row r="3351">
      <c r="A3351" s="7" t="inlineStr">
        <is>
          <t>2021-04-22</t>
        </is>
      </c>
      <c r="B3351" s="8" t="n">
        <v>8378</v>
      </c>
      <c r="C3351" s="8" t="n">
        <v>8304</v>
      </c>
      <c r="D3351" s="8" t="n">
        <v>8386</v>
      </c>
      <c r="E3351" s="8" t="n">
        <v>8254</v>
      </c>
      <c r="F3351" s="8" t="n">
        <v>609656</v>
      </c>
      <c r="G3351" s="8" t="n">
        <v>298188</v>
      </c>
      <c r="H3351" s="8" t="n">
        <v>8130</v>
      </c>
      <c r="I3351" s="8" t="n">
        <v>8080</v>
      </c>
      <c r="J3351" s="8" t="n">
        <v>8160</v>
      </c>
      <c r="K3351" s="8" t="n">
        <v>7980</v>
      </c>
      <c r="L3351" s="8" t="n">
        <v>511000</v>
      </c>
      <c r="M3351" s="8" t="n">
        <v>325122</v>
      </c>
      <c r="N3351" t="inlineStr">
        <is>
          <t>是</t>
        </is>
      </c>
    </row>
    <row r="3352">
      <c r="A3352" s="7" t="inlineStr">
        <is>
          <t>2021-04-23</t>
        </is>
      </c>
      <c r="B3352" s="8" t="n">
        <v>8398</v>
      </c>
      <c r="C3352" s="8" t="n">
        <v>8388</v>
      </c>
      <c r="D3352" s="8" t="n">
        <v>8416</v>
      </c>
      <c r="E3352" s="8" t="n">
        <v>8329</v>
      </c>
      <c r="F3352" s="8" t="n">
        <v>476754</v>
      </c>
      <c r="G3352" s="8" t="n">
        <v>294376</v>
      </c>
      <c r="H3352" s="8" t="n">
        <v>8100</v>
      </c>
      <c r="I3352" s="8" t="n">
        <v>8130</v>
      </c>
      <c r="J3352" s="8" t="n">
        <v>8155</v>
      </c>
      <c r="K3352" s="8" t="n">
        <v>8050</v>
      </c>
      <c r="L3352" s="8" t="n">
        <v>317936</v>
      </c>
      <c r="M3352" s="8" t="n">
        <v>331418</v>
      </c>
      <c r="N3352" t="inlineStr">
        <is>
          <t>是</t>
        </is>
      </c>
    </row>
    <row r="3353">
      <c r="A3353" s="7" t="inlineStr">
        <is>
          <t>2021-04-26</t>
        </is>
      </c>
      <c r="B3353" s="8" t="n">
        <v>8425</v>
      </c>
      <c r="C3353" s="8" t="n">
        <v>8399</v>
      </c>
      <c r="D3353" s="8" t="n">
        <v>8516</v>
      </c>
      <c r="E3353" s="8" t="n">
        <v>8395</v>
      </c>
      <c r="F3353" s="8" t="n">
        <v>635291</v>
      </c>
      <c r="G3353" s="8" t="n">
        <v>284804</v>
      </c>
      <c r="H3353" s="8" t="n">
        <v>8120</v>
      </c>
      <c r="I3353" s="8" t="n">
        <v>8100</v>
      </c>
      <c r="J3353" s="8" t="n">
        <v>8225</v>
      </c>
      <c r="K3353" s="8" t="n">
        <v>8075</v>
      </c>
      <c r="L3353" s="8" t="n">
        <v>522282</v>
      </c>
      <c r="M3353" s="8" t="n">
        <v>327598</v>
      </c>
      <c r="N3353" t="inlineStr">
        <is>
          <t>是</t>
        </is>
      </c>
    </row>
    <row r="3354">
      <c r="A3354" s="7" t="inlineStr">
        <is>
          <t>2021-04-27</t>
        </is>
      </c>
      <c r="B3354" s="8" t="n">
        <v>8566</v>
      </c>
      <c r="C3354" s="8" t="n">
        <v>8425</v>
      </c>
      <c r="D3354" s="8" t="n">
        <v>8607</v>
      </c>
      <c r="E3354" s="8" t="n">
        <v>8402</v>
      </c>
      <c r="F3354" s="8" t="n">
        <v>643477</v>
      </c>
      <c r="G3354" s="8" t="n">
        <v>307880</v>
      </c>
      <c r="H3354" s="8" t="n">
        <v>8185</v>
      </c>
      <c r="I3354" s="8" t="n">
        <v>8120</v>
      </c>
      <c r="J3354" s="8" t="n">
        <v>8205</v>
      </c>
      <c r="K3354" s="8" t="n">
        <v>8015</v>
      </c>
      <c r="L3354" s="8" t="n">
        <v>486018</v>
      </c>
      <c r="M3354" s="8" t="n">
        <v>333838</v>
      </c>
      <c r="N3354" t="inlineStr">
        <is>
          <t>是</t>
        </is>
      </c>
    </row>
    <row r="3355">
      <c r="A3355" s="7" t="inlineStr">
        <is>
          <t>2021-04-28</t>
        </is>
      </c>
      <c r="B3355" s="8" t="n">
        <v>8581</v>
      </c>
      <c r="C3355" s="8" t="n">
        <v>8566</v>
      </c>
      <c r="D3355" s="8" t="n">
        <v>8598</v>
      </c>
      <c r="E3355" s="8" t="n">
        <v>8506</v>
      </c>
      <c r="F3355" s="8" t="n">
        <v>494224</v>
      </c>
      <c r="G3355" s="8" t="n">
        <v>312573</v>
      </c>
      <c r="H3355" s="8" t="n">
        <v>8190</v>
      </c>
      <c r="I3355" s="8" t="n">
        <v>8195</v>
      </c>
      <c r="J3355" s="8" t="n">
        <v>8220</v>
      </c>
      <c r="K3355" s="8" t="n">
        <v>8125</v>
      </c>
      <c r="L3355" s="8" t="n">
        <v>354974</v>
      </c>
      <c r="M3355" s="8" t="n">
        <v>339485</v>
      </c>
      <c r="N3355" t="inlineStr">
        <is>
          <t>是</t>
        </is>
      </c>
    </row>
    <row r="3356">
      <c r="A3356" s="7" t="inlineStr">
        <is>
          <t>2021-04-29</t>
        </is>
      </c>
      <c r="B3356" s="8" t="n">
        <v>8577</v>
      </c>
      <c r="C3356" s="8" t="n">
        <v>8579</v>
      </c>
      <c r="D3356" s="8" t="n">
        <v>8620</v>
      </c>
      <c r="E3356" s="8" t="n">
        <v>8533</v>
      </c>
      <c r="F3356" s="8" t="n">
        <v>467964</v>
      </c>
      <c r="G3356" s="8" t="n">
        <v>313482</v>
      </c>
      <c r="H3356" s="8" t="n">
        <v>8165</v>
      </c>
      <c r="I3356" s="8" t="n">
        <v>8190</v>
      </c>
      <c r="J3356" s="8" t="n">
        <v>8235</v>
      </c>
      <c r="K3356" s="8" t="n">
        <v>8110</v>
      </c>
      <c r="L3356" s="8" t="n">
        <v>396494</v>
      </c>
      <c r="M3356" s="8" t="n">
        <v>342805</v>
      </c>
      <c r="N3356" t="inlineStr">
        <is>
          <t>是</t>
        </is>
      </c>
    </row>
    <row r="3357">
      <c r="A3357" s="7" t="inlineStr">
        <is>
          <t>2021-04-30</t>
        </is>
      </c>
      <c r="B3357" s="8" t="n">
        <v>8465</v>
      </c>
      <c r="C3357" s="8" t="n">
        <v>8600</v>
      </c>
      <c r="D3357" s="8" t="n">
        <v>8647</v>
      </c>
      <c r="E3357" s="8" t="n">
        <v>8442</v>
      </c>
      <c r="F3357" s="8" t="n">
        <v>626698</v>
      </c>
      <c r="G3357" s="8" t="n">
        <v>300094</v>
      </c>
      <c r="H3357" s="8" t="n">
        <v>8040</v>
      </c>
      <c r="I3357" s="8" t="n">
        <v>8170</v>
      </c>
      <c r="J3357" s="8" t="n">
        <v>8230</v>
      </c>
      <c r="K3357" s="8" t="n">
        <v>8015</v>
      </c>
      <c r="L3357" s="8" t="n">
        <v>485376</v>
      </c>
      <c r="M3357" s="8" t="n">
        <v>351689</v>
      </c>
      <c r="N3357" t="inlineStr">
        <is>
          <t>是</t>
        </is>
      </c>
    </row>
    <row r="3358">
      <c r="A3358" s="7" t="inlineStr">
        <is>
          <t>2021-05-06</t>
        </is>
      </c>
      <c r="B3358" s="8" t="n">
        <v>8726</v>
      </c>
      <c r="C3358" s="8" t="n">
        <v>8515</v>
      </c>
      <c r="D3358" s="8" t="n">
        <v>8764</v>
      </c>
      <c r="E3358" s="8" t="n">
        <v>8515</v>
      </c>
      <c r="F3358" s="8" t="n">
        <v>568563</v>
      </c>
      <c r="G3358" s="8" t="n">
        <v>335915</v>
      </c>
      <c r="H3358" s="8" t="n">
        <v>8235</v>
      </c>
      <c r="I3358" s="8" t="n">
        <v>8150</v>
      </c>
      <c r="J3358" s="8" t="n">
        <v>8290</v>
      </c>
      <c r="K3358" s="8" t="n">
        <v>8065</v>
      </c>
      <c r="L3358" s="8" t="n">
        <v>386648</v>
      </c>
      <c r="M3358" s="8" t="n">
        <v>346496</v>
      </c>
      <c r="N3358" t="inlineStr">
        <is>
          <t>是</t>
        </is>
      </c>
    </row>
    <row r="3359">
      <c r="A3359" s="7" t="inlineStr">
        <is>
          <t>2021-05-07</t>
        </is>
      </c>
      <c r="B3359" s="8" t="n">
        <v>8875</v>
      </c>
      <c r="C3359" s="8" t="n">
        <v>8760</v>
      </c>
      <c r="D3359" s="8" t="n">
        <v>8900</v>
      </c>
      <c r="E3359" s="8" t="n">
        <v>8722</v>
      </c>
      <c r="F3359" s="8" t="n">
        <v>577302</v>
      </c>
      <c r="G3359" s="8" t="n">
        <v>362864</v>
      </c>
      <c r="H3359" s="8" t="n">
        <v>8475</v>
      </c>
      <c r="I3359" s="8" t="n">
        <v>8245</v>
      </c>
      <c r="J3359" s="8" t="n">
        <v>8490</v>
      </c>
      <c r="K3359" s="8" t="n">
        <v>8240</v>
      </c>
      <c r="L3359" s="8" t="n">
        <v>536313</v>
      </c>
      <c r="M3359" s="8" t="n">
        <v>354047</v>
      </c>
      <c r="N3359" t="inlineStr">
        <is>
          <t>是</t>
        </is>
      </c>
    </row>
    <row r="3360">
      <c r="A3360" s="7" t="inlineStr">
        <is>
          <t>2021-05-10</t>
        </is>
      </c>
      <c r="B3360" s="8" t="n">
        <v>8778</v>
      </c>
      <c r="C3360" s="8" t="n">
        <v>8820</v>
      </c>
      <c r="D3360" s="8" t="n">
        <v>8911</v>
      </c>
      <c r="E3360" s="8" t="n">
        <v>8763</v>
      </c>
      <c r="F3360" s="8" t="n">
        <v>616579</v>
      </c>
      <c r="G3360" s="8" t="n">
        <v>365505</v>
      </c>
      <c r="H3360" s="8" t="n">
        <v>8360</v>
      </c>
      <c r="I3360" s="8" t="n">
        <v>8430</v>
      </c>
      <c r="J3360" s="8" t="n">
        <v>8500</v>
      </c>
      <c r="K3360" s="8" t="n">
        <v>8350</v>
      </c>
      <c r="L3360" s="8" t="n">
        <v>523291</v>
      </c>
      <c r="M3360" s="8" t="n">
        <v>335757</v>
      </c>
      <c r="N3360" t="inlineStr">
        <is>
          <t>是</t>
        </is>
      </c>
    </row>
    <row r="3361">
      <c r="A3361" s="7" t="inlineStr">
        <is>
          <t>2021-05-11</t>
        </is>
      </c>
      <c r="B3361" s="8" t="n">
        <v>8729</v>
      </c>
      <c r="C3361" s="8" t="n">
        <v>8782</v>
      </c>
      <c r="D3361" s="8" t="n">
        <v>8810</v>
      </c>
      <c r="E3361" s="8" t="n">
        <v>8655</v>
      </c>
      <c r="F3361" s="8" t="n">
        <v>590110</v>
      </c>
      <c r="G3361" s="8" t="n">
        <v>358499</v>
      </c>
      <c r="H3361" s="8" t="n">
        <v>8245</v>
      </c>
      <c r="I3361" s="8" t="n">
        <v>8360</v>
      </c>
      <c r="J3361" s="8" t="n">
        <v>8380</v>
      </c>
      <c r="K3361" s="8" t="n">
        <v>8180</v>
      </c>
      <c r="L3361" s="8" t="n">
        <v>525142</v>
      </c>
      <c r="M3361" s="8" t="n">
        <v>341018</v>
      </c>
      <c r="N3361" t="inlineStr">
        <is>
          <t>是</t>
        </is>
      </c>
    </row>
    <row r="3362">
      <c r="A3362" s="7" t="inlineStr">
        <is>
          <t>2021-05-12</t>
        </is>
      </c>
      <c r="B3362" s="8" t="n">
        <v>8973</v>
      </c>
      <c r="C3362" s="8" t="n">
        <v>8729</v>
      </c>
      <c r="D3362" s="8" t="n">
        <v>8992</v>
      </c>
      <c r="E3362" s="8" t="n">
        <v>8680</v>
      </c>
      <c r="F3362" s="8" t="n">
        <v>795811</v>
      </c>
      <c r="G3362" s="8" t="n">
        <v>399760</v>
      </c>
      <c r="H3362" s="8" t="n">
        <v>8360</v>
      </c>
      <c r="I3362" s="8" t="n">
        <v>8230</v>
      </c>
      <c r="J3362" s="8" t="n">
        <v>8395</v>
      </c>
      <c r="K3362" s="8" t="n">
        <v>8200</v>
      </c>
      <c r="L3362" s="8" t="n">
        <v>544446</v>
      </c>
      <c r="M3362" s="8" t="n">
        <v>338586</v>
      </c>
      <c r="N3362" t="inlineStr">
        <is>
          <t>是</t>
        </is>
      </c>
    </row>
    <row r="3363">
      <c r="A3363" s="7" t="inlineStr">
        <is>
          <t>2021-05-13</t>
        </is>
      </c>
      <c r="B3363" s="8" t="n">
        <v>8874</v>
      </c>
      <c r="C3363" s="8" t="n">
        <v>8990</v>
      </c>
      <c r="D3363" s="8" t="n">
        <v>9015</v>
      </c>
      <c r="E3363" s="8" t="n">
        <v>8750</v>
      </c>
      <c r="F3363" s="8" t="n">
        <v>820742</v>
      </c>
      <c r="G3363" s="8" t="n">
        <v>397845</v>
      </c>
      <c r="H3363" s="8" t="n">
        <v>8205</v>
      </c>
      <c r="I3363" s="8" t="n">
        <v>8360</v>
      </c>
      <c r="J3363" s="8" t="n">
        <v>8390</v>
      </c>
      <c r="K3363" s="8" t="n">
        <v>8160</v>
      </c>
      <c r="L3363" s="8" t="n">
        <v>604297</v>
      </c>
      <c r="M3363" s="8" t="n">
        <v>330672</v>
      </c>
      <c r="N3363" t="inlineStr">
        <is>
          <t>是</t>
        </is>
      </c>
    </row>
    <row r="3364">
      <c r="A3364" s="7" t="inlineStr">
        <is>
          <t>2021-05-14</t>
        </is>
      </c>
      <c r="B3364" s="8" t="n">
        <v>8760</v>
      </c>
      <c r="C3364" s="8" t="n">
        <v>8870</v>
      </c>
      <c r="D3364" s="8" t="n">
        <v>8892</v>
      </c>
      <c r="E3364" s="8" t="n">
        <v>8662</v>
      </c>
      <c r="F3364" s="8" t="n">
        <v>792302</v>
      </c>
      <c r="G3364" s="8" t="n">
        <v>392667</v>
      </c>
      <c r="H3364" s="8" t="n">
        <v>8105</v>
      </c>
      <c r="I3364" s="8" t="n">
        <v>8205</v>
      </c>
      <c r="J3364" s="8" t="n">
        <v>8230</v>
      </c>
      <c r="K3364" s="8" t="n">
        <v>8020</v>
      </c>
      <c r="L3364" s="8" t="n">
        <v>586767</v>
      </c>
      <c r="M3364" s="8" t="n">
        <v>333949</v>
      </c>
      <c r="N3364" t="inlineStr">
        <is>
          <t>是</t>
        </is>
      </c>
    </row>
    <row r="3365">
      <c r="A3365" s="7" t="inlineStr">
        <is>
          <t>2021-05-17</t>
        </is>
      </c>
      <c r="B3365" s="8" t="n">
        <v>8737</v>
      </c>
      <c r="C3365" s="8" t="n">
        <v>8789</v>
      </c>
      <c r="D3365" s="8" t="n">
        <v>8900</v>
      </c>
      <c r="E3365" s="8" t="n">
        <v>8723</v>
      </c>
      <c r="F3365" s="8" t="n">
        <v>665015</v>
      </c>
      <c r="G3365" s="8" t="n">
        <v>391790</v>
      </c>
      <c r="H3365" s="8" t="n">
        <v>8080</v>
      </c>
      <c r="I3365" s="8" t="n">
        <v>8120</v>
      </c>
      <c r="J3365" s="8" t="n">
        <v>8195</v>
      </c>
      <c r="K3365" s="8" t="n">
        <v>8065</v>
      </c>
      <c r="L3365" s="8" t="n">
        <v>456156</v>
      </c>
      <c r="M3365" s="8" t="n">
        <v>349185</v>
      </c>
      <c r="N3365" t="inlineStr">
        <is>
          <t>是</t>
        </is>
      </c>
    </row>
    <row r="3366">
      <c r="A3366" s="7" t="inlineStr">
        <is>
          <t>2021-05-18</t>
        </is>
      </c>
      <c r="B3366" s="8" t="n">
        <v>8757</v>
      </c>
      <c r="C3366" s="8" t="n">
        <v>8721</v>
      </c>
      <c r="D3366" s="8" t="n">
        <v>8810</v>
      </c>
      <c r="E3366" s="8" t="n">
        <v>8684</v>
      </c>
      <c r="F3366" s="8" t="n">
        <v>486306</v>
      </c>
      <c r="G3366" s="8" t="n">
        <v>390501</v>
      </c>
      <c r="H3366" s="8" t="n">
        <v>8065</v>
      </c>
      <c r="I3366" s="8" t="n">
        <v>8060</v>
      </c>
      <c r="J3366" s="8" t="n">
        <v>8120</v>
      </c>
      <c r="K3366" s="8" t="n">
        <v>8010</v>
      </c>
      <c r="L3366" s="8" t="n">
        <v>449831</v>
      </c>
      <c r="M3366" s="8" t="n">
        <v>362203</v>
      </c>
      <c r="N3366" t="inlineStr">
        <is>
          <t>是</t>
        </is>
      </c>
    </row>
    <row r="3367">
      <c r="A3367" s="7" t="inlineStr">
        <is>
          <t>2021-05-19</t>
        </is>
      </c>
      <c r="B3367" s="8" t="n">
        <v>8626</v>
      </c>
      <c r="C3367" s="8" t="n">
        <v>8773</v>
      </c>
      <c r="D3367" s="8" t="n">
        <v>8773</v>
      </c>
      <c r="E3367" s="8" t="n">
        <v>8511</v>
      </c>
      <c r="F3367" s="8" t="n">
        <v>757932</v>
      </c>
      <c r="G3367" s="8" t="n">
        <v>365887</v>
      </c>
      <c r="H3367" s="8" t="n">
        <v>7920</v>
      </c>
      <c r="I3367" s="8" t="n">
        <v>8070</v>
      </c>
      <c r="J3367" s="8" t="n">
        <v>8080</v>
      </c>
      <c r="K3367" s="8" t="n">
        <v>7840</v>
      </c>
      <c r="L3367" s="8" t="n">
        <v>668961</v>
      </c>
      <c r="M3367" s="8" t="n">
        <v>395788</v>
      </c>
      <c r="N3367" t="inlineStr">
        <is>
          <t>是</t>
        </is>
      </c>
    </row>
    <row r="3368">
      <c r="A3368" s="7" t="inlineStr">
        <is>
          <t>2021-05-20</t>
        </is>
      </c>
      <c r="B3368" s="8" t="n">
        <v>8450</v>
      </c>
      <c r="C3368" s="8" t="n">
        <v>8600</v>
      </c>
      <c r="D3368" s="8" t="n">
        <v>8600</v>
      </c>
      <c r="E3368" s="8" t="n">
        <v>8380</v>
      </c>
      <c r="F3368" s="8" t="n">
        <v>755025</v>
      </c>
      <c r="G3368" s="8" t="n">
        <v>353009</v>
      </c>
      <c r="H3368" s="8" t="n">
        <v>7835</v>
      </c>
      <c r="I3368" s="8" t="n">
        <v>7900</v>
      </c>
      <c r="J3368" s="8" t="n">
        <v>7900</v>
      </c>
      <c r="K3368" s="8" t="n">
        <v>7715</v>
      </c>
      <c r="L3368" s="8" t="n">
        <v>604893</v>
      </c>
      <c r="M3368" s="8" t="n">
        <v>372262</v>
      </c>
      <c r="N3368" t="inlineStr">
        <is>
          <t>是</t>
        </is>
      </c>
    </row>
    <row r="3369">
      <c r="A3369" s="7" t="inlineStr">
        <is>
          <t>2021-05-21</t>
        </is>
      </c>
      <c r="B3369" s="8" t="n">
        <v>8359</v>
      </c>
      <c r="C3369" s="8" t="n">
        <v>8408</v>
      </c>
      <c r="D3369" s="8" t="n">
        <v>8464</v>
      </c>
      <c r="E3369" s="8" t="n">
        <v>8322</v>
      </c>
      <c r="F3369" s="8" t="n">
        <v>620229</v>
      </c>
      <c r="G3369" s="8" t="n">
        <v>336864</v>
      </c>
      <c r="H3369" s="8" t="n">
        <v>7810</v>
      </c>
      <c r="I3369" s="8" t="n">
        <v>7830</v>
      </c>
      <c r="J3369" s="8" t="n">
        <v>7890</v>
      </c>
      <c r="K3369" s="8" t="n">
        <v>7750</v>
      </c>
      <c r="L3369" s="8" t="n">
        <v>474205</v>
      </c>
      <c r="M3369" s="8" t="n">
        <v>352448</v>
      </c>
      <c r="N3369" t="inlineStr">
        <is>
          <t>是</t>
        </is>
      </c>
    </row>
    <row r="3370">
      <c r="A3370" s="7" t="inlineStr">
        <is>
          <t>2021-05-24</t>
        </is>
      </c>
      <c r="B3370" s="8" t="n">
        <v>8383</v>
      </c>
      <c r="C3370" s="8" t="n">
        <v>8400</v>
      </c>
      <c r="D3370" s="8" t="n">
        <v>8420</v>
      </c>
      <c r="E3370" s="8" t="n">
        <v>8303</v>
      </c>
      <c r="F3370" s="8" t="n">
        <v>614023</v>
      </c>
      <c r="G3370" s="8" t="n">
        <v>330888</v>
      </c>
      <c r="H3370" s="8" t="n">
        <v>7805</v>
      </c>
      <c r="I3370" s="8" t="n">
        <v>7850</v>
      </c>
      <c r="J3370" s="8" t="n">
        <v>7905</v>
      </c>
      <c r="K3370" s="8" t="n">
        <v>7745</v>
      </c>
      <c r="L3370" s="8" t="n">
        <v>572705</v>
      </c>
      <c r="M3370" s="8" t="n">
        <v>357040</v>
      </c>
      <c r="N3370" t="inlineStr">
        <is>
          <t>是</t>
        </is>
      </c>
    </row>
    <row r="3371">
      <c r="A3371" s="7" t="inlineStr">
        <is>
          <t>2021-05-25</t>
        </is>
      </c>
      <c r="B3371" s="8" t="n">
        <v>8378</v>
      </c>
      <c r="C3371" s="8" t="n">
        <v>8337</v>
      </c>
      <c r="D3371" s="8" t="n">
        <v>8450</v>
      </c>
      <c r="E3371" s="8" t="n">
        <v>8323</v>
      </c>
      <c r="F3371" s="8" t="n">
        <v>618109</v>
      </c>
      <c r="G3371" s="8" t="n">
        <v>355575</v>
      </c>
      <c r="H3371" s="8" t="n">
        <v>7830</v>
      </c>
      <c r="I3371" s="8" t="n">
        <v>7800</v>
      </c>
      <c r="J3371" s="8" t="n">
        <v>7900</v>
      </c>
      <c r="K3371" s="8" t="n">
        <v>7790</v>
      </c>
      <c r="L3371" s="8" t="n">
        <v>434824</v>
      </c>
      <c r="M3371" s="8" t="n">
        <v>356369</v>
      </c>
      <c r="N3371" t="inlineStr">
        <is>
          <t>是</t>
        </is>
      </c>
    </row>
    <row r="3372">
      <c r="A3372" s="7" t="inlineStr">
        <is>
          <t>2021-05-26</t>
        </is>
      </c>
      <c r="B3372" s="8" t="n">
        <v>8482</v>
      </c>
      <c r="C3372" s="8" t="n">
        <v>8378</v>
      </c>
      <c r="D3372" s="8" t="n">
        <v>8488</v>
      </c>
      <c r="E3372" s="8" t="n">
        <v>8246</v>
      </c>
      <c r="F3372" s="8" t="n">
        <v>823422</v>
      </c>
      <c r="G3372" s="8" t="n">
        <v>372128</v>
      </c>
      <c r="H3372" s="8" t="n">
        <v>7890</v>
      </c>
      <c r="I3372" s="8" t="n">
        <v>7820</v>
      </c>
      <c r="J3372" s="8" t="n">
        <v>7910</v>
      </c>
      <c r="K3372" s="8" t="n">
        <v>7750</v>
      </c>
      <c r="L3372" s="8" t="n">
        <v>629069</v>
      </c>
      <c r="M3372" s="8" t="n">
        <v>351733</v>
      </c>
      <c r="N3372" t="inlineStr">
        <is>
          <t>是</t>
        </is>
      </c>
    </row>
    <row r="3373">
      <c r="A3373" s="7" t="inlineStr">
        <is>
          <t>2021-05-27</t>
        </is>
      </c>
      <c r="B3373" s="8" t="n">
        <v>8326</v>
      </c>
      <c r="C3373" s="8" t="n">
        <v>8450</v>
      </c>
      <c r="D3373" s="8" t="n">
        <v>8464</v>
      </c>
      <c r="E3373" s="8" t="n">
        <v>8311</v>
      </c>
      <c r="F3373" s="8" t="n">
        <v>673754</v>
      </c>
      <c r="G3373" s="8" t="n">
        <v>375672</v>
      </c>
      <c r="H3373" s="8" t="n">
        <v>7765</v>
      </c>
      <c r="I3373" s="8" t="n">
        <v>7865</v>
      </c>
      <c r="J3373" s="8" t="n">
        <v>7895</v>
      </c>
      <c r="K3373" s="8" t="n">
        <v>7760</v>
      </c>
      <c r="L3373" s="8" t="n">
        <v>563061</v>
      </c>
      <c r="M3373" s="8" t="n">
        <v>358080</v>
      </c>
      <c r="N3373" t="inlineStr">
        <is>
          <t>是</t>
        </is>
      </c>
    </row>
    <row r="3374">
      <c r="A3374" s="7" t="inlineStr">
        <is>
          <t>2021-05-28</t>
        </is>
      </c>
      <c r="B3374" s="8" t="n">
        <v>8306</v>
      </c>
      <c r="C3374" s="8" t="n">
        <v>8326</v>
      </c>
      <c r="D3374" s="8" t="n">
        <v>8466</v>
      </c>
      <c r="E3374" s="8" t="n">
        <v>8280</v>
      </c>
      <c r="F3374" s="8" t="n">
        <v>720474</v>
      </c>
      <c r="G3374" s="8" t="n">
        <v>394059</v>
      </c>
      <c r="H3374" s="8" t="n">
        <v>7665</v>
      </c>
      <c r="I3374" s="8" t="n">
        <v>7760</v>
      </c>
      <c r="J3374" s="8" t="n">
        <v>7875</v>
      </c>
      <c r="K3374" s="8" t="n">
        <v>7655</v>
      </c>
      <c r="L3374" s="8" t="n">
        <v>688619</v>
      </c>
      <c r="M3374" s="8" t="n">
        <v>400234</v>
      </c>
      <c r="N3374" t="inlineStr">
        <is>
          <t>是</t>
        </is>
      </c>
    </row>
    <row r="3375">
      <c r="A3375" s="7" t="inlineStr">
        <is>
          <t>2021-05-31</t>
        </is>
      </c>
      <c r="B3375" s="8" t="n">
        <v>8332</v>
      </c>
      <c r="C3375" s="8" t="n">
        <v>8306</v>
      </c>
      <c r="D3375" s="8" t="n">
        <v>8393</v>
      </c>
      <c r="E3375" s="8" t="n">
        <v>8273</v>
      </c>
      <c r="F3375" s="8" t="n">
        <v>560406</v>
      </c>
      <c r="G3375" s="8" t="n">
        <v>384230</v>
      </c>
      <c r="H3375" s="8" t="n">
        <v>7755</v>
      </c>
      <c r="I3375" s="8" t="n">
        <v>7665</v>
      </c>
      <c r="J3375" s="8" t="n">
        <v>7780</v>
      </c>
      <c r="K3375" s="8" t="n">
        <v>7650</v>
      </c>
      <c r="L3375" s="8" t="n">
        <v>471130</v>
      </c>
      <c r="M3375" s="8" t="n">
        <v>373709</v>
      </c>
      <c r="N3375" t="inlineStr">
        <is>
          <t>是</t>
        </is>
      </c>
    </row>
    <row r="3376">
      <c r="A3376" s="7" t="inlineStr">
        <is>
          <t>2021-06-01</t>
        </is>
      </c>
      <c r="B3376" s="8" t="n">
        <v>8435</v>
      </c>
      <c r="C3376" s="8" t="n">
        <v>8350</v>
      </c>
      <c r="D3376" s="8" t="n">
        <v>8444</v>
      </c>
      <c r="E3376" s="8" t="n">
        <v>8315</v>
      </c>
      <c r="F3376" s="8" t="n">
        <v>668555</v>
      </c>
      <c r="G3376" s="8" t="n">
        <v>366558</v>
      </c>
      <c r="H3376" s="8" t="n">
        <v>7865</v>
      </c>
      <c r="I3376" s="8" t="n">
        <v>7775</v>
      </c>
      <c r="J3376" s="8" t="n">
        <v>7900</v>
      </c>
      <c r="K3376" s="8" t="n">
        <v>7730</v>
      </c>
      <c r="L3376" s="8" t="n">
        <v>493093</v>
      </c>
      <c r="M3376" s="8" t="n">
        <v>357708</v>
      </c>
      <c r="N3376" t="inlineStr">
        <is>
          <t>是</t>
        </is>
      </c>
    </row>
    <row r="3377">
      <c r="A3377" s="7" t="inlineStr">
        <is>
          <t>2021-06-02</t>
        </is>
      </c>
      <c r="B3377" s="8" t="n">
        <v>8388</v>
      </c>
      <c r="C3377" s="8" t="n">
        <v>8460</v>
      </c>
      <c r="D3377" s="8" t="n">
        <v>8550</v>
      </c>
      <c r="E3377" s="8" t="n">
        <v>8359</v>
      </c>
      <c r="F3377" s="8" t="n">
        <v>636199</v>
      </c>
      <c r="G3377" s="8" t="n">
        <v>360766</v>
      </c>
      <c r="H3377" s="8" t="n">
        <v>7815</v>
      </c>
      <c r="I3377" s="8" t="n">
        <v>7900</v>
      </c>
      <c r="J3377" s="8" t="n">
        <v>7950</v>
      </c>
      <c r="K3377" s="8" t="n">
        <v>7800</v>
      </c>
      <c r="L3377" s="8" t="n">
        <v>464348</v>
      </c>
      <c r="M3377" s="8" t="n">
        <v>342729</v>
      </c>
      <c r="N3377" t="inlineStr">
        <is>
          <t>是</t>
        </is>
      </c>
    </row>
    <row r="3378">
      <c r="A3378" s="7" t="inlineStr">
        <is>
          <t>2021-06-03</t>
        </is>
      </c>
      <c r="B3378" s="8" t="n">
        <v>8375</v>
      </c>
      <c r="C3378" s="8" t="n">
        <v>8408</v>
      </c>
      <c r="D3378" s="8" t="n">
        <v>8470</v>
      </c>
      <c r="E3378" s="8" t="n">
        <v>8352</v>
      </c>
      <c r="F3378" s="8" t="n">
        <v>526426</v>
      </c>
      <c r="G3378" s="8" t="n">
        <v>364526</v>
      </c>
      <c r="H3378" s="8" t="n">
        <v>7815</v>
      </c>
      <c r="I3378" s="8" t="n">
        <v>7815</v>
      </c>
      <c r="J3378" s="8" t="n">
        <v>7895</v>
      </c>
      <c r="K3378" s="8" t="n">
        <v>7790</v>
      </c>
      <c r="L3378" s="8" t="n">
        <v>367931</v>
      </c>
      <c r="M3378" s="8" t="n">
        <v>343749</v>
      </c>
      <c r="N3378" t="inlineStr">
        <is>
          <t>是</t>
        </is>
      </c>
    </row>
    <row r="3379">
      <c r="A3379" s="7" t="inlineStr">
        <is>
          <t>2021-06-04</t>
        </is>
      </c>
      <c r="B3379" s="8" t="n">
        <v>8268</v>
      </c>
      <c r="C3379" s="8" t="n">
        <v>8350</v>
      </c>
      <c r="D3379" s="8" t="n">
        <v>8395</v>
      </c>
      <c r="E3379" s="8" t="n">
        <v>8230</v>
      </c>
      <c r="F3379" s="8" t="n">
        <v>679781</v>
      </c>
      <c r="G3379" s="8" t="n">
        <v>401888</v>
      </c>
      <c r="H3379" s="8" t="n">
        <v>7725</v>
      </c>
      <c r="I3379" s="8" t="n">
        <v>7800</v>
      </c>
      <c r="J3379" s="8" t="n">
        <v>7815</v>
      </c>
      <c r="K3379" s="8" t="n">
        <v>7705</v>
      </c>
      <c r="L3379" s="8" t="n">
        <v>470707</v>
      </c>
      <c r="M3379" s="8" t="n">
        <v>353344</v>
      </c>
      <c r="N3379" t="inlineStr">
        <is>
          <t>是</t>
        </is>
      </c>
    </row>
    <row r="3380">
      <c r="A3380" s="7" t="inlineStr">
        <is>
          <t>2021-06-07</t>
        </is>
      </c>
      <c r="B3380" s="8" t="n">
        <v>8108</v>
      </c>
      <c r="C3380" s="8" t="n">
        <v>8270</v>
      </c>
      <c r="D3380" s="8" t="n">
        <v>8294</v>
      </c>
      <c r="E3380" s="8" t="n">
        <v>8088</v>
      </c>
      <c r="F3380" s="8" t="n">
        <v>801889</v>
      </c>
      <c r="G3380" s="8" t="n">
        <v>458310</v>
      </c>
      <c r="H3380" s="8" t="n">
        <v>7555</v>
      </c>
      <c r="I3380" s="8" t="n">
        <v>7735</v>
      </c>
      <c r="J3380" s="8" t="n">
        <v>7755</v>
      </c>
      <c r="K3380" s="8" t="n">
        <v>7550</v>
      </c>
      <c r="L3380" s="8" t="n">
        <v>531439</v>
      </c>
      <c r="M3380" s="8" t="n">
        <v>388132</v>
      </c>
      <c r="N3380" t="inlineStr">
        <is>
          <t>是</t>
        </is>
      </c>
    </row>
    <row r="3381">
      <c r="A3381" s="7" t="inlineStr">
        <is>
          <t>2021-06-08</t>
        </is>
      </c>
      <c r="B3381" s="8" t="n">
        <v>8126</v>
      </c>
      <c r="C3381" s="8" t="n">
        <v>8114</v>
      </c>
      <c r="D3381" s="8" t="n">
        <v>8152</v>
      </c>
      <c r="E3381" s="8" t="n">
        <v>8051</v>
      </c>
      <c r="F3381" s="8" t="n">
        <v>529048</v>
      </c>
      <c r="G3381" s="8" t="n">
        <v>451058</v>
      </c>
      <c r="H3381" s="8" t="n">
        <v>7550</v>
      </c>
      <c r="I3381" s="8" t="n">
        <v>7555</v>
      </c>
      <c r="J3381" s="8" t="n">
        <v>7575</v>
      </c>
      <c r="K3381" s="8" t="n">
        <v>7515</v>
      </c>
      <c r="L3381" s="8" t="n">
        <v>407853</v>
      </c>
      <c r="M3381" s="8" t="n">
        <v>402752</v>
      </c>
      <c r="N3381" t="inlineStr">
        <is>
          <t>是</t>
        </is>
      </c>
    </row>
    <row r="3382">
      <c r="A3382" s="7" t="inlineStr">
        <is>
          <t>2021-06-09</t>
        </is>
      </c>
      <c r="B3382" s="8" t="n">
        <v>8187</v>
      </c>
      <c r="C3382" s="8" t="n">
        <v>8126</v>
      </c>
      <c r="D3382" s="8" t="n">
        <v>8196</v>
      </c>
      <c r="E3382" s="8" t="n">
        <v>8065</v>
      </c>
      <c r="F3382" s="8" t="n">
        <v>492946</v>
      </c>
      <c r="G3382" s="8" t="n">
        <v>432715</v>
      </c>
      <c r="H3382" s="8" t="n">
        <v>7620</v>
      </c>
      <c r="I3382" s="8" t="n">
        <v>7550</v>
      </c>
      <c r="J3382" s="8" t="n">
        <v>7650</v>
      </c>
      <c r="K3382" s="8" t="n">
        <v>7495</v>
      </c>
      <c r="L3382" s="8" t="n">
        <v>450928</v>
      </c>
      <c r="M3382" s="8" t="n">
        <v>395133</v>
      </c>
      <c r="N3382" t="inlineStr">
        <is>
          <t>是</t>
        </is>
      </c>
    </row>
    <row r="3383">
      <c r="A3383" s="7" t="inlineStr">
        <is>
          <t>2021-06-10</t>
        </is>
      </c>
      <c r="B3383" s="8" t="n">
        <v>8181</v>
      </c>
      <c r="C3383" s="8" t="n">
        <v>8187</v>
      </c>
      <c r="D3383" s="8" t="n">
        <v>8201</v>
      </c>
      <c r="E3383" s="8" t="n">
        <v>8078</v>
      </c>
      <c r="F3383" s="8" t="n">
        <v>572581</v>
      </c>
      <c r="G3383" s="8" t="n">
        <v>420521</v>
      </c>
      <c r="H3383" s="8" t="n">
        <v>7615</v>
      </c>
      <c r="I3383" s="8" t="n">
        <v>7610</v>
      </c>
      <c r="J3383" s="8" t="n">
        <v>7640</v>
      </c>
      <c r="K3383" s="8" t="n">
        <v>7555</v>
      </c>
      <c r="L3383" s="8" t="n">
        <v>363267</v>
      </c>
      <c r="M3383" s="8" t="n">
        <v>388895</v>
      </c>
      <c r="N3383" t="inlineStr">
        <is>
          <t>是</t>
        </is>
      </c>
    </row>
    <row r="3384">
      <c r="A3384" s="7" t="inlineStr">
        <is>
          <t>2021-06-11</t>
        </is>
      </c>
      <c r="B3384" s="8" t="n">
        <v>8214</v>
      </c>
      <c r="C3384" s="8" t="n">
        <v>8207</v>
      </c>
      <c r="D3384" s="8" t="n">
        <v>8233</v>
      </c>
      <c r="E3384" s="8" t="n">
        <v>8121</v>
      </c>
      <c r="F3384" s="8" t="n">
        <v>563676</v>
      </c>
      <c r="G3384" s="8" t="n">
        <v>385510</v>
      </c>
      <c r="H3384" s="8" t="n">
        <v>7670</v>
      </c>
      <c r="I3384" s="8" t="n">
        <v>7635</v>
      </c>
      <c r="J3384" s="8" t="n">
        <v>7695</v>
      </c>
      <c r="K3384" s="8" t="n">
        <v>7585</v>
      </c>
      <c r="L3384" s="8" t="n">
        <v>409195</v>
      </c>
      <c r="M3384" s="8" t="n">
        <v>373613</v>
      </c>
      <c r="N3384" t="inlineStr">
        <is>
          <t>是</t>
        </is>
      </c>
    </row>
    <row r="3385">
      <c r="A3385" s="7" t="inlineStr">
        <is>
          <t>2021-06-15</t>
        </is>
      </c>
      <c r="B3385" s="8" t="n">
        <v>8236</v>
      </c>
      <c r="C3385" s="8" t="n">
        <v>8229</v>
      </c>
      <c r="D3385" s="8" t="n">
        <v>8285</v>
      </c>
      <c r="E3385" s="8" t="n">
        <v>8122</v>
      </c>
      <c r="F3385" s="8" t="n">
        <v>541568</v>
      </c>
      <c r="G3385" s="8" t="n">
        <v>382831</v>
      </c>
      <c r="H3385" s="8" t="n">
        <v>7670</v>
      </c>
      <c r="I3385" s="8" t="n">
        <v>7700</v>
      </c>
      <c r="J3385" s="8" t="n">
        <v>7750</v>
      </c>
      <c r="K3385" s="8" t="n">
        <v>7605</v>
      </c>
      <c r="L3385" s="8" t="n">
        <v>348917</v>
      </c>
      <c r="M3385" s="8" t="n">
        <v>371888</v>
      </c>
      <c r="N3385" t="inlineStr">
        <is>
          <t>是</t>
        </is>
      </c>
    </row>
    <row r="3386">
      <c r="A3386" s="7" t="inlineStr">
        <is>
          <t>2021-06-16</t>
        </is>
      </c>
      <c r="B3386" s="8" t="n">
        <v>8288</v>
      </c>
      <c r="C3386" s="8" t="n">
        <v>8236</v>
      </c>
      <c r="D3386" s="8" t="n">
        <v>8316</v>
      </c>
      <c r="E3386" s="8" t="n">
        <v>8230</v>
      </c>
      <c r="F3386" s="8" t="n">
        <v>507233</v>
      </c>
      <c r="G3386" s="8" t="n">
        <v>375177</v>
      </c>
      <c r="H3386" s="8" t="n">
        <v>7720</v>
      </c>
      <c r="I3386" s="8" t="n">
        <v>7670</v>
      </c>
      <c r="J3386" s="8" t="n">
        <v>7760</v>
      </c>
      <c r="K3386" s="8" t="n">
        <v>7665</v>
      </c>
      <c r="L3386" s="8" t="n">
        <v>362899</v>
      </c>
      <c r="M3386" s="8" t="n">
        <v>363758</v>
      </c>
      <c r="N3386" t="inlineStr">
        <is>
          <t>是</t>
        </is>
      </c>
    </row>
    <row r="3387">
      <c r="A3387" s="7" t="inlineStr">
        <is>
          <t>2021-06-17</t>
        </is>
      </c>
      <c r="B3387" s="8" t="n">
        <v>8276</v>
      </c>
      <c r="C3387" s="8" t="n">
        <v>8288</v>
      </c>
      <c r="D3387" s="8" t="n">
        <v>8299</v>
      </c>
      <c r="E3387" s="8" t="n">
        <v>8207</v>
      </c>
      <c r="F3387" s="8" t="n">
        <v>578759</v>
      </c>
      <c r="G3387" s="8" t="n">
        <v>349876</v>
      </c>
      <c r="H3387" s="8" t="n">
        <v>7725</v>
      </c>
      <c r="I3387" s="8" t="n">
        <v>7725</v>
      </c>
      <c r="J3387" s="8" t="n">
        <v>7750</v>
      </c>
      <c r="K3387" s="8" t="n">
        <v>7680</v>
      </c>
      <c r="L3387" s="8" t="n">
        <v>404704</v>
      </c>
      <c r="M3387" s="8" t="n">
        <v>354555</v>
      </c>
      <c r="N3387" t="inlineStr">
        <is>
          <t>是</t>
        </is>
      </c>
    </row>
    <row r="3388">
      <c r="A3388" s="7" t="inlineStr">
        <is>
          <t>2021-06-18</t>
        </is>
      </c>
      <c r="B3388" s="8" t="n">
        <v>8242</v>
      </c>
      <c r="C3388" s="8" t="n">
        <v>8275</v>
      </c>
      <c r="D3388" s="8" t="n">
        <v>8292</v>
      </c>
      <c r="E3388" s="8" t="n">
        <v>8144</v>
      </c>
      <c r="F3388" s="8" t="n">
        <v>711913</v>
      </c>
      <c r="G3388" s="8" t="n">
        <v>339113</v>
      </c>
      <c r="H3388" s="8" t="n">
        <v>7790</v>
      </c>
      <c r="I3388" s="8" t="n">
        <v>7735</v>
      </c>
      <c r="J3388" s="8" t="n">
        <v>7835</v>
      </c>
      <c r="K3388" s="8" t="n">
        <v>7645</v>
      </c>
      <c r="L3388" s="8" t="n">
        <v>583154</v>
      </c>
      <c r="M3388" s="8" t="n">
        <v>346668</v>
      </c>
      <c r="N3388" t="inlineStr">
        <is>
          <t>是</t>
        </is>
      </c>
    </row>
    <row r="3389">
      <c r="A3389" s="7" t="inlineStr">
        <is>
          <t>2021-06-21</t>
        </is>
      </c>
      <c r="B3389" s="8" t="n">
        <v>8285</v>
      </c>
      <c r="C3389" s="8" t="n">
        <v>8220</v>
      </c>
      <c r="D3389" s="8" t="n">
        <v>8347</v>
      </c>
      <c r="E3389" s="8" t="n">
        <v>8202</v>
      </c>
      <c r="F3389" s="8" t="n">
        <v>799837</v>
      </c>
      <c r="G3389" s="8" t="n">
        <v>325232</v>
      </c>
      <c r="H3389" s="8" t="n">
        <v>7895</v>
      </c>
      <c r="I3389" s="8" t="n">
        <v>7790</v>
      </c>
      <c r="J3389" s="8" t="n">
        <v>7915</v>
      </c>
      <c r="K3389" s="8" t="n">
        <v>7755</v>
      </c>
      <c r="L3389" s="8" t="n">
        <v>569364</v>
      </c>
      <c r="M3389" s="8" t="n">
        <v>336785</v>
      </c>
      <c r="N3389" t="inlineStr">
        <is>
          <t>是</t>
        </is>
      </c>
    </row>
    <row r="3390">
      <c r="A3390" s="7" t="inlineStr">
        <is>
          <t>2021-06-22</t>
        </is>
      </c>
      <c r="B3390" s="8" t="n">
        <v>8376</v>
      </c>
      <c r="C3390" s="8" t="n">
        <v>8275</v>
      </c>
      <c r="D3390" s="8" t="n">
        <v>8395</v>
      </c>
      <c r="E3390" s="8" t="n">
        <v>8250</v>
      </c>
      <c r="F3390" s="8" t="n">
        <v>620481</v>
      </c>
      <c r="G3390" s="8" t="n">
        <v>349796</v>
      </c>
      <c r="H3390" s="8" t="n">
        <v>7935</v>
      </c>
      <c r="I3390" s="8" t="n">
        <v>7880</v>
      </c>
      <c r="J3390" s="8" t="n">
        <v>7975</v>
      </c>
      <c r="K3390" s="8" t="n">
        <v>7870</v>
      </c>
      <c r="L3390" s="8" t="n">
        <v>484262</v>
      </c>
      <c r="M3390" s="8" t="n">
        <v>322826</v>
      </c>
      <c r="N3390" t="inlineStr">
        <is>
          <t>是</t>
        </is>
      </c>
    </row>
    <row r="3391">
      <c r="A3391" s="7" t="inlineStr">
        <is>
          <t>2021-06-23</t>
        </is>
      </c>
      <c r="B3391" s="8" t="n">
        <v>8438</v>
      </c>
      <c r="C3391" s="8" t="n">
        <v>8396</v>
      </c>
      <c r="D3391" s="8" t="n">
        <v>8500</v>
      </c>
      <c r="E3391" s="8" t="n">
        <v>8350</v>
      </c>
      <c r="F3391" s="8" t="n">
        <v>686001</v>
      </c>
      <c r="G3391" s="8" t="n">
        <v>383028</v>
      </c>
      <c r="H3391" s="8" t="n">
        <v>7900</v>
      </c>
      <c r="I3391" s="8" t="n">
        <v>7935</v>
      </c>
      <c r="J3391" s="8" t="n">
        <v>7975</v>
      </c>
      <c r="K3391" s="8" t="n">
        <v>7850</v>
      </c>
      <c r="L3391" s="8" t="n">
        <v>569841</v>
      </c>
      <c r="M3391" s="8" t="n">
        <v>355759</v>
      </c>
      <c r="N3391" t="inlineStr">
        <is>
          <t>是</t>
        </is>
      </c>
    </row>
    <row r="3392">
      <c r="A3392" s="7" t="inlineStr">
        <is>
          <t>2021-06-24</t>
        </is>
      </c>
      <c r="B3392" s="8" t="n">
        <v>8467</v>
      </c>
      <c r="C3392" s="8" t="n">
        <v>8438</v>
      </c>
      <c r="D3392" s="8" t="n">
        <v>8518</v>
      </c>
      <c r="E3392" s="8" t="n">
        <v>8425</v>
      </c>
      <c r="F3392" s="8" t="n">
        <v>556306</v>
      </c>
      <c r="G3392" s="8" t="n">
        <v>403867</v>
      </c>
      <c r="H3392" s="8" t="n">
        <v>7940</v>
      </c>
      <c r="I3392" s="8" t="n">
        <v>7900</v>
      </c>
      <c r="J3392" s="8" t="n">
        <v>7965</v>
      </c>
      <c r="K3392" s="8" t="n">
        <v>7900</v>
      </c>
      <c r="L3392" s="8" t="n">
        <v>403675</v>
      </c>
      <c r="M3392" s="8" t="n">
        <v>355141</v>
      </c>
      <c r="N3392" t="inlineStr">
        <is>
          <t>是</t>
        </is>
      </c>
    </row>
    <row r="3393">
      <c r="A3393" s="7" t="inlineStr">
        <is>
          <t>2021-06-25</t>
        </is>
      </c>
      <c r="B3393" s="8" t="n">
        <v>8575</v>
      </c>
      <c r="C3393" s="8" t="n">
        <v>8467</v>
      </c>
      <c r="D3393" s="8" t="n">
        <v>8589</v>
      </c>
      <c r="E3393" s="8" t="n">
        <v>8420</v>
      </c>
      <c r="F3393" s="8" t="n">
        <v>766250</v>
      </c>
      <c r="G3393" s="8" t="n">
        <v>422086</v>
      </c>
      <c r="H3393" s="8" t="n">
        <v>8075</v>
      </c>
      <c r="I3393" s="8" t="n">
        <v>7935</v>
      </c>
      <c r="J3393" s="8" t="n">
        <v>8115</v>
      </c>
      <c r="K3393" s="8" t="n">
        <v>7925</v>
      </c>
      <c r="L3393" s="8" t="n">
        <v>663762</v>
      </c>
      <c r="M3393" s="8" t="n">
        <v>361549</v>
      </c>
      <c r="N3393" t="inlineStr">
        <is>
          <t>是</t>
        </is>
      </c>
    </row>
    <row r="3394">
      <c r="A3394" s="7" t="inlineStr">
        <is>
          <t>2021-06-28</t>
        </is>
      </c>
      <c r="B3394" s="8" t="n">
        <v>8608</v>
      </c>
      <c r="C3394" s="8" t="n">
        <v>8588</v>
      </c>
      <c r="D3394" s="8" t="n">
        <v>8635</v>
      </c>
      <c r="E3394" s="8" t="n">
        <v>8510</v>
      </c>
      <c r="F3394" s="8" t="n">
        <v>716815</v>
      </c>
      <c r="G3394" s="8" t="n">
        <v>429829</v>
      </c>
      <c r="H3394" s="8" t="n">
        <v>8215</v>
      </c>
      <c r="I3394" s="8" t="n">
        <v>8095</v>
      </c>
      <c r="J3394" s="8" t="n">
        <v>8245</v>
      </c>
      <c r="K3394" s="8" t="n">
        <v>8085</v>
      </c>
      <c r="L3394" s="8" t="n">
        <v>600223</v>
      </c>
      <c r="M3394" s="8" t="n">
        <v>382744</v>
      </c>
      <c r="N3394" t="inlineStr">
        <is>
          <t>是</t>
        </is>
      </c>
    </row>
    <row r="3395">
      <c r="A3395" s="7" t="inlineStr">
        <is>
          <t>2021-06-29</t>
        </is>
      </c>
      <c r="B3395" s="8" t="n">
        <v>8500</v>
      </c>
      <c r="C3395" s="8" t="n">
        <v>8640</v>
      </c>
      <c r="D3395" s="8" t="n">
        <v>8641</v>
      </c>
      <c r="E3395" s="8" t="n">
        <v>8477</v>
      </c>
      <c r="F3395" s="8" t="n">
        <v>639027</v>
      </c>
      <c r="G3395" s="8" t="n">
        <v>417000</v>
      </c>
      <c r="H3395" s="8" t="n">
        <v>8170</v>
      </c>
      <c r="I3395" s="8" t="n">
        <v>8215</v>
      </c>
      <c r="J3395" s="8" t="n">
        <v>8245</v>
      </c>
      <c r="K3395" s="8" t="n">
        <v>8145</v>
      </c>
      <c r="L3395" s="8" t="n">
        <v>410587</v>
      </c>
      <c r="M3395" s="8" t="n">
        <v>381194</v>
      </c>
      <c r="N3395" t="inlineStr">
        <is>
          <t>是</t>
        </is>
      </c>
    </row>
    <row r="3396">
      <c r="A3396" s="7" t="inlineStr">
        <is>
          <t>2021-06-30</t>
        </is>
      </c>
      <c r="B3396" s="8" t="n">
        <v>8490</v>
      </c>
      <c r="C3396" s="8" t="n">
        <v>8503</v>
      </c>
      <c r="D3396" s="8" t="n">
        <v>8614</v>
      </c>
      <c r="E3396" s="8" t="n">
        <v>8481</v>
      </c>
      <c r="F3396" s="8" t="n">
        <v>615258</v>
      </c>
      <c r="G3396" s="8" t="n">
        <v>429731</v>
      </c>
      <c r="H3396" s="8" t="n">
        <v>8175</v>
      </c>
      <c r="I3396" s="8" t="n">
        <v>8170</v>
      </c>
      <c r="J3396" s="8" t="n">
        <v>8235</v>
      </c>
      <c r="K3396" s="8" t="n">
        <v>8125</v>
      </c>
      <c r="L3396" s="8" t="n">
        <v>374736</v>
      </c>
      <c r="M3396" s="8" t="n">
        <v>374740</v>
      </c>
      <c r="N3396" t="inlineStr">
        <is>
          <t>是</t>
        </is>
      </c>
    </row>
    <row r="3397">
      <c r="A3397" s="7" t="inlineStr">
        <is>
          <t>2021-07-01</t>
        </is>
      </c>
      <c r="B3397" s="8" t="n">
        <v>8550</v>
      </c>
      <c r="C3397" s="8" t="n">
        <v>8506</v>
      </c>
      <c r="D3397" s="8" t="n">
        <v>8610</v>
      </c>
      <c r="E3397" s="8" t="n">
        <v>8471</v>
      </c>
      <c r="F3397" s="8" t="n">
        <v>683690</v>
      </c>
      <c r="G3397" s="8" t="n">
        <v>429497</v>
      </c>
      <c r="H3397" s="8" t="n">
        <v>8190</v>
      </c>
      <c r="I3397" s="8" t="n">
        <v>8195</v>
      </c>
      <c r="J3397" s="8" t="n">
        <v>8285</v>
      </c>
      <c r="K3397" s="8" t="n">
        <v>8135</v>
      </c>
      <c r="L3397" s="8" t="n">
        <v>482371</v>
      </c>
      <c r="M3397" s="8" t="n">
        <v>374698</v>
      </c>
      <c r="N3397" t="inlineStr">
        <is>
          <t>是</t>
        </is>
      </c>
    </row>
    <row r="3398">
      <c r="A3398" s="7" t="inlineStr">
        <is>
          <t>2021-07-02</t>
        </is>
      </c>
      <c r="B3398" s="8" t="n">
        <v>8543</v>
      </c>
      <c r="C3398" s="8" t="n">
        <v>8600</v>
      </c>
      <c r="D3398" s="8" t="n">
        <v>8654</v>
      </c>
      <c r="E3398" s="8" t="n">
        <v>8511</v>
      </c>
      <c r="F3398" s="8" t="n">
        <v>674783</v>
      </c>
      <c r="G3398" s="8" t="n">
        <v>433359</v>
      </c>
      <c r="H3398" s="8" t="n">
        <v>8195</v>
      </c>
      <c r="I3398" s="8" t="n">
        <v>8230</v>
      </c>
      <c r="J3398" s="8" t="n">
        <v>8295</v>
      </c>
      <c r="K3398" s="8" t="n">
        <v>8170</v>
      </c>
      <c r="L3398" s="8" t="n">
        <v>404849</v>
      </c>
      <c r="M3398" s="8" t="n">
        <v>366343</v>
      </c>
      <c r="N3398" t="inlineStr">
        <is>
          <t>是</t>
        </is>
      </c>
    </row>
    <row r="3399">
      <c r="A3399" s="7" t="inlineStr">
        <is>
          <t>2021-07-05</t>
        </is>
      </c>
      <c r="B3399" s="8" t="n">
        <v>8640</v>
      </c>
      <c r="C3399" s="8" t="n">
        <v>8522</v>
      </c>
      <c r="D3399" s="8" t="n">
        <v>8687</v>
      </c>
      <c r="E3399" s="8" t="n">
        <v>8506</v>
      </c>
      <c r="F3399" s="8" t="n">
        <v>825439</v>
      </c>
      <c r="G3399" s="8" t="n">
        <v>453543</v>
      </c>
      <c r="H3399" s="8" t="n">
        <v>8280</v>
      </c>
      <c r="I3399" s="8" t="n">
        <v>8185</v>
      </c>
      <c r="J3399" s="8" t="n">
        <v>8340</v>
      </c>
      <c r="K3399" s="8" t="n">
        <v>8140</v>
      </c>
      <c r="L3399" s="8" t="n">
        <v>474556</v>
      </c>
      <c r="M3399" s="8" t="n">
        <v>384046</v>
      </c>
      <c r="N3399" t="inlineStr">
        <is>
          <t>是</t>
        </is>
      </c>
    </row>
    <row r="3400">
      <c r="A3400" s="7" t="inlineStr">
        <is>
          <t>2021-07-06</t>
        </is>
      </c>
      <c r="B3400" s="8" t="n">
        <v>8616</v>
      </c>
      <c r="C3400" s="8" t="n">
        <v>8640</v>
      </c>
      <c r="D3400" s="8" t="n">
        <v>8708</v>
      </c>
      <c r="E3400" s="8" t="n">
        <v>8581</v>
      </c>
      <c r="F3400" s="8" t="n">
        <v>664966</v>
      </c>
      <c r="G3400" s="8" t="n">
        <v>453911</v>
      </c>
      <c r="H3400" s="8" t="n">
        <v>8275</v>
      </c>
      <c r="I3400" s="8" t="n">
        <v>8265</v>
      </c>
      <c r="J3400" s="8" t="n">
        <v>8335</v>
      </c>
      <c r="K3400" s="8" t="n">
        <v>8210</v>
      </c>
      <c r="L3400" s="8" t="n">
        <v>377116</v>
      </c>
      <c r="M3400" s="8" t="n">
        <v>391819</v>
      </c>
      <c r="N3400" t="inlineStr">
        <is>
          <t>是</t>
        </is>
      </c>
    </row>
    <row r="3401">
      <c r="A3401" s="7" t="inlineStr">
        <is>
          <t>2021-07-07</t>
        </is>
      </c>
      <c r="B3401" s="8" t="n">
        <v>8426</v>
      </c>
      <c r="C3401" s="8" t="n">
        <v>8600</v>
      </c>
      <c r="D3401" s="8" t="n">
        <v>8613</v>
      </c>
      <c r="E3401" s="8" t="n">
        <v>8388</v>
      </c>
      <c r="F3401" s="8" t="n">
        <v>870232</v>
      </c>
      <c r="G3401" s="8" t="n">
        <v>388118</v>
      </c>
      <c r="H3401" s="8" t="n">
        <v>8065</v>
      </c>
      <c r="I3401" s="8" t="n">
        <v>8265</v>
      </c>
      <c r="J3401" s="8" t="n">
        <v>8275</v>
      </c>
      <c r="K3401" s="8" t="n">
        <v>8055</v>
      </c>
      <c r="L3401" s="8" t="n">
        <v>512093</v>
      </c>
      <c r="M3401" s="8" t="n">
        <v>355478</v>
      </c>
      <c r="N3401" t="inlineStr">
        <is>
          <t>是</t>
        </is>
      </c>
    </row>
    <row r="3402">
      <c r="A3402" s="7" t="inlineStr">
        <is>
          <t>2021-07-08</t>
        </is>
      </c>
      <c r="B3402" s="8" t="n">
        <v>8418</v>
      </c>
      <c r="C3402" s="8" t="n">
        <v>8468</v>
      </c>
      <c r="D3402" s="8" t="n">
        <v>8468</v>
      </c>
      <c r="E3402" s="8" t="n">
        <v>8362</v>
      </c>
      <c r="F3402" s="8" t="n">
        <v>641955</v>
      </c>
      <c r="G3402" s="8" t="n">
        <v>361594</v>
      </c>
      <c r="H3402" s="8" t="n">
        <v>8135</v>
      </c>
      <c r="I3402" s="8" t="n">
        <v>8065</v>
      </c>
      <c r="J3402" s="8" t="n">
        <v>8135</v>
      </c>
      <c r="K3402" s="8" t="n">
        <v>8025</v>
      </c>
      <c r="L3402" s="8" t="n">
        <v>414125</v>
      </c>
      <c r="M3402" s="8" t="n">
        <v>339241</v>
      </c>
      <c r="N3402" t="inlineStr">
        <is>
          <t>是</t>
        </is>
      </c>
    </row>
    <row r="3403">
      <c r="A3403" s="7" t="inlineStr">
        <is>
          <t>2021-07-09</t>
        </is>
      </c>
      <c r="B3403" s="8" t="n">
        <v>8548</v>
      </c>
      <c r="C3403" s="8" t="n">
        <v>8418</v>
      </c>
      <c r="D3403" s="8" t="n">
        <v>8552</v>
      </c>
      <c r="E3403" s="8" t="n">
        <v>8387</v>
      </c>
      <c r="F3403" s="8" t="n">
        <v>611728</v>
      </c>
      <c r="G3403" s="8" t="n">
        <v>347514</v>
      </c>
      <c r="H3403" s="8" t="n">
        <v>8280</v>
      </c>
      <c r="I3403" s="8" t="n">
        <v>8130</v>
      </c>
      <c r="J3403" s="8" t="n">
        <v>8280</v>
      </c>
      <c r="K3403" s="8" t="n">
        <v>8085</v>
      </c>
      <c r="L3403" s="8" t="n">
        <v>371466</v>
      </c>
      <c r="M3403" s="8" t="n">
        <v>346832</v>
      </c>
      <c r="N3403" t="inlineStr">
        <is>
          <t>是</t>
        </is>
      </c>
    </row>
    <row r="3404">
      <c r="A3404" s="7" t="inlineStr">
        <is>
          <t>2021-07-12</t>
        </is>
      </c>
      <c r="B3404" s="8" t="n">
        <v>8589</v>
      </c>
      <c r="C3404" s="8" t="n">
        <v>8563</v>
      </c>
      <c r="D3404" s="8" t="n">
        <v>8684</v>
      </c>
      <c r="E3404" s="8" t="n">
        <v>8557</v>
      </c>
      <c r="F3404" s="8" t="n">
        <v>703345</v>
      </c>
      <c r="G3404" s="8" t="n">
        <v>374387</v>
      </c>
      <c r="H3404" s="8" t="n">
        <v>8375</v>
      </c>
      <c r="I3404" s="8" t="n">
        <v>8285</v>
      </c>
      <c r="J3404" s="8" t="n">
        <v>8435</v>
      </c>
      <c r="K3404" s="8" t="n">
        <v>8270</v>
      </c>
      <c r="L3404" s="8" t="n">
        <v>505505</v>
      </c>
      <c r="M3404" s="8" t="n">
        <v>374706</v>
      </c>
      <c r="N3404" t="inlineStr">
        <is>
          <t>是</t>
        </is>
      </c>
    </row>
    <row r="3405">
      <c r="A3405" s="7" t="inlineStr">
        <is>
          <t>2021-07-13</t>
        </is>
      </c>
      <c r="B3405" s="8" t="n">
        <v>8581</v>
      </c>
      <c r="C3405" s="8" t="n">
        <v>8570</v>
      </c>
      <c r="D3405" s="8" t="n">
        <v>8623</v>
      </c>
      <c r="E3405" s="8" t="n">
        <v>8540</v>
      </c>
      <c r="F3405" s="8" t="n">
        <v>519315</v>
      </c>
      <c r="G3405" s="8" t="n">
        <v>377520</v>
      </c>
      <c r="H3405" s="8" t="n">
        <v>8385</v>
      </c>
      <c r="I3405" s="8" t="n">
        <v>8380</v>
      </c>
      <c r="J3405" s="8" t="n">
        <v>8410</v>
      </c>
      <c r="K3405" s="8" t="n">
        <v>8335</v>
      </c>
      <c r="L3405" s="8" t="n">
        <v>340911</v>
      </c>
      <c r="M3405" s="8" t="n">
        <v>385644</v>
      </c>
      <c r="N3405" t="inlineStr">
        <is>
          <t>是</t>
        </is>
      </c>
    </row>
    <row r="3406">
      <c r="A3406" s="7" t="inlineStr">
        <is>
          <t>2021-07-14</t>
        </is>
      </c>
      <c r="B3406" s="8" t="n">
        <v>8485</v>
      </c>
      <c r="C3406" s="8" t="n">
        <v>8585</v>
      </c>
      <c r="D3406" s="8" t="n">
        <v>8587</v>
      </c>
      <c r="E3406" s="8" t="n">
        <v>8451</v>
      </c>
      <c r="F3406" s="8" t="n">
        <v>718305</v>
      </c>
      <c r="G3406" s="8" t="n">
        <v>374434</v>
      </c>
      <c r="H3406" s="8" t="n">
        <v>8295</v>
      </c>
      <c r="I3406" s="8" t="n">
        <v>8375</v>
      </c>
      <c r="J3406" s="8" t="n">
        <v>8380</v>
      </c>
      <c r="K3406" s="8" t="n">
        <v>8235</v>
      </c>
      <c r="L3406" s="8" t="n">
        <v>475812</v>
      </c>
      <c r="M3406" s="8" t="n">
        <v>365073</v>
      </c>
      <c r="N3406" t="inlineStr">
        <is>
          <t>是</t>
        </is>
      </c>
    </row>
    <row r="3407">
      <c r="A3407" s="7" t="inlineStr">
        <is>
          <t>2021-07-15</t>
        </is>
      </c>
      <c r="B3407" s="8" t="n">
        <v>8368</v>
      </c>
      <c r="C3407" s="8" t="n">
        <v>8485</v>
      </c>
      <c r="D3407" s="8" t="n">
        <v>8502</v>
      </c>
      <c r="E3407" s="8" t="n">
        <v>8302</v>
      </c>
      <c r="F3407" s="8" t="n">
        <v>772412</v>
      </c>
      <c r="G3407" s="8" t="n">
        <v>399915</v>
      </c>
      <c r="H3407" s="8" t="n">
        <v>8225</v>
      </c>
      <c r="I3407" s="8" t="n">
        <v>8280</v>
      </c>
      <c r="J3407" s="8" t="n">
        <v>8295</v>
      </c>
      <c r="K3407" s="8" t="n">
        <v>8130</v>
      </c>
      <c r="L3407" s="8" t="n">
        <v>479669</v>
      </c>
      <c r="M3407" s="8" t="n">
        <v>338704</v>
      </c>
      <c r="N3407" t="inlineStr">
        <is>
          <t>是</t>
        </is>
      </c>
    </row>
    <row r="3408">
      <c r="A3408" s="7" t="inlineStr">
        <is>
          <t>2021-07-16</t>
        </is>
      </c>
      <c r="B3408" s="8" t="n">
        <v>8412</v>
      </c>
      <c r="C3408" s="8" t="n">
        <v>8368</v>
      </c>
      <c r="D3408" s="8" t="n">
        <v>8457</v>
      </c>
      <c r="E3408" s="8" t="n">
        <v>8328</v>
      </c>
      <c r="F3408" s="8" t="n">
        <v>681459</v>
      </c>
      <c r="G3408" s="8" t="n">
        <v>377780</v>
      </c>
      <c r="H3408" s="8" t="n">
        <v>8335</v>
      </c>
      <c r="I3408" s="8" t="n">
        <v>8225</v>
      </c>
      <c r="J3408" s="8" t="n">
        <v>8380</v>
      </c>
      <c r="K3408" s="8" t="n">
        <v>8185</v>
      </c>
      <c r="L3408" s="8" t="n">
        <v>552417</v>
      </c>
      <c r="M3408" s="8" t="n">
        <v>340401</v>
      </c>
      <c r="N3408" t="inlineStr">
        <is>
          <t>是</t>
        </is>
      </c>
    </row>
    <row r="3409">
      <c r="A3409" s="7" t="inlineStr">
        <is>
          <t>2021-07-19</t>
        </is>
      </c>
      <c r="B3409" s="8" t="n">
        <v>8602</v>
      </c>
      <c r="C3409" s="8" t="n">
        <v>8420</v>
      </c>
      <c r="D3409" s="8" t="n">
        <v>8605</v>
      </c>
      <c r="E3409" s="8" t="n">
        <v>8368</v>
      </c>
      <c r="F3409" s="8" t="n">
        <v>761876</v>
      </c>
      <c r="G3409" s="8" t="n">
        <v>368499</v>
      </c>
      <c r="H3409" s="8" t="n">
        <v>8465</v>
      </c>
      <c r="I3409" s="8" t="n">
        <v>8335</v>
      </c>
      <c r="J3409" s="8" t="n">
        <v>8490</v>
      </c>
      <c r="K3409" s="8" t="n">
        <v>8290</v>
      </c>
      <c r="L3409" s="8" t="n">
        <v>504039</v>
      </c>
      <c r="M3409" s="8" t="n">
        <v>360980</v>
      </c>
      <c r="N3409" t="inlineStr">
        <is>
          <t>是</t>
        </is>
      </c>
    </row>
    <row r="3410">
      <c r="A3410" s="7" t="inlineStr">
        <is>
          <t>2021-07-20</t>
        </is>
      </c>
      <c r="B3410" s="8" t="n">
        <v>8582</v>
      </c>
      <c r="C3410" s="8" t="n">
        <v>8557</v>
      </c>
      <c r="D3410" s="8" t="n">
        <v>8600</v>
      </c>
      <c r="E3410" s="8" t="n">
        <v>8428</v>
      </c>
      <c r="F3410" s="8" t="n">
        <v>772446</v>
      </c>
      <c r="G3410" s="8" t="n">
        <v>334973</v>
      </c>
      <c r="H3410" s="8" t="n">
        <v>8410</v>
      </c>
      <c r="I3410" s="8" t="n">
        <v>8420</v>
      </c>
      <c r="J3410" s="8" t="n">
        <v>8440</v>
      </c>
      <c r="K3410" s="8" t="n">
        <v>8260</v>
      </c>
      <c r="L3410" s="8" t="n">
        <v>517507</v>
      </c>
      <c r="M3410" s="8" t="n">
        <v>338167</v>
      </c>
      <c r="N3410" t="inlineStr">
        <is>
          <t>是</t>
        </is>
      </c>
    </row>
    <row r="3411">
      <c r="A3411" s="7" t="inlineStr">
        <is>
          <t>2021-07-21</t>
        </is>
      </c>
      <c r="B3411" s="8" t="n">
        <v>8629</v>
      </c>
      <c r="C3411" s="8" t="n">
        <v>8568</v>
      </c>
      <c r="D3411" s="8" t="n">
        <v>8647</v>
      </c>
      <c r="E3411" s="8" t="n">
        <v>8536</v>
      </c>
      <c r="F3411" s="8" t="n">
        <v>759877</v>
      </c>
      <c r="G3411" s="8" t="n">
        <v>353412</v>
      </c>
      <c r="H3411" s="8" t="n">
        <v>8365</v>
      </c>
      <c r="I3411" s="8" t="n">
        <v>8400</v>
      </c>
      <c r="J3411" s="8" t="n">
        <v>8445</v>
      </c>
      <c r="K3411" s="8" t="n">
        <v>8315</v>
      </c>
      <c r="L3411" s="8" t="n">
        <v>389251</v>
      </c>
      <c r="M3411" s="8" t="n">
        <v>325200</v>
      </c>
      <c r="N3411" t="inlineStr">
        <is>
          <t>是</t>
        </is>
      </c>
    </row>
    <row r="3412">
      <c r="A3412" s="7" t="inlineStr">
        <is>
          <t>2021-07-22</t>
        </is>
      </c>
      <c r="B3412" s="8" t="n">
        <v>8633</v>
      </c>
      <c r="C3412" s="8" t="n">
        <v>8650</v>
      </c>
      <c r="D3412" s="8" t="n">
        <v>8740</v>
      </c>
      <c r="E3412" s="8" t="n">
        <v>8583</v>
      </c>
      <c r="F3412" s="8" t="n">
        <v>770791</v>
      </c>
      <c r="G3412" s="8" t="n">
        <v>351333</v>
      </c>
      <c r="H3412" s="8" t="n">
        <v>8385</v>
      </c>
      <c r="I3412" s="8" t="n">
        <v>8395</v>
      </c>
      <c r="J3412" s="8" t="n">
        <v>8500</v>
      </c>
      <c r="K3412" s="8" t="n">
        <v>8355</v>
      </c>
      <c r="L3412" s="8" t="n">
        <v>414596</v>
      </c>
      <c r="M3412" s="8" t="n">
        <v>325210</v>
      </c>
      <c r="N3412" t="inlineStr">
        <is>
          <t>是</t>
        </is>
      </c>
    </row>
    <row r="3413">
      <c r="A3413" s="7" t="inlineStr">
        <is>
          <t>2021-07-23</t>
        </is>
      </c>
      <c r="B3413" s="8" t="n">
        <v>8606</v>
      </c>
      <c r="C3413" s="8" t="n">
        <v>8633</v>
      </c>
      <c r="D3413" s="8" t="n">
        <v>8695</v>
      </c>
      <c r="E3413" s="8" t="n">
        <v>8552</v>
      </c>
      <c r="F3413" s="8" t="n">
        <v>649547</v>
      </c>
      <c r="G3413" s="8" t="n">
        <v>338345</v>
      </c>
      <c r="H3413" s="8" t="n">
        <v>8325</v>
      </c>
      <c r="I3413" s="8" t="n">
        <v>8380</v>
      </c>
      <c r="J3413" s="8" t="n">
        <v>8415</v>
      </c>
      <c r="K3413" s="8" t="n">
        <v>8280</v>
      </c>
      <c r="L3413" s="8" t="n">
        <v>379659</v>
      </c>
      <c r="M3413" s="8" t="n">
        <v>310609</v>
      </c>
      <c r="N3413" t="inlineStr">
        <is>
          <t>是</t>
        </is>
      </c>
    </row>
    <row r="3414">
      <c r="A3414" s="7" t="inlineStr">
        <is>
          <t>2021-07-26</t>
        </is>
      </c>
      <c r="B3414" s="8" t="n">
        <v>8430</v>
      </c>
      <c r="C3414" s="8" t="n">
        <v>8582</v>
      </c>
      <c r="D3414" s="8" t="n">
        <v>8600</v>
      </c>
      <c r="E3414" s="8" t="n">
        <v>8430</v>
      </c>
      <c r="F3414" s="8" t="n">
        <v>710763</v>
      </c>
      <c r="G3414" s="8" t="n">
        <v>312813</v>
      </c>
      <c r="H3414" s="8" t="n">
        <v>8165</v>
      </c>
      <c r="I3414" s="8" t="n">
        <v>8315</v>
      </c>
      <c r="J3414" s="8" t="n">
        <v>8335</v>
      </c>
      <c r="K3414" s="8" t="n">
        <v>8160</v>
      </c>
      <c r="L3414" s="8" t="n">
        <v>424648</v>
      </c>
      <c r="M3414" s="8" t="n">
        <v>306683</v>
      </c>
      <c r="N3414" t="inlineStr">
        <is>
          <t>是</t>
        </is>
      </c>
    </row>
    <row r="3415">
      <c r="A3415" s="7" t="inlineStr">
        <is>
          <t>2021-07-27</t>
        </is>
      </c>
      <c r="B3415" s="8" t="n">
        <v>8366</v>
      </c>
      <c r="C3415" s="8" t="n">
        <v>8476</v>
      </c>
      <c r="D3415" s="8" t="n">
        <v>8480</v>
      </c>
      <c r="E3415" s="8" t="n">
        <v>8350</v>
      </c>
      <c r="F3415" s="8" t="n">
        <v>604576</v>
      </c>
      <c r="G3415" s="8" t="n">
        <v>331368</v>
      </c>
      <c r="H3415" s="8" t="n">
        <v>8130</v>
      </c>
      <c r="I3415" s="8" t="n">
        <v>8195</v>
      </c>
      <c r="J3415" s="8" t="n">
        <v>8240</v>
      </c>
      <c r="K3415" s="8" t="n">
        <v>8120</v>
      </c>
      <c r="L3415" s="8" t="n">
        <v>345739</v>
      </c>
      <c r="M3415" s="8" t="n">
        <v>301387</v>
      </c>
      <c r="N3415" t="inlineStr">
        <is>
          <t>是</t>
        </is>
      </c>
    </row>
    <row r="3416">
      <c r="A3416" s="7" t="inlineStr">
        <is>
          <t>2021-07-28</t>
        </is>
      </c>
      <c r="B3416" s="8" t="n">
        <v>8455</v>
      </c>
      <c r="C3416" s="8" t="n">
        <v>8366</v>
      </c>
      <c r="D3416" s="8" t="n">
        <v>8490</v>
      </c>
      <c r="E3416" s="8" t="n">
        <v>8325</v>
      </c>
      <c r="F3416" s="8" t="n">
        <v>596624</v>
      </c>
      <c r="G3416" s="8" t="n">
        <v>315767</v>
      </c>
      <c r="H3416" s="8" t="n">
        <v>8235</v>
      </c>
      <c r="I3416" s="8" t="n">
        <v>8150</v>
      </c>
      <c r="J3416" s="8" t="n">
        <v>8260</v>
      </c>
      <c r="K3416" s="8" t="n">
        <v>8055</v>
      </c>
      <c r="L3416" s="8" t="n">
        <v>426033</v>
      </c>
      <c r="M3416" s="8" t="n">
        <v>281214</v>
      </c>
      <c r="N3416" t="inlineStr">
        <is>
          <t>是</t>
        </is>
      </c>
    </row>
    <row r="3417">
      <c r="A3417" s="7" t="inlineStr">
        <is>
          <t>2021-07-29</t>
        </is>
      </c>
      <c r="B3417" s="8" t="n">
        <v>8577</v>
      </c>
      <c r="C3417" s="8" t="n">
        <v>8443</v>
      </c>
      <c r="D3417" s="8" t="n">
        <v>8583</v>
      </c>
      <c r="E3417" s="8" t="n">
        <v>8443</v>
      </c>
      <c r="F3417" s="8" t="n">
        <v>524081</v>
      </c>
      <c r="G3417" s="8" t="n">
        <v>284559</v>
      </c>
      <c r="H3417" s="8" t="n">
        <v>8305</v>
      </c>
      <c r="I3417" s="8" t="n">
        <v>8225</v>
      </c>
      <c r="J3417" s="8" t="n">
        <v>8315</v>
      </c>
      <c r="K3417" s="8" t="n">
        <v>8225</v>
      </c>
      <c r="L3417" s="8" t="n">
        <v>307769</v>
      </c>
      <c r="M3417" s="8" t="n">
        <v>267444</v>
      </c>
      <c r="N3417" t="inlineStr">
        <is>
          <t>是</t>
        </is>
      </c>
    </row>
    <row r="3418">
      <c r="A3418" s="7" t="inlineStr">
        <is>
          <t>2021-07-30</t>
        </is>
      </c>
      <c r="B3418" s="8" t="n">
        <v>8613</v>
      </c>
      <c r="C3418" s="8" t="n">
        <v>8562</v>
      </c>
      <c r="D3418" s="8" t="n">
        <v>8646</v>
      </c>
      <c r="E3418" s="8" t="n">
        <v>8543</v>
      </c>
      <c r="F3418" s="8" t="n">
        <v>592989</v>
      </c>
      <c r="G3418" s="8" t="n">
        <v>279493</v>
      </c>
      <c r="H3418" s="8" t="n">
        <v>8320</v>
      </c>
      <c r="I3418" s="8" t="n">
        <v>8280</v>
      </c>
      <c r="J3418" s="8" t="n">
        <v>8360</v>
      </c>
      <c r="K3418" s="8" t="n">
        <v>8245</v>
      </c>
      <c r="L3418" s="8" t="n">
        <v>325533</v>
      </c>
      <c r="M3418" s="8" t="n">
        <v>264469</v>
      </c>
      <c r="N3418" t="inlineStr">
        <is>
          <t>是</t>
        </is>
      </c>
    </row>
    <row r="3419">
      <c r="A3419" s="7" t="inlineStr">
        <is>
          <t>2021-08-02</t>
        </is>
      </c>
      <c r="B3419" s="8" t="n">
        <v>8428</v>
      </c>
      <c r="C3419" s="8" t="n">
        <v>8613</v>
      </c>
      <c r="D3419" s="8" t="n">
        <v>8617</v>
      </c>
      <c r="E3419" s="8" t="n">
        <v>8424</v>
      </c>
      <c r="F3419" s="8" t="n">
        <v>741694</v>
      </c>
      <c r="G3419" s="8" t="n">
        <v>242303</v>
      </c>
      <c r="H3419" s="8" t="n">
        <v>8175</v>
      </c>
      <c r="I3419" s="8" t="n">
        <v>8320</v>
      </c>
      <c r="J3419" s="8" t="n">
        <v>8320</v>
      </c>
      <c r="K3419" s="8" t="n">
        <v>8165</v>
      </c>
      <c r="L3419" s="8" t="n">
        <v>393387</v>
      </c>
      <c r="M3419" s="8" t="n">
        <v>251042</v>
      </c>
      <c r="N3419" t="inlineStr">
        <is>
          <t>是</t>
        </is>
      </c>
    </row>
    <row r="3420">
      <c r="A3420" s="7" t="inlineStr">
        <is>
          <t>2021-08-03</t>
        </is>
      </c>
      <c r="B3420" s="8" t="n">
        <v>8291</v>
      </c>
      <c r="C3420" s="8" t="n">
        <v>8448</v>
      </c>
      <c r="D3420" s="8" t="n">
        <v>8448</v>
      </c>
      <c r="E3420" s="8" t="n">
        <v>8280</v>
      </c>
      <c r="F3420" s="8" t="n">
        <v>615276</v>
      </c>
      <c r="G3420" s="8" t="n">
        <v>282831</v>
      </c>
      <c r="H3420" s="8" t="n">
        <v>8040</v>
      </c>
      <c r="I3420" s="8" t="n">
        <v>8190</v>
      </c>
      <c r="J3420" s="8" t="n">
        <v>8190</v>
      </c>
      <c r="K3420" s="8" t="n">
        <v>8040</v>
      </c>
      <c r="L3420" s="8" t="n">
        <v>347948</v>
      </c>
      <c r="M3420" s="8" t="n">
        <v>252488</v>
      </c>
      <c r="N3420" t="inlineStr">
        <is>
          <t>是</t>
        </is>
      </c>
    </row>
    <row r="3421">
      <c r="A3421" s="7" t="inlineStr">
        <is>
          <t>2021-08-04</t>
        </is>
      </c>
      <c r="B3421" s="8" t="n">
        <v>8352</v>
      </c>
      <c r="C3421" s="8" t="n">
        <v>8300</v>
      </c>
      <c r="D3421" s="8" t="n">
        <v>8386</v>
      </c>
      <c r="E3421" s="8" t="n">
        <v>8238</v>
      </c>
      <c r="F3421" s="8" t="n">
        <v>579579</v>
      </c>
      <c r="G3421" s="8" t="n">
        <v>278636</v>
      </c>
      <c r="H3421" s="8" t="n">
        <v>8070</v>
      </c>
      <c r="I3421" s="8" t="n">
        <v>8015</v>
      </c>
      <c r="J3421" s="8" t="n">
        <v>8100</v>
      </c>
      <c r="K3421" s="8" t="n">
        <v>7980</v>
      </c>
      <c r="L3421" s="8" t="n">
        <v>318673</v>
      </c>
      <c r="M3421" s="8" t="n">
        <v>244514</v>
      </c>
      <c r="N3421" t="inlineStr">
        <is>
          <t>是</t>
        </is>
      </c>
    </row>
    <row r="3422">
      <c r="A3422" s="7" t="inlineStr">
        <is>
          <t>2021-08-05</t>
        </is>
      </c>
      <c r="B3422" s="8" t="n">
        <v>8307</v>
      </c>
      <c r="C3422" s="8" t="n">
        <v>8332</v>
      </c>
      <c r="D3422" s="8" t="n">
        <v>8414</v>
      </c>
      <c r="E3422" s="8" t="n">
        <v>8293</v>
      </c>
      <c r="F3422" s="8" t="n">
        <v>630186</v>
      </c>
      <c r="G3422" s="8" t="n">
        <v>273607</v>
      </c>
      <c r="H3422" s="8" t="n">
        <v>8055</v>
      </c>
      <c r="I3422" s="8" t="n">
        <v>8045</v>
      </c>
      <c r="J3422" s="8" t="n">
        <v>8145</v>
      </c>
      <c r="K3422" s="8" t="n">
        <v>8040</v>
      </c>
      <c r="L3422" s="8" t="n">
        <v>287718</v>
      </c>
      <c r="M3422" s="8" t="n">
        <v>238094</v>
      </c>
      <c r="N3422" t="inlineStr">
        <is>
          <t>是</t>
        </is>
      </c>
    </row>
    <row r="3423">
      <c r="A3423" s="7" t="inlineStr">
        <is>
          <t>2021-08-06</t>
        </is>
      </c>
      <c r="B3423" s="8" t="n">
        <v>8359</v>
      </c>
      <c r="C3423" s="8" t="n">
        <v>8310</v>
      </c>
      <c r="D3423" s="8" t="n">
        <v>8396</v>
      </c>
      <c r="E3423" s="8" t="n">
        <v>8261</v>
      </c>
      <c r="F3423" s="8" t="n">
        <v>592132</v>
      </c>
      <c r="G3423" s="8" t="n">
        <v>254115</v>
      </c>
      <c r="H3423" s="8" t="n">
        <v>8075</v>
      </c>
      <c r="I3423" s="8" t="n">
        <v>8060</v>
      </c>
      <c r="J3423" s="8" t="n">
        <v>8120</v>
      </c>
      <c r="K3423" s="8" t="n">
        <v>8020</v>
      </c>
      <c r="L3423" s="8" t="n">
        <v>269784</v>
      </c>
      <c r="M3423" s="8" t="n">
        <v>230288</v>
      </c>
      <c r="N3423" t="inlineStr">
        <is>
          <t>是</t>
        </is>
      </c>
    </row>
    <row r="3424">
      <c r="A3424" s="7" t="inlineStr">
        <is>
          <t>2021-08-09</t>
        </is>
      </c>
      <c r="B3424" s="8" t="n">
        <v>8339</v>
      </c>
      <c r="C3424" s="8" t="n">
        <v>8400</v>
      </c>
      <c r="D3424" s="8" t="n">
        <v>8410</v>
      </c>
      <c r="E3424" s="8" t="n">
        <v>8252</v>
      </c>
      <c r="F3424" s="8" t="n">
        <v>690134</v>
      </c>
      <c r="G3424" s="8" t="n">
        <v>235631</v>
      </c>
      <c r="H3424" s="8" t="n">
        <v>8100</v>
      </c>
      <c r="I3424" s="8" t="n">
        <v>8080</v>
      </c>
      <c r="J3424" s="8" t="n">
        <v>8150</v>
      </c>
      <c r="K3424" s="8" t="n">
        <v>7990</v>
      </c>
      <c r="L3424" s="8" t="n">
        <v>373592</v>
      </c>
      <c r="M3424" s="8" t="n">
        <v>219643</v>
      </c>
      <c r="N3424" t="inlineStr">
        <is>
          <t>是</t>
        </is>
      </c>
    </row>
    <row r="3425">
      <c r="A3425" s="7" t="inlineStr">
        <is>
          <t>2021-08-10</t>
        </is>
      </c>
      <c r="B3425" s="8" t="n">
        <v>8479</v>
      </c>
      <c r="C3425" s="8" t="n">
        <v>8299</v>
      </c>
      <c r="D3425" s="8" t="n">
        <v>8485</v>
      </c>
      <c r="E3425" s="8" t="n">
        <v>8296</v>
      </c>
      <c r="F3425" s="8" t="n">
        <v>616845</v>
      </c>
      <c r="G3425" s="8" t="n">
        <v>213333</v>
      </c>
      <c r="H3425" s="8" t="n">
        <v>8265</v>
      </c>
      <c r="I3425" s="8" t="n">
        <v>8100</v>
      </c>
      <c r="J3425" s="8" t="n">
        <v>8265</v>
      </c>
      <c r="K3425" s="8" t="n">
        <v>8080</v>
      </c>
      <c r="L3425" s="8" t="n">
        <v>362645</v>
      </c>
      <c r="M3425" s="8" t="n">
        <v>198430</v>
      </c>
      <c r="N3425" t="inlineStr">
        <is>
          <t>是</t>
        </is>
      </c>
    </row>
    <row r="3426">
      <c r="A3426" s="7" t="inlineStr">
        <is>
          <t>2021-08-11</t>
        </is>
      </c>
      <c r="B3426" s="8" t="n">
        <v>8531</v>
      </c>
      <c r="C3426" s="8" t="n">
        <v>8479</v>
      </c>
      <c r="D3426" s="8" t="n">
        <v>8545</v>
      </c>
      <c r="E3426" s="8" t="n">
        <v>8457</v>
      </c>
      <c r="F3426" s="8" t="n">
        <v>501668</v>
      </c>
      <c r="G3426" s="8" t="n">
        <v>175465</v>
      </c>
      <c r="H3426" s="8" t="n">
        <v>8285</v>
      </c>
      <c r="I3426" s="8" t="n">
        <v>8255</v>
      </c>
      <c r="J3426" s="8" t="n">
        <v>8295</v>
      </c>
      <c r="K3426" s="8" t="n">
        <v>8240</v>
      </c>
      <c r="L3426" s="8" t="n">
        <v>264144</v>
      </c>
      <c r="M3426" s="8" t="n">
        <v>186583</v>
      </c>
      <c r="N3426" t="inlineStr">
        <is>
          <t>是</t>
        </is>
      </c>
    </row>
    <row r="3427">
      <c r="A3427" s="7" t="inlineStr">
        <is>
          <t>2021-08-12</t>
        </is>
      </c>
      <c r="B3427" s="8" t="n">
        <v>8537</v>
      </c>
      <c r="C3427" s="8" t="n">
        <v>8499</v>
      </c>
      <c r="D3427" s="8" t="n">
        <v>8581</v>
      </c>
      <c r="E3427" s="8" t="n">
        <v>8483</v>
      </c>
      <c r="F3427" s="8" t="n">
        <v>508986</v>
      </c>
      <c r="G3427" s="8" t="n">
        <v>165103</v>
      </c>
      <c r="H3427" s="8" t="n">
        <v>8280</v>
      </c>
      <c r="I3427" s="8" t="n">
        <v>8255</v>
      </c>
      <c r="J3427" s="8" t="n">
        <v>8320</v>
      </c>
      <c r="K3427" s="8" t="n">
        <v>8225</v>
      </c>
      <c r="L3427" s="8" t="n">
        <v>232825</v>
      </c>
      <c r="M3427" s="8" t="n">
        <v>171050</v>
      </c>
      <c r="N3427" t="inlineStr">
        <is>
          <t>是</t>
        </is>
      </c>
    </row>
    <row r="3428">
      <c r="A3428" s="7" t="inlineStr">
        <is>
          <t>2021-08-13</t>
        </is>
      </c>
      <c r="B3428" s="8" t="n">
        <v>8541</v>
      </c>
      <c r="C3428" s="8" t="n">
        <v>8560</v>
      </c>
      <c r="D3428" s="8" t="n">
        <v>8568</v>
      </c>
      <c r="E3428" s="8" t="n">
        <v>8453</v>
      </c>
      <c r="F3428" s="8" t="n">
        <v>435319</v>
      </c>
      <c r="G3428" s="8" t="n">
        <v>142034</v>
      </c>
      <c r="H3428" s="8" t="n">
        <v>8355</v>
      </c>
      <c r="I3428" s="8" t="n">
        <v>8295</v>
      </c>
      <c r="J3428" s="8" t="n">
        <v>8380</v>
      </c>
      <c r="K3428" s="8" t="n">
        <v>8270</v>
      </c>
      <c r="L3428" s="8" t="n">
        <v>250258</v>
      </c>
      <c r="M3428" s="8" t="n">
        <v>159329</v>
      </c>
      <c r="N3428" t="inlineStr">
        <is>
          <t>是</t>
        </is>
      </c>
    </row>
    <row r="3429">
      <c r="A3429" s="7" t="inlineStr">
        <is>
          <t>2021-08-16</t>
        </is>
      </c>
      <c r="B3429" s="8" t="n">
        <v>8570</v>
      </c>
      <c r="C3429" s="8" t="n">
        <v>8541</v>
      </c>
      <c r="D3429" s="8" t="n">
        <v>8598</v>
      </c>
      <c r="E3429" s="8" t="n">
        <v>8503</v>
      </c>
      <c r="F3429" s="8" t="n">
        <v>384785</v>
      </c>
      <c r="G3429" s="8" t="n">
        <v>127310</v>
      </c>
      <c r="H3429" s="8" t="n">
        <v>8375</v>
      </c>
      <c r="I3429" s="8" t="n">
        <v>8355</v>
      </c>
      <c r="J3429" s="8" t="n">
        <v>8395</v>
      </c>
      <c r="K3429" s="8" t="n">
        <v>8310</v>
      </c>
      <c r="L3429" s="8" t="n">
        <v>207150</v>
      </c>
      <c r="M3429" s="8" t="n">
        <v>136515</v>
      </c>
      <c r="N3429" t="inlineStr">
        <is>
          <t>是</t>
        </is>
      </c>
    </row>
    <row r="3430">
      <c r="A3430" s="7" t="inlineStr">
        <is>
          <t>2021-08-17</t>
        </is>
      </c>
      <c r="B3430" s="8" t="n">
        <v>8586</v>
      </c>
      <c r="C3430" s="8" t="n">
        <v>8540</v>
      </c>
      <c r="D3430" s="8" t="n">
        <v>8602</v>
      </c>
      <c r="E3430" s="8" t="n">
        <v>8504</v>
      </c>
      <c r="F3430" s="8" t="n">
        <v>361625</v>
      </c>
      <c r="G3430" s="8" t="n">
        <v>114561</v>
      </c>
      <c r="H3430" s="8" t="n">
        <v>8430</v>
      </c>
      <c r="I3430" s="8" t="n">
        <v>8375</v>
      </c>
      <c r="J3430" s="8" t="n">
        <v>8435</v>
      </c>
      <c r="K3430" s="8" t="n">
        <v>8340</v>
      </c>
      <c r="L3430" s="8" t="n">
        <v>171093</v>
      </c>
      <c r="M3430" s="8" t="n">
        <v>127548</v>
      </c>
      <c r="N3430" t="inlineStr">
        <is>
          <t>是</t>
        </is>
      </c>
    </row>
    <row r="3431">
      <c r="A3431" s="7" t="inlineStr">
        <is>
          <t>2021-08-18</t>
        </is>
      </c>
      <c r="B3431" s="8" t="n">
        <v>8556</v>
      </c>
      <c r="C3431" s="8" t="n">
        <v>8586</v>
      </c>
      <c r="D3431" s="8" t="n">
        <v>8624</v>
      </c>
      <c r="E3431" s="8" t="n">
        <v>8539</v>
      </c>
      <c r="F3431" s="8" t="n">
        <v>386307</v>
      </c>
      <c r="G3431" s="8" t="n">
        <v>101000</v>
      </c>
      <c r="H3431" s="8" t="n">
        <v>8380</v>
      </c>
      <c r="I3431" s="8" t="n">
        <v>8425</v>
      </c>
      <c r="J3431" s="8" t="n">
        <v>8440</v>
      </c>
      <c r="K3431" s="8" t="n">
        <v>8355</v>
      </c>
      <c r="L3431" s="8" t="n">
        <v>363161</v>
      </c>
      <c r="M3431" s="8" t="n">
        <v>253916</v>
      </c>
      <c r="N3431" t="inlineStr">
        <is>
          <t>是</t>
        </is>
      </c>
    </row>
    <row r="3432">
      <c r="A3432" s="7" t="inlineStr">
        <is>
          <t>2021-08-19</t>
        </is>
      </c>
      <c r="B3432" s="8" t="n">
        <v>8420</v>
      </c>
      <c r="C3432" s="8" t="n">
        <v>8556</v>
      </c>
      <c r="D3432" s="8" t="n">
        <v>8576</v>
      </c>
      <c r="E3432" s="8" t="n">
        <v>8410</v>
      </c>
      <c r="F3432" s="8" t="n">
        <v>323778</v>
      </c>
      <c r="G3432" s="8" t="n">
        <v>75365</v>
      </c>
      <c r="H3432" s="8" t="n">
        <v>8155</v>
      </c>
      <c r="I3432" s="8" t="n">
        <v>8380</v>
      </c>
      <c r="J3432" s="8" t="n">
        <v>8385</v>
      </c>
      <c r="K3432" s="8" t="n">
        <v>8150</v>
      </c>
      <c r="L3432" s="8" t="n">
        <v>409659</v>
      </c>
      <c r="M3432" s="8" t="n">
        <v>260334</v>
      </c>
      <c r="N3432" t="inlineStr">
        <is>
          <t>是</t>
        </is>
      </c>
    </row>
    <row r="3433">
      <c r="A3433" s="7" t="inlineStr">
        <is>
          <t>2021-08-20</t>
        </is>
      </c>
      <c r="B3433" s="8" t="n">
        <v>8251</v>
      </c>
      <c r="C3433" s="8" t="n">
        <v>8258</v>
      </c>
      <c r="D3433" s="8" t="n">
        <v>8300</v>
      </c>
      <c r="E3433" s="8" t="n">
        <v>8203</v>
      </c>
      <c r="F3433" s="8" t="n">
        <v>548237</v>
      </c>
      <c r="G3433" s="8" t="n">
        <v>308251</v>
      </c>
      <c r="H3433" s="8" t="n">
        <v>8130</v>
      </c>
      <c r="I3433" s="8" t="n">
        <v>8140</v>
      </c>
      <c r="J3433" s="8" t="n">
        <v>8170</v>
      </c>
      <c r="K3433" s="8" t="n">
        <v>8080</v>
      </c>
      <c r="L3433" s="8" t="n">
        <v>361388</v>
      </c>
      <c r="M3433" s="8" t="n">
        <v>260002</v>
      </c>
      <c r="N3433" t="inlineStr">
        <is>
          <t>是</t>
        </is>
      </c>
    </row>
    <row r="3434">
      <c r="A3434" s="7" t="inlineStr">
        <is>
          <t>2021-08-23</t>
        </is>
      </c>
      <c r="B3434" s="8" t="n">
        <v>8315</v>
      </c>
      <c r="C3434" s="8" t="n">
        <v>8235</v>
      </c>
      <c r="D3434" s="8" t="n">
        <v>8320</v>
      </c>
      <c r="E3434" s="8" t="n">
        <v>8154</v>
      </c>
      <c r="F3434" s="8" t="n">
        <v>726836</v>
      </c>
      <c r="G3434" s="8" t="n">
        <v>329826</v>
      </c>
      <c r="H3434" s="8" t="n">
        <v>8175</v>
      </c>
      <c r="I3434" s="8" t="n">
        <v>8095</v>
      </c>
      <c r="J3434" s="8" t="n">
        <v>8190</v>
      </c>
      <c r="K3434" s="8" t="n">
        <v>8075</v>
      </c>
      <c r="L3434" s="8" t="n">
        <v>373361</v>
      </c>
      <c r="M3434" s="8" t="n">
        <v>254931</v>
      </c>
      <c r="N3434" t="inlineStr">
        <is>
          <t>是</t>
        </is>
      </c>
    </row>
    <row r="3435">
      <c r="A3435" s="7" t="inlineStr">
        <is>
          <t>2021-08-24</t>
        </is>
      </c>
      <c r="B3435" s="8" t="n">
        <v>8370</v>
      </c>
      <c r="C3435" s="8" t="n">
        <v>8315</v>
      </c>
      <c r="D3435" s="8" t="n">
        <v>8416</v>
      </c>
      <c r="E3435" s="8" t="n">
        <v>8292</v>
      </c>
      <c r="F3435" s="8" t="n">
        <v>620271</v>
      </c>
      <c r="G3435" s="8" t="n">
        <v>304620</v>
      </c>
      <c r="H3435" s="8" t="n">
        <v>8270</v>
      </c>
      <c r="I3435" s="8" t="n">
        <v>8180</v>
      </c>
      <c r="J3435" s="8" t="n">
        <v>8300</v>
      </c>
      <c r="K3435" s="8" t="n">
        <v>8170</v>
      </c>
      <c r="L3435" s="8" t="n">
        <v>348145</v>
      </c>
      <c r="M3435" s="8" t="n">
        <v>255563</v>
      </c>
      <c r="N3435" t="inlineStr">
        <is>
          <t>是</t>
        </is>
      </c>
    </row>
    <row r="3436">
      <c r="A3436" s="7" t="inlineStr">
        <is>
          <t>2021-08-25</t>
        </is>
      </c>
      <c r="B3436" s="8" t="n">
        <v>8318</v>
      </c>
      <c r="C3436" s="8" t="n">
        <v>8357</v>
      </c>
      <c r="D3436" s="8" t="n">
        <v>8385</v>
      </c>
      <c r="E3436" s="8" t="n">
        <v>8317</v>
      </c>
      <c r="F3436" s="8" t="n">
        <v>431818</v>
      </c>
      <c r="G3436" s="8" t="n">
        <v>317724</v>
      </c>
      <c r="H3436" s="8" t="n">
        <v>8235</v>
      </c>
      <c r="I3436" s="8" t="n">
        <v>8270</v>
      </c>
      <c r="J3436" s="8" t="n">
        <v>8295</v>
      </c>
      <c r="K3436" s="8" t="n">
        <v>8225</v>
      </c>
      <c r="L3436" s="8" t="n">
        <v>246672</v>
      </c>
      <c r="M3436" s="8" t="n">
        <v>259934</v>
      </c>
      <c r="N3436" t="inlineStr">
        <is>
          <t>是</t>
        </is>
      </c>
    </row>
    <row r="3437">
      <c r="A3437" s="7" t="inlineStr">
        <is>
          <t>2021-08-26</t>
        </is>
      </c>
      <c r="B3437" s="8" t="n">
        <v>8120</v>
      </c>
      <c r="C3437" s="8" t="n">
        <v>8327</v>
      </c>
      <c r="D3437" s="8" t="n">
        <v>8337</v>
      </c>
      <c r="E3437" s="8" t="n">
        <v>8112</v>
      </c>
      <c r="F3437" s="8" t="n">
        <v>696467</v>
      </c>
      <c r="G3437" s="8" t="n">
        <v>398382</v>
      </c>
      <c r="H3437" s="8" t="n">
        <v>8090</v>
      </c>
      <c r="I3437" s="8" t="n">
        <v>8250</v>
      </c>
      <c r="J3437" s="8" t="n">
        <v>8255</v>
      </c>
      <c r="K3437" s="8" t="n">
        <v>8080</v>
      </c>
      <c r="L3437" s="8" t="n">
        <v>347286</v>
      </c>
      <c r="M3437" s="8" t="n">
        <v>270580</v>
      </c>
      <c r="N3437" t="inlineStr">
        <is>
          <t>是</t>
        </is>
      </c>
    </row>
    <row r="3438">
      <c r="A3438" s="7" t="inlineStr">
        <is>
          <t>2021-08-27</t>
        </is>
      </c>
      <c r="B3438" s="8" t="n">
        <v>8163</v>
      </c>
      <c r="C3438" s="8" t="n">
        <v>8123</v>
      </c>
      <c r="D3438" s="8" t="n">
        <v>8196</v>
      </c>
      <c r="E3438" s="8" t="n">
        <v>8119</v>
      </c>
      <c r="F3438" s="8" t="n">
        <v>513317</v>
      </c>
      <c r="G3438" s="8" t="n">
        <v>403728</v>
      </c>
      <c r="H3438" s="8" t="n">
        <v>8115</v>
      </c>
      <c r="I3438" s="8" t="n">
        <v>8090</v>
      </c>
      <c r="J3438" s="8" t="n">
        <v>8150</v>
      </c>
      <c r="K3438" s="8" t="n">
        <v>8065</v>
      </c>
      <c r="L3438" s="8" t="n">
        <v>298914</v>
      </c>
      <c r="M3438" s="8" t="n">
        <v>273750</v>
      </c>
      <c r="N3438" t="inlineStr">
        <is>
          <t>是</t>
        </is>
      </c>
    </row>
    <row r="3439">
      <c r="A3439" s="7" t="inlineStr">
        <is>
          <t>2021-08-30</t>
        </is>
      </c>
      <c r="B3439" s="8" t="n">
        <v>8189</v>
      </c>
      <c r="C3439" s="8" t="n">
        <v>8178</v>
      </c>
      <c r="D3439" s="8" t="n">
        <v>8223</v>
      </c>
      <c r="E3439" s="8" t="n">
        <v>8140</v>
      </c>
      <c r="F3439" s="8" t="n">
        <v>601596</v>
      </c>
      <c r="G3439" s="8" t="n">
        <v>399918</v>
      </c>
      <c r="H3439" s="8" t="n">
        <v>8190</v>
      </c>
      <c r="I3439" s="8" t="n">
        <v>8125</v>
      </c>
      <c r="J3439" s="8" t="n">
        <v>8260</v>
      </c>
      <c r="K3439" s="8" t="n">
        <v>8095</v>
      </c>
      <c r="L3439" s="8" t="n">
        <v>462261</v>
      </c>
      <c r="M3439" s="8" t="n">
        <v>267241</v>
      </c>
      <c r="N3439" t="inlineStr">
        <is>
          <t>是</t>
        </is>
      </c>
    </row>
    <row r="3440">
      <c r="A3440" s="7" t="inlineStr">
        <is>
          <t>2021-08-31</t>
        </is>
      </c>
      <c r="B3440" s="8" t="n">
        <v>8134</v>
      </c>
      <c r="C3440" s="8" t="n">
        <v>8189</v>
      </c>
      <c r="D3440" s="8" t="n">
        <v>8215</v>
      </c>
      <c r="E3440" s="8" t="n">
        <v>8110</v>
      </c>
      <c r="F3440" s="8" t="n">
        <v>551218</v>
      </c>
      <c r="G3440" s="8" t="n">
        <v>406838</v>
      </c>
      <c r="H3440" s="8" t="n">
        <v>8035</v>
      </c>
      <c r="I3440" s="8" t="n">
        <v>8190</v>
      </c>
      <c r="J3440" s="8" t="n">
        <v>8205</v>
      </c>
      <c r="K3440" s="8" t="n">
        <v>8020</v>
      </c>
      <c r="L3440" s="8" t="n">
        <v>414135</v>
      </c>
      <c r="M3440" s="8" t="n">
        <v>300917</v>
      </c>
      <c r="N3440" t="inlineStr">
        <is>
          <t>是</t>
        </is>
      </c>
    </row>
    <row r="3441">
      <c r="A3441" s="7" t="inlineStr">
        <is>
          <t>2021-09-01</t>
        </is>
      </c>
      <c r="B3441" s="8" t="n">
        <v>8184</v>
      </c>
      <c r="C3441" s="8" t="n">
        <v>8112</v>
      </c>
      <c r="D3441" s="8" t="n">
        <v>8242</v>
      </c>
      <c r="E3441" s="8" t="n">
        <v>8096</v>
      </c>
      <c r="F3441" s="8" t="n">
        <v>673366</v>
      </c>
      <c r="G3441" s="8" t="n">
        <v>375091</v>
      </c>
      <c r="H3441" s="8" t="n">
        <v>8075</v>
      </c>
      <c r="I3441" s="8" t="n">
        <v>8035</v>
      </c>
      <c r="J3441" s="8" t="n">
        <v>8095</v>
      </c>
      <c r="K3441" s="8" t="n">
        <v>7980</v>
      </c>
      <c r="L3441" s="8" t="n">
        <v>405012</v>
      </c>
      <c r="M3441" s="8" t="n">
        <v>312279</v>
      </c>
      <c r="N3441" t="inlineStr">
        <is>
          <t>是</t>
        </is>
      </c>
    </row>
    <row r="3442">
      <c r="A3442" s="7" t="inlineStr">
        <is>
          <t>2021-09-02</t>
        </is>
      </c>
      <c r="B3442" s="8" t="n">
        <v>8349</v>
      </c>
      <c r="C3442" s="8" t="n">
        <v>8181</v>
      </c>
      <c r="D3442" s="8" t="n">
        <v>8355</v>
      </c>
      <c r="E3442" s="8" t="n">
        <v>8171</v>
      </c>
      <c r="F3442" s="8" t="n">
        <v>633839</v>
      </c>
      <c r="G3442" s="8" t="n">
        <v>356846</v>
      </c>
      <c r="H3442" s="8" t="n">
        <v>8285</v>
      </c>
      <c r="I3442" s="8" t="n">
        <v>8080</v>
      </c>
      <c r="J3442" s="8" t="n">
        <v>8285</v>
      </c>
      <c r="K3442" s="8" t="n">
        <v>8060</v>
      </c>
      <c r="L3442" s="8" t="n">
        <v>446858</v>
      </c>
      <c r="M3442" s="8" t="n">
        <v>288740</v>
      </c>
      <c r="N3442" t="inlineStr">
        <is>
          <t>是</t>
        </is>
      </c>
    </row>
    <row r="3443">
      <c r="A3443" s="7" t="inlineStr">
        <is>
          <t>2021-09-03</t>
        </is>
      </c>
      <c r="B3443" s="8" t="n">
        <v>8394</v>
      </c>
      <c r="C3443" s="8" t="n">
        <v>8349</v>
      </c>
      <c r="D3443" s="8" t="n">
        <v>8397</v>
      </c>
      <c r="E3443" s="8" t="n">
        <v>8305</v>
      </c>
      <c r="F3443" s="8" t="n">
        <v>529597</v>
      </c>
      <c r="G3443" s="8" t="n">
        <v>355849</v>
      </c>
      <c r="H3443" s="8" t="n">
        <v>8375</v>
      </c>
      <c r="I3443" s="8" t="n">
        <v>8280</v>
      </c>
      <c r="J3443" s="8" t="n">
        <v>8390</v>
      </c>
      <c r="K3443" s="8" t="n">
        <v>8280</v>
      </c>
      <c r="L3443" s="8" t="n">
        <v>424181</v>
      </c>
      <c r="M3443" s="8" t="n">
        <v>311256</v>
      </c>
      <c r="N3443" t="inlineStr">
        <is>
          <t>是</t>
        </is>
      </c>
    </row>
    <row r="3444">
      <c r="A3444" s="7" t="inlineStr">
        <is>
          <t>2021-09-06</t>
        </is>
      </c>
      <c r="B3444" s="8" t="n">
        <v>8356</v>
      </c>
      <c r="C3444" s="8" t="n">
        <v>8400</v>
      </c>
      <c r="D3444" s="8" t="n">
        <v>8408</v>
      </c>
      <c r="E3444" s="8" t="n">
        <v>8320</v>
      </c>
      <c r="F3444" s="8" t="n">
        <v>476375</v>
      </c>
      <c r="G3444" s="8" t="n">
        <v>352712</v>
      </c>
      <c r="H3444" s="8" t="n">
        <v>8330</v>
      </c>
      <c r="I3444" s="8" t="n">
        <v>8375</v>
      </c>
      <c r="J3444" s="8" t="n">
        <v>8380</v>
      </c>
      <c r="K3444" s="8" t="n">
        <v>8275</v>
      </c>
      <c r="L3444" s="8" t="n">
        <v>330693</v>
      </c>
      <c r="M3444" s="8" t="n">
        <v>305905</v>
      </c>
      <c r="N3444" t="inlineStr">
        <is>
          <t>是</t>
        </is>
      </c>
    </row>
    <row r="3445">
      <c r="A3445" s="7" t="inlineStr">
        <is>
          <t>2021-09-07</t>
        </is>
      </c>
      <c r="B3445" s="8" t="n">
        <v>8502</v>
      </c>
      <c r="C3445" s="8" t="n">
        <v>8367</v>
      </c>
      <c r="D3445" s="8" t="n">
        <v>8505</v>
      </c>
      <c r="E3445" s="8" t="n">
        <v>8351</v>
      </c>
      <c r="F3445" s="8" t="n">
        <v>659713</v>
      </c>
      <c r="G3445" s="8" t="n">
        <v>411991</v>
      </c>
      <c r="H3445" s="8" t="n">
        <v>8465</v>
      </c>
      <c r="I3445" s="8" t="n">
        <v>8350</v>
      </c>
      <c r="J3445" s="8" t="n">
        <v>8485</v>
      </c>
      <c r="K3445" s="8" t="n">
        <v>8335</v>
      </c>
      <c r="L3445" s="8" t="n">
        <v>416304</v>
      </c>
      <c r="M3445" s="8" t="n">
        <v>338440</v>
      </c>
      <c r="N3445" t="inlineStr">
        <is>
          <t>是</t>
        </is>
      </c>
    </row>
    <row r="3446">
      <c r="A3446" s="7" t="inlineStr">
        <is>
          <t>2021-09-08</t>
        </is>
      </c>
      <c r="B3446" s="8" t="n">
        <v>8533</v>
      </c>
      <c r="C3446" s="8" t="n">
        <v>8499</v>
      </c>
      <c r="D3446" s="8" t="n">
        <v>8553</v>
      </c>
      <c r="E3446" s="8" t="n">
        <v>8440</v>
      </c>
      <c r="F3446" s="8" t="n">
        <v>665631</v>
      </c>
      <c r="G3446" s="8" t="n">
        <v>427473</v>
      </c>
      <c r="H3446" s="8" t="n">
        <v>8520</v>
      </c>
      <c r="I3446" s="8" t="n">
        <v>8460</v>
      </c>
      <c r="J3446" s="8" t="n">
        <v>8575</v>
      </c>
      <c r="K3446" s="8" t="n">
        <v>8385</v>
      </c>
      <c r="L3446" s="8" t="n">
        <v>515789</v>
      </c>
      <c r="M3446" s="8" t="n">
        <v>357683</v>
      </c>
      <c r="N3446" t="inlineStr">
        <is>
          <t>是</t>
        </is>
      </c>
    </row>
    <row r="3447">
      <c r="A3447" s="7" t="inlineStr">
        <is>
          <t>2021-09-09</t>
        </is>
      </c>
      <c r="B3447" s="8" t="n">
        <v>8484</v>
      </c>
      <c r="C3447" s="8" t="n">
        <v>8535</v>
      </c>
      <c r="D3447" s="8" t="n">
        <v>8572</v>
      </c>
      <c r="E3447" s="8" t="n">
        <v>8452</v>
      </c>
      <c r="F3447" s="8" t="n">
        <v>687088</v>
      </c>
      <c r="G3447" s="8" t="n">
        <v>429001</v>
      </c>
      <c r="H3447" s="8" t="n">
        <v>8455</v>
      </c>
      <c r="I3447" s="8" t="n">
        <v>8545</v>
      </c>
      <c r="J3447" s="8" t="n">
        <v>8545</v>
      </c>
      <c r="K3447" s="8" t="n">
        <v>8430</v>
      </c>
      <c r="L3447" s="8" t="n">
        <v>382970</v>
      </c>
      <c r="M3447" s="8" t="n">
        <v>349548</v>
      </c>
      <c r="N3447" t="inlineStr">
        <is>
          <t>是</t>
        </is>
      </c>
    </row>
    <row r="3448">
      <c r="A3448" s="7" t="inlineStr">
        <is>
          <t>2021-09-10</t>
        </is>
      </c>
      <c r="B3448" s="8" t="n">
        <v>8493</v>
      </c>
      <c r="C3448" s="8" t="n">
        <v>8471</v>
      </c>
      <c r="D3448" s="8" t="n">
        <v>8611</v>
      </c>
      <c r="E3448" s="8" t="n">
        <v>8458</v>
      </c>
      <c r="F3448" s="8" t="n">
        <v>727165</v>
      </c>
      <c r="G3448" s="8" t="n">
        <v>448655</v>
      </c>
      <c r="H3448" s="8" t="n">
        <v>8490</v>
      </c>
      <c r="I3448" s="8" t="n">
        <v>8440</v>
      </c>
      <c r="J3448" s="8" t="n">
        <v>8560</v>
      </c>
      <c r="K3448" s="8" t="n">
        <v>8415</v>
      </c>
      <c r="L3448" s="8" t="n">
        <v>438401</v>
      </c>
      <c r="M3448" s="8" t="n">
        <v>354461</v>
      </c>
      <c r="N3448" t="inlineStr">
        <is>
          <t>是</t>
        </is>
      </c>
    </row>
    <row r="3449">
      <c r="A3449" s="7" t="inlineStr">
        <is>
          <t>2021-09-13</t>
        </is>
      </c>
      <c r="B3449" s="8" t="n">
        <v>8545</v>
      </c>
      <c r="C3449" s="8" t="n">
        <v>8509</v>
      </c>
      <c r="D3449" s="8" t="n">
        <v>8666</v>
      </c>
      <c r="E3449" s="8" t="n">
        <v>8505</v>
      </c>
      <c r="F3449" s="8" t="n">
        <v>795856</v>
      </c>
      <c r="G3449" s="8" t="n">
        <v>457519</v>
      </c>
      <c r="H3449" s="8" t="n">
        <v>8515</v>
      </c>
      <c r="I3449" s="8" t="n">
        <v>8510</v>
      </c>
      <c r="J3449" s="8" t="n">
        <v>8650</v>
      </c>
      <c r="K3449" s="8" t="n">
        <v>8500</v>
      </c>
      <c r="L3449" s="8" t="n">
        <v>514764</v>
      </c>
      <c r="M3449" s="8" t="n">
        <v>363565</v>
      </c>
      <c r="N3449" t="inlineStr">
        <is>
          <t>是</t>
        </is>
      </c>
    </row>
    <row r="3450">
      <c r="A3450" s="7" t="inlineStr">
        <is>
          <t>2021-09-14</t>
        </is>
      </c>
      <c r="B3450" s="8" t="n">
        <v>8602</v>
      </c>
      <c r="C3450" s="8" t="n">
        <v>8553</v>
      </c>
      <c r="D3450" s="8" t="n">
        <v>8667</v>
      </c>
      <c r="E3450" s="8" t="n">
        <v>8491</v>
      </c>
      <c r="F3450" s="8" t="n">
        <v>796480</v>
      </c>
      <c r="G3450" s="8" t="n">
        <v>464843</v>
      </c>
      <c r="H3450" s="8" t="n">
        <v>8565</v>
      </c>
      <c r="I3450" s="8" t="n">
        <v>8510</v>
      </c>
      <c r="J3450" s="8" t="n">
        <v>8625</v>
      </c>
      <c r="K3450" s="8" t="n">
        <v>8420</v>
      </c>
      <c r="L3450" s="8" t="n">
        <v>554230</v>
      </c>
      <c r="M3450" s="8" t="n">
        <v>359601</v>
      </c>
      <c r="N3450" t="inlineStr">
        <is>
          <t>是</t>
        </is>
      </c>
    </row>
    <row r="3451">
      <c r="A3451" s="7" t="inlineStr">
        <is>
          <t>2021-09-15</t>
        </is>
      </c>
      <c r="B3451" s="8" t="n">
        <v>9036</v>
      </c>
      <c r="C3451" s="8" t="n">
        <v>8623</v>
      </c>
      <c r="D3451" s="8" t="n">
        <v>9044</v>
      </c>
      <c r="E3451" s="8" t="n">
        <v>8542</v>
      </c>
      <c r="F3451" s="8" t="n">
        <v>1259743</v>
      </c>
      <c r="G3451" s="8" t="n">
        <v>549508</v>
      </c>
      <c r="H3451" s="8" t="n">
        <v>8980</v>
      </c>
      <c r="I3451" s="8" t="n">
        <v>8575</v>
      </c>
      <c r="J3451" s="8" t="n">
        <v>8985</v>
      </c>
      <c r="K3451" s="8" t="n">
        <v>8470</v>
      </c>
      <c r="L3451" s="8" t="n">
        <v>764154</v>
      </c>
      <c r="M3451" s="8" t="n">
        <v>404494</v>
      </c>
      <c r="N3451" t="inlineStr">
        <is>
          <t>是</t>
        </is>
      </c>
    </row>
    <row r="3452">
      <c r="A3452" s="7" t="inlineStr">
        <is>
          <t>2021-09-16</t>
        </is>
      </c>
      <c r="B3452" s="8" t="n">
        <v>9003</v>
      </c>
      <c r="C3452" s="8" t="n">
        <v>9060</v>
      </c>
      <c r="D3452" s="8" t="n">
        <v>9333</v>
      </c>
      <c r="E3452" s="8" t="n">
        <v>9000</v>
      </c>
      <c r="F3452" s="8" t="n">
        <v>1514458</v>
      </c>
      <c r="G3452" s="8" t="n">
        <v>515793</v>
      </c>
      <c r="H3452" s="8" t="n">
        <v>8930</v>
      </c>
      <c r="I3452" s="8" t="n">
        <v>9005</v>
      </c>
      <c r="J3452" s="8" t="n">
        <v>9275</v>
      </c>
      <c r="K3452" s="8" t="n">
        <v>8910</v>
      </c>
      <c r="L3452" s="8" t="n">
        <v>891110</v>
      </c>
      <c r="M3452" s="8" t="n">
        <v>382461</v>
      </c>
      <c r="N3452" t="inlineStr">
        <is>
          <t>是</t>
        </is>
      </c>
    </row>
    <row r="3453">
      <c r="A3453" s="7" t="inlineStr">
        <is>
          <t>2021-09-17</t>
        </is>
      </c>
      <c r="B3453" s="8" t="n">
        <v>8880</v>
      </c>
      <c r="C3453" s="8" t="n">
        <v>9000</v>
      </c>
      <c r="D3453" s="8" t="n">
        <v>9073</v>
      </c>
      <c r="E3453" s="8" t="n">
        <v>8818</v>
      </c>
      <c r="F3453" s="8" t="n">
        <v>1137567</v>
      </c>
      <c r="G3453" s="8" t="n">
        <v>457656</v>
      </c>
      <c r="H3453" s="8" t="n">
        <v>8760</v>
      </c>
      <c r="I3453" s="8" t="n">
        <v>8915</v>
      </c>
      <c r="J3453" s="8" t="n">
        <v>8965</v>
      </c>
      <c r="K3453" s="8" t="n">
        <v>8685</v>
      </c>
      <c r="L3453" s="8" t="n">
        <v>743713</v>
      </c>
      <c r="M3453" s="8" t="n">
        <v>335302</v>
      </c>
      <c r="N3453" t="inlineStr">
        <is>
          <t>是</t>
        </is>
      </c>
    </row>
    <row r="3454">
      <c r="A3454" s="7" t="inlineStr">
        <is>
          <t>2021-09-22</t>
        </is>
      </c>
      <c r="B3454" s="8" t="n">
        <v>9109</v>
      </c>
      <c r="C3454" s="8" t="n">
        <v>8856</v>
      </c>
      <c r="D3454" s="8" t="n">
        <v>9120</v>
      </c>
      <c r="E3454" s="8" t="n">
        <v>8850</v>
      </c>
      <c r="F3454" s="8" t="n">
        <v>736441</v>
      </c>
      <c r="G3454" s="8" t="n">
        <v>472351</v>
      </c>
      <c r="H3454" s="8" t="n">
        <v>8870</v>
      </c>
      <c r="I3454" s="8" t="n">
        <v>8750</v>
      </c>
      <c r="J3454" s="8" t="n">
        <v>8950</v>
      </c>
      <c r="K3454" s="8" t="n">
        <v>8670</v>
      </c>
      <c r="L3454" s="8" t="n">
        <v>448521</v>
      </c>
      <c r="M3454" s="8" t="n">
        <v>326936</v>
      </c>
      <c r="N3454" t="inlineStr">
        <is>
          <t>是</t>
        </is>
      </c>
    </row>
    <row r="3455">
      <c r="A3455" s="7" t="inlineStr">
        <is>
          <t>2021-09-23</t>
        </is>
      </c>
      <c r="B3455" s="8" t="n">
        <v>9345</v>
      </c>
      <c r="C3455" s="8" t="n">
        <v>9115</v>
      </c>
      <c r="D3455" s="8" t="n">
        <v>9356</v>
      </c>
      <c r="E3455" s="8" t="n">
        <v>8975</v>
      </c>
      <c r="F3455" s="8" t="n">
        <v>1231571</v>
      </c>
      <c r="G3455" s="8" t="n">
        <v>488435</v>
      </c>
      <c r="H3455" s="8" t="n">
        <v>8915</v>
      </c>
      <c r="I3455" s="8" t="n">
        <v>8870</v>
      </c>
      <c r="J3455" s="8" t="n">
        <v>9030</v>
      </c>
      <c r="K3455" s="8" t="n">
        <v>8765</v>
      </c>
      <c r="L3455" s="8" t="n">
        <v>609531</v>
      </c>
      <c r="M3455" s="8" t="n">
        <v>338915</v>
      </c>
      <c r="N3455" t="inlineStr">
        <is>
          <t>是</t>
        </is>
      </c>
    </row>
    <row r="3456">
      <c r="A3456" s="7" t="inlineStr">
        <is>
          <t>2021-09-24</t>
        </is>
      </c>
      <c r="B3456" s="8" t="n">
        <v>9304</v>
      </c>
      <c r="C3456" s="8" t="n">
        <v>9343</v>
      </c>
      <c r="D3456" s="8" t="n">
        <v>9466</v>
      </c>
      <c r="E3456" s="8" t="n">
        <v>9154</v>
      </c>
      <c r="F3456" s="8" t="n">
        <v>1185393</v>
      </c>
      <c r="G3456" s="8" t="n">
        <v>476838</v>
      </c>
      <c r="H3456" s="8" t="n">
        <v>9035</v>
      </c>
      <c r="I3456" s="8" t="n">
        <v>8915</v>
      </c>
      <c r="J3456" s="8" t="n">
        <v>9085</v>
      </c>
      <c r="K3456" s="8" t="n">
        <v>8815</v>
      </c>
      <c r="L3456" s="8" t="n">
        <v>680918</v>
      </c>
      <c r="M3456" s="8" t="n">
        <v>341559</v>
      </c>
      <c r="N3456" t="inlineStr">
        <is>
          <t>是</t>
        </is>
      </c>
    </row>
    <row r="3457">
      <c r="A3457" s="7" t="inlineStr">
        <is>
          <t>2021-09-27</t>
        </is>
      </c>
      <c r="B3457" s="8" t="n">
        <v>9509</v>
      </c>
      <c r="C3457" s="8" t="n">
        <v>9299</v>
      </c>
      <c r="D3457" s="8" t="n">
        <v>9820</v>
      </c>
      <c r="E3457" s="8" t="n">
        <v>9216</v>
      </c>
      <c r="F3457" s="8" t="n">
        <v>1340389</v>
      </c>
      <c r="G3457" s="8" t="n">
        <v>486544</v>
      </c>
      <c r="H3457" s="8" t="n">
        <v>9235</v>
      </c>
      <c r="I3457" s="8" t="n">
        <v>9045</v>
      </c>
      <c r="J3457" s="8" t="n">
        <v>9480</v>
      </c>
      <c r="K3457" s="8" t="n">
        <v>8965</v>
      </c>
      <c r="L3457" s="8" t="n">
        <v>739757</v>
      </c>
      <c r="M3457" s="8" t="n">
        <v>341051</v>
      </c>
      <c r="N3457" t="inlineStr">
        <is>
          <t>是</t>
        </is>
      </c>
    </row>
    <row r="3458">
      <c r="A3458" s="7" t="inlineStr">
        <is>
          <t>2021-09-28</t>
        </is>
      </c>
      <c r="B3458" s="8" t="n">
        <v>9834</v>
      </c>
      <c r="C3458" s="8" t="n">
        <v>9515</v>
      </c>
      <c r="D3458" s="8" t="n">
        <v>9868</v>
      </c>
      <c r="E3458" s="8" t="n">
        <v>9505</v>
      </c>
      <c r="F3458" s="8" t="n">
        <v>1286442</v>
      </c>
      <c r="G3458" s="8" t="n">
        <v>501225</v>
      </c>
      <c r="H3458" s="8" t="n">
        <v>9480</v>
      </c>
      <c r="I3458" s="8" t="n">
        <v>9235</v>
      </c>
      <c r="J3458" s="8" t="n">
        <v>9545</v>
      </c>
      <c r="K3458" s="8" t="n">
        <v>9230</v>
      </c>
      <c r="L3458" s="8" t="n">
        <v>558002</v>
      </c>
      <c r="M3458" s="8" t="n">
        <v>343172</v>
      </c>
      <c r="N3458" t="inlineStr">
        <is>
          <t>是</t>
        </is>
      </c>
    </row>
    <row r="3459">
      <c r="A3459" s="7" t="inlineStr">
        <is>
          <t>2021-09-29</t>
        </is>
      </c>
      <c r="B3459" s="8" t="n">
        <v>9729</v>
      </c>
      <c r="C3459" s="8" t="n">
        <v>9850</v>
      </c>
      <c r="D3459" s="8" t="n">
        <v>9942</v>
      </c>
      <c r="E3459" s="8" t="n">
        <v>9615</v>
      </c>
      <c r="F3459" s="8" t="n">
        <v>1050637</v>
      </c>
      <c r="G3459" s="8" t="n">
        <v>460029</v>
      </c>
      <c r="H3459" s="8" t="n">
        <v>9385</v>
      </c>
      <c r="I3459" s="8" t="n">
        <v>9495</v>
      </c>
      <c r="J3459" s="8" t="n">
        <v>9595</v>
      </c>
      <c r="K3459" s="8" t="n">
        <v>9230</v>
      </c>
      <c r="L3459" s="8" t="n">
        <v>512437</v>
      </c>
      <c r="M3459" s="8" t="n">
        <v>316778</v>
      </c>
      <c r="N3459" t="inlineStr">
        <is>
          <t>是</t>
        </is>
      </c>
    </row>
    <row r="3460">
      <c r="A3460" s="7" t="inlineStr">
        <is>
          <t>2021-09-30</t>
        </is>
      </c>
      <c r="B3460" s="8" t="n">
        <v>10152</v>
      </c>
      <c r="C3460" s="8" t="n">
        <v>9796</v>
      </c>
      <c r="D3460" s="8" t="n">
        <v>10165</v>
      </c>
      <c r="E3460" s="8" t="n">
        <v>9658</v>
      </c>
      <c r="F3460" s="8" t="n">
        <v>1007985</v>
      </c>
      <c r="G3460" s="8" t="n">
        <v>446260</v>
      </c>
      <c r="H3460" s="8" t="n">
        <v>9910</v>
      </c>
      <c r="I3460" s="8" t="n">
        <v>9435</v>
      </c>
      <c r="J3460" s="8" t="n">
        <v>9975</v>
      </c>
      <c r="K3460" s="8" t="n">
        <v>9300</v>
      </c>
      <c r="L3460" s="8" t="n">
        <v>523681</v>
      </c>
      <c r="M3460" s="8" t="n">
        <v>322940</v>
      </c>
      <c r="N3460" t="inlineStr">
        <is>
          <t>是</t>
        </is>
      </c>
    </row>
    <row r="3461">
      <c r="A3461" s="7" t="inlineStr">
        <is>
          <t>2021-10-08</t>
        </is>
      </c>
      <c r="B3461" s="8" t="n">
        <v>10056</v>
      </c>
      <c r="C3461" s="8" t="n">
        <v>10400</v>
      </c>
      <c r="D3461" s="8" t="n">
        <v>10597</v>
      </c>
      <c r="E3461" s="8" t="n">
        <v>9911</v>
      </c>
      <c r="F3461" s="8" t="n">
        <v>719829</v>
      </c>
      <c r="G3461" s="8" t="n">
        <v>427375</v>
      </c>
      <c r="H3461" s="8" t="n">
        <v>9800</v>
      </c>
      <c r="I3461" s="8" t="n">
        <v>10055</v>
      </c>
      <c r="J3461" s="8" t="n">
        <v>10250</v>
      </c>
      <c r="K3461" s="8" t="n">
        <v>9630</v>
      </c>
      <c r="L3461" s="8" t="n">
        <v>366385</v>
      </c>
      <c r="M3461" s="8" t="n">
        <v>330883</v>
      </c>
      <c r="N3461" t="inlineStr">
        <is>
          <t>是</t>
        </is>
      </c>
    </row>
    <row r="3462">
      <c r="A3462" s="7" t="inlineStr">
        <is>
          <t>2021-10-11</t>
        </is>
      </c>
      <c r="B3462" s="8" t="n">
        <v>10301</v>
      </c>
      <c r="C3462" s="8" t="n">
        <v>10056</v>
      </c>
      <c r="D3462" s="8" t="n">
        <v>10612</v>
      </c>
      <c r="E3462" s="8" t="n">
        <v>10024</v>
      </c>
      <c r="F3462" s="8" t="n">
        <v>1232068</v>
      </c>
      <c r="G3462" s="8" t="n">
        <v>461519</v>
      </c>
      <c r="H3462" s="8" t="n">
        <v>10000</v>
      </c>
      <c r="I3462" s="8" t="n">
        <v>9795</v>
      </c>
      <c r="J3462" s="8" t="n">
        <v>10325</v>
      </c>
      <c r="K3462" s="8" t="n">
        <v>9775</v>
      </c>
      <c r="L3462" s="8" t="n">
        <v>661565</v>
      </c>
      <c r="M3462" s="8" t="n">
        <v>351979</v>
      </c>
      <c r="N3462" t="inlineStr">
        <is>
          <t>是</t>
        </is>
      </c>
    </row>
    <row r="3463">
      <c r="A3463" s="7" t="inlineStr">
        <is>
          <t>2021-10-12</t>
        </is>
      </c>
      <c r="B3463" s="8" t="n">
        <v>10068</v>
      </c>
      <c r="C3463" s="8" t="n">
        <v>10259</v>
      </c>
      <c r="D3463" s="8" t="n">
        <v>10353</v>
      </c>
      <c r="E3463" s="8" t="n">
        <v>9986</v>
      </c>
      <c r="F3463" s="8" t="n">
        <v>1254349</v>
      </c>
      <c r="G3463" s="8" t="n">
        <v>437679</v>
      </c>
      <c r="H3463" s="8" t="n">
        <v>9885</v>
      </c>
      <c r="I3463" s="8" t="n">
        <v>10000</v>
      </c>
      <c r="J3463" s="8" t="n">
        <v>10090</v>
      </c>
      <c r="K3463" s="8" t="n">
        <v>9760</v>
      </c>
      <c r="L3463" s="8" t="n">
        <v>679164</v>
      </c>
      <c r="M3463" s="8" t="n">
        <v>333149</v>
      </c>
      <c r="N3463" t="inlineStr">
        <is>
          <t>是</t>
        </is>
      </c>
    </row>
    <row r="3464">
      <c r="A3464" s="7" t="inlineStr">
        <is>
          <t>2021-10-13</t>
        </is>
      </c>
      <c r="B3464" s="8" t="n">
        <v>9795</v>
      </c>
      <c r="C3464" s="8" t="n">
        <v>10100</v>
      </c>
      <c r="D3464" s="8" t="n">
        <v>10247</v>
      </c>
      <c r="E3464" s="8" t="n">
        <v>9479</v>
      </c>
      <c r="F3464" s="8" t="n">
        <v>1477423</v>
      </c>
      <c r="G3464" s="8" t="n">
        <v>418644</v>
      </c>
      <c r="H3464" s="8" t="n">
        <v>9600</v>
      </c>
      <c r="I3464" s="8" t="n">
        <v>9935</v>
      </c>
      <c r="J3464" s="8" t="n">
        <v>10065</v>
      </c>
      <c r="K3464" s="8" t="n">
        <v>9335</v>
      </c>
      <c r="L3464" s="8" t="n">
        <v>877482</v>
      </c>
      <c r="M3464" s="8" t="n">
        <v>323635</v>
      </c>
      <c r="N3464" t="inlineStr">
        <is>
          <t>是</t>
        </is>
      </c>
    </row>
    <row r="3465">
      <c r="A3465" s="7" t="inlineStr">
        <is>
          <t>2021-10-14</t>
        </is>
      </c>
      <c r="B3465" s="8" t="n">
        <v>9706</v>
      </c>
      <c r="C3465" s="8" t="n">
        <v>9780</v>
      </c>
      <c r="D3465" s="8" t="n">
        <v>9826</v>
      </c>
      <c r="E3465" s="8" t="n">
        <v>9580</v>
      </c>
      <c r="F3465" s="8" t="n">
        <v>1162753</v>
      </c>
      <c r="G3465" s="8" t="n">
        <v>394291</v>
      </c>
      <c r="H3465" s="8" t="n">
        <v>9535</v>
      </c>
      <c r="I3465" s="8" t="n">
        <v>9605</v>
      </c>
      <c r="J3465" s="8" t="n">
        <v>9645</v>
      </c>
      <c r="K3465" s="8" t="n">
        <v>9405</v>
      </c>
      <c r="L3465" s="8" t="n">
        <v>614205</v>
      </c>
      <c r="M3465" s="8" t="n">
        <v>311450</v>
      </c>
      <c r="N3465" t="inlineStr">
        <is>
          <t>是</t>
        </is>
      </c>
    </row>
    <row r="3466">
      <c r="A3466" s="7" t="inlineStr">
        <is>
          <t>2021-10-15</t>
        </is>
      </c>
      <c r="B3466" s="8" t="n">
        <v>9791</v>
      </c>
      <c r="C3466" s="8" t="n">
        <v>9706</v>
      </c>
      <c r="D3466" s="8" t="n">
        <v>9889</v>
      </c>
      <c r="E3466" s="8" t="n">
        <v>9526</v>
      </c>
      <c r="F3466" s="8" t="n">
        <v>1098745</v>
      </c>
      <c r="G3466" s="8" t="n">
        <v>389476</v>
      </c>
      <c r="H3466" s="8" t="n">
        <v>9600</v>
      </c>
      <c r="I3466" s="8" t="n">
        <v>9555</v>
      </c>
      <c r="J3466" s="8" t="n">
        <v>9685</v>
      </c>
      <c r="K3466" s="8" t="n">
        <v>9370</v>
      </c>
      <c r="L3466" s="8" t="n">
        <v>588538</v>
      </c>
      <c r="M3466" s="8" t="n">
        <v>310945</v>
      </c>
      <c r="N3466" t="inlineStr">
        <is>
          <t>是</t>
        </is>
      </c>
    </row>
    <row r="3467">
      <c r="A3467" s="7" t="inlineStr">
        <is>
          <t>2021-10-18</t>
        </is>
      </c>
      <c r="B3467" s="8" t="n">
        <v>9756</v>
      </c>
      <c r="C3467" s="8" t="n">
        <v>9791</v>
      </c>
      <c r="D3467" s="8" t="n">
        <v>9831</v>
      </c>
      <c r="E3467" s="8" t="n">
        <v>9586</v>
      </c>
      <c r="F3467" s="8" t="n">
        <v>950801</v>
      </c>
      <c r="G3467" s="8" t="n">
        <v>393605</v>
      </c>
      <c r="H3467" s="8" t="n">
        <v>9690</v>
      </c>
      <c r="I3467" s="8" t="n">
        <v>9585</v>
      </c>
      <c r="J3467" s="8" t="n">
        <v>9750</v>
      </c>
      <c r="K3467" s="8" t="n">
        <v>9455</v>
      </c>
      <c r="L3467" s="8" t="n">
        <v>605370</v>
      </c>
      <c r="M3467" s="8" t="n">
        <v>311441</v>
      </c>
      <c r="N3467" t="inlineStr">
        <is>
          <t>是</t>
        </is>
      </c>
    </row>
    <row r="3468">
      <c r="A3468" s="7" t="inlineStr">
        <is>
          <t>2021-10-19</t>
        </is>
      </c>
      <c r="B3468" s="8" t="n">
        <v>9643</v>
      </c>
      <c r="C3468" s="8" t="n">
        <v>9781</v>
      </c>
      <c r="D3468" s="8" t="n">
        <v>9809</v>
      </c>
      <c r="E3468" s="8" t="n">
        <v>9553</v>
      </c>
      <c r="F3468" s="8" t="n">
        <v>1133600</v>
      </c>
      <c r="G3468" s="8" t="n">
        <v>375068</v>
      </c>
      <c r="H3468" s="8" t="n">
        <v>9585</v>
      </c>
      <c r="I3468" s="8" t="n">
        <v>9740</v>
      </c>
      <c r="J3468" s="8" t="n">
        <v>9820</v>
      </c>
      <c r="K3468" s="8" t="n">
        <v>9525</v>
      </c>
      <c r="L3468" s="8" t="n">
        <v>561129</v>
      </c>
      <c r="M3468" s="8" t="n">
        <v>309310</v>
      </c>
      <c r="N3468" t="inlineStr">
        <is>
          <t>是</t>
        </is>
      </c>
    </row>
    <row r="3469">
      <c r="A3469" s="7" t="inlineStr">
        <is>
          <t>2021-10-20</t>
        </is>
      </c>
      <c r="B3469" s="8" t="n">
        <v>9202</v>
      </c>
      <c r="C3469" s="8" t="n">
        <v>9500</v>
      </c>
      <c r="D3469" s="8" t="n">
        <v>9553</v>
      </c>
      <c r="E3469" s="8" t="n">
        <v>9173</v>
      </c>
      <c r="F3469" s="8" t="n">
        <v>1365764</v>
      </c>
      <c r="G3469" s="8" t="n">
        <v>366659</v>
      </c>
      <c r="H3469" s="8" t="n">
        <v>9210</v>
      </c>
      <c r="I3469" s="8" t="n">
        <v>9510</v>
      </c>
      <c r="J3469" s="8" t="n">
        <v>9515</v>
      </c>
      <c r="K3469" s="8" t="n">
        <v>9185</v>
      </c>
      <c r="L3469" s="8" t="n">
        <v>656922</v>
      </c>
      <c r="M3469" s="8" t="n">
        <v>288688</v>
      </c>
      <c r="N3469" t="inlineStr">
        <is>
          <t>是</t>
        </is>
      </c>
    </row>
    <row r="3470">
      <c r="A3470" s="7" t="inlineStr">
        <is>
          <t>2021-10-21</t>
        </is>
      </c>
      <c r="B3470" s="8" t="n">
        <v>9265</v>
      </c>
      <c r="C3470" s="8" t="n">
        <v>9180</v>
      </c>
      <c r="D3470" s="8" t="n">
        <v>9438</v>
      </c>
      <c r="E3470" s="8" t="n">
        <v>9167</v>
      </c>
      <c r="F3470" s="8" t="n">
        <v>1039804</v>
      </c>
      <c r="G3470" s="8" t="n">
        <v>346255</v>
      </c>
      <c r="H3470" s="8" t="n">
        <v>9305</v>
      </c>
      <c r="I3470" s="8" t="n">
        <v>9210</v>
      </c>
      <c r="J3470" s="8" t="n">
        <v>9500</v>
      </c>
      <c r="K3470" s="8" t="n">
        <v>9190</v>
      </c>
      <c r="L3470" s="8" t="n">
        <v>582963</v>
      </c>
      <c r="M3470" s="8" t="n">
        <v>289648</v>
      </c>
      <c r="N3470" t="inlineStr">
        <is>
          <t>是</t>
        </is>
      </c>
    </row>
    <row r="3471">
      <c r="A3471" s="7" t="inlineStr">
        <is>
          <t>2021-10-22</t>
        </is>
      </c>
      <c r="B3471" s="8" t="n">
        <v>9023</v>
      </c>
      <c r="C3471" s="8" t="n">
        <v>9250</v>
      </c>
      <c r="D3471" s="8" t="n">
        <v>9322</v>
      </c>
      <c r="E3471" s="8" t="n">
        <v>8860</v>
      </c>
      <c r="F3471" s="8" t="n">
        <v>1275999</v>
      </c>
      <c r="G3471" s="8" t="n">
        <v>331678</v>
      </c>
      <c r="H3471" s="8" t="n">
        <v>9145</v>
      </c>
      <c r="I3471" s="8" t="n">
        <v>9230</v>
      </c>
      <c r="J3471" s="8" t="n">
        <v>9395</v>
      </c>
      <c r="K3471" s="8" t="n">
        <v>8950</v>
      </c>
      <c r="L3471" s="8" t="n">
        <v>738754</v>
      </c>
      <c r="M3471" s="8" t="n">
        <v>274705</v>
      </c>
      <c r="N3471" t="inlineStr">
        <is>
          <t>是</t>
        </is>
      </c>
    </row>
    <row r="3472">
      <c r="A3472" s="7" t="inlineStr">
        <is>
          <t>2021-10-25</t>
        </is>
      </c>
      <c r="B3472" s="8" t="n">
        <v>8852</v>
      </c>
      <c r="C3472" s="8" t="n">
        <v>9030</v>
      </c>
      <c r="D3472" s="8" t="n">
        <v>9088</v>
      </c>
      <c r="E3472" s="8" t="n">
        <v>8835</v>
      </c>
      <c r="F3472" s="8" t="n">
        <v>929701</v>
      </c>
      <c r="G3472" s="8" t="n">
        <v>342631</v>
      </c>
      <c r="H3472" s="8" t="n">
        <v>9065</v>
      </c>
      <c r="I3472" s="8" t="n">
        <v>9200</v>
      </c>
      <c r="J3472" s="8" t="n">
        <v>9215</v>
      </c>
      <c r="K3472" s="8" t="n">
        <v>9020</v>
      </c>
      <c r="L3472" s="8" t="n">
        <v>513443</v>
      </c>
      <c r="M3472" s="8" t="n">
        <v>268747</v>
      </c>
      <c r="N3472" t="inlineStr">
        <is>
          <t>是</t>
        </is>
      </c>
    </row>
    <row r="3473">
      <c r="A3473" s="7" t="inlineStr">
        <is>
          <t>2021-10-26</t>
        </is>
      </c>
      <c r="B3473" s="8" t="n">
        <v>8864</v>
      </c>
      <c r="C3473" s="8" t="n">
        <v>8902</v>
      </c>
      <c r="D3473" s="8" t="n">
        <v>8922</v>
      </c>
      <c r="E3473" s="8" t="n">
        <v>8682</v>
      </c>
      <c r="F3473" s="8" t="n">
        <v>1009081</v>
      </c>
      <c r="G3473" s="8" t="n">
        <v>325176</v>
      </c>
      <c r="H3473" s="8" t="n">
        <v>9035</v>
      </c>
      <c r="I3473" s="8" t="n">
        <v>9095</v>
      </c>
      <c r="J3473" s="8" t="n">
        <v>9150</v>
      </c>
      <c r="K3473" s="8" t="n">
        <v>8895</v>
      </c>
      <c r="L3473" s="8" t="n">
        <v>530432</v>
      </c>
      <c r="M3473" s="8" t="n">
        <v>273709</v>
      </c>
      <c r="N3473" t="inlineStr">
        <is>
          <t>是</t>
        </is>
      </c>
    </row>
    <row r="3474">
      <c r="A3474" s="7" t="inlineStr">
        <is>
          <t>2021-10-27</t>
        </is>
      </c>
      <c r="B3474" s="8" t="n">
        <v>8560</v>
      </c>
      <c r="C3474" s="8" t="n">
        <v>8871</v>
      </c>
      <c r="D3474" s="8" t="n">
        <v>8905</v>
      </c>
      <c r="E3474" s="8" t="n">
        <v>8501</v>
      </c>
      <c r="F3474" s="8" t="n">
        <v>990136</v>
      </c>
      <c r="G3474" s="8" t="n">
        <v>321888</v>
      </c>
      <c r="H3474" s="8" t="n">
        <v>8710</v>
      </c>
      <c r="I3474" s="8" t="n">
        <v>8985</v>
      </c>
      <c r="J3474" s="8" t="n">
        <v>9060</v>
      </c>
      <c r="K3474" s="8" t="n">
        <v>8650</v>
      </c>
      <c r="L3474" s="8" t="n">
        <v>546215</v>
      </c>
      <c r="M3474" s="8" t="n">
        <v>270806</v>
      </c>
      <c r="N3474" t="inlineStr">
        <is>
          <t>是</t>
        </is>
      </c>
    </row>
    <row r="3475">
      <c r="A3475" s="7" t="inlineStr">
        <is>
          <t>2021-10-28</t>
        </is>
      </c>
      <c r="B3475" s="8" t="n">
        <v>8658</v>
      </c>
      <c r="C3475" s="8" t="n">
        <v>8560</v>
      </c>
      <c r="D3475" s="8" t="n">
        <v>8788</v>
      </c>
      <c r="E3475" s="8" t="n">
        <v>8434</v>
      </c>
      <c r="F3475" s="8" t="n">
        <v>1195691</v>
      </c>
      <c r="G3475" s="8" t="n">
        <v>289884</v>
      </c>
      <c r="H3475" s="8" t="n">
        <v>8760</v>
      </c>
      <c r="I3475" s="8" t="n">
        <v>8730</v>
      </c>
      <c r="J3475" s="8" t="n">
        <v>8875</v>
      </c>
      <c r="K3475" s="8" t="n">
        <v>8570</v>
      </c>
      <c r="L3475" s="8" t="n">
        <v>593760</v>
      </c>
      <c r="M3475" s="8" t="n">
        <v>246379</v>
      </c>
      <c r="N3475" t="inlineStr">
        <is>
          <t>是</t>
        </is>
      </c>
    </row>
    <row r="3476">
      <c r="A3476" s="7" t="inlineStr">
        <is>
          <t>2021-10-29</t>
        </is>
      </c>
      <c r="B3476" s="8" t="n">
        <v>8679</v>
      </c>
      <c r="C3476" s="8" t="n">
        <v>8900</v>
      </c>
      <c r="D3476" s="8" t="n">
        <v>8900</v>
      </c>
      <c r="E3476" s="8" t="n">
        <v>8605</v>
      </c>
      <c r="F3476" s="8" t="n">
        <v>941363</v>
      </c>
      <c r="G3476" s="8" t="n">
        <v>306081</v>
      </c>
      <c r="H3476" s="8" t="n">
        <v>8765</v>
      </c>
      <c r="I3476" s="8" t="n">
        <v>8740</v>
      </c>
      <c r="J3476" s="8" t="n">
        <v>8885</v>
      </c>
      <c r="K3476" s="8" t="n">
        <v>8715</v>
      </c>
      <c r="L3476" s="8" t="n">
        <v>478239</v>
      </c>
      <c r="M3476" s="8" t="n">
        <v>237343</v>
      </c>
      <c r="N3476" t="inlineStr">
        <is>
          <t>是</t>
        </is>
      </c>
    </row>
    <row r="3477">
      <c r="A3477" s="7" t="inlineStr">
        <is>
          <t>2021-11-01</t>
        </is>
      </c>
      <c r="B3477" s="8" t="n">
        <v>8644</v>
      </c>
      <c r="C3477" s="8" t="n">
        <v>8679</v>
      </c>
      <c r="D3477" s="8" t="n">
        <v>8880</v>
      </c>
      <c r="E3477" s="8" t="n">
        <v>8638</v>
      </c>
      <c r="F3477" s="8" t="n">
        <v>874591</v>
      </c>
      <c r="G3477" s="8" t="n">
        <v>310532</v>
      </c>
      <c r="H3477" s="8" t="n">
        <v>8801</v>
      </c>
      <c r="I3477" s="8" t="n">
        <v>8800</v>
      </c>
      <c r="J3477" s="8" t="n">
        <v>8960</v>
      </c>
      <c r="K3477" s="8" t="n">
        <v>8763</v>
      </c>
      <c r="L3477" s="8" t="n">
        <v>398644</v>
      </c>
      <c r="M3477" s="8" t="n">
        <v>237430</v>
      </c>
      <c r="N3477" t="inlineStr">
        <is>
          <t>是</t>
        </is>
      </c>
    </row>
    <row r="3478">
      <c r="A3478" s="7" t="inlineStr">
        <is>
          <t>2021-11-02</t>
        </is>
      </c>
      <c r="B3478" s="8" t="n">
        <v>8550</v>
      </c>
      <c r="C3478" s="8" t="n">
        <v>8652</v>
      </c>
      <c r="D3478" s="8" t="n">
        <v>8743</v>
      </c>
      <c r="E3478" s="8" t="n">
        <v>8459</v>
      </c>
      <c r="F3478" s="8" t="n">
        <v>974061</v>
      </c>
      <c r="G3478" s="8" t="n">
        <v>306782</v>
      </c>
      <c r="H3478" s="8" t="n">
        <v>8668</v>
      </c>
      <c r="I3478" s="8" t="n">
        <v>8815</v>
      </c>
      <c r="J3478" s="8" t="n">
        <v>8906</v>
      </c>
      <c r="K3478" s="8" t="n">
        <v>8546</v>
      </c>
      <c r="L3478" s="8" t="n">
        <v>445509</v>
      </c>
      <c r="M3478" s="8" t="n">
        <v>236500</v>
      </c>
      <c r="N3478" t="inlineStr">
        <is>
          <t>是</t>
        </is>
      </c>
    </row>
    <row r="3479">
      <c r="A3479" s="7" t="inlineStr">
        <is>
          <t>2021-11-03</t>
        </is>
      </c>
      <c r="B3479" s="8" t="n">
        <v>8766</v>
      </c>
      <c r="C3479" s="8" t="n">
        <v>8577</v>
      </c>
      <c r="D3479" s="8" t="n">
        <v>8799</v>
      </c>
      <c r="E3479" s="8" t="n">
        <v>8521</v>
      </c>
      <c r="F3479" s="8" t="n">
        <v>999883</v>
      </c>
      <c r="G3479" s="8" t="n">
        <v>306839</v>
      </c>
      <c r="H3479" s="8" t="n">
        <v>8850</v>
      </c>
      <c r="I3479" s="8" t="n">
        <v>8700</v>
      </c>
      <c r="J3479" s="8" t="n">
        <v>8880</v>
      </c>
      <c r="K3479" s="8" t="n">
        <v>8580</v>
      </c>
      <c r="L3479" s="8" t="n">
        <v>444501</v>
      </c>
      <c r="M3479" s="8" t="n">
        <v>238223</v>
      </c>
      <c r="N3479" t="inlineStr">
        <is>
          <t>是</t>
        </is>
      </c>
    </row>
    <row r="3480">
      <c r="A3480" s="7" t="inlineStr">
        <is>
          <t>2021-11-04</t>
        </is>
      </c>
      <c r="B3480" s="8" t="n">
        <v>8534</v>
      </c>
      <c r="C3480" s="8" t="n">
        <v>8751</v>
      </c>
      <c r="D3480" s="8" t="n">
        <v>8790</v>
      </c>
      <c r="E3480" s="8" t="n">
        <v>8483</v>
      </c>
      <c r="F3480" s="8" t="n">
        <v>965485</v>
      </c>
      <c r="G3480" s="8" t="n">
        <v>307122</v>
      </c>
      <c r="H3480" s="8" t="n">
        <v>8718</v>
      </c>
      <c r="I3480" s="8" t="n">
        <v>8820</v>
      </c>
      <c r="J3480" s="8" t="n">
        <v>8864</v>
      </c>
      <c r="K3480" s="8" t="n">
        <v>8580</v>
      </c>
      <c r="L3480" s="8" t="n">
        <v>579962</v>
      </c>
      <c r="M3480" s="8" t="n">
        <v>244435</v>
      </c>
      <c r="N3480" t="inlineStr">
        <is>
          <t>是</t>
        </is>
      </c>
    </row>
    <row r="3481">
      <c r="A3481" s="7" t="inlineStr">
        <is>
          <t>2021-11-05</t>
        </is>
      </c>
      <c r="B3481" s="8" t="n">
        <v>8604</v>
      </c>
      <c r="C3481" s="8" t="n">
        <v>8556</v>
      </c>
      <c r="D3481" s="8" t="n">
        <v>8720</v>
      </c>
      <c r="E3481" s="8" t="n">
        <v>8500</v>
      </c>
      <c r="F3481" s="8" t="n">
        <v>999355</v>
      </c>
      <c r="G3481" s="8" t="n">
        <v>308412</v>
      </c>
      <c r="H3481" s="8" t="n">
        <v>8919</v>
      </c>
      <c r="I3481" s="8" t="n">
        <v>8750</v>
      </c>
      <c r="J3481" s="8" t="n">
        <v>8980</v>
      </c>
      <c r="K3481" s="8" t="n">
        <v>8750</v>
      </c>
      <c r="L3481" s="8" t="n">
        <v>728812</v>
      </c>
      <c r="M3481" s="8" t="n">
        <v>270318</v>
      </c>
      <c r="N3481" t="inlineStr">
        <is>
          <t>是</t>
        </is>
      </c>
    </row>
    <row r="3482">
      <c r="A3482" s="7" t="inlineStr">
        <is>
          <t>2021-11-08</t>
        </is>
      </c>
      <c r="B3482" s="8" t="n">
        <v>8573</v>
      </c>
      <c r="C3482" s="8" t="n">
        <v>8627</v>
      </c>
      <c r="D3482" s="8" t="n">
        <v>8745</v>
      </c>
      <c r="E3482" s="8" t="n">
        <v>8502</v>
      </c>
      <c r="F3482" s="8" t="n">
        <v>855323</v>
      </c>
      <c r="G3482" s="8" t="n">
        <v>298723</v>
      </c>
      <c r="H3482" s="8" t="n">
        <v>8901</v>
      </c>
      <c r="I3482" s="8" t="n">
        <v>8943</v>
      </c>
      <c r="J3482" s="8" t="n">
        <v>9040</v>
      </c>
      <c r="K3482" s="8" t="n">
        <v>8802</v>
      </c>
      <c r="L3482" s="8" t="n">
        <v>628644</v>
      </c>
      <c r="M3482" s="8" t="n">
        <v>263464</v>
      </c>
      <c r="N3482" t="inlineStr">
        <is>
          <t>是</t>
        </is>
      </c>
    </row>
    <row r="3483">
      <c r="A3483" s="7" t="inlineStr">
        <is>
          <t>2021-11-09</t>
        </is>
      </c>
      <c r="B3483" s="8" t="n">
        <v>8587</v>
      </c>
      <c r="C3483" s="8" t="n">
        <v>8580</v>
      </c>
      <c r="D3483" s="8" t="n">
        <v>8739</v>
      </c>
      <c r="E3483" s="8" t="n">
        <v>8556</v>
      </c>
      <c r="F3483" s="8" t="n">
        <v>852398</v>
      </c>
      <c r="G3483" s="8" t="n">
        <v>293749</v>
      </c>
      <c r="H3483" s="8" t="n">
        <v>8865</v>
      </c>
      <c r="I3483" s="8" t="n">
        <v>8901</v>
      </c>
      <c r="J3483" s="8" t="n">
        <v>8993</v>
      </c>
      <c r="K3483" s="8" t="n">
        <v>8843</v>
      </c>
      <c r="L3483" s="8" t="n">
        <v>535738</v>
      </c>
      <c r="M3483" s="8" t="n">
        <v>264707</v>
      </c>
      <c r="N3483" t="inlineStr">
        <is>
          <t>是</t>
        </is>
      </c>
    </row>
    <row r="3484">
      <c r="A3484" s="7" t="inlineStr">
        <is>
          <t>2021-11-10</t>
        </is>
      </c>
      <c r="B3484" s="8" t="n">
        <v>8584</v>
      </c>
      <c r="C3484" s="8" t="n">
        <v>8589</v>
      </c>
      <c r="D3484" s="8" t="n">
        <v>8686</v>
      </c>
      <c r="E3484" s="8" t="n">
        <v>8424</v>
      </c>
      <c r="F3484" s="8" t="n">
        <v>1070060</v>
      </c>
      <c r="G3484" s="8" t="n">
        <v>288882</v>
      </c>
      <c r="H3484" s="8" t="n">
        <v>8919</v>
      </c>
      <c r="I3484" s="8" t="n">
        <v>8860</v>
      </c>
      <c r="J3484" s="8" t="n">
        <v>9020</v>
      </c>
      <c r="K3484" s="8" t="n">
        <v>8734</v>
      </c>
      <c r="L3484" s="8" t="n">
        <v>697861</v>
      </c>
      <c r="M3484" s="8" t="n">
        <v>266097</v>
      </c>
      <c r="N3484" t="inlineStr">
        <is>
          <t>是</t>
        </is>
      </c>
    </row>
    <row r="3485">
      <c r="A3485" s="7" t="inlineStr">
        <is>
          <t>2021-11-11</t>
        </is>
      </c>
      <c r="B3485" s="8" t="n">
        <v>8677</v>
      </c>
      <c r="C3485" s="8" t="n">
        <v>8584</v>
      </c>
      <c r="D3485" s="8" t="n">
        <v>8696</v>
      </c>
      <c r="E3485" s="8" t="n">
        <v>8494</v>
      </c>
      <c r="F3485" s="8" t="n">
        <v>854874</v>
      </c>
      <c r="G3485" s="8" t="n">
        <v>286413</v>
      </c>
      <c r="H3485" s="8" t="n">
        <v>8956</v>
      </c>
      <c r="I3485" s="8" t="n">
        <v>8919</v>
      </c>
      <c r="J3485" s="8" t="n">
        <v>8988</v>
      </c>
      <c r="K3485" s="8" t="n">
        <v>8803</v>
      </c>
      <c r="L3485" s="8" t="n">
        <v>584017</v>
      </c>
      <c r="M3485" s="8" t="n">
        <v>253136</v>
      </c>
      <c r="N3485" t="inlineStr">
        <is>
          <t>是</t>
        </is>
      </c>
    </row>
    <row r="3486">
      <c r="A3486" s="7" t="inlineStr">
        <is>
          <t>2021-11-12</t>
        </is>
      </c>
      <c r="B3486" s="8" t="n">
        <v>8673</v>
      </c>
      <c r="C3486" s="8" t="n">
        <v>8677</v>
      </c>
      <c r="D3486" s="8" t="n">
        <v>8803</v>
      </c>
      <c r="E3486" s="8" t="n">
        <v>8600</v>
      </c>
      <c r="F3486" s="8" t="n">
        <v>971259</v>
      </c>
      <c r="G3486" s="8" t="n">
        <v>280925</v>
      </c>
      <c r="H3486" s="8" t="n">
        <v>9016</v>
      </c>
      <c r="I3486" s="8" t="n">
        <v>8965</v>
      </c>
      <c r="J3486" s="8" t="n">
        <v>9138</v>
      </c>
      <c r="K3486" s="8" t="n">
        <v>8887</v>
      </c>
      <c r="L3486" s="8" t="n">
        <v>801683</v>
      </c>
      <c r="M3486" s="8" t="n">
        <v>279321</v>
      </c>
      <c r="N3486" t="inlineStr">
        <is>
          <t>是</t>
        </is>
      </c>
    </row>
    <row r="3487">
      <c r="A3487" s="7" t="inlineStr">
        <is>
          <t>2021-11-15</t>
        </is>
      </c>
      <c r="B3487" s="8" t="n">
        <v>8374</v>
      </c>
      <c r="C3487" s="8" t="n">
        <v>8650</v>
      </c>
      <c r="D3487" s="8" t="n">
        <v>8726</v>
      </c>
      <c r="E3487" s="8" t="n">
        <v>8371</v>
      </c>
      <c r="F3487" s="8" t="n">
        <v>1117378</v>
      </c>
      <c r="G3487" s="8" t="n">
        <v>339430</v>
      </c>
      <c r="H3487" s="8" t="n">
        <v>8742</v>
      </c>
      <c r="I3487" s="8" t="n">
        <v>9001</v>
      </c>
      <c r="J3487" s="8" t="n">
        <v>9108</v>
      </c>
      <c r="K3487" s="8" t="n">
        <v>8740</v>
      </c>
      <c r="L3487" s="8" t="n">
        <v>762833</v>
      </c>
      <c r="M3487" s="8" t="n">
        <v>269737</v>
      </c>
      <c r="N3487" t="inlineStr">
        <is>
          <t>是</t>
        </is>
      </c>
    </row>
    <row r="3488">
      <c r="A3488" s="7" t="inlineStr">
        <is>
          <t>2021-11-16</t>
        </is>
      </c>
      <c r="B3488" s="8" t="n">
        <v>8304</v>
      </c>
      <c r="C3488" s="8" t="n">
        <v>8374</v>
      </c>
      <c r="D3488" s="8" t="n">
        <v>8398</v>
      </c>
      <c r="E3488" s="8" t="n">
        <v>8238</v>
      </c>
      <c r="F3488" s="8" t="n">
        <v>966202</v>
      </c>
      <c r="G3488" s="8" t="n">
        <v>321682</v>
      </c>
      <c r="H3488" s="8" t="n">
        <v>8727</v>
      </c>
      <c r="I3488" s="8" t="n">
        <v>8738</v>
      </c>
      <c r="J3488" s="8" t="n">
        <v>8779</v>
      </c>
      <c r="K3488" s="8" t="n">
        <v>8583</v>
      </c>
      <c r="L3488" s="8" t="n">
        <v>789593</v>
      </c>
      <c r="M3488" s="8" t="n">
        <v>254978</v>
      </c>
      <c r="N3488" t="inlineStr">
        <is>
          <t>是</t>
        </is>
      </c>
    </row>
    <row r="3489">
      <c r="A3489" s="7" t="inlineStr">
        <is>
          <t>2021-11-17</t>
        </is>
      </c>
      <c r="B3489" s="8" t="n">
        <v>8353</v>
      </c>
      <c r="C3489" s="8" t="n">
        <v>8310</v>
      </c>
      <c r="D3489" s="8" t="n">
        <v>8375</v>
      </c>
      <c r="E3489" s="8" t="n">
        <v>8273</v>
      </c>
      <c r="F3489" s="8" t="n">
        <v>766906</v>
      </c>
      <c r="G3489" s="8" t="n">
        <v>311513</v>
      </c>
      <c r="H3489" s="8" t="n">
        <v>8728</v>
      </c>
      <c r="I3489" s="8" t="n">
        <v>8716</v>
      </c>
      <c r="J3489" s="8" t="n">
        <v>8771</v>
      </c>
      <c r="K3489" s="8" t="n">
        <v>8650</v>
      </c>
      <c r="L3489" s="8" t="n">
        <v>577773</v>
      </c>
      <c r="M3489" s="8" t="n">
        <v>255079</v>
      </c>
      <c r="N3489" t="inlineStr">
        <is>
          <t>是</t>
        </is>
      </c>
    </row>
    <row r="3490">
      <c r="A3490" s="7" t="inlineStr">
        <is>
          <t>2021-11-18</t>
        </is>
      </c>
      <c r="B3490" s="8" t="n">
        <v>8315</v>
      </c>
      <c r="C3490" s="8" t="n">
        <v>8358</v>
      </c>
      <c r="D3490" s="8" t="n">
        <v>8416</v>
      </c>
      <c r="E3490" s="8" t="n">
        <v>8244</v>
      </c>
      <c r="F3490" s="8" t="n">
        <v>974802</v>
      </c>
      <c r="G3490" s="8" t="n">
        <v>301693</v>
      </c>
      <c r="H3490" s="8" t="n">
        <v>8672</v>
      </c>
      <c r="I3490" s="8" t="n">
        <v>8720</v>
      </c>
      <c r="J3490" s="8" t="n">
        <v>8787</v>
      </c>
      <c r="K3490" s="8" t="n">
        <v>8640</v>
      </c>
      <c r="L3490" s="8" t="n">
        <v>666297</v>
      </c>
      <c r="M3490" s="8" t="n">
        <v>246554</v>
      </c>
      <c r="N3490" t="inlineStr">
        <is>
          <t>是</t>
        </is>
      </c>
    </row>
    <row r="3491">
      <c r="A3491" s="7" t="inlineStr">
        <is>
          <t>2021-11-19</t>
        </is>
      </c>
      <c r="B3491" s="8" t="n">
        <v>8363</v>
      </c>
      <c r="C3491" s="8" t="n">
        <v>8315</v>
      </c>
      <c r="D3491" s="8" t="n">
        <v>8420</v>
      </c>
      <c r="E3491" s="8" t="n">
        <v>8218</v>
      </c>
      <c r="F3491" s="8" t="n">
        <v>941758</v>
      </c>
      <c r="G3491" s="8" t="n">
        <v>304865</v>
      </c>
      <c r="H3491" s="8" t="n">
        <v>8825</v>
      </c>
      <c r="I3491" s="8" t="n">
        <v>8674</v>
      </c>
      <c r="J3491" s="8" t="n">
        <v>8924</v>
      </c>
      <c r="K3491" s="8" t="n">
        <v>8594</v>
      </c>
      <c r="L3491" s="8" t="n">
        <v>753962</v>
      </c>
      <c r="M3491" s="8" t="n">
        <v>244762</v>
      </c>
      <c r="N3491" t="inlineStr">
        <is>
          <t>是</t>
        </is>
      </c>
    </row>
    <row r="3492">
      <c r="A3492" s="7" t="inlineStr">
        <is>
          <t>2021-11-22</t>
        </is>
      </c>
      <c r="B3492" s="8" t="n">
        <v>8258</v>
      </c>
      <c r="C3492" s="8" t="n">
        <v>8280</v>
      </c>
      <c r="D3492" s="8" t="n">
        <v>8386</v>
      </c>
      <c r="E3492" s="8" t="n">
        <v>8132</v>
      </c>
      <c r="F3492" s="8" t="n">
        <v>1048208</v>
      </c>
      <c r="G3492" s="8" t="n">
        <v>305399</v>
      </c>
      <c r="H3492" s="8" t="n">
        <v>8737</v>
      </c>
      <c r="I3492" s="8" t="n">
        <v>8750</v>
      </c>
      <c r="J3492" s="8" t="n">
        <v>8830</v>
      </c>
      <c r="K3492" s="8" t="n">
        <v>8634</v>
      </c>
      <c r="L3492" s="8" t="n">
        <v>628442</v>
      </c>
      <c r="M3492" s="8" t="n">
        <v>236033</v>
      </c>
      <c r="N3492" t="inlineStr">
        <is>
          <t>是</t>
        </is>
      </c>
    </row>
    <row r="3493">
      <c r="A3493" s="7" t="inlineStr">
        <is>
          <t>2021-11-23</t>
        </is>
      </c>
      <c r="B3493" s="8" t="n">
        <v>8295</v>
      </c>
      <c r="C3493" s="8" t="n">
        <v>8258</v>
      </c>
      <c r="D3493" s="8" t="n">
        <v>8363</v>
      </c>
      <c r="E3493" s="8" t="n">
        <v>8172</v>
      </c>
      <c r="F3493" s="8" t="n">
        <v>744163</v>
      </c>
      <c r="G3493" s="8" t="n">
        <v>291994</v>
      </c>
      <c r="H3493" s="8" t="n">
        <v>8905</v>
      </c>
      <c r="I3493" s="8" t="n">
        <v>8737</v>
      </c>
      <c r="J3493" s="8" t="n">
        <v>8955</v>
      </c>
      <c r="K3493" s="8" t="n">
        <v>8678</v>
      </c>
      <c r="L3493" s="8" t="n">
        <v>590501</v>
      </c>
      <c r="M3493" s="8" t="n">
        <v>263132</v>
      </c>
      <c r="N3493" t="inlineStr">
        <is>
          <t>是</t>
        </is>
      </c>
    </row>
    <row r="3494">
      <c r="A3494" s="7" t="inlineStr">
        <is>
          <t>2021-11-24</t>
        </is>
      </c>
      <c r="B3494" s="8" t="n">
        <v>8420</v>
      </c>
      <c r="C3494" s="8" t="n">
        <v>8295</v>
      </c>
      <c r="D3494" s="8" t="n">
        <v>8426</v>
      </c>
      <c r="E3494" s="8" t="n">
        <v>8284</v>
      </c>
      <c r="F3494" s="8" t="n">
        <v>764936</v>
      </c>
      <c r="G3494" s="8" t="n">
        <v>278683</v>
      </c>
      <c r="H3494" s="8" t="n">
        <v>8907</v>
      </c>
      <c r="I3494" s="8" t="n">
        <v>8900</v>
      </c>
      <c r="J3494" s="8" t="n">
        <v>9029</v>
      </c>
      <c r="K3494" s="8" t="n">
        <v>8857</v>
      </c>
      <c r="L3494" s="8" t="n">
        <v>513994</v>
      </c>
      <c r="M3494" s="8" t="n">
        <v>258485</v>
      </c>
      <c r="N3494" t="inlineStr">
        <is>
          <t>是</t>
        </is>
      </c>
    </row>
    <row r="3495">
      <c r="A3495" s="7" t="inlineStr">
        <is>
          <t>2021-11-25</t>
        </is>
      </c>
      <c r="B3495" s="8" t="n">
        <v>8306</v>
      </c>
      <c r="C3495" s="8" t="n">
        <v>8419</v>
      </c>
      <c r="D3495" s="8" t="n">
        <v>8447</v>
      </c>
      <c r="E3495" s="8" t="n">
        <v>8296</v>
      </c>
      <c r="F3495" s="8" t="n">
        <v>721558</v>
      </c>
      <c r="G3495" s="8" t="n">
        <v>290732</v>
      </c>
      <c r="H3495" s="8" t="n">
        <v>8889</v>
      </c>
      <c r="I3495" s="8" t="n">
        <v>8910</v>
      </c>
      <c r="J3495" s="8" t="n">
        <v>8973</v>
      </c>
      <c r="K3495" s="8" t="n">
        <v>8820</v>
      </c>
      <c r="L3495" s="8" t="n">
        <v>429490</v>
      </c>
      <c r="M3495" s="8" t="n">
        <v>242754</v>
      </c>
      <c r="N3495" t="inlineStr">
        <is>
          <t>是</t>
        </is>
      </c>
    </row>
    <row r="3496">
      <c r="A3496" s="7" t="inlineStr">
        <is>
          <t>2021-11-26</t>
        </is>
      </c>
      <c r="B3496" s="8" t="n">
        <v>8195</v>
      </c>
      <c r="C3496" s="8" t="n">
        <v>8310</v>
      </c>
      <c r="D3496" s="8" t="n">
        <v>8358</v>
      </c>
      <c r="E3496" s="8" t="n">
        <v>8165</v>
      </c>
      <c r="F3496" s="8" t="n">
        <v>749270</v>
      </c>
      <c r="G3496" s="8" t="n">
        <v>292283</v>
      </c>
      <c r="H3496" s="8" t="n">
        <v>8665</v>
      </c>
      <c r="I3496" s="8" t="n">
        <v>8890</v>
      </c>
      <c r="J3496" s="8" t="n">
        <v>8913</v>
      </c>
      <c r="K3496" s="8" t="n">
        <v>8663</v>
      </c>
      <c r="L3496" s="8" t="n">
        <v>487702</v>
      </c>
      <c r="M3496" s="8" t="n">
        <v>221436</v>
      </c>
      <c r="N3496" t="inlineStr">
        <is>
          <t>是</t>
        </is>
      </c>
    </row>
    <row r="3497">
      <c r="A3497" s="7" t="inlineStr">
        <is>
          <t>2021-11-29</t>
        </is>
      </c>
      <c r="B3497" s="8" t="n">
        <v>8136</v>
      </c>
      <c r="C3497" s="8" t="n">
        <v>8120</v>
      </c>
      <c r="D3497" s="8" t="n">
        <v>8197</v>
      </c>
      <c r="E3497" s="8" t="n">
        <v>8013</v>
      </c>
      <c r="F3497" s="8" t="n">
        <v>805518</v>
      </c>
      <c r="G3497" s="8" t="n">
        <v>289621</v>
      </c>
      <c r="H3497" s="8" t="n">
        <v>8600</v>
      </c>
      <c r="I3497" s="8" t="n">
        <v>8580</v>
      </c>
      <c r="J3497" s="8" t="n">
        <v>8664</v>
      </c>
      <c r="K3497" s="8" t="n">
        <v>8511</v>
      </c>
      <c r="L3497" s="8" t="n">
        <v>494681</v>
      </c>
      <c r="M3497" s="8" t="n">
        <v>223254</v>
      </c>
      <c r="N3497" t="inlineStr">
        <is>
          <t>是</t>
        </is>
      </c>
    </row>
    <row r="3498">
      <c r="A3498" s="7" t="inlineStr">
        <is>
          <t>2021-11-30</t>
        </is>
      </c>
      <c r="B3498" s="8" t="n">
        <v>7963</v>
      </c>
      <c r="C3498" s="8" t="n">
        <v>8136</v>
      </c>
      <c r="D3498" s="8" t="n">
        <v>8156</v>
      </c>
      <c r="E3498" s="8" t="n">
        <v>7953</v>
      </c>
      <c r="F3498" s="8" t="n">
        <v>772115</v>
      </c>
      <c r="G3498" s="8" t="n">
        <v>317763</v>
      </c>
      <c r="H3498" s="8" t="n">
        <v>8435</v>
      </c>
      <c r="I3498" s="8" t="n">
        <v>8636</v>
      </c>
      <c r="J3498" s="8" t="n">
        <v>8649</v>
      </c>
      <c r="K3498" s="8" t="n">
        <v>8434</v>
      </c>
      <c r="L3498" s="8" t="n">
        <v>489911</v>
      </c>
      <c r="M3498" s="8" t="n">
        <v>220394</v>
      </c>
      <c r="N3498" t="inlineStr">
        <is>
          <t>是</t>
        </is>
      </c>
    </row>
    <row r="3499">
      <c r="A3499" s="7" t="inlineStr">
        <is>
          <t>2021-12-01</t>
        </is>
      </c>
      <c r="B3499" s="8" t="n">
        <v>8107</v>
      </c>
      <c r="C3499" s="8" t="n">
        <v>7984</v>
      </c>
      <c r="D3499" s="8" t="n">
        <v>8188</v>
      </c>
      <c r="E3499" s="8" t="n">
        <v>7974</v>
      </c>
      <c r="F3499" s="8" t="n">
        <v>790902</v>
      </c>
      <c r="G3499" s="8" t="n">
        <v>270568</v>
      </c>
      <c r="H3499" s="8" t="n">
        <v>8508</v>
      </c>
      <c r="I3499" s="8" t="n">
        <v>8410</v>
      </c>
      <c r="J3499" s="8" t="n">
        <v>8596</v>
      </c>
      <c r="K3499" s="8" t="n">
        <v>8392</v>
      </c>
      <c r="L3499" s="8" t="n">
        <v>452260</v>
      </c>
      <c r="M3499" s="8" t="n">
        <v>205231</v>
      </c>
      <c r="N3499" t="inlineStr">
        <is>
          <t>是</t>
        </is>
      </c>
    </row>
    <row r="3500">
      <c r="A3500" s="7" t="inlineStr">
        <is>
          <t>2021-12-02</t>
        </is>
      </c>
      <c r="B3500" s="8" t="n">
        <v>8006</v>
      </c>
      <c r="C3500" s="8" t="n">
        <v>8111</v>
      </c>
      <c r="D3500" s="8" t="n">
        <v>8216</v>
      </c>
      <c r="E3500" s="8" t="n">
        <v>8004</v>
      </c>
      <c r="F3500" s="8" t="n">
        <v>752543</v>
      </c>
      <c r="G3500" s="8" t="n">
        <v>271003</v>
      </c>
      <c r="H3500" s="8" t="n">
        <v>8377</v>
      </c>
      <c r="I3500" s="8" t="n">
        <v>8560</v>
      </c>
      <c r="J3500" s="8" t="n">
        <v>8596</v>
      </c>
      <c r="K3500" s="8" t="n">
        <v>8371</v>
      </c>
      <c r="L3500" s="8" t="n">
        <v>403434</v>
      </c>
      <c r="M3500" s="8" t="n">
        <v>205676</v>
      </c>
      <c r="N3500" t="inlineStr">
        <is>
          <t>是</t>
        </is>
      </c>
    </row>
    <row r="3501">
      <c r="A3501" s="7" t="inlineStr">
        <is>
          <t>2021-12-03</t>
        </is>
      </c>
      <c r="B3501" s="8" t="n">
        <v>7992</v>
      </c>
      <c r="C3501" s="8" t="n">
        <v>7996</v>
      </c>
      <c r="D3501" s="8" t="n">
        <v>8016</v>
      </c>
      <c r="E3501" s="8" t="n">
        <v>7801</v>
      </c>
      <c r="F3501" s="8" t="n">
        <v>967712</v>
      </c>
      <c r="G3501" s="8" t="n">
        <v>286348</v>
      </c>
      <c r="H3501" s="8" t="n">
        <v>8547</v>
      </c>
      <c r="I3501" s="8" t="n">
        <v>8370</v>
      </c>
      <c r="J3501" s="8" t="n">
        <v>8550</v>
      </c>
      <c r="K3501" s="8" t="n">
        <v>8300</v>
      </c>
      <c r="L3501" s="8" t="n">
        <v>473976</v>
      </c>
      <c r="M3501" s="8" t="n">
        <v>196500</v>
      </c>
      <c r="N3501" t="inlineStr">
        <is>
          <t>是</t>
        </is>
      </c>
    </row>
    <row r="3502">
      <c r="A3502" s="7" t="inlineStr">
        <is>
          <t>2021-12-06</t>
        </is>
      </c>
      <c r="B3502" s="8" t="n">
        <v>8102</v>
      </c>
      <c r="C3502" s="8" t="n">
        <v>8000</v>
      </c>
      <c r="D3502" s="8" t="n">
        <v>8127</v>
      </c>
      <c r="E3502" s="8" t="n">
        <v>7954</v>
      </c>
      <c r="F3502" s="8" t="n">
        <v>731421</v>
      </c>
      <c r="G3502" s="8" t="n">
        <v>249756</v>
      </c>
      <c r="H3502" s="8" t="n">
        <v>8649</v>
      </c>
      <c r="I3502" s="8" t="n">
        <v>8574</v>
      </c>
      <c r="J3502" s="8" t="n">
        <v>8698</v>
      </c>
      <c r="K3502" s="8" t="n">
        <v>8511</v>
      </c>
      <c r="L3502" s="8" t="n">
        <v>414535</v>
      </c>
      <c r="M3502" s="8" t="n">
        <v>191493</v>
      </c>
      <c r="N3502" t="inlineStr">
        <is>
          <t>是</t>
        </is>
      </c>
    </row>
    <row r="3503">
      <c r="A3503" s="7" t="inlineStr">
        <is>
          <t>2021-12-07</t>
        </is>
      </c>
      <c r="B3503" s="8" t="n">
        <v>8111</v>
      </c>
      <c r="C3503" s="8" t="n">
        <v>8097</v>
      </c>
      <c r="D3503" s="8" t="n">
        <v>8156</v>
      </c>
      <c r="E3503" s="8" t="n">
        <v>8055</v>
      </c>
      <c r="F3503" s="8" t="n">
        <v>532499</v>
      </c>
      <c r="G3503" s="8" t="n">
        <v>225576</v>
      </c>
      <c r="H3503" s="8" t="n">
        <v>8568</v>
      </c>
      <c r="I3503" s="8" t="n">
        <v>8644</v>
      </c>
      <c r="J3503" s="8" t="n">
        <v>8672</v>
      </c>
      <c r="K3503" s="8" t="n">
        <v>8505</v>
      </c>
      <c r="L3503" s="8" t="n">
        <v>336529</v>
      </c>
      <c r="M3503" s="8" t="n">
        <v>180371</v>
      </c>
      <c r="N3503" t="inlineStr">
        <is>
          <t>是</t>
        </is>
      </c>
    </row>
    <row r="3504">
      <c r="A3504" s="7" t="inlineStr">
        <is>
          <t>2021-12-08</t>
        </is>
      </c>
      <c r="B3504" s="8" t="n">
        <v>8020</v>
      </c>
      <c r="C3504" s="8" t="n">
        <v>8125</v>
      </c>
      <c r="D3504" s="8" t="n">
        <v>8166</v>
      </c>
      <c r="E3504" s="8" t="n">
        <v>7992</v>
      </c>
      <c r="F3504" s="8" t="n">
        <v>630860</v>
      </c>
      <c r="G3504" s="8" t="n">
        <v>213833</v>
      </c>
      <c r="H3504" s="8" t="n">
        <v>8477</v>
      </c>
      <c r="I3504" s="8" t="n">
        <v>8579</v>
      </c>
      <c r="J3504" s="8" t="n">
        <v>8632</v>
      </c>
      <c r="K3504" s="8" t="n">
        <v>8464</v>
      </c>
      <c r="L3504" s="8" t="n">
        <v>314428</v>
      </c>
      <c r="M3504" s="8" t="n">
        <v>176462</v>
      </c>
      <c r="N3504" t="inlineStr">
        <is>
          <t>是</t>
        </is>
      </c>
    </row>
    <row r="3505">
      <c r="A3505" s="7" t="inlineStr">
        <is>
          <t>2021-12-09</t>
        </is>
      </c>
      <c r="B3505" s="8" t="n">
        <v>8012</v>
      </c>
      <c r="C3505" s="8" t="n">
        <v>8063</v>
      </c>
      <c r="D3505" s="8" t="n">
        <v>8179</v>
      </c>
      <c r="E3505" s="8" t="n">
        <v>8001</v>
      </c>
      <c r="F3505" s="8" t="n">
        <v>632317</v>
      </c>
      <c r="G3505" s="8" t="n">
        <v>210646</v>
      </c>
      <c r="H3505" s="8" t="n">
        <v>8460</v>
      </c>
      <c r="I3505" s="8" t="n">
        <v>8489</v>
      </c>
      <c r="J3505" s="8" t="n">
        <v>8609</v>
      </c>
      <c r="K3505" s="8" t="n">
        <v>8430</v>
      </c>
      <c r="L3505" s="8" t="n">
        <v>320540</v>
      </c>
      <c r="M3505" s="8" t="n">
        <v>169131</v>
      </c>
      <c r="N3505" t="inlineStr">
        <is>
          <t>是</t>
        </is>
      </c>
    </row>
    <row r="3506">
      <c r="A3506" s="7" t="inlineStr">
        <is>
          <t>2021-12-10</t>
        </is>
      </c>
      <c r="B3506" s="8" t="n">
        <v>7918</v>
      </c>
      <c r="C3506" s="8" t="n">
        <v>7980</v>
      </c>
      <c r="D3506" s="8" t="n">
        <v>8017</v>
      </c>
      <c r="E3506" s="8" t="n">
        <v>7903</v>
      </c>
      <c r="F3506" s="8" t="n">
        <v>558019</v>
      </c>
      <c r="G3506" s="8" t="n">
        <v>197448</v>
      </c>
      <c r="H3506" s="8" t="n">
        <v>8282</v>
      </c>
      <c r="I3506" s="8" t="n">
        <v>8440</v>
      </c>
      <c r="J3506" s="8" t="n">
        <v>8461</v>
      </c>
      <c r="K3506" s="8" t="n">
        <v>8273</v>
      </c>
      <c r="L3506" s="8" t="n">
        <v>342863</v>
      </c>
      <c r="M3506" s="8" t="n">
        <v>158247</v>
      </c>
      <c r="N3506" t="inlineStr">
        <is>
          <t>是</t>
        </is>
      </c>
    </row>
    <row r="3507">
      <c r="A3507" s="7" t="inlineStr">
        <is>
          <t>2021-12-13</t>
        </is>
      </c>
      <c r="B3507" s="8" t="n">
        <v>8183</v>
      </c>
      <c r="C3507" s="8" t="n">
        <v>7958</v>
      </c>
      <c r="D3507" s="8" t="n">
        <v>8195</v>
      </c>
      <c r="E3507" s="8" t="n">
        <v>7881</v>
      </c>
      <c r="F3507" s="8" t="n">
        <v>677742</v>
      </c>
      <c r="G3507" s="8" t="n">
        <v>169618</v>
      </c>
      <c r="H3507" s="8" t="n">
        <v>8505</v>
      </c>
      <c r="I3507" s="8" t="n">
        <v>8282</v>
      </c>
      <c r="J3507" s="8" t="n">
        <v>8507</v>
      </c>
      <c r="K3507" s="8" t="n">
        <v>8282</v>
      </c>
      <c r="L3507" s="8" t="n">
        <v>309915</v>
      </c>
      <c r="M3507" s="8" t="n">
        <v>138541</v>
      </c>
      <c r="N3507" t="inlineStr">
        <is>
          <t>是</t>
        </is>
      </c>
    </row>
    <row r="3508">
      <c r="A3508" s="7" t="inlineStr">
        <is>
          <t>2021-12-14</t>
        </is>
      </c>
      <c r="B3508" s="8" t="n">
        <v>8164</v>
      </c>
      <c r="C3508" s="8" t="n">
        <v>8136</v>
      </c>
      <c r="D3508" s="8" t="n">
        <v>8216</v>
      </c>
      <c r="E3508" s="8" t="n">
        <v>8135</v>
      </c>
      <c r="F3508" s="8" t="n">
        <v>419071</v>
      </c>
      <c r="G3508" s="8" t="n">
        <v>152072</v>
      </c>
      <c r="H3508" s="8" t="n">
        <v>8566</v>
      </c>
      <c r="I3508" s="8" t="n">
        <v>8505</v>
      </c>
      <c r="J3508" s="8" t="n">
        <v>8599</v>
      </c>
      <c r="K3508" s="8" t="n">
        <v>8466</v>
      </c>
      <c r="L3508" s="8" t="n">
        <v>260697</v>
      </c>
      <c r="M3508" s="8" t="n">
        <v>130659</v>
      </c>
      <c r="N3508" t="inlineStr">
        <is>
          <t>是</t>
        </is>
      </c>
    </row>
    <row r="3509">
      <c r="A3509" s="7" t="inlineStr">
        <is>
          <t>2021-12-15</t>
        </is>
      </c>
      <c r="B3509" s="8" t="n">
        <v>8032</v>
      </c>
      <c r="C3509" s="8" t="n">
        <v>8164</v>
      </c>
      <c r="D3509" s="8" t="n">
        <v>8204</v>
      </c>
      <c r="E3509" s="8" t="n">
        <v>8026</v>
      </c>
      <c r="F3509" s="8" t="n">
        <v>413123</v>
      </c>
      <c r="G3509" s="8" t="n">
        <v>122824</v>
      </c>
      <c r="H3509" s="8" t="n">
        <v>8375</v>
      </c>
      <c r="I3509" s="8" t="n">
        <v>8566</v>
      </c>
      <c r="J3509" s="8" t="n">
        <v>8633</v>
      </c>
      <c r="K3509" s="8" t="n">
        <v>8370</v>
      </c>
      <c r="L3509" s="8" t="n">
        <v>270043</v>
      </c>
      <c r="M3509" s="8" t="n">
        <v>117405</v>
      </c>
      <c r="N3509" t="inlineStr">
        <is>
          <t>是</t>
        </is>
      </c>
    </row>
    <row r="3510">
      <c r="A3510" s="7" t="inlineStr">
        <is>
          <t>2021-12-16</t>
        </is>
      </c>
      <c r="B3510" s="8" t="n">
        <v>8115</v>
      </c>
      <c r="C3510" s="8" t="n">
        <v>8054</v>
      </c>
      <c r="D3510" s="8" t="n">
        <v>8120</v>
      </c>
      <c r="E3510" s="8" t="n">
        <v>7997</v>
      </c>
      <c r="F3510" s="8" t="n">
        <v>318095</v>
      </c>
      <c r="G3510" s="8" t="n">
        <v>108093</v>
      </c>
      <c r="H3510" s="8" t="n">
        <v>8410</v>
      </c>
      <c r="I3510" s="8" t="n">
        <v>8375</v>
      </c>
      <c r="J3510" s="8" t="n">
        <v>8436</v>
      </c>
      <c r="K3510" s="8" t="n">
        <v>8335</v>
      </c>
      <c r="L3510" s="8" t="n">
        <v>217181</v>
      </c>
      <c r="M3510" s="8" t="n">
        <v>103411</v>
      </c>
      <c r="N3510" t="inlineStr">
        <is>
          <t>是</t>
        </is>
      </c>
    </row>
    <row r="3511">
      <c r="A3511" s="7" t="inlineStr">
        <is>
          <t>2021-12-17</t>
        </is>
      </c>
      <c r="B3511" s="8" t="n">
        <v>8137</v>
      </c>
      <c r="C3511" s="8" t="n">
        <v>8044</v>
      </c>
      <c r="D3511" s="8" t="n">
        <v>8186</v>
      </c>
      <c r="E3511" s="8" t="n">
        <v>8025</v>
      </c>
      <c r="F3511" s="8" t="n">
        <v>664308</v>
      </c>
      <c r="G3511" s="8" t="n">
        <v>302931</v>
      </c>
      <c r="H3511" s="8" t="n">
        <v>8523</v>
      </c>
      <c r="I3511" s="8" t="n">
        <v>8399</v>
      </c>
      <c r="J3511" s="8" t="n">
        <v>8533</v>
      </c>
      <c r="K3511" s="8" t="n">
        <v>8364</v>
      </c>
      <c r="L3511" s="8" t="n">
        <v>190390</v>
      </c>
      <c r="M3511" s="8" t="n">
        <v>83219</v>
      </c>
      <c r="N3511" t="inlineStr">
        <is>
          <t>是</t>
        </is>
      </c>
    </row>
    <row r="3512">
      <c r="A3512" s="7" t="inlineStr">
        <is>
          <t>2021-12-20</t>
        </is>
      </c>
      <c r="B3512" s="8" t="n">
        <v>8102</v>
      </c>
      <c r="C3512" s="8" t="n">
        <v>8113</v>
      </c>
      <c r="D3512" s="8" t="n">
        <v>8245</v>
      </c>
      <c r="E3512" s="8" t="n">
        <v>8057</v>
      </c>
      <c r="F3512" s="8" t="n">
        <v>803550</v>
      </c>
      <c r="G3512" s="8" t="n">
        <v>318108</v>
      </c>
      <c r="H3512" s="8" t="n">
        <v>8456</v>
      </c>
      <c r="I3512" s="8" t="n">
        <v>8440</v>
      </c>
      <c r="J3512" s="8" t="n">
        <v>8546</v>
      </c>
      <c r="K3512" s="8" t="n">
        <v>8386</v>
      </c>
      <c r="L3512" s="8" t="n">
        <v>464128</v>
      </c>
      <c r="M3512" s="8" t="n">
        <v>213349</v>
      </c>
      <c r="N3512" t="inlineStr">
        <is>
          <t>是</t>
        </is>
      </c>
    </row>
    <row r="3513">
      <c r="A3513" s="7" t="inlineStr">
        <is>
          <t>2021-12-21</t>
        </is>
      </c>
      <c r="B3513" s="8" t="n">
        <v>8097</v>
      </c>
      <c r="C3513" s="8" t="n">
        <v>8102</v>
      </c>
      <c r="D3513" s="8" t="n">
        <v>8175</v>
      </c>
      <c r="E3513" s="8" t="n">
        <v>8074</v>
      </c>
      <c r="F3513" s="8" t="n">
        <v>755795</v>
      </c>
      <c r="G3513" s="8" t="n">
        <v>321850</v>
      </c>
      <c r="H3513" s="8" t="n">
        <v>8495</v>
      </c>
      <c r="I3513" s="8" t="n">
        <v>8456</v>
      </c>
      <c r="J3513" s="8" t="n">
        <v>8582</v>
      </c>
      <c r="K3513" s="8" t="n">
        <v>8438</v>
      </c>
      <c r="L3513" s="8" t="n">
        <v>500860</v>
      </c>
      <c r="M3513" s="8" t="n">
        <v>239772</v>
      </c>
      <c r="N3513" t="inlineStr">
        <is>
          <t>是</t>
        </is>
      </c>
    </row>
    <row r="3514">
      <c r="A3514" s="7" t="inlineStr">
        <is>
          <t>2021-12-22</t>
        </is>
      </c>
      <c r="B3514" s="8" t="n">
        <v>8062</v>
      </c>
      <c r="C3514" s="8" t="n">
        <v>8097</v>
      </c>
      <c r="D3514" s="8" t="n">
        <v>8133</v>
      </c>
      <c r="E3514" s="8" t="n">
        <v>7982</v>
      </c>
      <c r="F3514" s="8" t="n">
        <v>684663</v>
      </c>
      <c r="G3514" s="8" t="n">
        <v>337045</v>
      </c>
      <c r="H3514" s="8" t="n">
        <v>8490</v>
      </c>
      <c r="I3514" s="8" t="n">
        <v>8495</v>
      </c>
      <c r="J3514" s="8" t="n">
        <v>8554</v>
      </c>
      <c r="K3514" s="8" t="n">
        <v>8432</v>
      </c>
      <c r="L3514" s="8" t="n">
        <v>384967</v>
      </c>
      <c r="M3514" s="8" t="n">
        <v>242448</v>
      </c>
      <c r="N3514" t="inlineStr">
        <is>
          <t>是</t>
        </is>
      </c>
    </row>
    <row r="3515">
      <c r="A3515" s="7" t="inlineStr">
        <is>
          <t>2021-12-23</t>
        </is>
      </c>
      <c r="B3515" s="8" t="n">
        <v>8163</v>
      </c>
      <c r="C3515" s="8" t="n">
        <v>8062</v>
      </c>
      <c r="D3515" s="8" t="n">
        <v>8180</v>
      </c>
      <c r="E3515" s="8" t="n">
        <v>8044</v>
      </c>
      <c r="F3515" s="8" t="n">
        <v>671479</v>
      </c>
      <c r="G3515" s="8" t="n">
        <v>341492</v>
      </c>
      <c r="H3515" s="8" t="n">
        <v>8521</v>
      </c>
      <c r="I3515" s="8" t="n">
        <v>8500</v>
      </c>
      <c r="J3515" s="8" t="n">
        <v>8538</v>
      </c>
      <c r="K3515" s="8" t="n">
        <v>8433</v>
      </c>
      <c r="L3515" s="8" t="n">
        <v>354230</v>
      </c>
      <c r="M3515" s="8" t="n">
        <v>247301</v>
      </c>
      <c r="N3515" t="inlineStr">
        <is>
          <t>是</t>
        </is>
      </c>
    </row>
    <row r="3516">
      <c r="A3516" s="7" t="inlineStr">
        <is>
          <t>2021-12-24</t>
        </is>
      </c>
      <c r="B3516" s="8" t="n">
        <v>8232</v>
      </c>
      <c r="C3516" s="8" t="n">
        <v>8166</v>
      </c>
      <c r="D3516" s="8" t="n">
        <v>8288</v>
      </c>
      <c r="E3516" s="8" t="n">
        <v>8159</v>
      </c>
      <c r="F3516" s="8" t="n">
        <v>684894</v>
      </c>
      <c r="G3516" s="8" t="n">
        <v>351539</v>
      </c>
      <c r="H3516" s="8" t="n">
        <v>8598</v>
      </c>
      <c r="I3516" s="8" t="n">
        <v>8550</v>
      </c>
      <c r="J3516" s="8" t="n">
        <v>8634</v>
      </c>
      <c r="K3516" s="8" t="n">
        <v>8530</v>
      </c>
      <c r="L3516" s="8" t="n">
        <v>416782</v>
      </c>
      <c r="M3516" s="8" t="n">
        <v>256761</v>
      </c>
      <c r="N3516" t="inlineStr">
        <is>
          <t>是</t>
        </is>
      </c>
    </row>
    <row r="3517">
      <c r="A3517" s="7" t="inlineStr">
        <is>
          <t>2021-12-27</t>
        </is>
      </c>
      <c r="B3517" s="8" t="n">
        <v>7951</v>
      </c>
      <c r="C3517" s="8" t="n">
        <v>8240</v>
      </c>
      <c r="D3517" s="8" t="n">
        <v>8267</v>
      </c>
      <c r="E3517" s="8" t="n">
        <v>7947</v>
      </c>
      <c r="F3517" s="8" t="n">
        <v>829667</v>
      </c>
      <c r="G3517" s="8" t="n">
        <v>357342</v>
      </c>
      <c r="H3517" s="8" t="n">
        <v>8382</v>
      </c>
      <c r="I3517" s="8" t="n">
        <v>8598</v>
      </c>
      <c r="J3517" s="8" t="n">
        <v>8660</v>
      </c>
      <c r="K3517" s="8" t="n">
        <v>8376</v>
      </c>
      <c r="L3517" s="8" t="n">
        <v>484021</v>
      </c>
      <c r="M3517" s="8" t="n">
        <v>247967</v>
      </c>
      <c r="N3517" t="inlineStr">
        <is>
          <t>是</t>
        </is>
      </c>
    </row>
    <row r="3518">
      <c r="A3518" s="7" t="inlineStr">
        <is>
          <t>2021-12-28</t>
        </is>
      </c>
      <c r="B3518" s="8" t="n">
        <v>7986</v>
      </c>
      <c r="C3518" s="8" t="n">
        <v>7951</v>
      </c>
      <c r="D3518" s="8" t="n">
        <v>8005</v>
      </c>
      <c r="E3518" s="8" t="n">
        <v>7920</v>
      </c>
      <c r="F3518" s="8" t="n">
        <v>565700</v>
      </c>
      <c r="G3518" s="8" t="n">
        <v>368824</v>
      </c>
      <c r="H3518" s="8" t="n">
        <v>8503</v>
      </c>
      <c r="I3518" s="8" t="n">
        <v>8382</v>
      </c>
      <c r="J3518" s="8" t="n">
        <v>8515</v>
      </c>
      <c r="K3518" s="8" t="n">
        <v>8350</v>
      </c>
      <c r="L3518" s="8" t="n">
        <v>441930</v>
      </c>
      <c r="M3518" s="8" t="n">
        <v>248368</v>
      </c>
      <c r="N3518" t="inlineStr">
        <is>
          <t>是</t>
        </is>
      </c>
    </row>
    <row r="3519">
      <c r="A3519" s="7" t="inlineStr">
        <is>
          <t>2021-12-29</t>
        </is>
      </c>
      <c r="B3519" s="8" t="n">
        <v>8139</v>
      </c>
      <c r="C3519" s="8" t="n">
        <v>7980</v>
      </c>
      <c r="D3519" s="8" t="n">
        <v>8146</v>
      </c>
      <c r="E3519" s="8" t="n">
        <v>7972</v>
      </c>
      <c r="F3519" s="8" t="n">
        <v>748872</v>
      </c>
      <c r="G3519" s="8" t="n">
        <v>318111</v>
      </c>
      <c r="H3519" s="8" t="n">
        <v>8599</v>
      </c>
      <c r="I3519" s="8" t="n">
        <v>8517</v>
      </c>
      <c r="J3519" s="8" t="n">
        <v>8600</v>
      </c>
      <c r="K3519" s="8" t="n">
        <v>8487</v>
      </c>
      <c r="L3519" s="8" t="n">
        <v>403497</v>
      </c>
      <c r="M3519" s="8" t="n">
        <v>265781</v>
      </c>
      <c r="N3519" t="inlineStr">
        <is>
          <t>是</t>
        </is>
      </c>
    </row>
    <row r="3520">
      <c r="A3520" s="7" t="inlineStr">
        <is>
          <t>2021-12-30</t>
        </is>
      </c>
      <c r="B3520" s="8" t="n">
        <v>8157</v>
      </c>
      <c r="C3520" s="8" t="n">
        <v>8139</v>
      </c>
      <c r="D3520" s="8" t="n">
        <v>8179</v>
      </c>
      <c r="E3520" s="8" t="n">
        <v>8104</v>
      </c>
      <c r="F3520" s="8" t="n">
        <v>508708</v>
      </c>
      <c r="G3520" s="8" t="n">
        <v>318620</v>
      </c>
      <c r="H3520" s="8" t="n">
        <v>8596</v>
      </c>
      <c r="I3520" s="8" t="n">
        <v>8598</v>
      </c>
      <c r="J3520" s="8" t="n">
        <v>8606</v>
      </c>
      <c r="K3520" s="8" t="n">
        <v>8529</v>
      </c>
      <c r="L3520" s="8" t="n">
        <v>307154</v>
      </c>
      <c r="M3520" s="8" t="n">
        <v>267086</v>
      </c>
      <c r="N3520" t="inlineStr">
        <is>
          <t>是</t>
        </is>
      </c>
    </row>
    <row r="3521">
      <c r="A3521" s="7" t="inlineStr">
        <is>
          <t>2021-12-31</t>
        </is>
      </c>
      <c r="B3521" s="8" t="n">
        <v>8143</v>
      </c>
      <c r="C3521" s="8" t="n">
        <v>8165</v>
      </c>
      <c r="D3521" s="8" t="n">
        <v>8190</v>
      </c>
      <c r="E3521" s="8" t="n">
        <v>8066</v>
      </c>
      <c r="F3521" s="8" t="n">
        <v>543522</v>
      </c>
      <c r="G3521" s="8" t="n">
        <v>293357</v>
      </c>
      <c r="H3521" s="8" t="n">
        <v>8522</v>
      </c>
      <c r="I3521" s="8" t="n">
        <v>8590</v>
      </c>
      <c r="J3521" s="8" t="n">
        <v>8633</v>
      </c>
      <c r="K3521" s="8" t="n">
        <v>8460</v>
      </c>
      <c r="L3521" s="8" t="n">
        <v>404394</v>
      </c>
      <c r="M3521" s="8" t="n">
        <v>253654</v>
      </c>
      <c r="N3521" t="inlineStr">
        <is>
          <t>是</t>
        </is>
      </c>
    </row>
    <row r="3522">
      <c r="A3522" s="7" t="inlineStr">
        <is>
          <t>2022-01-04</t>
        </is>
      </c>
      <c r="B3522" s="8" t="n">
        <v>8287</v>
      </c>
      <c r="C3522" s="8" t="n">
        <v>8175</v>
      </c>
      <c r="D3522" s="8" t="n">
        <v>8376</v>
      </c>
      <c r="E3522" s="8" t="n">
        <v>8173</v>
      </c>
      <c r="F3522" s="8" t="n">
        <v>567741</v>
      </c>
      <c r="G3522" s="8" t="n">
        <v>326047</v>
      </c>
      <c r="H3522" s="8" t="n">
        <v>8736</v>
      </c>
      <c r="I3522" s="8" t="n">
        <v>8528</v>
      </c>
      <c r="J3522" s="8" t="n">
        <v>8768</v>
      </c>
      <c r="K3522" s="8" t="n">
        <v>8528</v>
      </c>
      <c r="L3522" s="8" t="n">
        <v>394454</v>
      </c>
      <c r="M3522" s="8" t="n">
        <v>308744</v>
      </c>
      <c r="N3522" t="inlineStr">
        <is>
          <t>是</t>
        </is>
      </c>
    </row>
    <row r="3523">
      <c r="A3523" s="7" t="inlineStr">
        <is>
          <t>2022-01-05</t>
        </is>
      </c>
      <c r="B3523" s="8" t="n">
        <v>8226</v>
      </c>
      <c r="C3523" s="8" t="n">
        <v>8282</v>
      </c>
      <c r="D3523" s="8" t="n">
        <v>8310</v>
      </c>
      <c r="E3523" s="8" t="n">
        <v>8205</v>
      </c>
      <c r="F3523" s="8" t="n">
        <v>451884</v>
      </c>
      <c r="G3523" s="8" t="n">
        <v>322772</v>
      </c>
      <c r="H3523" s="8" t="n">
        <v>8591</v>
      </c>
      <c r="I3523" s="8" t="n">
        <v>8736</v>
      </c>
      <c r="J3523" s="8" t="n">
        <v>8748</v>
      </c>
      <c r="K3523" s="8" t="n">
        <v>8570</v>
      </c>
      <c r="L3523" s="8" t="n">
        <v>384344</v>
      </c>
      <c r="M3523" s="8" t="n">
        <v>289356</v>
      </c>
      <c r="N3523" t="inlineStr">
        <is>
          <t>是</t>
        </is>
      </c>
    </row>
    <row r="3524">
      <c r="A3524" s="7" t="inlineStr">
        <is>
          <t>2022-01-06</t>
        </is>
      </c>
      <c r="B3524" s="8" t="n">
        <v>8281</v>
      </c>
      <c r="C3524" s="8" t="n">
        <v>8250</v>
      </c>
      <c r="D3524" s="8" t="n">
        <v>8296</v>
      </c>
      <c r="E3524" s="8" t="n">
        <v>8212</v>
      </c>
      <c r="F3524" s="8" t="n">
        <v>512268</v>
      </c>
      <c r="G3524" s="8" t="n">
        <v>321767</v>
      </c>
      <c r="H3524" s="8" t="n">
        <v>8687</v>
      </c>
      <c r="I3524" s="8" t="n">
        <v>8591</v>
      </c>
      <c r="J3524" s="8" t="n">
        <v>8695</v>
      </c>
      <c r="K3524" s="8" t="n">
        <v>8591</v>
      </c>
      <c r="L3524" s="8" t="n">
        <v>357497</v>
      </c>
      <c r="M3524" s="8" t="n">
        <v>296260</v>
      </c>
      <c r="N3524" t="inlineStr">
        <is>
          <t>是</t>
        </is>
      </c>
    </row>
    <row r="3525">
      <c r="A3525" s="7" t="inlineStr">
        <is>
          <t>2022-01-07</t>
        </is>
      </c>
      <c r="B3525" s="8" t="n">
        <v>8370</v>
      </c>
      <c r="C3525" s="8" t="n">
        <v>8310</v>
      </c>
      <c r="D3525" s="8" t="n">
        <v>8410</v>
      </c>
      <c r="E3525" s="8" t="n">
        <v>8270</v>
      </c>
      <c r="F3525" s="8" t="n">
        <v>664471</v>
      </c>
      <c r="G3525" s="8" t="n">
        <v>333034</v>
      </c>
      <c r="H3525" s="8" t="n">
        <v>8759</v>
      </c>
      <c r="I3525" s="8" t="n">
        <v>8725</v>
      </c>
      <c r="J3525" s="8" t="n">
        <v>8839</v>
      </c>
      <c r="K3525" s="8" t="n">
        <v>8669</v>
      </c>
      <c r="L3525" s="8" t="n">
        <v>487558</v>
      </c>
      <c r="M3525" s="8" t="n">
        <v>311369</v>
      </c>
      <c r="N3525" t="inlineStr">
        <is>
          <t>是</t>
        </is>
      </c>
    </row>
    <row r="3526">
      <c r="A3526" s="7" t="inlineStr">
        <is>
          <t>2022-01-10</t>
        </is>
      </c>
      <c r="B3526" s="8" t="n">
        <v>8223</v>
      </c>
      <c r="C3526" s="8" t="n">
        <v>8371</v>
      </c>
      <c r="D3526" s="8" t="n">
        <v>8400</v>
      </c>
      <c r="E3526" s="8" t="n">
        <v>8208</v>
      </c>
      <c r="F3526" s="8" t="n">
        <v>555659</v>
      </c>
      <c r="G3526" s="8" t="n">
        <v>320020</v>
      </c>
      <c r="H3526" s="8" t="n">
        <v>8590</v>
      </c>
      <c r="I3526" s="8" t="n">
        <v>8750</v>
      </c>
      <c r="J3526" s="8" t="n">
        <v>8759</v>
      </c>
      <c r="K3526" s="8" t="n">
        <v>8582</v>
      </c>
      <c r="L3526" s="8" t="n">
        <v>389478</v>
      </c>
      <c r="M3526" s="8" t="n">
        <v>275578</v>
      </c>
      <c r="N3526" t="inlineStr">
        <is>
          <t>是</t>
        </is>
      </c>
    </row>
    <row r="3527">
      <c r="A3527" s="7" t="inlineStr">
        <is>
          <t>2022-01-11</t>
        </is>
      </c>
      <c r="B3527" s="8" t="n">
        <v>8224</v>
      </c>
      <c r="C3527" s="8" t="n">
        <v>8208</v>
      </c>
      <c r="D3527" s="8" t="n">
        <v>8225</v>
      </c>
      <c r="E3527" s="8" t="n">
        <v>8111</v>
      </c>
      <c r="F3527" s="8" t="n">
        <v>507217</v>
      </c>
      <c r="G3527" s="8" t="n">
        <v>307541</v>
      </c>
      <c r="H3527" s="8" t="n">
        <v>8638</v>
      </c>
      <c r="I3527" s="8" t="n">
        <v>8580</v>
      </c>
      <c r="J3527" s="8" t="n">
        <v>8640</v>
      </c>
      <c r="K3527" s="8" t="n">
        <v>8500</v>
      </c>
      <c r="L3527" s="8" t="n">
        <v>385765</v>
      </c>
      <c r="M3527" s="8" t="n">
        <v>278821</v>
      </c>
      <c r="N3527" t="inlineStr">
        <is>
          <t>是</t>
        </is>
      </c>
    </row>
    <row r="3528">
      <c r="A3528" s="7" t="inlineStr">
        <is>
          <t>2022-01-12</t>
        </is>
      </c>
      <c r="B3528" s="8" t="n">
        <v>8307</v>
      </c>
      <c r="C3528" s="8" t="n">
        <v>8227</v>
      </c>
      <c r="D3528" s="8" t="n">
        <v>8344</v>
      </c>
      <c r="E3528" s="8" t="n">
        <v>8217</v>
      </c>
      <c r="F3528" s="8" t="n">
        <v>532000</v>
      </c>
      <c r="G3528" s="8" t="n">
        <v>301134</v>
      </c>
      <c r="H3528" s="8" t="n">
        <v>8775</v>
      </c>
      <c r="I3528" s="8" t="n">
        <v>8638</v>
      </c>
      <c r="J3528" s="8" t="n">
        <v>8785</v>
      </c>
      <c r="K3528" s="8" t="n">
        <v>8638</v>
      </c>
      <c r="L3528" s="8" t="n">
        <v>479819</v>
      </c>
      <c r="M3528" s="8" t="n">
        <v>290585</v>
      </c>
      <c r="N3528" t="inlineStr">
        <is>
          <t>是</t>
        </is>
      </c>
    </row>
    <row r="3529">
      <c r="A3529" s="7" t="inlineStr">
        <is>
          <t>2022-01-13</t>
        </is>
      </c>
      <c r="B3529" s="8" t="n">
        <v>8332</v>
      </c>
      <c r="C3529" s="8" t="n">
        <v>8336</v>
      </c>
      <c r="D3529" s="8" t="n">
        <v>8381</v>
      </c>
      <c r="E3529" s="8" t="n">
        <v>8308</v>
      </c>
      <c r="F3529" s="8" t="n">
        <v>459030</v>
      </c>
      <c r="G3529" s="8" t="n">
        <v>311073</v>
      </c>
      <c r="H3529" s="8" t="n">
        <v>8754</v>
      </c>
      <c r="I3529" s="8" t="n">
        <v>8788</v>
      </c>
      <c r="J3529" s="8" t="n">
        <v>8804</v>
      </c>
      <c r="K3529" s="8" t="n">
        <v>8714</v>
      </c>
      <c r="L3529" s="8" t="n">
        <v>364279</v>
      </c>
      <c r="M3529" s="8" t="n">
        <v>293387</v>
      </c>
      <c r="N3529" t="inlineStr">
        <is>
          <t>是</t>
        </is>
      </c>
    </row>
    <row r="3530">
      <c r="A3530" s="7" t="inlineStr">
        <is>
          <t>2022-01-14</t>
        </is>
      </c>
      <c r="B3530" s="8" t="n">
        <v>8447</v>
      </c>
      <c r="C3530" s="8" t="n">
        <v>8332</v>
      </c>
      <c r="D3530" s="8" t="n">
        <v>8470</v>
      </c>
      <c r="E3530" s="8" t="n">
        <v>8300</v>
      </c>
      <c r="F3530" s="8" t="n">
        <v>622939</v>
      </c>
      <c r="G3530" s="8" t="n">
        <v>325168</v>
      </c>
      <c r="H3530" s="8" t="n">
        <v>8859</v>
      </c>
      <c r="I3530" s="8" t="n">
        <v>8754</v>
      </c>
      <c r="J3530" s="8" t="n">
        <v>8882</v>
      </c>
      <c r="K3530" s="8" t="n">
        <v>8735</v>
      </c>
      <c r="L3530" s="8" t="n">
        <v>447395</v>
      </c>
      <c r="M3530" s="8" t="n">
        <v>309975</v>
      </c>
      <c r="N3530" t="inlineStr">
        <is>
          <t>是</t>
        </is>
      </c>
    </row>
    <row r="3531">
      <c r="A3531" s="7" t="inlineStr">
        <is>
          <t>2022-01-17</t>
        </is>
      </c>
      <c r="B3531" s="8" t="n">
        <v>8340</v>
      </c>
      <c r="C3531" s="8" t="n">
        <v>8447</v>
      </c>
      <c r="D3531" s="8" t="n">
        <v>8470</v>
      </c>
      <c r="E3531" s="8" t="n">
        <v>8321</v>
      </c>
      <c r="F3531" s="8" t="n">
        <v>583898</v>
      </c>
      <c r="G3531" s="8" t="n">
        <v>324606</v>
      </c>
      <c r="H3531" s="8" t="n">
        <v>8774</v>
      </c>
      <c r="I3531" s="8" t="n">
        <v>8859</v>
      </c>
      <c r="J3531" s="8" t="n">
        <v>8896</v>
      </c>
      <c r="K3531" s="8" t="n">
        <v>8744</v>
      </c>
      <c r="L3531" s="8" t="n">
        <v>413141</v>
      </c>
      <c r="M3531" s="8" t="n">
        <v>293791</v>
      </c>
      <c r="N3531" t="inlineStr">
        <is>
          <t>是</t>
        </is>
      </c>
    </row>
    <row r="3532">
      <c r="A3532" s="7" t="inlineStr">
        <is>
          <t>2022-01-18</t>
        </is>
      </c>
      <c r="B3532" s="8" t="n">
        <v>8450</v>
      </c>
      <c r="C3532" s="8" t="n">
        <v>8328</v>
      </c>
      <c r="D3532" s="8" t="n">
        <v>8487</v>
      </c>
      <c r="E3532" s="8" t="n">
        <v>8262</v>
      </c>
      <c r="F3532" s="8" t="n">
        <v>642429</v>
      </c>
      <c r="G3532" s="8" t="n">
        <v>333829</v>
      </c>
      <c r="H3532" s="8" t="n">
        <v>8888</v>
      </c>
      <c r="I3532" s="8" t="n">
        <v>8774</v>
      </c>
      <c r="J3532" s="8" t="n">
        <v>8899</v>
      </c>
      <c r="K3532" s="8" t="n">
        <v>8710</v>
      </c>
      <c r="L3532" s="8" t="n">
        <v>420589</v>
      </c>
      <c r="M3532" s="8" t="n">
        <v>320156</v>
      </c>
      <c r="N3532" t="inlineStr">
        <is>
          <t>是</t>
        </is>
      </c>
    </row>
    <row r="3533">
      <c r="A3533" s="7" t="inlineStr">
        <is>
          <t>2022-01-19</t>
        </is>
      </c>
      <c r="B3533" s="8" t="n">
        <v>8516</v>
      </c>
      <c r="C3533" s="8" t="n">
        <v>8420</v>
      </c>
      <c r="D3533" s="8" t="n">
        <v>8572</v>
      </c>
      <c r="E3533" s="8" t="n">
        <v>8419</v>
      </c>
      <c r="F3533" s="8" t="n">
        <v>634418</v>
      </c>
      <c r="G3533" s="8" t="n">
        <v>345608</v>
      </c>
      <c r="H3533" s="8" t="n">
        <v>8932</v>
      </c>
      <c r="I3533" s="8" t="n">
        <v>8870</v>
      </c>
      <c r="J3533" s="8" t="n">
        <v>8976</v>
      </c>
      <c r="K3533" s="8" t="n">
        <v>8857</v>
      </c>
      <c r="L3533" s="8" t="n">
        <v>418574</v>
      </c>
      <c r="M3533" s="8" t="n">
        <v>324910</v>
      </c>
      <c r="N3533" t="inlineStr">
        <is>
          <t>是</t>
        </is>
      </c>
    </row>
    <row r="3534">
      <c r="A3534" s="7" t="inlineStr">
        <is>
          <t>2022-01-20</t>
        </is>
      </c>
      <c r="B3534" s="8" t="n">
        <v>8576</v>
      </c>
      <c r="C3534" s="8" t="n">
        <v>8516</v>
      </c>
      <c r="D3534" s="8" t="n">
        <v>8580</v>
      </c>
      <c r="E3534" s="8" t="n">
        <v>8493</v>
      </c>
      <c r="F3534" s="8" t="n">
        <v>510771</v>
      </c>
      <c r="G3534" s="8" t="n">
        <v>348141</v>
      </c>
      <c r="H3534" s="8" t="n">
        <v>8989</v>
      </c>
      <c r="I3534" s="8" t="n">
        <v>8945</v>
      </c>
      <c r="J3534" s="8" t="n">
        <v>8994</v>
      </c>
      <c r="K3534" s="8" t="n">
        <v>8888</v>
      </c>
      <c r="L3534" s="8" t="n">
        <v>343046</v>
      </c>
      <c r="M3534" s="8" t="n">
        <v>328406</v>
      </c>
      <c r="N3534" t="inlineStr">
        <is>
          <t>是</t>
        </is>
      </c>
    </row>
    <row r="3535">
      <c r="A3535" s="7" t="inlineStr">
        <is>
          <t>2022-01-21</t>
        </is>
      </c>
      <c r="B3535" s="8" t="n">
        <v>8535</v>
      </c>
      <c r="C3535" s="8" t="n">
        <v>8576</v>
      </c>
      <c r="D3535" s="8" t="n">
        <v>8585</v>
      </c>
      <c r="E3535" s="8" t="n">
        <v>8401</v>
      </c>
      <c r="F3535" s="8" t="n">
        <v>694764</v>
      </c>
      <c r="G3535" s="8" t="n">
        <v>335313</v>
      </c>
      <c r="H3535" s="8" t="n">
        <v>8967</v>
      </c>
      <c r="I3535" s="8" t="n">
        <v>8989</v>
      </c>
      <c r="J3535" s="8" t="n">
        <v>9000</v>
      </c>
      <c r="K3535" s="8" t="n">
        <v>8806</v>
      </c>
      <c r="L3535" s="8" t="n">
        <v>525497</v>
      </c>
      <c r="M3535" s="8" t="n">
        <v>324503</v>
      </c>
      <c r="N3535" t="inlineStr">
        <is>
          <t>是</t>
        </is>
      </c>
    </row>
    <row r="3536">
      <c r="A3536" s="7" t="inlineStr">
        <is>
          <t>2022-01-24</t>
        </is>
      </c>
      <c r="B3536" s="8" t="n">
        <v>8461</v>
      </c>
      <c r="C3536" s="8" t="n">
        <v>8545</v>
      </c>
      <c r="D3536" s="8" t="n">
        <v>8645</v>
      </c>
      <c r="E3536" s="8" t="n">
        <v>8460</v>
      </c>
      <c r="F3536" s="8" t="n">
        <v>681613</v>
      </c>
      <c r="G3536" s="8" t="n">
        <v>324924</v>
      </c>
      <c r="H3536" s="8" t="n">
        <v>8888</v>
      </c>
      <c r="I3536" s="8" t="n">
        <v>8945</v>
      </c>
      <c r="J3536" s="8" t="n">
        <v>9096</v>
      </c>
      <c r="K3536" s="8" t="n">
        <v>8883</v>
      </c>
      <c r="L3536" s="8" t="n">
        <v>523012</v>
      </c>
      <c r="M3536" s="8" t="n">
        <v>308363</v>
      </c>
      <c r="N3536" t="inlineStr">
        <is>
          <t>是</t>
        </is>
      </c>
    </row>
    <row r="3537">
      <c r="A3537" s="7" t="inlineStr">
        <is>
          <t>2022-01-25</t>
        </is>
      </c>
      <c r="B3537" s="8" t="n">
        <v>8463</v>
      </c>
      <c r="C3537" s="8" t="n">
        <v>8461</v>
      </c>
      <c r="D3537" s="8" t="n">
        <v>8518</v>
      </c>
      <c r="E3537" s="8" t="n">
        <v>8420</v>
      </c>
      <c r="F3537" s="8" t="n">
        <v>484337</v>
      </c>
      <c r="G3537" s="8" t="n">
        <v>321047</v>
      </c>
      <c r="H3537" s="8" t="n">
        <v>8891</v>
      </c>
      <c r="I3537" s="8" t="n">
        <v>8888</v>
      </c>
      <c r="J3537" s="8" t="n">
        <v>8935</v>
      </c>
      <c r="K3537" s="8" t="n">
        <v>8837</v>
      </c>
      <c r="L3537" s="8" t="n">
        <v>330088</v>
      </c>
      <c r="M3537" s="8" t="n">
        <v>309176</v>
      </c>
      <c r="N3537" t="inlineStr">
        <is>
          <t>是</t>
        </is>
      </c>
    </row>
    <row r="3538">
      <c r="A3538" s="7" t="inlineStr">
        <is>
          <t>2022-01-26</t>
        </is>
      </c>
      <c r="B3538" s="8" t="n">
        <v>8641</v>
      </c>
      <c r="C3538" s="8" t="n">
        <v>8475</v>
      </c>
      <c r="D3538" s="8" t="n">
        <v>8648</v>
      </c>
      <c r="E3538" s="8" t="n">
        <v>8438</v>
      </c>
      <c r="F3538" s="8" t="n">
        <v>582757</v>
      </c>
      <c r="G3538" s="8" t="n">
        <v>345976</v>
      </c>
      <c r="H3538" s="8" t="n">
        <v>9064</v>
      </c>
      <c r="I3538" s="8" t="n">
        <v>8860</v>
      </c>
      <c r="J3538" s="8" t="n">
        <v>9069</v>
      </c>
      <c r="K3538" s="8" t="n">
        <v>8853</v>
      </c>
      <c r="L3538" s="8" t="n">
        <v>411668</v>
      </c>
      <c r="M3538" s="8" t="n">
        <v>334525</v>
      </c>
      <c r="N3538" t="inlineStr">
        <is>
          <t>是</t>
        </is>
      </c>
    </row>
    <row r="3539">
      <c r="A3539" s="7" t="inlineStr">
        <is>
          <t>2022-01-27</t>
        </is>
      </c>
      <c r="B3539" s="8" t="n">
        <v>8608</v>
      </c>
      <c r="C3539" s="8" t="n">
        <v>8641</v>
      </c>
      <c r="D3539" s="8" t="n">
        <v>8680</v>
      </c>
      <c r="E3539" s="8" t="n">
        <v>8576</v>
      </c>
      <c r="F3539" s="8" t="n">
        <v>604013</v>
      </c>
      <c r="G3539" s="8" t="n">
        <v>328064</v>
      </c>
      <c r="H3539" s="8" t="n">
        <v>9044</v>
      </c>
      <c r="I3539" s="8" t="n">
        <v>9070</v>
      </c>
      <c r="J3539" s="8" t="n">
        <v>9144</v>
      </c>
      <c r="K3539" s="8" t="n">
        <v>9033</v>
      </c>
      <c r="L3539" s="8" t="n">
        <v>376805</v>
      </c>
      <c r="M3539" s="8" t="n">
        <v>321572</v>
      </c>
      <c r="N3539" t="inlineStr">
        <is>
          <t>是</t>
        </is>
      </c>
    </row>
    <row r="3540">
      <c r="A3540" s="7" t="inlineStr">
        <is>
          <t>2022-01-28</t>
        </is>
      </c>
      <c r="B3540" s="8" t="n">
        <v>8469</v>
      </c>
      <c r="C3540" s="8" t="n">
        <v>8639</v>
      </c>
      <c r="D3540" s="8" t="n">
        <v>8688</v>
      </c>
      <c r="E3540" s="8" t="n">
        <v>8461</v>
      </c>
      <c r="F3540" s="8" t="n">
        <v>594138</v>
      </c>
      <c r="G3540" s="8" t="n">
        <v>301350</v>
      </c>
      <c r="H3540" s="8" t="n">
        <v>8890</v>
      </c>
      <c r="I3540" s="8" t="n">
        <v>9070</v>
      </c>
      <c r="J3540" s="8" t="n">
        <v>9113</v>
      </c>
      <c r="K3540" s="8" t="n">
        <v>8877</v>
      </c>
      <c r="L3540" s="8" t="n">
        <v>397194</v>
      </c>
      <c r="M3540" s="8" t="n">
        <v>291960</v>
      </c>
      <c r="N3540" t="inlineStr">
        <is>
          <t>是</t>
        </is>
      </c>
    </row>
    <row r="3541">
      <c r="A3541" s="7" t="inlineStr">
        <is>
          <t>2022-02-07</t>
        </is>
      </c>
      <c r="B3541" s="8" t="n">
        <v>8952</v>
      </c>
      <c r="C3541" s="8" t="n">
        <v>8690</v>
      </c>
      <c r="D3541" s="8" t="n">
        <v>9015</v>
      </c>
      <c r="E3541" s="8" t="n">
        <v>8651</v>
      </c>
      <c r="F3541" s="8" t="n">
        <v>614122</v>
      </c>
      <c r="G3541" s="8" t="n">
        <v>342006</v>
      </c>
      <c r="H3541" s="8" t="n">
        <v>9448</v>
      </c>
      <c r="I3541" s="8" t="n">
        <v>9061</v>
      </c>
      <c r="J3541" s="8" t="n">
        <v>9512</v>
      </c>
      <c r="K3541" s="8" t="n">
        <v>9058</v>
      </c>
      <c r="L3541" s="8" t="n">
        <v>486476</v>
      </c>
      <c r="M3541" s="8" t="n">
        <v>331516</v>
      </c>
      <c r="N3541" t="inlineStr">
        <is>
          <t>是</t>
        </is>
      </c>
    </row>
    <row r="3542">
      <c r="A3542" s="7" t="inlineStr">
        <is>
          <t>2022-02-08</t>
        </is>
      </c>
      <c r="B3542" s="8" t="n">
        <v>8837</v>
      </c>
      <c r="C3542" s="8" t="n">
        <v>8952</v>
      </c>
      <c r="D3542" s="8" t="n">
        <v>8955</v>
      </c>
      <c r="E3542" s="8" t="n">
        <v>8807</v>
      </c>
      <c r="F3542" s="8" t="n">
        <v>533109</v>
      </c>
      <c r="G3542" s="8" t="n">
        <v>325328</v>
      </c>
      <c r="H3542" s="8" t="n">
        <v>9330</v>
      </c>
      <c r="I3542" s="8" t="n">
        <v>9428</v>
      </c>
      <c r="J3542" s="8" t="n">
        <v>9461</v>
      </c>
      <c r="K3542" s="8" t="n">
        <v>9282</v>
      </c>
      <c r="L3542" s="8" t="n">
        <v>472383</v>
      </c>
      <c r="M3542" s="8" t="n">
        <v>330772</v>
      </c>
      <c r="N3542" t="inlineStr">
        <is>
          <t>是</t>
        </is>
      </c>
    </row>
    <row r="3543">
      <c r="A3543" s="7" t="inlineStr">
        <is>
          <t>2022-02-09</t>
        </is>
      </c>
      <c r="B3543" s="8" t="n">
        <v>8582</v>
      </c>
      <c r="C3543" s="8" t="n">
        <v>8681</v>
      </c>
      <c r="D3543" s="8" t="n">
        <v>8773</v>
      </c>
      <c r="E3543" s="8" t="n">
        <v>8565</v>
      </c>
      <c r="F3543" s="8" t="n">
        <v>647289</v>
      </c>
      <c r="G3543" s="8" t="n">
        <v>320476</v>
      </c>
      <c r="H3543" s="8" t="n">
        <v>9031</v>
      </c>
      <c r="I3543" s="8" t="n">
        <v>9240</v>
      </c>
      <c r="J3543" s="8" t="n">
        <v>9276</v>
      </c>
      <c r="K3543" s="8" t="n">
        <v>9023</v>
      </c>
      <c r="L3543" s="8" t="n">
        <v>527166</v>
      </c>
      <c r="M3543" s="8" t="n">
        <v>321940</v>
      </c>
      <c r="N3543" t="inlineStr">
        <is>
          <t>是</t>
        </is>
      </c>
    </row>
    <row r="3544">
      <c r="A3544" s="7" t="inlineStr">
        <is>
          <t>2022-02-10</t>
        </is>
      </c>
      <c r="B3544" s="8" t="n">
        <v>8602</v>
      </c>
      <c r="C3544" s="8" t="n">
        <v>8550</v>
      </c>
      <c r="D3544" s="8" t="n">
        <v>8642</v>
      </c>
      <c r="E3544" s="8" t="n">
        <v>8537</v>
      </c>
      <c r="F3544" s="8" t="n">
        <v>491860</v>
      </c>
      <c r="G3544" s="8" t="n">
        <v>322317</v>
      </c>
      <c r="H3544" s="8" t="n">
        <v>9064</v>
      </c>
      <c r="I3544" s="8" t="n">
        <v>9032</v>
      </c>
      <c r="J3544" s="8" t="n">
        <v>9122</v>
      </c>
      <c r="K3544" s="8" t="n">
        <v>9006</v>
      </c>
      <c r="L3544" s="8" t="n">
        <v>381493</v>
      </c>
      <c r="M3544" s="8" t="n">
        <v>328435</v>
      </c>
      <c r="N3544" t="inlineStr">
        <is>
          <t>是</t>
        </is>
      </c>
    </row>
    <row r="3545">
      <c r="A3545" s="7" t="inlineStr">
        <is>
          <t>2022-02-11</t>
        </is>
      </c>
      <c r="B3545" s="8" t="n">
        <v>8458</v>
      </c>
      <c r="C3545" s="8" t="n">
        <v>8607</v>
      </c>
      <c r="D3545" s="8" t="n">
        <v>8680</v>
      </c>
      <c r="E3545" s="8" t="n">
        <v>8447</v>
      </c>
      <c r="F3545" s="8" t="n">
        <v>759878</v>
      </c>
      <c r="G3545" s="8" t="n">
        <v>326696</v>
      </c>
      <c r="H3545" s="8" t="n">
        <v>8957</v>
      </c>
      <c r="I3545" s="8" t="n">
        <v>9064</v>
      </c>
      <c r="J3545" s="8" t="n">
        <v>9146</v>
      </c>
      <c r="K3545" s="8" t="n">
        <v>8938</v>
      </c>
      <c r="L3545" s="8" t="n">
        <v>568673</v>
      </c>
      <c r="M3545" s="8" t="n">
        <v>329346</v>
      </c>
      <c r="N3545" t="inlineStr">
        <is>
          <t>是</t>
        </is>
      </c>
    </row>
    <row r="3546">
      <c r="A3546" s="7" t="inlineStr">
        <is>
          <t>2022-02-14</t>
        </is>
      </c>
      <c r="B3546" s="8" t="n">
        <v>8492</v>
      </c>
      <c r="C3546" s="8" t="n">
        <v>8510</v>
      </c>
      <c r="D3546" s="8" t="n">
        <v>8620</v>
      </c>
      <c r="E3546" s="8" t="n">
        <v>8435</v>
      </c>
      <c r="F3546" s="8" t="n">
        <v>596689</v>
      </c>
      <c r="G3546" s="8" t="n">
        <v>322632</v>
      </c>
      <c r="H3546" s="8" t="n">
        <v>8934</v>
      </c>
      <c r="I3546" s="8" t="n">
        <v>9003</v>
      </c>
      <c r="J3546" s="8" t="n">
        <v>9078</v>
      </c>
      <c r="K3546" s="8" t="n">
        <v>8914</v>
      </c>
      <c r="L3546" s="8" t="n">
        <v>490189</v>
      </c>
      <c r="M3546" s="8" t="n">
        <v>328387</v>
      </c>
      <c r="N3546" t="inlineStr">
        <is>
          <t>是</t>
        </is>
      </c>
    </row>
    <row r="3547">
      <c r="A3547" s="7" t="inlineStr">
        <is>
          <t>2022-02-15</t>
        </is>
      </c>
      <c r="B3547" s="8" t="n">
        <v>8512</v>
      </c>
      <c r="C3547" s="8" t="n">
        <v>8460</v>
      </c>
      <c r="D3547" s="8" t="n">
        <v>8649</v>
      </c>
      <c r="E3547" s="8" t="n">
        <v>8407</v>
      </c>
      <c r="F3547" s="8" t="n">
        <v>750282</v>
      </c>
      <c r="G3547" s="8" t="n">
        <v>309831</v>
      </c>
      <c r="H3547" s="8" t="n">
        <v>8943</v>
      </c>
      <c r="I3547" s="8" t="n">
        <v>8890</v>
      </c>
      <c r="J3547" s="8" t="n">
        <v>9096</v>
      </c>
      <c r="K3547" s="8" t="n">
        <v>8842</v>
      </c>
      <c r="L3547" s="8" t="n">
        <v>596053</v>
      </c>
      <c r="M3547" s="8" t="n">
        <v>332305</v>
      </c>
      <c r="N3547" t="inlineStr">
        <is>
          <t>是</t>
        </is>
      </c>
    </row>
    <row r="3548">
      <c r="A3548" s="7" t="inlineStr">
        <is>
          <t>2022-02-16</t>
        </is>
      </c>
      <c r="B3548" s="8" t="n">
        <v>8470</v>
      </c>
      <c r="C3548" s="8" t="n">
        <v>8440</v>
      </c>
      <c r="D3548" s="8" t="n">
        <v>8488</v>
      </c>
      <c r="E3548" s="8" t="n">
        <v>8386</v>
      </c>
      <c r="F3548" s="8" t="n">
        <v>577390</v>
      </c>
      <c r="G3548" s="8" t="n">
        <v>314992</v>
      </c>
      <c r="H3548" s="8" t="n">
        <v>8876</v>
      </c>
      <c r="I3548" s="8" t="n">
        <v>8893</v>
      </c>
      <c r="J3548" s="8" t="n">
        <v>8898</v>
      </c>
      <c r="K3548" s="8" t="n">
        <v>8800</v>
      </c>
      <c r="L3548" s="8" t="n">
        <v>493541</v>
      </c>
      <c r="M3548" s="8" t="n">
        <v>327911</v>
      </c>
      <c r="N3548" t="inlineStr">
        <is>
          <t>是</t>
        </is>
      </c>
    </row>
    <row r="3549">
      <c r="A3549" s="7" t="inlineStr">
        <is>
          <t>2022-02-17</t>
        </is>
      </c>
      <c r="B3549" s="8" t="n">
        <v>8338</v>
      </c>
      <c r="C3549" s="8" t="n">
        <v>8493</v>
      </c>
      <c r="D3549" s="8" t="n">
        <v>8496</v>
      </c>
      <c r="E3549" s="8" t="n">
        <v>8287</v>
      </c>
      <c r="F3549" s="8" t="n">
        <v>659588</v>
      </c>
      <c r="G3549" s="8" t="n">
        <v>338160</v>
      </c>
      <c r="H3549" s="8" t="n">
        <v>8685</v>
      </c>
      <c r="I3549" s="8" t="n">
        <v>8900</v>
      </c>
      <c r="J3549" s="8" t="n">
        <v>8900</v>
      </c>
      <c r="K3549" s="8" t="n">
        <v>8660</v>
      </c>
      <c r="L3549" s="8" t="n">
        <v>514116</v>
      </c>
      <c r="M3549" s="8" t="n">
        <v>328887</v>
      </c>
      <c r="N3549" t="inlineStr">
        <is>
          <t>是</t>
        </is>
      </c>
    </row>
    <row r="3550">
      <c r="A3550" s="7" t="inlineStr">
        <is>
          <t>2022-02-18</t>
        </is>
      </c>
      <c r="B3550" s="8" t="n">
        <v>8362</v>
      </c>
      <c r="C3550" s="8" t="n">
        <v>8330</v>
      </c>
      <c r="D3550" s="8" t="n">
        <v>8396</v>
      </c>
      <c r="E3550" s="8" t="n">
        <v>8315</v>
      </c>
      <c r="F3550" s="8" t="n">
        <v>476759</v>
      </c>
      <c r="G3550" s="8" t="n">
        <v>330788</v>
      </c>
      <c r="H3550" s="8" t="n">
        <v>8732</v>
      </c>
      <c r="I3550" s="8" t="n">
        <v>8720</v>
      </c>
      <c r="J3550" s="8" t="n">
        <v>8780</v>
      </c>
      <c r="K3550" s="8" t="n">
        <v>8670</v>
      </c>
      <c r="L3550" s="8" t="n">
        <v>350400</v>
      </c>
      <c r="M3550" s="8" t="n">
        <v>316054</v>
      </c>
      <c r="N3550" t="inlineStr">
        <is>
          <t>是</t>
        </is>
      </c>
    </row>
    <row r="3551">
      <c r="A3551" s="7" t="inlineStr">
        <is>
          <t>2022-02-21</t>
        </is>
      </c>
      <c r="B3551" s="8" t="n">
        <v>8347</v>
      </c>
      <c r="C3551" s="8" t="n">
        <v>8340</v>
      </c>
      <c r="D3551" s="8" t="n">
        <v>8377</v>
      </c>
      <c r="E3551" s="8" t="n">
        <v>8282</v>
      </c>
      <c r="F3551" s="8" t="n">
        <v>508327</v>
      </c>
      <c r="G3551" s="8" t="n">
        <v>343561</v>
      </c>
      <c r="H3551" s="8" t="n">
        <v>8693</v>
      </c>
      <c r="I3551" s="8" t="n">
        <v>8680</v>
      </c>
      <c r="J3551" s="8" t="n">
        <v>8730</v>
      </c>
      <c r="K3551" s="8" t="n">
        <v>8638</v>
      </c>
      <c r="L3551" s="8" t="n">
        <v>418997</v>
      </c>
      <c r="M3551" s="8" t="n">
        <v>319396</v>
      </c>
      <c r="N3551" t="inlineStr">
        <is>
          <t>是</t>
        </is>
      </c>
    </row>
    <row r="3552">
      <c r="A3552" s="7" t="inlineStr">
        <is>
          <t>2022-02-22</t>
        </is>
      </c>
      <c r="B3552" s="8" t="n">
        <v>8358</v>
      </c>
      <c r="C3552" s="8" t="n">
        <v>8347</v>
      </c>
      <c r="D3552" s="8" t="n">
        <v>8460</v>
      </c>
      <c r="E3552" s="8" t="n">
        <v>8330</v>
      </c>
      <c r="F3552" s="8" t="n">
        <v>567051</v>
      </c>
      <c r="G3552" s="8" t="n">
        <v>344688</v>
      </c>
      <c r="H3552" s="8" t="n">
        <v>8685</v>
      </c>
      <c r="I3552" s="8" t="n">
        <v>8693</v>
      </c>
      <c r="J3552" s="8" t="n">
        <v>8813</v>
      </c>
      <c r="K3552" s="8" t="n">
        <v>8675</v>
      </c>
      <c r="L3552" s="8" t="n">
        <v>426319</v>
      </c>
      <c r="M3552" s="8" t="n">
        <v>332315</v>
      </c>
      <c r="N3552" t="inlineStr">
        <is>
          <t>是</t>
        </is>
      </c>
    </row>
    <row r="3553">
      <c r="A3553" s="7" t="inlineStr">
        <is>
          <t>2022-02-23</t>
        </is>
      </c>
      <c r="B3553" s="8" t="n">
        <v>8427</v>
      </c>
      <c r="C3553" s="8" t="n">
        <v>8357</v>
      </c>
      <c r="D3553" s="8" t="n">
        <v>8482</v>
      </c>
      <c r="E3553" s="8" t="n">
        <v>8355</v>
      </c>
      <c r="F3553" s="8" t="n">
        <v>494067</v>
      </c>
      <c r="G3553" s="8" t="n">
        <v>341777</v>
      </c>
      <c r="H3553" s="8" t="n">
        <v>8799</v>
      </c>
      <c r="I3553" s="8" t="n">
        <v>8707</v>
      </c>
      <c r="J3553" s="8" t="n">
        <v>8835</v>
      </c>
      <c r="K3553" s="8" t="n">
        <v>8686</v>
      </c>
      <c r="L3553" s="8" t="n">
        <v>390302</v>
      </c>
      <c r="M3553" s="8" t="n">
        <v>339561</v>
      </c>
      <c r="N3553" t="inlineStr">
        <is>
          <t>是</t>
        </is>
      </c>
    </row>
    <row r="3554">
      <c r="A3554" s="7" t="inlineStr">
        <is>
          <t>2022-02-24</t>
        </is>
      </c>
      <c r="B3554" s="8" t="n">
        <v>8503</v>
      </c>
      <c r="C3554" s="8" t="n">
        <v>8427</v>
      </c>
      <c r="D3554" s="8" t="n">
        <v>8582</v>
      </c>
      <c r="E3554" s="8" t="n">
        <v>8426</v>
      </c>
      <c r="F3554" s="8" t="n">
        <v>624524</v>
      </c>
      <c r="G3554" s="8" t="n">
        <v>350592</v>
      </c>
      <c r="H3554" s="8" t="n">
        <v>8839</v>
      </c>
      <c r="I3554" s="8" t="n">
        <v>8799</v>
      </c>
      <c r="J3554" s="8" t="n">
        <v>8932</v>
      </c>
      <c r="K3554" s="8" t="n">
        <v>8799</v>
      </c>
      <c r="L3554" s="8" t="n">
        <v>504225</v>
      </c>
      <c r="M3554" s="8" t="n">
        <v>335186</v>
      </c>
      <c r="N3554" t="inlineStr">
        <is>
          <t>是</t>
        </is>
      </c>
    </row>
    <row r="3555">
      <c r="A3555" s="7" t="inlineStr">
        <is>
          <t>2022-02-25</t>
        </is>
      </c>
      <c r="B3555" s="8" t="n">
        <v>8540</v>
      </c>
      <c r="C3555" s="8" t="n">
        <v>8580</v>
      </c>
      <c r="D3555" s="8" t="n">
        <v>8722</v>
      </c>
      <c r="E3555" s="8" t="n">
        <v>8456</v>
      </c>
      <c r="F3555" s="8" t="n">
        <v>846367</v>
      </c>
      <c r="G3555" s="8" t="n">
        <v>352918</v>
      </c>
      <c r="H3555" s="8" t="n">
        <v>8807</v>
      </c>
      <c r="I3555" s="8" t="n">
        <v>8936</v>
      </c>
      <c r="J3555" s="8" t="n">
        <v>9032</v>
      </c>
      <c r="K3555" s="8" t="n">
        <v>8751</v>
      </c>
      <c r="L3555" s="8" t="n">
        <v>615251</v>
      </c>
      <c r="M3555" s="8" t="n">
        <v>314961</v>
      </c>
      <c r="N3555" t="inlineStr">
        <is>
          <t>是</t>
        </is>
      </c>
    </row>
    <row r="3556">
      <c r="A3556" s="7" t="inlineStr">
        <is>
          <t>2022-02-28</t>
        </is>
      </c>
      <c r="B3556" s="8" t="n">
        <v>8669</v>
      </c>
      <c r="C3556" s="8" t="n">
        <v>8515</v>
      </c>
      <c r="D3556" s="8" t="n">
        <v>8700</v>
      </c>
      <c r="E3556" s="8" t="n">
        <v>8480</v>
      </c>
      <c r="F3556" s="8" t="n">
        <v>673741</v>
      </c>
      <c r="G3556" s="8" t="n">
        <v>357606</v>
      </c>
      <c r="H3556" s="8" t="n">
        <v>8835</v>
      </c>
      <c r="I3556" s="8" t="n">
        <v>8820</v>
      </c>
      <c r="J3556" s="8" t="n">
        <v>8877</v>
      </c>
      <c r="K3556" s="8" t="n">
        <v>8715</v>
      </c>
      <c r="L3556" s="8" t="n">
        <v>475602</v>
      </c>
      <c r="M3556" s="8" t="n">
        <v>310916</v>
      </c>
      <c r="N3556" t="inlineStr">
        <is>
          <t>是</t>
        </is>
      </c>
    </row>
    <row r="3557">
      <c r="A3557" s="7" t="inlineStr">
        <is>
          <t>2022-03-01</t>
        </is>
      </c>
      <c r="B3557" s="8" t="n">
        <v>8721</v>
      </c>
      <c r="C3557" s="8" t="n">
        <v>8650</v>
      </c>
      <c r="D3557" s="8" t="n">
        <v>8730</v>
      </c>
      <c r="E3557" s="8" t="n">
        <v>8600</v>
      </c>
      <c r="F3557" s="8" t="n">
        <v>588021</v>
      </c>
      <c r="G3557" s="8" t="n">
        <v>370236</v>
      </c>
      <c r="H3557" s="8" t="n">
        <v>8953</v>
      </c>
      <c r="I3557" s="8" t="n">
        <v>8800</v>
      </c>
      <c r="J3557" s="8" t="n">
        <v>8959</v>
      </c>
      <c r="K3557" s="8" t="n">
        <v>8725</v>
      </c>
      <c r="L3557" s="8" t="n">
        <v>473593</v>
      </c>
      <c r="M3557" s="8" t="n">
        <v>313431</v>
      </c>
      <c r="N3557" t="inlineStr">
        <is>
          <t>是</t>
        </is>
      </c>
    </row>
    <row r="3558">
      <c r="A3558" s="7" t="inlineStr">
        <is>
          <t>2022-03-02</t>
        </is>
      </c>
      <c r="B3558" s="8" t="n">
        <v>8910</v>
      </c>
      <c r="C3558" s="8" t="n">
        <v>8800</v>
      </c>
      <c r="D3558" s="8" t="n">
        <v>9000</v>
      </c>
      <c r="E3558" s="8" t="n">
        <v>8763</v>
      </c>
      <c r="F3558" s="8" t="n">
        <v>789667</v>
      </c>
      <c r="G3558" s="8" t="n">
        <v>372207</v>
      </c>
      <c r="H3558" s="8" t="n">
        <v>9124</v>
      </c>
      <c r="I3558" s="8" t="n">
        <v>9040</v>
      </c>
      <c r="J3558" s="8" t="n">
        <v>9246</v>
      </c>
      <c r="K3558" s="8" t="n">
        <v>8980</v>
      </c>
      <c r="L3558" s="8" t="n">
        <v>610522</v>
      </c>
      <c r="M3558" s="8" t="n">
        <v>320086</v>
      </c>
      <c r="N3558" t="inlineStr">
        <is>
          <t>是</t>
        </is>
      </c>
    </row>
    <row r="3559">
      <c r="A3559" s="7" t="inlineStr">
        <is>
          <t>2022-03-03</t>
        </is>
      </c>
      <c r="B3559" s="8" t="n">
        <v>9162</v>
      </c>
      <c r="C3559" s="8" t="n">
        <v>8911</v>
      </c>
      <c r="D3559" s="8" t="n">
        <v>9196</v>
      </c>
      <c r="E3559" s="8" t="n">
        <v>8889</v>
      </c>
      <c r="F3559" s="8" t="n">
        <v>830732</v>
      </c>
      <c r="G3559" s="8" t="n">
        <v>384839</v>
      </c>
      <c r="H3559" s="8" t="n">
        <v>9319</v>
      </c>
      <c r="I3559" s="8" t="n">
        <v>9125</v>
      </c>
      <c r="J3559" s="8" t="n">
        <v>9325</v>
      </c>
      <c r="K3559" s="8" t="n">
        <v>9102</v>
      </c>
      <c r="L3559" s="8" t="n">
        <v>511463</v>
      </c>
      <c r="M3559" s="8" t="n">
        <v>333050</v>
      </c>
      <c r="N3559" t="inlineStr">
        <is>
          <t>是</t>
        </is>
      </c>
    </row>
    <row r="3560">
      <c r="A3560" s="7" t="inlineStr">
        <is>
          <t>2022-03-04</t>
        </is>
      </c>
      <c r="B3560" s="8" t="n">
        <v>8945</v>
      </c>
      <c r="C3560" s="8" t="n">
        <v>9162</v>
      </c>
      <c r="D3560" s="8" t="n">
        <v>9211</v>
      </c>
      <c r="E3560" s="8" t="n">
        <v>8908</v>
      </c>
      <c r="F3560" s="8" t="n">
        <v>845389</v>
      </c>
      <c r="G3560" s="8" t="n">
        <v>379776</v>
      </c>
      <c r="H3560" s="8" t="n">
        <v>9132</v>
      </c>
      <c r="I3560" s="8" t="n">
        <v>9300</v>
      </c>
      <c r="J3560" s="8" t="n">
        <v>9335</v>
      </c>
      <c r="K3560" s="8" t="n">
        <v>9076</v>
      </c>
      <c r="L3560" s="8" t="n">
        <v>520318</v>
      </c>
      <c r="M3560" s="8" t="n">
        <v>314956</v>
      </c>
      <c r="N3560" t="inlineStr">
        <is>
          <t>是</t>
        </is>
      </c>
    </row>
    <row r="3561">
      <c r="A3561" s="7" t="inlineStr">
        <is>
          <t>2022-03-07</t>
        </is>
      </c>
      <c r="B3561" s="8" t="n">
        <v>9414</v>
      </c>
      <c r="C3561" s="8" t="n">
        <v>9000</v>
      </c>
      <c r="D3561" s="8" t="n">
        <v>9474</v>
      </c>
      <c r="E3561" s="8" t="n">
        <v>8968</v>
      </c>
      <c r="F3561" s="8" t="n">
        <v>918653</v>
      </c>
      <c r="G3561" s="8" t="n">
        <v>380587</v>
      </c>
      <c r="H3561" s="8" t="n">
        <v>9421</v>
      </c>
      <c r="I3561" s="8" t="n">
        <v>9140</v>
      </c>
      <c r="J3561" s="8" t="n">
        <v>9518</v>
      </c>
      <c r="K3561" s="8" t="n">
        <v>9128</v>
      </c>
      <c r="L3561" s="8" t="n">
        <v>568796</v>
      </c>
      <c r="M3561" s="8" t="n">
        <v>317113</v>
      </c>
      <c r="N3561" t="inlineStr">
        <is>
          <t>是</t>
        </is>
      </c>
    </row>
    <row r="3562">
      <c r="A3562" s="7" t="inlineStr">
        <is>
          <t>2022-03-08</t>
        </is>
      </c>
      <c r="B3562" s="8" t="n">
        <v>9374</v>
      </c>
      <c r="C3562" s="8" t="n">
        <v>9350</v>
      </c>
      <c r="D3562" s="8" t="n">
        <v>9410</v>
      </c>
      <c r="E3562" s="8" t="n">
        <v>9203</v>
      </c>
      <c r="F3562" s="8" t="n">
        <v>680507</v>
      </c>
      <c r="G3562" s="8" t="n">
        <v>367381</v>
      </c>
      <c r="H3562" s="8" t="n">
        <v>9399</v>
      </c>
      <c r="I3562" s="8" t="n">
        <v>9372</v>
      </c>
      <c r="J3562" s="8" t="n">
        <v>9410</v>
      </c>
      <c r="K3562" s="8" t="n">
        <v>9152</v>
      </c>
      <c r="L3562" s="8" t="n">
        <v>571396</v>
      </c>
      <c r="M3562" s="8" t="n">
        <v>305352</v>
      </c>
      <c r="N3562" t="inlineStr">
        <is>
          <t>是</t>
        </is>
      </c>
    </row>
    <row r="3563">
      <c r="A3563" s="7" t="inlineStr">
        <is>
          <t>2022-03-09</t>
        </is>
      </c>
      <c r="B3563" s="8" t="n">
        <v>9676</v>
      </c>
      <c r="C3563" s="8" t="n">
        <v>9400</v>
      </c>
      <c r="D3563" s="8" t="n">
        <v>9861</v>
      </c>
      <c r="E3563" s="8" t="n">
        <v>9372</v>
      </c>
      <c r="F3563" s="8" t="n">
        <v>905336</v>
      </c>
      <c r="G3563" s="8" t="n">
        <v>369189</v>
      </c>
      <c r="H3563" s="8" t="n">
        <v>9693</v>
      </c>
      <c r="I3563" s="8" t="n">
        <v>9435</v>
      </c>
      <c r="J3563" s="8" t="n">
        <v>9886</v>
      </c>
      <c r="K3563" s="8" t="n">
        <v>9362</v>
      </c>
      <c r="L3563" s="8" t="n">
        <v>750558</v>
      </c>
      <c r="M3563" s="8" t="n">
        <v>317730</v>
      </c>
      <c r="N3563" t="inlineStr">
        <is>
          <t>是</t>
        </is>
      </c>
    </row>
    <row r="3564">
      <c r="A3564" s="7" t="inlineStr">
        <is>
          <t>2022-03-10</t>
        </is>
      </c>
      <c r="B3564" s="8" t="n">
        <v>9277</v>
      </c>
      <c r="C3564" s="8" t="n">
        <v>9526</v>
      </c>
      <c r="D3564" s="8" t="n">
        <v>9571</v>
      </c>
      <c r="E3564" s="8" t="n">
        <v>9100</v>
      </c>
      <c r="F3564" s="8" t="n">
        <v>850183</v>
      </c>
      <c r="G3564" s="8" t="n">
        <v>324257</v>
      </c>
      <c r="H3564" s="8" t="n">
        <v>9364</v>
      </c>
      <c r="I3564" s="8" t="n">
        <v>9580</v>
      </c>
      <c r="J3564" s="8" t="n">
        <v>9588</v>
      </c>
      <c r="K3564" s="8" t="n">
        <v>9185</v>
      </c>
      <c r="L3564" s="8" t="n">
        <v>647374</v>
      </c>
      <c r="M3564" s="8" t="n">
        <v>287585</v>
      </c>
      <c r="N3564" t="inlineStr">
        <is>
          <t>是</t>
        </is>
      </c>
    </row>
    <row r="3565">
      <c r="A3565" s="7" t="inlineStr">
        <is>
          <t>2022-03-11</t>
        </is>
      </c>
      <c r="B3565" s="8" t="n">
        <v>9195</v>
      </c>
      <c r="C3565" s="8" t="n">
        <v>9306</v>
      </c>
      <c r="D3565" s="8" t="n">
        <v>9486</v>
      </c>
      <c r="E3565" s="8" t="n">
        <v>9142</v>
      </c>
      <c r="F3565" s="8" t="n">
        <v>739122</v>
      </c>
      <c r="G3565" s="8" t="n">
        <v>316632</v>
      </c>
      <c r="H3565" s="8" t="n">
        <v>9282</v>
      </c>
      <c r="I3565" s="8" t="n">
        <v>9403</v>
      </c>
      <c r="J3565" s="8" t="n">
        <v>9535</v>
      </c>
      <c r="K3565" s="8" t="n">
        <v>9241</v>
      </c>
      <c r="L3565" s="8" t="n">
        <v>548170</v>
      </c>
      <c r="M3565" s="8" t="n">
        <v>278067</v>
      </c>
      <c r="N3565" t="inlineStr">
        <is>
          <t>是</t>
        </is>
      </c>
    </row>
    <row r="3566">
      <c r="A3566" s="7" t="inlineStr">
        <is>
          <t>2022-03-14</t>
        </is>
      </c>
      <c r="B3566" s="8" t="n">
        <v>8897</v>
      </c>
      <c r="C3566" s="8" t="n">
        <v>9152</v>
      </c>
      <c r="D3566" s="8" t="n">
        <v>9160</v>
      </c>
      <c r="E3566" s="8" t="n">
        <v>8892</v>
      </c>
      <c r="F3566" s="8" t="n">
        <v>598568</v>
      </c>
      <c r="G3566" s="8" t="n">
        <v>314839</v>
      </c>
      <c r="H3566" s="8" t="n">
        <v>9056</v>
      </c>
      <c r="I3566" s="8" t="n">
        <v>9270</v>
      </c>
      <c r="J3566" s="8" t="n">
        <v>9270</v>
      </c>
      <c r="K3566" s="8" t="n">
        <v>9002</v>
      </c>
      <c r="L3566" s="8" t="n">
        <v>469126</v>
      </c>
      <c r="M3566" s="8" t="n">
        <v>275388</v>
      </c>
      <c r="N3566" t="inlineStr">
        <is>
          <t>是</t>
        </is>
      </c>
    </row>
    <row r="3567">
      <c r="A3567" s="7" t="inlineStr">
        <is>
          <t>2022-03-15</t>
        </is>
      </c>
      <c r="B3567" s="8" t="n">
        <v>8638</v>
      </c>
      <c r="C3567" s="8" t="n">
        <v>8850</v>
      </c>
      <c r="D3567" s="8" t="n">
        <v>8888</v>
      </c>
      <c r="E3567" s="8" t="n">
        <v>8635</v>
      </c>
      <c r="F3567" s="8" t="n">
        <v>656843</v>
      </c>
      <c r="G3567" s="8" t="n">
        <v>298991</v>
      </c>
      <c r="H3567" s="8" t="n">
        <v>8766</v>
      </c>
      <c r="I3567" s="8" t="n">
        <v>9012</v>
      </c>
      <c r="J3567" s="8" t="n">
        <v>9020</v>
      </c>
      <c r="K3567" s="8" t="n">
        <v>8760</v>
      </c>
      <c r="L3567" s="8" t="n">
        <v>429714</v>
      </c>
      <c r="M3567" s="8" t="n">
        <v>268769</v>
      </c>
      <c r="N3567" t="inlineStr">
        <is>
          <t>是</t>
        </is>
      </c>
    </row>
    <row r="3568">
      <c r="A3568" s="7" t="inlineStr">
        <is>
          <t>2022-03-16</t>
        </is>
      </c>
      <c r="B3568" s="8" t="n">
        <v>8752</v>
      </c>
      <c r="C3568" s="8" t="n">
        <v>8617</v>
      </c>
      <c r="D3568" s="8" t="n">
        <v>8794</v>
      </c>
      <c r="E3568" s="8" t="n">
        <v>8575</v>
      </c>
      <c r="F3568" s="8" t="n">
        <v>501534</v>
      </c>
      <c r="G3568" s="8" t="n">
        <v>291301</v>
      </c>
      <c r="H3568" s="8" t="n">
        <v>8865</v>
      </c>
      <c r="I3568" s="8" t="n">
        <v>8766</v>
      </c>
      <c r="J3568" s="8" t="n">
        <v>8911</v>
      </c>
      <c r="K3568" s="8" t="n">
        <v>8710</v>
      </c>
      <c r="L3568" s="8" t="n">
        <v>403326</v>
      </c>
      <c r="M3568" s="8" t="n">
        <v>267215</v>
      </c>
      <c r="N3568" t="inlineStr">
        <is>
          <t>是</t>
        </is>
      </c>
    </row>
    <row r="3569">
      <c r="A3569" s="7" t="inlineStr">
        <is>
          <t>2022-03-17</t>
        </is>
      </c>
      <c r="B3569" s="8" t="n">
        <v>8720</v>
      </c>
      <c r="C3569" s="8" t="n">
        <v>8752</v>
      </c>
      <c r="D3569" s="8" t="n">
        <v>8796</v>
      </c>
      <c r="E3569" s="8" t="n">
        <v>8638</v>
      </c>
      <c r="F3569" s="8" t="n">
        <v>524773</v>
      </c>
      <c r="G3569" s="8" t="n">
        <v>292172</v>
      </c>
      <c r="H3569" s="8" t="n">
        <v>8891</v>
      </c>
      <c r="I3569" s="8" t="n">
        <v>8865</v>
      </c>
      <c r="J3569" s="8" t="n">
        <v>8921</v>
      </c>
      <c r="K3569" s="8" t="n">
        <v>8780</v>
      </c>
      <c r="L3569" s="8" t="n">
        <v>357567</v>
      </c>
      <c r="M3569" s="8" t="n">
        <v>274923</v>
      </c>
      <c r="N3569" t="inlineStr">
        <is>
          <t>是</t>
        </is>
      </c>
    </row>
    <row r="3570">
      <c r="A3570" s="7" t="inlineStr">
        <is>
          <t>2022-03-18</t>
        </is>
      </c>
      <c r="B3570" s="8" t="n">
        <v>8870</v>
      </c>
      <c r="C3570" s="8" t="n">
        <v>8820</v>
      </c>
      <c r="D3570" s="8" t="n">
        <v>8876</v>
      </c>
      <c r="E3570" s="8" t="n">
        <v>8764</v>
      </c>
      <c r="F3570" s="8" t="n">
        <v>529760</v>
      </c>
      <c r="G3570" s="8" t="n">
        <v>299455</v>
      </c>
      <c r="H3570" s="8" t="n">
        <v>9044</v>
      </c>
      <c r="I3570" s="8" t="n">
        <v>8991</v>
      </c>
      <c r="J3570" s="8" t="n">
        <v>9050</v>
      </c>
      <c r="K3570" s="8" t="n">
        <v>8898</v>
      </c>
      <c r="L3570" s="8" t="n">
        <v>399076</v>
      </c>
      <c r="M3570" s="8" t="n">
        <v>288298</v>
      </c>
      <c r="N3570" t="inlineStr">
        <is>
          <t>是</t>
        </is>
      </c>
    </row>
    <row r="3571">
      <c r="A3571" s="7" t="inlineStr">
        <is>
          <t>2022-03-21</t>
        </is>
      </c>
      <c r="B3571" s="8" t="n">
        <v>8858</v>
      </c>
      <c r="C3571" s="8" t="n">
        <v>8805</v>
      </c>
      <c r="D3571" s="8" t="n">
        <v>8935</v>
      </c>
      <c r="E3571" s="8" t="n">
        <v>8775</v>
      </c>
      <c r="F3571" s="8" t="n">
        <v>602833</v>
      </c>
      <c r="G3571" s="8" t="n">
        <v>297697</v>
      </c>
      <c r="H3571" s="8" t="n">
        <v>8972</v>
      </c>
      <c r="I3571" s="8" t="n">
        <v>8980</v>
      </c>
      <c r="J3571" s="8" t="n">
        <v>9086</v>
      </c>
      <c r="K3571" s="8" t="n">
        <v>8945</v>
      </c>
      <c r="L3571" s="8" t="n">
        <v>443315</v>
      </c>
      <c r="M3571" s="8" t="n">
        <v>280769</v>
      </c>
      <c r="N3571" t="inlineStr">
        <is>
          <t>是</t>
        </is>
      </c>
    </row>
    <row r="3572">
      <c r="A3572" s="7" t="inlineStr">
        <is>
          <t>2022-03-22</t>
        </is>
      </c>
      <c r="B3572" s="8" t="n">
        <v>8848</v>
      </c>
      <c r="C3572" s="8" t="n">
        <v>8859</v>
      </c>
      <c r="D3572" s="8" t="n">
        <v>8958</v>
      </c>
      <c r="E3572" s="8" t="n">
        <v>8834</v>
      </c>
      <c r="F3572" s="8" t="n">
        <v>538627</v>
      </c>
      <c r="G3572" s="8" t="n">
        <v>302885</v>
      </c>
      <c r="H3572" s="8" t="n">
        <v>8950</v>
      </c>
      <c r="I3572" s="8" t="n">
        <v>8980</v>
      </c>
      <c r="J3572" s="8" t="n">
        <v>9053</v>
      </c>
      <c r="K3572" s="8" t="n">
        <v>8938</v>
      </c>
      <c r="L3572" s="8" t="n">
        <v>378524</v>
      </c>
      <c r="M3572" s="8" t="n">
        <v>285072</v>
      </c>
      <c r="N3572" t="inlineStr">
        <is>
          <t>是</t>
        </is>
      </c>
    </row>
    <row r="3573">
      <c r="A3573" s="7" t="inlineStr">
        <is>
          <t>2022-03-23</t>
        </is>
      </c>
      <c r="B3573" s="8" t="n">
        <v>8898</v>
      </c>
      <c r="C3573" s="8" t="n">
        <v>8820</v>
      </c>
      <c r="D3573" s="8" t="n">
        <v>8900</v>
      </c>
      <c r="E3573" s="8" t="n">
        <v>8737</v>
      </c>
      <c r="F3573" s="8" t="n">
        <v>543433</v>
      </c>
      <c r="G3573" s="8" t="n">
        <v>291045</v>
      </c>
      <c r="H3573" s="8" t="n">
        <v>9006</v>
      </c>
      <c r="I3573" s="8" t="n">
        <v>8916</v>
      </c>
      <c r="J3573" s="8" t="n">
        <v>9012</v>
      </c>
      <c r="K3573" s="8" t="n">
        <v>8874</v>
      </c>
      <c r="L3573" s="8" t="n">
        <v>340300</v>
      </c>
      <c r="M3573" s="8" t="n">
        <v>280790</v>
      </c>
      <c r="N3573" t="inlineStr">
        <is>
          <t>是</t>
        </is>
      </c>
    </row>
    <row r="3574">
      <c r="A3574" s="7" t="inlineStr">
        <is>
          <t>2022-03-24</t>
        </is>
      </c>
      <c r="B3574" s="8" t="n">
        <v>8949</v>
      </c>
      <c r="C3574" s="8" t="n">
        <v>8995</v>
      </c>
      <c r="D3574" s="8" t="n">
        <v>9088</v>
      </c>
      <c r="E3574" s="8" t="n">
        <v>8930</v>
      </c>
      <c r="F3574" s="8" t="n">
        <v>655674</v>
      </c>
      <c r="G3574" s="8" t="n">
        <v>278571</v>
      </c>
      <c r="H3574" s="8" t="n">
        <v>9041</v>
      </c>
      <c r="I3574" s="8" t="n">
        <v>9160</v>
      </c>
      <c r="J3574" s="8" t="n">
        <v>9187</v>
      </c>
      <c r="K3574" s="8" t="n">
        <v>9027</v>
      </c>
      <c r="L3574" s="8" t="n">
        <v>431274</v>
      </c>
      <c r="M3574" s="8" t="n">
        <v>278252</v>
      </c>
      <c r="N3574" t="inlineStr">
        <is>
          <t>是</t>
        </is>
      </c>
    </row>
    <row r="3575">
      <c r="A3575" s="7" t="inlineStr">
        <is>
          <t>2022-03-25</t>
        </is>
      </c>
      <c r="B3575" s="8" t="n">
        <v>9042</v>
      </c>
      <c r="C3575" s="8" t="n">
        <v>8990</v>
      </c>
      <c r="D3575" s="8" t="n">
        <v>9068</v>
      </c>
      <c r="E3575" s="8" t="n">
        <v>8938</v>
      </c>
      <c r="F3575" s="8" t="n">
        <v>538827</v>
      </c>
      <c r="G3575" s="8" t="n">
        <v>280608</v>
      </c>
      <c r="H3575" s="8" t="n">
        <v>9137</v>
      </c>
      <c r="I3575" s="8" t="n">
        <v>9041</v>
      </c>
      <c r="J3575" s="8" t="n">
        <v>9144</v>
      </c>
      <c r="K3575" s="8" t="n">
        <v>9041</v>
      </c>
      <c r="L3575" s="8" t="n">
        <v>319301</v>
      </c>
      <c r="M3575" s="8" t="n">
        <v>279161</v>
      </c>
      <c r="N3575" t="inlineStr">
        <is>
          <t>是</t>
        </is>
      </c>
    </row>
    <row r="3576">
      <c r="A3576" s="7" t="inlineStr">
        <is>
          <t>2022-03-28</t>
        </is>
      </c>
      <c r="B3576" s="8" t="n">
        <v>9121</v>
      </c>
      <c r="C3576" s="8" t="n">
        <v>8957</v>
      </c>
      <c r="D3576" s="8" t="n">
        <v>9188</v>
      </c>
      <c r="E3576" s="8" t="n">
        <v>8957</v>
      </c>
      <c r="F3576" s="8" t="n">
        <v>679634</v>
      </c>
      <c r="G3576" s="8" t="n">
        <v>264524</v>
      </c>
      <c r="H3576" s="8" t="n">
        <v>9219</v>
      </c>
      <c r="I3576" s="8" t="n">
        <v>9100</v>
      </c>
      <c r="J3576" s="8" t="n">
        <v>9275</v>
      </c>
      <c r="K3576" s="8" t="n">
        <v>9075</v>
      </c>
      <c r="L3576" s="8" t="n">
        <v>433467</v>
      </c>
      <c r="M3576" s="8" t="n">
        <v>280180</v>
      </c>
      <c r="N3576" t="inlineStr">
        <is>
          <t>是</t>
        </is>
      </c>
    </row>
    <row r="3577">
      <c r="A3577" s="7" t="inlineStr">
        <is>
          <t>2022-03-29</t>
        </is>
      </c>
      <c r="B3577" s="8" t="n">
        <v>9149</v>
      </c>
      <c r="C3577" s="8" t="n">
        <v>9096</v>
      </c>
      <c r="D3577" s="8" t="n">
        <v>9157</v>
      </c>
      <c r="E3577" s="8" t="n">
        <v>9024</v>
      </c>
      <c r="F3577" s="8" t="n">
        <v>546261</v>
      </c>
      <c r="G3577" s="8" t="n">
        <v>249211</v>
      </c>
      <c r="H3577" s="8" t="n">
        <v>9310</v>
      </c>
      <c r="I3577" s="8" t="n">
        <v>9207</v>
      </c>
      <c r="J3577" s="8" t="n">
        <v>9343</v>
      </c>
      <c r="K3577" s="8" t="n">
        <v>9165</v>
      </c>
      <c r="L3577" s="8" t="n">
        <v>426302</v>
      </c>
      <c r="M3577" s="8" t="n">
        <v>284549</v>
      </c>
      <c r="N3577" t="inlineStr">
        <is>
          <t>是</t>
        </is>
      </c>
    </row>
    <row r="3578">
      <c r="A3578" s="7" t="inlineStr">
        <is>
          <t>2022-03-30</t>
        </is>
      </c>
      <c r="B3578" s="8" t="n">
        <v>9079</v>
      </c>
      <c r="C3578" s="8" t="n">
        <v>9000</v>
      </c>
      <c r="D3578" s="8" t="n">
        <v>9140</v>
      </c>
      <c r="E3578" s="8" t="n">
        <v>8968</v>
      </c>
      <c r="F3578" s="8" t="n">
        <v>597387</v>
      </c>
      <c r="G3578" s="8" t="n">
        <v>227533</v>
      </c>
      <c r="H3578" s="8" t="n">
        <v>9291</v>
      </c>
      <c r="I3578" s="8" t="n">
        <v>9222</v>
      </c>
      <c r="J3578" s="8" t="n">
        <v>9369</v>
      </c>
      <c r="K3578" s="8" t="n">
        <v>9176</v>
      </c>
      <c r="L3578" s="8" t="n">
        <v>473770</v>
      </c>
      <c r="M3578" s="8" t="n">
        <v>268114</v>
      </c>
      <c r="N3578" t="inlineStr">
        <is>
          <t>是</t>
        </is>
      </c>
    </row>
    <row r="3579">
      <c r="A3579" s="7" t="inlineStr">
        <is>
          <t>2022-03-31</t>
        </is>
      </c>
      <c r="B3579" s="8" t="n">
        <v>8920</v>
      </c>
      <c r="C3579" s="8" t="n">
        <v>9050</v>
      </c>
      <c r="D3579" s="8" t="n">
        <v>9087</v>
      </c>
      <c r="E3579" s="8" t="n">
        <v>8855</v>
      </c>
      <c r="F3579" s="8" t="n">
        <v>630266</v>
      </c>
      <c r="G3579" s="8" t="n">
        <v>229012</v>
      </c>
      <c r="H3579" s="8" t="n">
        <v>9169</v>
      </c>
      <c r="I3579" s="8" t="n">
        <v>9291</v>
      </c>
      <c r="J3579" s="8" t="n">
        <v>9293</v>
      </c>
      <c r="K3579" s="8" t="n">
        <v>9120</v>
      </c>
      <c r="L3579" s="8" t="n">
        <v>436603</v>
      </c>
      <c r="M3579" s="8" t="n">
        <v>243721</v>
      </c>
      <c r="N3579" t="inlineStr">
        <is>
          <t>是</t>
        </is>
      </c>
    </row>
    <row r="3580">
      <c r="A3580" s="7" t="inlineStr">
        <is>
          <t>2022-04-01</t>
        </is>
      </c>
      <c r="B3580" s="8" t="n">
        <v>8805</v>
      </c>
      <c r="C3580" s="8" t="n">
        <v>8920</v>
      </c>
      <c r="D3580" s="8" t="n">
        <v>8931</v>
      </c>
      <c r="E3580" s="8" t="n">
        <v>8760</v>
      </c>
      <c r="F3580" s="8" t="n">
        <v>624735</v>
      </c>
      <c r="G3580" s="8" t="n">
        <v>211947</v>
      </c>
      <c r="H3580" s="8" t="n">
        <v>9053</v>
      </c>
      <c r="I3580" s="8" t="n">
        <v>9150</v>
      </c>
      <c r="J3580" s="8" t="n">
        <v>9183</v>
      </c>
      <c r="K3580" s="8" t="n">
        <v>9031</v>
      </c>
      <c r="L3580" s="8" t="n">
        <v>402787</v>
      </c>
      <c r="M3580" s="8" t="n">
        <v>228176</v>
      </c>
      <c r="N3580" t="inlineStr">
        <is>
          <t>是</t>
        </is>
      </c>
    </row>
    <row r="3581">
      <c r="A3581" s="7" t="inlineStr">
        <is>
          <t>2022-04-06</t>
        </is>
      </c>
      <c r="B3581" s="8" t="n">
        <v>8810</v>
      </c>
      <c r="C3581" s="8" t="n">
        <v>8830</v>
      </c>
      <c r="D3581" s="8" t="n">
        <v>8860</v>
      </c>
      <c r="E3581" s="8" t="n">
        <v>8751</v>
      </c>
      <c r="F3581" s="8" t="n">
        <v>315781</v>
      </c>
      <c r="G3581" s="8" t="n">
        <v>212365</v>
      </c>
      <c r="H3581" s="8" t="n">
        <v>9067</v>
      </c>
      <c r="I3581" s="8" t="n">
        <v>9080</v>
      </c>
      <c r="J3581" s="8" t="n">
        <v>9135</v>
      </c>
      <c r="K3581" s="8" t="n">
        <v>8985</v>
      </c>
      <c r="L3581" s="8" t="n">
        <v>262051</v>
      </c>
      <c r="M3581" s="8" t="n">
        <v>214227</v>
      </c>
      <c r="N3581" t="inlineStr">
        <is>
          <t>是</t>
        </is>
      </c>
    </row>
    <row r="3582">
      <c r="A3582" s="7" t="inlineStr">
        <is>
          <t>2022-04-07</t>
        </is>
      </c>
      <c r="B3582" s="8" t="n">
        <v>8790</v>
      </c>
      <c r="C3582" s="8" t="n">
        <v>8825</v>
      </c>
      <c r="D3582" s="8" t="n">
        <v>8898</v>
      </c>
      <c r="E3582" s="8" t="n">
        <v>8777</v>
      </c>
      <c r="F3582" s="8" t="n">
        <v>486699</v>
      </c>
      <c r="G3582" s="8" t="n">
        <v>202618</v>
      </c>
      <c r="H3582" s="8" t="n">
        <v>9048</v>
      </c>
      <c r="I3582" s="8" t="n">
        <v>9067</v>
      </c>
      <c r="J3582" s="8" t="n">
        <v>9200</v>
      </c>
      <c r="K3582" s="8" t="n">
        <v>9046</v>
      </c>
      <c r="L3582" s="8" t="n">
        <v>336976</v>
      </c>
      <c r="M3582" s="8" t="n">
        <v>208113</v>
      </c>
      <c r="N3582" t="inlineStr">
        <is>
          <t>是</t>
        </is>
      </c>
    </row>
    <row r="3583">
      <c r="A3583" s="7" t="inlineStr">
        <is>
          <t>2022-04-08</t>
        </is>
      </c>
      <c r="B3583" s="8" t="n">
        <v>8746</v>
      </c>
      <c r="C3583" s="8" t="n">
        <v>8771</v>
      </c>
      <c r="D3583" s="8" t="n">
        <v>8807</v>
      </c>
      <c r="E3583" s="8" t="n">
        <v>8643</v>
      </c>
      <c r="F3583" s="8" t="n">
        <v>459531</v>
      </c>
      <c r="G3583" s="8" t="n">
        <v>211197</v>
      </c>
      <c r="H3583" s="8" t="n">
        <v>8980</v>
      </c>
      <c r="I3583" s="8" t="n">
        <v>9048</v>
      </c>
      <c r="J3583" s="8" t="n">
        <v>9078</v>
      </c>
      <c r="K3583" s="8" t="n">
        <v>8891</v>
      </c>
      <c r="L3583" s="8" t="n">
        <v>356482</v>
      </c>
      <c r="M3583" s="8" t="n">
        <v>193392</v>
      </c>
      <c r="N3583" t="inlineStr">
        <is>
          <t>是</t>
        </is>
      </c>
    </row>
    <row r="3584">
      <c r="A3584" s="7" t="inlineStr">
        <is>
          <t>2022-04-11</t>
        </is>
      </c>
      <c r="B3584" s="8" t="n">
        <v>8594</v>
      </c>
      <c r="C3584" s="8" t="n">
        <v>8760</v>
      </c>
      <c r="D3584" s="8" t="n">
        <v>8765</v>
      </c>
      <c r="E3584" s="8" t="n">
        <v>8561</v>
      </c>
      <c r="F3584" s="8" t="n">
        <v>404732</v>
      </c>
      <c r="G3584" s="8" t="n">
        <v>226029</v>
      </c>
      <c r="H3584" s="8" t="n">
        <v>8877</v>
      </c>
      <c r="I3584" s="8" t="n">
        <v>9005</v>
      </c>
      <c r="J3584" s="8" t="n">
        <v>9009</v>
      </c>
      <c r="K3584" s="8" t="n">
        <v>8787</v>
      </c>
      <c r="L3584" s="8" t="n">
        <v>329709</v>
      </c>
      <c r="M3584" s="8" t="n">
        <v>181417</v>
      </c>
      <c r="N3584" t="inlineStr">
        <is>
          <t>是</t>
        </is>
      </c>
    </row>
    <row r="3585">
      <c r="A3585" s="7" t="inlineStr">
        <is>
          <t>2022-04-12</t>
        </is>
      </c>
      <c r="B3585" s="8" t="n">
        <v>8751</v>
      </c>
      <c r="C3585" s="8" t="n">
        <v>8552</v>
      </c>
      <c r="D3585" s="8" t="n">
        <v>8754</v>
      </c>
      <c r="E3585" s="8" t="n">
        <v>8552</v>
      </c>
      <c r="F3585" s="8" t="n">
        <v>386447</v>
      </c>
      <c r="G3585" s="8" t="n">
        <v>214389</v>
      </c>
      <c r="H3585" s="8" t="n">
        <v>8932</v>
      </c>
      <c r="I3585" s="8" t="n">
        <v>8863</v>
      </c>
      <c r="J3585" s="8" t="n">
        <v>8940</v>
      </c>
      <c r="K3585" s="8" t="n">
        <v>8780</v>
      </c>
      <c r="L3585" s="8" t="n">
        <v>277687</v>
      </c>
      <c r="M3585" s="8" t="n">
        <v>165277</v>
      </c>
      <c r="N3585" t="inlineStr">
        <is>
          <t>是</t>
        </is>
      </c>
    </row>
    <row r="3586">
      <c r="A3586" s="7" t="inlineStr">
        <is>
          <t>2022-04-13</t>
        </is>
      </c>
      <c r="B3586" s="8" t="n">
        <v>8662</v>
      </c>
      <c r="C3586" s="8" t="n">
        <v>8758</v>
      </c>
      <c r="D3586" s="8" t="n">
        <v>8780</v>
      </c>
      <c r="E3586" s="8" t="n">
        <v>8648</v>
      </c>
      <c r="F3586" s="8" t="n">
        <v>394263</v>
      </c>
      <c r="G3586" s="8" t="n">
        <v>207928</v>
      </c>
      <c r="H3586" s="8" t="n">
        <v>8836</v>
      </c>
      <c r="I3586" s="8" t="n">
        <v>8955</v>
      </c>
      <c r="J3586" s="8" t="n">
        <v>8980</v>
      </c>
      <c r="K3586" s="8" t="n">
        <v>8817</v>
      </c>
      <c r="L3586" s="8" t="n">
        <v>268015</v>
      </c>
      <c r="M3586" s="8" t="n">
        <v>153721</v>
      </c>
      <c r="N3586" t="inlineStr">
        <is>
          <t>是</t>
        </is>
      </c>
    </row>
    <row r="3587">
      <c r="A3587" s="7" t="inlineStr">
        <is>
          <t>2022-04-14</t>
        </is>
      </c>
      <c r="B3587" s="8" t="n">
        <v>8721</v>
      </c>
      <c r="C3587" s="8" t="n">
        <v>8697</v>
      </c>
      <c r="D3587" s="8" t="n">
        <v>8776</v>
      </c>
      <c r="E3587" s="8" t="n">
        <v>8697</v>
      </c>
      <c r="F3587" s="8" t="n">
        <v>340270</v>
      </c>
      <c r="G3587" s="8" t="n">
        <v>193861</v>
      </c>
      <c r="H3587" s="8" t="n">
        <v>8892</v>
      </c>
      <c r="I3587" s="8" t="n">
        <v>8900</v>
      </c>
      <c r="J3587" s="8" t="n">
        <v>8944</v>
      </c>
      <c r="K3587" s="8" t="n">
        <v>8869</v>
      </c>
      <c r="L3587" s="8" t="n">
        <v>219795</v>
      </c>
      <c r="M3587" s="8" t="n">
        <v>141087</v>
      </c>
      <c r="N3587" t="inlineStr">
        <is>
          <t>是</t>
        </is>
      </c>
    </row>
    <row r="3588">
      <c r="A3588" s="7" t="inlineStr">
        <is>
          <t>2022-04-15</t>
        </is>
      </c>
      <c r="B3588" s="8" t="n">
        <v>8675</v>
      </c>
      <c r="C3588" s="8" t="n">
        <v>8721</v>
      </c>
      <c r="D3588" s="8" t="n">
        <v>8752</v>
      </c>
      <c r="E3588" s="8" t="n">
        <v>8588</v>
      </c>
      <c r="F3588" s="8" t="n">
        <v>429587</v>
      </c>
      <c r="G3588" s="8" t="n">
        <v>200228</v>
      </c>
      <c r="H3588" s="8" t="n">
        <v>8829</v>
      </c>
      <c r="I3588" s="8" t="n">
        <v>8892</v>
      </c>
      <c r="J3588" s="8" t="n">
        <v>8913</v>
      </c>
      <c r="K3588" s="8" t="n">
        <v>8786</v>
      </c>
      <c r="L3588" s="8" t="n">
        <v>261045</v>
      </c>
      <c r="M3588" s="8" t="n">
        <v>125832</v>
      </c>
      <c r="N3588" t="inlineStr">
        <is>
          <t>是</t>
        </is>
      </c>
    </row>
    <row r="3589">
      <c r="A3589" s="7" t="inlineStr">
        <is>
          <t>2022-04-18</t>
        </is>
      </c>
      <c r="B3589" s="8" t="n">
        <v>8840</v>
      </c>
      <c r="C3589" s="8" t="n">
        <v>8671</v>
      </c>
      <c r="D3589" s="8" t="n">
        <v>8863</v>
      </c>
      <c r="E3589" s="8" t="n">
        <v>8621</v>
      </c>
      <c r="F3589" s="8" t="n">
        <v>494053</v>
      </c>
      <c r="G3589" s="8" t="n">
        <v>147251</v>
      </c>
      <c r="H3589" s="8" t="n">
        <v>9034</v>
      </c>
      <c r="I3589" s="8" t="n">
        <v>8829</v>
      </c>
      <c r="J3589" s="8" t="n">
        <v>9050</v>
      </c>
      <c r="K3589" s="8" t="n">
        <v>8772</v>
      </c>
      <c r="L3589" s="8" t="n">
        <v>291831</v>
      </c>
      <c r="M3589" s="8" t="n">
        <v>104374</v>
      </c>
      <c r="N3589" t="inlineStr">
        <is>
          <t>是</t>
        </is>
      </c>
    </row>
    <row r="3590">
      <c r="A3590" s="7" t="inlineStr">
        <is>
          <t>2022-04-19</t>
        </is>
      </c>
      <c r="B3590" s="8" t="n">
        <v>8838</v>
      </c>
      <c r="C3590" s="8" t="n">
        <v>8840</v>
      </c>
      <c r="D3590" s="8" t="n">
        <v>8969</v>
      </c>
      <c r="E3590" s="8" t="n">
        <v>8838</v>
      </c>
      <c r="F3590" s="8" t="n">
        <v>397583</v>
      </c>
      <c r="G3590" s="8" t="n">
        <v>106546</v>
      </c>
      <c r="H3590" s="8" t="n">
        <v>8991</v>
      </c>
      <c r="I3590" s="8" t="n">
        <v>9039</v>
      </c>
      <c r="J3590" s="8" t="n">
        <v>9122</v>
      </c>
      <c r="K3590" s="8" t="n">
        <v>8990</v>
      </c>
      <c r="L3590" s="8" t="n">
        <v>195300</v>
      </c>
      <c r="M3590" s="8" t="n">
        <v>85529</v>
      </c>
      <c r="N3590" t="inlineStr">
        <is>
          <t>是</t>
        </is>
      </c>
    </row>
    <row r="3591">
      <c r="A3591" s="7" t="inlineStr">
        <is>
          <t>2022-04-20</t>
        </is>
      </c>
      <c r="B3591" s="8" t="n">
        <v>8838</v>
      </c>
      <c r="C3591" s="8" t="n">
        <v>8803</v>
      </c>
      <c r="D3591" s="8" t="n">
        <v>8904</v>
      </c>
      <c r="E3591" s="8" t="n">
        <v>8803</v>
      </c>
      <c r="F3591" s="8" t="n">
        <v>252837</v>
      </c>
      <c r="G3591" s="8" t="n">
        <v>95197</v>
      </c>
      <c r="H3591" s="8" t="n">
        <v>8971</v>
      </c>
      <c r="I3591" s="8" t="n">
        <v>9025</v>
      </c>
      <c r="J3591" s="8" t="n">
        <v>9025</v>
      </c>
      <c r="K3591" s="8" t="n">
        <v>8950</v>
      </c>
      <c r="L3591" s="8" t="n">
        <v>306655</v>
      </c>
      <c r="M3591" s="8" t="n">
        <v>234343</v>
      </c>
      <c r="N3591" t="inlineStr">
        <is>
          <t>是</t>
        </is>
      </c>
    </row>
    <row r="3592">
      <c r="A3592" s="7" t="inlineStr">
        <is>
          <t>2022-04-21</t>
        </is>
      </c>
      <c r="B3592" s="8" t="n">
        <v>8861</v>
      </c>
      <c r="C3592" s="8" t="n">
        <v>8840</v>
      </c>
      <c r="D3592" s="8" t="n">
        <v>8889</v>
      </c>
      <c r="E3592" s="8" t="n">
        <v>8816</v>
      </c>
      <c r="F3592" s="8" t="n">
        <v>370158</v>
      </c>
      <c r="G3592" s="8" t="n">
        <v>251137</v>
      </c>
      <c r="H3592" s="8" t="n">
        <v>8955</v>
      </c>
      <c r="I3592" s="8" t="n">
        <v>8960</v>
      </c>
      <c r="J3592" s="8" t="n">
        <v>8993</v>
      </c>
      <c r="K3592" s="8" t="n">
        <v>8920</v>
      </c>
      <c r="L3592" s="8" t="n">
        <v>287018</v>
      </c>
      <c r="M3592" s="8" t="n">
        <v>249708</v>
      </c>
      <c r="N3592" t="inlineStr">
        <is>
          <t>是</t>
        </is>
      </c>
    </row>
    <row r="3593">
      <c r="A3593" s="7" t="inlineStr">
        <is>
          <t>2022-04-22</t>
        </is>
      </c>
      <c r="B3593" s="8" t="n">
        <v>8754</v>
      </c>
      <c r="C3593" s="8" t="n">
        <v>8853</v>
      </c>
      <c r="D3593" s="8" t="n">
        <v>8878</v>
      </c>
      <c r="E3593" s="8" t="n">
        <v>8733</v>
      </c>
      <c r="F3593" s="8" t="n">
        <v>492068</v>
      </c>
      <c r="G3593" s="8" t="n">
        <v>259975</v>
      </c>
      <c r="H3593" s="8" t="n">
        <v>8872</v>
      </c>
      <c r="I3593" s="8" t="n">
        <v>8955</v>
      </c>
      <c r="J3593" s="8" t="n">
        <v>8968</v>
      </c>
      <c r="K3593" s="8" t="n">
        <v>8854</v>
      </c>
      <c r="L3593" s="8" t="n">
        <v>321826</v>
      </c>
      <c r="M3593" s="8" t="n">
        <v>260546</v>
      </c>
      <c r="N3593" t="inlineStr">
        <is>
          <t>是</t>
        </is>
      </c>
    </row>
    <row r="3594">
      <c r="A3594" s="7" t="inlineStr">
        <is>
          <t>2022-04-25</t>
        </is>
      </c>
      <c r="B3594" s="8" t="n">
        <v>8492</v>
      </c>
      <c r="C3594" s="8" t="n">
        <v>8730</v>
      </c>
      <c r="D3594" s="8" t="n">
        <v>8778</v>
      </c>
      <c r="E3594" s="8" t="n">
        <v>8455</v>
      </c>
      <c r="F3594" s="8" t="n">
        <v>607833</v>
      </c>
      <c r="G3594" s="8" t="n">
        <v>299083</v>
      </c>
      <c r="H3594" s="8" t="n">
        <v>8644</v>
      </c>
      <c r="I3594" s="8" t="n">
        <v>8888</v>
      </c>
      <c r="J3594" s="8" t="n">
        <v>8899</v>
      </c>
      <c r="K3594" s="8" t="n">
        <v>8603</v>
      </c>
      <c r="L3594" s="8" t="n">
        <v>435171</v>
      </c>
      <c r="M3594" s="8" t="n">
        <v>274477</v>
      </c>
      <c r="N3594" t="inlineStr">
        <is>
          <t>是</t>
        </is>
      </c>
    </row>
    <row r="3595">
      <c r="A3595" s="7" t="inlineStr">
        <is>
          <t>2022-04-26</t>
        </is>
      </c>
      <c r="B3595" s="8" t="n">
        <v>8528</v>
      </c>
      <c r="C3595" s="8" t="n">
        <v>8490</v>
      </c>
      <c r="D3595" s="8" t="n">
        <v>8633</v>
      </c>
      <c r="E3595" s="8" t="n">
        <v>8447</v>
      </c>
      <c r="F3595" s="8" t="n">
        <v>503765</v>
      </c>
      <c r="G3595" s="8" t="n">
        <v>315667</v>
      </c>
      <c r="H3595" s="8" t="n">
        <v>8625</v>
      </c>
      <c r="I3595" s="8" t="n">
        <v>8600</v>
      </c>
      <c r="J3595" s="8" t="n">
        <v>8724</v>
      </c>
      <c r="K3595" s="8" t="n">
        <v>8583</v>
      </c>
      <c r="L3595" s="8" t="n">
        <v>344515</v>
      </c>
      <c r="M3595" s="8" t="n">
        <v>278860</v>
      </c>
      <c r="N3595" t="inlineStr">
        <is>
          <t>是</t>
        </is>
      </c>
    </row>
    <row r="3596">
      <c r="A3596" s="7" t="inlineStr">
        <is>
          <t>2022-04-27</t>
        </is>
      </c>
      <c r="B3596" s="8" t="n">
        <v>8580</v>
      </c>
      <c r="C3596" s="8" t="n">
        <v>8540</v>
      </c>
      <c r="D3596" s="8" t="n">
        <v>8619</v>
      </c>
      <c r="E3596" s="8" t="n">
        <v>8540</v>
      </c>
      <c r="F3596" s="8" t="n">
        <v>416306</v>
      </c>
      <c r="G3596" s="8" t="n">
        <v>311643</v>
      </c>
      <c r="H3596" s="8" t="n">
        <v>8681</v>
      </c>
      <c r="I3596" s="8" t="n">
        <v>8640</v>
      </c>
      <c r="J3596" s="8" t="n">
        <v>8702</v>
      </c>
      <c r="K3596" s="8" t="n">
        <v>8630</v>
      </c>
      <c r="L3596" s="8" t="n">
        <v>296430</v>
      </c>
      <c r="M3596" s="8" t="n">
        <v>278291</v>
      </c>
      <c r="N3596" t="inlineStr">
        <is>
          <t>是</t>
        </is>
      </c>
    </row>
    <row r="3597">
      <c r="A3597" s="7" t="inlineStr">
        <is>
          <t>2022-04-28</t>
        </is>
      </c>
      <c r="B3597" s="8" t="n">
        <v>8595</v>
      </c>
      <c r="C3597" s="8" t="n">
        <v>8580</v>
      </c>
      <c r="D3597" s="8" t="n">
        <v>8625</v>
      </c>
      <c r="E3597" s="8" t="n">
        <v>8550</v>
      </c>
      <c r="F3597" s="8" t="n">
        <v>443635</v>
      </c>
      <c r="G3597" s="8" t="n">
        <v>301324</v>
      </c>
      <c r="H3597" s="8" t="n">
        <v>8680</v>
      </c>
      <c r="I3597" s="8" t="n">
        <v>8662</v>
      </c>
      <c r="J3597" s="8" t="n">
        <v>8710</v>
      </c>
      <c r="K3597" s="8" t="n">
        <v>8628</v>
      </c>
      <c r="L3597" s="8" t="n">
        <v>344386</v>
      </c>
      <c r="M3597" s="8" t="n">
        <v>273292</v>
      </c>
      <c r="N3597" t="inlineStr">
        <is>
          <t>是</t>
        </is>
      </c>
    </row>
    <row r="3598">
      <c r="A3598" s="7" t="inlineStr">
        <is>
          <t>2022-04-29</t>
        </is>
      </c>
      <c r="B3598" s="8" t="n">
        <v>8722</v>
      </c>
      <c r="C3598" s="8" t="n">
        <v>8595</v>
      </c>
      <c r="D3598" s="8" t="n">
        <v>8751</v>
      </c>
      <c r="E3598" s="8" t="n">
        <v>8551</v>
      </c>
      <c r="F3598" s="8" t="n">
        <v>528536</v>
      </c>
      <c r="G3598" s="8" t="n">
        <v>278514</v>
      </c>
      <c r="H3598" s="8" t="n">
        <v>8765</v>
      </c>
      <c r="I3598" s="8" t="n">
        <v>8680</v>
      </c>
      <c r="J3598" s="8" t="n">
        <v>8806</v>
      </c>
      <c r="K3598" s="8" t="n">
        <v>8625</v>
      </c>
      <c r="L3598" s="8" t="n">
        <v>394177</v>
      </c>
      <c r="M3598" s="8" t="n">
        <v>275088</v>
      </c>
      <c r="N3598" t="inlineStr">
        <is>
          <t>是</t>
        </is>
      </c>
    </row>
    <row r="3599">
      <c r="A3599" s="7" t="inlineStr">
        <is>
          <t>2022-05-05</t>
        </is>
      </c>
      <c r="B3599" s="8" t="n">
        <v>8869</v>
      </c>
      <c r="C3599" s="8" t="n">
        <v>8792</v>
      </c>
      <c r="D3599" s="8" t="n">
        <v>8887</v>
      </c>
      <c r="E3599" s="8" t="n">
        <v>8769</v>
      </c>
      <c r="F3599" s="8" t="n">
        <v>366938</v>
      </c>
      <c r="G3599" s="8" t="n">
        <v>279644</v>
      </c>
      <c r="H3599" s="8" t="n">
        <v>8926</v>
      </c>
      <c r="I3599" s="8" t="n">
        <v>8850</v>
      </c>
      <c r="J3599" s="8" t="n">
        <v>8936</v>
      </c>
      <c r="K3599" s="8" t="n">
        <v>8815</v>
      </c>
      <c r="L3599" s="8" t="n">
        <v>284452</v>
      </c>
      <c r="M3599" s="8" t="n">
        <v>266415</v>
      </c>
      <c r="N3599" t="inlineStr">
        <is>
          <t>是</t>
        </is>
      </c>
    </row>
    <row r="3600">
      <c r="A3600" s="7" t="inlineStr">
        <is>
          <t>2022-05-06</t>
        </is>
      </c>
      <c r="B3600" s="8" t="n">
        <v>8809</v>
      </c>
      <c r="C3600" s="8" t="n">
        <v>8879</v>
      </c>
      <c r="D3600" s="8" t="n">
        <v>8950</v>
      </c>
      <c r="E3600" s="8" t="n">
        <v>8803</v>
      </c>
      <c r="F3600" s="8" t="n">
        <v>448456</v>
      </c>
      <c r="G3600" s="8" t="n">
        <v>295535</v>
      </c>
      <c r="H3600" s="8" t="n">
        <v>8825</v>
      </c>
      <c r="I3600" s="8" t="n">
        <v>8960</v>
      </c>
      <c r="J3600" s="8" t="n">
        <v>8999</v>
      </c>
      <c r="K3600" s="8" t="n">
        <v>8823</v>
      </c>
      <c r="L3600" s="8" t="n">
        <v>347198</v>
      </c>
      <c r="M3600" s="8" t="n">
        <v>268158</v>
      </c>
      <c r="N3600" t="inlineStr">
        <is>
          <t>是</t>
        </is>
      </c>
    </row>
    <row r="3601">
      <c r="A3601" s="7" t="inlineStr">
        <is>
          <t>2022-05-09</t>
        </is>
      </c>
      <c r="B3601" s="8" t="n">
        <v>8682</v>
      </c>
      <c r="C3601" s="8" t="n">
        <v>8809</v>
      </c>
      <c r="D3601" s="8" t="n">
        <v>8815</v>
      </c>
      <c r="E3601" s="8" t="n">
        <v>8663</v>
      </c>
      <c r="F3601" s="8" t="n">
        <v>570477</v>
      </c>
      <c r="G3601" s="8" t="n">
        <v>299817</v>
      </c>
      <c r="H3601" s="8" t="n">
        <v>8704</v>
      </c>
      <c r="I3601" s="8" t="n">
        <v>8825</v>
      </c>
      <c r="J3601" s="8" t="n">
        <v>8835</v>
      </c>
      <c r="K3601" s="8" t="n">
        <v>8680</v>
      </c>
      <c r="L3601" s="8" t="n">
        <v>389943</v>
      </c>
      <c r="M3601" s="8" t="n">
        <v>274284</v>
      </c>
      <c r="N3601" t="inlineStr">
        <is>
          <t>是</t>
        </is>
      </c>
    </row>
    <row r="3602">
      <c r="A3602" s="7" t="inlineStr">
        <is>
          <t>2022-05-10</t>
        </is>
      </c>
      <c r="B3602" s="8" t="n">
        <v>8606</v>
      </c>
      <c r="C3602" s="8" t="n">
        <v>8680</v>
      </c>
      <c r="D3602" s="8" t="n">
        <v>8688</v>
      </c>
      <c r="E3602" s="8" t="n">
        <v>8541</v>
      </c>
      <c r="F3602" s="8" t="n">
        <v>568275</v>
      </c>
      <c r="G3602" s="8" t="n">
        <v>307137</v>
      </c>
      <c r="H3602" s="8" t="n">
        <v>8636</v>
      </c>
      <c r="I3602" s="8" t="n">
        <v>8650</v>
      </c>
      <c r="J3602" s="8" t="n">
        <v>8694</v>
      </c>
      <c r="K3602" s="8" t="n">
        <v>8565</v>
      </c>
      <c r="L3602" s="8" t="n">
        <v>400053</v>
      </c>
      <c r="M3602" s="8" t="n">
        <v>275909</v>
      </c>
      <c r="N3602" t="inlineStr">
        <is>
          <t>是</t>
        </is>
      </c>
    </row>
    <row r="3603">
      <c r="A3603" s="7" t="inlineStr">
        <is>
          <t>2022-05-11</t>
        </is>
      </c>
      <c r="B3603" s="8" t="n">
        <v>8664</v>
      </c>
      <c r="C3603" s="8" t="n">
        <v>8614</v>
      </c>
      <c r="D3603" s="8" t="n">
        <v>8684</v>
      </c>
      <c r="E3603" s="8" t="n">
        <v>8550</v>
      </c>
      <c r="F3603" s="8" t="n">
        <v>451265</v>
      </c>
      <c r="G3603" s="8" t="n">
        <v>310551</v>
      </c>
      <c r="H3603" s="8" t="n">
        <v>8682</v>
      </c>
      <c r="I3603" s="8" t="n">
        <v>8658</v>
      </c>
      <c r="J3603" s="8" t="n">
        <v>8698</v>
      </c>
      <c r="K3603" s="8" t="n">
        <v>8575</v>
      </c>
      <c r="L3603" s="8" t="n">
        <v>340620</v>
      </c>
      <c r="M3603" s="8" t="n">
        <v>281013</v>
      </c>
      <c r="N3603" t="inlineStr">
        <is>
          <t>是</t>
        </is>
      </c>
    </row>
    <row r="3604">
      <c r="A3604" s="7" t="inlineStr">
        <is>
          <t>2022-05-12</t>
        </is>
      </c>
      <c r="B3604" s="8" t="n">
        <v>8572</v>
      </c>
      <c r="C3604" s="8" t="n">
        <v>8690</v>
      </c>
      <c r="D3604" s="8" t="n">
        <v>8715</v>
      </c>
      <c r="E3604" s="8" t="n">
        <v>8555</v>
      </c>
      <c r="F3604" s="8" t="n">
        <v>525244</v>
      </c>
      <c r="G3604" s="8" t="n">
        <v>329292</v>
      </c>
      <c r="H3604" s="8" t="n">
        <v>8609</v>
      </c>
      <c r="I3604" s="8" t="n">
        <v>8682</v>
      </c>
      <c r="J3604" s="8" t="n">
        <v>8736</v>
      </c>
      <c r="K3604" s="8" t="n">
        <v>8599</v>
      </c>
      <c r="L3604" s="8" t="n">
        <v>372026</v>
      </c>
      <c r="M3604" s="8" t="n">
        <v>286829</v>
      </c>
      <c r="N3604" t="inlineStr">
        <is>
          <t>是</t>
        </is>
      </c>
    </row>
    <row r="3605">
      <c r="A3605" s="7" t="inlineStr">
        <is>
          <t>2022-05-13</t>
        </is>
      </c>
      <c r="B3605" s="8" t="n">
        <v>8581</v>
      </c>
      <c r="C3605" s="8" t="n">
        <v>8572</v>
      </c>
      <c r="D3605" s="8" t="n">
        <v>8618</v>
      </c>
      <c r="E3605" s="8" t="n">
        <v>8536</v>
      </c>
      <c r="F3605" s="8" t="n">
        <v>470995</v>
      </c>
      <c r="G3605" s="8" t="n">
        <v>333267</v>
      </c>
      <c r="H3605" s="8" t="n">
        <v>8647</v>
      </c>
      <c r="I3605" s="8" t="n">
        <v>8609</v>
      </c>
      <c r="J3605" s="8" t="n">
        <v>8688</v>
      </c>
      <c r="K3605" s="8" t="n">
        <v>8590</v>
      </c>
      <c r="L3605" s="8" t="n">
        <v>318018</v>
      </c>
      <c r="M3605" s="8" t="n">
        <v>285308</v>
      </c>
      <c r="N3605" t="inlineStr">
        <is>
          <t>是</t>
        </is>
      </c>
    </row>
    <row r="3606">
      <c r="A3606" s="7" t="inlineStr">
        <is>
          <t>2022-05-16</t>
        </is>
      </c>
      <c r="B3606" s="8" t="n">
        <v>8605</v>
      </c>
      <c r="C3606" s="8" t="n">
        <v>8620</v>
      </c>
      <c r="D3606" s="8" t="n">
        <v>8684</v>
      </c>
      <c r="E3606" s="8" t="n">
        <v>8572</v>
      </c>
      <c r="F3606" s="8" t="n">
        <v>444522</v>
      </c>
      <c r="G3606" s="8" t="n">
        <v>325865</v>
      </c>
      <c r="H3606" s="8" t="n">
        <v>8669</v>
      </c>
      <c r="I3606" s="8" t="n">
        <v>8683</v>
      </c>
      <c r="J3606" s="8" t="n">
        <v>8748</v>
      </c>
      <c r="K3606" s="8" t="n">
        <v>8636</v>
      </c>
      <c r="L3606" s="8" t="n">
        <v>373905</v>
      </c>
      <c r="M3606" s="8" t="n">
        <v>281426</v>
      </c>
      <c r="N3606" t="inlineStr">
        <is>
          <t>是</t>
        </is>
      </c>
    </row>
    <row r="3607">
      <c r="A3607" s="7" t="inlineStr">
        <is>
          <t>2022-05-17</t>
        </is>
      </c>
      <c r="B3607" s="8" t="n">
        <v>8637</v>
      </c>
      <c r="C3607" s="8" t="n">
        <v>8600</v>
      </c>
      <c r="D3607" s="8" t="n">
        <v>8723</v>
      </c>
      <c r="E3607" s="8" t="n">
        <v>8581</v>
      </c>
      <c r="F3607" s="8" t="n">
        <v>505315</v>
      </c>
      <c r="G3607" s="8" t="n">
        <v>315478</v>
      </c>
      <c r="H3607" s="8" t="n">
        <v>8719</v>
      </c>
      <c r="I3607" s="8" t="n">
        <v>8682</v>
      </c>
      <c r="J3607" s="8" t="n">
        <v>8780</v>
      </c>
      <c r="K3607" s="8" t="n">
        <v>8660</v>
      </c>
      <c r="L3607" s="8" t="n">
        <v>356526</v>
      </c>
      <c r="M3607" s="8" t="n">
        <v>282330</v>
      </c>
      <c r="N3607" t="inlineStr">
        <is>
          <t>是</t>
        </is>
      </c>
    </row>
    <row r="3608">
      <c r="A3608" s="7" t="inlineStr">
        <is>
          <t>2022-05-18</t>
        </is>
      </c>
      <c r="B3608" s="8" t="n">
        <v>8552</v>
      </c>
      <c r="C3608" s="8" t="n">
        <v>8640</v>
      </c>
      <c r="D3608" s="8" t="n">
        <v>8695</v>
      </c>
      <c r="E3608" s="8" t="n">
        <v>8545</v>
      </c>
      <c r="F3608" s="8" t="n">
        <v>480570</v>
      </c>
      <c r="G3608" s="8" t="n">
        <v>346253</v>
      </c>
      <c r="H3608" s="8" t="n">
        <v>8659</v>
      </c>
      <c r="I3608" s="8" t="n">
        <v>8760</v>
      </c>
      <c r="J3608" s="8" t="n">
        <v>8764</v>
      </c>
      <c r="K3608" s="8" t="n">
        <v>8657</v>
      </c>
      <c r="L3608" s="8" t="n">
        <v>317988</v>
      </c>
      <c r="M3608" s="8" t="n">
        <v>283948</v>
      </c>
      <c r="N3608" t="inlineStr">
        <is>
          <t>是</t>
        </is>
      </c>
    </row>
    <row r="3609">
      <c r="A3609" s="7" t="inlineStr">
        <is>
          <t>2022-05-19</t>
        </is>
      </c>
      <c r="B3609" s="8" t="n">
        <v>8493</v>
      </c>
      <c r="C3609" s="8" t="n">
        <v>8577</v>
      </c>
      <c r="D3609" s="8" t="n">
        <v>8596</v>
      </c>
      <c r="E3609" s="8" t="n">
        <v>8470</v>
      </c>
      <c r="F3609" s="8" t="n">
        <v>499994</v>
      </c>
      <c r="G3609" s="8" t="n">
        <v>370905</v>
      </c>
      <c r="H3609" s="8" t="n">
        <v>8582</v>
      </c>
      <c r="I3609" s="8" t="n">
        <v>8659</v>
      </c>
      <c r="J3609" s="8" t="n">
        <v>8703</v>
      </c>
      <c r="K3609" s="8" t="n">
        <v>8580</v>
      </c>
      <c r="L3609" s="8" t="n">
        <v>373768</v>
      </c>
      <c r="M3609" s="8" t="n">
        <v>292437</v>
      </c>
      <c r="N3609" t="inlineStr">
        <is>
          <t>是</t>
        </is>
      </c>
    </row>
    <row r="3610">
      <c r="A3610" s="7" t="inlineStr">
        <is>
          <t>2022-05-20</t>
        </is>
      </c>
      <c r="B3610" s="8" t="n">
        <v>8437</v>
      </c>
      <c r="C3610" s="8" t="n">
        <v>8470</v>
      </c>
      <c r="D3610" s="8" t="n">
        <v>8529</v>
      </c>
      <c r="E3610" s="8" t="n">
        <v>8433</v>
      </c>
      <c r="F3610" s="8" t="n">
        <v>548316</v>
      </c>
      <c r="G3610" s="8" t="n">
        <v>416917</v>
      </c>
      <c r="H3610" s="8" t="n">
        <v>8468</v>
      </c>
      <c r="I3610" s="8" t="n">
        <v>8550</v>
      </c>
      <c r="J3610" s="8" t="n">
        <v>8614</v>
      </c>
      <c r="K3610" s="8" t="n">
        <v>8464</v>
      </c>
      <c r="L3610" s="8" t="n">
        <v>482333</v>
      </c>
      <c r="M3610" s="8" t="n">
        <v>343351</v>
      </c>
      <c r="N3610" t="inlineStr">
        <is>
          <t>是</t>
        </is>
      </c>
    </row>
    <row r="3611">
      <c r="A3611" s="7" t="inlineStr">
        <is>
          <t>2022-05-23</t>
        </is>
      </c>
      <c r="B3611" s="8" t="n">
        <v>8475</v>
      </c>
      <c r="C3611" s="8" t="n">
        <v>8440</v>
      </c>
      <c r="D3611" s="8" t="n">
        <v>8534</v>
      </c>
      <c r="E3611" s="8" t="n">
        <v>8432</v>
      </c>
      <c r="F3611" s="8" t="n">
        <v>462344</v>
      </c>
      <c r="G3611" s="8" t="n">
        <v>424179</v>
      </c>
      <c r="H3611" s="8" t="n">
        <v>8535</v>
      </c>
      <c r="I3611" s="8" t="n">
        <v>8468</v>
      </c>
      <c r="J3611" s="8" t="n">
        <v>8567</v>
      </c>
      <c r="K3611" s="8" t="n">
        <v>8460</v>
      </c>
      <c r="L3611" s="8" t="n">
        <v>393069</v>
      </c>
      <c r="M3611" s="8" t="n">
        <v>343795</v>
      </c>
      <c r="N3611" t="inlineStr">
        <is>
          <t>是</t>
        </is>
      </c>
    </row>
    <row r="3612">
      <c r="A3612" s="7" t="inlineStr">
        <is>
          <t>2022-05-24</t>
        </is>
      </c>
      <c r="B3612" s="8" t="n">
        <v>8429</v>
      </c>
      <c r="C3612" s="8" t="n">
        <v>8485</v>
      </c>
      <c r="D3612" s="8" t="n">
        <v>8555</v>
      </c>
      <c r="E3612" s="8" t="n">
        <v>8419</v>
      </c>
      <c r="F3612" s="8" t="n">
        <v>500434</v>
      </c>
      <c r="G3612" s="8" t="n">
        <v>429256</v>
      </c>
      <c r="H3612" s="8" t="n">
        <v>8494</v>
      </c>
      <c r="I3612" s="8" t="n">
        <v>8535</v>
      </c>
      <c r="J3612" s="8" t="n">
        <v>8584</v>
      </c>
      <c r="K3612" s="8" t="n">
        <v>8472</v>
      </c>
      <c r="L3612" s="8" t="n">
        <v>347788</v>
      </c>
      <c r="M3612" s="8" t="n">
        <v>344117</v>
      </c>
      <c r="N3612" t="inlineStr">
        <is>
          <t>是</t>
        </is>
      </c>
    </row>
    <row r="3613">
      <c r="A3613" s="7" t="inlineStr">
        <is>
          <t>2022-05-25</t>
        </is>
      </c>
      <c r="B3613" s="8" t="n">
        <v>8506</v>
      </c>
      <c r="C3613" s="8" t="n">
        <v>8467</v>
      </c>
      <c r="D3613" s="8" t="n">
        <v>8541</v>
      </c>
      <c r="E3613" s="8" t="n">
        <v>8433</v>
      </c>
      <c r="F3613" s="8" t="n">
        <v>462487</v>
      </c>
      <c r="G3613" s="8" t="n">
        <v>420251</v>
      </c>
      <c r="H3613" s="8" t="n">
        <v>8542</v>
      </c>
      <c r="I3613" s="8" t="n">
        <v>8511</v>
      </c>
      <c r="J3613" s="8" t="n">
        <v>8575</v>
      </c>
      <c r="K3613" s="8" t="n">
        <v>8474</v>
      </c>
      <c r="L3613" s="8" t="n">
        <v>366059</v>
      </c>
      <c r="M3613" s="8" t="n">
        <v>335107</v>
      </c>
      <c r="N3613" t="inlineStr">
        <is>
          <t>是</t>
        </is>
      </c>
    </row>
    <row r="3614">
      <c r="A3614" s="7" t="inlineStr">
        <is>
          <t>2022-05-26</t>
        </is>
      </c>
      <c r="B3614" s="8" t="n">
        <v>8747</v>
      </c>
      <c r="C3614" s="8" t="n">
        <v>8530</v>
      </c>
      <c r="D3614" s="8" t="n">
        <v>8750</v>
      </c>
      <c r="E3614" s="8" t="n">
        <v>8494</v>
      </c>
      <c r="F3614" s="8" t="n">
        <v>751826</v>
      </c>
      <c r="G3614" s="8" t="n">
        <v>402734</v>
      </c>
      <c r="H3614" s="8" t="n">
        <v>8749</v>
      </c>
      <c r="I3614" s="8" t="n">
        <v>8540</v>
      </c>
      <c r="J3614" s="8" t="n">
        <v>8750</v>
      </c>
      <c r="K3614" s="8" t="n">
        <v>8525</v>
      </c>
      <c r="L3614" s="8" t="n">
        <v>562210</v>
      </c>
      <c r="M3614" s="8" t="n">
        <v>320342</v>
      </c>
      <c r="N3614" t="inlineStr">
        <is>
          <t>是</t>
        </is>
      </c>
    </row>
    <row r="3615">
      <c r="A3615" s="7" t="inlineStr">
        <is>
          <t>2022-05-27</t>
        </is>
      </c>
      <c r="B3615" s="8" t="n">
        <v>8725</v>
      </c>
      <c r="C3615" s="8" t="n">
        <v>8730</v>
      </c>
      <c r="D3615" s="8" t="n">
        <v>8783</v>
      </c>
      <c r="E3615" s="8" t="n">
        <v>8658</v>
      </c>
      <c r="F3615" s="8" t="n">
        <v>565332</v>
      </c>
      <c r="G3615" s="8" t="n">
        <v>380211</v>
      </c>
      <c r="H3615" s="8" t="n">
        <v>8794</v>
      </c>
      <c r="I3615" s="8" t="n">
        <v>8749</v>
      </c>
      <c r="J3615" s="8" t="n">
        <v>8850</v>
      </c>
      <c r="K3615" s="8" t="n">
        <v>8725</v>
      </c>
      <c r="L3615" s="8" t="n">
        <v>485478</v>
      </c>
      <c r="M3615" s="8" t="n">
        <v>305951</v>
      </c>
      <c r="N3615" t="inlineStr">
        <is>
          <t>是</t>
        </is>
      </c>
    </row>
    <row r="3616">
      <c r="A3616" s="7" t="inlineStr">
        <is>
          <t>2022-05-30</t>
        </is>
      </c>
      <c r="B3616" s="8" t="n">
        <v>8801</v>
      </c>
      <c r="C3616" s="8" t="n">
        <v>8725</v>
      </c>
      <c r="D3616" s="8" t="n">
        <v>8806</v>
      </c>
      <c r="E3616" s="8" t="n">
        <v>8709</v>
      </c>
      <c r="F3616" s="8" t="n">
        <v>501471</v>
      </c>
      <c r="G3616" s="8" t="n">
        <v>388219</v>
      </c>
      <c r="H3616" s="8" t="n">
        <v>8874</v>
      </c>
      <c r="I3616" s="8" t="n">
        <v>8794</v>
      </c>
      <c r="J3616" s="8" t="n">
        <v>8880</v>
      </c>
      <c r="K3616" s="8" t="n">
        <v>8747</v>
      </c>
      <c r="L3616" s="8" t="n">
        <v>381533</v>
      </c>
      <c r="M3616" s="8" t="n">
        <v>326296</v>
      </c>
      <c r="N3616" t="inlineStr">
        <is>
          <t>是</t>
        </is>
      </c>
    </row>
    <row r="3617">
      <c r="A3617" s="7" t="inlineStr">
        <is>
          <t>2022-05-31</t>
        </is>
      </c>
      <c r="B3617" s="8" t="n">
        <v>8902</v>
      </c>
      <c r="C3617" s="8" t="n">
        <v>8796</v>
      </c>
      <c r="D3617" s="8" t="n">
        <v>8910</v>
      </c>
      <c r="E3617" s="8" t="n">
        <v>8766</v>
      </c>
      <c r="F3617" s="8" t="n">
        <v>449643</v>
      </c>
      <c r="G3617" s="8" t="n">
        <v>400145</v>
      </c>
      <c r="H3617" s="8" t="n">
        <v>8996</v>
      </c>
      <c r="I3617" s="8" t="n">
        <v>8874</v>
      </c>
      <c r="J3617" s="8" t="n">
        <v>9003</v>
      </c>
      <c r="K3617" s="8" t="n">
        <v>8854</v>
      </c>
      <c r="L3617" s="8" t="n">
        <v>360704</v>
      </c>
      <c r="M3617" s="8" t="n">
        <v>340537</v>
      </c>
      <c r="N3617" t="inlineStr">
        <is>
          <t>是</t>
        </is>
      </c>
    </row>
    <row r="3618">
      <c r="A3618" s="7" t="inlineStr">
        <is>
          <t>2022-06-01</t>
        </is>
      </c>
      <c r="B3618" s="8" t="n">
        <v>8908</v>
      </c>
      <c r="C3618" s="8" t="n">
        <v>8902</v>
      </c>
      <c r="D3618" s="8" t="n">
        <v>8925</v>
      </c>
      <c r="E3618" s="8" t="n">
        <v>8814</v>
      </c>
      <c r="F3618" s="8" t="n">
        <v>445370</v>
      </c>
      <c r="G3618" s="8" t="n">
        <v>408731</v>
      </c>
      <c r="H3618" s="8" t="n">
        <v>9015</v>
      </c>
      <c r="I3618" s="8" t="n">
        <v>9003</v>
      </c>
      <c r="J3618" s="8" t="n">
        <v>9033</v>
      </c>
      <c r="K3618" s="8" t="n">
        <v>8927</v>
      </c>
      <c r="L3618" s="8" t="n">
        <v>363585</v>
      </c>
      <c r="M3618" s="8" t="n">
        <v>349446</v>
      </c>
      <c r="N3618" t="inlineStr">
        <is>
          <t>是</t>
        </is>
      </c>
    </row>
    <row r="3619">
      <c r="A3619" s="7" t="inlineStr">
        <is>
          <t>2022-06-02</t>
        </is>
      </c>
      <c r="B3619" s="8" t="n">
        <v>8890</v>
      </c>
      <c r="C3619" s="8" t="n">
        <v>8910</v>
      </c>
      <c r="D3619" s="8" t="n">
        <v>8967</v>
      </c>
      <c r="E3619" s="8" t="n">
        <v>8835</v>
      </c>
      <c r="F3619" s="8" t="n">
        <v>514870</v>
      </c>
      <c r="G3619" s="8" t="n">
        <v>410986</v>
      </c>
      <c r="H3619" s="8" t="n">
        <v>9048</v>
      </c>
      <c r="I3619" s="8" t="n">
        <v>9020</v>
      </c>
      <c r="J3619" s="8" t="n">
        <v>9093</v>
      </c>
      <c r="K3619" s="8" t="n">
        <v>8966</v>
      </c>
      <c r="L3619" s="8" t="n">
        <v>494356</v>
      </c>
      <c r="M3619" s="8" t="n">
        <v>356990</v>
      </c>
      <c r="N3619" t="inlineStr">
        <is>
          <t>是</t>
        </is>
      </c>
    </row>
    <row r="3620">
      <c r="A3620" s="7" t="inlineStr">
        <is>
          <t>2022-06-06</t>
        </is>
      </c>
      <c r="B3620" s="8" t="n">
        <v>8926</v>
      </c>
      <c r="C3620" s="8" t="n">
        <v>8980</v>
      </c>
      <c r="D3620" s="8" t="n">
        <v>9034</v>
      </c>
      <c r="E3620" s="8" t="n">
        <v>8904</v>
      </c>
      <c r="F3620" s="8" t="n">
        <v>432621</v>
      </c>
      <c r="G3620" s="8" t="n">
        <v>417988</v>
      </c>
      <c r="H3620" s="8" t="n">
        <v>9023</v>
      </c>
      <c r="I3620" s="8" t="n">
        <v>9118</v>
      </c>
      <c r="J3620" s="8" t="n">
        <v>9171</v>
      </c>
      <c r="K3620" s="8" t="n">
        <v>9017</v>
      </c>
      <c r="L3620" s="8" t="n">
        <v>382868</v>
      </c>
      <c r="M3620" s="8" t="n">
        <v>370964</v>
      </c>
      <c r="N3620" t="inlineStr">
        <is>
          <t>是</t>
        </is>
      </c>
    </row>
    <row r="3621">
      <c r="A3621" s="7" t="inlineStr">
        <is>
          <t>2022-06-07</t>
        </is>
      </c>
      <c r="B3621" s="8" t="n">
        <v>8915</v>
      </c>
      <c r="C3621" s="8" t="n">
        <v>8926</v>
      </c>
      <c r="D3621" s="8" t="n">
        <v>8998</v>
      </c>
      <c r="E3621" s="8" t="n">
        <v>8873</v>
      </c>
      <c r="F3621" s="8" t="n">
        <v>486157</v>
      </c>
      <c r="G3621" s="8" t="n">
        <v>429121</v>
      </c>
      <c r="H3621" s="8" t="n">
        <v>9051</v>
      </c>
      <c r="I3621" s="8" t="n">
        <v>9023</v>
      </c>
      <c r="J3621" s="8" t="n">
        <v>9126</v>
      </c>
      <c r="K3621" s="8" t="n">
        <v>9006</v>
      </c>
      <c r="L3621" s="8" t="n">
        <v>366905</v>
      </c>
      <c r="M3621" s="8" t="n">
        <v>374338</v>
      </c>
      <c r="N3621" t="inlineStr">
        <is>
          <t>是</t>
        </is>
      </c>
    </row>
    <row r="3622">
      <c r="A3622" s="7" t="inlineStr">
        <is>
          <t>2022-06-08</t>
        </is>
      </c>
      <c r="B3622" s="8" t="n">
        <v>9005</v>
      </c>
      <c r="C3622" s="8" t="n">
        <v>8910</v>
      </c>
      <c r="D3622" s="8" t="n">
        <v>9025</v>
      </c>
      <c r="E3622" s="8" t="n">
        <v>8848</v>
      </c>
      <c r="F3622" s="8" t="n">
        <v>547847</v>
      </c>
      <c r="G3622" s="8" t="n">
        <v>439548</v>
      </c>
      <c r="H3622" s="8" t="n">
        <v>9144</v>
      </c>
      <c r="I3622" s="8" t="n">
        <v>9051</v>
      </c>
      <c r="J3622" s="8" t="n">
        <v>9167</v>
      </c>
      <c r="K3622" s="8" t="n">
        <v>9005</v>
      </c>
      <c r="L3622" s="8" t="n">
        <v>421609</v>
      </c>
      <c r="M3622" s="8" t="n">
        <v>386862</v>
      </c>
      <c r="N3622" t="inlineStr">
        <is>
          <t>是</t>
        </is>
      </c>
    </row>
    <row r="3623">
      <c r="A3623" s="7" t="inlineStr">
        <is>
          <t>2022-06-09</t>
        </is>
      </c>
      <c r="B3623" s="8" t="n">
        <v>8972</v>
      </c>
      <c r="C3623" s="8" t="n">
        <v>9031</v>
      </c>
      <c r="D3623" s="8" t="n">
        <v>9124</v>
      </c>
      <c r="E3623" s="8" t="n">
        <v>8958</v>
      </c>
      <c r="F3623" s="8" t="n">
        <v>599388</v>
      </c>
      <c r="G3623" s="8" t="n">
        <v>434590</v>
      </c>
      <c r="H3623" s="8" t="n">
        <v>9118</v>
      </c>
      <c r="I3623" s="8" t="n">
        <v>9189</v>
      </c>
      <c r="J3623" s="8" t="n">
        <v>9250</v>
      </c>
      <c r="K3623" s="8" t="n">
        <v>9104</v>
      </c>
      <c r="L3623" s="8" t="n">
        <v>442246</v>
      </c>
      <c r="M3623" s="8" t="n">
        <v>386532</v>
      </c>
      <c r="N3623" t="inlineStr">
        <is>
          <t>是</t>
        </is>
      </c>
    </row>
    <row r="3624">
      <c r="A3624" s="7" t="inlineStr">
        <is>
          <t>2022-06-10</t>
        </is>
      </c>
      <c r="B3624" s="8" t="n">
        <v>8928</v>
      </c>
      <c r="C3624" s="8" t="n">
        <v>8970</v>
      </c>
      <c r="D3624" s="8" t="n">
        <v>8986</v>
      </c>
      <c r="E3624" s="8" t="n">
        <v>8866</v>
      </c>
      <c r="F3624" s="8" t="n">
        <v>491446</v>
      </c>
      <c r="G3624" s="8" t="n">
        <v>423802</v>
      </c>
      <c r="H3624" s="8" t="n">
        <v>9110</v>
      </c>
      <c r="I3624" s="8" t="n">
        <v>9123</v>
      </c>
      <c r="J3624" s="8" t="n">
        <v>9146</v>
      </c>
      <c r="K3624" s="8" t="n">
        <v>9054</v>
      </c>
      <c r="L3624" s="8" t="n">
        <v>388981</v>
      </c>
      <c r="M3624" s="8" t="n">
        <v>394719</v>
      </c>
      <c r="N3624" t="inlineStr">
        <is>
          <t>是</t>
        </is>
      </c>
    </row>
    <row r="3625">
      <c r="A3625" s="7" t="inlineStr">
        <is>
          <t>2022-06-13</t>
        </is>
      </c>
      <c r="B3625" s="8" t="n">
        <v>8810</v>
      </c>
      <c r="C3625" s="8" t="n">
        <v>8922</v>
      </c>
      <c r="D3625" s="8" t="n">
        <v>8963</v>
      </c>
      <c r="E3625" s="8" t="n">
        <v>8777</v>
      </c>
      <c r="F3625" s="8" t="n">
        <v>625567</v>
      </c>
      <c r="G3625" s="8" t="n">
        <v>410232</v>
      </c>
      <c r="H3625" s="8" t="n">
        <v>8982</v>
      </c>
      <c r="I3625" s="8" t="n">
        <v>9139</v>
      </c>
      <c r="J3625" s="8" t="n">
        <v>9178</v>
      </c>
      <c r="K3625" s="8" t="n">
        <v>8952</v>
      </c>
      <c r="L3625" s="8" t="n">
        <v>616111</v>
      </c>
      <c r="M3625" s="8" t="n">
        <v>390348</v>
      </c>
      <c r="N3625" t="inlineStr">
        <is>
          <t>是</t>
        </is>
      </c>
    </row>
    <row r="3626">
      <c r="A3626" s="7" t="inlineStr">
        <is>
          <t>2022-06-14</t>
        </is>
      </c>
      <c r="B3626" s="8" t="n">
        <v>8805</v>
      </c>
      <c r="C3626" s="8" t="n">
        <v>8820</v>
      </c>
      <c r="D3626" s="8" t="n">
        <v>8843</v>
      </c>
      <c r="E3626" s="8" t="n">
        <v>8741</v>
      </c>
      <c r="F3626" s="8" t="n">
        <v>513525</v>
      </c>
      <c r="G3626" s="8" t="n">
        <v>398868</v>
      </c>
      <c r="H3626" s="8" t="n">
        <v>8959</v>
      </c>
      <c r="I3626" s="8" t="n">
        <v>8980</v>
      </c>
      <c r="J3626" s="8" t="n">
        <v>9028</v>
      </c>
      <c r="K3626" s="8" t="n">
        <v>8902</v>
      </c>
      <c r="L3626" s="8" t="n">
        <v>417797</v>
      </c>
      <c r="M3626" s="8" t="n">
        <v>395965</v>
      </c>
      <c r="N3626" t="inlineStr">
        <is>
          <t>是</t>
        </is>
      </c>
    </row>
    <row r="3627">
      <c r="A3627" s="7" t="inlineStr">
        <is>
          <t>2022-06-15</t>
        </is>
      </c>
      <c r="B3627" s="8" t="n">
        <v>8715</v>
      </c>
      <c r="C3627" s="8" t="n">
        <v>8820</v>
      </c>
      <c r="D3627" s="8" t="n">
        <v>8848</v>
      </c>
      <c r="E3627" s="8" t="n">
        <v>8708</v>
      </c>
      <c r="F3627" s="8" t="n">
        <v>522305</v>
      </c>
      <c r="G3627" s="8" t="n">
        <v>383858</v>
      </c>
      <c r="H3627" s="8" t="n">
        <v>8889</v>
      </c>
      <c r="I3627" s="8" t="n">
        <v>8978</v>
      </c>
      <c r="J3627" s="8" t="n">
        <v>9025</v>
      </c>
      <c r="K3627" s="8" t="n">
        <v>8885</v>
      </c>
      <c r="L3627" s="8" t="n">
        <v>423273</v>
      </c>
      <c r="M3627" s="8" t="n">
        <v>384386</v>
      </c>
      <c r="N3627" t="inlineStr">
        <is>
          <t>是</t>
        </is>
      </c>
    </row>
    <row r="3628">
      <c r="A3628" s="7" t="inlineStr">
        <is>
          <t>2022-06-16</t>
        </is>
      </c>
      <c r="B3628" s="8" t="n">
        <v>8619</v>
      </c>
      <c r="C3628" s="8" t="n">
        <v>8739</v>
      </c>
      <c r="D3628" s="8" t="n">
        <v>8754</v>
      </c>
      <c r="E3628" s="8" t="n">
        <v>8616</v>
      </c>
      <c r="F3628" s="8" t="n">
        <v>499707</v>
      </c>
      <c r="G3628" s="8" t="n">
        <v>383129</v>
      </c>
      <c r="H3628" s="8" t="n">
        <v>8751</v>
      </c>
      <c r="I3628" s="8" t="n">
        <v>8860</v>
      </c>
      <c r="J3628" s="8" t="n">
        <v>8907</v>
      </c>
      <c r="K3628" s="8" t="n">
        <v>8748</v>
      </c>
      <c r="L3628" s="8" t="n">
        <v>422232</v>
      </c>
      <c r="M3628" s="8" t="n">
        <v>377697</v>
      </c>
      <c r="N3628" t="inlineStr">
        <is>
          <t>是</t>
        </is>
      </c>
    </row>
    <row r="3629">
      <c r="A3629" s="7" t="inlineStr">
        <is>
          <t>2022-06-17</t>
        </is>
      </c>
      <c r="B3629" s="8" t="n">
        <v>8551</v>
      </c>
      <c r="C3629" s="8" t="n">
        <v>8600</v>
      </c>
      <c r="D3629" s="8" t="n">
        <v>8636</v>
      </c>
      <c r="E3629" s="8" t="n">
        <v>8539</v>
      </c>
      <c r="F3629" s="8" t="n">
        <v>530588</v>
      </c>
      <c r="G3629" s="8" t="n">
        <v>383475</v>
      </c>
      <c r="H3629" s="8" t="n">
        <v>8698</v>
      </c>
      <c r="I3629" s="8" t="n">
        <v>8720</v>
      </c>
      <c r="J3629" s="8" t="n">
        <v>8785</v>
      </c>
      <c r="K3629" s="8" t="n">
        <v>8658</v>
      </c>
      <c r="L3629" s="8" t="n">
        <v>468864</v>
      </c>
      <c r="M3629" s="8" t="n">
        <v>347557</v>
      </c>
      <c r="N3629" t="inlineStr">
        <is>
          <t>是</t>
        </is>
      </c>
    </row>
    <row r="3630">
      <c r="A3630" s="7" t="inlineStr">
        <is>
          <t>2022-06-20</t>
        </is>
      </c>
      <c r="B3630" s="8" t="n">
        <v>8513</v>
      </c>
      <c r="C3630" s="8" t="n">
        <v>8551</v>
      </c>
      <c r="D3630" s="8" t="n">
        <v>8585</v>
      </c>
      <c r="E3630" s="8" t="n">
        <v>8482</v>
      </c>
      <c r="F3630" s="8" t="n">
        <v>521670</v>
      </c>
      <c r="G3630" s="8" t="n">
        <v>389112</v>
      </c>
      <c r="H3630" s="8" t="n">
        <v>8592</v>
      </c>
      <c r="I3630" s="8" t="n">
        <v>8698</v>
      </c>
      <c r="J3630" s="8" t="n">
        <v>8717</v>
      </c>
      <c r="K3630" s="8" t="n">
        <v>8582</v>
      </c>
      <c r="L3630" s="8" t="n">
        <v>447554</v>
      </c>
      <c r="M3630" s="8" t="n">
        <v>335389</v>
      </c>
      <c r="N3630" t="inlineStr">
        <is>
          <t>是</t>
        </is>
      </c>
    </row>
    <row r="3631">
      <c r="A3631" s="7" t="inlineStr">
        <is>
          <t>2022-06-21</t>
        </is>
      </c>
      <c r="B3631" s="8" t="n">
        <v>8526</v>
      </c>
      <c r="C3631" s="8" t="n">
        <v>8515</v>
      </c>
      <c r="D3631" s="8" t="n">
        <v>8563</v>
      </c>
      <c r="E3631" s="8" t="n">
        <v>8461</v>
      </c>
      <c r="F3631" s="8" t="n">
        <v>431225</v>
      </c>
      <c r="G3631" s="8" t="n">
        <v>391443</v>
      </c>
      <c r="H3631" s="8" t="n">
        <v>8578</v>
      </c>
      <c r="I3631" s="8" t="n">
        <v>8590</v>
      </c>
      <c r="J3631" s="8" t="n">
        <v>8658</v>
      </c>
      <c r="K3631" s="8" t="n">
        <v>8543</v>
      </c>
      <c r="L3631" s="8" t="n">
        <v>370124</v>
      </c>
      <c r="M3631" s="8" t="n">
        <v>325231</v>
      </c>
      <c r="N3631" t="inlineStr">
        <is>
          <t>是</t>
        </is>
      </c>
    </row>
    <row r="3632">
      <c r="A3632" s="7" t="inlineStr">
        <is>
          <t>2022-06-22</t>
        </is>
      </c>
      <c r="B3632" s="8" t="n">
        <v>8447</v>
      </c>
      <c r="C3632" s="8" t="n">
        <v>8540</v>
      </c>
      <c r="D3632" s="8" t="n">
        <v>8583</v>
      </c>
      <c r="E3632" s="8" t="n">
        <v>8447</v>
      </c>
      <c r="F3632" s="8" t="n">
        <v>466194</v>
      </c>
      <c r="G3632" s="8" t="n">
        <v>402763</v>
      </c>
      <c r="H3632" s="8" t="n">
        <v>8482</v>
      </c>
      <c r="I3632" s="8" t="n">
        <v>8565</v>
      </c>
      <c r="J3632" s="8" t="n">
        <v>8638</v>
      </c>
      <c r="K3632" s="8" t="n">
        <v>8480</v>
      </c>
      <c r="L3632" s="8" t="n">
        <v>378020</v>
      </c>
      <c r="M3632" s="8" t="n">
        <v>328144</v>
      </c>
      <c r="N3632" t="inlineStr">
        <is>
          <t>是</t>
        </is>
      </c>
    </row>
    <row r="3633">
      <c r="A3633" s="7" t="inlineStr">
        <is>
          <t>2022-06-23</t>
        </is>
      </c>
      <c r="B3633" s="8" t="n">
        <v>8431</v>
      </c>
      <c r="C3633" s="8" t="n">
        <v>8421</v>
      </c>
      <c r="D3633" s="8" t="n">
        <v>8489</v>
      </c>
      <c r="E3633" s="8" t="n">
        <v>8353</v>
      </c>
      <c r="F3633" s="8" t="n">
        <v>539861</v>
      </c>
      <c r="G3633" s="8" t="n">
        <v>417122</v>
      </c>
      <c r="H3633" s="8" t="n">
        <v>8481</v>
      </c>
      <c r="I3633" s="8" t="n">
        <v>8480</v>
      </c>
      <c r="J3633" s="8" t="n">
        <v>8527</v>
      </c>
      <c r="K3633" s="8" t="n">
        <v>8394</v>
      </c>
      <c r="L3633" s="8" t="n">
        <v>438275</v>
      </c>
      <c r="M3633" s="8" t="n">
        <v>333932</v>
      </c>
      <c r="N3633" t="inlineStr">
        <is>
          <t>是</t>
        </is>
      </c>
    </row>
    <row r="3634">
      <c r="A3634" s="7" t="inlineStr">
        <is>
          <t>2022-06-24</t>
        </is>
      </c>
      <c r="B3634" s="8" t="n">
        <v>8313</v>
      </c>
      <c r="C3634" s="8" t="n">
        <v>8450</v>
      </c>
      <c r="D3634" s="8" t="n">
        <v>8525</v>
      </c>
      <c r="E3634" s="8" t="n">
        <v>8305</v>
      </c>
      <c r="F3634" s="8" t="n">
        <v>578197</v>
      </c>
      <c r="G3634" s="8" t="n">
        <v>438501</v>
      </c>
      <c r="H3634" s="8" t="n">
        <v>8330</v>
      </c>
      <c r="I3634" s="8" t="n">
        <v>8490</v>
      </c>
      <c r="J3634" s="8" t="n">
        <v>8551</v>
      </c>
      <c r="K3634" s="8" t="n">
        <v>8320</v>
      </c>
      <c r="L3634" s="8" t="n">
        <v>469680</v>
      </c>
      <c r="M3634" s="8" t="n">
        <v>352595</v>
      </c>
      <c r="N3634" t="inlineStr">
        <is>
          <t>是</t>
        </is>
      </c>
    </row>
    <row r="3635">
      <c r="A3635" s="7" t="inlineStr">
        <is>
          <t>2022-06-27</t>
        </is>
      </c>
      <c r="B3635" s="8" t="n">
        <v>8439</v>
      </c>
      <c r="C3635" s="8" t="n">
        <v>8358</v>
      </c>
      <c r="D3635" s="8" t="n">
        <v>8507</v>
      </c>
      <c r="E3635" s="8" t="n">
        <v>8260</v>
      </c>
      <c r="F3635" s="8" t="n">
        <v>607446</v>
      </c>
      <c r="G3635" s="8" t="n">
        <v>420876</v>
      </c>
      <c r="H3635" s="8" t="n">
        <v>8438</v>
      </c>
      <c r="I3635" s="8" t="n">
        <v>8398</v>
      </c>
      <c r="J3635" s="8" t="n">
        <v>8516</v>
      </c>
      <c r="K3635" s="8" t="n">
        <v>8292</v>
      </c>
      <c r="L3635" s="8" t="n">
        <v>491923</v>
      </c>
      <c r="M3635" s="8" t="n">
        <v>332771</v>
      </c>
      <c r="N3635" t="inlineStr">
        <is>
          <t>是</t>
        </is>
      </c>
    </row>
    <row r="3636">
      <c r="A3636" s="7" t="inlineStr">
        <is>
          <t>2022-06-28</t>
        </is>
      </c>
      <c r="B3636" s="8" t="n">
        <v>8529</v>
      </c>
      <c r="C3636" s="8" t="n">
        <v>8440</v>
      </c>
      <c r="D3636" s="8" t="n">
        <v>8543</v>
      </c>
      <c r="E3636" s="8" t="n">
        <v>8426</v>
      </c>
      <c r="F3636" s="8" t="n">
        <v>432347</v>
      </c>
      <c r="G3636" s="8" t="n">
        <v>408680</v>
      </c>
      <c r="H3636" s="8" t="n">
        <v>8545</v>
      </c>
      <c r="I3636" s="8" t="n">
        <v>8438</v>
      </c>
      <c r="J3636" s="8" t="n">
        <v>8563</v>
      </c>
      <c r="K3636" s="8" t="n">
        <v>8421</v>
      </c>
      <c r="L3636" s="8" t="n">
        <v>389387</v>
      </c>
      <c r="M3636" s="8" t="n">
        <v>321525</v>
      </c>
      <c r="N3636" t="inlineStr">
        <is>
          <t>是</t>
        </is>
      </c>
    </row>
    <row r="3637">
      <c r="A3637" s="7" t="inlineStr">
        <is>
          <t>2022-06-29</t>
        </is>
      </c>
      <c r="B3637" s="8" t="n">
        <v>8488</v>
      </c>
      <c r="C3637" s="8" t="n">
        <v>8550</v>
      </c>
      <c r="D3637" s="8" t="n">
        <v>8555</v>
      </c>
      <c r="E3637" s="8" t="n">
        <v>8398</v>
      </c>
      <c r="F3637" s="8" t="n">
        <v>455733</v>
      </c>
      <c r="G3637" s="8" t="n">
        <v>406057</v>
      </c>
      <c r="H3637" s="8" t="n">
        <v>8503</v>
      </c>
      <c r="I3637" s="8" t="n">
        <v>8545</v>
      </c>
      <c r="J3637" s="8" t="n">
        <v>8558</v>
      </c>
      <c r="K3637" s="8" t="n">
        <v>8404</v>
      </c>
      <c r="L3637" s="8" t="n">
        <v>407169</v>
      </c>
      <c r="M3637" s="8" t="n">
        <v>328501</v>
      </c>
      <c r="N3637" t="inlineStr">
        <is>
          <t>是</t>
        </is>
      </c>
    </row>
    <row r="3638">
      <c r="A3638" s="7" t="inlineStr">
        <is>
          <t>2022-06-30</t>
        </is>
      </c>
      <c r="B3638" s="8" t="n">
        <v>8450</v>
      </c>
      <c r="C3638" s="8" t="n">
        <v>8521</v>
      </c>
      <c r="D3638" s="8" t="n">
        <v>8528</v>
      </c>
      <c r="E3638" s="8" t="n">
        <v>8424</v>
      </c>
      <c r="F3638" s="8" t="n">
        <v>439950</v>
      </c>
      <c r="G3638" s="8" t="n">
        <v>399345</v>
      </c>
      <c r="H3638" s="8" t="n">
        <v>8447</v>
      </c>
      <c r="I3638" s="8" t="n">
        <v>8530</v>
      </c>
      <c r="J3638" s="8" t="n">
        <v>8545</v>
      </c>
      <c r="K3638" s="8" t="n">
        <v>8431</v>
      </c>
      <c r="L3638" s="8" t="n">
        <v>426270</v>
      </c>
      <c r="M3638" s="8" t="n">
        <v>327388</v>
      </c>
      <c r="N3638" t="inlineStr">
        <is>
          <t>是</t>
        </is>
      </c>
    </row>
    <row r="3639">
      <c r="A3639" s="7" t="inlineStr">
        <is>
          <t>2022-07-01</t>
        </is>
      </c>
      <c r="B3639" s="8" t="n">
        <v>8341</v>
      </c>
      <c r="C3639" s="8" t="n">
        <v>8450</v>
      </c>
      <c r="D3639" s="8" t="n">
        <v>8450</v>
      </c>
      <c r="E3639" s="8" t="n">
        <v>8293</v>
      </c>
      <c r="F3639" s="8" t="n">
        <v>564200</v>
      </c>
      <c r="G3639" s="8" t="n">
        <v>436154</v>
      </c>
      <c r="H3639" s="8" t="n">
        <v>8341</v>
      </c>
      <c r="I3639" s="8" t="n">
        <v>8452</v>
      </c>
      <c r="J3639" s="8" t="n">
        <v>8452</v>
      </c>
      <c r="K3639" s="8" t="n">
        <v>8310</v>
      </c>
      <c r="L3639" s="8" t="n">
        <v>471681</v>
      </c>
      <c r="M3639" s="8" t="n">
        <v>339393</v>
      </c>
      <c r="N3639" t="inlineStr">
        <is>
          <t>是</t>
        </is>
      </c>
    </row>
    <row r="3640">
      <c r="A3640" s="7" t="inlineStr">
        <is>
          <t>2022-07-04</t>
        </is>
      </c>
      <c r="B3640" s="8" t="n">
        <v>8474</v>
      </c>
      <c r="C3640" s="8" t="n">
        <v>8374</v>
      </c>
      <c r="D3640" s="8" t="n">
        <v>8480</v>
      </c>
      <c r="E3640" s="8" t="n">
        <v>8298</v>
      </c>
      <c r="F3640" s="8" t="n">
        <v>477848</v>
      </c>
      <c r="G3640" s="8" t="n">
        <v>410850</v>
      </c>
      <c r="H3640" s="8" t="n">
        <v>8523</v>
      </c>
      <c r="I3640" s="8" t="n">
        <v>8371</v>
      </c>
      <c r="J3640" s="8" t="n">
        <v>8529</v>
      </c>
      <c r="K3640" s="8" t="n">
        <v>8311</v>
      </c>
      <c r="L3640" s="8" t="n">
        <v>428488</v>
      </c>
      <c r="M3640" s="8" t="n">
        <v>342095</v>
      </c>
      <c r="N3640" t="inlineStr">
        <is>
          <t>是</t>
        </is>
      </c>
    </row>
    <row r="3641">
      <c r="A3641" s="7" t="inlineStr">
        <is>
          <t>2022-07-05</t>
        </is>
      </c>
      <c r="B3641" s="8" t="n">
        <v>8432</v>
      </c>
      <c r="C3641" s="8" t="n">
        <v>8480</v>
      </c>
      <c r="D3641" s="8" t="n">
        <v>8498</v>
      </c>
      <c r="E3641" s="8" t="n">
        <v>8410</v>
      </c>
      <c r="F3641" s="8" t="n">
        <v>421263</v>
      </c>
      <c r="G3641" s="8" t="n">
        <v>397864</v>
      </c>
      <c r="H3641" s="8" t="n">
        <v>8504</v>
      </c>
      <c r="I3641" s="8" t="n">
        <v>8546</v>
      </c>
      <c r="J3641" s="8" t="n">
        <v>8598</v>
      </c>
      <c r="K3641" s="8" t="n">
        <v>8492</v>
      </c>
      <c r="L3641" s="8" t="n">
        <v>397788</v>
      </c>
      <c r="M3641" s="8" t="n">
        <v>329735</v>
      </c>
      <c r="N3641" t="inlineStr">
        <is>
          <t>是</t>
        </is>
      </c>
    </row>
    <row r="3642">
      <c r="A3642" s="7" t="inlineStr">
        <is>
          <t>2022-07-06</t>
        </is>
      </c>
      <c r="B3642" s="8" t="n">
        <v>8234</v>
      </c>
      <c r="C3642" s="8" t="n">
        <v>8400</v>
      </c>
      <c r="D3642" s="8" t="n">
        <v>8407</v>
      </c>
      <c r="E3642" s="8" t="n">
        <v>8111</v>
      </c>
      <c r="F3642" s="8" t="n">
        <v>712962</v>
      </c>
      <c r="G3642" s="8" t="n">
        <v>435046</v>
      </c>
      <c r="H3642" s="8" t="n">
        <v>8252</v>
      </c>
      <c r="I3642" s="8" t="n">
        <v>8496</v>
      </c>
      <c r="J3642" s="8" t="n">
        <v>8496</v>
      </c>
      <c r="K3642" s="8" t="n">
        <v>8132</v>
      </c>
      <c r="L3642" s="8" t="n">
        <v>604622</v>
      </c>
      <c r="M3642" s="8" t="n">
        <v>351641</v>
      </c>
      <c r="N3642" t="inlineStr">
        <is>
          <t>是</t>
        </is>
      </c>
    </row>
    <row r="3643">
      <c r="A3643" s="7" t="inlineStr">
        <is>
          <t>2022-07-07</t>
        </is>
      </c>
      <c r="B3643" s="8" t="n">
        <v>8212</v>
      </c>
      <c r="C3643" s="8" t="n">
        <v>8234</v>
      </c>
      <c r="D3643" s="8" t="n">
        <v>8315</v>
      </c>
      <c r="E3643" s="8" t="n">
        <v>8079</v>
      </c>
      <c r="F3643" s="8" t="n">
        <v>653496</v>
      </c>
      <c r="G3643" s="8" t="n">
        <v>427460</v>
      </c>
      <c r="H3643" s="8" t="n">
        <v>8208</v>
      </c>
      <c r="I3643" s="8" t="n">
        <v>8230</v>
      </c>
      <c r="J3643" s="8" t="n">
        <v>8280</v>
      </c>
      <c r="K3643" s="8" t="n">
        <v>8076</v>
      </c>
      <c r="L3643" s="8" t="n">
        <v>561112</v>
      </c>
      <c r="M3643" s="8" t="n">
        <v>354030</v>
      </c>
      <c r="N3643" t="inlineStr">
        <is>
          <t>是</t>
        </is>
      </c>
    </row>
    <row r="3644">
      <c r="A3644" s="7" t="inlineStr">
        <is>
          <t>2022-07-08</t>
        </is>
      </c>
      <c r="B3644" s="8" t="n">
        <v>8328</v>
      </c>
      <c r="C3644" s="8" t="n">
        <v>8244</v>
      </c>
      <c r="D3644" s="8" t="n">
        <v>8383</v>
      </c>
      <c r="E3644" s="8" t="n">
        <v>8244</v>
      </c>
      <c r="F3644" s="8" t="n">
        <v>509045</v>
      </c>
      <c r="G3644" s="8" t="n">
        <v>398881</v>
      </c>
      <c r="H3644" s="8" t="n">
        <v>8357</v>
      </c>
      <c r="I3644" s="8" t="n">
        <v>8248</v>
      </c>
      <c r="J3644" s="8" t="n">
        <v>8396</v>
      </c>
      <c r="K3644" s="8" t="n">
        <v>8241</v>
      </c>
      <c r="L3644" s="8" t="n">
        <v>414794</v>
      </c>
      <c r="M3644" s="8" t="n">
        <v>339066</v>
      </c>
      <c r="N3644" t="inlineStr">
        <is>
          <t>是</t>
        </is>
      </c>
    </row>
    <row r="3645">
      <c r="A3645" s="7" t="inlineStr">
        <is>
          <t>2022-07-11</t>
        </is>
      </c>
      <c r="B3645" s="8" t="n">
        <v>8130</v>
      </c>
      <c r="C3645" s="8" t="n">
        <v>8325</v>
      </c>
      <c r="D3645" s="8" t="n">
        <v>8357</v>
      </c>
      <c r="E3645" s="8" t="n">
        <v>8070</v>
      </c>
      <c r="F3645" s="8" t="n">
        <v>640688</v>
      </c>
      <c r="G3645" s="8" t="n">
        <v>420045</v>
      </c>
      <c r="H3645" s="8" t="n">
        <v>8148</v>
      </c>
      <c r="I3645" s="8" t="n">
        <v>8324</v>
      </c>
      <c r="J3645" s="8" t="n">
        <v>8368</v>
      </c>
      <c r="K3645" s="8" t="n">
        <v>8084</v>
      </c>
      <c r="L3645" s="8" t="n">
        <v>476508</v>
      </c>
      <c r="M3645" s="8" t="n">
        <v>348320</v>
      </c>
      <c r="N3645" t="inlineStr">
        <is>
          <t>是</t>
        </is>
      </c>
    </row>
    <row r="3646">
      <c r="A3646" s="7" t="inlineStr">
        <is>
          <t>2022-07-12</t>
        </is>
      </c>
      <c r="B3646" s="8" t="n">
        <v>8036</v>
      </c>
      <c r="C3646" s="8" t="n">
        <v>8088</v>
      </c>
      <c r="D3646" s="8" t="n">
        <v>8122</v>
      </c>
      <c r="E3646" s="8" t="n">
        <v>7988</v>
      </c>
      <c r="F3646" s="8" t="n">
        <v>547510</v>
      </c>
      <c r="G3646" s="8" t="n">
        <v>421482</v>
      </c>
      <c r="H3646" s="8" t="n">
        <v>8023</v>
      </c>
      <c r="I3646" s="8" t="n">
        <v>8115</v>
      </c>
      <c r="J3646" s="8" t="n">
        <v>8121</v>
      </c>
      <c r="K3646" s="8" t="n">
        <v>7971</v>
      </c>
      <c r="L3646" s="8" t="n">
        <v>476590</v>
      </c>
      <c r="M3646" s="8" t="n">
        <v>365959</v>
      </c>
      <c r="N3646" t="inlineStr">
        <is>
          <t>是</t>
        </is>
      </c>
    </row>
    <row r="3647">
      <c r="A3647" s="7" t="inlineStr">
        <is>
          <t>2022-07-13</t>
        </is>
      </c>
      <c r="B3647" s="8" t="n">
        <v>7989</v>
      </c>
      <c r="C3647" s="8" t="n">
        <v>7950</v>
      </c>
      <c r="D3647" s="8" t="n">
        <v>8032</v>
      </c>
      <c r="E3647" s="8" t="n">
        <v>7883</v>
      </c>
      <c r="F3647" s="8" t="n">
        <v>607445</v>
      </c>
      <c r="G3647" s="8" t="n">
        <v>423152</v>
      </c>
      <c r="H3647" s="8" t="n">
        <v>7948</v>
      </c>
      <c r="I3647" s="8" t="n">
        <v>7980</v>
      </c>
      <c r="J3647" s="8" t="n">
        <v>8039</v>
      </c>
      <c r="K3647" s="8" t="n">
        <v>7851</v>
      </c>
      <c r="L3647" s="8" t="n">
        <v>504551</v>
      </c>
      <c r="M3647" s="8" t="n">
        <v>365260</v>
      </c>
      <c r="N3647" t="inlineStr">
        <is>
          <t>是</t>
        </is>
      </c>
    </row>
    <row r="3648">
      <c r="A3648" s="7" t="inlineStr">
        <is>
          <t>2022-07-14</t>
        </is>
      </c>
      <c r="B3648" s="8" t="n">
        <v>7970</v>
      </c>
      <c r="C3648" s="8" t="n">
        <v>7950</v>
      </c>
      <c r="D3648" s="8" t="n">
        <v>8047</v>
      </c>
      <c r="E3648" s="8" t="n">
        <v>7912</v>
      </c>
      <c r="F3648" s="8" t="n">
        <v>482187</v>
      </c>
      <c r="G3648" s="8" t="n">
        <v>416566</v>
      </c>
      <c r="H3648" s="8" t="n">
        <v>7922</v>
      </c>
      <c r="I3648" s="8" t="n">
        <v>7900</v>
      </c>
      <c r="J3648" s="8" t="n">
        <v>8024</v>
      </c>
      <c r="K3648" s="8" t="n">
        <v>7864</v>
      </c>
      <c r="L3648" s="8" t="n">
        <v>368759</v>
      </c>
      <c r="M3648" s="8" t="n">
        <v>365243</v>
      </c>
      <c r="N3648" t="inlineStr">
        <is>
          <t>是</t>
        </is>
      </c>
    </row>
    <row r="3649">
      <c r="A3649" s="7" t="inlineStr">
        <is>
          <t>2022-07-15</t>
        </is>
      </c>
      <c r="B3649" s="8" t="n">
        <v>7681</v>
      </c>
      <c r="C3649" s="8" t="n">
        <v>7920</v>
      </c>
      <c r="D3649" s="8" t="n">
        <v>7948</v>
      </c>
      <c r="E3649" s="8" t="n">
        <v>7673</v>
      </c>
      <c r="F3649" s="8" t="n">
        <v>687208</v>
      </c>
      <c r="G3649" s="8" t="n">
        <v>426581</v>
      </c>
      <c r="H3649" s="8" t="n">
        <v>7568</v>
      </c>
      <c r="I3649" s="8" t="n">
        <v>7900</v>
      </c>
      <c r="J3649" s="8" t="n">
        <v>7900</v>
      </c>
      <c r="K3649" s="8" t="n">
        <v>7557</v>
      </c>
      <c r="L3649" s="8" t="n">
        <v>518706</v>
      </c>
      <c r="M3649" s="8" t="n">
        <v>388122</v>
      </c>
      <c r="N3649" t="inlineStr">
        <is>
          <t>是</t>
        </is>
      </c>
    </row>
    <row r="3650">
      <c r="A3650" s="7" t="inlineStr">
        <is>
          <t>2022-07-18</t>
        </is>
      </c>
      <c r="B3650" s="8" t="n">
        <v>8021</v>
      </c>
      <c r="C3650" s="8" t="n">
        <v>7733</v>
      </c>
      <c r="D3650" s="8" t="n">
        <v>8023</v>
      </c>
      <c r="E3650" s="8" t="n">
        <v>7679</v>
      </c>
      <c r="F3650" s="8" t="n">
        <v>746643</v>
      </c>
      <c r="G3650" s="8" t="n">
        <v>389764</v>
      </c>
      <c r="H3650" s="8" t="n">
        <v>7927</v>
      </c>
      <c r="I3650" s="8" t="n">
        <v>7635</v>
      </c>
      <c r="J3650" s="8" t="n">
        <v>7930</v>
      </c>
      <c r="K3650" s="8" t="n">
        <v>7543</v>
      </c>
      <c r="L3650" s="8" t="n">
        <v>699587</v>
      </c>
      <c r="M3650" s="8" t="n">
        <v>369126</v>
      </c>
      <c r="N3650" t="inlineStr">
        <is>
          <t>是</t>
        </is>
      </c>
    </row>
    <row r="3651">
      <c r="A3651" s="7" t="inlineStr">
        <is>
          <t>2022-07-19</t>
        </is>
      </c>
      <c r="B3651" s="8" t="n">
        <v>7942</v>
      </c>
      <c r="C3651" s="8" t="n">
        <v>8000</v>
      </c>
      <c r="D3651" s="8" t="n">
        <v>8094</v>
      </c>
      <c r="E3651" s="8" t="n">
        <v>7895</v>
      </c>
      <c r="F3651" s="8" t="n">
        <v>544720</v>
      </c>
      <c r="G3651" s="8" t="n">
        <v>378918</v>
      </c>
      <c r="H3651" s="8" t="n">
        <v>7857</v>
      </c>
      <c r="I3651" s="8" t="n">
        <v>7932</v>
      </c>
      <c r="J3651" s="8" t="n">
        <v>8023</v>
      </c>
      <c r="K3651" s="8" t="n">
        <v>7787</v>
      </c>
      <c r="L3651" s="8" t="n">
        <v>527034</v>
      </c>
      <c r="M3651" s="8" t="n">
        <v>364346</v>
      </c>
      <c r="N3651" t="inlineStr">
        <is>
          <t>是</t>
        </is>
      </c>
    </row>
    <row r="3652">
      <c r="A3652" s="7" t="inlineStr">
        <is>
          <t>2022-07-20</t>
        </is>
      </c>
      <c r="B3652" s="8" t="n">
        <v>7896</v>
      </c>
      <c r="C3652" s="8" t="n">
        <v>7919</v>
      </c>
      <c r="D3652" s="8" t="n">
        <v>8063</v>
      </c>
      <c r="E3652" s="8" t="n">
        <v>7862</v>
      </c>
      <c r="F3652" s="8" t="n">
        <v>635317</v>
      </c>
      <c r="G3652" s="8" t="n">
        <v>381587</v>
      </c>
      <c r="H3652" s="8" t="n">
        <v>7850</v>
      </c>
      <c r="I3652" s="8" t="n">
        <v>7827</v>
      </c>
      <c r="J3652" s="8" t="n">
        <v>7993</v>
      </c>
      <c r="K3652" s="8" t="n">
        <v>7781</v>
      </c>
      <c r="L3652" s="8" t="n">
        <v>536630</v>
      </c>
      <c r="M3652" s="8" t="n">
        <v>351432</v>
      </c>
      <c r="N3652" t="inlineStr">
        <is>
          <t>是</t>
        </is>
      </c>
    </row>
    <row r="3653">
      <c r="A3653" s="7" t="inlineStr">
        <is>
          <t>2022-07-21</t>
        </is>
      </c>
      <c r="B3653" s="8" t="n">
        <v>7704</v>
      </c>
      <c r="C3653" s="8" t="n">
        <v>7802</v>
      </c>
      <c r="D3653" s="8" t="n">
        <v>7865</v>
      </c>
      <c r="E3653" s="8" t="n">
        <v>7640</v>
      </c>
      <c r="F3653" s="8" t="n">
        <v>763390</v>
      </c>
      <c r="G3653" s="8" t="n">
        <v>421388</v>
      </c>
      <c r="H3653" s="8" t="n">
        <v>7675</v>
      </c>
      <c r="I3653" s="8" t="n">
        <v>7844</v>
      </c>
      <c r="J3653" s="8" t="n">
        <v>7844</v>
      </c>
      <c r="K3653" s="8" t="n">
        <v>7635</v>
      </c>
      <c r="L3653" s="8" t="n">
        <v>533595</v>
      </c>
      <c r="M3653" s="8" t="n">
        <v>362640</v>
      </c>
      <c r="N3653" t="inlineStr">
        <is>
          <t>是</t>
        </is>
      </c>
    </row>
    <row r="3654">
      <c r="A3654" s="7" t="inlineStr">
        <is>
          <t>2022-07-22</t>
        </is>
      </c>
      <c r="B3654" s="8" t="n">
        <v>7750</v>
      </c>
      <c r="C3654" s="8" t="n">
        <v>7620</v>
      </c>
      <c r="D3654" s="8" t="n">
        <v>7754</v>
      </c>
      <c r="E3654" s="8" t="n">
        <v>7608</v>
      </c>
      <c r="F3654" s="8" t="n">
        <v>633503</v>
      </c>
      <c r="G3654" s="8" t="n">
        <v>414504</v>
      </c>
      <c r="H3654" s="8" t="n">
        <v>7729</v>
      </c>
      <c r="I3654" s="8" t="n">
        <v>7632</v>
      </c>
      <c r="J3654" s="8" t="n">
        <v>7738</v>
      </c>
      <c r="K3654" s="8" t="n">
        <v>7581</v>
      </c>
      <c r="L3654" s="8" t="n">
        <v>504593</v>
      </c>
      <c r="M3654" s="8" t="n">
        <v>358452</v>
      </c>
      <c r="N3654" t="inlineStr">
        <is>
          <t>是</t>
        </is>
      </c>
    </row>
    <row r="3655">
      <c r="A3655" s="7" t="inlineStr">
        <is>
          <t>2022-07-25</t>
        </is>
      </c>
      <c r="B3655" s="8" t="n">
        <v>7812</v>
      </c>
      <c r="C3655" s="8" t="n">
        <v>7700</v>
      </c>
      <c r="D3655" s="8" t="n">
        <v>7898</v>
      </c>
      <c r="E3655" s="8" t="n">
        <v>7700</v>
      </c>
      <c r="F3655" s="8" t="n">
        <v>589847</v>
      </c>
      <c r="G3655" s="8" t="n">
        <v>384699</v>
      </c>
      <c r="H3655" s="8" t="n">
        <v>7825</v>
      </c>
      <c r="I3655" s="8" t="n">
        <v>7690</v>
      </c>
      <c r="J3655" s="8" t="n">
        <v>7890</v>
      </c>
      <c r="K3655" s="8" t="n">
        <v>7685</v>
      </c>
      <c r="L3655" s="8" t="n">
        <v>496226</v>
      </c>
      <c r="M3655" s="8" t="n">
        <v>334113</v>
      </c>
      <c r="N3655" t="inlineStr">
        <is>
          <t>是</t>
        </is>
      </c>
    </row>
    <row r="3656">
      <c r="A3656" s="7" t="inlineStr">
        <is>
          <t>2022-07-26</t>
        </is>
      </c>
      <c r="B3656" s="8" t="n">
        <v>7935</v>
      </c>
      <c r="C3656" s="8" t="n">
        <v>7845</v>
      </c>
      <c r="D3656" s="8" t="n">
        <v>7990</v>
      </c>
      <c r="E3656" s="8" t="n">
        <v>7793</v>
      </c>
      <c r="F3656" s="8" t="n">
        <v>539646</v>
      </c>
      <c r="G3656" s="8" t="n">
        <v>366134</v>
      </c>
      <c r="H3656" s="8" t="n">
        <v>7906</v>
      </c>
      <c r="I3656" s="8" t="n">
        <v>7865</v>
      </c>
      <c r="J3656" s="8" t="n">
        <v>7955</v>
      </c>
      <c r="K3656" s="8" t="n">
        <v>7785</v>
      </c>
      <c r="L3656" s="8" t="n">
        <v>418607</v>
      </c>
      <c r="M3656" s="8" t="n">
        <v>319436</v>
      </c>
      <c r="N3656" t="inlineStr">
        <is>
          <t>是</t>
        </is>
      </c>
    </row>
    <row r="3657">
      <c r="A3657" s="7" t="inlineStr">
        <is>
          <t>2022-07-27</t>
        </is>
      </c>
      <c r="B3657" s="8" t="n">
        <v>7929</v>
      </c>
      <c r="C3657" s="8" t="n">
        <v>7935</v>
      </c>
      <c r="D3657" s="8" t="n">
        <v>7963</v>
      </c>
      <c r="E3657" s="8" t="n">
        <v>7871</v>
      </c>
      <c r="F3657" s="8" t="n">
        <v>430947</v>
      </c>
      <c r="G3657" s="8" t="n">
        <v>358506</v>
      </c>
      <c r="H3657" s="8" t="n">
        <v>7912</v>
      </c>
      <c r="I3657" s="8" t="n">
        <v>7890</v>
      </c>
      <c r="J3657" s="8" t="n">
        <v>7954</v>
      </c>
      <c r="K3657" s="8" t="n">
        <v>7842</v>
      </c>
      <c r="L3657" s="8" t="n">
        <v>340433</v>
      </c>
      <c r="M3657" s="8" t="n">
        <v>313736</v>
      </c>
      <c r="N3657" t="inlineStr">
        <is>
          <t>是</t>
        </is>
      </c>
    </row>
    <row r="3658">
      <c r="A3658" s="7" t="inlineStr">
        <is>
          <t>2022-07-28</t>
        </is>
      </c>
      <c r="B3658" s="8" t="n">
        <v>8097</v>
      </c>
      <c r="C3658" s="8" t="n">
        <v>7950</v>
      </c>
      <c r="D3658" s="8" t="n">
        <v>8118</v>
      </c>
      <c r="E3658" s="8" t="n">
        <v>7932</v>
      </c>
      <c r="F3658" s="8" t="n">
        <v>543270</v>
      </c>
      <c r="G3658" s="8" t="n">
        <v>341150</v>
      </c>
      <c r="H3658" s="8" t="n">
        <v>8059</v>
      </c>
      <c r="I3658" s="8" t="n">
        <v>7930</v>
      </c>
      <c r="J3658" s="8" t="n">
        <v>8083</v>
      </c>
      <c r="K3658" s="8" t="n">
        <v>7907</v>
      </c>
      <c r="L3658" s="8" t="n">
        <v>423159</v>
      </c>
      <c r="M3658" s="8" t="n">
        <v>300364</v>
      </c>
      <c r="N3658" t="inlineStr">
        <is>
          <t>是</t>
        </is>
      </c>
    </row>
    <row r="3659">
      <c r="A3659" s="7" t="inlineStr">
        <is>
          <t>2022-07-29</t>
        </is>
      </c>
      <c r="B3659" s="8" t="n">
        <v>8141</v>
      </c>
      <c r="C3659" s="8" t="n">
        <v>8097</v>
      </c>
      <c r="D3659" s="8" t="n">
        <v>8165</v>
      </c>
      <c r="E3659" s="8" t="n">
        <v>8061</v>
      </c>
      <c r="F3659" s="8" t="n">
        <v>504821</v>
      </c>
      <c r="G3659" s="8" t="n">
        <v>333669</v>
      </c>
      <c r="H3659" s="8" t="n">
        <v>8105</v>
      </c>
      <c r="I3659" s="8" t="n">
        <v>8059</v>
      </c>
      <c r="J3659" s="8" t="n">
        <v>8137</v>
      </c>
      <c r="K3659" s="8" t="n">
        <v>8041</v>
      </c>
      <c r="L3659" s="8" t="n">
        <v>338505</v>
      </c>
      <c r="M3659" s="8" t="n">
        <v>290767</v>
      </c>
      <c r="N3659" t="inlineStr">
        <is>
          <t>是</t>
        </is>
      </c>
    </row>
    <row r="3660">
      <c r="A3660" s="7" t="inlineStr">
        <is>
          <t>2022-08-01</t>
        </is>
      </c>
      <c r="B3660" s="8" t="n">
        <v>8088</v>
      </c>
      <c r="C3660" s="8" t="n">
        <v>8135</v>
      </c>
      <c r="D3660" s="8" t="n">
        <v>8208</v>
      </c>
      <c r="E3660" s="8" t="n">
        <v>8042</v>
      </c>
      <c r="F3660" s="8" t="n">
        <v>551155</v>
      </c>
      <c r="G3660" s="8" t="n">
        <v>328063</v>
      </c>
      <c r="H3660" s="8" t="n">
        <v>8086</v>
      </c>
      <c r="I3660" s="8" t="n">
        <v>8110</v>
      </c>
      <c r="J3660" s="8" t="n">
        <v>8185</v>
      </c>
      <c r="K3660" s="8" t="n">
        <v>8028</v>
      </c>
      <c r="L3660" s="8" t="n">
        <v>430472</v>
      </c>
      <c r="M3660" s="8" t="n">
        <v>284320</v>
      </c>
      <c r="N3660" t="inlineStr">
        <is>
          <t>是</t>
        </is>
      </c>
    </row>
    <row r="3661">
      <c r="A3661" s="7" t="inlineStr">
        <is>
          <t>2022-08-02</t>
        </is>
      </c>
      <c r="B3661" s="8" t="n">
        <v>8121</v>
      </c>
      <c r="C3661" s="8" t="n">
        <v>8088</v>
      </c>
      <c r="D3661" s="8" t="n">
        <v>8134</v>
      </c>
      <c r="E3661" s="8" t="n">
        <v>8024</v>
      </c>
      <c r="F3661" s="8" t="n">
        <v>576860</v>
      </c>
      <c r="G3661" s="8" t="n">
        <v>318554</v>
      </c>
      <c r="H3661" s="8" t="n">
        <v>8079</v>
      </c>
      <c r="I3661" s="8" t="n">
        <v>8040</v>
      </c>
      <c r="J3661" s="8" t="n">
        <v>8116</v>
      </c>
      <c r="K3661" s="8" t="n">
        <v>8000</v>
      </c>
      <c r="L3661" s="8" t="n">
        <v>421979</v>
      </c>
      <c r="M3661" s="8" t="n">
        <v>271330</v>
      </c>
      <c r="N3661" t="inlineStr">
        <is>
          <t>是</t>
        </is>
      </c>
    </row>
    <row r="3662">
      <c r="A3662" s="7" t="inlineStr">
        <is>
          <t>2022-08-03</t>
        </is>
      </c>
      <c r="B3662" s="8" t="n">
        <v>8098</v>
      </c>
      <c r="C3662" s="8" t="n">
        <v>8140</v>
      </c>
      <c r="D3662" s="8" t="n">
        <v>8166</v>
      </c>
      <c r="E3662" s="8" t="n">
        <v>8078</v>
      </c>
      <c r="F3662" s="8" t="n">
        <v>490675</v>
      </c>
      <c r="G3662" s="8" t="n">
        <v>305548</v>
      </c>
      <c r="H3662" s="8" t="n">
        <v>8044</v>
      </c>
      <c r="I3662" s="8" t="n">
        <v>8080</v>
      </c>
      <c r="J3662" s="8" t="n">
        <v>8125</v>
      </c>
      <c r="K3662" s="8" t="n">
        <v>8034</v>
      </c>
      <c r="L3662" s="8" t="n">
        <v>377003</v>
      </c>
      <c r="M3662" s="8" t="n">
        <v>265724</v>
      </c>
      <c r="N3662" t="inlineStr">
        <is>
          <t>是</t>
        </is>
      </c>
    </row>
    <row r="3663">
      <c r="A3663" s="7" t="inlineStr">
        <is>
          <t>2022-08-04</t>
        </is>
      </c>
      <c r="B3663" s="8" t="n">
        <v>7925</v>
      </c>
      <c r="C3663" s="8" t="n">
        <v>8159</v>
      </c>
      <c r="D3663" s="8" t="n">
        <v>8159</v>
      </c>
      <c r="E3663" s="8" t="n">
        <v>7887</v>
      </c>
      <c r="F3663" s="8" t="n">
        <v>502590</v>
      </c>
      <c r="G3663" s="8" t="n">
        <v>306736</v>
      </c>
      <c r="H3663" s="8" t="n">
        <v>7842</v>
      </c>
      <c r="I3663" s="8" t="n">
        <v>8073</v>
      </c>
      <c r="J3663" s="8" t="n">
        <v>8090</v>
      </c>
      <c r="K3663" s="8" t="n">
        <v>7803</v>
      </c>
      <c r="L3663" s="8" t="n">
        <v>434720</v>
      </c>
      <c r="M3663" s="8" t="n">
        <v>278096</v>
      </c>
      <c r="N3663" t="inlineStr">
        <is>
          <t>是</t>
        </is>
      </c>
    </row>
    <row r="3664">
      <c r="A3664" s="7" t="inlineStr">
        <is>
          <t>2022-08-05</t>
        </is>
      </c>
      <c r="B3664" s="8" t="n">
        <v>7883</v>
      </c>
      <c r="C3664" s="8" t="n">
        <v>7925</v>
      </c>
      <c r="D3664" s="8" t="n">
        <v>7928</v>
      </c>
      <c r="E3664" s="8" t="n">
        <v>7822</v>
      </c>
      <c r="F3664" s="8" t="n">
        <v>476398</v>
      </c>
      <c r="G3664" s="8" t="n">
        <v>298282</v>
      </c>
      <c r="H3664" s="8" t="n">
        <v>7787</v>
      </c>
      <c r="I3664" s="8" t="n">
        <v>7842</v>
      </c>
      <c r="J3664" s="8" t="n">
        <v>7863</v>
      </c>
      <c r="K3664" s="8" t="n">
        <v>7748</v>
      </c>
      <c r="L3664" s="8" t="n">
        <v>346714</v>
      </c>
      <c r="M3664" s="8" t="n">
        <v>276059</v>
      </c>
      <c r="N3664" t="inlineStr">
        <is>
          <t>是</t>
        </is>
      </c>
    </row>
    <row r="3665">
      <c r="A3665" s="7" t="inlineStr">
        <is>
          <t>2022-08-08</t>
        </is>
      </c>
      <c r="B3665" s="8" t="n">
        <v>8014</v>
      </c>
      <c r="C3665" s="8" t="n">
        <v>7882</v>
      </c>
      <c r="D3665" s="8" t="n">
        <v>8070</v>
      </c>
      <c r="E3665" s="8" t="n">
        <v>7833</v>
      </c>
      <c r="F3665" s="8" t="n">
        <v>555365</v>
      </c>
      <c r="G3665" s="8" t="n">
        <v>271861</v>
      </c>
      <c r="H3665" s="8" t="n">
        <v>7951</v>
      </c>
      <c r="I3665" s="8" t="n">
        <v>7741</v>
      </c>
      <c r="J3665" s="8" t="n">
        <v>7969</v>
      </c>
      <c r="K3665" s="8" t="n">
        <v>7727</v>
      </c>
      <c r="L3665" s="8" t="n">
        <v>356594</v>
      </c>
      <c r="M3665" s="8" t="n">
        <v>258113</v>
      </c>
      <c r="N3665" t="inlineStr">
        <is>
          <t>是</t>
        </is>
      </c>
    </row>
    <row r="3666">
      <c r="A3666" s="7" t="inlineStr">
        <is>
          <t>2022-08-09</t>
        </is>
      </c>
      <c r="B3666" s="8" t="n">
        <v>7949</v>
      </c>
      <c r="C3666" s="8" t="n">
        <v>7957</v>
      </c>
      <c r="D3666" s="8" t="n">
        <v>8035</v>
      </c>
      <c r="E3666" s="8" t="n">
        <v>7928</v>
      </c>
      <c r="F3666" s="8" t="n">
        <v>380434</v>
      </c>
      <c r="G3666" s="8" t="n">
        <v>264698</v>
      </c>
      <c r="H3666" s="8" t="n">
        <v>7885</v>
      </c>
      <c r="I3666" s="8" t="n">
        <v>7930</v>
      </c>
      <c r="J3666" s="8" t="n">
        <v>7979</v>
      </c>
      <c r="K3666" s="8" t="n">
        <v>7871</v>
      </c>
      <c r="L3666" s="8" t="n">
        <v>276351</v>
      </c>
      <c r="M3666" s="8" t="n">
        <v>246866</v>
      </c>
      <c r="N3666" t="inlineStr">
        <is>
          <t>是</t>
        </is>
      </c>
    </row>
    <row r="3667">
      <c r="A3667" s="7" t="inlineStr">
        <is>
          <t>2022-08-10</t>
        </is>
      </c>
      <c r="B3667" s="8" t="n">
        <v>7846</v>
      </c>
      <c r="C3667" s="8" t="n">
        <v>7990</v>
      </c>
      <c r="D3667" s="8" t="n">
        <v>8003</v>
      </c>
      <c r="E3667" s="8" t="n">
        <v>7831</v>
      </c>
      <c r="F3667" s="8" t="n">
        <v>423293</v>
      </c>
      <c r="G3667" s="8" t="n">
        <v>256494</v>
      </c>
      <c r="H3667" s="8" t="n">
        <v>7770</v>
      </c>
      <c r="I3667" s="8" t="n">
        <v>7922</v>
      </c>
      <c r="J3667" s="8" t="n">
        <v>7970</v>
      </c>
      <c r="K3667" s="8" t="n">
        <v>7755</v>
      </c>
      <c r="L3667" s="8" t="n">
        <v>316266</v>
      </c>
      <c r="M3667" s="8" t="n">
        <v>236283</v>
      </c>
      <c r="N3667" t="inlineStr">
        <is>
          <t>是</t>
        </is>
      </c>
    </row>
    <row r="3668">
      <c r="A3668" s="7" t="inlineStr">
        <is>
          <t>2022-08-11</t>
        </is>
      </c>
      <c r="B3668" s="8" t="n">
        <v>7920</v>
      </c>
      <c r="C3668" s="8" t="n">
        <v>7858</v>
      </c>
      <c r="D3668" s="8" t="n">
        <v>7954</v>
      </c>
      <c r="E3668" s="8" t="n">
        <v>7858</v>
      </c>
      <c r="F3668" s="8" t="n">
        <v>392368</v>
      </c>
      <c r="G3668" s="8" t="n">
        <v>236887</v>
      </c>
      <c r="H3668" s="8" t="n">
        <v>7861</v>
      </c>
      <c r="I3668" s="8" t="n">
        <v>7770</v>
      </c>
      <c r="J3668" s="8" t="n">
        <v>7894</v>
      </c>
      <c r="K3668" s="8" t="n">
        <v>7770</v>
      </c>
      <c r="L3668" s="8" t="n">
        <v>289392</v>
      </c>
      <c r="M3668" s="8" t="n">
        <v>207430</v>
      </c>
      <c r="N3668" t="inlineStr">
        <is>
          <t>是</t>
        </is>
      </c>
    </row>
    <row r="3669">
      <c r="A3669" s="7" t="inlineStr">
        <is>
          <t>2022-08-12</t>
        </is>
      </c>
      <c r="B3669" s="8" t="n">
        <v>7928</v>
      </c>
      <c r="C3669" s="8" t="n">
        <v>7950</v>
      </c>
      <c r="D3669" s="8" t="n">
        <v>7957</v>
      </c>
      <c r="E3669" s="8" t="n">
        <v>7880</v>
      </c>
      <c r="F3669" s="8" t="n">
        <v>342354</v>
      </c>
      <c r="G3669" s="8" t="n">
        <v>225447</v>
      </c>
      <c r="H3669" s="8" t="n">
        <v>7852</v>
      </c>
      <c r="I3669" s="8" t="n">
        <v>7862</v>
      </c>
      <c r="J3669" s="8" t="n">
        <v>7894</v>
      </c>
      <c r="K3669" s="8" t="n">
        <v>7778</v>
      </c>
      <c r="L3669" s="8" t="n">
        <v>291479</v>
      </c>
      <c r="M3669" s="8" t="n">
        <v>200888</v>
      </c>
      <c r="N3669" t="inlineStr">
        <is>
          <t>是</t>
        </is>
      </c>
    </row>
    <row r="3670">
      <c r="A3670" s="7" t="inlineStr">
        <is>
          <t>2022-08-15</t>
        </is>
      </c>
      <c r="B3670" s="8" t="n">
        <v>7891</v>
      </c>
      <c r="C3670" s="8" t="n">
        <v>7890</v>
      </c>
      <c r="D3670" s="8" t="n">
        <v>8061</v>
      </c>
      <c r="E3670" s="8" t="n">
        <v>7861</v>
      </c>
      <c r="F3670" s="8" t="n">
        <v>481974</v>
      </c>
      <c r="G3670" s="8" t="n">
        <v>214804</v>
      </c>
      <c r="H3670" s="8" t="n">
        <v>7796</v>
      </c>
      <c r="I3670" s="8" t="n">
        <v>7840</v>
      </c>
      <c r="J3670" s="8" t="n">
        <v>7987</v>
      </c>
      <c r="K3670" s="8" t="n">
        <v>7782</v>
      </c>
      <c r="L3670" s="8" t="n">
        <v>343824</v>
      </c>
      <c r="M3670" s="8" t="n">
        <v>187762</v>
      </c>
      <c r="N3670" t="inlineStr">
        <is>
          <t>是</t>
        </is>
      </c>
    </row>
    <row r="3671">
      <c r="A3671" s="7" t="inlineStr">
        <is>
          <t>2022-08-16</t>
        </is>
      </c>
      <c r="B3671" s="8" t="n">
        <v>7824</v>
      </c>
      <c r="C3671" s="8" t="n">
        <v>7845</v>
      </c>
      <c r="D3671" s="8" t="n">
        <v>7905</v>
      </c>
      <c r="E3671" s="8" t="n">
        <v>7786</v>
      </c>
      <c r="F3671" s="8" t="n">
        <v>431568</v>
      </c>
      <c r="G3671" s="8" t="n">
        <v>187290</v>
      </c>
      <c r="H3671" s="8" t="n">
        <v>7699</v>
      </c>
      <c r="I3671" s="8" t="n">
        <v>7723</v>
      </c>
      <c r="J3671" s="8" t="n">
        <v>7811</v>
      </c>
      <c r="K3671" s="8" t="n">
        <v>7683</v>
      </c>
      <c r="L3671" s="8" t="n">
        <v>291359</v>
      </c>
      <c r="M3671" s="8" t="n">
        <v>179579</v>
      </c>
      <c r="N3671" t="inlineStr">
        <is>
          <t>是</t>
        </is>
      </c>
    </row>
    <row r="3672">
      <c r="A3672" s="7" t="inlineStr">
        <is>
          <t>2022-08-17</t>
        </is>
      </c>
      <c r="B3672" s="8" t="n">
        <v>7725</v>
      </c>
      <c r="C3672" s="8" t="n">
        <v>7869</v>
      </c>
      <c r="D3672" s="8" t="n">
        <v>7869</v>
      </c>
      <c r="E3672" s="8" t="n">
        <v>7722</v>
      </c>
      <c r="F3672" s="8" t="n">
        <v>354544</v>
      </c>
      <c r="G3672" s="8" t="n">
        <v>164459</v>
      </c>
      <c r="H3672" s="8" t="n">
        <v>7608</v>
      </c>
      <c r="I3672" s="8" t="n">
        <v>7699</v>
      </c>
      <c r="J3672" s="8" t="n">
        <v>7763</v>
      </c>
      <c r="K3672" s="8" t="n">
        <v>7602</v>
      </c>
      <c r="L3672" s="8" t="n">
        <v>289449</v>
      </c>
      <c r="M3672" s="8" t="n">
        <v>154072</v>
      </c>
      <c r="N3672" t="inlineStr">
        <is>
          <t>是</t>
        </is>
      </c>
    </row>
    <row r="3673">
      <c r="A3673" s="7" t="inlineStr">
        <is>
          <t>2022-08-18</t>
        </is>
      </c>
      <c r="B3673" s="8" t="n">
        <v>7762</v>
      </c>
      <c r="C3673" s="8" t="n">
        <v>7730</v>
      </c>
      <c r="D3673" s="8" t="n">
        <v>7845</v>
      </c>
      <c r="E3673" s="8" t="n">
        <v>7710</v>
      </c>
      <c r="F3673" s="8" t="n">
        <v>302770</v>
      </c>
      <c r="G3673" s="8" t="n">
        <v>129962</v>
      </c>
      <c r="H3673" s="8" t="n">
        <v>7611</v>
      </c>
      <c r="I3673" s="8" t="n">
        <v>7600</v>
      </c>
      <c r="J3673" s="8" t="n">
        <v>7727</v>
      </c>
      <c r="K3673" s="8" t="n">
        <v>7592</v>
      </c>
      <c r="L3673" s="8" t="n">
        <v>208317</v>
      </c>
      <c r="M3673" s="8" t="n">
        <v>116083</v>
      </c>
      <c r="N3673" t="inlineStr">
        <is>
          <t>是</t>
        </is>
      </c>
    </row>
    <row r="3674">
      <c r="A3674" s="7" t="inlineStr">
        <is>
          <t>2022-08-19</t>
        </is>
      </c>
      <c r="B3674" s="8" t="n">
        <v>7829</v>
      </c>
      <c r="C3674" s="8" t="n">
        <v>7797</v>
      </c>
      <c r="D3674" s="8" t="n">
        <v>7866</v>
      </c>
      <c r="E3674" s="8" t="n">
        <v>7764</v>
      </c>
      <c r="F3674" s="8" t="n">
        <v>230483</v>
      </c>
      <c r="G3674" s="8" t="n">
        <v>112422</v>
      </c>
      <c r="H3674" s="8" t="n">
        <v>7491</v>
      </c>
      <c r="I3674" s="8" t="n">
        <v>7455</v>
      </c>
      <c r="J3674" s="8" t="n">
        <v>7514</v>
      </c>
      <c r="K3674" s="8" t="n">
        <v>7411</v>
      </c>
      <c r="L3674" s="8" t="n">
        <v>375395</v>
      </c>
      <c r="M3674" s="8" t="n">
        <v>311751</v>
      </c>
      <c r="N3674" t="inlineStr">
        <is>
          <t>是</t>
        </is>
      </c>
    </row>
    <row r="3675">
      <c r="A3675" s="7" t="inlineStr">
        <is>
          <t>2022-08-22</t>
        </is>
      </c>
      <c r="B3675" s="8" t="n">
        <v>7576</v>
      </c>
      <c r="C3675" s="8" t="n">
        <v>7535</v>
      </c>
      <c r="D3675" s="8" t="n">
        <v>7685</v>
      </c>
      <c r="E3675" s="8" t="n">
        <v>7503</v>
      </c>
      <c r="F3675" s="8" t="n">
        <v>512638</v>
      </c>
      <c r="G3675" s="8" t="n">
        <v>369334</v>
      </c>
      <c r="H3675" s="8" t="n">
        <v>7480</v>
      </c>
      <c r="I3675" s="8" t="n">
        <v>7470</v>
      </c>
      <c r="J3675" s="8" t="n">
        <v>7587</v>
      </c>
      <c r="K3675" s="8" t="n">
        <v>7452</v>
      </c>
      <c r="L3675" s="8" t="n">
        <v>386571</v>
      </c>
      <c r="M3675" s="8" t="n">
        <v>318758</v>
      </c>
      <c r="N3675" t="inlineStr">
        <is>
          <t>是</t>
        </is>
      </c>
    </row>
    <row r="3676">
      <c r="A3676" s="7" t="inlineStr">
        <is>
          <t>2022-08-23</t>
        </is>
      </c>
      <c r="B3676" s="8" t="n">
        <v>7574</v>
      </c>
      <c r="C3676" s="8" t="n">
        <v>7576</v>
      </c>
      <c r="D3676" s="8" t="n">
        <v>7646</v>
      </c>
      <c r="E3676" s="8" t="n">
        <v>7506</v>
      </c>
      <c r="F3676" s="8" t="n">
        <v>463283</v>
      </c>
      <c r="G3676" s="8" t="n">
        <v>388331</v>
      </c>
      <c r="H3676" s="8" t="n">
        <v>7489</v>
      </c>
      <c r="I3676" s="8" t="n">
        <v>7500</v>
      </c>
      <c r="J3676" s="8" t="n">
        <v>7577</v>
      </c>
      <c r="K3676" s="8" t="n">
        <v>7450</v>
      </c>
      <c r="L3676" s="8" t="n">
        <v>314696</v>
      </c>
      <c r="M3676" s="8" t="n">
        <v>330549</v>
      </c>
      <c r="N3676" t="inlineStr">
        <is>
          <t>是</t>
        </is>
      </c>
    </row>
    <row r="3677">
      <c r="A3677" s="7" t="inlineStr">
        <is>
          <t>2022-08-24</t>
        </is>
      </c>
      <c r="B3677" s="8" t="n">
        <v>7675</v>
      </c>
      <c r="C3677" s="8" t="n">
        <v>7600</v>
      </c>
      <c r="D3677" s="8" t="n">
        <v>7678</v>
      </c>
      <c r="E3677" s="8" t="n">
        <v>7572</v>
      </c>
      <c r="F3677" s="8" t="n">
        <v>506083</v>
      </c>
      <c r="G3677" s="8" t="n">
        <v>378727</v>
      </c>
      <c r="H3677" s="8" t="n">
        <v>7605</v>
      </c>
      <c r="I3677" s="8" t="n">
        <v>7500</v>
      </c>
      <c r="J3677" s="8" t="n">
        <v>7609</v>
      </c>
      <c r="K3677" s="8" t="n">
        <v>7486</v>
      </c>
      <c r="L3677" s="8" t="n">
        <v>364402</v>
      </c>
      <c r="M3677" s="8" t="n">
        <v>327519</v>
      </c>
      <c r="N3677" t="inlineStr">
        <is>
          <t>是</t>
        </is>
      </c>
    </row>
    <row r="3678">
      <c r="A3678" s="7" t="inlineStr">
        <is>
          <t>2022-08-25</t>
        </is>
      </c>
      <c r="B3678" s="8" t="n">
        <v>7729</v>
      </c>
      <c r="C3678" s="8" t="n">
        <v>7678</v>
      </c>
      <c r="D3678" s="8" t="n">
        <v>7777</v>
      </c>
      <c r="E3678" s="8" t="n">
        <v>7678</v>
      </c>
      <c r="F3678" s="8" t="n">
        <v>502172</v>
      </c>
      <c r="G3678" s="8" t="n">
        <v>376801</v>
      </c>
      <c r="H3678" s="8" t="n">
        <v>7632</v>
      </c>
      <c r="I3678" s="8" t="n">
        <v>7605</v>
      </c>
      <c r="J3678" s="8" t="n">
        <v>7694</v>
      </c>
      <c r="K3678" s="8" t="n">
        <v>7605</v>
      </c>
      <c r="L3678" s="8" t="n">
        <v>363135</v>
      </c>
      <c r="M3678" s="8" t="n">
        <v>323889</v>
      </c>
      <c r="N3678" t="inlineStr">
        <is>
          <t>是</t>
        </is>
      </c>
    </row>
    <row r="3679">
      <c r="A3679" s="7" t="inlineStr">
        <is>
          <t>2022-08-26</t>
        </is>
      </c>
      <c r="B3679" s="8" t="n">
        <v>7840</v>
      </c>
      <c r="C3679" s="8" t="n">
        <v>7750</v>
      </c>
      <c r="D3679" s="8" t="n">
        <v>7850</v>
      </c>
      <c r="E3679" s="8" t="n">
        <v>7714</v>
      </c>
      <c r="F3679" s="8" t="n">
        <v>508253</v>
      </c>
      <c r="G3679" s="8" t="n">
        <v>381912</v>
      </c>
      <c r="H3679" s="8" t="n">
        <v>7735</v>
      </c>
      <c r="I3679" s="8" t="n">
        <v>7640</v>
      </c>
      <c r="J3679" s="8" t="n">
        <v>7739</v>
      </c>
      <c r="K3679" s="8" t="n">
        <v>7630</v>
      </c>
      <c r="L3679" s="8" t="n">
        <v>360465</v>
      </c>
      <c r="M3679" s="8" t="n">
        <v>315713</v>
      </c>
      <c r="N3679" t="inlineStr">
        <is>
          <t>是</t>
        </is>
      </c>
    </row>
    <row r="3680">
      <c r="A3680" s="7" t="inlineStr">
        <is>
          <t>2022-08-29</t>
        </is>
      </c>
      <c r="B3680" s="8" t="n">
        <v>7789</v>
      </c>
      <c r="C3680" s="8" t="n">
        <v>7840</v>
      </c>
      <c r="D3680" s="8" t="n">
        <v>7866</v>
      </c>
      <c r="E3680" s="8" t="n">
        <v>7756</v>
      </c>
      <c r="F3680" s="8" t="n">
        <v>490334</v>
      </c>
      <c r="G3680" s="8" t="n">
        <v>390014</v>
      </c>
      <c r="H3680" s="8" t="n">
        <v>7690</v>
      </c>
      <c r="I3680" s="8" t="n">
        <v>7735</v>
      </c>
      <c r="J3680" s="8" t="n">
        <v>7786</v>
      </c>
      <c r="K3680" s="8" t="n">
        <v>7666</v>
      </c>
      <c r="L3680" s="8" t="n">
        <v>387642</v>
      </c>
      <c r="M3680" s="8" t="n">
        <v>318297</v>
      </c>
      <c r="N3680" t="inlineStr">
        <is>
          <t>是</t>
        </is>
      </c>
    </row>
    <row r="3681">
      <c r="A3681" s="7" t="inlineStr">
        <is>
          <t>2022-08-30</t>
        </is>
      </c>
      <c r="B3681" s="8" t="n">
        <v>7853</v>
      </c>
      <c r="C3681" s="8" t="n">
        <v>7789</v>
      </c>
      <c r="D3681" s="8" t="n">
        <v>7900</v>
      </c>
      <c r="E3681" s="8" t="n">
        <v>7786</v>
      </c>
      <c r="F3681" s="8" t="n">
        <v>495884</v>
      </c>
      <c r="G3681" s="8" t="n">
        <v>403950</v>
      </c>
      <c r="H3681" s="8" t="n">
        <v>7729</v>
      </c>
      <c r="I3681" s="8" t="n">
        <v>7698</v>
      </c>
      <c r="J3681" s="8" t="n">
        <v>7792</v>
      </c>
      <c r="K3681" s="8" t="n">
        <v>7678</v>
      </c>
      <c r="L3681" s="8" t="n">
        <v>340733</v>
      </c>
      <c r="M3681" s="8" t="n">
        <v>331683</v>
      </c>
      <c r="N3681" t="inlineStr">
        <is>
          <t>是</t>
        </is>
      </c>
    </row>
    <row r="3682">
      <c r="A3682" s="7" t="inlineStr">
        <is>
          <t>2022-08-31</t>
        </is>
      </c>
      <c r="B3682" s="8" t="n">
        <v>7778</v>
      </c>
      <c r="C3682" s="8" t="n">
        <v>7828</v>
      </c>
      <c r="D3682" s="8" t="n">
        <v>7866</v>
      </c>
      <c r="E3682" s="8" t="n">
        <v>7734</v>
      </c>
      <c r="F3682" s="8" t="n">
        <v>521085</v>
      </c>
      <c r="G3682" s="8" t="n">
        <v>399369</v>
      </c>
      <c r="H3682" s="8" t="n">
        <v>7660</v>
      </c>
      <c r="I3682" s="8" t="n">
        <v>7700</v>
      </c>
      <c r="J3682" s="8" t="n">
        <v>7741</v>
      </c>
      <c r="K3682" s="8" t="n">
        <v>7624</v>
      </c>
      <c r="L3682" s="8" t="n">
        <v>355888</v>
      </c>
      <c r="M3682" s="8" t="n">
        <v>339030</v>
      </c>
      <c r="N3682" t="inlineStr">
        <is>
          <t>是</t>
        </is>
      </c>
    </row>
    <row r="3683">
      <c r="A3683" s="7" t="inlineStr">
        <is>
          <t>2022-09-01</t>
        </is>
      </c>
      <c r="B3683" s="8" t="n">
        <v>7779</v>
      </c>
      <c r="C3683" s="8" t="n">
        <v>7748</v>
      </c>
      <c r="D3683" s="8" t="n">
        <v>7818</v>
      </c>
      <c r="E3683" s="8" t="n">
        <v>7738</v>
      </c>
      <c r="F3683" s="8" t="n">
        <v>403565</v>
      </c>
      <c r="G3683" s="8" t="n">
        <v>399449</v>
      </c>
      <c r="H3683" s="8" t="n">
        <v>7737</v>
      </c>
      <c r="I3683" s="8" t="n">
        <v>7640</v>
      </c>
      <c r="J3683" s="8" t="n">
        <v>7747</v>
      </c>
      <c r="K3683" s="8" t="n">
        <v>7620</v>
      </c>
      <c r="L3683" s="8" t="n">
        <v>334171</v>
      </c>
      <c r="M3683" s="8" t="n">
        <v>341197</v>
      </c>
      <c r="N3683" t="inlineStr">
        <is>
          <t>是</t>
        </is>
      </c>
    </row>
    <row r="3684">
      <c r="A3684" s="7" t="inlineStr">
        <is>
          <t>2022-09-02</t>
        </is>
      </c>
      <c r="B3684" s="8" t="n">
        <v>7789</v>
      </c>
      <c r="C3684" s="8" t="n">
        <v>7770</v>
      </c>
      <c r="D3684" s="8" t="n">
        <v>7839</v>
      </c>
      <c r="E3684" s="8" t="n">
        <v>7675</v>
      </c>
      <c r="F3684" s="8" t="n">
        <v>651926</v>
      </c>
      <c r="G3684" s="8" t="n">
        <v>400154</v>
      </c>
      <c r="H3684" s="8" t="n">
        <v>7787</v>
      </c>
      <c r="I3684" s="8" t="n">
        <v>7710</v>
      </c>
      <c r="J3684" s="8" t="n">
        <v>7814</v>
      </c>
      <c r="K3684" s="8" t="n">
        <v>7670</v>
      </c>
      <c r="L3684" s="8" t="n">
        <v>540411</v>
      </c>
      <c r="M3684" s="8" t="n">
        <v>352115</v>
      </c>
      <c r="N3684" t="inlineStr">
        <is>
          <t>是</t>
        </is>
      </c>
    </row>
    <row r="3685">
      <c r="A3685" s="7" t="inlineStr">
        <is>
          <t>2022-09-05</t>
        </is>
      </c>
      <c r="B3685" s="8" t="n">
        <v>7959</v>
      </c>
      <c r="C3685" s="8" t="n">
        <v>7796</v>
      </c>
      <c r="D3685" s="8" t="n">
        <v>7960</v>
      </c>
      <c r="E3685" s="8" t="n">
        <v>7776</v>
      </c>
      <c r="F3685" s="8" t="n">
        <v>543331</v>
      </c>
      <c r="G3685" s="8" t="n">
        <v>430365</v>
      </c>
      <c r="H3685" s="8" t="n">
        <v>7966</v>
      </c>
      <c r="I3685" s="8" t="n">
        <v>7810</v>
      </c>
      <c r="J3685" s="8" t="n">
        <v>7973</v>
      </c>
      <c r="K3685" s="8" t="n">
        <v>7775</v>
      </c>
      <c r="L3685" s="8" t="n">
        <v>441184</v>
      </c>
      <c r="M3685" s="8" t="n">
        <v>374220</v>
      </c>
      <c r="N3685" t="inlineStr">
        <is>
          <t>是</t>
        </is>
      </c>
    </row>
    <row r="3686">
      <c r="A3686" s="7" t="inlineStr">
        <is>
          <t>2022-09-06</t>
        </is>
      </c>
      <c r="B3686" s="8" t="n">
        <v>8065</v>
      </c>
      <c r="C3686" s="8" t="n">
        <v>7970</v>
      </c>
      <c r="D3686" s="8" t="n">
        <v>8070</v>
      </c>
      <c r="E3686" s="8" t="n">
        <v>7948</v>
      </c>
      <c r="F3686" s="8" t="n">
        <v>480497</v>
      </c>
      <c r="G3686" s="8" t="n">
        <v>453044</v>
      </c>
      <c r="H3686" s="8" t="n">
        <v>8097</v>
      </c>
      <c r="I3686" s="8" t="n">
        <v>7950</v>
      </c>
      <c r="J3686" s="8" t="n">
        <v>8100</v>
      </c>
      <c r="K3686" s="8" t="n">
        <v>7948</v>
      </c>
      <c r="L3686" s="8" t="n">
        <v>425826</v>
      </c>
      <c r="M3686" s="8" t="n">
        <v>399592</v>
      </c>
      <c r="N3686" t="inlineStr">
        <is>
          <t>是</t>
        </is>
      </c>
    </row>
    <row r="3687">
      <c r="A3687" s="7" t="inlineStr">
        <is>
          <t>2022-09-07</t>
        </is>
      </c>
      <c r="B3687" s="8" t="n">
        <v>7984</v>
      </c>
      <c r="C3687" s="8" t="n">
        <v>8038</v>
      </c>
      <c r="D3687" s="8" t="n">
        <v>8085</v>
      </c>
      <c r="E3687" s="8" t="n">
        <v>7940</v>
      </c>
      <c r="F3687" s="8" t="n">
        <v>469050</v>
      </c>
      <c r="G3687" s="8" t="n">
        <v>448774</v>
      </c>
      <c r="H3687" s="8" t="n">
        <v>8085</v>
      </c>
      <c r="I3687" s="8" t="n">
        <v>8072</v>
      </c>
      <c r="J3687" s="8" t="n">
        <v>8130</v>
      </c>
      <c r="K3687" s="8" t="n">
        <v>8037</v>
      </c>
      <c r="L3687" s="8" t="n">
        <v>433274</v>
      </c>
      <c r="M3687" s="8" t="n">
        <v>416039</v>
      </c>
      <c r="N3687" t="inlineStr">
        <is>
          <t>是</t>
        </is>
      </c>
    </row>
    <row r="3688">
      <c r="A3688" s="7" t="inlineStr">
        <is>
          <t>2022-09-08</t>
        </is>
      </c>
      <c r="B3688" s="8" t="n">
        <v>7980</v>
      </c>
      <c r="C3688" s="8" t="n">
        <v>8001</v>
      </c>
      <c r="D3688" s="8" t="n">
        <v>8007</v>
      </c>
      <c r="E3688" s="8" t="n">
        <v>7886</v>
      </c>
      <c r="F3688" s="8" t="n">
        <v>523126</v>
      </c>
      <c r="G3688" s="8" t="n">
        <v>447708</v>
      </c>
      <c r="H3688" s="8" t="n">
        <v>8085</v>
      </c>
      <c r="I3688" s="8" t="n">
        <v>8100</v>
      </c>
      <c r="J3688" s="8" t="n">
        <v>8106</v>
      </c>
      <c r="K3688" s="8" t="n">
        <v>7994</v>
      </c>
      <c r="L3688" s="8" t="n">
        <v>504570</v>
      </c>
      <c r="M3688" s="8" t="n">
        <v>409322</v>
      </c>
      <c r="N3688" t="inlineStr">
        <is>
          <t>是</t>
        </is>
      </c>
    </row>
    <row r="3689">
      <c r="A3689" s="7" t="inlineStr">
        <is>
          <t>2022-09-09</t>
        </is>
      </c>
      <c r="B3689" s="8" t="n">
        <v>8140</v>
      </c>
      <c r="C3689" s="8" t="n">
        <v>7970</v>
      </c>
      <c r="D3689" s="8" t="n">
        <v>8155</v>
      </c>
      <c r="E3689" s="8" t="n">
        <v>7954</v>
      </c>
      <c r="F3689" s="8" t="n">
        <v>501006</v>
      </c>
      <c r="G3689" s="8" t="n">
        <v>465131</v>
      </c>
      <c r="H3689" s="8" t="n">
        <v>8211</v>
      </c>
      <c r="I3689" s="8" t="n">
        <v>8095</v>
      </c>
      <c r="J3689" s="8" t="n">
        <v>8216</v>
      </c>
      <c r="K3689" s="8" t="n">
        <v>8058</v>
      </c>
      <c r="L3689" s="8" t="n">
        <v>396005</v>
      </c>
      <c r="M3689" s="8" t="n">
        <v>414345</v>
      </c>
      <c r="N3689" t="inlineStr">
        <is>
          <t>是</t>
        </is>
      </c>
    </row>
    <row r="3690">
      <c r="A3690" s="7" t="inlineStr">
        <is>
          <t>2022-09-13</t>
        </is>
      </c>
      <c r="B3690" s="8" t="n">
        <v>8136</v>
      </c>
      <c r="C3690" s="8" t="n">
        <v>8195</v>
      </c>
      <c r="D3690" s="8" t="n">
        <v>8200</v>
      </c>
      <c r="E3690" s="8" t="n">
        <v>8118</v>
      </c>
      <c r="F3690" s="8" t="n">
        <v>346216</v>
      </c>
      <c r="G3690" s="8" t="n">
        <v>465269</v>
      </c>
      <c r="H3690" s="8" t="n">
        <v>8207</v>
      </c>
      <c r="I3690" s="8" t="n">
        <v>8260</v>
      </c>
      <c r="J3690" s="8" t="n">
        <v>8290</v>
      </c>
      <c r="K3690" s="8" t="n">
        <v>8175</v>
      </c>
      <c r="L3690" s="8" t="n">
        <v>303063</v>
      </c>
      <c r="M3690" s="8" t="n">
        <v>420486</v>
      </c>
      <c r="N3690" t="inlineStr">
        <is>
          <t>是</t>
        </is>
      </c>
    </row>
    <row r="3691">
      <c r="A3691" s="7" t="inlineStr">
        <is>
          <t>2022-09-14</t>
        </is>
      </c>
      <c r="B3691" s="8" t="n">
        <v>8058</v>
      </c>
      <c r="C3691" s="8" t="n">
        <v>8132</v>
      </c>
      <c r="D3691" s="8" t="n">
        <v>8178</v>
      </c>
      <c r="E3691" s="8" t="n">
        <v>8005</v>
      </c>
      <c r="F3691" s="8" t="n">
        <v>459440</v>
      </c>
      <c r="G3691" s="8" t="n">
        <v>465512</v>
      </c>
      <c r="H3691" s="8" t="n">
        <v>8141</v>
      </c>
      <c r="I3691" s="8" t="n">
        <v>8200</v>
      </c>
      <c r="J3691" s="8" t="n">
        <v>8240</v>
      </c>
      <c r="K3691" s="8" t="n">
        <v>8092</v>
      </c>
      <c r="L3691" s="8" t="n">
        <v>389873</v>
      </c>
      <c r="M3691" s="8" t="n">
        <v>417878</v>
      </c>
      <c r="N3691" t="inlineStr">
        <is>
          <t>是</t>
        </is>
      </c>
    </row>
    <row r="3692">
      <c r="A3692" s="7" t="inlineStr">
        <is>
          <t>2022-09-15</t>
        </is>
      </c>
      <c r="B3692" s="8" t="n">
        <v>7983</v>
      </c>
      <c r="C3692" s="8" t="n">
        <v>8050</v>
      </c>
      <c r="D3692" s="8" t="n">
        <v>8108</v>
      </c>
      <c r="E3692" s="8" t="n">
        <v>7972</v>
      </c>
      <c r="F3692" s="8" t="n">
        <v>446197</v>
      </c>
      <c r="G3692" s="8" t="n">
        <v>470298</v>
      </c>
      <c r="H3692" s="8" t="n">
        <v>8089</v>
      </c>
      <c r="I3692" s="8" t="n">
        <v>8129</v>
      </c>
      <c r="J3692" s="8" t="n">
        <v>8182</v>
      </c>
      <c r="K3692" s="8" t="n">
        <v>8075</v>
      </c>
      <c r="L3692" s="8" t="n">
        <v>348614</v>
      </c>
      <c r="M3692" s="8" t="n">
        <v>424044</v>
      </c>
      <c r="N3692" t="inlineStr">
        <is>
          <t>是</t>
        </is>
      </c>
    </row>
    <row r="3693">
      <c r="A3693" s="7" t="inlineStr">
        <is>
          <t>2022-09-16</t>
        </is>
      </c>
      <c r="B3693" s="8" t="n">
        <v>7990</v>
      </c>
      <c r="C3693" s="8" t="n">
        <v>7953</v>
      </c>
      <c r="D3693" s="8" t="n">
        <v>8000</v>
      </c>
      <c r="E3693" s="8" t="n">
        <v>7916</v>
      </c>
      <c r="F3693" s="8" t="n">
        <v>407162</v>
      </c>
      <c r="G3693" s="8" t="n">
        <v>461665</v>
      </c>
      <c r="H3693" s="8" t="n">
        <v>8135</v>
      </c>
      <c r="I3693" s="8" t="n">
        <v>8089</v>
      </c>
      <c r="J3693" s="8" t="n">
        <v>8143</v>
      </c>
      <c r="K3693" s="8" t="n">
        <v>8037</v>
      </c>
      <c r="L3693" s="8" t="n">
        <v>338863</v>
      </c>
      <c r="M3693" s="8" t="n">
        <v>433009</v>
      </c>
      <c r="N3693" t="inlineStr">
        <is>
          <t>是</t>
        </is>
      </c>
    </row>
    <row r="3694">
      <c r="A3694" s="7" t="inlineStr">
        <is>
          <t>2022-09-19</t>
        </is>
      </c>
      <c r="B3694" s="8" t="n">
        <v>7904</v>
      </c>
      <c r="C3694" s="8" t="n">
        <v>7990</v>
      </c>
      <c r="D3694" s="8" t="n">
        <v>8050</v>
      </c>
      <c r="E3694" s="8" t="n">
        <v>7882</v>
      </c>
      <c r="F3694" s="8" t="n">
        <v>464845</v>
      </c>
      <c r="G3694" s="8" t="n">
        <v>470698</v>
      </c>
      <c r="H3694" s="8" t="n">
        <v>8035</v>
      </c>
      <c r="I3694" s="8" t="n">
        <v>8130</v>
      </c>
      <c r="J3694" s="8" t="n">
        <v>8194</v>
      </c>
      <c r="K3694" s="8" t="n">
        <v>8018</v>
      </c>
      <c r="L3694" s="8" t="n">
        <v>367279</v>
      </c>
      <c r="M3694" s="8" t="n">
        <v>425473</v>
      </c>
      <c r="N3694" t="inlineStr">
        <is>
          <t>是</t>
        </is>
      </c>
    </row>
    <row r="3695">
      <c r="A3695" s="7" t="inlineStr">
        <is>
          <t>2022-09-20</t>
        </is>
      </c>
      <c r="B3695" s="8" t="n">
        <v>7896</v>
      </c>
      <c r="C3695" s="8" t="n">
        <v>7905</v>
      </c>
      <c r="D3695" s="8" t="n">
        <v>7986</v>
      </c>
      <c r="E3695" s="8" t="n">
        <v>7861</v>
      </c>
      <c r="F3695" s="8" t="n">
        <v>412771</v>
      </c>
      <c r="G3695" s="8" t="n">
        <v>462253</v>
      </c>
      <c r="H3695" s="8" t="n">
        <v>8045</v>
      </c>
      <c r="I3695" s="8" t="n">
        <v>8026</v>
      </c>
      <c r="J3695" s="8" t="n">
        <v>8126</v>
      </c>
      <c r="K3695" s="8" t="n">
        <v>8002</v>
      </c>
      <c r="L3695" s="8" t="n">
        <v>317190</v>
      </c>
      <c r="M3695" s="8" t="n">
        <v>425310</v>
      </c>
      <c r="N3695" t="inlineStr">
        <is>
          <t>是</t>
        </is>
      </c>
    </row>
    <row r="3696">
      <c r="A3696" s="7" t="inlineStr">
        <is>
          <t>2022-09-21</t>
        </is>
      </c>
      <c r="B3696" s="8" t="n">
        <v>7915</v>
      </c>
      <c r="C3696" s="8" t="n">
        <v>7914</v>
      </c>
      <c r="D3696" s="8" t="n">
        <v>7950</v>
      </c>
      <c r="E3696" s="8" t="n">
        <v>7831</v>
      </c>
      <c r="F3696" s="8" t="n">
        <v>498317</v>
      </c>
      <c r="G3696" s="8" t="n">
        <v>456023</v>
      </c>
      <c r="H3696" s="8" t="n">
        <v>8076</v>
      </c>
      <c r="I3696" s="8" t="n">
        <v>8048</v>
      </c>
      <c r="J3696" s="8" t="n">
        <v>8097</v>
      </c>
      <c r="K3696" s="8" t="n">
        <v>7978</v>
      </c>
      <c r="L3696" s="8" t="n">
        <v>402409</v>
      </c>
      <c r="M3696" s="8" t="n">
        <v>420912</v>
      </c>
      <c r="N3696" t="inlineStr">
        <is>
          <t>是</t>
        </is>
      </c>
    </row>
    <row r="3697">
      <c r="A3697" s="7" t="inlineStr">
        <is>
          <t>2022-09-22</t>
        </is>
      </c>
      <c r="B3697" s="8" t="n">
        <v>7970</v>
      </c>
      <c r="C3697" s="8" t="n">
        <v>7896</v>
      </c>
      <c r="D3697" s="8" t="n">
        <v>7995</v>
      </c>
      <c r="E3697" s="8" t="n">
        <v>7860</v>
      </c>
      <c r="F3697" s="8" t="n">
        <v>560511</v>
      </c>
      <c r="G3697" s="8" t="n">
        <v>467293</v>
      </c>
      <c r="H3697" s="8" t="n">
        <v>8124</v>
      </c>
      <c r="I3697" s="8" t="n">
        <v>8060</v>
      </c>
      <c r="J3697" s="8" t="n">
        <v>8137</v>
      </c>
      <c r="K3697" s="8" t="n">
        <v>7997</v>
      </c>
      <c r="L3697" s="8" t="n">
        <v>444489</v>
      </c>
      <c r="M3697" s="8" t="n">
        <v>411644</v>
      </c>
      <c r="N3697" t="inlineStr">
        <is>
          <t>是</t>
        </is>
      </c>
    </row>
    <row r="3698">
      <c r="A3698" s="7" t="inlineStr">
        <is>
          <t>2022-09-23</t>
        </is>
      </c>
      <c r="B3698" s="8" t="n">
        <v>7901</v>
      </c>
      <c r="C3698" s="8" t="n">
        <v>8000</v>
      </c>
      <c r="D3698" s="8" t="n">
        <v>8034</v>
      </c>
      <c r="E3698" s="8" t="n">
        <v>7874</v>
      </c>
      <c r="F3698" s="8" t="n">
        <v>520744</v>
      </c>
      <c r="G3698" s="8" t="n">
        <v>468117</v>
      </c>
      <c r="H3698" s="8" t="n">
        <v>8037</v>
      </c>
      <c r="I3698" s="8" t="n">
        <v>8150</v>
      </c>
      <c r="J3698" s="8" t="n">
        <v>8168</v>
      </c>
      <c r="K3698" s="8" t="n">
        <v>8020</v>
      </c>
      <c r="L3698" s="8" t="n">
        <v>383321</v>
      </c>
      <c r="M3698" s="8" t="n">
        <v>397233</v>
      </c>
      <c r="N3698" t="inlineStr">
        <is>
          <t>是</t>
        </is>
      </c>
    </row>
    <row r="3699">
      <c r="A3699" s="7" t="inlineStr">
        <is>
          <t>2022-09-26</t>
        </is>
      </c>
      <c r="B3699" s="8" t="n">
        <v>7749</v>
      </c>
      <c r="C3699" s="8" t="n">
        <v>7850</v>
      </c>
      <c r="D3699" s="8" t="n">
        <v>7883</v>
      </c>
      <c r="E3699" s="8" t="n">
        <v>7745</v>
      </c>
      <c r="F3699" s="8" t="n">
        <v>589920</v>
      </c>
      <c r="G3699" s="8" t="n">
        <v>478039</v>
      </c>
      <c r="H3699" s="8" t="n">
        <v>7892</v>
      </c>
      <c r="I3699" s="8" t="n">
        <v>8040</v>
      </c>
      <c r="J3699" s="8" t="n">
        <v>8040</v>
      </c>
      <c r="K3699" s="8" t="n">
        <v>7886</v>
      </c>
      <c r="L3699" s="8" t="n">
        <v>455278</v>
      </c>
      <c r="M3699" s="8" t="n">
        <v>391449</v>
      </c>
      <c r="N3699" t="inlineStr">
        <is>
          <t>是</t>
        </is>
      </c>
    </row>
    <row r="3700">
      <c r="A3700" s="7" t="inlineStr">
        <is>
          <t>2022-09-27</t>
        </is>
      </c>
      <c r="B3700" s="8" t="n">
        <v>7834</v>
      </c>
      <c r="C3700" s="8" t="n">
        <v>7767</v>
      </c>
      <c r="D3700" s="8" t="n">
        <v>7842</v>
      </c>
      <c r="E3700" s="8" t="n">
        <v>7732</v>
      </c>
      <c r="F3700" s="8" t="n">
        <v>488802</v>
      </c>
      <c r="G3700" s="8" t="n">
        <v>473866</v>
      </c>
      <c r="H3700" s="8" t="n">
        <v>7961</v>
      </c>
      <c r="I3700" s="8" t="n">
        <v>7910</v>
      </c>
      <c r="J3700" s="8" t="n">
        <v>7967</v>
      </c>
      <c r="K3700" s="8" t="n">
        <v>7861</v>
      </c>
      <c r="L3700" s="8" t="n">
        <v>354991</v>
      </c>
      <c r="M3700" s="8" t="n">
        <v>378622</v>
      </c>
      <c r="N3700" t="inlineStr">
        <is>
          <t>是</t>
        </is>
      </c>
    </row>
    <row r="3701">
      <c r="A3701" s="7" t="inlineStr">
        <is>
          <t>2022-09-28</t>
        </is>
      </c>
      <c r="B3701" s="8" t="n">
        <v>7790</v>
      </c>
      <c r="C3701" s="8" t="n">
        <v>7830</v>
      </c>
      <c r="D3701" s="8" t="n">
        <v>7854</v>
      </c>
      <c r="E3701" s="8" t="n">
        <v>7786</v>
      </c>
      <c r="F3701" s="8" t="n">
        <v>409679</v>
      </c>
      <c r="G3701" s="8" t="n">
        <v>475887</v>
      </c>
      <c r="H3701" s="8" t="n">
        <v>7924</v>
      </c>
      <c r="I3701" s="8" t="n">
        <v>7945</v>
      </c>
      <c r="J3701" s="8" t="n">
        <v>7972</v>
      </c>
      <c r="K3701" s="8" t="n">
        <v>7913</v>
      </c>
      <c r="L3701" s="8" t="n">
        <v>295438</v>
      </c>
      <c r="M3701" s="8" t="n">
        <v>375549</v>
      </c>
      <c r="N3701" t="inlineStr">
        <is>
          <t>是</t>
        </is>
      </c>
    </row>
    <row r="3702">
      <c r="A3702" s="7" t="inlineStr">
        <is>
          <t>2022-09-29</t>
        </is>
      </c>
      <c r="B3702" s="8" t="n">
        <v>7979</v>
      </c>
      <c r="C3702" s="8" t="n">
        <v>7823</v>
      </c>
      <c r="D3702" s="8" t="n">
        <v>7999</v>
      </c>
      <c r="E3702" s="8" t="n">
        <v>7811</v>
      </c>
      <c r="F3702" s="8" t="n">
        <v>556345</v>
      </c>
      <c r="G3702" s="8" t="n">
        <v>464647</v>
      </c>
      <c r="H3702" s="8" t="n">
        <v>8163</v>
      </c>
      <c r="I3702" s="8" t="n">
        <v>7967</v>
      </c>
      <c r="J3702" s="8" t="n">
        <v>8183</v>
      </c>
      <c r="K3702" s="8" t="n">
        <v>7959</v>
      </c>
      <c r="L3702" s="8" t="n">
        <v>442239</v>
      </c>
      <c r="M3702" s="8" t="n">
        <v>388822</v>
      </c>
      <c r="N3702" t="inlineStr">
        <is>
          <t>是</t>
        </is>
      </c>
    </row>
    <row r="3703">
      <c r="A3703" s="7" t="inlineStr">
        <is>
          <t>2022-09-30</t>
        </is>
      </c>
      <c r="B3703" s="8" t="n">
        <v>7972</v>
      </c>
      <c r="C3703" s="8" t="n">
        <v>8001</v>
      </c>
      <c r="D3703" s="8" t="n">
        <v>8012</v>
      </c>
      <c r="E3703" s="8" t="n">
        <v>7918</v>
      </c>
      <c r="F3703" s="8" t="n">
        <v>432602</v>
      </c>
      <c r="G3703" s="8" t="n">
        <v>442940</v>
      </c>
      <c r="H3703" s="8" t="n">
        <v>8074</v>
      </c>
      <c r="I3703" s="8" t="n">
        <v>8163</v>
      </c>
      <c r="J3703" s="8" t="n">
        <v>8184</v>
      </c>
      <c r="K3703" s="8" t="n">
        <v>8051</v>
      </c>
      <c r="L3703" s="8" t="n">
        <v>322720</v>
      </c>
      <c r="M3703" s="8" t="n">
        <v>363444</v>
      </c>
      <c r="N3703" t="inlineStr">
        <is>
          <t>是</t>
        </is>
      </c>
    </row>
    <row r="3704">
      <c r="A3704" s="7" t="inlineStr">
        <is>
          <t>2022-10-10</t>
        </is>
      </c>
      <c r="B3704" s="8" t="n">
        <v>8184</v>
      </c>
      <c r="C3704" s="8" t="n">
        <v>8200</v>
      </c>
      <c r="D3704" s="8" t="n">
        <v>8225</v>
      </c>
      <c r="E3704" s="8" t="n">
        <v>8105</v>
      </c>
      <c r="F3704" s="8" t="n">
        <v>419919</v>
      </c>
      <c r="G3704" s="8" t="n">
        <v>472347</v>
      </c>
      <c r="H3704" s="8" t="n">
        <v>8365</v>
      </c>
      <c r="I3704" s="8" t="n">
        <v>8335</v>
      </c>
      <c r="J3704" s="8" t="n">
        <v>8390</v>
      </c>
      <c r="K3704" s="8" t="n">
        <v>8246</v>
      </c>
      <c r="L3704" s="8" t="n">
        <v>364260</v>
      </c>
      <c r="M3704" s="8" t="n">
        <v>387338</v>
      </c>
      <c r="N3704" t="inlineStr">
        <is>
          <t>是</t>
        </is>
      </c>
    </row>
    <row r="3705">
      <c r="A3705" s="7" t="inlineStr">
        <is>
          <t>2022-10-11</t>
        </is>
      </c>
      <c r="B3705" s="8" t="n">
        <v>8022</v>
      </c>
      <c r="C3705" s="8" t="n">
        <v>8184</v>
      </c>
      <c r="D3705" s="8" t="n">
        <v>8185</v>
      </c>
      <c r="E3705" s="8" t="n">
        <v>7991</v>
      </c>
      <c r="F3705" s="8" t="n">
        <v>440284</v>
      </c>
      <c r="G3705" s="8" t="n">
        <v>465937</v>
      </c>
      <c r="H3705" s="8" t="n">
        <v>8198</v>
      </c>
      <c r="I3705" s="8" t="n">
        <v>8375</v>
      </c>
      <c r="J3705" s="8" t="n">
        <v>8375</v>
      </c>
      <c r="K3705" s="8" t="n">
        <v>8181</v>
      </c>
      <c r="L3705" s="8" t="n">
        <v>335791</v>
      </c>
      <c r="M3705" s="8" t="n">
        <v>386397</v>
      </c>
      <c r="N3705" t="inlineStr">
        <is>
          <t>是</t>
        </is>
      </c>
    </row>
    <row r="3706">
      <c r="A3706" s="7" t="inlineStr">
        <is>
          <t>2022-10-12</t>
        </is>
      </c>
      <c r="B3706" s="8" t="n">
        <v>7934</v>
      </c>
      <c r="C3706" s="8" t="n">
        <v>8000</v>
      </c>
      <c r="D3706" s="8" t="n">
        <v>8012</v>
      </c>
      <c r="E3706" s="8" t="n">
        <v>7864</v>
      </c>
      <c r="F3706" s="8" t="n">
        <v>460032</v>
      </c>
      <c r="G3706" s="8" t="n">
        <v>451505</v>
      </c>
      <c r="H3706" s="8" t="n">
        <v>8105</v>
      </c>
      <c r="I3706" s="8" t="n">
        <v>8198</v>
      </c>
      <c r="J3706" s="8" t="n">
        <v>8199</v>
      </c>
      <c r="K3706" s="8" t="n">
        <v>8040</v>
      </c>
      <c r="L3706" s="8" t="n">
        <v>376127</v>
      </c>
      <c r="M3706" s="8" t="n">
        <v>383660</v>
      </c>
      <c r="N3706" t="inlineStr">
        <is>
          <t>是</t>
        </is>
      </c>
    </row>
    <row r="3707">
      <c r="A3707" s="7" t="inlineStr">
        <is>
          <t>2022-10-13</t>
        </is>
      </c>
      <c r="B3707" s="8" t="n">
        <v>7751</v>
      </c>
      <c r="C3707" s="8" t="n">
        <v>7922</v>
      </c>
      <c r="D3707" s="8" t="n">
        <v>7930</v>
      </c>
      <c r="E3707" s="8" t="n">
        <v>7748</v>
      </c>
      <c r="F3707" s="8" t="n">
        <v>496914</v>
      </c>
      <c r="G3707" s="8" t="n">
        <v>478843</v>
      </c>
      <c r="H3707" s="8" t="n">
        <v>7897</v>
      </c>
      <c r="I3707" s="8" t="n">
        <v>8092</v>
      </c>
      <c r="J3707" s="8" t="n">
        <v>8101</v>
      </c>
      <c r="K3707" s="8" t="n">
        <v>7888</v>
      </c>
      <c r="L3707" s="8" t="n">
        <v>419227</v>
      </c>
      <c r="M3707" s="8" t="n">
        <v>410402</v>
      </c>
      <c r="N3707" t="inlineStr">
        <is>
          <t>是</t>
        </is>
      </c>
    </row>
    <row r="3708">
      <c r="A3708" s="7" t="inlineStr">
        <is>
          <t>2022-10-14</t>
        </is>
      </c>
      <c r="B3708" s="8" t="n">
        <v>7747</v>
      </c>
      <c r="C3708" s="8" t="n">
        <v>7730</v>
      </c>
      <c r="D3708" s="8" t="n">
        <v>7779</v>
      </c>
      <c r="E3708" s="8" t="n">
        <v>7669</v>
      </c>
      <c r="F3708" s="8" t="n">
        <v>418651</v>
      </c>
      <c r="G3708" s="8" t="n">
        <v>500549</v>
      </c>
      <c r="H3708" s="8" t="n">
        <v>7917</v>
      </c>
      <c r="I3708" s="8" t="n">
        <v>7870</v>
      </c>
      <c r="J3708" s="8" t="n">
        <v>7939</v>
      </c>
      <c r="K3708" s="8" t="n">
        <v>7815</v>
      </c>
      <c r="L3708" s="8" t="n">
        <v>348181</v>
      </c>
      <c r="M3708" s="8" t="n">
        <v>417962</v>
      </c>
      <c r="N3708" t="inlineStr">
        <is>
          <t>是</t>
        </is>
      </c>
    </row>
    <row r="3709">
      <c r="A3709" s="7" t="inlineStr">
        <is>
          <t>2022-10-17</t>
        </is>
      </c>
      <c r="B3709" s="8" t="n">
        <v>7658</v>
      </c>
      <c r="C3709" s="8" t="n">
        <v>7723</v>
      </c>
      <c r="D3709" s="8" t="n">
        <v>7752</v>
      </c>
      <c r="E3709" s="8" t="n">
        <v>7633</v>
      </c>
      <c r="F3709" s="8" t="n">
        <v>475880</v>
      </c>
      <c r="G3709" s="8" t="n">
        <v>516591</v>
      </c>
      <c r="H3709" s="8" t="n">
        <v>7809</v>
      </c>
      <c r="I3709" s="8" t="n">
        <v>7896</v>
      </c>
      <c r="J3709" s="8" t="n">
        <v>7926</v>
      </c>
      <c r="K3709" s="8" t="n">
        <v>7791</v>
      </c>
      <c r="L3709" s="8" t="n">
        <v>421259</v>
      </c>
      <c r="M3709" s="8" t="n">
        <v>421870</v>
      </c>
      <c r="N3709" t="inlineStr">
        <is>
          <t>是</t>
        </is>
      </c>
    </row>
    <row r="3710">
      <c r="A3710" s="7" t="inlineStr">
        <is>
          <t>2022-10-18</t>
        </is>
      </c>
      <c r="B3710" s="8" t="n">
        <v>7630</v>
      </c>
      <c r="C3710" s="8" t="n">
        <v>7659</v>
      </c>
      <c r="D3710" s="8" t="n">
        <v>7685</v>
      </c>
      <c r="E3710" s="8" t="n">
        <v>7606</v>
      </c>
      <c r="F3710" s="8" t="n">
        <v>408667</v>
      </c>
      <c r="G3710" s="8" t="n">
        <v>526400</v>
      </c>
      <c r="H3710" s="8" t="n">
        <v>7790</v>
      </c>
      <c r="I3710" s="8" t="n">
        <v>7840</v>
      </c>
      <c r="J3710" s="8" t="n">
        <v>7845</v>
      </c>
      <c r="K3710" s="8" t="n">
        <v>7753</v>
      </c>
      <c r="L3710" s="8" t="n">
        <v>346373</v>
      </c>
      <c r="M3710" s="8" t="n">
        <v>441740</v>
      </c>
      <c r="N3710" t="inlineStr">
        <is>
          <t>是</t>
        </is>
      </c>
    </row>
    <row r="3711">
      <c r="A3711" s="7" t="inlineStr">
        <is>
          <t>2022-10-19</t>
        </is>
      </c>
      <c r="B3711" s="8" t="n">
        <v>7605</v>
      </c>
      <c r="C3711" s="8" t="n">
        <v>7630</v>
      </c>
      <c r="D3711" s="8" t="n">
        <v>7636</v>
      </c>
      <c r="E3711" s="8" t="n">
        <v>7552</v>
      </c>
      <c r="F3711" s="8" t="n">
        <v>425566</v>
      </c>
      <c r="G3711" s="8" t="n">
        <v>558219</v>
      </c>
      <c r="H3711" s="8" t="n">
        <v>7760</v>
      </c>
      <c r="I3711" s="8" t="n">
        <v>7790</v>
      </c>
      <c r="J3711" s="8" t="n">
        <v>7798</v>
      </c>
      <c r="K3711" s="8" t="n">
        <v>7718</v>
      </c>
      <c r="L3711" s="8" t="n">
        <v>339193</v>
      </c>
      <c r="M3711" s="8" t="n">
        <v>447632</v>
      </c>
      <c r="N3711" t="inlineStr">
        <is>
          <t>是</t>
        </is>
      </c>
    </row>
    <row r="3712">
      <c r="A3712" s="7" t="inlineStr">
        <is>
          <t>2022-10-20</t>
        </is>
      </c>
      <c r="B3712" s="8" t="n">
        <v>7620</v>
      </c>
      <c r="C3712" s="8" t="n">
        <v>7632</v>
      </c>
      <c r="D3712" s="8" t="n">
        <v>7671</v>
      </c>
      <c r="E3712" s="8" t="n">
        <v>7583</v>
      </c>
      <c r="F3712" s="8" t="n">
        <v>453995</v>
      </c>
      <c r="G3712" s="8" t="n">
        <v>563139</v>
      </c>
      <c r="H3712" s="8" t="n">
        <v>7764</v>
      </c>
      <c r="I3712" s="8" t="n">
        <v>7770</v>
      </c>
      <c r="J3712" s="8" t="n">
        <v>7841</v>
      </c>
      <c r="K3712" s="8" t="n">
        <v>7741</v>
      </c>
      <c r="L3712" s="8" t="n">
        <v>397760</v>
      </c>
      <c r="M3712" s="8" t="n">
        <v>455153</v>
      </c>
      <c r="N3712" t="inlineStr">
        <is>
          <t>是</t>
        </is>
      </c>
    </row>
    <row r="3713">
      <c r="A3713" s="7" t="inlineStr">
        <is>
          <t>2022-10-21</t>
        </is>
      </c>
      <c r="B3713" s="8" t="n">
        <v>7566</v>
      </c>
      <c r="C3713" s="8" t="n">
        <v>7620</v>
      </c>
      <c r="D3713" s="8" t="n">
        <v>7652</v>
      </c>
      <c r="E3713" s="8" t="n">
        <v>7565</v>
      </c>
      <c r="F3713" s="8" t="n">
        <v>403237</v>
      </c>
      <c r="G3713" s="8" t="n">
        <v>566237</v>
      </c>
      <c r="H3713" s="8" t="n">
        <v>7726</v>
      </c>
      <c r="I3713" s="8" t="n">
        <v>7787</v>
      </c>
      <c r="J3713" s="8" t="n">
        <v>7808</v>
      </c>
      <c r="K3713" s="8" t="n">
        <v>7723</v>
      </c>
      <c r="L3713" s="8" t="n">
        <v>344678</v>
      </c>
      <c r="M3713" s="8" t="n">
        <v>456464</v>
      </c>
      <c r="N3713" t="inlineStr">
        <is>
          <t>是</t>
        </is>
      </c>
    </row>
    <row r="3714">
      <c r="A3714" s="7" t="inlineStr">
        <is>
          <t>2022-10-24</t>
        </is>
      </c>
      <c r="B3714" s="8" t="n">
        <v>7578</v>
      </c>
      <c r="C3714" s="8" t="n">
        <v>7570</v>
      </c>
      <c r="D3714" s="8" t="n">
        <v>7668</v>
      </c>
      <c r="E3714" s="8" t="n">
        <v>7557</v>
      </c>
      <c r="F3714" s="8" t="n">
        <v>450459</v>
      </c>
      <c r="G3714" s="8" t="n">
        <v>565772</v>
      </c>
      <c r="H3714" s="8" t="n">
        <v>7752</v>
      </c>
      <c r="I3714" s="8" t="n">
        <v>7728</v>
      </c>
      <c r="J3714" s="8" t="n">
        <v>7834</v>
      </c>
      <c r="K3714" s="8" t="n">
        <v>7709</v>
      </c>
      <c r="L3714" s="8" t="n">
        <v>420629</v>
      </c>
      <c r="M3714" s="8" t="n">
        <v>448337</v>
      </c>
      <c r="N3714" t="inlineStr">
        <is>
          <t>是</t>
        </is>
      </c>
    </row>
    <row r="3715">
      <c r="A3715" s="7" t="inlineStr">
        <is>
          <t>2022-10-25</t>
        </is>
      </c>
      <c r="B3715" s="8" t="n">
        <v>7524</v>
      </c>
      <c r="C3715" s="8" t="n">
        <v>7555</v>
      </c>
      <c r="D3715" s="8" t="n">
        <v>7588</v>
      </c>
      <c r="E3715" s="8" t="n">
        <v>7480</v>
      </c>
      <c r="F3715" s="8" t="n">
        <v>512469</v>
      </c>
      <c r="G3715" s="8" t="n">
        <v>579850</v>
      </c>
      <c r="H3715" s="8" t="n">
        <v>7685</v>
      </c>
      <c r="I3715" s="8" t="n">
        <v>7748</v>
      </c>
      <c r="J3715" s="8" t="n">
        <v>7756</v>
      </c>
      <c r="K3715" s="8" t="n">
        <v>7661</v>
      </c>
      <c r="L3715" s="8" t="n">
        <v>414552</v>
      </c>
      <c r="M3715" s="8" t="n">
        <v>449967</v>
      </c>
      <c r="N3715" t="inlineStr">
        <is>
          <t>是</t>
        </is>
      </c>
    </row>
    <row r="3716">
      <c r="A3716" s="7" t="inlineStr">
        <is>
          <t>2022-10-26</t>
        </is>
      </c>
      <c r="B3716" s="8" t="n">
        <v>7515</v>
      </c>
      <c r="C3716" s="8" t="n">
        <v>7524</v>
      </c>
      <c r="D3716" s="8" t="n">
        <v>7606</v>
      </c>
      <c r="E3716" s="8" t="n">
        <v>7472</v>
      </c>
      <c r="F3716" s="8" t="n">
        <v>455682</v>
      </c>
      <c r="G3716" s="8" t="n">
        <v>560464</v>
      </c>
      <c r="H3716" s="8" t="n">
        <v>7676</v>
      </c>
      <c r="I3716" s="8" t="n">
        <v>7686</v>
      </c>
      <c r="J3716" s="8" t="n">
        <v>7763</v>
      </c>
      <c r="K3716" s="8" t="n">
        <v>7646</v>
      </c>
      <c r="L3716" s="8" t="n">
        <v>344535</v>
      </c>
      <c r="M3716" s="8" t="n">
        <v>445069</v>
      </c>
      <c r="N3716" t="inlineStr">
        <is>
          <t>是</t>
        </is>
      </c>
    </row>
    <row r="3717">
      <c r="A3717" s="7" t="inlineStr">
        <is>
          <t>2022-10-27</t>
        </is>
      </c>
      <c r="B3717" s="8" t="n">
        <v>7507</v>
      </c>
      <c r="C3717" s="8" t="n">
        <v>7530</v>
      </c>
      <c r="D3717" s="8" t="n">
        <v>7601</v>
      </c>
      <c r="E3717" s="8" t="n">
        <v>7502</v>
      </c>
      <c r="F3717" s="8" t="n">
        <v>413998</v>
      </c>
      <c r="G3717" s="8" t="n">
        <v>569116</v>
      </c>
      <c r="H3717" s="8" t="n">
        <v>7692</v>
      </c>
      <c r="I3717" s="8" t="n">
        <v>7676</v>
      </c>
      <c r="J3717" s="8" t="n">
        <v>7771</v>
      </c>
      <c r="K3717" s="8" t="n">
        <v>7676</v>
      </c>
      <c r="L3717" s="8" t="n">
        <v>325306</v>
      </c>
      <c r="M3717" s="8" t="n">
        <v>447371</v>
      </c>
      <c r="N3717" t="inlineStr">
        <is>
          <t>是</t>
        </is>
      </c>
    </row>
    <row r="3718">
      <c r="A3718" s="7" t="inlineStr">
        <is>
          <t>2022-10-28</t>
        </is>
      </c>
      <c r="B3718" s="8" t="n">
        <v>7587</v>
      </c>
      <c r="C3718" s="8" t="n">
        <v>7528</v>
      </c>
      <c r="D3718" s="8" t="n">
        <v>7594</v>
      </c>
      <c r="E3718" s="8" t="n">
        <v>7427</v>
      </c>
      <c r="F3718" s="8" t="n">
        <v>637184</v>
      </c>
      <c r="G3718" s="8" t="n">
        <v>561040</v>
      </c>
      <c r="H3718" s="8" t="n">
        <v>7734</v>
      </c>
      <c r="I3718" s="8" t="n">
        <v>7713</v>
      </c>
      <c r="J3718" s="8" t="n">
        <v>7743</v>
      </c>
      <c r="K3718" s="8" t="n">
        <v>7608</v>
      </c>
      <c r="L3718" s="8" t="n">
        <v>461135</v>
      </c>
      <c r="M3718" s="8" t="n">
        <v>445232</v>
      </c>
      <c r="N3718" t="inlineStr">
        <is>
          <t>是</t>
        </is>
      </c>
    </row>
    <row r="3719">
      <c r="A3719" s="7" t="inlineStr">
        <is>
          <t>2022-10-31</t>
        </is>
      </c>
      <c r="B3719" s="8" t="n">
        <v>7363</v>
      </c>
      <c r="C3719" s="8" t="n">
        <v>7552</v>
      </c>
      <c r="D3719" s="8" t="n">
        <v>7594</v>
      </c>
      <c r="E3719" s="8" t="n">
        <v>7327</v>
      </c>
      <c r="F3719" s="8" t="n">
        <v>707336</v>
      </c>
      <c r="G3719" s="8" t="n">
        <v>595558</v>
      </c>
      <c r="H3719" s="8" t="n">
        <v>7535</v>
      </c>
      <c r="I3719" s="8" t="n">
        <v>7730</v>
      </c>
      <c r="J3719" s="8" t="n">
        <v>7763</v>
      </c>
      <c r="K3719" s="8" t="n">
        <v>7488</v>
      </c>
      <c r="L3719" s="8" t="n">
        <v>574263</v>
      </c>
      <c r="M3719" s="8" t="n">
        <v>456031</v>
      </c>
      <c r="N3719" t="inlineStr">
        <is>
          <t>是</t>
        </is>
      </c>
    </row>
    <row r="3720">
      <c r="A3720" s="7" t="inlineStr">
        <is>
          <t>2022-11-01</t>
        </is>
      </c>
      <c r="B3720" s="8" t="n">
        <v>7555</v>
      </c>
      <c r="C3720" s="8" t="n">
        <v>7343</v>
      </c>
      <c r="D3720" s="8" t="n">
        <v>7587</v>
      </c>
      <c r="E3720" s="8" t="n">
        <v>7341</v>
      </c>
      <c r="F3720" s="8" t="n">
        <v>612272</v>
      </c>
      <c r="G3720" s="8" t="n">
        <v>554517</v>
      </c>
      <c r="H3720" s="8" t="n">
        <v>7721</v>
      </c>
      <c r="I3720" s="8" t="n">
        <v>7520</v>
      </c>
      <c r="J3720" s="8" t="n">
        <v>7750</v>
      </c>
      <c r="K3720" s="8" t="n">
        <v>7508</v>
      </c>
      <c r="L3720" s="8" t="n">
        <v>458635</v>
      </c>
      <c r="M3720" s="8" t="n">
        <v>430882</v>
      </c>
      <c r="N3720" t="inlineStr">
        <is>
          <t>是</t>
        </is>
      </c>
    </row>
    <row r="3721">
      <c r="A3721" s="7" t="inlineStr">
        <is>
          <t>2022-11-02</t>
        </is>
      </c>
      <c r="B3721" s="8" t="n">
        <v>7600</v>
      </c>
      <c r="C3721" s="8" t="n">
        <v>7585</v>
      </c>
      <c r="D3721" s="8" t="n">
        <v>7648</v>
      </c>
      <c r="E3721" s="8" t="n">
        <v>7528</v>
      </c>
      <c r="F3721" s="8" t="n">
        <v>547210</v>
      </c>
      <c r="G3721" s="8" t="n">
        <v>533313</v>
      </c>
      <c r="H3721" s="8" t="n">
        <v>7775</v>
      </c>
      <c r="I3721" s="8" t="n">
        <v>7759</v>
      </c>
      <c r="J3721" s="8" t="n">
        <v>7820</v>
      </c>
      <c r="K3721" s="8" t="n">
        <v>7704</v>
      </c>
      <c r="L3721" s="8" t="n">
        <v>417441</v>
      </c>
      <c r="M3721" s="8" t="n">
        <v>414700</v>
      </c>
      <c r="N3721" t="inlineStr">
        <is>
          <t>是</t>
        </is>
      </c>
    </row>
    <row r="3722">
      <c r="A3722" s="7" t="inlineStr">
        <is>
          <t>2022-11-03</t>
        </is>
      </c>
      <c r="B3722" s="8" t="n">
        <v>7589</v>
      </c>
      <c r="C3722" s="8" t="n">
        <v>7588</v>
      </c>
      <c r="D3722" s="8" t="n">
        <v>7612</v>
      </c>
      <c r="E3722" s="8" t="n">
        <v>7485</v>
      </c>
      <c r="F3722" s="8" t="n">
        <v>518595</v>
      </c>
      <c r="G3722" s="8" t="n">
        <v>526149</v>
      </c>
      <c r="H3722" s="8" t="n">
        <v>7760</v>
      </c>
      <c r="I3722" s="8" t="n">
        <v>7740</v>
      </c>
      <c r="J3722" s="8" t="n">
        <v>7781</v>
      </c>
      <c r="K3722" s="8" t="n">
        <v>7660</v>
      </c>
      <c r="L3722" s="8" t="n">
        <v>415841</v>
      </c>
      <c r="M3722" s="8" t="n">
        <v>402273</v>
      </c>
      <c r="N3722" t="inlineStr">
        <is>
          <t>是</t>
        </is>
      </c>
    </row>
    <row r="3723">
      <c r="A3723" s="7" t="inlineStr">
        <is>
          <t>2022-11-04</t>
        </is>
      </c>
      <c r="B3723" s="8" t="n">
        <v>7675</v>
      </c>
      <c r="C3723" s="8" t="n">
        <v>7589</v>
      </c>
      <c r="D3723" s="8" t="n">
        <v>7722</v>
      </c>
      <c r="E3723" s="8" t="n">
        <v>7540</v>
      </c>
      <c r="F3723" s="8" t="n">
        <v>525434</v>
      </c>
      <c r="G3723" s="8" t="n">
        <v>520503</v>
      </c>
      <c r="H3723" s="8" t="n">
        <v>7870</v>
      </c>
      <c r="I3723" s="8" t="n">
        <v>7753</v>
      </c>
      <c r="J3723" s="8" t="n">
        <v>7895</v>
      </c>
      <c r="K3723" s="8" t="n">
        <v>7716</v>
      </c>
      <c r="L3723" s="8" t="n">
        <v>410130</v>
      </c>
      <c r="M3723" s="8" t="n">
        <v>403962</v>
      </c>
      <c r="N3723" t="inlineStr">
        <is>
          <t>是</t>
        </is>
      </c>
    </row>
    <row r="3724">
      <c r="A3724" s="7" t="inlineStr">
        <is>
          <t>2022-11-07</t>
        </is>
      </c>
      <c r="B3724" s="8" t="n">
        <v>7562</v>
      </c>
      <c r="C3724" s="8" t="n">
        <v>7705</v>
      </c>
      <c r="D3724" s="8" t="n">
        <v>7734</v>
      </c>
      <c r="E3724" s="8" t="n">
        <v>7540</v>
      </c>
      <c r="F3724" s="8" t="n">
        <v>547626</v>
      </c>
      <c r="G3724" s="8" t="n">
        <v>494409</v>
      </c>
      <c r="H3724" s="8" t="n">
        <v>7768</v>
      </c>
      <c r="I3724" s="8" t="n">
        <v>7898</v>
      </c>
      <c r="J3724" s="8" t="n">
        <v>7950</v>
      </c>
      <c r="K3724" s="8" t="n">
        <v>7731</v>
      </c>
      <c r="L3724" s="8" t="n">
        <v>475682</v>
      </c>
      <c r="M3724" s="8" t="n">
        <v>378615</v>
      </c>
      <c r="N3724" t="inlineStr">
        <is>
          <t>是</t>
        </is>
      </c>
    </row>
    <row r="3725">
      <c r="A3725" s="7" t="inlineStr">
        <is>
          <t>2022-11-08</t>
        </is>
      </c>
      <c r="B3725" s="8" t="n">
        <v>7553</v>
      </c>
      <c r="C3725" s="8" t="n">
        <v>7565</v>
      </c>
      <c r="D3725" s="8" t="n">
        <v>7585</v>
      </c>
      <c r="E3725" s="8" t="n">
        <v>7495</v>
      </c>
      <c r="F3725" s="8" t="n">
        <v>410597</v>
      </c>
      <c r="G3725" s="8" t="n">
        <v>499392</v>
      </c>
      <c r="H3725" s="8" t="n">
        <v>7731</v>
      </c>
      <c r="I3725" s="8" t="n">
        <v>7780</v>
      </c>
      <c r="J3725" s="8" t="n">
        <v>7799</v>
      </c>
      <c r="K3725" s="8" t="n">
        <v>7687</v>
      </c>
      <c r="L3725" s="8" t="n">
        <v>333670</v>
      </c>
      <c r="M3725" s="8" t="n">
        <v>376029</v>
      </c>
      <c r="N3725" t="inlineStr">
        <is>
          <t>是</t>
        </is>
      </c>
    </row>
    <row r="3726">
      <c r="A3726" s="7" t="inlineStr">
        <is>
          <t>2022-11-09</t>
        </is>
      </c>
      <c r="B3726" s="8" t="n">
        <v>7669</v>
      </c>
      <c r="C3726" s="8" t="n">
        <v>7575</v>
      </c>
      <c r="D3726" s="8" t="n">
        <v>7690</v>
      </c>
      <c r="E3726" s="8" t="n">
        <v>7570</v>
      </c>
      <c r="F3726" s="8" t="n">
        <v>596980</v>
      </c>
      <c r="G3726" s="8" t="n">
        <v>469392</v>
      </c>
      <c r="H3726" s="8" t="n">
        <v>7822</v>
      </c>
      <c r="I3726" s="8" t="n">
        <v>7748</v>
      </c>
      <c r="J3726" s="8" t="n">
        <v>7840</v>
      </c>
      <c r="K3726" s="8" t="n">
        <v>7728</v>
      </c>
      <c r="L3726" s="8" t="n">
        <v>393775</v>
      </c>
      <c r="M3726" s="8" t="n">
        <v>366157</v>
      </c>
      <c r="N3726" t="inlineStr">
        <is>
          <t>是</t>
        </is>
      </c>
    </row>
    <row r="3727">
      <c r="A3727" s="7" t="inlineStr">
        <is>
          <t>2022-11-10</t>
        </is>
      </c>
      <c r="B3727" s="8" t="n">
        <v>7549</v>
      </c>
      <c r="C3727" s="8" t="n">
        <v>7650</v>
      </c>
      <c r="D3727" s="8" t="n">
        <v>7680</v>
      </c>
      <c r="E3727" s="8" t="n">
        <v>7525</v>
      </c>
      <c r="F3727" s="8" t="n">
        <v>461229</v>
      </c>
      <c r="G3727" s="8" t="n">
        <v>465822</v>
      </c>
      <c r="H3727" s="8" t="n">
        <v>7661</v>
      </c>
      <c r="I3727" s="8" t="n">
        <v>7770</v>
      </c>
      <c r="J3727" s="8" t="n">
        <v>7822</v>
      </c>
      <c r="K3727" s="8" t="n">
        <v>7641</v>
      </c>
      <c r="L3727" s="8" t="n">
        <v>392677</v>
      </c>
      <c r="M3727" s="8" t="n">
        <v>374706</v>
      </c>
      <c r="N3727" t="inlineStr">
        <is>
          <t>是</t>
        </is>
      </c>
    </row>
    <row r="3728">
      <c r="A3728" s="7" t="inlineStr">
        <is>
          <t>2022-11-11</t>
        </is>
      </c>
      <c r="B3728" s="8" t="n">
        <v>7744</v>
      </c>
      <c r="C3728" s="8" t="n">
        <v>7570</v>
      </c>
      <c r="D3728" s="8" t="n">
        <v>7760</v>
      </c>
      <c r="E3728" s="8" t="n">
        <v>7536</v>
      </c>
      <c r="F3728" s="8" t="n">
        <v>600323</v>
      </c>
      <c r="G3728" s="8" t="n">
        <v>445381</v>
      </c>
      <c r="H3728" s="8" t="n">
        <v>7835</v>
      </c>
      <c r="I3728" s="8" t="n">
        <v>7666</v>
      </c>
      <c r="J3728" s="8" t="n">
        <v>7855</v>
      </c>
      <c r="K3728" s="8" t="n">
        <v>7641</v>
      </c>
      <c r="L3728" s="8" t="n">
        <v>449487</v>
      </c>
      <c r="M3728" s="8" t="n">
        <v>363534</v>
      </c>
      <c r="N3728" t="inlineStr">
        <is>
          <t>是</t>
        </is>
      </c>
    </row>
    <row r="3729">
      <c r="A3729" s="7" t="inlineStr">
        <is>
          <t>2022-11-14</t>
        </is>
      </c>
      <c r="B3729" s="8" t="n">
        <v>7778</v>
      </c>
      <c r="C3729" s="8" t="n">
        <v>7757</v>
      </c>
      <c r="D3729" s="8" t="n">
        <v>7834</v>
      </c>
      <c r="E3729" s="8" t="n">
        <v>7740</v>
      </c>
      <c r="F3729" s="8" t="n">
        <v>507555</v>
      </c>
      <c r="G3729" s="8" t="n">
        <v>428689</v>
      </c>
      <c r="H3729" s="8" t="n">
        <v>7877</v>
      </c>
      <c r="I3729" s="8" t="n">
        <v>7853</v>
      </c>
      <c r="J3729" s="8" t="n">
        <v>7934</v>
      </c>
      <c r="K3729" s="8" t="n">
        <v>7843</v>
      </c>
      <c r="L3729" s="8" t="n">
        <v>425726</v>
      </c>
      <c r="M3729" s="8" t="n">
        <v>360082</v>
      </c>
      <c r="N3729" t="inlineStr">
        <is>
          <t>是</t>
        </is>
      </c>
    </row>
    <row r="3730">
      <c r="A3730" s="7" t="inlineStr">
        <is>
          <t>2022-11-15</t>
        </is>
      </c>
      <c r="B3730" s="8" t="n">
        <v>7769</v>
      </c>
      <c r="C3730" s="8" t="n">
        <v>7758</v>
      </c>
      <c r="D3730" s="8" t="n">
        <v>7805</v>
      </c>
      <c r="E3730" s="8" t="n">
        <v>7730</v>
      </c>
      <c r="F3730" s="8" t="n">
        <v>396692</v>
      </c>
      <c r="G3730" s="8" t="n">
        <v>407999</v>
      </c>
      <c r="H3730" s="8" t="n">
        <v>7895</v>
      </c>
      <c r="I3730" s="8" t="n">
        <v>7869</v>
      </c>
      <c r="J3730" s="8" t="n">
        <v>7927</v>
      </c>
      <c r="K3730" s="8" t="n">
        <v>7847</v>
      </c>
      <c r="L3730" s="8" t="n">
        <v>305384</v>
      </c>
      <c r="M3730" s="8" t="n">
        <v>352682</v>
      </c>
      <c r="N3730" t="inlineStr">
        <is>
          <t>是</t>
        </is>
      </c>
    </row>
    <row r="3731">
      <c r="A3731" s="7" t="inlineStr">
        <is>
          <t>2022-11-16</t>
        </is>
      </c>
      <c r="B3731" s="8" t="n">
        <v>7783</v>
      </c>
      <c r="C3731" s="8" t="n">
        <v>7780</v>
      </c>
      <c r="D3731" s="8" t="n">
        <v>7802</v>
      </c>
      <c r="E3731" s="8" t="n">
        <v>7738</v>
      </c>
      <c r="F3731" s="8" t="n">
        <v>364500</v>
      </c>
      <c r="G3731" s="8" t="n">
        <v>405914</v>
      </c>
      <c r="H3731" s="8" t="n">
        <v>7946</v>
      </c>
      <c r="I3731" s="8" t="n">
        <v>7870</v>
      </c>
      <c r="J3731" s="8" t="n">
        <v>7957</v>
      </c>
      <c r="K3731" s="8" t="n">
        <v>7863</v>
      </c>
      <c r="L3731" s="8" t="n">
        <v>340408</v>
      </c>
      <c r="M3731" s="8" t="n">
        <v>346365</v>
      </c>
      <c r="N3731" t="inlineStr">
        <is>
          <t>是</t>
        </is>
      </c>
    </row>
    <row r="3732">
      <c r="A3732" s="7" t="inlineStr">
        <is>
          <t>2022-11-17</t>
        </is>
      </c>
      <c r="B3732" s="8" t="n">
        <v>7703</v>
      </c>
      <c r="C3732" s="8" t="n">
        <v>7790</v>
      </c>
      <c r="D3732" s="8" t="n">
        <v>7815</v>
      </c>
      <c r="E3732" s="8" t="n">
        <v>7657</v>
      </c>
      <c r="F3732" s="8" t="n">
        <v>446847</v>
      </c>
      <c r="G3732" s="8" t="n">
        <v>391378</v>
      </c>
      <c r="H3732" s="8" t="n">
        <v>7890</v>
      </c>
      <c r="I3732" s="8" t="n">
        <v>7956</v>
      </c>
      <c r="J3732" s="8" t="n">
        <v>7977</v>
      </c>
      <c r="K3732" s="8" t="n">
        <v>7844</v>
      </c>
      <c r="L3732" s="8" t="n">
        <v>356024</v>
      </c>
      <c r="M3732" s="8" t="n">
        <v>337520</v>
      </c>
      <c r="N3732" t="inlineStr">
        <is>
          <t>是</t>
        </is>
      </c>
    </row>
    <row r="3733">
      <c r="A3733" s="7" t="inlineStr">
        <is>
          <t>2022-11-18</t>
        </is>
      </c>
      <c r="B3733" s="8" t="n">
        <v>7745</v>
      </c>
      <c r="C3733" s="8" t="n">
        <v>7680</v>
      </c>
      <c r="D3733" s="8" t="n">
        <v>7763</v>
      </c>
      <c r="E3733" s="8" t="n">
        <v>7644</v>
      </c>
      <c r="F3733" s="8" t="n">
        <v>484184</v>
      </c>
      <c r="G3733" s="8" t="n">
        <v>386159</v>
      </c>
      <c r="H3733" s="8" t="n">
        <v>7973</v>
      </c>
      <c r="I3733" s="8" t="n">
        <v>7872</v>
      </c>
      <c r="J3733" s="8" t="n">
        <v>7994</v>
      </c>
      <c r="K3733" s="8" t="n">
        <v>7840</v>
      </c>
      <c r="L3733" s="8" t="n">
        <v>464628</v>
      </c>
      <c r="M3733" s="8" t="n">
        <v>353719</v>
      </c>
      <c r="N3733" t="inlineStr">
        <is>
          <t>是</t>
        </is>
      </c>
    </row>
    <row r="3734">
      <c r="A3734" s="7" t="inlineStr">
        <is>
          <t>2022-11-21</t>
        </is>
      </c>
      <c r="B3734" s="8" t="n">
        <v>7576</v>
      </c>
      <c r="C3734" s="8" t="n">
        <v>7722</v>
      </c>
      <c r="D3734" s="8" t="n">
        <v>7725</v>
      </c>
      <c r="E3734" s="8" t="n">
        <v>7555</v>
      </c>
      <c r="F3734" s="8" t="n">
        <v>576708</v>
      </c>
      <c r="G3734" s="8" t="n">
        <v>385917</v>
      </c>
      <c r="H3734" s="8" t="n">
        <v>7788</v>
      </c>
      <c r="I3734" s="8" t="n">
        <v>7955</v>
      </c>
      <c r="J3734" s="8" t="n">
        <v>7961</v>
      </c>
      <c r="K3734" s="8" t="n">
        <v>7751</v>
      </c>
      <c r="L3734" s="8" t="n">
        <v>476433</v>
      </c>
      <c r="M3734" s="8" t="n">
        <v>342739</v>
      </c>
      <c r="N3734" t="inlineStr">
        <is>
          <t>是</t>
        </is>
      </c>
    </row>
    <row r="3735">
      <c r="A3735" s="7" t="inlineStr">
        <is>
          <t>2022-11-22</t>
        </is>
      </c>
      <c r="B3735" s="8" t="n">
        <v>7571</v>
      </c>
      <c r="C3735" s="8" t="n">
        <v>7580</v>
      </c>
      <c r="D3735" s="8" t="n">
        <v>7628</v>
      </c>
      <c r="E3735" s="8" t="n">
        <v>7551</v>
      </c>
      <c r="F3735" s="8" t="n">
        <v>396631</v>
      </c>
      <c r="G3735" s="8" t="n">
        <v>386529</v>
      </c>
      <c r="H3735" s="8" t="n">
        <v>7799</v>
      </c>
      <c r="I3735" s="8" t="n">
        <v>7805</v>
      </c>
      <c r="J3735" s="8" t="n">
        <v>7853</v>
      </c>
      <c r="K3735" s="8" t="n">
        <v>7777</v>
      </c>
      <c r="L3735" s="8" t="n">
        <v>307334</v>
      </c>
      <c r="M3735" s="8" t="n">
        <v>328744</v>
      </c>
      <c r="N3735" t="inlineStr">
        <is>
          <t>是</t>
        </is>
      </c>
    </row>
    <row r="3736">
      <c r="A3736" s="7" t="inlineStr">
        <is>
          <t>2022-11-23</t>
        </is>
      </c>
      <c r="B3736" s="8" t="n">
        <v>7610</v>
      </c>
      <c r="C3736" s="8" t="n">
        <v>7609</v>
      </c>
      <c r="D3736" s="8" t="n">
        <v>7650</v>
      </c>
      <c r="E3736" s="8" t="n">
        <v>7582</v>
      </c>
      <c r="F3736" s="8" t="n">
        <v>400433</v>
      </c>
      <c r="G3736" s="8" t="n">
        <v>364332</v>
      </c>
      <c r="H3736" s="8" t="n">
        <v>7900</v>
      </c>
      <c r="I3736" s="8" t="n">
        <v>7822</v>
      </c>
      <c r="J3736" s="8" t="n">
        <v>7919</v>
      </c>
      <c r="K3736" s="8" t="n">
        <v>7820</v>
      </c>
      <c r="L3736" s="8" t="n">
        <v>426038</v>
      </c>
      <c r="M3736" s="8" t="n">
        <v>317612</v>
      </c>
      <c r="N3736" t="inlineStr">
        <is>
          <t>是</t>
        </is>
      </c>
    </row>
    <row r="3737">
      <c r="A3737" s="7" t="inlineStr">
        <is>
          <t>2022-11-24</t>
        </is>
      </c>
      <c r="B3737" s="8" t="n">
        <v>7657</v>
      </c>
      <c r="C3737" s="8" t="n">
        <v>7590</v>
      </c>
      <c r="D3737" s="8" t="n">
        <v>7715</v>
      </c>
      <c r="E3737" s="8" t="n">
        <v>7576</v>
      </c>
      <c r="F3737" s="8" t="n">
        <v>431014</v>
      </c>
      <c r="G3737" s="8" t="n">
        <v>346676</v>
      </c>
      <c r="H3737" s="8" t="n">
        <v>7981</v>
      </c>
      <c r="I3737" s="8" t="n">
        <v>7870</v>
      </c>
      <c r="J3737" s="8" t="n">
        <v>8025</v>
      </c>
      <c r="K3737" s="8" t="n">
        <v>7870</v>
      </c>
      <c r="L3737" s="8" t="n">
        <v>405297</v>
      </c>
      <c r="M3737" s="8" t="n">
        <v>329722</v>
      </c>
      <c r="N3737" t="inlineStr">
        <is>
          <t>是</t>
        </is>
      </c>
    </row>
    <row r="3738">
      <c r="A3738" s="7" t="inlineStr">
        <is>
          <t>2022-11-25</t>
        </is>
      </c>
      <c r="B3738" s="8" t="n">
        <v>7699</v>
      </c>
      <c r="C3738" s="8" t="n">
        <v>7657</v>
      </c>
      <c r="D3738" s="8" t="n">
        <v>7706</v>
      </c>
      <c r="E3738" s="8" t="n">
        <v>7586</v>
      </c>
      <c r="F3738" s="8" t="n">
        <v>455882</v>
      </c>
      <c r="G3738" s="8" t="n">
        <v>331274</v>
      </c>
      <c r="H3738" s="8" t="n">
        <v>8031</v>
      </c>
      <c r="I3738" s="8" t="n">
        <v>7981</v>
      </c>
      <c r="J3738" s="8" t="n">
        <v>8050</v>
      </c>
      <c r="K3738" s="8" t="n">
        <v>7948</v>
      </c>
      <c r="L3738" s="8" t="n">
        <v>316509</v>
      </c>
      <c r="M3738" s="8" t="n">
        <v>327904</v>
      </c>
      <c r="N3738" t="inlineStr">
        <is>
          <t>是</t>
        </is>
      </c>
    </row>
    <row r="3739">
      <c r="A3739" s="7" t="inlineStr">
        <is>
          <t>2022-11-28</t>
        </is>
      </c>
      <c r="B3739" s="8" t="n">
        <v>7645</v>
      </c>
      <c r="C3739" s="8" t="n">
        <v>7719</v>
      </c>
      <c r="D3739" s="8" t="n">
        <v>7752</v>
      </c>
      <c r="E3739" s="8" t="n">
        <v>7594</v>
      </c>
      <c r="F3739" s="8" t="n">
        <v>526759</v>
      </c>
      <c r="G3739" s="8" t="n">
        <v>319465</v>
      </c>
      <c r="H3739" s="8" t="n">
        <v>7892</v>
      </c>
      <c r="I3739" s="8" t="n">
        <v>8056</v>
      </c>
      <c r="J3739" s="8" t="n">
        <v>8062</v>
      </c>
      <c r="K3739" s="8" t="n">
        <v>7854</v>
      </c>
      <c r="L3739" s="8" t="n">
        <v>419641</v>
      </c>
      <c r="M3739" s="8" t="n">
        <v>291205</v>
      </c>
      <c r="N3739" t="inlineStr">
        <is>
          <t>是</t>
        </is>
      </c>
    </row>
    <row r="3740">
      <c r="A3740" s="7" t="inlineStr">
        <is>
          <t>2022-11-29</t>
        </is>
      </c>
      <c r="B3740" s="8" t="n">
        <v>7788</v>
      </c>
      <c r="C3740" s="8" t="n">
        <v>7660</v>
      </c>
      <c r="D3740" s="8" t="n">
        <v>7821</v>
      </c>
      <c r="E3740" s="8" t="n">
        <v>7640</v>
      </c>
      <c r="F3740" s="8" t="n">
        <v>520243</v>
      </c>
      <c r="G3740" s="8" t="n">
        <v>341619</v>
      </c>
      <c r="H3740" s="8" t="n">
        <v>8018</v>
      </c>
      <c r="I3740" s="8" t="n">
        <v>7895</v>
      </c>
      <c r="J3740" s="8" t="n">
        <v>8035</v>
      </c>
      <c r="K3740" s="8" t="n">
        <v>7893</v>
      </c>
      <c r="L3740" s="8" t="n">
        <v>287361</v>
      </c>
      <c r="M3740" s="8" t="n">
        <v>293847</v>
      </c>
      <c r="N3740" t="inlineStr">
        <is>
          <t>是</t>
        </is>
      </c>
    </row>
    <row r="3741">
      <c r="A3741" s="7" t="inlineStr">
        <is>
          <t>2022-11-30</t>
        </is>
      </c>
      <c r="B3741" s="8" t="n">
        <v>7754</v>
      </c>
      <c r="C3741" s="8" t="n">
        <v>7780</v>
      </c>
      <c r="D3741" s="8" t="n">
        <v>7803</v>
      </c>
      <c r="E3741" s="8" t="n">
        <v>7718</v>
      </c>
      <c r="F3741" s="8" t="n">
        <v>358018</v>
      </c>
      <c r="G3741" s="8" t="n">
        <v>330365</v>
      </c>
      <c r="H3741" s="8" t="n">
        <v>8043</v>
      </c>
      <c r="I3741" s="8" t="n">
        <v>8018</v>
      </c>
      <c r="J3741" s="8" t="n">
        <v>8082</v>
      </c>
      <c r="K3741" s="8" t="n">
        <v>8001</v>
      </c>
      <c r="L3741" s="8" t="n">
        <v>327408</v>
      </c>
      <c r="M3741" s="8" t="n">
        <v>290638</v>
      </c>
      <c r="N3741" t="inlineStr">
        <is>
          <t>是</t>
        </is>
      </c>
    </row>
    <row r="3742">
      <c r="A3742" s="7" t="inlineStr">
        <is>
          <t>2022-12-01</t>
        </is>
      </c>
      <c r="B3742" s="8" t="n">
        <v>7754</v>
      </c>
      <c r="C3742" s="8" t="n">
        <v>7780</v>
      </c>
      <c r="D3742" s="8" t="n">
        <v>7803</v>
      </c>
      <c r="E3742" s="8" t="n">
        <v>7745</v>
      </c>
      <c r="F3742" s="8" t="n">
        <v>318441</v>
      </c>
      <c r="G3742" s="8" t="n">
        <v>329424</v>
      </c>
      <c r="H3742" s="8" t="n">
        <v>8100</v>
      </c>
      <c r="I3742" s="8" t="n">
        <v>8055</v>
      </c>
      <c r="J3742" s="8" t="n">
        <v>8118</v>
      </c>
      <c r="K3742" s="8" t="n">
        <v>8055</v>
      </c>
      <c r="L3742" s="8" t="n">
        <v>302639</v>
      </c>
      <c r="M3742" s="8" t="n">
        <v>296260</v>
      </c>
      <c r="N3742" t="inlineStr">
        <is>
          <t>是</t>
        </is>
      </c>
    </row>
    <row r="3743">
      <c r="A3743" s="7" t="inlineStr">
        <is>
          <t>2022-12-02</t>
        </is>
      </c>
      <c r="B3743" s="8" t="n">
        <v>7832</v>
      </c>
      <c r="C3743" s="8" t="n">
        <v>7773</v>
      </c>
      <c r="D3743" s="8" t="n">
        <v>7845</v>
      </c>
      <c r="E3743" s="8" t="n">
        <v>7738</v>
      </c>
      <c r="F3743" s="8" t="n">
        <v>444833</v>
      </c>
      <c r="G3743" s="8" t="n">
        <v>333154</v>
      </c>
      <c r="H3743" s="8" t="n">
        <v>8140</v>
      </c>
      <c r="I3743" s="8" t="n">
        <v>8110</v>
      </c>
      <c r="J3743" s="8" t="n">
        <v>8149</v>
      </c>
      <c r="K3743" s="8" t="n">
        <v>8075</v>
      </c>
      <c r="L3743" s="8" t="n">
        <v>282218</v>
      </c>
      <c r="M3743" s="8" t="n">
        <v>301048</v>
      </c>
      <c r="N3743" t="inlineStr">
        <is>
          <t>是</t>
        </is>
      </c>
    </row>
    <row r="3744">
      <c r="A3744" s="7" t="inlineStr">
        <is>
          <t>2022-12-05</t>
        </is>
      </c>
      <c r="B3744" s="8" t="n">
        <v>7808</v>
      </c>
      <c r="C3744" s="8" t="n">
        <v>7826</v>
      </c>
      <c r="D3744" s="8" t="n">
        <v>7885</v>
      </c>
      <c r="E3744" s="8" t="n">
        <v>7765</v>
      </c>
      <c r="F3744" s="8" t="n">
        <v>435740</v>
      </c>
      <c r="G3744" s="8" t="n">
        <v>318543</v>
      </c>
      <c r="H3744" s="8" t="n">
        <v>8129</v>
      </c>
      <c r="I3744" s="8" t="n">
        <v>8148</v>
      </c>
      <c r="J3744" s="8" t="n">
        <v>8230</v>
      </c>
      <c r="K3744" s="8" t="n">
        <v>8098</v>
      </c>
      <c r="L3744" s="8" t="n">
        <v>352855</v>
      </c>
      <c r="M3744" s="8" t="n">
        <v>290614</v>
      </c>
      <c r="N3744" t="inlineStr">
        <is>
          <t>是</t>
        </is>
      </c>
    </row>
    <row r="3745">
      <c r="A3745" s="7" t="inlineStr">
        <is>
          <t>2022-12-06</t>
        </is>
      </c>
      <c r="B3745" s="8" t="n">
        <v>7759</v>
      </c>
      <c r="C3745" s="8" t="n">
        <v>7845</v>
      </c>
      <c r="D3745" s="8" t="n">
        <v>7845</v>
      </c>
      <c r="E3745" s="8" t="n">
        <v>7743</v>
      </c>
      <c r="F3745" s="8" t="n">
        <v>295412</v>
      </c>
      <c r="G3745" s="8" t="n">
        <v>302379</v>
      </c>
      <c r="H3745" s="8" t="n">
        <v>8087</v>
      </c>
      <c r="I3745" s="8" t="n">
        <v>8130</v>
      </c>
      <c r="J3745" s="8" t="n">
        <v>8150</v>
      </c>
      <c r="K3745" s="8" t="n">
        <v>8043</v>
      </c>
      <c r="L3745" s="8" t="n">
        <v>234397</v>
      </c>
      <c r="M3745" s="8" t="n">
        <v>279321</v>
      </c>
      <c r="N3745" t="inlineStr">
        <is>
          <t>是</t>
        </is>
      </c>
    </row>
    <row r="3746">
      <c r="A3746" s="7" t="inlineStr">
        <is>
          <t>2022-12-07</t>
        </is>
      </c>
      <c r="B3746" s="8" t="n">
        <v>7688</v>
      </c>
      <c r="C3746" s="8" t="n">
        <v>7730</v>
      </c>
      <c r="D3746" s="8" t="n">
        <v>7758</v>
      </c>
      <c r="E3746" s="8" t="n">
        <v>7654</v>
      </c>
      <c r="F3746" s="8" t="n">
        <v>429046</v>
      </c>
      <c r="G3746" s="8" t="n">
        <v>287437</v>
      </c>
      <c r="H3746" s="8" t="n">
        <v>7985</v>
      </c>
      <c r="I3746" s="8" t="n">
        <v>8078</v>
      </c>
      <c r="J3746" s="8" t="n">
        <v>8083</v>
      </c>
      <c r="K3746" s="8" t="n">
        <v>7953</v>
      </c>
      <c r="L3746" s="8" t="n">
        <v>294888</v>
      </c>
      <c r="M3746" s="8" t="n">
        <v>246446</v>
      </c>
      <c r="N3746" t="inlineStr">
        <is>
          <t>是</t>
        </is>
      </c>
    </row>
    <row r="3747">
      <c r="A3747" s="7" t="inlineStr">
        <is>
          <t>2022-12-08</t>
        </is>
      </c>
      <c r="B3747" s="8" t="n">
        <v>7643</v>
      </c>
      <c r="C3747" s="8" t="n">
        <v>7727</v>
      </c>
      <c r="D3747" s="8" t="n">
        <v>7747</v>
      </c>
      <c r="E3747" s="8" t="n">
        <v>7609</v>
      </c>
      <c r="F3747" s="8" t="n">
        <v>390797</v>
      </c>
      <c r="G3747" s="8" t="n">
        <v>289694</v>
      </c>
      <c r="H3747" s="8" t="n">
        <v>7994</v>
      </c>
      <c r="I3747" s="8" t="n">
        <v>8008</v>
      </c>
      <c r="J3747" s="8" t="n">
        <v>8042</v>
      </c>
      <c r="K3747" s="8" t="n">
        <v>7955</v>
      </c>
      <c r="L3747" s="8" t="n">
        <v>240308</v>
      </c>
      <c r="M3747" s="8" t="n">
        <v>234555</v>
      </c>
      <c r="N3747" t="inlineStr">
        <is>
          <t>是</t>
        </is>
      </c>
    </row>
    <row r="3748">
      <c r="A3748" s="7" t="inlineStr">
        <is>
          <t>2022-12-09</t>
        </is>
      </c>
      <c r="B3748" s="8" t="n">
        <v>7757</v>
      </c>
      <c r="C3748" s="8" t="n">
        <v>7660</v>
      </c>
      <c r="D3748" s="8" t="n">
        <v>7777</v>
      </c>
      <c r="E3748" s="8" t="n">
        <v>7629</v>
      </c>
      <c r="F3748" s="8" t="n">
        <v>400490</v>
      </c>
      <c r="G3748" s="8" t="n">
        <v>260622</v>
      </c>
      <c r="H3748" s="8" t="n">
        <v>8122</v>
      </c>
      <c r="I3748" s="8" t="n">
        <v>8000</v>
      </c>
      <c r="J3748" s="8" t="n">
        <v>8133</v>
      </c>
      <c r="K3748" s="8" t="n">
        <v>7973</v>
      </c>
      <c r="L3748" s="8" t="n">
        <v>263932</v>
      </c>
      <c r="M3748" s="8" t="n">
        <v>228928</v>
      </c>
      <c r="N3748" t="inlineStr">
        <is>
          <t>是</t>
        </is>
      </c>
    </row>
    <row r="3749">
      <c r="A3749" s="7" t="inlineStr">
        <is>
          <t>2022-12-12</t>
        </is>
      </c>
      <c r="B3749" s="8" t="n">
        <v>7878</v>
      </c>
      <c r="C3749" s="8" t="n">
        <v>7720</v>
      </c>
      <c r="D3749" s="8" t="n">
        <v>7975</v>
      </c>
      <c r="E3749" s="8" t="n">
        <v>7720</v>
      </c>
      <c r="F3749" s="8" t="n">
        <v>571119</v>
      </c>
      <c r="G3749" s="8" t="n">
        <v>253476</v>
      </c>
      <c r="H3749" s="8" t="n">
        <v>8172</v>
      </c>
      <c r="I3749" s="8" t="n">
        <v>8127</v>
      </c>
      <c r="J3749" s="8" t="n">
        <v>8278</v>
      </c>
      <c r="K3749" s="8" t="n">
        <v>8110</v>
      </c>
      <c r="L3749" s="8" t="n">
        <v>292929</v>
      </c>
      <c r="M3749" s="8" t="n">
        <v>221928</v>
      </c>
      <c r="N3749" t="inlineStr">
        <is>
          <t>是</t>
        </is>
      </c>
    </row>
    <row r="3750">
      <c r="A3750" s="7" t="inlineStr">
        <is>
          <t>2022-12-13</t>
        </is>
      </c>
      <c r="B3750" s="8" t="n">
        <v>7790</v>
      </c>
      <c r="C3750" s="8" t="n">
        <v>7852</v>
      </c>
      <c r="D3750" s="8" t="n">
        <v>7887</v>
      </c>
      <c r="E3750" s="8" t="n">
        <v>7780</v>
      </c>
      <c r="F3750" s="8" t="n">
        <v>331488</v>
      </c>
      <c r="G3750" s="8" t="n">
        <v>233788</v>
      </c>
      <c r="H3750" s="8" t="n">
        <v>8102</v>
      </c>
      <c r="I3750" s="8" t="n">
        <v>8140</v>
      </c>
      <c r="J3750" s="8" t="n">
        <v>8184</v>
      </c>
      <c r="K3750" s="8" t="n">
        <v>8088</v>
      </c>
      <c r="L3750" s="8" t="n">
        <v>221234</v>
      </c>
      <c r="M3750" s="8" t="n">
        <v>197700</v>
      </c>
      <c r="N3750" t="inlineStr">
        <is>
          <t>是</t>
        </is>
      </c>
    </row>
    <row r="3751">
      <c r="A3751" s="7" t="inlineStr">
        <is>
          <t>2022-12-14</t>
        </is>
      </c>
      <c r="B3751" s="8" t="n">
        <v>7834</v>
      </c>
      <c r="C3751" s="8" t="n">
        <v>7800</v>
      </c>
      <c r="D3751" s="8" t="n">
        <v>7866</v>
      </c>
      <c r="E3751" s="8" t="n">
        <v>7797</v>
      </c>
      <c r="F3751" s="8" t="n">
        <v>294998</v>
      </c>
      <c r="G3751" s="8" t="n">
        <v>207447</v>
      </c>
      <c r="H3751" s="8" t="n">
        <v>8172</v>
      </c>
      <c r="I3751" s="8" t="n">
        <v>8124</v>
      </c>
      <c r="J3751" s="8" t="n">
        <v>8223</v>
      </c>
      <c r="K3751" s="8" t="n">
        <v>8110</v>
      </c>
      <c r="L3751" s="8" t="n">
        <v>225988</v>
      </c>
      <c r="M3751" s="8" t="n">
        <v>163321</v>
      </c>
      <c r="N3751" t="inlineStr">
        <is>
          <t>是</t>
        </is>
      </c>
    </row>
    <row r="3752">
      <c r="A3752" s="7" t="inlineStr">
        <is>
          <t>2022-12-15</t>
        </is>
      </c>
      <c r="B3752" s="8" t="n">
        <v>7861</v>
      </c>
      <c r="C3752" s="8" t="n">
        <v>7850</v>
      </c>
      <c r="D3752" s="8" t="n">
        <v>7878</v>
      </c>
      <c r="E3752" s="8" t="n">
        <v>7794</v>
      </c>
      <c r="F3752" s="8" t="n">
        <v>333195</v>
      </c>
      <c r="G3752" s="8" t="n">
        <v>186716</v>
      </c>
      <c r="H3752" s="8" t="n">
        <v>8245</v>
      </c>
      <c r="I3752" s="8" t="n">
        <v>8174</v>
      </c>
      <c r="J3752" s="8" t="n">
        <v>8261</v>
      </c>
      <c r="K3752" s="8" t="n">
        <v>8156</v>
      </c>
      <c r="L3752" s="8" t="n">
        <v>208804</v>
      </c>
      <c r="M3752" s="8" t="n">
        <v>138001</v>
      </c>
      <c r="N3752" t="inlineStr">
        <is>
          <t>是</t>
        </is>
      </c>
    </row>
    <row r="3753">
      <c r="A3753" s="7" t="inlineStr">
        <is>
          <t>2022-12-16</t>
        </is>
      </c>
      <c r="B3753" s="8" t="n">
        <v>7886</v>
      </c>
      <c r="C3753" s="8" t="n">
        <v>7862</v>
      </c>
      <c r="D3753" s="8" t="n">
        <v>7898</v>
      </c>
      <c r="E3753" s="8" t="n">
        <v>7787</v>
      </c>
      <c r="F3753" s="8" t="n">
        <v>295830</v>
      </c>
      <c r="G3753" s="8" t="n">
        <v>148910</v>
      </c>
      <c r="H3753" s="8" t="n">
        <v>8235</v>
      </c>
      <c r="I3753" s="8" t="n">
        <v>8270</v>
      </c>
      <c r="J3753" s="8" t="n">
        <v>8273</v>
      </c>
      <c r="K3753" s="8" t="n">
        <v>8164</v>
      </c>
      <c r="L3753" s="8" t="n">
        <v>332871</v>
      </c>
      <c r="M3753" s="8" t="n">
        <v>333594</v>
      </c>
      <c r="N3753" t="inlineStr">
        <is>
          <t>是</t>
        </is>
      </c>
    </row>
    <row r="3754">
      <c r="A3754" s="7" t="inlineStr">
        <is>
          <t>2022-12-19</t>
        </is>
      </c>
      <c r="B3754" s="8" t="n">
        <v>7840</v>
      </c>
      <c r="C3754" s="8" t="n">
        <v>7895</v>
      </c>
      <c r="D3754" s="8" t="n">
        <v>7978</v>
      </c>
      <c r="E3754" s="8" t="n">
        <v>7820</v>
      </c>
      <c r="F3754" s="8" t="n">
        <v>470332</v>
      </c>
      <c r="G3754" s="8" t="n">
        <v>325115</v>
      </c>
      <c r="H3754" s="8" t="n">
        <v>8112</v>
      </c>
      <c r="I3754" s="8" t="n">
        <v>8208</v>
      </c>
      <c r="J3754" s="8" t="n">
        <v>8280</v>
      </c>
      <c r="K3754" s="8" t="n">
        <v>8103</v>
      </c>
      <c r="L3754" s="8" t="n">
        <v>361424</v>
      </c>
      <c r="M3754" s="8" t="n">
        <v>337293</v>
      </c>
      <c r="N3754" t="inlineStr">
        <is>
          <t>是</t>
        </is>
      </c>
    </row>
    <row r="3755">
      <c r="A3755" s="7" t="inlineStr">
        <is>
          <t>2022-12-20</t>
        </is>
      </c>
      <c r="B3755" s="8" t="n">
        <v>7870</v>
      </c>
      <c r="C3755" s="8" t="n">
        <v>7840</v>
      </c>
      <c r="D3755" s="8" t="n">
        <v>7935</v>
      </c>
      <c r="E3755" s="8" t="n">
        <v>7830</v>
      </c>
      <c r="F3755" s="8" t="n">
        <v>410006</v>
      </c>
      <c r="G3755" s="8" t="n">
        <v>339578</v>
      </c>
      <c r="H3755" s="8" t="n">
        <v>8181</v>
      </c>
      <c r="I3755" s="8" t="n">
        <v>8110</v>
      </c>
      <c r="J3755" s="8" t="n">
        <v>8238</v>
      </c>
      <c r="K3755" s="8" t="n">
        <v>8105</v>
      </c>
      <c r="L3755" s="8" t="n">
        <v>295519</v>
      </c>
      <c r="M3755" s="8" t="n">
        <v>345454</v>
      </c>
      <c r="N3755" t="inlineStr">
        <is>
          <t>是</t>
        </is>
      </c>
    </row>
    <row r="3756">
      <c r="A3756" s="7" t="inlineStr">
        <is>
          <t>2022-12-21</t>
        </is>
      </c>
      <c r="B3756" s="8" t="n">
        <v>7889</v>
      </c>
      <c r="C3756" s="8" t="n">
        <v>7860</v>
      </c>
      <c r="D3756" s="8" t="n">
        <v>7892</v>
      </c>
      <c r="E3756" s="8" t="n">
        <v>7837</v>
      </c>
      <c r="F3756" s="8" t="n">
        <v>306786</v>
      </c>
      <c r="G3756" s="8" t="n">
        <v>341864</v>
      </c>
      <c r="H3756" s="8" t="n">
        <v>8184</v>
      </c>
      <c r="I3756" s="8" t="n">
        <v>8170</v>
      </c>
      <c r="J3756" s="8" t="n">
        <v>8202</v>
      </c>
      <c r="K3756" s="8" t="n">
        <v>8147</v>
      </c>
      <c r="L3756" s="8" t="n">
        <v>226689</v>
      </c>
      <c r="M3756" s="8" t="n">
        <v>350947</v>
      </c>
      <c r="N3756" t="inlineStr">
        <is>
          <t>是</t>
        </is>
      </c>
    </row>
    <row r="3757">
      <c r="A3757" s="7" t="inlineStr">
        <is>
          <t>2022-12-22</t>
        </is>
      </c>
      <c r="B3757" s="8" t="n">
        <v>7806</v>
      </c>
      <c r="C3757" s="8" t="n">
        <v>7920</v>
      </c>
      <c r="D3757" s="8" t="n">
        <v>7938</v>
      </c>
      <c r="E3757" s="8" t="n">
        <v>7800</v>
      </c>
      <c r="F3757" s="8" t="n">
        <v>430076</v>
      </c>
      <c r="G3757" s="8" t="n">
        <v>360790</v>
      </c>
      <c r="H3757" s="8" t="n">
        <v>8141</v>
      </c>
      <c r="I3757" s="8" t="n">
        <v>8188</v>
      </c>
      <c r="J3757" s="8" t="n">
        <v>8238</v>
      </c>
      <c r="K3757" s="8" t="n">
        <v>8124</v>
      </c>
      <c r="L3757" s="8" t="n">
        <v>275272</v>
      </c>
      <c r="M3757" s="8" t="n">
        <v>358031</v>
      </c>
      <c r="N3757" t="inlineStr">
        <is>
          <t>是</t>
        </is>
      </c>
    </row>
    <row r="3758">
      <c r="A3758" s="7" t="inlineStr">
        <is>
          <t>2022-12-23</t>
        </is>
      </c>
      <c r="B3758" s="8" t="n">
        <v>7618</v>
      </c>
      <c r="C3758" s="8" t="n">
        <v>7819</v>
      </c>
      <c r="D3758" s="8" t="n">
        <v>7829</v>
      </c>
      <c r="E3758" s="8" t="n">
        <v>7610</v>
      </c>
      <c r="F3758" s="8" t="n">
        <v>584956</v>
      </c>
      <c r="G3758" s="8" t="n">
        <v>401460</v>
      </c>
      <c r="H3758" s="8" t="n">
        <v>7965</v>
      </c>
      <c r="I3758" s="8" t="n">
        <v>8178</v>
      </c>
      <c r="J3758" s="8" t="n">
        <v>8178</v>
      </c>
      <c r="K3758" s="8" t="n">
        <v>7944</v>
      </c>
      <c r="L3758" s="8" t="n">
        <v>394443</v>
      </c>
      <c r="M3758" s="8" t="n">
        <v>346576</v>
      </c>
      <c r="N3758" t="inlineStr">
        <is>
          <t>是</t>
        </is>
      </c>
    </row>
    <row r="3759">
      <c r="A3759" s="7" t="inlineStr">
        <is>
          <t>2022-12-26</t>
        </is>
      </c>
      <c r="B3759" s="8" t="n">
        <v>7687</v>
      </c>
      <c r="C3759" s="8" t="n">
        <v>7636</v>
      </c>
      <c r="D3759" s="8" t="n">
        <v>7697</v>
      </c>
      <c r="E3759" s="8" t="n">
        <v>7610</v>
      </c>
      <c r="F3759" s="8" t="n">
        <v>362307</v>
      </c>
      <c r="G3759" s="8" t="n">
        <v>400511</v>
      </c>
      <c r="H3759" s="8" t="n">
        <v>8015</v>
      </c>
      <c r="I3759" s="8" t="n">
        <v>7970</v>
      </c>
      <c r="J3759" s="8" t="n">
        <v>8030</v>
      </c>
      <c r="K3759" s="8" t="n">
        <v>7950</v>
      </c>
      <c r="L3759" s="8" t="n">
        <v>262076</v>
      </c>
      <c r="M3759" s="8" t="n">
        <v>338461</v>
      </c>
      <c r="N3759" t="inlineStr">
        <is>
          <t>是</t>
        </is>
      </c>
    </row>
    <row r="3760">
      <c r="A3760" s="7" t="inlineStr">
        <is>
          <t>2022-12-27</t>
        </is>
      </c>
      <c r="B3760" s="8" t="n">
        <v>7775</v>
      </c>
      <c r="C3760" s="8" t="n">
        <v>7687</v>
      </c>
      <c r="D3760" s="8" t="n">
        <v>7788</v>
      </c>
      <c r="E3760" s="8" t="n">
        <v>7650</v>
      </c>
      <c r="F3760" s="8" t="n">
        <v>431086</v>
      </c>
      <c r="G3760" s="8" t="n">
        <v>381676</v>
      </c>
      <c r="H3760" s="8" t="n">
        <v>8167</v>
      </c>
      <c r="I3760" s="8" t="n">
        <v>8026</v>
      </c>
      <c r="J3760" s="8" t="n">
        <v>8182</v>
      </c>
      <c r="K3760" s="8" t="n">
        <v>7980</v>
      </c>
      <c r="L3760" s="8" t="n">
        <v>312771</v>
      </c>
      <c r="M3760" s="8" t="n">
        <v>339140</v>
      </c>
      <c r="N3760" t="inlineStr">
        <is>
          <t>是</t>
        </is>
      </c>
    </row>
    <row r="3761">
      <c r="A3761" s="7" t="inlineStr">
        <is>
          <t>2022-12-28</t>
        </is>
      </c>
      <c r="B3761" s="8" t="n">
        <v>7760</v>
      </c>
      <c r="C3761" s="8" t="n">
        <v>7778</v>
      </c>
      <c r="D3761" s="8" t="n">
        <v>7784</v>
      </c>
      <c r="E3761" s="8" t="n">
        <v>7722</v>
      </c>
      <c r="F3761" s="8" t="n">
        <v>299649</v>
      </c>
      <c r="G3761" s="8" t="n">
        <v>382085</v>
      </c>
      <c r="H3761" s="8" t="n">
        <v>8142</v>
      </c>
      <c r="I3761" s="8" t="n">
        <v>8185</v>
      </c>
      <c r="J3761" s="8" t="n">
        <v>8185</v>
      </c>
      <c r="K3761" s="8" t="n">
        <v>8118</v>
      </c>
      <c r="L3761" s="8" t="n">
        <v>222705</v>
      </c>
      <c r="M3761" s="8" t="n">
        <v>342376</v>
      </c>
      <c r="N3761" t="inlineStr">
        <is>
          <t>是</t>
        </is>
      </c>
    </row>
    <row r="3762">
      <c r="A3762" s="7" t="inlineStr">
        <is>
          <t>2022-12-29</t>
        </is>
      </c>
      <c r="B3762" s="8" t="n">
        <v>7675</v>
      </c>
      <c r="C3762" s="8" t="n">
        <v>7750</v>
      </c>
      <c r="D3762" s="8" t="n">
        <v>7776</v>
      </c>
      <c r="E3762" s="8" t="n">
        <v>7667</v>
      </c>
      <c r="F3762" s="8" t="n">
        <v>329484</v>
      </c>
      <c r="G3762" s="8" t="n">
        <v>397089</v>
      </c>
      <c r="H3762" s="8" t="n">
        <v>8025</v>
      </c>
      <c r="I3762" s="8" t="n">
        <v>8142</v>
      </c>
      <c r="J3762" s="8" t="n">
        <v>8152</v>
      </c>
      <c r="K3762" s="8" t="n">
        <v>8021</v>
      </c>
      <c r="L3762" s="8" t="n">
        <v>282361</v>
      </c>
      <c r="M3762" s="8" t="n">
        <v>331794</v>
      </c>
      <c r="N3762" t="inlineStr">
        <is>
          <t>是</t>
        </is>
      </c>
    </row>
    <row r="3763">
      <c r="A3763" s="7" t="inlineStr">
        <is>
          <t>2022-12-30</t>
        </is>
      </c>
      <c r="B3763" s="8" t="n">
        <v>7825</v>
      </c>
      <c r="C3763" s="8" t="n">
        <v>7695</v>
      </c>
      <c r="D3763" s="8" t="n">
        <v>7833</v>
      </c>
      <c r="E3763" s="8" t="n">
        <v>7662</v>
      </c>
      <c r="F3763" s="8" t="n">
        <v>421648</v>
      </c>
      <c r="G3763" s="8" t="n">
        <v>386888</v>
      </c>
      <c r="H3763" s="8" t="n">
        <v>8159</v>
      </c>
      <c r="I3763" s="8" t="n">
        <v>8045</v>
      </c>
      <c r="J3763" s="8" t="n">
        <v>8170</v>
      </c>
      <c r="K3763" s="8" t="n">
        <v>8011</v>
      </c>
      <c r="L3763" s="8" t="n">
        <v>316995</v>
      </c>
      <c r="M3763" s="8" t="n">
        <v>338777</v>
      </c>
      <c r="N3763" t="inlineStr">
        <is>
          <t>是</t>
        </is>
      </c>
    </row>
    <row r="3764">
      <c r="A3764" s="7" t="inlineStr">
        <is>
          <t>2023-01-03</t>
        </is>
      </c>
      <c r="B3764" s="8" t="n">
        <v>7865</v>
      </c>
      <c r="C3764" s="8" t="n">
        <v>7782</v>
      </c>
      <c r="D3764" s="8" t="n">
        <v>7873</v>
      </c>
      <c r="E3764" s="8" t="n">
        <v>7744</v>
      </c>
      <c r="F3764" s="8" t="n">
        <v>365267</v>
      </c>
      <c r="G3764" s="8" t="n">
        <v>385561</v>
      </c>
      <c r="H3764" s="8" t="n">
        <v>8202</v>
      </c>
      <c r="I3764" s="8" t="n">
        <v>8150</v>
      </c>
      <c r="J3764" s="8" t="n">
        <v>8220</v>
      </c>
      <c r="K3764" s="8" t="n">
        <v>8083</v>
      </c>
      <c r="L3764" s="8" t="n">
        <v>263838</v>
      </c>
      <c r="M3764" s="8" t="n">
        <v>357600</v>
      </c>
      <c r="N3764" t="inlineStr">
        <is>
          <t>是</t>
        </is>
      </c>
    </row>
    <row r="3765">
      <c r="A3765" s="7" t="inlineStr">
        <is>
          <t>2023-01-04</t>
        </is>
      </c>
      <c r="B3765" s="8" t="n">
        <v>7767</v>
      </c>
      <c r="C3765" s="8" t="n">
        <v>7822</v>
      </c>
      <c r="D3765" s="8" t="n">
        <v>7863</v>
      </c>
      <c r="E3765" s="8" t="n">
        <v>7754</v>
      </c>
      <c r="F3765" s="8" t="n">
        <v>375189</v>
      </c>
      <c r="G3765" s="8" t="n">
        <v>387804</v>
      </c>
      <c r="H3765" s="8" t="n">
        <v>8071</v>
      </c>
      <c r="I3765" s="8" t="n">
        <v>8185</v>
      </c>
      <c r="J3765" s="8" t="n">
        <v>8200</v>
      </c>
      <c r="K3765" s="8" t="n">
        <v>8060</v>
      </c>
      <c r="L3765" s="8" t="n">
        <v>309053</v>
      </c>
      <c r="M3765" s="8" t="n">
        <v>350893</v>
      </c>
      <c r="N3765" t="inlineStr">
        <is>
          <t>是</t>
        </is>
      </c>
    </row>
    <row r="3766">
      <c r="A3766" s="7" t="inlineStr">
        <is>
          <t>2023-01-05</t>
        </is>
      </c>
      <c r="B3766" s="8" t="n">
        <v>7695</v>
      </c>
      <c r="C3766" s="8" t="n">
        <v>7714</v>
      </c>
      <c r="D3766" s="8" t="n">
        <v>7743</v>
      </c>
      <c r="E3766" s="8" t="n">
        <v>7673</v>
      </c>
      <c r="F3766" s="8" t="n">
        <v>400734</v>
      </c>
      <c r="G3766" s="8" t="n">
        <v>432539</v>
      </c>
      <c r="H3766" s="8" t="n">
        <v>8008</v>
      </c>
      <c r="I3766" s="8" t="n">
        <v>8030</v>
      </c>
      <c r="J3766" s="8" t="n">
        <v>8066</v>
      </c>
      <c r="K3766" s="8" t="n">
        <v>7981</v>
      </c>
      <c r="L3766" s="8" t="n">
        <v>297724</v>
      </c>
      <c r="M3766" s="8" t="n">
        <v>359855</v>
      </c>
      <c r="N3766" t="inlineStr">
        <is>
          <t>是</t>
        </is>
      </c>
    </row>
    <row r="3767">
      <c r="A3767" s="7" t="inlineStr">
        <is>
          <t>2023-01-06</t>
        </is>
      </c>
      <c r="B3767" s="8" t="n">
        <v>7695</v>
      </c>
      <c r="C3767" s="8" t="n">
        <v>7725</v>
      </c>
      <c r="D3767" s="8" t="n">
        <v>7725</v>
      </c>
      <c r="E3767" s="8" t="n">
        <v>7651</v>
      </c>
      <c r="F3767" s="8" t="n">
        <v>340740</v>
      </c>
      <c r="G3767" s="8" t="n">
        <v>463467</v>
      </c>
      <c r="H3767" s="8" t="n">
        <v>8031</v>
      </c>
      <c r="I3767" s="8" t="n">
        <v>8011</v>
      </c>
      <c r="J3767" s="8" t="n">
        <v>8053</v>
      </c>
      <c r="K3767" s="8" t="n">
        <v>7980</v>
      </c>
      <c r="L3767" s="8" t="n">
        <v>256578</v>
      </c>
      <c r="M3767" s="8" t="n">
        <v>356019</v>
      </c>
      <c r="N3767" t="inlineStr">
        <is>
          <t>是</t>
        </is>
      </c>
    </row>
    <row r="3768">
      <c r="A3768" s="7" t="inlineStr">
        <is>
          <t>2023-01-09</t>
        </is>
      </c>
      <c r="B3768" s="8" t="n">
        <v>7651</v>
      </c>
      <c r="C3768" s="8" t="n">
        <v>7693</v>
      </c>
      <c r="D3768" s="8" t="n">
        <v>7707</v>
      </c>
      <c r="E3768" s="8" t="n">
        <v>7621</v>
      </c>
      <c r="F3768" s="8" t="n">
        <v>372591</v>
      </c>
      <c r="G3768" s="8" t="n">
        <v>484044</v>
      </c>
      <c r="H3768" s="8" t="n">
        <v>8006</v>
      </c>
      <c r="I3768" s="8" t="n">
        <v>8014</v>
      </c>
      <c r="J3768" s="8" t="n">
        <v>8050</v>
      </c>
      <c r="K3768" s="8" t="n">
        <v>7970</v>
      </c>
      <c r="L3768" s="8" t="n">
        <v>268068</v>
      </c>
      <c r="M3768" s="8" t="n">
        <v>355906</v>
      </c>
      <c r="N3768" t="inlineStr">
        <is>
          <t>是</t>
        </is>
      </c>
    </row>
    <row r="3769">
      <c r="A3769" s="7" t="inlineStr">
        <is>
          <t>2023-01-10</t>
        </is>
      </c>
      <c r="B3769" s="8" t="n">
        <v>7639</v>
      </c>
      <c r="C3769" s="8" t="n">
        <v>7666</v>
      </c>
      <c r="D3769" s="8" t="n">
        <v>7681</v>
      </c>
      <c r="E3769" s="8" t="n">
        <v>7585</v>
      </c>
      <c r="F3769" s="8" t="n">
        <v>395033</v>
      </c>
      <c r="G3769" s="8" t="n">
        <v>513841</v>
      </c>
      <c r="H3769" s="8" t="n">
        <v>7984</v>
      </c>
      <c r="I3769" s="8" t="n">
        <v>8040</v>
      </c>
      <c r="J3769" s="8" t="n">
        <v>8041</v>
      </c>
      <c r="K3769" s="8" t="n">
        <v>7914</v>
      </c>
      <c r="L3769" s="8" t="n">
        <v>345067</v>
      </c>
      <c r="M3769" s="8" t="n">
        <v>363496</v>
      </c>
      <c r="N3769" t="inlineStr">
        <is>
          <t>是</t>
        </is>
      </c>
    </row>
    <row r="3770">
      <c r="A3770" s="7" t="inlineStr">
        <is>
          <t>2023-01-11</t>
        </is>
      </c>
      <c r="B3770" s="8" t="n">
        <v>7689</v>
      </c>
      <c r="C3770" s="8" t="n">
        <v>7634</v>
      </c>
      <c r="D3770" s="8" t="n">
        <v>7710</v>
      </c>
      <c r="E3770" s="8" t="n">
        <v>7622</v>
      </c>
      <c r="F3770" s="8" t="n">
        <v>304947</v>
      </c>
      <c r="G3770" s="8" t="n">
        <v>492496</v>
      </c>
      <c r="H3770" s="8" t="n">
        <v>8063</v>
      </c>
      <c r="I3770" s="8" t="n">
        <v>8030</v>
      </c>
      <c r="J3770" s="8" t="n">
        <v>8076</v>
      </c>
      <c r="K3770" s="8" t="n">
        <v>7983</v>
      </c>
      <c r="L3770" s="8" t="n">
        <v>260381</v>
      </c>
      <c r="M3770" s="8" t="n">
        <v>347084</v>
      </c>
      <c r="N3770" t="inlineStr">
        <is>
          <t>是</t>
        </is>
      </c>
    </row>
    <row r="3771">
      <c r="A3771" s="7" t="inlineStr">
        <is>
          <t>2023-01-12</t>
        </is>
      </c>
      <c r="B3771" s="8" t="n">
        <v>7737</v>
      </c>
      <c r="C3771" s="8" t="n">
        <v>7689</v>
      </c>
      <c r="D3771" s="8" t="n">
        <v>7765</v>
      </c>
      <c r="E3771" s="8" t="n">
        <v>7686</v>
      </c>
      <c r="F3771" s="8" t="n">
        <v>371819</v>
      </c>
      <c r="G3771" s="8" t="n">
        <v>449719</v>
      </c>
      <c r="H3771" s="8" t="n">
        <v>8127</v>
      </c>
      <c r="I3771" s="8" t="n">
        <v>8063</v>
      </c>
      <c r="J3771" s="8" t="n">
        <v>8154</v>
      </c>
      <c r="K3771" s="8" t="n">
        <v>8060</v>
      </c>
      <c r="L3771" s="8" t="n">
        <v>307441</v>
      </c>
      <c r="M3771" s="8" t="n">
        <v>346343</v>
      </c>
      <c r="N3771" t="inlineStr">
        <is>
          <t>是</t>
        </is>
      </c>
    </row>
    <row r="3772">
      <c r="A3772" s="7" t="inlineStr">
        <is>
          <t>2023-01-13</t>
        </is>
      </c>
      <c r="B3772" s="8" t="n">
        <v>7897</v>
      </c>
      <c r="C3772" s="8" t="n">
        <v>7758</v>
      </c>
      <c r="D3772" s="8" t="n">
        <v>7913</v>
      </c>
      <c r="E3772" s="8" t="n">
        <v>7747</v>
      </c>
      <c r="F3772" s="8" t="n">
        <v>542099</v>
      </c>
      <c r="G3772" s="8" t="n">
        <v>427509</v>
      </c>
      <c r="H3772" s="8" t="n">
        <v>8268</v>
      </c>
      <c r="I3772" s="8" t="n">
        <v>8127</v>
      </c>
      <c r="J3772" s="8" t="n">
        <v>8298</v>
      </c>
      <c r="K3772" s="8" t="n">
        <v>8127</v>
      </c>
      <c r="L3772" s="8" t="n">
        <v>359014</v>
      </c>
      <c r="M3772" s="8" t="n">
        <v>383416</v>
      </c>
      <c r="N3772" t="inlineStr">
        <is>
          <t>是</t>
        </is>
      </c>
    </row>
    <row r="3773">
      <c r="A3773" s="7" t="inlineStr">
        <is>
          <t>2023-01-16</t>
        </is>
      </c>
      <c r="B3773" s="8" t="n">
        <v>7938</v>
      </c>
      <c r="C3773" s="8" t="n">
        <v>7897</v>
      </c>
      <c r="D3773" s="8" t="n">
        <v>7974</v>
      </c>
      <c r="E3773" s="8" t="n">
        <v>7886</v>
      </c>
      <c r="F3773" s="8" t="n">
        <v>412199</v>
      </c>
      <c r="G3773" s="8" t="n">
        <v>424555</v>
      </c>
      <c r="H3773" s="8" t="n">
        <v>8323</v>
      </c>
      <c r="I3773" s="8" t="n">
        <v>8278</v>
      </c>
      <c r="J3773" s="8" t="n">
        <v>8362</v>
      </c>
      <c r="K3773" s="8" t="n">
        <v>8258</v>
      </c>
      <c r="L3773" s="8" t="n">
        <v>327086</v>
      </c>
      <c r="M3773" s="8" t="n">
        <v>407317</v>
      </c>
      <c r="N3773" t="inlineStr">
        <is>
          <t>是</t>
        </is>
      </c>
    </row>
    <row r="3774">
      <c r="A3774" s="7" t="inlineStr">
        <is>
          <t>2023-01-17</t>
        </is>
      </c>
      <c r="B3774" s="8" t="n">
        <v>7963</v>
      </c>
      <c r="C3774" s="8" t="n">
        <v>7950</v>
      </c>
      <c r="D3774" s="8" t="n">
        <v>7989</v>
      </c>
      <c r="E3774" s="8" t="n">
        <v>7910</v>
      </c>
      <c r="F3774" s="8" t="n">
        <v>298716</v>
      </c>
      <c r="G3774" s="8" t="n">
        <v>438171</v>
      </c>
      <c r="H3774" s="8" t="n">
        <v>8352</v>
      </c>
      <c r="I3774" s="8" t="n">
        <v>8308</v>
      </c>
      <c r="J3774" s="8" t="n">
        <v>8377</v>
      </c>
      <c r="K3774" s="8" t="n">
        <v>8289</v>
      </c>
      <c r="L3774" s="8" t="n">
        <v>239885</v>
      </c>
      <c r="M3774" s="8" t="n">
        <v>424293</v>
      </c>
      <c r="N3774" t="inlineStr">
        <is>
          <t>是</t>
        </is>
      </c>
    </row>
    <row r="3775">
      <c r="A3775" s="7" t="inlineStr">
        <is>
          <t>2023-01-18</t>
        </is>
      </c>
      <c r="B3775" s="8" t="n">
        <v>8025</v>
      </c>
      <c r="C3775" s="8" t="n">
        <v>7968</v>
      </c>
      <c r="D3775" s="8" t="n">
        <v>8042</v>
      </c>
      <c r="E3775" s="8" t="n">
        <v>7961</v>
      </c>
      <c r="F3775" s="8" t="n">
        <v>282651</v>
      </c>
      <c r="G3775" s="8" t="n">
        <v>437626</v>
      </c>
      <c r="H3775" s="8" t="n">
        <v>8417</v>
      </c>
      <c r="I3775" s="8" t="n">
        <v>8388</v>
      </c>
      <c r="J3775" s="8" t="n">
        <v>8442</v>
      </c>
      <c r="K3775" s="8" t="n">
        <v>8349</v>
      </c>
      <c r="L3775" s="8" t="n">
        <v>237088</v>
      </c>
      <c r="M3775" s="8" t="n">
        <v>425262</v>
      </c>
      <c r="N3775" t="inlineStr">
        <is>
          <t>是</t>
        </is>
      </c>
    </row>
    <row r="3776">
      <c r="A3776" s="7" t="inlineStr">
        <is>
          <t>2023-01-19</t>
        </is>
      </c>
      <c r="B3776" s="8" t="n">
        <v>8060</v>
      </c>
      <c r="C3776" s="8" t="n">
        <v>8035</v>
      </c>
      <c r="D3776" s="8" t="n">
        <v>8105</v>
      </c>
      <c r="E3776" s="8" t="n">
        <v>8013</v>
      </c>
      <c r="F3776" s="8" t="n">
        <v>305801</v>
      </c>
      <c r="G3776" s="8" t="n">
        <v>437350</v>
      </c>
      <c r="H3776" s="8" t="n">
        <v>8442</v>
      </c>
      <c r="I3776" s="8" t="n">
        <v>8420</v>
      </c>
      <c r="J3776" s="8" t="n">
        <v>8490</v>
      </c>
      <c r="K3776" s="8" t="n">
        <v>8399</v>
      </c>
      <c r="L3776" s="8" t="n">
        <v>215461</v>
      </c>
      <c r="M3776" s="8" t="n">
        <v>430170</v>
      </c>
      <c r="N3776" t="inlineStr">
        <is>
          <t>是</t>
        </is>
      </c>
    </row>
    <row r="3777">
      <c r="A3777" s="7" t="inlineStr">
        <is>
          <t>2023-01-20</t>
        </is>
      </c>
      <c r="B3777" s="8" t="n">
        <v>8155</v>
      </c>
      <c r="C3777" s="8" t="n">
        <v>8100</v>
      </c>
      <c r="D3777" s="8" t="n">
        <v>8156</v>
      </c>
      <c r="E3777" s="8" t="n">
        <v>8053</v>
      </c>
      <c r="F3777" s="8" t="n">
        <v>249310</v>
      </c>
      <c r="G3777" s="8" t="n">
        <v>432640</v>
      </c>
      <c r="H3777" s="8" t="n">
        <v>8515</v>
      </c>
      <c r="I3777" s="8" t="n">
        <v>8423</v>
      </c>
      <c r="J3777" s="8" t="n">
        <v>8515</v>
      </c>
      <c r="K3777" s="8" t="n">
        <v>8422</v>
      </c>
      <c r="L3777" s="8" t="n">
        <v>190999</v>
      </c>
      <c r="M3777" s="8" t="n">
        <v>424945</v>
      </c>
      <c r="N3777" t="inlineStr">
        <is>
          <t>是</t>
        </is>
      </c>
    </row>
    <row r="3778">
      <c r="A3778" s="7" t="inlineStr">
        <is>
          <t>2023-01-30</t>
        </is>
      </c>
      <c r="B3778" s="8" t="n">
        <v>8200</v>
      </c>
      <c r="C3778" s="8" t="n">
        <v>8245</v>
      </c>
      <c r="D3778" s="8" t="n">
        <v>8300</v>
      </c>
      <c r="E3778" s="8" t="n">
        <v>8171</v>
      </c>
      <c r="F3778" s="8" t="n">
        <v>358684</v>
      </c>
      <c r="G3778" s="8" t="n">
        <v>447287</v>
      </c>
      <c r="H3778" s="8" t="n">
        <v>8510</v>
      </c>
      <c r="I3778" s="8" t="n">
        <v>8515</v>
      </c>
      <c r="J3778" s="8" t="n">
        <v>8610</v>
      </c>
      <c r="K3778" s="8" t="n">
        <v>8464</v>
      </c>
      <c r="L3778" s="8" t="n">
        <v>254807</v>
      </c>
      <c r="M3778" s="8" t="n">
        <v>449582</v>
      </c>
      <c r="N3778" t="inlineStr">
        <is>
          <t>是</t>
        </is>
      </c>
    </row>
    <row r="3779">
      <c r="A3779" s="7" t="inlineStr">
        <is>
          <t>2023-01-31</t>
        </is>
      </c>
      <c r="B3779" s="8" t="n">
        <v>8149</v>
      </c>
      <c r="C3779" s="8" t="n">
        <v>8188</v>
      </c>
      <c r="D3779" s="8" t="n">
        <v>8226</v>
      </c>
      <c r="E3779" s="8" t="n">
        <v>8134</v>
      </c>
      <c r="F3779" s="8" t="n">
        <v>351290</v>
      </c>
      <c r="G3779" s="8" t="n">
        <v>454058</v>
      </c>
      <c r="H3779" s="8" t="n">
        <v>8394</v>
      </c>
      <c r="I3779" s="8" t="n">
        <v>8520</v>
      </c>
      <c r="J3779" s="8" t="n">
        <v>8524</v>
      </c>
      <c r="K3779" s="8" t="n">
        <v>8386</v>
      </c>
      <c r="L3779" s="8" t="n">
        <v>289783</v>
      </c>
      <c r="M3779" s="8" t="n">
        <v>447053</v>
      </c>
      <c r="N3779" t="inlineStr">
        <is>
          <t>是</t>
        </is>
      </c>
    </row>
    <row r="3780">
      <c r="A3780" s="7" t="inlineStr">
        <is>
          <t>2023-02-01</t>
        </is>
      </c>
      <c r="B3780" s="8" t="n">
        <v>8143</v>
      </c>
      <c r="C3780" s="8" t="n">
        <v>8120</v>
      </c>
      <c r="D3780" s="8" t="n">
        <v>8184</v>
      </c>
      <c r="E3780" s="8" t="n">
        <v>8103</v>
      </c>
      <c r="F3780" s="8" t="n">
        <v>325562</v>
      </c>
      <c r="G3780" s="8" t="n">
        <v>463465</v>
      </c>
      <c r="H3780" s="8" t="n">
        <v>8420</v>
      </c>
      <c r="I3780" s="8" t="n">
        <v>8400</v>
      </c>
      <c r="J3780" s="8" t="n">
        <v>8480</v>
      </c>
      <c r="K3780" s="8" t="n">
        <v>8380</v>
      </c>
      <c r="L3780" s="8" t="n">
        <v>229706</v>
      </c>
      <c r="M3780" s="8" t="n">
        <v>445952</v>
      </c>
      <c r="N3780" t="inlineStr">
        <is>
          <t>是</t>
        </is>
      </c>
    </row>
    <row r="3781">
      <c r="A3781" s="7" t="inlineStr">
        <is>
          <t>2023-02-02</t>
        </is>
      </c>
      <c r="B3781" s="8" t="n">
        <v>8031</v>
      </c>
      <c r="C3781" s="8" t="n">
        <v>8143</v>
      </c>
      <c r="D3781" s="8" t="n">
        <v>8175</v>
      </c>
      <c r="E3781" s="8" t="n">
        <v>8030</v>
      </c>
      <c r="F3781" s="8" t="n">
        <v>417099</v>
      </c>
      <c r="G3781" s="8" t="n">
        <v>462709</v>
      </c>
      <c r="H3781" s="8" t="n">
        <v>8324</v>
      </c>
      <c r="I3781" s="8" t="n">
        <v>8438</v>
      </c>
      <c r="J3781" s="8" t="n">
        <v>8470</v>
      </c>
      <c r="K3781" s="8" t="n">
        <v>8321</v>
      </c>
      <c r="L3781" s="8" t="n">
        <v>310493</v>
      </c>
      <c r="M3781" s="8" t="n">
        <v>439835</v>
      </c>
      <c r="N3781" t="inlineStr">
        <is>
          <t>是</t>
        </is>
      </c>
    </row>
    <row r="3782">
      <c r="A3782" s="7" t="inlineStr">
        <is>
          <t>2023-02-03</t>
        </is>
      </c>
      <c r="B3782" s="8" t="n">
        <v>7963</v>
      </c>
      <c r="C3782" s="8" t="n">
        <v>8031</v>
      </c>
      <c r="D3782" s="8" t="n">
        <v>8043</v>
      </c>
      <c r="E3782" s="8" t="n">
        <v>7902</v>
      </c>
      <c r="F3782" s="8" t="n">
        <v>400664</v>
      </c>
      <c r="G3782" s="8" t="n">
        <v>416429</v>
      </c>
      <c r="H3782" s="8" t="n">
        <v>8279</v>
      </c>
      <c r="I3782" s="8" t="n">
        <v>8320</v>
      </c>
      <c r="J3782" s="8" t="n">
        <v>8340</v>
      </c>
      <c r="K3782" s="8" t="n">
        <v>8235</v>
      </c>
      <c r="L3782" s="8" t="n">
        <v>259762</v>
      </c>
      <c r="M3782" s="8" t="n">
        <v>414946</v>
      </c>
      <c r="N3782" t="inlineStr">
        <is>
          <t>是</t>
        </is>
      </c>
    </row>
    <row r="3783">
      <c r="A3783" s="7" t="inlineStr">
        <is>
          <t>2023-02-06</t>
        </is>
      </c>
      <c r="B3783" s="8" t="n">
        <v>7917</v>
      </c>
      <c r="C3783" s="8" t="n">
        <v>7961</v>
      </c>
      <c r="D3783" s="8" t="n">
        <v>7994</v>
      </c>
      <c r="E3783" s="8" t="n">
        <v>7883</v>
      </c>
      <c r="F3783" s="8" t="n">
        <v>390406</v>
      </c>
      <c r="G3783" s="8" t="n">
        <v>410828</v>
      </c>
      <c r="H3783" s="8" t="n">
        <v>8205</v>
      </c>
      <c r="I3783" s="8" t="n">
        <v>8279</v>
      </c>
      <c r="J3783" s="8" t="n">
        <v>8305</v>
      </c>
      <c r="K3783" s="8" t="n">
        <v>8165</v>
      </c>
      <c r="L3783" s="8" t="n">
        <v>306650</v>
      </c>
      <c r="M3783" s="8" t="n">
        <v>403510</v>
      </c>
      <c r="N3783" t="inlineStr">
        <is>
          <t>是</t>
        </is>
      </c>
    </row>
    <row r="3784">
      <c r="A3784" s="7" t="inlineStr">
        <is>
          <t>2023-02-07</t>
        </is>
      </c>
      <c r="B3784" s="8" t="n">
        <v>7888</v>
      </c>
      <c r="C3784" s="8" t="n">
        <v>7900</v>
      </c>
      <c r="D3784" s="8" t="n">
        <v>7917</v>
      </c>
      <c r="E3784" s="8" t="n">
        <v>7844</v>
      </c>
      <c r="F3784" s="8" t="n">
        <v>374497</v>
      </c>
      <c r="G3784" s="8" t="n">
        <v>418213</v>
      </c>
      <c r="H3784" s="8" t="n">
        <v>8159</v>
      </c>
      <c r="I3784" s="8" t="n">
        <v>8205</v>
      </c>
      <c r="J3784" s="8" t="n">
        <v>8212</v>
      </c>
      <c r="K3784" s="8" t="n">
        <v>8115</v>
      </c>
      <c r="L3784" s="8" t="n">
        <v>284808</v>
      </c>
      <c r="M3784" s="8" t="n">
        <v>400617</v>
      </c>
      <c r="N3784" t="inlineStr">
        <is>
          <t>是</t>
        </is>
      </c>
    </row>
    <row r="3785">
      <c r="A3785" s="7" t="inlineStr">
        <is>
          <t>2023-02-08</t>
        </is>
      </c>
      <c r="B3785" s="8" t="n">
        <v>7871</v>
      </c>
      <c r="C3785" s="8" t="n">
        <v>7895</v>
      </c>
      <c r="D3785" s="8" t="n">
        <v>7904</v>
      </c>
      <c r="E3785" s="8" t="n">
        <v>7834</v>
      </c>
      <c r="F3785" s="8" t="n">
        <v>331502</v>
      </c>
      <c r="G3785" s="8" t="n">
        <v>414701</v>
      </c>
      <c r="H3785" s="8" t="n">
        <v>8168</v>
      </c>
      <c r="I3785" s="8" t="n">
        <v>8159</v>
      </c>
      <c r="J3785" s="8" t="n">
        <v>8182</v>
      </c>
      <c r="K3785" s="8" t="n">
        <v>8113</v>
      </c>
      <c r="L3785" s="8" t="n">
        <v>247634</v>
      </c>
      <c r="M3785" s="8" t="n">
        <v>394409</v>
      </c>
      <c r="N3785" t="inlineStr">
        <is>
          <t>是</t>
        </is>
      </c>
    </row>
    <row r="3786">
      <c r="A3786" s="7" t="inlineStr">
        <is>
          <t>2023-02-09</t>
        </is>
      </c>
      <c r="B3786" s="8" t="n">
        <v>7900</v>
      </c>
      <c r="C3786" s="8" t="n">
        <v>7875</v>
      </c>
      <c r="D3786" s="8" t="n">
        <v>7934</v>
      </c>
      <c r="E3786" s="8" t="n">
        <v>7850</v>
      </c>
      <c r="F3786" s="8" t="n">
        <v>339245</v>
      </c>
      <c r="G3786" s="8" t="n">
        <v>417587</v>
      </c>
      <c r="H3786" s="8" t="n">
        <v>8224</v>
      </c>
      <c r="I3786" s="8" t="n">
        <v>8161</v>
      </c>
      <c r="J3786" s="8" t="n">
        <v>8256</v>
      </c>
      <c r="K3786" s="8" t="n">
        <v>8146</v>
      </c>
      <c r="L3786" s="8" t="n">
        <v>312409</v>
      </c>
      <c r="M3786" s="8" t="n">
        <v>395737</v>
      </c>
      <c r="N3786" t="inlineStr">
        <is>
          <t>是</t>
        </is>
      </c>
    </row>
    <row r="3787">
      <c r="A3787" s="7" t="inlineStr">
        <is>
          <t>2023-02-10</t>
        </is>
      </c>
      <c r="B3787" s="8" t="n">
        <v>7834</v>
      </c>
      <c r="C3787" s="8" t="n">
        <v>7908</v>
      </c>
      <c r="D3787" s="8" t="n">
        <v>7908</v>
      </c>
      <c r="E3787" s="8" t="n">
        <v>7763</v>
      </c>
      <c r="F3787" s="8" t="n">
        <v>477746</v>
      </c>
      <c r="G3787" s="8" t="n">
        <v>430800</v>
      </c>
      <c r="H3787" s="8" t="n">
        <v>8142</v>
      </c>
      <c r="I3787" s="8" t="n">
        <v>8200</v>
      </c>
      <c r="J3787" s="8" t="n">
        <v>8222</v>
      </c>
      <c r="K3787" s="8" t="n">
        <v>8078</v>
      </c>
      <c r="L3787" s="8" t="n">
        <v>369661</v>
      </c>
      <c r="M3787" s="8" t="n">
        <v>382453</v>
      </c>
      <c r="N3787" t="inlineStr">
        <is>
          <t>是</t>
        </is>
      </c>
    </row>
    <row r="3788">
      <c r="A3788" s="7" t="inlineStr">
        <is>
          <t>2023-02-13</t>
        </is>
      </c>
      <c r="B3788" s="8" t="n">
        <v>7807</v>
      </c>
      <c r="C3788" s="8" t="n">
        <v>7865</v>
      </c>
      <c r="D3788" s="8" t="n">
        <v>7879</v>
      </c>
      <c r="E3788" s="8" t="n">
        <v>7802</v>
      </c>
      <c r="F3788" s="8" t="n">
        <v>340141</v>
      </c>
      <c r="G3788" s="8" t="n">
        <v>437915</v>
      </c>
      <c r="H3788" s="8" t="n">
        <v>8145</v>
      </c>
      <c r="I3788" s="8" t="n">
        <v>8200</v>
      </c>
      <c r="J3788" s="8" t="n">
        <v>8200</v>
      </c>
      <c r="K3788" s="8" t="n">
        <v>8140</v>
      </c>
      <c r="L3788" s="8" t="n">
        <v>298713</v>
      </c>
      <c r="M3788" s="8" t="n">
        <v>378479</v>
      </c>
      <c r="N3788" t="inlineStr">
        <is>
          <t>是</t>
        </is>
      </c>
    </row>
    <row r="3789">
      <c r="A3789" s="7" t="inlineStr">
        <is>
          <t>2023-02-14</t>
        </is>
      </c>
      <c r="B3789" s="8" t="n">
        <v>7815</v>
      </c>
      <c r="C3789" s="8" t="n">
        <v>7825</v>
      </c>
      <c r="D3789" s="8" t="n">
        <v>7838</v>
      </c>
      <c r="E3789" s="8" t="n">
        <v>7777</v>
      </c>
      <c r="F3789" s="8" t="n">
        <v>330157</v>
      </c>
      <c r="G3789" s="8" t="n">
        <v>442005</v>
      </c>
      <c r="H3789" s="8" t="n">
        <v>8176</v>
      </c>
      <c r="I3789" s="8" t="n">
        <v>8151</v>
      </c>
      <c r="J3789" s="8" t="n">
        <v>8216</v>
      </c>
      <c r="K3789" s="8" t="n">
        <v>8127</v>
      </c>
      <c r="L3789" s="8" t="n">
        <v>320015</v>
      </c>
      <c r="M3789" s="8" t="n">
        <v>378319</v>
      </c>
      <c r="N3789" t="inlineStr">
        <is>
          <t>是</t>
        </is>
      </c>
    </row>
    <row r="3790">
      <c r="A3790" s="7" t="inlineStr">
        <is>
          <t>2023-02-15</t>
        </is>
      </c>
      <c r="B3790" s="8" t="n">
        <v>7779</v>
      </c>
      <c r="C3790" s="8" t="n">
        <v>7815</v>
      </c>
      <c r="D3790" s="8" t="n">
        <v>7843</v>
      </c>
      <c r="E3790" s="8" t="n">
        <v>7770</v>
      </c>
      <c r="F3790" s="8" t="n">
        <v>379282</v>
      </c>
      <c r="G3790" s="8" t="n">
        <v>474806</v>
      </c>
      <c r="H3790" s="8" t="n">
        <v>8167</v>
      </c>
      <c r="I3790" s="8" t="n">
        <v>8170</v>
      </c>
      <c r="J3790" s="8" t="n">
        <v>8223</v>
      </c>
      <c r="K3790" s="8" t="n">
        <v>8143</v>
      </c>
      <c r="L3790" s="8" t="n">
        <v>314139</v>
      </c>
      <c r="M3790" s="8" t="n">
        <v>382080</v>
      </c>
      <c r="N3790" t="inlineStr">
        <is>
          <t>是</t>
        </is>
      </c>
    </row>
    <row r="3791">
      <c r="A3791" s="7" t="inlineStr">
        <is>
          <t>2023-02-16</t>
        </is>
      </c>
      <c r="B3791" s="8" t="n">
        <v>7809</v>
      </c>
      <c r="C3791" s="8" t="n">
        <v>7780</v>
      </c>
      <c r="D3791" s="8" t="n">
        <v>7829</v>
      </c>
      <c r="E3791" s="8" t="n">
        <v>7758</v>
      </c>
      <c r="F3791" s="8" t="n">
        <v>328039</v>
      </c>
      <c r="G3791" s="8" t="n">
        <v>479144</v>
      </c>
      <c r="H3791" s="8" t="n">
        <v>8196</v>
      </c>
      <c r="I3791" s="8" t="n">
        <v>8175</v>
      </c>
      <c r="J3791" s="8" t="n">
        <v>8227</v>
      </c>
      <c r="K3791" s="8" t="n">
        <v>8157</v>
      </c>
      <c r="L3791" s="8" t="n">
        <v>268480</v>
      </c>
      <c r="M3791" s="8" t="n">
        <v>381379</v>
      </c>
      <c r="N3791" t="inlineStr">
        <is>
          <t>是</t>
        </is>
      </c>
    </row>
    <row r="3792">
      <c r="A3792" s="7" t="inlineStr">
        <is>
          <t>2023-02-17</t>
        </is>
      </c>
      <c r="B3792" s="8" t="n">
        <v>7870</v>
      </c>
      <c r="C3792" s="8" t="n">
        <v>7809</v>
      </c>
      <c r="D3792" s="8" t="n">
        <v>7913</v>
      </c>
      <c r="E3792" s="8" t="n">
        <v>7799</v>
      </c>
      <c r="F3792" s="8" t="n">
        <v>473291</v>
      </c>
      <c r="G3792" s="8" t="n">
        <v>449612</v>
      </c>
      <c r="H3792" s="8" t="n">
        <v>8220</v>
      </c>
      <c r="I3792" s="8" t="n">
        <v>8178</v>
      </c>
      <c r="J3792" s="8" t="n">
        <v>8264</v>
      </c>
      <c r="K3792" s="8" t="n">
        <v>8178</v>
      </c>
      <c r="L3792" s="8" t="n">
        <v>307069</v>
      </c>
      <c r="M3792" s="8" t="n">
        <v>377425</v>
      </c>
      <c r="N3792" t="inlineStr">
        <is>
          <t>是</t>
        </is>
      </c>
    </row>
    <row r="3793">
      <c r="A3793" s="7" t="inlineStr">
        <is>
          <t>2023-02-20</t>
        </is>
      </c>
      <c r="B3793" s="8" t="n">
        <v>7905</v>
      </c>
      <c r="C3793" s="8" t="n">
        <v>7850</v>
      </c>
      <c r="D3793" s="8" t="n">
        <v>7920</v>
      </c>
      <c r="E3793" s="8" t="n">
        <v>7824</v>
      </c>
      <c r="F3793" s="8" t="n">
        <v>391616</v>
      </c>
      <c r="G3793" s="8" t="n">
        <v>426188</v>
      </c>
      <c r="H3793" s="8" t="n">
        <v>8290</v>
      </c>
      <c r="I3793" s="8" t="n">
        <v>8206</v>
      </c>
      <c r="J3793" s="8" t="n">
        <v>8296</v>
      </c>
      <c r="K3793" s="8" t="n">
        <v>8158</v>
      </c>
      <c r="L3793" s="8" t="n">
        <v>329766</v>
      </c>
      <c r="M3793" s="8" t="n">
        <v>384845</v>
      </c>
      <c r="N3793" t="inlineStr">
        <is>
          <t>是</t>
        </is>
      </c>
    </row>
    <row r="3794">
      <c r="A3794" s="7" t="inlineStr">
        <is>
          <t>2023-02-21</t>
        </is>
      </c>
      <c r="B3794" s="8" t="n">
        <v>7972</v>
      </c>
      <c r="C3794" s="8" t="n">
        <v>7907</v>
      </c>
      <c r="D3794" s="8" t="n">
        <v>7999</v>
      </c>
      <c r="E3794" s="8" t="n">
        <v>7904</v>
      </c>
      <c r="F3794" s="8" t="n">
        <v>388649</v>
      </c>
      <c r="G3794" s="8" t="n">
        <v>420668</v>
      </c>
      <c r="H3794" s="8" t="n">
        <v>8370</v>
      </c>
      <c r="I3794" s="8" t="n">
        <v>8300</v>
      </c>
      <c r="J3794" s="8" t="n">
        <v>8399</v>
      </c>
      <c r="K3794" s="8" t="n">
        <v>8294</v>
      </c>
      <c r="L3794" s="8" t="n">
        <v>302701</v>
      </c>
      <c r="M3794" s="8" t="n">
        <v>399523</v>
      </c>
      <c r="N3794" t="inlineStr">
        <is>
          <t>是</t>
        </is>
      </c>
    </row>
    <row r="3795">
      <c r="A3795" s="7" t="inlineStr">
        <is>
          <t>2023-02-22</t>
        </is>
      </c>
      <c r="B3795" s="8" t="n">
        <v>7942</v>
      </c>
      <c r="C3795" s="8" t="n">
        <v>7972</v>
      </c>
      <c r="D3795" s="8" t="n">
        <v>8010</v>
      </c>
      <c r="E3795" s="8" t="n">
        <v>7915</v>
      </c>
      <c r="F3795" s="8" t="n">
        <v>398819</v>
      </c>
      <c r="G3795" s="8" t="n">
        <v>414507</v>
      </c>
      <c r="H3795" s="8" t="n">
        <v>8324</v>
      </c>
      <c r="I3795" s="8" t="n">
        <v>8350</v>
      </c>
      <c r="J3795" s="8" t="n">
        <v>8390</v>
      </c>
      <c r="K3795" s="8" t="n">
        <v>8297</v>
      </c>
      <c r="L3795" s="8" t="n">
        <v>282491</v>
      </c>
      <c r="M3795" s="8" t="n">
        <v>397504</v>
      </c>
      <c r="N3795" t="inlineStr">
        <is>
          <t>是</t>
        </is>
      </c>
    </row>
    <row r="3796">
      <c r="A3796" s="7" t="inlineStr">
        <is>
          <t>2023-02-23</t>
        </is>
      </c>
      <c r="B3796" s="8" t="n">
        <v>7943</v>
      </c>
      <c r="C3796" s="8" t="n">
        <v>7968</v>
      </c>
      <c r="D3796" s="8" t="n">
        <v>7990</v>
      </c>
      <c r="E3796" s="8" t="n">
        <v>7936</v>
      </c>
      <c r="F3796" s="8" t="n">
        <v>357019</v>
      </c>
      <c r="G3796" s="8" t="n">
        <v>416125</v>
      </c>
      <c r="H3796" s="8" t="n">
        <v>8328</v>
      </c>
      <c r="I3796" s="8" t="n">
        <v>8354</v>
      </c>
      <c r="J3796" s="8" t="n">
        <v>8356</v>
      </c>
      <c r="K3796" s="8" t="n">
        <v>8316</v>
      </c>
      <c r="L3796" s="8" t="n">
        <v>254663</v>
      </c>
      <c r="M3796" s="8" t="n">
        <v>396635</v>
      </c>
      <c r="N3796" t="inlineStr">
        <is>
          <t>是</t>
        </is>
      </c>
    </row>
    <row r="3797">
      <c r="A3797" s="7" t="inlineStr">
        <is>
          <t>2023-02-24</t>
        </is>
      </c>
      <c r="B3797" s="8" t="n">
        <v>7918</v>
      </c>
      <c r="C3797" s="8" t="n">
        <v>7943</v>
      </c>
      <c r="D3797" s="8" t="n">
        <v>7973</v>
      </c>
      <c r="E3797" s="8" t="n">
        <v>7860</v>
      </c>
      <c r="F3797" s="8" t="n">
        <v>472615</v>
      </c>
      <c r="G3797" s="8" t="n">
        <v>425031</v>
      </c>
      <c r="H3797" s="8" t="n">
        <v>8335</v>
      </c>
      <c r="I3797" s="8" t="n">
        <v>8339</v>
      </c>
      <c r="J3797" s="8" t="n">
        <v>8365</v>
      </c>
      <c r="K3797" s="8" t="n">
        <v>8260</v>
      </c>
      <c r="L3797" s="8" t="n">
        <v>342798</v>
      </c>
      <c r="M3797" s="8" t="n">
        <v>391085</v>
      </c>
      <c r="N3797" t="inlineStr">
        <is>
          <t>是</t>
        </is>
      </c>
    </row>
    <row r="3798">
      <c r="A3798" s="7" t="inlineStr">
        <is>
          <t>2023-02-27</t>
        </is>
      </c>
      <c r="B3798" s="8" t="n">
        <v>7841</v>
      </c>
      <c r="C3798" s="8" t="n">
        <v>7919</v>
      </c>
      <c r="D3798" s="8" t="n">
        <v>7938</v>
      </c>
      <c r="E3798" s="8" t="n">
        <v>7840</v>
      </c>
      <c r="F3798" s="8" t="n">
        <v>377642</v>
      </c>
      <c r="G3798" s="8" t="n">
        <v>440387</v>
      </c>
      <c r="H3798" s="8" t="n">
        <v>8268</v>
      </c>
      <c r="I3798" s="8" t="n">
        <v>8314</v>
      </c>
      <c r="J3798" s="8" t="n">
        <v>8351</v>
      </c>
      <c r="K3798" s="8" t="n">
        <v>8257</v>
      </c>
      <c r="L3798" s="8" t="n">
        <v>328660</v>
      </c>
      <c r="M3798" s="8" t="n">
        <v>392482</v>
      </c>
      <c r="N3798" t="inlineStr">
        <is>
          <t>是</t>
        </is>
      </c>
    </row>
    <row r="3799">
      <c r="A3799" s="7" t="inlineStr">
        <is>
          <t>2023-02-28</t>
        </is>
      </c>
      <c r="B3799" s="8" t="n">
        <v>7862</v>
      </c>
      <c r="C3799" s="8" t="n">
        <v>7842</v>
      </c>
      <c r="D3799" s="8" t="n">
        <v>7875</v>
      </c>
      <c r="E3799" s="8" t="n">
        <v>7814</v>
      </c>
      <c r="F3799" s="8" t="n">
        <v>351975</v>
      </c>
      <c r="G3799" s="8" t="n">
        <v>436868</v>
      </c>
      <c r="H3799" s="8" t="n">
        <v>8319</v>
      </c>
      <c r="I3799" s="8" t="n">
        <v>8289</v>
      </c>
      <c r="J3799" s="8" t="n">
        <v>8328</v>
      </c>
      <c r="K3799" s="8" t="n">
        <v>8263</v>
      </c>
      <c r="L3799" s="8" t="n">
        <v>292017</v>
      </c>
      <c r="M3799" s="8" t="n">
        <v>404326</v>
      </c>
      <c r="N3799" t="inlineStr">
        <is>
          <t>是</t>
        </is>
      </c>
    </row>
    <row r="3800">
      <c r="A3800" s="7" t="inlineStr">
        <is>
          <t>2023-03-01</t>
        </is>
      </c>
      <c r="B3800" s="8" t="n">
        <v>7910</v>
      </c>
      <c r="C3800" s="8" t="n">
        <v>7870</v>
      </c>
      <c r="D3800" s="8" t="n">
        <v>7920</v>
      </c>
      <c r="E3800" s="8" t="n">
        <v>7847</v>
      </c>
      <c r="F3800" s="8" t="n">
        <v>331035</v>
      </c>
      <c r="G3800" s="8" t="n">
        <v>429468</v>
      </c>
      <c r="H3800" s="8" t="n">
        <v>8398</v>
      </c>
      <c r="I3800" s="8" t="n">
        <v>8322</v>
      </c>
      <c r="J3800" s="8" t="n">
        <v>8400</v>
      </c>
      <c r="K3800" s="8" t="n">
        <v>8313</v>
      </c>
      <c r="L3800" s="8" t="n">
        <v>271876</v>
      </c>
      <c r="M3800" s="8" t="n">
        <v>429170</v>
      </c>
      <c r="N3800" t="inlineStr">
        <is>
          <t>是</t>
        </is>
      </c>
    </row>
    <row r="3801">
      <c r="A3801" s="7" t="inlineStr">
        <is>
          <t>2023-03-02</t>
        </is>
      </c>
      <c r="B3801" s="8" t="n">
        <v>7891</v>
      </c>
      <c r="C3801" s="8" t="n">
        <v>7893</v>
      </c>
      <c r="D3801" s="8" t="n">
        <v>7942</v>
      </c>
      <c r="E3801" s="8" t="n">
        <v>7871</v>
      </c>
      <c r="F3801" s="8" t="n">
        <v>324321</v>
      </c>
      <c r="G3801" s="8" t="n">
        <v>425399</v>
      </c>
      <c r="H3801" s="8" t="n">
        <v>8382</v>
      </c>
      <c r="I3801" s="8" t="n">
        <v>8386</v>
      </c>
      <c r="J3801" s="8" t="n">
        <v>8434</v>
      </c>
      <c r="K3801" s="8" t="n">
        <v>8365</v>
      </c>
      <c r="L3801" s="8" t="n">
        <v>298777</v>
      </c>
      <c r="M3801" s="8" t="n">
        <v>438869</v>
      </c>
      <c r="N3801" t="inlineStr">
        <is>
          <t>是</t>
        </is>
      </c>
    </row>
    <row r="3802">
      <c r="A3802" s="7" t="inlineStr">
        <is>
          <t>2023-03-03</t>
        </is>
      </c>
      <c r="B3802" s="8" t="n">
        <v>7879</v>
      </c>
      <c r="C3802" s="8" t="n">
        <v>7905</v>
      </c>
      <c r="D3802" s="8" t="n">
        <v>7910</v>
      </c>
      <c r="E3802" s="8" t="n">
        <v>7844</v>
      </c>
      <c r="F3802" s="8" t="n">
        <v>346806</v>
      </c>
      <c r="G3802" s="8" t="n">
        <v>436027</v>
      </c>
      <c r="H3802" s="8" t="n">
        <v>8367</v>
      </c>
      <c r="I3802" s="8" t="n">
        <v>8382</v>
      </c>
      <c r="J3802" s="8" t="n">
        <v>8400</v>
      </c>
      <c r="K3802" s="8" t="n">
        <v>8315</v>
      </c>
      <c r="L3802" s="8" t="n">
        <v>311413</v>
      </c>
      <c r="M3802" s="8" t="n">
        <v>432799</v>
      </c>
      <c r="N3802" t="inlineStr">
        <is>
          <t>是</t>
        </is>
      </c>
    </row>
    <row r="3803">
      <c r="A3803" s="7" t="inlineStr">
        <is>
          <t>2023-03-06</t>
        </is>
      </c>
      <c r="B3803" s="8" t="n">
        <v>7892</v>
      </c>
      <c r="C3803" s="8" t="n">
        <v>7880</v>
      </c>
      <c r="D3803" s="8" t="n">
        <v>7925</v>
      </c>
      <c r="E3803" s="8" t="n">
        <v>7828</v>
      </c>
      <c r="F3803" s="8" t="n">
        <v>515490</v>
      </c>
      <c r="G3803" s="8" t="n">
        <v>428551</v>
      </c>
      <c r="H3803" s="8" t="n">
        <v>8313</v>
      </c>
      <c r="I3803" s="8" t="n">
        <v>8360</v>
      </c>
      <c r="J3803" s="8" t="n">
        <v>8371</v>
      </c>
      <c r="K3803" s="8" t="n">
        <v>8276</v>
      </c>
      <c r="L3803" s="8" t="n">
        <v>369816</v>
      </c>
      <c r="M3803" s="8" t="n">
        <v>409544</v>
      </c>
      <c r="N3803" t="inlineStr">
        <is>
          <t>是</t>
        </is>
      </c>
    </row>
    <row r="3804">
      <c r="A3804" s="7" t="inlineStr">
        <is>
          <t>2023-03-07</t>
        </is>
      </c>
      <c r="B3804" s="8" t="n">
        <v>7857</v>
      </c>
      <c r="C3804" s="8" t="n">
        <v>7870</v>
      </c>
      <c r="D3804" s="8" t="n">
        <v>7925</v>
      </c>
      <c r="E3804" s="8" t="n">
        <v>7855</v>
      </c>
      <c r="F3804" s="8" t="n">
        <v>388360</v>
      </c>
      <c r="G3804" s="8" t="n">
        <v>427834</v>
      </c>
      <c r="H3804" s="8" t="n">
        <v>8307</v>
      </c>
      <c r="I3804" s="8" t="n">
        <v>8313</v>
      </c>
      <c r="J3804" s="8" t="n">
        <v>8359</v>
      </c>
      <c r="K3804" s="8" t="n">
        <v>8286</v>
      </c>
      <c r="L3804" s="8" t="n">
        <v>270219</v>
      </c>
      <c r="M3804" s="8" t="n">
        <v>401279</v>
      </c>
      <c r="N3804" t="inlineStr">
        <is>
          <t>是</t>
        </is>
      </c>
    </row>
    <row r="3805">
      <c r="A3805" s="7" t="inlineStr">
        <is>
          <t>2023-03-08</t>
        </is>
      </c>
      <c r="B3805" s="8" t="n">
        <v>7803</v>
      </c>
      <c r="C3805" s="8" t="n">
        <v>7856</v>
      </c>
      <c r="D3805" s="8" t="n">
        <v>7870</v>
      </c>
      <c r="E3805" s="8" t="n">
        <v>7781</v>
      </c>
      <c r="F3805" s="8" t="n">
        <v>461023</v>
      </c>
      <c r="G3805" s="8" t="n">
        <v>467371</v>
      </c>
      <c r="H3805" s="8" t="n">
        <v>8274</v>
      </c>
      <c r="I3805" s="8" t="n">
        <v>8300</v>
      </c>
      <c r="J3805" s="8" t="n">
        <v>8335</v>
      </c>
      <c r="K3805" s="8" t="n">
        <v>8235</v>
      </c>
      <c r="L3805" s="8" t="n">
        <v>337881</v>
      </c>
      <c r="M3805" s="8" t="n">
        <v>385889</v>
      </c>
      <c r="N3805" t="inlineStr">
        <is>
          <t>是</t>
        </is>
      </c>
    </row>
    <row r="3806">
      <c r="A3806" s="7" t="inlineStr">
        <is>
          <t>2023-03-09</t>
        </is>
      </c>
      <c r="B3806" s="8" t="n">
        <v>7766</v>
      </c>
      <c r="C3806" s="8" t="n">
        <v>7803</v>
      </c>
      <c r="D3806" s="8" t="n">
        <v>7822</v>
      </c>
      <c r="E3806" s="8" t="n">
        <v>7745</v>
      </c>
      <c r="F3806" s="8" t="n">
        <v>347692</v>
      </c>
      <c r="G3806" s="8" t="n">
        <v>480025</v>
      </c>
      <c r="H3806" s="8" t="n">
        <v>8222</v>
      </c>
      <c r="I3806" s="8" t="n">
        <v>8292</v>
      </c>
      <c r="J3806" s="8" t="n">
        <v>8293</v>
      </c>
      <c r="K3806" s="8" t="n">
        <v>8193</v>
      </c>
      <c r="L3806" s="8" t="n">
        <v>304117</v>
      </c>
      <c r="M3806" s="8" t="n">
        <v>375153</v>
      </c>
      <c r="N3806" t="inlineStr">
        <is>
          <t>是</t>
        </is>
      </c>
    </row>
    <row r="3807">
      <c r="A3807" s="7" t="inlineStr">
        <is>
          <t>2023-03-10</t>
        </is>
      </c>
      <c r="B3807" s="8" t="n">
        <v>7707</v>
      </c>
      <c r="C3807" s="8" t="n">
        <v>7770</v>
      </c>
      <c r="D3807" s="8" t="n">
        <v>7802</v>
      </c>
      <c r="E3807" s="8" t="n">
        <v>7705</v>
      </c>
      <c r="F3807" s="8" t="n">
        <v>363275</v>
      </c>
      <c r="G3807" s="8" t="n">
        <v>504146</v>
      </c>
      <c r="H3807" s="8" t="n">
        <v>8184</v>
      </c>
      <c r="I3807" s="8" t="n">
        <v>8227</v>
      </c>
      <c r="J3807" s="8" t="n">
        <v>8269</v>
      </c>
      <c r="K3807" s="8" t="n">
        <v>8182</v>
      </c>
      <c r="L3807" s="8" t="n">
        <v>287927</v>
      </c>
      <c r="M3807" s="8" t="n">
        <v>372262</v>
      </c>
      <c r="N3807" t="inlineStr">
        <is>
          <t>是</t>
        </is>
      </c>
    </row>
    <row r="3808">
      <c r="A3808" s="7" t="inlineStr">
        <is>
          <t>2023-03-13</t>
        </is>
      </c>
      <c r="B3808" s="8" t="n">
        <v>7744</v>
      </c>
      <c r="C3808" s="8" t="n">
        <v>7710</v>
      </c>
      <c r="D3808" s="8" t="n">
        <v>7761</v>
      </c>
      <c r="E3808" s="8" t="n">
        <v>7689</v>
      </c>
      <c r="F3808" s="8" t="n">
        <v>349488</v>
      </c>
      <c r="G3808" s="8" t="n">
        <v>504046</v>
      </c>
      <c r="H3808" s="8" t="n">
        <v>8227</v>
      </c>
      <c r="I3808" s="8" t="n">
        <v>8209</v>
      </c>
      <c r="J3808" s="8" t="n">
        <v>8245</v>
      </c>
      <c r="K3808" s="8" t="n">
        <v>8165</v>
      </c>
      <c r="L3808" s="8" t="n">
        <v>274099</v>
      </c>
      <c r="M3808" s="8" t="n">
        <v>366489</v>
      </c>
      <c r="N3808" t="inlineStr">
        <is>
          <t>是</t>
        </is>
      </c>
    </row>
    <row r="3809">
      <c r="A3809" s="7" t="inlineStr">
        <is>
          <t>2023-03-14</t>
        </is>
      </c>
      <c r="B3809" s="8" t="n">
        <v>7681</v>
      </c>
      <c r="C3809" s="8" t="n">
        <v>7680</v>
      </c>
      <c r="D3809" s="8" t="n">
        <v>7728</v>
      </c>
      <c r="E3809" s="8" t="n">
        <v>7650</v>
      </c>
      <c r="F3809" s="8" t="n">
        <v>376501</v>
      </c>
      <c r="G3809" s="8" t="n">
        <v>512967</v>
      </c>
      <c r="H3809" s="8" t="n">
        <v>8153</v>
      </c>
      <c r="I3809" s="8" t="n">
        <v>8167</v>
      </c>
      <c r="J3809" s="8" t="n">
        <v>8209</v>
      </c>
      <c r="K3809" s="8" t="n">
        <v>8111</v>
      </c>
      <c r="L3809" s="8" t="n">
        <v>296342</v>
      </c>
      <c r="M3809" s="8" t="n">
        <v>368881</v>
      </c>
      <c r="N3809" t="inlineStr">
        <is>
          <t>是</t>
        </is>
      </c>
    </row>
    <row r="3810">
      <c r="A3810" s="7" t="inlineStr">
        <is>
          <t>2023-03-15</t>
        </is>
      </c>
      <c r="B3810" s="8" t="n">
        <v>7621</v>
      </c>
      <c r="C3810" s="8" t="n">
        <v>7681</v>
      </c>
      <c r="D3810" s="8" t="n">
        <v>7707</v>
      </c>
      <c r="E3810" s="8" t="n">
        <v>7617</v>
      </c>
      <c r="F3810" s="8" t="n">
        <v>354571</v>
      </c>
      <c r="G3810" s="8" t="n">
        <v>540003</v>
      </c>
      <c r="H3810" s="8" t="n">
        <v>8111</v>
      </c>
      <c r="I3810" s="8" t="n">
        <v>8153</v>
      </c>
      <c r="J3810" s="8" t="n">
        <v>8165</v>
      </c>
      <c r="K3810" s="8" t="n">
        <v>8106</v>
      </c>
      <c r="L3810" s="8" t="n">
        <v>256314</v>
      </c>
      <c r="M3810" s="8" t="n">
        <v>379738</v>
      </c>
      <c r="N3810" t="inlineStr">
        <is>
          <t>是</t>
        </is>
      </c>
    </row>
    <row r="3811">
      <c r="A3811" s="7" t="inlineStr">
        <is>
          <t>2023-03-16</t>
        </is>
      </c>
      <c r="B3811" s="8" t="n">
        <v>7506</v>
      </c>
      <c r="C3811" s="8" t="n">
        <v>7588</v>
      </c>
      <c r="D3811" s="8" t="n">
        <v>7593</v>
      </c>
      <c r="E3811" s="8" t="n">
        <v>7483</v>
      </c>
      <c r="F3811" s="8" t="n">
        <v>452736</v>
      </c>
      <c r="G3811" s="8" t="n">
        <v>544113</v>
      </c>
      <c r="H3811" s="8" t="n">
        <v>7953</v>
      </c>
      <c r="I3811" s="8" t="n">
        <v>8080</v>
      </c>
      <c r="J3811" s="8" t="n">
        <v>8080</v>
      </c>
      <c r="K3811" s="8" t="n">
        <v>7945</v>
      </c>
      <c r="L3811" s="8" t="n">
        <v>332688</v>
      </c>
      <c r="M3811" s="8" t="n">
        <v>377130</v>
      </c>
      <c r="N3811" t="inlineStr">
        <is>
          <t>是</t>
        </is>
      </c>
    </row>
    <row r="3812">
      <c r="A3812" s="7" t="inlineStr">
        <is>
          <t>2023-03-17</t>
        </is>
      </c>
      <c r="B3812" s="8" t="n">
        <v>7560</v>
      </c>
      <c r="C3812" s="8" t="n">
        <v>7515</v>
      </c>
      <c r="D3812" s="8" t="n">
        <v>7630</v>
      </c>
      <c r="E3812" s="8" t="n">
        <v>7490</v>
      </c>
      <c r="F3812" s="8" t="n">
        <v>416092</v>
      </c>
      <c r="G3812" s="8" t="n">
        <v>527427</v>
      </c>
      <c r="H3812" s="8" t="n">
        <v>8030</v>
      </c>
      <c r="I3812" s="8" t="n">
        <v>7953</v>
      </c>
      <c r="J3812" s="8" t="n">
        <v>8100</v>
      </c>
      <c r="K3812" s="8" t="n">
        <v>7938</v>
      </c>
      <c r="L3812" s="8" t="n">
        <v>331723</v>
      </c>
      <c r="M3812" s="8" t="n">
        <v>361959</v>
      </c>
      <c r="N3812" t="inlineStr">
        <is>
          <t>是</t>
        </is>
      </c>
    </row>
    <row r="3813">
      <c r="A3813" s="7" t="inlineStr">
        <is>
          <t>2023-03-20</t>
        </is>
      </c>
      <c r="B3813" s="8" t="n">
        <v>7503</v>
      </c>
      <c r="C3813" s="8" t="n">
        <v>7537</v>
      </c>
      <c r="D3813" s="8" t="n">
        <v>7595</v>
      </c>
      <c r="E3813" s="8" t="n">
        <v>7501</v>
      </c>
      <c r="F3813" s="8" t="n">
        <v>374053</v>
      </c>
      <c r="G3813" s="8" t="n">
        <v>533726</v>
      </c>
      <c r="H3813" s="8" t="n">
        <v>7995</v>
      </c>
      <c r="I3813" s="8" t="n">
        <v>8018</v>
      </c>
      <c r="J3813" s="8" t="n">
        <v>8081</v>
      </c>
      <c r="K3813" s="8" t="n">
        <v>7990</v>
      </c>
      <c r="L3813" s="8" t="n">
        <v>250084</v>
      </c>
      <c r="M3813" s="8" t="n">
        <v>356542</v>
      </c>
      <c r="N3813" t="inlineStr">
        <is>
          <t>是</t>
        </is>
      </c>
    </row>
    <row r="3814">
      <c r="A3814" s="7" t="inlineStr">
        <is>
          <t>2023-03-21</t>
        </is>
      </c>
      <c r="B3814" s="8" t="n">
        <v>7527</v>
      </c>
      <c r="C3814" s="8" t="n">
        <v>7555</v>
      </c>
      <c r="D3814" s="8" t="n">
        <v>7556</v>
      </c>
      <c r="E3814" s="8" t="n">
        <v>7475</v>
      </c>
      <c r="F3814" s="8" t="n">
        <v>337450</v>
      </c>
      <c r="G3814" s="8" t="n">
        <v>527938</v>
      </c>
      <c r="H3814" s="8" t="n">
        <v>8036</v>
      </c>
      <c r="I3814" s="8" t="n">
        <v>8026</v>
      </c>
      <c r="J3814" s="8" t="n">
        <v>8050</v>
      </c>
      <c r="K3814" s="8" t="n">
        <v>7977</v>
      </c>
      <c r="L3814" s="8" t="n">
        <v>246727</v>
      </c>
      <c r="M3814" s="8" t="n">
        <v>355870</v>
      </c>
      <c r="N3814" t="inlineStr">
        <is>
          <t>是</t>
        </is>
      </c>
    </row>
    <row r="3815">
      <c r="A3815" s="7" t="inlineStr">
        <is>
          <t>2023-03-22</t>
        </is>
      </c>
      <c r="B3815" s="8" t="n">
        <v>7542</v>
      </c>
      <c r="C3815" s="8" t="n">
        <v>7559</v>
      </c>
      <c r="D3815" s="8" t="n">
        <v>7570</v>
      </c>
      <c r="E3815" s="8" t="n">
        <v>7506</v>
      </c>
      <c r="F3815" s="8" t="n">
        <v>308968</v>
      </c>
      <c r="G3815" s="8" t="n">
        <v>521692</v>
      </c>
      <c r="H3815" s="8" t="n">
        <v>8072</v>
      </c>
      <c r="I3815" s="8" t="n">
        <v>8060</v>
      </c>
      <c r="J3815" s="8" t="n">
        <v>8109</v>
      </c>
      <c r="K3815" s="8" t="n">
        <v>8033</v>
      </c>
      <c r="L3815" s="8" t="n">
        <v>271054</v>
      </c>
      <c r="M3815" s="8" t="n">
        <v>349157</v>
      </c>
      <c r="N3815" t="inlineStr">
        <is>
          <t>是</t>
        </is>
      </c>
    </row>
    <row r="3816">
      <c r="A3816" s="7" t="inlineStr">
        <is>
          <t>2023-03-23</t>
        </is>
      </c>
      <c r="B3816" s="8" t="n">
        <v>7510</v>
      </c>
      <c r="C3816" s="8" t="n">
        <v>7554</v>
      </c>
      <c r="D3816" s="8" t="n">
        <v>7596</v>
      </c>
      <c r="E3816" s="8" t="n">
        <v>7505</v>
      </c>
      <c r="F3816" s="8" t="n">
        <v>321811</v>
      </c>
      <c r="G3816" s="8" t="n">
        <v>502698</v>
      </c>
      <c r="H3816" s="8" t="n">
        <v>8003</v>
      </c>
      <c r="I3816" s="8" t="n">
        <v>8054</v>
      </c>
      <c r="J3816" s="8" t="n">
        <v>8085</v>
      </c>
      <c r="K3816" s="8" t="n">
        <v>7995</v>
      </c>
      <c r="L3816" s="8" t="n">
        <v>232771</v>
      </c>
      <c r="M3816" s="8" t="n">
        <v>344206</v>
      </c>
      <c r="N3816" t="inlineStr">
        <is>
          <t>是</t>
        </is>
      </c>
    </row>
    <row r="3817">
      <c r="A3817" s="7" t="inlineStr">
        <is>
          <t>2023-03-24</t>
        </is>
      </c>
      <c r="B3817" s="8" t="n">
        <v>7558</v>
      </c>
      <c r="C3817" s="8" t="n">
        <v>7530</v>
      </c>
      <c r="D3817" s="8" t="n">
        <v>7563</v>
      </c>
      <c r="E3817" s="8" t="n">
        <v>7446</v>
      </c>
      <c r="F3817" s="8" t="n">
        <v>389257</v>
      </c>
      <c r="G3817" s="8" t="n">
        <v>481740</v>
      </c>
      <c r="H3817" s="8" t="n">
        <v>8056</v>
      </c>
      <c r="I3817" s="8" t="n">
        <v>8020</v>
      </c>
      <c r="J3817" s="8" t="n">
        <v>8062</v>
      </c>
      <c r="K3817" s="8" t="n">
        <v>7931</v>
      </c>
      <c r="L3817" s="8" t="n">
        <v>309487</v>
      </c>
      <c r="M3817" s="8" t="n">
        <v>329776</v>
      </c>
      <c r="N3817" t="inlineStr">
        <is>
          <t>是</t>
        </is>
      </c>
    </row>
    <row r="3818">
      <c r="A3818" s="7" t="inlineStr">
        <is>
          <t>2023-03-27</t>
        </is>
      </c>
      <c r="B3818" s="8" t="n">
        <v>7573</v>
      </c>
      <c r="C3818" s="8" t="n">
        <v>7480</v>
      </c>
      <c r="D3818" s="8" t="n">
        <v>7584</v>
      </c>
      <c r="E3818" s="8" t="n">
        <v>7480</v>
      </c>
      <c r="F3818" s="8" t="n">
        <v>370705</v>
      </c>
      <c r="G3818" s="8" t="n">
        <v>471180</v>
      </c>
      <c r="H3818" s="8" t="n">
        <v>8058</v>
      </c>
      <c r="I3818" s="8" t="n">
        <v>8000</v>
      </c>
      <c r="J3818" s="8" t="n">
        <v>8095</v>
      </c>
      <c r="K3818" s="8" t="n">
        <v>7996</v>
      </c>
      <c r="L3818" s="8" t="n">
        <v>243503</v>
      </c>
      <c r="M3818" s="8" t="n">
        <v>326589</v>
      </c>
      <c r="N3818" t="inlineStr">
        <is>
          <t>是</t>
        </is>
      </c>
    </row>
    <row r="3819">
      <c r="A3819" s="7" t="inlineStr">
        <is>
          <t>2023-03-28</t>
        </is>
      </c>
      <c r="B3819" s="8" t="n">
        <v>7616</v>
      </c>
      <c r="C3819" s="8" t="n">
        <v>7573</v>
      </c>
      <c r="D3819" s="8" t="n">
        <v>7643</v>
      </c>
      <c r="E3819" s="8" t="n">
        <v>7573</v>
      </c>
      <c r="F3819" s="8" t="n">
        <v>341116</v>
      </c>
      <c r="G3819" s="8" t="n">
        <v>446744</v>
      </c>
      <c r="H3819" s="8" t="n">
        <v>8109</v>
      </c>
      <c r="I3819" s="8" t="n">
        <v>8060</v>
      </c>
      <c r="J3819" s="8" t="n">
        <v>8134</v>
      </c>
      <c r="K3819" s="8" t="n">
        <v>8054</v>
      </c>
      <c r="L3819" s="8" t="n">
        <v>226657</v>
      </c>
      <c r="M3819" s="8" t="n">
        <v>316726</v>
      </c>
      <c r="N3819" t="inlineStr">
        <is>
          <t>是</t>
        </is>
      </c>
    </row>
    <row r="3820">
      <c r="A3820" s="7" t="inlineStr">
        <is>
          <t>2023-03-29</t>
        </is>
      </c>
      <c r="B3820" s="8" t="n">
        <v>7597</v>
      </c>
      <c r="C3820" s="8" t="n">
        <v>7605</v>
      </c>
      <c r="D3820" s="8" t="n">
        <v>7646</v>
      </c>
      <c r="E3820" s="8" t="n">
        <v>7576</v>
      </c>
      <c r="F3820" s="8" t="n">
        <v>293018</v>
      </c>
      <c r="G3820" s="8" t="n">
        <v>431006</v>
      </c>
      <c r="H3820" s="8" t="n">
        <v>8098</v>
      </c>
      <c r="I3820" s="8" t="n">
        <v>8105</v>
      </c>
      <c r="J3820" s="8" t="n">
        <v>8137</v>
      </c>
      <c r="K3820" s="8" t="n">
        <v>8073</v>
      </c>
      <c r="L3820" s="8" t="n">
        <v>215966</v>
      </c>
      <c r="M3820" s="8" t="n">
        <v>307244</v>
      </c>
      <c r="N3820" t="inlineStr">
        <is>
          <t>是</t>
        </is>
      </c>
    </row>
    <row r="3821">
      <c r="A3821" s="7" t="inlineStr">
        <is>
          <t>2023-03-30</t>
        </is>
      </c>
      <c r="B3821" s="8" t="n">
        <v>7608</v>
      </c>
      <c r="C3821" s="8" t="n">
        <v>7615</v>
      </c>
      <c r="D3821" s="8" t="n">
        <v>7627</v>
      </c>
      <c r="E3821" s="8" t="n">
        <v>7563</v>
      </c>
      <c r="F3821" s="8" t="n">
        <v>257418</v>
      </c>
      <c r="G3821" s="8" t="n">
        <v>419155</v>
      </c>
      <c r="H3821" s="8" t="n">
        <v>8090</v>
      </c>
      <c r="I3821" s="8" t="n">
        <v>8116</v>
      </c>
      <c r="J3821" s="8" t="n">
        <v>8131</v>
      </c>
      <c r="K3821" s="8" t="n">
        <v>8048</v>
      </c>
      <c r="L3821" s="8" t="n">
        <v>215295</v>
      </c>
      <c r="M3821" s="8" t="n">
        <v>303530</v>
      </c>
      <c r="N3821" t="inlineStr">
        <is>
          <t>是</t>
        </is>
      </c>
    </row>
    <row r="3822">
      <c r="A3822" s="7" t="inlineStr">
        <is>
          <t>2023-03-31</t>
        </is>
      </c>
      <c r="B3822" s="8" t="n">
        <v>7685</v>
      </c>
      <c r="C3822" s="8" t="n">
        <v>7618</v>
      </c>
      <c r="D3822" s="8" t="n">
        <v>7702</v>
      </c>
      <c r="E3822" s="8" t="n">
        <v>7610</v>
      </c>
      <c r="F3822" s="8" t="n">
        <v>377315</v>
      </c>
      <c r="G3822" s="8" t="n">
        <v>398443</v>
      </c>
      <c r="H3822" s="8" t="n">
        <v>8192</v>
      </c>
      <c r="I3822" s="8" t="n">
        <v>8100</v>
      </c>
      <c r="J3822" s="8" t="n">
        <v>8198</v>
      </c>
      <c r="K3822" s="8" t="n">
        <v>8092</v>
      </c>
      <c r="L3822" s="8" t="n">
        <v>285441</v>
      </c>
      <c r="M3822" s="8" t="n">
        <v>296651</v>
      </c>
      <c r="N3822" t="inlineStr">
        <is>
          <t>是</t>
        </is>
      </c>
    </row>
    <row r="3823">
      <c r="A3823" s="7" t="inlineStr">
        <is>
          <t>2023-04-03</t>
        </is>
      </c>
      <c r="B3823" s="8" t="n">
        <v>7715</v>
      </c>
      <c r="C3823" s="8" t="n">
        <v>7685</v>
      </c>
      <c r="D3823" s="8" t="n">
        <v>7820</v>
      </c>
      <c r="E3823" s="8" t="n">
        <v>7674</v>
      </c>
      <c r="F3823" s="8" t="n">
        <v>376354</v>
      </c>
      <c r="G3823" s="8" t="n">
        <v>351799</v>
      </c>
      <c r="H3823" s="8" t="n">
        <v>8232</v>
      </c>
      <c r="I3823" s="8" t="n">
        <v>8210</v>
      </c>
      <c r="J3823" s="8" t="n">
        <v>8300</v>
      </c>
      <c r="K3823" s="8" t="n">
        <v>8180</v>
      </c>
      <c r="L3823" s="8" t="n">
        <v>263832</v>
      </c>
      <c r="M3823" s="8" t="n">
        <v>293629</v>
      </c>
      <c r="N3823" t="inlineStr">
        <is>
          <t>是</t>
        </is>
      </c>
    </row>
    <row r="3824">
      <c r="A3824" s="7" t="inlineStr">
        <is>
          <t>2023-04-04</t>
        </is>
      </c>
      <c r="B3824" s="8" t="n">
        <v>7675</v>
      </c>
      <c r="C3824" s="8" t="n">
        <v>7715</v>
      </c>
      <c r="D3824" s="8" t="n">
        <v>7740</v>
      </c>
      <c r="E3824" s="8" t="n">
        <v>7652</v>
      </c>
      <c r="F3824" s="8" t="n">
        <v>270975</v>
      </c>
      <c r="G3824" s="8" t="n">
        <v>333050</v>
      </c>
      <c r="H3824" s="8" t="n">
        <v>8191</v>
      </c>
      <c r="I3824" s="8" t="n">
        <v>8265</v>
      </c>
      <c r="J3824" s="8" t="n">
        <v>8265</v>
      </c>
      <c r="K3824" s="8" t="n">
        <v>8170</v>
      </c>
      <c r="L3824" s="8" t="n">
        <v>184283</v>
      </c>
      <c r="M3824" s="8" t="n">
        <v>285132</v>
      </c>
      <c r="N3824" t="inlineStr">
        <is>
          <t>是</t>
        </is>
      </c>
    </row>
    <row r="3825">
      <c r="A3825" s="7" t="inlineStr">
        <is>
          <t>2023-04-06</t>
        </is>
      </c>
      <c r="B3825" s="8" t="n">
        <v>7580</v>
      </c>
      <c r="C3825" s="8" t="n">
        <v>7670</v>
      </c>
      <c r="D3825" s="8" t="n">
        <v>7695</v>
      </c>
      <c r="E3825" s="8" t="n">
        <v>7575</v>
      </c>
      <c r="F3825" s="8" t="n">
        <v>244675</v>
      </c>
      <c r="G3825" s="8" t="n">
        <v>322954</v>
      </c>
      <c r="H3825" s="8" t="n">
        <v>8076</v>
      </c>
      <c r="I3825" s="8" t="n">
        <v>8206</v>
      </c>
      <c r="J3825" s="8" t="n">
        <v>8209</v>
      </c>
      <c r="K3825" s="8" t="n">
        <v>8066</v>
      </c>
      <c r="L3825" s="8" t="n">
        <v>214845</v>
      </c>
      <c r="M3825" s="8" t="n">
        <v>266837</v>
      </c>
      <c r="N3825" t="inlineStr">
        <is>
          <t>是</t>
        </is>
      </c>
    </row>
    <row r="3826">
      <c r="A3826" s="7" t="inlineStr">
        <is>
          <t>2023-04-07</t>
        </is>
      </c>
      <c r="B3826" s="8" t="n">
        <v>7601</v>
      </c>
      <c r="C3826" s="8" t="n">
        <v>7580</v>
      </c>
      <c r="D3826" s="8" t="n">
        <v>7602</v>
      </c>
      <c r="E3826" s="8" t="n">
        <v>7545</v>
      </c>
      <c r="F3826" s="8" t="n">
        <v>245978</v>
      </c>
      <c r="G3826" s="8" t="n">
        <v>315017</v>
      </c>
      <c r="H3826" s="8" t="n">
        <v>8126</v>
      </c>
      <c r="I3826" s="8" t="n">
        <v>8101</v>
      </c>
      <c r="J3826" s="8" t="n">
        <v>8126</v>
      </c>
      <c r="K3826" s="8" t="n">
        <v>8056</v>
      </c>
      <c r="L3826" s="8" t="n">
        <v>202181</v>
      </c>
      <c r="M3826" s="8" t="n">
        <v>265791</v>
      </c>
      <c r="N3826" t="inlineStr">
        <is>
          <t>是</t>
        </is>
      </c>
    </row>
    <row r="3827">
      <c r="A3827" s="7" t="inlineStr">
        <is>
          <t>2023-04-10</t>
        </is>
      </c>
      <c r="B3827" s="8" t="n">
        <v>7554</v>
      </c>
      <c r="C3827" s="8" t="n">
        <v>7613</v>
      </c>
      <c r="D3827" s="8" t="n">
        <v>7630</v>
      </c>
      <c r="E3827" s="8" t="n">
        <v>7534</v>
      </c>
      <c r="F3827" s="8" t="n">
        <v>244788</v>
      </c>
      <c r="G3827" s="8" t="n">
        <v>308895</v>
      </c>
      <c r="H3827" s="8" t="n">
        <v>8096</v>
      </c>
      <c r="I3827" s="8" t="n">
        <v>8140</v>
      </c>
      <c r="J3827" s="8" t="n">
        <v>8153</v>
      </c>
      <c r="K3827" s="8" t="n">
        <v>8072</v>
      </c>
      <c r="L3827" s="8" t="n">
        <v>194948</v>
      </c>
      <c r="M3827" s="8" t="n">
        <v>257131</v>
      </c>
      <c r="N3827" t="inlineStr">
        <is>
          <t>是</t>
        </is>
      </c>
    </row>
    <row r="3828">
      <c r="A3828" s="7" t="inlineStr">
        <is>
          <t>2023-04-11</t>
        </is>
      </c>
      <c r="B3828" s="8" t="n">
        <v>7587</v>
      </c>
      <c r="C3828" s="8" t="n">
        <v>7552</v>
      </c>
      <c r="D3828" s="8" t="n">
        <v>7597</v>
      </c>
      <c r="E3828" s="8" t="n">
        <v>7537</v>
      </c>
      <c r="F3828" s="8" t="n">
        <v>210580</v>
      </c>
      <c r="G3828" s="8" t="n">
        <v>290043</v>
      </c>
      <c r="H3828" s="8" t="n">
        <v>8127</v>
      </c>
      <c r="I3828" s="8" t="n">
        <v>8090</v>
      </c>
      <c r="J3828" s="8" t="n">
        <v>8136</v>
      </c>
      <c r="K3828" s="8" t="n">
        <v>8074</v>
      </c>
      <c r="L3828" s="8" t="n">
        <v>161951</v>
      </c>
      <c r="M3828" s="8" t="n">
        <v>242266</v>
      </c>
      <c r="N3828" t="inlineStr">
        <is>
          <t>是</t>
        </is>
      </c>
    </row>
    <row r="3829">
      <c r="A3829" s="7" t="inlineStr">
        <is>
          <t>2023-04-12</t>
        </is>
      </c>
      <c r="B3829" s="8" t="n">
        <v>7599</v>
      </c>
      <c r="C3829" s="8" t="n">
        <v>7574</v>
      </c>
      <c r="D3829" s="8" t="n">
        <v>7614</v>
      </c>
      <c r="E3829" s="8" t="n">
        <v>7555</v>
      </c>
      <c r="F3829" s="8" t="n">
        <v>225380</v>
      </c>
      <c r="G3829" s="8" t="n">
        <v>269354</v>
      </c>
      <c r="H3829" s="8" t="n">
        <v>8198</v>
      </c>
      <c r="I3829" s="8" t="n">
        <v>8120</v>
      </c>
      <c r="J3829" s="8" t="n">
        <v>8203</v>
      </c>
      <c r="K3829" s="8" t="n">
        <v>8111</v>
      </c>
      <c r="L3829" s="8" t="n">
        <v>224550</v>
      </c>
      <c r="M3829" s="8" t="n">
        <v>236952</v>
      </c>
      <c r="N3829" t="inlineStr">
        <is>
          <t>是</t>
        </is>
      </c>
    </row>
    <row r="3830">
      <c r="A3830" s="7" t="inlineStr">
        <is>
          <t>2023-04-13</t>
        </is>
      </c>
      <c r="B3830" s="8" t="n">
        <v>7572</v>
      </c>
      <c r="C3830" s="8" t="n">
        <v>7599</v>
      </c>
      <c r="D3830" s="8" t="n">
        <v>7622</v>
      </c>
      <c r="E3830" s="8" t="n">
        <v>7547</v>
      </c>
      <c r="F3830" s="8" t="n">
        <v>253974</v>
      </c>
      <c r="G3830" s="8" t="n">
        <v>241756</v>
      </c>
      <c r="H3830" s="8" t="n">
        <v>8128</v>
      </c>
      <c r="I3830" s="8" t="n">
        <v>8187</v>
      </c>
      <c r="J3830" s="8" t="n">
        <v>8206</v>
      </c>
      <c r="K3830" s="8" t="n">
        <v>8110</v>
      </c>
      <c r="L3830" s="8" t="n">
        <v>222008</v>
      </c>
      <c r="M3830" s="8" t="n">
        <v>215909</v>
      </c>
      <c r="N3830" t="inlineStr">
        <is>
          <t>是</t>
        </is>
      </c>
    </row>
    <row r="3831">
      <c r="A3831" s="7" t="inlineStr">
        <is>
          <t>2023-04-14</t>
        </is>
      </c>
      <c r="B3831" s="8" t="n">
        <v>7599</v>
      </c>
      <c r="C3831" s="8" t="n">
        <v>7589</v>
      </c>
      <c r="D3831" s="8" t="n">
        <v>7613</v>
      </c>
      <c r="E3831" s="8" t="n">
        <v>7553</v>
      </c>
      <c r="F3831" s="8" t="n">
        <v>180210</v>
      </c>
      <c r="G3831" s="8" t="n">
        <v>203428</v>
      </c>
      <c r="H3831" s="8" t="n">
        <v>8158</v>
      </c>
      <c r="I3831" s="8" t="n">
        <v>8128</v>
      </c>
      <c r="J3831" s="8" t="n">
        <v>8174</v>
      </c>
      <c r="K3831" s="8" t="n">
        <v>8100</v>
      </c>
      <c r="L3831" s="8" t="n">
        <v>187927</v>
      </c>
      <c r="M3831" s="8" t="n">
        <v>193822</v>
      </c>
      <c r="N3831" t="inlineStr">
        <is>
          <t>是</t>
        </is>
      </c>
    </row>
    <row r="3832">
      <c r="A3832" s="7" t="inlineStr">
        <is>
          <t>2023-04-17</t>
        </is>
      </c>
      <c r="B3832" s="8" t="n">
        <v>7604</v>
      </c>
      <c r="C3832" s="8" t="n">
        <v>7530</v>
      </c>
      <c r="D3832" s="8" t="n">
        <v>7607</v>
      </c>
      <c r="E3832" s="8" t="n">
        <v>7517</v>
      </c>
      <c r="F3832" s="8" t="n">
        <v>292329</v>
      </c>
      <c r="G3832" s="8" t="n">
        <v>382459</v>
      </c>
      <c r="H3832" s="8" t="n">
        <v>8226</v>
      </c>
      <c r="I3832" s="8" t="n">
        <v>8150</v>
      </c>
      <c r="J3832" s="8" t="n">
        <v>8237</v>
      </c>
      <c r="K3832" s="8" t="n">
        <v>8144</v>
      </c>
      <c r="L3832" s="8" t="n">
        <v>194972</v>
      </c>
      <c r="M3832" s="8" t="n">
        <v>174048</v>
      </c>
      <c r="N3832" t="inlineStr">
        <is>
          <t>是</t>
        </is>
      </c>
    </row>
    <row r="3833">
      <c r="A3833" s="7" t="inlineStr">
        <is>
          <t>2023-04-18</t>
        </is>
      </c>
      <c r="B3833" s="8" t="n">
        <v>7614</v>
      </c>
      <c r="C3833" s="8" t="n">
        <v>7584</v>
      </c>
      <c r="D3833" s="8" t="n">
        <v>7631</v>
      </c>
      <c r="E3833" s="8" t="n">
        <v>7584</v>
      </c>
      <c r="F3833" s="8" t="n">
        <v>277220</v>
      </c>
      <c r="G3833" s="8" t="n">
        <v>402033</v>
      </c>
      <c r="H3833" s="8" t="n">
        <v>8199</v>
      </c>
      <c r="I3833" s="8" t="n">
        <v>8166</v>
      </c>
      <c r="J3833" s="8" t="n">
        <v>8202</v>
      </c>
      <c r="K3833" s="8" t="n">
        <v>8145</v>
      </c>
      <c r="L3833" s="8" t="n">
        <v>239047</v>
      </c>
      <c r="M3833" s="8" t="n">
        <v>310069</v>
      </c>
      <c r="N3833" t="inlineStr">
        <is>
          <t>是</t>
        </is>
      </c>
    </row>
    <row r="3834">
      <c r="A3834" s="7" t="inlineStr">
        <is>
          <t>2023-04-19</t>
        </is>
      </c>
      <c r="B3834" s="8" t="n">
        <v>7573</v>
      </c>
      <c r="C3834" s="8" t="n">
        <v>7606</v>
      </c>
      <c r="D3834" s="8" t="n">
        <v>7638</v>
      </c>
      <c r="E3834" s="8" t="n">
        <v>7560</v>
      </c>
      <c r="F3834" s="8" t="n">
        <v>325751</v>
      </c>
      <c r="G3834" s="8" t="n">
        <v>413089</v>
      </c>
      <c r="H3834" s="8" t="n">
        <v>8205</v>
      </c>
      <c r="I3834" s="8" t="n">
        <v>8199</v>
      </c>
      <c r="J3834" s="8" t="n">
        <v>8246</v>
      </c>
      <c r="K3834" s="8" t="n">
        <v>8185</v>
      </c>
      <c r="L3834" s="8" t="n">
        <v>291499</v>
      </c>
      <c r="M3834" s="8" t="n">
        <v>346713</v>
      </c>
      <c r="N3834" t="inlineStr">
        <is>
          <t>是</t>
        </is>
      </c>
    </row>
    <row r="3835">
      <c r="A3835" s="7" t="inlineStr">
        <is>
          <t>2023-04-20</t>
        </is>
      </c>
      <c r="B3835" s="8" t="n">
        <v>7548</v>
      </c>
      <c r="C3835" s="8" t="n">
        <v>7570</v>
      </c>
      <c r="D3835" s="8" t="n">
        <v>7580</v>
      </c>
      <c r="E3835" s="8" t="n">
        <v>7501</v>
      </c>
      <c r="F3835" s="8" t="n">
        <v>416872</v>
      </c>
      <c r="G3835" s="8" t="n">
        <v>441023</v>
      </c>
      <c r="H3835" s="8" t="n">
        <v>8195</v>
      </c>
      <c r="I3835" s="8" t="n">
        <v>8210</v>
      </c>
      <c r="J3835" s="8" t="n">
        <v>8211</v>
      </c>
      <c r="K3835" s="8" t="n">
        <v>8149</v>
      </c>
      <c r="L3835" s="8" t="n">
        <v>279958</v>
      </c>
      <c r="M3835" s="8" t="n">
        <v>362501</v>
      </c>
      <c r="N3835" t="inlineStr">
        <is>
          <t>是</t>
        </is>
      </c>
    </row>
    <row r="3836">
      <c r="A3836" s="7" t="inlineStr">
        <is>
          <t>2023-04-21</t>
        </is>
      </c>
      <c r="B3836" s="8" t="n">
        <v>7573</v>
      </c>
      <c r="C3836" s="8" t="n">
        <v>7548</v>
      </c>
      <c r="D3836" s="8" t="n">
        <v>7606</v>
      </c>
      <c r="E3836" s="8" t="n">
        <v>7531</v>
      </c>
      <c r="F3836" s="8" t="n">
        <v>379252</v>
      </c>
      <c r="G3836" s="8" t="n">
        <v>436066</v>
      </c>
      <c r="H3836" s="8" t="n">
        <v>8223</v>
      </c>
      <c r="I3836" s="8" t="n">
        <v>8190</v>
      </c>
      <c r="J3836" s="8" t="n">
        <v>8249</v>
      </c>
      <c r="K3836" s="8" t="n">
        <v>8179</v>
      </c>
      <c r="L3836" s="8" t="n">
        <v>327380</v>
      </c>
      <c r="M3836" s="8" t="n">
        <v>384619</v>
      </c>
      <c r="N3836" t="inlineStr">
        <is>
          <t>是</t>
        </is>
      </c>
    </row>
    <row r="3837">
      <c r="A3837" s="7" t="inlineStr">
        <is>
          <t>2023-04-24</t>
        </is>
      </c>
      <c r="B3837" s="8" t="n">
        <v>7505</v>
      </c>
      <c r="C3837" s="8" t="n">
        <v>7575</v>
      </c>
      <c r="D3837" s="8" t="n">
        <v>7607</v>
      </c>
      <c r="E3837" s="8" t="n">
        <v>7495</v>
      </c>
      <c r="F3837" s="8" t="n">
        <v>437486</v>
      </c>
      <c r="G3837" s="8" t="n">
        <v>470728</v>
      </c>
      <c r="H3837" s="8" t="n">
        <v>8139</v>
      </c>
      <c r="I3837" s="8" t="n">
        <v>8223</v>
      </c>
      <c r="J3837" s="8" t="n">
        <v>8262</v>
      </c>
      <c r="K3837" s="8" t="n">
        <v>8129</v>
      </c>
      <c r="L3837" s="8" t="n">
        <v>381260</v>
      </c>
      <c r="M3837" s="8" t="n">
        <v>375747</v>
      </c>
      <c r="N3837" t="inlineStr">
        <is>
          <t>是</t>
        </is>
      </c>
    </row>
    <row r="3838">
      <c r="A3838" s="7" t="inlineStr">
        <is>
          <t>2023-04-25</t>
        </is>
      </c>
      <c r="B3838" s="8" t="n">
        <v>7556</v>
      </c>
      <c r="C3838" s="8" t="n">
        <v>7516</v>
      </c>
      <c r="D3838" s="8" t="n">
        <v>7595</v>
      </c>
      <c r="E3838" s="8" t="n">
        <v>7506</v>
      </c>
      <c r="F3838" s="8" t="n">
        <v>420687</v>
      </c>
      <c r="G3838" s="8" t="n">
        <v>440581</v>
      </c>
      <c r="H3838" s="8" t="n">
        <v>8211</v>
      </c>
      <c r="I3838" s="8" t="n">
        <v>8141</v>
      </c>
      <c r="J3838" s="8" t="n">
        <v>8240</v>
      </c>
      <c r="K3838" s="8" t="n">
        <v>8140</v>
      </c>
      <c r="L3838" s="8" t="n">
        <v>329256</v>
      </c>
      <c r="M3838" s="8" t="n">
        <v>392863</v>
      </c>
      <c r="N3838" t="inlineStr">
        <is>
          <t>是</t>
        </is>
      </c>
    </row>
    <row r="3839">
      <c r="A3839" s="7" t="inlineStr">
        <is>
          <t>2023-04-26</t>
        </is>
      </c>
      <c r="B3839" s="8" t="n">
        <v>7518</v>
      </c>
      <c r="C3839" s="8" t="n">
        <v>7540</v>
      </c>
      <c r="D3839" s="8" t="n">
        <v>7563</v>
      </c>
      <c r="E3839" s="8" t="n">
        <v>7481</v>
      </c>
      <c r="F3839" s="8" t="n">
        <v>462666</v>
      </c>
      <c r="G3839" s="8" t="n">
        <v>467562</v>
      </c>
      <c r="H3839" s="8" t="n">
        <v>8205</v>
      </c>
      <c r="I3839" s="8" t="n">
        <v>8191</v>
      </c>
      <c r="J3839" s="8" t="n">
        <v>8220</v>
      </c>
      <c r="K3839" s="8" t="n">
        <v>8154</v>
      </c>
      <c r="L3839" s="8" t="n">
        <v>364935</v>
      </c>
      <c r="M3839" s="8" t="n">
        <v>407268</v>
      </c>
      <c r="N3839" t="inlineStr">
        <is>
          <t>是</t>
        </is>
      </c>
    </row>
    <row r="3840">
      <c r="A3840" s="7" t="inlineStr">
        <is>
          <t>2023-04-27</t>
        </is>
      </c>
      <c r="B3840" s="8" t="n">
        <v>7412</v>
      </c>
      <c r="C3840" s="8" t="n">
        <v>7508</v>
      </c>
      <c r="D3840" s="8" t="n">
        <v>7529</v>
      </c>
      <c r="E3840" s="8" t="n">
        <v>7402</v>
      </c>
      <c r="F3840" s="8" t="n">
        <v>545921</v>
      </c>
      <c r="G3840" s="8" t="n">
        <v>545529</v>
      </c>
      <c r="H3840" s="8" t="n">
        <v>8042</v>
      </c>
      <c r="I3840" s="8" t="n">
        <v>8186</v>
      </c>
      <c r="J3840" s="8" t="n">
        <v>8211</v>
      </c>
      <c r="K3840" s="8" t="n">
        <v>8031</v>
      </c>
      <c r="L3840" s="8" t="n">
        <v>497157</v>
      </c>
      <c r="M3840" s="8" t="n">
        <v>368266</v>
      </c>
      <c r="N3840" t="inlineStr">
        <is>
          <t>是</t>
        </is>
      </c>
    </row>
    <row r="3841">
      <c r="A3841" s="7" t="inlineStr">
        <is>
          <t>2023-04-28</t>
        </is>
      </c>
      <c r="B3841" s="8" t="n">
        <v>7424</v>
      </c>
      <c r="C3841" s="8" t="n">
        <v>7415</v>
      </c>
      <c r="D3841" s="8" t="n">
        <v>7446</v>
      </c>
      <c r="E3841" s="8" t="n">
        <v>7406</v>
      </c>
      <c r="F3841" s="8" t="n">
        <v>305977</v>
      </c>
      <c r="G3841" s="8" t="n">
        <v>528951</v>
      </c>
      <c r="H3841" s="8" t="n">
        <v>8039</v>
      </c>
      <c r="I3841" s="8" t="n">
        <v>8050</v>
      </c>
      <c r="J3841" s="8" t="n">
        <v>8068</v>
      </c>
      <c r="K3841" s="8" t="n">
        <v>8026</v>
      </c>
      <c r="L3841" s="8" t="n">
        <v>281071</v>
      </c>
      <c r="M3841" s="8" t="n">
        <v>352186</v>
      </c>
      <c r="N3841" t="inlineStr">
        <is>
          <t>是</t>
        </is>
      </c>
    </row>
    <row r="3842">
      <c r="A3842" s="7" t="inlineStr">
        <is>
          <t>2023-05-04</t>
        </is>
      </c>
      <c r="B3842" s="8" t="n">
        <v>7332</v>
      </c>
      <c r="C3842" s="8" t="n">
        <v>7300</v>
      </c>
      <c r="D3842" s="8" t="n">
        <v>7374</v>
      </c>
      <c r="E3842" s="8" t="n">
        <v>7263</v>
      </c>
      <c r="F3842" s="8" t="n">
        <v>368789</v>
      </c>
      <c r="G3842" s="8" t="n">
        <v>552510</v>
      </c>
      <c r="H3842" s="8" t="n">
        <v>7949</v>
      </c>
      <c r="I3842" s="8" t="n">
        <v>7950</v>
      </c>
      <c r="J3842" s="8" t="n">
        <v>7996</v>
      </c>
      <c r="K3842" s="8" t="n">
        <v>7894</v>
      </c>
      <c r="L3842" s="8" t="n">
        <v>273877</v>
      </c>
      <c r="M3842" s="8" t="n">
        <v>359813</v>
      </c>
      <c r="N3842" t="inlineStr">
        <is>
          <t>是</t>
        </is>
      </c>
    </row>
    <row r="3843">
      <c r="A3843" s="7" t="inlineStr">
        <is>
          <t>2023-05-05</t>
        </is>
      </c>
      <c r="B3843" s="8" t="n">
        <v>7297</v>
      </c>
      <c r="C3843" s="8" t="n">
        <v>7332</v>
      </c>
      <c r="D3843" s="8" t="n">
        <v>7334</v>
      </c>
      <c r="E3843" s="8" t="n">
        <v>7231</v>
      </c>
      <c r="F3843" s="8" t="n">
        <v>404024</v>
      </c>
      <c r="G3843" s="8" t="n">
        <v>598138</v>
      </c>
      <c r="H3843" s="8" t="n">
        <v>7899</v>
      </c>
      <c r="I3843" s="8" t="n">
        <v>7949</v>
      </c>
      <c r="J3843" s="8" t="n">
        <v>7949</v>
      </c>
      <c r="K3843" s="8" t="n">
        <v>7827</v>
      </c>
      <c r="L3843" s="8" t="n">
        <v>389527</v>
      </c>
      <c r="M3843" s="8" t="n">
        <v>378829</v>
      </c>
      <c r="N3843" t="inlineStr">
        <is>
          <t>是</t>
        </is>
      </c>
    </row>
    <row r="3844">
      <c r="A3844" s="7" t="inlineStr">
        <is>
          <t>2023-05-08</t>
        </is>
      </c>
      <c r="B3844" s="8" t="n">
        <v>7329</v>
      </c>
      <c r="C3844" s="8" t="n">
        <v>7308</v>
      </c>
      <c r="D3844" s="8" t="n">
        <v>7346</v>
      </c>
      <c r="E3844" s="8" t="n">
        <v>7276</v>
      </c>
      <c r="F3844" s="8" t="n">
        <v>419826</v>
      </c>
      <c r="G3844" s="8" t="n">
        <v>598849</v>
      </c>
      <c r="H3844" s="8" t="n">
        <v>7927</v>
      </c>
      <c r="I3844" s="8" t="n">
        <v>7910</v>
      </c>
      <c r="J3844" s="8" t="n">
        <v>7948</v>
      </c>
      <c r="K3844" s="8" t="n">
        <v>7875</v>
      </c>
      <c r="L3844" s="8" t="n">
        <v>345390</v>
      </c>
      <c r="M3844" s="8" t="n">
        <v>388644</v>
      </c>
      <c r="N3844" t="inlineStr">
        <is>
          <t>是</t>
        </is>
      </c>
    </row>
    <row r="3845">
      <c r="A3845" s="7" t="inlineStr">
        <is>
          <t>2023-05-09</t>
        </is>
      </c>
      <c r="B3845" s="8" t="n">
        <v>7257</v>
      </c>
      <c r="C3845" s="8" t="n">
        <v>7335</v>
      </c>
      <c r="D3845" s="8" t="n">
        <v>7360</v>
      </c>
      <c r="E3845" s="8" t="n">
        <v>7255</v>
      </c>
      <c r="F3845" s="8" t="n">
        <v>379083</v>
      </c>
      <c r="G3845" s="8" t="n">
        <v>617023</v>
      </c>
      <c r="H3845" s="8" t="n">
        <v>7840</v>
      </c>
      <c r="I3845" s="8" t="n">
        <v>7942</v>
      </c>
      <c r="J3845" s="8" t="n">
        <v>7953</v>
      </c>
      <c r="K3845" s="8" t="n">
        <v>7838</v>
      </c>
      <c r="L3845" s="8" t="n">
        <v>336285</v>
      </c>
      <c r="M3845" s="8" t="n">
        <v>404528</v>
      </c>
      <c r="N3845" t="inlineStr">
        <is>
          <t>是</t>
        </is>
      </c>
    </row>
    <row r="3846">
      <c r="A3846" s="7" t="inlineStr">
        <is>
          <t>2023-05-10</t>
        </is>
      </c>
      <c r="B3846" s="8" t="n">
        <v>7255</v>
      </c>
      <c r="C3846" s="8" t="n">
        <v>7256</v>
      </c>
      <c r="D3846" s="8" t="n">
        <v>7280</v>
      </c>
      <c r="E3846" s="8" t="n">
        <v>7218</v>
      </c>
      <c r="F3846" s="8" t="n">
        <v>366102</v>
      </c>
      <c r="G3846" s="8" t="n">
        <v>633716</v>
      </c>
      <c r="H3846" s="8" t="n">
        <v>7828</v>
      </c>
      <c r="I3846" s="8" t="n">
        <v>7840</v>
      </c>
      <c r="J3846" s="8" t="n">
        <v>7867</v>
      </c>
      <c r="K3846" s="8" t="n">
        <v>7788</v>
      </c>
      <c r="L3846" s="8" t="n">
        <v>325438</v>
      </c>
      <c r="M3846" s="8" t="n">
        <v>416809</v>
      </c>
      <c r="N3846" t="inlineStr">
        <is>
          <t>是</t>
        </is>
      </c>
    </row>
    <row r="3847">
      <c r="A3847" s="7" t="inlineStr">
        <is>
          <t>2023-05-11</t>
        </is>
      </c>
      <c r="B3847" s="8" t="n">
        <v>7216</v>
      </c>
      <c r="C3847" s="8" t="n">
        <v>7255</v>
      </c>
      <c r="D3847" s="8" t="n">
        <v>7266</v>
      </c>
      <c r="E3847" s="8" t="n">
        <v>7195</v>
      </c>
      <c r="F3847" s="8" t="n">
        <v>400916</v>
      </c>
      <c r="G3847" s="8" t="n">
        <v>644719</v>
      </c>
      <c r="H3847" s="8" t="n">
        <v>7759</v>
      </c>
      <c r="I3847" s="8" t="n">
        <v>7839</v>
      </c>
      <c r="J3847" s="8" t="n">
        <v>7841</v>
      </c>
      <c r="K3847" s="8" t="n">
        <v>7741</v>
      </c>
      <c r="L3847" s="8" t="n">
        <v>356081</v>
      </c>
      <c r="M3847" s="8" t="n">
        <v>428241</v>
      </c>
      <c r="N3847" t="inlineStr">
        <is>
          <t>是</t>
        </is>
      </c>
    </row>
    <row r="3848">
      <c r="A3848" s="7" t="inlineStr">
        <is>
          <t>2023-05-12</t>
        </is>
      </c>
      <c r="B3848" s="8" t="n">
        <v>7125</v>
      </c>
      <c r="C3848" s="8" t="n">
        <v>7192</v>
      </c>
      <c r="D3848" s="8" t="n">
        <v>7195</v>
      </c>
      <c r="E3848" s="8" t="n">
        <v>7123</v>
      </c>
      <c r="F3848" s="8" t="n">
        <v>375325</v>
      </c>
      <c r="G3848" s="8" t="n">
        <v>673539</v>
      </c>
      <c r="H3848" s="8" t="n">
        <v>7696</v>
      </c>
      <c r="I3848" s="8" t="n">
        <v>7720</v>
      </c>
      <c r="J3848" s="8" t="n">
        <v>7755</v>
      </c>
      <c r="K3848" s="8" t="n">
        <v>7692</v>
      </c>
      <c r="L3848" s="8" t="n">
        <v>283194</v>
      </c>
      <c r="M3848" s="8" t="n">
        <v>438666</v>
      </c>
      <c r="N3848" t="inlineStr">
        <is>
          <t>是</t>
        </is>
      </c>
    </row>
    <row r="3849">
      <c r="A3849" s="7" t="inlineStr">
        <is>
          <t>2023-05-15</t>
        </is>
      </c>
      <c r="B3849" s="8" t="n">
        <v>7131</v>
      </c>
      <c r="C3849" s="8" t="n">
        <v>7145</v>
      </c>
      <c r="D3849" s="8" t="n">
        <v>7194</v>
      </c>
      <c r="E3849" s="8" t="n">
        <v>7087</v>
      </c>
      <c r="F3849" s="8" t="n">
        <v>449168</v>
      </c>
      <c r="G3849" s="8" t="n">
        <v>679917</v>
      </c>
      <c r="H3849" s="8" t="n">
        <v>7746</v>
      </c>
      <c r="I3849" s="8" t="n">
        <v>7696</v>
      </c>
      <c r="J3849" s="8" t="n">
        <v>7773</v>
      </c>
      <c r="K3849" s="8" t="n">
        <v>7681</v>
      </c>
      <c r="L3849" s="8" t="n">
        <v>366485</v>
      </c>
      <c r="M3849" s="8" t="n">
        <v>440236</v>
      </c>
      <c r="N3849" t="inlineStr">
        <is>
          <t>是</t>
        </is>
      </c>
    </row>
    <row r="3850">
      <c r="A3850" s="7" t="inlineStr">
        <is>
          <t>2023-05-16</t>
        </is>
      </c>
      <c r="B3850" s="8" t="n">
        <v>7127</v>
      </c>
      <c r="C3850" s="8" t="n">
        <v>7141</v>
      </c>
      <c r="D3850" s="8" t="n">
        <v>7183</v>
      </c>
      <c r="E3850" s="8" t="n">
        <v>7112</v>
      </c>
      <c r="F3850" s="8" t="n">
        <v>382697</v>
      </c>
      <c r="G3850" s="8" t="n">
        <v>679858</v>
      </c>
      <c r="H3850" s="8" t="n">
        <v>7752</v>
      </c>
      <c r="I3850" s="8" t="n">
        <v>7748</v>
      </c>
      <c r="J3850" s="8" t="n">
        <v>7805</v>
      </c>
      <c r="K3850" s="8" t="n">
        <v>7728</v>
      </c>
      <c r="L3850" s="8" t="n">
        <v>307529</v>
      </c>
      <c r="M3850" s="8" t="n">
        <v>438559</v>
      </c>
      <c r="N3850" t="inlineStr">
        <is>
          <t>是</t>
        </is>
      </c>
    </row>
    <row r="3851">
      <c r="A3851" s="7" t="inlineStr">
        <is>
          <t>2023-05-17</t>
        </is>
      </c>
      <c r="B3851" s="8" t="n">
        <v>7142</v>
      </c>
      <c r="C3851" s="8" t="n">
        <v>7120</v>
      </c>
      <c r="D3851" s="8" t="n">
        <v>7154</v>
      </c>
      <c r="E3851" s="8" t="n">
        <v>7098</v>
      </c>
      <c r="F3851" s="8" t="n">
        <v>395674</v>
      </c>
      <c r="G3851" s="8" t="n">
        <v>685220</v>
      </c>
      <c r="H3851" s="8" t="n">
        <v>7783</v>
      </c>
      <c r="I3851" s="8" t="n">
        <v>7752</v>
      </c>
      <c r="J3851" s="8" t="n">
        <v>7789</v>
      </c>
      <c r="K3851" s="8" t="n">
        <v>7737</v>
      </c>
      <c r="L3851" s="8" t="n">
        <v>273268</v>
      </c>
      <c r="M3851" s="8" t="n">
        <v>440749</v>
      </c>
      <c r="N3851" t="inlineStr">
        <is>
          <t>是</t>
        </is>
      </c>
    </row>
    <row r="3852">
      <c r="A3852" s="7" t="inlineStr">
        <is>
          <t>2023-05-18</t>
        </is>
      </c>
      <c r="B3852" s="8" t="n">
        <v>7135</v>
      </c>
      <c r="C3852" s="8" t="n">
        <v>7150</v>
      </c>
      <c r="D3852" s="8" t="n">
        <v>7180</v>
      </c>
      <c r="E3852" s="8" t="n">
        <v>7096</v>
      </c>
      <c r="F3852" s="8" t="n">
        <v>436313</v>
      </c>
      <c r="G3852" s="8" t="n">
        <v>692476</v>
      </c>
      <c r="H3852" s="8" t="n">
        <v>7772</v>
      </c>
      <c r="I3852" s="8" t="n">
        <v>7785</v>
      </c>
      <c r="J3852" s="8" t="n">
        <v>7816</v>
      </c>
      <c r="K3852" s="8" t="n">
        <v>7726</v>
      </c>
      <c r="L3852" s="8" t="n">
        <v>329907</v>
      </c>
      <c r="M3852" s="8" t="n">
        <v>441048</v>
      </c>
      <c r="N3852" t="inlineStr">
        <is>
          <t>是</t>
        </is>
      </c>
    </row>
    <row r="3853">
      <c r="A3853" s="7" t="inlineStr">
        <is>
          <t>2023-05-19</t>
        </is>
      </c>
      <c r="B3853" s="8" t="n">
        <v>7032</v>
      </c>
      <c r="C3853" s="8" t="n">
        <v>7120</v>
      </c>
      <c r="D3853" s="8" t="n">
        <v>7125</v>
      </c>
      <c r="E3853" s="8" t="n">
        <v>7009</v>
      </c>
      <c r="F3853" s="8" t="n">
        <v>565808</v>
      </c>
      <c r="G3853" s="8" t="n">
        <v>711756</v>
      </c>
      <c r="H3853" s="8" t="n">
        <v>7696</v>
      </c>
      <c r="I3853" s="8" t="n">
        <v>7763</v>
      </c>
      <c r="J3853" s="8" t="n">
        <v>7763</v>
      </c>
      <c r="K3853" s="8" t="n">
        <v>7645</v>
      </c>
      <c r="L3853" s="8" t="n">
        <v>419449</v>
      </c>
      <c r="M3853" s="8" t="n">
        <v>452374</v>
      </c>
      <c r="N3853" t="inlineStr">
        <is>
          <t>是</t>
        </is>
      </c>
    </row>
    <row r="3854">
      <c r="A3854" s="7" t="inlineStr">
        <is>
          <t>2023-05-22</t>
        </is>
      </c>
      <c r="B3854" s="8" t="n">
        <v>6917</v>
      </c>
      <c r="C3854" s="8" t="n">
        <v>7068</v>
      </c>
      <c r="D3854" s="8" t="n">
        <v>7070</v>
      </c>
      <c r="E3854" s="8" t="n">
        <v>6893</v>
      </c>
      <c r="F3854" s="8" t="n">
        <v>518085</v>
      </c>
      <c r="G3854" s="8" t="n">
        <v>719777</v>
      </c>
      <c r="H3854" s="8" t="n">
        <v>7589</v>
      </c>
      <c r="I3854" s="8" t="n">
        <v>7728</v>
      </c>
      <c r="J3854" s="8" t="n">
        <v>7748</v>
      </c>
      <c r="K3854" s="8" t="n">
        <v>7555</v>
      </c>
      <c r="L3854" s="8" t="n">
        <v>402994</v>
      </c>
      <c r="M3854" s="8" t="n">
        <v>473521</v>
      </c>
      <c r="N3854" t="inlineStr">
        <is>
          <t>是</t>
        </is>
      </c>
    </row>
    <row r="3855">
      <c r="A3855" s="7" t="inlineStr">
        <is>
          <t>2023-05-23</t>
        </is>
      </c>
      <c r="B3855" s="8" t="n">
        <v>6886</v>
      </c>
      <c r="C3855" s="8" t="n">
        <v>6925</v>
      </c>
      <c r="D3855" s="8" t="n">
        <v>6949</v>
      </c>
      <c r="E3855" s="8" t="n">
        <v>6871</v>
      </c>
      <c r="F3855" s="8" t="n">
        <v>454811</v>
      </c>
      <c r="G3855" s="8" t="n">
        <v>721628</v>
      </c>
      <c r="H3855" s="8" t="n">
        <v>7597</v>
      </c>
      <c r="I3855" s="8" t="n">
        <v>7590</v>
      </c>
      <c r="J3855" s="8" t="n">
        <v>7645</v>
      </c>
      <c r="K3855" s="8" t="n">
        <v>7550</v>
      </c>
      <c r="L3855" s="8" t="n">
        <v>329312</v>
      </c>
      <c r="M3855" s="8" t="n">
        <v>463127</v>
      </c>
      <c r="N3855" t="inlineStr">
        <is>
          <t>是</t>
        </is>
      </c>
    </row>
    <row r="3856">
      <c r="A3856" s="7" t="inlineStr">
        <is>
          <t>2023-05-24</t>
        </is>
      </c>
      <c r="B3856" s="8" t="n">
        <v>6973</v>
      </c>
      <c r="C3856" s="8" t="n">
        <v>6903</v>
      </c>
      <c r="D3856" s="8" t="n">
        <v>6985</v>
      </c>
      <c r="E3856" s="8" t="n">
        <v>6882</v>
      </c>
      <c r="F3856" s="8" t="n">
        <v>472079</v>
      </c>
      <c r="G3856" s="8" t="n">
        <v>687188</v>
      </c>
      <c r="H3856" s="8" t="n">
        <v>7658</v>
      </c>
      <c r="I3856" s="8" t="n">
        <v>7618</v>
      </c>
      <c r="J3856" s="8" t="n">
        <v>7678</v>
      </c>
      <c r="K3856" s="8" t="n">
        <v>7577</v>
      </c>
      <c r="L3856" s="8" t="n">
        <v>326291</v>
      </c>
      <c r="M3856" s="8" t="n">
        <v>461714</v>
      </c>
      <c r="N3856" t="inlineStr">
        <is>
          <t>是</t>
        </is>
      </c>
    </row>
    <row r="3857">
      <c r="A3857" s="7" t="inlineStr">
        <is>
          <t>2023-05-25</t>
        </is>
      </c>
      <c r="B3857" s="8" t="n">
        <v>6982</v>
      </c>
      <c r="C3857" s="8" t="n">
        <v>6965</v>
      </c>
      <c r="D3857" s="8" t="n">
        <v>7038</v>
      </c>
      <c r="E3857" s="8" t="n">
        <v>6927</v>
      </c>
      <c r="F3857" s="8" t="n">
        <v>533228</v>
      </c>
      <c r="G3857" s="8" t="n">
        <v>676913</v>
      </c>
      <c r="H3857" s="8" t="n">
        <v>7651</v>
      </c>
      <c r="I3857" s="8" t="n">
        <v>7635</v>
      </c>
      <c r="J3857" s="8" t="n">
        <v>7694</v>
      </c>
      <c r="K3857" s="8" t="n">
        <v>7602</v>
      </c>
      <c r="L3857" s="8" t="n">
        <v>358637</v>
      </c>
      <c r="M3857" s="8" t="n">
        <v>453277</v>
      </c>
      <c r="N3857" t="inlineStr">
        <is>
          <t>是</t>
        </is>
      </c>
    </row>
    <row r="3858">
      <c r="A3858" s="7" t="inlineStr">
        <is>
          <t>2023-05-26</t>
        </is>
      </c>
      <c r="B3858" s="8" t="n">
        <v>6944</v>
      </c>
      <c r="C3858" s="8" t="n">
        <v>6940</v>
      </c>
      <c r="D3858" s="8" t="n">
        <v>6962</v>
      </c>
      <c r="E3858" s="8" t="n">
        <v>6852</v>
      </c>
      <c r="F3858" s="8" t="n">
        <v>713312</v>
      </c>
      <c r="G3858" s="8" t="n">
        <v>688255</v>
      </c>
      <c r="H3858" s="8" t="n">
        <v>7639</v>
      </c>
      <c r="I3858" s="8" t="n">
        <v>7645</v>
      </c>
      <c r="J3858" s="8" t="n">
        <v>7651</v>
      </c>
      <c r="K3858" s="8" t="n">
        <v>7533</v>
      </c>
      <c r="L3858" s="8" t="n">
        <v>463698</v>
      </c>
      <c r="M3858" s="8" t="n">
        <v>457381</v>
      </c>
      <c r="N3858" t="inlineStr">
        <is>
          <t>是</t>
        </is>
      </c>
    </row>
    <row r="3859">
      <c r="A3859" s="7" t="inlineStr">
        <is>
          <t>2023-05-29</t>
        </is>
      </c>
      <c r="B3859" s="8" t="n">
        <v>7009</v>
      </c>
      <c r="C3859" s="8" t="n">
        <v>6962</v>
      </c>
      <c r="D3859" s="8" t="n">
        <v>7012</v>
      </c>
      <c r="E3859" s="8" t="n">
        <v>6937</v>
      </c>
      <c r="F3859" s="8" t="n">
        <v>477586</v>
      </c>
      <c r="G3859" s="8" t="n">
        <v>687831</v>
      </c>
      <c r="H3859" s="8" t="n">
        <v>7729</v>
      </c>
      <c r="I3859" s="8" t="n">
        <v>7641</v>
      </c>
      <c r="J3859" s="8" t="n">
        <v>7737</v>
      </c>
      <c r="K3859" s="8" t="n">
        <v>7641</v>
      </c>
      <c r="L3859" s="8" t="n">
        <v>418682</v>
      </c>
      <c r="M3859" s="8" t="n">
        <v>438168</v>
      </c>
      <c r="N3859" t="inlineStr">
        <is>
          <t>是</t>
        </is>
      </c>
    </row>
    <row r="3860">
      <c r="A3860" s="7" t="inlineStr">
        <is>
          <t>2023-05-30</t>
        </is>
      </c>
      <c r="B3860" s="8" t="n">
        <v>6974</v>
      </c>
      <c r="C3860" s="8" t="n">
        <v>6960</v>
      </c>
      <c r="D3860" s="8" t="n">
        <v>7056</v>
      </c>
      <c r="E3860" s="8" t="n">
        <v>6960</v>
      </c>
      <c r="F3860" s="8" t="n">
        <v>473232</v>
      </c>
      <c r="G3860" s="8" t="n">
        <v>686786</v>
      </c>
      <c r="H3860" s="8" t="n">
        <v>7703</v>
      </c>
      <c r="I3860" s="8" t="n">
        <v>7728</v>
      </c>
      <c r="J3860" s="8" t="n">
        <v>7777</v>
      </c>
      <c r="K3860" s="8" t="n">
        <v>7692</v>
      </c>
      <c r="L3860" s="8" t="n">
        <v>362267</v>
      </c>
      <c r="M3860" s="8" t="n">
        <v>432197</v>
      </c>
      <c r="N3860" t="inlineStr">
        <is>
          <t>是</t>
        </is>
      </c>
    </row>
    <row r="3861">
      <c r="A3861" s="7" t="inlineStr">
        <is>
          <t>2023-05-31</t>
        </is>
      </c>
      <c r="B3861" s="8" t="n">
        <v>6864</v>
      </c>
      <c r="C3861" s="8" t="n">
        <v>6940</v>
      </c>
      <c r="D3861" s="8" t="n">
        <v>6943</v>
      </c>
      <c r="E3861" s="8" t="n">
        <v>6805</v>
      </c>
      <c r="F3861" s="8" t="n">
        <v>622819</v>
      </c>
      <c r="G3861" s="8" t="n">
        <v>710205</v>
      </c>
      <c r="H3861" s="8" t="n">
        <v>7619</v>
      </c>
      <c r="I3861" s="8" t="n">
        <v>7672</v>
      </c>
      <c r="J3861" s="8" t="n">
        <v>7680</v>
      </c>
      <c r="K3861" s="8" t="n">
        <v>7553</v>
      </c>
      <c r="L3861" s="8" t="n">
        <v>409646</v>
      </c>
      <c r="M3861" s="8" t="n">
        <v>432455</v>
      </c>
      <c r="N3861" t="inlineStr">
        <is>
          <t>是</t>
        </is>
      </c>
    </row>
    <row r="3862">
      <c r="A3862" s="7" t="inlineStr">
        <is>
          <t>2023-06-01</t>
        </is>
      </c>
      <c r="B3862" s="8" t="n">
        <v>6978</v>
      </c>
      <c r="C3862" s="8" t="n">
        <v>6800</v>
      </c>
      <c r="D3862" s="8" t="n">
        <v>6982</v>
      </c>
      <c r="E3862" s="8" t="n">
        <v>6800</v>
      </c>
      <c r="F3862" s="8" t="n">
        <v>576487</v>
      </c>
      <c r="G3862" s="8" t="n">
        <v>695272</v>
      </c>
      <c r="H3862" s="8" t="n">
        <v>7756</v>
      </c>
      <c r="I3862" s="8" t="n">
        <v>7600</v>
      </c>
      <c r="J3862" s="8" t="n">
        <v>7761</v>
      </c>
      <c r="K3862" s="8" t="n">
        <v>7570</v>
      </c>
      <c r="L3862" s="8" t="n">
        <v>422067</v>
      </c>
      <c r="M3862" s="8" t="n">
        <v>435996</v>
      </c>
      <c r="N3862" t="inlineStr">
        <is>
          <t>是</t>
        </is>
      </c>
    </row>
    <row r="3863">
      <c r="A3863" s="7" t="inlineStr">
        <is>
          <t>2023-06-02</t>
        </is>
      </c>
      <c r="B3863" s="8" t="n">
        <v>6996</v>
      </c>
      <c r="C3863" s="8" t="n">
        <v>6975</v>
      </c>
      <c r="D3863" s="8" t="n">
        <v>7020</v>
      </c>
      <c r="E3863" s="8" t="n">
        <v>6919</v>
      </c>
      <c r="F3863" s="8" t="n">
        <v>483366</v>
      </c>
      <c r="G3863" s="8" t="n">
        <v>693701</v>
      </c>
      <c r="H3863" s="8" t="n">
        <v>7799</v>
      </c>
      <c r="I3863" s="8" t="n">
        <v>7752</v>
      </c>
      <c r="J3863" s="8" t="n">
        <v>7812</v>
      </c>
      <c r="K3863" s="8" t="n">
        <v>7706</v>
      </c>
      <c r="L3863" s="8" t="n">
        <v>355984</v>
      </c>
      <c r="M3863" s="8" t="n">
        <v>437607</v>
      </c>
      <c r="N3863" t="inlineStr">
        <is>
          <t>是</t>
        </is>
      </c>
    </row>
    <row r="3864">
      <c r="A3864" s="7" t="inlineStr">
        <is>
          <t>2023-06-05</t>
        </is>
      </c>
      <c r="B3864" s="8" t="n">
        <v>6965</v>
      </c>
      <c r="C3864" s="8" t="n">
        <v>7001</v>
      </c>
      <c r="D3864" s="8" t="n">
        <v>7028</v>
      </c>
      <c r="E3864" s="8" t="n">
        <v>6934</v>
      </c>
      <c r="F3864" s="8" t="n">
        <v>440570</v>
      </c>
      <c r="G3864" s="8" t="n">
        <v>684618</v>
      </c>
      <c r="H3864" s="8" t="n">
        <v>7717</v>
      </c>
      <c r="I3864" s="8" t="n">
        <v>7808</v>
      </c>
      <c r="J3864" s="8" t="n">
        <v>7824</v>
      </c>
      <c r="K3864" s="8" t="n">
        <v>7702</v>
      </c>
      <c r="L3864" s="8" t="n">
        <v>351413</v>
      </c>
      <c r="M3864" s="8" t="n">
        <v>428965</v>
      </c>
      <c r="N3864" t="inlineStr">
        <is>
          <t>是</t>
        </is>
      </c>
    </row>
    <row r="3865">
      <c r="A3865" s="7" t="inlineStr">
        <is>
          <t>2023-06-06</t>
        </is>
      </c>
      <c r="B3865" s="8" t="n">
        <v>6942</v>
      </c>
      <c r="C3865" s="8" t="n">
        <v>6975</v>
      </c>
      <c r="D3865" s="8" t="n">
        <v>7006</v>
      </c>
      <c r="E3865" s="8" t="n">
        <v>6938</v>
      </c>
      <c r="F3865" s="8" t="n">
        <v>446183</v>
      </c>
      <c r="G3865" s="8" t="n">
        <v>687392</v>
      </c>
      <c r="H3865" s="8" t="n">
        <v>7739</v>
      </c>
      <c r="I3865" s="8" t="n">
        <v>7720</v>
      </c>
      <c r="J3865" s="8" t="n">
        <v>7774</v>
      </c>
      <c r="K3865" s="8" t="n">
        <v>7705</v>
      </c>
      <c r="L3865" s="8" t="n">
        <v>320117</v>
      </c>
      <c r="M3865" s="8" t="n">
        <v>434427</v>
      </c>
      <c r="N3865" t="inlineStr">
        <is>
          <t>是</t>
        </is>
      </c>
    </row>
    <row r="3866">
      <c r="A3866" s="7" t="inlineStr">
        <is>
          <t>2023-06-07</t>
        </is>
      </c>
      <c r="B3866" s="8" t="n">
        <v>6893</v>
      </c>
      <c r="C3866" s="8" t="n">
        <v>6927</v>
      </c>
      <c r="D3866" s="8" t="n">
        <v>6968</v>
      </c>
      <c r="E3866" s="8" t="n">
        <v>6875</v>
      </c>
      <c r="F3866" s="8" t="n">
        <v>489743</v>
      </c>
      <c r="G3866" s="8" t="n">
        <v>713516</v>
      </c>
      <c r="H3866" s="8" t="n">
        <v>7700</v>
      </c>
      <c r="I3866" s="8" t="n">
        <v>7739</v>
      </c>
      <c r="J3866" s="8" t="n">
        <v>7790</v>
      </c>
      <c r="K3866" s="8" t="n">
        <v>7670</v>
      </c>
      <c r="L3866" s="8" t="n">
        <v>412508</v>
      </c>
      <c r="M3866" s="8" t="n">
        <v>434138</v>
      </c>
      <c r="N3866" t="inlineStr">
        <is>
          <t>是</t>
        </is>
      </c>
    </row>
    <row r="3867">
      <c r="A3867" s="7" t="inlineStr">
        <is>
          <t>2023-06-08</t>
        </is>
      </c>
      <c r="B3867" s="8" t="n">
        <v>6945</v>
      </c>
      <c r="C3867" s="8" t="n">
        <v>6922</v>
      </c>
      <c r="D3867" s="8" t="n">
        <v>6973</v>
      </c>
      <c r="E3867" s="8" t="n">
        <v>6891</v>
      </c>
      <c r="F3867" s="8" t="n">
        <v>403888</v>
      </c>
      <c r="G3867" s="8" t="n">
        <v>697014</v>
      </c>
      <c r="H3867" s="8" t="n">
        <v>7756</v>
      </c>
      <c r="I3867" s="8" t="n">
        <v>7730</v>
      </c>
      <c r="J3867" s="8" t="n">
        <v>7774</v>
      </c>
      <c r="K3867" s="8" t="n">
        <v>7687</v>
      </c>
      <c r="L3867" s="8" t="n">
        <v>318825</v>
      </c>
      <c r="M3867" s="8" t="n">
        <v>436509</v>
      </c>
      <c r="N3867" t="inlineStr">
        <is>
          <t>是</t>
        </is>
      </c>
    </row>
    <row r="3868">
      <c r="A3868" s="7" t="inlineStr">
        <is>
          <t>2023-06-09</t>
        </is>
      </c>
      <c r="B3868" s="8" t="n">
        <v>6946</v>
      </c>
      <c r="C3868" s="8" t="n">
        <v>6945</v>
      </c>
      <c r="D3868" s="8" t="n">
        <v>6970</v>
      </c>
      <c r="E3868" s="8" t="n">
        <v>6905</v>
      </c>
      <c r="F3868" s="8" t="n">
        <v>437507</v>
      </c>
      <c r="G3868" s="8" t="n">
        <v>694672</v>
      </c>
      <c r="H3868" s="8" t="n">
        <v>7745</v>
      </c>
      <c r="I3868" s="8" t="n">
        <v>7748</v>
      </c>
      <c r="J3868" s="8" t="n">
        <v>7772</v>
      </c>
      <c r="K3868" s="8" t="n">
        <v>7695</v>
      </c>
      <c r="L3868" s="8" t="n">
        <v>344087</v>
      </c>
      <c r="M3868" s="8" t="n">
        <v>436047</v>
      </c>
      <c r="N3868" t="inlineStr">
        <is>
          <t>是</t>
        </is>
      </c>
    </row>
    <row r="3869">
      <c r="A3869" s="7" t="inlineStr">
        <is>
          <t>2023-06-12</t>
        </is>
      </c>
      <c r="B3869" s="8" t="n">
        <v>6894</v>
      </c>
      <c r="C3869" s="8" t="n">
        <v>6957</v>
      </c>
      <c r="D3869" s="8" t="n">
        <v>6989</v>
      </c>
      <c r="E3869" s="8" t="n">
        <v>6870</v>
      </c>
      <c r="F3869" s="8" t="n">
        <v>588551</v>
      </c>
      <c r="G3869" s="8" t="n">
        <v>690806</v>
      </c>
      <c r="H3869" s="8" t="n">
        <v>7657</v>
      </c>
      <c r="I3869" s="8" t="n">
        <v>7740</v>
      </c>
      <c r="J3869" s="8" t="n">
        <v>7797</v>
      </c>
      <c r="K3869" s="8" t="n">
        <v>7635</v>
      </c>
      <c r="L3869" s="8" t="n">
        <v>461364</v>
      </c>
      <c r="M3869" s="8" t="n">
        <v>451216</v>
      </c>
      <c r="N3869" t="inlineStr">
        <is>
          <t>是</t>
        </is>
      </c>
    </row>
    <row r="3870">
      <c r="A3870" s="7" t="inlineStr">
        <is>
          <t>2023-06-13</t>
        </is>
      </c>
      <c r="B3870" s="8" t="n">
        <v>6925</v>
      </c>
      <c r="C3870" s="8" t="n">
        <v>6880</v>
      </c>
      <c r="D3870" s="8" t="n">
        <v>6926</v>
      </c>
      <c r="E3870" s="8" t="n">
        <v>6824</v>
      </c>
      <c r="F3870" s="8" t="n">
        <v>528694</v>
      </c>
      <c r="G3870" s="8" t="n">
        <v>693630</v>
      </c>
      <c r="H3870" s="8" t="n">
        <v>7712</v>
      </c>
      <c r="I3870" s="8" t="n">
        <v>7636</v>
      </c>
      <c r="J3870" s="8" t="n">
        <v>7714</v>
      </c>
      <c r="K3870" s="8" t="n">
        <v>7609</v>
      </c>
      <c r="L3870" s="8" t="n">
        <v>363011</v>
      </c>
      <c r="M3870" s="8" t="n">
        <v>437629</v>
      </c>
      <c r="N3870" t="inlineStr">
        <is>
          <t>是</t>
        </is>
      </c>
    </row>
    <row r="3871">
      <c r="A3871" s="7" t="inlineStr">
        <is>
          <t>2023-06-14</t>
        </is>
      </c>
      <c r="B3871" s="8" t="n">
        <v>6968</v>
      </c>
      <c r="C3871" s="8" t="n">
        <v>6940</v>
      </c>
      <c r="D3871" s="8" t="n">
        <v>7016</v>
      </c>
      <c r="E3871" s="8" t="n">
        <v>6938</v>
      </c>
      <c r="F3871" s="8" t="n">
        <v>548712</v>
      </c>
      <c r="G3871" s="8" t="n">
        <v>680154</v>
      </c>
      <c r="H3871" s="8" t="n">
        <v>7794</v>
      </c>
      <c r="I3871" s="8" t="n">
        <v>7732</v>
      </c>
      <c r="J3871" s="8" t="n">
        <v>7834</v>
      </c>
      <c r="K3871" s="8" t="n">
        <v>7730</v>
      </c>
      <c r="L3871" s="8" t="n">
        <v>396076</v>
      </c>
      <c r="M3871" s="8" t="n">
        <v>443144</v>
      </c>
      <c r="N3871" t="inlineStr">
        <is>
          <t>是</t>
        </is>
      </c>
    </row>
    <row r="3872">
      <c r="A3872" s="7" t="inlineStr">
        <is>
          <t>2023-06-15</t>
        </is>
      </c>
      <c r="B3872" s="8" t="n">
        <v>6985</v>
      </c>
      <c r="C3872" s="8" t="n">
        <v>6968</v>
      </c>
      <c r="D3872" s="8" t="n">
        <v>6989</v>
      </c>
      <c r="E3872" s="8" t="n">
        <v>6903</v>
      </c>
      <c r="F3872" s="8" t="n">
        <v>500840</v>
      </c>
      <c r="G3872" s="8" t="n">
        <v>677638</v>
      </c>
      <c r="H3872" s="8" t="n">
        <v>7789</v>
      </c>
      <c r="I3872" s="8" t="n">
        <v>7764</v>
      </c>
      <c r="J3872" s="8" t="n">
        <v>7800</v>
      </c>
      <c r="K3872" s="8" t="n">
        <v>7730</v>
      </c>
      <c r="L3872" s="8" t="n">
        <v>298088</v>
      </c>
      <c r="M3872" s="8" t="n">
        <v>447444</v>
      </c>
      <c r="N3872" t="inlineStr">
        <is>
          <t>是</t>
        </is>
      </c>
    </row>
    <row r="3873">
      <c r="A3873" s="7" t="inlineStr">
        <is>
          <t>2023-06-16</t>
        </is>
      </c>
      <c r="B3873" s="8" t="n">
        <v>7059</v>
      </c>
      <c r="C3873" s="8" t="n">
        <v>7000</v>
      </c>
      <c r="D3873" s="8" t="n">
        <v>7073</v>
      </c>
      <c r="E3873" s="8" t="n">
        <v>6981</v>
      </c>
      <c r="F3873" s="8" t="n">
        <v>561099</v>
      </c>
      <c r="G3873" s="8" t="n">
        <v>662434</v>
      </c>
      <c r="H3873" s="8" t="n">
        <v>7871</v>
      </c>
      <c r="I3873" s="8" t="n">
        <v>7795</v>
      </c>
      <c r="J3873" s="8" t="n">
        <v>7872</v>
      </c>
      <c r="K3873" s="8" t="n">
        <v>7785</v>
      </c>
      <c r="L3873" s="8" t="n">
        <v>318818</v>
      </c>
      <c r="M3873" s="8" t="n">
        <v>445733</v>
      </c>
      <c r="N3873" t="inlineStr">
        <is>
          <t>是</t>
        </is>
      </c>
    </row>
    <row r="3874">
      <c r="A3874" s="7" t="inlineStr">
        <is>
          <t>2023-06-19</t>
        </is>
      </c>
      <c r="B3874" s="8" t="n">
        <v>7051</v>
      </c>
      <c r="C3874" s="8" t="n">
        <v>7069</v>
      </c>
      <c r="D3874" s="8" t="n">
        <v>7120</v>
      </c>
      <c r="E3874" s="8" t="n">
        <v>7048</v>
      </c>
      <c r="F3874" s="8" t="n">
        <v>507544</v>
      </c>
      <c r="G3874" s="8" t="n">
        <v>648169</v>
      </c>
      <c r="H3874" s="8" t="n">
        <v>7847</v>
      </c>
      <c r="I3874" s="8" t="n">
        <v>7888</v>
      </c>
      <c r="J3874" s="8" t="n">
        <v>7899</v>
      </c>
      <c r="K3874" s="8" t="n">
        <v>7837</v>
      </c>
      <c r="L3874" s="8" t="n">
        <v>313985</v>
      </c>
      <c r="M3874" s="8" t="n">
        <v>435156</v>
      </c>
      <c r="N3874" t="inlineStr">
        <is>
          <t>是</t>
        </is>
      </c>
    </row>
    <row r="3875">
      <c r="A3875" s="7" t="inlineStr">
        <is>
          <t>2023-06-20</t>
        </is>
      </c>
      <c r="B3875" s="8" t="n">
        <v>7067</v>
      </c>
      <c r="C3875" s="8" t="n">
        <v>7064</v>
      </c>
      <c r="D3875" s="8" t="n">
        <v>7090</v>
      </c>
      <c r="E3875" s="8" t="n">
        <v>7055</v>
      </c>
      <c r="F3875" s="8" t="n">
        <v>364878</v>
      </c>
      <c r="G3875" s="8" t="n">
        <v>637411</v>
      </c>
      <c r="H3875" s="8" t="n">
        <v>7859</v>
      </c>
      <c r="I3875" s="8" t="n">
        <v>7850</v>
      </c>
      <c r="J3875" s="8" t="n">
        <v>7887</v>
      </c>
      <c r="K3875" s="8" t="n">
        <v>7842</v>
      </c>
      <c r="L3875" s="8" t="n">
        <v>250155</v>
      </c>
      <c r="M3875" s="8" t="n">
        <v>430367</v>
      </c>
      <c r="N3875" t="inlineStr">
        <is>
          <t>是</t>
        </is>
      </c>
    </row>
    <row r="3876">
      <c r="A3876" s="7" t="inlineStr">
        <is>
          <t>2023-06-21</t>
        </is>
      </c>
      <c r="B3876" s="8" t="n">
        <v>7079</v>
      </c>
      <c r="C3876" s="8" t="n">
        <v>7067</v>
      </c>
      <c r="D3876" s="8" t="n">
        <v>7080</v>
      </c>
      <c r="E3876" s="8" t="n">
        <v>7016</v>
      </c>
      <c r="F3876" s="8" t="n">
        <v>398826</v>
      </c>
      <c r="G3876" s="8" t="n">
        <v>623388</v>
      </c>
      <c r="H3876" s="8" t="n">
        <v>7879</v>
      </c>
      <c r="I3876" s="8" t="n">
        <v>7865</v>
      </c>
      <c r="J3876" s="8" t="n">
        <v>7880</v>
      </c>
      <c r="K3876" s="8" t="n">
        <v>7822</v>
      </c>
      <c r="L3876" s="8" t="n">
        <v>257115</v>
      </c>
      <c r="M3876" s="8" t="n">
        <v>424406</v>
      </c>
      <c r="N3876" t="inlineStr">
        <is>
          <t>是</t>
        </is>
      </c>
    </row>
    <row r="3877">
      <c r="A3877" s="7" t="inlineStr">
        <is>
          <t>2023-06-26</t>
        </is>
      </c>
      <c r="B3877" s="8" t="n">
        <v>6952</v>
      </c>
      <c r="C3877" s="8" t="n">
        <v>7030</v>
      </c>
      <c r="D3877" s="8" t="n">
        <v>7039</v>
      </c>
      <c r="E3877" s="8" t="n">
        <v>6948</v>
      </c>
      <c r="F3877" s="8" t="n">
        <v>430805</v>
      </c>
      <c r="G3877" s="8" t="n">
        <v>635902</v>
      </c>
      <c r="H3877" s="8" t="n">
        <v>7770</v>
      </c>
      <c r="I3877" s="8" t="n">
        <v>7831</v>
      </c>
      <c r="J3877" s="8" t="n">
        <v>7844</v>
      </c>
      <c r="K3877" s="8" t="n">
        <v>7754</v>
      </c>
      <c r="L3877" s="8" t="n">
        <v>258824</v>
      </c>
      <c r="M3877" s="8" t="n">
        <v>411962</v>
      </c>
      <c r="N3877" t="inlineStr">
        <is>
          <t>是</t>
        </is>
      </c>
    </row>
    <row r="3878">
      <c r="A3878" s="7" t="inlineStr">
        <is>
          <t>2023-06-27</t>
        </is>
      </c>
      <c r="B3878" s="8" t="n">
        <v>7010</v>
      </c>
      <c r="C3878" s="8" t="n">
        <v>6952</v>
      </c>
      <c r="D3878" s="8" t="n">
        <v>7035</v>
      </c>
      <c r="E3878" s="8" t="n">
        <v>6932</v>
      </c>
      <c r="F3878" s="8" t="n">
        <v>462547</v>
      </c>
      <c r="G3878" s="8" t="n">
        <v>623502</v>
      </c>
      <c r="H3878" s="8" t="n">
        <v>7804</v>
      </c>
      <c r="I3878" s="8" t="n">
        <v>7770</v>
      </c>
      <c r="J3878" s="8" t="n">
        <v>7827</v>
      </c>
      <c r="K3878" s="8" t="n">
        <v>7732</v>
      </c>
      <c r="L3878" s="8" t="n">
        <v>289257</v>
      </c>
      <c r="M3878" s="8" t="n">
        <v>411902</v>
      </c>
      <c r="N3878" t="inlineStr">
        <is>
          <t>是</t>
        </is>
      </c>
    </row>
    <row r="3879">
      <c r="A3879" s="7" t="inlineStr">
        <is>
          <t>2023-06-28</t>
        </is>
      </c>
      <c r="B3879" s="8" t="n">
        <v>6982</v>
      </c>
      <c r="C3879" s="8" t="n">
        <v>6991</v>
      </c>
      <c r="D3879" s="8" t="n">
        <v>7007</v>
      </c>
      <c r="E3879" s="8" t="n">
        <v>6959</v>
      </c>
      <c r="F3879" s="8" t="n">
        <v>338630</v>
      </c>
      <c r="G3879" s="8" t="n">
        <v>627357</v>
      </c>
      <c r="H3879" s="8" t="n">
        <v>7794</v>
      </c>
      <c r="I3879" s="8" t="n">
        <v>7792</v>
      </c>
      <c r="J3879" s="8" t="n">
        <v>7815</v>
      </c>
      <c r="K3879" s="8" t="n">
        <v>7767</v>
      </c>
      <c r="L3879" s="8" t="n">
        <v>230838</v>
      </c>
      <c r="M3879" s="8" t="n">
        <v>411744</v>
      </c>
      <c r="N3879" t="inlineStr">
        <is>
          <t>是</t>
        </is>
      </c>
    </row>
    <row r="3880">
      <c r="A3880" s="7" t="inlineStr">
        <is>
          <t>2023-06-29</t>
        </is>
      </c>
      <c r="B3880" s="8" t="n">
        <v>7050</v>
      </c>
      <c r="C3880" s="8" t="n">
        <v>6982</v>
      </c>
      <c r="D3880" s="8" t="n">
        <v>7069</v>
      </c>
      <c r="E3880" s="8" t="n">
        <v>6975</v>
      </c>
      <c r="F3880" s="8" t="n">
        <v>485090</v>
      </c>
      <c r="G3880" s="8" t="n">
        <v>643421</v>
      </c>
      <c r="H3880" s="8" t="n">
        <v>7867</v>
      </c>
      <c r="I3880" s="8" t="n">
        <v>7789</v>
      </c>
      <c r="J3880" s="8" t="n">
        <v>7878</v>
      </c>
      <c r="K3880" s="8" t="n">
        <v>7780</v>
      </c>
      <c r="L3880" s="8" t="n">
        <v>306852</v>
      </c>
      <c r="M3880" s="8" t="n">
        <v>435905</v>
      </c>
      <c r="N3880" t="inlineStr">
        <is>
          <t>是</t>
        </is>
      </c>
    </row>
    <row r="3881">
      <c r="A3881" s="7" t="inlineStr">
        <is>
          <t>2023-06-30</t>
        </is>
      </c>
      <c r="B3881" s="8" t="n">
        <v>7072</v>
      </c>
      <c r="C3881" s="8" t="n">
        <v>7028</v>
      </c>
      <c r="D3881" s="8" t="n">
        <v>7087</v>
      </c>
      <c r="E3881" s="8" t="n">
        <v>7027</v>
      </c>
      <c r="F3881" s="8" t="n">
        <v>340811</v>
      </c>
      <c r="G3881" s="8" t="n">
        <v>647462</v>
      </c>
      <c r="H3881" s="8" t="n">
        <v>7887</v>
      </c>
      <c r="I3881" s="8" t="n">
        <v>7845</v>
      </c>
      <c r="J3881" s="8" t="n">
        <v>7906</v>
      </c>
      <c r="K3881" s="8" t="n">
        <v>7843</v>
      </c>
      <c r="L3881" s="8" t="n">
        <v>246448</v>
      </c>
      <c r="M3881" s="8" t="n">
        <v>437227</v>
      </c>
      <c r="N3881" t="inlineStr">
        <is>
          <t>是</t>
        </is>
      </c>
    </row>
    <row r="3882">
      <c r="A3882" s="7" t="inlineStr">
        <is>
          <t>2023-07-03</t>
        </is>
      </c>
      <c r="B3882" s="8" t="n">
        <v>7068</v>
      </c>
      <c r="C3882" s="8" t="n">
        <v>7069</v>
      </c>
      <c r="D3882" s="8" t="n">
        <v>7092</v>
      </c>
      <c r="E3882" s="8" t="n">
        <v>7037</v>
      </c>
      <c r="F3882" s="8" t="n">
        <v>373051</v>
      </c>
      <c r="G3882" s="8" t="n">
        <v>635934</v>
      </c>
      <c r="H3882" s="8" t="n">
        <v>7875</v>
      </c>
      <c r="I3882" s="8" t="n">
        <v>7922</v>
      </c>
      <c r="J3882" s="8" t="n">
        <v>7922</v>
      </c>
      <c r="K3882" s="8" t="n">
        <v>7851</v>
      </c>
      <c r="L3882" s="8" t="n">
        <v>281505</v>
      </c>
      <c r="M3882" s="8" t="n">
        <v>423001</v>
      </c>
      <c r="N3882" t="inlineStr">
        <is>
          <t>是</t>
        </is>
      </c>
    </row>
    <row r="3883">
      <c r="A3883" s="7" t="inlineStr">
        <is>
          <t>2023-07-04</t>
        </is>
      </c>
      <c r="B3883" s="8" t="n">
        <v>7078</v>
      </c>
      <c r="C3883" s="8" t="n">
        <v>7084</v>
      </c>
      <c r="D3883" s="8" t="n">
        <v>7101</v>
      </c>
      <c r="E3883" s="8" t="n">
        <v>7062</v>
      </c>
      <c r="F3883" s="8" t="n">
        <v>374394</v>
      </c>
      <c r="G3883" s="8" t="n">
        <v>644954</v>
      </c>
      <c r="H3883" s="8" t="n">
        <v>7895</v>
      </c>
      <c r="I3883" s="8" t="n">
        <v>7890</v>
      </c>
      <c r="J3883" s="8" t="n">
        <v>7910</v>
      </c>
      <c r="K3883" s="8" t="n">
        <v>7866</v>
      </c>
      <c r="L3883" s="8" t="n">
        <v>240147</v>
      </c>
      <c r="M3883" s="8" t="n">
        <v>428007</v>
      </c>
      <c r="N3883" t="inlineStr">
        <is>
          <t>是</t>
        </is>
      </c>
    </row>
    <row r="3884">
      <c r="A3884" s="7" t="inlineStr">
        <is>
          <t>2023-07-05</t>
        </is>
      </c>
      <c r="B3884" s="8" t="n">
        <v>7057</v>
      </c>
      <c r="C3884" s="8" t="n">
        <v>7095</v>
      </c>
      <c r="D3884" s="8" t="n">
        <v>7095</v>
      </c>
      <c r="E3884" s="8" t="n">
        <v>7034</v>
      </c>
      <c r="F3884" s="8" t="n">
        <v>376749</v>
      </c>
      <c r="G3884" s="8" t="n">
        <v>646706</v>
      </c>
      <c r="H3884" s="8" t="n">
        <v>7886</v>
      </c>
      <c r="I3884" s="8" t="n">
        <v>7906</v>
      </c>
      <c r="J3884" s="8" t="n">
        <v>7918</v>
      </c>
      <c r="K3884" s="8" t="n">
        <v>7858</v>
      </c>
      <c r="L3884" s="8" t="n">
        <v>257315</v>
      </c>
      <c r="M3884" s="8" t="n">
        <v>437836</v>
      </c>
      <c r="N3884" t="inlineStr">
        <is>
          <t>是</t>
        </is>
      </c>
    </row>
    <row r="3885">
      <c r="A3885" s="7" t="inlineStr">
        <is>
          <t>2023-07-06</t>
        </is>
      </c>
      <c r="B3885" s="8" t="n">
        <v>7080</v>
      </c>
      <c r="C3885" s="8" t="n">
        <v>7070</v>
      </c>
      <c r="D3885" s="8" t="n">
        <v>7090</v>
      </c>
      <c r="E3885" s="8" t="n">
        <v>7048</v>
      </c>
      <c r="F3885" s="8" t="n">
        <v>370300</v>
      </c>
      <c r="G3885" s="8" t="n">
        <v>645736</v>
      </c>
      <c r="H3885" s="8" t="n">
        <v>7912</v>
      </c>
      <c r="I3885" s="8" t="n">
        <v>7900</v>
      </c>
      <c r="J3885" s="8" t="n">
        <v>7927</v>
      </c>
      <c r="K3885" s="8" t="n">
        <v>7876</v>
      </c>
      <c r="L3885" s="8" t="n">
        <v>300838</v>
      </c>
      <c r="M3885" s="8" t="n">
        <v>438851</v>
      </c>
      <c r="N3885" t="inlineStr">
        <is>
          <t>是</t>
        </is>
      </c>
    </row>
    <row r="3886">
      <c r="A3886" s="7" t="inlineStr">
        <is>
          <t>2023-07-07</t>
        </is>
      </c>
      <c r="B3886" s="8" t="n">
        <v>7146</v>
      </c>
      <c r="C3886" s="8" t="n">
        <v>7077</v>
      </c>
      <c r="D3886" s="8" t="n">
        <v>7180</v>
      </c>
      <c r="E3886" s="8" t="n">
        <v>7072</v>
      </c>
      <c r="F3886" s="8" t="n">
        <v>676195</v>
      </c>
      <c r="G3886" s="8" t="n">
        <v>659000</v>
      </c>
      <c r="H3886" s="8" t="n">
        <v>7997</v>
      </c>
      <c r="I3886" s="8" t="n">
        <v>7904</v>
      </c>
      <c r="J3886" s="8" t="n">
        <v>8027</v>
      </c>
      <c r="K3886" s="8" t="n">
        <v>7903</v>
      </c>
      <c r="L3886" s="8" t="n">
        <v>437420</v>
      </c>
      <c r="M3886" s="8" t="n">
        <v>461034</v>
      </c>
      <c r="N3886" t="inlineStr">
        <is>
          <t>是</t>
        </is>
      </c>
    </row>
    <row r="3887">
      <c r="A3887" s="7" t="inlineStr">
        <is>
          <t>2023-07-10</t>
        </is>
      </c>
      <c r="B3887" s="8" t="n">
        <v>7126</v>
      </c>
      <c r="C3887" s="8" t="n">
        <v>7132</v>
      </c>
      <c r="D3887" s="8" t="n">
        <v>7153</v>
      </c>
      <c r="E3887" s="8" t="n">
        <v>7104</v>
      </c>
      <c r="F3887" s="8" t="n">
        <v>449187</v>
      </c>
      <c r="G3887" s="8" t="n">
        <v>647095</v>
      </c>
      <c r="H3887" s="8" t="n">
        <v>7981</v>
      </c>
      <c r="I3887" s="8" t="n">
        <v>7972</v>
      </c>
      <c r="J3887" s="8" t="n">
        <v>8010</v>
      </c>
      <c r="K3887" s="8" t="n">
        <v>7946</v>
      </c>
      <c r="L3887" s="8" t="n">
        <v>324274</v>
      </c>
      <c r="M3887" s="8" t="n">
        <v>438316</v>
      </c>
      <c r="N3887" t="inlineStr">
        <is>
          <t>是</t>
        </is>
      </c>
    </row>
    <row r="3888">
      <c r="A3888" s="7" t="inlineStr">
        <is>
          <t>2023-07-11</t>
        </is>
      </c>
      <c r="B3888" s="8" t="n">
        <v>7193</v>
      </c>
      <c r="C3888" s="8" t="n">
        <v>7126</v>
      </c>
      <c r="D3888" s="8" t="n">
        <v>7202</v>
      </c>
      <c r="E3888" s="8" t="n">
        <v>7118</v>
      </c>
      <c r="F3888" s="8" t="n">
        <v>387860</v>
      </c>
      <c r="G3888" s="8" t="n">
        <v>638188</v>
      </c>
      <c r="H3888" s="8" t="n">
        <v>8010</v>
      </c>
      <c r="I3888" s="8" t="n">
        <v>7977</v>
      </c>
      <c r="J3888" s="8" t="n">
        <v>8021</v>
      </c>
      <c r="K3888" s="8" t="n">
        <v>7964</v>
      </c>
      <c r="L3888" s="8" t="n">
        <v>287871</v>
      </c>
      <c r="M3888" s="8" t="n">
        <v>433932</v>
      </c>
      <c r="N3888" t="inlineStr">
        <is>
          <t>是</t>
        </is>
      </c>
    </row>
    <row r="3889">
      <c r="A3889" s="7" t="inlineStr">
        <is>
          <t>2023-07-12</t>
        </is>
      </c>
      <c r="B3889" s="8" t="n">
        <v>7287</v>
      </c>
      <c r="C3889" s="8" t="n">
        <v>7196</v>
      </c>
      <c r="D3889" s="8" t="n">
        <v>7291</v>
      </c>
      <c r="E3889" s="8" t="n">
        <v>7193</v>
      </c>
      <c r="F3889" s="8" t="n">
        <v>457742</v>
      </c>
      <c r="G3889" s="8" t="n">
        <v>624971</v>
      </c>
      <c r="H3889" s="8" t="n">
        <v>8054</v>
      </c>
      <c r="I3889" s="8" t="n">
        <v>8005</v>
      </c>
      <c r="J3889" s="8" t="n">
        <v>8064</v>
      </c>
      <c r="K3889" s="8" t="n">
        <v>8000</v>
      </c>
      <c r="L3889" s="8" t="n">
        <v>285087</v>
      </c>
      <c r="M3889" s="8" t="n">
        <v>432270</v>
      </c>
      <c r="N3889" t="inlineStr">
        <is>
          <t>是</t>
        </is>
      </c>
    </row>
    <row r="3890">
      <c r="A3890" s="7" t="inlineStr">
        <is>
          <t>2023-07-13</t>
        </is>
      </c>
      <c r="B3890" s="8" t="n">
        <v>7300</v>
      </c>
      <c r="C3890" s="8" t="n">
        <v>7295</v>
      </c>
      <c r="D3890" s="8" t="n">
        <v>7321</v>
      </c>
      <c r="E3890" s="8" t="n">
        <v>7263</v>
      </c>
      <c r="F3890" s="8" t="n">
        <v>444612</v>
      </c>
      <c r="G3890" s="8" t="n">
        <v>609331</v>
      </c>
      <c r="H3890" s="8" t="n">
        <v>8092</v>
      </c>
      <c r="I3890" s="8" t="n">
        <v>8068</v>
      </c>
      <c r="J3890" s="8" t="n">
        <v>8097</v>
      </c>
      <c r="K3890" s="8" t="n">
        <v>8019</v>
      </c>
      <c r="L3890" s="8" t="n">
        <v>279953</v>
      </c>
      <c r="M3890" s="8" t="n">
        <v>441381</v>
      </c>
      <c r="N3890" t="inlineStr">
        <is>
          <t>是</t>
        </is>
      </c>
    </row>
    <row r="3891">
      <c r="A3891" s="7" t="inlineStr">
        <is>
          <t>2023-07-14</t>
        </is>
      </c>
      <c r="B3891" s="8" t="n">
        <v>7383</v>
      </c>
      <c r="C3891" s="8" t="n">
        <v>7300</v>
      </c>
      <c r="D3891" s="8" t="n">
        <v>7434</v>
      </c>
      <c r="E3891" s="8" t="n">
        <v>7296</v>
      </c>
      <c r="F3891" s="8" t="n">
        <v>533386</v>
      </c>
      <c r="G3891" s="8" t="n">
        <v>583545</v>
      </c>
      <c r="H3891" s="8" t="n">
        <v>8162</v>
      </c>
      <c r="I3891" s="8" t="n">
        <v>8092</v>
      </c>
      <c r="J3891" s="8" t="n">
        <v>8194</v>
      </c>
      <c r="K3891" s="8" t="n">
        <v>8083</v>
      </c>
      <c r="L3891" s="8" t="n">
        <v>333294</v>
      </c>
      <c r="M3891" s="8" t="n">
        <v>460520</v>
      </c>
      <c r="N3891" t="inlineStr">
        <is>
          <t>是</t>
        </is>
      </c>
    </row>
    <row r="3892">
      <c r="A3892" s="7" t="inlineStr">
        <is>
          <t>2023-07-17</t>
        </is>
      </c>
      <c r="B3892" s="8" t="n">
        <v>7228</v>
      </c>
      <c r="C3892" s="8" t="n">
        <v>7396</v>
      </c>
      <c r="D3892" s="8" t="n">
        <v>7396</v>
      </c>
      <c r="E3892" s="8" t="n">
        <v>7224</v>
      </c>
      <c r="F3892" s="8" t="n">
        <v>555492</v>
      </c>
      <c r="G3892" s="8" t="n">
        <v>542622</v>
      </c>
      <c r="H3892" s="8" t="n">
        <v>8018</v>
      </c>
      <c r="I3892" s="8" t="n">
        <v>8171</v>
      </c>
      <c r="J3892" s="8" t="n">
        <v>8175</v>
      </c>
      <c r="K3892" s="8" t="n">
        <v>8015</v>
      </c>
      <c r="L3892" s="8" t="n">
        <v>370874</v>
      </c>
      <c r="M3892" s="8" t="n">
        <v>435299</v>
      </c>
      <c r="N3892" t="inlineStr">
        <is>
          <t>是</t>
        </is>
      </c>
    </row>
    <row r="3893">
      <c r="A3893" s="7" t="inlineStr">
        <is>
          <t>2023-07-18</t>
        </is>
      </c>
      <c r="B3893" s="8" t="n">
        <v>7296</v>
      </c>
      <c r="C3893" s="8" t="n">
        <v>7240</v>
      </c>
      <c r="D3893" s="8" t="n">
        <v>7304</v>
      </c>
      <c r="E3893" s="8" t="n">
        <v>7231</v>
      </c>
      <c r="F3893" s="8" t="n">
        <v>382533</v>
      </c>
      <c r="G3893" s="8" t="n">
        <v>542745</v>
      </c>
      <c r="H3893" s="8" t="n">
        <v>8098</v>
      </c>
      <c r="I3893" s="8" t="n">
        <v>8041</v>
      </c>
      <c r="J3893" s="8" t="n">
        <v>8102</v>
      </c>
      <c r="K3893" s="8" t="n">
        <v>8019</v>
      </c>
      <c r="L3893" s="8" t="n">
        <v>259329</v>
      </c>
      <c r="M3893" s="8" t="n">
        <v>440383</v>
      </c>
      <c r="N3893" t="inlineStr">
        <is>
          <t>是</t>
        </is>
      </c>
    </row>
    <row r="3894">
      <c r="A3894" s="7" t="inlineStr">
        <is>
          <t>2023-07-19</t>
        </is>
      </c>
      <c r="B3894" s="8" t="n">
        <v>7334</v>
      </c>
      <c r="C3894" s="8" t="n">
        <v>7281</v>
      </c>
      <c r="D3894" s="8" t="n">
        <v>7342</v>
      </c>
      <c r="E3894" s="8" t="n">
        <v>7281</v>
      </c>
      <c r="F3894" s="8" t="n">
        <v>360384</v>
      </c>
      <c r="G3894" s="8" t="n">
        <v>536175</v>
      </c>
      <c r="H3894" s="8" t="n">
        <v>8108</v>
      </c>
      <c r="I3894" s="8" t="n">
        <v>8088</v>
      </c>
      <c r="J3894" s="8" t="n">
        <v>8133</v>
      </c>
      <c r="K3894" s="8" t="n">
        <v>8079</v>
      </c>
      <c r="L3894" s="8" t="n">
        <v>247601</v>
      </c>
      <c r="M3894" s="8" t="n">
        <v>431547</v>
      </c>
      <c r="N3894" t="inlineStr">
        <is>
          <t>是</t>
        </is>
      </c>
    </row>
    <row r="3895">
      <c r="A3895" s="7" t="inlineStr">
        <is>
          <t>2023-07-20</t>
        </is>
      </c>
      <c r="B3895" s="8" t="n">
        <v>7289</v>
      </c>
      <c r="C3895" s="8" t="n">
        <v>7344</v>
      </c>
      <c r="D3895" s="8" t="n">
        <v>7346</v>
      </c>
      <c r="E3895" s="8" t="n">
        <v>7272</v>
      </c>
      <c r="F3895" s="8" t="n">
        <v>365745</v>
      </c>
      <c r="G3895" s="8" t="n">
        <v>537011</v>
      </c>
      <c r="H3895" s="8" t="n">
        <v>8091</v>
      </c>
      <c r="I3895" s="8" t="n">
        <v>8113</v>
      </c>
      <c r="J3895" s="8" t="n">
        <v>8132</v>
      </c>
      <c r="K3895" s="8" t="n">
        <v>8065</v>
      </c>
      <c r="L3895" s="8" t="n">
        <v>238876</v>
      </c>
      <c r="M3895" s="8" t="n">
        <v>432487</v>
      </c>
      <c r="N3895" t="inlineStr">
        <is>
          <t>是</t>
        </is>
      </c>
    </row>
    <row r="3896">
      <c r="A3896" s="7" t="inlineStr">
        <is>
          <t>2023-07-21</t>
        </is>
      </c>
      <c r="B3896" s="8" t="n">
        <v>7272</v>
      </c>
      <c r="C3896" s="8" t="n">
        <v>7300</v>
      </c>
      <c r="D3896" s="8" t="n">
        <v>7314</v>
      </c>
      <c r="E3896" s="8" t="n">
        <v>7235</v>
      </c>
      <c r="F3896" s="8" t="n">
        <v>417138</v>
      </c>
      <c r="G3896" s="8" t="n">
        <v>535173</v>
      </c>
      <c r="H3896" s="8" t="n">
        <v>8079</v>
      </c>
      <c r="I3896" s="8" t="n">
        <v>8100</v>
      </c>
      <c r="J3896" s="8" t="n">
        <v>8107</v>
      </c>
      <c r="K3896" s="8" t="n">
        <v>8043</v>
      </c>
      <c r="L3896" s="8" t="n">
        <v>305655</v>
      </c>
      <c r="M3896" s="8" t="n">
        <v>431519</v>
      </c>
      <c r="N3896" t="inlineStr">
        <is>
          <t>是</t>
        </is>
      </c>
    </row>
    <row r="3897">
      <c r="A3897" s="7" t="inlineStr">
        <is>
          <t>2023-07-24</t>
        </is>
      </c>
      <c r="B3897" s="8" t="n">
        <v>7234</v>
      </c>
      <c r="C3897" s="8" t="n">
        <v>7285</v>
      </c>
      <c r="D3897" s="8" t="n">
        <v>7292</v>
      </c>
      <c r="E3897" s="8" t="n">
        <v>7217</v>
      </c>
      <c r="F3897" s="8" t="n">
        <v>407726</v>
      </c>
      <c r="G3897" s="8" t="n">
        <v>518637</v>
      </c>
      <c r="H3897" s="8" t="n">
        <v>8039</v>
      </c>
      <c r="I3897" s="8" t="n">
        <v>8095</v>
      </c>
      <c r="J3897" s="8" t="n">
        <v>8103</v>
      </c>
      <c r="K3897" s="8" t="n">
        <v>8033</v>
      </c>
      <c r="L3897" s="8" t="n">
        <v>317550</v>
      </c>
      <c r="M3897" s="8" t="n">
        <v>417342</v>
      </c>
      <c r="N3897" t="inlineStr">
        <is>
          <t>是</t>
        </is>
      </c>
    </row>
    <row r="3898">
      <c r="A3898" s="7" t="inlineStr">
        <is>
          <t>2023-07-25</t>
        </is>
      </c>
      <c r="B3898" s="8" t="n">
        <v>7319</v>
      </c>
      <c r="C3898" s="8" t="n">
        <v>7255</v>
      </c>
      <c r="D3898" s="8" t="n">
        <v>7334</v>
      </c>
      <c r="E3898" s="8" t="n">
        <v>7247</v>
      </c>
      <c r="F3898" s="8" t="n">
        <v>426281</v>
      </c>
      <c r="G3898" s="8" t="n">
        <v>512799</v>
      </c>
      <c r="H3898" s="8" t="n">
        <v>8116</v>
      </c>
      <c r="I3898" s="8" t="n">
        <v>8060</v>
      </c>
      <c r="J3898" s="8" t="n">
        <v>8146</v>
      </c>
      <c r="K3898" s="8" t="n">
        <v>8052</v>
      </c>
      <c r="L3898" s="8" t="n">
        <v>334766</v>
      </c>
      <c r="M3898" s="8" t="n">
        <v>427044</v>
      </c>
      <c r="N3898" t="inlineStr">
        <is>
          <t>是</t>
        </is>
      </c>
    </row>
    <row r="3899">
      <c r="A3899" s="7" t="inlineStr">
        <is>
          <t>2023-07-26</t>
        </is>
      </c>
      <c r="B3899" s="8" t="n">
        <v>7358</v>
      </c>
      <c r="C3899" s="8" t="n">
        <v>7309</v>
      </c>
      <c r="D3899" s="8" t="n">
        <v>7390</v>
      </c>
      <c r="E3899" s="8" t="n">
        <v>7303</v>
      </c>
      <c r="F3899" s="8" t="n">
        <v>390975</v>
      </c>
      <c r="G3899" s="8" t="n">
        <v>507927</v>
      </c>
      <c r="H3899" s="8" t="n">
        <v>8179</v>
      </c>
      <c r="I3899" s="8" t="n">
        <v>8104</v>
      </c>
      <c r="J3899" s="8" t="n">
        <v>8201</v>
      </c>
      <c r="K3899" s="8" t="n">
        <v>8099</v>
      </c>
      <c r="L3899" s="8" t="n">
        <v>298437</v>
      </c>
      <c r="M3899" s="8" t="n">
        <v>426086</v>
      </c>
      <c r="N3899" t="inlineStr">
        <is>
          <t>是</t>
        </is>
      </c>
    </row>
    <row r="3900">
      <c r="A3900" s="7" t="inlineStr">
        <is>
          <t>2023-07-27</t>
        </is>
      </c>
      <c r="B3900" s="8" t="n">
        <v>7337</v>
      </c>
      <c r="C3900" s="8" t="n">
        <v>7345</v>
      </c>
      <c r="D3900" s="8" t="n">
        <v>7374</v>
      </c>
      <c r="E3900" s="8" t="n">
        <v>7318</v>
      </c>
      <c r="F3900" s="8" t="n">
        <v>349311</v>
      </c>
      <c r="G3900" s="8" t="n">
        <v>489501</v>
      </c>
      <c r="H3900" s="8" t="n">
        <v>8170</v>
      </c>
      <c r="I3900" s="8" t="n">
        <v>8157</v>
      </c>
      <c r="J3900" s="8" t="n">
        <v>8207</v>
      </c>
      <c r="K3900" s="8" t="n">
        <v>8146</v>
      </c>
      <c r="L3900" s="8" t="n">
        <v>270036</v>
      </c>
      <c r="M3900" s="8" t="n">
        <v>424845</v>
      </c>
      <c r="N3900" t="inlineStr">
        <is>
          <t>是</t>
        </is>
      </c>
    </row>
    <row r="3901">
      <c r="A3901" s="7" t="inlineStr">
        <is>
          <t>2023-07-28</t>
        </is>
      </c>
      <c r="B3901" s="8" t="n">
        <v>7459</v>
      </c>
      <c r="C3901" s="8" t="n">
        <v>7343</v>
      </c>
      <c r="D3901" s="8" t="n">
        <v>7466</v>
      </c>
      <c r="E3901" s="8" t="n">
        <v>7336</v>
      </c>
      <c r="F3901" s="8" t="n">
        <v>570220</v>
      </c>
      <c r="G3901" s="8" t="n">
        <v>492271</v>
      </c>
      <c r="H3901" s="8" t="n">
        <v>8232</v>
      </c>
      <c r="I3901" s="8" t="n">
        <v>8165</v>
      </c>
      <c r="J3901" s="8" t="n">
        <v>8238</v>
      </c>
      <c r="K3901" s="8" t="n">
        <v>8165</v>
      </c>
      <c r="L3901" s="8" t="n">
        <v>344914</v>
      </c>
      <c r="M3901" s="8" t="n">
        <v>422467</v>
      </c>
      <c r="N3901" t="inlineStr">
        <is>
          <t>是</t>
        </is>
      </c>
    </row>
    <row r="3902">
      <c r="A3902" s="7" t="inlineStr">
        <is>
          <t>2023-07-31</t>
        </is>
      </c>
      <c r="B3902" s="8" t="n">
        <v>7448</v>
      </c>
      <c r="C3902" s="8" t="n">
        <v>7466</v>
      </c>
      <c r="D3902" s="8" t="n">
        <v>7472</v>
      </c>
      <c r="E3902" s="8" t="n">
        <v>7395</v>
      </c>
      <c r="F3902" s="8" t="n">
        <v>419562</v>
      </c>
      <c r="G3902" s="8" t="n">
        <v>470938</v>
      </c>
      <c r="H3902" s="8" t="n">
        <v>8222</v>
      </c>
      <c r="I3902" s="8" t="n">
        <v>8238</v>
      </c>
      <c r="J3902" s="8" t="n">
        <v>8248</v>
      </c>
      <c r="K3902" s="8" t="n">
        <v>8152</v>
      </c>
      <c r="L3902" s="8" t="n">
        <v>347170</v>
      </c>
      <c r="M3902" s="8" t="n">
        <v>394716</v>
      </c>
      <c r="N3902" t="inlineStr">
        <is>
          <t>是</t>
        </is>
      </c>
    </row>
    <row r="3903">
      <c r="A3903" s="7" t="inlineStr">
        <is>
          <t>2023-08-01</t>
        </is>
      </c>
      <c r="B3903" s="8" t="n">
        <v>7461</v>
      </c>
      <c r="C3903" s="8" t="n">
        <v>7465</v>
      </c>
      <c r="D3903" s="8" t="n">
        <v>7493</v>
      </c>
      <c r="E3903" s="8" t="n">
        <v>7432</v>
      </c>
      <c r="F3903" s="8" t="n">
        <v>345306</v>
      </c>
      <c r="G3903" s="8" t="n">
        <v>457986</v>
      </c>
      <c r="H3903" s="8" t="n">
        <v>8208</v>
      </c>
      <c r="I3903" s="8" t="n">
        <v>8240</v>
      </c>
      <c r="J3903" s="8" t="n">
        <v>8245</v>
      </c>
      <c r="K3903" s="8" t="n">
        <v>8171</v>
      </c>
      <c r="L3903" s="8" t="n">
        <v>262941</v>
      </c>
      <c r="M3903" s="8" t="n">
        <v>386922</v>
      </c>
      <c r="N3903" t="inlineStr">
        <is>
          <t>是</t>
        </is>
      </c>
    </row>
    <row r="3904">
      <c r="A3904" s="7" t="inlineStr">
        <is>
          <t>2023-08-02</t>
        </is>
      </c>
      <c r="B3904" s="8" t="n">
        <v>7463</v>
      </c>
      <c r="C3904" s="8" t="n">
        <v>7456</v>
      </c>
      <c r="D3904" s="8" t="n">
        <v>7512</v>
      </c>
      <c r="E3904" s="8" t="n">
        <v>7432</v>
      </c>
      <c r="F3904" s="8" t="n">
        <v>351507</v>
      </c>
      <c r="G3904" s="8" t="n">
        <v>446551</v>
      </c>
      <c r="H3904" s="8" t="n">
        <v>8255</v>
      </c>
      <c r="I3904" s="8" t="n">
        <v>8217</v>
      </c>
      <c r="J3904" s="8" t="n">
        <v>8303</v>
      </c>
      <c r="K3904" s="8" t="n">
        <v>8185</v>
      </c>
      <c r="L3904" s="8" t="n">
        <v>354400</v>
      </c>
      <c r="M3904" s="8" t="n">
        <v>384094</v>
      </c>
      <c r="N3904" t="inlineStr">
        <is>
          <t>是</t>
        </is>
      </c>
    </row>
    <row r="3905">
      <c r="A3905" s="7" t="inlineStr">
        <is>
          <t>2023-08-03</t>
        </is>
      </c>
      <c r="B3905" s="8" t="n">
        <v>7362</v>
      </c>
      <c r="C3905" s="8" t="n">
        <v>7467</v>
      </c>
      <c r="D3905" s="8" t="n">
        <v>7481</v>
      </c>
      <c r="E3905" s="8" t="n">
        <v>7342</v>
      </c>
      <c r="F3905" s="8" t="n">
        <v>451432</v>
      </c>
      <c r="G3905" s="8" t="n">
        <v>409540</v>
      </c>
      <c r="H3905" s="8" t="n">
        <v>8138</v>
      </c>
      <c r="I3905" s="8" t="n">
        <v>8255</v>
      </c>
      <c r="J3905" s="8" t="n">
        <v>8268</v>
      </c>
      <c r="K3905" s="8" t="n">
        <v>8125</v>
      </c>
      <c r="L3905" s="8" t="n">
        <v>341673</v>
      </c>
      <c r="M3905" s="8" t="n">
        <v>341915</v>
      </c>
      <c r="N3905" t="inlineStr">
        <is>
          <t>是</t>
        </is>
      </c>
    </row>
    <row r="3906">
      <c r="A3906" s="7" t="inlineStr">
        <is>
          <t>2023-08-04</t>
        </is>
      </c>
      <c r="B3906" s="8" t="n">
        <v>7416</v>
      </c>
      <c r="C3906" s="8" t="n">
        <v>7383</v>
      </c>
      <c r="D3906" s="8" t="n">
        <v>7442</v>
      </c>
      <c r="E3906" s="8" t="n">
        <v>7380</v>
      </c>
      <c r="F3906" s="8" t="n">
        <v>315947</v>
      </c>
      <c r="G3906" s="8" t="n">
        <v>404696</v>
      </c>
      <c r="H3906" s="8" t="n">
        <v>8206</v>
      </c>
      <c r="I3906" s="8" t="n">
        <v>8178</v>
      </c>
      <c r="J3906" s="8" t="n">
        <v>8226</v>
      </c>
      <c r="K3906" s="8" t="n">
        <v>8145</v>
      </c>
      <c r="L3906" s="8" t="n">
        <v>262576</v>
      </c>
      <c r="M3906" s="8" t="n">
        <v>333381</v>
      </c>
      <c r="N3906" t="inlineStr">
        <is>
          <t>是</t>
        </is>
      </c>
    </row>
    <row r="3907">
      <c r="A3907" s="7" t="inlineStr">
        <is>
          <t>2023-08-07</t>
        </is>
      </c>
      <c r="B3907" s="8" t="n">
        <v>7392</v>
      </c>
      <c r="C3907" s="8" t="n">
        <v>7422</v>
      </c>
      <c r="D3907" s="8" t="n">
        <v>7422</v>
      </c>
      <c r="E3907" s="8" t="n">
        <v>7352</v>
      </c>
      <c r="F3907" s="8" t="n">
        <v>325765</v>
      </c>
      <c r="G3907" s="8" t="n">
        <v>383068</v>
      </c>
      <c r="H3907" s="8" t="n">
        <v>8164</v>
      </c>
      <c r="I3907" s="8" t="n">
        <v>8206</v>
      </c>
      <c r="J3907" s="8" t="n">
        <v>8216</v>
      </c>
      <c r="K3907" s="8" t="n">
        <v>8144</v>
      </c>
      <c r="L3907" s="8" t="n">
        <v>280341</v>
      </c>
      <c r="M3907" s="8" t="n">
        <v>312299</v>
      </c>
      <c r="N3907" t="inlineStr">
        <is>
          <t>是</t>
        </is>
      </c>
    </row>
    <row r="3908">
      <c r="A3908" s="7" t="inlineStr">
        <is>
          <t>2023-08-08</t>
        </is>
      </c>
      <c r="B3908" s="8" t="n">
        <v>7346</v>
      </c>
      <c r="C3908" s="8" t="n">
        <v>7386</v>
      </c>
      <c r="D3908" s="8" t="n">
        <v>7400</v>
      </c>
      <c r="E3908" s="8" t="n">
        <v>7329</v>
      </c>
      <c r="F3908" s="8" t="n">
        <v>320371</v>
      </c>
      <c r="G3908" s="8" t="n">
        <v>362805</v>
      </c>
      <c r="H3908" s="8" t="n">
        <v>8115</v>
      </c>
      <c r="I3908" s="8" t="n">
        <v>8161</v>
      </c>
      <c r="J3908" s="8" t="n">
        <v>8163</v>
      </c>
      <c r="K3908" s="8" t="n">
        <v>8092</v>
      </c>
      <c r="L3908" s="8" t="n">
        <v>267811</v>
      </c>
      <c r="M3908" s="8" t="n">
        <v>280846</v>
      </c>
      <c r="N3908" t="inlineStr">
        <is>
          <t>是</t>
        </is>
      </c>
    </row>
    <row r="3909">
      <c r="A3909" s="7" t="inlineStr">
        <is>
          <t>2023-08-09</t>
        </is>
      </c>
      <c r="B3909" s="8" t="n">
        <v>7410</v>
      </c>
      <c r="C3909" s="8" t="n">
        <v>7330</v>
      </c>
      <c r="D3909" s="8" t="n">
        <v>7414</v>
      </c>
      <c r="E3909" s="8" t="n">
        <v>7303</v>
      </c>
      <c r="F3909" s="8" t="n">
        <v>308972</v>
      </c>
      <c r="G3909" s="8" t="n">
        <v>345466</v>
      </c>
      <c r="H3909" s="8" t="n">
        <v>8183</v>
      </c>
      <c r="I3909" s="8" t="n">
        <v>8080</v>
      </c>
      <c r="J3909" s="8" t="n">
        <v>8188</v>
      </c>
      <c r="K3909" s="8" t="n">
        <v>8074</v>
      </c>
      <c r="L3909" s="8" t="n">
        <v>247868</v>
      </c>
      <c r="M3909" s="8" t="n">
        <v>265611</v>
      </c>
      <c r="N3909" t="inlineStr">
        <is>
          <t>是</t>
        </is>
      </c>
    </row>
    <row r="3910">
      <c r="A3910" s="7" t="inlineStr">
        <is>
          <t>2023-08-10</t>
        </is>
      </c>
      <c r="B3910" s="8" t="n">
        <v>7400</v>
      </c>
      <c r="C3910" s="8" t="n">
        <v>7425</v>
      </c>
      <c r="D3910" s="8" t="n">
        <v>7464</v>
      </c>
      <c r="E3910" s="8" t="n">
        <v>7395</v>
      </c>
      <c r="F3910" s="8" t="n">
        <v>292854</v>
      </c>
      <c r="G3910" s="8" t="n">
        <v>329410</v>
      </c>
      <c r="H3910" s="8" t="n">
        <v>8177</v>
      </c>
      <c r="I3910" s="8" t="n">
        <v>8202</v>
      </c>
      <c r="J3910" s="8" t="n">
        <v>8227</v>
      </c>
      <c r="K3910" s="8" t="n">
        <v>8173</v>
      </c>
      <c r="L3910" s="8" t="n">
        <v>203578</v>
      </c>
      <c r="M3910" s="8" t="n">
        <v>245836</v>
      </c>
      <c r="N3910" t="inlineStr">
        <is>
          <t>是</t>
        </is>
      </c>
    </row>
    <row r="3911">
      <c r="A3911" s="7" t="inlineStr">
        <is>
          <t>2023-08-11</t>
        </is>
      </c>
      <c r="B3911" s="8" t="n">
        <v>7423</v>
      </c>
      <c r="C3911" s="8" t="n">
        <v>7399</v>
      </c>
      <c r="D3911" s="8" t="n">
        <v>7434</v>
      </c>
      <c r="E3911" s="8" t="n">
        <v>7372</v>
      </c>
      <c r="F3911" s="8" t="n">
        <v>254292</v>
      </c>
      <c r="G3911" s="8" t="n">
        <v>316318</v>
      </c>
      <c r="H3911" s="8" t="n">
        <v>8166</v>
      </c>
      <c r="I3911" s="8" t="n">
        <v>8169</v>
      </c>
      <c r="J3911" s="8" t="n">
        <v>8179</v>
      </c>
      <c r="K3911" s="8" t="n">
        <v>8134</v>
      </c>
      <c r="L3911" s="8" t="n">
        <v>230147</v>
      </c>
      <c r="M3911" s="8" t="n">
        <v>205304</v>
      </c>
      <c r="N3911" t="inlineStr">
        <is>
          <t>是</t>
        </is>
      </c>
    </row>
    <row r="3912">
      <c r="A3912" s="7" t="inlineStr">
        <is>
          <t>2023-08-14</t>
        </is>
      </c>
      <c r="B3912" s="8" t="n">
        <v>7376</v>
      </c>
      <c r="C3912" s="8" t="n">
        <v>7423</v>
      </c>
      <c r="D3912" s="8" t="n">
        <v>7442</v>
      </c>
      <c r="E3912" s="8" t="n">
        <v>7351</v>
      </c>
      <c r="F3912" s="8" t="n">
        <v>291633</v>
      </c>
      <c r="G3912" s="8" t="n">
        <v>294166</v>
      </c>
      <c r="H3912" s="8" t="n">
        <v>8096</v>
      </c>
      <c r="I3912" s="8" t="n">
        <v>8194</v>
      </c>
      <c r="J3912" s="8" t="n">
        <v>8194</v>
      </c>
      <c r="K3912" s="8" t="n">
        <v>8071</v>
      </c>
      <c r="L3912" s="8" t="n">
        <v>220224</v>
      </c>
      <c r="M3912" s="8" t="n">
        <v>182459</v>
      </c>
      <c r="N3912" t="inlineStr">
        <is>
          <t>是</t>
        </is>
      </c>
    </row>
    <row r="3913">
      <c r="A3913" s="7" t="inlineStr">
        <is>
          <t>2023-08-15</t>
        </is>
      </c>
      <c r="B3913" s="8" t="n">
        <v>7418</v>
      </c>
      <c r="C3913" s="8" t="n">
        <v>7376</v>
      </c>
      <c r="D3913" s="8" t="n">
        <v>7430</v>
      </c>
      <c r="E3913" s="8" t="n">
        <v>7348</v>
      </c>
      <c r="F3913" s="8" t="n">
        <v>250721</v>
      </c>
      <c r="G3913" s="8" t="n">
        <v>280449</v>
      </c>
      <c r="H3913" s="8" t="n">
        <v>8116</v>
      </c>
      <c r="I3913" s="8" t="n">
        <v>8118</v>
      </c>
      <c r="J3913" s="8" t="n">
        <v>8143</v>
      </c>
      <c r="K3913" s="8" t="n">
        <v>8075</v>
      </c>
      <c r="L3913" s="8" t="n">
        <v>162483</v>
      </c>
      <c r="M3913" s="8" t="n">
        <v>154872</v>
      </c>
      <c r="N3913" t="inlineStr">
        <is>
          <t>是</t>
        </is>
      </c>
    </row>
    <row r="3914">
      <c r="A3914" s="7" t="inlineStr">
        <is>
          <t>2023-08-16</t>
        </is>
      </c>
      <c r="B3914" s="8" t="n">
        <v>7375</v>
      </c>
      <c r="C3914" s="8" t="n">
        <v>7397</v>
      </c>
      <c r="D3914" s="8" t="n">
        <v>7418</v>
      </c>
      <c r="E3914" s="8" t="n">
        <v>7370</v>
      </c>
      <c r="F3914" s="8" t="n">
        <v>208835</v>
      </c>
      <c r="G3914" s="8" t="n">
        <v>247325</v>
      </c>
      <c r="H3914" s="8" t="n">
        <v>8044</v>
      </c>
      <c r="I3914" s="8" t="n">
        <v>8080</v>
      </c>
      <c r="J3914" s="8" t="n">
        <v>8100</v>
      </c>
      <c r="K3914" s="8" t="n">
        <v>8038</v>
      </c>
      <c r="L3914" s="8" t="n">
        <v>223773</v>
      </c>
      <c r="M3914" s="8" t="n">
        <v>373985</v>
      </c>
      <c r="N3914" t="inlineStr">
        <is>
          <t>是</t>
        </is>
      </c>
    </row>
    <row r="3915">
      <c r="A3915" s="7" t="inlineStr">
        <is>
          <t>2023-08-17</t>
        </is>
      </c>
      <c r="B3915" s="8" t="n">
        <v>7450</v>
      </c>
      <c r="C3915" s="8" t="n">
        <v>7376</v>
      </c>
      <c r="D3915" s="8" t="n">
        <v>7453</v>
      </c>
      <c r="E3915" s="8" t="n">
        <v>7344</v>
      </c>
      <c r="F3915" s="8" t="n">
        <v>262501</v>
      </c>
      <c r="G3915" s="8" t="n">
        <v>198362</v>
      </c>
      <c r="H3915" s="8" t="n">
        <v>8137</v>
      </c>
      <c r="I3915" s="8" t="n">
        <v>8050</v>
      </c>
      <c r="J3915" s="8" t="n">
        <v>8141</v>
      </c>
      <c r="K3915" s="8" t="n">
        <v>8019</v>
      </c>
      <c r="L3915" s="8" t="n">
        <v>308491</v>
      </c>
      <c r="M3915" s="8" t="n">
        <v>384872</v>
      </c>
      <c r="N3915" t="inlineStr">
        <is>
          <t>是</t>
        </is>
      </c>
    </row>
    <row r="3916">
      <c r="A3916" s="7" t="inlineStr">
        <is>
          <t>2023-08-18</t>
        </is>
      </c>
      <c r="B3916" s="8" t="n">
        <v>7574</v>
      </c>
      <c r="C3916" s="8" t="n">
        <v>7430</v>
      </c>
      <c r="D3916" s="8" t="n">
        <v>7578</v>
      </c>
      <c r="E3916" s="8" t="n">
        <v>7421</v>
      </c>
      <c r="F3916" s="8" t="n">
        <v>628004</v>
      </c>
      <c r="G3916" s="8" t="n">
        <v>433870</v>
      </c>
      <c r="H3916" s="8" t="n">
        <v>8302</v>
      </c>
      <c r="I3916" s="8" t="n">
        <v>8137</v>
      </c>
      <c r="J3916" s="8" t="n">
        <v>8313</v>
      </c>
      <c r="K3916" s="8" t="n">
        <v>8130</v>
      </c>
      <c r="L3916" s="8" t="n">
        <v>447751</v>
      </c>
      <c r="M3916" s="8" t="n">
        <v>429027</v>
      </c>
      <c r="N3916" t="inlineStr">
        <is>
          <t>是</t>
        </is>
      </c>
    </row>
    <row r="3917">
      <c r="A3917" s="7" t="inlineStr">
        <is>
          <t>2023-08-21</t>
        </is>
      </c>
      <c r="B3917" s="8" t="n">
        <v>7630</v>
      </c>
      <c r="C3917" s="8" t="n">
        <v>7560</v>
      </c>
      <c r="D3917" s="8" t="n">
        <v>7655</v>
      </c>
      <c r="E3917" s="8" t="n">
        <v>7540</v>
      </c>
      <c r="F3917" s="8" t="n">
        <v>499394</v>
      </c>
      <c r="G3917" s="8" t="n">
        <v>443441</v>
      </c>
      <c r="H3917" s="8" t="n">
        <v>8352</v>
      </c>
      <c r="I3917" s="8" t="n">
        <v>8292</v>
      </c>
      <c r="J3917" s="8" t="n">
        <v>8385</v>
      </c>
      <c r="K3917" s="8" t="n">
        <v>8282</v>
      </c>
      <c r="L3917" s="8" t="n">
        <v>389504</v>
      </c>
      <c r="M3917" s="8" t="n">
        <v>441071</v>
      </c>
      <c r="N3917" t="inlineStr">
        <is>
          <t>是</t>
        </is>
      </c>
    </row>
    <row r="3918">
      <c r="A3918" s="7" t="inlineStr">
        <is>
          <t>2023-08-22</t>
        </is>
      </c>
      <c r="B3918" s="8" t="n">
        <v>7660</v>
      </c>
      <c r="C3918" s="8" t="n">
        <v>7640</v>
      </c>
      <c r="D3918" s="8" t="n">
        <v>7669</v>
      </c>
      <c r="E3918" s="8" t="n">
        <v>7610</v>
      </c>
      <c r="F3918" s="8" t="n">
        <v>364079</v>
      </c>
      <c r="G3918" s="8" t="n">
        <v>455536</v>
      </c>
      <c r="H3918" s="8" t="n">
        <v>8384</v>
      </c>
      <c r="I3918" s="8" t="n">
        <v>8352</v>
      </c>
      <c r="J3918" s="8" t="n">
        <v>8387</v>
      </c>
      <c r="K3918" s="8" t="n">
        <v>8322</v>
      </c>
      <c r="L3918" s="8" t="n">
        <v>275768</v>
      </c>
      <c r="M3918" s="8" t="n">
        <v>456409</v>
      </c>
      <c r="N3918" t="inlineStr">
        <is>
          <t>是</t>
        </is>
      </c>
    </row>
    <row r="3919">
      <c r="A3919" s="7" t="inlineStr">
        <is>
          <t>2023-08-23</t>
        </is>
      </c>
      <c r="B3919" s="8" t="n">
        <v>7645</v>
      </c>
      <c r="C3919" s="8" t="n">
        <v>7650</v>
      </c>
      <c r="D3919" s="8" t="n">
        <v>7700</v>
      </c>
      <c r="E3919" s="8" t="n">
        <v>7640</v>
      </c>
      <c r="F3919" s="8" t="n">
        <v>378062</v>
      </c>
      <c r="G3919" s="8" t="n">
        <v>460741</v>
      </c>
      <c r="H3919" s="8" t="n">
        <v>8376</v>
      </c>
      <c r="I3919" s="8" t="n">
        <v>8385</v>
      </c>
      <c r="J3919" s="8" t="n">
        <v>8444</v>
      </c>
      <c r="K3919" s="8" t="n">
        <v>8364</v>
      </c>
      <c r="L3919" s="8" t="n">
        <v>325631</v>
      </c>
      <c r="M3919" s="8" t="n">
        <v>455351</v>
      </c>
      <c r="N3919" t="inlineStr">
        <is>
          <t>是</t>
        </is>
      </c>
    </row>
    <row r="3920">
      <c r="A3920" s="7" t="inlineStr">
        <is>
          <t>2023-08-24</t>
        </is>
      </c>
      <c r="B3920" s="8" t="n">
        <v>7620</v>
      </c>
      <c r="C3920" s="8" t="n">
        <v>7625</v>
      </c>
      <c r="D3920" s="8" t="n">
        <v>7686</v>
      </c>
      <c r="E3920" s="8" t="n">
        <v>7605</v>
      </c>
      <c r="F3920" s="8" t="n">
        <v>378560</v>
      </c>
      <c r="G3920" s="8" t="n">
        <v>461254</v>
      </c>
      <c r="H3920" s="8" t="n">
        <v>8357</v>
      </c>
      <c r="I3920" s="8" t="n">
        <v>8348</v>
      </c>
      <c r="J3920" s="8" t="n">
        <v>8413</v>
      </c>
      <c r="K3920" s="8" t="n">
        <v>8336</v>
      </c>
      <c r="L3920" s="8" t="n">
        <v>291105</v>
      </c>
      <c r="M3920" s="8" t="n">
        <v>457784</v>
      </c>
      <c r="N3920" t="inlineStr">
        <is>
          <t>是</t>
        </is>
      </c>
    </row>
    <row r="3921">
      <c r="A3921" s="7" t="inlineStr">
        <is>
          <t>2023-08-25</t>
        </is>
      </c>
      <c r="B3921" s="8" t="n">
        <v>7653</v>
      </c>
      <c r="C3921" s="8" t="n">
        <v>7620</v>
      </c>
      <c r="D3921" s="8" t="n">
        <v>7660</v>
      </c>
      <c r="E3921" s="8" t="n">
        <v>7582</v>
      </c>
      <c r="F3921" s="8" t="n">
        <v>351815</v>
      </c>
      <c r="G3921" s="8" t="n">
        <v>466222</v>
      </c>
      <c r="H3921" s="8" t="n">
        <v>8399</v>
      </c>
      <c r="I3921" s="8" t="n">
        <v>8357</v>
      </c>
      <c r="J3921" s="8" t="n">
        <v>8403</v>
      </c>
      <c r="K3921" s="8" t="n">
        <v>8324</v>
      </c>
      <c r="L3921" s="8" t="n">
        <v>304360</v>
      </c>
      <c r="M3921" s="8" t="n">
        <v>468804</v>
      </c>
      <c r="N3921" t="inlineStr">
        <is>
          <t>是</t>
        </is>
      </c>
    </row>
    <row r="3922">
      <c r="A3922" s="7" t="inlineStr">
        <is>
          <t>2023-08-28</t>
        </is>
      </c>
      <c r="B3922" s="8" t="n">
        <v>7626</v>
      </c>
      <c r="C3922" s="8" t="n">
        <v>7680</v>
      </c>
      <c r="D3922" s="8" t="n">
        <v>7722</v>
      </c>
      <c r="E3922" s="8" t="n">
        <v>7610</v>
      </c>
      <c r="F3922" s="8" t="n">
        <v>483814</v>
      </c>
      <c r="G3922" s="8" t="n">
        <v>465503</v>
      </c>
      <c r="H3922" s="8" t="n">
        <v>8288</v>
      </c>
      <c r="I3922" s="8" t="n">
        <v>8405</v>
      </c>
      <c r="J3922" s="8" t="n">
        <v>8433</v>
      </c>
      <c r="K3922" s="8" t="n">
        <v>8278</v>
      </c>
      <c r="L3922" s="8" t="n">
        <v>415566</v>
      </c>
      <c r="M3922" s="8" t="n">
        <v>446827</v>
      </c>
      <c r="N3922" t="inlineStr">
        <is>
          <t>是</t>
        </is>
      </c>
    </row>
    <row r="3923">
      <c r="A3923" s="7" t="inlineStr">
        <is>
          <t>2023-08-29</t>
        </is>
      </c>
      <c r="B3923" s="8" t="n">
        <v>7617</v>
      </c>
      <c r="C3923" s="8" t="n">
        <v>7628</v>
      </c>
      <c r="D3923" s="8" t="n">
        <v>7653</v>
      </c>
      <c r="E3923" s="8" t="n">
        <v>7588</v>
      </c>
      <c r="F3923" s="8" t="n">
        <v>380979</v>
      </c>
      <c r="G3923" s="8" t="n">
        <v>456475</v>
      </c>
      <c r="H3923" s="8" t="n">
        <v>8233</v>
      </c>
      <c r="I3923" s="8" t="n">
        <v>8280</v>
      </c>
      <c r="J3923" s="8" t="n">
        <v>8297</v>
      </c>
      <c r="K3923" s="8" t="n">
        <v>8225</v>
      </c>
      <c r="L3923" s="8" t="n">
        <v>341248</v>
      </c>
      <c r="M3923" s="8" t="n">
        <v>438900</v>
      </c>
      <c r="N3923" t="inlineStr">
        <is>
          <t>是</t>
        </is>
      </c>
    </row>
    <row r="3924">
      <c r="A3924" s="7" t="inlineStr">
        <is>
          <t>2023-08-30</t>
        </is>
      </c>
      <c r="B3924" s="8" t="n">
        <v>7736</v>
      </c>
      <c r="C3924" s="8" t="n">
        <v>7628</v>
      </c>
      <c r="D3924" s="8" t="n">
        <v>7742</v>
      </c>
      <c r="E3924" s="8" t="n">
        <v>7625</v>
      </c>
      <c r="F3924" s="8" t="n">
        <v>395392</v>
      </c>
      <c r="G3924" s="8" t="n">
        <v>481638</v>
      </c>
      <c r="H3924" s="8" t="n">
        <v>8336</v>
      </c>
      <c r="I3924" s="8" t="n">
        <v>8245</v>
      </c>
      <c r="J3924" s="8" t="n">
        <v>8341</v>
      </c>
      <c r="K3924" s="8" t="n">
        <v>8228</v>
      </c>
      <c r="L3924" s="8" t="n">
        <v>306183</v>
      </c>
      <c r="M3924" s="8" t="n">
        <v>439565</v>
      </c>
      <c r="N3924" t="inlineStr">
        <is>
          <t>是</t>
        </is>
      </c>
    </row>
    <row r="3925">
      <c r="A3925" s="7" t="inlineStr">
        <is>
          <t>2023-08-31</t>
        </is>
      </c>
      <c r="B3925" s="8" t="n">
        <v>7745</v>
      </c>
      <c r="C3925" s="8" t="n">
        <v>7770</v>
      </c>
      <c r="D3925" s="8" t="n">
        <v>7776</v>
      </c>
      <c r="E3925" s="8" t="n">
        <v>7702</v>
      </c>
      <c r="F3925" s="8" t="n">
        <v>335212</v>
      </c>
      <c r="G3925" s="8" t="n">
        <v>480500</v>
      </c>
      <c r="H3925" s="8" t="n">
        <v>8325</v>
      </c>
      <c r="I3925" s="8" t="n">
        <v>8338</v>
      </c>
      <c r="J3925" s="8" t="n">
        <v>8357</v>
      </c>
      <c r="K3925" s="8" t="n">
        <v>8300</v>
      </c>
      <c r="L3925" s="8" t="n">
        <v>244712</v>
      </c>
      <c r="M3925" s="8" t="n">
        <v>440804</v>
      </c>
      <c r="N3925" t="inlineStr">
        <is>
          <t>是</t>
        </is>
      </c>
    </row>
    <row r="3926">
      <c r="A3926" s="7" t="inlineStr">
        <is>
          <t>2023-09-01</t>
        </is>
      </c>
      <c r="B3926" s="8" t="n">
        <v>7851</v>
      </c>
      <c r="C3926" s="8" t="n">
        <v>7761</v>
      </c>
      <c r="D3926" s="8" t="n">
        <v>7884</v>
      </c>
      <c r="E3926" s="8" t="n">
        <v>7757</v>
      </c>
      <c r="F3926" s="8" t="n">
        <v>456873</v>
      </c>
      <c r="G3926" s="8" t="n">
        <v>493396</v>
      </c>
      <c r="H3926" s="8" t="n">
        <v>8420</v>
      </c>
      <c r="I3926" s="8" t="n">
        <v>8346</v>
      </c>
      <c r="J3926" s="8" t="n">
        <v>8453</v>
      </c>
      <c r="K3926" s="8" t="n">
        <v>8337</v>
      </c>
      <c r="L3926" s="8" t="n">
        <v>341000</v>
      </c>
      <c r="M3926" s="8" t="n">
        <v>449112</v>
      </c>
      <c r="N3926" t="inlineStr">
        <is>
          <t>是</t>
        </is>
      </c>
    </row>
    <row r="3927">
      <c r="A3927" s="7" t="inlineStr">
        <is>
          <t>2023-09-04</t>
        </is>
      </c>
      <c r="B3927" s="8" t="n">
        <v>7813</v>
      </c>
      <c r="C3927" s="8" t="n">
        <v>7873</v>
      </c>
      <c r="D3927" s="8" t="n">
        <v>7901</v>
      </c>
      <c r="E3927" s="8" t="n">
        <v>7783</v>
      </c>
      <c r="F3927" s="8" t="n">
        <v>552662</v>
      </c>
      <c r="G3927" s="8" t="n">
        <v>482622</v>
      </c>
      <c r="H3927" s="8" t="n">
        <v>8385</v>
      </c>
      <c r="I3927" s="8" t="n">
        <v>8420</v>
      </c>
      <c r="J3927" s="8" t="n">
        <v>8465</v>
      </c>
      <c r="K3927" s="8" t="n">
        <v>8371</v>
      </c>
      <c r="L3927" s="8" t="n">
        <v>376381</v>
      </c>
      <c r="M3927" s="8" t="n">
        <v>437994</v>
      </c>
      <c r="N3927" t="inlineStr">
        <is>
          <t>是</t>
        </is>
      </c>
    </row>
    <row r="3928">
      <c r="A3928" s="7" t="inlineStr">
        <is>
          <t>2023-09-05</t>
        </is>
      </c>
      <c r="B3928" s="8" t="n">
        <v>7871</v>
      </c>
      <c r="C3928" s="8" t="n">
        <v>7817</v>
      </c>
      <c r="D3928" s="8" t="n">
        <v>7910</v>
      </c>
      <c r="E3928" s="8" t="n">
        <v>7808</v>
      </c>
      <c r="F3928" s="8" t="n">
        <v>394920</v>
      </c>
      <c r="G3928" s="8" t="n">
        <v>504817</v>
      </c>
      <c r="H3928" s="8" t="n">
        <v>8401</v>
      </c>
      <c r="I3928" s="8" t="n">
        <v>8399</v>
      </c>
      <c r="J3928" s="8" t="n">
        <v>8458</v>
      </c>
      <c r="K3928" s="8" t="n">
        <v>8386</v>
      </c>
      <c r="L3928" s="8" t="n">
        <v>312993</v>
      </c>
      <c r="M3928" s="8" t="n">
        <v>439926</v>
      </c>
      <c r="N3928" t="inlineStr">
        <is>
          <t>是</t>
        </is>
      </c>
    </row>
    <row r="3929">
      <c r="A3929" s="7" t="inlineStr">
        <is>
          <t>2023-09-06</t>
        </is>
      </c>
      <c r="B3929" s="8" t="n">
        <v>7962</v>
      </c>
      <c r="C3929" s="8" t="n">
        <v>7858</v>
      </c>
      <c r="D3929" s="8" t="n">
        <v>7978</v>
      </c>
      <c r="E3929" s="8" t="n">
        <v>7839</v>
      </c>
      <c r="F3929" s="8" t="n">
        <v>514772</v>
      </c>
      <c r="G3929" s="8" t="n">
        <v>528284</v>
      </c>
      <c r="H3929" s="8" t="n">
        <v>8459</v>
      </c>
      <c r="I3929" s="8" t="n">
        <v>8382</v>
      </c>
      <c r="J3929" s="8" t="n">
        <v>8470</v>
      </c>
      <c r="K3929" s="8" t="n">
        <v>8360</v>
      </c>
      <c r="L3929" s="8" t="n">
        <v>391779</v>
      </c>
      <c r="M3929" s="8" t="n">
        <v>444749</v>
      </c>
      <c r="N3929" t="inlineStr">
        <is>
          <t>是</t>
        </is>
      </c>
    </row>
    <row r="3930">
      <c r="A3930" s="7" t="inlineStr">
        <is>
          <t>2023-09-07</t>
        </is>
      </c>
      <c r="B3930" s="8" t="n">
        <v>7894</v>
      </c>
      <c r="C3930" s="8" t="n">
        <v>7960</v>
      </c>
      <c r="D3930" s="8" t="n">
        <v>7995</v>
      </c>
      <c r="E3930" s="8" t="n">
        <v>7816</v>
      </c>
      <c r="F3930" s="8" t="n">
        <v>593695</v>
      </c>
      <c r="G3930" s="8" t="n">
        <v>506640</v>
      </c>
      <c r="H3930" s="8" t="n">
        <v>8383</v>
      </c>
      <c r="I3930" s="8" t="n">
        <v>8455</v>
      </c>
      <c r="J3930" s="8" t="n">
        <v>8508</v>
      </c>
      <c r="K3930" s="8" t="n">
        <v>8332</v>
      </c>
      <c r="L3930" s="8" t="n">
        <v>458663</v>
      </c>
      <c r="M3930" s="8" t="n">
        <v>432324</v>
      </c>
      <c r="N3930" t="inlineStr">
        <is>
          <t>是</t>
        </is>
      </c>
    </row>
    <row r="3931">
      <c r="A3931" s="7" t="inlineStr">
        <is>
          <t>2023-09-08</t>
        </is>
      </c>
      <c r="B3931" s="8" t="n">
        <v>7822</v>
      </c>
      <c r="C3931" s="8" t="n">
        <v>7895</v>
      </c>
      <c r="D3931" s="8" t="n">
        <v>7898</v>
      </c>
      <c r="E3931" s="8" t="n">
        <v>7802</v>
      </c>
      <c r="F3931" s="8" t="n">
        <v>423349</v>
      </c>
      <c r="G3931" s="8" t="n">
        <v>503728</v>
      </c>
      <c r="H3931" s="8" t="n">
        <v>8317</v>
      </c>
      <c r="I3931" s="8" t="n">
        <v>8400</v>
      </c>
      <c r="J3931" s="8" t="n">
        <v>8400</v>
      </c>
      <c r="K3931" s="8" t="n">
        <v>8304</v>
      </c>
      <c r="L3931" s="8" t="n">
        <v>304474</v>
      </c>
      <c r="M3931" s="8" t="n">
        <v>420468</v>
      </c>
      <c r="N3931" t="inlineStr">
        <is>
          <t>是</t>
        </is>
      </c>
    </row>
    <row r="3932">
      <c r="A3932" s="7" t="inlineStr">
        <is>
          <t>2023-09-11</t>
        </is>
      </c>
      <c r="B3932" s="8" t="n">
        <v>7865</v>
      </c>
      <c r="C3932" s="8" t="n">
        <v>7844</v>
      </c>
      <c r="D3932" s="8" t="n">
        <v>7906</v>
      </c>
      <c r="E3932" s="8" t="n">
        <v>7840</v>
      </c>
      <c r="F3932" s="8" t="n">
        <v>424298</v>
      </c>
      <c r="G3932" s="8" t="n">
        <v>511626</v>
      </c>
      <c r="H3932" s="8" t="n">
        <v>8354</v>
      </c>
      <c r="I3932" s="8" t="n">
        <v>8340</v>
      </c>
      <c r="J3932" s="8" t="n">
        <v>8397</v>
      </c>
      <c r="K3932" s="8" t="n">
        <v>8330</v>
      </c>
      <c r="L3932" s="8" t="n">
        <v>300529</v>
      </c>
      <c r="M3932" s="8" t="n">
        <v>419074</v>
      </c>
      <c r="N3932" t="inlineStr">
        <is>
          <t>是</t>
        </is>
      </c>
    </row>
    <row r="3933">
      <c r="A3933" s="7" t="inlineStr">
        <is>
          <t>2023-09-12</t>
        </is>
      </c>
      <c r="B3933" s="8" t="n">
        <v>7985</v>
      </c>
      <c r="C3933" s="8" t="n">
        <v>7865</v>
      </c>
      <c r="D3933" s="8" t="n">
        <v>8014</v>
      </c>
      <c r="E3933" s="8" t="n">
        <v>7842</v>
      </c>
      <c r="F3933" s="8" t="n">
        <v>509330</v>
      </c>
      <c r="G3933" s="8" t="n">
        <v>547139</v>
      </c>
      <c r="H3933" s="8" t="n">
        <v>8402</v>
      </c>
      <c r="I3933" s="8" t="n">
        <v>8340</v>
      </c>
      <c r="J3933" s="8" t="n">
        <v>8418</v>
      </c>
      <c r="K3933" s="8" t="n">
        <v>8325</v>
      </c>
      <c r="L3933" s="8" t="n">
        <v>391427</v>
      </c>
      <c r="M3933" s="8" t="n">
        <v>425595</v>
      </c>
      <c r="N3933" t="inlineStr">
        <is>
          <t>是</t>
        </is>
      </c>
    </row>
    <row r="3934">
      <c r="A3934" s="7" t="inlineStr">
        <is>
          <t>2023-09-13</t>
        </is>
      </c>
      <c r="B3934" s="8" t="n">
        <v>7966</v>
      </c>
      <c r="C3934" s="8" t="n">
        <v>8003</v>
      </c>
      <c r="D3934" s="8" t="n">
        <v>8089</v>
      </c>
      <c r="E3934" s="8" t="n">
        <v>7940</v>
      </c>
      <c r="F3934" s="8" t="n">
        <v>598818</v>
      </c>
      <c r="G3934" s="8" t="n">
        <v>547197</v>
      </c>
      <c r="H3934" s="8" t="n">
        <v>8358</v>
      </c>
      <c r="I3934" s="8" t="n">
        <v>8448</v>
      </c>
      <c r="J3934" s="8" t="n">
        <v>8466</v>
      </c>
      <c r="K3934" s="8" t="n">
        <v>8339</v>
      </c>
      <c r="L3934" s="8" t="n">
        <v>441569</v>
      </c>
      <c r="M3934" s="8" t="n">
        <v>416970</v>
      </c>
      <c r="N3934" t="inlineStr">
        <is>
          <t>是</t>
        </is>
      </c>
    </row>
    <row r="3935">
      <c r="A3935" s="7" t="inlineStr">
        <is>
          <t>2023-09-14</t>
        </is>
      </c>
      <c r="B3935" s="8" t="n">
        <v>7957</v>
      </c>
      <c r="C3935" s="8" t="n">
        <v>7970</v>
      </c>
      <c r="D3935" s="8" t="n">
        <v>7995</v>
      </c>
      <c r="E3935" s="8" t="n">
        <v>7911</v>
      </c>
      <c r="F3935" s="8" t="n">
        <v>457734</v>
      </c>
      <c r="G3935" s="8" t="n">
        <v>534845</v>
      </c>
      <c r="H3935" s="8" t="n">
        <v>8349</v>
      </c>
      <c r="I3935" s="8" t="n">
        <v>8355</v>
      </c>
      <c r="J3935" s="8" t="n">
        <v>8402</v>
      </c>
      <c r="K3935" s="8" t="n">
        <v>8300</v>
      </c>
      <c r="L3935" s="8" t="n">
        <v>360218</v>
      </c>
      <c r="M3935" s="8" t="n">
        <v>416720</v>
      </c>
      <c r="N3935" t="inlineStr">
        <is>
          <t>是</t>
        </is>
      </c>
    </row>
    <row r="3936">
      <c r="A3936" s="7" t="inlineStr">
        <is>
          <t>2023-09-15</t>
        </is>
      </c>
      <c r="B3936" s="8" t="n">
        <v>7970</v>
      </c>
      <c r="C3936" s="8" t="n">
        <v>7995</v>
      </c>
      <c r="D3936" s="8" t="n">
        <v>8025</v>
      </c>
      <c r="E3936" s="8" t="n">
        <v>7953</v>
      </c>
      <c r="F3936" s="8" t="n">
        <v>441758</v>
      </c>
      <c r="G3936" s="8" t="n">
        <v>537460</v>
      </c>
      <c r="H3936" s="8" t="n">
        <v>8417</v>
      </c>
      <c r="I3936" s="8" t="n">
        <v>8370</v>
      </c>
      <c r="J3936" s="8" t="n">
        <v>8453</v>
      </c>
      <c r="K3936" s="8" t="n">
        <v>8367</v>
      </c>
      <c r="L3936" s="8" t="n">
        <v>368020</v>
      </c>
      <c r="M3936" s="8" t="n">
        <v>417117</v>
      </c>
      <c r="N3936" t="inlineStr">
        <is>
          <t>是</t>
        </is>
      </c>
    </row>
    <row r="3937">
      <c r="A3937" s="7" t="inlineStr">
        <is>
          <t>2023-09-18</t>
        </is>
      </c>
      <c r="B3937" s="8" t="n">
        <v>7991</v>
      </c>
      <c r="C3937" s="8" t="n">
        <v>7964</v>
      </c>
      <c r="D3937" s="8" t="n">
        <v>7997</v>
      </c>
      <c r="E3937" s="8" t="n">
        <v>7845</v>
      </c>
      <c r="F3937" s="8" t="n">
        <v>612911</v>
      </c>
      <c r="G3937" s="8" t="n">
        <v>530973</v>
      </c>
      <c r="H3937" s="8" t="n">
        <v>8430</v>
      </c>
      <c r="I3937" s="8" t="n">
        <v>8409</v>
      </c>
      <c r="J3937" s="8" t="n">
        <v>8445</v>
      </c>
      <c r="K3937" s="8" t="n">
        <v>8312</v>
      </c>
      <c r="L3937" s="8" t="n">
        <v>510111</v>
      </c>
      <c r="M3937" s="8" t="n">
        <v>424232</v>
      </c>
      <c r="N3937" t="inlineStr">
        <is>
          <t>是</t>
        </is>
      </c>
    </row>
    <row r="3938">
      <c r="A3938" s="7" t="inlineStr">
        <is>
          <t>2023-09-19</t>
        </is>
      </c>
      <c r="B3938" s="8" t="n">
        <v>8073</v>
      </c>
      <c r="C3938" s="8" t="n">
        <v>7993</v>
      </c>
      <c r="D3938" s="8" t="n">
        <v>8104</v>
      </c>
      <c r="E3938" s="8" t="n">
        <v>7983</v>
      </c>
      <c r="F3938" s="8" t="n">
        <v>476187</v>
      </c>
      <c r="G3938" s="8" t="n">
        <v>555973</v>
      </c>
      <c r="H3938" s="8" t="n">
        <v>8520</v>
      </c>
      <c r="I3938" s="8" t="n">
        <v>8434</v>
      </c>
      <c r="J3938" s="8" t="n">
        <v>8554</v>
      </c>
      <c r="K3938" s="8" t="n">
        <v>8413</v>
      </c>
      <c r="L3938" s="8" t="n">
        <v>476939</v>
      </c>
      <c r="M3938" s="8" t="n">
        <v>450784</v>
      </c>
      <c r="N3938" t="inlineStr">
        <is>
          <t>是</t>
        </is>
      </c>
    </row>
    <row r="3939">
      <c r="A3939" s="7" t="inlineStr">
        <is>
          <t>2023-09-20</t>
        </is>
      </c>
      <c r="B3939" s="8" t="n">
        <v>7972</v>
      </c>
      <c r="C3939" s="8" t="n">
        <v>8089</v>
      </c>
      <c r="D3939" s="8" t="n">
        <v>8098</v>
      </c>
      <c r="E3939" s="8" t="n">
        <v>7962</v>
      </c>
      <c r="F3939" s="8" t="n">
        <v>413177</v>
      </c>
      <c r="G3939" s="8" t="n">
        <v>538141</v>
      </c>
      <c r="H3939" s="8" t="n">
        <v>8384</v>
      </c>
      <c r="I3939" s="8" t="n">
        <v>8520</v>
      </c>
      <c r="J3939" s="8" t="n">
        <v>8556</v>
      </c>
      <c r="K3939" s="8" t="n">
        <v>8380</v>
      </c>
      <c r="L3939" s="8" t="n">
        <v>468664</v>
      </c>
      <c r="M3939" s="8" t="n">
        <v>436051</v>
      </c>
      <c r="N3939" t="inlineStr">
        <is>
          <t>是</t>
        </is>
      </c>
    </row>
    <row r="3940">
      <c r="A3940" s="7" t="inlineStr">
        <is>
          <t>2023-09-21</t>
        </is>
      </c>
      <c r="B3940" s="8" t="n">
        <v>7876</v>
      </c>
      <c r="C3940" s="8" t="n">
        <v>7997</v>
      </c>
      <c r="D3940" s="8" t="n">
        <v>7997</v>
      </c>
      <c r="E3940" s="8" t="n">
        <v>7871</v>
      </c>
      <c r="F3940" s="8" t="n">
        <v>465403</v>
      </c>
      <c r="G3940" s="8" t="n">
        <v>539641</v>
      </c>
      <c r="H3940" s="8" t="n">
        <v>8273</v>
      </c>
      <c r="I3940" s="8" t="n">
        <v>8384</v>
      </c>
      <c r="J3940" s="8" t="n">
        <v>8398</v>
      </c>
      <c r="K3940" s="8" t="n">
        <v>8266</v>
      </c>
      <c r="L3940" s="8" t="n">
        <v>454601</v>
      </c>
      <c r="M3940" s="8" t="n">
        <v>440871</v>
      </c>
      <c r="N3940" t="inlineStr">
        <is>
          <t>是</t>
        </is>
      </c>
    </row>
    <row r="3941">
      <c r="A3941" s="7" t="inlineStr">
        <is>
          <t>2023-09-22</t>
        </is>
      </c>
      <c r="B3941" s="8" t="n">
        <v>7889</v>
      </c>
      <c r="C3941" s="8" t="n">
        <v>7900</v>
      </c>
      <c r="D3941" s="8" t="n">
        <v>7925</v>
      </c>
      <c r="E3941" s="8" t="n">
        <v>7827</v>
      </c>
      <c r="F3941" s="8" t="n">
        <v>444028</v>
      </c>
      <c r="G3941" s="8" t="n">
        <v>522762</v>
      </c>
      <c r="H3941" s="8" t="n">
        <v>8295</v>
      </c>
      <c r="I3941" s="8" t="n">
        <v>8300</v>
      </c>
      <c r="J3941" s="8" t="n">
        <v>8318</v>
      </c>
      <c r="K3941" s="8" t="n">
        <v>8252</v>
      </c>
      <c r="L3941" s="8" t="n">
        <v>349999</v>
      </c>
      <c r="M3941" s="8" t="n">
        <v>439317</v>
      </c>
      <c r="N3941" t="inlineStr">
        <is>
          <t>是</t>
        </is>
      </c>
    </row>
    <row r="3942">
      <c r="A3942" s="7" t="inlineStr">
        <is>
          <t>2023-09-25</t>
        </is>
      </c>
      <c r="B3942" s="8" t="n">
        <v>7789</v>
      </c>
      <c r="C3942" s="8" t="n">
        <v>7920</v>
      </c>
      <c r="D3942" s="8" t="n">
        <v>7927</v>
      </c>
      <c r="E3942" s="8" t="n">
        <v>7772</v>
      </c>
      <c r="F3942" s="8" t="n">
        <v>453884</v>
      </c>
      <c r="G3942" s="8" t="n">
        <v>507644</v>
      </c>
      <c r="H3942" s="8" t="n">
        <v>8258</v>
      </c>
      <c r="I3942" s="8" t="n">
        <v>8307</v>
      </c>
      <c r="J3942" s="8" t="n">
        <v>8320</v>
      </c>
      <c r="K3942" s="8" t="n">
        <v>8215</v>
      </c>
      <c r="L3942" s="8" t="n">
        <v>339483</v>
      </c>
      <c r="M3942" s="8" t="n">
        <v>434978</v>
      </c>
      <c r="N3942" t="inlineStr">
        <is>
          <t>是</t>
        </is>
      </c>
    </row>
    <row r="3943">
      <c r="A3943" s="7" t="inlineStr">
        <is>
          <t>2023-09-26</t>
        </is>
      </c>
      <c r="B3943" s="8" t="n">
        <v>7731</v>
      </c>
      <c r="C3943" s="8" t="n">
        <v>7775</v>
      </c>
      <c r="D3943" s="8" t="n">
        <v>7803</v>
      </c>
      <c r="E3943" s="8" t="n">
        <v>7725</v>
      </c>
      <c r="F3943" s="8" t="n">
        <v>351580</v>
      </c>
      <c r="G3943" s="8" t="n">
        <v>504759</v>
      </c>
      <c r="H3943" s="8" t="n">
        <v>8230</v>
      </c>
      <c r="I3943" s="8" t="n">
        <v>8244</v>
      </c>
      <c r="J3943" s="8" t="n">
        <v>8275</v>
      </c>
      <c r="K3943" s="8" t="n">
        <v>8220</v>
      </c>
      <c r="L3943" s="8" t="n">
        <v>330234</v>
      </c>
      <c r="M3943" s="8" t="n">
        <v>433556</v>
      </c>
      <c r="N3943" t="inlineStr">
        <is>
          <t>是</t>
        </is>
      </c>
    </row>
    <row r="3944">
      <c r="A3944" s="7" t="inlineStr">
        <is>
          <t>2023-09-27</t>
        </is>
      </c>
      <c r="B3944" s="8" t="n">
        <v>7716</v>
      </c>
      <c r="C3944" s="8" t="n">
        <v>7739</v>
      </c>
      <c r="D3944" s="8" t="n">
        <v>7759</v>
      </c>
      <c r="E3944" s="8" t="n">
        <v>7702</v>
      </c>
      <c r="F3944" s="8" t="n">
        <v>321795</v>
      </c>
      <c r="G3944" s="8" t="n">
        <v>476779</v>
      </c>
      <c r="H3944" s="8" t="n">
        <v>8219</v>
      </c>
      <c r="I3944" s="8" t="n">
        <v>8238</v>
      </c>
      <c r="J3944" s="8" t="n">
        <v>8264</v>
      </c>
      <c r="K3944" s="8" t="n">
        <v>8204</v>
      </c>
      <c r="L3944" s="8" t="n">
        <v>275230</v>
      </c>
      <c r="M3944" s="8" t="n">
        <v>425196</v>
      </c>
      <c r="N3944" t="inlineStr">
        <is>
          <t>是</t>
        </is>
      </c>
    </row>
    <row r="3945">
      <c r="A3945" s="7" t="inlineStr">
        <is>
          <t>2023-09-28</t>
        </is>
      </c>
      <c r="B3945" s="8" t="n">
        <v>7746</v>
      </c>
      <c r="C3945" s="8" t="n">
        <v>7737</v>
      </c>
      <c r="D3945" s="8" t="n">
        <v>7809</v>
      </c>
      <c r="E3945" s="8" t="n">
        <v>7716</v>
      </c>
      <c r="F3945" s="8" t="n">
        <v>371354</v>
      </c>
      <c r="G3945" s="8" t="n">
        <v>451730</v>
      </c>
      <c r="H3945" s="8" t="n">
        <v>8247</v>
      </c>
      <c r="I3945" s="8" t="n">
        <v>8255</v>
      </c>
      <c r="J3945" s="8" t="n">
        <v>8312</v>
      </c>
      <c r="K3945" s="8" t="n">
        <v>8228</v>
      </c>
      <c r="L3945" s="8" t="n">
        <v>305626</v>
      </c>
      <c r="M3945" s="8" t="n">
        <v>407879</v>
      </c>
      <c r="N3945" t="inlineStr">
        <is>
          <t>是</t>
        </is>
      </c>
    </row>
    <row r="3946">
      <c r="A3946" s="7" t="inlineStr">
        <is>
          <t>2023-10-09</t>
        </is>
      </c>
      <c r="B3946" s="8" t="n">
        <v>7586</v>
      </c>
      <c r="C3946" s="8" t="n">
        <v>7640</v>
      </c>
      <c r="D3946" s="8" t="n">
        <v>7653</v>
      </c>
      <c r="E3946" s="8" t="n">
        <v>7565</v>
      </c>
      <c r="F3946" s="8" t="n">
        <v>345127</v>
      </c>
      <c r="G3946" s="8" t="n">
        <v>445632</v>
      </c>
      <c r="H3946" s="8" t="n">
        <v>8125</v>
      </c>
      <c r="I3946" s="8" t="n">
        <v>8170</v>
      </c>
      <c r="J3946" s="8" t="n">
        <v>8196</v>
      </c>
      <c r="K3946" s="8" t="n">
        <v>8102</v>
      </c>
      <c r="L3946" s="8" t="n">
        <v>264859</v>
      </c>
      <c r="M3946" s="8" t="n">
        <v>420305</v>
      </c>
      <c r="N3946" t="inlineStr">
        <is>
          <t>是</t>
        </is>
      </c>
    </row>
    <row r="3947">
      <c r="A3947" s="7" t="inlineStr">
        <is>
          <t>2023-10-10</t>
        </is>
      </c>
      <c r="B3947" s="8" t="n">
        <v>7460</v>
      </c>
      <c r="C3947" s="8" t="n">
        <v>7586</v>
      </c>
      <c r="D3947" s="8" t="n">
        <v>7590</v>
      </c>
      <c r="E3947" s="8" t="n">
        <v>7452</v>
      </c>
      <c r="F3947" s="8" t="n">
        <v>409856</v>
      </c>
      <c r="G3947" s="8" t="n">
        <v>455968</v>
      </c>
      <c r="H3947" s="8" t="n">
        <v>8025</v>
      </c>
      <c r="I3947" s="8" t="n">
        <v>8122</v>
      </c>
      <c r="J3947" s="8" t="n">
        <v>8132</v>
      </c>
      <c r="K3947" s="8" t="n">
        <v>8022</v>
      </c>
      <c r="L3947" s="8" t="n">
        <v>295289</v>
      </c>
      <c r="M3947" s="8" t="n">
        <v>425870</v>
      </c>
      <c r="N3947" t="inlineStr">
        <is>
          <t>是</t>
        </is>
      </c>
    </row>
    <row r="3948">
      <c r="A3948" s="7" t="inlineStr">
        <is>
          <t>2023-10-11</t>
        </is>
      </c>
      <c r="B3948" s="8" t="n">
        <v>7458</v>
      </c>
      <c r="C3948" s="8" t="n">
        <v>7460</v>
      </c>
      <c r="D3948" s="8" t="n">
        <v>7487</v>
      </c>
      <c r="E3948" s="8" t="n">
        <v>7425</v>
      </c>
      <c r="F3948" s="8" t="n">
        <v>374582</v>
      </c>
      <c r="G3948" s="8" t="n">
        <v>451430</v>
      </c>
      <c r="H3948" s="8" t="n">
        <v>8032</v>
      </c>
      <c r="I3948" s="8" t="n">
        <v>8040</v>
      </c>
      <c r="J3948" s="8" t="n">
        <v>8045</v>
      </c>
      <c r="K3948" s="8" t="n">
        <v>7990</v>
      </c>
      <c r="L3948" s="8" t="n">
        <v>315768</v>
      </c>
      <c r="M3948" s="8" t="n">
        <v>428387</v>
      </c>
      <c r="N3948" t="inlineStr">
        <is>
          <t>是</t>
        </is>
      </c>
    </row>
    <row r="3949">
      <c r="A3949" s="7" t="inlineStr">
        <is>
          <t>2023-10-12</t>
        </is>
      </c>
      <c r="B3949" s="8" t="n">
        <v>7462</v>
      </c>
      <c r="C3949" s="8" t="n">
        <v>7438</v>
      </c>
      <c r="D3949" s="8" t="n">
        <v>7478</v>
      </c>
      <c r="E3949" s="8" t="n">
        <v>7408</v>
      </c>
      <c r="F3949" s="8" t="n">
        <v>436661</v>
      </c>
      <c r="G3949" s="8" t="n">
        <v>445558</v>
      </c>
      <c r="H3949" s="8" t="n">
        <v>8037</v>
      </c>
      <c r="I3949" s="8" t="n">
        <v>8020</v>
      </c>
      <c r="J3949" s="8" t="n">
        <v>8044</v>
      </c>
      <c r="K3949" s="8" t="n">
        <v>7983</v>
      </c>
      <c r="L3949" s="8" t="n">
        <v>327442</v>
      </c>
      <c r="M3949" s="8" t="n">
        <v>426742</v>
      </c>
      <c r="N3949" t="inlineStr">
        <is>
          <t>是</t>
        </is>
      </c>
    </row>
    <row r="3950">
      <c r="A3950" s="7" t="inlineStr">
        <is>
          <t>2023-10-13</t>
        </is>
      </c>
      <c r="B3950" s="8" t="n">
        <v>7473</v>
      </c>
      <c r="C3950" s="8" t="n">
        <v>7489</v>
      </c>
      <c r="D3950" s="8" t="n">
        <v>7495</v>
      </c>
      <c r="E3950" s="8" t="n">
        <v>7421</v>
      </c>
      <c r="F3950" s="8" t="n">
        <v>439406</v>
      </c>
      <c r="G3950" s="8" t="n">
        <v>443661</v>
      </c>
      <c r="H3950" s="8" t="n">
        <v>8021</v>
      </c>
      <c r="I3950" s="8" t="n">
        <v>8060</v>
      </c>
      <c r="J3950" s="8" t="n">
        <v>8073</v>
      </c>
      <c r="K3950" s="8" t="n">
        <v>8001</v>
      </c>
      <c r="L3950" s="8" t="n">
        <v>245946</v>
      </c>
      <c r="M3950" s="8" t="n">
        <v>422454</v>
      </c>
      <c r="N3950" t="inlineStr">
        <is>
          <t>是</t>
        </is>
      </c>
    </row>
    <row r="3951">
      <c r="A3951" s="7" t="inlineStr">
        <is>
          <t>2023-10-16</t>
        </is>
      </c>
      <c r="B3951" s="8" t="n">
        <v>7517</v>
      </c>
      <c r="C3951" s="8" t="n">
        <v>7522</v>
      </c>
      <c r="D3951" s="8" t="n">
        <v>7554</v>
      </c>
      <c r="E3951" s="8" t="n">
        <v>7462</v>
      </c>
      <c r="F3951" s="8" t="n">
        <v>436239</v>
      </c>
      <c r="G3951" s="8" t="n">
        <v>433054</v>
      </c>
      <c r="H3951" s="8" t="n">
        <v>8055</v>
      </c>
      <c r="I3951" s="8" t="n">
        <v>8072</v>
      </c>
      <c r="J3951" s="8" t="n">
        <v>8080</v>
      </c>
      <c r="K3951" s="8" t="n">
        <v>8008</v>
      </c>
      <c r="L3951" s="8" t="n">
        <v>315330</v>
      </c>
      <c r="M3951" s="8" t="n">
        <v>424815</v>
      </c>
      <c r="N3951" t="inlineStr">
        <is>
          <t>是</t>
        </is>
      </c>
    </row>
    <row r="3952">
      <c r="A3952" s="7" t="inlineStr">
        <is>
          <t>2023-10-17</t>
        </is>
      </c>
      <c r="B3952" s="8" t="n">
        <v>7452</v>
      </c>
      <c r="C3952" s="8" t="n">
        <v>7521</v>
      </c>
      <c r="D3952" s="8" t="n">
        <v>7534</v>
      </c>
      <c r="E3952" s="8" t="n">
        <v>7450</v>
      </c>
      <c r="F3952" s="8" t="n">
        <v>405495</v>
      </c>
      <c r="G3952" s="8" t="n">
        <v>429525</v>
      </c>
      <c r="H3952" s="8" t="n">
        <v>7998</v>
      </c>
      <c r="I3952" s="8" t="n">
        <v>8055</v>
      </c>
      <c r="J3952" s="8" t="n">
        <v>8080</v>
      </c>
      <c r="K3952" s="8" t="n">
        <v>7997</v>
      </c>
      <c r="L3952" s="8" t="n">
        <v>324913</v>
      </c>
      <c r="M3952" s="8" t="n">
        <v>433752</v>
      </c>
      <c r="N3952" t="inlineStr">
        <is>
          <t>是</t>
        </is>
      </c>
    </row>
    <row r="3953">
      <c r="A3953" s="7" t="inlineStr">
        <is>
          <t>2023-10-18</t>
        </is>
      </c>
      <c r="B3953" s="8" t="n">
        <v>7421</v>
      </c>
      <c r="C3953" s="8" t="n">
        <v>7461</v>
      </c>
      <c r="D3953" s="8" t="n">
        <v>7500</v>
      </c>
      <c r="E3953" s="8" t="n">
        <v>7411</v>
      </c>
      <c r="F3953" s="8" t="n">
        <v>409876</v>
      </c>
      <c r="G3953" s="8" t="n">
        <v>436762</v>
      </c>
      <c r="H3953" s="8" t="n">
        <v>7931</v>
      </c>
      <c r="I3953" s="8" t="n">
        <v>7983</v>
      </c>
      <c r="J3953" s="8" t="n">
        <v>8026</v>
      </c>
      <c r="K3953" s="8" t="n">
        <v>7930</v>
      </c>
      <c r="L3953" s="8" t="n">
        <v>368726</v>
      </c>
      <c r="M3953" s="8" t="n">
        <v>450646</v>
      </c>
      <c r="N3953" t="inlineStr">
        <is>
          <t>是</t>
        </is>
      </c>
    </row>
    <row r="3954">
      <c r="A3954" s="7" t="inlineStr">
        <is>
          <t>2023-10-19</t>
        </is>
      </c>
      <c r="B3954" s="8" t="n">
        <v>7434</v>
      </c>
      <c r="C3954" s="8" t="n">
        <v>7410</v>
      </c>
      <c r="D3954" s="8" t="n">
        <v>7457</v>
      </c>
      <c r="E3954" s="8" t="n">
        <v>7383</v>
      </c>
      <c r="F3954" s="8" t="n">
        <v>378434</v>
      </c>
      <c r="G3954" s="8" t="n">
        <v>436179</v>
      </c>
      <c r="H3954" s="8" t="n">
        <v>7939</v>
      </c>
      <c r="I3954" s="8" t="n">
        <v>7931</v>
      </c>
      <c r="J3954" s="8" t="n">
        <v>7960</v>
      </c>
      <c r="K3954" s="8" t="n">
        <v>7899</v>
      </c>
      <c r="L3954" s="8" t="n">
        <v>325307</v>
      </c>
      <c r="M3954" s="8" t="n">
        <v>446816</v>
      </c>
      <c r="N3954" t="inlineStr">
        <is>
          <t>是</t>
        </is>
      </c>
    </row>
    <row r="3955">
      <c r="A3955" s="7" t="inlineStr">
        <is>
          <t>2023-10-20</t>
        </is>
      </c>
      <c r="B3955" s="8" t="n">
        <v>7441</v>
      </c>
      <c r="C3955" s="8" t="n">
        <v>7445</v>
      </c>
      <c r="D3955" s="8" t="n">
        <v>7520</v>
      </c>
      <c r="E3955" s="8" t="n">
        <v>7428</v>
      </c>
      <c r="F3955" s="8" t="n">
        <v>410767</v>
      </c>
      <c r="G3955" s="8" t="n">
        <v>429395</v>
      </c>
      <c r="H3955" s="8" t="n">
        <v>7954</v>
      </c>
      <c r="I3955" s="8" t="n">
        <v>7931</v>
      </c>
      <c r="J3955" s="8" t="n">
        <v>8032</v>
      </c>
      <c r="K3955" s="8" t="n">
        <v>7931</v>
      </c>
      <c r="L3955" s="8" t="n">
        <v>331267</v>
      </c>
      <c r="M3955" s="8" t="n">
        <v>446324</v>
      </c>
      <c r="N3955" t="inlineStr">
        <is>
          <t>是</t>
        </is>
      </c>
    </row>
    <row r="3956">
      <c r="A3956" s="7" t="inlineStr">
        <is>
          <t>2023-10-23</t>
        </is>
      </c>
      <c r="B3956" s="8" t="n">
        <v>7443</v>
      </c>
      <c r="C3956" s="8" t="n">
        <v>7430</v>
      </c>
      <c r="D3956" s="8" t="n">
        <v>7474</v>
      </c>
      <c r="E3956" s="8" t="n">
        <v>7405</v>
      </c>
      <c r="F3956" s="8" t="n">
        <v>406240</v>
      </c>
      <c r="G3956" s="8" t="n">
        <v>431136</v>
      </c>
      <c r="H3956" s="8" t="n">
        <v>7989</v>
      </c>
      <c r="I3956" s="8" t="n">
        <v>7955</v>
      </c>
      <c r="J3956" s="8" t="n">
        <v>7990</v>
      </c>
      <c r="K3956" s="8" t="n">
        <v>7903</v>
      </c>
      <c r="L3956" s="8" t="n">
        <v>294637</v>
      </c>
      <c r="M3956" s="8" t="n">
        <v>449686</v>
      </c>
      <c r="N3956" t="inlineStr">
        <is>
          <t>是</t>
        </is>
      </c>
    </row>
    <row r="3957">
      <c r="A3957" s="7" t="inlineStr">
        <is>
          <t>2023-10-24</t>
        </is>
      </c>
      <c r="B3957" s="8" t="n">
        <v>7465</v>
      </c>
      <c r="C3957" s="8" t="n">
        <v>7443</v>
      </c>
      <c r="D3957" s="8" t="n">
        <v>7487</v>
      </c>
      <c r="E3957" s="8" t="n">
        <v>7390</v>
      </c>
      <c r="F3957" s="8" t="n">
        <v>463054</v>
      </c>
      <c r="G3957" s="8" t="n">
        <v>432054</v>
      </c>
      <c r="H3957" s="8" t="n">
        <v>7993</v>
      </c>
      <c r="I3957" s="8" t="n">
        <v>7998</v>
      </c>
      <c r="J3957" s="8" t="n">
        <v>8009</v>
      </c>
      <c r="K3957" s="8" t="n">
        <v>7941</v>
      </c>
      <c r="L3957" s="8" t="n">
        <v>306590</v>
      </c>
      <c r="M3957" s="8" t="n">
        <v>435227</v>
      </c>
      <c r="N3957" t="inlineStr">
        <is>
          <t>是</t>
        </is>
      </c>
    </row>
    <row r="3958">
      <c r="A3958" s="7" t="inlineStr">
        <is>
          <t>2023-10-25</t>
        </is>
      </c>
      <c r="B3958" s="8" t="n">
        <v>7496</v>
      </c>
      <c r="C3958" s="8" t="n">
        <v>7460</v>
      </c>
      <c r="D3958" s="8" t="n">
        <v>7506</v>
      </c>
      <c r="E3958" s="8" t="n">
        <v>7451</v>
      </c>
      <c r="F3958" s="8" t="n">
        <v>406497</v>
      </c>
      <c r="G3958" s="8" t="n">
        <v>427109</v>
      </c>
      <c r="H3958" s="8" t="n">
        <v>8033</v>
      </c>
      <c r="I3958" s="8" t="n">
        <v>7993</v>
      </c>
      <c r="J3958" s="8" t="n">
        <v>8049</v>
      </c>
      <c r="K3958" s="8" t="n">
        <v>7987</v>
      </c>
      <c r="L3958" s="8" t="n">
        <v>324769</v>
      </c>
      <c r="M3958" s="8" t="n">
        <v>428030</v>
      </c>
      <c r="N3958" t="inlineStr">
        <is>
          <t>是</t>
        </is>
      </c>
    </row>
    <row r="3959">
      <c r="A3959" s="7" t="inlineStr">
        <is>
          <t>2023-10-26</t>
        </is>
      </c>
      <c r="B3959" s="8" t="n">
        <v>7479</v>
      </c>
      <c r="C3959" s="8" t="n">
        <v>7501</v>
      </c>
      <c r="D3959" s="8" t="n">
        <v>7518</v>
      </c>
      <c r="E3959" s="8" t="n">
        <v>7423</v>
      </c>
      <c r="F3959" s="8" t="n">
        <v>439082</v>
      </c>
      <c r="G3959" s="8" t="n">
        <v>432454</v>
      </c>
      <c r="H3959" s="8" t="n">
        <v>8050</v>
      </c>
      <c r="I3959" s="8" t="n">
        <v>8035</v>
      </c>
      <c r="J3959" s="8" t="n">
        <v>8055</v>
      </c>
      <c r="K3959" s="8" t="n">
        <v>7985</v>
      </c>
      <c r="L3959" s="8" t="n">
        <v>335010</v>
      </c>
      <c r="M3959" s="8" t="n">
        <v>431270</v>
      </c>
      <c r="N3959" t="inlineStr">
        <is>
          <t>是</t>
        </is>
      </c>
    </row>
    <row r="3960">
      <c r="A3960" s="7" t="inlineStr">
        <is>
          <t>2023-10-27</t>
        </is>
      </c>
      <c r="B3960" s="8" t="n">
        <v>7599</v>
      </c>
      <c r="C3960" s="8" t="n">
        <v>7456</v>
      </c>
      <c r="D3960" s="8" t="n">
        <v>7603</v>
      </c>
      <c r="E3960" s="8" t="n">
        <v>7436</v>
      </c>
      <c r="F3960" s="8" t="n">
        <v>550460</v>
      </c>
      <c r="G3960" s="8" t="n">
        <v>423477</v>
      </c>
      <c r="H3960" s="8" t="n">
        <v>8159</v>
      </c>
      <c r="I3960" s="8" t="n">
        <v>8024</v>
      </c>
      <c r="J3960" s="8" t="n">
        <v>8168</v>
      </c>
      <c r="K3960" s="8" t="n">
        <v>8010</v>
      </c>
      <c r="L3960" s="8" t="n">
        <v>418335</v>
      </c>
      <c r="M3960" s="8" t="n">
        <v>422838</v>
      </c>
      <c r="N3960" t="inlineStr">
        <is>
          <t>是</t>
        </is>
      </c>
    </row>
    <row r="3961">
      <c r="A3961" s="7" t="inlineStr">
        <is>
          <t>2023-10-30</t>
        </is>
      </c>
      <c r="B3961" s="8" t="n">
        <v>7615</v>
      </c>
      <c r="C3961" s="8" t="n">
        <v>7597</v>
      </c>
      <c r="D3961" s="8" t="n">
        <v>7628</v>
      </c>
      <c r="E3961" s="8" t="n">
        <v>7577</v>
      </c>
      <c r="F3961" s="8" t="n">
        <v>381414</v>
      </c>
      <c r="G3961" s="8" t="n">
        <v>421143</v>
      </c>
      <c r="H3961" s="8" t="n">
        <v>8169</v>
      </c>
      <c r="I3961" s="8" t="n">
        <v>8150</v>
      </c>
      <c r="J3961" s="8" t="n">
        <v>8174</v>
      </c>
      <c r="K3961" s="8" t="n">
        <v>8118</v>
      </c>
      <c r="L3961" s="8" t="n">
        <v>305874</v>
      </c>
      <c r="M3961" s="8" t="n">
        <v>415148</v>
      </c>
      <c r="N3961" t="inlineStr">
        <is>
          <t>是</t>
        </is>
      </c>
    </row>
    <row r="3962">
      <c r="A3962" s="7" t="inlineStr">
        <is>
          <t>2023-10-31</t>
        </is>
      </c>
      <c r="B3962" s="8" t="n">
        <v>7588</v>
      </c>
      <c r="C3962" s="8" t="n">
        <v>7615</v>
      </c>
      <c r="D3962" s="8" t="n">
        <v>7618</v>
      </c>
      <c r="E3962" s="8" t="n">
        <v>7527</v>
      </c>
      <c r="F3962" s="8" t="n">
        <v>380886</v>
      </c>
      <c r="G3962" s="8" t="n">
        <v>408512</v>
      </c>
      <c r="H3962" s="8" t="n">
        <v>8142</v>
      </c>
      <c r="I3962" s="8" t="n">
        <v>8166</v>
      </c>
      <c r="J3962" s="8" t="n">
        <v>8166</v>
      </c>
      <c r="K3962" s="8" t="n">
        <v>8081</v>
      </c>
      <c r="L3962" s="8" t="n">
        <v>285300</v>
      </c>
      <c r="M3962" s="8" t="n">
        <v>400471</v>
      </c>
      <c r="N3962" t="inlineStr">
        <is>
          <t>是</t>
        </is>
      </c>
    </row>
    <row r="3963">
      <c r="A3963" s="7" t="inlineStr">
        <is>
          <t>2023-11-01</t>
        </is>
      </c>
      <c r="B3963" s="8" t="n">
        <v>7614</v>
      </c>
      <c r="C3963" s="8" t="n">
        <v>7609</v>
      </c>
      <c r="D3963" s="8" t="n">
        <v>7648</v>
      </c>
      <c r="E3963" s="8" t="n">
        <v>7577</v>
      </c>
      <c r="F3963" s="8" t="n">
        <v>367741</v>
      </c>
      <c r="G3963" s="8" t="n">
        <v>405298</v>
      </c>
      <c r="H3963" s="8" t="n">
        <v>8160</v>
      </c>
      <c r="I3963" s="8" t="n">
        <v>8150</v>
      </c>
      <c r="J3963" s="8" t="n">
        <v>8187</v>
      </c>
      <c r="K3963" s="8" t="n">
        <v>8134</v>
      </c>
      <c r="L3963" s="8" t="n">
        <v>275736</v>
      </c>
      <c r="M3963" s="8" t="n">
        <v>391954</v>
      </c>
      <c r="N3963" t="inlineStr">
        <is>
          <t>是</t>
        </is>
      </c>
    </row>
    <row r="3964">
      <c r="A3964" s="7" t="inlineStr">
        <is>
          <t>2023-11-02</t>
        </is>
      </c>
      <c r="B3964" s="8" t="n">
        <v>7599</v>
      </c>
      <c r="C3964" s="8" t="n">
        <v>7635</v>
      </c>
      <c r="D3964" s="8" t="n">
        <v>7644</v>
      </c>
      <c r="E3964" s="8" t="n">
        <v>7556</v>
      </c>
      <c r="F3964" s="8" t="n">
        <v>317310</v>
      </c>
      <c r="G3964" s="8" t="n">
        <v>409746</v>
      </c>
      <c r="H3964" s="8" t="n">
        <v>8153</v>
      </c>
      <c r="I3964" s="8" t="n">
        <v>8180</v>
      </c>
      <c r="J3964" s="8" t="n">
        <v>8188</v>
      </c>
      <c r="K3964" s="8" t="n">
        <v>8112</v>
      </c>
      <c r="L3964" s="8" t="n">
        <v>253076</v>
      </c>
      <c r="M3964" s="8" t="n">
        <v>385650</v>
      </c>
      <c r="N3964" t="inlineStr">
        <is>
          <t>是</t>
        </is>
      </c>
    </row>
    <row r="3965">
      <c r="A3965" s="7" t="inlineStr">
        <is>
          <t>2023-11-03</t>
        </is>
      </c>
      <c r="B3965" s="8" t="n">
        <v>7695</v>
      </c>
      <c r="C3965" s="8" t="n">
        <v>7599</v>
      </c>
      <c r="D3965" s="8" t="n">
        <v>7707</v>
      </c>
      <c r="E3965" s="8" t="n">
        <v>7583</v>
      </c>
      <c r="F3965" s="8" t="n">
        <v>403718</v>
      </c>
      <c r="G3965" s="8" t="n">
        <v>409906</v>
      </c>
      <c r="H3965" s="8" t="n">
        <v>8235</v>
      </c>
      <c r="I3965" s="8" t="n">
        <v>8154</v>
      </c>
      <c r="J3965" s="8" t="n">
        <v>8239</v>
      </c>
      <c r="K3965" s="8" t="n">
        <v>8137</v>
      </c>
      <c r="L3965" s="8" t="n">
        <v>322320</v>
      </c>
      <c r="M3965" s="8" t="n">
        <v>391449</v>
      </c>
      <c r="N3965" t="inlineStr">
        <is>
          <t>是</t>
        </is>
      </c>
    </row>
    <row r="3966">
      <c r="A3966" s="7" t="inlineStr">
        <is>
          <t>2023-11-06</t>
        </is>
      </c>
      <c r="B3966" s="8" t="n">
        <v>7729</v>
      </c>
      <c r="C3966" s="8" t="n">
        <v>7700</v>
      </c>
      <c r="D3966" s="8" t="n">
        <v>7735</v>
      </c>
      <c r="E3966" s="8" t="n">
        <v>7670</v>
      </c>
      <c r="F3966" s="8" t="n">
        <v>382573</v>
      </c>
      <c r="G3966" s="8" t="n">
        <v>423730</v>
      </c>
      <c r="H3966" s="8" t="n">
        <v>8229</v>
      </c>
      <c r="I3966" s="8" t="n">
        <v>8245</v>
      </c>
      <c r="J3966" s="8" t="n">
        <v>8254</v>
      </c>
      <c r="K3966" s="8" t="n">
        <v>8186</v>
      </c>
      <c r="L3966" s="8" t="n">
        <v>287279</v>
      </c>
      <c r="M3966" s="8" t="n">
        <v>385533</v>
      </c>
      <c r="N3966" t="inlineStr">
        <is>
          <t>是</t>
        </is>
      </c>
    </row>
    <row r="3967">
      <c r="A3967" s="7" t="inlineStr">
        <is>
          <t>2023-11-07</t>
        </is>
      </c>
      <c r="B3967" s="8" t="n">
        <v>7694</v>
      </c>
      <c r="C3967" s="8" t="n">
        <v>7730</v>
      </c>
      <c r="D3967" s="8" t="n">
        <v>7739</v>
      </c>
      <c r="E3967" s="8" t="n">
        <v>7681</v>
      </c>
      <c r="F3967" s="8" t="n">
        <v>340344</v>
      </c>
      <c r="G3967" s="8" t="n">
        <v>425836</v>
      </c>
      <c r="H3967" s="8" t="n">
        <v>8181</v>
      </c>
      <c r="I3967" s="8" t="n">
        <v>8239</v>
      </c>
      <c r="J3967" s="8" t="n">
        <v>8242</v>
      </c>
      <c r="K3967" s="8" t="n">
        <v>8175</v>
      </c>
      <c r="L3967" s="8" t="n">
        <v>257249</v>
      </c>
      <c r="M3967" s="8" t="n">
        <v>383960</v>
      </c>
      <c r="N3967" t="inlineStr">
        <is>
          <t>是</t>
        </is>
      </c>
    </row>
    <row r="3968">
      <c r="A3968" s="7" t="inlineStr">
        <is>
          <t>2023-11-08</t>
        </is>
      </c>
      <c r="B3968" s="8" t="n">
        <v>7710</v>
      </c>
      <c r="C3968" s="8" t="n">
        <v>7690</v>
      </c>
      <c r="D3968" s="8" t="n">
        <v>7711</v>
      </c>
      <c r="E3968" s="8" t="n">
        <v>7632</v>
      </c>
      <c r="F3968" s="8" t="n">
        <v>395433</v>
      </c>
      <c r="G3968" s="8" t="n">
        <v>409245</v>
      </c>
      <c r="H3968" s="8" t="n">
        <v>8202</v>
      </c>
      <c r="I3968" s="8" t="n">
        <v>8172</v>
      </c>
      <c r="J3968" s="8" t="n">
        <v>8202</v>
      </c>
      <c r="K3968" s="8" t="n">
        <v>8118</v>
      </c>
      <c r="L3968" s="8" t="n">
        <v>324678</v>
      </c>
      <c r="M3968" s="8" t="n">
        <v>371129</v>
      </c>
      <c r="N3968" t="inlineStr">
        <is>
          <t>是</t>
        </is>
      </c>
    </row>
    <row r="3969">
      <c r="A3969" s="7" t="inlineStr">
        <is>
          <t>2023-11-09</t>
        </is>
      </c>
      <c r="B3969" s="8" t="n">
        <v>7722</v>
      </c>
      <c r="C3969" s="8" t="n">
        <v>7697</v>
      </c>
      <c r="D3969" s="8" t="n">
        <v>7748</v>
      </c>
      <c r="E3969" s="8" t="n">
        <v>7670</v>
      </c>
      <c r="F3969" s="8" t="n">
        <v>381788</v>
      </c>
      <c r="G3969" s="8" t="n">
        <v>417689</v>
      </c>
      <c r="H3969" s="8" t="n">
        <v>8169</v>
      </c>
      <c r="I3969" s="8" t="n">
        <v>8180</v>
      </c>
      <c r="J3969" s="8" t="n">
        <v>8212</v>
      </c>
      <c r="K3969" s="8" t="n">
        <v>8129</v>
      </c>
      <c r="L3969" s="8" t="n">
        <v>304392</v>
      </c>
      <c r="M3969" s="8" t="n">
        <v>367532</v>
      </c>
      <c r="N3969" t="inlineStr">
        <is>
          <t>是</t>
        </is>
      </c>
    </row>
    <row r="3970">
      <c r="A3970" s="7" t="inlineStr">
        <is>
          <t>2023-11-10</t>
        </is>
      </c>
      <c r="B3970" s="8" t="n">
        <v>7710</v>
      </c>
      <c r="C3970" s="8" t="n">
        <v>7729</v>
      </c>
      <c r="D3970" s="8" t="n">
        <v>7793</v>
      </c>
      <c r="E3970" s="8" t="n">
        <v>7709</v>
      </c>
      <c r="F3970" s="8" t="n">
        <v>450316</v>
      </c>
      <c r="G3970" s="8" t="n">
        <v>426080</v>
      </c>
      <c r="H3970" s="8" t="n">
        <v>8162</v>
      </c>
      <c r="I3970" s="8" t="n">
        <v>8177</v>
      </c>
      <c r="J3970" s="8" t="n">
        <v>8254</v>
      </c>
      <c r="K3970" s="8" t="n">
        <v>8154</v>
      </c>
      <c r="L3970" s="8" t="n">
        <v>362049</v>
      </c>
      <c r="M3970" s="8" t="n">
        <v>361889</v>
      </c>
      <c r="N3970" t="inlineStr">
        <is>
          <t>是</t>
        </is>
      </c>
    </row>
    <row r="3971">
      <c r="A3971" s="7" t="inlineStr">
        <is>
          <t>2023-11-13</t>
        </is>
      </c>
      <c r="B3971" s="8" t="n">
        <v>7630</v>
      </c>
      <c r="C3971" s="8" t="n">
        <v>7720</v>
      </c>
      <c r="D3971" s="8" t="n">
        <v>7742</v>
      </c>
      <c r="E3971" s="8" t="n">
        <v>7615</v>
      </c>
      <c r="F3971" s="8" t="n">
        <v>461790</v>
      </c>
      <c r="G3971" s="8" t="n">
        <v>402790</v>
      </c>
      <c r="H3971" s="8" t="n">
        <v>8032</v>
      </c>
      <c r="I3971" s="8" t="n">
        <v>8172</v>
      </c>
      <c r="J3971" s="8" t="n">
        <v>8198</v>
      </c>
      <c r="K3971" s="8" t="n">
        <v>8031</v>
      </c>
      <c r="L3971" s="8" t="n">
        <v>434933</v>
      </c>
      <c r="M3971" s="8" t="n">
        <v>363480</v>
      </c>
      <c r="N3971" t="inlineStr">
        <is>
          <t>是</t>
        </is>
      </c>
    </row>
    <row r="3972">
      <c r="A3972" s="7" t="inlineStr">
        <is>
          <t>2023-11-14</t>
        </is>
      </c>
      <c r="B3972" s="8" t="n">
        <v>7671</v>
      </c>
      <c r="C3972" s="8" t="n">
        <v>7630</v>
      </c>
      <c r="D3972" s="8" t="n">
        <v>7686</v>
      </c>
      <c r="E3972" s="8" t="n">
        <v>7624</v>
      </c>
      <c r="F3972" s="8" t="n">
        <v>310037</v>
      </c>
      <c r="G3972" s="8" t="n">
        <v>410320</v>
      </c>
      <c r="H3972" s="8" t="n">
        <v>8059</v>
      </c>
      <c r="I3972" s="8" t="n">
        <v>8041</v>
      </c>
      <c r="J3972" s="8" t="n">
        <v>8072</v>
      </c>
      <c r="K3972" s="8" t="n">
        <v>8012</v>
      </c>
      <c r="L3972" s="8" t="n">
        <v>278934</v>
      </c>
      <c r="M3972" s="8" t="n">
        <v>359851</v>
      </c>
      <c r="N3972" t="inlineStr">
        <is>
          <t>是</t>
        </is>
      </c>
    </row>
    <row r="3973">
      <c r="A3973" s="7" t="inlineStr">
        <is>
          <t>2023-11-15</t>
        </is>
      </c>
      <c r="B3973" s="8" t="n">
        <v>7733</v>
      </c>
      <c r="C3973" s="8" t="n">
        <v>7651</v>
      </c>
      <c r="D3973" s="8" t="n">
        <v>7742</v>
      </c>
      <c r="E3973" s="8" t="n">
        <v>7648</v>
      </c>
      <c r="F3973" s="8" t="n">
        <v>377117</v>
      </c>
      <c r="G3973" s="8" t="n">
        <v>416586</v>
      </c>
      <c r="H3973" s="8" t="n">
        <v>8161</v>
      </c>
      <c r="I3973" s="8" t="n">
        <v>8059</v>
      </c>
      <c r="J3973" s="8" t="n">
        <v>8177</v>
      </c>
      <c r="K3973" s="8" t="n">
        <v>8038</v>
      </c>
      <c r="L3973" s="8" t="n">
        <v>350906</v>
      </c>
      <c r="M3973" s="8" t="n">
        <v>337592</v>
      </c>
      <c r="N3973" t="inlineStr">
        <is>
          <t>是</t>
        </is>
      </c>
    </row>
    <row r="3974">
      <c r="A3974" s="7" t="inlineStr">
        <is>
          <t>2023-11-16</t>
        </is>
      </c>
      <c r="B3974" s="8" t="n">
        <v>7751</v>
      </c>
      <c r="C3974" s="8" t="n">
        <v>7725</v>
      </c>
      <c r="D3974" s="8" t="n">
        <v>7759</v>
      </c>
      <c r="E3974" s="8" t="n">
        <v>7695</v>
      </c>
      <c r="F3974" s="8" t="n">
        <v>329616</v>
      </c>
      <c r="G3974" s="8" t="n">
        <v>430624</v>
      </c>
      <c r="H3974" s="8" t="n">
        <v>8186</v>
      </c>
      <c r="I3974" s="8" t="n">
        <v>8161</v>
      </c>
      <c r="J3974" s="8" t="n">
        <v>8193</v>
      </c>
      <c r="K3974" s="8" t="n">
        <v>8150</v>
      </c>
      <c r="L3974" s="8" t="n">
        <v>243575</v>
      </c>
      <c r="M3974" s="8" t="n">
        <v>329062</v>
      </c>
      <c r="N3974" t="inlineStr">
        <is>
          <t>是</t>
        </is>
      </c>
    </row>
    <row r="3975">
      <c r="A3975" s="7" t="inlineStr">
        <is>
          <t>2023-11-17</t>
        </is>
      </c>
      <c r="B3975" s="8" t="n">
        <v>7705</v>
      </c>
      <c r="C3975" s="8" t="n">
        <v>7751</v>
      </c>
      <c r="D3975" s="8" t="n">
        <v>7798</v>
      </c>
      <c r="E3975" s="8" t="n">
        <v>7671</v>
      </c>
      <c r="F3975" s="8" t="n">
        <v>434295</v>
      </c>
      <c r="G3975" s="8" t="n">
        <v>409928</v>
      </c>
      <c r="H3975" s="8" t="n">
        <v>8161</v>
      </c>
      <c r="I3975" s="8" t="n">
        <v>8186</v>
      </c>
      <c r="J3975" s="8" t="n">
        <v>8233</v>
      </c>
      <c r="K3975" s="8" t="n">
        <v>8128</v>
      </c>
      <c r="L3975" s="8" t="n">
        <v>326081</v>
      </c>
      <c r="M3975" s="8" t="n">
        <v>325258</v>
      </c>
      <c r="N3975" t="inlineStr">
        <is>
          <t>是</t>
        </is>
      </c>
    </row>
    <row r="3976">
      <c r="A3976" s="7" t="inlineStr">
        <is>
          <t>2023-11-20</t>
        </is>
      </c>
      <c r="B3976" s="8" t="n">
        <v>7636</v>
      </c>
      <c r="C3976" s="8" t="n">
        <v>7711</v>
      </c>
      <c r="D3976" s="8" t="n">
        <v>7730</v>
      </c>
      <c r="E3976" s="8" t="n">
        <v>7624</v>
      </c>
      <c r="F3976" s="8" t="n">
        <v>442547</v>
      </c>
      <c r="G3976" s="8" t="n">
        <v>387076</v>
      </c>
      <c r="H3976" s="8" t="n">
        <v>8078</v>
      </c>
      <c r="I3976" s="8" t="n">
        <v>8177</v>
      </c>
      <c r="J3976" s="8" t="n">
        <v>8189</v>
      </c>
      <c r="K3976" s="8" t="n">
        <v>8065</v>
      </c>
      <c r="L3976" s="8" t="n">
        <v>324492</v>
      </c>
      <c r="M3976" s="8" t="n">
        <v>319496</v>
      </c>
      <c r="N3976" t="inlineStr">
        <is>
          <t>是</t>
        </is>
      </c>
    </row>
    <row r="3977">
      <c r="A3977" s="7" t="inlineStr">
        <is>
          <t>2023-11-21</t>
        </is>
      </c>
      <c r="B3977" s="8" t="n">
        <v>7512</v>
      </c>
      <c r="C3977" s="8" t="n">
        <v>7636</v>
      </c>
      <c r="D3977" s="8" t="n">
        <v>7657</v>
      </c>
      <c r="E3977" s="8" t="n">
        <v>7510</v>
      </c>
      <c r="F3977" s="8" t="n">
        <v>440627</v>
      </c>
      <c r="G3977" s="8" t="n">
        <v>381266</v>
      </c>
      <c r="H3977" s="8" t="n">
        <v>7966</v>
      </c>
      <c r="I3977" s="8" t="n">
        <v>8081</v>
      </c>
      <c r="J3977" s="8" t="n">
        <v>8091</v>
      </c>
      <c r="K3977" s="8" t="n">
        <v>7960</v>
      </c>
      <c r="L3977" s="8" t="n">
        <v>326489</v>
      </c>
      <c r="M3977" s="8" t="n">
        <v>329231</v>
      </c>
      <c r="N3977" t="inlineStr">
        <is>
          <t>是</t>
        </is>
      </c>
    </row>
    <row r="3978">
      <c r="A3978" s="7" t="inlineStr">
        <is>
          <t>2023-11-22</t>
        </is>
      </c>
      <c r="B3978" s="8" t="n">
        <v>7503</v>
      </c>
      <c r="C3978" s="8" t="n">
        <v>7518</v>
      </c>
      <c r="D3978" s="8" t="n">
        <v>7540</v>
      </c>
      <c r="E3978" s="8" t="n">
        <v>7463</v>
      </c>
      <c r="F3978" s="8" t="n">
        <v>290906</v>
      </c>
      <c r="G3978" s="8" t="n">
        <v>368097</v>
      </c>
      <c r="H3978" s="8" t="n">
        <v>7928</v>
      </c>
      <c r="I3978" s="8" t="n">
        <v>7966</v>
      </c>
      <c r="J3978" s="8" t="n">
        <v>7988</v>
      </c>
      <c r="K3978" s="8" t="n">
        <v>7910</v>
      </c>
      <c r="L3978" s="8" t="n">
        <v>230755</v>
      </c>
      <c r="M3978" s="8" t="n">
        <v>343075</v>
      </c>
      <c r="N3978" t="inlineStr">
        <is>
          <t>是</t>
        </is>
      </c>
    </row>
    <row r="3979">
      <c r="A3979" s="7" t="inlineStr">
        <is>
          <t>2023-11-23</t>
        </is>
      </c>
      <c r="B3979" s="8" t="n">
        <v>7424</v>
      </c>
      <c r="C3979" s="8" t="n">
        <v>7470</v>
      </c>
      <c r="D3979" s="8" t="n">
        <v>7506</v>
      </c>
      <c r="E3979" s="8" t="n">
        <v>7411</v>
      </c>
      <c r="F3979" s="8" t="n">
        <v>360682</v>
      </c>
      <c r="G3979" s="8" t="n">
        <v>362024</v>
      </c>
      <c r="H3979" s="8" t="n">
        <v>7854</v>
      </c>
      <c r="I3979" s="8" t="n">
        <v>7905</v>
      </c>
      <c r="J3979" s="8" t="n">
        <v>7934</v>
      </c>
      <c r="K3979" s="8" t="n">
        <v>7843</v>
      </c>
      <c r="L3979" s="8" t="n">
        <v>273257</v>
      </c>
      <c r="M3979" s="8" t="n">
        <v>361257</v>
      </c>
      <c r="N3979" t="inlineStr">
        <is>
          <t>是</t>
        </is>
      </c>
    </row>
    <row r="3980">
      <c r="A3980" s="7" t="inlineStr">
        <is>
          <t>2023-11-24</t>
        </is>
      </c>
      <c r="B3980" s="8" t="n">
        <v>7462</v>
      </c>
      <c r="C3980" s="8" t="n">
        <v>7418</v>
      </c>
      <c r="D3980" s="8" t="n">
        <v>7475</v>
      </c>
      <c r="E3980" s="8" t="n">
        <v>7413</v>
      </c>
      <c r="F3980" s="8" t="n">
        <v>281418</v>
      </c>
      <c r="G3980" s="8" t="n">
        <v>363732</v>
      </c>
      <c r="H3980" s="8" t="n">
        <v>7934</v>
      </c>
      <c r="I3980" s="8" t="n">
        <v>7881</v>
      </c>
      <c r="J3980" s="8" t="n">
        <v>7943</v>
      </c>
      <c r="K3980" s="8" t="n">
        <v>7858</v>
      </c>
      <c r="L3980" s="8" t="n">
        <v>233760</v>
      </c>
      <c r="M3980" s="8" t="n">
        <v>361981</v>
      </c>
      <c r="N3980" t="inlineStr">
        <is>
          <t>是</t>
        </is>
      </c>
    </row>
    <row r="3981">
      <c r="A3981" s="7" t="inlineStr">
        <is>
          <t>2023-11-27</t>
        </is>
      </c>
      <c r="B3981" s="8" t="n">
        <v>7449</v>
      </c>
      <c r="C3981" s="8" t="n">
        <v>7469</v>
      </c>
      <c r="D3981" s="8" t="n">
        <v>7472</v>
      </c>
      <c r="E3981" s="8" t="n">
        <v>7407</v>
      </c>
      <c r="F3981" s="8" t="n">
        <v>302209</v>
      </c>
      <c r="G3981" s="8" t="n">
        <v>356481</v>
      </c>
      <c r="H3981" s="8" t="n">
        <v>7893</v>
      </c>
      <c r="I3981" s="8" t="n">
        <v>7950</v>
      </c>
      <c r="J3981" s="8" t="n">
        <v>7950</v>
      </c>
      <c r="K3981" s="8" t="n">
        <v>7872</v>
      </c>
      <c r="L3981" s="8" t="n">
        <v>206670</v>
      </c>
      <c r="M3981" s="8" t="n">
        <v>347010</v>
      </c>
      <c r="N3981" t="inlineStr">
        <is>
          <t>是</t>
        </is>
      </c>
    </row>
    <row r="3982">
      <c r="A3982" s="7" t="inlineStr">
        <is>
          <t>2023-11-28</t>
        </is>
      </c>
      <c r="B3982" s="8" t="n">
        <v>7418</v>
      </c>
      <c r="C3982" s="8" t="n">
        <v>7449</v>
      </c>
      <c r="D3982" s="8" t="n">
        <v>7463</v>
      </c>
      <c r="E3982" s="8" t="n">
        <v>7385</v>
      </c>
      <c r="F3982" s="8" t="n">
        <v>318239</v>
      </c>
      <c r="G3982" s="8" t="n">
        <v>354404</v>
      </c>
      <c r="H3982" s="8" t="n">
        <v>7864</v>
      </c>
      <c r="I3982" s="8" t="n">
        <v>7893</v>
      </c>
      <c r="J3982" s="8" t="n">
        <v>7905</v>
      </c>
      <c r="K3982" s="8" t="n">
        <v>7827</v>
      </c>
      <c r="L3982" s="8" t="n">
        <v>219035</v>
      </c>
      <c r="M3982" s="8" t="n">
        <v>350636</v>
      </c>
      <c r="N3982" t="inlineStr">
        <is>
          <t>是</t>
        </is>
      </c>
    </row>
    <row r="3983">
      <c r="A3983" s="7" t="inlineStr">
        <is>
          <t>2023-11-29</t>
        </is>
      </c>
      <c r="B3983" s="8" t="n">
        <v>7393</v>
      </c>
      <c r="C3983" s="8" t="n">
        <v>7436</v>
      </c>
      <c r="D3983" s="8" t="n">
        <v>7455</v>
      </c>
      <c r="E3983" s="8" t="n">
        <v>7373</v>
      </c>
      <c r="F3983" s="8" t="n">
        <v>295844</v>
      </c>
      <c r="G3983" s="8" t="n">
        <v>354315</v>
      </c>
      <c r="H3983" s="8" t="n">
        <v>7869</v>
      </c>
      <c r="I3983" s="8" t="n">
        <v>7887</v>
      </c>
      <c r="J3983" s="8" t="n">
        <v>7912</v>
      </c>
      <c r="K3983" s="8" t="n">
        <v>7853</v>
      </c>
      <c r="L3983" s="8" t="n">
        <v>198794</v>
      </c>
      <c r="M3983" s="8" t="n">
        <v>346930</v>
      </c>
      <c r="N3983" t="inlineStr">
        <is>
          <t>是</t>
        </is>
      </c>
    </row>
    <row r="3984">
      <c r="A3984" s="7" t="inlineStr">
        <is>
          <t>2023-11-30</t>
        </is>
      </c>
      <c r="B3984" s="8" t="n">
        <v>7476</v>
      </c>
      <c r="C3984" s="8" t="n">
        <v>7402</v>
      </c>
      <c r="D3984" s="8" t="n">
        <v>7487</v>
      </c>
      <c r="E3984" s="8" t="n">
        <v>7395</v>
      </c>
      <c r="F3984" s="8" t="n">
        <v>333206</v>
      </c>
      <c r="G3984" s="8" t="n">
        <v>332228</v>
      </c>
      <c r="H3984" s="8" t="n">
        <v>7968</v>
      </c>
      <c r="I3984" s="8" t="n">
        <v>7890</v>
      </c>
      <c r="J3984" s="8" t="n">
        <v>7979</v>
      </c>
      <c r="K3984" s="8" t="n">
        <v>7869</v>
      </c>
      <c r="L3984" s="8" t="n">
        <v>251582</v>
      </c>
      <c r="M3984" s="8" t="n">
        <v>319246</v>
      </c>
      <c r="N3984" t="inlineStr">
        <is>
          <t>是</t>
        </is>
      </c>
    </row>
    <row r="3985">
      <c r="A3985" s="7" t="inlineStr">
        <is>
          <t>2023-12-01</t>
        </is>
      </c>
      <c r="B3985" s="8" t="n">
        <v>7442</v>
      </c>
      <c r="C3985" s="8" t="n">
        <v>7487</v>
      </c>
      <c r="D3985" s="8" t="n">
        <v>7498</v>
      </c>
      <c r="E3985" s="8" t="n">
        <v>7400</v>
      </c>
      <c r="F3985" s="8" t="n">
        <v>313719</v>
      </c>
      <c r="G3985" s="8" t="n">
        <v>321782</v>
      </c>
      <c r="H3985" s="8" t="n">
        <v>7932</v>
      </c>
      <c r="I3985" s="8" t="n">
        <v>7972</v>
      </c>
      <c r="J3985" s="8" t="n">
        <v>7974</v>
      </c>
      <c r="K3985" s="8" t="n">
        <v>7876</v>
      </c>
      <c r="L3985" s="8" t="n">
        <v>241605</v>
      </c>
      <c r="M3985" s="8" t="n">
        <v>311533</v>
      </c>
      <c r="N3985" t="inlineStr">
        <is>
          <t>是</t>
        </is>
      </c>
    </row>
    <row r="3986">
      <c r="A3986" s="7" t="inlineStr">
        <is>
          <t>2023-12-04</t>
        </is>
      </c>
      <c r="B3986" s="8" t="n">
        <v>7360</v>
      </c>
      <c r="C3986" s="8" t="n">
        <v>7435</v>
      </c>
      <c r="D3986" s="8" t="n">
        <v>7463</v>
      </c>
      <c r="E3986" s="8" t="n">
        <v>7342</v>
      </c>
      <c r="F3986" s="8" t="n">
        <v>351656</v>
      </c>
      <c r="G3986" s="8" t="n">
        <v>327806</v>
      </c>
      <c r="H3986" s="8" t="n">
        <v>7856</v>
      </c>
      <c r="I3986" s="8" t="n">
        <v>7936</v>
      </c>
      <c r="J3986" s="8" t="n">
        <v>7956</v>
      </c>
      <c r="K3986" s="8" t="n">
        <v>7843</v>
      </c>
      <c r="L3986" s="8" t="n">
        <v>214435</v>
      </c>
      <c r="M3986" s="8" t="n">
        <v>317605</v>
      </c>
      <c r="N3986" t="inlineStr">
        <is>
          <t>是</t>
        </is>
      </c>
    </row>
    <row r="3987">
      <c r="A3987" s="7" t="inlineStr">
        <is>
          <t>2023-12-05</t>
        </is>
      </c>
      <c r="B3987" s="8" t="n">
        <v>7381</v>
      </c>
      <c r="C3987" s="8" t="n">
        <v>7357</v>
      </c>
      <c r="D3987" s="8" t="n">
        <v>7445</v>
      </c>
      <c r="E3987" s="8" t="n">
        <v>7327</v>
      </c>
      <c r="F3987" s="8" t="n">
        <v>319033</v>
      </c>
      <c r="G3987" s="8" t="n">
        <v>308261</v>
      </c>
      <c r="H3987" s="8" t="n">
        <v>7894</v>
      </c>
      <c r="I3987" s="8" t="n">
        <v>7863</v>
      </c>
      <c r="J3987" s="8" t="n">
        <v>7945</v>
      </c>
      <c r="K3987" s="8" t="n">
        <v>7818</v>
      </c>
      <c r="L3987" s="8" t="n">
        <v>249188</v>
      </c>
      <c r="M3987" s="8" t="n">
        <v>303099</v>
      </c>
      <c r="N3987" t="inlineStr">
        <is>
          <t>是</t>
        </is>
      </c>
    </row>
    <row r="3988">
      <c r="A3988" s="7" t="inlineStr">
        <is>
          <t>2023-12-06</t>
        </is>
      </c>
      <c r="B3988" s="8" t="n">
        <v>7419</v>
      </c>
      <c r="C3988" s="8" t="n">
        <v>7381</v>
      </c>
      <c r="D3988" s="8" t="n">
        <v>7420</v>
      </c>
      <c r="E3988" s="8" t="n">
        <v>7360</v>
      </c>
      <c r="F3988" s="8" t="n">
        <v>278497</v>
      </c>
      <c r="G3988" s="8" t="n">
        <v>295818</v>
      </c>
      <c r="H3988" s="8" t="n">
        <v>7964</v>
      </c>
      <c r="I3988" s="8" t="n">
        <v>7894</v>
      </c>
      <c r="J3988" s="8" t="n">
        <v>7968</v>
      </c>
      <c r="K3988" s="8" t="n">
        <v>7891</v>
      </c>
      <c r="L3988" s="8" t="n">
        <v>248874</v>
      </c>
      <c r="M3988" s="8" t="n">
        <v>278800</v>
      </c>
      <c r="N3988" t="inlineStr">
        <is>
          <t>是</t>
        </is>
      </c>
    </row>
    <row r="3989">
      <c r="A3989" s="7" t="inlineStr">
        <is>
          <t>2023-12-07</t>
        </is>
      </c>
      <c r="B3989" s="8" t="n">
        <v>7401</v>
      </c>
      <c r="C3989" s="8" t="n">
        <v>7404</v>
      </c>
      <c r="D3989" s="8" t="n">
        <v>7433</v>
      </c>
      <c r="E3989" s="8" t="n">
        <v>7355</v>
      </c>
      <c r="F3989" s="8" t="n">
        <v>282026</v>
      </c>
      <c r="G3989" s="8" t="n">
        <v>275013</v>
      </c>
      <c r="H3989" s="8" t="n">
        <v>7950</v>
      </c>
      <c r="I3989" s="8" t="n">
        <v>7958</v>
      </c>
      <c r="J3989" s="8" t="n">
        <v>7987</v>
      </c>
      <c r="K3989" s="8" t="n">
        <v>7915</v>
      </c>
      <c r="L3989" s="8" t="n">
        <v>221916</v>
      </c>
      <c r="M3989" s="8" t="n">
        <v>249872</v>
      </c>
      <c r="N3989" t="inlineStr">
        <is>
          <t>是</t>
        </is>
      </c>
    </row>
    <row r="3990">
      <c r="A3990" s="7" t="inlineStr">
        <is>
          <t>2023-12-08</t>
        </is>
      </c>
      <c r="B3990" s="8" t="n">
        <v>7468</v>
      </c>
      <c r="C3990" s="8" t="n">
        <v>7420</v>
      </c>
      <c r="D3990" s="8" t="n">
        <v>7493</v>
      </c>
      <c r="E3990" s="8" t="n">
        <v>7388</v>
      </c>
      <c r="F3990" s="8" t="n">
        <v>310859</v>
      </c>
      <c r="G3990" s="8" t="n">
        <v>244249</v>
      </c>
      <c r="H3990" s="8" t="n">
        <v>8057</v>
      </c>
      <c r="I3990" s="8" t="n">
        <v>7960</v>
      </c>
      <c r="J3990" s="8" t="n">
        <v>8074</v>
      </c>
      <c r="K3990" s="8" t="n">
        <v>7940</v>
      </c>
      <c r="L3990" s="8" t="n">
        <v>263325</v>
      </c>
      <c r="M3990" s="8" t="n">
        <v>214378</v>
      </c>
      <c r="N3990" t="inlineStr">
        <is>
          <t>是</t>
        </is>
      </c>
    </row>
    <row r="3991">
      <c r="A3991" s="7" t="inlineStr">
        <is>
          <t>2023-12-11</t>
        </is>
      </c>
      <c r="B3991" s="8" t="n">
        <v>7484</v>
      </c>
      <c r="C3991" s="8" t="n">
        <v>7468</v>
      </c>
      <c r="D3991" s="8" t="n">
        <v>7539</v>
      </c>
      <c r="E3991" s="8" t="n">
        <v>7439</v>
      </c>
      <c r="F3991" s="8" t="n">
        <v>320834</v>
      </c>
      <c r="G3991" s="8" t="n">
        <v>222352</v>
      </c>
      <c r="H3991" s="8" t="n">
        <v>8018</v>
      </c>
      <c r="I3991" s="8" t="n">
        <v>8041</v>
      </c>
      <c r="J3991" s="8" t="n">
        <v>8061</v>
      </c>
      <c r="K3991" s="8" t="n">
        <v>7953</v>
      </c>
      <c r="L3991" s="8" t="n">
        <v>239652</v>
      </c>
      <c r="M3991" s="8" t="n">
        <v>174882</v>
      </c>
      <c r="N3991" t="inlineStr">
        <is>
          <t>是</t>
        </is>
      </c>
    </row>
    <row r="3992">
      <c r="A3992" s="7" t="inlineStr">
        <is>
          <t>2023-12-12</t>
        </is>
      </c>
      <c r="B3992" s="8" t="n">
        <v>7507</v>
      </c>
      <c r="C3992" s="8" t="n">
        <v>7465</v>
      </c>
      <c r="D3992" s="8" t="n">
        <v>7517</v>
      </c>
      <c r="E3992" s="8" t="n">
        <v>7446</v>
      </c>
      <c r="F3992" s="8" t="n">
        <v>232170</v>
      </c>
      <c r="G3992" s="8" t="n">
        <v>199286</v>
      </c>
      <c r="H3992" s="8" t="n">
        <v>8068</v>
      </c>
      <c r="I3992" s="8" t="n">
        <v>8020</v>
      </c>
      <c r="J3992" s="8" t="n">
        <v>8076</v>
      </c>
      <c r="K3992" s="8" t="n">
        <v>7988</v>
      </c>
      <c r="L3992" s="8" t="n">
        <v>163871</v>
      </c>
      <c r="M3992" s="8" t="n">
        <v>141979</v>
      </c>
      <c r="N3992" t="inlineStr">
        <is>
          <t>是</t>
        </is>
      </c>
    </row>
    <row r="3993">
      <c r="A3993" s="7" t="inlineStr">
        <is>
          <t>2023-12-13</t>
        </is>
      </c>
      <c r="B3993" s="8" t="n">
        <v>7448</v>
      </c>
      <c r="C3993" s="8" t="n">
        <v>7506</v>
      </c>
      <c r="D3993" s="8" t="n">
        <v>7517</v>
      </c>
      <c r="E3993" s="8" t="n">
        <v>7433</v>
      </c>
      <c r="F3993" s="8" t="n">
        <v>217536</v>
      </c>
      <c r="G3993" s="8" t="n">
        <v>175539</v>
      </c>
      <c r="H3993" s="8" t="n">
        <v>8045</v>
      </c>
      <c r="I3993" s="8" t="n">
        <v>8084</v>
      </c>
      <c r="J3993" s="8" t="n">
        <v>8096</v>
      </c>
      <c r="K3993" s="8" t="n">
        <v>8026</v>
      </c>
      <c r="L3993" s="8" t="n">
        <v>288181</v>
      </c>
      <c r="M3993" s="8" t="n">
        <v>330460</v>
      </c>
      <c r="N3993" t="inlineStr">
        <is>
          <t>是</t>
        </is>
      </c>
    </row>
    <row r="3994">
      <c r="A3994" s="7" t="inlineStr">
        <is>
          <t>2023-12-14</t>
        </is>
      </c>
      <c r="B3994" s="8" t="n">
        <v>7430</v>
      </c>
      <c r="C3994" s="8" t="n">
        <v>7418</v>
      </c>
      <c r="D3994" s="8" t="n">
        <v>7470</v>
      </c>
      <c r="E3994" s="8" t="n">
        <v>7388</v>
      </c>
      <c r="F3994" s="8" t="n">
        <v>302937</v>
      </c>
      <c r="G3994" s="8" t="n">
        <v>307664</v>
      </c>
      <c r="H3994" s="8" t="n">
        <v>8052</v>
      </c>
      <c r="I3994" s="8" t="n">
        <v>8056</v>
      </c>
      <c r="J3994" s="8" t="n">
        <v>8095</v>
      </c>
      <c r="K3994" s="8" t="n">
        <v>8024</v>
      </c>
      <c r="L3994" s="8" t="n">
        <v>267531</v>
      </c>
      <c r="M3994" s="8" t="n">
        <v>335839</v>
      </c>
      <c r="N3994" t="inlineStr">
        <is>
          <t>是</t>
        </is>
      </c>
    </row>
    <row r="3995">
      <c r="A3995" s="7" t="inlineStr">
        <is>
          <t>2023-12-15</t>
        </is>
      </c>
      <c r="B3995" s="8" t="n">
        <v>7486</v>
      </c>
      <c r="C3995" s="8" t="n">
        <v>7445</v>
      </c>
      <c r="D3995" s="8" t="n">
        <v>7508</v>
      </c>
      <c r="E3995" s="8" t="n">
        <v>7436</v>
      </c>
      <c r="F3995" s="8" t="n">
        <v>342959</v>
      </c>
      <c r="G3995" s="8" t="n">
        <v>329359</v>
      </c>
      <c r="H3995" s="8" t="n">
        <v>8126</v>
      </c>
      <c r="I3995" s="8" t="n">
        <v>8065</v>
      </c>
      <c r="J3995" s="8" t="n">
        <v>8144</v>
      </c>
      <c r="K3995" s="8" t="n">
        <v>8057</v>
      </c>
      <c r="L3995" s="8" t="n">
        <v>324098</v>
      </c>
      <c r="M3995" s="8" t="n">
        <v>356893</v>
      </c>
      <c r="N3995" t="inlineStr">
        <is>
          <t>是</t>
        </is>
      </c>
    </row>
    <row r="3996">
      <c r="A3996" s="7" t="inlineStr">
        <is>
          <t>2023-12-18</t>
        </is>
      </c>
      <c r="B3996" s="8" t="n">
        <v>7452</v>
      </c>
      <c r="C3996" s="8" t="n">
        <v>7486</v>
      </c>
      <c r="D3996" s="8" t="n">
        <v>7497</v>
      </c>
      <c r="E3996" s="8" t="n">
        <v>7405</v>
      </c>
      <c r="F3996" s="8" t="n">
        <v>374592</v>
      </c>
      <c r="G3996" s="8" t="n">
        <v>348457</v>
      </c>
      <c r="H3996" s="8" t="n">
        <v>8111</v>
      </c>
      <c r="I3996" s="8" t="n">
        <v>8126</v>
      </c>
      <c r="J3996" s="8" t="n">
        <v>8136</v>
      </c>
      <c r="K3996" s="8" t="n">
        <v>8061</v>
      </c>
      <c r="L3996" s="8" t="n">
        <v>285183</v>
      </c>
      <c r="M3996" s="8" t="n">
        <v>358728</v>
      </c>
      <c r="N3996" t="inlineStr">
        <is>
          <t>是</t>
        </is>
      </c>
    </row>
    <row r="3997">
      <c r="A3997" s="7" t="inlineStr">
        <is>
          <t>2023-12-19</t>
        </is>
      </c>
      <c r="B3997" s="8" t="n">
        <v>7458</v>
      </c>
      <c r="C3997" s="8" t="n">
        <v>7452</v>
      </c>
      <c r="D3997" s="8" t="n">
        <v>7537</v>
      </c>
      <c r="E3997" s="8" t="n">
        <v>7443</v>
      </c>
      <c r="F3997" s="8" t="n">
        <v>472410</v>
      </c>
      <c r="G3997" s="8" t="n">
        <v>364350</v>
      </c>
      <c r="H3997" s="8" t="n">
        <v>8122</v>
      </c>
      <c r="I3997" s="8" t="n">
        <v>8111</v>
      </c>
      <c r="J3997" s="8" t="n">
        <v>8153</v>
      </c>
      <c r="K3997" s="8" t="n">
        <v>8106</v>
      </c>
      <c r="L3997" s="8" t="n">
        <v>271861</v>
      </c>
      <c r="M3997" s="8" t="n">
        <v>359572</v>
      </c>
      <c r="N3997" t="inlineStr">
        <is>
          <t>是</t>
        </is>
      </c>
    </row>
    <row r="3998">
      <c r="A3998" s="7" t="inlineStr">
        <is>
          <t>2023-12-20</t>
        </is>
      </c>
      <c r="B3998" s="8" t="n">
        <v>7577</v>
      </c>
      <c r="C3998" s="8" t="n">
        <v>7449</v>
      </c>
      <c r="D3998" s="8" t="n">
        <v>7583</v>
      </c>
      <c r="E3998" s="8" t="n">
        <v>7430</v>
      </c>
      <c r="F3998" s="8" t="n">
        <v>475014</v>
      </c>
      <c r="G3998" s="8" t="n">
        <v>390863</v>
      </c>
      <c r="H3998" s="8" t="n">
        <v>8205</v>
      </c>
      <c r="I3998" s="8" t="n">
        <v>8112</v>
      </c>
      <c r="J3998" s="8" t="n">
        <v>8215</v>
      </c>
      <c r="K3998" s="8" t="n">
        <v>8107</v>
      </c>
      <c r="L3998" s="8" t="n">
        <v>291901</v>
      </c>
      <c r="M3998" s="8" t="n">
        <v>393885</v>
      </c>
      <c r="N3998" t="inlineStr">
        <is>
          <t>是</t>
        </is>
      </c>
    </row>
    <row r="3999">
      <c r="A3999" s="7" t="inlineStr">
        <is>
          <t>2023-12-21</t>
        </is>
      </c>
      <c r="B3999" s="8" t="n">
        <v>7604</v>
      </c>
      <c r="C3999" s="8" t="n">
        <v>7590</v>
      </c>
      <c r="D3999" s="8" t="n">
        <v>7618</v>
      </c>
      <c r="E3999" s="8" t="n">
        <v>7558</v>
      </c>
      <c r="F3999" s="8" t="n">
        <v>324741</v>
      </c>
      <c r="G3999" s="8" t="n">
        <v>406628</v>
      </c>
      <c r="H3999" s="8" t="n">
        <v>8230</v>
      </c>
      <c r="I3999" s="8" t="n">
        <v>8200</v>
      </c>
      <c r="J3999" s="8" t="n">
        <v>8243</v>
      </c>
      <c r="K3999" s="8" t="n">
        <v>8178</v>
      </c>
      <c r="L3999" s="8" t="n">
        <v>255809</v>
      </c>
      <c r="M3999" s="8" t="n">
        <v>409887</v>
      </c>
      <c r="N3999" t="inlineStr">
        <is>
          <t>是</t>
        </is>
      </c>
    </row>
    <row r="4000">
      <c r="A4000" s="7" t="inlineStr">
        <is>
          <t>2023-12-22</t>
        </is>
      </c>
      <c r="B4000" s="8" t="n">
        <v>7624</v>
      </c>
      <c r="C4000" s="8" t="n">
        <v>7604</v>
      </c>
      <c r="D4000" s="8" t="n">
        <v>7664</v>
      </c>
      <c r="E4000" s="8" t="n">
        <v>7570</v>
      </c>
      <c r="F4000" s="8" t="n">
        <v>360461</v>
      </c>
      <c r="G4000" s="8" t="n">
        <v>409787</v>
      </c>
      <c r="H4000" s="8" t="n">
        <v>8240</v>
      </c>
      <c r="I4000" s="8" t="n">
        <v>8220</v>
      </c>
      <c r="J4000" s="8" t="n">
        <v>8279</v>
      </c>
      <c r="K4000" s="8" t="n">
        <v>8186</v>
      </c>
      <c r="L4000" s="8" t="n">
        <v>316699</v>
      </c>
      <c r="M4000" s="8" t="n">
        <v>415206</v>
      </c>
      <c r="N4000" t="inlineStr">
        <is>
          <t>是</t>
        </is>
      </c>
    </row>
    <row r="4001">
      <c r="A4001" s="7" t="inlineStr">
        <is>
          <t>2023-12-25</t>
        </is>
      </c>
      <c r="B4001" s="8" t="n">
        <v>7627</v>
      </c>
      <c r="C4001" s="8" t="n">
        <v>7624</v>
      </c>
      <c r="D4001" s="8" t="n">
        <v>7644</v>
      </c>
      <c r="E4001" s="8" t="n">
        <v>7584</v>
      </c>
      <c r="F4001" s="8" t="n">
        <v>344189</v>
      </c>
      <c r="G4001" s="8" t="n">
        <v>407095</v>
      </c>
      <c r="H4001" s="8" t="n">
        <v>8288</v>
      </c>
      <c r="I4001" s="8" t="n">
        <v>8248</v>
      </c>
      <c r="J4001" s="8" t="n">
        <v>8297</v>
      </c>
      <c r="K4001" s="8" t="n">
        <v>8211</v>
      </c>
      <c r="L4001" s="8" t="n">
        <v>348049</v>
      </c>
      <c r="M4001" s="8" t="n">
        <v>434103</v>
      </c>
      <c r="N4001" t="inlineStr">
        <is>
          <t>是</t>
        </is>
      </c>
    </row>
    <row r="4002">
      <c r="A4002" s="7" t="inlineStr">
        <is>
          <t>2023-12-26</t>
        </is>
      </c>
      <c r="B4002" s="8" t="n">
        <v>7601</v>
      </c>
      <c r="C4002" s="8" t="n">
        <v>7636</v>
      </c>
      <c r="D4002" s="8" t="n">
        <v>7642</v>
      </c>
      <c r="E4002" s="8" t="n">
        <v>7593</v>
      </c>
      <c r="F4002" s="8" t="n">
        <v>262324</v>
      </c>
      <c r="G4002" s="8" t="n">
        <v>409465</v>
      </c>
      <c r="H4002" s="8" t="n">
        <v>8282</v>
      </c>
      <c r="I4002" s="8" t="n">
        <v>8277</v>
      </c>
      <c r="J4002" s="8" t="n">
        <v>8304</v>
      </c>
      <c r="K4002" s="8" t="n">
        <v>8258</v>
      </c>
      <c r="L4002" s="8" t="n">
        <v>253720</v>
      </c>
      <c r="M4002" s="8" t="n">
        <v>447664</v>
      </c>
      <c r="N4002" t="inlineStr">
        <is>
          <t>是</t>
        </is>
      </c>
    </row>
    <row r="4003">
      <c r="A4003" s="7" t="inlineStr">
        <is>
          <t>2023-12-27</t>
        </is>
      </c>
      <c r="B4003" s="8" t="n">
        <v>7632</v>
      </c>
      <c r="C4003" s="8" t="n">
        <v>7611</v>
      </c>
      <c r="D4003" s="8" t="n">
        <v>7650</v>
      </c>
      <c r="E4003" s="8" t="n">
        <v>7568</v>
      </c>
      <c r="F4003" s="8" t="n">
        <v>336976</v>
      </c>
      <c r="G4003" s="8" t="n">
        <v>411030</v>
      </c>
      <c r="H4003" s="8" t="n">
        <v>8330</v>
      </c>
      <c r="I4003" s="8" t="n">
        <v>8282</v>
      </c>
      <c r="J4003" s="8" t="n">
        <v>8344</v>
      </c>
      <c r="K4003" s="8" t="n">
        <v>8251</v>
      </c>
      <c r="L4003" s="8" t="n">
        <v>346182</v>
      </c>
      <c r="M4003" s="8" t="n">
        <v>468906</v>
      </c>
      <c r="N4003" t="inlineStr">
        <is>
          <t>是</t>
        </is>
      </c>
    </row>
    <row r="4004">
      <c r="A4004" s="7" t="inlineStr">
        <is>
          <t>2023-12-28</t>
        </is>
      </c>
      <c r="B4004" s="8" t="n">
        <v>7619</v>
      </c>
      <c r="C4004" s="8" t="n">
        <v>7641</v>
      </c>
      <c r="D4004" s="8" t="n">
        <v>7658</v>
      </c>
      <c r="E4004" s="8" t="n">
        <v>7595</v>
      </c>
      <c r="F4004" s="8" t="n">
        <v>338313</v>
      </c>
      <c r="G4004" s="8" t="n">
        <v>403218</v>
      </c>
      <c r="H4004" s="8" t="n">
        <v>8291</v>
      </c>
      <c r="I4004" s="8" t="n">
        <v>8330</v>
      </c>
      <c r="J4004" s="8" t="n">
        <v>8341</v>
      </c>
      <c r="K4004" s="8" t="n">
        <v>8273</v>
      </c>
      <c r="L4004" s="8" t="n">
        <v>314721</v>
      </c>
      <c r="M4004" s="8" t="n">
        <v>465001</v>
      </c>
      <c r="N4004" t="inlineStr">
        <is>
          <t>是</t>
        </is>
      </c>
    </row>
    <row r="4005">
      <c r="A4005" s="7" t="inlineStr">
        <is>
          <t>2023-12-29</t>
        </is>
      </c>
      <c r="B4005" s="8" t="n">
        <v>7560</v>
      </c>
      <c r="C4005" s="8" t="n">
        <v>7609</v>
      </c>
      <c r="D4005" s="8" t="n">
        <v>7624</v>
      </c>
      <c r="E4005" s="8" t="n">
        <v>7542</v>
      </c>
      <c r="F4005" s="8" t="n">
        <v>326126</v>
      </c>
      <c r="G4005" s="8" t="n">
        <v>388945</v>
      </c>
      <c r="H4005" s="8" t="n">
        <v>8280</v>
      </c>
      <c r="I4005" s="8" t="n">
        <v>8280</v>
      </c>
      <c r="J4005" s="8" t="n">
        <v>8299</v>
      </c>
      <c r="K4005" s="8" t="n">
        <v>8255</v>
      </c>
      <c r="L4005" s="8" t="n">
        <v>278568</v>
      </c>
      <c r="M4005" s="8" t="n">
        <v>462148</v>
      </c>
      <c r="N4005" t="inlineStr">
        <is>
          <t>是</t>
        </is>
      </c>
    </row>
    <row r="4006">
      <c r="A4006" s="7" t="inlineStr">
        <is>
          <t>2024-01-02</t>
        </is>
      </c>
      <c r="B4006" s="8" t="n">
        <v>7492</v>
      </c>
      <c r="C4006" s="8" t="n">
        <v>7523</v>
      </c>
      <c r="D4006" s="8" t="n">
        <v>7553</v>
      </c>
      <c r="E4006" s="8" t="n">
        <v>7454</v>
      </c>
      <c r="F4006" s="8" t="n">
        <v>277024</v>
      </c>
      <c r="G4006" s="8" t="n">
        <v>389928</v>
      </c>
      <c r="H4006" s="8" t="n">
        <v>8223</v>
      </c>
      <c r="I4006" s="8" t="n">
        <v>8265</v>
      </c>
      <c r="J4006" s="8" t="n">
        <v>8278</v>
      </c>
      <c r="K4006" s="8" t="n">
        <v>8180</v>
      </c>
      <c r="L4006" s="8" t="n">
        <v>259167</v>
      </c>
      <c r="M4006" s="8" t="n">
        <v>450489</v>
      </c>
      <c r="N4006" t="inlineStr">
        <is>
          <t>是</t>
        </is>
      </c>
    </row>
    <row r="4007">
      <c r="A4007" s="7" t="inlineStr">
        <is>
          <t>2024-01-03</t>
        </is>
      </c>
      <c r="B4007" s="8" t="n">
        <v>7477</v>
      </c>
      <c r="C4007" s="8" t="n">
        <v>7492</v>
      </c>
      <c r="D4007" s="8" t="n">
        <v>7507</v>
      </c>
      <c r="E4007" s="8" t="n">
        <v>7456</v>
      </c>
      <c r="F4007" s="8" t="n">
        <v>269230</v>
      </c>
      <c r="G4007" s="8" t="n">
        <v>379087</v>
      </c>
      <c r="H4007" s="8" t="n">
        <v>8196</v>
      </c>
      <c r="I4007" s="8" t="n">
        <v>8233</v>
      </c>
      <c r="J4007" s="8" t="n">
        <v>8236</v>
      </c>
      <c r="K4007" s="8" t="n">
        <v>8174</v>
      </c>
      <c r="L4007" s="8" t="n">
        <v>248168</v>
      </c>
      <c r="M4007" s="8" t="n">
        <v>444025</v>
      </c>
      <c r="N4007" t="inlineStr">
        <is>
          <t>是</t>
        </is>
      </c>
    </row>
    <row r="4008">
      <c r="A4008" s="7" t="inlineStr">
        <is>
          <t>2024-01-04</t>
        </is>
      </c>
      <c r="B4008" s="8" t="n">
        <v>7450</v>
      </c>
      <c r="C4008" s="8" t="n">
        <v>7480</v>
      </c>
      <c r="D4008" s="8" t="n">
        <v>7528</v>
      </c>
      <c r="E4008" s="8" t="n">
        <v>7435</v>
      </c>
      <c r="F4008" s="8" t="n">
        <v>315821</v>
      </c>
      <c r="G4008" s="8" t="n">
        <v>379066</v>
      </c>
      <c r="H4008" s="8" t="n">
        <v>8146</v>
      </c>
      <c r="I4008" s="8" t="n">
        <v>8196</v>
      </c>
      <c r="J4008" s="8" t="n">
        <v>8218</v>
      </c>
      <c r="K4008" s="8" t="n">
        <v>8130</v>
      </c>
      <c r="L4008" s="8" t="n">
        <v>277130</v>
      </c>
      <c r="M4008" s="8" t="n">
        <v>418681</v>
      </c>
      <c r="N4008" t="inlineStr">
        <is>
          <t>是</t>
        </is>
      </c>
    </row>
    <row r="4009">
      <c r="A4009" s="7" t="inlineStr">
        <is>
          <t>2024-01-05</t>
        </is>
      </c>
      <c r="B4009" s="8" t="n">
        <v>7377</v>
      </c>
      <c r="C4009" s="8" t="n">
        <v>7443</v>
      </c>
      <c r="D4009" s="8" t="n">
        <v>7449</v>
      </c>
      <c r="E4009" s="8" t="n">
        <v>7371</v>
      </c>
      <c r="F4009" s="8" t="n">
        <v>296277</v>
      </c>
      <c r="G4009" s="8" t="n">
        <v>410609</v>
      </c>
      <c r="H4009" s="8" t="n">
        <v>8127</v>
      </c>
      <c r="I4009" s="8" t="n">
        <v>8148</v>
      </c>
      <c r="J4009" s="8" t="n">
        <v>8151</v>
      </c>
      <c r="K4009" s="8" t="n">
        <v>8108</v>
      </c>
      <c r="L4009" s="8" t="n">
        <v>247242</v>
      </c>
      <c r="M4009" s="8" t="n">
        <v>407290</v>
      </c>
      <c r="N4009" t="inlineStr">
        <is>
          <t>是</t>
        </is>
      </c>
    </row>
    <row r="4010">
      <c r="A4010" s="7" t="inlineStr">
        <is>
          <t>2024-01-08</t>
        </is>
      </c>
      <c r="B4010" s="8" t="n">
        <v>7312</v>
      </c>
      <c r="C4010" s="8" t="n">
        <v>7371</v>
      </c>
      <c r="D4010" s="8" t="n">
        <v>7391</v>
      </c>
      <c r="E4010" s="8" t="n">
        <v>7304</v>
      </c>
      <c r="F4010" s="8" t="n">
        <v>332538</v>
      </c>
      <c r="G4010" s="8" t="n">
        <v>449741</v>
      </c>
      <c r="H4010" s="8" t="n">
        <v>8065</v>
      </c>
      <c r="I4010" s="8" t="n">
        <v>8130</v>
      </c>
      <c r="J4010" s="8" t="n">
        <v>8145</v>
      </c>
      <c r="K4010" s="8" t="n">
        <v>8050</v>
      </c>
      <c r="L4010" s="8" t="n">
        <v>291797</v>
      </c>
      <c r="M4010" s="8" t="n">
        <v>404392</v>
      </c>
      <c r="N4010" t="inlineStr">
        <is>
          <t>是</t>
        </is>
      </c>
    </row>
    <row r="4011">
      <c r="A4011" s="7" t="inlineStr">
        <is>
          <t>2024-01-09</t>
        </is>
      </c>
      <c r="B4011" s="8" t="n">
        <v>7317</v>
      </c>
      <c r="C4011" s="8" t="n">
        <v>7312</v>
      </c>
      <c r="D4011" s="8" t="n">
        <v>7349</v>
      </c>
      <c r="E4011" s="8" t="n">
        <v>7301</v>
      </c>
      <c r="F4011" s="8" t="n">
        <v>322275</v>
      </c>
      <c r="G4011" s="8" t="n">
        <v>460959</v>
      </c>
      <c r="H4011" s="8" t="n">
        <v>8025</v>
      </c>
      <c r="I4011" s="8" t="n">
        <v>8065</v>
      </c>
      <c r="J4011" s="8" t="n">
        <v>8083</v>
      </c>
      <c r="K4011" s="8" t="n">
        <v>8020</v>
      </c>
      <c r="L4011" s="8" t="n">
        <v>268782</v>
      </c>
      <c r="M4011" s="8" t="n">
        <v>394948</v>
      </c>
      <c r="N4011" t="inlineStr">
        <is>
          <t>是</t>
        </is>
      </c>
    </row>
    <row r="4012">
      <c r="A4012" s="7" t="inlineStr">
        <is>
          <t>2024-01-10</t>
        </is>
      </c>
      <c r="B4012" s="8" t="n">
        <v>7209</v>
      </c>
      <c r="C4012" s="8" t="n">
        <v>7322</v>
      </c>
      <c r="D4012" s="8" t="n">
        <v>7336</v>
      </c>
      <c r="E4012" s="8" t="n">
        <v>7205</v>
      </c>
      <c r="F4012" s="8" t="n">
        <v>366902</v>
      </c>
      <c r="G4012" s="8" t="n">
        <v>511631</v>
      </c>
      <c r="H4012" s="8" t="n">
        <v>7961</v>
      </c>
      <c r="I4012" s="8" t="n">
        <v>8037</v>
      </c>
      <c r="J4012" s="8" t="n">
        <v>8046</v>
      </c>
      <c r="K4012" s="8" t="n">
        <v>7953</v>
      </c>
      <c r="L4012" s="8" t="n">
        <v>299535</v>
      </c>
      <c r="M4012" s="8" t="n">
        <v>394593</v>
      </c>
      <c r="N4012" t="inlineStr">
        <is>
          <t>是</t>
        </is>
      </c>
    </row>
    <row r="4013">
      <c r="A4013" s="7" t="inlineStr">
        <is>
          <t>2024-01-11</t>
        </is>
      </c>
      <c r="B4013" s="8" t="n">
        <v>7247</v>
      </c>
      <c r="C4013" s="8" t="n">
        <v>7215</v>
      </c>
      <c r="D4013" s="8" t="n">
        <v>7264</v>
      </c>
      <c r="E4013" s="8" t="n">
        <v>7199</v>
      </c>
      <c r="F4013" s="8" t="n">
        <v>278234</v>
      </c>
      <c r="G4013" s="8" t="n">
        <v>508290</v>
      </c>
      <c r="H4013" s="8" t="n">
        <v>8007</v>
      </c>
      <c r="I4013" s="8" t="n">
        <v>7970</v>
      </c>
      <c r="J4013" s="8" t="n">
        <v>8019</v>
      </c>
      <c r="K4013" s="8" t="n">
        <v>7957</v>
      </c>
      <c r="L4013" s="8" t="n">
        <v>255495</v>
      </c>
      <c r="M4013" s="8" t="n">
        <v>379428</v>
      </c>
      <c r="N4013" t="inlineStr">
        <is>
          <t>是</t>
        </is>
      </c>
    </row>
    <row r="4014">
      <c r="A4014" s="7" t="inlineStr">
        <is>
          <t>2024-01-12</t>
        </is>
      </c>
      <c r="B4014" s="8" t="n">
        <v>7266</v>
      </c>
      <c r="C4014" s="8" t="n">
        <v>7263</v>
      </c>
      <c r="D4014" s="8" t="n">
        <v>7281</v>
      </c>
      <c r="E4014" s="8" t="n">
        <v>7240</v>
      </c>
      <c r="F4014" s="8" t="n">
        <v>247305</v>
      </c>
      <c r="G4014" s="8" t="n">
        <v>496372</v>
      </c>
      <c r="H4014" s="8" t="n">
        <v>8027</v>
      </c>
      <c r="I4014" s="8" t="n">
        <v>8032</v>
      </c>
      <c r="J4014" s="8" t="n">
        <v>8047</v>
      </c>
      <c r="K4014" s="8" t="n">
        <v>8004</v>
      </c>
      <c r="L4014" s="8" t="n">
        <v>226323</v>
      </c>
      <c r="M4014" s="8" t="n">
        <v>370720</v>
      </c>
      <c r="N4014" t="inlineStr">
        <is>
          <t>是</t>
        </is>
      </c>
    </row>
    <row r="4015">
      <c r="A4015" s="7" t="inlineStr">
        <is>
          <t>2024-01-15</t>
        </is>
      </c>
      <c r="B4015" s="8" t="n">
        <v>7352</v>
      </c>
      <c r="C4015" s="8" t="n">
        <v>7299</v>
      </c>
      <c r="D4015" s="8" t="n">
        <v>7367</v>
      </c>
      <c r="E4015" s="8" t="n">
        <v>7269</v>
      </c>
      <c r="F4015" s="8" t="n">
        <v>318460</v>
      </c>
      <c r="G4015" s="8" t="n">
        <v>476189</v>
      </c>
      <c r="H4015" s="8" t="n">
        <v>8101</v>
      </c>
      <c r="I4015" s="8" t="n">
        <v>8037</v>
      </c>
      <c r="J4015" s="8" t="n">
        <v>8113</v>
      </c>
      <c r="K4015" s="8" t="n">
        <v>8018</v>
      </c>
      <c r="L4015" s="8" t="n">
        <v>269293</v>
      </c>
      <c r="M4015" s="8" t="n">
        <v>370792</v>
      </c>
      <c r="N4015" t="inlineStr">
        <is>
          <t>是</t>
        </is>
      </c>
    </row>
    <row r="4016">
      <c r="A4016" s="7" t="inlineStr">
        <is>
          <t>2024-01-16</t>
        </is>
      </c>
      <c r="B4016" s="8" t="n">
        <v>7375</v>
      </c>
      <c r="C4016" s="8" t="n">
        <v>7346</v>
      </c>
      <c r="D4016" s="8" t="n">
        <v>7386</v>
      </c>
      <c r="E4016" s="8" t="n">
        <v>7334</v>
      </c>
      <c r="F4016" s="8" t="n">
        <v>279169</v>
      </c>
      <c r="G4016" s="8" t="n">
        <v>450694</v>
      </c>
      <c r="H4016" s="8" t="n">
        <v>8172</v>
      </c>
      <c r="I4016" s="8" t="n">
        <v>8089</v>
      </c>
      <c r="J4016" s="8" t="n">
        <v>8175</v>
      </c>
      <c r="K4016" s="8" t="n">
        <v>8082</v>
      </c>
      <c r="L4016" s="8" t="n">
        <v>289638</v>
      </c>
      <c r="M4016" s="8" t="n">
        <v>353126</v>
      </c>
      <c r="N4016" t="inlineStr">
        <is>
          <t>是</t>
        </is>
      </c>
    </row>
    <row r="4017">
      <c r="A4017" s="7" t="inlineStr">
        <is>
          <t>2024-01-17</t>
        </is>
      </c>
      <c r="B4017" s="8" t="n">
        <v>7315</v>
      </c>
      <c r="C4017" s="8" t="n">
        <v>7383</v>
      </c>
      <c r="D4017" s="8" t="n">
        <v>7396</v>
      </c>
      <c r="E4017" s="8" t="n">
        <v>7311</v>
      </c>
      <c r="F4017" s="8" t="n">
        <v>272428</v>
      </c>
      <c r="G4017" s="8" t="n">
        <v>464577</v>
      </c>
      <c r="H4017" s="8" t="n">
        <v>8140</v>
      </c>
      <c r="I4017" s="8" t="n">
        <v>8172</v>
      </c>
      <c r="J4017" s="8" t="n">
        <v>8193</v>
      </c>
      <c r="K4017" s="8" t="n">
        <v>8132</v>
      </c>
      <c r="L4017" s="8" t="n">
        <v>264365</v>
      </c>
      <c r="M4017" s="8" t="n">
        <v>343724</v>
      </c>
      <c r="N4017" t="inlineStr">
        <is>
          <t>是</t>
        </is>
      </c>
    </row>
    <row r="4018">
      <c r="A4018" s="7" t="inlineStr">
        <is>
          <t>2024-01-18</t>
        </is>
      </c>
      <c r="B4018" s="8" t="n">
        <v>7348</v>
      </c>
      <c r="C4018" s="8" t="n">
        <v>7300</v>
      </c>
      <c r="D4018" s="8" t="n">
        <v>7359</v>
      </c>
      <c r="E4018" s="8" t="n">
        <v>7271</v>
      </c>
      <c r="F4018" s="8" t="n">
        <v>316306</v>
      </c>
      <c r="G4018" s="8" t="n">
        <v>449739</v>
      </c>
      <c r="H4018" s="8" t="n">
        <v>8179</v>
      </c>
      <c r="I4018" s="8" t="n">
        <v>8130</v>
      </c>
      <c r="J4018" s="8" t="n">
        <v>8185</v>
      </c>
      <c r="K4018" s="8" t="n">
        <v>8101</v>
      </c>
      <c r="L4018" s="8" t="n">
        <v>299691</v>
      </c>
      <c r="M4018" s="8" t="n">
        <v>329695</v>
      </c>
      <c r="N4018" t="inlineStr">
        <is>
          <t>是</t>
        </is>
      </c>
    </row>
    <row r="4019">
      <c r="A4019" s="7" t="inlineStr">
        <is>
          <t>2024-01-19</t>
        </is>
      </c>
      <c r="B4019" s="8" t="n">
        <v>7356</v>
      </c>
      <c r="C4019" s="8" t="n">
        <v>7348</v>
      </c>
      <c r="D4019" s="8" t="n">
        <v>7369</v>
      </c>
      <c r="E4019" s="8" t="n">
        <v>7328</v>
      </c>
      <c r="F4019" s="8" t="n">
        <v>229882</v>
      </c>
      <c r="G4019" s="8" t="n">
        <v>441734</v>
      </c>
      <c r="H4019" s="8" t="n">
        <v>8203</v>
      </c>
      <c r="I4019" s="8" t="n">
        <v>8179</v>
      </c>
      <c r="J4019" s="8" t="n">
        <v>8214</v>
      </c>
      <c r="K4019" s="8" t="n">
        <v>8167</v>
      </c>
      <c r="L4019" s="8" t="n">
        <v>233890</v>
      </c>
      <c r="M4019" s="8" t="n">
        <v>336019</v>
      </c>
      <c r="N4019" t="inlineStr">
        <is>
          <t>是</t>
        </is>
      </c>
    </row>
    <row r="4020">
      <c r="A4020" s="7" t="inlineStr">
        <is>
          <t>2024-01-22</t>
        </is>
      </c>
      <c r="B4020" s="8" t="n">
        <v>7429</v>
      </c>
      <c r="C4020" s="8" t="n">
        <v>7364</v>
      </c>
      <c r="D4020" s="8" t="n">
        <v>7473</v>
      </c>
      <c r="E4020" s="8" t="n">
        <v>7360</v>
      </c>
      <c r="F4020" s="8" t="n">
        <v>471435</v>
      </c>
      <c r="G4020" s="8" t="n">
        <v>383303</v>
      </c>
      <c r="H4020" s="8" t="n">
        <v>8270</v>
      </c>
      <c r="I4020" s="8" t="n">
        <v>8215</v>
      </c>
      <c r="J4020" s="8" t="n">
        <v>8290</v>
      </c>
      <c r="K4020" s="8" t="n">
        <v>8206</v>
      </c>
      <c r="L4020" s="8" t="n">
        <v>324455</v>
      </c>
      <c r="M4020" s="8" t="n">
        <v>358776</v>
      </c>
      <c r="N4020" t="inlineStr">
        <is>
          <t>是</t>
        </is>
      </c>
    </row>
    <row r="4021">
      <c r="A4021" s="7" t="inlineStr">
        <is>
          <t>2024-01-23</t>
        </is>
      </c>
      <c r="B4021" s="8" t="n">
        <v>7467</v>
      </c>
      <c r="C4021" s="8" t="n">
        <v>7429</v>
      </c>
      <c r="D4021" s="8" t="n">
        <v>7477</v>
      </c>
      <c r="E4021" s="8" t="n">
        <v>7419</v>
      </c>
      <c r="F4021" s="8" t="n">
        <v>249785</v>
      </c>
      <c r="G4021" s="8" t="n">
        <v>367457</v>
      </c>
      <c r="H4021" s="8" t="n">
        <v>8265</v>
      </c>
      <c r="I4021" s="8" t="n">
        <v>8270</v>
      </c>
      <c r="J4021" s="8" t="n">
        <v>8278</v>
      </c>
      <c r="K4021" s="8" t="n">
        <v>8240</v>
      </c>
      <c r="L4021" s="8" t="n">
        <v>218541</v>
      </c>
      <c r="M4021" s="8" t="n">
        <v>362383</v>
      </c>
      <c r="N4021" t="inlineStr">
        <is>
          <t>是</t>
        </is>
      </c>
    </row>
    <row r="4022">
      <c r="A4022" s="7" t="inlineStr">
        <is>
          <t>2024-01-24</t>
        </is>
      </c>
      <c r="B4022" s="8" t="n">
        <v>7489</v>
      </c>
      <c r="C4022" s="8" t="n">
        <v>7467</v>
      </c>
      <c r="D4022" s="8" t="n">
        <v>7492</v>
      </c>
      <c r="E4022" s="8" t="n">
        <v>7450</v>
      </c>
      <c r="F4022" s="8" t="n">
        <v>229839</v>
      </c>
      <c r="G4022" s="8" t="n">
        <v>369252</v>
      </c>
      <c r="H4022" s="8" t="n">
        <v>8287</v>
      </c>
      <c r="I4022" s="8" t="n">
        <v>8252</v>
      </c>
      <c r="J4022" s="8" t="n">
        <v>8292</v>
      </c>
      <c r="K4022" s="8" t="n">
        <v>8245</v>
      </c>
      <c r="L4022" s="8" t="n">
        <v>200220</v>
      </c>
      <c r="M4022" s="8" t="n">
        <v>378967</v>
      </c>
      <c r="N4022" t="inlineStr">
        <is>
          <t>是</t>
        </is>
      </c>
    </row>
    <row r="4023">
      <c r="A4023" s="7" t="inlineStr">
        <is>
          <t>2024-01-25</t>
        </is>
      </c>
      <c r="B4023" s="8" t="n">
        <v>7456</v>
      </c>
      <c r="C4023" s="8" t="n">
        <v>7489</v>
      </c>
      <c r="D4023" s="8" t="n">
        <v>7507</v>
      </c>
      <c r="E4023" s="8" t="n">
        <v>7442</v>
      </c>
      <c r="F4023" s="8" t="n">
        <v>245150</v>
      </c>
      <c r="G4023" s="8" t="n">
        <v>378462</v>
      </c>
      <c r="H4023" s="8" t="n">
        <v>8239</v>
      </c>
      <c r="I4023" s="8" t="n">
        <v>8286</v>
      </c>
      <c r="J4023" s="8" t="n">
        <v>8309</v>
      </c>
      <c r="K4023" s="8" t="n">
        <v>8228</v>
      </c>
      <c r="L4023" s="8" t="n">
        <v>237971</v>
      </c>
      <c r="M4023" s="8" t="n">
        <v>377531</v>
      </c>
      <c r="N4023" t="inlineStr">
        <is>
          <t>是</t>
        </is>
      </c>
    </row>
    <row r="4024">
      <c r="A4024" s="7" t="inlineStr">
        <is>
          <t>2024-01-26</t>
        </is>
      </c>
      <c r="B4024" s="8" t="n">
        <v>7443</v>
      </c>
      <c r="C4024" s="8" t="n">
        <v>7447</v>
      </c>
      <c r="D4024" s="8" t="n">
        <v>7485</v>
      </c>
      <c r="E4024" s="8" t="n">
        <v>7429</v>
      </c>
      <c r="F4024" s="8" t="n">
        <v>258700</v>
      </c>
      <c r="G4024" s="8" t="n">
        <v>371254</v>
      </c>
      <c r="H4024" s="8" t="n">
        <v>8238</v>
      </c>
      <c r="I4024" s="8" t="n">
        <v>8249</v>
      </c>
      <c r="J4024" s="8" t="n">
        <v>8286</v>
      </c>
      <c r="K4024" s="8" t="n">
        <v>8223</v>
      </c>
      <c r="L4024" s="8" t="n">
        <v>246118</v>
      </c>
      <c r="M4024" s="8" t="n">
        <v>391351</v>
      </c>
      <c r="N4024" t="inlineStr">
        <is>
          <t>是</t>
        </is>
      </c>
    </row>
    <row r="4025">
      <c r="A4025" s="7" t="inlineStr">
        <is>
          <t>2024-01-29</t>
        </is>
      </c>
      <c r="B4025" s="8" t="n">
        <v>7519</v>
      </c>
      <c r="C4025" s="8" t="n">
        <v>7443</v>
      </c>
      <c r="D4025" s="8" t="n">
        <v>7530</v>
      </c>
      <c r="E4025" s="8" t="n">
        <v>7421</v>
      </c>
      <c r="F4025" s="8" t="n">
        <v>355578</v>
      </c>
      <c r="G4025" s="8" t="n">
        <v>374777</v>
      </c>
      <c r="H4025" s="8" t="n">
        <v>8314</v>
      </c>
      <c r="I4025" s="8" t="n">
        <v>8230</v>
      </c>
      <c r="J4025" s="8" t="n">
        <v>8335</v>
      </c>
      <c r="K4025" s="8" t="n">
        <v>8223</v>
      </c>
      <c r="L4025" s="8" t="n">
        <v>314554</v>
      </c>
      <c r="M4025" s="8" t="n">
        <v>401458</v>
      </c>
      <c r="N4025" t="inlineStr">
        <is>
          <t>是</t>
        </is>
      </c>
    </row>
    <row r="4026">
      <c r="A4026" s="7" t="inlineStr">
        <is>
          <t>2024-01-30</t>
        </is>
      </c>
      <c r="B4026" s="8" t="n">
        <v>7456</v>
      </c>
      <c r="C4026" s="8" t="n">
        <v>7520</v>
      </c>
      <c r="D4026" s="8" t="n">
        <v>7540</v>
      </c>
      <c r="E4026" s="8" t="n">
        <v>7451</v>
      </c>
      <c r="F4026" s="8" t="n">
        <v>275745</v>
      </c>
      <c r="G4026" s="8" t="n">
        <v>379559</v>
      </c>
      <c r="H4026" s="8" t="n">
        <v>8264</v>
      </c>
      <c r="I4026" s="8" t="n">
        <v>8314</v>
      </c>
      <c r="J4026" s="8" t="n">
        <v>8330</v>
      </c>
      <c r="K4026" s="8" t="n">
        <v>8261</v>
      </c>
      <c r="L4026" s="8" t="n">
        <v>222092</v>
      </c>
      <c r="M4026" s="8" t="n">
        <v>407953</v>
      </c>
      <c r="N4026" t="inlineStr">
        <is>
          <t>是</t>
        </is>
      </c>
    </row>
    <row r="4027">
      <c r="A4027" s="7" t="inlineStr">
        <is>
          <t>2024-01-31</t>
        </is>
      </c>
      <c r="B4027" s="8" t="n">
        <v>7440</v>
      </c>
      <c r="C4027" s="8" t="n">
        <v>7445</v>
      </c>
      <c r="D4027" s="8" t="n">
        <v>7490</v>
      </c>
      <c r="E4027" s="8" t="n">
        <v>7428</v>
      </c>
      <c r="F4027" s="8" t="n">
        <v>296561</v>
      </c>
      <c r="G4027" s="8" t="n">
        <v>381524</v>
      </c>
      <c r="H4027" s="8" t="n">
        <v>8224</v>
      </c>
      <c r="I4027" s="8" t="n">
        <v>8254</v>
      </c>
      <c r="J4027" s="8" t="n">
        <v>8284</v>
      </c>
      <c r="K4027" s="8" t="n">
        <v>8215</v>
      </c>
      <c r="L4027" s="8" t="n">
        <v>267518</v>
      </c>
      <c r="M4027" s="8" t="n">
        <v>398058</v>
      </c>
      <c r="N4027" t="inlineStr">
        <is>
          <t>是</t>
        </is>
      </c>
    </row>
    <row r="4028">
      <c r="A4028" s="7" t="inlineStr">
        <is>
          <t>2024-02-01</t>
        </is>
      </c>
      <c r="B4028" s="8" t="n">
        <v>7345</v>
      </c>
      <c r="C4028" s="8" t="n">
        <v>7439</v>
      </c>
      <c r="D4028" s="8" t="n">
        <v>7439</v>
      </c>
      <c r="E4028" s="8" t="n">
        <v>7342</v>
      </c>
      <c r="F4028" s="8" t="n">
        <v>358332</v>
      </c>
      <c r="G4028" s="8" t="n">
        <v>387713</v>
      </c>
      <c r="H4028" s="8" t="n">
        <v>8126</v>
      </c>
      <c r="I4028" s="8" t="n">
        <v>8220</v>
      </c>
      <c r="J4028" s="8" t="n">
        <v>8227</v>
      </c>
      <c r="K4028" s="8" t="n">
        <v>8122</v>
      </c>
      <c r="L4028" s="8" t="n">
        <v>308464</v>
      </c>
      <c r="M4028" s="8" t="n">
        <v>377009</v>
      </c>
      <c r="N4028" t="inlineStr">
        <is>
          <t>是</t>
        </is>
      </c>
    </row>
    <row r="4029">
      <c r="A4029" s="7" t="inlineStr">
        <is>
          <t>2024-02-02</t>
        </is>
      </c>
      <c r="B4029" s="8" t="n">
        <v>7322</v>
      </c>
      <c r="C4029" s="8" t="n">
        <v>7350</v>
      </c>
      <c r="D4029" s="8" t="n">
        <v>7379</v>
      </c>
      <c r="E4029" s="8" t="n">
        <v>7318</v>
      </c>
      <c r="F4029" s="8" t="n">
        <v>269400</v>
      </c>
      <c r="G4029" s="8" t="n">
        <v>392254</v>
      </c>
      <c r="H4029" s="8" t="n">
        <v>8077</v>
      </c>
      <c r="I4029" s="8" t="n">
        <v>8128</v>
      </c>
      <c r="J4029" s="8" t="n">
        <v>8157</v>
      </c>
      <c r="K4029" s="8" t="n">
        <v>8075</v>
      </c>
      <c r="L4029" s="8" t="n">
        <v>275878</v>
      </c>
      <c r="M4029" s="8" t="n">
        <v>362244</v>
      </c>
      <c r="N4029" t="inlineStr">
        <is>
          <t>是</t>
        </is>
      </c>
    </row>
    <row r="4030">
      <c r="A4030" s="7" t="inlineStr">
        <is>
          <t>2024-02-05</t>
        </is>
      </c>
      <c r="B4030" s="8" t="n">
        <v>7316</v>
      </c>
      <c r="C4030" s="8" t="n">
        <v>7318</v>
      </c>
      <c r="D4030" s="8" t="n">
        <v>7343</v>
      </c>
      <c r="E4030" s="8" t="n">
        <v>7307</v>
      </c>
      <c r="F4030" s="8" t="n">
        <v>237217</v>
      </c>
      <c r="G4030" s="8" t="n">
        <v>403438</v>
      </c>
      <c r="H4030" s="8" t="n">
        <v>8095</v>
      </c>
      <c r="I4030" s="8" t="n">
        <v>8077</v>
      </c>
      <c r="J4030" s="8" t="n">
        <v>8134</v>
      </c>
      <c r="K4030" s="8" t="n">
        <v>8073</v>
      </c>
      <c r="L4030" s="8" t="n">
        <v>233062</v>
      </c>
      <c r="M4030" s="8" t="n">
        <v>357217</v>
      </c>
      <c r="N4030" t="inlineStr">
        <is>
          <t>是</t>
        </is>
      </c>
    </row>
    <row r="4031">
      <c r="A4031" s="7" t="inlineStr">
        <is>
          <t>2024-02-06</t>
        </is>
      </c>
      <c r="B4031" s="8" t="n">
        <v>7383</v>
      </c>
      <c r="C4031" s="8" t="n">
        <v>7316</v>
      </c>
      <c r="D4031" s="8" t="n">
        <v>7398</v>
      </c>
      <c r="E4031" s="8" t="n">
        <v>7285</v>
      </c>
      <c r="F4031" s="8" t="n">
        <v>300916</v>
      </c>
      <c r="G4031" s="8" t="n">
        <v>388188</v>
      </c>
      <c r="H4031" s="8" t="n">
        <v>8142</v>
      </c>
      <c r="I4031" s="8" t="n">
        <v>8093</v>
      </c>
      <c r="J4031" s="8" t="n">
        <v>8149</v>
      </c>
      <c r="K4031" s="8" t="n">
        <v>8057</v>
      </c>
      <c r="L4031" s="8" t="n">
        <v>237811</v>
      </c>
      <c r="M4031" s="8" t="n">
        <v>344761</v>
      </c>
      <c r="N4031" t="inlineStr">
        <is>
          <t>是</t>
        </is>
      </c>
    </row>
    <row r="4032">
      <c r="A4032" s="7" t="inlineStr">
        <is>
          <t>2024-02-07</t>
        </is>
      </c>
      <c r="B4032" s="8" t="n">
        <v>7459</v>
      </c>
      <c r="C4032" s="8" t="n">
        <v>7383</v>
      </c>
      <c r="D4032" s="8" t="n">
        <v>7466</v>
      </c>
      <c r="E4032" s="8" t="n">
        <v>7355</v>
      </c>
      <c r="F4032" s="8" t="n">
        <v>289168</v>
      </c>
      <c r="G4032" s="8" t="n">
        <v>374833</v>
      </c>
      <c r="H4032" s="8" t="n">
        <v>8220</v>
      </c>
      <c r="I4032" s="8" t="n">
        <v>8145</v>
      </c>
      <c r="J4032" s="8" t="n">
        <v>8231</v>
      </c>
      <c r="K4032" s="8" t="n">
        <v>8124</v>
      </c>
      <c r="L4032" s="8" t="n">
        <v>263869</v>
      </c>
      <c r="M4032" s="8" t="n">
        <v>334607</v>
      </c>
      <c r="N4032" t="inlineStr">
        <is>
          <t>是</t>
        </is>
      </c>
    </row>
    <row r="4033">
      <c r="A4033" s="7" t="inlineStr">
        <is>
          <t>2024-02-08</t>
        </is>
      </c>
      <c r="B4033" s="8" t="n">
        <v>7461</v>
      </c>
      <c r="C4033" s="8" t="n">
        <v>7459</v>
      </c>
      <c r="D4033" s="8" t="n">
        <v>7488</v>
      </c>
      <c r="E4033" s="8" t="n">
        <v>7432</v>
      </c>
      <c r="F4033" s="8" t="n">
        <v>198061</v>
      </c>
      <c r="G4033" s="8" t="n">
        <v>360188</v>
      </c>
      <c r="H4033" s="8" t="n">
        <v>8200</v>
      </c>
      <c r="I4033" s="8" t="n">
        <v>8216</v>
      </c>
      <c r="J4033" s="8" t="n">
        <v>8227</v>
      </c>
      <c r="K4033" s="8" t="n">
        <v>8180</v>
      </c>
      <c r="L4033" s="8" t="n">
        <v>151456</v>
      </c>
      <c r="M4033" s="8" t="n">
        <v>320960</v>
      </c>
      <c r="N4033" t="inlineStr">
        <is>
          <t>是</t>
        </is>
      </c>
    </row>
    <row r="4034">
      <c r="A4034" s="7" t="inlineStr">
        <is>
          <t>2024-02-19</t>
        </is>
      </c>
      <c r="B4034" s="8" t="n">
        <v>7497</v>
      </c>
      <c r="C4034" s="8" t="n">
        <v>7535</v>
      </c>
      <c r="D4034" s="8" t="n">
        <v>7538</v>
      </c>
      <c r="E4034" s="8" t="n">
        <v>7475</v>
      </c>
      <c r="F4034" s="8" t="n">
        <v>185440</v>
      </c>
      <c r="G4034" s="8" t="n">
        <v>371870</v>
      </c>
      <c r="H4034" s="8" t="n">
        <v>8230</v>
      </c>
      <c r="I4034" s="8" t="n">
        <v>8261</v>
      </c>
      <c r="J4034" s="8" t="n">
        <v>8276</v>
      </c>
      <c r="K4034" s="8" t="n">
        <v>8212</v>
      </c>
      <c r="L4034" s="8" t="n">
        <v>152639</v>
      </c>
      <c r="M4034" s="8" t="n">
        <v>335128</v>
      </c>
      <c r="N4034" t="inlineStr">
        <is>
          <t>是</t>
        </is>
      </c>
    </row>
    <row r="4035">
      <c r="A4035" s="7" t="inlineStr">
        <is>
          <t>2024-02-20</t>
        </is>
      </c>
      <c r="B4035" s="8" t="n">
        <v>7376</v>
      </c>
      <c r="C4035" s="8" t="n">
        <v>7497</v>
      </c>
      <c r="D4035" s="8" t="n">
        <v>7509</v>
      </c>
      <c r="E4035" s="8" t="n">
        <v>7368</v>
      </c>
      <c r="F4035" s="8" t="n">
        <v>293144</v>
      </c>
      <c r="G4035" s="8" t="n">
        <v>377163</v>
      </c>
      <c r="H4035" s="8" t="n">
        <v>8142</v>
      </c>
      <c r="I4035" s="8" t="n">
        <v>8249</v>
      </c>
      <c r="J4035" s="8" t="n">
        <v>8249</v>
      </c>
      <c r="K4035" s="8" t="n">
        <v>8131</v>
      </c>
      <c r="L4035" s="8" t="n">
        <v>243087</v>
      </c>
      <c r="M4035" s="8" t="n">
        <v>349754</v>
      </c>
      <c r="N4035" t="inlineStr">
        <is>
          <t>是</t>
        </is>
      </c>
    </row>
    <row r="4036">
      <c r="A4036" s="7" t="inlineStr">
        <is>
          <t>2024-02-21</t>
        </is>
      </c>
      <c r="B4036" s="8" t="n">
        <v>7389</v>
      </c>
      <c r="C4036" s="8" t="n">
        <v>7363</v>
      </c>
      <c r="D4036" s="8" t="n">
        <v>7434</v>
      </c>
      <c r="E4036" s="8" t="n">
        <v>7352</v>
      </c>
      <c r="F4036" s="8" t="n">
        <v>309313</v>
      </c>
      <c r="G4036" s="8" t="n">
        <v>372052</v>
      </c>
      <c r="H4036" s="8" t="n">
        <v>8153</v>
      </c>
      <c r="I4036" s="8" t="n">
        <v>8118</v>
      </c>
      <c r="J4036" s="8" t="n">
        <v>8201</v>
      </c>
      <c r="K4036" s="8" t="n">
        <v>8111</v>
      </c>
      <c r="L4036" s="8" t="n">
        <v>252922</v>
      </c>
      <c r="M4036" s="8" t="n">
        <v>349102</v>
      </c>
      <c r="N4036" t="inlineStr">
        <is>
          <t>是</t>
        </is>
      </c>
    </row>
    <row r="4037">
      <c r="A4037" s="7" t="inlineStr">
        <is>
          <t>2024-02-22</t>
        </is>
      </c>
      <c r="B4037" s="8" t="n">
        <v>7400</v>
      </c>
      <c r="C4037" s="8" t="n">
        <v>7389</v>
      </c>
      <c r="D4037" s="8" t="n">
        <v>7415</v>
      </c>
      <c r="E4037" s="8" t="n">
        <v>7365</v>
      </c>
      <c r="F4037" s="8" t="n">
        <v>244219</v>
      </c>
      <c r="G4037" s="8" t="n">
        <v>378591</v>
      </c>
      <c r="H4037" s="8" t="n">
        <v>8183</v>
      </c>
      <c r="I4037" s="8" t="n">
        <v>8153</v>
      </c>
      <c r="J4037" s="8" t="n">
        <v>8196</v>
      </c>
      <c r="K4037" s="8" t="n">
        <v>8144</v>
      </c>
      <c r="L4037" s="8" t="n">
        <v>196850</v>
      </c>
      <c r="M4037" s="8" t="n">
        <v>344905</v>
      </c>
      <c r="N4037" t="inlineStr">
        <is>
          <t>是</t>
        </is>
      </c>
    </row>
    <row r="4038">
      <c r="A4038" s="7" t="inlineStr">
        <is>
          <t>2024-02-23</t>
        </is>
      </c>
      <c r="B4038" s="8" t="n">
        <v>7404</v>
      </c>
      <c r="C4038" s="8" t="n">
        <v>7398</v>
      </c>
      <c r="D4038" s="8" t="n">
        <v>7439</v>
      </c>
      <c r="E4038" s="8" t="n">
        <v>7385</v>
      </c>
      <c r="F4038" s="8" t="n">
        <v>229884</v>
      </c>
      <c r="G4038" s="8" t="n">
        <v>389780</v>
      </c>
      <c r="H4038" s="8" t="n">
        <v>8199</v>
      </c>
      <c r="I4038" s="8" t="n">
        <v>8167</v>
      </c>
      <c r="J4038" s="8" t="n">
        <v>8236</v>
      </c>
      <c r="K4038" s="8" t="n">
        <v>8166</v>
      </c>
      <c r="L4038" s="8" t="n">
        <v>228055</v>
      </c>
      <c r="M4038" s="8" t="n">
        <v>351682</v>
      </c>
      <c r="N4038" t="inlineStr">
        <is>
          <t>是</t>
        </is>
      </c>
    </row>
    <row r="4039">
      <c r="A4039" s="7" t="inlineStr">
        <is>
          <t>2024-02-26</t>
        </is>
      </c>
      <c r="B4039" s="8" t="n">
        <v>7382</v>
      </c>
      <c r="C4039" s="8" t="n">
        <v>7404</v>
      </c>
      <c r="D4039" s="8" t="n">
        <v>7457</v>
      </c>
      <c r="E4039" s="8" t="n">
        <v>7381</v>
      </c>
      <c r="F4039" s="8" t="n">
        <v>341991</v>
      </c>
      <c r="G4039" s="8" t="n">
        <v>409701</v>
      </c>
      <c r="H4039" s="8" t="n">
        <v>8173</v>
      </c>
      <c r="I4039" s="8" t="n">
        <v>8200</v>
      </c>
      <c r="J4039" s="8" t="n">
        <v>8234</v>
      </c>
      <c r="K4039" s="8" t="n">
        <v>8163</v>
      </c>
      <c r="L4039" s="8" t="n">
        <v>271320</v>
      </c>
      <c r="M4039" s="8" t="n">
        <v>357711</v>
      </c>
      <c r="N4039" t="inlineStr">
        <is>
          <t>是</t>
        </is>
      </c>
    </row>
    <row r="4040">
      <c r="A4040" s="7" t="inlineStr">
        <is>
          <t>2024-02-27</t>
        </is>
      </c>
      <c r="B4040" s="8" t="n">
        <v>7486</v>
      </c>
      <c r="C4040" s="8" t="n">
        <v>7382</v>
      </c>
      <c r="D4040" s="8" t="n">
        <v>7488</v>
      </c>
      <c r="E4040" s="8" t="n">
        <v>7368</v>
      </c>
      <c r="F4040" s="8" t="n">
        <v>319247</v>
      </c>
      <c r="G4040" s="8" t="n">
        <v>418848</v>
      </c>
      <c r="H4040" s="8" t="n">
        <v>8257</v>
      </c>
      <c r="I4040" s="8" t="n">
        <v>8170</v>
      </c>
      <c r="J4040" s="8" t="n">
        <v>8258</v>
      </c>
      <c r="K4040" s="8" t="n">
        <v>8153</v>
      </c>
      <c r="L4040" s="8" t="n">
        <v>281455</v>
      </c>
      <c r="M4040" s="8" t="n">
        <v>380481</v>
      </c>
      <c r="N4040" t="inlineStr">
        <is>
          <t>是</t>
        </is>
      </c>
    </row>
    <row r="4041">
      <c r="A4041" s="7" t="inlineStr">
        <is>
          <t>2024-02-28</t>
        </is>
      </c>
      <c r="B4041" s="8" t="n">
        <v>7468</v>
      </c>
      <c r="C4041" s="8" t="n">
        <v>7486</v>
      </c>
      <c r="D4041" s="8" t="n">
        <v>7529</v>
      </c>
      <c r="E4041" s="8" t="n">
        <v>7460</v>
      </c>
      <c r="F4041" s="8" t="n">
        <v>348927</v>
      </c>
      <c r="G4041" s="8" t="n">
        <v>420544</v>
      </c>
      <c r="H4041" s="8" t="n">
        <v>8214</v>
      </c>
      <c r="I4041" s="8" t="n">
        <v>8257</v>
      </c>
      <c r="J4041" s="8" t="n">
        <v>8290</v>
      </c>
      <c r="K4041" s="8" t="n">
        <v>8212</v>
      </c>
      <c r="L4041" s="8" t="n">
        <v>295931</v>
      </c>
      <c r="M4041" s="8" t="n">
        <v>388129</v>
      </c>
      <c r="N4041" t="inlineStr">
        <is>
          <t>是</t>
        </is>
      </c>
    </row>
    <row r="4042">
      <c r="A4042" s="7" t="inlineStr">
        <is>
          <t>2024-02-29</t>
        </is>
      </c>
      <c r="B4042" s="8" t="n">
        <v>7493</v>
      </c>
      <c r="C4042" s="8" t="n">
        <v>7468</v>
      </c>
      <c r="D4042" s="8" t="n">
        <v>7508</v>
      </c>
      <c r="E4042" s="8" t="n">
        <v>7452</v>
      </c>
      <c r="F4042" s="8" t="n">
        <v>262092</v>
      </c>
      <c r="G4042" s="8" t="n">
        <v>417180</v>
      </c>
      <c r="H4042" s="8" t="n">
        <v>8266</v>
      </c>
      <c r="I4042" s="8" t="n">
        <v>8210</v>
      </c>
      <c r="J4042" s="8" t="n">
        <v>8275</v>
      </c>
      <c r="K4042" s="8" t="n">
        <v>8202</v>
      </c>
      <c r="L4042" s="8" t="n">
        <v>234763</v>
      </c>
      <c r="M4042" s="8" t="n">
        <v>398719</v>
      </c>
      <c r="N4042" t="inlineStr">
        <is>
          <t>是</t>
        </is>
      </c>
    </row>
    <row r="4043">
      <c r="A4043" s="7" t="inlineStr">
        <is>
          <t>2024-03-01</t>
        </is>
      </c>
      <c r="B4043" s="8" t="n">
        <v>7497</v>
      </c>
      <c r="C4043" s="8" t="n">
        <v>7490</v>
      </c>
      <c r="D4043" s="8" t="n">
        <v>7518</v>
      </c>
      <c r="E4043" s="8" t="n">
        <v>7465</v>
      </c>
      <c r="F4043" s="8" t="n">
        <v>253687</v>
      </c>
      <c r="G4043" s="8" t="n">
        <v>412952</v>
      </c>
      <c r="H4043" s="8" t="n">
        <v>8260</v>
      </c>
      <c r="I4043" s="8" t="n">
        <v>8260</v>
      </c>
      <c r="J4043" s="8" t="n">
        <v>8291</v>
      </c>
      <c r="K4043" s="8" t="n">
        <v>8232</v>
      </c>
      <c r="L4043" s="8" t="n">
        <v>234764</v>
      </c>
      <c r="M4043" s="8" t="n">
        <v>401788</v>
      </c>
      <c r="N4043" t="inlineStr">
        <is>
          <t>是</t>
        </is>
      </c>
    </row>
    <row r="4044">
      <c r="A4044" s="7" t="inlineStr">
        <is>
          <t>2024-03-04</t>
        </is>
      </c>
      <c r="B4044" s="8" t="n">
        <v>7496</v>
      </c>
      <c r="C4044" s="8" t="n">
        <v>7530</v>
      </c>
      <c r="D4044" s="8" t="n">
        <v>7548</v>
      </c>
      <c r="E4044" s="8" t="n">
        <v>7463</v>
      </c>
      <c r="F4044" s="8" t="n">
        <v>305556</v>
      </c>
      <c r="G4044" s="8" t="n">
        <v>400710</v>
      </c>
      <c r="H4044" s="8" t="n">
        <v>8256</v>
      </c>
      <c r="I4044" s="8" t="n">
        <v>8280</v>
      </c>
      <c r="J4044" s="8" t="n">
        <v>8300</v>
      </c>
      <c r="K4044" s="8" t="n">
        <v>8213</v>
      </c>
      <c r="L4044" s="8" t="n">
        <v>285138</v>
      </c>
      <c r="M4044" s="8" t="n">
        <v>394465</v>
      </c>
      <c r="N4044" t="inlineStr">
        <is>
          <t>是</t>
        </is>
      </c>
    </row>
    <row r="4045">
      <c r="A4045" s="7" t="inlineStr">
        <is>
          <t>2024-03-05</t>
        </is>
      </c>
      <c r="B4045" s="8" t="n">
        <v>7418</v>
      </c>
      <c r="C4045" s="8" t="n">
        <v>7484</v>
      </c>
      <c r="D4045" s="8" t="n">
        <v>7499</v>
      </c>
      <c r="E4045" s="8" t="n">
        <v>7417</v>
      </c>
      <c r="F4045" s="8" t="n">
        <v>282292</v>
      </c>
      <c r="G4045" s="8" t="n">
        <v>386855</v>
      </c>
      <c r="H4045" s="8" t="n">
        <v>8153</v>
      </c>
      <c r="I4045" s="8" t="n">
        <v>8250</v>
      </c>
      <c r="J4045" s="8" t="n">
        <v>8265</v>
      </c>
      <c r="K4045" s="8" t="n">
        <v>8150</v>
      </c>
      <c r="L4045" s="8" t="n">
        <v>318089</v>
      </c>
      <c r="M4045" s="8" t="n">
        <v>389908</v>
      </c>
      <c r="N4045" t="inlineStr">
        <is>
          <t>是</t>
        </is>
      </c>
    </row>
    <row r="4046">
      <c r="A4046" s="7" t="inlineStr">
        <is>
          <t>2024-03-06</t>
        </is>
      </c>
      <c r="B4046" s="8" t="n">
        <v>7451</v>
      </c>
      <c r="C4046" s="8" t="n">
        <v>7406</v>
      </c>
      <c r="D4046" s="8" t="n">
        <v>7465</v>
      </c>
      <c r="E4046" s="8" t="n">
        <v>7406</v>
      </c>
      <c r="F4046" s="8" t="n">
        <v>264771</v>
      </c>
      <c r="G4046" s="8" t="n">
        <v>378350</v>
      </c>
      <c r="H4046" s="8" t="n">
        <v>8166</v>
      </c>
      <c r="I4046" s="8" t="n">
        <v>8145</v>
      </c>
      <c r="J4046" s="8" t="n">
        <v>8182</v>
      </c>
      <c r="K4046" s="8" t="n">
        <v>8132</v>
      </c>
      <c r="L4046" s="8" t="n">
        <v>256238</v>
      </c>
      <c r="M4046" s="8" t="n">
        <v>377922</v>
      </c>
      <c r="N4046" t="inlineStr">
        <is>
          <t>是</t>
        </is>
      </c>
    </row>
    <row r="4047">
      <c r="A4047" s="7" t="inlineStr">
        <is>
          <t>2024-03-07</t>
        </is>
      </c>
      <c r="B4047" s="8" t="n">
        <v>7415</v>
      </c>
      <c r="C4047" s="8" t="n">
        <v>7436</v>
      </c>
      <c r="D4047" s="8" t="n">
        <v>7452</v>
      </c>
      <c r="E4047" s="8" t="n">
        <v>7415</v>
      </c>
      <c r="F4047" s="8" t="n">
        <v>272738</v>
      </c>
      <c r="G4047" s="8" t="n">
        <v>390307</v>
      </c>
      <c r="H4047" s="8" t="n">
        <v>8149</v>
      </c>
      <c r="I4047" s="8" t="n">
        <v>8166</v>
      </c>
      <c r="J4047" s="8" t="n">
        <v>8194</v>
      </c>
      <c r="K4047" s="8" t="n">
        <v>8145</v>
      </c>
      <c r="L4047" s="8" t="n">
        <v>230162</v>
      </c>
      <c r="M4047" s="8" t="n">
        <v>376953</v>
      </c>
      <c r="N4047" t="inlineStr">
        <is>
          <t>是</t>
        </is>
      </c>
    </row>
    <row r="4048">
      <c r="A4048" s="7" t="inlineStr">
        <is>
          <t>2024-03-08</t>
        </is>
      </c>
      <c r="B4048" s="8" t="n">
        <v>7448</v>
      </c>
      <c r="C4048" s="8" t="n">
        <v>7425</v>
      </c>
      <c r="D4048" s="8" t="n">
        <v>7450</v>
      </c>
      <c r="E4048" s="8" t="n">
        <v>7393</v>
      </c>
      <c r="F4048" s="8" t="n">
        <v>290602</v>
      </c>
      <c r="G4048" s="8" t="n">
        <v>397250</v>
      </c>
      <c r="H4048" s="8" t="n">
        <v>8170</v>
      </c>
      <c r="I4048" s="8" t="n">
        <v>8149</v>
      </c>
      <c r="J4048" s="8" t="n">
        <v>8185</v>
      </c>
      <c r="K4048" s="8" t="n">
        <v>8130</v>
      </c>
      <c r="L4048" s="8" t="n">
        <v>252414</v>
      </c>
      <c r="M4048" s="8" t="n">
        <v>374050</v>
      </c>
      <c r="N4048" t="inlineStr">
        <is>
          <t>是</t>
        </is>
      </c>
    </row>
    <row r="4049">
      <c r="A4049" s="7" t="inlineStr">
        <is>
          <t>2024-03-11</t>
        </is>
      </c>
      <c r="B4049" s="8" t="n">
        <v>7470</v>
      </c>
      <c r="C4049" s="8" t="n">
        <v>7435</v>
      </c>
      <c r="D4049" s="8" t="n">
        <v>7486</v>
      </c>
      <c r="E4049" s="8" t="n">
        <v>7379</v>
      </c>
      <c r="F4049" s="8" t="n">
        <v>481978</v>
      </c>
      <c r="G4049" s="8" t="n">
        <v>405316</v>
      </c>
      <c r="H4049" s="8" t="n">
        <v>8177</v>
      </c>
      <c r="I4049" s="8" t="n">
        <v>8160</v>
      </c>
      <c r="J4049" s="8" t="n">
        <v>8226</v>
      </c>
      <c r="K4049" s="8" t="n">
        <v>8115</v>
      </c>
      <c r="L4049" s="8" t="n">
        <v>372992</v>
      </c>
      <c r="M4049" s="8" t="n">
        <v>365043</v>
      </c>
      <c r="N4049" t="inlineStr">
        <is>
          <t>是</t>
        </is>
      </c>
    </row>
    <row r="4050">
      <c r="A4050" s="7" t="inlineStr">
        <is>
          <t>2024-03-12</t>
        </is>
      </c>
      <c r="B4050" s="8" t="n">
        <v>7436</v>
      </c>
      <c r="C4050" s="8" t="n">
        <v>7470</v>
      </c>
      <c r="D4050" s="8" t="n">
        <v>7489</v>
      </c>
      <c r="E4050" s="8" t="n">
        <v>7426</v>
      </c>
      <c r="F4050" s="8" t="n">
        <v>363434</v>
      </c>
      <c r="G4050" s="8" t="n">
        <v>393929</v>
      </c>
      <c r="H4050" s="8" t="n">
        <v>8166</v>
      </c>
      <c r="I4050" s="8" t="n">
        <v>8177</v>
      </c>
      <c r="J4050" s="8" t="n">
        <v>8215</v>
      </c>
      <c r="K4050" s="8" t="n">
        <v>8154</v>
      </c>
      <c r="L4050" s="8" t="n">
        <v>277133</v>
      </c>
      <c r="M4050" s="8" t="n">
        <v>355318</v>
      </c>
      <c r="N4050" t="inlineStr">
        <is>
          <t>是</t>
        </is>
      </c>
    </row>
    <row r="4051">
      <c r="A4051" s="7" t="inlineStr">
        <is>
          <t>2024-03-13</t>
        </is>
      </c>
      <c r="B4051" s="8" t="n">
        <v>7426</v>
      </c>
      <c r="C4051" s="8" t="n">
        <v>7436</v>
      </c>
      <c r="D4051" s="8" t="n">
        <v>7466</v>
      </c>
      <c r="E4051" s="8" t="n">
        <v>7401</v>
      </c>
      <c r="F4051" s="8" t="n">
        <v>304900</v>
      </c>
      <c r="G4051" s="8" t="n">
        <v>400450</v>
      </c>
      <c r="H4051" s="8" t="n">
        <v>8132</v>
      </c>
      <c r="I4051" s="8" t="n">
        <v>8166</v>
      </c>
      <c r="J4051" s="8" t="n">
        <v>8195</v>
      </c>
      <c r="K4051" s="8" t="n">
        <v>8107</v>
      </c>
      <c r="L4051" s="8" t="n">
        <v>309686</v>
      </c>
      <c r="M4051" s="8" t="n">
        <v>373623</v>
      </c>
      <c r="N4051" t="inlineStr">
        <is>
          <t>是</t>
        </is>
      </c>
    </row>
    <row r="4052">
      <c r="A4052" s="7" t="inlineStr">
        <is>
          <t>2024-03-14</t>
        </is>
      </c>
      <c r="B4052" s="8" t="n">
        <v>7492</v>
      </c>
      <c r="C4052" s="8" t="n">
        <v>7446</v>
      </c>
      <c r="D4052" s="8" t="n">
        <v>7498</v>
      </c>
      <c r="E4052" s="8" t="n">
        <v>7420</v>
      </c>
      <c r="F4052" s="8" t="n">
        <v>413326</v>
      </c>
      <c r="G4052" s="8" t="n">
        <v>401445</v>
      </c>
      <c r="H4052" s="8" t="n">
        <v>8165</v>
      </c>
      <c r="I4052" s="8" t="n">
        <v>8143</v>
      </c>
      <c r="J4052" s="8" t="n">
        <v>8175</v>
      </c>
      <c r="K4052" s="8" t="n">
        <v>8124</v>
      </c>
      <c r="L4052" s="8" t="n">
        <v>290778</v>
      </c>
      <c r="M4052" s="8" t="n">
        <v>359457</v>
      </c>
      <c r="N4052" t="inlineStr">
        <is>
          <t>是</t>
        </is>
      </c>
    </row>
    <row r="4053">
      <c r="A4053" s="7" t="inlineStr">
        <is>
          <t>2024-03-15</t>
        </is>
      </c>
      <c r="B4053" s="8" t="n">
        <v>7590</v>
      </c>
      <c r="C4053" s="8" t="n">
        <v>7506</v>
      </c>
      <c r="D4053" s="8" t="n">
        <v>7593</v>
      </c>
      <c r="E4053" s="8" t="n">
        <v>7491</v>
      </c>
      <c r="F4053" s="8" t="n">
        <v>520958</v>
      </c>
      <c r="G4053" s="8" t="n">
        <v>436920</v>
      </c>
      <c r="H4053" s="8" t="n">
        <v>8280</v>
      </c>
      <c r="I4053" s="8" t="n">
        <v>8172</v>
      </c>
      <c r="J4053" s="8" t="n">
        <v>8290</v>
      </c>
      <c r="K4053" s="8" t="n">
        <v>8172</v>
      </c>
      <c r="L4053" s="8" t="n">
        <v>440245</v>
      </c>
      <c r="M4053" s="8" t="n">
        <v>353041</v>
      </c>
      <c r="N4053" t="inlineStr">
        <is>
          <t>是</t>
        </is>
      </c>
    </row>
    <row r="4054">
      <c r="A4054" s="7" t="inlineStr">
        <is>
          <t>2024-03-18</t>
        </is>
      </c>
      <c r="B4054" s="8" t="n">
        <v>7610</v>
      </c>
      <c r="C4054" s="8" t="n">
        <v>7593</v>
      </c>
      <c r="D4054" s="8" t="n">
        <v>7620</v>
      </c>
      <c r="E4054" s="8" t="n">
        <v>7530</v>
      </c>
      <c r="F4054" s="8" t="n">
        <v>462813</v>
      </c>
      <c r="G4054" s="8" t="n">
        <v>447634</v>
      </c>
      <c r="H4054" s="8" t="n">
        <v>8312</v>
      </c>
      <c r="I4054" s="8" t="n">
        <v>8280</v>
      </c>
      <c r="J4054" s="8" t="n">
        <v>8326</v>
      </c>
      <c r="K4054" s="8" t="n">
        <v>8228</v>
      </c>
      <c r="L4054" s="8" t="n">
        <v>392033</v>
      </c>
      <c r="M4054" s="8" t="n">
        <v>356201</v>
      </c>
      <c r="N4054" t="inlineStr">
        <is>
          <t>是</t>
        </is>
      </c>
    </row>
    <row r="4055">
      <c r="A4055" s="7" t="inlineStr">
        <is>
          <t>2024-03-19</t>
        </is>
      </c>
      <c r="B4055" s="8" t="n">
        <v>7617</v>
      </c>
      <c r="C4055" s="8" t="n">
        <v>7600</v>
      </c>
      <c r="D4055" s="8" t="n">
        <v>7648</v>
      </c>
      <c r="E4055" s="8" t="n">
        <v>7582</v>
      </c>
      <c r="F4055" s="8" t="n">
        <v>382388</v>
      </c>
      <c r="G4055" s="8" t="n">
        <v>451386</v>
      </c>
      <c r="H4055" s="8" t="n">
        <v>8326</v>
      </c>
      <c r="I4055" s="8" t="n">
        <v>8312</v>
      </c>
      <c r="J4055" s="8" t="n">
        <v>8349</v>
      </c>
      <c r="K4055" s="8" t="n">
        <v>8285</v>
      </c>
      <c r="L4055" s="8" t="n">
        <v>347274</v>
      </c>
      <c r="M4055" s="8" t="n">
        <v>363781</v>
      </c>
      <c r="N4055" t="inlineStr">
        <is>
          <t>是</t>
        </is>
      </c>
    </row>
    <row r="4056">
      <c r="A4056" s="7" t="inlineStr">
        <is>
          <t>2024-03-20</t>
        </is>
      </c>
      <c r="B4056" s="8" t="n">
        <v>7635</v>
      </c>
      <c r="C4056" s="8" t="n">
        <v>7618</v>
      </c>
      <c r="D4056" s="8" t="n">
        <v>7649</v>
      </c>
      <c r="E4056" s="8" t="n">
        <v>7601</v>
      </c>
      <c r="F4056" s="8" t="n">
        <v>272564</v>
      </c>
      <c r="G4056" s="8" t="n">
        <v>450110</v>
      </c>
      <c r="H4056" s="8" t="n">
        <v>8355</v>
      </c>
      <c r="I4056" s="8" t="n">
        <v>8335</v>
      </c>
      <c r="J4056" s="8" t="n">
        <v>8376</v>
      </c>
      <c r="K4056" s="8" t="n">
        <v>8308</v>
      </c>
      <c r="L4056" s="8" t="n">
        <v>295388</v>
      </c>
      <c r="M4056" s="8" t="n">
        <v>366313</v>
      </c>
      <c r="N4056" t="inlineStr">
        <is>
          <t>是</t>
        </is>
      </c>
    </row>
    <row r="4057">
      <c r="A4057" s="7" t="inlineStr">
        <is>
          <t>2024-03-21</t>
        </is>
      </c>
      <c r="B4057" s="8" t="n">
        <v>7593</v>
      </c>
      <c r="C4057" s="8" t="n">
        <v>7620</v>
      </c>
      <c r="D4057" s="8" t="n">
        <v>7625</v>
      </c>
      <c r="E4057" s="8" t="n">
        <v>7566</v>
      </c>
      <c r="F4057" s="8" t="n">
        <v>340519</v>
      </c>
      <c r="G4057" s="8" t="n">
        <v>436356</v>
      </c>
      <c r="H4057" s="8" t="n">
        <v>8341</v>
      </c>
      <c r="I4057" s="8" t="n">
        <v>8340</v>
      </c>
      <c r="J4057" s="8" t="n">
        <v>8352</v>
      </c>
      <c r="K4057" s="8" t="n">
        <v>8280</v>
      </c>
      <c r="L4057" s="8" t="n">
        <v>283003</v>
      </c>
      <c r="M4057" s="8" t="n">
        <v>356648</v>
      </c>
      <c r="N4057" t="inlineStr">
        <is>
          <t>是</t>
        </is>
      </c>
    </row>
    <row r="4058">
      <c r="A4058" s="7" t="inlineStr">
        <is>
          <t>2024-03-22</t>
        </is>
      </c>
      <c r="B4058" s="8" t="n">
        <v>7533</v>
      </c>
      <c r="C4058" s="8" t="n">
        <v>7593</v>
      </c>
      <c r="D4058" s="8" t="n">
        <v>7606</v>
      </c>
      <c r="E4058" s="8" t="n">
        <v>7518</v>
      </c>
      <c r="F4058" s="8" t="n">
        <v>357980</v>
      </c>
      <c r="G4058" s="8" t="n">
        <v>404490</v>
      </c>
      <c r="H4058" s="8" t="n">
        <v>8238</v>
      </c>
      <c r="I4058" s="8" t="n">
        <v>8321</v>
      </c>
      <c r="J4058" s="8" t="n">
        <v>8339</v>
      </c>
      <c r="K4058" s="8" t="n">
        <v>8218</v>
      </c>
      <c r="L4058" s="8" t="n">
        <v>321162</v>
      </c>
      <c r="M4058" s="8" t="n">
        <v>328125</v>
      </c>
      <c r="N4058" t="inlineStr">
        <is>
          <t>是</t>
        </is>
      </c>
    </row>
    <row r="4059">
      <c r="A4059" s="7" t="inlineStr">
        <is>
          <t>2024-03-25</t>
        </is>
      </c>
      <c r="B4059" s="8" t="n">
        <v>7506</v>
      </c>
      <c r="C4059" s="8" t="n">
        <v>7543</v>
      </c>
      <c r="D4059" s="8" t="n">
        <v>7551</v>
      </c>
      <c r="E4059" s="8" t="n">
        <v>7504</v>
      </c>
      <c r="F4059" s="8" t="n">
        <v>275141</v>
      </c>
      <c r="G4059" s="8" t="n">
        <v>374646</v>
      </c>
      <c r="H4059" s="8" t="n">
        <v>8219</v>
      </c>
      <c r="I4059" s="8" t="n">
        <v>8245</v>
      </c>
      <c r="J4059" s="8" t="n">
        <v>8257</v>
      </c>
      <c r="K4059" s="8" t="n">
        <v>8211</v>
      </c>
      <c r="L4059" s="8" t="n">
        <v>231817</v>
      </c>
      <c r="M4059" s="8" t="n">
        <v>310886</v>
      </c>
      <c r="N4059" t="inlineStr">
        <is>
          <t>是</t>
        </is>
      </c>
    </row>
    <row r="4060">
      <c r="A4060" s="7" t="inlineStr">
        <is>
          <t>2024-03-26</t>
        </is>
      </c>
      <c r="B4060" s="8" t="n">
        <v>7497</v>
      </c>
      <c r="C4060" s="8" t="n">
        <v>7526</v>
      </c>
      <c r="D4060" s="8" t="n">
        <v>7550</v>
      </c>
      <c r="E4060" s="8" t="n">
        <v>7488</v>
      </c>
      <c r="F4060" s="8" t="n">
        <v>298413</v>
      </c>
      <c r="G4060" s="8" t="n">
        <v>353226</v>
      </c>
      <c r="H4060" s="8" t="n">
        <v>8213</v>
      </c>
      <c r="I4060" s="8" t="n">
        <v>8229</v>
      </c>
      <c r="J4060" s="8" t="n">
        <v>8275</v>
      </c>
      <c r="K4060" s="8" t="n">
        <v>8206</v>
      </c>
      <c r="L4060" s="8" t="n">
        <v>259663</v>
      </c>
      <c r="M4060" s="8" t="n">
        <v>285245</v>
      </c>
      <c r="N4060" t="inlineStr">
        <is>
          <t>是</t>
        </is>
      </c>
    </row>
    <row r="4061">
      <c r="A4061" s="7" t="inlineStr">
        <is>
          <t>2024-03-27</t>
        </is>
      </c>
      <c r="B4061" s="8" t="n">
        <v>7470</v>
      </c>
      <c r="C4061" s="8" t="n">
        <v>7510</v>
      </c>
      <c r="D4061" s="8" t="n">
        <v>7527</v>
      </c>
      <c r="E4061" s="8" t="n">
        <v>7459</v>
      </c>
      <c r="F4061" s="8" t="n">
        <v>270625</v>
      </c>
      <c r="G4061" s="8" t="n">
        <v>333046</v>
      </c>
      <c r="H4061" s="8" t="n">
        <v>8183</v>
      </c>
      <c r="I4061" s="8" t="n">
        <v>8219</v>
      </c>
      <c r="J4061" s="8" t="n">
        <v>8248</v>
      </c>
      <c r="K4061" s="8" t="n">
        <v>8173</v>
      </c>
      <c r="L4061" s="8" t="n">
        <v>253146</v>
      </c>
      <c r="M4061" s="8" t="n">
        <v>261335</v>
      </c>
      <c r="N4061" t="inlineStr">
        <is>
          <t>是</t>
        </is>
      </c>
    </row>
    <row r="4062">
      <c r="A4062" s="7" t="inlineStr">
        <is>
          <t>2024-03-28</t>
        </is>
      </c>
      <c r="B4062" s="8" t="n">
        <v>7472</v>
      </c>
      <c r="C4062" s="8" t="n">
        <v>7477</v>
      </c>
      <c r="D4062" s="8" t="n">
        <v>7496</v>
      </c>
      <c r="E4062" s="8" t="n">
        <v>7451</v>
      </c>
      <c r="F4062" s="8" t="n">
        <v>275667</v>
      </c>
      <c r="G4062" s="8" t="n">
        <v>324264</v>
      </c>
      <c r="H4062" s="8" t="n">
        <v>8220</v>
      </c>
      <c r="I4062" s="8" t="n">
        <v>8190</v>
      </c>
      <c r="J4062" s="8" t="n">
        <v>8238</v>
      </c>
      <c r="K4062" s="8" t="n">
        <v>8179</v>
      </c>
      <c r="L4062" s="8" t="n">
        <v>275871</v>
      </c>
      <c r="M4062" s="8" t="n">
        <v>253083</v>
      </c>
      <c r="N4062" t="inlineStr">
        <is>
          <t>是</t>
        </is>
      </c>
    </row>
    <row r="4063">
      <c r="A4063" s="7" t="inlineStr">
        <is>
          <t>2024-03-29</t>
        </is>
      </c>
      <c r="B4063" s="8" t="n">
        <v>7483</v>
      </c>
      <c r="C4063" s="8" t="n">
        <v>7512</v>
      </c>
      <c r="D4063" s="8" t="n">
        <v>7515</v>
      </c>
      <c r="E4063" s="8" t="n">
        <v>7464</v>
      </c>
      <c r="F4063" s="8" t="n">
        <v>222034</v>
      </c>
      <c r="G4063" s="8" t="n">
        <v>313000</v>
      </c>
      <c r="H4063" s="8" t="n">
        <v>8225</v>
      </c>
      <c r="I4063" s="8" t="n">
        <v>8247</v>
      </c>
      <c r="J4063" s="8" t="n">
        <v>8248</v>
      </c>
      <c r="K4063" s="8" t="n">
        <v>8203</v>
      </c>
      <c r="L4063" s="8" t="n">
        <v>224504</v>
      </c>
      <c r="M4063" s="8" t="n">
        <v>245687</v>
      </c>
      <c r="N4063" t="inlineStr">
        <is>
          <t>是</t>
        </is>
      </c>
    </row>
    <row r="4064">
      <c r="A4064" s="7" t="inlineStr">
        <is>
          <t>2024-04-01</t>
        </is>
      </c>
      <c r="B4064" s="8" t="n">
        <v>7539</v>
      </c>
      <c r="C4064" s="8" t="n">
        <v>7483</v>
      </c>
      <c r="D4064" s="8" t="n">
        <v>7550</v>
      </c>
      <c r="E4064" s="8" t="n">
        <v>7479</v>
      </c>
      <c r="F4064" s="8" t="n">
        <v>252804</v>
      </c>
      <c r="G4064" s="8" t="n">
        <v>307364</v>
      </c>
      <c r="H4064" s="8" t="n">
        <v>8275</v>
      </c>
      <c r="I4064" s="8" t="n">
        <v>8212</v>
      </c>
      <c r="J4064" s="8" t="n">
        <v>8292</v>
      </c>
      <c r="K4064" s="8" t="n">
        <v>8210</v>
      </c>
      <c r="L4064" s="8" t="n">
        <v>237115</v>
      </c>
      <c r="M4064" s="8" t="n">
        <v>247838</v>
      </c>
      <c r="N4064" t="inlineStr">
        <is>
          <t>是</t>
        </is>
      </c>
    </row>
    <row r="4065">
      <c r="A4065" s="7" t="inlineStr">
        <is>
          <t>2024-04-02</t>
        </is>
      </c>
      <c r="B4065" s="8" t="n">
        <v>7560</v>
      </c>
      <c r="C4065" s="8" t="n">
        <v>7527</v>
      </c>
      <c r="D4065" s="8" t="n">
        <v>7567</v>
      </c>
      <c r="E4065" s="8" t="n">
        <v>7521</v>
      </c>
      <c r="F4065" s="8" t="n">
        <v>240681</v>
      </c>
      <c r="G4065" s="8" t="n">
        <v>298983</v>
      </c>
      <c r="H4065" s="8" t="n">
        <v>8293</v>
      </c>
      <c r="I4065" s="8" t="n">
        <v>8275</v>
      </c>
      <c r="J4065" s="8" t="n">
        <v>8301</v>
      </c>
      <c r="K4065" s="8" t="n">
        <v>8255</v>
      </c>
      <c r="L4065" s="8" t="n">
        <v>209016</v>
      </c>
      <c r="M4065" s="8" t="n">
        <v>228414</v>
      </c>
      <c r="N4065" t="inlineStr">
        <is>
          <t>是</t>
        </is>
      </c>
    </row>
    <row r="4066">
      <c r="A4066" s="7" t="inlineStr">
        <is>
          <t>2024-04-03</t>
        </is>
      </c>
      <c r="B4066" s="8" t="n">
        <v>7597</v>
      </c>
      <c r="C4066" s="8" t="n">
        <v>7567</v>
      </c>
      <c r="D4066" s="8" t="n">
        <v>7600</v>
      </c>
      <c r="E4066" s="8" t="n">
        <v>7562</v>
      </c>
      <c r="F4066" s="8" t="n">
        <v>224686</v>
      </c>
      <c r="G4066" s="8" t="n">
        <v>283582</v>
      </c>
      <c r="H4066" s="8" t="n">
        <v>8319</v>
      </c>
      <c r="I4066" s="8" t="n">
        <v>8310</v>
      </c>
      <c r="J4066" s="8" t="n">
        <v>8340</v>
      </c>
      <c r="K4066" s="8" t="n">
        <v>8296</v>
      </c>
      <c r="L4066" s="8" t="n">
        <v>211128</v>
      </c>
      <c r="M4066" s="8" t="n">
        <v>206493</v>
      </c>
      <c r="N4066" t="inlineStr">
        <is>
          <t>是</t>
        </is>
      </c>
    </row>
    <row r="4067">
      <c r="A4067" s="7" t="inlineStr">
        <is>
          <t>2024-04-08</t>
        </is>
      </c>
      <c r="B4067" s="8" t="n">
        <v>7589</v>
      </c>
      <c r="C4067" s="8" t="n">
        <v>7600</v>
      </c>
      <c r="D4067" s="8" t="n">
        <v>7621</v>
      </c>
      <c r="E4067" s="8" t="n">
        <v>7560</v>
      </c>
      <c r="F4067" s="8" t="n">
        <v>224884</v>
      </c>
      <c r="G4067" s="8" t="n">
        <v>266139</v>
      </c>
      <c r="H4067" s="8" t="n">
        <v>8339</v>
      </c>
      <c r="I4067" s="8" t="n">
        <v>8294</v>
      </c>
      <c r="J4067" s="8" t="n">
        <v>8355</v>
      </c>
      <c r="K4067" s="8" t="n">
        <v>8286</v>
      </c>
      <c r="L4067" s="8" t="n">
        <v>194470</v>
      </c>
      <c r="M4067" s="8" t="n">
        <v>184612</v>
      </c>
      <c r="N4067" t="inlineStr">
        <is>
          <t>是</t>
        </is>
      </c>
    </row>
    <row r="4068">
      <c r="A4068" s="7" t="inlineStr">
        <is>
          <t>2024-04-09</t>
        </is>
      </c>
      <c r="B4068" s="8" t="n">
        <v>7598</v>
      </c>
      <c r="C4068" s="8" t="n">
        <v>7596</v>
      </c>
      <c r="D4068" s="8" t="n">
        <v>7616</v>
      </c>
      <c r="E4068" s="8" t="n">
        <v>7580</v>
      </c>
      <c r="F4068" s="8" t="n">
        <v>189582</v>
      </c>
      <c r="G4068" s="8" t="n">
        <v>255149</v>
      </c>
      <c r="H4068" s="8" t="n">
        <v>8347</v>
      </c>
      <c r="I4068" s="8" t="n">
        <v>8346</v>
      </c>
      <c r="J4068" s="8" t="n">
        <v>8373</v>
      </c>
      <c r="K4068" s="8" t="n">
        <v>8328</v>
      </c>
      <c r="L4068" s="8" t="n">
        <v>157406</v>
      </c>
      <c r="M4068" s="8" t="n">
        <v>167198</v>
      </c>
      <c r="N4068" t="inlineStr">
        <is>
          <t>是</t>
        </is>
      </c>
    </row>
    <row r="4069">
      <c r="A4069" s="7" t="inlineStr">
        <is>
          <t>2024-04-10</t>
        </is>
      </c>
      <c r="B4069" s="8" t="n">
        <v>7577</v>
      </c>
      <c r="C4069" s="8" t="n">
        <v>7585</v>
      </c>
      <c r="D4069" s="8" t="n">
        <v>7602</v>
      </c>
      <c r="E4069" s="8" t="n">
        <v>7544</v>
      </c>
      <c r="F4069" s="8" t="n">
        <v>227660</v>
      </c>
      <c r="G4069" s="8" t="n">
        <v>232247</v>
      </c>
      <c r="H4069" s="8" t="n">
        <v>8371</v>
      </c>
      <c r="I4069" s="8" t="n">
        <v>8387</v>
      </c>
      <c r="J4069" s="8" t="n">
        <v>8395</v>
      </c>
      <c r="K4069" s="8" t="n">
        <v>8332</v>
      </c>
      <c r="L4069" s="8" t="n">
        <v>234829</v>
      </c>
      <c r="M4069" s="8" t="n">
        <v>330668</v>
      </c>
      <c r="N4069" t="inlineStr">
        <is>
          <t>是</t>
        </is>
      </c>
    </row>
    <row r="4070">
      <c r="A4070" s="7" t="inlineStr">
        <is>
          <t>2024-04-11</t>
        </is>
      </c>
      <c r="B4070" s="8" t="n">
        <v>7608</v>
      </c>
      <c r="C4070" s="8" t="n">
        <v>7584</v>
      </c>
      <c r="D4070" s="8" t="n">
        <v>7633</v>
      </c>
      <c r="E4070" s="8" t="n">
        <v>7561</v>
      </c>
      <c r="F4070" s="8" t="n">
        <v>213209</v>
      </c>
      <c r="G4070" s="8" t="n">
        <v>223983</v>
      </c>
      <c r="H4070" s="8" t="n">
        <v>8418</v>
      </c>
      <c r="I4070" s="8" t="n">
        <v>8383</v>
      </c>
      <c r="J4070" s="8" t="n">
        <v>8438</v>
      </c>
      <c r="K4070" s="8" t="n">
        <v>8340</v>
      </c>
      <c r="L4070" s="8" t="n">
        <v>318505</v>
      </c>
      <c r="M4070" s="8" t="n">
        <v>374101</v>
      </c>
      <c r="N4070" t="inlineStr">
        <is>
          <t>是</t>
        </is>
      </c>
    </row>
    <row r="4071">
      <c r="A4071" s="7" t="inlineStr">
        <is>
          <t>2024-04-12</t>
        </is>
      </c>
      <c r="B4071" s="8" t="n">
        <v>7575</v>
      </c>
      <c r="C4071" s="8" t="n">
        <v>7583</v>
      </c>
      <c r="D4071" s="8" t="n">
        <v>7598</v>
      </c>
      <c r="E4071" s="8" t="n">
        <v>7558</v>
      </c>
      <c r="F4071" s="8" t="n">
        <v>188661</v>
      </c>
      <c r="G4071" s="8" t="n">
        <v>184036</v>
      </c>
      <c r="H4071" s="8" t="n">
        <v>8369</v>
      </c>
      <c r="I4071" s="8" t="n">
        <v>8400</v>
      </c>
      <c r="J4071" s="8" t="n">
        <v>8408</v>
      </c>
      <c r="K4071" s="8" t="n">
        <v>8341</v>
      </c>
      <c r="L4071" s="8" t="n">
        <v>280586</v>
      </c>
      <c r="M4071" s="8" t="n">
        <v>355451</v>
      </c>
      <c r="N4071" t="inlineStr">
        <is>
          <t>是</t>
        </is>
      </c>
    </row>
    <row r="4072">
      <c r="A4072" s="7" t="inlineStr">
        <is>
          <t>2024-04-15</t>
        </is>
      </c>
      <c r="B4072" s="8" t="n">
        <v>7602</v>
      </c>
      <c r="C4072" s="8" t="n">
        <v>7597</v>
      </c>
      <c r="D4072" s="8" t="n">
        <v>7635</v>
      </c>
      <c r="E4072" s="8" t="n">
        <v>7559</v>
      </c>
      <c r="F4072" s="8" t="n">
        <v>407805</v>
      </c>
      <c r="G4072" s="8" t="n">
        <v>318759</v>
      </c>
      <c r="H4072" s="8" t="n">
        <v>8410</v>
      </c>
      <c r="I4072" s="8" t="n">
        <v>8380</v>
      </c>
      <c r="J4072" s="8" t="n">
        <v>8441</v>
      </c>
      <c r="K4072" s="8" t="n">
        <v>8354</v>
      </c>
      <c r="L4072" s="8" t="n">
        <v>384843</v>
      </c>
      <c r="M4072" s="8" t="n">
        <v>398428</v>
      </c>
      <c r="N4072" t="inlineStr">
        <is>
          <t>是</t>
        </is>
      </c>
    </row>
    <row r="4073">
      <c r="A4073" s="7" t="inlineStr">
        <is>
          <t>2024-04-16</t>
        </is>
      </c>
      <c r="B4073" s="8" t="n">
        <v>7580</v>
      </c>
      <c r="C4073" s="8" t="n">
        <v>7602</v>
      </c>
      <c r="D4073" s="8" t="n">
        <v>7649</v>
      </c>
      <c r="E4073" s="8" t="n">
        <v>7554</v>
      </c>
      <c r="F4073" s="8" t="n">
        <v>477360</v>
      </c>
      <c r="G4073" s="8" t="n">
        <v>337576</v>
      </c>
      <c r="H4073" s="8" t="n">
        <v>8394</v>
      </c>
      <c r="I4073" s="8" t="n">
        <v>8405</v>
      </c>
      <c r="J4073" s="8" t="n">
        <v>8470</v>
      </c>
      <c r="K4073" s="8" t="n">
        <v>8356</v>
      </c>
      <c r="L4073" s="8" t="n">
        <v>459527</v>
      </c>
      <c r="M4073" s="8" t="n">
        <v>419627</v>
      </c>
      <c r="N4073" t="inlineStr">
        <is>
          <t>是</t>
        </is>
      </c>
    </row>
    <row r="4074">
      <c r="A4074" s="7" t="inlineStr">
        <is>
          <t>2024-04-17</t>
        </is>
      </c>
      <c r="B4074" s="8" t="n">
        <v>7618</v>
      </c>
      <c r="C4074" s="8" t="n">
        <v>7590</v>
      </c>
      <c r="D4074" s="8" t="n">
        <v>7628</v>
      </c>
      <c r="E4074" s="8" t="n">
        <v>7572</v>
      </c>
      <c r="F4074" s="8" t="n">
        <v>282474</v>
      </c>
      <c r="G4074" s="8" t="n">
        <v>350962</v>
      </c>
      <c r="H4074" s="8" t="n">
        <v>8430</v>
      </c>
      <c r="I4074" s="8" t="n">
        <v>8380</v>
      </c>
      <c r="J4074" s="8" t="n">
        <v>8441</v>
      </c>
      <c r="K4074" s="8" t="n">
        <v>8379</v>
      </c>
      <c r="L4074" s="8" t="n">
        <v>278235</v>
      </c>
      <c r="M4074" s="8" t="n">
        <v>433116</v>
      </c>
      <c r="N4074" t="inlineStr">
        <is>
          <t>是</t>
        </is>
      </c>
    </row>
    <row r="4075">
      <c r="A4075" s="7" t="inlineStr">
        <is>
          <t>2024-04-18</t>
        </is>
      </c>
      <c r="B4075" s="8" t="n">
        <v>7608</v>
      </c>
      <c r="C4075" s="8" t="n">
        <v>7610</v>
      </c>
      <c r="D4075" s="8" t="n">
        <v>7635</v>
      </c>
      <c r="E4075" s="8" t="n">
        <v>7559</v>
      </c>
      <c r="F4075" s="8" t="n">
        <v>434961</v>
      </c>
      <c r="G4075" s="8" t="n">
        <v>360312</v>
      </c>
      <c r="H4075" s="8" t="n">
        <v>8439</v>
      </c>
      <c r="I4075" s="8" t="n">
        <v>8440</v>
      </c>
      <c r="J4075" s="8" t="n">
        <v>8466</v>
      </c>
      <c r="K4075" s="8" t="n">
        <v>8382</v>
      </c>
      <c r="L4075" s="8" t="n">
        <v>412155</v>
      </c>
      <c r="M4075" s="8" t="n">
        <v>444789</v>
      </c>
      <c r="N4075" t="inlineStr">
        <is>
          <t>是</t>
        </is>
      </c>
    </row>
    <row r="4076">
      <c r="A4076" s="7" t="inlineStr">
        <is>
          <t>2024-04-19</t>
        </is>
      </c>
      <c r="B4076" s="8" t="n">
        <v>7650</v>
      </c>
      <c r="C4076" s="8" t="n">
        <v>7610</v>
      </c>
      <c r="D4076" s="8" t="n">
        <v>7720</v>
      </c>
      <c r="E4076" s="8" t="n">
        <v>7575</v>
      </c>
      <c r="F4076" s="8" t="n">
        <v>691168</v>
      </c>
      <c r="G4076" s="8" t="n">
        <v>407868</v>
      </c>
      <c r="H4076" s="8" t="n">
        <v>8464</v>
      </c>
      <c r="I4076" s="8" t="n">
        <v>8424</v>
      </c>
      <c r="J4076" s="8" t="n">
        <v>8581</v>
      </c>
      <c r="K4076" s="8" t="n">
        <v>8391</v>
      </c>
      <c r="L4076" s="8" t="n">
        <v>638508</v>
      </c>
      <c r="M4076" s="8" t="n">
        <v>463744</v>
      </c>
      <c r="N4076" t="inlineStr">
        <is>
          <t>是</t>
        </is>
      </c>
    </row>
    <row r="4077">
      <c r="A4077" s="7" t="inlineStr">
        <is>
          <t>2024-04-22</t>
        </is>
      </c>
      <c r="B4077" s="8" t="n">
        <v>7626</v>
      </c>
      <c r="C4077" s="8" t="n">
        <v>7620</v>
      </c>
      <c r="D4077" s="8" t="n">
        <v>7657</v>
      </c>
      <c r="E4077" s="8" t="n">
        <v>7612</v>
      </c>
      <c r="F4077" s="8" t="n">
        <v>353435</v>
      </c>
      <c r="G4077" s="8" t="n">
        <v>410356</v>
      </c>
      <c r="H4077" s="8" t="n">
        <v>8462</v>
      </c>
      <c r="I4077" s="8" t="n">
        <v>8452</v>
      </c>
      <c r="J4077" s="8" t="n">
        <v>8496</v>
      </c>
      <c r="K4077" s="8" t="n">
        <v>8441</v>
      </c>
      <c r="L4077" s="8" t="n">
        <v>324423</v>
      </c>
      <c r="M4077" s="8" t="n">
        <v>459826</v>
      </c>
      <c r="N4077" t="inlineStr">
        <is>
          <t>是</t>
        </is>
      </c>
    </row>
    <row r="4078">
      <c r="A4078" s="7" t="inlineStr">
        <is>
          <t>2024-04-23</t>
        </is>
      </c>
      <c r="B4078" s="8" t="n">
        <v>7554</v>
      </c>
      <c r="C4078" s="8" t="n">
        <v>7625</v>
      </c>
      <c r="D4078" s="8" t="n">
        <v>7639</v>
      </c>
      <c r="E4078" s="8" t="n">
        <v>7545</v>
      </c>
      <c r="F4078" s="8" t="n">
        <v>433689</v>
      </c>
      <c r="G4078" s="8" t="n">
        <v>389934</v>
      </c>
      <c r="H4078" s="8" t="n">
        <v>8356</v>
      </c>
      <c r="I4078" s="8" t="n">
        <v>8450</v>
      </c>
      <c r="J4078" s="8" t="n">
        <v>8459</v>
      </c>
      <c r="K4078" s="8" t="n">
        <v>8352</v>
      </c>
      <c r="L4078" s="8" t="n">
        <v>387657</v>
      </c>
      <c r="M4078" s="8" t="n">
        <v>425922</v>
      </c>
      <c r="N4078" t="inlineStr">
        <is>
          <t>是</t>
        </is>
      </c>
    </row>
    <row r="4079">
      <c r="A4079" s="7" t="inlineStr">
        <is>
          <t>2024-04-24</t>
        </is>
      </c>
      <c r="B4079" s="8" t="n">
        <v>7555</v>
      </c>
      <c r="C4079" s="8" t="n">
        <v>7543</v>
      </c>
      <c r="D4079" s="8" t="n">
        <v>7572</v>
      </c>
      <c r="E4079" s="8" t="n">
        <v>7534</v>
      </c>
      <c r="F4079" s="8" t="n">
        <v>282641</v>
      </c>
      <c r="G4079" s="8" t="n">
        <v>376448</v>
      </c>
      <c r="H4079" s="8" t="n">
        <v>8360</v>
      </c>
      <c r="I4079" s="8" t="n">
        <v>8355</v>
      </c>
      <c r="J4079" s="8" t="n">
        <v>8381</v>
      </c>
      <c r="K4079" s="8" t="n">
        <v>8335</v>
      </c>
      <c r="L4079" s="8" t="n">
        <v>287005</v>
      </c>
      <c r="M4079" s="8" t="n">
        <v>416638</v>
      </c>
      <c r="N4079" t="inlineStr">
        <is>
          <t>是</t>
        </is>
      </c>
    </row>
    <row r="4080">
      <c r="A4080" s="7" t="inlineStr">
        <is>
          <t>2024-04-25</t>
        </is>
      </c>
      <c r="B4080" s="8" t="n">
        <v>7568</v>
      </c>
      <c r="C4080" s="8" t="n">
        <v>7561</v>
      </c>
      <c r="D4080" s="8" t="n">
        <v>7590</v>
      </c>
      <c r="E4080" s="8" t="n">
        <v>7545</v>
      </c>
      <c r="F4080" s="8" t="n">
        <v>264168</v>
      </c>
      <c r="G4080" s="8" t="n">
        <v>370598</v>
      </c>
      <c r="H4080" s="8" t="n">
        <v>8364</v>
      </c>
      <c r="I4080" s="8" t="n">
        <v>8349</v>
      </c>
      <c r="J4080" s="8" t="n">
        <v>8384</v>
      </c>
      <c r="K4080" s="8" t="n">
        <v>8340</v>
      </c>
      <c r="L4080" s="8" t="n">
        <v>230132</v>
      </c>
      <c r="M4080" s="8" t="n">
        <v>408639</v>
      </c>
      <c r="N4080" t="inlineStr">
        <is>
          <t>是</t>
        </is>
      </c>
    </row>
    <row r="4081">
      <c r="A4081" s="7" t="inlineStr">
        <is>
          <t>2024-04-26</t>
        </is>
      </c>
      <c r="B4081" s="8" t="n">
        <v>7626</v>
      </c>
      <c r="C4081" s="8" t="n">
        <v>7579</v>
      </c>
      <c r="D4081" s="8" t="n">
        <v>7628</v>
      </c>
      <c r="E4081" s="8" t="n">
        <v>7558</v>
      </c>
      <c r="F4081" s="8" t="n">
        <v>346955</v>
      </c>
      <c r="G4081" s="8" t="n">
        <v>359227</v>
      </c>
      <c r="H4081" s="8" t="n">
        <v>8454</v>
      </c>
      <c r="I4081" s="8" t="n">
        <v>8383</v>
      </c>
      <c r="J4081" s="8" t="n">
        <v>8457</v>
      </c>
      <c r="K4081" s="8" t="n">
        <v>8364</v>
      </c>
      <c r="L4081" s="8" t="n">
        <v>341090</v>
      </c>
      <c r="M4081" s="8" t="n">
        <v>427831</v>
      </c>
      <c r="N4081" t="inlineStr">
        <is>
          <t>是</t>
        </is>
      </c>
    </row>
    <row r="4082">
      <c r="A4082" s="7" t="inlineStr">
        <is>
          <t>2024-04-29</t>
        </is>
      </c>
      <c r="B4082" s="8" t="n">
        <v>7636</v>
      </c>
      <c r="C4082" s="8" t="n">
        <v>7632</v>
      </c>
      <c r="D4082" s="8" t="n">
        <v>7649</v>
      </c>
      <c r="E4082" s="8" t="n">
        <v>7608</v>
      </c>
      <c r="F4082" s="8" t="n">
        <v>301061</v>
      </c>
      <c r="G4082" s="8" t="n">
        <v>376520</v>
      </c>
      <c r="H4082" s="8" t="n">
        <v>8498</v>
      </c>
      <c r="I4082" s="8" t="n">
        <v>8454</v>
      </c>
      <c r="J4082" s="8" t="n">
        <v>8506</v>
      </c>
      <c r="K4082" s="8" t="n">
        <v>8436</v>
      </c>
      <c r="L4082" s="8" t="n">
        <v>281007</v>
      </c>
      <c r="M4082" s="8" t="n">
        <v>448267</v>
      </c>
      <c r="N4082" t="inlineStr">
        <is>
          <t>是</t>
        </is>
      </c>
    </row>
    <row r="4083">
      <c r="A4083" s="7" t="inlineStr">
        <is>
          <t>2024-04-30</t>
        </is>
      </c>
      <c r="B4083" s="8" t="n">
        <v>7619</v>
      </c>
      <c r="C4083" s="8" t="n">
        <v>7634</v>
      </c>
      <c r="D4083" s="8" t="n">
        <v>7649</v>
      </c>
      <c r="E4083" s="8" t="n">
        <v>7613</v>
      </c>
      <c r="F4083" s="8" t="n">
        <v>238029</v>
      </c>
      <c r="G4083" s="8" t="n">
        <v>378247</v>
      </c>
      <c r="H4083" s="8" t="n">
        <v>8494</v>
      </c>
      <c r="I4083" s="8" t="n">
        <v>8498</v>
      </c>
      <c r="J4083" s="8" t="n">
        <v>8527</v>
      </c>
      <c r="K4083" s="8" t="n">
        <v>8481</v>
      </c>
      <c r="L4083" s="8" t="n">
        <v>264467</v>
      </c>
      <c r="M4083" s="8" t="n">
        <v>453248</v>
      </c>
      <c r="N4083" t="inlineStr">
        <is>
          <t>是</t>
        </is>
      </c>
    </row>
    <row r="4084">
      <c r="A4084" s="7" t="inlineStr">
        <is>
          <t>2024-05-06</t>
        </is>
      </c>
      <c r="B4084" s="8" t="n">
        <v>7529</v>
      </c>
      <c r="C4084" s="8" t="n">
        <v>7574</v>
      </c>
      <c r="D4084" s="8" t="n">
        <v>7579</v>
      </c>
      <c r="E4084" s="8" t="n">
        <v>7508</v>
      </c>
      <c r="F4084" s="8" t="n">
        <v>376441</v>
      </c>
      <c r="G4084" s="8" t="n">
        <v>397665</v>
      </c>
      <c r="H4084" s="8" t="n">
        <v>8405</v>
      </c>
      <c r="I4084" s="8" t="n">
        <v>8430</v>
      </c>
      <c r="J4084" s="8" t="n">
        <v>8453</v>
      </c>
      <c r="K4084" s="8" t="n">
        <v>8370</v>
      </c>
      <c r="L4084" s="8" t="n">
        <v>297785</v>
      </c>
      <c r="M4084" s="8" t="n">
        <v>428150</v>
      </c>
      <c r="N4084" t="inlineStr">
        <is>
          <t>是</t>
        </is>
      </c>
    </row>
    <row r="4085">
      <c r="A4085" s="7" t="inlineStr">
        <is>
          <t>2024-05-07</t>
        </is>
      </c>
      <c r="B4085" s="8" t="n">
        <v>7593</v>
      </c>
      <c r="C4085" s="8" t="n">
        <v>7530</v>
      </c>
      <c r="D4085" s="8" t="n">
        <v>7608</v>
      </c>
      <c r="E4085" s="8" t="n">
        <v>7523</v>
      </c>
      <c r="F4085" s="8" t="n">
        <v>385589</v>
      </c>
      <c r="G4085" s="8" t="n">
        <v>421062</v>
      </c>
      <c r="H4085" s="8" t="n">
        <v>8503</v>
      </c>
      <c r="I4085" s="8" t="n">
        <v>8405</v>
      </c>
      <c r="J4085" s="8" t="n">
        <v>8517</v>
      </c>
      <c r="K4085" s="8" t="n">
        <v>8400</v>
      </c>
      <c r="L4085" s="8" t="n">
        <v>360195</v>
      </c>
      <c r="M4085" s="8" t="n">
        <v>475402</v>
      </c>
      <c r="N4085" t="inlineStr">
        <is>
          <t>是</t>
        </is>
      </c>
    </row>
    <row r="4086">
      <c r="A4086" s="7" t="inlineStr">
        <is>
          <t>2024-05-08</t>
        </is>
      </c>
      <c r="B4086" s="8" t="n">
        <v>7567</v>
      </c>
      <c r="C4086" s="8" t="n">
        <v>7587</v>
      </c>
      <c r="D4086" s="8" t="n">
        <v>7613</v>
      </c>
      <c r="E4086" s="8" t="n">
        <v>7563</v>
      </c>
      <c r="F4086" s="8" t="n">
        <v>317435</v>
      </c>
      <c r="G4086" s="8" t="n">
        <v>419516</v>
      </c>
      <c r="H4086" s="8" t="n">
        <v>8490</v>
      </c>
      <c r="I4086" s="8" t="n">
        <v>8503</v>
      </c>
      <c r="J4086" s="8" t="n">
        <v>8550</v>
      </c>
      <c r="K4086" s="8" t="n">
        <v>8485</v>
      </c>
      <c r="L4086" s="8" t="n">
        <v>374684</v>
      </c>
      <c r="M4086" s="8" t="n">
        <v>507395</v>
      </c>
      <c r="N4086" t="inlineStr">
        <is>
          <t>是</t>
        </is>
      </c>
    </row>
    <row r="4087">
      <c r="A4087" s="7" t="inlineStr">
        <is>
          <t>2024-05-09</t>
        </is>
      </c>
      <c r="B4087" s="8" t="n">
        <v>7558</v>
      </c>
      <c r="C4087" s="8" t="n">
        <v>7567</v>
      </c>
      <c r="D4087" s="8" t="n">
        <v>7591</v>
      </c>
      <c r="E4087" s="8" t="n">
        <v>7538</v>
      </c>
      <c r="F4087" s="8" t="n">
        <v>332695</v>
      </c>
      <c r="G4087" s="8" t="n">
        <v>414836</v>
      </c>
      <c r="H4087" s="8" t="n">
        <v>8436</v>
      </c>
      <c r="I4087" s="8" t="n">
        <v>8501</v>
      </c>
      <c r="J4087" s="8" t="n">
        <v>8501</v>
      </c>
      <c r="K4087" s="8" t="n">
        <v>8433</v>
      </c>
      <c r="L4087" s="8" t="n">
        <v>342031</v>
      </c>
      <c r="M4087" s="8" t="n">
        <v>468780</v>
      </c>
      <c r="N4087" t="inlineStr">
        <is>
          <t>是</t>
        </is>
      </c>
    </row>
    <row r="4088">
      <c r="A4088" s="7" t="inlineStr">
        <is>
          <t>2024-05-10</t>
        </is>
      </c>
      <c r="B4088" s="8" t="n">
        <v>7540</v>
      </c>
      <c r="C4088" s="8" t="n">
        <v>7561</v>
      </c>
      <c r="D4088" s="8" t="n">
        <v>7573</v>
      </c>
      <c r="E4088" s="8" t="n">
        <v>7501</v>
      </c>
      <c r="F4088" s="8" t="n">
        <v>356231</v>
      </c>
      <c r="G4088" s="8" t="n">
        <v>420471</v>
      </c>
      <c r="H4088" s="8" t="n">
        <v>8441</v>
      </c>
      <c r="I4088" s="8" t="n">
        <v>8436</v>
      </c>
      <c r="J4088" s="8" t="n">
        <v>8457</v>
      </c>
      <c r="K4088" s="8" t="n">
        <v>8384</v>
      </c>
      <c r="L4088" s="8" t="n">
        <v>327648</v>
      </c>
      <c r="M4088" s="8" t="n">
        <v>446054</v>
      </c>
      <c r="N4088" t="inlineStr">
        <is>
          <t>是</t>
        </is>
      </c>
    </row>
    <row r="4089">
      <c r="A4089" s="7" t="inlineStr">
        <is>
          <t>2024-05-13</t>
        </is>
      </c>
      <c r="B4089" s="8" t="n">
        <v>7584</v>
      </c>
      <c r="C4089" s="8" t="n">
        <v>7540</v>
      </c>
      <c r="D4089" s="8" t="n">
        <v>7586</v>
      </c>
      <c r="E4089" s="8" t="n">
        <v>7515</v>
      </c>
      <c r="F4089" s="8" t="n">
        <v>357971</v>
      </c>
      <c r="G4089" s="8" t="n">
        <v>434253</v>
      </c>
      <c r="H4089" s="8" t="n">
        <v>8480</v>
      </c>
      <c r="I4089" s="8" t="n">
        <v>8441</v>
      </c>
      <c r="J4089" s="8" t="n">
        <v>8484</v>
      </c>
      <c r="K4089" s="8" t="n">
        <v>8404</v>
      </c>
      <c r="L4089" s="8" t="n">
        <v>301724</v>
      </c>
      <c r="M4089" s="8" t="n">
        <v>462505</v>
      </c>
      <c r="N4089" t="inlineStr">
        <is>
          <t>是</t>
        </is>
      </c>
    </row>
    <row r="4090">
      <c r="A4090" s="7" t="inlineStr">
        <is>
          <t>2024-05-14</t>
        </is>
      </c>
      <c r="B4090" s="8" t="n">
        <v>7564</v>
      </c>
      <c r="C4090" s="8" t="n">
        <v>7590</v>
      </c>
      <c r="D4090" s="8" t="n">
        <v>7606</v>
      </c>
      <c r="E4090" s="8" t="n">
        <v>7555</v>
      </c>
      <c r="F4090" s="8" t="n">
        <v>365196</v>
      </c>
      <c r="G4090" s="8" t="n">
        <v>434210</v>
      </c>
      <c r="H4090" s="8" t="n">
        <v>8446</v>
      </c>
      <c r="I4090" s="8" t="n">
        <v>8485</v>
      </c>
      <c r="J4090" s="8" t="n">
        <v>8494</v>
      </c>
      <c r="K4090" s="8" t="n">
        <v>8435</v>
      </c>
      <c r="L4090" s="8" t="n">
        <v>282847</v>
      </c>
      <c r="M4090" s="8" t="n">
        <v>452685</v>
      </c>
      <c r="N4090" t="inlineStr">
        <is>
          <t>是</t>
        </is>
      </c>
    </row>
    <row r="4091">
      <c r="A4091" s="7" t="inlineStr">
        <is>
          <t>2024-05-15</t>
        </is>
      </c>
      <c r="B4091" s="8" t="n">
        <v>7590</v>
      </c>
      <c r="C4091" s="8" t="n">
        <v>7553</v>
      </c>
      <c r="D4091" s="8" t="n">
        <v>7594</v>
      </c>
      <c r="E4091" s="8" t="n">
        <v>7546</v>
      </c>
      <c r="F4091" s="8" t="n">
        <v>282362</v>
      </c>
      <c r="G4091" s="8" t="n">
        <v>450789</v>
      </c>
      <c r="H4091" s="8" t="n">
        <v>8469</v>
      </c>
      <c r="I4091" s="8" t="n">
        <v>8440</v>
      </c>
      <c r="J4091" s="8" t="n">
        <v>8477</v>
      </c>
      <c r="K4091" s="8" t="n">
        <v>8422</v>
      </c>
      <c r="L4091" s="8" t="n">
        <v>267403</v>
      </c>
      <c r="M4091" s="8" t="n">
        <v>463645</v>
      </c>
      <c r="N4091" t="inlineStr">
        <is>
          <t>是</t>
        </is>
      </c>
    </row>
    <row r="4092">
      <c r="A4092" s="7" t="inlineStr">
        <is>
          <t>2024-05-16</t>
        </is>
      </c>
      <c r="B4092" s="8" t="n">
        <v>7619</v>
      </c>
      <c r="C4092" s="8" t="n">
        <v>7577</v>
      </c>
      <c r="D4092" s="8" t="n">
        <v>7623</v>
      </c>
      <c r="E4092" s="8" t="n">
        <v>7561</v>
      </c>
      <c r="F4092" s="8" t="n">
        <v>368968</v>
      </c>
      <c r="G4092" s="8" t="n">
        <v>478339</v>
      </c>
      <c r="H4092" s="8" t="n">
        <v>8486</v>
      </c>
      <c r="I4092" s="8" t="n">
        <v>8464</v>
      </c>
      <c r="J4092" s="8" t="n">
        <v>8500</v>
      </c>
      <c r="K4092" s="8" t="n">
        <v>8435</v>
      </c>
      <c r="L4092" s="8" t="n">
        <v>313977</v>
      </c>
      <c r="M4092" s="8" t="n">
        <v>479186</v>
      </c>
      <c r="N4092" t="inlineStr">
        <is>
          <t>是</t>
        </is>
      </c>
    </row>
    <row r="4093">
      <c r="A4093" s="7" t="inlineStr">
        <is>
          <t>2024-05-17</t>
        </is>
      </c>
      <c r="B4093" s="8" t="n">
        <v>7774</v>
      </c>
      <c r="C4093" s="8" t="n">
        <v>7619</v>
      </c>
      <c r="D4093" s="8" t="n">
        <v>7777</v>
      </c>
      <c r="E4093" s="8" t="n">
        <v>7619</v>
      </c>
      <c r="F4093" s="8" t="n">
        <v>593698</v>
      </c>
      <c r="G4093" s="8" t="n">
        <v>565159</v>
      </c>
      <c r="H4093" s="8" t="n">
        <v>8635</v>
      </c>
      <c r="I4093" s="8" t="n">
        <v>8490</v>
      </c>
      <c r="J4093" s="8" t="n">
        <v>8635</v>
      </c>
      <c r="K4093" s="8" t="n">
        <v>8482</v>
      </c>
      <c r="L4093" s="8" t="n">
        <v>478510</v>
      </c>
      <c r="M4093" s="8" t="n">
        <v>552030</v>
      </c>
      <c r="N4093" t="inlineStr">
        <is>
          <t>是</t>
        </is>
      </c>
    </row>
    <row r="4094">
      <c r="A4094" s="7" t="inlineStr">
        <is>
          <t>2024-05-20</t>
        </is>
      </c>
      <c r="B4094" s="8" t="n">
        <v>7837</v>
      </c>
      <c r="C4094" s="8" t="n">
        <v>7785</v>
      </c>
      <c r="D4094" s="8" t="n">
        <v>7853</v>
      </c>
      <c r="E4094" s="8" t="n">
        <v>7774</v>
      </c>
      <c r="F4094" s="8" t="n">
        <v>517263</v>
      </c>
      <c r="G4094" s="8" t="n">
        <v>581140</v>
      </c>
      <c r="H4094" s="8" t="n">
        <v>8649</v>
      </c>
      <c r="I4094" s="8" t="n">
        <v>8630</v>
      </c>
      <c r="J4094" s="8" t="n">
        <v>8673</v>
      </c>
      <c r="K4094" s="8" t="n">
        <v>8609</v>
      </c>
      <c r="L4094" s="8" t="n">
        <v>385118</v>
      </c>
      <c r="M4094" s="8" t="n">
        <v>543880</v>
      </c>
      <c r="N4094" t="inlineStr">
        <is>
          <t>是</t>
        </is>
      </c>
    </row>
    <row r="4095">
      <c r="A4095" s="7" t="inlineStr">
        <is>
          <t>2024-05-21</t>
        </is>
      </c>
      <c r="B4095" s="8" t="n">
        <v>7794</v>
      </c>
      <c r="C4095" s="8" t="n">
        <v>7814</v>
      </c>
      <c r="D4095" s="8" t="n">
        <v>7855</v>
      </c>
      <c r="E4095" s="8" t="n">
        <v>7762</v>
      </c>
      <c r="F4095" s="8" t="n">
        <v>439448</v>
      </c>
      <c r="G4095" s="8" t="n">
        <v>565378</v>
      </c>
      <c r="H4095" s="8" t="n">
        <v>8579</v>
      </c>
      <c r="I4095" s="8" t="n">
        <v>8640</v>
      </c>
      <c r="J4095" s="8" t="n">
        <v>8658</v>
      </c>
      <c r="K4095" s="8" t="n">
        <v>8550</v>
      </c>
      <c r="L4095" s="8" t="n">
        <v>390945</v>
      </c>
      <c r="M4095" s="8" t="n">
        <v>510535</v>
      </c>
      <c r="N4095" t="inlineStr">
        <is>
          <t>是</t>
        </is>
      </c>
    </row>
    <row r="4096">
      <c r="A4096" s="7" t="inlineStr">
        <is>
          <t>2024-05-22</t>
        </is>
      </c>
      <c r="B4096" s="8" t="n">
        <v>7796</v>
      </c>
      <c r="C4096" s="8" t="n">
        <v>7795</v>
      </c>
      <c r="D4096" s="8" t="n">
        <v>7814</v>
      </c>
      <c r="E4096" s="8" t="n">
        <v>7763</v>
      </c>
      <c r="F4096" s="8" t="n">
        <v>298926</v>
      </c>
      <c r="G4096" s="8" t="n">
        <v>554157</v>
      </c>
      <c r="H4096" s="8" t="n">
        <v>8602</v>
      </c>
      <c r="I4096" s="8" t="n">
        <v>8578</v>
      </c>
      <c r="J4096" s="8" t="n">
        <v>8617</v>
      </c>
      <c r="K4096" s="8" t="n">
        <v>8572</v>
      </c>
      <c r="L4096" s="8" t="n">
        <v>257269</v>
      </c>
      <c r="M4096" s="8" t="n">
        <v>518744</v>
      </c>
      <c r="N4096" t="inlineStr">
        <is>
          <t>是</t>
        </is>
      </c>
    </row>
    <row r="4097">
      <c r="A4097" s="7" t="inlineStr">
        <is>
          <t>2024-05-23</t>
        </is>
      </c>
      <c r="B4097" s="8" t="n">
        <v>7718</v>
      </c>
      <c r="C4097" s="8" t="n">
        <v>7773</v>
      </c>
      <c r="D4097" s="8" t="n">
        <v>7787</v>
      </c>
      <c r="E4097" s="8" t="n">
        <v>7693</v>
      </c>
      <c r="F4097" s="8" t="n">
        <v>392703</v>
      </c>
      <c r="G4097" s="8" t="n">
        <v>519693</v>
      </c>
      <c r="H4097" s="8" t="n">
        <v>8523</v>
      </c>
      <c r="I4097" s="8" t="n">
        <v>8590</v>
      </c>
      <c r="J4097" s="8" t="n">
        <v>8593</v>
      </c>
      <c r="K4097" s="8" t="n">
        <v>8495</v>
      </c>
      <c r="L4097" s="8" t="n">
        <v>374398</v>
      </c>
      <c r="M4097" s="8" t="n">
        <v>480903</v>
      </c>
      <c r="N4097" t="inlineStr">
        <is>
          <t>是</t>
        </is>
      </c>
    </row>
    <row r="4098">
      <c r="A4098" s="7" t="inlineStr">
        <is>
          <t>2024-05-24</t>
        </is>
      </c>
      <c r="B4098" s="8" t="n">
        <v>7755</v>
      </c>
      <c r="C4098" s="8" t="n">
        <v>7736</v>
      </c>
      <c r="D4098" s="8" t="n">
        <v>7776</v>
      </c>
      <c r="E4098" s="8" t="n">
        <v>7728</v>
      </c>
      <c r="F4098" s="8" t="n">
        <v>377612</v>
      </c>
      <c r="G4098" s="8" t="n">
        <v>506964</v>
      </c>
      <c r="H4098" s="8" t="n">
        <v>8557</v>
      </c>
      <c r="I4098" s="8" t="n">
        <v>8540</v>
      </c>
      <c r="J4098" s="8" t="n">
        <v>8592</v>
      </c>
      <c r="K4098" s="8" t="n">
        <v>8527</v>
      </c>
      <c r="L4098" s="8" t="n">
        <v>361598</v>
      </c>
      <c r="M4098" s="8" t="n">
        <v>468666</v>
      </c>
      <c r="N4098" t="inlineStr">
        <is>
          <t>是</t>
        </is>
      </c>
    </row>
    <row r="4099">
      <c r="A4099" s="7" t="inlineStr">
        <is>
          <t>2024-05-27</t>
        </is>
      </c>
      <c r="B4099" s="8" t="n">
        <v>7832</v>
      </c>
      <c r="C4099" s="8" t="n">
        <v>7755</v>
      </c>
      <c r="D4099" s="8" t="n">
        <v>7833</v>
      </c>
      <c r="E4099" s="8" t="n">
        <v>7745</v>
      </c>
      <c r="F4099" s="8" t="n">
        <v>390341</v>
      </c>
      <c r="G4099" s="8" t="n">
        <v>522831</v>
      </c>
      <c r="H4099" s="8" t="n">
        <v>8669</v>
      </c>
      <c r="I4099" s="8" t="n">
        <v>8550</v>
      </c>
      <c r="J4099" s="8" t="n">
        <v>8670</v>
      </c>
      <c r="K4099" s="8" t="n">
        <v>8549</v>
      </c>
      <c r="L4099" s="8" t="n">
        <v>394190</v>
      </c>
      <c r="M4099" s="8" t="n">
        <v>516179</v>
      </c>
      <c r="N4099" t="inlineStr">
        <is>
          <t>是</t>
        </is>
      </c>
    </row>
    <row r="4100">
      <c r="A4100" s="7" t="inlineStr">
        <is>
          <t>2024-05-28</t>
        </is>
      </c>
      <c r="B4100" s="8" t="n">
        <v>7804</v>
      </c>
      <c r="C4100" s="8" t="n">
        <v>7855</v>
      </c>
      <c r="D4100" s="8" t="n">
        <v>7908</v>
      </c>
      <c r="E4100" s="8" t="n">
        <v>7801</v>
      </c>
      <c r="F4100" s="8" t="n">
        <v>438717</v>
      </c>
      <c r="G4100" s="8" t="n">
        <v>520619</v>
      </c>
      <c r="H4100" s="8" t="n">
        <v>8616</v>
      </c>
      <c r="I4100" s="8" t="n">
        <v>8671</v>
      </c>
      <c r="J4100" s="8" t="n">
        <v>8716</v>
      </c>
      <c r="K4100" s="8" t="n">
        <v>8609</v>
      </c>
      <c r="L4100" s="8" t="n">
        <v>405530</v>
      </c>
      <c r="M4100" s="8" t="n">
        <v>494500</v>
      </c>
      <c r="N4100" t="inlineStr">
        <is>
          <t>是</t>
        </is>
      </c>
    </row>
    <row r="4101">
      <c r="A4101" s="7" t="inlineStr">
        <is>
          <t>2024-05-29</t>
        </is>
      </c>
      <c r="B4101" s="8" t="n">
        <v>7833</v>
      </c>
      <c r="C4101" s="8" t="n">
        <v>7804</v>
      </c>
      <c r="D4101" s="8" t="n">
        <v>7844</v>
      </c>
      <c r="E4101" s="8" t="n">
        <v>7784</v>
      </c>
      <c r="F4101" s="8" t="n">
        <v>288597</v>
      </c>
      <c r="G4101" s="8" t="n">
        <v>521069</v>
      </c>
      <c r="H4101" s="8" t="n">
        <v>8650</v>
      </c>
      <c r="I4101" s="8" t="n">
        <v>8631</v>
      </c>
      <c r="J4101" s="8" t="n">
        <v>8666</v>
      </c>
      <c r="K4101" s="8" t="n">
        <v>8605</v>
      </c>
      <c r="L4101" s="8" t="n">
        <v>281245</v>
      </c>
      <c r="M4101" s="8" t="n">
        <v>492084</v>
      </c>
      <c r="N4101" t="inlineStr">
        <is>
          <t>是</t>
        </is>
      </c>
    </row>
    <row r="4102">
      <c r="A4102" s="7" t="inlineStr">
        <is>
          <t>2024-05-30</t>
        </is>
      </c>
      <c r="B4102" s="8" t="n">
        <v>7872</v>
      </c>
      <c r="C4102" s="8" t="n">
        <v>7867</v>
      </c>
      <c r="D4102" s="8" t="n">
        <v>7928</v>
      </c>
      <c r="E4102" s="8" t="n">
        <v>7833</v>
      </c>
      <c r="F4102" s="8" t="n">
        <v>424564</v>
      </c>
      <c r="G4102" s="8" t="n">
        <v>519309</v>
      </c>
      <c r="H4102" s="8" t="n">
        <v>8682</v>
      </c>
      <c r="I4102" s="8" t="n">
        <v>8678</v>
      </c>
      <c r="J4102" s="8" t="n">
        <v>8754</v>
      </c>
      <c r="K4102" s="8" t="n">
        <v>8650</v>
      </c>
      <c r="L4102" s="8" t="n">
        <v>433718</v>
      </c>
      <c r="M4102" s="8" t="n">
        <v>491362</v>
      </c>
      <c r="N4102" t="inlineStr">
        <is>
          <t>是</t>
        </is>
      </c>
    </row>
    <row r="4103">
      <c r="A4103" s="7" t="inlineStr">
        <is>
          <t>2024-05-31</t>
        </is>
      </c>
      <c r="B4103" s="8" t="n">
        <v>7843</v>
      </c>
      <c r="C4103" s="8" t="n">
        <v>7875</v>
      </c>
      <c r="D4103" s="8" t="n">
        <v>7920</v>
      </c>
      <c r="E4103" s="8" t="n">
        <v>7842</v>
      </c>
      <c r="F4103" s="8" t="n">
        <v>362966</v>
      </c>
      <c r="G4103" s="8" t="n">
        <v>527575</v>
      </c>
      <c r="H4103" s="8" t="n">
        <v>8648</v>
      </c>
      <c r="I4103" s="8" t="n">
        <v>8670</v>
      </c>
      <c r="J4103" s="8" t="n">
        <v>8716</v>
      </c>
      <c r="K4103" s="8" t="n">
        <v>8637</v>
      </c>
      <c r="L4103" s="8" t="n">
        <v>325421</v>
      </c>
      <c r="M4103" s="8" t="n">
        <v>483215</v>
      </c>
      <c r="N4103" t="inlineStr">
        <is>
          <t>是</t>
        </is>
      </c>
    </row>
    <row r="4104">
      <c r="A4104" s="7" t="inlineStr">
        <is>
          <t>2024-06-03</t>
        </is>
      </c>
      <c r="B4104" s="8" t="n">
        <v>7721</v>
      </c>
      <c r="C4104" s="8" t="n">
        <v>7856</v>
      </c>
      <c r="D4104" s="8" t="n">
        <v>7862</v>
      </c>
      <c r="E4104" s="8" t="n">
        <v>7712</v>
      </c>
      <c r="F4104" s="8" t="n">
        <v>470486</v>
      </c>
      <c r="G4104" s="8" t="n">
        <v>478809</v>
      </c>
      <c r="H4104" s="8" t="n">
        <v>8530</v>
      </c>
      <c r="I4104" s="8" t="n">
        <v>8663</v>
      </c>
      <c r="J4104" s="8" t="n">
        <v>8666</v>
      </c>
      <c r="K4104" s="8" t="n">
        <v>8521</v>
      </c>
      <c r="L4104" s="8" t="n">
        <v>417360</v>
      </c>
      <c r="M4104" s="8" t="n">
        <v>442357</v>
      </c>
      <c r="N4104" t="inlineStr">
        <is>
          <t>是</t>
        </is>
      </c>
    </row>
    <row r="4105">
      <c r="A4105" s="7" t="inlineStr">
        <is>
          <t>2024-06-04</t>
        </is>
      </c>
      <c r="B4105" s="8" t="n">
        <v>7685</v>
      </c>
      <c r="C4105" s="8" t="n">
        <v>7727</v>
      </c>
      <c r="D4105" s="8" t="n">
        <v>7733</v>
      </c>
      <c r="E4105" s="8" t="n">
        <v>7671</v>
      </c>
      <c r="F4105" s="8" t="n">
        <v>350212</v>
      </c>
      <c r="G4105" s="8" t="n">
        <v>455172</v>
      </c>
      <c r="H4105" s="8" t="n">
        <v>8516</v>
      </c>
      <c r="I4105" s="8" t="n">
        <v>8534</v>
      </c>
      <c r="J4105" s="8" t="n">
        <v>8550</v>
      </c>
      <c r="K4105" s="8" t="n">
        <v>8480</v>
      </c>
      <c r="L4105" s="8" t="n">
        <v>352055</v>
      </c>
      <c r="M4105" s="8" t="n">
        <v>444830</v>
      </c>
      <c r="N4105" t="inlineStr">
        <is>
          <t>是</t>
        </is>
      </c>
    </row>
    <row r="4106">
      <c r="A4106" s="7" t="inlineStr">
        <is>
          <t>2024-06-05</t>
        </is>
      </c>
      <c r="B4106" s="8" t="n">
        <v>7649</v>
      </c>
      <c r="C4106" s="8" t="n">
        <v>7678</v>
      </c>
      <c r="D4106" s="8" t="n">
        <v>7679</v>
      </c>
      <c r="E4106" s="8" t="n">
        <v>7633</v>
      </c>
      <c r="F4106" s="8" t="n">
        <v>294123</v>
      </c>
      <c r="G4106" s="8" t="n">
        <v>438632</v>
      </c>
      <c r="H4106" s="8" t="n">
        <v>8488</v>
      </c>
      <c r="I4106" s="8" t="n">
        <v>8516</v>
      </c>
      <c r="J4106" s="8" t="n">
        <v>8516</v>
      </c>
      <c r="K4106" s="8" t="n">
        <v>8465</v>
      </c>
      <c r="L4106" s="8" t="n">
        <v>278750</v>
      </c>
      <c r="M4106" s="8" t="n">
        <v>439216</v>
      </c>
      <c r="N4106" t="inlineStr">
        <is>
          <t>是</t>
        </is>
      </c>
    </row>
    <row r="4107">
      <c r="A4107" s="7" t="inlineStr">
        <is>
          <t>2024-06-06</t>
        </is>
      </c>
      <c r="B4107" s="8" t="n">
        <v>7673</v>
      </c>
      <c r="C4107" s="8" t="n">
        <v>7657</v>
      </c>
      <c r="D4107" s="8" t="n">
        <v>7693</v>
      </c>
      <c r="E4107" s="8" t="n">
        <v>7641</v>
      </c>
      <c r="F4107" s="8" t="n">
        <v>278080</v>
      </c>
      <c r="G4107" s="8" t="n">
        <v>427004</v>
      </c>
      <c r="H4107" s="8" t="n">
        <v>8528</v>
      </c>
      <c r="I4107" s="8" t="n">
        <v>8500</v>
      </c>
      <c r="J4107" s="8" t="n">
        <v>8551</v>
      </c>
      <c r="K4107" s="8" t="n">
        <v>8475</v>
      </c>
      <c r="L4107" s="8" t="n">
        <v>287145</v>
      </c>
      <c r="M4107" s="8" t="n">
        <v>437584</v>
      </c>
      <c r="N4107" t="inlineStr">
        <is>
          <t>是</t>
        </is>
      </c>
    </row>
    <row r="4108">
      <c r="A4108" s="7" t="inlineStr">
        <is>
          <t>2024-06-07</t>
        </is>
      </c>
      <c r="B4108" s="8" t="n">
        <v>7682</v>
      </c>
      <c r="C4108" s="8" t="n">
        <v>7673</v>
      </c>
      <c r="D4108" s="8" t="n">
        <v>7728</v>
      </c>
      <c r="E4108" s="8" t="n">
        <v>7663</v>
      </c>
      <c r="F4108" s="8" t="n">
        <v>292353</v>
      </c>
      <c r="G4108" s="8" t="n">
        <v>410186</v>
      </c>
      <c r="H4108" s="8" t="n">
        <v>8544</v>
      </c>
      <c r="I4108" s="8" t="n">
        <v>8528</v>
      </c>
      <c r="J4108" s="8" t="n">
        <v>8609</v>
      </c>
      <c r="K4108" s="8" t="n">
        <v>8523</v>
      </c>
      <c r="L4108" s="8" t="n">
        <v>318975</v>
      </c>
      <c r="M4108" s="8" t="n">
        <v>429911</v>
      </c>
      <c r="N4108" t="inlineStr">
        <is>
          <t>是</t>
        </is>
      </c>
    </row>
    <row r="4109">
      <c r="A4109" s="7" t="inlineStr">
        <is>
          <t>2024-06-11</t>
        </is>
      </c>
      <c r="B4109" s="8" t="n">
        <v>7682</v>
      </c>
      <c r="C4109" s="8" t="n">
        <v>7711</v>
      </c>
      <c r="D4109" s="8" t="n">
        <v>7725</v>
      </c>
      <c r="E4109" s="8" t="n">
        <v>7668</v>
      </c>
      <c r="F4109" s="8" t="n">
        <v>231798</v>
      </c>
      <c r="G4109" s="8" t="n">
        <v>401488</v>
      </c>
      <c r="H4109" s="8" t="n">
        <v>8542</v>
      </c>
      <c r="I4109" s="8" t="n">
        <v>8570</v>
      </c>
      <c r="J4109" s="8" t="n">
        <v>8604</v>
      </c>
      <c r="K4109" s="8" t="n">
        <v>8532</v>
      </c>
      <c r="L4109" s="8" t="n">
        <v>260490</v>
      </c>
      <c r="M4109" s="8" t="n">
        <v>436481</v>
      </c>
      <c r="N4109" t="inlineStr">
        <is>
          <t>是</t>
        </is>
      </c>
    </row>
    <row r="4110">
      <c r="A4110" s="7" t="inlineStr">
        <is>
          <t>2024-06-12</t>
        </is>
      </c>
      <c r="B4110" s="8" t="n">
        <v>7735</v>
      </c>
      <c r="C4110" s="8" t="n">
        <v>7679</v>
      </c>
      <c r="D4110" s="8" t="n">
        <v>7742</v>
      </c>
      <c r="E4110" s="8" t="n">
        <v>7665</v>
      </c>
      <c r="F4110" s="8" t="n">
        <v>269844</v>
      </c>
      <c r="G4110" s="8" t="n">
        <v>402114</v>
      </c>
      <c r="H4110" s="8" t="n">
        <v>8613</v>
      </c>
      <c r="I4110" s="8" t="n">
        <v>8550</v>
      </c>
      <c r="J4110" s="8" t="n">
        <v>8626</v>
      </c>
      <c r="K4110" s="8" t="n">
        <v>8520</v>
      </c>
      <c r="L4110" s="8" t="n">
        <v>291630</v>
      </c>
      <c r="M4110" s="8" t="n">
        <v>452868</v>
      </c>
      <c r="N4110" t="inlineStr">
        <is>
          <t>是</t>
        </is>
      </c>
    </row>
    <row r="4111">
      <c r="A4111" s="7" t="inlineStr">
        <is>
          <t>2024-06-13</t>
        </is>
      </c>
      <c r="B4111" s="8" t="n">
        <v>7712</v>
      </c>
      <c r="C4111" s="8" t="n">
        <v>7750</v>
      </c>
      <c r="D4111" s="8" t="n">
        <v>7760</v>
      </c>
      <c r="E4111" s="8" t="n">
        <v>7681</v>
      </c>
      <c r="F4111" s="8" t="n">
        <v>284835</v>
      </c>
      <c r="G4111" s="8" t="n">
        <v>397674</v>
      </c>
      <c r="H4111" s="8" t="n">
        <v>8594</v>
      </c>
      <c r="I4111" s="8" t="n">
        <v>8620</v>
      </c>
      <c r="J4111" s="8" t="n">
        <v>8632</v>
      </c>
      <c r="K4111" s="8" t="n">
        <v>8555</v>
      </c>
      <c r="L4111" s="8" t="n">
        <v>307830</v>
      </c>
      <c r="M4111" s="8" t="n">
        <v>446200</v>
      </c>
      <c r="N4111" t="inlineStr">
        <is>
          <t>是</t>
        </is>
      </c>
    </row>
    <row r="4112">
      <c r="A4112" s="7" t="inlineStr">
        <is>
          <t>2024-06-14</t>
        </is>
      </c>
      <c r="B4112" s="8" t="n">
        <v>7697</v>
      </c>
      <c r="C4112" s="8" t="n">
        <v>7700</v>
      </c>
      <c r="D4112" s="8" t="n">
        <v>7719</v>
      </c>
      <c r="E4112" s="8" t="n">
        <v>7666</v>
      </c>
      <c r="F4112" s="8" t="n">
        <v>260077</v>
      </c>
      <c r="G4112" s="8" t="n">
        <v>390121</v>
      </c>
      <c r="H4112" s="8" t="n">
        <v>8566</v>
      </c>
      <c r="I4112" s="8" t="n">
        <v>8596</v>
      </c>
      <c r="J4112" s="8" t="n">
        <v>8599</v>
      </c>
      <c r="K4112" s="8" t="n">
        <v>8537</v>
      </c>
      <c r="L4112" s="8" t="n">
        <v>292042</v>
      </c>
      <c r="M4112" s="8" t="n">
        <v>438069</v>
      </c>
      <c r="N4112" t="inlineStr">
        <is>
          <t>是</t>
        </is>
      </c>
    </row>
    <row r="4113">
      <c r="A4113" s="7" t="inlineStr">
        <is>
          <t>2024-06-17</t>
        </is>
      </c>
      <c r="B4113" s="8" t="n">
        <v>7666</v>
      </c>
      <c r="C4113" s="8" t="n">
        <v>7716</v>
      </c>
      <c r="D4113" s="8" t="n">
        <v>7720</v>
      </c>
      <c r="E4113" s="8" t="n">
        <v>7654</v>
      </c>
      <c r="F4113" s="8" t="n">
        <v>370352</v>
      </c>
      <c r="G4113" s="8" t="n">
        <v>387368</v>
      </c>
      <c r="H4113" s="8" t="n">
        <v>8493</v>
      </c>
      <c r="I4113" s="8" t="n">
        <v>8579</v>
      </c>
      <c r="J4113" s="8" t="n">
        <v>8582</v>
      </c>
      <c r="K4113" s="8" t="n">
        <v>8477</v>
      </c>
      <c r="L4113" s="8" t="n">
        <v>377949</v>
      </c>
      <c r="M4113" s="8" t="n">
        <v>424865</v>
      </c>
      <c r="N4113" t="inlineStr">
        <is>
          <t>是</t>
        </is>
      </c>
    </row>
    <row r="4114">
      <c r="A4114" s="7" t="inlineStr">
        <is>
          <t>2024-06-18</t>
        </is>
      </c>
      <c r="B4114" s="8" t="n">
        <v>7678</v>
      </c>
      <c r="C4114" s="8" t="n">
        <v>7672</v>
      </c>
      <c r="D4114" s="8" t="n">
        <v>7713</v>
      </c>
      <c r="E4114" s="8" t="n">
        <v>7664</v>
      </c>
      <c r="F4114" s="8" t="n">
        <v>261439</v>
      </c>
      <c r="G4114" s="8" t="n">
        <v>376800</v>
      </c>
      <c r="H4114" s="8" t="n">
        <v>8519</v>
      </c>
      <c r="I4114" s="8" t="n">
        <v>8503</v>
      </c>
      <c r="J4114" s="8" t="n">
        <v>8566</v>
      </c>
      <c r="K4114" s="8" t="n">
        <v>8495</v>
      </c>
      <c r="L4114" s="8" t="n">
        <v>285176</v>
      </c>
      <c r="M4114" s="8" t="n">
        <v>417553</v>
      </c>
      <c r="N4114" t="inlineStr">
        <is>
          <t>是</t>
        </is>
      </c>
    </row>
    <row r="4115">
      <c r="A4115" s="7" t="inlineStr">
        <is>
          <t>2024-06-19</t>
        </is>
      </c>
      <c r="B4115" s="8" t="n">
        <v>7747</v>
      </c>
      <c r="C4115" s="8" t="n">
        <v>7672</v>
      </c>
      <c r="D4115" s="8" t="n">
        <v>7775</v>
      </c>
      <c r="E4115" s="8" t="n">
        <v>7672</v>
      </c>
      <c r="F4115" s="8" t="n">
        <v>387556</v>
      </c>
      <c r="G4115" s="8" t="n">
        <v>402003</v>
      </c>
      <c r="H4115" s="8" t="n">
        <v>8576</v>
      </c>
      <c r="I4115" s="8" t="n">
        <v>8528</v>
      </c>
      <c r="J4115" s="8" t="n">
        <v>8598</v>
      </c>
      <c r="K4115" s="8" t="n">
        <v>8509</v>
      </c>
      <c r="L4115" s="8" t="n">
        <v>302525</v>
      </c>
      <c r="M4115" s="8" t="n">
        <v>430387</v>
      </c>
      <c r="N4115" t="inlineStr">
        <is>
          <t>是</t>
        </is>
      </c>
    </row>
    <row r="4116">
      <c r="A4116" s="7" t="inlineStr">
        <is>
          <t>2024-06-20</t>
        </is>
      </c>
      <c r="B4116" s="8" t="n">
        <v>7751</v>
      </c>
      <c r="C4116" s="8" t="n">
        <v>7758</v>
      </c>
      <c r="D4116" s="8" t="n">
        <v>7768</v>
      </c>
      <c r="E4116" s="8" t="n">
        <v>7727</v>
      </c>
      <c r="F4116" s="8" t="n">
        <v>238808</v>
      </c>
      <c r="G4116" s="8" t="n">
        <v>408401</v>
      </c>
      <c r="H4116" s="8" t="n">
        <v>8589</v>
      </c>
      <c r="I4116" s="8" t="n">
        <v>8585</v>
      </c>
      <c r="J4116" s="8" t="n">
        <v>8614</v>
      </c>
      <c r="K4116" s="8" t="n">
        <v>8550</v>
      </c>
      <c r="L4116" s="8" t="n">
        <v>263895</v>
      </c>
      <c r="M4116" s="8" t="n">
        <v>434594</v>
      </c>
      <c r="N4116" t="inlineStr">
        <is>
          <t>是</t>
        </is>
      </c>
    </row>
    <row r="4117">
      <c r="A4117" s="7" t="inlineStr">
        <is>
          <t>2024-06-21</t>
        </is>
      </c>
      <c r="B4117" s="8" t="n">
        <v>7717</v>
      </c>
      <c r="C4117" s="8" t="n">
        <v>7759</v>
      </c>
      <c r="D4117" s="8" t="n">
        <v>7775</v>
      </c>
      <c r="E4117" s="8" t="n">
        <v>7696</v>
      </c>
      <c r="F4117" s="8" t="n">
        <v>350944</v>
      </c>
      <c r="G4117" s="8" t="n">
        <v>393631</v>
      </c>
      <c r="H4117" s="8" t="n">
        <v>8531</v>
      </c>
      <c r="I4117" s="8" t="n">
        <v>8589</v>
      </c>
      <c r="J4117" s="8" t="n">
        <v>8611</v>
      </c>
      <c r="K4117" s="8" t="n">
        <v>8516</v>
      </c>
      <c r="L4117" s="8" t="n">
        <v>343280</v>
      </c>
      <c r="M4117" s="8" t="n">
        <v>414255</v>
      </c>
      <c r="N4117" t="inlineStr">
        <is>
          <t>是</t>
        </is>
      </c>
    </row>
    <row r="4118">
      <c r="A4118" s="7" t="inlineStr">
        <is>
          <t>2024-06-24</t>
        </is>
      </c>
      <c r="B4118" s="8" t="n">
        <v>7680</v>
      </c>
      <c r="C4118" s="8" t="n">
        <v>7720</v>
      </c>
      <c r="D4118" s="8" t="n">
        <v>7720</v>
      </c>
      <c r="E4118" s="8" t="n">
        <v>7651</v>
      </c>
      <c r="F4118" s="8" t="n">
        <v>364846</v>
      </c>
      <c r="G4118" s="8" t="n">
        <v>377412</v>
      </c>
      <c r="H4118" s="8" t="n">
        <v>8482</v>
      </c>
      <c r="I4118" s="8" t="n">
        <v>8531</v>
      </c>
      <c r="J4118" s="8" t="n">
        <v>8533</v>
      </c>
      <c r="K4118" s="8" t="n">
        <v>8460</v>
      </c>
      <c r="L4118" s="8" t="n">
        <v>334842</v>
      </c>
      <c r="M4118" s="8" t="n">
        <v>408417</v>
      </c>
      <c r="N4118" t="inlineStr">
        <is>
          <t>是</t>
        </is>
      </c>
    </row>
    <row r="4119">
      <c r="A4119" s="7" t="inlineStr">
        <is>
          <t>2024-06-25</t>
        </is>
      </c>
      <c r="B4119" s="8" t="n">
        <v>7738</v>
      </c>
      <c r="C4119" s="8" t="n">
        <v>7680</v>
      </c>
      <c r="D4119" s="8" t="n">
        <v>7745</v>
      </c>
      <c r="E4119" s="8" t="n">
        <v>7679</v>
      </c>
      <c r="F4119" s="8" t="n">
        <v>355671</v>
      </c>
      <c r="G4119" s="8" t="n">
        <v>408121</v>
      </c>
      <c r="H4119" s="8" t="n">
        <v>8531</v>
      </c>
      <c r="I4119" s="8" t="n">
        <v>8494</v>
      </c>
      <c r="J4119" s="8" t="n">
        <v>8549</v>
      </c>
      <c r="K4119" s="8" t="n">
        <v>8484</v>
      </c>
      <c r="L4119" s="8" t="n">
        <v>305488</v>
      </c>
      <c r="M4119" s="8" t="n">
        <v>394780</v>
      </c>
      <c r="N4119" t="inlineStr">
        <is>
          <t>是</t>
        </is>
      </c>
    </row>
    <row r="4120">
      <c r="A4120" s="7" t="inlineStr">
        <is>
          <t>2024-06-26</t>
        </is>
      </c>
      <c r="B4120" s="8" t="n">
        <v>7744</v>
      </c>
      <c r="C4120" s="8" t="n">
        <v>7739</v>
      </c>
      <c r="D4120" s="8" t="n">
        <v>7745</v>
      </c>
      <c r="E4120" s="8" t="n">
        <v>7689</v>
      </c>
      <c r="F4120" s="8" t="n">
        <v>282273</v>
      </c>
      <c r="G4120" s="8" t="n">
        <v>420149</v>
      </c>
      <c r="H4120" s="8" t="n">
        <v>8532</v>
      </c>
      <c r="I4120" s="8" t="n">
        <v>8533</v>
      </c>
      <c r="J4120" s="8" t="n">
        <v>8539</v>
      </c>
      <c r="K4120" s="8" t="n">
        <v>8489</v>
      </c>
      <c r="L4120" s="8" t="n">
        <v>259220</v>
      </c>
      <c r="M4120" s="8" t="n">
        <v>400149</v>
      </c>
      <c r="N4120" t="inlineStr">
        <is>
          <t>是</t>
        </is>
      </c>
    </row>
    <row r="4121">
      <c r="A4121" s="7" t="inlineStr">
        <is>
          <t>2024-06-27</t>
        </is>
      </c>
      <c r="B4121" s="8" t="n">
        <v>7736</v>
      </c>
      <c r="C4121" s="8" t="n">
        <v>7738</v>
      </c>
      <c r="D4121" s="8" t="n">
        <v>7757</v>
      </c>
      <c r="E4121" s="8" t="n">
        <v>7721</v>
      </c>
      <c r="F4121" s="8" t="n">
        <v>287604</v>
      </c>
      <c r="G4121" s="8" t="n">
        <v>431996</v>
      </c>
      <c r="H4121" s="8" t="n">
        <v>8518</v>
      </c>
      <c r="I4121" s="8" t="n">
        <v>8515</v>
      </c>
      <c r="J4121" s="8" t="n">
        <v>8546</v>
      </c>
      <c r="K4121" s="8" t="n">
        <v>8504</v>
      </c>
      <c r="L4121" s="8" t="n">
        <v>252605</v>
      </c>
      <c r="M4121" s="8" t="n">
        <v>399974</v>
      </c>
      <c r="N4121" t="inlineStr">
        <is>
          <t>是</t>
        </is>
      </c>
    </row>
    <row r="4122">
      <c r="A4122" s="7" t="inlineStr">
        <is>
          <t>2024-06-28</t>
        </is>
      </c>
      <c r="B4122" s="8" t="n">
        <v>7790</v>
      </c>
      <c r="C4122" s="8" t="n">
        <v>7746</v>
      </c>
      <c r="D4122" s="8" t="n">
        <v>7800</v>
      </c>
      <c r="E4122" s="8" t="n">
        <v>7736</v>
      </c>
      <c r="F4122" s="8" t="n">
        <v>340596</v>
      </c>
      <c r="G4122" s="8" t="n">
        <v>442574</v>
      </c>
      <c r="H4122" s="8" t="n">
        <v>8584</v>
      </c>
      <c r="I4122" s="8" t="n">
        <v>8521</v>
      </c>
      <c r="J4122" s="8" t="n">
        <v>8592</v>
      </c>
      <c r="K4122" s="8" t="n">
        <v>8520</v>
      </c>
      <c r="L4122" s="8" t="n">
        <v>351570</v>
      </c>
      <c r="M4122" s="8" t="n">
        <v>421586</v>
      </c>
      <c r="N4122" t="inlineStr">
        <is>
          <t>是</t>
        </is>
      </c>
    </row>
    <row r="4123">
      <c r="A4123" s="7" t="inlineStr">
        <is>
          <t>2024-07-01</t>
        </is>
      </c>
      <c r="B4123" s="8" t="n">
        <v>7796</v>
      </c>
      <c r="C4123" s="8" t="n">
        <v>7790</v>
      </c>
      <c r="D4123" s="8" t="n">
        <v>7808</v>
      </c>
      <c r="E4123" s="8" t="n">
        <v>7764</v>
      </c>
      <c r="F4123" s="8" t="n">
        <v>257485</v>
      </c>
      <c r="G4123" s="8" t="n">
        <v>452928</v>
      </c>
      <c r="H4123" s="8" t="n">
        <v>8591</v>
      </c>
      <c r="I4123" s="8" t="n">
        <v>8584</v>
      </c>
      <c r="J4123" s="8" t="n">
        <v>8599</v>
      </c>
      <c r="K4123" s="8" t="n">
        <v>8542</v>
      </c>
      <c r="L4123" s="8" t="n">
        <v>270890</v>
      </c>
      <c r="M4123" s="8" t="n">
        <v>421456</v>
      </c>
      <c r="N4123" t="inlineStr">
        <is>
          <t>是</t>
        </is>
      </c>
    </row>
    <row r="4124">
      <c r="A4124" s="7" t="inlineStr">
        <is>
          <t>2024-07-02</t>
        </is>
      </c>
      <c r="B4124" s="8" t="n">
        <v>7847</v>
      </c>
      <c r="C4124" s="8" t="n">
        <v>7796</v>
      </c>
      <c r="D4124" s="8" t="n">
        <v>7850</v>
      </c>
      <c r="E4124" s="8" t="n">
        <v>7787</v>
      </c>
      <c r="F4124" s="8" t="n">
        <v>257202</v>
      </c>
      <c r="G4124" s="8" t="n">
        <v>474406</v>
      </c>
      <c r="H4124" s="8" t="n">
        <v>8655</v>
      </c>
      <c r="I4124" s="8" t="n">
        <v>8585</v>
      </c>
      <c r="J4124" s="8" t="n">
        <v>8662</v>
      </c>
      <c r="K4124" s="8" t="n">
        <v>8580</v>
      </c>
      <c r="L4124" s="8" t="n">
        <v>300550</v>
      </c>
      <c r="M4124" s="8" t="n">
        <v>460641</v>
      </c>
      <c r="N4124" t="inlineStr">
        <is>
          <t>是</t>
        </is>
      </c>
    </row>
    <row r="4125">
      <c r="A4125" s="7" t="inlineStr">
        <is>
          <t>2024-07-03</t>
        </is>
      </c>
      <c r="B4125" s="8" t="n">
        <v>7860</v>
      </c>
      <c r="C4125" s="8" t="n">
        <v>7856</v>
      </c>
      <c r="D4125" s="8" t="n">
        <v>7865</v>
      </c>
      <c r="E4125" s="8" t="n">
        <v>7840</v>
      </c>
      <c r="F4125" s="8" t="n">
        <v>203012</v>
      </c>
      <c r="G4125" s="8" t="n">
        <v>487755</v>
      </c>
      <c r="H4125" s="8" t="n">
        <v>8658</v>
      </c>
      <c r="I4125" s="8" t="n">
        <v>8664</v>
      </c>
      <c r="J4125" s="8" t="n">
        <v>8670</v>
      </c>
      <c r="K4125" s="8" t="n">
        <v>8636</v>
      </c>
      <c r="L4125" s="8" t="n">
        <v>197263</v>
      </c>
      <c r="M4125" s="8" t="n">
        <v>466467</v>
      </c>
      <c r="N4125" t="inlineStr">
        <is>
          <t>是</t>
        </is>
      </c>
    </row>
    <row r="4126">
      <c r="A4126" s="7" t="inlineStr">
        <is>
          <t>2024-07-04</t>
        </is>
      </c>
      <c r="B4126" s="8" t="n">
        <v>7800</v>
      </c>
      <c r="C4126" s="8" t="n">
        <v>7854</v>
      </c>
      <c r="D4126" s="8" t="n">
        <v>7864</v>
      </c>
      <c r="E4126" s="8" t="n">
        <v>7799</v>
      </c>
      <c r="F4126" s="8" t="n">
        <v>249234</v>
      </c>
      <c r="G4126" s="8" t="n">
        <v>491129</v>
      </c>
      <c r="H4126" s="8" t="n">
        <v>8589</v>
      </c>
      <c r="I4126" s="8" t="n">
        <v>8664</v>
      </c>
      <c r="J4126" s="8" t="n">
        <v>8668</v>
      </c>
      <c r="K4126" s="8" t="n">
        <v>8588</v>
      </c>
      <c r="L4126" s="8" t="n">
        <v>242602</v>
      </c>
      <c r="M4126" s="8" t="n">
        <v>446548</v>
      </c>
      <c r="N4126" t="inlineStr">
        <is>
          <t>是</t>
        </is>
      </c>
    </row>
    <row r="4127">
      <c r="A4127" s="7" t="inlineStr">
        <is>
          <t>2024-07-05</t>
        </is>
      </c>
      <c r="B4127" s="8" t="n">
        <v>7743</v>
      </c>
      <c r="C4127" s="8" t="n">
        <v>7803</v>
      </c>
      <c r="D4127" s="8" t="n">
        <v>7814</v>
      </c>
      <c r="E4127" s="8" t="n">
        <v>7732</v>
      </c>
      <c r="F4127" s="8" t="n">
        <v>317031</v>
      </c>
      <c r="G4127" s="8" t="n">
        <v>445277</v>
      </c>
      <c r="H4127" s="8" t="n">
        <v>8520</v>
      </c>
      <c r="I4127" s="8" t="n">
        <v>8593</v>
      </c>
      <c r="J4127" s="8" t="n">
        <v>8601</v>
      </c>
      <c r="K4127" s="8" t="n">
        <v>8510</v>
      </c>
      <c r="L4127" s="8" t="n">
        <v>352124</v>
      </c>
      <c r="M4127" s="8" t="n">
        <v>416972</v>
      </c>
      <c r="N4127" t="inlineStr">
        <is>
          <t>是</t>
        </is>
      </c>
    </row>
    <row r="4128">
      <c r="A4128" s="7" t="inlineStr">
        <is>
          <t>2024-07-08</t>
        </is>
      </c>
      <c r="B4128" s="8" t="n">
        <v>7722</v>
      </c>
      <c r="C4128" s="8" t="n">
        <v>7752</v>
      </c>
      <c r="D4128" s="8" t="n">
        <v>7767</v>
      </c>
      <c r="E4128" s="8" t="n">
        <v>7710</v>
      </c>
      <c r="F4128" s="8" t="n">
        <v>285879</v>
      </c>
      <c r="G4128" s="8" t="n">
        <v>416879</v>
      </c>
      <c r="H4128" s="8" t="n">
        <v>8469</v>
      </c>
      <c r="I4128" s="8" t="n">
        <v>8520</v>
      </c>
      <c r="J4128" s="8" t="n">
        <v>8536</v>
      </c>
      <c r="K4128" s="8" t="n">
        <v>8452</v>
      </c>
      <c r="L4128" s="8" t="n">
        <v>347538</v>
      </c>
      <c r="M4128" s="8" t="n">
        <v>411800</v>
      </c>
      <c r="N4128" t="inlineStr">
        <is>
          <t>是</t>
        </is>
      </c>
    </row>
    <row r="4129">
      <c r="A4129" s="7" t="inlineStr">
        <is>
          <t>2024-07-09</t>
        </is>
      </c>
      <c r="B4129" s="8" t="n">
        <v>7723</v>
      </c>
      <c r="C4129" s="8" t="n">
        <v>7722</v>
      </c>
      <c r="D4129" s="8" t="n">
        <v>7749</v>
      </c>
      <c r="E4129" s="8" t="n">
        <v>7713</v>
      </c>
      <c r="F4129" s="8" t="n">
        <v>222074</v>
      </c>
      <c r="G4129" s="8" t="n">
        <v>405568</v>
      </c>
      <c r="H4129" s="8" t="n">
        <v>8443</v>
      </c>
      <c r="I4129" s="8" t="n">
        <v>8469</v>
      </c>
      <c r="J4129" s="8" t="n">
        <v>8493</v>
      </c>
      <c r="K4129" s="8" t="n">
        <v>8437</v>
      </c>
      <c r="L4129" s="8" t="n">
        <v>290764</v>
      </c>
      <c r="M4129" s="8" t="n">
        <v>414301</v>
      </c>
      <c r="N4129" t="inlineStr">
        <is>
          <t>是</t>
        </is>
      </c>
    </row>
    <row r="4130">
      <c r="A4130" s="7" t="inlineStr">
        <is>
          <t>2024-07-10</t>
        </is>
      </c>
      <c r="B4130" s="8" t="n">
        <v>7669</v>
      </c>
      <c r="C4130" s="8" t="n">
        <v>7720</v>
      </c>
      <c r="D4130" s="8" t="n">
        <v>7723</v>
      </c>
      <c r="E4130" s="8" t="n">
        <v>7656</v>
      </c>
      <c r="F4130" s="8" t="n">
        <v>283722</v>
      </c>
      <c r="G4130" s="8" t="n">
        <v>398650</v>
      </c>
      <c r="H4130" s="8" t="n">
        <v>8385</v>
      </c>
      <c r="I4130" s="8" t="n">
        <v>8436</v>
      </c>
      <c r="J4130" s="8" t="n">
        <v>8447</v>
      </c>
      <c r="K4130" s="8" t="n">
        <v>8377</v>
      </c>
      <c r="L4130" s="8" t="n">
        <v>246206</v>
      </c>
      <c r="M4130" s="8" t="n">
        <v>401707</v>
      </c>
      <c r="N4130" t="inlineStr">
        <is>
          <t>是</t>
        </is>
      </c>
    </row>
    <row r="4131">
      <c r="A4131" s="7" t="inlineStr">
        <is>
          <t>2024-07-11</t>
        </is>
      </c>
      <c r="B4131" s="8" t="n">
        <v>7697</v>
      </c>
      <c r="C4131" s="8" t="n">
        <v>7670</v>
      </c>
      <c r="D4131" s="8" t="n">
        <v>7732</v>
      </c>
      <c r="E4131" s="8" t="n">
        <v>7670</v>
      </c>
      <c r="F4131" s="8" t="n">
        <v>275947</v>
      </c>
      <c r="G4131" s="8" t="n">
        <v>392921</v>
      </c>
      <c r="H4131" s="8" t="n">
        <v>8403</v>
      </c>
      <c r="I4131" s="8" t="n">
        <v>8395</v>
      </c>
      <c r="J4131" s="8" t="n">
        <v>8428</v>
      </c>
      <c r="K4131" s="8" t="n">
        <v>8384</v>
      </c>
      <c r="L4131" s="8" t="n">
        <v>242558</v>
      </c>
      <c r="M4131" s="8" t="n">
        <v>400015</v>
      </c>
      <c r="N4131" t="inlineStr">
        <is>
          <t>是</t>
        </is>
      </c>
    </row>
    <row r="4132">
      <c r="A4132" s="7" t="inlineStr">
        <is>
          <t>2024-07-12</t>
        </is>
      </c>
      <c r="B4132" s="8" t="n">
        <v>7689</v>
      </c>
      <c r="C4132" s="8" t="n">
        <v>7695</v>
      </c>
      <c r="D4132" s="8" t="n">
        <v>7713</v>
      </c>
      <c r="E4132" s="8" t="n">
        <v>7675</v>
      </c>
      <c r="F4132" s="8" t="n">
        <v>204066</v>
      </c>
      <c r="G4132" s="8" t="n">
        <v>387740</v>
      </c>
      <c r="H4132" s="8" t="n">
        <v>8383</v>
      </c>
      <c r="I4132" s="8" t="n">
        <v>8405</v>
      </c>
      <c r="J4132" s="8" t="n">
        <v>8407</v>
      </c>
      <c r="K4132" s="8" t="n">
        <v>8368</v>
      </c>
      <c r="L4132" s="8" t="n">
        <v>227773</v>
      </c>
      <c r="M4132" s="8" t="n">
        <v>397908</v>
      </c>
      <c r="N4132" t="inlineStr">
        <is>
          <t>是</t>
        </is>
      </c>
    </row>
    <row r="4133">
      <c r="A4133" s="7" t="inlineStr">
        <is>
          <t>2024-07-15</t>
        </is>
      </c>
      <c r="B4133" s="8" t="n">
        <v>7682</v>
      </c>
      <c r="C4133" s="8" t="n">
        <v>7700</v>
      </c>
      <c r="D4133" s="8" t="n">
        <v>7708</v>
      </c>
      <c r="E4133" s="8" t="n">
        <v>7666</v>
      </c>
      <c r="F4133" s="8" t="n">
        <v>243805</v>
      </c>
      <c r="G4133" s="8" t="n">
        <v>386831</v>
      </c>
      <c r="H4133" s="8" t="n">
        <v>8370</v>
      </c>
      <c r="I4133" s="8" t="n">
        <v>8388</v>
      </c>
      <c r="J4133" s="8" t="n">
        <v>8406</v>
      </c>
      <c r="K4133" s="8" t="n">
        <v>8361</v>
      </c>
      <c r="L4133" s="8" t="n">
        <v>229190</v>
      </c>
      <c r="M4133" s="8" t="n">
        <v>392414</v>
      </c>
      <c r="N4133" t="inlineStr">
        <is>
          <t>是</t>
        </is>
      </c>
    </row>
    <row r="4134">
      <c r="A4134" s="7" t="inlineStr">
        <is>
          <t>2024-07-16</t>
        </is>
      </c>
      <c r="B4134" s="8" t="n">
        <v>7683</v>
      </c>
      <c r="C4134" s="8" t="n">
        <v>7683</v>
      </c>
      <c r="D4134" s="8" t="n">
        <v>7704</v>
      </c>
      <c r="E4134" s="8" t="n">
        <v>7663</v>
      </c>
      <c r="F4134" s="8" t="n">
        <v>248521</v>
      </c>
      <c r="G4134" s="8" t="n">
        <v>377958</v>
      </c>
      <c r="H4134" s="8" t="n">
        <v>8379</v>
      </c>
      <c r="I4134" s="8" t="n">
        <v>8370</v>
      </c>
      <c r="J4134" s="8" t="n">
        <v>8396</v>
      </c>
      <c r="K4134" s="8" t="n">
        <v>8351</v>
      </c>
      <c r="L4134" s="8" t="n">
        <v>215680</v>
      </c>
      <c r="M4134" s="8" t="n">
        <v>384916</v>
      </c>
      <c r="N4134" t="inlineStr">
        <is>
          <t>是</t>
        </is>
      </c>
    </row>
    <row r="4135">
      <c r="A4135" s="7" t="inlineStr">
        <is>
          <t>2024-07-17</t>
        </is>
      </c>
      <c r="B4135" s="8" t="n">
        <v>7664</v>
      </c>
      <c r="C4135" s="8" t="n">
        <v>7665</v>
      </c>
      <c r="D4135" s="8" t="n">
        <v>7712</v>
      </c>
      <c r="E4135" s="8" t="n">
        <v>7640</v>
      </c>
      <c r="F4135" s="8" t="n">
        <v>259656</v>
      </c>
      <c r="G4135" s="8" t="n">
        <v>375729</v>
      </c>
      <c r="H4135" s="8" t="n">
        <v>8383</v>
      </c>
      <c r="I4135" s="8" t="n">
        <v>8371</v>
      </c>
      <c r="J4135" s="8" t="n">
        <v>8428</v>
      </c>
      <c r="K4135" s="8" t="n">
        <v>8364</v>
      </c>
      <c r="L4135" s="8" t="n">
        <v>242769</v>
      </c>
      <c r="M4135" s="8" t="n">
        <v>383705</v>
      </c>
      <c r="N4135" t="inlineStr">
        <is>
          <t>是</t>
        </is>
      </c>
    </row>
    <row r="4136">
      <c r="A4136" s="7" t="inlineStr">
        <is>
          <t>2024-07-18</t>
        </is>
      </c>
      <c r="B4136" s="8" t="n">
        <v>7681</v>
      </c>
      <c r="C4136" s="8" t="n">
        <v>7664</v>
      </c>
      <c r="D4136" s="8" t="n">
        <v>7691</v>
      </c>
      <c r="E4136" s="8" t="n">
        <v>7653</v>
      </c>
      <c r="F4136" s="8" t="n">
        <v>224706</v>
      </c>
      <c r="G4136" s="8" t="n">
        <v>360360</v>
      </c>
      <c r="H4136" s="8" t="n">
        <v>8399</v>
      </c>
      <c r="I4136" s="8" t="n">
        <v>8384</v>
      </c>
      <c r="J4136" s="8" t="n">
        <v>8408</v>
      </c>
      <c r="K4136" s="8" t="n">
        <v>8365</v>
      </c>
      <c r="L4136" s="8" t="n">
        <v>200266</v>
      </c>
      <c r="M4136" s="8" t="n">
        <v>392531</v>
      </c>
      <c r="N4136" t="inlineStr">
        <is>
          <t>是</t>
        </is>
      </c>
    </row>
    <row r="4137">
      <c r="A4137" s="7" t="inlineStr">
        <is>
          <t>2024-07-19</t>
        </is>
      </c>
      <c r="B4137" s="8" t="n">
        <v>7638</v>
      </c>
      <c r="C4137" s="8" t="n">
        <v>7669</v>
      </c>
      <c r="D4137" s="8" t="n">
        <v>7688</v>
      </c>
      <c r="E4137" s="8" t="n">
        <v>7638</v>
      </c>
      <c r="F4137" s="8" t="n">
        <v>257427</v>
      </c>
      <c r="G4137" s="8" t="n">
        <v>371605</v>
      </c>
      <c r="H4137" s="8" t="n">
        <v>8369</v>
      </c>
      <c r="I4137" s="8" t="n">
        <v>8389</v>
      </c>
      <c r="J4137" s="8" t="n">
        <v>8400</v>
      </c>
      <c r="K4137" s="8" t="n">
        <v>8356</v>
      </c>
      <c r="L4137" s="8" t="n">
        <v>207982</v>
      </c>
      <c r="M4137" s="8" t="n">
        <v>389135</v>
      </c>
      <c r="N4137" t="inlineStr">
        <is>
          <t>是</t>
        </is>
      </c>
    </row>
    <row r="4138">
      <c r="A4138" s="7" t="inlineStr">
        <is>
          <t>2024-07-22</t>
        </is>
      </c>
      <c r="B4138" s="8" t="n">
        <v>7612</v>
      </c>
      <c r="C4138" s="8" t="n">
        <v>7638</v>
      </c>
      <c r="D4138" s="8" t="n">
        <v>7644</v>
      </c>
      <c r="E4138" s="8" t="n">
        <v>7586</v>
      </c>
      <c r="F4138" s="8" t="n">
        <v>319980</v>
      </c>
      <c r="G4138" s="8" t="n">
        <v>372734</v>
      </c>
      <c r="H4138" s="8" t="n">
        <v>8352</v>
      </c>
      <c r="I4138" s="8" t="n">
        <v>8369</v>
      </c>
      <c r="J4138" s="8" t="n">
        <v>8374</v>
      </c>
      <c r="K4138" s="8" t="n">
        <v>8312</v>
      </c>
      <c r="L4138" s="8" t="n">
        <v>293825</v>
      </c>
      <c r="M4138" s="8" t="n">
        <v>387848</v>
      </c>
      <c r="N4138" t="inlineStr">
        <is>
          <t>是</t>
        </is>
      </c>
    </row>
    <row r="4139">
      <c r="A4139" s="7" t="inlineStr">
        <is>
          <t>2024-07-23</t>
        </is>
      </c>
      <c r="B4139" s="8" t="n">
        <v>7603</v>
      </c>
      <c r="C4139" s="8" t="n">
        <v>7605</v>
      </c>
      <c r="D4139" s="8" t="n">
        <v>7632</v>
      </c>
      <c r="E4139" s="8" t="n">
        <v>7600</v>
      </c>
      <c r="F4139" s="8" t="n">
        <v>194950</v>
      </c>
      <c r="G4139" s="8" t="n">
        <v>366248</v>
      </c>
      <c r="H4139" s="8" t="n">
        <v>8310</v>
      </c>
      <c r="I4139" s="8" t="n">
        <v>8345</v>
      </c>
      <c r="J4139" s="8" t="n">
        <v>8362</v>
      </c>
      <c r="K4139" s="8" t="n">
        <v>8305</v>
      </c>
      <c r="L4139" s="8" t="n">
        <v>191843</v>
      </c>
      <c r="M4139" s="8" t="n">
        <v>389869</v>
      </c>
      <c r="N4139" t="inlineStr">
        <is>
          <t>是</t>
        </is>
      </c>
    </row>
    <row r="4140">
      <c r="A4140" s="7" t="inlineStr">
        <is>
          <t>2024-07-24</t>
        </is>
      </c>
      <c r="B4140" s="8" t="n">
        <v>7617</v>
      </c>
      <c r="C4140" s="8" t="n">
        <v>7595</v>
      </c>
      <c r="D4140" s="8" t="n">
        <v>7628</v>
      </c>
      <c r="E4140" s="8" t="n">
        <v>7576</v>
      </c>
      <c r="F4140" s="8" t="n">
        <v>225929</v>
      </c>
      <c r="G4140" s="8" t="n">
        <v>359735</v>
      </c>
      <c r="H4140" s="8" t="n">
        <v>8313</v>
      </c>
      <c r="I4140" s="8" t="n">
        <v>8303</v>
      </c>
      <c r="J4140" s="8" t="n">
        <v>8326</v>
      </c>
      <c r="K4140" s="8" t="n">
        <v>8255</v>
      </c>
      <c r="L4140" s="8" t="n">
        <v>248098</v>
      </c>
      <c r="M4140" s="8" t="n">
        <v>389621</v>
      </c>
      <c r="N4140" t="inlineStr">
        <is>
          <t>是</t>
        </is>
      </c>
    </row>
    <row r="4141">
      <c r="A4141" s="7" t="inlineStr">
        <is>
          <t>2024-07-25</t>
        </is>
      </c>
      <c r="B4141" s="8" t="n">
        <v>7573</v>
      </c>
      <c r="C4141" s="8" t="n">
        <v>7626</v>
      </c>
      <c r="D4141" s="8" t="n">
        <v>7629</v>
      </c>
      <c r="E4141" s="8" t="n">
        <v>7567</v>
      </c>
      <c r="F4141" s="8" t="n">
        <v>193245</v>
      </c>
      <c r="G4141" s="8" t="n">
        <v>359179</v>
      </c>
      <c r="H4141" s="8" t="n">
        <v>8280</v>
      </c>
      <c r="I4141" s="8" t="n">
        <v>8313</v>
      </c>
      <c r="J4141" s="8" t="n">
        <v>8322</v>
      </c>
      <c r="K4141" s="8" t="n">
        <v>8271</v>
      </c>
      <c r="L4141" s="8" t="n">
        <v>175850</v>
      </c>
      <c r="M4141" s="8" t="n">
        <v>377047</v>
      </c>
      <c r="N4141" t="inlineStr">
        <is>
          <t>是</t>
        </is>
      </c>
    </row>
    <row r="4142">
      <c r="A4142" s="7" t="inlineStr">
        <is>
          <t>2024-07-26</t>
        </is>
      </c>
      <c r="B4142" s="8" t="n">
        <v>7607</v>
      </c>
      <c r="C4142" s="8" t="n">
        <v>7568</v>
      </c>
      <c r="D4142" s="8" t="n">
        <v>7634</v>
      </c>
      <c r="E4142" s="8" t="n">
        <v>7566</v>
      </c>
      <c r="F4142" s="8" t="n">
        <v>212557</v>
      </c>
      <c r="G4142" s="8" t="n">
        <v>348257</v>
      </c>
      <c r="H4142" s="8" t="n">
        <v>8291</v>
      </c>
      <c r="I4142" s="8" t="n">
        <v>8288</v>
      </c>
      <c r="J4142" s="8" t="n">
        <v>8320</v>
      </c>
      <c r="K4142" s="8" t="n">
        <v>8274</v>
      </c>
      <c r="L4142" s="8" t="n">
        <v>189848</v>
      </c>
      <c r="M4142" s="8" t="n">
        <v>375332</v>
      </c>
      <c r="N4142" t="inlineStr">
        <is>
          <t>是</t>
        </is>
      </c>
    </row>
    <row r="4143">
      <c r="A4143" s="7" t="inlineStr">
        <is>
          <t>2024-07-29</t>
        </is>
      </c>
      <c r="B4143" s="8" t="n">
        <v>7602</v>
      </c>
      <c r="C4143" s="8" t="n">
        <v>7599</v>
      </c>
      <c r="D4143" s="8" t="n">
        <v>7620</v>
      </c>
      <c r="E4143" s="8" t="n">
        <v>7560</v>
      </c>
      <c r="F4143" s="8" t="n">
        <v>308325</v>
      </c>
      <c r="G4143" s="8" t="n">
        <v>339038</v>
      </c>
      <c r="H4143" s="8" t="n">
        <v>8236</v>
      </c>
      <c r="I4143" s="8" t="n">
        <v>8280</v>
      </c>
      <c r="J4143" s="8" t="n">
        <v>8285</v>
      </c>
      <c r="K4143" s="8" t="n">
        <v>8214</v>
      </c>
      <c r="L4143" s="8" t="n">
        <v>266585</v>
      </c>
      <c r="M4143" s="8" t="n">
        <v>367422</v>
      </c>
      <c r="N4143" t="inlineStr">
        <is>
          <t>是</t>
        </is>
      </c>
    </row>
    <row r="4144">
      <c r="A4144" s="7" t="inlineStr">
        <is>
          <t>2024-07-30</t>
        </is>
      </c>
      <c r="B4144" s="8" t="n">
        <v>7535</v>
      </c>
      <c r="C4144" s="8" t="n">
        <v>7602</v>
      </c>
      <c r="D4144" s="8" t="n">
        <v>7603</v>
      </c>
      <c r="E4144" s="8" t="n">
        <v>7533</v>
      </c>
      <c r="F4144" s="8" t="n">
        <v>231642</v>
      </c>
      <c r="G4144" s="8" t="n">
        <v>354806</v>
      </c>
      <c r="H4144" s="8" t="n">
        <v>8172</v>
      </c>
      <c r="I4144" s="8" t="n">
        <v>8234</v>
      </c>
      <c r="J4144" s="8" t="n">
        <v>8245</v>
      </c>
      <c r="K4144" s="8" t="n">
        <v>8164</v>
      </c>
      <c r="L4144" s="8" t="n">
        <v>240515</v>
      </c>
      <c r="M4144" s="8" t="n">
        <v>344350</v>
      </c>
      <c r="N4144" t="inlineStr">
        <is>
          <t>是</t>
        </is>
      </c>
    </row>
    <row r="4145">
      <c r="A4145" s="7" t="inlineStr">
        <is>
          <t>2024-07-31</t>
        </is>
      </c>
      <c r="B4145" s="8" t="n">
        <v>7637</v>
      </c>
      <c r="C4145" s="8" t="n">
        <v>7531</v>
      </c>
      <c r="D4145" s="8" t="n">
        <v>7640</v>
      </c>
      <c r="E4145" s="8" t="n">
        <v>7531</v>
      </c>
      <c r="F4145" s="8" t="n">
        <v>288119</v>
      </c>
      <c r="G4145" s="8" t="n">
        <v>329803</v>
      </c>
      <c r="H4145" s="8" t="n">
        <v>8256</v>
      </c>
      <c r="I4145" s="8" t="n">
        <v>8172</v>
      </c>
      <c r="J4145" s="8" t="n">
        <v>8266</v>
      </c>
      <c r="K4145" s="8" t="n">
        <v>8156</v>
      </c>
      <c r="L4145" s="8" t="n">
        <v>224533</v>
      </c>
      <c r="M4145" s="8" t="n">
        <v>327987</v>
      </c>
      <c r="N4145" t="inlineStr">
        <is>
          <t>是</t>
        </is>
      </c>
    </row>
    <row r="4146">
      <c r="A4146" s="7" t="inlineStr">
        <is>
          <t>2024-08-01</t>
        </is>
      </c>
      <c r="B4146" s="8" t="n">
        <v>7643</v>
      </c>
      <c r="C4146" s="8" t="n">
        <v>7645</v>
      </c>
      <c r="D4146" s="8" t="n">
        <v>7688</v>
      </c>
      <c r="E4146" s="8" t="n">
        <v>7630</v>
      </c>
      <c r="F4146" s="8" t="n">
        <v>288986</v>
      </c>
      <c r="G4146" s="8" t="n">
        <v>307637</v>
      </c>
      <c r="H4146" s="8" t="n">
        <v>8271</v>
      </c>
      <c r="I4146" s="8" t="n">
        <v>8270</v>
      </c>
      <c r="J4146" s="8" t="n">
        <v>8328</v>
      </c>
      <c r="K4146" s="8" t="n">
        <v>8260</v>
      </c>
      <c r="L4146" s="8" t="n">
        <v>242516</v>
      </c>
      <c r="M4146" s="8" t="n">
        <v>309188</v>
      </c>
      <c r="N4146" t="inlineStr">
        <is>
          <t>是</t>
        </is>
      </c>
    </row>
    <row r="4147">
      <c r="A4147" s="7" t="inlineStr">
        <is>
          <t>2024-08-02</t>
        </is>
      </c>
      <c r="B4147" s="8" t="n">
        <v>7659</v>
      </c>
      <c r="C4147" s="8" t="n">
        <v>7643</v>
      </c>
      <c r="D4147" s="8" t="n">
        <v>7678</v>
      </c>
      <c r="E4147" s="8" t="n">
        <v>7622</v>
      </c>
      <c r="F4147" s="8" t="n">
        <v>208364</v>
      </c>
      <c r="G4147" s="8" t="n">
        <v>301105</v>
      </c>
      <c r="H4147" s="8" t="n">
        <v>8303</v>
      </c>
      <c r="I4147" s="8" t="n">
        <v>8271</v>
      </c>
      <c r="J4147" s="8" t="n">
        <v>8305</v>
      </c>
      <c r="K4147" s="8" t="n">
        <v>8247</v>
      </c>
      <c r="L4147" s="8" t="n">
        <v>184838</v>
      </c>
      <c r="M4147" s="8" t="n">
        <v>301070</v>
      </c>
      <c r="N4147" t="inlineStr">
        <is>
          <t>是</t>
        </is>
      </c>
    </row>
    <row r="4148">
      <c r="A4148" s="7" t="inlineStr">
        <is>
          <t>2024-08-05</t>
        </is>
      </c>
      <c r="B4148" s="8" t="n">
        <v>7572</v>
      </c>
      <c r="C4148" s="8" t="n">
        <v>7634</v>
      </c>
      <c r="D4148" s="8" t="n">
        <v>7638</v>
      </c>
      <c r="E4148" s="8" t="n">
        <v>7566</v>
      </c>
      <c r="F4148" s="8" t="n">
        <v>312862</v>
      </c>
      <c r="G4148" s="8" t="n">
        <v>278735</v>
      </c>
      <c r="H4148" s="8" t="n">
        <v>8232</v>
      </c>
      <c r="I4148" s="8" t="n">
        <v>8280</v>
      </c>
      <c r="J4148" s="8" t="n">
        <v>8285</v>
      </c>
      <c r="K4148" s="8" t="n">
        <v>8206</v>
      </c>
      <c r="L4148" s="8" t="n">
        <v>258574</v>
      </c>
      <c r="M4148" s="8" t="n">
        <v>288325</v>
      </c>
      <c r="N4148" t="inlineStr">
        <is>
          <t>是</t>
        </is>
      </c>
    </row>
    <row r="4149">
      <c r="A4149" s="7" t="inlineStr">
        <is>
          <t>2024-08-06</t>
        </is>
      </c>
      <c r="B4149" s="8" t="n">
        <v>7550</v>
      </c>
      <c r="C4149" s="8" t="n">
        <v>7556</v>
      </c>
      <c r="D4149" s="8" t="n">
        <v>7587</v>
      </c>
      <c r="E4149" s="8" t="n">
        <v>7550</v>
      </c>
      <c r="F4149" s="8" t="n">
        <v>206156</v>
      </c>
      <c r="G4149" s="8" t="n">
        <v>270682</v>
      </c>
      <c r="H4149" s="8" t="n">
        <v>8216</v>
      </c>
      <c r="I4149" s="8" t="n">
        <v>8220</v>
      </c>
      <c r="J4149" s="8" t="n">
        <v>8256</v>
      </c>
      <c r="K4149" s="8" t="n">
        <v>8203</v>
      </c>
      <c r="L4149" s="8" t="n">
        <v>170229</v>
      </c>
      <c r="M4149" s="8" t="n">
        <v>285107</v>
      </c>
      <c r="N4149" t="inlineStr">
        <is>
          <t>是</t>
        </is>
      </c>
    </row>
    <row r="4150">
      <c r="A4150" s="7" t="inlineStr">
        <is>
          <t>2024-08-07</t>
        </is>
      </c>
      <c r="B4150" s="8" t="n">
        <v>7527</v>
      </c>
      <c r="C4150" s="8" t="n">
        <v>7531</v>
      </c>
      <c r="D4150" s="8" t="n">
        <v>7574</v>
      </c>
      <c r="E4150" s="8" t="n">
        <v>7523</v>
      </c>
      <c r="F4150" s="8" t="n">
        <v>195055</v>
      </c>
      <c r="G4150" s="8" t="n">
        <v>272248</v>
      </c>
      <c r="H4150" s="8" t="n">
        <v>8195</v>
      </c>
      <c r="I4150" s="8" t="n">
        <v>8210</v>
      </c>
      <c r="J4150" s="8" t="n">
        <v>8241</v>
      </c>
      <c r="K4150" s="8" t="n">
        <v>8190</v>
      </c>
      <c r="L4150" s="8" t="n">
        <v>192681</v>
      </c>
      <c r="M4150" s="8" t="n">
        <v>278554</v>
      </c>
      <c r="N4150" t="inlineStr">
        <is>
          <t>是</t>
        </is>
      </c>
    </row>
    <row r="4151">
      <c r="A4151" s="7" t="inlineStr">
        <is>
          <t>2024-08-08</t>
        </is>
      </c>
      <c r="B4151" s="8" t="n">
        <v>7521</v>
      </c>
      <c r="C4151" s="8" t="n">
        <v>7549</v>
      </c>
      <c r="D4151" s="8" t="n">
        <v>7571</v>
      </c>
      <c r="E4151" s="8" t="n">
        <v>7513</v>
      </c>
      <c r="F4151" s="8" t="n">
        <v>228659</v>
      </c>
      <c r="G4151" s="8" t="n">
        <v>257124</v>
      </c>
      <c r="H4151" s="8" t="n">
        <v>8155</v>
      </c>
      <c r="I4151" s="8" t="n">
        <v>8211</v>
      </c>
      <c r="J4151" s="8" t="n">
        <v>8222</v>
      </c>
      <c r="K4151" s="8" t="n">
        <v>8145</v>
      </c>
      <c r="L4151" s="8" t="n">
        <v>247271</v>
      </c>
      <c r="M4151" s="8" t="n">
        <v>268706</v>
      </c>
      <c r="N4151" t="inlineStr">
        <is>
          <t>是</t>
        </is>
      </c>
    </row>
    <row r="4152">
      <c r="A4152" s="7" t="inlineStr">
        <is>
          <t>2024-08-09</t>
        </is>
      </c>
      <c r="B4152" s="8" t="n">
        <v>7534</v>
      </c>
      <c r="C4152" s="8" t="n">
        <v>7523</v>
      </c>
      <c r="D4152" s="8" t="n">
        <v>7582</v>
      </c>
      <c r="E4152" s="8" t="n">
        <v>7515</v>
      </c>
      <c r="F4152" s="8" t="n">
        <v>213147</v>
      </c>
      <c r="G4152" s="8" t="n">
        <v>239181</v>
      </c>
      <c r="H4152" s="8" t="n">
        <v>8150</v>
      </c>
      <c r="I4152" s="8" t="n">
        <v>8162</v>
      </c>
      <c r="J4152" s="8" t="n">
        <v>8220</v>
      </c>
      <c r="K4152" s="8" t="n">
        <v>8139</v>
      </c>
      <c r="L4152" s="8" t="n">
        <v>212001</v>
      </c>
      <c r="M4152" s="8" t="n">
        <v>245646</v>
      </c>
      <c r="N4152" t="inlineStr">
        <is>
          <t>是</t>
        </is>
      </c>
    </row>
    <row r="4153">
      <c r="A4153" s="7" t="inlineStr">
        <is>
          <t>2024-08-12</t>
        </is>
      </c>
      <c r="B4153" s="8" t="n">
        <v>7556</v>
      </c>
      <c r="C4153" s="8" t="n">
        <v>7536</v>
      </c>
      <c r="D4153" s="8" t="n">
        <v>7559</v>
      </c>
      <c r="E4153" s="8" t="n">
        <v>7501</v>
      </c>
      <c r="F4153" s="8" t="n">
        <v>196249</v>
      </c>
      <c r="G4153" s="8" t="n">
        <v>223510</v>
      </c>
      <c r="H4153" s="8" t="n">
        <v>8183</v>
      </c>
      <c r="I4153" s="8" t="n">
        <v>8166</v>
      </c>
      <c r="J4153" s="8" t="n">
        <v>8184</v>
      </c>
      <c r="K4153" s="8" t="n">
        <v>8106</v>
      </c>
      <c r="L4153" s="8" t="n">
        <v>195086</v>
      </c>
      <c r="M4153" s="8" t="n">
        <v>234962</v>
      </c>
      <c r="N4153" t="inlineStr">
        <is>
          <t>是</t>
        </is>
      </c>
    </row>
    <row r="4154">
      <c r="A4154" s="7" t="inlineStr">
        <is>
          <t>2024-08-13</t>
        </is>
      </c>
      <c r="B4154" s="8" t="n">
        <v>7585</v>
      </c>
      <c r="C4154" s="8" t="n">
        <v>7571</v>
      </c>
      <c r="D4154" s="8" t="n">
        <v>7619</v>
      </c>
      <c r="E4154" s="8" t="n">
        <v>7559</v>
      </c>
      <c r="F4154" s="8" t="n">
        <v>217720</v>
      </c>
      <c r="G4154" s="8" t="n">
        <v>190925</v>
      </c>
      <c r="H4154" s="8" t="n">
        <v>8190</v>
      </c>
      <c r="I4154" s="8" t="n">
        <v>8202</v>
      </c>
      <c r="J4154" s="8" t="n">
        <v>8241</v>
      </c>
      <c r="K4154" s="8" t="n">
        <v>8171</v>
      </c>
      <c r="L4154" s="8" t="n">
        <v>189813</v>
      </c>
      <c r="M4154" s="8" t="n">
        <v>209592</v>
      </c>
      <c r="N4154" t="inlineStr">
        <is>
          <t>是</t>
        </is>
      </c>
    </row>
    <row r="4155">
      <c r="A4155" s="7" t="inlineStr">
        <is>
          <t>2024-08-14</t>
        </is>
      </c>
      <c r="B4155" s="8" t="n">
        <v>7562</v>
      </c>
      <c r="C4155" s="8" t="n">
        <v>7580</v>
      </c>
      <c r="D4155" s="8" t="n">
        <v>7587</v>
      </c>
      <c r="E4155" s="8" t="n">
        <v>7544</v>
      </c>
      <c r="F4155" s="8" t="n">
        <v>168827</v>
      </c>
      <c r="G4155" s="8" t="n">
        <v>159491</v>
      </c>
      <c r="H4155" s="8" t="n">
        <v>8185</v>
      </c>
      <c r="I4155" s="8" t="n">
        <v>8190</v>
      </c>
      <c r="J4155" s="8" t="n">
        <v>8215</v>
      </c>
      <c r="K4155" s="8" t="n">
        <v>8153</v>
      </c>
      <c r="L4155" s="8" t="n">
        <v>183358</v>
      </c>
      <c r="M4155" s="8" t="n">
        <v>178891</v>
      </c>
      <c r="N4155" t="inlineStr">
        <is>
          <t>是</t>
        </is>
      </c>
    </row>
    <row r="4156">
      <c r="A4156" s="7" t="inlineStr">
        <is>
          <t>2024-08-15</t>
        </is>
      </c>
      <c r="B4156" s="8" t="n">
        <v>7533</v>
      </c>
      <c r="C4156" s="8" t="n">
        <v>7568</v>
      </c>
      <c r="D4156" s="8" t="n">
        <v>7568</v>
      </c>
      <c r="E4156" s="8" t="n">
        <v>7504</v>
      </c>
      <c r="F4156" s="8" t="n">
        <v>154568</v>
      </c>
      <c r="G4156" s="8" t="n">
        <v>144463</v>
      </c>
      <c r="H4156" s="8" t="n">
        <v>8176</v>
      </c>
      <c r="I4156" s="8" t="n">
        <v>8190</v>
      </c>
      <c r="J4156" s="8" t="n">
        <v>8194</v>
      </c>
      <c r="K4156" s="8" t="n">
        <v>8118</v>
      </c>
      <c r="L4156" s="8" t="n">
        <v>168358</v>
      </c>
      <c r="M4156" s="8" t="n">
        <v>156459</v>
      </c>
      <c r="N4156" t="inlineStr">
        <is>
          <t>是</t>
        </is>
      </c>
    </row>
    <row r="4157">
      <c r="A4157" s="7" t="inlineStr">
        <is>
          <t>2024-08-16</t>
        </is>
      </c>
      <c r="B4157" s="8" t="n">
        <v>7489</v>
      </c>
      <c r="C4157" s="8" t="n">
        <v>7500</v>
      </c>
      <c r="D4157" s="8" t="n">
        <v>7542</v>
      </c>
      <c r="E4157" s="8" t="n">
        <v>7485</v>
      </c>
      <c r="F4157" s="8" t="n">
        <v>258504</v>
      </c>
      <c r="G4157" s="8" t="n">
        <v>305050</v>
      </c>
      <c r="H4157" s="8" t="n">
        <v>8028</v>
      </c>
      <c r="I4157" s="8" t="n">
        <v>8094</v>
      </c>
      <c r="J4157" s="8" t="n">
        <v>8127</v>
      </c>
      <c r="K4157" s="8" t="n">
        <v>8026</v>
      </c>
      <c r="L4157" s="8" t="n">
        <v>292814</v>
      </c>
      <c r="M4157" s="8" t="n">
        <v>349759</v>
      </c>
      <c r="N4157" t="inlineStr">
        <is>
          <t>是</t>
        </is>
      </c>
    </row>
    <row r="4158">
      <c r="A4158" s="7" t="inlineStr">
        <is>
          <t>2024-08-19</t>
        </is>
      </c>
      <c r="B4158" s="8" t="n">
        <v>7514</v>
      </c>
      <c r="C4158" s="8" t="n">
        <v>7480</v>
      </c>
      <c r="D4158" s="8" t="n">
        <v>7539</v>
      </c>
      <c r="E4158" s="8" t="n">
        <v>7474</v>
      </c>
      <c r="F4158" s="8" t="n">
        <v>267040</v>
      </c>
      <c r="G4158" s="8" t="n">
        <v>321490</v>
      </c>
      <c r="H4158" s="8" t="n">
        <v>8056</v>
      </c>
      <c r="I4158" s="8" t="n">
        <v>8002</v>
      </c>
      <c r="J4158" s="8" t="n">
        <v>8072</v>
      </c>
      <c r="K4158" s="8" t="n">
        <v>7985</v>
      </c>
      <c r="L4158" s="8" t="n">
        <v>254952</v>
      </c>
      <c r="M4158" s="8" t="n">
        <v>358701</v>
      </c>
      <c r="N4158" t="inlineStr">
        <is>
          <t>是</t>
        </is>
      </c>
    </row>
    <row r="4159">
      <c r="A4159" s="7" t="inlineStr">
        <is>
          <t>2024-08-20</t>
        </is>
      </c>
      <c r="B4159" s="8" t="n">
        <v>7513</v>
      </c>
      <c r="C4159" s="8" t="n">
        <v>7504</v>
      </c>
      <c r="D4159" s="8" t="n">
        <v>7540</v>
      </c>
      <c r="E4159" s="8" t="n">
        <v>7452</v>
      </c>
      <c r="F4159" s="8" t="n">
        <v>400964</v>
      </c>
      <c r="G4159" s="8" t="n">
        <v>338633</v>
      </c>
      <c r="H4159" s="8" t="n">
        <v>8036</v>
      </c>
      <c r="I4159" s="8" t="n">
        <v>8056</v>
      </c>
      <c r="J4159" s="8" t="n">
        <v>8084</v>
      </c>
      <c r="K4159" s="8" t="n">
        <v>7960</v>
      </c>
      <c r="L4159" s="8" t="n">
        <v>350097</v>
      </c>
      <c r="M4159" s="8" t="n">
        <v>385962</v>
      </c>
      <c r="N4159" t="inlineStr">
        <is>
          <t>是</t>
        </is>
      </c>
    </row>
    <row r="4160">
      <c r="A4160" s="7" t="inlineStr">
        <is>
          <t>2024-08-21</t>
        </is>
      </c>
      <c r="B4160" s="8" t="n">
        <v>7562</v>
      </c>
      <c r="C4160" s="8" t="n">
        <v>7520</v>
      </c>
      <c r="D4160" s="8" t="n">
        <v>7569</v>
      </c>
      <c r="E4160" s="8" t="n">
        <v>7516</v>
      </c>
      <c r="F4160" s="8" t="n">
        <v>321705</v>
      </c>
      <c r="G4160" s="8" t="n">
        <v>346589</v>
      </c>
      <c r="H4160" s="8" t="n">
        <v>8062</v>
      </c>
      <c r="I4160" s="8" t="n">
        <v>8031</v>
      </c>
      <c r="J4160" s="8" t="n">
        <v>8068</v>
      </c>
      <c r="K4160" s="8" t="n">
        <v>8005</v>
      </c>
      <c r="L4160" s="8" t="n">
        <v>272998</v>
      </c>
      <c r="M4160" s="8" t="n">
        <v>384750</v>
      </c>
      <c r="N4160" t="inlineStr">
        <is>
          <t>是</t>
        </is>
      </c>
    </row>
    <row r="4161">
      <c r="A4161" s="7" t="inlineStr">
        <is>
          <t>2024-08-22</t>
        </is>
      </c>
      <c r="B4161" s="8" t="n">
        <v>7529</v>
      </c>
      <c r="C4161" s="8" t="n">
        <v>7560</v>
      </c>
      <c r="D4161" s="8" t="n">
        <v>7594</v>
      </c>
      <c r="E4161" s="8" t="n">
        <v>7527</v>
      </c>
      <c r="F4161" s="8" t="n">
        <v>300067</v>
      </c>
      <c r="G4161" s="8" t="n">
        <v>350506</v>
      </c>
      <c r="H4161" s="8" t="n">
        <v>8059</v>
      </c>
      <c r="I4161" s="8" t="n">
        <v>8070</v>
      </c>
      <c r="J4161" s="8" t="n">
        <v>8117</v>
      </c>
      <c r="K4161" s="8" t="n">
        <v>8053</v>
      </c>
      <c r="L4161" s="8" t="n">
        <v>307085</v>
      </c>
      <c r="M4161" s="8" t="n">
        <v>383880</v>
      </c>
      <c r="N4161" t="inlineStr">
        <is>
          <t>是</t>
        </is>
      </c>
    </row>
    <row r="4162">
      <c r="A4162" s="7" t="inlineStr">
        <is>
          <t>2024-08-23</t>
        </is>
      </c>
      <c r="B4162" s="8" t="n">
        <v>7506</v>
      </c>
      <c r="C4162" s="8" t="n">
        <v>7529</v>
      </c>
      <c r="D4162" s="8" t="n">
        <v>7546</v>
      </c>
      <c r="E4162" s="8" t="n">
        <v>7502</v>
      </c>
      <c r="F4162" s="8" t="n">
        <v>271464</v>
      </c>
      <c r="G4162" s="8" t="n">
        <v>358125</v>
      </c>
      <c r="H4162" s="8" t="n">
        <v>8013</v>
      </c>
      <c r="I4162" s="8" t="n">
        <v>8070</v>
      </c>
      <c r="J4162" s="8" t="n">
        <v>8085</v>
      </c>
      <c r="K4162" s="8" t="n">
        <v>8011</v>
      </c>
      <c r="L4162" s="8" t="n">
        <v>241515</v>
      </c>
      <c r="M4162" s="8" t="n">
        <v>402841</v>
      </c>
      <c r="N4162" t="inlineStr">
        <is>
          <t>是</t>
        </is>
      </c>
    </row>
    <row r="4163">
      <c r="A4163" s="7" t="inlineStr">
        <is>
          <t>2024-08-26</t>
        </is>
      </c>
      <c r="B4163" s="8" t="n">
        <v>7605</v>
      </c>
      <c r="C4163" s="8" t="n">
        <v>7521</v>
      </c>
      <c r="D4163" s="8" t="n">
        <v>7615</v>
      </c>
      <c r="E4163" s="8" t="n">
        <v>7515</v>
      </c>
      <c r="F4163" s="8" t="n">
        <v>355268</v>
      </c>
      <c r="G4163" s="8" t="n">
        <v>372837</v>
      </c>
      <c r="H4163" s="8" t="n">
        <v>8116</v>
      </c>
      <c r="I4163" s="8" t="n">
        <v>8029</v>
      </c>
      <c r="J4163" s="8" t="n">
        <v>8123</v>
      </c>
      <c r="K4163" s="8" t="n">
        <v>8012</v>
      </c>
      <c r="L4163" s="8" t="n">
        <v>321786</v>
      </c>
      <c r="M4163" s="8" t="n">
        <v>394464</v>
      </c>
      <c r="N4163" t="inlineStr">
        <is>
          <t>是</t>
        </is>
      </c>
    </row>
    <row r="4164">
      <c r="A4164" s="7" t="inlineStr">
        <is>
          <t>2024-08-27</t>
        </is>
      </c>
      <c r="B4164" s="8" t="n">
        <v>7647</v>
      </c>
      <c r="C4164" s="8" t="n">
        <v>7630</v>
      </c>
      <c r="D4164" s="8" t="n">
        <v>7655</v>
      </c>
      <c r="E4164" s="8" t="n">
        <v>7618</v>
      </c>
      <c r="F4164" s="8" t="n">
        <v>271500</v>
      </c>
      <c r="G4164" s="8" t="n">
        <v>382581</v>
      </c>
      <c r="H4164" s="8" t="n">
        <v>8165</v>
      </c>
      <c r="I4164" s="8" t="n">
        <v>8140</v>
      </c>
      <c r="J4164" s="8" t="n">
        <v>8176</v>
      </c>
      <c r="K4164" s="8" t="n">
        <v>8135</v>
      </c>
      <c r="L4164" s="8" t="n">
        <v>258292</v>
      </c>
      <c r="M4164" s="8" t="n">
        <v>381429</v>
      </c>
      <c r="N4164" t="inlineStr">
        <is>
          <t>是</t>
        </is>
      </c>
    </row>
    <row r="4165">
      <c r="A4165" s="7" t="inlineStr">
        <is>
          <t>2024-08-28</t>
        </is>
      </c>
      <c r="B4165" s="8" t="n">
        <v>7630</v>
      </c>
      <c r="C4165" s="8" t="n">
        <v>7647</v>
      </c>
      <c r="D4165" s="8" t="n">
        <v>7649</v>
      </c>
      <c r="E4165" s="8" t="n">
        <v>7620</v>
      </c>
      <c r="F4165" s="8" t="n">
        <v>220554</v>
      </c>
      <c r="G4165" s="8" t="n">
        <v>383012</v>
      </c>
      <c r="H4165" s="8" t="n">
        <v>8133</v>
      </c>
      <c r="I4165" s="8" t="n">
        <v>8160</v>
      </c>
      <c r="J4165" s="8" t="n">
        <v>8169</v>
      </c>
      <c r="K4165" s="8" t="n">
        <v>8129</v>
      </c>
      <c r="L4165" s="8" t="n">
        <v>208724</v>
      </c>
      <c r="M4165" s="8" t="n">
        <v>376681</v>
      </c>
      <c r="N4165" t="inlineStr">
        <is>
          <t>是</t>
        </is>
      </c>
    </row>
    <row r="4166">
      <c r="A4166" s="7" t="inlineStr">
        <is>
          <t>2024-08-29</t>
        </is>
      </c>
      <c r="B4166" s="8" t="n">
        <v>7622</v>
      </c>
      <c r="C4166" s="8" t="n">
        <v>7616</v>
      </c>
      <c r="D4166" s="8" t="n">
        <v>7647</v>
      </c>
      <c r="E4166" s="8" t="n">
        <v>7610</v>
      </c>
      <c r="F4166" s="8" t="n">
        <v>194627</v>
      </c>
      <c r="G4166" s="8" t="n">
        <v>396830</v>
      </c>
      <c r="H4166" s="8" t="n">
        <v>8137</v>
      </c>
      <c r="I4166" s="8" t="n">
        <v>8119</v>
      </c>
      <c r="J4166" s="8" t="n">
        <v>8157</v>
      </c>
      <c r="K4166" s="8" t="n">
        <v>8113</v>
      </c>
      <c r="L4166" s="8" t="n">
        <v>183322</v>
      </c>
      <c r="M4166" s="8" t="n">
        <v>382357</v>
      </c>
      <c r="N4166" t="inlineStr">
        <is>
          <t>是</t>
        </is>
      </c>
    </row>
    <row r="4167">
      <c r="A4167" s="7" t="inlineStr">
        <is>
          <t>2024-08-30</t>
        </is>
      </c>
      <c r="B4167" s="8" t="n">
        <v>7628</v>
      </c>
      <c r="C4167" s="8" t="n">
        <v>7630</v>
      </c>
      <c r="D4167" s="8" t="n">
        <v>7653</v>
      </c>
      <c r="E4167" s="8" t="n">
        <v>7619</v>
      </c>
      <c r="F4167" s="8" t="n">
        <v>221499</v>
      </c>
      <c r="G4167" s="8" t="n">
        <v>396971</v>
      </c>
      <c r="H4167" s="8" t="n">
        <v>8152</v>
      </c>
      <c r="I4167" s="8" t="n">
        <v>8136</v>
      </c>
      <c r="J4167" s="8" t="n">
        <v>8175</v>
      </c>
      <c r="K4167" s="8" t="n">
        <v>8130</v>
      </c>
      <c r="L4167" s="8" t="n">
        <v>201719</v>
      </c>
      <c r="M4167" s="8" t="n">
        <v>385467</v>
      </c>
      <c r="N4167" t="inlineStr">
        <is>
          <t>是</t>
        </is>
      </c>
    </row>
    <row r="4168">
      <c r="A4168" s="7" t="inlineStr">
        <is>
          <t>2024-09-02</t>
        </is>
      </c>
      <c r="B4168" s="8" t="n">
        <v>7538</v>
      </c>
      <c r="C4168" s="8" t="n">
        <v>7628</v>
      </c>
      <c r="D4168" s="8" t="n">
        <v>7628</v>
      </c>
      <c r="E4168" s="8" t="n">
        <v>7532</v>
      </c>
      <c r="F4168" s="8" t="n">
        <v>339594</v>
      </c>
      <c r="G4168" s="8" t="n">
        <v>391837</v>
      </c>
      <c r="H4168" s="8" t="n">
        <v>8038</v>
      </c>
      <c r="I4168" s="8" t="n">
        <v>8152</v>
      </c>
      <c r="J4168" s="8" t="n">
        <v>8152</v>
      </c>
      <c r="K4168" s="8" t="n">
        <v>8031</v>
      </c>
      <c r="L4168" s="8" t="n">
        <v>294690</v>
      </c>
      <c r="M4168" s="8" t="n">
        <v>388601</v>
      </c>
      <c r="N4168" t="inlineStr">
        <is>
          <t>是</t>
        </is>
      </c>
    </row>
    <row r="4169">
      <c r="A4169" s="7" t="inlineStr">
        <is>
          <t>2024-09-03</t>
        </is>
      </c>
      <c r="B4169" s="8" t="n">
        <v>7509</v>
      </c>
      <c r="C4169" s="8" t="n">
        <v>7549</v>
      </c>
      <c r="D4169" s="8" t="n">
        <v>7563</v>
      </c>
      <c r="E4169" s="8" t="n">
        <v>7505</v>
      </c>
      <c r="F4169" s="8" t="n">
        <v>256244</v>
      </c>
      <c r="G4169" s="8" t="n">
        <v>384631</v>
      </c>
      <c r="H4169" s="8" t="n">
        <v>8038</v>
      </c>
      <c r="I4169" s="8" t="n">
        <v>8055</v>
      </c>
      <c r="J4169" s="8" t="n">
        <v>8069</v>
      </c>
      <c r="K4169" s="8" t="n">
        <v>8024</v>
      </c>
      <c r="L4169" s="8" t="n">
        <v>199101</v>
      </c>
      <c r="M4169" s="8" t="n">
        <v>398792</v>
      </c>
      <c r="N4169" t="inlineStr">
        <is>
          <t>是</t>
        </is>
      </c>
    </row>
    <row r="4170">
      <c r="A4170" s="7" t="inlineStr">
        <is>
          <t>2024-09-04</t>
        </is>
      </c>
      <c r="B4170" s="8" t="n">
        <v>7388</v>
      </c>
      <c r="C4170" s="8" t="n">
        <v>7490</v>
      </c>
      <c r="D4170" s="8" t="n">
        <v>7496</v>
      </c>
      <c r="E4170" s="8" t="n">
        <v>7381</v>
      </c>
      <c r="F4170" s="8" t="n">
        <v>502561</v>
      </c>
      <c r="G4170" s="8" t="n">
        <v>441596</v>
      </c>
      <c r="H4170" s="8" t="n">
        <v>7938</v>
      </c>
      <c r="I4170" s="8" t="n">
        <v>7999</v>
      </c>
      <c r="J4170" s="8" t="n">
        <v>8013</v>
      </c>
      <c r="K4170" s="8" t="n">
        <v>7930</v>
      </c>
      <c r="L4170" s="8" t="n">
        <v>370030</v>
      </c>
      <c r="M4170" s="8" t="n">
        <v>408097</v>
      </c>
      <c r="N4170" t="inlineStr">
        <is>
          <t>是</t>
        </is>
      </c>
    </row>
    <row r="4171">
      <c r="A4171" s="7" t="inlineStr">
        <is>
          <t>2024-09-05</t>
        </is>
      </c>
      <c r="B4171" s="8" t="n">
        <v>7342</v>
      </c>
      <c r="C4171" s="8" t="n">
        <v>7396</v>
      </c>
      <c r="D4171" s="8" t="n">
        <v>7399</v>
      </c>
      <c r="E4171" s="8" t="n">
        <v>7328</v>
      </c>
      <c r="F4171" s="8" t="n">
        <v>349972</v>
      </c>
      <c r="G4171" s="8" t="n">
        <v>473287</v>
      </c>
      <c r="H4171" s="8" t="n">
        <v>7897</v>
      </c>
      <c r="I4171" s="8" t="n">
        <v>7950</v>
      </c>
      <c r="J4171" s="8" t="n">
        <v>7974</v>
      </c>
      <c r="K4171" s="8" t="n">
        <v>7891</v>
      </c>
      <c r="L4171" s="8" t="n">
        <v>264811</v>
      </c>
      <c r="M4171" s="8" t="n">
        <v>405525</v>
      </c>
      <c r="N4171" t="inlineStr">
        <is>
          <t>是</t>
        </is>
      </c>
    </row>
    <row r="4172">
      <c r="A4172" s="7" t="inlineStr">
        <is>
          <t>2024-09-06</t>
        </is>
      </c>
      <c r="B4172" s="8" t="n">
        <v>7341</v>
      </c>
      <c r="C4172" s="8" t="n">
        <v>7352</v>
      </c>
      <c r="D4172" s="8" t="n">
        <v>7391</v>
      </c>
      <c r="E4172" s="8" t="n">
        <v>7325</v>
      </c>
      <c r="F4172" s="8" t="n">
        <v>355187</v>
      </c>
      <c r="G4172" s="8" t="n">
        <v>477597</v>
      </c>
      <c r="H4172" s="8" t="n">
        <v>7946</v>
      </c>
      <c r="I4172" s="8" t="n">
        <v>7902</v>
      </c>
      <c r="J4172" s="8" t="n">
        <v>7977</v>
      </c>
      <c r="K4172" s="8" t="n">
        <v>7902</v>
      </c>
      <c r="L4172" s="8" t="n">
        <v>298458</v>
      </c>
      <c r="M4172" s="8" t="n">
        <v>405610</v>
      </c>
      <c r="N4172" t="inlineStr">
        <is>
          <t>是</t>
        </is>
      </c>
    </row>
    <row r="4173">
      <c r="A4173" s="7" t="inlineStr">
        <is>
          <t>2024-09-09</t>
        </is>
      </c>
      <c r="B4173" s="8" t="n">
        <v>7319</v>
      </c>
      <c r="C4173" s="8" t="n">
        <v>7341</v>
      </c>
      <c r="D4173" s="8" t="n">
        <v>7354</v>
      </c>
      <c r="E4173" s="8" t="n">
        <v>7268</v>
      </c>
      <c r="F4173" s="8" t="n">
        <v>339581</v>
      </c>
      <c r="G4173" s="8" t="n">
        <v>481555</v>
      </c>
      <c r="H4173" s="8" t="n">
        <v>7938</v>
      </c>
      <c r="I4173" s="8" t="n">
        <v>7932</v>
      </c>
      <c r="J4173" s="8" t="n">
        <v>7956</v>
      </c>
      <c r="K4173" s="8" t="n">
        <v>7873</v>
      </c>
      <c r="L4173" s="8" t="n">
        <v>288971</v>
      </c>
      <c r="M4173" s="8" t="n">
        <v>404235</v>
      </c>
      <c r="N4173" t="inlineStr">
        <is>
          <t>是</t>
        </is>
      </c>
    </row>
    <row r="4174">
      <c r="A4174" s="7" t="inlineStr">
        <is>
          <t>2024-09-10</t>
        </is>
      </c>
      <c r="B4174" s="8" t="n">
        <v>7275</v>
      </c>
      <c r="C4174" s="8" t="n">
        <v>7319</v>
      </c>
      <c r="D4174" s="8" t="n">
        <v>7337</v>
      </c>
      <c r="E4174" s="8" t="n">
        <v>7260</v>
      </c>
      <c r="F4174" s="8" t="n">
        <v>293716</v>
      </c>
      <c r="G4174" s="8" t="n">
        <v>491941</v>
      </c>
      <c r="H4174" s="8" t="n">
        <v>7912</v>
      </c>
      <c r="I4174" s="8" t="n">
        <v>7928</v>
      </c>
      <c r="J4174" s="8" t="n">
        <v>7968</v>
      </c>
      <c r="K4174" s="8" t="n">
        <v>7899</v>
      </c>
      <c r="L4174" s="8" t="n">
        <v>283096</v>
      </c>
      <c r="M4174" s="8" t="n">
        <v>407430</v>
      </c>
      <c r="N4174" t="inlineStr">
        <is>
          <t>是</t>
        </is>
      </c>
    </row>
    <row r="4175">
      <c r="A4175" s="7" t="inlineStr">
        <is>
          <t>2024-09-11</t>
        </is>
      </c>
      <c r="B4175" s="8" t="n">
        <v>7292</v>
      </c>
      <c r="C4175" s="8" t="n">
        <v>7275</v>
      </c>
      <c r="D4175" s="8" t="n">
        <v>7293</v>
      </c>
      <c r="E4175" s="8" t="n">
        <v>7204</v>
      </c>
      <c r="F4175" s="8" t="n">
        <v>364843</v>
      </c>
      <c r="G4175" s="8" t="n">
        <v>485048</v>
      </c>
      <c r="H4175" s="8" t="n">
        <v>7931</v>
      </c>
      <c r="I4175" s="8" t="n">
        <v>7891</v>
      </c>
      <c r="J4175" s="8" t="n">
        <v>7935</v>
      </c>
      <c r="K4175" s="8" t="n">
        <v>7823</v>
      </c>
      <c r="L4175" s="8" t="n">
        <v>368627</v>
      </c>
      <c r="M4175" s="8" t="n">
        <v>412331</v>
      </c>
      <c r="N4175" t="inlineStr">
        <is>
          <t>是</t>
        </is>
      </c>
    </row>
    <row r="4176">
      <c r="A4176" s="7" t="inlineStr">
        <is>
          <t>2024-09-12</t>
        </is>
      </c>
      <c r="B4176" s="8" t="n">
        <v>7325</v>
      </c>
      <c r="C4176" s="8" t="n">
        <v>7298</v>
      </c>
      <c r="D4176" s="8" t="n">
        <v>7343</v>
      </c>
      <c r="E4176" s="8" t="n">
        <v>7245</v>
      </c>
      <c r="F4176" s="8" t="n">
        <v>335085</v>
      </c>
      <c r="G4176" s="8" t="n">
        <v>480515</v>
      </c>
      <c r="H4176" s="8" t="n">
        <v>7980</v>
      </c>
      <c r="I4176" s="8" t="n">
        <v>7940</v>
      </c>
      <c r="J4176" s="8" t="n">
        <v>7998</v>
      </c>
      <c r="K4176" s="8" t="n">
        <v>7922</v>
      </c>
      <c r="L4176" s="8" t="n">
        <v>302484</v>
      </c>
      <c r="M4176" s="8" t="n">
        <v>408702</v>
      </c>
      <c r="N4176" t="inlineStr">
        <is>
          <t>是</t>
        </is>
      </c>
    </row>
    <row r="4177">
      <c r="A4177" s="7" t="inlineStr">
        <is>
          <t>2024-09-13</t>
        </is>
      </c>
      <c r="B4177" s="8" t="n">
        <v>7264</v>
      </c>
      <c r="C4177" s="8" t="n">
        <v>7308</v>
      </c>
      <c r="D4177" s="8" t="n">
        <v>7317</v>
      </c>
      <c r="E4177" s="8" t="n">
        <v>7258</v>
      </c>
      <c r="F4177" s="8" t="n">
        <v>283176</v>
      </c>
      <c r="G4177" s="8" t="n">
        <v>482777</v>
      </c>
      <c r="H4177" s="8" t="n">
        <v>7905</v>
      </c>
      <c r="I4177" s="8" t="n">
        <v>7968</v>
      </c>
      <c r="J4177" s="8" t="n">
        <v>7975</v>
      </c>
      <c r="K4177" s="8" t="n">
        <v>7900</v>
      </c>
      <c r="L4177" s="8" t="n">
        <v>255445</v>
      </c>
      <c r="M4177" s="8" t="n">
        <v>390887</v>
      </c>
      <c r="N4177" t="inlineStr">
        <is>
          <t>是</t>
        </is>
      </c>
    </row>
    <row r="4178">
      <c r="A4178" s="7" t="inlineStr">
        <is>
          <t>2024-09-18</t>
        </is>
      </c>
      <c r="B4178" s="8" t="n">
        <v>7267</v>
      </c>
      <c r="C4178" s="8" t="n">
        <v>7285</v>
      </c>
      <c r="D4178" s="8" t="n">
        <v>7298</v>
      </c>
      <c r="E4178" s="8" t="n">
        <v>7225</v>
      </c>
      <c r="F4178" s="8" t="n">
        <v>264510</v>
      </c>
      <c r="G4178" s="8" t="n">
        <v>483105</v>
      </c>
      <c r="H4178" s="8" t="n">
        <v>7870</v>
      </c>
      <c r="I4178" s="8" t="n">
        <v>7926</v>
      </c>
      <c r="J4178" s="8" t="n">
        <v>7965</v>
      </c>
      <c r="K4178" s="8" t="n">
        <v>7841</v>
      </c>
      <c r="L4178" s="8" t="n">
        <v>252006</v>
      </c>
      <c r="M4178" s="8" t="n">
        <v>389910</v>
      </c>
      <c r="N4178" t="inlineStr">
        <is>
          <t>是</t>
        </is>
      </c>
    </row>
    <row r="4179">
      <c r="A4179" s="7" t="inlineStr">
        <is>
          <t>2024-09-19</t>
        </is>
      </c>
      <c r="B4179" s="8" t="n">
        <v>7333</v>
      </c>
      <c r="C4179" s="8" t="n">
        <v>7277</v>
      </c>
      <c r="D4179" s="8" t="n">
        <v>7339</v>
      </c>
      <c r="E4179" s="8" t="n">
        <v>7235</v>
      </c>
      <c r="F4179" s="8" t="n">
        <v>328034</v>
      </c>
      <c r="G4179" s="8" t="n">
        <v>481253</v>
      </c>
      <c r="H4179" s="8" t="n">
        <v>7959</v>
      </c>
      <c r="I4179" s="8" t="n">
        <v>7890</v>
      </c>
      <c r="J4179" s="8" t="n">
        <v>7962</v>
      </c>
      <c r="K4179" s="8" t="n">
        <v>7828</v>
      </c>
      <c r="L4179" s="8" t="n">
        <v>284108</v>
      </c>
      <c r="M4179" s="8" t="n">
        <v>394026</v>
      </c>
      <c r="N4179" t="inlineStr">
        <is>
          <t>是</t>
        </is>
      </c>
    </row>
    <row r="4180">
      <c r="A4180" s="7" t="inlineStr">
        <is>
          <t>2024-09-20</t>
        </is>
      </c>
      <c r="B4180" s="8" t="n">
        <v>7303</v>
      </c>
      <c r="C4180" s="8" t="n">
        <v>7345</v>
      </c>
      <c r="D4180" s="8" t="n">
        <v>7353</v>
      </c>
      <c r="E4180" s="8" t="n">
        <v>7291</v>
      </c>
      <c r="F4180" s="8" t="n">
        <v>307895</v>
      </c>
      <c r="G4180" s="8" t="n">
        <v>512524</v>
      </c>
      <c r="H4180" s="8" t="n">
        <v>7941</v>
      </c>
      <c r="I4180" s="8" t="n">
        <v>7980</v>
      </c>
      <c r="J4180" s="8" t="n">
        <v>7980</v>
      </c>
      <c r="K4180" s="8" t="n">
        <v>7915</v>
      </c>
      <c r="L4180" s="8" t="n">
        <v>229149</v>
      </c>
      <c r="M4180" s="8" t="n">
        <v>395604</v>
      </c>
      <c r="N4180" t="inlineStr">
        <is>
          <t>是</t>
        </is>
      </c>
    </row>
    <row r="4181">
      <c r="A4181" s="7" t="inlineStr">
        <is>
          <t>2024-09-23</t>
        </is>
      </c>
      <c r="B4181" s="8" t="n">
        <v>7233</v>
      </c>
      <c r="C4181" s="8" t="n">
        <v>7290</v>
      </c>
      <c r="D4181" s="8" t="n">
        <v>7295</v>
      </c>
      <c r="E4181" s="8" t="n">
        <v>7227</v>
      </c>
      <c r="F4181" s="8" t="n">
        <v>374179</v>
      </c>
      <c r="G4181" s="8" t="n">
        <v>552439</v>
      </c>
      <c r="H4181" s="8" t="n">
        <v>7844</v>
      </c>
      <c r="I4181" s="8" t="n">
        <v>7935</v>
      </c>
      <c r="J4181" s="8" t="n">
        <v>7935</v>
      </c>
      <c r="K4181" s="8" t="n">
        <v>7829</v>
      </c>
      <c r="L4181" s="8" t="n">
        <v>319132</v>
      </c>
      <c r="M4181" s="8" t="n">
        <v>400896</v>
      </c>
      <c r="N4181" t="inlineStr">
        <is>
          <t>是</t>
        </is>
      </c>
    </row>
    <row r="4182">
      <c r="A4182" s="7" t="inlineStr">
        <is>
          <t>2024-09-24</t>
        </is>
      </c>
      <c r="B4182" s="8" t="n">
        <v>7360</v>
      </c>
      <c r="C4182" s="8" t="n">
        <v>7242</v>
      </c>
      <c r="D4182" s="8" t="n">
        <v>7372</v>
      </c>
      <c r="E4182" s="8" t="n">
        <v>7222</v>
      </c>
      <c r="F4182" s="8" t="n">
        <v>408157</v>
      </c>
      <c r="G4182" s="8" t="n">
        <v>525436</v>
      </c>
      <c r="H4182" s="8" t="n">
        <v>7969</v>
      </c>
      <c r="I4182" s="8" t="n">
        <v>7844</v>
      </c>
      <c r="J4182" s="8" t="n">
        <v>7978</v>
      </c>
      <c r="K4182" s="8" t="n">
        <v>7834</v>
      </c>
      <c r="L4182" s="8" t="n">
        <v>355041</v>
      </c>
      <c r="M4182" s="8" t="n">
        <v>398709</v>
      </c>
      <c r="N4182" t="inlineStr">
        <is>
          <t>是</t>
        </is>
      </c>
    </row>
    <row r="4183">
      <c r="A4183" s="7" t="inlineStr">
        <is>
          <t>2024-09-25</t>
        </is>
      </c>
      <c r="B4183" s="8" t="n">
        <v>7383</v>
      </c>
      <c r="C4183" s="8" t="n">
        <v>7375</v>
      </c>
      <c r="D4183" s="8" t="n">
        <v>7441</v>
      </c>
      <c r="E4183" s="8" t="n">
        <v>7369</v>
      </c>
      <c r="F4183" s="8" t="n">
        <v>428241</v>
      </c>
      <c r="G4183" s="8" t="n">
        <v>459186</v>
      </c>
      <c r="H4183" s="8" t="n">
        <v>7982</v>
      </c>
      <c r="I4183" s="8" t="n">
        <v>7980</v>
      </c>
      <c r="J4183" s="8" t="n">
        <v>8048</v>
      </c>
      <c r="K4183" s="8" t="n">
        <v>7976</v>
      </c>
      <c r="L4183" s="8" t="n">
        <v>370230</v>
      </c>
      <c r="M4183" s="8" t="n">
        <v>385692</v>
      </c>
      <c r="N4183" t="inlineStr">
        <is>
          <t>是</t>
        </is>
      </c>
    </row>
    <row r="4184">
      <c r="A4184" s="7" t="inlineStr">
        <is>
          <t>2024-09-26</t>
        </is>
      </c>
      <c r="B4184" s="8" t="n">
        <v>7368</v>
      </c>
      <c r="C4184" s="8" t="n">
        <v>7345</v>
      </c>
      <c r="D4184" s="8" t="n">
        <v>7408</v>
      </c>
      <c r="E4184" s="8" t="n">
        <v>7334</v>
      </c>
      <c r="F4184" s="8" t="n">
        <v>331246</v>
      </c>
      <c r="G4184" s="8" t="n">
        <v>437654</v>
      </c>
      <c r="H4184" s="8" t="n">
        <v>7970</v>
      </c>
      <c r="I4184" s="8" t="n">
        <v>7949</v>
      </c>
      <c r="J4184" s="8" t="n">
        <v>8016</v>
      </c>
      <c r="K4184" s="8" t="n">
        <v>7932</v>
      </c>
      <c r="L4184" s="8" t="n">
        <v>280630</v>
      </c>
      <c r="M4184" s="8" t="n">
        <v>369753</v>
      </c>
      <c r="N4184" t="inlineStr">
        <is>
          <t>是</t>
        </is>
      </c>
    </row>
    <row r="4185">
      <c r="A4185" s="7" t="inlineStr">
        <is>
          <t>2024-09-27</t>
        </is>
      </c>
      <c r="B4185" s="8" t="n">
        <v>7435</v>
      </c>
      <c r="C4185" s="8" t="n">
        <v>7388</v>
      </c>
      <c r="D4185" s="8" t="n">
        <v>7445</v>
      </c>
      <c r="E4185" s="8" t="n">
        <v>7369</v>
      </c>
      <c r="F4185" s="8" t="n">
        <v>317926</v>
      </c>
      <c r="G4185" s="8" t="n">
        <v>403504</v>
      </c>
      <c r="H4185" s="8" t="n">
        <v>8052</v>
      </c>
      <c r="I4185" s="8" t="n">
        <v>7980</v>
      </c>
      <c r="J4185" s="8" t="n">
        <v>8062</v>
      </c>
      <c r="K4185" s="8" t="n">
        <v>7972</v>
      </c>
      <c r="L4185" s="8" t="n">
        <v>305385</v>
      </c>
      <c r="M4185" s="8" t="n">
        <v>363847</v>
      </c>
      <c r="N4185" t="inlineStr">
        <is>
          <t>是</t>
        </is>
      </c>
    </row>
    <row r="4186">
      <c r="A4186" s="7" t="inlineStr">
        <is>
          <t>2024-09-30</t>
        </is>
      </c>
      <c r="B4186" s="8" t="n">
        <v>7594</v>
      </c>
      <c r="C4186" s="8" t="n">
        <v>7435</v>
      </c>
      <c r="D4186" s="8" t="n">
        <v>7612</v>
      </c>
      <c r="E4186" s="8" t="n">
        <v>7416</v>
      </c>
      <c r="F4186" s="8" t="n">
        <v>431225</v>
      </c>
      <c r="G4186" s="8" t="n">
        <v>357315</v>
      </c>
      <c r="H4186" s="8" t="n">
        <v>8199</v>
      </c>
      <c r="I4186" s="8" t="n">
        <v>8050</v>
      </c>
      <c r="J4186" s="8" t="n">
        <v>8233</v>
      </c>
      <c r="K4186" s="8" t="n">
        <v>8033</v>
      </c>
      <c r="L4186" s="8" t="n">
        <v>348968</v>
      </c>
      <c r="M4186" s="8" t="n">
        <v>337940</v>
      </c>
      <c r="N4186" t="inlineStr">
        <is>
          <t>是</t>
        </is>
      </c>
    </row>
    <row r="4187">
      <c r="A4187" s="7" t="inlineStr">
        <is>
          <t>2024-10-08</t>
        </is>
      </c>
      <c r="B4187" s="8" t="n">
        <v>7720</v>
      </c>
      <c r="C4187" s="8" t="n">
        <v>7785</v>
      </c>
      <c r="D4187" s="8" t="n">
        <v>7797</v>
      </c>
      <c r="E4187" s="8" t="n">
        <v>7687</v>
      </c>
      <c r="F4187" s="8" t="n">
        <v>413681</v>
      </c>
      <c r="G4187" s="8" t="n">
        <v>328833</v>
      </c>
      <c r="H4187" s="8" t="n">
        <v>8293</v>
      </c>
      <c r="I4187" s="8" t="n">
        <v>8350</v>
      </c>
      <c r="J4187" s="8" t="n">
        <v>8381</v>
      </c>
      <c r="K4187" s="8" t="n">
        <v>8285</v>
      </c>
      <c r="L4187" s="8" t="n">
        <v>347965</v>
      </c>
      <c r="M4187" s="8" t="n">
        <v>323934</v>
      </c>
      <c r="N4187" t="inlineStr">
        <is>
          <t>是</t>
        </is>
      </c>
    </row>
    <row r="4188">
      <c r="A4188" s="7" t="inlineStr">
        <is>
          <t>2024-10-09</t>
        </is>
      </c>
      <c r="B4188" s="8" t="n">
        <v>7655</v>
      </c>
      <c r="C4188" s="8" t="n">
        <v>7720</v>
      </c>
      <c r="D4188" s="8" t="n">
        <v>7725</v>
      </c>
      <c r="E4188" s="8" t="n">
        <v>7617</v>
      </c>
      <c r="F4188" s="8" t="n">
        <v>376544</v>
      </c>
      <c r="G4188" s="8" t="n">
        <v>346523</v>
      </c>
      <c r="H4188" s="8" t="n">
        <v>8274</v>
      </c>
      <c r="I4188" s="8" t="n">
        <v>8300</v>
      </c>
      <c r="J4188" s="8" t="n">
        <v>8311</v>
      </c>
      <c r="K4188" s="8" t="n">
        <v>8218</v>
      </c>
      <c r="L4188" s="8" t="n">
        <v>341710</v>
      </c>
      <c r="M4188" s="8" t="n">
        <v>344691</v>
      </c>
      <c r="N4188" t="inlineStr">
        <is>
          <t>是</t>
        </is>
      </c>
    </row>
    <row r="4189">
      <c r="A4189" s="7" t="inlineStr">
        <is>
          <t>2024-10-10</t>
        </is>
      </c>
      <c r="B4189" s="8" t="n">
        <v>7630</v>
      </c>
      <c r="C4189" s="8" t="n">
        <v>7649</v>
      </c>
      <c r="D4189" s="8" t="n">
        <v>7672</v>
      </c>
      <c r="E4189" s="8" t="n">
        <v>7592</v>
      </c>
      <c r="F4189" s="8" t="n">
        <v>301620</v>
      </c>
      <c r="G4189" s="8" t="n">
        <v>354480</v>
      </c>
      <c r="H4189" s="8" t="n">
        <v>8261</v>
      </c>
      <c r="I4189" s="8" t="n">
        <v>8265</v>
      </c>
      <c r="J4189" s="8" t="n">
        <v>8297</v>
      </c>
      <c r="K4189" s="8" t="n">
        <v>8206</v>
      </c>
      <c r="L4189" s="8" t="n">
        <v>307833</v>
      </c>
      <c r="M4189" s="8" t="n">
        <v>354300</v>
      </c>
      <c r="N4189" t="inlineStr">
        <is>
          <t>是</t>
        </is>
      </c>
    </row>
    <row r="4190">
      <c r="A4190" s="7" t="inlineStr">
        <is>
          <t>2024-10-11</t>
        </is>
      </c>
      <c r="B4190" s="8" t="n">
        <v>7662</v>
      </c>
      <c r="C4190" s="8" t="n">
        <v>7645</v>
      </c>
      <c r="D4190" s="8" t="n">
        <v>7676</v>
      </c>
      <c r="E4190" s="8" t="n">
        <v>7632</v>
      </c>
      <c r="F4190" s="8" t="n">
        <v>255502</v>
      </c>
      <c r="G4190" s="8" t="n">
        <v>345602</v>
      </c>
      <c r="H4190" s="8" t="n">
        <v>8303</v>
      </c>
      <c r="I4190" s="8" t="n">
        <v>8265</v>
      </c>
      <c r="J4190" s="8" t="n">
        <v>8316</v>
      </c>
      <c r="K4190" s="8" t="n">
        <v>8258</v>
      </c>
      <c r="L4190" s="8" t="n">
        <v>276807</v>
      </c>
      <c r="M4190" s="8" t="n">
        <v>366371</v>
      </c>
      <c r="N4190" t="inlineStr">
        <is>
          <t>是</t>
        </is>
      </c>
    </row>
    <row r="4191">
      <c r="A4191" s="7" t="inlineStr">
        <is>
          <t>2024-10-14</t>
        </is>
      </c>
      <c r="B4191" s="8" t="n">
        <v>7643</v>
      </c>
      <c r="C4191" s="8" t="n">
        <v>7654</v>
      </c>
      <c r="D4191" s="8" t="n">
        <v>7694</v>
      </c>
      <c r="E4191" s="8" t="n">
        <v>7623</v>
      </c>
      <c r="F4191" s="8" t="n">
        <v>290030</v>
      </c>
      <c r="G4191" s="8" t="n">
        <v>354032</v>
      </c>
      <c r="H4191" s="8" t="n">
        <v>8298</v>
      </c>
      <c r="I4191" s="8" t="n">
        <v>8305</v>
      </c>
      <c r="J4191" s="8" t="n">
        <v>8348</v>
      </c>
      <c r="K4191" s="8" t="n">
        <v>8275</v>
      </c>
      <c r="L4191" s="8" t="n">
        <v>285044</v>
      </c>
      <c r="M4191" s="8" t="n">
        <v>370406</v>
      </c>
      <c r="N4191" t="inlineStr">
        <is>
          <t>是</t>
        </is>
      </c>
    </row>
    <row r="4192">
      <c r="A4192" s="7" t="inlineStr">
        <is>
          <t>2024-10-15</t>
        </is>
      </c>
      <c r="B4192" s="8" t="n">
        <v>7546</v>
      </c>
      <c r="C4192" s="8" t="n">
        <v>7636</v>
      </c>
      <c r="D4192" s="8" t="n">
        <v>7639</v>
      </c>
      <c r="E4192" s="8" t="n">
        <v>7533</v>
      </c>
      <c r="F4192" s="8" t="n">
        <v>327170</v>
      </c>
      <c r="G4192" s="8" t="n">
        <v>352854</v>
      </c>
      <c r="H4192" s="8" t="n">
        <v>8197</v>
      </c>
      <c r="I4192" s="8" t="n">
        <v>8293</v>
      </c>
      <c r="J4192" s="8" t="n">
        <v>8298</v>
      </c>
      <c r="K4192" s="8" t="n">
        <v>8180</v>
      </c>
      <c r="L4192" s="8" t="n">
        <v>336430</v>
      </c>
      <c r="M4192" s="8" t="n">
        <v>361112</v>
      </c>
      <c r="N4192" t="inlineStr">
        <is>
          <t>是</t>
        </is>
      </c>
    </row>
    <row r="4193">
      <c r="A4193" s="7" t="inlineStr">
        <is>
          <t>2024-10-16</t>
        </is>
      </c>
      <c r="B4193" s="8" t="n">
        <v>7532</v>
      </c>
      <c r="C4193" s="8" t="n">
        <v>7535</v>
      </c>
      <c r="D4193" s="8" t="n">
        <v>7579</v>
      </c>
      <c r="E4193" s="8" t="n">
        <v>7528</v>
      </c>
      <c r="F4193" s="8" t="n">
        <v>248520</v>
      </c>
      <c r="G4193" s="8" t="n">
        <v>345799</v>
      </c>
      <c r="H4193" s="8" t="n">
        <v>8200</v>
      </c>
      <c r="I4193" s="8" t="n">
        <v>8180</v>
      </c>
      <c r="J4193" s="8" t="n">
        <v>8238</v>
      </c>
      <c r="K4193" s="8" t="n">
        <v>8180</v>
      </c>
      <c r="L4193" s="8" t="n">
        <v>250881</v>
      </c>
      <c r="M4193" s="8" t="n">
        <v>363903</v>
      </c>
      <c r="N4193" t="inlineStr">
        <is>
          <t>是</t>
        </is>
      </c>
    </row>
    <row r="4194">
      <c r="A4194" s="7" t="inlineStr">
        <is>
          <t>2024-10-17</t>
        </is>
      </c>
      <c r="B4194" s="8" t="n">
        <v>7460</v>
      </c>
      <c r="C4194" s="8" t="n">
        <v>7532</v>
      </c>
      <c r="D4194" s="8" t="n">
        <v>7563</v>
      </c>
      <c r="E4194" s="8" t="n">
        <v>7456</v>
      </c>
      <c r="F4194" s="8" t="n">
        <v>269898</v>
      </c>
      <c r="G4194" s="8" t="n">
        <v>339868</v>
      </c>
      <c r="H4194" s="8" t="n">
        <v>8088</v>
      </c>
      <c r="I4194" s="8" t="n">
        <v>8200</v>
      </c>
      <c r="J4194" s="8" t="n">
        <v>8212</v>
      </c>
      <c r="K4194" s="8" t="n">
        <v>8088</v>
      </c>
      <c r="L4194" s="8" t="n">
        <v>304489</v>
      </c>
      <c r="M4194" s="8" t="n">
        <v>355274</v>
      </c>
      <c r="N4194" t="inlineStr">
        <is>
          <t>是</t>
        </is>
      </c>
    </row>
    <row r="4195">
      <c r="A4195" s="7" t="inlineStr">
        <is>
          <t>2024-10-18</t>
        </is>
      </c>
      <c r="B4195" s="8" t="n">
        <v>7515</v>
      </c>
      <c r="C4195" s="8" t="n">
        <v>7458</v>
      </c>
      <c r="D4195" s="8" t="n">
        <v>7525</v>
      </c>
      <c r="E4195" s="8" t="n">
        <v>7455</v>
      </c>
      <c r="F4195" s="8" t="n">
        <v>222864</v>
      </c>
      <c r="G4195" s="8" t="n">
        <v>341096</v>
      </c>
      <c r="H4195" s="8" t="n">
        <v>8142</v>
      </c>
      <c r="I4195" s="8" t="n">
        <v>8088</v>
      </c>
      <c r="J4195" s="8" t="n">
        <v>8150</v>
      </c>
      <c r="K4195" s="8" t="n">
        <v>8085</v>
      </c>
      <c r="L4195" s="8" t="n">
        <v>211676</v>
      </c>
      <c r="M4195" s="8" t="n">
        <v>353491</v>
      </c>
      <c r="N4195" t="inlineStr">
        <is>
          <t>是</t>
        </is>
      </c>
    </row>
    <row r="4196">
      <c r="A4196" s="7" t="inlineStr">
        <is>
          <t>2024-10-21</t>
        </is>
      </c>
      <c r="B4196" s="8" t="n">
        <v>7441</v>
      </c>
      <c r="C4196" s="8" t="n">
        <v>7502</v>
      </c>
      <c r="D4196" s="8" t="n">
        <v>7506</v>
      </c>
      <c r="E4196" s="8" t="n">
        <v>7423</v>
      </c>
      <c r="F4196" s="8" t="n">
        <v>266952</v>
      </c>
      <c r="G4196" s="8" t="n">
        <v>350710</v>
      </c>
      <c r="H4196" s="8" t="n">
        <v>8079</v>
      </c>
      <c r="I4196" s="8" t="n">
        <v>8140</v>
      </c>
      <c r="J4196" s="8" t="n">
        <v>8142</v>
      </c>
      <c r="K4196" s="8" t="n">
        <v>8056</v>
      </c>
      <c r="L4196" s="8" t="n">
        <v>239771</v>
      </c>
      <c r="M4196" s="8" t="n">
        <v>358134</v>
      </c>
      <c r="N4196" t="inlineStr">
        <is>
          <t>是</t>
        </is>
      </c>
    </row>
    <row r="4197">
      <c r="A4197" s="7" t="inlineStr">
        <is>
          <t>2024-10-22</t>
        </is>
      </c>
      <c r="B4197" s="8" t="n">
        <v>7457</v>
      </c>
      <c r="C4197" s="8" t="n">
        <v>7455</v>
      </c>
      <c r="D4197" s="8" t="n">
        <v>7474</v>
      </c>
      <c r="E4197" s="8" t="n">
        <v>7432</v>
      </c>
      <c r="F4197" s="8" t="n">
        <v>186349</v>
      </c>
      <c r="G4197" s="8" t="n">
        <v>341058</v>
      </c>
      <c r="H4197" s="8" t="n">
        <v>8096</v>
      </c>
      <c r="I4197" s="8" t="n">
        <v>8086</v>
      </c>
      <c r="J4197" s="8" t="n">
        <v>8120</v>
      </c>
      <c r="K4197" s="8" t="n">
        <v>8077</v>
      </c>
      <c r="L4197" s="8" t="n">
        <v>194690</v>
      </c>
      <c r="M4197" s="8" t="n">
        <v>354482</v>
      </c>
      <c r="N4197" t="inlineStr">
        <is>
          <t>是</t>
        </is>
      </c>
    </row>
    <row r="4198">
      <c r="A4198" s="7" t="inlineStr">
        <is>
          <t>2024-10-23</t>
        </is>
      </c>
      <c r="B4198" s="8" t="n">
        <v>7471</v>
      </c>
      <c r="C4198" s="8" t="n">
        <v>7472</v>
      </c>
      <c r="D4198" s="8" t="n">
        <v>7502</v>
      </c>
      <c r="E4198" s="8" t="n">
        <v>7464</v>
      </c>
      <c r="F4198" s="8" t="n">
        <v>203500</v>
      </c>
      <c r="G4198" s="8" t="n">
        <v>339221</v>
      </c>
      <c r="H4198" s="8" t="n">
        <v>8115</v>
      </c>
      <c r="I4198" s="8" t="n">
        <v>8106</v>
      </c>
      <c r="J4198" s="8" t="n">
        <v>8145</v>
      </c>
      <c r="K4198" s="8" t="n">
        <v>8106</v>
      </c>
      <c r="L4198" s="8" t="n">
        <v>211033</v>
      </c>
      <c r="M4198" s="8" t="n">
        <v>363533</v>
      </c>
      <c r="N4198" t="inlineStr">
        <is>
          <t>是</t>
        </is>
      </c>
    </row>
    <row r="4199">
      <c r="A4199" s="7" t="inlineStr">
        <is>
          <t>2024-10-24</t>
        </is>
      </c>
      <c r="B4199" s="8" t="n">
        <v>7503</v>
      </c>
      <c r="C4199" s="8" t="n">
        <v>7465</v>
      </c>
      <c r="D4199" s="8" t="n">
        <v>7509</v>
      </c>
      <c r="E4199" s="8" t="n">
        <v>7452</v>
      </c>
      <c r="F4199" s="8" t="n">
        <v>192095</v>
      </c>
      <c r="G4199" s="8" t="n">
        <v>334314</v>
      </c>
      <c r="H4199" s="8" t="n">
        <v>8140</v>
      </c>
      <c r="I4199" s="8" t="n">
        <v>8109</v>
      </c>
      <c r="J4199" s="8" t="n">
        <v>8143</v>
      </c>
      <c r="K4199" s="8" t="n">
        <v>8090</v>
      </c>
      <c r="L4199" s="8" t="n">
        <v>173127</v>
      </c>
      <c r="M4199" s="8" t="n">
        <v>365694</v>
      </c>
      <c r="N4199" t="inlineStr">
        <is>
          <t>是</t>
        </is>
      </c>
    </row>
    <row r="4200">
      <c r="A4200" s="7" t="inlineStr">
        <is>
          <t>2024-10-25</t>
        </is>
      </c>
      <c r="B4200" s="8" t="n">
        <v>7495</v>
      </c>
      <c r="C4200" s="8" t="n">
        <v>7495</v>
      </c>
      <c r="D4200" s="8" t="n">
        <v>7550</v>
      </c>
      <c r="E4200" s="8" t="n">
        <v>7482</v>
      </c>
      <c r="F4200" s="8" t="n">
        <v>238289</v>
      </c>
      <c r="G4200" s="8" t="n">
        <v>329575</v>
      </c>
      <c r="H4200" s="8" t="n">
        <v>8148</v>
      </c>
      <c r="I4200" s="8" t="n">
        <v>8137</v>
      </c>
      <c r="J4200" s="8" t="n">
        <v>8196</v>
      </c>
      <c r="K4200" s="8" t="n">
        <v>8134</v>
      </c>
      <c r="L4200" s="8" t="n">
        <v>252360</v>
      </c>
      <c r="M4200" s="8" t="n">
        <v>371796</v>
      </c>
      <c r="N4200" t="inlineStr">
        <is>
          <t>是</t>
        </is>
      </c>
    </row>
    <row r="4201">
      <c r="A4201" s="7" t="inlineStr">
        <is>
          <t>2024-10-28</t>
        </is>
      </c>
      <c r="B4201" s="8" t="n">
        <v>7525</v>
      </c>
      <c r="C4201" s="8" t="n">
        <v>7495</v>
      </c>
      <c r="D4201" s="8" t="n">
        <v>7538</v>
      </c>
      <c r="E4201" s="8" t="n">
        <v>7462</v>
      </c>
      <c r="F4201" s="8" t="n">
        <v>292210</v>
      </c>
      <c r="G4201" s="8" t="n">
        <v>331981</v>
      </c>
      <c r="H4201" s="8" t="n">
        <v>8180</v>
      </c>
      <c r="I4201" s="8" t="n">
        <v>8149</v>
      </c>
      <c r="J4201" s="8" t="n">
        <v>8191</v>
      </c>
      <c r="K4201" s="8" t="n">
        <v>8099</v>
      </c>
      <c r="L4201" s="8" t="n">
        <v>265774</v>
      </c>
      <c r="M4201" s="8" t="n">
        <v>370787</v>
      </c>
      <c r="N4201" t="inlineStr">
        <is>
          <t>是</t>
        </is>
      </c>
    </row>
    <row r="4202">
      <c r="A4202" s="7" t="inlineStr">
        <is>
          <t>2024-10-29</t>
        </is>
      </c>
      <c r="B4202" s="8" t="n">
        <v>7451</v>
      </c>
      <c r="C4202" s="8" t="n">
        <v>7504</v>
      </c>
      <c r="D4202" s="8" t="n">
        <v>7514</v>
      </c>
      <c r="E4202" s="8" t="n">
        <v>7415</v>
      </c>
      <c r="F4202" s="8" t="n">
        <v>282622</v>
      </c>
      <c r="G4202" s="8" t="n">
        <v>332391</v>
      </c>
      <c r="H4202" s="8" t="n">
        <v>8116</v>
      </c>
      <c r="I4202" s="8" t="n">
        <v>8162</v>
      </c>
      <c r="J4202" s="8" t="n">
        <v>8173</v>
      </c>
      <c r="K4202" s="8" t="n">
        <v>8061</v>
      </c>
      <c r="L4202" s="8" t="n">
        <v>299227</v>
      </c>
      <c r="M4202" s="8" t="n">
        <v>361555</v>
      </c>
      <c r="N4202" t="inlineStr">
        <is>
          <t>是</t>
        </is>
      </c>
    </row>
    <row r="4203">
      <c r="A4203" s="7" t="inlineStr">
        <is>
          <t>2024-10-30</t>
        </is>
      </c>
      <c r="B4203" s="8" t="n">
        <v>7411</v>
      </c>
      <c r="C4203" s="8" t="n">
        <v>7463</v>
      </c>
      <c r="D4203" s="8" t="n">
        <v>7468</v>
      </c>
      <c r="E4203" s="8" t="n">
        <v>7382</v>
      </c>
      <c r="F4203" s="8" t="n">
        <v>217100</v>
      </c>
      <c r="G4203" s="8" t="n">
        <v>351957</v>
      </c>
      <c r="H4203" s="8" t="n">
        <v>8060</v>
      </c>
      <c r="I4203" s="8" t="n">
        <v>8128</v>
      </c>
      <c r="J4203" s="8" t="n">
        <v>8131</v>
      </c>
      <c r="K4203" s="8" t="n">
        <v>8028</v>
      </c>
      <c r="L4203" s="8" t="n">
        <v>247841</v>
      </c>
      <c r="M4203" s="8" t="n">
        <v>370540</v>
      </c>
      <c r="N4203" t="inlineStr">
        <is>
          <t>是</t>
        </is>
      </c>
    </row>
    <row r="4204">
      <c r="A4204" s="7" t="inlineStr">
        <is>
          <t>2024-10-31</t>
        </is>
      </c>
      <c r="B4204" s="8" t="n">
        <v>7450</v>
      </c>
      <c r="C4204" s="8" t="n">
        <v>7425</v>
      </c>
      <c r="D4204" s="8" t="n">
        <v>7474</v>
      </c>
      <c r="E4204" s="8" t="n">
        <v>7408</v>
      </c>
      <c r="F4204" s="8" t="n">
        <v>247694</v>
      </c>
      <c r="G4204" s="8" t="n">
        <v>347241</v>
      </c>
      <c r="H4204" s="8" t="n">
        <v>8150</v>
      </c>
      <c r="I4204" s="8" t="n">
        <v>8071</v>
      </c>
      <c r="J4204" s="8" t="n">
        <v>8166</v>
      </c>
      <c r="K4204" s="8" t="n">
        <v>8061</v>
      </c>
      <c r="L4204" s="8" t="n">
        <v>334268</v>
      </c>
      <c r="M4204" s="8" t="n">
        <v>386897</v>
      </c>
      <c r="N4204" t="inlineStr">
        <is>
          <t>是</t>
        </is>
      </c>
    </row>
    <row r="4205">
      <c r="A4205" s="7" t="inlineStr">
        <is>
          <t>2024-11-01</t>
        </is>
      </c>
      <c r="B4205" s="8" t="n">
        <v>7455</v>
      </c>
      <c r="C4205" s="8" t="n">
        <v>7450</v>
      </c>
      <c r="D4205" s="8" t="n">
        <v>7480</v>
      </c>
      <c r="E4205" s="8" t="n">
        <v>7440</v>
      </c>
      <c r="F4205" s="8" t="n">
        <v>196544</v>
      </c>
      <c r="G4205" s="8" t="n">
        <v>336974</v>
      </c>
      <c r="H4205" s="8" t="n">
        <v>8145</v>
      </c>
      <c r="I4205" s="8" t="n">
        <v>8156</v>
      </c>
      <c r="J4205" s="8" t="n">
        <v>8181</v>
      </c>
      <c r="K4205" s="8" t="n">
        <v>8131</v>
      </c>
      <c r="L4205" s="8" t="n">
        <v>262019</v>
      </c>
      <c r="M4205" s="8" t="n">
        <v>388479</v>
      </c>
      <c r="N4205" t="inlineStr">
        <is>
          <t>是</t>
        </is>
      </c>
    </row>
    <row r="4206">
      <c r="A4206" s="7" t="inlineStr">
        <is>
          <t>2024-11-04</t>
        </is>
      </c>
      <c r="B4206" s="8" t="n">
        <v>7454</v>
      </c>
      <c r="C4206" s="8" t="n">
        <v>7444</v>
      </c>
      <c r="D4206" s="8" t="n">
        <v>7473</v>
      </c>
      <c r="E4206" s="8" t="n">
        <v>7422</v>
      </c>
      <c r="F4206" s="8" t="n">
        <v>182186</v>
      </c>
      <c r="G4206" s="8" t="n">
        <v>341776</v>
      </c>
      <c r="H4206" s="8" t="n">
        <v>8165</v>
      </c>
      <c r="I4206" s="8" t="n">
        <v>8148</v>
      </c>
      <c r="J4206" s="8" t="n">
        <v>8168</v>
      </c>
      <c r="K4206" s="8" t="n">
        <v>8111</v>
      </c>
      <c r="L4206" s="8" t="n">
        <v>207244</v>
      </c>
      <c r="M4206" s="8" t="n">
        <v>385444</v>
      </c>
      <c r="N4206" t="inlineStr">
        <is>
          <t>是</t>
        </is>
      </c>
    </row>
    <row r="4207">
      <c r="A4207" s="7" t="inlineStr">
        <is>
          <t>2024-11-05</t>
        </is>
      </c>
      <c r="B4207" s="8" t="n">
        <v>7472</v>
      </c>
      <c r="C4207" s="8" t="n">
        <v>7463</v>
      </c>
      <c r="D4207" s="8" t="n">
        <v>7485</v>
      </c>
      <c r="E4207" s="8" t="n">
        <v>7433</v>
      </c>
      <c r="F4207" s="8" t="n">
        <v>197419</v>
      </c>
      <c r="G4207" s="8" t="n">
        <v>340809</v>
      </c>
      <c r="H4207" s="8" t="n">
        <v>8198</v>
      </c>
      <c r="I4207" s="8" t="n">
        <v>8175</v>
      </c>
      <c r="J4207" s="8" t="n">
        <v>8215</v>
      </c>
      <c r="K4207" s="8" t="n">
        <v>8149</v>
      </c>
      <c r="L4207" s="8" t="n">
        <v>244148</v>
      </c>
      <c r="M4207" s="8" t="n">
        <v>407552</v>
      </c>
      <c r="N4207" t="inlineStr">
        <is>
          <t>是</t>
        </is>
      </c>
    </row>
    <row r="4208">
      <c r="A4208" s="7" t="inlineStr">
        <is>
          <t>2024-11-06</t>
        </is>
      </c>
      <c r="B4208" s="8" t="n">
        <v>7427</v>
      </c>
      <c r="C4208" s="8" t="n">
        <v>7481</v>
      </c>
      <c r="D4208" s="8" t="n">
        <v>7495</v>
      </c>
      <c r="E4208" s="8" t="n">
        <v>7404</v>
      </c>
      <c r="F4208" s="8" t="n">
        <v>262504</v>
      </c>
      <c r="G4208" s="8" t="n">
        <v>341970</v>
      </c>
      <c r="H4208" s="8" t="n">
        <v>8187</v>
      </c>
      <c r="I4208" s="8" t="n">
        <v>8214</v>
      </c>
      <c r="J4208" s="8" t="n">
        <v>8240</v>
      </c>
      <c r="K4208" s="8" t="n">
        <v>8175</v>
      </c>
      <c r="L4208" s="8" t="n">
        <v>269562</v>
      </c>
      <c r="M4208" s="8" t="n">
        <v>420335</v>
      </c>
      <c r="N4208" t="inlineStr">
        <is>
          <t>是</t>
        </is>
      </c>
    </row>
    <row r="4209">
      <c r="A4209" s="7" t="inlineStr">
        <is>
          <t>2024-11-07</t>
        </is>
      </c>
      <c r="B4209" s="8" t="n">
        <v>7499</v>
      </c>
      <c r="C4209" s="8" t="n">
        <v>7400</v>
      </c>
      <c r="D4209" s="8" t="n">
        <v>7519</v>
      </c>
      <c r="E4209" s="8" t="n">
        <v>7373</v>
      </c>
      <c r="F4209" s="8" t="n">
        <v>332084</v>
      </c>
      <c r="G4209" s="8" t="n">
        <v>330684</v>
      </c>
      <c r="H4209" s="8" t="n">
        <v>8270</v>
      </c>
      <c r="I4209" s="8" t="n">
        <v>8187</v>
      </c>
      <c r="J4209" s="8" t="n">
        <v>8285</v>
      </c>
      <c r="K4209" s="8" t="n">
        <v>8138</v>
      </c>
      <c r="L4209" s="8" t="n">
        <v>295927</v>
      </c>
      <c r="M4209" s="8" t="n">
        <v>444372</v>
      </c>
      <c r="N4209" t="inlineStr">
        <is>
          <t>是</t>
        </is>
      </c>
    </row>
    <row r="4210">
      <c r="A4210" s="7" t="inlineStr">
        <is>
          <t>2024-11-08</t>
        </is>
      </c>
      <c r="B4210" s="8" t="n">
        <v>7462</v>
      </c>
      <c r="C4210" s="8" t="n">
        <v>7499</v>
      </c>
      <c r="D4210" s="8" t="n">
        <v>7522</v>
      </c>
      <c r="E4210" s="8" t="n">
        <v>7449</v>
      </c>
      <c r="F4210" s="8" t="n">
        <v>292310</v>
      </c>
      <c r="G4210" s="8" t="n">
        <v>341529</v>
      </c>
      <c r="H4210" s="8" t="n">
        <v>8244</v>
      </c>
      <c r="I4210" s="8" t="n">
        <v>8270</v>
      </c>
      <c r="J4210" s="8" t="n">
        <v>8295</v>
      </c>
      <c r="K4210" s="8" t="n">
        <v>8234</v>
      </c>
      <c r="L4210" s="8" t="n">
        <v>242341</v>
      </c>
      <c r="M4210" s="8" t="n">
        <v>451395</v>
      </c>
      <c r="N4210" t="inlineStr">
        <is>
          <t>是</t>
        </is>
      </c>
    </row>
    <row r="4211">
      <c r="A4211" s="7" t="inlineStr">
        <is>
          <t>2024-11-11</t>
        </is>
      </c>
      <c r="B4211" s="8" t="n">
        <v>7435</v>
      </c>
      <c r="C4211" s="8" t="n">
        <v>7460</v>
      </c>
      <c r="D4211" s="8" t="n">
        <v>7478</v>
      </c>
      <c r="E4211" s="8" t="n">
        <v>7405</v>
      </c>
      <c r="F4211" s="8" t="n">
        <v>265878</v>
      </c>
      <c r="G4211" s="8" t="n">
        <v>331374</v>
      </c>
      <c r="H4211" s="8" t="n">
        <v>8201</v>
      </c>
      <c r="I4211" s="8" t="n">
        <v>8240</v>
      </c>
      <c r="J4211" s="8" t="n">
        <v>8259</v>
      </c>
      <c r="K4211" s="8" t="n">
        <v>8165</v>
      </c>
      <c r="L4211" s="8" t="n">
        <v>267759</v>
      </c>
      <c r="M4211" s="8" t="n">
        <v>439001</v>
      </c>
      <c r="N4211" t="inlineStr">
        <is>
          <t>是</t>
        </is>
      </c>
    </row>
    <row r="4212">
      <c r="A4212" s="7" t="inlineStr">
        <is>
          <t>2024-11-12</t>
        </is>
      </c>
      <c r="B4212" s="8" t="n">
        <v>7441</v>
      </c>
      <c r="C4212" s="8" t="n">
        <v>7420</v>
      </c>
      <c r="D4212" s="8" t="n">
        <v>7452</v>
      </c>
      <c r="E4212" s="8" t="n">
        <v>7415</v>
      </c>
      <c r="F4212" s="8" t="n">
        <v>180498</v>
      </c>
      <c r="G4212" s="8" t="n">
        <v>328259</v>
      </c>
      <c r="H4212" s="8" t="n">
        <v>8242</v>
      </c>
      <c r="I4212" s="8" t="n">
        <v>8181</v>
      </c>
      <c r="J4212" s="8" t="n">
        <v>8253</v>
      </c>
      <c r="K4212" s="8" t="n">
        <v>8179</v>
      </c>
      <c r="L4212" s="8" t="n">
        <v>237966</v>
      </c>
      <c r="M4212" s="8" t="n">
        <v>474319</v>
      </c>
      <c r="N4212" t="inlineStr">
        <is>
          <t>是</t>
        </is>
      </c>
    </row>
    <row r="4213">
      <c r="A4213" s="7" t="inlineStr">
        <is>
          <t>2024-11-13</t>
        </is>
      </c>
      <c r="B4213" s="8" t="n">
        <v>7441</v>
      </c>
      <c r="C4213" s="8" t="n">
        <v>7449</v>
      </c>
      <c r="D4213" s="8" t="n">
        <v>7468</v>
      </c>
      <c r="E4213" s="8" t="n">
        <v>7423</v>
      </c>
      <c r="F4213" s="8" t="n">
        <v>207849</v>
      </c>
      <c r="G4213" s="8" t="n">
        <v>317399</v>
      </c>
      <c r="H4213" s="8" t="n">
        <v>8239</v>
      </c>
      <c r="I4213" s="8" t="n">
        <v>8246</v>
      </c>
      <c r="J4213" s="8" t="n">
        <v>8288</v>
      </c>
      <c r="K4213" s="8" t="n">
        <v>8232</v>
      </c>
      <c r="L4213" s="8" t="n">
        <v>256133</v>
      </c>
      <c r="M4213" s="8" t="n">
        <v>490586</v>
      </c>
      <c r="N4213" t="inlineStr">
        <is>
          <t>是</t>
        </is>
      </c>
    </row>
    <row r="4214">
      <c r="A4214" s="7" t="inlineStr">
        <is>
          <t>2024-11-14</t>
        </is>
      </c>
      <c r="B4214" s="8" t="n">
        <v>7432</v>
      </c>
      <c r="C4214" s="8" t="n">
        <v>7441</v>
      </c>
      <c r="D4214" s="8" t="n">
        <v>7450</v>
      </c>
      <c r="E4214" s="8" t="n">
        <v>7420</v>
      </c>
      <c r="F4214" s="8" t="n">
        <v>202891</v>
      </c>
      <c r="G4214" s="8" t="n">
        <v>307373</v>
      </c>
      <c r="H4214" s="8" t="n">
        <v>8317</v>
      </c>
      <c r="I4214" s="8" t="n">
        <v>8240</v>
      </c>
      <c r="J4214" s="8" t="n">
        <v>8318</v>
      </c>
      <c r="K4214" s="8" t="n">
        <v>8240</v>
      </c>
      <c r="L4214" s="8" t="n">
        <v>284282</v>
      </c>
      <c r="M4214" s="8" t="n">
        <v>522897</v>
      </c>
      <c r="N4214" t="inlineStr">
        <is>
          <t>是</t>
        </is>
      </c>
    </row>
    <row r="4215">
      <c r="A4215" s="7" t="inlineStr">
        <is>
          <t>2024-11-15</t>
        </is>
      </c>
      <c r="B4215" s="8" t="n">
        <v>7413</v>
      </c>
      <c r="C4215" s="8" t="n">
        <v>7459</v>
      </c>
      <c r="D4215" s="8" t="n">
        <v>7500</v>
      </c>
      <c r="E4215" s="8" t="n">
        <v>7410</v>
      </c>
      <c r="F4215" s="8" t="n">
        <v>357157</v>
      </c>
      <c r="G4215" s="8" t="n">
        <v>301972</v>
      </c>
      <c r="H4215" s="8" t="n">
        <v>8289</v>
      </c>
      <c r="I4215" s="8" t="n">
        <v>8322</v>
      </c>
      <c r="J4215" s="8" t="n">
        <v>8396</v>
      </c>
      <c r="K4215" s="8" t="n">
        <v>8270</v>
      </c>
      <c r="L4215" s="8" t="n">
        <v>544371</v>
      </c>
      <c r="M4215" s="8" t="n">
        <v>553267</v>
      </c>
      <c r="N4215" t="inlineStr">
        <is>
          <t>是</t>
        </is>
      </c>
    </row>
    <row r="4216">
      <c r="A4216" s="7" t="inlineStr">
        <is>
          <t>2024-11-18</t>
        </is>
      </c>
      <c r="B4216" s="8" t="n">
        <v>7436</v>
      </c>
      <c r="C4216" s="8" t="n">
        <v>7422</v>
      </c>
      <c r="D4216" s="8" t="n">
        <v>7440</v>
      </c>
      <c r="E4216" s="8" t="n">
        <v>7383</v>
      </c>
      <c r="F4216" s="8" t="n">
        <v>257380</v>
      </c>
      <c r="G4216" s="8" t="n">
        <v>303836</v>
      </c>
      <c r="H4216" s="8" t="n">
        <v>8253</v>
      </c>
      <c r="I4216" s="8" t="n">
        <v>8310</v>
      </c>
      <c r="J4216" s="8" t="n">
        <v>8318</v>
      </c>
      <c r="K4216" s="8" t="n">
        <v>8205</v>
      </c>
      <c r="L4216" s="8" t="n">
        <v>372909</v>
      </c>
      <c r="M4216" s="8" t="n">
        <v>524934</v>
      </c>
      <c r="N4216" t="inlineStr">
        <is>
          <t>是</t>
        </is>
      </c>
    </row>
    <row r="4217">
      <c r="A4217" s="7" t="inlineStr">
        <is>
          <t>2024-11-19</t>
        </is>
      </c>
      <c r="B4217" s="8" t="n">
        <v>7490</v>
      </c>
      <c r="C4217" s="8" t="n">
        <v>7426</v>
      </c>
      <c r="D4217" s="8" t="n">
        <v>7490</v>
      </c>
      <c r="E4217" s="8" t="n">
        <v>7421</v>
      </c>
      <c r="F4217" s="8" t="n">
        <v>243766</v>
      </c>
      <c r="G4217" s="8" t="n">
        <v>299840</v>
      </c>
      <c r="H4217" s="8" t="n">
        <v>8341</v>
      </c>
      <c r="I4217" s="8" t="n">
        <v>8235</v>
      </c>
      <c r="J4217" s="8" t="n">
        <v>8343</v>
      </c>
      <c r="K4217" s="8" t="n">
        <v>8233</v>
      </c>
      <c r="L4217" s="8" t="n">
        <v>280835</v>
      </c>
      <c r="M4217" s="8" t="n">
        <v>547344</v>
      </c>
      <c r="N4217" t="inlineStr">
        <is>
          <t>是</t>
        </is>
      </c>
    </row>
    <row r="4218">
      <c r="A4218" s="7" t="inlineStr">
        <is>
          <t>2024-11-20</t>
        </is>
      </c>
      <c r="B4218" s="8" t="n">
        <v>7528</v>
      </c>
      <c r="C4218" s="8" t="n">
        <v>7490</v>
      </c>
      <c r="D4218" s="8" t="n">
        <v>7535</v>
      </c>
      <c r="E4218" s="8" t="n">
        <v>7472</v>
      </c>
      <c r="F4218" s="8" t="n">
        <v>255357</v>
      </c>
      <c r="G4218" s="8" t="n">
        <v>311191</v>
      </c>
      <c r="H4218" s="8" t="n">
        <v>8454</v>
      </c>
      <c r="I4218" s="8" t="n">
        <v>8337</v>
      </c>
      <c r="J4218" s="8" t="n">
        <v>8495</v>
      </c>
      <c r="K4218" s="8" t="n">
        <v>8322</v>
      </c>
      <c r="L4218" s="8" t="n">
        <v>529427</v>
      </c>
      <c r="M4218" s="8" t="n">
        <v>607142</v>
      </c>
      <c r="N4218" t="inlineStr">
        <is>
          <t>是</t>
        </is>
      </c>
    </row>
    <row r="4219">
      <c r="A4219" s="7" t="inlineStr">
        <is>
          <t>2024-11-21</t>
        </is>
      </c>
      <c r="B4219" s="8" t="n">
        <v>7517</v>
      </c>
      <c r="C4219" s="8" t="n">
        <v>7520</v>
      </c>
      <c r="D4219" s="8" t="n">
        <v>7554</v>
      </c>
      <c r="E4219" s="8" t="n">
        <v>7498</v>
      </c>
      <c r="F4219" s="8" t="n">
        <v>226566</v>
      </c>
      <c r="G4219" s="8" t="n">
        <v>302666</v>
      </c>
      <c r="H4219" s="8" t="n">
        <v>8445</v>
      </c>
      <c r="I4219" s="8" t="n">
        <v>8475</v>
      </c>
      <c r="J4219" s="8" t="n">
        <v>8502</v>
      </c>
      <c r="K4219" s="8" t="n">
        <v>8417</v>
      </c>
      <c r="L4219" s="8" t="n">
        <v>570276</v>
      </c>
      <c r="M4219" s="8" t="n">
        <v>614234</v>
      </c>
      <c r="N4219" t="inlineStr">
        <is>
          <t>是</t>
        </is>
      </c>
    </row>
    <row r="4220">
      <c r="A4220" s="7" t="inlineStr">
        <is>
          <t>2024-11-22</t>
        </is>
      </c>
      <c r="B4220" s="8" t="n">
        <v>7513</v>
      </c>
      <c r="C4220" s="8" t="n">
        <v>7529</v>
      </c>
      <c r="D4220" s="8" t="n">
        <v>7559</v>
      </c>
      <c r="E4220" s="8" t="n">
        <v>7502</v>
      </c>
      <c r="F4220" s="8" t="n">
        <v>215551</v>
      </c>
      <c r="G4220" s="8" t="n">
        <v>295743</v>
      </c>
      <c r="H4220" s="8" t="n">
        <v>8471</v>
      </c>
      <c r="I4220" s="8" t="n">
        <v>8460</v>
      </c>
      <c r="J4220" s="8" t="n">
        <v>8496</v>
      </c>
      <c r="K4220" s="8" t="n">
        <v>8426</v>
      </c>
      <c r="L4220" s="8" t="n">
        <v>452075</v>
      </c>
      <c r="M4220" s="8" t="n">
        <v>620857</v>
      </c>
      <c r="N4220" t="inlineStr">
        <is>
          <t>是</t>
        </is>
      </c>
    </row>
    <row r="4221">
      <c r="A4221" s="7" t="inlineStr">
        <is>
          <t>2024-11-25</t>
        </is>
      </c>
      <c r="B4221" s="8" t="n">
        <v>7520</v>
      </c>
      <c r="C4221" s="8" t="n">
        <v>7500</v>
      </c>
      <c r="D4221" s="8" t="n">
        <v>7534</v>
      </c>
      <c r="E4221" s="8" t="n">
        <v>7480</v>
      </c>
      <c r="F4221" s="8" t="n">
        <v>222148</v>
      </c>
      <c r="G4221" s="8" t="n">
        <v>280836</v>
      </c>
      <c r="H4221" s="8" t="n">
        <v>8395</v>
      </c>
      <c r="I4221" s="8" t="n">
        <v>8460</v>
      </c>
      <c r="J4221" s="8" t="n">
        <v>8470</v>
      </c>
      <c r="K4221" s="8" t="n">
        <v>8352</v>
      </c>
      <c r="L4221" s="8" t="n">
        <v>523530</v>
      </c>
      <c r="M4221" s="8" t="n">
        <v>569525</v>
      </c>
      <c r="N4221" t="inlineStr">
        <is>
          <t>是</t>
        </is>
      </c>
    </row>
    <row r="4222">
      <c r="A4222" s="7" t="inlineStr">
        <is>
          <t>2024-11-26</t>
        </is>
      </c>
      <c r="B4222" s="8" t="n">
        <v>7532</v>
      </c>
      <c r="C4222" s="8" t="n">
        <v>7514</v>
      </c>
      <c r="D4222" s="8" t="n">
        <v>7548</v>
      </c>
      <c r="E4222" s="8" t="n">
        <v>7489</v>
      </c>
      <c r="F4222" s="8" t="n">
        <v>199492</v>
      </c>
      <c r="G4222" s="8" t="n">
        <v>287140</v>
      </c>
      <c r="H4222" s="8" t="n">
        <v>8420</v>
      </c>
      <c r="I4222" s="8" t="n">
        <v>8400</v>
      </c>
      <c r="J4222" s="8" t="n">
        <v>8438</v>
      </c>
      <c r="K4222" s="8" t="n">
        <v>8355</v>
      </c>
      <c r="L4222" s="8" t="n">
        <v>363611</v>
      </c>
      <c r="M4222" s="8" t="n">
        <v>562716</v>
      </c>
      <c r="N4222" t="inlineStr">
        <is>
          <t>是</t>
        </is>
      </c>
    </row>
    <row r="4223">
      <c r="A4223" s="7" t="inlineStr">
        <is>
          <t>2024-11-27</t>
        </is>
      </c>
      <c r="B4223" s="8" t="n">
        <v>7525</v>
      </c>
      <c r="C4223" s="8" t="n">
        <v>7532</v>
      </c>
      <c r="D4223" s="8" t="n">
        <v>7545</v>
      </c>
      <c r="E4223" s="8" t="n">
        <v>7500</v>
      </c>
      <c r="F4223" s="8" t="n">
        <v>172406</v>
      </c>
      <c r="G4223" s="8" t="n">
        <v>273225</v>
      </c>
      <c r="H4223" s="8" t="n">
        <v>8401</v>
      </c>
      <c r="I4223" s="8" t="n">
        <v>8415</v>
      </c>
      <c r="J4223" s="8" t="n">
        <v>8434</v>
      </c>
      <c r="K4223" s="8" t="n">
        <v>8383</v>
      </c>
      <c r="L4223" s="8" t="n">
        <v>265207</v>
      </c>
      <c r="M4223" s="8" t="n">
        <v>539216</v>
      </c>
      <c r="N4223" t="inlineStr">
        <is>
          <t>是</t>
        </is>
      </c>
    </row>
    <row r="4224">
      <c r="A4224" s="7" t="inlineStr">
        <is>
          <t>2024-11-28</t>
        </is>
      </c>
      <c r="B4224" s="8" t="n">
        <v>7516</v>
      </c>
      <c r="C4224" s="8" t="n">
        <v>7545</v>
      </c>
      <c r="D4224" s="8" t="n">
        <v>7547</v>
      </c>
      <c r="E4224" s="8" t="n">
        <v>7503</v>
      </c>
      <c r="F4224" s="8" t="n">
        <v>182906</v>
      </c>
      <c r="G4224" s="8" t="n">
        <v>265821</v>
      </c>
      <c r="H4224" s="8" t="n">
        <v>8348</v>
      </c>
      <c r="I4224" s="8" t="n">
        <v>8414</v>
      </c>
      <c r="J4224" s="8" t="n">
        <v>8423</v>
      </c>
      <c r="K4224" s="8" t="n">
        <v>8344</v>
      </c>
      <c r="L4224" s="8" t="n">
        <v>267298</v>
      </c>
      <c r="M4224" s="8" t="n">
        <v>519726</v>
      </c>
      <c r="N4224" t="inlineStr">
        <is>
          <t>是</t>
        </is>
      </c>
    </row>
    <row r="4225">
      <c r="A4225" s="7" t="inlineStr">
        <is>
          <t>2024-11-29</t>
        </is>
      </c>
      <c r="B4225" s="8" t="n">
        <v>7542</v>
      </c>
      <c r="C4225" s="8" t="n">
        <v>7505</v>
      </c>
      <c r="D4225" s="8" t="n">
        <v>7549</v>
      </c>
      <c r="E4225" s="8" t="n">
        <v>7495</v>
      </c>
      <c r="F4225" s="8" t="n">
        <v>174028</v>
      </c>
      <c r="G4225" s="8" t="n">
        <v>264465</v>
      </c>
      <c r="H4225" s="8" t="n">
        <v>8388</v>
      </c>
      <c r="I4225" s="8" t="n">
        <v>8353</v>
      </c>
      <c r="J4225" s="8" t="n">
        <v>8407</v>
      </c>
      <c r="K4225" s="8" t="n">
        <v>8328</v>
      </c>
      <c r="L4225" s="8" t="n">
        <v>231527</v>
      </c>
      <c r="M4225" s="8" t="n">
        <v>517978</v>
      </c>
      <c r="N4225" t="inlineStr">
        <is>
          <t>是</t>
        </is>
      </c>
    </row>
    <row r="4226">
      <c r="A4226" s="7" t="inlineStr">
        <is>
          <t>2024-12-02</t>
        </is>
      </c>
      <c r="B4226" s="8" t="n">
        <v>7555</v>
      </c>
      <c r="C4226" s="8" t="n">
        <v>7542</v>
      </c>
      <c r="D4226" s="8" t="n">
        <v>7570</v>
      </c>
      <c r="E4226" s="8" t="n">
        <v>7505</v>
      </c>
      <c r="F4226" s="8" t="n">
        <v>223620</v>
      </c>
      <c r="G4226" s="8" t="n">
        <v>261405</v>
      </c>
      <c r="H4226" s="8" t="n">
        <v>8522</v>
      </c>
      <c r="I4226" s="8" t="n">
        <v>8388</v>
      </c>
      <c r="J4226" s="8" t="n">
        <v>8533</v>
      </c>
      <c r="K4226" s="8" t="n">
        <v>8355</v>
      </c>
      <c r="L4226" s="8" t="n">
        <v>420836</v>
      </c>
      <c r="M4226" s="8" t="n">
        <v>536751</v>
      </c>
      <c r="N4226" t="inlineStr">
        <is>
          <t>是</t>
        </is>
      </c>
    </row>
    <row r="4227">
      <c r="A4227" s="7" t="inlineStr">
        <is>
          <t>2024-12-03</t>
        </is>
      </c>
      <c r="B4227" s="8" t="n">
        <v>7540</v>
      </c>
      <c r="C4227" s="8" t="n">
        <v>7560</v>
      </c>
      <c r="D4227" s="8" t="n">
        <v>7562</v>
      </c>
      <c r="E4227" s="8" t="n">
        <v>7502</v>
      </c>
      <c r="F4227" s="8" t="n">
        <v>174957</v>
      </c>
      <c r="G4227" s="8" t="n">
        <v>235629</v>
      </c>
      <c r="H4227" s="8" t="n">
        <v>8418</v>
      </c>
      <c r="I4227" s="8" t="n">
        <v>8530</v>
      </c>
      <c r="J4227" s="8" t="n">
        <v>8537</v>
      </c>
      <c r="K4227" s="8" t="n">
        <v>8390</v>
      </c>
      <c r="L4227" s="8" t="n">
        <v>378834</v>
      </c>
      <c r="M4227" s="8" t="n">
        <v>499869</v>
      </c>
      <c r="N4227" t="inlineStr">
        <is>
          <t>是</t>
        </is>
      </c>
    </row>
    <row r="4228">
      <c r="A4228" s="7" t="inlineStr">
        <is>
          <t>2024-12-04</t>
        </is>
      </c>
      <c r="B4228" s="8" t="n">
        <v>7508</v>
      </c>
      <c r="C4228" s="8" t="n">
        <v>7552</v>
      </c>
      <c r="D4228" s="8" t="n">
        <v>7552</v>
      </c>
      <c r="E4228" s="8" t="n">
        <v>7486</v>
      </c>
      <c r="F4228" s="8" t="n">
        <v>167865</v>
      </c>
      <c r="G4228" s="8" t="n">
        <v>218955</v>
      </c>
      <c r="H4228" s="8" t="n">
        <v>8439</v>
      </c>
      <c r="I4228" s="8" t="n">
        <v>8425</v>
      </c>
      <c r="J4228" s="8" t="n">
        <v>8467</v>
      </c>
      <c r="K4228" s="8" t="n">
        <v>8391</v>
      </c>
      <c r="L4228" s="8" t="n">
        <v>280099</v>
      </c>
      <c r="M4228" s="8" t="n">
        <v>472966</v>
      </c>
      <c r="N4228" t="inlineStr">
        <is>
          <t>是</t>
        </is>
      </c>
    </row>
    <row r="4229">
      <c r="A4229" s="7" t="inlineStr">
        <is>
          <t>2024-12-05</t>
        </is>
      </c>
      <c r="B4229" s="8" t="n">
        <v>7452</v>
      </c>
      <c r="C4229" s="8" t="n">
        <v>7520</v>
      </c>
      <c r="D4229" s="8" t="n">
        <v>7520</v>
      </c>
      <c r="E4229" s="8" t="n">
        <v>7445</v>
      </c>
      <c r="F4229" s="8" t="n">
        <v>171993</v>
      </c>
      <c r="G4229" s="8" t="n">
        <v>201240</v>
      </c>
      <c r="H4229" s="8" t="n">
        <v>8383</v>
      </c>
      <c r="I4229" s="8" t="n">
        <v>8436</v>
      </c>
      <c r="J4229" s="8" t="n">
        <v>8436</v>
      </c>
      <c r="K4229" s="8" t="n">
        <v>8343</v>
      </c>
      <c r="L4229" s="8" t="n">
        <v>253302</v>
      </c>
      <c r="M4229" s="8" t="n">
        <v>439349</v>
      </c>
      <c r="N4229" t="inlineStr">
        <is>
          <t>是</t>
        </is>
      </c>
    </row>
    <row r="4230">
      <c r="A4230" s="7" t="inlineStr">
        <is>
          <t>2024-12-06</t>
        </is>
      </c>
      <c r="B4230" s="8" t="n">
        <v>7418</v>
      </c>
      <c r="C4230" s="8" t="n">
        <v>7465</v>
      </c>
      <c r="D4230" s="8" t="n">
        <v>7465</v>
      </c>
      <c r="E4230" s="8" t="n">
        <v>7402</v>
      </c>
      <c r="F4230" s="8" t="n">
        <v>174151</v>
      </c>
      <c r="G4230" s="8" t="n">
        <v>175209</v>
      </c>
      <c r="H4230" s="8" t="n">
        <v>8351</v>
      </c>
      <c r="I4230" s="8" t="n">
        <v>8366</v>
      </c>
      <c r="J4230" s="8" t="n">
        <v>8380</v>
      </c>
      <c r="K4230" s="8" t="n">
        <v>8300</v>
      </c>
      <c r="L4230" s="8" t="n">
        <v>270795</v>
      </c>
      <c r="M4230" s="8" t="n">
        <v>407776</v>
      </c>
      <c r="N4230" t="inlineStr">
        <is>
          <t>是</t>
        </is>
      </c>
    </row>
    <row r="4231">
      <c r="A4231" s="7" t="inlineStr">
        <is>
          <t>2024-12-09</t>
        </is>
      </c>
      <c r="B4231" s="8" t="n">
        <v>7425</v>
      </c>
      <c r="C4231" s="8" t="n">
        <v>7419</v>
      </c>
      <c r="D4231" s="8" t="n">
        <v>7429</v>
      </c>
      <c r="E4231" s="8" t="n">
        <v>7394</v>
      </c>
      <c r="F4231" s="8" t="n">
        <v>238504</v>
      </c>
      <c r="G4231" s="8" t="n">
        <v>373410</v>
      </c>
      <c r="H4231" s="8" t="n">
        <v>8327</v>
      </c>
      <c r="I4231" s="8" t="n">
        <v>8355</v>
      </c>
      <c r="J4231" s="8" t="n">
        <v>8355</v>
      </c>
      <c r="K4231" s="8" t="n">
        <v>8288</v>
      </c>
      <c r="L4231" s="8" t="n">
        <v>244407</v>
      </c>
      <c r="M4231" s="8" t="n">
        <v>374092</v>
      </c>
      <c r="N4231" t="inlineStr">
        <is>
          <t>是</t>
        </is>
      </c>
    </row>
    <row r="4232">
      <c r="A4232" s="7" t="inlineStr">
        <is>
          <t>2024-12-10</t>
        </is>
      </c>
      <c r="B4232" s="8" t="n">
        <v>7440</v>
      </c>
      <c r="C4232" s="8" t="n">
        <v>7449</v>
      </c>
      <c r="D4232" s="8" t="n">
        <v>7484</v>
      </c>
      <c r="E4232" s="8" t="n">
        <v>7432</v>
      </c>
      <c r="F4232" s="8" t="n">
        <v>273356</v>
      </c>
      <c r="G4232" s="8" t="n">
        <v>378509</v>
      </c>
      <c r="H4232" s="8" t="n">
        <v>8298</v>
      </c>
      <c r="I4232" s="8" t="n">
        <v>8381</v>
      </c>
      <c r="J4232" s="8" t="n">
        <v>8388</v>
      </c>
      <c r="K4232" s="8" t="n">
        <v>8291</v>
      </c>
      <c r="L4232" s="8" t="n">
        <v>284119</v>
      </c>
      <c r="M4232" s="8" t="n">
        <v>316220</v>
      </c>
      <c r="N4232" t="inlineStr">
        <is>
          <t>是</t>
        </is>
      </c>
    </row>
    <row r="4233">
      <c r="A4233" s="7" t="inlineStr">
        <is>
          <t>2024-12-11</t>
        </is>
      </c>
      <c r="B4233" s="8" t="n">
        <v>7457</v>
      </c>
      <c r="C4233" s="8" t="n">
        <v>7440</v>
      </c>
      <c r="D4233" s="8" t="n">
        <v>7466</v>
      </c>
      <c r="E4233" s="8" t="n">
        <v>7431</v>
      </c>
      <c r="F4233" s="8" t="n">
        <v>196023</v>
      </c>
      <c r="G4233" s="8" t="n">
        <v>390336</v>
      </c>
      <c r="H4233" s="8" t="n">
        <v>8320</v>
      </c>
      <c r="I4233" s="8" t="n">
        <v>8306</v>
      </c>
      <c r="J4233" s="8" t="n">
        <v>8369</v>
      </c>
      <c r="K4233" s="8" t="n">
        <v>8288</v>
      </c>
      <c r="L4233" s="8" t="n">
        <v>201802</v>
      </c>
      <c r="M4233" s="8" t="n">
        <v>286281</v>
      </c>
      <c r="N4233" t="inlineStr">
        <is>
          <t>是</t>
        </is>
      </c>
    </row>
    <row r="4234">
      <c r="A4234" s="7" t="inlineStr">
        <is>
          <t>2024-12-12</t>
        </is>
      </c>
      <c r="B4234" s="8" t="n">
        <v>7491</v>
      </c>
      <c r="C4234" s="8" t="n">
        <v>7466</v>
      </c>
      <c r="D4234" s="8" t="n">
        <v>7500</v>
      </c>
      <c r="E4234" s="8" t="n">
        <v>7454</v>
      </c>
      <c r="F4234" s="8" t="n">
        <v>202276</v>
      </c>
      <c r="G4234" s="8" t="n">
        <v>401013</v>
      </c>
      <c r="H4234" s="8" t="n">
        <v>8342</v>
      </c>
      <c r="I4234" s="8" t="n">
        <v>8320</v>
      </c>
      <c r="J4234" s="8" t="n">
        <v>8360</v>
      </c>
      <c r="K4234" s="8" t="n">
        <v>8320</v>
      </c>
      <c r="L4234" s="8" t="n">
        <v>150918</v>
      </c>
      <c r="M4234" s="8" t="n">
        <v>256125</v>
      </c>
      <c r="N4234" t="inlineStr">
        <is>
          <t>是</t>
        </is>
      </c>
    </row>
    <row r="4235">
      <c r="A4235" s="7" t="inlineStr">
        <is>
          <t>2024-12-13</t>
        </is>
      </c>
      <c r="B4235" s="8" t="n">
        <v>7463</v>
      </c>
      <c r="C4235" s="8" t="n">
        <v>7487</v>
      </c>
      <c r="D4235" s="8" t="n">
        <v>7491</v>
      </c>
      <c r="E4235" s="8" t="n">
        <v>7455</v>
      </c>
      <c r="F4235" s="8" t="n">
        <v>215123</v>
      </c>
      <c r="G4235" s="8" t="n">
        <v>396844</v>
      </c>
      <c r="H4235" s="8" t="n">
        <v>8130</v>
      </c>
      <c r="I4235" s="8" t="n">
        <v>8140</v>
      </c>
      <c r="J4235" s="8" t="n">
        <v>8159</v>
      </c>
      <c r="K4235" s="8" t="n">
        <v>8114</v>
      </c>
      <c r="L4235" s="8" t="n">
        <v>258775</v>
      </c>
      <c r="M4235" s="8" t="n">
        <v>473178</v>
      </c>
      <c r="N4235" t="inlineStr">
        <is>
          <t>是</t>
        </is>
      </c>
    </row>
    <row r="4236">
      <c r="A4236" s="7" t="inlineStr">
        <is>
          <t>2024-12-16</t>
        </is>
      </c>
      <c r="B4236" s="8" t="n">
        <v>7467</v>
      </c>
      <c r="C4236" s="8" t="n">
        <v>7457</v>
      </c>
      <c r="D4236" s="8" t="n">
        <v>7471</v>
      </c>
      <c r="E4236" s="8" t="n">
        <v>7433</v>
      </c>
      <c r="F4236" s="8" t="n">
        <v>240804</v>
      </c>
      <c r="G4236" s="8" t="n">
        <v>409021</v>
      </c>
      <c r="H4236" s="8" t="n">
        <v>8191</v>
      </c>
      <c r="I4236" s="8" t="n">
        <v>8130</v>
      </c>
      <c r="J4236" s="8" t="n">
        <v>8196</v>
      </c>
      <c r="K4236" s="8" t="n">
        <v>8126</v>
      </c>
      <c r="L4236" s="8" t="n">
        <v>352677</v>
      </c>
      <c r="M4236" s="8" t="n">
        <v>489571</v>
      </c>
      <c r="N4236" t="inlineStr">
        <is>
          <t>是</t>
        </is>
      </c>
    </row>
    <row r="4237">
      <c r="A4237" s="7" t="inlineStr">
        <is>
          <t>2024-12-17</t>
        </is>
      </c>
      <c r="B4237" s="8" t="n">
        <v>7441</v>
      </c>
      <c r="C4237" s="8" t="n">
        <v>7467</v>
      </c>
      <c r="D4237" s="8" t="n">
        <v>7476</v>
      </c>
      <c r="E4237" s="8" t="n">
        <v>7432</v>
      </c>
      <c r="F4237" s="8" t="n">
        <v>211694</v>
      </c>
      <c r="G4237" s="8" t="n">
        <v>430370</v>
      </c>
      <c r="H4237" s="8" t="n">
        <v>8169</v>
      </c>
      <c r="I4237" s="8" t="n">
        <v>8179</v>
      </c>
      <c r="J4237" s="8" t="n">
        <v>8197</v>
      </c>
      <c r="K4237" s="8" t="n">
        <v>8154</v>
      </c>
      <c r="L4237" s="8" t="n">
        <v>225167</v>
      </c>
      <c r="M4237" s="8" t="n">
        <v>499471</v>
      </c>
      <c r="N4237" t="inlineStr">
        <is>
          <t>是</t>
        </is>
      </c>
    </row>
    <row r="4238">
      <c r="A4238" s="7" t="inlineStr">
        <is>
          <t>2024-12-18</t>
        </is>
      </c>
      <c r="B4238" s="8" t="n">
        <v>7417</v>
      </c>
      <c r="C4238" s="8" t="n">
        <v>7430</v>
      </c>
      <c r="D4238" s="8" t="n">
        <v>7446</v>
      </c>
      <c r="E4238" s="8" t="n">
        <v>7411</v>
      </c>
      <c r="F4238" s="8" t="n">
        <v>258533</v>
      </c>
      <c r="G4238" s="8" t="n">
        <v>458939</v>
      </c>
      <c r="H4238" s="8" t="n">
        <v>8173</v>
      </c>
      <c r="I4238" s="8" t="n">
        <v>8156</v>
      </c>
      <c r="J4238" s="8" t="n">
        <v>8219</v>
      </c>
      <c r="K4238" s="8" t="n">
        <v>8156</v>
      </c>
      <c r="L4238" s="8" t="n">
        <v>306392</v>
      </c>
      <c r="M4238" s="8" t="n">
        <v>528422</v>
      </c>
      <c r="N4238" t="inlineStr">
        <is>
          <t>是</t>
        </is>
      </c>
    </row>
    <row r="4239">
      <c r="A4239" s="7" t="inlineStr">
        <is>
          <t>2024-12-19</t>
        </is>
      </c>
      <c r="B4239" s="8" t="n">
        <v>7406</v>
      </c>
      <c r="C4239" s="8" t="n">
        <v>7420</v>
      </c>
      <c r="D4239" s="8" t="n">
        <v>7442</v>
      </c>
      <c r="E4239" s="8" t="n">
        <v>7371</v>
      </c>
      <c r="F4239" s="8" t="n">
        <v>328280</v>
      </c>
      <c r="G4239" s="8" t="n">
        <v>469750</v>
      </c>
      <c r="H4239" s="8" t="n">
        <v>8143</v>
      </c>
      <c r="I4239" s="8" t="n">
        <v>8175</v>
      </c>
      <c r="J4239" s="8" t="n">
        <v>8200</v>
      </c>
      <c r="K4239" s="8" t="n">
        <v>8107</v>
      </c>
      <c r="L4239" s="8" t="n">
        <v>374923</v>
      </c>
      <c r="M4239" s="8" t="n">
        <v>524869</v>
      </c>
      <c r="N4239" t="inlineStr">
        <is>
          <t>是</t>
        </is>
      </c>
    </row>
    <row r="4240">
      <c r="A4240" s="7" t="inlineStr">
        <is>
          <t>2024-12-20</t>
        </is>
      </c>
      <c r="B4240" s="8" t="n">
        <v>7359</v>
      </c>
      <c r="C4240" s="8" t="n">
        <v>7400</v>
      </c>
      <c r="D4240" s="8" t="n">
        <v>7419</v>
      </c>
      <c r="E4240" s="8" t="n">
        <v>7352</v>
      </c>
      <c r="F4240" s="8" t="n">
        <v>264502</v>
      </c>
      <c r="G4240" s="8" t="n">
        <v>504346</v>
      </c>
      <c r="H4240" s="8" t="n">
        <v>8086</v>
      </c>
      <c r="I4240" s="8" t="n">
        <v>8162</v>
      </c>
      <c r="J4240" s="8" t="n">
        <v>8169</v>
      </c>
      <c r="K4240" s="8" t="n">
        <v>8076</v>
      </c>
      <c r="L4240" s="8" t="n">
        <v>330426</v>
      </c>
      <c r="M4240" s="8" t="n">
        <v>528493</v>
      </c>
      <c r="N4240" t="inlineStr">
        <is>
          <t>是</t>
        </is>
      </c>
    </row>
    <row r="4241">
      <c r="A4241" s="7" t="inlineStr">
        <is>
          <t>2024-12-23</t>
        </is>
      </c>
      <c r="B4241" s="8" t="n">
        <v>7419</v>
      </c>
      <c r="C4241" s="8" t="n">
        <v>7360</v>
      </c>
      <c r="D4241" s="8" t="n">
        <v>7427</v>
      </c>
      <c r="E4241" s="8" t="n">
        <v>7342</v>
      </c>
      <c r="F4241" s="8" t="n">
        <v>317833</v>
      </c>
      <c r="G4241" s="8" t="n">
        <v>507685</v>
      </c>
      <c r="H4241" s="8" t="n">
        <v>8089</v>
      </c>
      <c r="I4241" s="8" t="n">
        <v>8073</v>
      </c>
      <c r="J4241" s="8" t="n">
        <v>8102</v>
      </c>
      <c r="K4241" s="8" t="n">
        <v>8055</v>
      </c>
      <c r="L4241" s="8" t="n">
        <v>333893</v>
      </c>
      <c r="M4241" s="8" t="n">
        <v>531783</v>
      </c>
      <c r="N4241" t="inlineStr">
        <is>
          <t>是</t>
        </is>
      </c>
    </row>
    <row r="4242">
      <c r="A4242" s="7" t="inlineStr">
        <is>
          <t>2024-12-24</t>
        </is>
      </c>
      <c r="B4242" s="8" t="n">
        <v>7428</v>
      </c>
      <c r="C4242" s="8" t="n">
        <v>7406</v>
      </c>
      <c r="D4242" s="8" t="n">
        <v>7434</v>
      </c>
      <c r="E4242" s="8" t="n">
        <v>7403</v>
      </c>
      <c r="F4242" s="8" t="n">
        <v>239731</v>
      </c>
      <c r="G4242" s="8" t="n">
        <v>494008</v>
      </c>
      <c r="H4242" s="8" t="n">
        <v>8099</v>
      </c>
      <c r="I4242" s="8" t="n">
        <v>8089</v>
      </c>
      <c r="J4242" s="8" t="n">
        <v>8104</v>
      </c>
      <c r="K4242" s="8" t="n">
        <v>8061</v>
      </c>
      <c r="L4242" s="8" t="n">
        <v>249184</v>
      </c>
      <c r="M4242" s="8" t="n">
        <v>518495</v>
      </c>
      <c r="N4242" t="inlineStr">
        <is>
          <t>是</t>
        </is>
      </c>
    </row>
    <row r="4243">
      <c r="A4243" s="7" t="inlineStr">
        <is>
          <t>2024-12-25</t>
        </is>
      </c>
      <c r="B4243" s="8" t="n">
        <v>7402</v>
      </c>
      <c r="C4243" s="8" t="n">
        <v>7428</v>
      </c>
      <c r="D4243" s="8" t="n">
        <v>7450</v>
      </c>
      <c r="E4243" s="8" t="n">
        <v>7401</v>
      </c>
      <c r="F4243" s="8" t="n">
        <v>209427</v>
      </c>
      <c r="G4243" s="8" t="n">
        <v>494758</v>
      </c>
      <c r="H4243" s="8" t="n">
        <v>8080</v>
      </c>
      <c r="I4243" s="8" t="n">
        <v>8092</v>
      </c>
      <c r="J4243" s="8" t="n">
        <v>8132</v>
      </c>
      <c r="K4243" s="8" t="n">
        <v>8078</v>
      </c>
      <c r="L4243" s="8" t="n">
        <v>288293</v>
      </c>
      <c r="M4243" s="8" t="n">
        <v>516909</v>
      </c>
      <c r="N4243" t="inlineStr">
        <is>
          <t>是</t>
        </is>
      </c>
    </row>
    <row r="4244">
      <c r="A4244" s="7" t="inlineStr">
        <is>
          <t>2024-12-26</t>
        </is>
      </c>
      <c r="B4244" s="8" t="n">
        <v>7407</v>
      </c>
      <c r="C4244" s="8" t="n">
        <v>7402</v>
      </c>
      <c r="D4244" s="8" t="n">
        <v>7435</v>
      </c>
      <c r="E4244" s="8" t="n">
        <v>7392</v>
      </c>
      <c r="F4244" s="8" t="n">
        <v>184981</v>
      </c>
      <c r="G4244" s="8" t="n">
        <v>487961</v>
      </c>
      <c r="H4244" s="8" t="n">
        <v>8117</v>
      </c>
      <c r="I4244" s="8" t="n">
        <v>8081</v>
      </c>
      <c r="J4244" s="8" t="n">
        <v>8124</v>
      </c>
      <c r="K4244" s="8" t="n">
        <v>8068</v>
      </c>
      <c r="L4244" s="8" t="n">
        <v>226690</v>
      </c>
      <c r="M4244" s="8" t="n">
        <v>517233</v>
      </c>
      <c r="N4244" t="inlineStr">
        <is>
          <t>是</t>
        </is>
      </c>
    </row>
    <row r="4245">
      <c r="A4245" s="7" t="inlineStr">
        <is>
          <t>2024-12-27</t>
        </is>
      </c>
      <c r="B4245" s="8" t="n">
        <v>7370</v>
      </c>
      <c r="C4245" s="8" t="n">
        <v>7407</v>
      </c>
      <c r="D4245" s="8" t="n">
        <v>7431</v>
      </c>
      <c r="E4245" s="8" t="n">
        <v>7367</v>
      </c>
      <c r="F4245" s="8" t="n">
        <v>227156</v>
      </c>
      <c r="G4245" s="8" t="n">
        <v>503569</v>
      </c>
      <c r="H4245" s="8" t="n">
        <v>8079</v>
      </c>
      <c r="I4245" s="8" t="n">
        <v>8125</v>
      </c>
      <c r="J4245" s="8" t="n">
        <v>8156</v>
      </c>
      <c r="K4245" s="8" t="n">
        <v>8078</v>
      </c>
      <c r="L4245" s="8" t="n">
        <v>320045</v>
      </c>
      <c r="M4245" s="8" t="n">
        <v>528137</v>
      </c>
      <c r="N4245" t="inlineStr">
        <is>
          <t>是</t>
        </is>
      </c>
    </row>
    <row r="4246">
      <c r="A4246" s="7" t="inlineStr">
        <is>
          <t>2024-12-30</t>
        </is>
      </c>
      <c r="B4246" s="8" t="n">
        <v>7393</v>
      </c>
      <c r="C4246" s="8" t="n">
        <v>7376</v>
      </c>
      <c r="D4246" s="8" t="n">
        <v>7416</v>
      </c>
      <c r="E4246" s="8" t="n">
        <v>7371</v>
      </c>
      <c r="F4246" s="8" t="n">
        <v>214530</v>
      </c>
      <c r="G4246" s="8" t="n">
        <v>493324</v>
      </c>
      <c r="H4246" s="8" t="n">
        <v>8103</v>
      </c>
      <c r="I4246" s="8" t="n">
        <v>8079</v>
      </c>
      <c r="J4246" s="8" t="n">
        <v>8132</v>
      </c>
      <c r="K4246" s="8" t="n">
        <v>8075</v>
      </c>
      <c r="L4246" s="8" t="n">
        <v>258438</v>
      </c>
      <c r="M4246" s="8" t="n">
        <v>521636</v>
      </c>
      <c r="N4246" t="inlineStr">
        <is>
          <t>是</t>
        </is>
      </c>
    </row>
    <row r="4247">
      <c r="A4247" s="7" t="inlineStr">
        <is>
          <t>2024-12-31</t>
        </is>
      </c>
      <c r="B4247" s="8" t="n">
        <v>7477</v>
      </c>
      <c r="C4247" s="8" t="n">
        <v>7400</v>
      </c>
      <c r="D4247" s="8" t="n">
        <v>7480</v>
      </c>
      <c r="E4247" s="8" t="n">
        <v>7393</v>
      </c>
      <c r="F4247" s="8" t="n">
        <v>361876</v>
      </c>
      <c r="G4247" s="8" t="n">
        <v>467325</v>
      </c>
      <c r="H4247" s="8" t="n">
        <v>8178</v>
      </c>
      <c r="I4247" s="8" t="n">
        <v>8109</v>
      </c>
      <c r="J4247" s="8" t="n">
        <v>8187</v>
      </c>
      <c r="K4247" s="8" t="n">
        <v>8102</v>
      </c>
      <c r="L4247" s="8" t="n">
        <v>373056</v>
      </c>
      <c r="M4247" s="8" t="n">
        <v>549102</v>
      </c>
      <c r="N4247" t="inlineStr">
        <is>
          <t>是</t>
        </is>
      </c>
    </row>
    <row r="4248">
      <c r="A4248" s="7" t="inlineStr">
        <is>
          <t>2025-01-02</t>
        </is>
      </c>
      <c r="B4248" s="8" t="n">
        <v>7495</v>
      </c>
      <c r="C4248" s="8" t="n">
        <v>7480</v>
      </c>
      <c r="D4248" s="8" t="n">
        <v>7507</v>
      </c>
      <c r="E4248" s="8" t="n">
        <v>7465</v>
      </c>
      <c r="F4248" s="8" t="n">
        <v>253319</v>
      </c>
      <c r="G4248" s="8" t="n">
        <v>476369</v>
      </c>
      <c r="H4248" s="8" t="n">
        <v>8164</v>
      </c>
      <c r="I4248" s="8" t="n">
        <v>8188</v>
      </c>
      <c r="J4248" s="8" t="n">
        <v>8206</v>
      </c>
      <c r="K4248" s="8" t="n">
        <v>8135</v>
      </c>
      <c r="L4248" s="8" t="n">
        <v>291566</v>
      </c>
      <c r="M4248" s="8" t="n">
        <v>555395</v>
      </c>
      <c r="N4248" t="inlineStr">
        <is>
          <t>是</t>
        </is>
      </c>
    </row>
    <row r="4249">
      <c r="A4249" s="7" t="inlineStr">
        <is>
          <t>2025-01-03</t>
        </is>
      </c>
      <c r="B4249" s="8" t="n">
        <v>7432</v>
      </c>
      <c r="C4249" s="8" t="n">
        <v>7499</v>
      </c>
      <c r="D4249" s="8" t="n">
        <v>7502</v>
      </c>
      <c r="E4249" s="8" t="n">
        <v>7430</v>
      </c>
      <c r="F4249" s="8" t="n">
        <v>293826</v>
      </c>
      <c r="G4249" s="8" t="n">
        <v>457785</v>
      </c>
      <c r="H4249" s="8" t="n">
        <v>8083</v>
      </c>
      <c r="I4249" s="8" t="n">
        <v>8164</v>
      </c>
      <c r="J4249" s="8" t="n">
        <v>8179</v>
      </c>
      <c r="K4249" s="8" t="n">
        <v>8082</v>
      </c>
      <c r="L4249" s="8" t="n">
        <v>404749</v>
      </c>
      <c r="M4249" s="8" t="n">
        <v>545046</v>
      </c>
      <c r="N4249" t="inlineStr">
        <is>
          <t>是</t>
        </is>
      </c>
    </row>
    <row r="4250">
      <c r="A4250" s="7" t="inlineStr">
        <is>
          <t>2025-01-06</t>
        </is>
      </c>
      <c r="B4250" s="8" t="n">
        <v>7354</v>
      </c>
      <c r="C4250" s="8" t="n">
        <v>7423</v>
      </c>
      <c r="D4250" s="8" t="n">
        <v>7450</v>
      </c>
      <c r="E4250" s="8" t="n">
        <v>7351</v>
      </c>
      <c r="F4250" s="8" t="n">
        <v>437260</v>
      </c>
      <c r="G4250" s="8" t="n">
        <v>443473</v>
      </c>
      <c r="H4250" s="8" t="n">
        <v>7943</v>
      </c>
      <c r="I4250" s="8" t="n">
        <v>8080</v>
      </c>
      <c r="J4250" s="8" t="n">
        <v>8096</v>
      </c>
      <c r="K4250" s="8" t="n">
        <v>7936</v>
      </c>
      <c r="L4250" s="8" t="n">
        <v>574773</v>
      </c>
      <c r="M4250" s="8" t="n">
        <v>571299</v>
      </c>
      <c r="N4250" t="inlineStr">
        <is>
          <t>是</t>
        </is>
      </c>
    </row>
    <row r="4251">
      <c r="A4251" s="7" t="inlineStr">
        <is>
          <t>2025-01-07</t>
        </is>
      </c>
      <c r="B4251" s="8" t="n">
        <v>7323</v>
      </c>
      <c r="C4251" s="8" t="n">
        <v>7368</v>
      </c>
      <c r="D4251" s="8" t="n">
        <v>7379</v>
      </c>
      <c r="E4251" s="8" t="n">
        <v>7315</v>
      </c>
      <c r="F4251" s="8" t="n">
        <v>292420</v>
      </c>
      <c r="G4251" s="8" t="n">
        <v>451222</v>
      </c>
      <c r="H4251" s="8" t="n">
        <v>7893</v>
      </c>
      <c r="I4251" s="8" t="n">
        <v>7956</v>
      </c>
      <c r="J4251" s="8" t="n">
        <v>7980</v>
      </c>
      <c r="K4251" s="8" t="n">
        <v>7885</v>
      </c>
      <c r="L4251" s="8" t="n">
        <v>414567</v>
      </c>
      <c r="M4251" s="8" t="n">
        <v>553584</v>
      </c>
      <c r="N4251" t="inlineStr">
        <is>
          <t>是</t>
        </is>
      </c>
    </row>
    <row r="4252">
      <c r="A4252" s="7" t="inlineStr">
        <is>
          <t>2025-01-08</t>
        </is>
      </c>
      <c r="B4252" s="8" t="n">
        <v>7310</v>
      </c>
      <c r="C4252" s="8" t="n">
        <v>7340</v>
      </c>
      <c r="D4252" s="8" t="n">
        <v>7349</v>
      </c>
      <c r="E4252" s="8" t="n">
        <v>7305</v>
      </c>
      <c r="F4252" s="8" t="n">
        <v>254762</v>
      </c>
      <c r="G4252" s="8" t="n">
        <v>482629</v>
      </c>
      <c r="H4252" s="8" t="n">
        <v>7867</v>
      </c>
      <c r="I4252" s="8" t="n">
        <v>7903</v>
      </c>
      <c r="J4252" s="8" t="n">
        <v>7925</v>
      </c>
      <c r="K4252" s="8" t="n">
        <v>7856</v>
      </c>
      <c r="L4252" s="8" t="n">
        <v>325698</v>
      </c>
      <c r="M4252" s="8" t="n">
        <v>533648</v>
      </c>
      <c r="N4252" t="inlineStr">
        <is>
          <t>是</t>
        </is>
      </c>
    </row>
    <row r="4253">
      <c r="A4253" s="7" t="inlineStr">
        <is>
          <t>2025-01-09</t>
        </is>
      </c>
      <c r="B4253" s="8" t="n">
        <v>7343</v>
      </c>
      <c r="C4253" s="8" t="n">
        <v>7310</v>
      </c>
      <c r="D4253" s="8" t="n">
        <v>7360</v>
      </c>
      <c r="E4253" s="8" t="n">
        <v>7308</v>
      </c>
      <c r="F4253" s="8" t="n">
        <v>275693</v>
      </c>
      <c r="G4253" s="8" t="n">
        <v>482712</v>
      </c>
      <c r="H4253" s="8" t="n">
        <v>7877</v>
      </c>
      <c r="I4253" s="8" t="n">
        <v>7870</v>
      </c>
      <c r="J4253" s="8" t="n">
        <v>7912</v>
      </c>
      <c r="K4253" s="8" t="n">
        <v>7853</v>
      </c>
      <c r="L4253" s="8" t="n">
        <v>320365</v>
      </c>
      <c r="M4253" s="8" t="n">
        <v>522894</v>
      </c>
      <c r="N4253" t="inlineStr">
        <is>
          <t>是</t>
        </is>
      </c>
    </row>
    <row r="4254">
      <c r="A4254" s="7" t="inlineStr">
        <is>
          <t>2025-01-10</t>
        </is>
      </c>
      <c r="B4254" s="8" t="n">
        <v>7362</v>
      </c>
      <c r="C4254" s="8" t="n">
        <v>7355</v>
      </c>
      <c r="D4254" s="8" t="n">
        <v>7385</v>
      </c>
      <c r="E4254" s="8" t="n">
        <v>7341</v>
      </c>
      <c r="F4254" s="8" t="n">
        <v>212502</v>
      </c>
      <c r="G4254" s="8" t="n">
        <v>469017</v>
      </c>
      <c r="H4254" s="8" t="n">
        <v>7911</v>
      </c>
      <c r="I4254" s="8" t="n">
        <v>7870</v>
      </c>
      <c r="J4254" s="8" t="n">
        <v>7932</v>
      </c>
      <c r="K4254" s="8" t="n">
        <v>7865</v>
      </c>
      <c r="L4254" s="8" t="n">
        <v>298161</v>
      </c>
      <c r="M4254" s="8" t="n">
        <v>515471</v>
      </c>
      <c r="N4254" t="inlineStr">
        <is>
          <t>是</t>
        </is>
      </c>
    </row>
    <row r="4255">
      <c r="A4255" s="7" t="inlineStr">
        <is>
          <t>2025-01-13</t>
        </is>
      </c>
      <c r="B4255" s="8" t="n">
        <v>7434</v>
      </c>
      <c r="C4255" s="8" t="n">
        <v>7390</v>
      </c>
      <c r="D4255" s="8" t="n">
        <v>7459</v>
      </c>
      <c r="E4255" s="8" t="n">
        <v>7388</v>
      </c>
      <c r="F4255" s="8" t="n">
        <v>386202</v>
      </c>
      <c r="G4255" s="8" t="n">
        <v>447938</v>
      </c>
      <c r="H4255" s="8" t="n">
        <v>7917</v>
      </c>
      <c r="I4255" s="8" t="n">
        <v>7940</v>
      </c>
      <c r="J4255" s="8" t="n">
        <v>8008</v>
      </c>
      <c r="K4255" s="8" t="n">
        <v>7906</v>
      </c>
      <c r="L4255" s="8" t="n">
        <v>440123</v>
      </c>
      <c r="M4255" s="8" t="n">
        <v>514133</v>
      </c>
      <c r="N4255" t="inlineStr">
        <is>
          <t>是</t>
        </is>
      </c>
    </row>
    <row r="4256">
      <c r="A4256" s="7" t="inlineStr">
        <is>
          <t>2025-01-14</t>
        </is>
      </c>
      <c r="B4256" s="8" t="n">
        <v>7425</v>
      </c>
      <c r="C4256" s="8" t="n">
        <v>7439</v>
      </c>
      <c r="D4256" s="8" t="n">
        <v>7448</v>
      </c>
      <c r="E4256" s="8" t="n">
        <v>7417</v>
      </c>
      <c r="F4256" s="8" t="n">
        <v>248103</v>
      </c>
      <c r="G4256" s="8" t="n">
        <v>442741</v>
      </c>
      <c r="H4256" s="8" t="n">
        <v>7862</v>
      </c>
      <c r="I4256" s="8" t="n">
        <v>7925</v>
      </c>
      <c r="J4256" s="8" t="n">
        <v>7928</v>
      </c>
      <c r="K4256" s="8" t="n">
        <v>7858</v>
      </c>
      <c r="L4256" s="8" t="n">
        <v>437613</v>
      </c>
      <c r="M4256" s="8" t="n">
        <v>559247</v>
      </c>
      <c r="N4256" t="inlineStr">
        <is>
          <t>是</t>
        </is>
      </c>
    </row>
    <row r="4257">
      <c r="A4257" s="7" t="inlineStr">
        <is>
          <t>2025-01-15</t>
        </is>
      </c>
      <c r="B4257" s="8" t="n">
        <v>7442</v>
      </c>
      <c r="C4257" s="8" t="n">
        <v>7427</v>
      </c>
      <c r="D4257" s="8" t="n">
        <v>7452</v>
      </c>
      <c r="E4257" s="8" t="n">
        <v>7410</v>
      </c>
      <c r="F4257" s="8" t="n">
        <v>218459</v>
      </c>
      <c r="G4257" s="8" t="n">
        <v>443554</v>
      </c>
      <c r="H4257" s="8" t="n">
        <v>7880</v>
      </c>
      <c r="I4257" s="8" t="n">
        <v>7850</v>
      </c>
      <c r="J4257" s="8" t="n">
        <v>7904</v>
      </c>
      <c r="K4257" s="8" t="n">
        <v>7830</v>
      </c>
      <c r="L4257" s="8" t="n">
        <v>354403</v>
      </c>
      <c r="M4257" s="8" t="n">
        <v>550549</v>
      </c>
      <c r="N4257" t="inlineStr">
        <is>
          <t>是</t>
        </is>
      </c>
    </row>
    <row r="4258">
      <c r="A4258" s="7" t="inlineStr">
        <is>
          <t>2025-01-16</t>
        </is>
      </c>
      <c r="B4258" s="8" t="n">
        <v>7467</v>
      </c>
      <c r="C4258" s="8" t="n">
        <v>7442</v>
      </c>
      <c r="D4258" s="8" t="n">
        <v>7492</v>
      </c>
      <c r="E4258" s="8" t="n">
        <v>7435</v>
      </c>
      <c r="F4258" s="8" t="n">
        <v>343214</v>
      </c>
      <c r="G4258" s="8" t="n">
        <v>425653</v>
      </c>
      <c r="H4258" s="8" t="n">
        <v>7852</v>
      </c>
      <c r="I4258" s="8" t="n">
        <v>7880</v>
      </c>
      <c r="J4258" s="8" t="n">
        <v>7927</v>
      </c>
      <c r="K4258" s="8" t="n">
        <v>7815</v>
      </c>
      <c r="L4258" s="8" t="n">
        <v>439666</v>
      </c>
      <c r="M4258" s="8" t="n">
        <v>553010</v>
      </c>
      <c r="N4258" t="inlineStr">
        <is>
          <t>是</t>
        </is>
      </c>
    </row>
    <row r="4259">
      <c r="A4259" s="7" t="inlineStr">
        <is>
          <t>2025-01-17</t>
        </is>
      </c>
      <c r="B4259" s="8" t="n">
        <v>7469</v>
      </c>
      <c r="C4259" s="8" t="n">
        <v>7466</v>
      </c>
      <c r="D4259" s="8" t="n">
        <v>7486</v>
      </c>
      <c r="E4259" s="8" t="n">
        <v>7421</v>
      </c>
      <c r="F4259" s="8" t="n">
        <v>256975</v>
      </c>
      <c r="G4259" s="8" t="n">
        <v>420343</v>
      </c>
      <c r="H4259" s="8" t="n">
        <v>7879</v>
      </c>
      <c r="I4259" s="8" t="n">
        <v>7840</v>
      </c>
      <c r="J4259" s="8" t="n">
        <v>7898</v>
      </c>
      <c r="K4259" s="8" t="n">
        <v>7806</v>
      </c>
      <c r="L4259" s="8" t="n">
        <v>389962</v>
      </c>
      <c r="M4259" s="8" t="n">
        <v>526436</v>
      </c>
      <c r="N4259" t="inlineStr">
        <is>
          <t>是</t>
        </is>
      </c>
    </row>
    <row r="4260">
      <c r="A4260" s="7" t="inlineStr">
        <is>
          <t>2025-01-20</t>
        </is>
      </c>
      <c r="B4260" s="8" t="n">
        <v>7444</v>
      </c>
      <c r="C4260" s="8" t="n">
        <v>7472</v>
      </c>
      <c r="D4260" s="8" t="n">
        <v>7476</v>
      </c>
      <c r="E4260" s="8" t="n">
        <v>7431</v>
      </c>
      <c r="F4260" s="8" t="n">
        <v>255264</v>
      </c>
      <c r="G4260" s="8" t="n">
        <v>406519</v>
      </c>
      <c r="H4260" s="8" t="n">
        <v>7831</v>
      </c>
      <c r="I4260" s="8" t="n">
        <v>7870</v>
      </c>
      <c r="J4260" s="8" t="n">
        <v>7887</v>
      </c>
      <c r="K4260" s="8" t="n">
        <v>7783</v>
      </c>
      <c r="L4260" s="8" t="n">
        <v>418610</v>
      </c>
      <c r="M4260" s="8" t="n">
        <v>533070</v>
      </c>
      <c r="N4260" t="inlineStr">
        <is>
          <t>是</t>
        </is>
      </c>
    </row>
    <row r="4261">
      <c r="A4261" s="7" t="inlineStr">
        <is>
          <t>2025-01-21</t>
        </is>
      </c>
      <c r="B4261" s="8" t="n">
        <v>7400</v>
      </c>
      <c r="C4261" s="8" t="n">
        <v>7445</v>
      </c>
      <c r="D4261" s="8" t="n">
        <v>7458</v>
      </c>
      <c r="E4261" s="8" t="n">
        <v>7400</v>
      </c>
      <c r="F4261" s="8" t="n">
        <v>259498</v>
      </c>
      <c r="G4261" s="8" t="n">
        <v>403243</v>
      </c>
      <c r="H4261" s="8" t="n">
        <v>7808</v>
      </c>
      <c r="I4261" s="8" t="n">
        <v>7820</v>
      </c>
      <c r="J4261" s="8" t="n">
        <v>7878</v>
      </c>
      <c r="K4261" s="8" t="n">
        <v>7806</v>
      </c>
      <c r="L4261" s="8" t="n">
        <v>316481</v>
      </c>
      <c r="M4261" s="8" t="n">
        <v>537892</v>
      </c>
      <c r="N4261" t="inlineStr">
        <is>
          <t>是</t>
        </is>
      </c>
    </row>
    <row r="4262">
      <c r="A4262" s="7" t="inlineStr">
        <is>
          <t>2025-01-22</t>
        </is>
      </c>
      <c r="B4262" s="8" t="n">
        <v>7359</v>
      </c>
      <c r="C4262" s="8" t="n">
        <v>7390</v>
      </c>
      <c r="D4262" s="8" t="n">
        <v>7394</v>
      </c>
      <c r="E4262" s="8" t="n">
        <v>7353</v>
      </c>
      <c r="F4262" s="8" t="n">
        <v>259999</v>
      </c>
      <c r="G4262" s="8" t="n">
        <v>395560</v>
      </c>
      <c r="H4262" s="8" t="n">
        <v>7777</v>
      </c>
      <c r="I4262" s="8" t="n">
        <v>7800</v>
      </c>
      <c r="J4262" s="8" t="n">
        <v>7813</v>
      </c>
      <c r="K4262" s="8" t="n">
        <v>7763</v>
      </c>
      <c r="L4262" s="8" t="n">
        <v>302778</v>
      </c>
      <c r="M4262" s="8" t="n">
        <v>548080</v>
      </c>
      <c r="N4262" t="inlineStr">
        <is>
          <t>是</t>
        </is>
      </c>
    </row>
    <row r="4263">
      <c r="A4263" s="7" t="inlineStr">
        <is>
          <t>2025-01-23</t>
        </is>
      </c>
      <c r="B4263" s="8" t="n">
        <v>7333</v>
      </c>
      <c r="C4263" s="8" t="n">
        <v>7359</v>
      </c>
      <c r="D4263" s="8" t="n">
        <v>7384</v>
      </c>
      <c r="E4263" s="8" t="n">
        <v>7321</v>
      </c>
      <c r="F4263" s="8" t="n">
        <v>233968</v>
      </c>
      <c r="G4263" s="8" t="n">
        <v>409285</v>
      </c>
      <c r="H4263" s="8" t="n">
        <v>7740</v>
      </c>
      <c r="I4263" s="8" t="n">
        <v>7770</v>
      </c>
      <c r="J4263" s="8" t="n">
        <v>7796</v>
      </c>
      <c r="K4263" s="8" t="n">
        <v>7719</v>
      </c>
      <c r="L4263" s="8" t="n">
        <v>262462</v>
      </c>
      <c r="M4263" s="8" t="n">
        <v>552939</v>
      </c>
      <c r="N4263" t="inlineStr">
        <is>
          <t>是</t>
        </is>
      </c>
    </row>
    <row r="4264">
      <c r="A4264" s="7" t="inlineStr">
        <is>
          <t>2025-01-24</t>
        </is>
      </c>
      <c r="B4264" s="8" t="n">
        <v>7335</v>
      </c>
      <c r="C4264" s="8" t="n">
        <v>7333</v>
      </c>
      <c r="D4264" s="8" t="n">
        <v>7360</v>
      </c>
      <c r="E4264" s="8" t="n">
        <v>7328</v>
      </c>
      <c r="F4264" s="8" t="n">
        <v>175829</v>
      </c>
      <c r="G4264" s="8" t="n">
        <v>404868</v>
      </c>
      <c r="H4264" s="8" t="n">
        <v>7739</v>
      </c>
      <c r="I4264" s="8" t="n">
        <v>7750</v>
      </c>
      <c r="J4264" s="8" t="n">
        <v>7768</v>
      </c>
      <c r="K4264" s="8" t="n">
        <v>7722</v>
      </c>
      <c r="L4264" s="8" t="n">
        <v>236164</v>
      </c>
      <c r="M4264" s="8" t="n">
        <v>537736</v>
      </c>
      <c r="N4264" t="inlineStr">
        <is>
          <t>是</t>
        </is>
      </c>
    </row>
    <row r="4265">
      <c r="A4265" s="7" t="inlineStr">
        <is>
          <t>2025-01-27</t>
        </is>
      </c>
      <c r="B4265" s="8" t="n">
        <v>7381</v>
      </c>
      <c r="C4265" s="8" t="n">
        <v>7344</v>
      </c>
      <c r="D4265" s="8" t="n">
        <v>7407</v>
      </c>
      <c r="E4265" s="8" t="n">
        <v>7334</v>
      </c>
      <c r="F4265" s="8" t="n">
        <v>212331</v>
      </c>
      <c r="G4265" s="8" t="n">
        <v>372966</v>
      </c>
      <c r="H4265" s="8" t="n">
        <v>7785</v>
      </c>
      <c r="I4265" s="8" t="n">
        <v>7755</v>
      </c>
      <c r="J4265" s="8" t="n">
        <v>7805</v>
      </c>
      <c r="K4265" s="8" t="n">
        <v>7736</v>
      </c>
      <c r="L4265" s="8" t="n">
        <v>233785</v>
      </c>
      <c r="M4265" s="8" t="n">
        <v>501617</v>
      </c>
      <c r="N4265" t="inlineStr">
        <is>
          <t>是</t>
        </is>
      </c>
    </row>
    <row r="4266">
      <c r="A4266" s="7" t="inlineStr">
        <is>
          <t>2025-02-05</t>
        </is>
      </c>
      <c r="B4266" s="8" t="n">
        <v>7346</v>
      </c>
      <c r="C4266" s="8" t="n">
        <v>7361</v>
      </c>
      <c r="D4266" s="8" t="n">
        <v>7380</v>
      </c>
      <c r="E4266" s="8" t="n">
        <v>7341</v>
      </c>
      <c r="F4266" s="8" t="n">
        <v>174098</v>
      </c>
      <c r="G4266" s="8" t="n">
        <v>389359</v>
      </c>
      <c r="H4266" s="8" t="n">
        <v>7714</v>
      </c>
      <c r="I4266" s="8" t="n">
        <v>7760</v>
      </c>
      <c r="J4266" s="8" t="n">
        <v>7781</v>
      </c>
      <c r="K4266" s="8" t="n">
        <v>7710</v>
      </c>
      <c r="L4266" s="8" t="n">
        <v>219659</v>
      </c>
      <c r="M4266" s="8" t="n">
        <v>517826</v>
      </c>
      <c r="N4266" t="inlineStr">
        <is>
          <t>是</t>
        </is>
      </c>
    </row>
    <row r="4267">
      <c r="A4267" s="7" t="inlineStr">
        <is>
          <t>2025-02-06</t>
        </is>
      </c>
      <c r="B4267" s="8" t="n">
        <v>7339</v>
      </c>
      <c r="C4267" s="8" t="n">
        <v>7346</v>
      </c>
      <c r="D4267" s="8" t="n">
        <v>7354</v>
      </c>
      <c r="E4267" s="8" t="n">
        <v>7319</v>
      </c>
      <c r="F4267" s="8" t="n">
        <v>221530</v>
      </c>
      <c r="G4267" s="8" t="n">
        <v>423721</v>
      </c>
      <c r="H4267" s="8" t="n">
        <v>7729</v>
      </c>
      <c r="I4267" s="8" t="n">
        <v>7710</v>
      </c>
      <c r="J4267" s="8" t="n">
        <v>7741</v>
      </c>
      <c r="K4267" s="8" t="n">
        <v>7691</v>
      </c>
      <c r="L4267" s="8" t="n">
        <v>270825</v>
      </c>
      <c r="M4267" s="8" t="n">
        <v>531050</v>
      </c>
      <c r="N4267" t="inlineStr">
        <is>
          <t>是</t>
        </is>
      </c>
    </row>
    <row r="4268">
      <c r="A4268" s="7" t="inlineStr">
        <is>
          <t>2025-02-07</t>
        </is>
      </c>
      <c r="B4268" s="8" t="n">
        <v>7401</v>
      </c>
      <c r="C4268" s="8" t="n">
        <v>7340</v>
      </c>
      <c r="D4268" s="8" t="n">
        <v>7426</v>
      </c>
      <c r="E4268" s="8" t="n">
        <v>7339</v>
      </c>
      <c r="F4268" s="8" t="n">
        <v>291272</v>
      </c>
      <c r="G4268" s="8" t="n">
        <v>409215</v>
      </c>
      <c r="H4268" s="8" t="n">
        <v>7776</v>
      </c>
      <c r="I4268" s="8" t="n">
        <v>7730</v>
      </c>
      <c r="J4268" s="8" t="n">
        <v>7814</v>
      </c>
      <c r="K4268" s="8" t="n">
        <v>7714</v>
      </c>
      <c r="L4268" s="8" t="n">
        <v>339816</v>
      </c>
      <c r="M4268" s="8" t="n">
        <v>524880</v>
      </c>
      <c r="N4268" t="inlineStr">
        <is>
          <t>是</t>
        </is>
      </c>
    </row>
    <row r="4269">
      <c r="A4269" s="7" t="inlineStr">
        <is>
          <t>2025-02-10</t>
        </is>
      </c>
      <c r="B4269" s="8" t="n">
        <v>7412</v>
      </c>
      <c r="C4269" s="8" t="n">
        <v>7392</v>
      </c>
      <c r="D4269" s="8" t="n">
        <v>7430</v>
      </c>
      <c r="E4269" s="8" t="n">
        <v>7389</v>
      </c>
      <c r="F4269" s="8" t="n">
        <v>224404</v>
      </c>
      <c r="G4269" s="8" t="n">
        <v>416577</v>
      </c>
      <c r="H4269" s="8" t="n">
        <v>7781</v>
      </c>
      <c r="I4269" s="8" t="n">
        <v>7785</v>
      </c>
      <c r="J4269" s="8" t="n">
        <v>7804</v>
      </c>
      <c r="K4269" s="8" t="n">
        <v>7757</v>
      </c>
      <c r="L4269" s="8" t="n">
        <v>277719</v>
      </c>
      <c r="M4269" s="8" t="n">
        <v>531285</v>
      </c>
      <c r="N4269" t="inlineStr">
        <is>
          <t>是</t>
        </is>
      </c>
    </row>
    <row r="4270">
      <c r="A4270" s="7" t="inlineStr">
        <is>
          <t>2025-02-11</t>
        </is>
      </c>
      <c r="B4270" s="8" t="n">
        <v>7430</v>
      </c>
      <c r="C4270" s="8" t="n">
        <v>7412</v>
      </c>
      <c r="D4270" s="8" t="n">
        <v>7430</v>
      </c>
      <c r="E4270" s="8" t="n">
        <v>7403</v>
      </c>
      <c r="F4270" s="8" t="n">
        <v>195710</v>
      </c>
      <c r="G4270" s="8" t="n">
        <v>413046</v>
      </c>
      <c r="H4270" s="8" t="n">
        <v>7840</v>
      </c>
      <c r="I4270" s="8" t="n">
        <v>7792</v>
      </c>
      <c r="J4270" s="8" t="n">
        <v>7840</v>
      </c>
      <c r="K4270" s="8" t="n">
        <v>7773</v>
      </c>
      <c r="L4270" s="8" t="n">
        <v>310053</v>
      </c>
      <c r="M4270" s="8" t="n">
        <v>513970</v>
      </c>
      <c r="N4270" t="inlineStr">
        <is>
          <t>是</t>
        </is>
      </c>
    </row>
    <row r="4271">
      <c r="A4271" s="7" t="inlineStr">
        <is>
          <t>2025-02-12</t>
        </is>
      </c>
      <c r="B4271" s="8" t="n">
        <v>7445</v>
      </c>
      <c r="C4271" s="8" t="n">
        <v>7440</v>
      </c>
      <c r="D4271" s="8" t="n">
        <v>7450</v>
      </c>
      <c r="E4271" s="8" t="n">
        <v>7422</v>
      </c>
      <c r="F4271" s="8" t="n">
        <v>206199</v>
      </c>
      <c r="G4271" s="8" t="n">
        <v>398248</v>
      </c>
      <c r="H4271" s="8" t="n">
        <v>7854</v>
      </c>
      <c r="I4271" s="8" t="n">
        <v>7840</v>
      </c>
      <c r="J4271" s="8" t="n">
        <v>7866</v>
      </c>
      <c r="K4271" s="8" t="n">
        <v>7815</v>
      </c>
      <c r="L4271" s="8" t="n">
        <v>289270</v>
      </c>
      <c r="M4271" s="8" t="n">
        <v>514043</v>
      </c>
      <c r="N4271" t="inlineStr">
        <is>
          <t>是</t>
        </is>
      </c>
    </row>
    <row r="4272">
      <c r="A4272" s="7" t="inlineStr">
        <is>
          <t>2025-02-13</t>
        </is>
      </c>
      <c r="B4272" s="8" t="n">
        <v>7371</v>
      </c>
      <c r="C4272" s="8" t="n">
        <v>7444</v>
      </c>
      <c r="D4272" s="8" t="n">
        <v>7444</v>
      </c>
      <c r="E4272" s="8" t="n">
        <v>7361</v>
      </c>
      <c r="F4272" s="8" t="n">
        <v>269987</v>
      </c>
      <c r="G4272" s="8" t="n">
        <v>401522</v>
      </c>
      <c r="H4272" s="8" t="n">
        <v>7774</v>
      </c>
      <c r="I4272" s="8" t="n">
        <v>7854</v>
      </c>
      <c r="J4272" s="8" t="n">
        <v>7866</v>
      </c>
      <c r="K4272" s="8" t="n">
        <v>7766</v>
      </c>
      <c r="L4272" s="8" t="n">
        <v>312728</v>
      </c>
      <c r="M4272" s="8" t="n">
        <v>518301</v>
      </c>
      <c r="N4272" t="inlineStr">
        <is>
          <t>是</t>
        </is>
      </c>
    </row>
    <row r="4273">
      <c r="A4273" s="7" t="inlineStr">
        <is>
          <t>2025-02-14</t>
        </is>
      </c>
      <c r="B4273" s="8" t="n">
        <v>7395</v>
      </c>
      <c r="C4273" s="8" t="n">
        <v>7371</v>
      </c>
      <c r="D4273" s="8" t="n">
        <v>7420</v>
      </c>
      <c r="E4273" s="8" t="n">
        <v>7365</v>
      </c>
      <c r="F4273" s="8" t="n">
        <v>220582</v>
      </c>
      <c r="G4273" s="8" t="n">
        <v>401062</v>
      </c>
      <c r="H4273" s="8" t="n">
        <v>7819</v>
      </c>
      <c r="I4273" s="8" t="n">
        <v>7760</v>
      </c>
      <c r="J4273" s="8" t="n">
        <v>7844</v>
      </c>
      <c r="K4273" s="8" t="n">
        <v>7755</v>
      </c>
      <c r="L4273" s="8" t="n">
        <v>248597</v>
      </c>
      <c r="M4273" s="8" t="n">
        <v>505043</v>
      </c>
      <c r="N4273" t="inlineStr">
        <is>
          <t>是</t>
        </is>
      </c>
    </row>
    <row r="4274">
      <c r="A4274" s="7" t="inlineStr">
        <is>
          <t>2025-02-17</t>
        </is>
      </c>
      <c r="B4274" s="8" t="n">
        <v>7417</v>
      </c>
      <c r="C4274" s="8" t="n">
        <v>7395</v>
      </c>
      <c r="D4274" s="8" t="n">
        <v>7420</v>
      </c>
      <c r="E4274" s="8" t="n">
        <v>7375</v>
      </c>
      <c r="F4274" s="8" t="n">
        <v>212945</v>
      </c>
      <c r="G4274" s="8" t="n">
        <v>391772</v>
      </c>
      <c r="H4274" s="8" t="n">
        <v>7859</v>
      </c>
      <c r="I4274" s="8" t="n">
        <v>7826</v>
      </c>
      <c r="J4274" s="8" t="n">
        <v>7877</v>
      </c>
      <c r="K4274" s="8" t="n">
        <v>7813</v>
      </c>
      <c r="L4274" s="8" t="n">
        <v>284736</v>
      </c>
      <c r="M4274" s="8" t="n">
        <v>492528</v>
      </c>
      <c r="N4274" t="inlineStr">
        <is>
          <t>是</t>
        </is>
      </c>
    </row>
    <row r="4275">
      <c r="A4275" s="7" t="inlineStr">
        <is>
          <t>2025-02-18</t>
        </is>
      </c>
      <c r="B4275" s="8" t="n">
        <v>7412</v>
      </c>
      <c r="C4275" s="8" t="n">
        <v>7417</v>
      </c>
      <c r="D4275" s="8" t="n">
        <v>7422</v>
      </c>
      <c r="E4275" s="8" t="n">
        <v>7395</v>
      </c>
      <c r="F4275" s="8" t="n">
        <v>164856</v>
      </c>
      <c r="G4275" s="8" t="n">
        <v>389861</v>
      </c>
      <c r="H4275" s="8" t="n">
        <v>7837</v>
      </c>
      <c r="I4275" s="8" t="n">
        <v>7859</v>
      </c>
      <c r="J4275" s="8" t="n">
        <v>7860</v>
      </c>
      <c r="K4275" s="8" t="n">
        <v>7831</v>
      </c>
      <c r="L4275" s="8" t="n">
        <v>185717</v>
      </c>
      <c r="M4275" s="8" t="n">
        <v>501493</v>
      </c>
      <c r="N4275" t="inlineStr">
        <is>
          <t>是</t>
        </is>
      </c>
    </row>
    <row r="4276">
      <c r="A4276" s="7" t="inlineStr">
        <is>
          <t>2025-02-19</t>
        </is>
      </c>
      <c r="B4276" s="8" t="n">
        <v>7414</v>
      </c>
      <c r="C4276" s="8" t="n">
        <v>7410</v>
      </c>
      <c r="D4276" s="8" t="n">
        <v>7424</v>
      </c>
      <c r="E4276" s="8" t="n">
        <v>7397</v>
      </c>
      <c r="F4276" s="8" t="n">
        <v>177580</v>
      </c>
      <c r="G4276" s="8" t="n">
        <v>392838</v>
      </c>
      <c r="H4276" s="8" t="n">
        <v>7872</v>
      </c>
      <c r="I4276" s="8" t="n">
        <v>7839</v>
      </c>
      <c r="J4276" s="8" t="n">
        <v>7875</v>
      </c>
      <c r="K4276" s="8" t="n">
        <v>7819</v>
      </c>
      <c r="L4276" s="8" t="n">
        <v>246616</v>
      </c>
      <c r="M4276" s="8" t="n">
        <v>493935</v>
      </c>
      <c r="N4276" t="inlineStr">
        <is>
          <t>是</t>
        </is>
      </c>
    </row>
    <row r="4277">
      <c r="A4277" s="7" t="inlineStr">
        <is>
          <t>2025-02-20</t>
        </is>
      </c>
      <c r="B4277" s="8" t="n">
        <v>7410</v>
      </c>
      <c r="C4277" s="8" t="n">
        <v>7414</v>
      </c>
      <c r="D4277" s="8" t="n">
        <v>7425</v>
      </c>
      <c r="E4277" s="8" t="n">
        <v>7393</v>
      </c>
      <c r="F4277" s="8" t="n">
        <v>176714</v>
      </c>
      <c r="G4277" s="8" t="n">
        <v>394693</v>
      </c>
      <c r="H4277" s="8" t="n">
        <v>7900</v>
      </c>
      <c r="I4277" s="8" t="n">
        <v>7877</v>
      </c>
      <c r="J4277" s="8" t="n">
        <v>7904</v>
      </c>
      <c r="K4277" s="8" t="n">
        <v>7866</v>
      </c>
      <c r="L4277" s="8" t="n">
        <v>241612</v>
      </c>
      <c r="M4277" s="8" t="n">
        <v>490779</v>
      </c>
      <c r="N4277" t="inlineStr">
        <is>
          <t>是</t>
        </is>
      </c>
    </row>
    <row r="4278">
      <c r="A4278" s="7" t="inlineStr">
        <is>
          <t>2025-02-21</t>
        </is>
      </c>
      <c r="B4278" s="8" t="n">
        <v>7378</v>
      </c>
      <c r="C4278" s="8" t="n">
        <v>7410</v>
      </c>
      <c r="D4278" s="8" t="n">
        <v>7432</v>
      </c>
      <c r="E4278" s="8" t="n">
        <v>7375</v>
      </c>
      <c r="F4278" s="8" t="n">
        <v>276900</v>
      </c>
      <c r="G4278" s="8" t="n">
        <v>405564</v>
      </c>
      <c r="H4278" s="8" t="n">
        <v>7884</v>
      </c>
      <c r="I4278" s="8" t="n">
        <v>7900</v>
      </c>
      <c r="J4278" s="8" t="n">
        <v>7922</v>
      </c>
      <c r="K4278" s="8" t="n">
        <v>7875</v>
      </c>
      <c r="L4278" s="8" t="n">
        <v>224913</v>
      </c>
      <c r="M4278" s="8" t="n">
        <v>483314</v>
      </c>
      <c r="N4278" t="inlineStr">
        <is>
          <t>是</t>
        </is>
      </c>
    </row>
    <row r="4279">
      <c r="A4279" s="7" t="inlineStr">
        <is>
          <t>2025-02-24</t>
        </is>
      </c>
      <c r="B4279" s="8" t="n">
        <v>7366</v>
      </c>
      <c r="C4279" s="8" t="n">
        <v>7372</v>
      </c>
      <c r="D4279" s="8" t="n">
        <v>7399</v>
      </c>
      <c r="E4279" s="8" t="n">
        <v>7358</v>
      </c>
      <c r="F4279" s="8" t="n">
        <v>224174</v>
      </c>
      <c r="G4279" s="8" t="n">
        <v>412890</v>
      </c>
      <c r="H4279" s="8" t="n">
        <v>7857</v>
      </c>
      <c r="I4279" s="8" t="n">
        <v>7878</v>
      </c>
      <c r="J4279" s="8" t="n">
        <v>7904</v>
      </c>
      <c r="K4279" s="8" t="n">
        <v>7842</v>
      </c>
      <c r="L4279" s="8" t="n">
        <v>251793</v>
      </c>
      <c r="M4279" s="8" t="n">
        <v>489342</v>
      </c>
      <c r="N4279" t="inlineStr">
        <is>
          <t>是</t>
        </is>
      </c>
    </row>
    <row r="4280">
      <c r="A4280" s="7" t="inlineStr">
        <is>
          <t>2025-02-25</t>
        </is>
      </c>
      <c r="B4280" s="8" t="n">
        <v>7353</v>
      </c>
      <c r="C4280" s="8" t="n">
        <v>7371</v>
      </c>
      <c r="D4280" s="8" t="n">
        <v>7374</v>
      </c>
      <c r="E4280" s="8" t="n">
        <v>7348</v>
      </c>
      <c r="F4280" s="8" t="n">
        <v>166675</v>
      </c>
      <c r="G4280" s="8" t="n">
        <v>421657</v>
      </c>
      <c r="H4280" s="8" t="n">
        <v>7846</v>
      </c>
      <c r="I4280" s="8" t="n">
        <v>7866</v>
      </c>
      <c r="J4280" s="8" t="n">
        <v>7868</v>
      </c>
      <c r="K4280" s="8" t="n">
        <v>7820</v>
      </c>
      <c r="L4280" s="8" t="n">
        <v>186837</v>
      </c>
      <c r="M4280" s="8" t="n">
        <v>491405</v>
      </c>
      <c r="N4280" t="inlineStr">
        <is>
          <t>是</t>
        </is>
      </c>
    </row>
    <row r="4281">
      <c r="A4281" s="7" t="inlineStr">
        <is>
          <t>2025-02-26</t>
        </is>
      </c>
      <c r="B4281" s="8" t="n">
        <v>7320</v>
      </c>
      <c r="C4281" s="8" t="n">
        <v>7347</v>
      </c>
      <c r="D4281" s="8" t="n">
        <v>7347</v>
      </c>
      <c r="E4281" s="8" t="n">
        <v>7289</v>
      </c>
      <c r="F4281" s="8" t="n">
        <v>329352</v>
      </c>
      <c r="G4281" s="8" t="n">
        <v>494936</v>
      </c>
      <c r="H4281" s="8" t="n">
        <v>7830</v>
      </c>
      <c r="I4281" s="8" t="n">
        <v>7839</v>
      </c>
      <c r="J4281" s="8" t="n">
        <v>7845</v>
      </c>
      <c r="K4281" s="8" t="n">
        <v>7793</v>
      </c>
      <c r="L4281" s="8" t="n">
        <v>264607</v>
      </c>
      <c r="M4281" s="8" t="n">
        <v>486261</v>
      </c>
      <c r="N4281" t="inlineStr">
        <is>
          <t>是</t>
        </is>
      </c>
    </row>
    <row r="4282">
      <c r="A4282" s="7" t="inlineStr">
        <is>
          <t>2025-02-27</t>
        </is>
      </c>
      <c r="B4282" s="8" t="n">
        <v>7370</v>
      </c>
      <c r="C4282" s="8" t="n">
        <v>7315</v>
      </c>
      <c r="D4282" s="8" t="n">
        <v>7373</v>
      </c>
      <c r="E4282" s="8" t="n">
        <v>7302</v>
      </c>
      <c r="F4282" s="8" t="n">
        <v>266084</v>
      </c>
      <c r="G4282" s="8" t="n">
        <v>462971</v>
      </c>
      <c r="H4282" s="8" t="n">
        <v>7912</v>
      </c>
      <c r="I4282" s="8" t="n">
        <v>7828</v>
      </c>
      <c r="J4282" s="8" t="n">
        <v>7921</v>
      </c>
      <c r="K4282" s="8" t="n">
        <v>7824</v>
      </c>
      <c r="L4282" s="8" t="n">
        <v>385018</v>
      </c>
      <c r="M4282" s="8" t="n">
        <v>491998</v>
      </c>
      <c r="N4282" t="inlineStr">
        <is>
          <t>是</t>
        </is>
      </c>
    </row>
    <row r="4283">
      <c r="A4283" s="7" t="inlineStr">
        <is>
          <t>2025-02-28</t>
        </is>
      </c>
      <c r="B4283" s="8" t="n">
        <v>7368</v>
      </c>
      <c r="C4283" s="8" t="n">
        <v>7374</v>
      </c>
      <c r="D4283" s="8" t="n">
        <v>7394</v>
      </c>
      <c r="E4283" s="8" t="n">
        <v>7360</v>
      </c>
      <c r="F4283" s="8" t="n">
        <v>247045</v>
      </c>
      <c r="G4283" s="8" t="n">
        <v>425108</v>
      </c>
      <c r="H4283" s="8" t="n">
        <v>7913</v>
      </c>
      <c r="I4283" s="8" t="n">
        <v>7920</v>
      </c>
      <c r="J4283" s="8" t="n">
        <v>7937</v>
      </c>
      <c r="K4283" s="8" t="n">
        <v>7902</v>
      </c>
      <c r="L4283" s="8" t="n">
        <v>266763</v>
      </c>
      <c r="M4283" s="8" t="n">
        <v>499719</v>
      </c>
      <c r="N4283" t="inlineStr">
        <is>
          <t>是</t>
        </is>
      </c>
    </row>
    <row r="4284">
      <c r="A4284" s="7" t="inlineStr">
        <is>
          <t>2025-03-03</t>
        </is>
      </c>
      <c r="B4284" s="8" t="n">
        <v>7387</v>
      </c>
      <c r="C4284" s="8" t="n">
        <v>7368</v>
      </c>
      <c r="D4284" s="8" t="n">
        <v>7396</v>
      </c>
      <c r="E4284" s="8" t="n">
        <v>7354</v>
      </c>
      <c r="F4284" s="8" t="n">
        <v>245401</v>
      </c>
      <c r="G4284" s="8" t="n">
        <v>407371</v>
      </c>
      <c r="H4284" s="8" t="n">
        <v>7926</v>
      </c>
      <c r="I4284" s="8" t="n">
        <v>7913</v>
      </c>
      <c r="J4284" s="8" t="n">
        <v>7942</v>
      </c>
      <c r="K4284" s="8" t="n">
        <v>7882</v>
      </c>
      <c r="L4284" s="8" t="n">
        <v>260042</v>
      </c>
      <c r="M4284" s="8" t="n">
        <v>483743</v>
      </c>
      <c r="N4284" t="inlineStr">
        <is>
          <t>是</t>
        </is>
      </c>
    </row>
    <row r="4285">
      <c r="A4285" s="7" t="inlineStr">
        <is>
          <t>2025-03-04</t>
        </is>
      </c>
      <c r="B4285" s="8" t="n">
        <v>7343</v>
      </c>
      <c r="C4285" s="8" t="n">
        <v>7387</v>
      </c>
      <c r="D4285" s="8" t="n">
        <v>7393</v>
      </c>
      <c r="E4285" s="8" t="n">
        <v>7342</v>
      </c>
      <c r="F4285" s="8" t="n">
        <v>243858</v>
      </c>
      <c r="G4285" s="8" t="n">
        <v>413835</v>
      </c>
      <c r="H4285" s="8" t="n">
        <v>7905</v>
      </c>
      <c r="I4285" s="8" t="n">
        <v>7927</v>
      </c>
      <c r="J4285" s="8" t="n">
        <v>7941</v>
      </c>
      <c r="K4285" s="8" t="n">
        <v>7886</v>
      </c>
      <c r="L4285" s="8" t="n">
        <v>251221</v>
      </c>
      <c r="M4285" s="8" t="n">
        <v>496081</v>
      </c>
      <c r="N4285" t="inlineStr">
        <is>
          <t>是</t>
        </is>
      </c>
    </row>
    <row r="4286">
      <c r="A4286" s="7" t="inlineStr">
        <is>
          <t>2025-03-05</t>
        </is>
      </c>
      <c r="B4286" s="8" t="n">
        <v>7307</v>
      </c>
      <c r="C4286" s="8" t="n">
        <v>7337</v>
      </c>
      <c r="D4286" s="8" t="n">
        <v>7337</v>
      </c>
      <c r="E4286" s="8" t="n">
        <v>7298</v>
      </c>
      <c r="F4286" s="8" t="n">
        <v>321131</v>
      </c>
      <c r="G4286" s="8" t="n">
        <v>452800</v>
      </c>
      <c r="H4286" s="8" t="n">
        <v>7878</v>
      </c>
      <c r="I4286" s="8" t="n">
        <v>7896</v>
      </c>
      <c r="J4286" s="8" t="n">
        <v>7898</v>
      </c>
      <c r="K4286" s="8" t="n">
        <v>7855</v>
      </c>
      <c r="L4286" s="8" t="n">
        <v>298855</v>
      </c>
      <c r="M4286" s="8" t="n">
        <v>484271</v>
      </c>
      <c r="N4286" t="inlineStr">
        <is>
          <t>是</t>
        </is>
      </c>
    </row>
    <row r="4287">
      <c r="A4287" s="7" t="inlineStr">
        <is>
          <t>2025-03-06</t>
        </is>
      </c>
      <c r="B4287" s="8" t="n">
        <v>7323</v>
      </c>
      <c r="C4287" s="8" t="n">
        <v>7295</v>
      </c>
      <c r="D4287" s="8" t="n">
        <v>7324</v>
      </c>
      <c r="E4287" s="8" t="n">
        <v>7275</v>
      </c>
      <c r="F4287" s="8" t="n">
        <v>337157</v>
      </c>
      <c r="G4287" s="8" t="n">
        <v>470068</v>
      </c>
      <c r="H4287" s="8" t="n">
        <v>7920</v>
      </c>
      <c r="I4287" s="8" t="n">
        <v>7873</v>
      </c>
      <c r="J4287" s="8" t="n">
        <v>7926</v>
      </c>
      <c r="K4287" s="8" t="n">
        <v>7804</v>
      </c>
      <c r="L4287" s="8" t="n">
        <v>483013</v>
      </c>
      <c r="M4287" s="8" t="n">
        <v>493973</v>
      </c>
      <c r="N4287" t="inlineStr">
        <is>
          <t>是</t>
        </is>
      </c>
    </row>
    <row r="4288">
      <c r="A4288" s="7" t="inlineStr">
        <is>
          <t>2025-03-07</t>
        </is>
      </c>
      <c r="B4288" s="8" t="n">
        <v>7319</v>
      </c>
      <c r="C4288" s="8" t="n">
        <v>7324</v>
      </c>
      <c r="D4288" s="8" t="n">
        <v>7338</v>
      </c>
      <c r="E4288" s="8" t="n">
        <v>7300</v>
      </c>
      <c r="F4288" s="8" t="n">
        <v>196555</v>
      </c>
      <c r="G4288" s="8" t="n">
        <v>464305</v>
      </c>
      <c r="H4288" s="8" t="n">
        <v>7883</v>
      </c>
      <c r="I4288" s="8" t="n">
        <v>7920</v>
      </c>
      <c r="J4288" s="8" t="n">
        <v>7924</v>
      </c>
      <c r="K4288" s="8" t="n">
        <v>7866</v>
      </c>
      <c r="L4288" s="8" t="n">
        <v>265448</v>
      </c>
      <c r="M4288" s="8" t="n">
        <v>485388</v>
      </c>
      <c r="N4288" t="inlineStr">
        <is>
          <t>是</t>
        </is>
      </c>
    </row>
    <row r="4289">
      <c r="A4289" s="7" t="inlineStr">
        <is>
          <t>2025-03-10</t>
        </is>
      </c>
      <c r="B4289" s="8" t="n">
        <v>7318</v>
      </c>
      <c r="C4289" s="8" t="n">
        <v>7330</v>
      </c>
      <c r="D4289" s="8" t="n">
        <v>7357</v>
      </c>
      <c r="E4289" s="8" t="n">
        <v>7313</v>
      </c>
      <c r="F4289" s="8" t="n">
        <v>268069</v>
      </c>
      <c r="G4289" s="8" t="n">
        <v>447377</v>
      </c>
      <c r="H4289" s="8" t="n">
        <v>7862</v>
      </c>
      <c r="I4289" s="8" t="n">
        <v>7894</v>
      </c>
      <c r="J4289" s="8" t="n">
        <v>7918</v>
      </c>
      <c r="K4289" s="8" t="n">
        <v>7847</v>
      </c>
      <c r="L4289" s="8" t="n">
        <v>320614</v>
      </c>
      <c r="M4289" s="8" t="n">
        <v>481502</v>
      </c>
      <c r="N4289" t="inlineStr">
        <is>
          <t>是</t>
        </is>
      </c>
    </row>
    <row r="4290">
      <c r="A4290" s="7" t="inlineStr">
        <is>
          <t>2025-03-11</t>
        </is>
      </c>
      <c r="B4290" s="8" t="n">
        <v>7309</v>
      </c>
      <c r="C4290" s="8" t="n">
        <v>7330</v>
      </c>
      <c r="D4290" s="8" t="n">
        <v>7330</v>
      </c>
      <c r="E4290" s="8" t="n">
        <v>7281</v>
      </c>
      <c r="F4290" s="8" t="n">
        <v>247549</v>
      </c>
      <c r="G4290" s="8" t="n">
        <v>459870</v>
      </c>
      <c r="H4290" s="8" t="n">
        <v>7867</v>
      </c>
      <c r="I4290" s="8" t="n">
        <v>7879</v>
      </c>
      <c r="J4290" s="8" t="n">
        <v>7879</v>
      </c>
      <c r="K4290" s="8" t="n">
        <v>7830</v>
      </c>
      <c r="L4290" s="8" t="n">
        <v>284539</v>
      </c>
      <c r="M4290" s="8" t="n">
        <v>484186</v>
      </c>
      <c r="N4290" t="inlineStr">
        <is>
          <t>是</t>
        </is>
      </c>
    </row>
    <row r="4291">
      <c r="A4291" s="7" t="inlineStr">
        <is>
          <t>2025-03-12</t>
        </is>
      </c>
      <c r="B4291" s="8" t="n">
        <v>7251</v>
      </c>
      <c r="C4291" s="8" t="n">
        <v>7320</v>
      </c>
      <c r="D4291" s="8" t="n">
        <v>7325</v>
      </c>
      <c r="E4291" s="8" t="n">
        <v>7245</v>
      </c>
      <c r="F4291" s="8" t="n">
        <v>323893</v>
      </c>
      <c r="G4291" s="8" t="n">
        <v>482966</v>
      </c>
      <c r="H4291" s="8" t="n">
        <v>7801</v>
      </c>
      <c r="I4291" s="8" t="n">
        <v>7875</v>
      </c>
      <c r="J4291" s="8" t="n">
        <v>7892</v>
      </c>
      <c r="K4291" s="8" t="n">
        <v>7765</v>
      </c>
      <c r="L4291" s="8" t="n">
        <v>519748</v>
      </c>
      <c r="M4291" s="8" t="n">
        <v>504322</v>
      </c>
      <c r="N4291" t="inlineStr">
        <is>
          <t>是</t>
        </is>
      </c>
    </row>
    <row r="4292">
      <c r="A4292" s="7" t="inlineStr">
        <is>
          <t>2025-03-13</t>
        </is>
      </c>
      <c r="B4292" s="8" t="n">
        <v>7255</v>
      </c>
      <c r="C4292" s="8" t="n">
        <v>7268</v>
      </c>
      <c r="D4292" s="8" t="n">
        <v>7292</v>
      </c>
      <c r="E4292" s="8" t="n">
        <v>7253</v>
      </c>
      <c r="F4292" s="8" t="n">
        <v>258398</v>
      </c>
      <c r="G4292" s="8" t="n">
        <v>485275</v>
      </c>
      <c r="H4292" s="8" t="n">
        <v>7773</v>
      </c>
      <c r="I4292" s="8" t="n">
        <v>7811</v>
      </c>
      <c r="J4292" s="8" t="n">
        <v>7846</v>
      </c>
      <c r="K4292" s="8" t="n">
        <v>7771</v>
      </c>
      <c r="L4292" s="8" t="n">
        <v>363383</v>
      </c>
      <c r="M4292" s="8" t="n">
        <v>501588</v>
      </c>
      <c r="N4292" t="inlineStr">
        <is>
          <t>是</t>
        </is>
      </c>
    </row>
    <row r="4293">
      <c r="A4293" s="7" t="inlineStr">
        <is>
          <t>2025-03-14</t>
        </is>
      </c>
      <c r="B4293" s="8" t="n">
        <v>7291</v>
      </c>
      <c r="C4293" s="8" t="n">
        <v>7260</v>
      </c>
      <c r="D4293" s="8" t="n">
        <v>7302</v>
      </c>
      <c r="E4293" s="8" t="n">
        <v>7248</v>
      </c>
      <c r="F4293" s="8" t="n">
        <v>287006</v>
      </c>
      <c r="G4293" s="8" t="n">
        <v>468918</v>
      </c>
      <c r="H4293" s="8" t="n">
        <v>7790</v>
      </c>
      <c r="I4293" s="8" t="n">
        <v>7771</v>
      </c>
      <c r="J4293" s="8" t="n">
        <v>7809</v>
      </c>
      <c r="K4293" s="8" t="n">
        <v>7756</v>
      </c>
      <c r="L4293" s="8" t="n">
        <v>279114</v>
      </c>
      <c r="M4293" s="8" t="n">
        <v>497746</v>
      </c>
      <c r="N4293" t="inlineStr">
        <is>
          <t>是</t>
        </is>
      </c>
    </row>
    <row r="4294">
      <c r="A4294" s="7" t="inlineStr">
        <is>
          <t>2025-03-17</t>
        </is>
      </c>
      <c r="B4294" s="8" t="n">
        <v>7282</v>
      </c>
      <c r="C4294" s="8" t="n">
        <v>7291</v>
      </c>
      <c r="D4294" s="8" t="n">
        <v>7293</v>
      </c>
      <c r="E4294" s="8" t="n">
        <v>7254</v>
      </c>
      <c r="F4294" s="8" t="n">
        <v>268460</v>
      </c>
      <c r="G4294" s="8" t="n">
        <v>460031</v>
      </c>
      <c r="H4294" s="8" t="n">
        <v>7732</v>
      </c>
      <c r="I4294" s="8" t="n">
        <v>7785</v>
      </c>
      <c r="J4294" s="8" t="n">
        <v>7790</v>
      </c>
      <c r="K4294" s="8" t="n">
        <v>7718</v>
      </c>
      <c r="L4294" s="8" t="n">
        <v>331042</v>
      </c>
      <c r="M4294" s="8" t="n">
        <v>523299</v>
      </c>
      <c r="N4294" t="inlineStr">
        <is>
          <t>是</t>
        </is>
      </c>
    </row>
    <row r="4295">
      <c r="A4295" s="7" t="inlineStr">
        <is>
          <t>2025-03-18</t>
        </is>
      </c>
      <c r="B4295" s="8" t="n">
        <v>7267</v>
      </c>
      <c r="C4295" s="8" t="n">
        <v>7290</v>
      </c>
      <c r="D4295" s="8" t="n">
        <v>7290</v>
      </c>
      <c r="E4295" s="8" t="n">
        <v>7245</v>
      </c>
      <c r="F4295" s="8" t="n">
        <v>234267</v>
      </c>
      <c r="G4295" s="8" t="n">
        <v>462545</v>
      </c>
      <c r="H4295" s="8" t="n">
        <v>7708</v>
      </c>
      <c r="I4295" s="8" t="n">
        <v>7740</v>
      </c>
      <c r="J4295" s="8" t="n">
        <v>7742</v>
      </c>
      <c r="K4295" s="8" t="n">
        <v>7694</v>
      </c>
      <c r="L4295" s="8" t="n">
        <v>250147</v>
      </c>
      <c r="M4295" s="8" t="n">
        <v>525699</v>
      </c>
      <c r="N4295" t="inlineStr">
        <is>
          <t>是</t>
        </is>
      </c>
    </row>
    <row r="4296">
      <c r="A4296" s="7" t="inlineStr">
        <is>
          <t>2025-03-19</t>
        </is>
      </c>
      <c r="B4296" s="8" t="n">
        <v>7234</v>
      </c>
      <c r="C4296" s="8" t="n">
        <v>7275</v>
      </c>
      <c r="D4296" s="8" t="n">
        <v>7278</v>
      </c>
      <c r="E4296" s="8" t="n">
        <v>7228</v>
      </c>
      <c r="F4296" s="8" t="n">
        <v>249256</v>
      </c>
      <c r="G4296" s="8" t="n">
        <v>470146</v>
      </c>
      <c r="H4296" s="8" t="n">
        <v>7693</v>
      </c>
      <c r="I4296" s="8" t="n">
        <v>7715</v>
      </c>
      <c r="J4296" s="8" t="n">
        <v>7736</v>
      </c>
      <c r="K4296" s="8" t="n">
        <v>7680</v>
      </c>
      <c r="L4296" s="8" t="n">
        <v>294297</v>
      </c>
      <c r="M4296" s="8" t="n">
        <v>508894</v>
      </c>
      <c r="N4296" t="inlineStr">
        <is>
          <t>是</t>
        </is>
      </c>
    </row>
    <row r="4297">
      <c r="A4297" s="7" t="inlineStr">
        <is>
          <t>2025-03-20</t>
        </is>
      </c>
      <c r="B4297" s="8" t="n">
        <v>7254</v>
      </c>
      <c r="C4297" s="8" t="n">
        <v>7245</v>
      </c>
      <c r="D4297" s="8" t="n">
        <v>7266</v>
      </c>
      <c r="E4297" s="8" t="n">
        <v>7225</v>
      </c>
      <c r="F4297" s="8" t="n">
        <v>230380</v>
      </c>
      <c r="G4297" s="8" t="n">
        <v>465203</v>
      </c>
      <c r="H4297" s="8" t="n">
        <v>7669</v>
      </c>
      <c r="I4297" s="8" t="n">
        <v>7700</v>
      </c>
      <c r="J4297" s="8" t="n">
        <v>7707</v>
      </c>
      <c r="K4297" s="8" t="n">
        <v>7654</v>
      </c>
      <c r="L4297" s="8" t="n">
        <v>289573</v>
      </c>
      <c r="M4297" s="8" t="n">
        <v>518995</v>
      </c>
      <c r="N4297" t="inlineStr">
        <is>
          <t>是</t>
        </is>
      </c>
    </row>
    <row r="4298">
      <c r="A4298" s="7" t="inlineStr">
        <is>
          <t>2025-03-21</t>
        </is>
      </c>
      <c r="B4298" s="8" t="n">
        <v>7254</v>
      </c>
      <c r="C4298" s="8" t="n">
        <v>7248</v>
      </c>
      <c r="D4298" s="8" t="n">
        <v>7277</v>
      </c>
      <c r="E4298" s="8" t="n">
        <v>7224</v>
      </c>
      <c r="F4298" s="8" t="n">
        <v>232071</v>
      </c>
      <c r="G4298" s="8" t="n">
        <v>450364</v>
      </c>
      <c r="H4298" s="8" t="n">
        <v>7655</v>
      </c>
      <c r="I4298" s="8" t="n">
        <v>7669</v>
      </c>
      <c r="J4298" s="8" t="n">
        <v>7692</v>
      </c>
      <c r="K4298" s="8" t="n">
        <v>7634</v>
      </c>
      <c r="L4298" s="8" t="n">
        <v>314383</v>
      </c>
      <c r="M4298" s="8" t="n">
        <v>490080</v>
      </c>
      <c r="N4298" t="inlineStr">
        <is>
          <t>是</t>
        </is>
      </c>
    </row>
    <row r="4299">
      <c r="A4299" s="7" t="inlineStr">
        <is>
          <t>2025-03-24</t>
        </is>
      </c>
      <c r="B4299" s="8" t="n">
        <v>7336</v>
      </c>
      <c r="C4299" s="8" t="n">
        <v>7255</v>
      </c>
      <c r="D4299" s="8" t="n">
        <v>7337</v>
      </c>
      <c r="E4299" s="8" t="n">
        <v>7250</v>
      </c>
      <c r="F4299" s="8" t="n">
        <v>335433</v>
      </c>
      <c r="G4299" s="8" t="n">
        <v>408937</v>
      </c>
      <c r="H4299" s="8" t="n">
        <v>7735</v>
      </c>
      <c r="I4299" s="8" t="n">
        <v>7654</v>
      </c>
      <c r="J4299" s="8" t="n">
        <v>7743</v>
      </c>
      <c r="K4299" s="8" t="n">
        <v>7651</v>
      </c>
      <c r="L4299" s="8" t="n">
        <v>340399</v>
      </c>
      <c r="M4299" s="8" t="n">
        <v>448251</v>
      </c>
      <c r="N4299" t="inlineStr">
        <is>
          <t>是</t>
        </is>
      </c>
    </row>
    <row r="4300">
      <c r="A4300" s="7" t="inlineStr">
        <is>
          <t>2025-03-25</t>
        </is>
      </c>
      <c r="B4300" s="8" t="n">
        <v>7314</v>
      </c>
      <c r="C4300" s="8" t="n">
        <v>7321</v>
      </c>
      <c r="D4300" s="8" t="n">
        <v>7342</v>
      </c>
      <c r="E4300" s="8" t="n">
        <v>7310</v>
      </c>
      <c r="F4300" s="8" t="n">
        <v>217470</v>
      </c>
      <c r="G4300" s="8" t="n">
        <v>386283</v>
      </c>
      <c r="H4300" s="8" t="n">
        <v>7693</v>
      </c>
      <c r="I4300" s="8" t="n">
        <v>7735</v>
      </c>
      <c r="J4300" s="8" t="n">
        <v>7742</v>
      </c>
      <c r="K4300" s="8" t="n">
        <v>7687</v>
      </c>
      <c r="L4300" s="8" t="n">
        <v>225146</v>
      </c>
      <c r="M4300" s="8" t="n">
        <v>453272</v>
      </c>
      <c r="N4300" t="inlineStr">
        <is>
          <t>是</t>
        </is>
      </c>
    </row>
    <row r="4301">
      <c r="A4301" s="7" t="inlineStr">
        <is>
          <t>2025-03-26</t>
        </is>
      </c>
      <c r="B4301" s="8" t="n">
        <v>7328</v>
      </c>
      <c r="C4301" s="8" t="n">
        <v>7330</v>
      </c>
      <c r="D4301" s="8" t="n">
        <v>7338</v>
      </c>
      <c r="E4301" s="8" t="n">
        <v>7312</v>
      </c>
      <c r="F4301" s="8" t="n">
        <v>227695</v>
      </c>
      <c r="G4301" s="8" t="n">
        <v>385001</v>
      </c>
      <c r="H4301" s="8" t="n">
        <v>7677</v>
      </c>
      <c r="I4301" s="8" t="n">
        <v>7696</v>
      </c>
      <c r="J4301" s="8" t="n">
        <v>7727</v>
      </c>
      <c r="K4301" s="8" t="n">
        <v>7646</v>
      </c>
      <c r="L4301" s="8" t="n">
        <v>294256</v>
      </c>
      <c r="M4301" s="8" t="n">
        <v>464018</v>
      </c>
      <c r="N4301" t="inlineStr">
        <is>
          <t>是</t>
        </is>
      </c>
    </row>
    <row r="4302">
      <c r="A4302" s="7" t="inlineStr">
        <is>
          <t>2025-03-27</t>
        </is>
      </c>
      <c r="B4302" s="8" t="n">
        <v>7347</v>
      </c>
      <c r="C4302" s="8" t="n">
        <v>7330</v>
      </c>
      <c r="D4302" s="8" t="n">
        <v>7355</v>
      </c>
      <c r="E4302" s="8" t="n">
        <v>7329</v>
      </c>
      <c r="F4302" s="8" t="n">
        <v>232208</v>
      </c>
      <c r="G4302" s="8" t="n">
        <v>365320</v>
      </c>
      <c r="H4302" s="8" t="n">
        <v>7714</v>
      </c>
      <c r="I4302" s="8" t="n">
        <v>7686</v>
      </c>
      <c r="J4302" s="8" t="n">
        <v>7719</v>
      </c>
      <c r="K4302" s="8" t="n">
        <v>7676</v>
      </c>
      <c r="L4302" s="8" t="n">
        <v>264818</v>
      </c>
      <c r="M4302" s="8" t="n">
        <v>460851</v>
      </c>
      <c r="N4302" t="inlineStr">
        <is>
          <t>是</t>
        </is>
      </c>
    </row>
    <row r="4303">
      <c r="A4303" s="7" t="inlineStr">
        <is>
          <t>2025-03-28</t>
        </is>
      </c>
      <c r="B4303" s="8" t="n">
        <v>7339</v>
      </c>
      <c r="C4303" s="8" t="n">
        <v>7347</v>
      </c>
      <c r="D4303" s="8" t="n">
        <v>7368</v>
      </c>
      <c r="E4303" s="8" t="n">
        <v>7330</v>
      </c>
      <c r="F4303" s="8" t="n">
        <v>256839</v>
      </c>
      <c r="G4303" s="8" t="n">
        <v>345250</v>
      </c>
      <c r="H4303" s="8" t="n">
        <v>7701</v>
      </c>
      <c r="I4303" s="8" t="n">
        <v>7714</v>
      </c>
      <c r="J4303" s="8" t="n">
        <v>7735</v>
      </c>
      <c r="K4303" s="8" t="n">
        <v>7672</v>
      </c>
      <c r="L4303" s="8" t="n">
        <v>286314</v>
      </c>
      <c r="M4303" s="8" t="n">
        <v>450261</v>
      </c>
      <c r="N4303" t="inlineStr">
        <is>
          <t>是</t>
        </is>
      </c>
    </row>
    <row r="4304">
      <c r="A4304" s="7" t="inlineStr">
        <is>
          <t>2025-03-31</t>
        </is>
      </c>
      <c r="B4304" s="8" t="n">
        <v>7313</v>
      </c>
      <c r="C4304" s="8" t="n">
        <v>7339</v>
      </c>
      <c r="D4304" s="8" t="n">
        <v>7349</v>
      </c>
      <c r="E4304" s="8" t="n">
        <v>7276</v>
      </c>
      <c r="F4304" s="8" t="n">
        <v>306650</v>
      </c>
      <c r="G4304" s="8" t="n">
        <v>326475</v>
      </c>
      <c r="H4304" s="8" t="n">
        <v>7669</v>
      </c>
      <c r="I4304" s="8" t="n">
        <v>7701</v>
      </c>
      <c r="J4304" s="8" t="n">
        <v>7705</v>
      </c>
      <c r="K4304" s="8" t="n">
        <v>7613</v>
      </c>
      <c r="L4304" s="8" t="n">
        <v>353713</v>
      </c>
      <c r="M4304" s="8" t="n">
        <v>437561</v>
      </c>
      <c r="N4304" t="inlineStr">
        <is>
          <t>是</t>
        </is>
      </c>
    </row>
    <row r="4305">
      <c r="A4305" s="7" t="inlineStr">
        <is>
          <t>2025-04-01</t>
        </is>
      </c>
      <c r="B4305" s="8" t="n">
        <v>7352</v>
      </c>
      <c r="C4305" s="8" t="n">
        <v>7320</v>
      </c>
      <c r="D4305" s="8" t="n">
        <v>7360</v>
      </c>
      <c r="E4305" s="8" t="n">
        <v>7310</v>
      </c>
      <c r="F4305" s="8" t="n">
        <v>263252</v>
      </c>
      <c r="G4305" s="8" t="n">
        <v>316425</v>
      </c>
      <c r="H4305" s="8" t="n">
        <v>7690</v>
      </c>
      <c r="I4305" s="8" t="n">
        <v>7673</v>
      </c>
      <c r="J4305" s="8" t="n">
        <v>7723</v>
      </c>
      <c r="K4305" s="8" t="n">
        <v>7658</v>
      </c>
      <c r="L4305" s="8" t="n">
        <v>280193</v>
      </c>
      <c r="M4305" s="8" t="n">
        <v>412532</v>
      </c>
      <c r="N4305" t="inlineStr">
        <is>
          <t>是</t>
        </is>
      </c>
    </row>
    <row r="4306">
      <c r="A4306" s="7" t="inlineStr">
        <is>
          <t>2025-04-02</t>
        </is>
      </c>
      <c r="B4306" s="8" t="n">
        <v>7365</v>
      </c>
      <c r="C4306" s="8" t="n">
        <v>7342</v>
      </c>
      <c r="D4306" s="8" t="n">
        <v>7385</v>
      </c>
      <c r="E4306" s="8" t="n">
        <v>7333</v>
      </c>
      <c r="F4306" s="8" t="n">
        <v>249844</v>
      </c>
      <c r="G4306" s="8" t="n">
        <v>308231</v>
      </c>
      <c r="H4306" s="8" t="n">
        <v>7711</v>
      </c>
      <c r="I4306" s="8" t="n">
        <v>7688</v>
      </c>
      <c r="J4306" s="8" t="n">
        <v>7746</v>
      </c>
      <c r="K4306" s="8" t="n">
        <v>7662</v>
      </c>
      <c r="L4306" s="8" t="n">
        <v>364443</v>
      </c>
      <c r="M4306" s="8" t="n">
        <v>386000</v>
      </c>
      <c r="N4306" t="inlineStr">
        <is>
          <t>是</t>
        </is>
      </c>
    </row>
    <row r="4307">
      <c r="A4307" s="7" t="inlineStr">
        <is>
          <t>2025-04-03</t>
        </is>
      </c>
      <c r="B4307" s="8" t="n">
        <v>7348</v>
      </c>
      <c r="C4307" s="8" t="n">
        <v>7355</v>
      </c>
      <c r="D4307" s="8" t="n">
        <v>7375</v>
      </c>
      <c r="E4307" s="8" t="n">
        <v>7333</v>
      </c>
      <c r="F4307" s="8" t="n">
        <v>255705</v>
      </c>
      <c r="G4307" s="8" t="n">
        <v>280097</v>
      </c>
      <c r="H4307" s="8" t="n">
        <v>7690</v>
      </c>
      <c r="I4307" s="8" t="n">
        <v>7717</v>
      </c>
      <c r="J4307" s="8" t="n">
        <v>7725</v>
      </c>
      <c r="K4307" s="8" t="n">
        <v>7655</v>
      </c>
      <c r="L4307" s="8" t="n">
        <v>314411</v>
      </c>
      <c r="M4307" s="8" t="n">
        <v>356025</v>
      </c>
      <c r="N4307" t="inlineStr">
        <is>
          <t>是</t>
        </is>
      </c>
    </row>
    <row r="4308">
      <c r="A4308" s="7" t="inlineStr">
        <is>
          <t>2025-04-07</t>
        </is>
      </c>
      <c r="B4308" s="8" t="n">
        <v>7197</v>
      </c>
      <c r="C4308" s="8" t="n">
        <v>7200</v>
      </c>
      <c r="D4308" s="8" t="n">
        <v>7272</v>
      </c>
      <c r="E4308" s="8" t="n">
        <v>7117</v>
      </c>
      <c r="F4308" s="8" t="n">
        <v>440189</v>
      </c>
      <c r="G4308" s="8" t="n">
        <v>245078</v>
      </c>
      <c r="H4308" s="8" t="n">
        <v>7320</v>
      </c>
      <c r="I4308" s="8" t="n">
        <v>7400</v>
      </c>
      <c r="J4308" s="8" t="n">
        <v>7466</v>
      </c>
      <c r="K4308" s="8" t="n">
        <v>7318</v>
      </c>
      <c r="L4308" s="8" t="n">
        <v>431019</v>
      </c>
      <c r="M4308" s="8" t="n">
        <v>350140</v>
      </c>
      <c r="N4308" t="inlineStr">
        <is>
          <t>是</t>
        </is>
      </c>
    </row>
    <row r="4309">
      <c r="A4309" s="7" t="inlineStr">
        <is>
          <t>2025-04-08</t>
        </is>
      </c>
      <c r="B4309" s="8" t="n">
        <v>7129</v>
      </c>
      <c r="C4309" s="8" t="n">
        <v>7154</v>
      </c>
      <c r="D4309" s="8" t="n">
        <v>7199</v>
      </c>
      <c r="E4309" s="8" t="n">
        <v>7118</v>
      </c>
      <c r="F4309" s="8" t="n">
        <v>266455</v>
      </c>
      <c r="G4309" s="8" t="n">
        <v>296068</v>
      </c>
      <c r="H4309" s="8" t="n">
        <v>7326</v>
      </c>
      <c r="I4309" s="8" t="n">
        <v>7332</v>
      </c>
      <c r="J4309" s="8" t="n">
        <v>7439</v>
      </c>
      <c r="K4309" s="8" t="n">
        <v>7321</v>
      </c>
      <c r="L4309" s="8" t="n">
        <v>375091</v>
      </c>
      <c r="M4309" s="8" t="n">
        <v>310442</v>
      </c>
      <c r="N4309" t="inlineStr">
        <is>
          <t>是</t>
        </is>
      </c>
    </row>
    <row r="4310">
      <c r="A4310" s="7" t="inlineStr">
        <is>
          <t>2025-04-09</t>
        </is>
      </c>
      <c r="B4310" s="8" t="n">
        <v>7070</v>
      </c>
      <c r="C4310" s="8" t="n">
        <v>7129</v>
      </c>
      <c r="D4310" s="8" t="n">
        <v>7158</v>
      </c>
      <c r="E4310" s="8" t="n">
        <v>6977</v>
      </c>
      <c r="F4310" s="8" t="n">
        <v>396998</v>
      </c>
      <c r="G4310" s="8" t="n">
        <v>321585</v>
      </c>
      <c r="H4310" s="8" t="n">
        <v>7242</v>
      </c>
      <c r="I4310" s="8" t="n">
        <v>7330</v>
      </c>
      <c r="J4310" s="8" t="n">
        <v>7365</v>
      </c>
      <c r="K4310" s="8" t="n">
        <v>7105</v>
      </c>
      <c r="L4310" s="8" t="n">
        <v>435303</v>
      </c>
      <c r="M4310" s="8" t="n">
        <v>276865</v>
      </c>
      <c r="N4310" t="inlineStr">
        <is>
          <t>是</t>
        </is>
      </c>
    </row>
    <row r="4311">
      <c r="A4311" s="7" t="inlineStr">
        <is>
          <t>2025-04-10</t>
        </is>
      </c>
      <c r="B4311" s="8" t="n">
        <v>7184</v>
      </c>
      <c r="C4311" s="8" t="n">
        <v>7040</v>
      </c>
      <c r="D4311" s="8" t="n">
        <v>7279</v>
      </c>
      <c r="E4311" s="8" t="n">
        <v>7030</v>
      </c>
      <c r="F4311" s="8" t="n">
        <v>589101</v>
      </c>
      <c r="G4311" s="8" t="n">
        <v>290690</v>
      </c>
      <c r="H4311" s="8" t="n">
        <v>7237</v>
      </c>
      <c r="I4311" s="8" t="n">
        <v>7020</v>
      </c>
      <c r="J4311" s="8" t="n">
        <v>7294</v>
      </c>
      <c r="K4311" s="8" t="n">
        <v>6980</v>
      </c>
      <c r="L4311" s="8" t="n">
        <v>483535</v>
      </c>
      <c r="M4311" s="8" t="n">
        <v>314022</v>
      </c>
      <c r="N4311" t="inlineStr">
        <is>
          <t>是</t>
        </is>
      </c>
    </row>
    <row r="4312">
      <c r="A4312" s="7" t="inlineStr">
        <is>
          <t>2025-04-11</t>
        </is>
      </c>
      <c r="B4312" s="8" t="n">
        <v>7189</v>
      </c>
      <c r="C4312" s="8" t="n">
        <v>7173</v>
      </c>
      <c r="D4312" s="8" t="n">
        <v>7204</v>
      </c>
      <c r="E4312" s="8" t="n">
        <v>7161</v>
      </c>
      <c r="F4312" s="8" t="n">
        <v>316848</v>
      </c>
      <c r="G4312" s="8" t="n">
        <v>303020</v>
      </c>
      <c r="H4312" s="8" t="n">
        <v>7252</v>
      </c>
      <c r="I4312" s="8" t="n">
        <v>7237</v>
      </c>
      <c r="J4312" s="8" t="n">
        <v>7259</v>
      </c>
      <c r="K4312" s="8" t="n">
        <v>7159</v>
      </c>
      <c r="L4312" s="8" t="n">
        <v>396471</v>
      </c>
      <c r="M4312" s="8" t="n">
        <v>344907</v>
      </c>
      <c r="N4312" t="inlineStr">
        <is>
          <t>是</t>
        </is>
      </c>
    </row>
    <row r="4313">
      <c r="A4313" s="7" t="inlineStr">
        <is>
          <t>2025-04-14</t>
        </is>
      </c>
      <c r="B4313" s="8" t="n">
        <v>7189</v>
      </c>
      <c r="C4313" s="8" t="n">
        <v>7181</v>
      </c>
      <c r="D4313" s="8" t="n">
        <v>7215</v>
      </c>
      <c r="E4313" s="8" t="n">
        <v>7168</v>
      </c>
      <c r="F4313" s="8" t="n">
        <v>269738</v>
      </c>
      <c r="G4313" s="8" t="n">
        <v>328902</v>
      </c>
      <c r="H4313" s="8" t="n">
        <v>7264</v>
      </c>
      <c r="I4313" s="8" t="n">
        <v>7240</v>
      </c>
      <c r="J4313" s="8" t="n">
        <v>7272</v>
      </c>
      <c r="K4313" s="8" t="n">
        <v>7213</v>
      </c>
      <c r="L4313" s="8" t="n">
        <v>284425</v>
      </c>
      <c r="M4313" s="8" t="n">
        <v>365204</v>
      </c>
      <c r="N4313" t="inlineStr">
        <is>
          <t>是</t>
        </is>
      </c>
    </row>
    <row r="4314">
      <c r="A4314" s="7" t="inlineStr">
        <is>
          <t>2025-04-15</t>
        </is>
      </c>
      <c r="B4314" s="8" t="n">
        <v>7124</v>
      </c>
      <c r="C4314" s="8" t="n">
        <v>7196</v>
      </c>
      <c r="D4314" s="8" t="n">
        <v>7200</v>
      </c>
      <c r="E4314" s="8" t="n">
        <v>7118</v>
      </c>
      <c r="F4314" s="8" t="n">
        <v>277632</v>
      </c>
      <c r="G4314" s="8" t="n">
        <v>368467</v>
      </c>
      <c r="H4314" s="8" t="n">
        <v>7191</v>
      </c>
      <c r="I4314" s="8" t="n">
        <v>7270</v>
      </c>
      <c r="J4314" s="8" t="n">
        <v>7270</v>
      </c>
      <c r="K4314" s="8" t="n">
        <v>7185</v>
      </c>
      <c r="L4314" s="8" t="n">
        <v>295062</v>
      </c>
      <c r="M4314" s="8" t="n">
        <v>389759</v>
      </c>
      <c r="N4314" t="inlineStr">
        <is>
          <t>是</t>
        </is>
      </c>
    </row>
    <row r="4315">
      <c r="A4315" s="7" t="inlineStr">
        <is>
          <t>2025-04-16</t>
        </is>
      </c>
      <c r="B4315" s="8" t="n">
        <v>7098</v>
      </c>
      <c r="C4315" s="8" t="n">
        <v>7110</v>
      </c>
      <c r="D4315" s="8" t="n">
        <v>7138</v>
      </c>
      <c r="E4315" s="8" t="n">
        <v>7094</v>
      </c>
      <c r="F4315" s="8" t="n">
        <v>217443</v>
      </c>
      <c r="G4315" s="8" t="n">
        <v>384550</v>
      </c>
      <c r="H4315" s="8" t="n">
        <v>7131</v>
      </c>
      <c r="I4315" s="8" t="n">
        <v>7190</v>
      </c>
      <c r="J4315" s="8" t="n">
        <v>7215</v>
      </c>
      <c r="K4315" s="8" t="n">
        <v>7106</v>
      </c>
      <c r="L4315" s="8" t="n">
        <v>287643</v>
      </c>
      <c r="M4315" s="8" t="n">
        <v>418757</v>
      </c>
      <c r="N4315" t="inlineStr">
        <is>
          <t>是</t>
        </is>
      </c>
    </row>
    <row r="4316">
      <c r="A4316" s="7" t="inlineStr">
        <is>
          <t>2025-04-17</t>
        </is>
      </c>
      <c r="B4316" s="8" t="n">
        <v>7099</v>
      </c>
      <c r="C4316" s="8" t="n">
        <v>7111</v>
      </c>
      <c r="D4316" s="8" t="n">
        <v>7137</v>
      </c>
      <c r="E4316" s="8" t="n">
        <v>7088</v>
      </c>
      <c r="F4316" s="8" t="n">
        <v>238005</v>
      </c>
      <c r="G4316" s="8" t="n">
        <v>395709</v>
      </c>
      <c r="H4316" s="8" t="n">
        <v>7140</v>
      </c>
      <c r="I4316" s="8" t="n">
        <v>7149</v>
      </c>
      <c r="J4316" s="8" t="n">
        <v>7189</v>
      </c>
      <c r="K4316" s="8" t="n">
        <v>7130</v>
      </c>
      <c r="L4316" s="8" t="n">
        <v>246557</v>
      </c>
      <c r="M4316" s="8" t="n">
        <v>419559</v>
      </c>
      <c r="N4316" t="inlineStr">
        <is>
          <t>是</t>
        </is>
      </c>
    </row>
    <row r="4317">
      <c r="A4317" s="7" t="inlineStr">
        <is>
          <t>2025-04-18</t>
        </is>
      </c>
      <c r="B4317" s="8" t="n">
        <v>7124</v>
      </c>
      <c r="C4317" s="8" t="n">
        <v>7118</v>
      </c>
      <c r="D4317" s="8" t="n">
        <v>7137</v>
      </c>
      <c r="E4317" s="8" t="n">
        <v>7094</v>
      </c>
      <c r="F4317" s="8" t="n">
        <v>259205</v>
      </c>
      <c r="G4317" s="8" t="n">
        <v>400692</v>
      </c>
      <c r="H4317" s="8" t="n">
        <v>7143</v>
      </c>
      <c r="I4317" s="8" t="n">
        <v>7156</v>
      </c>
      <c r="J4317" s="8" t="n">
        <v>7183</v>
      </c>
      <c r="K4317" s="8" t="n">
        <v>7111</v>
      </c>
      <c r="L4317" s="8" t="n">
        <v>259595</v>
      </c>
      <c r="M4317" s="8" t="n">
        <v>436155</v>
      </c>
      <c r="N4317" t="inlineStr">
        <is>
          <t>是</t>
        </is>
      </c>
    </row>
    <row r="4318">
      <c r="A4318" s="7" t="inlineStr">
        <is>
          <t>2025-04-21</t>
        </is>
      </c>
      <c r="B4318" s="8" t="n">
        <v>7112</v>
      </c>
      <c r="C4318" s="8" t="n">
        <v>7120</v>
      </c>
      <c r="D4318" s="8" t="n">
        <v>7131</v>
      </c>
      <c r="E4318" s="8" t="n">
        <v>7090</v>
      </c>
      <c r="F4318" s="8" t="n">
        <v>289879</v>
      </c>
      <c r="G4318" s="8" t="n">
        <v>409367</v>
      </c>
      <c r="H4318" s="8" t="n">
        <v>7183</v>
      </c>
      <c r="I4318" s="8" t="n">
        <v>7161</v>
      </c>
      <c r="J4318" s="8" t="n">
        <v>7194</v>
      </c>
      <c r="K4318" s="8" t="n">
        <v>7134</v>
      </c>
      <c r="L4318" s="8" t="n">
        <v>265724</v>
      </c>
      <c r="M4318" s="8" t="n">
        <v>440707</v>
      </c>
      <c r="N4318" t="inlineStr">
        <is>
          <t>是</t>
        </is>
      </c>
    </row>
    <row r="4319">
      <c r="A4319" s="7" t="inlineStr">
        <is>
          <t>2025-04-22</t>
        </is>
      </c>
      <c r="B4319" s="8" t="n">
        <v>7073</v>
      </c>
      <c r="C4319" s="8" t="n">
        <v>7100</v>
      </c>
      <c r="D4319" s="8" t="n">
        <v>7105</v>
      </c>
      <c r="E4319" s="8" t="n">
        <v>7056</v>
      </c>
      <c r="F4319" s="8" t="n">
        <v>294369</v>
      </c>
      <c r="G4319" s="8" t="n">
        <v>433176</v>
      </c>
      <c r="H4319" s="8" t="n">
        <v>7133</v>
      </c>
      <c r="I4319" s="8" t="n">
        <v>7175</v>
      </c>
      <c r="J4319" s="8" t="n">
        <v>7175</v>
      </c>
      <c r="K4319" s="8" t="n">
        <v>7126</v>
      </c>
      <c r="L4319" s="8" t="n">
        <v>236888</v>
      </c>
      <c r="M4319" s="8" t="n">
        <v>453169</v>
      </c>
      <c r="N4319" t="inlineStr">
        <is>
          <t>是</t>
        </is>
      </c>
    </row>
    <row r="4320">
      <c r="A4320" s="7" t="inlineStr">
        <is>
          <t>2025-04-23</t>
        </is>
      </c>
      <c r="B4320" s="8" t="n">
        <v>7137</v>
      </c>
      <c r="C4320" s="8" t="n">
        <v>7073</v>
      </c>
      <c r="D4320" s="8" t="n">
        <v>7148</v>
      </c>
      <c r="E4320" s="8" t="n">
        <v>7062</v>
      </c>
      <c r="F4320" s="8" t="n">
        <v>334770</v>
      </c>
      <c r="G4320" s="8" t="n">
        <v>410061</v>
      </c>
      <c r="H4320" s="8" t="n">
        <v>7214</v>
      </c>
      <c r="I4320" s="8" t="n">
        <v>7136</v>
      </c>
      <c r="J4320" s="8" t="n">
        <v>7220</v>
      </c>
      <c r="K4320" s="8" t="n">
        <v>7122</v>
      </c>
      <c r="L4320" s="8" t="n">
        <v>316427</v>
      </c>
      <c r="M4320" s="8" t="n">
        <v>456772</v>
      </c>
      <c r="N4320" t="inlineStr">
        <is>
          <t>是</t>
        </is>
      </c>
    </row>
    <row r="4321">
      <c r="A4321" s="7" t="inlineStr">
        <is>
          <t>2025-04-24</t>
        </is>
      </c>
      <c r="B4321" s="8" t="n">
        <v>7092</v>
      </c>
      <c r="C4321" s="8" t="n">
        <v>7120</v>
      </c>
      <c r="D4321" s="8" t="n">
        <v>7124</v>
      </c>
      <c r="E4321" s="8" t="n">
        <v>7064</v>
      </c>
      <c r="F4321" s="8" t="n">
        <v>307431</v>
      </c>
      <c r="G4321" s="8" t="n">
        <v>410934</v>
      </c>
      <c r="H4321" s="8" t="n">
        <v>7149</v>
      </c>
      <c r="I4321" s="8" t="n">
        <v>7200</v>
      </c>
      <c r="J4321" s="8" t="n">
        <v>7211</v>
      </c>
      <c r="K4321" s="8" t="n">
        <v>7086</v>
      </c>
      <c r="L4321" s="8" t="n">
        <v>480395</v>
      </c>
      <c r="M4321" s="8" t="n">
        <v>479020</v>
      </c>
      <c r="N4321" t="inlineStr">
        <is>
          <t>是</t>
        </is>
      </c>
    </row>
    <row r="4322">
      <c r="A4322" s="7" t="inlineStr">
        <is>
          <t>2025-04-25</t>
        </is>
      </c>
      <c r="B4322" s="8" t="n">
        <v>7097</v>
      </c>
      <c r="C4322" s="8" t="n">
        <v>7092</v>
      </c>
      <c r="D4322" s="8" t="n">
        <v>7124</v>
      </c>
      <c r="E4322" s="8" t="n">
        <v>7084</v>
      </c>
      <c r="F4322" s="8" t="n">
        <v>243518</v>
      </c>
      <c r="G4322" s="8" t="n">
        <v>406762</v>
      </c>
      <c r="H4322" s="8" t="n">
        <v>7150</v>
      </c>
      <c r="I4322" s="8" t="n">
        <v>7151</v>
      </c>
      <c r="J4322" s="8" t="n">
        <v>7181</v>
      </c>
      <c r="K4322" s="8" t="n">
        <v>7127</v>
      </c>
      <c r="L4322" s="8" t="n">
        <v>280982</v>
      </c>
      <c r="M4322" s="8" t="n">
        <v>492639</v>
      </c>
      <c r="N4322" t="inlineStr">
        <is>
          <t>是</t>
        </is>
      </c>
    </row>
    <row r="4323">
      <c r="A4323" s="7" t="inlineStr">
        <is>
          <t>2025-04-28</t>
        </is>
      </c>
      <c r="B4323" s="8" t="n">
        <v>7112</v>
      </c>
      <c r="C4323" s="8" t="n">
        <v>7088</v>
      </c>
      <c r="D4323" s="8" t="n">
        <v>7128</v>
      </c>
      <c r="E4323" s="8" t="n">
        <v>7085</v>
      </c>
      <c r="F4323" s="8" t="n">
        <v>236249</v>
      </c>
      <c r="G4323" s="8" t="n">
        <v>397139</v>
      </c>
      <c r="H4323" s="8" t="n">
        <v>7164</v>
      </c>
      <c r="I4323" s="8" t="n">
        <v>7135</v>
      </c>
      <c r="J4323" s="8" t="n">
        <v>7189</v>
      </c>
      <c r="K4323" s="8" t="n">
        <v>7133</v>
      </c>
      <c r="L4323" s="8" t="n">
        <v>281961</v>
      </c>
      <c r="M4323" s="8" t="n">
        <v>482064</v>
      </c>
      <c r="N4323" t="inlineStr">
        <is>
          <t>是</t>
        </is>
      </c>
    </row>
    <row r="4324">
      <c r="A4324" s="7" t="inlineStr">
        <is>
          <t>2025-04-29</t>
        </is>
      </c>
      <c r="B4324" s="8" t="n">
        <v>7092</v>
      </c>
      <c r="C4324" s="8" t="n">
        <v>7105</v>
      </c>
      <c r="D4324" s="8" t="n">
        <v>7112</v>
      </c>
      <c r="E4324" s="8" t="n">
        <v>7065</v>
      </c>
      <c r="F4324" s="8" t="n">
        <v>226916</v>
      </c>
      <c r="G4324" s="8" t="n">
        <v>401428</v>
      </c>
      <c r="H4324" s="8" t="n">
        <v>7122</v>
      </c>
      <c r="I4324" s="8" t="n">
        <v>7160</v>
      </c>
      <c r="J4324" s="8" t="n">
        <v>7163</v>
      </c>
      <c r="K4324" s="8" t="n">
        <v>7100</v>
      </c>
      <c r="L4324" s="8" t="n">
        <v>261574</v>
      </c>
      <c r="M4324" s="8" t="n">
        <v>490656</v>
      </c>
      <c r="N4324" t="inlineStr">
        <is>
          <t>是</t>
        </is>
      </c>
    </row>
    <row r="4325">
      <c r="A4325" s="7" t="inlineStr">
        <is>
          <t>2025-04-30</t>
        </is>
      </c>
      <c r="B4325" s="8" t="n">
        <v>7041</v>
      </c>
      <c r="C4325" s="8" t="n">
        <v>7090</v>
      </c>
      <c r="D4325" s="8" t="n">
        <v>7092</v>
      </c>
      <c r="E4325" s="8" t="n">
        <v>7041</v>
      </c>
      <c r="F4325" s="8" t="n">
        <v>238009</v>
      </c>
      <c r="G4325" s="8" t="n">
        <v>408946</v>
      </c>
      <c r="H4325" s="8" t="n">
        <v>7083</v>
      </c>
      <c r="I4325" s="8" t="n">
        <v>7119</v>
      </c>
      <c r="J4325" s="8" t="n">
        <v>7124</v>
      </c>
      <c r="K4325" s="8" t="n">
        <v>7077</v>
      </c>
      <c r="L4325" s="8" t="n">
        <v>231212</v>
      </c>
      <c r="M4325" s="8" t="n">
        <v>478674</v>
      </c>
      <c r="N4325" t="inlineStr">
        <is>
          <t>是</t>
        </is>
      </c>
    </row>
    <row r="4326">
      <c r="A4326" s="7" t="inlineStr">
        <is>
          <t>2025-05-06</t>
        </is>
      </c>
      <c r="B4326" s="8" t="n">
        <v>6995</v>
      </c>
      <c r="C4326" s="8" t="n">
        <v>7025</v>
      </c>
      <c r="D4326" s="8" t="n">
        <v>7036</v>
      </c>
      <c r="E4326" s="8" t="n">
        <v>6973</v>
      </c>
      <c r="F4326" s="8" t="n">
        <v>273032</v>
      </c>
      <c r="G4326" s="8" t="n">
        <v>444194</v>
      </c>
      <c r="H4326" s="8" t="n">
        <v>6987</v>
      </c>
      <c r="I4326" s="8" t="n">
        <v>7025</v>
      </c>
      <c r="J4326" s="8" t="n">
        <v>7074</v>
      </c>
      <c r="K4326" s="8" t="n">
        <v>6971</v>
      </c>
      <c r="L4326" s="8" t="n">
        <v>296850</v>
      </c>
      <c r="M4326" s="8" t="n">
        <v>533039</v>
      </c>
      <c r="N4326" t="inlineStr">
        <is>
          <t>是</t>
        </is>
      </c>
    </row>
    <row r="4327">
      <c r="A4327" s="7" t="inlineStr">
        <is>
          <t>2025-05-07</t>
        </is>
      </c>
      <c r="B4327" s="8" t="n">
        <v>7029</v>
      </c>
      <c r="C4327" s="8" t="n">
        <v>6995</v>
      </c>
      <c r="D4327" s="8" t="n">
        <v>7090</v>
      </c>
      <c r="E4327" s="8" t="n">
        <v>6995</v>
      </c>
      <c r="F4327" s="8" t="n">
        <v>321988</v>
      </c>
      <c r="G4327" s="8" t="n">
        <v>429904</v>
      </c>
      <c r="H4327" s="8" t="n">
        <v>7046</v>
      </c>
      <c r="I4327" s="8" t="n">
        <v>7003</v>
      </c>
      <c r="J4327" s="8" t="n">
        <v>7123</v>
      </c>
      <c r="K4327" s="8" t="n">
        <v>7002</v>
      </c>
      <c r="L4327" s="8" t="n">
        <v>348273</v>
      </c>
      <c r="M4327" s="8" t="n">
        <v>520492</v>
      </c>
      <c r="N4327" t="inlineStr">
        <is>
          <t>是</t>
        </is>
      </c>
    </row>
    <row r="4328">
      <c r="A4328" s="7" t="inlineStr">
        <is>
          <t>2025-05-08</t>
        </is>
      </c>
      <c r="B4328" s="8" t="n">
        <v>6985</v>
      </c>
      <c r="C4328" s="8" t="n">
        <v>7010</v>
      </c>
      <c r="D4328" s="8" t="n">
        <v>7020</v>
      </c>
      <c r="E4328" s="8" t="n">
        <v>6967</v>
      </c>
      <c r="F4328" s="8" t="n">
        <v>266940</v>
      </c>
      <c r="G4328" s="8" t="n">
        <v>465901</v>
      </c>
      <c r="H4328" s="8" t="n">
        <v>7016</v>
      </c>
      <c r="I4328" s="8" t="n">
        <v>7032</v>
      </c>
      <c r="J4328" s="8" t="n">
        <v>7039</v>
      </c>
      <c r="K4328" s="8" t="n">
        <v>6978</v>
      </c>
      <c r="L4328" s="8" t="n">
        <v>274110</v>
      </c>
      <c r="M4328" s="8" t="n">
        <v>535267</v>
      </c>
      <c r="N4328" t="inlineStr">
        <is>
          <t>是</t>
        </is>
      </c>
    </row>
    <row r="4329">
      <c r="A4329" s="7" t="inlineStr">
        <is>
          <t>2025-05-09</t>
        </is>
      </c>
      <c r="B4329" s="8" t="n">
        <v>6967</v>
      </c>
      <c r="C4329" s="8" t="n">
        <v>7001</v>
      </c>
      <c r="D4329" s="8" t="n">
        <v>7020</v>
      </c>
      <c r="E4329" s="8" t="n">
        <v>6963</v>
      </c>
      <c r="F4329" s="8" t="n">
        <v>254390</v>
      </c>
      <c r="G4329" s="8" t="n">
        <v>476705</v>
      </c>
      <c r="H4329" s="8" t="n">
        <v>6976</v>
      </c>
      <c r="I4329" s="8" t="n">
        <v>7030</v>
      </c>
      <c r="J4329" s="8" t="n">
        <v>7048</v>
      </c>
      <c r="K4329" s="8" t="n">
        <v>6973</v>
      </c>
      <c r="L4329" s="8" t="n">
        <v>263134</v>
      </c>
      <c r="M4329" s="8" t="n">
        <v>544266</v>
      </c>
      <c r="N4329" t="inlineStr">
        <is>
          <t>是</t>
        </is>
      </c>
    </row>
    <row r="4330">
      <c r="A4330" s="7" t="inlineStr">
        <is>
          <t>2025-05-12</t>
        </is>
      </c>
      <c r="B4330" s="8" t="n">
        <v>7030</v>
      </c>
      <c r="C4330" s="8" t="n">
        <v>6975</v>
      </c>
      <c r="D4330" s="8" t="n">
        <v>7033</v>
      </c>
      <c r="E4330" s="8" t="n">
        <v>6935</v>
      </c>
      <c r="F4330" s="8" t="n">
        <v>399837</v>
      </c>
      <c r="G4330" s="8" t="n">
        <v>457686</v>
      </c>
      <c r="H4330" s="8" t="n">
        <v>7090</v>
      </c>
      <c r="I4330" s="8" t="n">
        <v>6984</v>
      </c>
      <c r="J4330" s="8" t="n">
        <v>7095</v>
      </c>
      <c r="K4330" s="8" t="n">
        <v>6946</v>
      </c>
      <c r="L4330" s="8" t="n">
        <v>471649</v>
      </c>
      <c r="M4330" s="8" t="n">
        <v>540833</v>
      </c>
      <c r="N4330" t="inlineStr">
        <is>
          <t>是</t>
        </is>
      </c>
    </row>
    <row r="4331">
      <c r="A4331" s="7" t="inlineStr">
        <is>
          <t>2025-05-13</t>
        </is>
      </c>
      <c r="B4331" s="8" t="n">
        <v>7074</v>
      </c>
      <c r="C4331" s="8" t="n">
        <v>7070</v>
      </c>
      <c r="D4331" s="8" t="n">
        <v>7096</v>
      </c>
      <c r="E4331" s="8" t="n">
        <v>7024</v>
      </c>
      <c r="F4331" s="8" t="n">
        <v>418406</v>
      </c>
      <c r="G4331" s="8" t="n">
        <v>446167</v>
      </c>
      <c r="H4331" s="8" t="n">
        <v>7187</v>
      </c>
      <c r="I4331" s="8" t="n">
        <v>7160</v>
      </c>
      <c r="J4331" s="8" t="n">
        <v>7205</v>
      </c>
      <c r="K4331" s="8" t="n">
        <v>7107</v>
      </c>
      <c r="L4331" s="8" t="n">
        <v>455073</v>
      </c>
      <c r="M4331" s="8" t="n">
        <v>536999</v>
      </c>
      <c r="N4331" t="inlineStr">
        <is>
          <t>是</t>
        </is>
      </c>
    </row>
    <row r="4332">
      <c r="A4332" s="7" t="inlineStr">
        <is>
          <t>2025-05-14</t>
        </is>
      </c>
      <c r="B4332" s="8" t="n">
        <v>7193</v>
      </c>
      <c r="C4332" s="8" t="n">
        <v>7088</v>
      </c>
      <c r="D4332" s="8" t="n">
        <v>7193</v>
      </c>
      <c r="E4332" s="8" t="n">
        <v>7081</v>
      </c>
      <c r="F4332" s="8" t="n">
        <v>521555</v>
      </c>
      <c r="G4332" s="8" t="n">
        <v>425856</v>
      </c>
      <c r="H4332" s="8" t="n">
        <v>7339</v>
      </c>
      <c r="I4332" s="8" t="n">
        <v>7230</v>
      </c>
      <c r="J4332" s="8" t="n">
        <v>7339</v>
      </c>
      <c r="K4332" s="8" t="n">
        <v>7192</v>
      </c>
      <c r="L4332" s="8" t="n">
        <v>564915</v>
      </c>
      <c r="M4332" s="8" t="n">
        <v>529130</v>
      </c>
      <c r="N4332" t="inlineStr">
        <is>
          <t>是</t>
        </is>
      </c>
    </row>
    <row r="4333">
      <c r="A4333" s="7" t="inlineStr">
        <is>
          <t>2025-05-15</t>
        </is>
      </c>
      <c r="B4333" s="8" t="n">
        <v>7161</v>
      </c>
      <c r="C4333" s="8" t="n">
        <v>7187</v>
      </c>
      <c r="D4333" s="8" t="n">
        <v>7189</v>
      </c>
      <c r="E4333" s="8" t="n">
        <v>7134</v>
      </c>
      <c r="F4333" s="8" t="n">
        <v>379584</v>
      </c>
      <c r="G4333" s="8" t="n">
        <v>419929</v>
      </c>
      <c r="H4333" s="8" t="n">
        <v>7298</v>
      </c>
      <c r="I4333" s="8" t="n">
        <v>7339</v>
      </c>
      <c r="J4333" s="8" t="n">
        <v>7357</v>
      </c>
      <c r="K4333" s="8" t="n">
        <v>7280</v>
      </c>
      <c r="L4333" s="8" t="n">
        <v>460827</v>
      </c>
      <c r="M4333" s="8" t="n">
        <v>527579</v>
      </c>
      <c r="N4333" t="inlineStr">
        <is>
          <t>是</t>
        </is>
      </c>
    </row>
    <row r="4334">
      <c r="A4334" s="7" t="inlineStr">
        <is>
          <t>2025-05-16</t>
        </is>
      </c>
      <c r="B4334" s="8" t="n">
        <v>7093</v>
      </c>
      <c r="C4334" s="8" t="n">
        <v>7152</v>
      </c>
      <c r="D4334" s="8" t="n">
        <v>7155</v>
      </c>
      <c r="E4334" s="8" t="n">
        <v>7086</v>
      </c>
      <c r="F4334" s="8" t="n">
        <v>281933</v>
      </c>
      <c r="G4334" s="8" t="n">
        <v>419626</v>
      </c>
      <c r="H4334" s="8" t="n">
        <v>7236</v>
      </c>
      <c r="I4334" s="8" t="n">
        <v>7293</v>
      </c>
      <c r="J4334" s="8" t="n">
        <v>7294</v>
      </c>
      <c r="K4334" s="8" t="n">
        <v>7229</v>
      </c>
      <c r="L4334" s="8" t="n">
        <v>299796</v>
      </c>
      <c r="M4334" s="8" t="n">
        <v>518090</v>
      </c>
      <c r="N4334" t="inlineStr">
        <is>
          <t>是</t>
        </is>
      </c>
    </row>
    <row r="4335">
      <c r="A4335" s="7" t="inlineStr">
        <is>
          <t>2025-05-19</t>
        </is>
      </c>
      <c r="B4335" s="8" t="n">
        <v>7078</v>
      </c>
      <c r="C4335" s="8" t="n">
        <v>7096</v>
      </c>
      <c r="D4335" s="8" t="n">
        <v>7133</v>
      </c>
      <c r="E4335" s="8" t="n">
        <v>7060</v>
      </c>
      <c r="F4335" s="8" t="n">
        <v>277322</v>
      </c>
      <c r="G4335" s="8" t="n">
        <v>414785</v>
      </c>
      <c r="H4335" s="8" t="n">
        <v>7238</v>
      </c>
      <c r="I4335" s="8" t="n">
        <v>7227</v>
      </c>
      <c r="J4335" s="8" t="n">
        <v>7279</v>
      </c>
      <c r="K4335" s="8" t="n">
        <v>7218</v>
      </c>
      <c r="L4335" s="8" t="n">
        <v>321535</v>
      </c>
      <c r="M4335" s="8" t="n">
        <v>514086</v>
      </c>
      <c r="N4335" t="inlineStr">
        <is>
          <t>是</t>
        </is>
      </c>
    </row>
    <row r="4336">
      <c r="A4336" s="7" t="inlineStr">
        <is>
          <t>2025-05-20</t>
        </is>
      </c>
      <c r="B4336" s="8" t="n">
        <v>7047</v>
      </c>
      <c r="C4336" s="8" t="n">
        <v>7081</v>
      </c>
      <c r="D4336" s="8" t="n">
        <v>7088</v>
      </c>
      <c r="E4336" s="8" t="n">
        <v>7029</v>
      </c>
      <c r="F4336" s="8" t="n">
        <v>264900</v>
      </c>
      <c r="G4336" s="8" t="n">
        <v>426777</v>
      </c>
      <c r="H4336" s="8" t="n">
        <v>7222</v>
      </c>
      <c r="I4336" s="8" t="n">
        <v>7239</v>
      </c>
      <c r="J4336" s="8" t="n">
        <v>7264</v>
      </c>
      <c r="K4336" s="8" t="n">
        <v>7217</v>
      </c>
      <c r="L4336" s="8" t="n">
        <v>314792</v>
      </c>
      <c r="M4336" s="8" t="n">
        <v>511907</v>
      </c>
      <c r="N4336" t="inlineStr">
        <is>
          <t>是</t>
        </is>
      </c>
    </row>
    <row r="4337">
      <c r="A4337" s="7" t="inlineStr">
        <is>
          <t>2025-05-21</t>
        </is>
      </c>
      <c r="B4337" s="8" t="n">
        <v>7054</v>
      </c>
      <c r="C4337" s="8" t="n">
        <v>7046</v>
      </c>
      <c r="D4337" s="8" t="n">
        <v>7077</v>
      </c>
      <c r="E4337" s="8" t="n">
        <v>7035</v>
      </c>
      <c r="F4337" s="8" t="n">
        <v>230394</v>
      </c>
      <c r="G4337" s="8" t="n">
        <v>430911</v>
      </c>
      <c r="H4337" s="8" t="n">
        <v>7221</v>
      </c>
      <c r="I4337" s="8" t="n">
        <v>7229</v>
      </c>
      <c r="J4337" s="8" t="n">
        <v>7265</v>
      </c>
      <c r="K4337" s="8" t="n">
        <v>7204</v>
      </c>
      <c r="L4337" s="8" t="n">
        <v>321016</v>
      </c>
      <c r="M4337" s="8" t="n">
        <v>517489</v>
      </c>
      <c r="N4337" t="inlineStr">
        <is>
          <t>是</t>
        </is>
      </c>
    </row>
    <row r="4338">
      <c r="A4338" s="7" t="inlineStr">
        <is>
          <t>2025-05-22</t>
        </is>
      </c>
      <c r="B4338" s="8" t="n">
        <v>7001</v>
      </c>
      <c r="C4338" s="8" t="n">
        <v>7054</v>
      </c>
      <c r="D4338" s="8" t="n">
        <v>7056</v>
      </c>
      <c r="E4338" s="8" t="n">
        <v>6990</v>
      </c>
      <c r="F4338" s="8" t="n">
        <v>257366</v>
      </c>
      <c r="G4338" s="8" t="n">
        <v>450493</v>
      </c>
      <c r="H4338" s="8" t="n">
        <v>7159</v>
      </c>
      <c r="I4338" s="8" t="n">
        <v>7215</v>
      </c>
      <c r="J4338" s="8" t="n">
        <v>7224</v>
      </c>
      <c r="K4338" s="8" t="n">
        <v>7150</v>
      </c>
      <c r="L4338" s="8" t="n">
        <v>299966</v>
      </c>
      <c r="M4338" s="8" t="n">
        <v>515978</v>
      </c>
      <c r="N4338" t="inlineStr">
        <is>
          <t>是</t>
        </is>
      </c>
    </row>
    <row r="4339">
      <c r="A4339" s="7" t="inlineStr">
        <is>
          <t>2025-05-23</t>
        </is>
      </c>
      <c r="B4339" s="8" t="n">
        <v>6948</v>
      </c>
      <c r="C4339" s="8" t="n">
        <v>6999</v>
      </c>
      <c r="D4339" s="8" t="n">
        <v>7004</v>
      </c>
      <c r="E4339" s="8" t="n">
        <v>6947</v>
      </c>
      <c r="F4339" s="8" t="n">
        <v>258056</v>
      </c>
      <c r="G4339" s="8" t="n">
        <v>471975</v>
      </c>
      <c r="H4339" s="8" t="n">
        <v>7085</v>
      </c>
      <c r="I4339" s="8" t="n">
        <v>7151</v>
      </c>
      <c r="J4339" s="8" t="n">
        <v>7155</v>
      </c>
      <c r="K4339" s="8" t="n">
        <v>7080</v>
      </c>
      <c r="L4339" s="8" t="n">
        <v>330416</v>
      </c>
      <c r="M4339" s="8" t="n">
        <v>515936</v>
      </c>
      <c r="N4339" t="inlineStr">
        <is>
          <t>是</t>
        </is>
      </c>
    </row>
    <row r="4340">
      <c r="A4340" s="7" t="inlineStr">
        <is>
          <t>2025-05-26</t>
        </is>
      </c>
      <c r="B4340" s="8" t="n">
        <v>6929</v>
      </c>
      <c r="C4340" s="8" t="n">
        <v>6945</v>
      </c>
      <c r="D4340" s="8" t="n">
        <v>6979</v>
      </c>
      <c r="E4340" s="8" t="n">
        <v>6915</v>
      </c>
      <c r="F4340" s="8" t="n">
        <v>302283</v>
      </c>
      <c r="G4340" s="8" t="n">
        <v>492604</v>
      </c>
      <c r="H4340" s="8" t="n">
        <v>7080</v>
      </c>
      <c r="I4340" s="8" t="n">
        <v>7070</v>
      </c>
      <c r="J4340" s="8" t="n">
        <v>7118</v>
      </c>
      <c r="K4340" s="8" t="n">
        <v>7055</v>
      </c>
      <c r="L4340" s="8" t="n">
        <v>330305</v>
      </c>
      <c r="M4340" s="8" t="n">
        <v>513654</v>
      </c>
      <c r="N4340" t="inlineStr">
        <is>
          <t>是</t>
        </is>
      </c>
    </row>
    <row r="4341">
      <c r="A4341" s="7" t="inlineStr">
        <is>
          <t>2025-05-27</t>
        </is>
      </c>
      <c r="B4341" s="8" t="n">
        <v>6896</v>
      </c>
      <c r="C4341" s="8" t="n">
        <v>6922</v>
      </c>
      <c r="D4341" s="8" t="n">
        <v>6927</v>
      </c>
      <c r="E4341" s="8" t="n">
        <v>6869</v>
      </c>
      <c r="F4341" s="8" t="n">
        <v>320794</v>
      </c>
      <c r="G4341" s="8" t="n">
        <v>525194</v>
      </c>
      <c r="H4341" s="8" t="n">
        <v>7007</v>
      </c>
      <c r="I4341" s="8" t="n">
        <v>7074</v>
      </c>
      <c r="J4341" s="8" t="n">
        <v>7080</v>
      </c>
      <c r="K4341" s="8" t="n">
        <v>6996</v>
      </c>
      <c r="L4341" s="8" t="n">
        <v>360383</v>
      </c>
      <c r="M4341" s="8" t="n">
        <v>527221</v>
      </c>
      <c r="N4341" t="inlineStr">
        <is>
          <t>是</t>
        </is>
      </c>
    </row>
    <row r="4342">
      <c r="A4342" s="7" t="inlineStr">
        <is>
          <t>2025-05-28</t>
        </is>
      </c>
      <c r="B4342" s="8" t="n">
        <v>6893</v>
      </c>
      <c r="C4342" s="8" t="n">
        <v>6900</v>
      </c>
      <c r="D4342" s="8" t="n">
        <v>6910</v>
      </c>
      <c r="E4342" s="8" t="n">
        <v>6871</v>
      </c>
      <c r="F4342" s="8" t="n">
        <v>318073</v>
      </c>
      <c r="G4342" s="8" t="n">
        <v>520503</v>
      </c>
      <c r="H4342" s="8" t="n">
        <v>6972</v>
      </c>
      <c r="I4342" s="8" t="n">
        <v>7005</v>
      </c>
      <c r="J4342" s="8" t="n">
        <v>7013</v>
      </c>
      <c r="K4342" s="8" t="n">
        <v>6961</v>
      </c>
      <c r="L4342" s="8" t="n">
        <v>341402</v>
      </c>
      <c r="M4342" s="8" t="n">
        <v>532123</v>
      </c>
      <c r="N4342" t="inlineStr">
        <is>
          <t>是</t>
        </is>
      </c>
    </row>
    <row r="4343">
      <c r="A4343" s="7" t="inlineStr">
        <is>
          <t>2025-05-29</t>
        </is>
      </c>
      <c r="B4343" s="8" t="n">
        <v>6918</v>
      </c>
      <c r="C4343" s="8" t="n">
        <v>6900</v>
      </c>
      <c r="D4343" s="8" t="n">
        <v>6933</v>
      </c>
      <c r="E4343" s="8" t="n">
        <v>6846</v>
      </c>
      <c r="F4343" s="8" t="n">
        <v>392793</v>
      </c>
      <c r="G4343" s="8" t="n">
        <v>521138</v>
      </c>
      <c r="H4343" s="8" t="n">
        <v>7025</v>
      </c>
      <c r="I4343" s="8" t="n">
        <v>6985</v>
      </c>
      <c r="J4343" s="8" t="n">
        <v>7040</v>
      </c>
      <c r="K4343" s="8" t="n">
        <v>6936</v>
      </c>
      <c r="L4343" s="8" t="n">
        <v>415473</v>
      </c>
      <c r="M4343" s="8" t="n">
        <v>543284</v>
      </c>
      <c r="N4343" t="inlineStr">
        <is>
          <t>是</t>
        </is>
      </c>
    </row>
    <row r="4344">
      <c r="A4344" s="7" t="inlineStr">
        <is>
          <t>2025-05-30</t>
        </is>
      </c>
      <c r="B4344" s="8" t="n">
        <v>6875</v>
      </c>
      <c r="C4344" s="8" t="n">
        <v>6900</v>
      </c>
      <c r="D4344" s="8" t="n">
        <v>6903</v>
      </c>
      <c r="E4344" s="8" t="n">
        <v>6856</v>
      </c>
      <c r="F4344" s="8" t="n">
        <v>267599</v>
      </c>
      <c r="G4344" s="8" t="n">
        <v>514977</v>
      </c>
      <c r="H4344" s="8" t="n">
        <v>6960</v>
      </c>
      <c r="I4344" s="8" t="n">
        <v>6990</v>
      </c>
      <c r="J4344" s="8" t="n">
        <v>7001</v>
      </c>
      <c r="K4344" s="8" t="n">
        <v>6946</v>
      </c>
      <c r="L4344" s="8" t="n">
        <v>311232</v>
      </c>
      <c r="M4344" s="8" t="n">
        <v>548604</v>
      </c>
      <c r="N4344" t="inlineStr">
        <is>
          <t>是</t>
        </is>
      </c>
    </row>
    <row r="4345">
      <c r="A4345" s="7" t="inlineStr">
        <is>
          <t>2025-06-03</t>
        </is>
      </c>
      <c r="B4345" s="8" t="n">
        <v>6884</v>
      </c>
      <c r="C4345" s="8" t="n">
        <v>6910</v>
      </c>
      <c r="D4345" s="8" t="n">
        <v>6918</v>
      </c>
      <c r="E4345" s="8" t="n">
        <v>6861</v>
      </c>
      <c r="F4345" s="8" t="n">
        <v>237437</v>
      </c>
      <c r="G4345" s="8" t="n">
        <v>522885</v>
      </c>
      <c r="H4345" s="8" t="n">
        <v>6963</v>
      </c>
      <c r="I4345" s="8" t="n">
        <v>7000</v>
      </c>
      <c r="J4345" s="8" t="n">
        <v>7010</v>
      </c>
      <c r="K4345" s="8" t="n">
        <v>6944</v>
      </c>
      <c r="L4345" s="8" t="n">
        <v>250761</v>
      </c>
      <c r="M4345" s="8" t="n">
        <v>565965</v>
      </c>
      <c r="N4345" t="inlineStr">
        <is>
          <t>是</t>
        </is>
      </c>
    </row>
    <row r="4346">
      <c r="A4346" s="7" t="inlineStr">
        <is>
          <t>2025-06-04</t>
        </is>
      </c>
      <c r="B4346" s="8" t="n">
        <v>6948</v>
      </c>
      <c r="C4346" s="8" t="n">
        <v>6876</v>
      </c>
      <c r="D4346" s="8" t="n">
        <v>6953</v>
      </c>
      <c r="E4346" s="8" t="n">
        <v>6876</v>
      </c>
      <c r="F4346" s="8" t="n">
        <v>296705</v>
      </c>
      <c r="G4346" s="8" t="n">
        <v>513164</v>
      </c>
      <c r="H4346" s="8" t="n">
        <v>7049</v>
      </c>
      <c r="I4346" s="8" t="n">
        <v>6975</v>
      </c>
      <c r="J4346" s="8" t="n">
        <v>7060</v>
      </c>
      <c r="K4346" s="8" t="n">
        <v>6965</v>
      </c>
      <c r="L4346" s="8" t="n">
        <v>344165</v>
      </c>
      <c r="M4346" s="8" t="n">
        <v>555015</v>
      </c>
      <c r="N4346" t="inlineStr">
        <is>
          <t>是</t>
        </is>
      </c>
    </row>
    <row r="4347">
      <c r="A4347" s="7" t="inlineStr">
        <is>
          <t>2025-06-05</t>
        </is>
      </c>
      <c r="B4347" s="8" t="n">
        <v>6911</v>
      </c>
      <c r="C4347" s="8" t="n">
        <v>6937</v>
      </c>
      <c r="D4347" s="8" t="n">
        <v>6944</v>
      </c>
      <c r="E4347" s="8" t="n">
        <v>6893</v>
      </c>
      <c r="F4347" s="8" t="n">
        <v>262875</v>
      </c>
      <c r="G4347" s="8" t="n">
        <v>517428</v>
      </c>
      <c r="H4347" s="8" t="n">
        <v>7034</v>
      </c>
      <c r="I4347" s="8" t="n">
        <v>7036</v>
      </c>
      <c r="J4347" s="8" t="n">
        <v>7085</v>
      </c>
      <c r="K4347" s="8" t="n">
        <v>7017</v>
      </c>
      <c r="L4347" s="8" t="n">
        <v>351131</v>
      </c>
      <c r="M4347" s="8" t="n">
        <v>544158</v>
      </c>
      <c r="N4347" t="inlineStr">
        <is>
          <t>是</t>
        </is>
      </c>
    </row>
    <row r="4348">
      <c r="A4348" s="7" t="inlineStr">
        <is>
          <t>2025-06-06</t>
        </is>
      </c>
      <c r="B4348" s="8" t="n">
        <v>6925</v>
      </c>
      <c r="C4348" s="8" t="n">
        <v>6919</v>
      </c>
      <c r="D4348" s="8" t="n">
        <v>6945</v>
      </c>
      <c r="E4348" s="8" t="n">
        <v>6911</v>
      </c>
      <c r="F4348" s="8" t="n">
        <v>227223</v>
      </c>
      <c r="G4348" s="8" t="n">
        <v>517880</v>
      </c>
      <c r="H4348" s="8" t="n">
        <v>7066</v>
      </c>
      <c r="I4348" s="8" t="n">
        <v>7045</v>
      </c>
      <c r="J4348" s="8" t="n">
        <v>7105</v>
      </c>
      <c r="K4348" s="8" t="n">
        <v>7044</v>
      </c>
      <c r="L4348" s="8" t="n">
        <v>342343</v>
      </c>
      <c r="M4348" s="8" t="n">
        <v>543941</v>
      </c>
      <c r="N4348" t="inlineStr">
        <is>
          <t>是</t>
        </is>
      </c>
    </row>
    <row r="4349">
      <c r="A4349" s="7" t="inlineStr">
        <is>
          <t>2025-06-09</t>
        </is>
      </c>
      <c r="B4349" s="8" t="n">
        <v>6932</v>
      </c>
      <c r="C4349" s="8" t="n">
        <v>6930</v>
      </c>
      <c r="D4349" s="8" t="n">
        <v>6953</v>
      </c>
      <c r="E4349" s="8" t="n">
        <v>6917</v>
      </c>
      <c r="F4349" s="8" t="n">
        <v>229503</v>
      </c>
      <c r="G4349" s="8" t="n">
        <v>516339</v>
      </c>
      <c r="H4349" s="8" t="n">
        <v>7078</v>
      </c>
      <c r="I4349" s="8" t="n">
        <v>7066</v>
      </c>
      <c r="J4349" s="8" t="n">
        <v>7098</v>
      </c>
      <c r="K4349" s="8" t="n">
        <v>7061</v>
      </c>
      <c r="L4349" s="8" t="n">
        <v>249544</v>
      </c>
      <c r="M4349" s="8" t="n">
        <v>545370</v>
      </c>
      <c r="N4349" t="inlineStr">
        <is>
          <t>是</t>
        </is>
      </c>
    </row>
    <row r="4350">
      <c r="A4350" s="7" t="inlineStr">
        <is>
          <t>2025-06-10</t>
        </is>
      </c>
      <c r="B4350" s="8" t="n">
        <v>6941</v>
      </c>
      <c r="C4350" s="8" t="n">
        <v>6930</v>
      </c>
      <c r="D4350" s="8" t="n">
        <v>6976</v>
      </c>
      <c r="E4350" s="8" t="n">
        <v>6906</v>
      </c>
      <c r="F4350" s="8" t="n">
        <v>295028</v>
      </c>
      <c r="G4350" s="8" t="n">
        <v>511475</v>
      </c>
      <c r="H4350" s="8" t="n">
        <v>7106</v>
      </c>
      <c r="I4350" s="8" t="n">
        <v>7082</v>
      </c>
      <c r="J4350" s="8" t="n">
        <v>7139</v>
      </c>
      <c r="K4350" s="8" t="n">
        <v>7049</v>
      </c>
      <c r="L4350" s="8" t="n">
        <v>324522</v>
      </c>
      <c r="M4350" s="8" t="n">
        <v>530962</v>
      </c>
      <c r="N4350" t="inlineStr">
        <is>
          <t>是</t>
        </is>
      </c>
    </row>
    <row r="4351">
      <c r="A4351" s="7" t="inlineStr">
        <is>
          <t>2025-06-11</t>
        </is>
      </c>
      <c r="B4351" s="8" t="n">
        <v>6960</v>
      </c>
      <c r="C4351" s="8" t="n">
        <v>6947</v>
      </c>
      <c r="D4351" s="8" t="n">
        <v>6983</v>
      </c>
      <c r="E4351" s="8" t="n">
        <v>6935</v>
      </c>
      <c r="F4351" s="8" t="n">
        <v>224195</v>
      </c>
      <c r="G4351" s="8" t="n">
        <v>501412</v>
      </c>
      <c r="H4351" s="8" t="n">
        <v>7102</v>
      </c>
      <c r="I4351" s="8" t="n">
        <v>7105</v>
      </c>
      <c r="J4351" s="8" t="n">
        <v>7124</v>
      </c>
      <c r="K4351" s="8" t="n">
        <v>7085</v>
      </c>
      <c r="L4351" s="8" t="n">
        <v>253230</v>
      </c>
      <c r="M4351" s="8" t="n">
        <v>536103</v>
      </c>
      <c r="N4351" t="inlineStr">
        <is>
          <t>是</t>
        </is>
      </c>
    </row>
    <row r="4352">
      <c r="A4352" s="7" t="inlineStr">
        <is>
          <t>2025-06-12</t>
        </is>
      </c>
      <c r="B4352" s="8" t="n">
        <v>6969</v>
      </c>
      <c r="C4352" s="8" t="n">
        <v>6980</v>
      </c>
      <c r="D4352" s="8" t="n">
        <v>7001</v>
      </c>
      <c r="E4352" s="8" t="n">
        <v>6957</v>
      </c>
      <c r="F4352" s="8" t="n">
        <v>208464</v>
      </c>
      <c r="G4352" s="8" t="n">
        <v>490786</v>
      </c>
      <c r="H4352" s="8" t="n">
        <v>7117</v>
      </c>
      <c r="I4352" s="8" t="n">
        <v>7121</v>
      </c>
      <c r="J4352" s="8" t="n">
        <v>7149</v>
      </c>
      <c r="K4352" s="8" t="n">
        <v>7097</v>
      </c>
      <c r="L4352" s="8" t="n">
        <v>284951</v>
      </c>
      <c r="M4352" s="8" t="n">
        <v>529576</v>
      </c>
      <c r="N4352" t="inlineStr">
        <is>
          <t>是</t>
        </is>
      </c>
    </row>
    <row r="4353">
      <c r="A4353" s="7" t="inlineStr">
        <is>
          <t>2025-06-13</t>
        </is>
      </c>
      <c r="B4353" s="8" t="n">
        <v>7089</v>
      </c>
      <c r="C4353" s="8" t="n">
        <v>6956</v>
      </c>
      <c r="D4353" s="8" t="n">
        <v>7122</v>
      </c>
      <c r="E4353" s="8" t="n">
        <v>6933</v>
      </c>
      <c r="F4353" s="8" t="n">
        <v>634510</v>
      </c>
      <c r="G4353" s="8" t="n">
        <v>456225</v>
      </c>
      <c r="H4353" s="8" t="n">
        <v>7258</v>
      </c>
      <c r="I4353" s="8" t="n">
        <v>7100</v>
      </c>
      <c r="J4353" s="8" t="n">
        <v>7308</v>
      </c>
      <c r="K4353" s="8" t="n">
        <v>7066</v>
      </c>
      <c r="L4353" s="8" t="n">
        <v>662862</v>
      </c>
      <c r="M4353" s="8" t="n">
        <v>494228</v>
      </c>
      <c r="N4353" t="inlineStr">
        <is>
          <t>是</t>
        </is>
      </c>
    </row>
    <row r="4354">
      <c r="A4354" s="7" t="inlineStr">
        <is>
          <t>2025-06-16</t>
        </is>
      </c>
      <c r="B4354" s="8" t="n">
        <v>7133</v>
      </c>
      <c r="C4354" s="8" t="n">
        <v>7103</v>
      </c>
      <c r="D4354" s="8" t="n">
        <v>7145</v>
      </c>
      <c r="E4354" s="8" t="n">
        <v>7064</v>
      </c>
      <c r="F4354" s="8" t="n">
        <v>398212</v>
      </c>
      <c r="G4354" s="8" t="n">
        <v>460472</v>
      </c>
      <c r="H4354" s="8" t="n">
        <v>7338</v>
      </c>
      <c r="I4354" s="8" t="n">
        <v>7266</v>
      </c>
      <c r="J4354" s="8" t="n">
        <v>7341</v>
      </c>
      <c r="K4354" s="8" t="n">
        <v>7219</v>
      </c>
      <c r="L4354" s="8" t="n">
        <v>455032</v>
      </c>
      <c r="M4354" s="8" t="n">
        <v>477702</v>
      </c>
      <c r="N4354" t="inlineStr">
        <is>
          <t>是</t>
        </is>
      </c>
    </row>
    <row r="4355">
      <c r="A4355" s="7" t="inlineStr">
        <is>
          <t>2025-06-17</t>
        </is>
      </c>
      <c r="B4355" s="8" t="n">
        <v>7125</v>
      </c>
      <c r="C4355" s="8" t="n">
        <v>7118</v>
      </c>
      <c r="D4355" s="8" t="n">
        <v>7134</v>
      </c>
      <c r="E4355" s="8" t="n">
        <v>7070</v>
      </c>
      <c r="F4355" s="8" t="n">
        <v>314038</v>
      </c>
      <c r="G4355" s="8" t="n">
        <v>455542</v>
      </c>
      <c r="H4355" s="8" t="n">
        <v>7317</v>
      </c>
      <c r="I4355" s="8" t="n">
        <v>7310</v>
      </c>
      <c r="J4355" s="8" t="n">
        <v>7329</v>
      </c>
      <c r="K4355" s="8" t="n">
        <v>7246</v>
      </c>
      <c r="L4355" s="8" t="n">
        <v>473370</v>
      </c>
      <c r="M4355" s="8" t="n">
        <v>486231</v>
      </c>
      <c r="N4355" t="inlineStr">
        <is>
          <t>是</t>
        </is>
      </c>
    </row>
    <row r="4356">
      <c r="A4356" s="7" t="inlineStr">
        <is>
          <t>2025-06-18</t>
        </is>
      </c>
      <c r="B4356" s="8" t="n">
        <v>7214</v>
      </c>
      <c r="C4356" s="8" t="n">
        <v>7140</v>
      </c>
      <c r="D4356" s="8" t="n">
        <v>7226</v>
      </c>
      <c r="E4356" s="8" t="n">
        <v>7137</v>
      </c>
      <c r="F4356" s="8" t="n">
        <v>396482</v>
      </c>
      <c r="G4356" s="8" t="n">
        <v>477088</v>
      </c>
      <c r="H4356" s="8" t="n">
        <v>7418</v>
      </c>
      <c r="I4356" s="8" t="n">
        <v>7333</v>
      </c>
      <c r="J4356" s="8" t="n">
        <v>7430</v>
      </c>
      <c r="K4356" s="8" t="n">
        <v>7333</v>
      </c>
      <c r="L4356" s="8" t="n">
        <v>431735</v>
      </c>
      <c r="M4356" s="8" t="n">
        <v>476259</v>
      </c>
      <c r="N4356" t="inlineStr">
        <is>
          <t>是</t>
        </is>
      </c>
    </row>
    <row r="4357">
      <c r="A4357" s="7" t="inlineStr">
        <is>
          <t>2025-06-19</t>
        </is>
      </c>
      <c r="B4357" s="8" t="n">
        <v>7274</v>
      </c>
      <c r="C4357" s="8" t="n">
        <v>7215</v>
      </c>
      <c r="D4357" s="8" t="n">
        <v>7279</v>
      </c>
      <c r="E4357" s="8" t="n">
        <v>7213</v>
      </c>
      <c r="F4357" s="8" t="n">
        <v>390693</v>
      </c>
      <c r="G4357" s="8" t="n">
        <v>487507</v>
      </c>
      <c r="H4357" s="8" t="n">
        <v>7462</v>
      </c>
      <c r="I4357" s="8" t="n">
        <v>7425</v>
      </c>
      <c r="J4357" s="8" t="n">
        <v>7479</v>
      </c>
      <c r="K4357" s="8" t="n">
        <v>7397</v>
      </c>
      <c r="L4357" s="8" t="n">
        <v>432373</v>
      </c>
      <c r="M4357" s="8" t="n">
        <v>478375</v>
      </c>
      <c r="N4357" t="inlineStr">
        <is>
          <t>是</t>
        </is>
      </c>
    </row>
    <row r="4358">
      <c r="A4358" s="7" t="inlineStr">
        <is>
          <t>2025-06-20</t>
        </is>
      </c>
      <c r="B4358" s="8" t="n">
        <v>7242</v>
      </c>
      <c r="C4358" s="8" t="n">
        <v>7280</v>
      </c>
      <c r="D4358" s="8" t="n">
        <v>7306</v>
      </c>
      <c r="E4358" s="8" t="n">
        <v>7229</v>
      </c>
      <c r="F4358" s="8" t="n">
        <v>375574</v>
      </c>
      <c r="G4358" s="8" t="n">
        <v>494883</v>
      </c>
      <c r="H4358" s="8" t="n">
        <v>7415</v>
      </c>
      <c r="I4358" s="8" t="n">
        <v>7470</v>
      </c>
      <c r="J4358" s="8" t="n">
        <v>7494</v>
      </c>
      <c r="K4358" s="8" t="n">
        <v>7401</v>
      </c>
      <c r="L4358" s="8" t="n">
        <v>414225</v>
      </c>
      <c r="M4358" s="8" t="n">
        <v>484524</v>
      </c>
      <c r="N4358" t="inlineStr">
        <is>
          <t>是</t>
        </is>
      </c>
    </row>
    <row r="4359">
      <c r="A4359" s="7" t="inlineStr">
        <is>
          <t>2025-06-23</t>
        </is>
      </c>
      <c r="B4359" s="8" t="n">
        <v>7262</v>
      </c>
      <c r="C4359" s="8" t="n">
        <v>7235</v>
      </c>
      <c r="D4359" s="8" t="n">
        <v>7288</v>
      </c>
      <c r="E4359" s="8" t="n">
        <v>7195</v>
      </c>
      <c r="F4359" s="8" t="n">
        <v>387080</v>
      </c>
      <c r="G4359" s="8" t="n">
        <v>488510</v>
      </c>
      <c r="H4359" s="8" t="n">
        <v>7444</v>
      </c>
      <c r="I4359" s="8" t="n">
        <v>7406</v>
      </c>
      <c r="J4359" s="8" t="n">
        <v>7490</v>
      </c>
      <c r="K4359" s="8" t="n">
        <v>7374</v>
      </c>
      <c r="L4359" s="8" t="n">
        <v>421810</v>
      </c>
      <c r="M4359" s="8" t="n">
        <v>477335</v>
      </c>
      <c r="N4359" t="inlineStr">
        <is>
          <t>是</t>
        </is>
      </c>
    </row>
    <row r="4360">
      <c r="A4360" s="7" t="inlineStr">
        <is>
          <t>2025-06-24</t>
        </is>
      </c>
      <c r="B4360" s="8" t="n">
        <v>7074</v>
      </c>
      <c r="C4360" s="8" t="n">
        <v>7238</v>
      </c>
      <c r="D4360" s="8" t="n">
        <v>7253</v>
      </c>
      <c r="E4360" s="8" t="n">
        <v>7056</v>
      </c>
      <c r="F4360" s="8" t="n">
        <v>567068</v>
      </c>
      <c r="G4360" s="8" t="n">
        <v>448435</v>
      </c>
      <c r="H4360" s="8" t="n">
        <v>7250</v>
      </c>
      <c r="I4360" s="8" t="n">
        <v>7421</v>
      </c>
      <c r="J4360" s="8" t="n">
        <v>7443</v>
      </c>
      <c r="K4360" s="8" t="n">
        <v>7165</v>
      </c>
      <c r="L4360" s="8" t="n">
        <v>594765</v>
      </c>
      <c r="M4360" s="8" t="n">
        <v>474026</v>
      </c>
      <c r="N4360" t="inlineStr">
        <is>
          <t>是</t>
        </is>
      </c>
    </row>
    <row r="4361">
      <c r="A4361" s="7" t="inlineStr">
        <is>
          <t>2025-06-25</t>
        </is>
      </c>
      <c r="B4361" s="8" t="n">
        <v>7084</v>
      </c>
      <c r="C4361" s="8" t="n">
        <v>7080</v>
      </c>
      <c r="D4361" s="8" t="n">
        <v>7085</v>
      </c>
      <c r="E4361" s="8" t="n">
        <v>7054</v>
      </c>
      <c r="F4361" s="8" t="n">
        <v>268911</v>
      </c>
      <c r="G4361" s="8" t="n">
        <v>424343</v>
      </c>
      <c r="H4361" s="8" t="n">
        <v>7271</v>
      </c>
      <c r="I4361" s="8" t="n">
        <v>7240</v>
      </c>
      <c r="J4361" s="8" t="n">
        <v>7274</v>
      </c>
      <c r="K4361" s="8" t="n">
        <v>7218</v>
      </c>
      <c r="L4361" s="8" t="n">
        <v>309550</v>
      </c>
      <c r="M4361" s="8" t="n">
        <v>461763</v>
      </c>
      <c r="N4361" t="inlineStr">
        <is>
          <t>是</t>
        </is>
      </c>
    </row>
    <row r="4362">
      <c r="A4362" s="7" t="inlineStr">
        <is>
          <t>2025-06-26</t>
        </is>
      </c>
      <c r="B4362" s="8" t="n">
        <v>7108</v>
      </c>
      <c r="C4362" s="8" t="n">
        <v>7084</v>
      </c>
      <c r="D4362" s="8" t="n">
        <v>7110</v>
      </c>
      <c r="E4362" s="8" t="n">
        <v>7064</v>
      </c>
      <c r="F4362" s="8" t="n">
        <v>304272</v>
      </c>
      <c r="G4362" s="8" t="n">
        <v>429367</v>
      </c>
      <c r="H4362" s="8" t="n">
        <v>7300</v>
      </c>
      <c r="I4362" s="8" t="n">
        <v>7261</v>
      </c>
      <c r="J4362" s="8" t="n">
        <v>7335</v>
      </c>
      <c r="K4362" s="8" t="n">
        <v>7260</v>
      </c>
      <c r="L4362" s="8" t="n">
        <v>381432</v>
      </c>
      <c r="M4362" s="8" t="n">
        <v>471020</v>
      </c>
      <c r="N4362" t="inlineStr">
        <is>
          <t>是</t>
        </is>
      </c>
    </row>
    <row r="4363">
      <c r="A4363" s="7" t="inlineStr">
        <is>
          <t>2025-06-27</t>
        </is>
      </c>
      <c r="B4363" s="8" t="n">
        <v>7103</v>
      </c>
      <c r="C4363" s="8" t="n">
        <v>7095</v>
      </c>
      <c r="D4363" s="8" t="n">
        <v>7137</v>
      </c>
      <c r="E4363" s="8" t="n">
        <v>7087</v>
      </c>
      <c r="F4363" s="8" t="n">
        <v>223643</v>
      </c>
      <c r="G4363" s="8" t="n">
        <v>425262</v>
      </c>
      <c r="H4363" s="8" t="n">
        <v>7302</v>
      </c>
      <c r="I4363" s="8" t="n">
        <v>7300</v>
      </c>
      <c r="J4363" s="8" t="n">
        <v>7336</v>
      </c>
      <c r="K4363" s="8" t="n">
        <v>7285</v>
      </c>
      <c r="L4363" s="8" t="n">
        <v>297767</v>
      </c>
      <c r="M4363" s="8" t="n">
        <v>460583</v>
      </c>
      <c r="N4363" t="inlineStr">
        <is>
          <t>是</t>
        </is>
      </c>
    </row>
    <row r="4364">
      <c r="A4364" s="7" t="inlineStr">
        <is>
          <t>2025-06-30</t>
        </is>
      </c>
      <c r="B4364" s="8" t="n">
        <v>7070</v>
      </c>
      <c r="C4364" s="8" t="n">
        <v>7098</v>
      </c>
      <c r="D4364" s="8" t="n">
        <v>7120</v>
      </c>
      <c r="E4364" s="8" t="n">
        <v>7067</v>
      </c>
      <c r="F4364" s="8" t="n">
        <v>218846</v>
      </c>
      <c r="G4364" s="8" t="n">
        <v>425759</v>
      </c>
      <c r="H4364" s="8" t="n">
        <v>7261</v>
      </c>
      <c r="I4364" s="8" t="n">
        <v>7302</v>
      </c>
      <c r="J4364" s="8" t="n">
        <v>7319</v>
      </c>
      <c r="K4364" s="8" t="n">
        <v>7260</v>
      </c>
      <c r="L4364" s="8" t="n">
        <v>247044</v>
      </c>
      <c r="M4364" s="8" t="n">
        <v>460498</v>
      </c>
      <c r="N4364" t="inlineStr">
        <is>
          <t>是</t>
        </is>
      </c>
    </row>
    <row r="4365">
      <c r="A4365" s="7" t="inlineStr">
        <is>
          <t>2025-07-01</t>
        </is>
      </c>
      <c r="B4365" s="8" t="n">
        <v>7044</v>
      </c>
      <c r="C4365" s="8" t="n">
        <v>7077</v>
      </c>
      <c r="D4365" s="8" t="n">
        <v>7077</v>
      </c>
      <c r="E4365" s="8" t="n">
        <v>7025</v>
      </c>
      <c r="F4365" s="8" t="n">
        <v>210887</v>
      </c>
      <c r="G4365" s="8" t="n">
        <v>423329</v>
      </c>
      <c r="H4365" s="8" t="n">
        <v>7249</v>
      </c>
      <c r="I4365" s="8" t="n">
        <v>7266</v>
      </c>
      <c r="J4365" s="8" t="n">
        <v>7273</v>
      </c>
      <c r="K4365" s="8" t="n">
        <v>7219</v>
      </c>
      <c r="L4365" s="8" t="n">
        <v>232978</v>
      </c>
      <c r="M4365" s="8" t="n">
        <v>457867</v>
      </c>
      <c r="N4365" t="inlineStr">
        <is>
          <t>是</t>
        </is>
      </c>
    </row>
    <row r="4366">
      <c r="A4366" s="7" t="inlineStr">
        <is>
          <t>2025-07-02</t>
        </is>
      </c>
      <c r="B4366" s="8" t="n">
        <v>7072</v>
      </c>
      <c r="C4366" s="8" t="n">
        <v>7055</v>
      </c>
      <c r="D4366" s="8" t="n">
        <v>7083</v>
      </c>
      <c r="E4366" s="8" t="n">
        <v>7035</v>
      </c>
      <c r="F4366" s="8" t="n">
        <v>223735</v>
      </c>
      <c r="G4366" s="8" t="n">
        <v>411306</v>
      </c>
      <c r="H4366" s="8" t="n">
        <v>7288</v>
      </c>
      <c r="I4366" s="8" t="n">
        <v>7240</v>
      </c>
      <c r="J4366" s="8" t="n">
        <v>7295</v>
      </c>
      <c r="K4366" s="8" t="n">
        <v>7237</v>
      </c>
      <c r="L4366" s="8" t="n">
        <v>270161</v>
      </c>
      <c r="M4366" s="8" t="n">
        <v>443293</v>
      </c>
      <c r="N4366" t="inlineStr">
        <is>
          <t>是</t>
        </is>
      </c>
    </row>
    <row r="4367">
      <c r="A4367" s="7" t="inlineStr">
        <is>
          <t>2025-07-03</t>
        </is>
      </c>
      <c r="B4367" s="8" t="n">
        <v>7074</v>
      </c>
      <c r="C4367" s="8" t="n">
        <v>7086</v>
      </c>
      <c r="D4367" s="8" t="n">
        <v>7105</v>
      </c>
      <c r="E4367" s="8" t="n">
        <v>7066</v>
      </c>
      <c r="F4367" s="8" t="n">
        <v>206902</v>
      </c>
      <c r="G4367" s="8" t="n">
        <v>410193</v>
      </c>
      <c r="H4367" s="8" t="n">
        <v>7284</v>
      </c>
      <c r="I4367" s="8" t="n">
        <v>7300</v>
      </c>
      <c r="J4367" s="8" t="n">
        <v>7320</v>
      </c>
      <c r="K4367" s="8" t="n">
        <v>7266</v>
      </c>
      <c r="L4367" s="8" t="n">
        <v>243442</v>
      </c>
      <c r="M4367" s="8" t="n">
        <v>444132</v>
      </c>
      <c r="N4367" t="inlineStr">
        <is>
          <t>是</t>
        </is>
      </c>
    </row>
    <row r="4368">
      <c r="A4368" s="7" t="inlineStr">
        <is>
          <t>2025-07-04</t>
        </is>
      </c>
      <c r="B4368" s="8" t="n">
        <v>7078</v>
      </c>
      <c r="C4368" s="8" t="n">
        <v>7088</v>
      </c>
      <c r="D4368" s="8" t="n">
        <v>7112</v>
      </c>
      <c r="E4368" s="8" t="n">
        <v>7070</v>
      </c>
      <c r="F4368" s="8" t="n">
        <v>210061</v>
      </c>
      <c r="G4368" s="8" t="n">
        <v>414623</v>
      </c>
      <c r="H4368" s="8" t="n">
        <v>7282</v>
      </c>
      <c r="I4368" s="8" t="n">
        <v>7298</v>
      </c>
      <c r="J4368" s="8" t="n">
        <v>7340</v>
      </c>
      <c r="K4368" s="8" t="n">
        <v>7277</v>
      </c>
      <c r="L4368" s="8" t="n">
        <v>301296</v>
      </c>
      <c r="M4368" s="8" t="n">
        <v>448681</v>
      </c>
      <c r="N4368" t="inlineStr">
        <is>
          <t>是</t>
        </is>
      </c>
    </row>
    <row r="4369">
      <c r="A4369" s="7" t="inlineStr">
        <is>
          <t>2025-07-07</t>
        </is>
      </c>
      <c r="B4369" s="8" t="n">
        <v>7057</v>
      </c>
      <c r="C4369" s="8" t="n">
        <v>7074</v>
      </c>
      <c r="D4369" s="8" t="n">
        <v>7082</v>
      </c>
      <c r="E4369" s="8" t="n">
        <v>7043</v>
      </c>
      <c r="F4369" s="8" t="n">
        <v>171188</v>
      </c>
      <c r="G4369" s="8" t="n">
        <v>405039</v>
      </c>
      <c r="H4369" s="8" t="n">
        <v>7247</v>
      </c>
      <c r="I4369" s="8" t="n">
        <v>7272</v>
      </c>
      <c r="J4369" s="8" t="n">
        <v>7277</v>
      </c>
      <c r="K4369" s="8" t="n">
        <v>7229</v>
      </c>
      <c r="L4369" s="8" t="n">
        <v>255068</v>
      </c>
      <c r="M4369" s="8" t="n">
        <v>448912</v>
      </c>
      <c r="N4369" t="inlineStr">
        <is>
          <t>是</t>
        </is>
      </c>
    </row>
    <row r="4370">
      <c r="A4370" s="7" t="inlineStr">
        <is>
          <t>2025-07-08</t>
        </is>
      </c>
      <c r="B4370" s="8" t="n">
        <v>7045</v>
      </c>
      <c r="C4370" s="8" t="n">
        <v>7066</v>
      </c>
      <c r="D4370" s="8" t="n">
        <v>7070</v>
      </c>
      <c r="E4370" s="8" t="n">
        <v>7042</v>
      </c>
      <c r="F4370" s="8" t="n">
        <v>171651</v>
      </c>
      <c r="G4370" s="8" t="n">
        <v>402080</v>
      </c>
      <c r="H4370" s="8" t="n">
        <v>7245</v>
      </c>
      <c r="I4370" s="8" t="n">
        <v>7255</v>
      </c>
      <c r="J4370" s="8" t="n">
        <v>7264</v>
      </c>
      <c r="K4370" s="8" t="n">
        <v>7240</v>
      </c>
      <c r="L4370" s="8" t="n">
        <v>209361</v>
      </c>
      <c r="M4370" s="8" t="n">
        <v>448580</v>
      </c>
      <c r="N4370" t="inlineStr">
        <is>
          <t>是</t>
        </is>
      </c>
    </row>
    <row r="4371">
      <c r="A4371" s="7" t="inlineStr">
        <is>
          <t>2025-07-09</t>
        </is>
      </c>
      <c r="B4371" s="8" t="n">
        <v>7078</v>
      </c>
      <c r="C4371" s="8" t="n">
        <v>7048</v>
      </c>
      <c r="D4371" s="8" t="n">
        <v>7080</v>
      </c>
      <c r="E4371" s="8" t="n">
        <v>7040</v>
      </c>
      <c r="F4371" s="8" t="n">
        <v>183918</v>
      </c>
      <c r="G4371" s="8" t="n">
        <v>396080</v>
      </c>
      <c r="H4371" s="8" t="n">
        <v>7278</v>
      </c>
      <c r="I4371" s="8" t="n">
        <v>7246</v>
      </c>
      <c r="J4371" s="8" t="n">
        <v>7284</v>
      </c>
      <c r="K4371" s="8" t="n">
        <v>7239</v>
      </c>
      <c r="L4371" s="8" t="n">
        <v>218535</v>
      </c>
      <c r="M4371" s="8" t="n">
        <v>436321</v>
      </c>
      <c r="N4371" t="inlineStr">
        <is>
          <t>是</t>
        </is>
      </c>
    </row>
    <row r="4372">
      <c r="A4372" s="7" t="inlineStr">
        <is>
          <t>2025-07-10</t>
        </is>
      </c>
      <c r="B4372" s="8" t="n">
        <v>7112</v>
      </c>
      <c r="C4372" s="8" t="n">
        <v>7080</v>
      </c>
      <c r="D4372" s="8" t="n">
        <v>7123</v>
      </c>
      <c r="E4372" s="8" t="n">
        <v>7075</v>
      </c>
      <c r="F4372" s="8" t="n">
        <v>219392</v>
      </c>
      <c r="G4372" s="8" t="n">
        <v>396203</v>
      </c>
      <c r="H4372" s="8" t="n">
        <v>7329</v>
      </c>
      <c r="I4372" s="8" t="n">
        <v>7282</v>
      </c>
      <c r="J4372" s="8" t="n">
        <v>7343</v>
      </c>
      <c r="K4372" s="8" t="n">
        <v>7272</v>
      </c>
      <c r="L4372" s="8" t="n">
        <v>259602</v>
      </c>
      <c r="M4372" s="8" t="n">
        <v>438823</v>
      </c>
      <c r="N4372" t="inlineStr">
        <is>
          <t>是</t>
        </is>
      </c>
    </row>
    <row r="4373">
      <c r="A4373" s="7" t="inlineStr">
        <is>
          <t>2025-07-11</t>
        </is>
      </c>
      <c r="B4373" s="8" t="n">
        <v>7069</v>
      </c>
      <c r="C4373" s="8" t="n">
        <v>7100</v>
      </c>
      <c r="D4373" s="8" t="n">
        <v>7105</v>
      </c>
      <c r="E4373" s="8" t="n">
        <v>7053</v>
      </c>
      <c r="F4373" s="8" t="n">
        <v>241668</v>
      </c>
      <c r="G4373" s="8" t="n">
        <v>394188</v>
      </c>
      <c r="H4373" s="8" t="n">
        <v>7291</v>
      </c>
      <c r="I4373" s="8" t="n">
        <v>7322</v>
      </c>
      <c r="J4373" s="8" t="n">
        <v>7335</v>
      </c>
      <c r="K4373" s="8" t="n">
        <v>7276</v>
      </c>
      <c r="L4373" s="8" t="n">
        <v>274059</v>
      </c>
      <c r="M4373" s="8" t="n">
        <v>432521</v>
      </c>
      <c r="N4373" t="inlineStr">
        <is>
          <t>是</t>
        </is>
      </c>
    </row>
    <row r="4374">
      <c r="A4374" s="7" t="inlineStr">
        <is>
          <t>2025-07-14</t>
        </is>
      </c>
      <c r="B4374" s="8" t="n">
        <v>7067</v>
      </c>
      <c r="C4374" s="8" t="n">
        <v>7065</v>
      </c>
      <c r="D4374" s="8" t="n">
        <v>7091</v>
      </c>
      <c r="E4374" s="8" t="n">
        <v>7042</v>
      </c>
      <c r="F4374" s="8" t="n">
        <v>229429</v>
      </c>
      <c r="G4374" s="8" t="n">
        <v>391848</v>
      </c>
      <c r="H4374" s="8" t="n">
        <v>7284</v>
      </c>
      <c r="I4374" s="8" t="n">
        <v>7295</v>
      </c>
      <c r="J4374" s="8" t="n">
        <v>7314</v>
      </c>
      <c r="K4374" s="8" t="n">
        <v>7250</v>
      </c>
      <c r="L4374" s="8" t="n">
        <v>307887</v>
      </c>
      <c r="M4374" s="8" t="n">
        <v>421336</v>
      </c>
      <c r="N4374" t="inlineStr">
        <is>
          <t>是</t>
        </is>
      </c>
    </row>
    <row r="4375">
      <c r="A4375" s="7" t="inlineStr">
        <is>
          <t>2025-07-15</t>
        </is>
      </c>
      <c r="B4375" s="8" t="n">
        <v>7015</v>
      </c>
      <c r="C4375" s="8" t="n">
        <v>7080</v>
      </c>
      <c r="D4375" s="8" t="n">
        <v>7080</v>
      </c>
      <c r="E4375" s="8" t="n">
        <v>7008</v>
      </c>
      <c r="F4375" s="8" t="n">
        <v>272551</v>
      </c>
      <c r="G4375" s="8" t="n">
        <v>397459</v>
      </c>
      <c r="H4375" s="8" t="n">
        <v>7221</v>
      </c>
      <c r="I4375" s="8" t="n">
        <v>7285</v>
      </c>
      <c r="J4375" s="8" t="n">
        <v>7292</v>
      </c>
      <c r="K4375" s="8" t="n">
        <v>7208</v>
      </c>
      <c r="L4375" s="8" t="n">
        <v>307485</v>
      </c>
      <c r="M4375" s="8" t="n">
        <v>433865</v>
      </c>
      <c r="N4375" t="inlineStr">
        <is>
          <t>是</t>
        </is>
      </c>
    </row>
    <row r="4376">
      <c r="A4376" s="7" t="inlineStr">
        <is>
          <t>2025-07-16</t>
        </is>
      </c>
      <c r="B4376" s="8" t="n">
        <v>7013</v>
      </c>
      <c r="C4376" s="8" t="n">
        <v>7018</v>
      </c>
      <c r="D4376" s="8" t="n">
        <v>7029</v>
      </c>
      <c r="E4376" s="8" t="n">
        <v>7003</v>
      </c>
      <c r="F4376" s="8" t="n">
        <v>187444</v>
      </c>
      <c r="G4376" s="8" t="n">
        <v>411192</v>
      </c>
      <c r="H4376" s="8" t="n">
        <v>7214</v>
      </c>
      <c r="I4376" s="8" t="n">
        <v>7221</v>
      </c>
      <c r="J4376" s="8" t="n">
        <v>7235</v>
      </c>
      <c r="K4376" s="8" t="n">
        <v>7204</v>
      </c>
      <c r="L4376" s="8" t="n">
        <v>204281</v>
      </c>
      <c r="M4376" s="8" t="n">
        <v>436856</v>
      </c>
      <c r="N4376" t="inlineStr">
        <is>
          <t>是</t>
        </is>
      </c>
    </row>
    <row r="4377">
      <c r="A4377" s="7" t="inlineStr">
        <is>
          <t>2025-07-17</t>
        </is>
      </c>
      <c r="B4377" s="8" t="n">
        <v>7020</v>
      </c>
      <c r="C4377" s="8" t="n">
        <v>7001</v>
      </c>
      <c r="D4377" s="8" t="n">
        <v>7027</v>
      </c>
      <c r="E4377" s="8" t="n">
        <v>6999</v>
      </c>
      <c r="F4377" s="8" t="n">
        <v>167459</v>
      </c>
      <c r="G4377" s="8" t="n">
        <v>415347</v>
      </c>
      <c r="H4377" s="8" t="n">
        <v>7215</v>
      </c>
      <c r="I4377" s="8" t="n">
        <v>7204</v>
      </c>
      <c r="J4377" s="8" t="n">
        <v>7223</v>
      </c>
      <c r="K4377" s="8" t="n">
        <v>7196</v>
      </c>
      <c r="L4377" s="8" t="n">
        <v>181546</v>
      </c>
      <c r="M4377" s="8" t="n">
        <v>434235</v>
      </c>
      <c r="N4377" t="inlineStr">
        <is>
          <t>是</t>
        </is>
      </c>
    </row>
    <row r="4378">
      <c r="A4378" s="7" t="inlineStr">
        <is>
          <t>2025-07-18</t>
        </is>
      </c>
      <c r="B4378" s="8" t="n">
        <v>7013</v>
      </c>
      <c r="C4378" s="8" t="n">
        <v>7023</v>
      </c>
      <c r="D4378" s="8" t="n">
        <v>7046</v>
      </c>
      <c r="E4378" s="8" t="n">
        <v>7000</v>
      </c>
      <c r="F4378" s="8" t="n">
        <v>242576</v>
      </c>
      <c r="G4378" s="8" t="n">
        <v>413423</v>
      </c>
      <c r="H4378" s="8" t="n">
        <v>7216</v>
      </c>
      <c r="I4378" s="8" t="n">
        <v>7218</v>
      </c>
      <c r="J4378" s="8" t="n">
        <v>7254</v>
      </c>
      <c r="K4378" s="8" t="n">
        <v>7203</v>
      </c>
      <c r="L4378" s="8" t="n">
        <v>262918</v>
      </c>
      <c r="M4378" s="8" t="n">
        <v>425673</v>
      </c>
      <c r="N4378" t="inlineStr">
        <is>
          <t>是</t>
        </is>
      </c>
    </row>
    <row r="4379">
      <c r="A4379" s="7" t="inlineStr">
        <is>
          <t>2025-07-21</t>
        </is>
      </c>
      <c r="B4379" s="8" t="n">
        <v>7091</v>
      </c>
      <c r="C4379" s="8" t="n">
        <v>7024</v>
      </c>
      <c r="D4379" s="8" t="n">
        <v>7102</v>
      </c>
      <c r="E4379" s="8" t="n">
        <v>7023</v>
      </c>
      <c r="F4379" s="8" t="n">
        <v>361218</v>
      </c>
      <c r="G4379" s="8" t="n">
        <v>392674</v>
      </c>
      <c r="H4379" s="8" t="n">
        <v>7290</v>
      </c>
      <c r="I4379" s="8" t="n">
        <v>7225</v>
      </c>
      <c r="J4379" s="8" t="n">
        <v>7308</v>
      </c>
      <c r="K4379" s="8" t="n">
        <v>7224</v>
      </c>
      <c r="L4379" s="8" t="n">
        <v>348003</v>
      </c>
      <c r="M4379" s="8" t="n">
        <v>407554</v>
      </c>
      <c r="N4379" t="inlineStr">
        <is>
          <t>是</t>
        </is>
      </c>
    </row>
    <row r="4380">
      <c r="A4380" s="7" t="inlineStr">
        <is>
          <t>2025-07-22</t>
        </is>
      </c>
      <c r="B4380" s="8" t="n">
        <v>7168</v>
      </c>
      <c r="C4380" s="8" t="n">
        <v>7091</v>
      </c>
      <c r="D4380" s="8" t="n">
        <v>7173</v>
      </c>
      <c r="E4380" s="8" t="n">
        <v>7076</v>
      </c>
      <c r="F4380" s="8" t="n">
        <v>395880</v>
      </c>
      <c r="G4380" s="8" t="n">
        <v>382806</v>
      </c>
      <c r="H4380" s="8" t="n">
        <v>7368</v>
      </c>
      <c r="I4380" s="8" t="n">
        <v>7287</v>
      </c>
      <c r="J4380" s="8" t="n">
        <v>7373</v>
      </c>
      <c r="K4380" s="8" t="n">
        <v>7264</v>
      </c>
      <c r="L4380" s="8" t="n">
        <v>384173</v>
      </c>
      <c r="M4380" s="8" t="n">
        <v>394148</v>
      </c>
      <c r="N4380" t="inlineStr">
        <is>
          <t>是</t>
        </is>
      </c>
    </row>
    <row r="4381">
      <c r="A4381" s="7" t="inlineStr">
        <is>
          <t>2025-07-23</t>
        </is>
      </c>
      <c r="B4381" s="8" t="n">
        <v>7096</v>
      </c>
      <c r="C4381" s="8" t="n">
        <v>7150</v>
      </c>
      <c r="D4381" s="8" t="n">
        <v>7170</v>
      </c>
      <c r="E4381" s="8" t="n">
        <v>7073</v>
      </c>
      <c r="F4381" s="8" t="n">
        <v>338236</v>
      </c>
      <c r="G4381" s="8" t="n">
        <v>356155</v>
      </c>
      <c r="H4381" s="8" t="n">
        <v>7288</v>
      </c>
      <c r="I4381" s="8" t="n">
        <v>7370</v>
      </c>
      <c r="J4381" s="8" t="n">
        <v>7371</v>
      </c>
      <c r="K4381" s="8" t="n">
        <v>7261</v>
      </c>
      <c r="L4381" s="8" t="n">
        <v>313961</v>
      </c>
      <c r="M4381" s="8" t="n">
        <v>388381</v>
      </c>
      <c r="N4381" t="inlineStr">
        <is>
          <t>是</t>
        </is>
      </c>
    </row>
    <row r="4382">
      <c r="A4382" s="7" t="inlineStr">
        <is>
          <t>2025-07-24</t>
        </is>
      </c>
      <c r="B4382" s="8" t="n">
        <v>7181</v>
      </c>
      <c r="C4382" s="8" t="n">
        <v>7101</v>
      </c>
      <c r="D4382" s="8" t="n">
        <v>7198</v>
      </c>
      <c r="E4382" s="8" t="n">
        <v>7091</v>
      </c>
      <c r="F4382" s="8" t="n">
        <v>333667</v>
      </c>
      <c r="G4382" s="8" t="n">
        <v>360171</v>
      </c>
      <c r="H4382" s="8" t="n">
        <v>7385</v>
      </c>
      <c r="I4382" s="8" t="n">
        <v>7288</v>
      </c>
      <c r="J4382" s="8" t="n">
        <v>7400</v>
      </c>
      <c r="K4382" s="8" t="n">
        <v>7276</v>
      </c>
      <c r="L4382" s="8" t="n">
        <v>333143</v>
      </c>
      <c r="M4382" s="8" t="n">
        <v>371617</v>
      </c>
      <c r="N4382" t="inlineStr">
        <is>
          <t>是</t>
        </is>
      </c>
    </row>
    <row r="4383">
      <c r="A4383" s="7" t="inlineStr">
        <is>
          <t>2025-07-25</t>
        </is>
      </c>
      <c r="B4383" s="8" t="n">
        <v>7221</v>
      </c>
      <c r="C4383" s="8" t="n">
        <v>7185</v>
      </c>
      <c r="D4383" s="8" t="n">
        <v>7239</v>
      </c>
      <c r="E4383" s="8" t="n">
        <v>7171</v>
      </c>
      <c r="F4383" s="8" t="n">
        <v>308611</v>
      </c>
      <c r="G4383" s="8" t="n">
        <v>355640</v>
      </c>
      <c r="H4383" s="8" t="n">
        <v>7456</v>
      </c>
      <c r="I4383" s="8" t="n">
        <v>7391</v>
      </c>
      <c r="J4383" s="8" t="n">
        <v>7483</v>
      </c>
      <c r="K4383" s="8" t="n">
        <v>7387</v>
      </c>
      <c r="L4383" s="8" t="n">
        <v>377764</v>
      </c>
      <c r="M4383" s="8" t="n">
        <v>366548</v>
      </c>
      <c r="N4383" t="inlineStr">
        <is>
          <t>是</t>
        </is>
      </c>
    </row>
    <row r="4384">
      <c r="A4384" s="7" t="inlineStr">
        <is>
          <t>2025-07-28</t>
        </is>
      </c>
      <c r="B4384" s="8" t="n">
        <v>7130</v>
      </c>
      <c r="C4384" s="8" t="n">
        <v>7240</v>
      </c>
      <c r="D4384" s="8" t="n">
        <v>7242</v>
      </c>
      <c r="E4384" s="8" t="n">
        <v>7108</v>
      </c>
      <c r="F4384" s="8" t="n">
        <v>344922</v>
      </c>
      <c r="G4384" s="8" t="n">
        <v>325802</v>
      </c>
      <c r="H4384" s="8" t="n">
        <v>7335</v>
      </c>
      <c r="I4384" s="8" t="n">
        <v>7456</v>
      </c>
      <c r="J4384" s="8" t="n">
        <v>7461</v>
      </c>
      <c r="K4384" s="8" t="n">
        <v>7320</v>
      </c>
      <c r="L4384" s="8" t="n">
        <v>388896</v>
      </c>
      <c r="M4384" s="8" t="n">
        <v>346401</v>
      </c>
      <c r="N4384" t="inlineStr">
        <is>
          <t>是</t>
        </is>
      </c>
    </row>
    <row r="4385">
      <c r="A4385" s="7" t="inlineStr">
        <is>
          <t>2025-07-29</t>
        </is>
      </c>
      <c r="B4385" s="8" t="n">
        <v>7160</v>
      </c>
      <c r="C4385" s="8" t="n">
        <v>7139</v>
      </c>
      <c r="D4385" s="8" t="n">
        <v>7165</v>
      </c>
      <c r="E4385" s="8" t="n">
        <v>7130</v>
      </c>
      <c r="F4385" s="8" t="n">
        <v>219303</v>
      </c>
      <c r="G4385" s="8" t="n">
        <v>308754</v>
      </c>
      <c r="H4385" s="8" t="n">
        <v>7385</v>
      </c>
      <c r="I4385" s="8" t="n">
        <v>7341</v>
      </c>
      <c r="J4385" s="8" t="n">
        <v>7396</v>
      </c>
      <c r="K4385" s="8" t="n">
        <v>7341</v>
      </c>
      <c r="L4385" s="8" t="n">
        <v>239704</v>
      </c>
      <c r="M4385" s="8" t="n">
        <v>343620</v>
      </c>
      <c r="N4385" t="inlineStr">
        <is>
          <t>是</t>
        </is>
      </c>
    </row>
    <row r="4386">
      <c r="A4386" s="7" t="inlineStr">
        <is>
          <t>2025-07-30</t>
        </is>
      </c>
      <c r="B4386" s="8" t="n">
        <v>7145</v>
      </c>
      <c r="C4386" s="8" t="n">
        <v>7153</v>
      </c>
      <c r="D4386" s="8" t="n">
        <v>7197</v>
      </c>
      <c r="E4386" s="8" t="n">
        <v>7136</v>
      </c>
      <c r="F4386" s="8" t="n">
        <v>208517</v>
      </c>
      <c r="G4386" s="8" t="n">
        <v>299702</v>
      </c>
      <c r="H4386" s="8" t="n">
        <v>7387</v>
      </c>
      <c r="I4386" s="8" t="n">
        <v>7399</v>
      </c>
      <c r="J4386" s="8" t="n">
        <v>7432</v>
      </c>
      <c r="K4386" s="8" t="n">
        <v>7369</v>
      </c>
      <c r="L4386" s="8" t="n">
        <v>244663</v>
      </c>
      <c r="M4386" s="8" t="n">
        <v>334157</v>
      </c>
      <c r="N4386" t="inlineStr">
        <is>
          <t>是</t>
        </is>
      </c>
    </row>
    <row r="4387">
      <c r="A4387" s="7" t="inlineStr">
        <is>
          <t>2025-07-31</t>
        </is>
      </c>
      <c r="B4387" s="8" t="n">
        <v>7118</v>
      </c>
      <c r="C4387" s="8" t="n">
        <v>7163</v>
      </c>
      <c r="D4387" s="8" t="n">
        <v>7163</v>
      </c>
      <c r="E4387" s="8" t="n">
        <v>7106</v>
      </c>
      <c r="F4387" s="8" t="n">
        <v>188972</v>
      </c>
      <c r="G4387" s="8" t="n">
        <v>288497</v>
      </c>
      <c r="H4387" s="8" t="n">
        <v>7350</v>
      </c>
      <c r="I4387" s="8" t="n">
        <v>7390</v>
      </c>
      <c r="J4387" s="8" t="n">
        <v>7396</v>
      </c>
      <c r="K4387" s="8" t="n">
        <v>7333</v>
      </c>
      <c r="L4387" s="8" t="n">
        <v>211583</v>
      </c>
      <c r="M4387" s="8" t="n">
        <v>326961</v>
      </c>
      <c r="N4387" t="inlineStr">
        <is>
          <t>是</t>
        </is>
      </c>
    </row>
    <row r="4388">
      <c r="A4388" s="7" t="inlineStr">
        <is>
          <t>2025-08-01</t>
        </is>
      </c>
      <c r="B4388" s="8" t="n">
        <v>7098</v>
      </c>
      <c r="C4388" s="8" t="n">
        <v>7110</v>
      </c>
      <c r="D4388" s="8" t="n">
        <v>7139</v>
      </c>
      <c r="E4388" s="8" t="n">
        <v>7084</v>
      </c>
      <c r="F4388" s="8" t="n">
        <v>173374</v>
      </c>
      <c r="G4388" s="8" t="n">
        <v>278623</v>
      </c>
      <c r="H4388" s="8" t="n">
        <v>7317</v>
      </c>
      <c r="I4388" s="8" t="n">
        <v>7344</v>
      </c>
      <c r="J4388" s="8" t="n">
        <v>7370</v>
      </c>
      <c r="K4388" s="8" t="n">
        <v>7300</v>
      </c>
      <c r="L4388" s="8" t="n">
        <v>220536</v>
      </c>
      <c r="M4388" s="8" t="n">
        <v>313117</v>
      </c>
      <c r="N4388" t="inlineStr">
        <is>
          <t>是</t>
        </is>
      </c>
    </row>
    <row r="4389">
      <c r="A4389" s="7" t="inlineStr">
        <is>
          <t>2025-08-04</t>
        </is>
      </c>
      <c r="B4389" s="8" t="n">
        <v>7074</v>
      </c>
      <c r="C4389" s="8" t="n">
        <v>7098</v>
      </c>
      <c r="D4389" s="8" t="n">
        <v>7108</v>
      </c>
      <c r="E4389" s="8" t="n">
        <v>7049</v>
      </c>
      <c r="F4389" s="8" t="n">
        <v>202535</v>
      </c>
      <c r="G4389" s="8" t="n">
        <v>260222</v>
      </c>
      <c r="H4389" s="8" t="n">
        <v>7279</v>
      </c>
      <c r="I4389" s="8" t="n">
        <v>7312</v>
      </c>
      <c r="J4389" s="8" t="n">
        <v>7318</v>
      </c>
      <c r="K4389" s="8" t="n">
        <v>7251</v>
      </c>
      <c r="L4389" s="8" t="n">
        <v>264758</v>
      </c>
      <c r="M4389" s="8" t="n">
        <v>300262</v>
      </c>
      <c r="N4389" t="inlineStr">
        <is>
          <t>是</t>
        </is>
      </c>
    </row>
    <row r="4390">
      <c r="A4390" s="7" t="inlineStr">
        <is>
          <t>2025-08-05</t>
        </is>
      </c>
      <c r="B4390" s="8" t="n">
        <v>7095</v>
      </c>
      <c r="C4390" s="8" t="n">
        <v>7049</v>
      </c>
      <c r="D4390" s="8" t="n">
        <v>7104</v>
      </c>
      <c r="E4390" s="8" t="n">
        <v>7047</v>
      </c>
      <c r="F4390" s="8" t="n">
        <v>162173</v>
      </c>
      <c r="G4390" s="8" t="n">
        <v>258551</v>
      </c>
      <c r="H4390" s="8" t="n">
        <v>7323</v>
      </c>
      <c r="I4390" s="8" t="n">
        <v>7256</v>
      </c>
      <c r="J4390" s="8" t="n">
        <v>7331</v>
      </c>
      <c r="K4390" s="8" t="n">
        <v>7253</v>
      </c>
      <c r="L4390" s="8" t="n">
        <v>183396</v>
      </c>
      <c r="M4390" s="8" t="n">
        <v>301516</v>
      </c>
      <c r="N4390" t="inlineStr">
        <is>
          <t>是</t>
        </is>
      </c>
    </row>
    <row r="4391">
      <c r="A4391" s="7" t="inlineStr">
        <is>
          <t>2025-08-06</t>
        </is>
      </c>
      <c r="B4391" s="8" t="n">
        <v>7078</v>
      </c>
      <c r="C4391" s="8" t="n">
        <v>7090</v>
      </c>
      <c r="D4391" s="8" t="n">
        <v>7100</v>
      </c>
      <c r="E4391" s="8" t="n">
        <v>7071</v>
      </c>
      <c r="F4391" s="8" t="n">
        <v>135233</v>
      </c>
      <c r="G4391" s="8" t="n">
        <v>251424</v>
      </c>
      <c r="H4391" s="8" t="n">
        <v>7321</v>
      </c>
      <c r="I4391" s="8" t="n">
        <v>7323</v>
      </c>
      <c r="J4391" s="8" t="n">
        <v>7344</v>
      </c>
      <c r="K4391" s="8" t="n">
        <v>7294</v>
      </c>
      <c r="L4391" s="8" t="n">
        <v>166807</v>
      </c>
      <c r="M4391" s="8" t="n">
        <v>291496</v>
      </c>
      <c r="N4391" t="inlineStr">
        <is>
          <t>是</t>
        </is>
      </c>
    </row>
    <row r="4392">
      <c r="A4392" s="7" t="inlineStr">
        <is>
          <t>2025-08-07</t>
        </is>
      </c>
      <c r="B4392" s="8" t="n">
        <v>7075</v>
      </c>
      <c r="C4392" s="8" t="n">
        <v>7078</v>
      </c>
      <c r="D4392" s="8" t="n">
        <v>7088</v>
      </c>
      <c r="E4392" s="8" t="n">
        <v>7061</v>
      </c>
      <c r="F4392" s="8" t="n">
        <v>156261</v>
      </c>
      <c r="G4392" s="8" t="n">
        <v>245597</v>
      </c>
      <c r="H4392" s="8" t="n">
        <v>7297</v>
      </c>
      <c r="I4392" s="8" t="n">
        <v>7310</v>
      </c>
      <c r="J4392" s="8" t="n">
        <v>7324</v>
      </c>
      <c r="K4392" s="8" t="n">
        <v>7277</v>
      </c>
      <c r="L4392" s="8" t="n">
        <v>173226</v>
      </c>
      <c r="M4392" s="8" t="n">
        <v>281347</v>
      </c>
      <c r="N4392" t="inlineStr">
        <is>
          <t>是</t>
        </is>
      </c>
    </row>
    <row r="4393">
      <c r="A4393" s="7" t="inlineStr">
        <is>
          <t>2025-08-08</t>
        </is>
      </c>
      <c r="B4393" s="8" t="n">
        <v>7062</v>
      </c>
      <c r="C4393" s="8" t="n">
        <v>7079</v>
      </c>
      <c r="D4393" s="8" t="n">
        <v>7082</v>
      </c>
      <c r="E4393" s="8" t="n">
        <v>7054</v>
      </c>
      <c r="F4393" s="8" t="n">
        <v>143578</v>
      </c>
      <c r="G4393" s="8" t="n">
        <v>229016</v>
      </c>
      <c r="H4393" s="8" t="n">
        <v>7290</v>
      </c>
      <c r="I4393" s="8" t="n">
        <v>7300</v>
      </c>
      <c r="J4393" s="8" t="n">
        <v>7311</v>
      </c>
      <c r="K4393" s="8" t="n">
        <v>7278</v>
      </c>
      <c r="L4393" s="8" t="n">
        <v>157751</v>
      </c>
      <c r="M4393" s="8" t="n">
        <v>270512</v>
      </c>
      <c r="N4393" t="inlineStr">
        <is>
          <t>是</t>
        </is>
      </c>
    </row>
    <row r="4394">
      <c r="A4394" s="7" t="inlineStr">
        <is>
          <t>2025-08-11</t>
        </is>
      </c>
      <c r="B4394" s="8" t="n">
        <v>7120</v>
      </c>
      <c r="C4394" s="8" t="n">
        <v>7101</v>
      </c>
      <c r="D4394" s="8" t="n">
        <v>7124</v>
      </c>
      <c r="E4394" s="8" t="n">
        <v>7085</v>
      </c>
      <c r="F4394" s="8" t="n">
        <v>133453</v>
      </c>
      <c r="G4394" s="8" t="n">
        <v>284278</v>
      </c>
      <c r="H4394" s="8" t="n">
        <v>7314</v>
      </c>
      <c r="I4394" s="8" t="n">
        <v>7298</v>
      </c>
      <c r="J4394" s="8" t="n">
        <v>7322</v>
      </c>
      <c r="K4394" s="8" t="n">
        <v>7281</v>
      </c>
      <c r="L4394" s="8" t="n">
        <v>175650</v>
      </c>
      <c r="M4394" s="8" t="n">
        <v>252486</v>
      </c>
      <c r="N4394" t="inlineStr">
        <is>
          <t>是</t>
        </is>
      </c>
    </row>
    <row r="4395">
      <c r="A4395" s="7" t="inlineStr">
        <is>
          <t>2025-08-12</t>
        </is>
      </c>
      <c r="B4395" s="8" t="n">
        <v>7125</v>
      </c>
      <c r="C4395" s="8" t="n">
        <v>7123</v>
      </c>
      <c r="D4395" s="8" t="n">
        <v>7140</v>
      </c>
      <c r="E4395" s="8" t="n">
        <v>7112</v>
      </c>
      <c r="F4395" s="8" t="n">
        <v>144510</v>
      </c>
      <c r="G4395" s="8" t="n">
        <v>304767</v>
      </c>
      <c r="H4395" s="8" t="n">
        <v>7329</v>
      </c>
      <c r="I4395" s="8" t="n">
        <v>7322</v>
      </c>
      <c r="J4395" s="8" t="n">
        <v>7353</v>
      </c>
      <c r="K4395" s="8" t="n">
        <v>7308</v>
      </c>
      <c r="L4395" s="8" t="n">
        <v>161499</v>
      </c>
      <c r="M4395" s="8" t="n">
        <v>233122</v>
      </c>
      <c r="N4395" t="inlineStr">
        <is>
          <t>是</t>
        </is>
      </c>
    </row>
    <row r="4396">
      <c r="A4396" s="7" t="inlineStr">
        <is>
          <t>2025-08-13</t>
        </is>
      </c>
      <c r="B4396" s="8" t="n">
        <v>7107</v>
      </c>
      <c r="C4396" s="8" t="n">
        <v>7128</v>
      </c>
      <c r="D4396" s="8" t="n">
        <v>7128</v>
      </c>
      <c r="E4396" s="8" t="n">
        <v>7105</v>
      </c>
      <c r="F4396" s="8" t="n">
        <v>163894</v>
      </c>
      <c r="G4396" s="8" t="n">
        <v>329308</v>
      </c>
      <c r="H4396" s="8" t="n">
        <v>7381</v>
      </c>
      <c r="I4396" s="8" t="n">
        <v>7390</v>
      </c>
      <c r="J4396" s="8" t="n">
        <v>7404</v>
      </c>
      <c r="K4396" s="8" t="n">
        <v>7372</v>
      </c>
      <c r="L4396" s="8" t="n">
        <v>130169</v>
      </c>
      <c r="M4396" s="8" t="n">
        <v>283252</v>
      </c>
      <c r="N4396" t="inlineStr">
        <is>
          <t>是</t>
        </is>
      </c>
    </row>
    <row r="4397">
      <c r="A4397" s="7" t="inlineStr">
        <is>
          <t>2025-08-14</t>
        </is>
      </c>
      <c r="B4397" s="8" t="n">
        <v>7085</v>
      </c>
      <c r="C4397" s="8" t="n">
        <v>7100</v>
      </c>
      <c r="D4397" s="8" t="n">
        <v>7114</v>
      </c>
      <c r="E4397" s="8" t="n">
        <v>7070</v>
      </c>
      <c r="F4397" s="8" t="n">
        <v>223369</v>
      </c>
      <c r="G4397" s="8" t="n">
        <v>350547</v>
      </c>
      <c r="H4397" s="8" t="n">
        <v>7343</v>
      </c>
      <c r="I4397" s="8" t="n">
        <v>7374</v>
      </c>
      <c r="J4397" s="8" t="n">
        <v>7386</v>
      </c>
      <c r="K4397" s="8" t="n">
        <v>7333</v>
      </c>
      <c r="L4397" s="8" t="n">
        <v>187511</v>
      </c>
      <c r="M4397" s="8" t="n">
        <v>303896</v>
      </c>
      <c r="N4397" t="inlineStr">
        <is>
          <t>是</t>
        </is>
      </c>
    </row>
    <row r="4398">
      <c r="A4398" s="7" t="inlineStr">
        <is>
          <t>2025-08-15</t>
        </is>
      </c>
      <c r="B4398" s="8" t="n">
        <v>7084</v>
      </c>
      <c r="C4398" s="8" t="n">
        <v>7084</v>
      </c>
      <c r="D4398" s="8" t="n">
        <v>7102</v>
      </c>
      <c r="E4398" s="8" t="n">
        <v>7069</v>
      </c>
      <c r="F4398" s="8" t="n">
        <v>175405</v>
      </c>
      <c r="G4398" s="8" t="n">
        <v>363357</v>
      </c>
      <c r="H4398" s="8" t="n">
        <v>7351</v>
      </c>
      <c r="I4398" s="8" t="n">
        <v>7351</v>
      </c>
      <c r="J4398" s="8" t="n">
        <v>7365</v>
      </c>
      <c r="K4398" s="8" t="n">
        <v>7329</v>
      </c>
      <c r="L4398" s="8" t="n">
        <v>185379</v>
      </c>
      <c r="M4398" s="8" t="n">
        <v>318815</v>
      </c>
      <c r="N4398" t="inlineStr">
        <is>
          <t>是</t>
        </is>
      </c>
    </row>
    <row r="4399">
      <c r="A4399" s="7" t="inlineStr">
        <is>
          <t>2025-08-18</t>
        </is>
      </c>
      <c r="B4399" s="8" t="n">
        <v>7048</v>
      </c>
      <c r="C4399" s="8" t="n">
        <v>7073</v>
      </c>
      <c r="D4399" s="8" t="n">
        <v>7081</v>
      </c>
      <c r="E4399" s="8" t="n">
        <v>7032</v>
      </c>
      <c r="F4399" s="8" t="n">
        <v>198514</v>
      </c>
      <c r="G4399" s="8" t="n">
        <v>391726</v>
      </c>
      <c r="H4399" s="8" t="n">
        <v>7334</v>
      </c>
      <c r="I4399" s="8" t="n">
        <v>7352</v>
      </c>
      <c r="J4399" s="8" t="n">
        <v>7361</v>
      </c>
      <c r="K4399" s="8" t="n">
        <v>7312</v>
      </c>
      <c r="L4399" s="8" t="n">
        <v>210479</v>
      </c>
      <c r="M4399" s="8" t="n">
        <v>341910</v>
      </c>
      <c r="N4399" t="inlineStr">
        <is>
          <t>是</t>
        </is>
      </c>
    </row>
    <row r="4400">
      <c r="A4400" s="7" t="inlineStr">
        <is>
          <t>2025-08-19</t>
        </is>
      </c>
      <c r="B4400" s="8" t="n">
        <v>7016</v>
      </c>
      <c r="C4400" s="8" t="n">
        <v>7046</v>
      </c>
      <c r="D4400" s="8" t="n">
        <v>7048</v>
      </c>
      <c r="E4400" s="8" t="n">
        <v>7010</v>
      </c>
      <c r="F4400" s="8" t="n">
        <v>198360</v>
      </c>
      <c r="G4400" s="8" t="n">
        <v>416594</v>
      </c>
      <c r="H4400" s="8" t="n">
        <v>7307</v>
      </c>
      <c r="I4400" s="8" t="n">
        <v>7334</v>
      </c>
      <c r="J4400" s="8" t="n">
        <v>7345</v>
      </c>
      <c r="K4400" s="8" t="n">
        <v>7302</v>
      </c>
      <c r="L4400" s="8" t="n">
        <v>195031</v>
      </c>
      <c r="M4400" s="8" t="n">
        <v>360140</v>
      </c>
      <c r="N4400" t="inlineStr">
        <is>
          <t>是</t>
        </is>
      </c>
    </row>
    <row r="4401">
      <c r="A4401" s="7" t="inlineStr">
        <is>
          <t>2025-08-20</t>
        </is>
      </c>
      <c r="B4401" s="8" t="n">
        <v>7056</v>
      </c>
      <c r="C4401" s="8" t="n">
        <v>7011</v>
      </c>
      <c r="D4401" s="8" t="n">
        <v>7061</v>
      </c>
      <c r="E4401" s="8" t="n">
        <v>6970</v>
      </c>
      <c r="F4401" s="8" t="n">
        <v>341106</v>
      </c>
      <c r="G4401" s="8" t="n">
        <v>442583</v>
      </c>
      <c r="H4401" s="8" t="n">
        <v>7347</v>
      </c>
      <c r="I4401" s="8" t="n">
        <v>7302</v>
      </c>
      <c r="J4401" s="8" t="n">
        <v>7368</v>
      </c>
      <c r="K4401" s="8" t="n">
        <v>7243</v>
      </c>
      <c r="L4401" s="8" t="n">
        <v>400529</v>
      </c>
      <c r="M4401" s="8" t="n">
        <v>381563</v>
      </c>
      <c r="N4401" t="inlineStr">
        <is>
          <t>是</t>
        </is>
      </c>
    </row>
    <row r="4402">
      <c r="A4402" s="7" t="inlineStr">
        <is>
          <t>2025-08-21</t>
        </is>
      </c>
      <c r="B4402" s="8" t="n">
        <v>7048</v>
      </c>
      <c r="C4402" s="8" t="n">
        <v>7050</v>
      </c>
      <c r="D4402" s="8" t="n">
        <v>7064</v>
      </c>
      <c r="E4402" s="8" t="n">
        <v>7020</v>
      </c>
      <c r="F4402" s="8" t="n">
        <v>252769</v>
      </c>
      <c r="G4402" s="8" t="n">
        <v>453181</v>
      </c>
      <c r="H4402" s="8" t="n">
        <v>7386</v>
      </c>
      <c r="I4402" s="8" t="n">
        <v>7347</v>
      </c>
      <c r="J4402" s="8" t="n">
        <v>7413</v>
      </c>
      <c r="K4402" s="8" t="n">
        <v>7337</v>
      </c>
      <c r="L4402" s="8" t="n">
        <v>381879</v>
      </c>
      <c r="M4402" s="8" t="n">
        <v>386389</v>
      </c>
      <c r="N4402" t="inlineStr">
        <is>
          <t>是</t>
        </is>
      </c>
    </row>
    <row r="4403">
      <c r="A4403" s="7" t="inlineStr">
        <is>
          <t>2025-08-22</t>
        </is>
      </c>
      <c r="B4403" s="8" t="n">
        <v>7038</v>
      </c>
      <c r="C4403" s="8" t="n">
        <v>7048</v>
      </c>
      <c r="D4403" s="8" t="n">
        <v>7063</v>
      </c>
      <c r="E4403" s="8" t="n">
        <v>7027</v>
      </c>
      <c r="F4403" s="8" t="n">
        <v>169664</v>
      </c>
      <c r="G4403" s="8" t="n">
        <v>465588</v>
      </c>
      <c r="H4403" s="8" t="n">
        <v>7380</v>
      </c>
      <c r="I4403" s="8" t="n">
        <v>7378</v>
      </c>
      <c r="J4403" s="8" t="n">
        <v>7405</v>
      </c>
      <c r="K4403" s="8" t="n">
        <v>7369</v>
      </c>
      <c r="L4403" s="8" t="n">
        <v>225688</v>
      </c>
      <c r="M4403" s="8" t="n">
        <v>394242</v>
      </c>
      <c r="N4403" t="inlineStr">
        <is>
          <t>是</t>
        </is>
      </c>
    </row>
    <row r="4404">
      <c r="A4404" s="7" t="inlineStr">
        <is>
          <t>2025-08-25</t>
        </is>
      </c>
      <c r="B4404" s="8" t="n">
        <v>7074</v>
      </c>
      <c r="C4404" s="8" t="n">
        <v>7033</v>
      </c>
      <c r="D4404" s="8" t="n">
        <v>7080</v>
      </c>
      <c r="E4404" s="8" t="n">
        <v>7033</v>
      </c>
      <c r="F4404" s="8" t="n">
        <v>209222</v>
      </c>
      <c r="G4404" s="8" t="n">
        <v>468785</v>
      </c>
      <c r="H4404" s="8" t="n">
        <v>7423</v>
      </c>
      <c r="I4404" s="8" t="n">
        <v>7390</v>
      </c>
      <c r="J4404" s="8" t="n">
        <v>7428</v>
      </c>
      <c r="K4404" s="8" t="n">
        <v>7388</v>
      </c>
      <c r="L4404" s="8" t="n">
        <v>261365</v>
      </c>
      <c r="M4404" s="8" t="n">
        <v>393878</v>
      </c>
      <c r="N4404" t="inlineStr">
        <is>
          <t>是</t>
        </is>
      </c>
    </row>
    <row r="4405">
      <c r="A4405" s="7" t="inlineStr">
        <is>
          <t>2025-08-26</t>
        </is>
      </c>
      <c r="B4405" s="8" t="n">
        <v>7046</v>
      </c>
      <c r="C4405" s="8" t="n">
        <v>7079</v>
      </c>
      <c r="D4405" s="8" t="n">
        <v>7090</v>
      </c>
      <c r="E4405" s="8" t="n">
        <v>7045</v>
      </c>
      <c r="F4405" s="8" t="n">
        <v>183034</v>
      </c>
      <c r="G4405" s="8" t="n">
        <v>474346</v>
      </c>
      <c r="H4405" s="8" t="n">
        <v>7402</v>
      </c>
      <c r="I4405" s="8" t="n">
        <v>7427</v>
      </c>
      <c r="J4405" s="8" t="n">
        <v>7455</v>
      </c>
      <c r="K4405" s="8" t="n">
        <v>7396</v>
      </c>
      <c r="L4405" s="8" t="n">
        <v>249048</v>
      </c>
      <c r="M4405" s="8" t="n">
        <v>407610</v>
      </c>
      <c r="N4405" t="inlineStr">
        <is>
          <t>是</t>
        </is>
      </c>
    </row>
    <row r="4406">
      <c r="A4406" s="7" t="inlineStr">
        <is>
          <t>2025-08-27</t>
        </is>
      </c>
      <c r="B4406" s="8" t="n">
        <v>7021</v>
      </c>
      <c r="C4406" s="8" t="n">
        <v>7041</v>
      </c>
      <c r="D4406" s="8" t="n">
        <v>7056</v>
      </c>
      <c r="E4406" s="8" t="n">
        <v>7014</v>
      </c>
      <c r="F4406" s="8" t="n">
        <v>185187</v>
      </c>
      <c r="G4406" s="8" t="n">
        <v>481684</v>
      </c>
      <c r="H4406" s="8" t="n">
        <v>7364</v>
      </c>
      <c r="I4406" s="8" t="n">
        <v>7399</v>
      </c>
      <c r="J4406" s="8" t="n">
        <v>7414</v>
      </c>
      <c r="K4406" s="8" t="n">
        <v>7360</v>
      </c>
      <c r="L4406" s="8" t="n">
        <v>222311</v>
      </c>
      <c r="M4406" s="8" t="n">
        <v>412274</v>
      </c>
      <c r="N4406" t="inlineStr">
        <is>
          <t>是</t>
        </is>
      </c>
    </row>
    <row r="4407">
      <c r="A4407" s="7" t="inlineStr">
        <is>
          <t>2025-08-28</t>
        </is>
      </c>
      <c r="B4407" s="8" t="n">
        <v>7020</v>
      </c>
      <c r="C4407" s="8" t="n">
        <v>7026</v>
      </c>
      <c r="D4407" s="8" t="n">
        <v>7029</v>
      </c>
      <c r="E4407" s="8" t="n">
        <v>6997</v>
      </c>
      <c r="F4407" s="8" t="n">
        <v>172440</v>
      </c>
      <c r="G4407" s="8" t="n">
        <v>496465</v>
      </c>
      <c r="H4407" s="8" t="n">
        <v>7358</v>
      </c>
      <c r="I4407" s="8" t="n">
        <v>7370</v>
      </c>
      <c r="J4407" s="8" t="n">
        <v>7375</v>
      </c>
      <c r="K4407" s="8" t="n">
        <v>7335</v>
      </c>
      <c r="L4407" s="8" t="n">
        <v>218227</v>
      </c>
      <c r="M4407" s="8" t="n">
        <v>413567</v>
      </c>
      <c r="N4407" t="inlineStr">
        <is>
          <t>是</t>
        </is>
      </c>
    </row>
    <row r="4408">
      <c r="A4408" s="7" t="inlineStr">
        <is>
          <t>2025-08-29</t>
        </is>
      </c>
      <c r="B4408" s="8" t="n">
        <v>6974</v>
      </c>
      <c r="C4408" s="8" t="n">
        <v>7020</v>
      </c>
      <c r="D4408" s="8" t="n">
        <v>7025</v>
      </c>
      <c r="E4408" s="8" t="n">
        <v>6967</v>
      </c>
      <c r="F4408" s="8" t="n">
        <v>217926</v>
      </c>
      <c r="G4408" s="8" t="n">
        <v>528243</v>
      </c>
      <c r="H4408" s="8" t="n">
        <v>7287</v>
      </c>
      <c r="I4408" s="8" t="n">
        <v>7358</v>
      </c>
      <c r="J4408" s="8" t="n">
        <v>7366</v>
      </c>
      <c r="K4408" s="8" t="n">
        <v>7281</v>
      </c>
      <c r="L4408" s="8" t="n">
        <v>282715</v>
      </c>
      <c r="M4408" s="8" t="n">
        <v>440365</v>
      </c>
      <c r="N4408" t="inlineStr">
        <is>
          <t>是</t>
        </is>
      </c>
    </row>
    <row r="4409">
      <c r="A4409" s="7" t="inlineStr">
        <is>
          <t>2025-09-01</t>
        </is>
      </c>
      <c r="B4409" s="8" t="n">
        <v>6965</v>
      </c>
      <c r="C4409" s="8" t="n">
        <v>6990</v>
      </c>
      <c r="D4409" s="8" t="n">
        <v>6990</v>
      </c>
      <c r="E4409" s="8" t="n">
        <v>6921</v>
      </c>
      <c r="F4409" s="8" t="n">
        <v>294958</v>
      </c>
      <c r="G4409" s="8" t="n">
        <v>558606</v>
      </c>
      <c r="H4409" s="8" t="n">
        <v>7270</v>
      </c>
      <c r="I4409" s="8" t="n">
        <v>7280</v>
      </c>
      <c r="J4409" s="8" t="n">
        <v>7303</v>
      </c>
      <c r="K4409" s="8" t="n">
        <v>7221</v>
      </c>
      <c r="L4409" s="8" t="n">
        <v>324382</v>
      </c>
      <c r="M4409" s="8" t="n">
        <v>468822</v>
      </c>
      <c r="N4409" t="inlineStr">
        <is>
          <t>是</t>
        </is>
      </c>
    </row>
    <row r="4410">
      <c r="A4410" s="7" t="inlineStr">
        <is>
          <t>2025-09-02</t>
        </is>
      </c>
      <c r="B4410" s="8" t="n">
        <v>6943</v>
      </c>
      <c r="C4410" s="8" t="n">
        <v>6967</v>
      </c>
      <c r="D4410" s="8" t="n">
        <v>6978</v>
      </c>
      <c r="E4410" s="8" t="n">
        <v>6935</v>
      </c>
      <c r="F4410" s="8" t="n">
        <v>206293</v>
      </c>
      <c r="G4410" s="8" t="n">
        <v>572749</v>
      </c>
      <c r="H4410" s="8" t="n">
        <v>7252</v>
      </c>
      <c r="I4410" s="8" t="n">
        <v>7275</v>
      </c>
      <c r="J4410" s="8" t="n">
        <v>7290</v>
      </c>
      <c r="K4410" s="8" t="n">
        <v>7241</v>
      </c>
      <c r="L4410" s="8" t="n">
        <v>224458</v>
      </c>
      <c r="M4410" s="8" t="n">
        <v>481368</v>
      </c>
      <c r="N4410" t="inlineStr">
        <is>
          <t>是</t>
        </is>
      </c>
    </row>
    <row r="4411">
      <c r="A4411" s="7" t="inlineStr">
        <is>
          <t>2025-09-03</t>
        </is>
      </c>
      <c r="B4411" s="8" t="n">
        <v>6954</v>
      </c>
      <c r="C4411" s="8" t="n">
        <v>6943</v>
      </c>
      <c r="D4411" s="8" t="n">
        <v>6985</v>
      </c>
      <c r="E4411" s="8" t="n">
        <v>6940</v>
      </c>
      <c r="F4411" s="8" t="n">
        <v>186905</v>
      </c>
      <c r="G4411" s="8" t="n">
        <v>579733</v>
      </c>
      <c r="H4411" s="8" t="n">
        <v>7247</v>
      </c>
      <c r="I4411" s="8" t="n">
        <v>7252</v>
      </c>
      <c r="J4411" s="8" t="n">
        <v>7290</v>
      </c>
      <c r="K4411" s="8" t="n">
        <v>7238</v>
      </c>
      <c r="L4411" s="8" t="n">
        <v>212912</v>
      </c>
      <c r="M4411" s="8" t="n">
        <v>490459</v>
      </c>
      <c r="N4411" t="inlineStr">
        <is>
          <t>是</t>
        </is>
      </c>
    </row>
    <row r="4412">
      <c r="A4412" s="7" t="inlineStr">
        <is>
          <t>2025-09-04</t>
        </is>
      </c>
      <c r="B4412" s="8" t="n">
        <v>6939</v>
      </c>
      <c r="C4412" s="8" t="n">
        <v>6940</v>
      </c>
      <c r="D4412" s="8" t="n">
        <v>6948</v>
      </c>
      <c r="E4412" s="8" t="n">
        <v>6915</v>
      </c>
      <c r="F4412" s="8" t="n">
        <v>207771</v>
      </c>
      <c r="G4412" s="8" t="n">
        <v>595380</v>
      </c>
      <c r="H4412" s="8" t="n">
        <v>7225</v>
      </c>
      <c r="I4412" s="8" t="n">
        <v>7241</v>
      </c>
      <c r="J4412" s="8" t="n">
        <v>7243</v>
      </c>
      <c r="K4412" s="8" t="n">
        <v>7206</v>
      </c>
      <c r="L4412" s="8" t="n">
        <v>235618</v>
      </c>
      <c r="M4412" s="8" t="n">
        <v>502560</v>
      </c>
      <c r="N4412" t="inlineStr">
        <is>
          <t>是</t>
        </is>
      </c>
    </row>
    <row r="4413">
      <c r="A4413" s="7" t="inlineStr">
        <is>
          <t>2025-09-05</t>
        </is>
      </c>
      <c r="B4413" s="8" t="n">
        <v>6961</v>
      </c>
      <c r="C4413" s="8" t="n">
        <v>6939</v>
      </c>
      <c r="D4413" s="8" t="n">
        <v>6978</v>
      </c>
      <c r="E4413" s="8" t="n">
        <v>6924</v>
      </c>
      <c r="F4413" s="8" t="n">
        <v>227037</v>
      </c>
      <c r="G4413" s="8" t="n">
        <v>601348</v>
      </c>
      <c r="H4413" s="8" t="n">
        <v>7245</v>
      </c>
      <c r="I4413" s="8" t="n">
        <v>7225</v>
      </c>
      <c r="J4413" s="8" t="n">
        <v>7270</v>
      </c>
      <c r="K4413" s="8" t="n">
        <v>7204</v>
      </c>
      <c r="L4413" s="8" t="n">
        <v>225182</v>
      </c>
      <c r="M4413" s="8" t="n">
        <v>505528</v>
      </c>
      <c r="N4413" t="inlineStr">
        <is>
          <t>是</t>
        </is>
      </c>
    </row>
    <row r="4414">
      <c r="A4414" s="7" t="inlineStr">
        <is>
          <t>2025-09-08</t>
        </is>
      </c>
      <c r="B4414" s="8" t="n">
        <v>6968</v>
      </c>
      <c r="C4414" s="8" t="n">
        <v>6950</v>
      </c>
      <c r="D4414" s="8" t="n">
        <v>6970</v>
      </c>
      <c r="E4414" s="8" t="n">
        <v>6937</v>
      </c>
      <c r="F4414" s="8" t="n">
        <v>181753</v>
      </c>
      <c r="G4414" s="8" t="n">
        <v>606944</v>
      </c>
      <c r="H4414" s="8" t="n">
        <v>7251</v>
      </c>
      <c r="I4414" s="8" t="n">
        <v>7240</v>
      </c>
      <c r="J4414" s="8" t="n">
        <v>7254</v>
      </c>
      <c r="K4414" s="8" t="n">
        <v>7206</v>
      </c>
      <c r="L4414" s="8" t="n">
        <v>205665</v>
      </c>
      <c r="M4414" s="8" t="n">
        <v>511869</v>
      </c>
      <c r="N4414" t="inlineStr">
        <is>
          <t>是</t>
        </is>
      </c>
    </row>
    <row r="4415">
      <c r="A4415" s="7" t="inlineStr">
        <is>
          <t>2025-09-09</t>
        </is>
      </c>
      <c r="B4415" s="8" t="n">
        <v>6949</v>
      </c>
      <c r="C4415" s="8" t="n">
        <v>6970</v>
      </c>
      <c r="D4415" s="8" t="n">
        <v>6973</v>
      </c>
      <c r="E4415" s="8" t="n">
        <v>6931</v>
      </c>
      <c r="F4415" s="8" t="n">
        <v>164435</v>
      </c>
      <c r="G4415" s="8" t="n">
        <v>610673</v>
      </c>
      <c r="H4415" s="8" t="n">
        <v>7229</v>
      </c>
      <c r="I4415" s="8" t="n">
        <v>7248</v>
      </c>
      <c r="J4415" s="8" t="n">
        <v>7256</v>
      </c>
      <c r="K4415" s="8" t="n">
        <v>7214</v>
      </c>
      <c r="L4415" s="8" t="n">
        <v>165835</v>
      </c>
      <c r="M4415" s="8" t="n">
        <v>517977</v>
      </c>
      <c r="N4415" t="inlineStr">
        <is>
          <t>是</t>
        </is>
      </c>
    </row>
    <row r="4416">
      <c r="A4416" s="7" t="inlineStr">
        <is>
          <t>2025-09-10</t>
        </is>
      </c>
      <c r="B4416" s="8" t="n">
        <v>6948</v>
      </c>
      <c r="C4416" s="8" t="n">
        <v>6943</v>
      </c>
      <c r="D4416" s="8" t="n">
        <v>6967</v>
      </c>
      <c r="E4416" s="8" t="n">
        <v>6936</v>
      </c>
      <c r="F4416" s="8" t="n">
        <v>172820</v>
      </c>
      <c r="G4416" s="8" t="n">
        <v>614906</v>
      </c>
      <c r="H4416" s="8" t="n">
        <v>7226</v>
      </c>
      <c r="I4416" s="8" t="n">
        <v>7234</v>
      </c>
      <c r="J4416" s="8" t="n">
        <v>7247</v>
      </c>
      <c r="K4416" s="8" t="n">
        <v>7222</v>
      </c>
      <c r="L4416" s="8" t="n">
        <v>178117</v>
      </c>
      <c r="M4416" s="8" t="n">
        <v>517187</v>
      </c>
      <c r="N4416" t="inlineStr">
        <is>
          <t>是</t>
        </is>
      </c>
    </row>
    <row r="4417">
      <c r="A4417" s="7" t="inlineStr">
        <is>
          <t>2025-09-11</t>
        </is>
      </c>
      <c r="B4417" s="8" t="n">
        <v>6939</v>
      </c>
      <c r="C4417" s="8" t="n">
        <v>6952</v>
      </c>
      <c r="D4417" s="8" t="n">
        <v>6964</v>
      </c>
      <c r="E4417" s="8" t="n">
        <v>6927</v>
      </c>
      <c r="F4417" s="8" t="n">
        <v>197721</v>
      </c>
      <c r="G4417" s="8" t="n">
        <v>624199</v>
      </c>
      <c r="H4417" s="8" t="n">
        <v>7209</v>
      </c>
      <c r="I4417" s="8" t="n">
        <v>7222</v>
      </c>
      <c r="J4417" s="8" t="n">
        <v>7240</v>
      </c>
      <c r="K4417" s="8" t="n">
        <v>7196</v>
      </c>
      <c r="L4417" s="8" t="n">
        <v>217976</v>
      </c>
      <c r="M4417" s="8" t="n">
        <v>533469</v>
      </c>
      <c r="N4417" t="inlineStr">
        <is>
          <t>是</t>
        </is>
      </c>
    </row>
    <row r="4418">
      <c r="A4418" s="7" t="inlineStr">
        <is>
          <t>2025-09-12</t>
        </is>
      </c>
      <c r="B4418" s="8" t="n">
        <v>6913</v>
      </c>
      <c r="C4418" s="8" t="n">
        <v>6931</v>
      </c>
      <c r="D4418" s="8" t="n">
        <v>6932</v>
      </c>
      <c r="E4418" s="8" t="n">
        <v>6890</v>
      </c>
      <c r="F4418" s="8" t="n">
        <v>255093</v>
      </c>
      <c r="G4418" s="8" t="n">
        <v>643355</v>
      </c>
      <c r="H4418" s="8" t="n">
        <v>7169</v>
      </c>
      <c r="I4418" s="8" t="n">
        <v>7200</v>
      </c>
      <c r="J4418" s="8" t="n">
        <v>7200</v>
      </c>
      <c r="K4418" s="8" t="n">
        <v>7152</v>
      </c>
      <c r="L4418" s="8" t="n">
        <v>244355</v>
      </c>
      <c r="M4418" s="8" t="n">
        <v>561110</v>
      </c>
      <c r="N4418" t="inlineStr">
        <is>
          <t>是</t>
        </is>
      </c>
    </row>
    <row r="4419">
      <c r="A4419" s="7" t="inlineStr">
        <is>
          <t>2025-09-15</t>
        </is>
      </c>
      <c r="B4419" s="8" t="n">
        <v>6966</v>
      </c>
      <c r="C4419" s="8" t="n">
        <v>6933</v>
      </c>
      <c r="D4419" s="8" t="n">
        <v>6976</v>
      </c>
      <c r="E4419" s="8" t="n">
        <v>6914</v>
      </c>
      <c r="F4419" s="8" t="n">
        <v>297850</v>
      </c>
      <c r="G4419" s="8" t="n">
        <v>616154</v>
      </c>
      <c r="H4419" s="8" t="n">
        <v>7232</v>
      </c>
      <c r="I4419" s="8" t="n">
        <v>7199</v>
      </c>
      <c r="J4419" s="8" t="n">
        <v>7237</v>
      </c>
      <c r="K4419" s="8" t="n">
        <v>7168</v>
      </c>
      <c r="L4419" s="8" t="n">
        <v>264026</v>
      </c>
      <c r="M4419" s="8" t="n">
        <v>554975</v>
      </c>
      <c r="N4419" t="inlineStr">
        <is>
          <t>是</t>
        </is>
      </c>
    </row>
    <row r="4420">
      <c r="A4420" s="7" t="inlineStr">
        <is>
          <t>2025-09-16</t>
        </is>
      </c>
      <c r="B4420" s="8" t="n">
        <v>6970</v>
      </c>
      <c r="C4420" s="8" t="n">
        <v>6970</v>
      </c>
      <c r="D4420" s="8" t="n">
        <v>7017</v>
      </c>
      <c r="E4420" s="8" t="n">
        <v>6967</v>
      </c>
      <c r="F4420" s="8" t="n">
        <v>324381</v>
      </c>
      <c r="G4420" s="8" t="n">
        <v>581318</v>
      </c>
      <c r="H4420" s="8" t="n">
        <v>7234</v>
      </c>
      <c r="I4420" s="8" t="n">
        <v>7232</v>
      </c>
      <c r="J4420" s="8" t="n">
        <v>7287</v>
      </c>
      <c r="K4420" s="8" t="n">
        <v>7230</v>
      </c>
      <c r="L4420" s="8" t="n">
        <v>256043</v>
      </c>
      <c r="M4420" s="8" t="n">
        <v>524076</v>
      </c>
      <c r="N4420" t="inlineStr">
        <is>
          <t>是</t>
        </is>
      </c>
    </row>
    <row r="4421">
      <c r="A4421" s="7" t="inlineStr">
        <is>
          <t>2025-09-17</t>
        </is>
      </c>
      <c r="B4421" s="8" t="n">
        <v>6982</v>
      </c>
      <c r="C4421" s="8" t="n">
        <v>6977</v>
      </c>
      <c r="D4421" s="8" t="n">
        <v>6996</v>
      </c>
      <c r="E4421" s="8" t="n">
        <v>6970</v>
      </c>
      <c r="F4421" s="8" t="n">
        <v>183494</v>
      </c>
      <c r="G4421" s="8" t="n">
        <v>570841</v>
      </c>
      <c r="H4421" s="8" t="n">
        <v>7245</v>
      </c>
      <c r="I4421" s="8" t="n">
        <v>7252</v>
      </c>
      <c r="J4421" s="8" t="n">
        <v>7265</v>
      </c>
      <c r="K4421" s="8" t="n">
        <v>7238</v>
      </c>
      <c r="L4421" s="8" t="n">
        <v>146481</v>
      </c>
      <c r="M4421" s="8" t="n">
        <v>520256</v>
      </c>
      <c r="N4421" t="inlineStr">
        <is>
          <t>是</t>
        </is>
      </c>
    </row>
    <row r="4422">
      <c r="A4422" s="7" t="inlineStr">
        <is>
          <t>2025-09-18</t>
        </is>
      </c>
      <c r="B4422" s="8" t="n">
        <v>6926</v>
      </c>
      <c r="C4422" s="8" t="n">
        <v>6983</v>
      </c>
      <c r="D4422" s="8" t="n">
        <v>6990</v>
      </c>
      <c r="E4422" s="8" t="n">
        <v>6920</v>
      </c>
      <c r="F4422" s="8" t="n">
        <v>234762</v>
      </c>
      <c r="G4422" s="8" t="n">
        <v>574719</v>
      </c>
      <c r="H4422" s="8" t="n">
        <v>7188</v>
      </c>
      <c r="I4422" s="8" t="n">
        <v>7235</v>
      </c>
      <c r="J4422" s="8" t="n">
        <v>7254</v>
      </c>
      <c r="K4422" s="8" t="n">
        <v>7182</v>
      </c>
      <c r="L4422" s="8" t="n">
        <v>207880</v>
      </c>
      <c r="M4422" s="8" t="n">
        <v>529473</v>
      </c>
      <c r="N4422" t="inlineStr">
        <is>
          <t>是</t>
        </is>
      </c>
    </row>
    <row r="4423">
      <c r="A4423" s="7" t="inlineStr">
        <is>
          <t>2025-09-19</t>
        </is>
      </c>
      <c r="B4423" s="8" t="n">
        <v>6914</v>
      </c>
      <c r="C4423" s="8" t="n">
        <v>6930</v>
      </c>
      <c r="D4423" s="8" t="n">
        <v>6937</v>
      </c>
      <c r="E4423" s="8" t="n">
        <v>6904</v>
      </c>
      <c r="F4423" s="8" t="n">
        <v>230403</v>
      </c>
      <c r="G4423" s="8" t="n">
        <v>609908</v>
      </c>
      <c r="H4423" s="8" t="n">
        <v>7169</v>
      </c>
      <c r="I4423" s="8" t="n">
        <v>7202</v>
      </c>
      <c r="J4423" s="8" t="n">
        <v>7205</v>
      </c>
      <c r="K4423" s="8" t="n">
        <v>7161</v>
      </c>
      <c r="L4423" s="8" t="n">
        <v>201711</v>
      </c>
      <c r="M4423" s="8" t="n">
        <v>556313</v>
      </c>
      <c r="N4423" t="inlineStr">
        <is>
          <t>是</t>
        </is>
      </c>
    </row>
    <row r="4424">
      <c r="A4424" s="7" t="inlineStr">
        <is>
          <t>2025-09-22</t>
        </is>
      </c>
      <c r="B4424" s="8" t="n">
        <v>6873</v>
      </c>
      <c r="C4424" s="8" t="n">
        <v>6917</v>
      </c>
      <c r="D4424" s="8" t="n">
        <v>6927</v>
      </c>
      <c r="E4424" s="8" t="n">
        <v>6862</v>
      </c>
      <c r="F4424" s="8" t="n">
        <v>221626</v>
      </c>
      <c r="G4424" s="8" t="n">
        <v>645243</v>
      </c>
      <c r="H4424" s="8" t="n">
        <v>7130</v>
      </c>
      <c r="I4424" s="8" t="n">
        <v>7169</v>
      </c>
      <c r="J4424" s="8" t="n">
        <v>7183</v>
      </c>
      <c r="K4424" s="8" t="n">
        <v>7121</v>
      </c>
      <c r="L4424" s="8" t="n">
        <v>210963</v>
      </c>
      <c r="M4424" s="8" t="n">
        <v>580839</v>
      </c>
      <c r="N4424" t="inlineStr">
        <is>
          <t>是</t>
        </is>
      </c>
    </row>
    <row r="4425">
      <c r="A4425" s="7" t="inlineStr">
        <is>
          <t>2025-09-23</t>
        </is>
      </c>
      <c r="B4425" s="8" t="n">
        <v>6842</v>
      </c>
      <c r="C4425" s="8" t="n">
        <v>6866</v>
      </c>
      <c r="D4425" s="8" t="n">
        <v>6870</v>
      </c>
      <c r="E4425" s="8" t="n">
        <v>6830</v>
      </c>
      <c r="F4425" s="8" t="n">
        <v>188643</v>
      </c>
      <c r="G4425" s="8" t="n">
        <v>652377</v>
      </c>
      <c r="H4425" s="8" t="n">
        <v>7105</v>
      </c>
      <c r="I4425" s="8" t="n">
        <v>7116</v>
      </c>
      <c r="J4425" s="8" t="n">
        <v>7128</v>
      </c>
      <c r="K4425" s="8" t="n">
        <v>7090</v>
      </c>
      <c r="L4425" s="8" t="n">
        <v>180643</v>
      </c>
      <c r="M4425" s="8" t="n">
        <v>589676</v>
      </c>
      <c r="N4425" t="inlineStr">
        <is>
          <t>是</t>
        </is>
      </c>
    </row>
    <row r="4426">
      <c r="A4426" s="7" t="inlineStr">
        <is>
          <t>2025-09-24</t>
        </is>
      </c>
      <c r="B4426" s="8" t="n">
        <v>6877</v>
      </c>
      <c r="C4426" s="8" t="n">
        <v>6860</v>
      </c>
      <c r="D4426" s="8" t="n">
        <v>6897</v>
      </c>
      <c r="E4426" s="8" t="n">
        <v>6847</v>
      </c>
      <c r="F4426" s="8" t="n">
        <v>178124</v>
      </c>
      <c r="G4426" s="8" t="n">
        <v>636504</v>
      </c>
      <c r="H4426" s="8" t="n">
        <v>7142</v>
      </c>
      <c r="I4426" s="8" t="n">
        <v>7117</v>
      </c>
      <c r="J4426" s="8" t="n">
        <v>7165</v>
      </c>
      <c r="K4426" s="8" t="n">
        <v>7109</v>
      </c>
      <c r="L4426" s="8" t="n">
        <v>191081</v>
      </c>
      <c r="M4426" s="8" t="n">
        <v>571775</v>
      </c>
      <c r="N4426" t="inlineStr">
        <is>
          <t>是</t>
        </is>
      </c>
    </row>
    <row r="4427">
      <c r="A4427" s="7" t="inlineStr">
        <is>
          <t>2025-09-25</t>
        </is>
      </c>
      <c r="B4427" s="8" t="n">
        <v>6898</v>
      </c>
      <c r="C4427" s="8" t="n">
        <v>6890</v>
      </c>
      <c r="D4427" s="8" t="n">
        <v>6904</v>
      </c>
      <c r="E4427" s="8" t="n">
        <v>6880</v>
      </c>
      <c r="F4427" s="8" t="n">
        <v>166035</v>
      </c>
      <c r="G4427" s="8" t="n">
        <v>628037</v>
      </c>
      <c r="H4427" s="8" t="n">
        <v>7169</v>
      </c>
      <c r="I4427" s="8" t="n">
        <v>7169</v>
      </c>
      <c r="J4427" s="8" t="n">
        <v>7183</v>
      </c>
      <c r="K4427" s="8" t="n">
        <v>7156</v>
      </c>
      <c r="L4427" s="8" t="n">
        <v>167193</v>
      </c>
      <c r="M4427" s="8" t="n">
        <v>561860</v>
      </c>
      <c r="N4427" t="inlineStr">
        <is>
          <t>是</t>
        </is>
      </c>
    </row>
    <row r="4428">
      <c r="A4428" s="7" t="inlineStr">
        <is>
          <t>2025-09-26</t>
        </is>
      </c>
      <c r="B4428" s="8" t="n">
        <v>6893</v>
      </c>
      <c r="C4428" s="8" t="n">
        <v>6890</v>
      </c>
      <c r="D4428" s="8" t="n">
        <v>6930</v>
      </c>
      <c r="E4428" s="8" t="n">
        <v>6868</v>
      </c>
      <c r="F4428" s="8" t="n">
        <v>229349</v>
      </c>
      <c r="G4428" s="8" t="n">
        <v>609770</v>
      </c>
      <c r="H4428" s="8" t="n">
        <v>7159</v>
      </c>
      <c r="I4428" s="8" t="n">
        <v>7161</v>
      </c>
      <c r="J4428" s="8" t="n">
        <v>7195</v>
      </c>
      <c r="K4428" s="8" t="n">
        <v>7132</v>
      </c>
      <c r="L4428" s="8" t="n">
        <v>195523</v>
      </c>
      <c r="M4428" s="8" t="n">
        <v>554591</v>
      </c>
      <c r="N4428" t="inlineStr">
        <is>
          <t>是</t>
        </is>
      </c>
    </row>
    <row r="4429">
      <c r="A4429" s="7" t="inlineStr">
        <is>
          <t>2025-09-29</t>
        </is>
      </c>
      <c r="B4429" s="8" t="n">
        <v>6903</v>
      </c>
      <c r="C4429" s="8" t="n">
        <v>6899</v>
      </c>
      <c r="D4429" s="8" t="n">
        <v>6918</v>
      </c>
      <c r="E4429" s="8" t="n">
        <v>6882</v>
      </c>
      <c r="F4429" s="8" t="n">
        <v>206788</v>
      </c>
      <c r="G4429" s="8" t="n">
        <v>602003</v>
      </c>
      <c r="H4429" s="8" t="n">
        <v>7181</v>
      </c>
      <c r="I4429" s="8" t="n">
        <v>7173</v>
      </c>
      <c r="J4429" s="8" t="n">
        <v>7198</v>
      </c>
      <c r="K4429" s="8" t="n">
        <v>7152</v>
      </c>
      <c r="L4429" s="8" t="n">
        <v>197037</v>
      </c>
      <c r="M4429" s="8" t="n">
        <v>537691</v>
      </c>
      <c r="N4429" t="inlineStr">
        <is>
          <t>是</t>
        </is>
      </c>
    </row>
    <row r="4430">
      <c r="A4430" s="7" t="inlineStr">
        <is>
          <t>2025-09-30</t>
        </is>
      </c>
      <c r="B4430" s="8" t="n">
        <v>6852</v>
      </c>
      <c r="C4430" s="8" t="n">
        <v>6898</v>
      </c>
      <c r="D4430" s="8" t="n">
        <v>6898</v>
      </c>
      <c r="E4430" s="8" t="n">
        <v>6850</v>
      </c>
      <c r="F4430" s="8" t="n">
        <v>197096</v>
      </c>
      <c r="G4430" s="8" t="n">
        <v>584148</v>
      </c>
      <c r="H4430" s="8" t="n">
        <v>7153</v>
      </c>
      <c r="I4430" s="8" t="n">
        <v>7170</v>
      </c>
      <c r="J4430" s="8" t="n">
        <v>7174</v>
      </c>
      <c r="K4430" s="8" t="n">
        <v>7144</v>
      </c>
      <c r="L4430" s="8" t="n">
        <v>157081</v>
      </c>
      <c r="M4430" s="8" t="n">
        <v>525921</v>
      </c>
      <c r="N4430" t="inlineStr">
        <is>
          <t>是</t>
        </is>
      </c>
    </row>
    <row r="4431">
      <c r="A4431" s="7" t="inlineStr">
        <is>
          <t>2025-10-09</t>
        </is>
      </c>
      <c r="B4431" s="8" t="n">
        <v>6745</v>
      </c>
      <c r="C4431" s="8" t="n">
        <v>6800</v>
      </c>
      <c r="D4431" s="8" t="n">
        <v>6805</v>
      </c>
      <c r="E4431" s="8" t="n">
        <v>6706</v>
      </c>
      <c r="F4431" s="8" t="n">
        <v>338214</v>
      </c>
      <c r="G4431" s="8" t="n">
        <v>623606</v>
      </c>
      <c r="H4431" s="8" t="n">
        <v>7077</v>
      </c>
      <c r="I4431" s="8" t="n">
        <v>7145</v>
      </c>
      <c r="J4431" s="8" t="n">
        <v>7145</v>
      </c>
      <c r="K4431" s="8" t="n">
        <v>7032</v>
      </c>
      <c r="L4431" s="8" t="n">
        <v>264961</v>
      </c>
      <c r="M4431" s="8" t="n">
        <v>546305</v>
      </c>
      <c r="N4431" t="inlineStr">
        <is>
          <t>是</t>
        </is>
      </c>
    </row>
    <row r="4432">
      <c r="A4432" s="7" t="inlineStr">
        <is>
          <t>2025-10-10</t>
        </is>
      </c>
      <c r="B4432" s="8" t="n">
        <v>6722</v>
      </c>
      <c r="C4432" s="8" t="n">
        <v>6745</v>
      </c>
      <c r="D4432" s="8" t="n">
        <v>6772</v>
      </c>
      <c r="E4432" s="8" t="n">
        <v>6709</v>
      </c>
      <c r="F4432" s="8" t="n">
        <v>251636</v>
      </c>
      <c r="G4432" s="8" t="n">
        <v>634901</v>
      </c>
      <c r="H4432" s="8" t="n">
        <v>7037</v>
      </c>
      <c r="I4432" s="8" t="n">
        <v>7075</v>
      </c>
      <c r="J4432" s="8" t="n">
        <v>7088</v>
      </c>
      <c r="K4432" s="8" t="n">
        <v>7033</v>
      </c>
      <c r="L4432" s="8" t="n">
        <v>225133</v>
      </c>
      <c r="M4432" s="8" t="n">
        <v>557868</v>
      </c>
      <c r="N4432" t="inlineStr">
        <is>
          <t>是</t>
        </is>
      </c>
    </row>
    <row r="4433">
      <c r="A4433" s="7" t="inlineStr">
        <is>
          <t>2025-10-13</t>
        </is>
      </c>
      <c r="B4433" s="8" t="n">
        <v>6693</v>
      </c>
      <c r="C4433" s="8" t="n">
        <v>6709</v>
      </c>
      <c r="D4433" s="8" t="n">
        <v>6740</v>
      </c>
      <c r="E4433" s="8" t="n">
        <v>6668</v>
      </c>
      <c r="F4433" s="8" t="n">
        <v>369442</v>
      </c>
      <c r="G4433" s="8" t="n">
        <v>643294</v>
      </c>
      <c r="H4433" s="8" t="n">
        <v>6983</v>
      </c>
      <c r="I4433" s="8" t="n">
        <v>7015</v>
      </c>
      <c r="J4433" s="8" t="n">
        <v>7034</v>
      </c>
      <c r="K4433" s="8" t="n">
        <v>6975</v>
      </c>
      <c r="L4433" s="8" t="n">
        <v>280022</v>
      </c>
      <c r="M4433" s="8" t="n">
        <v>564785</v>
      </c>
      <c r="N4433" t="inlineStr">
        <is>
          <t>是</t>
        </is>
      </c>
    </row>
    <row r="4434">
      <c r="A4434" s="7" t="inlineStr">
        <is>
          <t>2025-10-14</t>
        </is>
      </c>
      <c r="B4434" s="8" t="n">
        <v>6602</v>
      </c>
      <c r="C4434" s="8" t="n">
        <v>6679</v>
      </c>
      <c r="D4434" s="8" t="n">
        <v>6680</v>
      </c>
      <c r="E4434" s="8" t="n">
        <v>6582</v>
      </c>
      <c r="F4434" s="8" t="n">
        <v>365570</v>
      </c>
      <c r="G4434" s="8" t="n">
        <v>665454</v>
      </c>
      <c r="H4434" s="8" t="n">
        <v>6918</v>
      </c>
      <c r="I4434" s="8" t="n">
        <v>6996</v>
      </c>
      <c r="J4434" s="8" t="n">
        <v>6999</v>
      </c>
      <c r="K4434" s="8" t="n">
        <v>6891</v>
      </c>
      <c r="L4434" s="8" t="n">
        <v>266284</v>
      </c>
      <c r="M4434" s="8" t="n">
        <v>577097</v>
      </c>
      <c r="N4434" t="inlineStr">
        <is>
          <t>是</t>
        </is>
      </c>
    </row>
    <row r="4435">
      <c r="A4435" s="7" t="inlineStr">
        <is>
          <t>2025-10-15</t>
        </is>
      </c>
      <c r="B4435" s="8" t="n">
        <v>6595</v>
      </c>
      <c r="C4435" s="8" t="n">
        <v>6575</v>
      </c>
      <c r="D4435" s="8" t="n">
        <v>6621</v>
      </c>
      <c r="E4435" s="8" t="n">
        <v>6561</v>
      </c>
      <c r="F4435" s="8" t="n">
        <v>270926</v>
      </c>
      <c r="G4435" s="8" t="n">
        <v>667779</v>
      </c>
      <c r="H4435" s="8" t="n">
        <v>6910</v>
      </c>
      <c r="I4435" s="8" t="n">
        <v>6890</v>
      </c>
      <c r="J4435" s="8" t="n">
        <v>6936</v>
      </c>
      <c r="K4435" s="8" t="n">
        <v>6881</v>
      </c>
      <c r="L4435" s="8" t="n">
        <v>205449</v>
      </c>
      <c r="M4435" s="8" t="n">
        <v>568826</v>
      </c>
      <c r="N4435" t="inlineStr">
        <is>
          <t>是</t>
        </is>
      </c>
    </row>
    <row r="4436">
      <c r="A4436" s="7" t="inlineStr">
        <is>
          <t>2025-10-16</t>
        </is>
      </c>
      <c r="B4436" s="8" t="n">
        <v>6618</v>
      </c>
      <c r="C4436" s="8" t="n">
        <v>6597</v>
      </c>
      <c r="D4436" s="8" t="n">
        <v>6631</v>
      </c>
      <c r="E4436" s="8" t="n">
        <v>6555</v>
      </c>
      <c r="F4436" s="8" t="n">
        <v>264044</v>
      </c>
      <c r="G4436" s="8" t="n">
        <v>661984</v>
      </c>
      <c r="H4436" s="8" t="n">
        <v>6929</v>
      </c>
      <c r="I4436" s="8" t="n">
        <v>6912</v>
      </c>
      <c r="J4436" s="8" t="n">
        <v>6941</v>
      </c>
      <c r="K4436" s="8" t="n">
        <v>6870</v>
      </c>
      <c r="L4436" s="8" t="n">
        <v>239611</v>
      </c>
      <c r="M4436" s="8" t="n">
        <v>566645</v>
      </c>
      <c r="N4436" t="inlineStr">
        <is>
          <t>是</t>
        </is>
      </c>
    </row>
    <row r="4437">
      <c r="A4437" s="7" t="inlineStr">
        <is>
          <t>2025-10-17</t>
        </is>
      </c>
      <c r="B4437" s="8" t="n">
        <v>6551</v>
      </c>
      <c r="C4437" s="8" t="n">
        <v>6620</v>
      </c>
      <c r="D4437" s="8" t="n">
        <v>6633</v>
      </c>
      <c r="E4437" s="8" t="n">
        <v>6541</v>
      </c>
      <c r="F4437" s="8" t="n">
        <v>219232</v>
      </c>
      <c r="G4437" s="8" t="n">
        <v>661751</v>
      </c>
      <c r="H4437" s="8" t="n">
        <v>6874</v>
      </c>
      <c r="I4437" s="8" t="n">
        <v>6936</v>
      </c>
      <c r="J4437" s="8" t="n">
        <v>6936</v>
      </c>
      <c r="K4437" s="8" t="n">
        <v>6855</v>
      </c>
      <c r="L4437" s="8" t="n">
        <v>210425</v>
      </c>
      <c r="M4437" s="8" t="n">
        <v>565412</v>
      </c>
      <c r="N4437" t="inlineStr">
        <is>
          <t>是</t>
        </is>
      </c>
    </row>
    <row r="4438">
      <c r="A4438" s="7" t="inlineStr">
        <is>
          <t>2025-10-20</t>
        </is>
      </c>
      <c r="B4438" s="8" t="n">
        <v>6565</v>
      </c>
      <c r="C4438" s="8" t="n">
        <v>6566</v>
      </c>
      <c r="D4438" s="8" t="n">
        <v>6623</v>
      </c>
      <c r="E4438" s="8" t="n">
        <v>6565</v>
      </c>
      <c r="F4438" s="8" t="n">
        <v>257663</v>
      </c>
      <c r="G4438" s="8" t="n">
        <v>654849</v>
      </c>
      <c r="H4438" s="8" t="n">
        <v>6879</v>
      </c>
      <c r="I4438" s="8" t="n">
        <v>6891</v>
      </c>
      <c r="J4438" s="8" t="n">
        <v>6936</v>
      </c>
      <c r="K4438" s="8" t="n">
        <v>6879</v>
      </c>
      <c r="L4438" s="8" t="n">
        <v>218340</v>
      </c>
      <c r="M4438" s="8" t="n">
        <v>562100</v>
      </c>
      <c r="N4438" t="inlineStr">
        <is>
          <t>是</t>
        </is>
      </c>
    </row>
    <row r="4439">
      <c r="A4439" s="7" t="inlineStr">
        <is>
          <t>2025-10-21</t>
        </is>
      </c>
      <c r="B4439" s="8" t="n">
        <v>6583</v>
      </c>
      <c r="C4439" s="8" t="n">
        <v>6560</v>
      </c>
      <c r="D4439" s="8" t="n">
        <v>6619</v>
      </c>
      <c r="E4439" s="8" t="n">
        <v>6530</v>
      </c>
      <c r="F4439" s="8" t="n">
        <v>318981</v>
      </c>
      <c r="G4439" s="8" t="n">
        <v>649100</v>
      </c>
      <c r="H4439" s="8" t="n">
        <v>6883</v>
      </c>
      <c r="I4439" s="8" t="n">
        <v>6870</v>
      </c>
      <c r="J4439" s="8" t="n">
        <v>6915</v>
      </c>
      <c r="K4439" s="8" t="n">
        <v>6830</v>
      </c>
      <c r="L4439" s="8" t="n">
        <v>286298</v>
      </c>
      <c r="M4439" s="8" t="n">
        <v>561965</v>
      </c>
      <c r="N4439" t="inlineStr">
        <is>
          <t>是</t>
        </is>
      </c>
    </row>
    <row r="4440">
      <c r="A4440" s="7" t="inlineStr">
        <is>
          <t>2025-10-22</t>
        </is>
      </c>
      <c r="B4440" s="8" t="n">
        <v>6619</v>
      </c>
      <c r="C4440" s="8" t="n">
        <v>6610</v>
      </c>
      <c r="D4440" s="8" t="n">
        <v>6642</v>
      </c>
      <c r="E4440" s="8" t="n">
        <v>6575</v>
      </c>
      <c r="F4440" s="8" t="n">
        <v>253179</v>
      </c>
      <c r="G4440" s="8" t="n">
        <v>633255</v>
      </c>
      <c r="H4440" s="8" t="n">
        <v>6936</v>
      </c>
      <c r="I4440" s="8" t="n">
        <v>6889</v>
      </c>
      <c r="J4440" s="8" t="n">
        <v>6956</v>
      </c>
      <c r="K4440" s="8" t="n">
        <v>6873</v>
      </c>
      <c r="L4440" s="8" t="n">
        <v>234079</v>
      </c>
      <c r="M4440" s="8" t="n">
        <v>549864</v>
      </c>
      <c r="N4440" t="inlineStr">
        <is>
          <t>是</t>
        </is>
      </c>
    </row>
    <row r="4441">
      <c r="A4441" s="7" t="inlineStr">
        <is>
          <t>2025-10-23</t>
        </is>
      </c>
      <c r="B4441" s="8" t="n">
        <v>6691</v>
      </c>
      <c r="C4441" s="8" t="n">
        <v>6633</v>
      </c>
      <c r="D4441" s="8" t="n">
        <v>6710</v>
      </c>
      <c r="E4441" s="8" t="n">
        <v>6616</v>
      </c>
      <c r="F4441" s="8" t="n">
        <v>320558</v>
      </c>
      <c r="G4441" s="8" t="n">
        <v>618484</v>
      </c>
      <c r="H4441" s="8" t="n">
        <v>6999</v>
      </c>
      <c r="I4441" s="8" t="n">
        <v>6946</v>
      </c>
      <c r="J4441" s="8" t="n">
        <v>7013</v>
      </c>
      <c r="K4441" s="8" t="n">
        <v>6934</v>
      </c>
      <c r="L4441" s="8" t="n">
        <v>253296</v>
      </c>
      <c r="M4441" s="8" t="n">
        <v>531489</v>
      </c>
      <c r="N4441" t="inlineStr">
        <is>
          <t>是</t>
        </is>
      </c>
    </row>
    <row r="4442">
      <c r="A4442" s="7" t="inlineStr">
        <is>
          <t>2025-10-24</t>
        </is>
      </c>
      <c r="B4442" s="8" t="n">
        <v>6662</v>
      </c>
      <c r="C4442" s="8" t="n">
        <v>6710</v>
      </c>
      <c r="D4442" s="8" t="n">
        <v>6710</v>
      </c>
      <c r="E4442" s="8" t="n">
        <v>6657</v>
      </c>
      <c r="F4442" s="8" t="n">
        <v>229145</v>
      </c>
      <c r="G4442" s="8" t="n">
        <v>608100</v>
      </c>
      <c r="H4442" s="8" t="n">
        <v>6969</v>
      </c>
      <c r="I4442" s="8" t="n">
        <v>7014</v>
      </c>
      <c r="J4442" s="8" t="n">
        <v>7017</v>
      </c>
      <c r="K4442" s="8" t="n">
        <v>6957</v>
      </c>
      <c r="L4442" s="8" t="n">
        <v>229753</v>
      </c>
      <c r="M4442" s="8" t="n">
        <v>529187</v>
      </c>
      <c r="N4442" t="inlineStr">
        <is>
          <t>是</t>
        </is>
      </c>
    </row>
    <row r="4443">
      <c r="A4443" s="7" t="inlineStr">
        <is>
          <t>2025-10-27</t>
        </is>
      </c>
      <c r="B4443" s="8" t="n">
        <v>6699</v>
      </c>
      <c r="C4443" s="8" t="n">
        <v>6689</v>
      </c>
      <c r="D4443" s="8" t="n">
        <v>6707</v>
      </c>
      <c r="E4443" s="8" t="n">
        <v>6654</v>
      </c>
      <c r="F4443" s="8" t="n">
        <v>262100</v>
      </c>
      <c r="G4443" s="8" t="n">
        <v>608347</v>
      </c>
      <c r="H4443" s="8" t="n">
        <v>7024</v>
      </c>
      <c r="I4443" s="8" t="n">
        <v>6969</v>
      </c>
      <c r="J4443" s="8" t="n">
        <v>7029</v>
      </c>
      <c r="K4443" s="8" t="n">
        <v>6969</v>
      </c>
      <c r="L4443" s="8" t="n">
        <v>241446</v>
      </c>
      <c r="M4443" s="8" t="n">
        <v>523862</v>
      </c>
      <c r="N4443" t="inlineStr">
        <is>
          <t>是</t>
        </is>
      </c>
    </row>
    <row r="4444">
      <c r="A4444" s="7" t="inlineStr">
        <is>
          <t>2025-10-28</t>
        </is>
      </c>
      <c r="B4444" s="8" t="n">
        <v>6657</v>
      </c>
      <c r="C4444" s="8" t="n">
        <v>6682</v>
      </c>
      <c r="D4444" s="8" t="n">
        <v>6702</v>
      </c>
      <c r="E4444" s="8" t="n">
        <v>6645</v>
      </c>
      <c r="F4444" s="8" t="n">
        <v>228673</v>
      </c>
      <c r="G4444" s="8" t="n">
        <v>611345</v>
      </c>
      <c r="H4444" s="8" t="n">
        <v>6985</v>
      </c>
      <c r="I4444" s="8" t="n">
        <v>7030</v>
      </c>
      <c r="J4444" s="8" t="n">
        <v>7035</v>
      </c>
      <c r="K4444" s="8" t="n">
        <v>6975</v>
      </c>
      <c r="L4444" s="8" t="n">
        <v>220120</v>
      </c>
      <c r="M4444" s="8" t="n">
        <v>519487</v>
      </c>
      <c r="N4444" t="inlineStr">
        <is>
          <t>是</t>
        </is>
      </c>
    </row>
    <row r="4445">
      <c r="A4445" s="7" t="inlineStr">
        <is>
          <t>2025-10-29</t>
        </is>
      </c>
      <c r="B4445" s="8" t="n">
        <v>6685</v>
      </c>
      <c r="C4445" s="8" t="n">
        <v>6654</v>
      </c>
      <c r="D4445" s="8" t="n">
        <v>6690</v>
      </c>
      <c r="E4445" s="8" t="n">
        <v>6635</v>
      </c>
      <c r="F4445" s="8" t="n">
        <v>201901</v>
      </c>
      <c r="G4445" s="8" t="n">
        <v>612658</v>
      </c>
      <c r="H4445" s="8" t="n">
        <v>7009</v>
      </c>
      <c r="I4445" s="8" t="n">
        <v>6975</v>
      </c>
      <c r="J4445" s="8" t="n">
        <v>7014</v>
      </c>
      <c r="K4445" s="8" t="n">
        <v>6961</v>
      </c>
      <c r="L4445" s="8" t="n">
        <v>212938</v>
      </c>
      <c r="M4445" s="8" t="n">
        <v>512269</v>
      </c>
      <c r="N4445" t="inlineStr">
        <is>
          <t>是</t>
        </is>
      </c>
    </row>
    <row r="4446">
      <c r="A4446" s="7" t="inlineStr">
        <is>
          <t>2025-10-30</t>
        </is>
      </c>
      <c r="B4446" s="8" t="n">
        <v>6651</v>
      </c>
      <c r="C4446" s="8" t="n">
        <v>6693</v>
      </c>
      <c r="D4446" s="8" t="n">
        <v>6699</v>
      </c>
      <c r="E4446" s="8" t="n">
        <v>6643</v>
      </c>
      <c r="F4446" s="8" t="n">
        <v>237497</v>
      </c>
      <c r="G4446" s="8" t="n">
        <v>613335</v>
      </c>
      <c r="H4446" s="8" t="n">
        <v>6968</v>
      </c>
      <c r="I4446" s="8" t="n">
        <v>7000</v>
      </c>
      <c r="J4446" s="8" t="n">
        <v>7026</v>
      </c>
      <c r="K4446" s="8" t="n">
        <v>6967</v>
      </c>
      <c r="L4446" s="8" t="n">
        <v>214616</v>
      </c>
      <c r="M4446" s="8" t="n">
        <v>508700</v>
      </c>
      <c r="N4446" t="inlineStr">
        <is>
          <t>是</t>
        </is>
      </c>
    </row>
    <row r="4447">
      <c r="A4447" s="7" t="inlineStr">
        <is>
          <t>2025-10-31</t>
        </is>
      </c>
      <c r="B4447" s="8" t="n">
        <v>6590</v>
      </c>
      <c r="C4447" s="8" t="n">
        <v>6651</v>
      </c>
      <c r="D4447" s="8" t="n">
        <v>6669</v>
      </c>
      <c r="E4447" s="8" t="n">
        <v>6582</v>
      </c>
      <c r="F4447" s="8" t="n">
        <v>294656</v>
      </c>
      <c r="G4447" s="8" t="n">
        <v>624690</v>
      </c>
      <c r="H4447" s="8" t="n">
        <v>6899</v>
      </c>
      <c r="I4447" s="8" t="n">
        <v>6968</v>
      </c>
      <c r="J4447" s="8" t="n">
        <v>6988</v>
      </c>
      <c r="K4447" s="8" t="n">
        <v>6896</v>
      </c>
      <c r="L4447" s="8" t="n">
        <v>266932</v>
      </c>
      <c r="M4447" s="8" t="n">
        <v>524390</v>
      </c>
      <c r="N4447" t="inlineStr">
        <is>
          <t>是</t>
        </is>
      </c>
    </row>
    <row r="4448">
      <c r="A4448" s="7" t="inlineStr">
        <is>
          <t>2025-11-03</t>
        </is>
      </c>
      <c r="B4448" s="8" t="n">
        <v>6576</v>
      </c>
      <c r="C4448" s="8" t="n">
        <v>6600</v>
      </c>
      <c r="D4448" s="8" t="n">
        <v>6629</v>
      </c>
      <c r="E4448" s="8" t="n">
        <v>6573</v>
      </c>
      <c r="F4448" s="8" t="n">
        <v>297804</v>
      </c>
      <c r="G4448" s="8" t="n">
        <v>624712</v>
      </c>
      <c r="H4448" s="8" t="n">
        <v>6888</v>
      </c>
      <c r="I4448" s="8" t="n">
        <v>6915</v>
      </c>
      <c r="J4448" s="8" t="n">
        <v>6939</v>
      </c>
      <c r="K4448" s="8" t="n">
        <v>6885</v>
      </c>
      <c r="L4448" s="8" t="n">
        <v>267570</v>
      </c>
      <c r="M4448" s="8" t="n">
        <v>532585</v>
      </c>
      <c r="N4448" t="inlineStr">
        <is>
          <t>是</t>
        </is>
      </c>
    </row>
    <row r="4449">
      <c r="A4449" s="7" t="inlineStr">
        <is>
          <t>2025-11-04</t>
        </is>
      </c>
      <c r="B4449" s="8" t="n">
        <v>6560</v>
      </c>
      <c r="C4449" s="8" t="n">
        <v>6560</v>
      </c>
      <c r="D4449" s="8" t="n">
        <v>6589</v>
      </c>
      <c r="E4449" s="8" t="n">
        <v>6544</v>
      </c>
      <c r="F4449" s="8" t="n">
        <v>257622</v>
      </c>
      <c r="G4449" s="8" t="n">
        <v>628448</v>
      </c>
      <c r="H4449" s="8" t="n">
        <v>6879</v>
      </c>
      <c r="I4449" s="8" t="n">
        <v>6888</v>
      </c>
      <c r="J4449" s="8" t="n">
        <v>6912</v>
      </c>
      <c r="K4449" s="8" t="n">
        <v>6852</v>
      </c>
      <c r="L4449" s="8" t="n">
        <v>230176</v>
      </c>
      <c r="M4449" s="8" t="n">
        <v>533139</v>
      </c>
      <c r="N4449" t="inlineStr">
        <is>
          <t>是</t>
        </is>
      </c>
    </row>
    <row r="4450">
      <c r="A4450" s="7" t="inlineStr">
        <is>
          <t>2025-11-05</t>
        </is>
      </c>
      <c r="B4450" s="8" t="n">
        <v>6491</v>
      </c>
      <c r="C4450" s="8" t="n">
        <v>6550</v>
      </c>
      <c r="D4450" s="8" t="n">
        <v>6552</v>
      </c>
      <c r="E4450" s="8" t="n">
        <v>6477</v>
      </c>
      <c r="F4450" s="8" t="n">
        <v>345070</v>
      </c>
      <c r="G4450" s="8" t="n">
        <v>644601</v>
      </c>
      <c r="H4450" s="8" t="n">
        <v>6814</v>
      </c>
      <c r="I4450" s="8" t="n">
        <v>6871</v>
      </c>
      <c r="J4450" s="8" t="n">
        <v>6875</v>
      </c>
      <c r="K4450" s="8" t="n">
        <v>6798</v>
      </c>
      <c r="L4450" s="8" t="n">
        <v>290462</v>
      </c>
      <c r="M4450" s="8" t="n">
        <v>553147</v>
      </c>
      <c r="N4450" t="inlineStr">
        <is>
          <t>是</t>
        </is>
      </c>
    </row>
    <row r="4451">
      <c r="A4451" s="7" t="inlineStr">
        <is>
          <t>2025-11-06</t>
        </is>
      </c>
      <c r="B4451" s="8" t="n">
        <v>6471</v>
      </c>
      <c r="C4451" s="8" t="n">
        <v>6490</v>
      </c>
      <c r="D4451" s="8" t="n">
        <v>6490</v>
      </c>
      <c r="E4451" s="8" t="n">
        <v>6415</v>
      </c>
      <c r="F4451" s="8" t="n">
        <v>387014</v>
      </c>
      <c r="G4451" s="8" t="n">
        <v>652784</v>
      </c>
      <c r="H4451" s="8" t="n">
        <v>6805</v>
      </c>
      <c r="I4451" s="8" t="n">
        <v>6810</v>
      </c>
      <c r="J4451" s="8" t="n">
        <v>6819</v>
      </c>
      <c r="K4451" s="8" t="n">
        <v>6745</v>
      </c>
      <c r="L4451" s="8" t="n">
        <v>305198</v>
      </c>
      <c r="M4451" s="8" t="n">
        <v>578172</v>
      </c>
      <c r="N4451" t="inlineStr">
        <is>
          <t>是</t>
        </is>
      </c>
    </row>
    <row r="4452">
      <c r="A4452" s="7" t="inlineStr">
        <is>
          <t>2025-11-07</t>
        </is>
      </c>
      <c r="B4452" s="8" t="n">
        <v>6464</v>
      </c>
      <c r="C4452" s="8" t="n">
        <v>6479</v>
      </c>
      <c r="D4452" s="8" t="n">
        <v>6493</v>
      </c>
      <c r="E4452" s="8" t="n">
        <v>6447</v>
      </c>
      <c r="F4452" s="8" t="n">
        <v>256842</v>
      </c>
      <c r="G4452" s="8" t="n">
        <v>655336</v>
      </c>
      <c r="H4452" s="8" t="n">
        <v>6802</v>
      </c>
      <c r="I4452" s="8" t="n">
        <v>6805</v>
      </c>
      <c r="J4452" s="8" t="n">
        <v>6835</v>
      </c>
      <c r="K4452" s="8" t="n">
        <v>6791</v>
      </c>
      <c r="L4452" s="8" t="n">
        <v>228488</v>
      </c>
      <c r="M4452" s="8" t="n">
        <v>585377</v>
      </c>
      <c r="N4452" t="inlineStr">
        <is>
          <t>是</t>
        </is>
      </c>
    </row>
    <row r="4453">
      <c r="A4453" s="7" t="inlineStr">
        <is>
          <t>2025-11-10</t>
        </is>
      </c>
      <c r="B4453" s="8" t="n">
        <v>6480</v>
      </c>
      <c r="C4453" s="8" t="n">
        <v>6457</v>
      </c>
      <c r="D4453" s="8" t="n">
        <v>6488</v>
      </c>
      <c r="E4453" s="8" t="n">
        <v>6442</v>
      </c>
      <c r="F4453" s="8" t="n">
        <v>276564</v>
      </c>
      <c r="G4453" s="8" t="n">
        <v>642285</v>
      </c>
      <c r="H4453" s="8" t="n">
        <v>6802</v>
      </c>
      <c r="I4453" s="8" t="n">
        <v>6793</v>
      </c>
      <c r="J4453" s="8" t="n">
        <v>6811</v>
      </c>
      <c r="K4453" s="8" t="n">
        <v>6766</v>
      </c>
      <c r="L4453" s="8" t="n">
        <v>242633</v>
      </c>
      <c r="M4453" s="8" t="n">
        <v>586307</v>
      </c>
      <c r="N4453" t="inlineStr">
        <is>
          <t>是</t>
        </is>
      </c>
    </row>
    <row r="4454">
      <c r="A4454" s="7" t="inlineStr">
        <is>
          <t>2025-11-11</t>
        </is>
      </c>
      <c r="B4454" s="8" t="n">
        <v>6429</v>
      </c>
      <c r="C4454" s="8" t="n">
        <v>6467</v>
      </c>
      <c r="D4454" s="8" t="n">
        <v>6491</v>
      </c>
      <c r="E4454" s="8" t="n">
        <v>6426</v>
      </c>
      <c r="F4454" s="8" t="n">
        <v>217999</v>
      </c>
      <c r="G4454" s="8" t="n">
        <v>641551</v>
      </c>
      <c r="H4454" s="8" t="n">
        <v>6760</v>
      </c>
      <c r="I4454" s="8" t="n">
        <v>6810</v>
      </c>
      <c r="J4454" s="8" t="n">
        <v>6815</v>
      </c>
      <c r="K4454" s="8" t="n">
        <v>6758</v>
      </c>
      <c r="L4454" s="8" t="n">
        <v>191450</v>
      </c>
      <c r="M4454" s="8" t="n">
        <v>584333</v>
      </c>
      <c r="N4454" t="inlineStr">
        <is>
          <t>是</t>
        </is>
      </c>
    </row>
    <row r="4455">
      <c r="A4455" s="7" t="inlineStr">
        <is>
          <t>2025-11-12</t>
        </is>
      </c>
      <c r="B4455" s="8" t="n">
        <v>6460</v>
      </c>
      <c r="C4455" s="8" t="n">
        <v>6440</v>
      </c>
      <c r="D4455" s="8" t="n">
        <v>6474</v>
      </c>
      <c r="E4455" s="8" t="n">
        <v>6434</v>
      </c>
      <c r="F4455" s="8" t="n">
        <v>220354</v>
      </c>
      <c r="G4455" s="8" t="n">
        <v>636592</v>
      </c>
      <c r="H4455" s="8" t="n">
        <v>6788</v>
      </c>
      <c r="I4455" s="8" t="n">
        <v>6765</v>
      </c>
      <c r="J4455" s="8" t="n">
        <v>6803</v>
      </c>
      <c r="K4455" s="8" t="n">
        <v>6765</v>
      </c>
      <c r="L4455" s="8" t="n">
        <v>186004</v>
      </c>
      <c r="M4455" s="8" t="n">
        <v>586919</v>
      </c>
      <c r="N4455" t="inlineStr">
        <is>
          <t>是</t>
        </is>
      </c>
    </row>
    <row r="4456">
      <c r="A4456" s="7" t="inlineStr">
        <is>
          <t>2025-11-13</t>
        </is>
      </c>
      <c r="B4456" s="8" t="n">
        <v>6480</v>
      </c>
      <c r="C4456" s="8" t="n">
        <v>6445</v>
      </c>
      <c r="D4456" s="8" t="n">
        <v>6480</v>
      </c>
      <c r="E4456" s="8" t="n">
        <v>6412</v>
      </c>
      <c r="F4456" s="8" t="n">
        <v>330467</v>
      </c>
      <c r="G4456" s="8" t="n">
        <v>628423</v>
      </c>
      <c r="H4456" s="8" t="n">
        <v>6818</v>
      </c>
      <c r="I4456" s="8" t="n">
        <v>6780</v>
      </c>
      <c r="J4456" s="8" t="n">
        <v>6820</v>
      </c>
      <c r="K4456" s="8" t="n">
        <v>6756</v>
      </c>
      <c r="L4456" s="8" t="n">
        <v>278372</v>
      </c>
      <c r="M4456" s="8" t="n">
        <v>581602</v>
      </c>
      <c r="N4456" t="inlineStr">
        <is>
          <t>是</t>
        </is>
      </c>
    </row>
    <row r="4457">
      <c r="A4457" s="7" t="inlineStr">
        <is>
          <t>2025-11-14</t>
        </is>
      </c>
      <c r="B4457" s="8" t="n">
        <v>6474</v>
      </c>
      <c r="C4457" s="8" t="n">
        <v>6484</v>
      </c>
      <c r="D4457" s="8" t="n">
        <v>6518</v>
      </c>
      <c r="E4457" s="8" t="n">
        <v>6468</v>
      </c>
      <c r="F4457" s="8" t="n">
        <v>308865</v>
      </c>
      <c r="G4457" s="8" t="n">
        <v>622052</v>
      </c>
      <c r="H4457" s="8" t="n">
        <v>6853</v>
      </c>
      <c r="I4457" s="8" t="n">
        <v>6825</v>
      </c>
      <c r="J4457" s="8" t="n">
        <v>6896</v>
      </c>
      <c r="K4457" s="8" t="n">
        <v>6824</v>
      </c>
      <c r="L4457" s="8" t="n">
        <v>347525</v>
      </c>
      <c r="M4457" s="8" t="n">
        <v>540755</v>
      </c>
      <c r="N4457" t="inlineStr">
        <is>
          <t>是</t>
        </is>
      </c>
    </row>
    <row r="4458">
      <c r="A4458" s="7" t="inlineStr">
        <is>
          <t>2025-11-17</t>
        </is>
      </c>
      <c r="B4458" s="8" t="n">
        <v>6467</v>
      </c>
      <c r="C4458" s="8" t="n">
        <v>6474</v>
      </c>
      <c r="D4458" s="8" t="n">
        <v>6482</v>
      </c>
      <c r="E4458" s="8" t="n">
        <v>6446</v>
      </c>
      <c r="F4458" s="8" t="n">
        <v>231256</v>
      </c>
      <c r="G4458" s="8" t="n">
        <v>632878</v>
      </c>
      <c r="H4458" s="8" t="n">
        <v>6843</v>
      </c>
      <c r="I4458" s="8" t="n">
        <v>6854</v>
      </c>
      <c r="J4458" s="8" t="n">
        <v>6869</v>
      </c>
      <c r="K4458" s="8" t="n">
        <v>6833</v>
      </c>
      <c r="L4458" s="8" t="n">
        <v>206820</v>
      </c>
      <c r="M4458" s="8" t="n">
        <v>542295</v>
      </c>
      <c r="N4458" t="inlineStr">
        <is>
          <t>是</t>
        </is>
      </c>
    </row>
    <row r="4459">
      <c r="A4459" s="7" t="inlineStr">
        <is>
          <t>2025-11-18</t>
        </is>
      </c>
      <c r="B4459" s="8" t="n">
        <v>6392</v>
      </c>
      <c r="C4459" s="8" t="n">
        <v>6473</v>
      </c>
      <c r="D4459" s="8" t="n">
        <v>6488</v>
      </c>
      <c r="E4459" s="8" t="n">
        <v>6375</v>
      </c>
      <c r="F4459" s="8" t="n">
        <v>313979</v>
      </c>
      <c r="G4459" s="8" t="n">
        <v>638417</v>
      </c>
      <c r="H4459" s="8" t="n">
        <v>6785</v>
      </c>
      <c r="I4459" s="8" t="n">
        <v>6851</v>
      </c>
      <c r="J4459" s="8" t="n">
        <v>6868</v>
      </c>
      <c r="K4459" s="8" t="n">
        <v>6771</v>
      </c>
      <c r="L4459" s="8" t="n">
        <v>260592</v>
      </c>
      <c r="M4459" s="8" t="n">
        <v>548344</v>
      </c>
      <c r="N4459" t="inlineStr">
        <is>
          <t>是</t>
        </is>
      </c>
    </row>
    <row r="4460">
      <c r="A4460" s="7" t="inlineStr">
        <is>
          <t>2025-11-19</t>
        </is>
      </c>
      <c r="B4460" s="8" t="n">
        <v>6434</v>
      </c>
      <c r="C4460" s="8" t="n">
        <v>6403</v>
      </c>
      <c r="D4460" s="8" t="n">
        <v>6444</v>
      </c>
      <c r="E4460" s="8" t="n">
        <v>6394</v>
      </c>
      <c r="F4460" s="8" t="n">
        <v>312085</v>
      </c>
      <c r="G4460" s="8" t="n">
        <v>620333</v>
      </c>
      <c r="H4460" s="8" t="n">
        <v>6833</v>
      </c>
      <c r="I4460" s="8" t="n">
        <v>6785</v>
      </c>
      <c r="J4460" s="8" t="n">
        <v>6838</v>
      </c>
      <c r="K4460" s="8" t="n">
        <v>6781</v>
      </c>
      <c r="L4460" s="8" t="n">
        <v>281440</v>
      </c>
      <c r="M4460" s="8" t="n">
        <v>528666</v>
      </c>
      <c r="N4460" t="inlineStr">
        <is>
          <t>是</t>
        </is>
      </c>
    </row>
    <row r="4461">
      <c r="A4461" s="7" t="inlineStr">
        <is>
          <t>2025-11-20</t>
        </is>
      </c>
      <c r="B4461" s="8" t="n">
        <v>6400</v>
      </c>
      <c r="C4461" s="8" t="n">
        <v>6400</v>
      </c>
      <c r="D4461" s="8" t="n">
        <v>6431</v>
      </c>
      <c r="E4461" s="8" t="n">
        <v>6368</v>
      </c>
      <c r="F4461" s="8" t="n">
        <v>334339</v>
      </c>
      <c r="G4461" s="8" t="n">
        <v>617955</v>
      </c>
      <c r="H4461" s="8" t="n">
        <v>6835</v>
      </c>
      <c r="I4461" s="8" t="n">
        <v>6820</v>
      </c>
      <c r="J4461" s="8" t="n">
        <v>6855</v>
      </c>
      <c r="K4461" s="8" t="n">
        <v>6779</v>
      </c>
      <c r="L4461" s="8" t="n">
        <v>312525</v>
      </c>
      <c r="M4461" s="8" t="n">
        <v>516737</v>
      </c>
      <c r="N4461" t="inlineStr">
        <is>
          <t>是</t>
        </is>
      </c>
    </row>
    <row r="4462">
      <c r="A4462" s="7" t="inlineStr">
        <is>
          <t>2025-11-21</t>
        </is>
      </c>
      <c r="B4462" s="8" t="n">
        <v>6357</v>
      </c>
      <c r="C4462" s="8" t="n">
        <v>6409</v>
      </c>
      <c r="D4462" s="8" t="n">
        <v>6421</v>
      </c>
      <c r="E4462" s="8" t="n">
        <v>6356</v>
      </c>
      <c r="F4462" s="8" t="n">
        <v>233476</v>
      </c>
      <c r="G4462" s="8" t="n">
        <v>626835</v>
      </c>
      <c r="H4462" s="8" t="n">
        <v>6770</v>
      </c>
      <c r="I4462" s="8" t="n">
        <v>6830</v>
      </c>
      <c r="J4462" s="8" t="n">
        <v>6841</v>
      </c>
      <c r="K4462" s="8" t="n">
        <v>6768</v>
      </c>
      <c r="L4462" s="8" t="n">
        <v>244504</v>
      </c>
      <c r="M4462" s="8" t="n">
        <v>512746</v>
      </c>
      <c r="N4462" t="inlineStr">
        <is>
          <t>是</t>
        </is>
      </c>
    </row>
    <row r="4463">
      <c r="A4463" s="7" t="inlineStr">
        <is>
          <t>2025-11-24</t>
        </is>
      </c>
      <c r="B4463" s="8" t="n">
        <v>6372</v>
      </c>
      <c r="C4463" s="8" t="n">
        <v>6351</v>
      </c>
      <c r="D4463" s="8" t="n">
        <v>6402</v>
      </c>
      <c r="E4463" s="8" t="n">
        <v>6315</v>
      </c>
      <c r="F4463" s="8" t="n">
        <v>374416</v>
      </c>
      <c r="G4463" s="8" t="n">
        <v>605178</v>
      </c>
      <c r="H4463" s="8" t="n">
        <v>6793</v>
      </c>
      <c r="I4463" s="8" t="n">
        <v>6775</v>
      </c>
      <c r="J4463" s="8" t="n">
        <v>6826</v>
      </c>
      <c r="K4463" s="8" t="n">
        <v>6731</v>
      </c>
      <c r="L4463" s="8" t="n">
        <v>334461</v>
      </c>
      <c r="M4463" s="8" t="n">
        <v>497429</v>
      </c>
      <c r="N4463" t="inlineStr">
        <is>
          <t>是</t>
        </is>
      </c>
    </row>
    <row r="4464">
      <c r="A4464" s="7" t="inlineStr">
        <is>
          <t>2025-11-25</t>
        </is>
      </c>
      <c r="B4464" s="8" t="n">
        <v>6317</v>
      </c>
      <c r="C4464" s="8" t="n">
        <v>6363</v>
      </c>
      <c r="D4464" s="8" t="n">
        <v>6378</v>
      </c>
      <c r="E4464" s="8" t="n">
        <v>6313</v>
      </c>
      <c r="F4464" s="8" t="n">
        <v>275922</v>
      </c>
      <c r="G4464" s="8" t="n">
        <v>605759</v>
      </c>
      <c r="H4464" s="8" t="n">
        <v>6762</v>
      </c>
      <c r="I4464" s="8" t="n">
        <v>6790</v>
      </c>
      <c r="J4464" s="8" t="n">
        <v>6822</v>
      </c>
      <c r="K4464" s="8" t="n">
        <v>6758</v>
      </c>
      <c r="L4464" s="8" t="n">
        <v>247713</v>
      </c>
      <c r="M4464" s="8" t="n">
        <v>488359</v>
      </c>
      <c r="N4464" t="inlineStr">
        <is>
          <t>是</t>
        </is>
      </c>
    </row>
    <row r="4465">
      <c r="A4465" s="7" t="inlineStr">
        <is>
          <t>2025-11-26</t>
        </is>
      </c>
      <c r="B4465" s="8" t="n">
        <v>6265</v>
      </c>
      <c r="C4465" s="8" t="n">
        <v>6306</v>
      </c>
      <c r="D4465" s="8" t="n">
        <v>6332</v>
      </c>
      <c r="E4465" s="8" t="n">
        <v>6258</v>
      </c>
      <c r="F4465" s="8" t="n">
        <v>442760</v>
      </c>
      <c r="G4465" s="8" t="n">
        <v>586572</v>
      </c>
      <c r="H4465" s="8" t="n">
        <v>6707</v>
      </c>
      <c r="I4465" s="8" t="n">
        <v>6757</v>
      </c>
      <c r="J4465" s="8" t="n">
        <v>6780</v>
      </c>
      <c r="K4465" s="8" t="n">
        <v>6696</v>
      </c>
      <c r="L4465" s="8" t="n">
        <v>396126</v>
      </c>
      <c r="M4465" s="8" t="n">
        <v>497599</v>
      </c>
      <c r="N4465" t="inlineStr">
        <is>
          <t>是</t>
        </is>
      </c>
    </row>
    <row r="4466">
      <c r="A4466" s="7" t="inlineStr">
        <is>
          <t>2025-11-27</t>
        </is>
      </c>
      <c r="B4466" s="8" t="n">
        <v>6295</v>
      </c>
      <c r="C4466" s="8" t="n">
        <v>6261</v>
      </c>
      <c r="D4466" s="8" t="n">
        <v>6314</v>
      </c>
      <c r="E4466" s="8" t="n">
        <v>6261</v>
      </c>
      <c r="F4466" s="8" t="n">
        <v>306411</v>
      </c>
      <c r="G4466" s="8" t="n">
        <v>557253</v>
      </c>
      <c r="H4466" s="8" t="n">
        <v>6699</v>
      </c>
      <c r="I4466" s="8" t="n">
        <v>6707</v>
      </c>
      <c r="J4466" s="8" t="n">
        <v>6742</v>
      </c>
      <c r="K4466" s="8" t="n">
        <v>6694</v>
      </c>
      <c r="L4466" s="8" t="n">
        <v>270004</v>
      </c>
      <c r="M4466" s="8" t="n">
        <v>495726</v>
      </c>
      <c r="N4466" t="inlineStr">
        <is>
          <t>是</t>
        </is>
      </c>
    </row>
    <row r="4467">
      <c r="A4467" s="7" t="inlineStr">
        <is>
          <t>2025-11-28</t>
        </is>
      </c>
      <c r="B4467" s="8" t="n">
        <v>6409</v>
      </c>
      <c r="C4467" s="8" t="n">
        <v>6302</v>
      </c>
      <c r="D4467" s="8" t="n">
        <v>6413</v>
      </c>
      <c r="E4467" s="8" t="n">
        <v>6302</v>
      </c>
      <c r="F4467" s="8" t="n">
        <v>424635</v>
      </c>
      <c r="G4467" s="8" t="n">
        <v>506658</v>
      </c>
      <c r="H4467" s="8" t="n">
        <v>6789</v>
      </c>
      <c r="I4467" s="8" t="n">
        <v>6705</v>
      </c>
      <c r="J4467" s="8" t="n">
        <v>6793</v>
      </c>
      <c r="K4467" s="8" t="n">
        <v>6702</v>
      </c>
      <c r="L4467" s="8" t="n">
        <v>330099</v>
      </c>
      <c r="M4467" s="8" t="n">
        <v>457393</v>
      </c>
      <c r="N4467" t="inlineStr">
        <is>
          <t>是</t>
        </is>
      </c>
    </row>
    <row r="4468">
      <c r="A4468" s="7" t="inlineStr">
        <is>
          <t>2025-12-01</t>
        </is>
      </c>
      <c r="B4468" s="8" t="n">
        <v>6397</v>
      </c>
      <c r="C4468" s="8" t="n">
        <v>6400</v>
      </c>
      <c r="D4468" s="8" t="n">
        <v>6428</v>
      </c>
      <c r="E4468" s="8" t="n">
        <v>6382</v>
      </c>
      <c r="F4468" s="8" t="n">
        <v>336088</v>
      </c>
      <c r="G4468" s="8" t="n">
        <v>488944</v>
      </c>
      <c r="H4468" s="8" t="n">
        <v>6803</v>
      </c>
      <c r="I4468" s="8" t="n">
        <v>6789</v>
      </c>
      <c r="J4468" s="8" t="n">
        <v>6830</v>
      </c>
      <c r="K4468" s="8" t="n">
        <v>6777</v>
      </c>
      <c r="L4468" s="8" t="n">
        <v>305073</v>
      </c>
      <c r="M4468" s="8" t="n">
        <v>434382</v>
      </c>
      <c r="N4468" t="inlineStr">
        <is>
          <t>是</t>
        </is>
      </c>
    </row>
    <row r="4469">
      <c r="A4469" s="7" t="inlineStr">
        <is>
          <t>2025-12-02</t>
        </is>
      </c>
      <c r="B4469" s="8" t="n">
        <v>6410</v>
      </c>
      <c r="C4469" s="8" t="n">
        <v>6397</v>
      </c>
      <c r="D4469" s="8" t="n">
        <v>6426</v>
      </c>
      <c r="E4469" s="8" t="n">
        <v>6391</v>
      </c>
      <c r="F4469" s="8" t="n">
        <v>257907</v>
      </c>
      <c r="G4469" s="8" t="n">
        <v>469013</v>
      </c>
      <c r="H4469" s="8" t="n">
        <v>6831</v>
      </c>
      <c r="I4469" s="8" t="n">
        <v>6810</v>
      </c>
      <c r="J4469" s="8" t="n">
        <v>6836</v>
      </c>
      <c r="K4469" s="8" t="n">
        <v>6801</v>
      </c>
      <c r="L4469" s="8" t="n">
        <v>248435</v>
      </c>
      <c r="M4469" s="8" t="n">
        <v>407064</v>
      </c>
      <c r="N4469" t="inlineStr">
        <is>
          <t>是</t>
        </is>
      </c>
    </row>
    <row r="4470">
      <c r="A4470" s="7" t="inlineStr">
        <is>
          <t>2025-12-03</t>
        </is>
      </c>
      <c r="B4470" s="8" t="n">
        <v>6382</v>
      </c>
      <c r="C4470" s="8" t="n">
        <v>6410</v>
      </c>
      <c r="D4470" s="8" t="n">
        <v>6417</v>
      </c>
      <c r="E4470" s="8" t="n">
        <v>6361</v>
      </c>
      <c r="F4470" s="8" t="n">
        <v>228079</v>
      </c>
      <c r="G4470" s="8" t="n">
        <v>459901</v>
      </c>
      <c r="H4470" s="8" t="n">
        <v>6808</v>
      </c>
      <c r="I4470" s="8" t="n">
        <v>6825</v>
      </c>
      <c r="J4470" s="8" t="n">
        <v>6838</v>
      </c>
      <c r="K4470" s="8" t="n">
        <v>6794</v>
      </c>
      <c r="L4470" s="8" t="n">
        <v>186405</v>
      </c>
      <c r="M4470" s="8" t="n">
        <v>402710</v>
      </c>
      <c r="N4470" t="inlineStr">
        <is>
          <t>是</t>
        </is>
      </c>
    </row>
    <row r="4471">
      <c r="A4471" s="7" t="inlineStr">
        <is>
          <t>2025-12-04</t>
        </is>
      </c>
      <c r="B4471" s="8" t="n">
        <v>6359</v>
      </c>
      <c r="C4471" s="8" t="n">
        <v>6385</v>
      </c>
      <c r="D4471" s="8" t="n">
        <v>6386</v>
      </c>
      <c r="E4471" s="8" t="n">
        <v>6329</v>
      </c>
      <c r="F4471" s="8" t="n">
        <v>206027</v>
      </c>
      <c r="G4471" s="8" t="n">
        <v>450199</v>
      </c>
      <c r="H4471" s="8" t="n">
        <v>6776</v>
      </c>
      <c r="I4471" s="8" t="n">
        <v>6800</v>
      </c>
      <c r="J4471" s="8" t="n">
        <v>6818</v>
      </c>
      <c r="K4471" s="8" t="n">
        <v>6753</v>
      </c>
      <c r="L4471" s="8" t="n">
        <v>210139</v>
      </c>
      <c r="M4471" s="8" t="n">
        <v>386484</v>
      </c>
      <c r="N4471" t="inlineStr">
        <is>
          <t>是</t>
        </is>
      </c>
    </row>
    <row r="4472">
      <c r="A4472" s="7" t="inlineStr">
        <is>
          <t>2025-12-05</t>
        </is>
      </c>
      <c r="B4472" s="8" t="n">
        <v>6287</v>
      </c>
      <c r="C4472" s="8" t="n">
        <v>6355</v>
      </c>
      <c r="D4472" s="8" t="n">
        <v>6358</v>
      </c>
      <c r="E4472" s="8" t="n">
        <v>6273</v>
      </c>
      <c r="F4472" s="8" t="n">
        <v>259821</v>
      </c>
      <c r="G4472" s="8" t="n">
        <v>434508</v>
      </c>
      <c r="H4472" s="8" t="n">
        <v>6674</v>
      </c>
      <c r="I4472" s="8" t="n">
        <v>6770</v>
      </c>
      <c r="J4472" s="8" t="n">
        <v>6774</v>
      </c>
      <c r="K4472" s="8" t="n">
        <v>6673</v>
      </c>
      <c r="L4472" s="8" t="n">
        <v>282287</v>
      </c>
      <c r="M4472" s="8" t="n">
        <v>393540</v>
      </c>
      <c r="N4472" t="inlineStr">
        <is>
          <t>是</t>
        </is>
      </c>
    </row>
    <row r="4473">
      <c r="A4473" s="7" t="inlineStr">
        <is>
          <t>2025-12-08</t>
        </is>
      </c>
      <c r="B4473" s="8" t="n">
        <v>6275</v>
      </c>
      <c r="C4473" s="8" t="n">
        <v>6278</v>
      </c>
      <c r="D4473" s="8" t="n">
        <v>6292</v>
      </c>
      <c r="E4473" s="8" t="n">
        <v>6233</v>
      </c>
      <c r="F4473" s="8" t="n">
        <v>299256</v>
      </c>
      <c r="G4473" s="8" t="n">
        <v>423064</v>
      </c>
      <c r="H4473" s="8" t="n">
        <v>6643</v>
      </c>
      <c r="I4473" s="8" t="n">
        <v>6689</v>
      </c>
      <c r="J4473" s="8" t="n">
        <v>6689</v>
      </c>
      <c r="K4473" s="8" t="n">
        <v>6619</v>
      </c>
      <c r="L4473" s="8" t="n">
        <v>234875</v>
      </c>
      <c r="M4473" s="8" t="n">
        <v>374193</v>
      </c>
      <c r="N4473" t="inlineStr">
        <is>
          <t>是</t>
        </is>
      </c>
    </row>
    <row r="4474">
      <c r="A4474" s="7" t="inlineStr">
        <is>
          <t>2025-12-09</t>
        </is>
      </c>
      <c r="B4474" s="8" t="n">
        <v>6192</v>
      </c>
      <c r="C4474" s="8" t="n">
        <v>6260</v>
      </c>
      <c r="D4474" s="8" t="n">
        <v>6274</v>
      </c>
      <c r="E4474" s="8" t="n">
        <v>6192</v>
      </c>
      <c r="F4474" s="8" t="n">
        <v>245848</v>
      </c>
      <c r="G4474" s="8" t="n">
        <v>411158</v>
      </c>
      <c r="H4474" s="8" t="n">
        <v>6557</v>
      </c>
      <c r="I4474" s="8" t="n">
        <v>6630</v>
      </c>
      <c r="J4474" s="8" t="n">
        <v>6640</v>
      </c>
      <c r="K4474" s="8" t="n">
        <v>6550</v>
      </c>
      <c r="L4474" s="8" t="n">
        <v>228488</v>
      </c>
      <c r="M4474" s="8" t="n">
        <v>339262</v>
      </c>
      <c r="N4474" t="inlineStr">
        <is>
          <t>是</t>
        </is>
      </c>
    </row>
    <row r="4475">
      <c r="A4475" s="7" t="inlineStr">
        <is>
          <t>2025-12-10</t>
        </is>
      </c>
      <c r="B4475" s="8" t="n">
        <v>6162</v>
      </c>
      <c r="C4475" s="8" t="n">
        <v>6209</v>
      </c>
      <c r="D4475" s="8" t="n">
        <v>6220</v>
      </c>
      <c r="E4475" s="8" t="n">
        <v>6161</v>
      </c>
      <c r="F4475" s="8" t="n">
        <v>272617</v>
      </c>
      <c r="G4475" s="8" t="n">
        <v>380203</v>
      </c>
      <c r="H4475" s="8" t="n">
        <v>6599</v>
      </c>
      <c r="I4475" s="8" t="n">
        <v>6610</v>
      </c>
      <c r="J4475" s="8" t="n">
        <v>6629</v>
      </c>
      <c r="K4475" s="8" t="n">
        <v>6559</v>
      </c>
      <c r="L4475" s="8" t="n">
        <v>280955</v>
      </c>
      <c r="M4475" s="8" t="n">
        <v>409894</v>
      </c>
      <c r="N4475" t="inlineStr">
        <is>
          <t>是</t>
        </is>
      </c>
    </row>
    <row r="4476">
      <c r="A4476" s="7" t="inlineStr">
        <is>
          <t>2025-12-11</t>
        </is>
      </c>
      <c r="B4476" s="8" t="n">
        <v>6177</v>
      </c>
      <c r="C4476" s="8" t="n">
        <v>6182</v>
      </c>
      <c r="D4476" s="8" t="n">
        <v>6232</v>
      </c>
      <c r="E4476" s="8" t="n">
        <v>6167</v>
      </c>
      <c r="F4476" s="8" t="n">
        <v>257560</v>
      </c>
      <c r="G4476" s="8" t="n">
        <v>351293</v>
      </c>
      <c r="H4476" s="8" t="n">
        <v>6558</v>
      </c>
      <c r="I4476" s="8" t="n">
        <v>6600</v>
      </c>
      <c r="J4476" s="8" t="n">
        <v>6645</v>
      </c>
      <c r="K4476" s="8" t="n">
        <v>6554</v>
      </c>
      <c r="L4476" s="8" t="n">
        <v>295211</v>
      </c>
      <c r="M4476" s="8" t="n">
        <v>451436</v>
      </c>
      <c r="N4476" t="inlineStr">
        <is>
          <t>是</t>
        </is>
      </c>
    </row>
    <row r="4477">
      <c r="A4477" s="7" t="inlineStr">
        <is>
          <t>2025-12-12</t>
        </is>
      </c>
      <c r="B4477" s="8" t="n">
        <v>6168</v>
      </c>
      <c r="C4477" s="8" t="n">
        <v>6240</v>
      </c>
      <c r="D4477" s="8" t="n">
        <v>6247</v>
      </c>
      <c r="E4477" s="8" t="n">
        <v>6155</v>
      </c>
      <c r="F4477" s="8" t="n">
        <v>285582</v>
      </c>
      <c r="G4477" s="8" t="n">
        <v>443312</v>
      </c>
      <c r="H4477" s="8" t="n">
        <v>6486</v>
      </c>
      <c r="I4477" s="8" t="n">
        <v>6552</v>
      </c>
      <c r="J4477" s="8" t="n">
        <v>6569</v>
      </c>
      <c r="K4477" s="8" t="n">
        <v>6475</v>
      </c>
      <c r="L4477" s="8" t="n">
        <v>367973</v>
      </c>
      <c r="M4477" s="8" t="n">
        <v>479677</v>
      </c>
      <c r="N4477" t="inlineStr">
        <is>
          <t>是</t>
        </is>
      </c>
    </row>
    <row r="4478">
      <c r="A4478" s="7" t="inlineStr">
        <is>
          <t>2025-12-15</t>
        </is>
      </c>
      <c r="B4478" s="8" t="n">
        <v>6254</v>
      </c>
      <c r="C4478" s="8" t="n">
        <v>6177</v>
      </c>
      <c r="D4478" s="8" t="n">
        <v>6315</v>
      </c>
      <c r="E4478" s="8" t="n">
        <v>6165</v>
      </c>
      <c r="F4478" s="8" t="n">
        <v>478514</v>
      </c>
      <c r="G4478" s="8" t="n">
        <v>486544</v>
      </c>
      <c r="H4478" s="8" t="n">
        <v>6557</v>
      </c>
      <c r="I4478" s="8" t="n">
        <v>6486</v>
      </c>
      <c r="J4478" s="8" t="n">
        <v>6619</v>
      </c>
      <c r="K4478" s="8" t="n">
        <v>6481</v>
      </c>
      <c r="L4478" s="8" t="n">
        <v>458385</v>
      </c>
      <c r="M4478" s="8" t="n">
        <v>488788</v>
      </c>
      <c r="N4478" t="inlineStr">
        <is>
          <t>是</t>
        </is>
      </c>
    </row>
    <row r="4479">
      <c r="A4479" s="7" t="inlineStr">
        <is>
          <t>2025-12-16</t>
        </is>
      </c>
      <c r="B4479" s="8" t="n">
        <v>6256</v>
      </c>
      <c r="C4479" s="8" t="n">
        <v>6240</v>
      </c>
      <c r="D4479" s="8" t="n">
        <v>6278</v>
      </c>
      <c r="E4479" s="8" t="n">
        <v>6230</v>
      </c>
      <c r="F4479" s="8" t="n">
        <v>303323</v>
      </c>
      <c r="G4479" s="8" t="n">
        <v>497942</v>
      </c>
      <c r="H4479" s="8" t="n">
        <v>6543</v>
      </c>
      <c r="I4479" s="8" t="n">
        <v>6557</v>
      </c>
      <c r="J4479" s="8" t="n">
        <v>6574</v>
      </c>
      <c r="K4479" s="8" t="n">
        <v>6526</v>
      </c>
      <c r="L4479" s="8" t="n">
        <v>300917</v>
      </c>
      <c r="M4479" s="8" t="n">
        <v>510153</v>
      </c>
      <c r="N4479" t="inlineStr">
        <is>
          <t>是</t>
        </is>
      </c>
    </row>
    <row r="4480">
      <c r="A4480" s="7" t="inlineStr">
        <is>
          <t>2025-12-17</t>
        </is>
      </c>
      <c r="B4480" s="8" t="n">
        <v>6254</v>
      </c>
      <c r="C4480" s="8" t="n">
        <v>6250</v>
      </c>
      <c r="D4480" s="8" t="n">
        <v>6275</v>
      </c>
      <c r="E4480" s="8" t="n">
        <v>6226</v>
      </c>
      <c r="F4480" s="8" t="n">
        <v>302658</v>
      </c>
      <c r="G4480" s="8" t="n">
        <v>519494</v>
      </c>
      <c r="H4480" s="8" t="n">
        <v>6479</v>
      </c>
      <c r="I4480" s="8" t="n">
        <v>6525</v>
      </c>
      <c r="J4480" s="8" t="n">
        <v>6543</v>
      </c>
      <c r="K4480" s="8" t="n">
        <v>6470</v>
      </c>
      <c r="L4480" s="8" t="n">
        <v>378254</v>
      </c>
      <c r="M4480" s="8" t="n">
        <v>540127</v>
      </c>
      <c r="N4480" t="inlineStr">
        <is>
          <t>是</t>
        </is>
      </c>
    </row>
    <row r="4481">
      <c r="A4481" s="7" t="inlineStr">
        <is>
          <t>2025-12-18</t>
        </is>
      </c>
      <c r="B4481" s="8" t="n">
        <v>6279</v>
      </c>
      <c r="C4481" s="8" t="n">
        <v>6266</v>
      </c>
      <c r="D4481" s="8" t="n">
        <v>6312</v>
      </c>
      <c r="E4481" s="8" t="n">
        <v>6263</v>
      </c>
      <c r="F4481" s="8" t="n">
        <v>330436</v>
      </c>
      <c r="G4481" s="8" t="n">
        <v>523495</v>
      </c>
      <c r="H4481" s="8" t="n">
        <v>6476</v>
      </c>
      <c r="I4481" s="8" t="n">
        <v>6488</v>
      </c>
      <c r="J4481" s="8" t="n">
        <v>6545</v>
      </c>
      <c r="K4481" s="8" t="n">
        <v>6475</v>
      </c>
      <c r="L4481" s="8" t="n">
        <v>420481</v>
      </c>
      <c r="M4481" s="8" t="n">
        <v>561776</v>
      </c>
      <c r="N4481" t="inlineStr">
        <is>
          <t>是</t>
        </is>
      </c>
    </row>
    <row r="4482">
      <c r="A4482" s="7" t="inlineStr">
        <is>
          <t>2025-12-19</t>
        </is>
      </c>
      <c r="B4482" s="8" t="n">
        <v>6213</v>
      </c>
      <c r="C4482" s="8" t="n">
        <v>6272</v>
      </c>
      <c r="D4482" s="8" t="n">
        <v>6273</v>
      </c>
      <c r="E4482" s="8" t="n">
        <v>6200</v>
      </c>
      <c r="F4482" s="8" t="n">
        <v>375015</v>
      </c>
      <c r="G4482" s="8" t="n">
        <v>533959</v>
      </c>
      <c r="H4482" s="8" t="n">
        <v>6320</v>
      </c>
      <c r="I4482" s="8" t="n">
        <v>6469</v>
      </c>
      <c r="J4482" s="8" t="n">
        <v>6470</v>
      </c>
      <c r="K4482" s="8" t="n">
        <v>6314</v>
      </c>
      <c r="L4482" s="8" t="n">
        <v>721995</v>
      </c>
      <c r="M4482" s="8" t="n">
        <v>598214</v>
      </c>
      <c r="N4482" t="inlineStr">
        <is>
          <t>是</t>
        </is>
      </c>
    </row>
    <row r="4483">
      <c r="A4483" s="7" t="inlineStr">
        <is>
          <t>2025-12-22</t>
        </is>
      </c>
      <c r="B4483" s="8" t="n">
        <v>6119</v>
      </c>
      <c r="C4483" s="8" t="n">
        <v>6220</v>
      </c>
      <c r="D4483" s="8" t="n">
        <v>6224</v>
      </c>
      <c r="E4483" s="8" t="n">
        <v>6115</v>
      </c>
      <c r="F4483" s="8" t="n">
        <v>431059</v>
      </c>
      <c r="G4483" s="8" t="n">
        <v>547795</v>
      </c>
      <c r="H4483" s="8" t="n">
        <v>6240</v>
      </c>
      <c r="I4483" s="8" t="n">
        <v>6327</v>
      </c>
      <c r="J4483" s="8" t="n">
        <v>6350</v>
      </c>
      <c r="K4483" s="8" t="n">
        <v>6234</v>
      </c>
      <c r="L4483" s="8" t="n">
        <v>668895</v>
      </c>
      <c r="M4483" s="8" t="n">
        <v>606042</v>
      </c>
      <c r="N4483" t="inlineStr">
        <is>
          <t>是</t>
        </is>
      </c>
    </row>
    <row r="4484">
      <c r="A4484" s="7" t="inlineStr">
        <is>
          <t>2025-12-23</t>
        </is>
      </c>
      <c r="B4484" s="8" t="n">
        <v>6158</v>
      </c>
      <c r="C4484" s="8" t="n">
        <v>6137</v>
      </c>
      <c r="D4484" s="8" t="n">
        <v>6221</v>
      </c>
      <c r="E4484" s="8" t="n">
        <v>6102</v>
      </c>
      <c r="F4484" s="8" t="n">
        <v>492480</v>
      </c>
      <c r="G4484" s="8" t="n">
        <v>558340</v>
      </c>
      <c r="H4484" s="8" t="n">
        <v>6296</v>
      </c>
      <c r="I4484" s="8" t="n">
        <v>6256</v>
      </c>
      <c r="J4484" s="8" t="n">
        <v>6344</v>
      </c>
      <c r="K4484" s="8" t="n">
        <v>6221</v>
      </c>
      <c r="L4484" s="8" t="n">
        <v>666834</v>
      </c>
      <c r="M4484" s="8" t="n">
        <v>581559</v>
      </c>
      <c r="N4484" t="inlineStr">
        <is>
          <t>是</t>
        </is>
      </c>
    </row>
    <row r="4485">
      <c r="A4485" s="7" t="inlineStr">
        <is>
          <t>2025-12-24</t>
        </is>
      </c>
      <c r="B4485" s="8" t="n">
        <v>6278</v>
      </c>
      <c r="C4485" s="8" t="n">
        <v>6166</v>
      </c>
      <c r="D4485" s="8" t="n">
        <v>6281</v>
      </c>
      <c r="E4485" s="8" t="n">
        <v>6157</v>
      </c>
      <c r="F4485" s="8" t="n">
        <v>455950</v>
      </c>
      <c r="G4485" s="8" t="n">
        <v>539752</v>
      </c>
      <c r="H4485" s="8" t="n">
        <v>6408</v>
      </c>
      <c r="I4485" s="8" t="n">
        <v>6310</v>
      </c>
      <c r="J4485" s="8" t="n">
        <v>6418</v>
      </c>
      <c r="K4485" s="8" t="n">
        <v>6284</v>
      </c>
      <c r="L4485" s="8" t="n">
        <v>668755</v>
      </c>
      <c r="M4485" s="8" t="n">
        <v>540352</v>
      </c>
      <c r="N4485" t="inlineStr">
        <is>
          <t>是</t>
        </is>
      </c>
    </row>
    <row r="4486">
      <c r="A4486" s="7" t="inlineStr">
        <is>
          <t>2025-12-25</t>
        </is>
      </c>
      <c r="B4486" s="8" t="n">
        <v>6266</v>
      </c>
      <c r="C4486" s="8" t="n">
        <v>6270</v>
      </c>
      <c r="D4486" s="8" t="n">
        <v>6302</v>
      </c>
      <c r="E4486" s="8" t="n">
        <v>6242</v>
      </c>
      <c r="F4486" s="8" t="n">
        <v>345419</v>
      </c>
      <c r="G4486" s="8" t="n">
        <v>536001</v>
      </c>
      <c r="H4486" s="8" t="n">
        <v>6390</v>
      </c>
      <c r="I4486" s="8" t="n">
        <v>6415</v>
      </c>
      <c r="J4486" s="8" t="n">
        <v>6446</v>
      </c>
      <c r="K4486" s="8" t="n">
        <v>6356</v>
      </c>
      <c r="L4486" s="8" t="n">
        <v>490725</v>
      </c>
      <c r="M4486" s="8" t="n">
        <v>542399</v>
      </c>
      <c r="N4486" t="inlineStr">
        <is>
          <t>是</t>
        </is>
      </c>
    </row>
    <row r="4487">
      <c r="A4487" s="7" t="inlineStr">
        <is>
          <t>2025-12-26</t>
        </is>
      </c>
      <c r="B4487" s="8" t="n">
        <v>6292</v>
      </c>
      <c r="C4487" s="8" t="n">
        <v>6263</v>
      </c>
      <c r="D4487" s="8" t="n">
        <v>6308</v>
      </c>
      <c r="E4487" s="8" t="n">
        <v>6200</v>
      </c>
      <c r="F4487" s="8" t="n">
        <v>475182</v>
      </c>
      <c r="G4487" s="8" t="n">
        <v>530699</v>
      </c>
      <c r="H4487" s="8" t="n">
        <v>6465</v>
      </c>
      <c r="I4487" s="8" t="n">
        <v>6390</v>
      </c>
      <c r="J4487" s="8" t="n">
        <v>6476</v>
      </c>
      <c r="K4487" s="8" t="n">
        <v>6323</v>
      </c>
      <c r="L4487" s="8" t="n">
        <v>605677</v>
      </c>
      <c r="M4487" s="8" t="n">
        <v>526703</v>
      </c>
      <c r="N4487" t="inlineStr">
        <is>
          <t>是</t>
        </is>
      </c>
    </row>
    <row r="4488">
      <c r="A4488" s="7" t="inlineStr">
        <is>
          <t>2025-12-29</t>
        </is>
      </c>
      <c r="B4488" s="8" t="n">
        <v>6274</v>
      </c>
      <c r="C4488" s="8" t="n">
        <v>6300</v>
      </c>
      <c r="D4488" s="8" t="n">
        <v>6321</v>
      </c>
      <c r="E4488" s="8" t="n">
        <v>6257</v>
      </c>
      <c r="F4488" s="8" t="n">
        <v>383843</v>
      </c>
      <c r="G4488" s="8" t="n">
        <v>517460</v>
      </c>
      <c r="H4488" s="8" t="n">
        <v>6453</v>
      </c>
      <c r="I4488" s="8" t="n">
        <v>6465</v>
      </c>
      <c r="J4488" s="8" t="n">
        <v>6501</v>
      </c>
      <c r="K4488" s="8" t="n">
        <v>6434</v>
      </c>
      <c r="L4488" s="8" t="n">
        <v>480437</v>
      </c>
      <c r="M4488" s="8" t="n">
        <v>509239</v>
      </c>
      <c r="N4488" t="inlineStr">
        <is>
          <t>是</t>
        </is>
      </c>
    </row>
    <row r="4489">
      <c r="A4489" s="7" t="inlineStr">
        <is>
          <t>2025-12-30</t>
        </is>
      </c>
      <c r="B4489" s="8" t="n">
        <v>6321</v>
      </c>
      <c r="C4489" s="8" t="n">
        <v>6282</v>
      </c>
      <c r="D4489" s="8" t="n">
        <v>6346</v>
      </c>
      <c r="E4489" s="8" t="n">
        <v>6271</v>
      </c>
      <c r="F4489" s="8" t="n">
        <v>368494</v>
      </c>
      <c r="G4489" s="8" t="n">
        <v>541379</v>
      </c>
      <c r="H4489" s="8" t="n">
        <v>6461</v>
      </c>
      <c r="I4489" s="8" t="n">
        <v>6460</v>
      </c>
      <c r="J4489" s="8" t="n">
        <v>6486</v>
      </c>
      <c r="K4489" s="8" t="n">
        <v>6436</v>
      </c>
      <c r="L4489" s="8" t="n">
        <v>366515</v>
      </c>
      <c r="M4489" s="8" t="n">
        <v>512784</v>
      </c>
      <c r="N4489" t="inlineStr">
        <is>
          <t>是</t>
        </is>
      </c>
    </row>
    <row r="4490">
      <c r="A4490" s="7" t="inlineStr">
        <is>
          <t>2025-12-31</t>
        </is>
      </c>
      <c r="B4490" s="8" t="n">
        <v>6348</v>
      </c>
      <c r="C4490" s="8" t="n">
        <v>6348</v>
      </c>
      <c r="D4490" s="8" t="n">
        <v>6375</v>
      </c>
      <c r="E4490" s="8" t="n">
        <v>6326</v>
      </c>
      <c r="F4490" s="8" t="n">
        <v>352722</v>
      </c>
      <c r="G4490" s="8" t="n">
        <v>507887</v>
      </c>
      <c r="H4490" s="8" t="n">
        <v>6472</v>
      </c>
      <c r="I4490" s="8" t="n">
        <v>6452</v>
      </c>
      <c r="J4490" s="8" t="n">
        <v>6498</v>
      </c>
      <c r="K4490" s="8" t="n">
        <v>6451</v>
      </c>
      <c r="L4490" s="8" t="n">
        <v>324808</v>
      </c>
      <c r="M4490" s="8" t="n">
        <v>501425</v>
      </c>
      <c r="N4490" t="inlineStr">
        <is>
          <t>是</t>
        </is>
      </c>
    </row>
    <row r="4491">
      <c r="A4491" s="7" t="inlineStr">
        <is>
          <t>2026-01-05</t>
        </is>
      </c>
      <c r="B4491" s="8" t="n">
        <v>6330</v>
      </c>
      <c r="C4491" s="8" t="n">
        <v>6365</v>
      </c>
      <c r="D4491" s="8" t="n">
        <v>6396</v>
      </c>
      <c r="E4491" s="8" t="n">
        <v>6309</v>
      </c>
      <c r="F4491" s="8" t="n">
        <v>318298</v>
      </c>
      <c r="G4491" s="8" t="n">
        <v>508422</v>
      </c>
      <c r="H4491" s="8" t="n">
        <v>6449</v>
      </c>
      <c r="I4491" s="8" t="n">
        <v>6500</v>
      </c>
      <c r="J4491" s="8" t="n">
        <v>6553</v>
      </c>
      <c r="K4491" s="8" t="n">
        <v>6433</v>
      </c>
      <c r="L4491" s="8" t="n">
        <v>397441</v>
      </c>
      <c r="M4491" s="8" t="n">
        <v>508923</v>
      </c>
      <c r="N4491" t="inlineStr">
        <is>
          <t>是</t>
        </is>
      </c>
    </row>
    <row r="4492">
      <c r="A4492" s="7" t="inlineStr">
        <is>
          <t>2026-01-06</t>
        </is>
      </c>
      <c r="B4492" s="8" t="n">
        <v>6423</v>
      </c>
      <c r="C4492" s="8" t="n">
        <v>6355</v>
      </c>
      <c r="D4492" s="8" t="n">
        <v>6439</v>
      </c>
      <c r="E4492" s="8" t="n">
        <v>6345</v>
      </c>
      <c r="F4492" s="8" t="n">
        <v>396179</v>
      </c>
      <c r="G4492" s="8" t="n">
        <v>521569</v>
      </c>
      <c r="H4492" s="8" t="n">
        <v>6579</v>
      </c>
      <c r="I4492" s="8" t="n">
        <v>6481</v>
      </c>
      <c r="J4492" s="8" t="n">
        <v>6589</v>
      </c>
      <c r="K4492" s="8" t="n">
        <v>6471</v>
      </c>
      <c r="L4492" s="8" t="n">
        <v>457863</v>
      </c>
      <c r="M4492" s="8" t="n">
        <v>507885</v>
      </c>
      <c r="N4492" t="inlineStr">
        <is>
          <t>是</t>
        </is>
      </c>
    </row>
    <row r="4493">
      <c r="A4493" s="7" t="inlineStr">
        <is>
          <t>2026-01-07</t>
        </is>
      </c>
      <c r="B4493" s="8" t="n">
        <v>6486</v>
      </c>
      <c r="C4493" s="8" t="n">
        <v>6426</v>
      </c>
      <c r="D4493" s="8" t="n">
        <v>6510</v>
      </c>
      <c r="E4493" s="8" t="n">
        <v>6425</v>
      </c>
      <c r="F4493" s="8" t="n">
        <v>485035</v>
      </c>
      <c r="G4493" s="8" t="n">
        <v>520378</v>
      </c>
      <c r="H4493" s="8" t="n">
        <v>6642</v>
      </c>
      <c r="I4493" s="8" t="n">
        <v>6595</v>
      </c>
      <c r="J4493" s="8" t="n">
        <v>6666</v>
      </c>
      <c r="K4493" s="8" t="n">
        <v>6581</v>
      </c>
      <c r="L4493" s="8" t="n">
        <v>566498</v>
      </c>
      <c r="M4493" s="8" t="n">
        <v>505678</v>
      </c>
      <c r="N4493" t="inlineStr">
        <is>
          <t>是</t>
        </is>
      </c>
    </row>
    <row r="4494">
      <c r="A4494" s="7" t="inlineStr">
        <is>
          <t>2026-01-08</t>
        </is>
      </c>
      <c r="B4494" s="8" t="n">
        <v>6484</v>
      </c>
      <c r="C4494" s="8" t="n">
        <v>6500</v>
      </c>
      <c r="D4494" s="8" t="n">
        <v>6532</v>
      </c>
      <c r="E4494" s="8" t="n">
        <v>6456</v>
      </c>
      <c r="F4494" s="8" t="n">
        <v>464634</v>
      </c>
      <c r="G4494" s="8" t="n">
        <v>511792</v>
      </c>
      <c r="H4494" s="8" t="n">
        <v>6628</v>
      </c>
      <c r="I4494" s="8" t="n">
        <v>6647</v>
      </c>
      <c r="J4494" s="8" t="n">
        <v>6720</v>
      </c>
      <c r="K4494" s="8" t="n">
        <v>6605</v>
      </c>
      <c r="L4494" s="8" t="n">
        <v>568961</v>
      </c>
      <c r="M4494" s="8" t="n">
        <v>505299</v>
      </c>
      <c r="N4494" t="inlineStr">
        <is>
          <t>是</t>
        </is>
      </c>
    </row>
    <row r="4495">
      <c r="A4495" s="7" t="inlineStr">
        <is>
          <t>2026-01-09</t>
        </is>
      </c>
      <c r="B4495" s="8" t="n">
        <v>6514</v>
      </c>
      <c r="C4495" s="8" t="n">
        <v>6498</v>
      </c>
      <c r="D4495" s="8" t="n">
        <v>6519</v>
      </c>
      <c r="E4495" s="8" t="n">
        <v>6458</v>
      </c>
      <c r="F4495" s="8" t="n">
        <v>374283</v>
      </c>
      <c r="G4495" s="8" t="n">
        <v>503324</v>
      </c>
      <c r="H4495" s="8" t="n">
        <v>6674</v>
      </c>
      <c r="I4495" s="8" t="n">
        <v>6645</v>
      </c>
      <c r="J4495" s="8" t="n">
        <v>6685</v>
      </c>
      <c r="K4495" s="8" t="n">
        <v>6602</v>
      </c>
      <c r="L4495" s="8" t="n">
        <v>425058</v>
      </c>
      <c r="M4495" s="8" t="n">
        <v>491289</v>
      </c>
      <c r="N4495" t="inlineStr">
        <is>
          <t>是</t>
        </is>
      </c>
    </row>
    <row r="4496">
      <c r="A4496" s="7" t="inlineStr">
        <is>
          <t>2026-01-12</t>
        </is>
      </c>
      <c r="B4496" s="8" t="n">
        <v>6560</v>
      </c>
      <c r="C4496" s="8" t="n">
        <v>6507</v>
      </c>
      <c r="D4496" s="8" t="n">
        <v>6564</v>
      </c>
      <c r="E4496" s="8" t="n">
        <v>6431</v>
      </c>
      <c r="F4496" s="8" t="n">
        <v>501126</v>
      </c>
      <c r="G4496" s="8" t="n">
        <v>502710</v>
      </c>
      <c r="H4496" s="8" t="n">
        <v>6737</v>
      </c>
      <c r="I4496" s="8" t="n">
        <v>6662</v>
      </c>
      <c r="J4496" s="8" t="n">
        <v>6738</v>
      </c>
      <c r="K4496" s="8" t="n">
        <v>6607</v>
      </c>
      <c r="L4496" s="8" t="n">
        <v>500823</v>
      </c>
      <c r="M4496" s="8" t="n">
        <v>490780</v>
      </c>
      <c r="N4496" t="inlineStr">
        <is>
          <t>是</t>
        </is>
      </c>
    </row>
    <row r="4497">
      <c r="A4497" s="7" t="inlineStr">
        <is>
          <t>2026-01-13</t>
        </is>
      </c>
      <c r="B4497" s="8" t="n">
        <v>6545</v>
      </c>
      <c r="C4497" s="8" t="n">
        <v>6542</v>
      </c>
      <c r="D4497" s="8" t="n">
        <v>6578</v>
      </c>
      <c r="E4497" s="8" t="n">
        <v>6500</v>
      </c>
      <c r="F4497" s="8" t="n">
        <v>427937</v>
      </c>
      <c r="G4497" s="8" t="n">
        <v>493438</v>
      </c>
      <c r="H4497" s="8" t="n">
        <v>6766</v>
      </c>
      <c r="I4497" s="8" t="n">
        <v>6722</v>
      </c>
      <c r="J4497" s="8" t="n">
        <v>6787</v>
      </c>
      <c r="K4497" s="8" t="n">
        <v>6673</v>
      </c>
      <c r="L4497" s="8" t="n">
        <v>554956</v>
      </c>
      <c r="M4497" s="8" t="n">
        <v>477388</v>
      </c>
      <c r="N4497" t="inlineStr">
        <is>
          <t>是</t>
        </is>
      </c>
    </row>
    <row r="4498">
      <c r="A4498" s="7" t="inlineStr">
        <is>
          <t>2026-01-14</t>
        </is>
      </c>
      <c r="B4498" s="8" t="n">
        <v>6590</v>
      </c>
      <c r="C4498" s="8" t="n">
        <v>6563</v>
      </c>
      <c r="D4498" s="8" t="n">
        <v>6607</v>
      </c>
      <c r="E4498" s="8" t="n">
        <v>6545</v>
      </c>
      <c r="F4498" s="8" t="n">
        <v>424090</v>
      </c>
      <c r="G4498" s="8" t="n">
        <v>484356</v>
      </c>
      <c r="H4498" s="8" t="n">
        <v>6820</v>
      </c>
      <c r="I4498" s="8" t="n">
        <v>6789</v>
      </c>
      <c r="J4498" s="8" t="n">
        <v>6866</v>
      </c>
      <c r="K4498" s="8" t="n">
        <v>6786</v>
      </c>
      <c r="L4498" s="8" t="n">
        <v>564696</v>
      </c>
      <c r="M4498" s="8" t="n">
        <v>466526</v>
      </c>
      <c r="N4498" t="inlineStr">
        <is>
          <t>是</t>
        </is>
      </c>
    </row>
    <row r="4499">
      <c r="A4499" s="7" t="inlineStr">
        <is>
          <t>2026-01-15</t>
        </is>
      </c>
      <c r="B4499" s="8" t="n">
        <v>6592</v>
      </c>
      <c r="C4499" s="8" t="n">
        <v>6612</v>
      </c>
      <c r="D4499" s="8" t="n">
        <v>6664</v>
      </c>
      <c r="E4499" s="8" t="n">
        <v>6552</v>
      </c>
      <c r="F4499" s="8" t="n">
        <v>467814</v>
      </c>
      <c r="G4499" s="8" t="n">
        <v>491662</v>
      </c>
      <c r="H4499" s="8" t="n">
        <v>6785</v>
      </c>
      <c r="I4499" s="8" t="n">
        <v>6856</v>
      </c>
      <c r="J4499" s="8" t="n">
        <v>6888</v>
      </c>
      <c r="K4499" s="8" t="n">
        <v>6746</v>
      </c>
      <c r="L4499" s="8" t="n">
        <v>553737</v>
      </c>
      <c r="M4499" s="8" t="n">
        <v>467506</v>
      </c>
      <c r="N4499" t="inlineStr">
        <is>
          <t>是</t>
        </is>
      </c>
    </row>
    <row r="4500">
      <c r="A4500" s="7" t="inlineStr">
        <is>
          <t>2026-01-16</t>
        </is>
      </c>
      <c r="B4500" s="8" t="n">
        <v>6496</v>
      </c>
      <c r="C4500" s="8" t="n">
        <v>6580</v>
      </c>
      <c r="D4500" s="8" t="n">
        <v>6604</v>
      </c>
      <c r="E4500" s="8" t="n">
        <v>6489</v>
      </c>
      <c r="F4500" s="8" t="n">
        <v>439439</v>
      </c>
      <c r="G4500" s="8" t="n">
        <v>485733</v>
      </c>
      <c r="H4500" s="8" t="n">
        <v>6695</v>
      </c>
      <c r="I4500" s="8" t="n">
        <v>6760</v>
      </c>
      <c r="J4500" s="8" t="n">
        <v>6857</v>
      </c>
      <c r="K4500" s="8" t="n">
        <v>6685</v>
      </c>
      <c r="L4500" s="8" t="n">
        <v>582489</v>
      </c>
      <c r="M4500" s="8" t="n">
        <v>471487</v>
      </c>
      <c r="N4500" t="inlineStr">
        <is>
          <t>是</t>
        </is>
      </c>
    </row>
    <row r="4501">
      <c r="A4501" s="7" t="inlineStr">
        <is>
          <t>2026-01-19</t>
        </is>
      </c>
      <c r="B4501" s="8" t="n">
        <v>6482</v>
      </c>
      <c r="C4501" s="8" t="n">
        <v>6517</v>
      </c>
      <c r="D4501" s="8" t="n">
        <v>6532</v>
      </c>
      <c r="E4501" s="8" t="n">
        <v>6477</v>
      </c>
      <c r="F4501" s="8" t="n">
        <v>302551</v>
      </c>
      <c r="G4501" s="8" t="n">
        <v>470494</v>
      </c>
      <c r="H4501" s="8" t="n">
        <v>6667</v>
      </c>
      <c r="I4501" s="8" t="n">
        <v>6705</v>
      </c>
      <c r="J4501" s="8" t="n">
        <v>6729</v>
      </c>
      <c r="K4501" s="8" t="n">
        <v>6655</v>
      </c>
      <c r="L4501" s="8" t="n">
        <v>411938</v>
      </c>
      <c r="M4501" s="8" t="n">
        <v>485464</v>
      </c>
      <c r="N4501" t="inlineStr">
        <is>
          <t>是</t>
        </is>
      </c>
    </row>
    <row r="4502">
      <c r="A4502" s="7" t="inlineStr">
        <is>
          <t>2026-01-20</t>
        </is>
      </c>
      <c r="B4502" s="8" t="n">
        <v>6461</v>
      </c>
      <c r="C4502" s="8" t="n">
        <v>6488</v>
      </c>
      <c r="D4502" s="8" t="n">
        <v>6490</v>
      </c>
      <c r="E4502" s="8" t="n">
        <v>6429</v>
      </c>
      <c r="F4502" s="8" t="n">
        <v>293559</v>
      </c>
      <c r="G4502" s="8" t="n">
        <v>466302</v>
      </c>
      <c r="H4502" s="8" t="n">
        <v>6640</v>
      </c>
      <c r="I4502" s="8" t="n">
        <v>6660</v>
      </c>
      <c r="J4502" s="8" t="n">
        <v>6664</v>
      </c>
      <c r="K4502" s="8" t="n">
        <v>6609</v>
      </c>
      <c r="L4502" s="8" t="n">
        <v>384155</v>
      </c>
      <c r="M4502" s="8" t="n">
        <v>495272</v>
      </c>
      <c r="N4502" t="inlineStr">
        <is>
          <t>是</t>
        </is>
      </c>
    </row>
    <row r="4503">
      <c r="A4503" s="7" t="inlineStr">
        <is>
          <t>2026-01-21</t>
        </is>
      </c>
      <c r="B4503" s="8" t="n">
        <v>6485</v>
      </c>
      <c r="C4503" s="8" t="n">
        <v>6470</v>
      </c>
      <c r="D4503" s="8" t="n">
        <v>6491</v>
      </c>
      <c r="E4503" s="8" t="n">
        <v>6446</v>
      </c>
      <c r="F4503" s="8" t="n">
        <v>291242</v>
      </c>
      <c r="G4503" s="8" t="n">
        <v>468323</v>
      </c>
      <c r="H4503" s="8" t="n">
        <v>6666</v>
      </c>
      <c r="I4503" s="8" t="n">
        <v>6646</v>
      </c>
      <c r="J4503" s="8" t="n">
        <v>6672</v>
      </c>
      <c r="K4503" s="8" t="n">
        <v>6616</v>
      </c>
      <c r="L4503" s="8" t="n">
        <v>374602</v>
      </c>
      <c r="M4503" s="8" t="n">
        <v>504362</v>
      </c>
      <c r="N4503" t="inlineStr">
        <is>
          <t>是</t>
        </is>
      </c>
    </row>
    <row r="4504">
      <c r="A4504" s="7" t="inlineStr">
        <is>
          <t>2026-01-22</t>
        </is>
      </c>
      <c r="B4504" s="8" t="n">
        <v>6624</v>
      </c>
      <c r="C4504" s="8" t="n">
        <v>6491</v>
      </c>
      <c r="D4504" s="8" t="n">
        <v>6624</v>
      </c>
      <c r="E4504" s="8" t="n">
        <v>6491</v>
      </c>
      <c r="F4504" s="8" t="n">
        <v>422990</v>
      </c>
      <c r="G4504" s="8" t="n">
        <v>486782</v>
      </c>
      <c r="H4504" s="8" t="n">
        <v>6814</v>
      </c>
      <c r="I4504" s="8" t="n">
        <v>6666</v>
      </c>
      <c r="J4504" s="8" t="n">
        <v>6818</v>
      </c>
      <c r="K4504" s="8" t="n">
        <v>6666</v>
      </c>
      <c r="L4504" s="8" t="n">
        <v>515971</v>
      </c>
      <c r="M4504" s="8" t="n">
        <v>515524</v>
      </c>
      <c r="N4504" t="inlineStr">
        <is>
          <t>是</t>
        </is>
      </c>
    </row>
    <row r="4505">
      <c r="A4505" s="7" t="inlineStr">
        <is>
          <t>2026-01-23</t>
        </is>
      </c>
      <c r="B4505" s="8" t="n">
        <v>6656</v>
      </c>
      <c r="C4505" s="8" t="n">
        <v>6597</v>
      </c>
      <c r="D4505" s="8" t="n">
        <v>6687</v>
      </c>
      <c r="E4505" s="8" t="n">
        <v>6584</v>
      </c>
      <c r="F4505" s="8" t="n">
        <v>555332</v>
      </c>
      <c r="G4505" s="8" t="n">
        <v>498932</v>
      </c>
      <c r="H4505" s="8" t="n">
        <v>6865</v>
      </c>
      <c r="I4505" s="8" t="n">
        <v>6805</v>
      </c>
      <c r="J4505" s="8" t="n">
        <v>6908</v>
      </c>
      <c r="K4505" s="8" t="n">
        <v>6790</v>
      </c>
      <c r="L4505" s="8" t="n">
        <v>719797</v>
      </c>
      <c r="M4505" s="8" t="n">
        <v>519056</v>
      </c>
      <c r="N4505" t="inlineStr">
        <is>
          <t>是</t>
        </is>
      </c>
    </row>
    <row r="4506">
      <c r="A4506" s="7" t="inlineStr">
        <is>
          <t>2026-01-26</t>
        </is>
      </c>
      <c r="B4506" s="8" t="n">
        <v>6737</v>
      </c>
      <c r="C4506" s="8" t="n">
        <v>6665</v>
      </c>
      <c r="D4506" s="8" t="n">
        <v>6749</v>
      </c>
      <c r="E4506" s="8" t="n">
        <v>6657</v>
      </c>
      <c r="F4506" s="8" t="n">
        <v>524463</v>
      </c>
      <c r="G4506" s="8" t="n">
        <v>521131</v>
      </c>
      <c r="H4506" s="8" t="n">
        <v>6935</v>
      </c>
      <c r="I4506" s="8" t="n">
        <v>6890</v>
      </c>
      <c r="J4506" s="8" t="n">
        <v>6955</v>
      </c>
      <c r="K4506" s="8" t="n">
        <v>6873</v>
      </c>
      <c r="L4506" s="8" t="n">
        <v>611978</v>
      </c>
      <c r="M4506" s="8" t="n">
        <v>515013</v>
      </c>
      <c r="N4506" t="inlineStr">
        <is>
          <t>是</t>
        </is>
      </c>
    </row>
    <row r="4507">
      <c r="A4507" s="7" t="inlineStr">
        <is>
          <t>2026-01-27</t>
        </is>
      </c>
      <c r="B4507" s="8" t="n">
        <v>6709</v>
      </c>
      <c r="C4507" s="8" t="n">
        <v>6726</v>
      </c>
      <c r="D4507" s="8" t="n">
        <v>6728</v>
      </c>
      <c r="E4507" s="8" t="n">
        <v>6653</v>
      </c>
      <c r="F4507" s="8" t="n">
        <v>408475</v>
      </c>
      <c r="G4507" s="8" t="n">
        <v>525931</v>
      </c>
      <c r="H4507" s="8" t="n">
        <v>6899</v>
      </c>
      <c r="I4507" s="8" t="n">
        <v>6913</v>
      </c>
      <c r="J4507" s="8" t="n">
        <v>6920</v>
      </c>
      <c r="K4507" s="8" t="n">
        <v>6831</v>
      </c>
      <c r="L4507" s="8" t="n">
        <v>496965</v>
      </c>
      <c r="M4507" s="8" t="n">
        <v>520760</v>
      </c>
      <c r="N4507" t="inlineStr">
        <is>
          <t>是</t>
        </is>
      </c>
    </row>
    <row r="4508">
      <c r="A4508" s="7" t="inlineStr">
        <is>
          <t>2026-01-28</t>
        </is>
      </c>
      <c r="B4508" s="8" t="n">
        <v>6778</v>
      </c>
      <c r="C4508" s="8" t="n">
        <v>6710</v>
      </c>
      <c r="D4508" s="8" t="n">
        <v>6808</v>
      </c>
      <c r="E4508" s="8" t="n">
        <v>6697</v>
      </c>
      <c r="F4508" s="8" t="n">
        <v>553527</v>
      </c>
      <c r="G4508" s="8" t="n">
        <v>543384</v>
      </c>
      <c r="H4508" s="8" t="n">
        <v>6967</v>
      </c>
      <c r="I4508" s="8" t="n">
        <v>6900</v>
      </c>
      <c r="J4508" s="8" t="n">
        <v>6992</v>
      </c>
      <c r="K4508" s="8" t="n">
        <v>6885</v>
      </c>
      <c r="L4508" s="8" t="n">
        <v>559235</v>
      </c>
      <c r="M4508" s="8" t="n">
        <v>531194</v>
      </c>
      <c r="N4508" t="inlineStr">
        <is>
          <t>是</t>
        </is>
      </c>
    </row>
    <row r="4509">
      <c r="A4509" s="7" t="inlineStr">
        <is>
          <t>2026-01-29</t>
        </is>
      </c>
      <c r="B4509" s="8" t="n">
        <v>6870</v>
      </c>
      <c r="C4509" s="8" t="n">
        <v>6780</v>
      </c>
      <c r="D4509" s="8" t="n">
        <v>6898</v>
      </c>
      <c r="E4509" s="8" t="n">
        <v>6780</v>
      </c>
      <c r="F4509" s="8" t="n">
        <v>471031</v>
      </c>
      <c r="G4509" s="8" t="n">
        <v>556684</v>
      </c>
      <c r="H4509" s="8" t="n">
        <v>7049</v>
      </c>
      <c r="I4509" s="8" t="n">
        <v>6980</v>
      </c>
      <c r="J4509" s="8" t="n">
        <v>7084</v>
      </c>
      <c r="K4509" s="8" t="n">
        <v>6956</v>
      </c>
      <c r="L4509" s="8" t="n">
        <v>549828</v>
      </c>
      <c r="M4509" s="8" t="n">
        <v>512824</v>
      </c>
      <c r="N4509" t="inlineStr">
        <is>
          <t>是</t>
        </is>
      </c>
    </row>
    <row r="4510">
      <c r="A4510" s="7" t="inlineStr">
        <is>
          <t>2026-01-30</t>
        </is>
      </c>
      <c r="B4510" s="8" t="n">
        <v>6824</v>
      </c>
      <c r="C4510" s="8" t="n">
        <v>6880</v>
      </c>
      <c r="D4510" s="8" t="n">
        <v>6959</v>
      </c>
      <c r="E4510" s="8" t="n">
        <v>6765</v>
      </c>
      <c r="F4510" s="8" t="n">
        <v>704541</v>
      </c>
      <c r="G4510" s="8" t="n">
        <v>529952</v>
      </c>
      <c r="H4510" s="8" t="n">
        <v>7014</v>
      </c>
      <c r="I4510" s="8" t="n">
        <v>7055</v>
      </c>
      <c r="J4510" s="8" t="n">
        <v>7139</v>
      </c>
      <c r="K4510" s="8" t="n">
        <v>6945</v>
      </c>
      <c r="L4510" s="8" t="n">
        <v>784328</v>
      </c>
      <c r="M4510" s="8" t="n">
        <v>503743</v>
      </c>
      <c r="N4510" t="inlineStr">
        <is>
          <t>是</t>
        </is>
      </c>
    </row>
    <row r="4511">
      <c r="A4511" s="7" t="inlineStr">
        <is>
          <t>2026-02-02</t>
        </is>
      </c>
      <c r="B4511" s="8" t="n">
        <v>6714</v>
      </c>
      <c r="C4511" s="8" t="n">
        <v>6857</v>
      </c>
      <c r="D4511" s="8" t="n">
        <v>6896</v>
      </c>
      <c r="E4511" s="8" t="n">
        <v>6669</v>
      </c>
      <c r="F4511" s="8" t="n">
        <v>634599</v>
      </c>
      <c r="G4511" s="8" t="n">
        <v>509663</v>
      </c>
      <c r="H4511" s="8" t="n">
        <v>6878</v>
      </c>
      <c r="I4511" s="8" t="n">
        <v>7029</v>
      </c>
      <c r="J4511" s="8" t="n">
        <v>7086</v>
      </c>
      <c r="K4511" s="8" t="n">
        <v>6821</v>
      </c>
      <c r="L4511" s="8" t="n">
        <v>774451</v>
      </c>
      <c r="M4511" s="8" t="n">
        <v>496426</v>
      </c>
      <c r="N4511" t="inlineStr">
        <is>
          <t>是</t>
        </is>
      </c>
    </row>
    <row r="4512">
      <c r="A4512" s="7" t="inlineStr">
        <is>
          <t>2026-02-03</t>
        </is>
      </c>
      <c r="B4512" s="8" t="n">
        <v>6730</v>
      </c>
      <c r="C4512" s="8" t="n">
        <v>6728</v>
      </c>
      <c r="D4512" s="8" t="n">
        <v>6771</v>
      </c>
      <c r="E4512" s="8" t="n">
        <v>6681</v>
      </c>
      <c r="F4512" s="8" t="n">
        <v>413952</v>
      </c>
      <c r="G4512" s="8" t="n">
        <v>509892</v>
      </c>
      <c r="H4512" s="8" t="n">
        <v>6865</v>
      </c>
      <c r="I4512" s="8" t="n">
        <v>6890</v>
      </c>
      <c r="J4512" s="8" t="n">
        <v>6937</v>
      </c>
      <c r="K4512" s="8" t="n">
        <v>6811</v>
      </c>
      <c r="L4512" s="8" t="n">
        <v>542177</v>
      </c>
      <c r="M4512" s="8" t="n">
        <v>511685</v>
      </c>
      <c r="N4512" t="inlineStr">
        <is>
          <t>是</t>
        </is>
      </c>
    </row>
    <row r="4513">
      <c r="A4513" s="7" t="inlineStr">
        <is>
          <t>2026-02-04</t>
        </is>
      </c>
      <c r="B4513" s="8" t="n">
        <v>6801</v>
      </c>
      <c r="C4513" s="8" t="n">
        <v>6747</v>
      </c>
      <c r="D4513" s="8" t="n">
        <v>6824</v>
      </c>
      <c r="E4513" s="8" t="n">
        <v>6727</v>
      </c>
      <c r="F4513" s="8" t="n">
        <v>380922</v>
      </c>
      <c r="G4513" s="8" t="n">
        <v>521043</v>
      </c>
      <c r="H4513" s="8" t="n">
        <v>6918</v>
      </c>
      <c r="I4513" s="8" t="n">
        <v>6870</v>
      </c>
      <c r="J4513" s="8" t="n">
        <v>6945</v>
      </c>
      <c r="K4513" s="8" t="n">
        <v>6854</v>
      </c>
      <c r="L4513" s="8" t="n">
        <v>410254</v>
      </c>
      <c r="M4513" s="8" t="n">
        <v>529051</v>
      </c>
      <c r="N4513" t="inlineStr">
        <is>
          <t>是</t>
        </is>
      </c>
    </row>
    <row r="4514">
      <c r="A4514" s="7" t="inlineStr">
        <is>
          <t>2026-02-05</t>
        </is>
      </c>
      <c r="B4514" s="8" t="n">
        <v>6676</v>
      </c>
      <c r="C4514" s="8" t="n">
        <v>6788</v>
      </c>
      <c r="D4514" s="8" t="n">
        <v>6788</v>
      </c>
      <c r="E4514" s="8" t="n">
        <v>6658</v>
      </c>
      <c r="F4514" s="8" t="n">
        <v>438314</v>
      </c>
      <c r="G4514" s="8" t="n">
        <v>497935</v>
      </c>
      <c r="H4514" s="8" t="n">
        <v>6777</v>
      </c>
      <c r="I4514" s="8" t="n">
        <v>6900</v>
      </c>
      <c r="J4514" s="8" t="n">
        <v>6900</v>
      </c>
      <c r="K4514" s="8" t="n">
        <v>6750</v>
      </c>
      <c r="L4514" s="8" t="n">
        <v>535505</v>
      </c>
      <c r="M4514" s="8" t="n">
        <v>522504</v>
      </c>
      <c r="N4514" t="inlineStr">
        <is>
          <t>是</t>
        </is>
      </c>
    </row>
    <row r="4515">
      <c r="A4515" s="7" t="inlineStr">
        <is>
          <t>2026-02-06</t>
        </is>
      </c>
      <c r="B4515" s="8" t="n">
        <v>6691</v>
      </c>
      <c r="C4515" s="8" t="n">
        <v>6669</v>
      </c>
      <c r="D4515" s="8" t="n">
        <v>6708</v>
      </c>
      <c r="E4515" s="8" t="n">
        <v>6607</v>
      </c>
      <c r="F4515" s="8" t="n">
        <v>385619</v>
      </c>
      <c r="G4515" s="8" t="n">
        <v>483821</v>
      </c>
      <c r="H4515" s="8" t="n">
        <v>6812</v>
      </c>
      <c r="I4515" s="8" t="n">
        <v>6768</v>
      </c>
      <c r="J4515" s="8" t="n">
        <v>6822</v>
      </c>
      <c r="K4515" s="8" t="n">
        <v>6712</v>
      </c>
      <c r="L4515" s="8" t="n">
        <v>468247</v>
      </c>
      <c r="M4515" s="8" t="n">
        <v>503244</v>
      </c>
      <c r="N4515" t="inlineStr">
        <is>
          <t>是</t>
        </is>
      </c>
    </row>
    <row r="4516">
      <c r="A4516" s="7" t="inlineStr">
        <is>
          <t>2026-02-09</t>
        </is>
      </c>
      <c r="B4516" s="8" t="n">
        <v>6630</v>
      </c>
      <c r="C4516" s="8" t="n">
        <v>6666</v>
      </c>
      <c r="D4516" s="8" t="n">
        <v>6684</v>
      </c>
      <c r="E4516" s="8" t="n">
        <v>6630</v>
      </c>
      <c r="F4516" s="8" t="n">
        <v>252557</v>
      </c>
      <c r="G4516" s="8" t="n">
        <v>490341</v>
      </c>
      <c r="H4516" s="8" t="n">
        <v>6721</v>
      </c>
      <c r="I4516" s="8" t="n">
        <v>6769</v>
      </c>
      <c r="J4516" s="8" t="n">
        <v>6790</v>
      </c>
      <c r="K4516" s="8" t="n">
        <v>6715</v>
      </c>
      <c r="L4516" s="8" t="n">
        <v>327062</v>
      </c>
      <c r="M4516" s="8" t="n">
        <v>518609</v>
      </c>
      <c r="N4516" t="inlineStr">
        <is>
          <t>是</t>
        </is>
      </c>
    </row>
    <row r="4517">
      <c r="A4517" s="7" t="inlineStr">
        <is>
          <t>2026-02-10</t>
        </is>
      </c>
      <c r="B4517" s="8" t="n">
        <v>6688</v>
      </c>
      <c r="C4517" s="8" t="n">
        <v>6670</v>
      </c>
      <c r="D4517" s="8" t="n">
        <v>6691</v>
      </c>
      <c r="E4517" s="8" t="n">
        <v>6627</v>
      </c>
      <c r="F4517" s="8" t="n">
        <v>257385</v>
      </c>
      <c r="G4517" s="8" t="n">
        <v>488568</v>
      </c>
      <c r="H4517" s="8" t="n">
        <v>6775</v>
      </c>
      <c r="I4517" s="8" t="n">
        <v>6750</v>
      </c>
      <c r="J4517" s="8" t="n">
        <v>6779</v>
      </c>
      <c r="K4517" s="8" t="n">
        <v>6723</v>
      </c>
      <c r="L4517" s="8" t="n">
        <v>282260</v>
      </c>
      <c r="M4517" s="8" t="n">
        <v>512614</v>
      </c>
      <c r="N4517" t="inlineStr">
        <is>
          <t>是</t>
        </is>
      </c>
    </row>
    <row r="4518">
      <c r="A4518" s="7" t="inlineStr">
        <is>
          <t>2026-02-11</t>
        </is>
      </c>
      <c r="B4518" s="8" t="n">
        <v>6693</v>
      </c>
      <c r="C4518" s="8" t="n">
        <v>6665</v>
      </c>
      <c r="D4518" s="8" t="n">
        <v>6720</v>
      </c>
      <c r="E4518" s="8" t="n">
        <v>6665</v>
      </c>
      <c r="F4518" s="8" t="n">
        <v>246301</v>
      </c>
      <c r="G4518" s="8" t="n">
        <v>486837</v>
      </c>
      <c r="H4518" s="8" t="n">
        <v>6787</v>
      </c>
      <c r="I4518" s="8" t="n">
        <v>6775</v>
      </c>
      <c r="J4518" s="8" t="n">
        <v>6808</v>
      </c>
      <c r="K4518" s="8" t="n">
        <v>6763</v>
      </c>
      <c r="L4518" s="8" t="n">
        <v>278339</v>
      </c>
      <c r="M4518" s="8" t="n">
        <v>503917</v>
      </c>
      <c r="N4518" t="inlineStr">
        <is>
          <t>是</t>
        </is>
      </c>
    </row>
    <row r="4519">
      <c r="A4519" s="7" t="inlineStr">
        <is>
          <t>2026-02-12</t>
        </is>
      </c>
      <c r="B4519" s="8" t="n">
        <v>6648</v>
      </c>
      <c r="C4519" s="8" t="n">
        <v>6715</v>
      </c>
      <c r="D4519" s="8" t="n">
        <v>6730</v>
      </c>
      <c r="E4519" s="8" t="n">
        <v>6648</v>
      </c>
      <c r="F4519" s="8" t="n">
        <v>210709</v>
      </c>
      <c r="G4519" s="8" t="n">
        <v>479342</v>
      </c>
      <c r="H4519" s="8" t="n">
        <v>6734</v>
      </c>
      <c r="I4519" s="8" t="n">
        <v>6820</v>
      </c>
      <c r="J4519" s="8" t="n">
        <v>6834</v>
      </c>
      <c r="K4519" s="8" t="n">
        <v>6732</v>
      </c>
      <c r="L4519" s="8" t="n">
        <v>258012</v>
      </c>
      <c r="M4519" s="8" t="n">
        <v>501315</v>
      </c>
      <c r="N4519" t="inlineStr">
        <is>
          <t>是</t>
        </is>
      </c>
    </row>
    <row r="4520">
      <c r="A4520" s="7" t="inlineStr">
        <is>
          <t>2026-02-13</t>
        </is>
      </c>
      <c r="B4520" s="8" t="n">
        <v>6568</v>
      </c>
      <c r="C4520" s="8" t="n">
        <v>6628</v>
      </c>
      <c r="D4520" s="8" t="n">
        <v>6655</v>
      </c>
      <c r="E4520" s="8" t="n">
        <v>6552</v>
      </c>
      <c r="F4520" s="8" t="n">
        <v>287737</v>
      </c>
      <c r="G4520" s="8" t="n">
        <v>454028</v>
      </c>
      <c r="H4520" s="8" t="n">
        <v>6644</v>
      </c>
      <c r="I4520" s="8" t="n">
        <v>6726</v>
      </c>
      <c r="J4520" s="8" t="n">
        <v>6751</v>
      </c>
      <c r="K4520" s="8" t="n">
        <v>6626</v>
      </c>
      <c r="L4520" s="8" t="n">
        <v>311876</v>
      </c>
      <c r="M4520" s="8" t="n">
        <v>484194</v>
      </c>
      <c r="N4520" t="inlineStr">
        <is>
          <t>是</t>
        </is>
      </c>
    </row>
    <row r="4521">
      <c r="A4521" s="7" t="inlineStr">
        <is>
          <t>2026-02-24</t>
        </is>
      </c>
      <c r="B4521" s="8" t="n">
        <v>6746</v>
      </c>
      <c r="C4521" s="8" t="n">
        <v>6650</v>
      </c>
      <c r="D4521" s="8" t="n">
        <v>6766</v>
      </c>
      <c r="E4521" s="8" t="n">
        <v>6640</v>
      </c>
      <c r="F4521" s="8" t="n">
        <v>303551</v>
      </c>
      <c r="G4521" s="8" t="n">
        <v>472393</v>
      </c>
      <c r="H4521" s="8" t="n">
        <v>6820</v>
      </c>
      <c r="I4521" s="8" t="n">
        <v>6730</v>
      </c>
      <c r="J4521" s="8" t="n">
        <v>6855</v>
      </c>
      <c r="K4521" s="8" t="n">
        <v>6707</v>
      </c>
      <c r="L4521" s="8" t="n">
        <v>354901</v>
      </c>
      <c r="M4521" s="8" t="n">
        <v>482234</v>
      </c>
      <c r="N4521" t="inlineStr">
        <is>
          <t>是</t>
        </is>
      </c>
    </row>
    <row r="4522">
      <c r="A4522" s="7" t="inlineStr">
        <is>
          <t>2026-02-25</t>
        </is>
      </c>
      <c r="B4522" s="8" t="n">
        <v>6720</v>
      </c>
      <c r="C4522" s="8" t="n">
        <v>6733</v>
      </c>
      <c r="D4522" s="8" t="n">
        <v>6769</v>
      </c>
      <c r="E4522" s="8" t="n">
        <v>6709</v>
      </c>
      <c r="F4522" s="8" t="n">
        <v>273871</v>
      </c>
      <c r="G4522" s="8" t="n">
        <v>479790</v>
      </c>
      <c r="H4522" s="8" t="n">
        <v>6777</v>
      </c>
      <c r="I4522" s="8" t="n">
        <v>6810</v>
      </c>
      <c r="J4522" s="8" t="n">
        <v>6846</v>
      </c>
      <c r="K4522" s="8" t="n">
        <v>6766</v>
      </c>
      <c r="L4522" s="8" t="n">
        <v>340289</v>
      </c>
      <c r="M4522" s="8" t="n">
        <v>507884</v>
      </c>
      <c r="N4522" t="inlineStr">
        <is>
          <t>是</t>
        </is>
      </c>
    </row>
    <row r="4523">
      <c r="A4523" s="7" t="inlineStr">
        <is>
          <t>2026-02-26</t>
        </is>
      </c>
      <c r="B4523" s="8" t="n">
        <v>6675</v>
      </c>
      <c r="C4523" s="8" t="n">
        <v>6757</v>
      </c>
      <c r="D4523" s="8" t="n">
        <v>6782</v>
      </c>
      <c r="E4523" s="8" t="n">
        <v>6666</v>
      </c>
      <c r="F4523" s="8" t="n">
        <v>380374</v>
      </c>
      <c r="G4523" s="8" t="n">
        <v>507462</v>
      </c>
      <c r="H4523" s="8" t="n">
        <v>6668</v>
      </c>
      <c r="I4523" s="8" t="n">
        <v>6777</v>
      </c>
      <c r="J4523" s="8" t="n">
        <v>6816</v>
      </c>
      <c r="K4523" s="8" t="n">
        <v>6660</v>
      </c>
      <c r="L4523" s="8" t="n">
        <v>397125</v>
      </c>
      <c r="M4523" s="8" t="n">
        <v>550407</v>
      </c>
      <c r="N4523" t="inlineStr">
        <is>
          <t>是</t>
        </is>
      </c>
    </row>
    <row r="4524">
      <c r="A4524" s="7" t="inlineStr">
        <is>
          <t>2026-02-27</t>
        </is>
      </c>
      <c r="B4524" s="8" t="n">
        <v>6611</v>
      </c>
      <c r="C4524" s="8" t="n">
        <v>6658</v>
      </c>
      <c r="D4524" s="8" t="n">
        <v>6658</v>
      </c>
      <c r="E4524" s="8" t="n">
        <v>6554</v>
      </c>
      <c r="F4524" s="8" t="n">
        <v>407409</v>
      </c>
      <c r="G4524" s="8" t="n">
        <v>490473</v>
      </c>
      <c r="H4524" s="8" t="n">
        <v>6597</v>
      </c>
      <c r="I4524" s="8" t="n">
        <v>6641</v>
      </c>
      <c r="J4524" s="8" t="n">
        <v>6641</v>
      </c>
      <c r="K4524" s="8" t="n">
        <v>6553</v>
      </c>
      <c r="L4524" s="8" t="n">
        <v>482487</v>
      </c>
      <c r="M4524" s="8" t="n">
        <v>566078</v>
      </c>
      <c r="N4524" t="inlineStr">
        <is>
          <t>是</t>
        </is>
      </c>
    </row>
    <row r="4525">
      <c r="A4525" s="7" t="inlineStr">
        <is>
          <t>2026-03-02</t>
        </is>
      </c>
      <c r="B4525" s="8" t="n">
        <v>6998</v>
      </c>
      <c r="C4525" s="8" t="n">
        <v>6680</v>
      </c>
      <c r="D4525" s="8" t="n">
        <v>6998</v>
      </c>
      <c r="E4525" s="8" t="n">
        <v>6635</v>
      </c>
      <c r="F4525" s="8" t="n">
        <v>888436</v>
      </c>
      <c r="G4525" s="8" t="n">
        <v>498613</v>
      </c>
      <c r="H4525" s="8" t="n">
        <v>6991</v>
      </c>
      <c r="I4525" s="8" t="n">
        <v>6630</v>
      </c>
      <c r="J4525" s="8" t="n">
        <v>6991</v>
      </c>
      <c r="K4525" s="8" t="n">
        <v>6624</v>
      </c>
      <c r="L4525" s="8" t="n">
        <v>963478</v>
      </c>
      <c r="M4525" s="8" t="n">
        <v>505479</v>
      </c>
      <c r="N4525" t="inlineStr">
        <is>
          <t>是</t>
        </is>
      </c>
    </row>
    <row r="4526">
      <c r="A4526" s="7" t="inlineStr">
        <is>
          <t>2026-03-03</t>
        </is>
      </c>
      <c r="B4526" s="8" t="n">
        <v>7223</v>
      </c>
      <c r="C4526" s="8" t="n">
        <v>7037</v>
      </c>
      <c r="D4526" s="8" t="n">
        <v>7223</v>
      </c>
      <c r="E4526" s="8" t="n">
        <v>7021</v>
      </c>
      <c r="F4526" s="8" t="n">
        <v>1031797</v>
      </c>
      <c r="G4526" s="8" t="n">
        <v>502966</v>
      </c>
      <c r="H4526" s="8" t="n">
        <v>7200</v>
      </c>
      <c r="I4526" s="8" t="n">
        <v>7047</v>
      </c>
      <c r="J4526" s="8" t="n">
        <v>7200</v>
      </c>
      <c r="K4526" s="8" t="n">
        <v>6976</v>
      </c>
      <c r="L4526" s="8" t="n">
        <v>1035216</v>
      </c>
      <c r="M4526" s="8" t="n">
        <v>436928</v>
      </c>
      <c r="N4526" t="inlineStr">
        <is>
          <t>是</t>
        </is>
      </c>
    </row>
    <row r="4527">
      <c r="A4527" s="7" t="inlineStr">
        <is>
          <t>2026-03-04</t>
        </is>
      </c>
      <c r="B4527" s="8" t="n">
        <v>7506</v>
      </c>
      <c r="C4527" s="8" t="n">
        <v>7450</v>
      </c>
      <c r="D4527" s="8" t="n">
        <v>7646</v>
      </c>
      <c r="E4527" s="8" t="n">
        <v>7188</v>
      </c>
      <c r="F4527" s="8" t="n">
        <v>1554019</v>
      </c>
      <c r="G4527" s="8" t="n">
        <v>464543</v>
      </c>
      <c r="H4527" s="8" t="n">
        <v>7355</v>
      </c>
      <c r="I4527" s="8" t="n">
        <v>7350</v>
      </c>
      <c r="J4527" s="8" t="n">
        <v>7529</v>
      </c>
      <c r="K4527" s="8" t="n">
        <v>7140</v>
      </c>
      <c r="L4527" s="8" t="n">
        <v>1382497</v>
      </c>
      <c r="M4527" s="8" t="n">
        <v>381697</v>
      </c>
      <c r="N4527" t="inlineStr">
        <is>
          <t>是</t>
        </is>
      </c>
    </row>
    <row r="4528">
      <c r="A4528" s="7" t="inlineStr">
        <is>
          <t>2026-03-05</t>
        </is>
      </c>
      <c r="B4528" s="8" t="n">
        <v>7458</v>
      </c>
      <c r="C4528" s="8" t="n">
        <v>7360</v>
      </c>
      <c r="D4528" s="8" t="n">
        <v>7719</v>
      </c>
      <c r="E4528" s="8" t="n">
        <v>7282</v>
      </c>
      <c r="F4528" s="8" t="n">
        <v>1514753</v>
      </c>
      <c r="G4528" s="8" t="n">
        <v>476193</v>
      </c>
      <c r="H4528" s="8" t="n">
        <v>7393</v>
      </c>
      <c r="I4528" s="8" t="n">
        <v>7275</v>
      </c>
      <c r="J4528" s="8" t="n">
        <v>7624</v>
      </c>
      <c r="K4528" s="8" t="n">
        <v>7202</v>
      </c>
      <c r="L4528" s="8" t="n">
        <v>1319287</v>
      </c>
      <c r="M4528" s="8" t="n">
        <v>390543</v>
      </c>
      <c r="N4528" t="inlineStr">
        <is>
          <t>是</t>
        </is>
      </c>
    </row>
    <row r="4529">
      <c r="A4529" s="7" t="inlineStr">
        <is>
          <t>2026-03-06</t>
        </is>
      </c>
      <c r="B4529" s="8" t="n">
        <v>7797</v>
      </c>
      <c r="C4529" s="8" t="n">
        <v>7555</v>
      </c>
      <c r="D4529" s="8" t="n">
        <v>7800</v>
      </c>
      <c r="E4529" s="8" t="n">
        <v>7424</v>
      </c>
      <c r="F4529" s="8" t="n">
        <v>1233367</v>
      </c>
      <c r="G4529" s="8" t="n">
        <v>493414</v>
      </c>
      <c r="H4529" s="8" t="n">
        <v>7691</v>
      </c>
      <c r="I4529" s="8" t="n">
        <v>7494</v>
      </c>
      <c r="J4529" s="8" t="n">
        <v>7695</v>
      </c>
      <c r="K4529" s="8" t="n">
        <v>7360</v>
      </c>
      <c r="L4529" s="8" t="n">
        <v>1100826</v>
      </c>
      <c r="M4529" s="8" t="n">
        <v>409024</v>
      </c>
      <c r="N4529" t="inlineStr">
        <is>
          <t>是</t>
        </is>
      </c>
    </row>
    <row r="4530">
      <c r="A4530" s="7" t="inlineStr">
        <is>
          <t>2026-03-09</t>
        </is>
      </c>
      <c r="B4530" s="8" t="n">
        <v>8034</v>
      </c>
      <c r="C4530" s="8" t="n">
        <v>8034</v>
      </c>
      <c r="D4530" s="8" t="n">
        <v>8034</v>
      </c>
      <c r="E4530" s="8" t="n">
        <v>7944</v>
      </c>
      <c r="F4530" s="8" t="n">
        <v>535709</v>
      </c>
      <c r="G4530" s="8" t="n">
        <v>480035</v>
      </c>
      <c r="H4530" s="8" t="n">
        <v>7944</v>
      </c>
      <c r="I4530" s="8" t="n">
        <v>7938</v>
      </c>
      <c r="J4530" s="8" t="n">
        <v>7944</v>
      </c>
      <c r="K4530" s="8" t="n">
        <v>7838</v>
      </c>
      <c r="L4530" s="8" t="n">
        <v>497924</v>
      </c>
      <c r="M4530" s="8" t="n">
        <v>410391</v>
      </c>
      <c r="N4530" t="inlineStr">
        <is>
          <t>是</t>
        </is>
      </c>
    </row>
    <row r="4531">
      <c r="A4531" s="7" t="inlineStr">
        <is>
          <t>2026-03-10</t>
        </is>
      </c>
      <c r="B4531" s="8" t="n">
        <v>7820</v>
      </c>
      <c r="C4531" s="8" t="n">
        <v>8727</v>
      </c>
      <c r="D4531" s="8" t="n">
        <v>8727</v>
      </c>
      <c r="E4531" s="8" t="n">
        <v>7500</v>
      </c>
      <c r="F4531" s="8" t="n">
        <v>1454118</v>
      </c>
      <c r="G4531" s="8" t="n">
        <v>363820</v>
      </c>
      <c r="H4531" s="8" t="n">
        <v>7767</v>
      </c>
      <c r="I4531" s="8" t="n">
        <v>8627</v>
      </c>
      <c r="J4531" s="8" t="n">
        <v>8627</v>
      </c>
      <c r="K4531" s="8" t="n">
        <v>7350</v>
      </c>
      <c r="L4531" s="8" t="n">
        <v>1362346</v>
      </c>
      <c r="M4531" s="8" t="n">
        <v>313387</v>
      </c>
      <c r="N4531" t="inlineStr">
        <is>
          <t>是</t>
        </is>
      </c>
    </row>
    <row r="4532">
      <c r="A4532" s="7" t="inlineStr">
        <is>
          <t>2026-03-11</t>
        </is>
      </c>
      <c r="B4532" s="8" t="n">
        <v>8197</v>
      </c>
      <c r="C4532" s="8" t="n">
        <v>8000</v>
      </c>
      <c r="D4532" s="8" t="n">
        <v>8298</v>
      </c>
      <c r="E4532" s="8" t="n">
        <v>7633</v>
      </c>
      <c r="F4532" s="8" t="n">
        <v>1181121</v>
      </c>
      <c r="G4532" s="8" t="n">
        <v>421712</v>
      </c>
      <c r="H4532" s="8" t="n">
        <v>8154</v>
      </c>
      <c r="I4532" s="8" t="n">
        <v>7800</v>
      </c>
      <c r="J4532" s="8" t="n">
        <v>8245</v>
      </c>
      <c r="K4532" s="8" t="n">
        <v>7550</v>
      </c>
      <c r="L4532" s="8" t="n">
        <v>1024821</v>
      </c>
      <c r="M4532" s="8" t="n">
        <v>322673</v>
      </c>
      <c r="N4532" t="inlineStr">
        <is>
          <t>是</t>
        </is>
      </c>
    </row>
    <row r="4533">
      <c r="A4533" s="7" t="inlineStr">
        <is>
          <t>2026-03-12</t>
        </is>
      </c>
      <c r="B4533" s="8" t="n">
        <v>8303</v>
      </c>
      <c r="C4533" s="8" t="n">
        <v>8399</v>
      </c>
      <c r="D4533" s="8" t="n">
        <v>8697</v>
      </c>
      <c r="E4533" s="8" t="n">
        <v>8270</v>
      </c>
      <c r="F4533" s="8" t="n">
        <v>1381318</v>
      </c>
      <c r="G4533" s="8" t="n">
        <v>410773</v>
      </c>
      <c r="H4533" s="8" t="n">
        <v>8236</v>
      </c>
      <c r="I4533" s="8" t="n">
        <v>8400</v>
      </c>
      <c r="J4533" s="8" t="n">
        <v>8617</v>
      </c>
      <c r="K4533" s="8" t="n">
        <v>8190</v>
      </c>
      <c r="L4533" s="8" t="n">
        <v>1238840</v>
      </c>
      <c r="M4533" s="8" t="n">
        <v>327108</v>
      </c>
      <c r="N4533" t="inlineStr">
        <is>
          <t>是</t>
        </is>
      </c>
    </row>
    <row r="4534">
      <c r="A4534" s="7" t="inlineStr">
        <is>
          <t>2026-03-13</t>
        </is>
      </c>
      <c r="B4534" s="8" t="n">
        <v>8603</v>
      </c>
      <c r="C4534" s="8" t="n">
        <v>8350</v>
      </c>
      <c r="D4534" s="8" t="n">
        <v>8763</v>
      </c>
      <c r="E4534" s="8" t="n">
        <v>8314</v>
      </c>
      <c r="F4534" s="8" t="n">
        <v>1291066</v>
      </c>
      <c r="G4534" s="8" t="n">
        <v>420700</v>
      </c>
      <c r="H4534" s="8" t="n">
        <v>8416</v>
      </c>
      <c r="I4534" s="8" t="n">
        <v>8250</v>
      </c>
      <c r="J4534" s="8" t="n">
        <v>8584</v>
      </c>
      <c r="K4534" s="8" t="n">
        <v>8226</v>
      </c>
      <c r="L4534" s="8" t="n">
        <v>1098844</v>
      </c>
      <c r="M4534" s="8" t="n">
        <v>342523</v>
      </c>
      <c r="N4534" t="inlineStr">
        <is>
          <t>是</t>
        </is>
      </c>
    </row>
    <row r="4535">
      <c r="A4535" s="7" t="inlineStr">
        <is>
          <t>2026-03-16</t>
        </is>
      </c>
      <c r="B4535" s="8" t="n">
        <v>8857</v>
      </c>
      <c r="C4535" s="8" t="n">
        <v>8550</v>
      </c>
      <c r="D4535" s="8" t="n">
        <v>9090</v>
      </c>
      <c r="E4535" s="8" t="n">
        <v>8447</v>
      </c>
      <c r="F4535" s="8" t="n">
        <v>1179294</v>
      </c>
      <c r="G4535" s="8" t="n">
        <v>415782</v>
      </c>
      <c r="H4535" s="8" t="n">
        <v>8677</v>
      </c>
      <c r="I4535" s="8" t="n">
        <v>8342</v>
      </c>
      <c r="J4535" s="8" t="n">
        <v>8894</v>
      </c>
      <c r="K4535" s="8" t="n">
        <v>8288</v>
      </c>
      <c r="L4535" s="8" t="n">
        <v>983305</v>
      </c>
      <c r="M4535" s="8" t="n">
        <v>344947</v>
      </c>
      <c r="N4535" t="inlineStr">
        <is>
          <t>是</t>
        </is>
      </c>
    </row>
    <row r="4536">
      <c r="A4536" s="7" t="inlineStr">
        <is>
          <t>2026-03-17</t>
        </is>
      </c>
      <c r="B4536" s="8" t="n">
        <v>8671</v>
      </c>
      <c r="C4536" s="8" t="n">
        <v>8750</v>
      </c>
      <c r="D4536" s="8" t="n">
        <v>8768</v>
      </c>
      <c r="E4536" s="8" t="n">
        <v>8460</v>
      </c>
      <c r="F4536" s="8" t="n">
        <v>923263</v>
      </c>
      <c r="G4536" s="8" t="n">
        <v>373309</v>
      </c>
      <c r="H4536" s="8" t="n">
        <v>8496</v>
      </c>
      <c r="I4536" s="8" t="n">
        <v>8505</v>
      </c>
      <c r="J4536" s="8" t="n">
        <v>8616</v>
      </c>
      <c r="K4536" s="8" t="n">
        <v>8340</v>
      </c>
      <c r="L4536" s="8" t="n">
        <v>849817</v>
      </c>
      <c r="M4536" s="8" t="n">
        <v>333729</v>
      </c>
      <c r="N4536" t="inlineStr">
        <is>
          <t>是</t>
        </is>
      </c>
    </row>
    <row r="4537">
      <c r="A4537" s="7" t="inlineStr">
        <is>
          <t>2026-03-18</t>
        </is>
      </c>
      <c r="B4537" s="8" t="n">
        <v>8628</v>
      </c>
      <c r="C4537" s="8" t="n">
        <v>8625</v>
      </c>
      <c r="D4537" s="8" t="n">
        <v>8895</v>
      </c>
      <c r="E4537" s="8" t="n">
        <v>8530</v>
      </c>
      <c r="F4537" s="8" t="n">
        <v>945787</v>
      </c>
      <c r="G4537" s="8" t="n">
        <v>372576</v>
      </c>
      <c r="H4537" s="8" t="n">
        <v>8431</v>
      </c>
      <c r="I4537" s="8" t="n">
        <v>8426</v>
      </c>
      <c r="J4537" s="8" t="n">
        <v>8683</v>
      </c>
      <c r="K4537" s="8" t="n">
        <v>8357</v>
      </c>
      <c r="L4537" s="8" t="n">
        <v>789359</v>
      </c>
      <c r="M4537" s="8" t="n">
        <v>343958</v>
      </c>
      <c r="N4537" t="inlineStr">
        <is>
          <t>是</t>
        </is>
      </c>
    </row>
    <row r="4538">
      <c r="A4538" s="7" t="inlineStr">
        <is>
          <t>2026-03-19</t>
        </is>
      </c>
      <c r="B4538" s="8" t="n">
        <v>9158</v>
      </c>
      <c r="C4538" s="8" t="n">
        <v>9005</v>
      </c>
      <c r="D4538" s="8" t="n">
        <v>9348</v>
      </c>
      <c r="E4538" s="8" t="n">
        <v>8896</v>
      </c>
      <c r="F4538" s="8" t="n">
        <v>1188717</v>
      </c>
      <c r="G4538" s="8" t="n">
        <v>390530</v>
      </c>
      <c r="H4538" s="8" t="n">
        <v>8916</v>
      </c>
      <c r="I4538" s="8" t="n">
        <v>8700</v>
      </c>
      <c r="J4538" s="8" t="n">
        <v>9147</v>
      </c>
      <c r="K4538" s="8" t="n">
        <v>8700</v>
      </c>
      <c r="L4538" s="8" t="n">
        <v>978112</v>
      </c>
      <c r="M4538" s="8" t="n">
        <v>356744</v>
      </c>
      <c r="N4538" t="inlineStr">
        <is>
          <t>是</t>
        </is>
      </c>
    </row>
    <row r="4539">
      <c r="A4539" s="7" t="inlineStr">
        <is>
          <t>2026-03-20</t>
        </is>
      </c>
      <c r="B4539" s="8" t="n">
        <v>9019</v>
      </c>
      <c r="C4539" s="8" t="n">
        <v>9140</v>
      </c>
      <c r="D4539" s="8" t="n">
        <v>9197</v>
      </c>
      <c r="E4539" s="8" t="n">
        <v>8762</v>
      </c>
      <c r="F4539" s="8" t="n">
        <v>1021174</v>
      </c>
      <c r="G4539" s="8" t="n">
        <v>361277</v>
      </c>
      <c r="H4539" s="8" t="n">
        <v>8818</v>
      </c>
      <c r="I4539" s="8" t="n">
        <v>8840</v>
      </c>
      <c r="J4539" s="8" t="n">
        <v>8954</v>
      </c>
      <c r="K4539" s="8" t="n">
        <v>8542</v>
      </c>
      <c r="L4539" s="8" t="n">
        <v>793373</v>
      </c>
      <c r="M4539" s="8" t="n">
        <v>336310</v>
      </c>
      <c r="N4539" t="inlineStr">
        <is>
          <t>是</t>
        </is>
      </c>
    </row>
    <row r="4540">
      <c r="A4540" s="7" t="inlineStr">
        <is>
          <t>2026-03-23</t>
        </is>
      </c>
      <c r="B4540" s="8" t="n">
        <v>9793</v>
      </c>
      <c r="C4540" s="8" t="n">
        <v>9110</v>
      </c>
      <c r="D4540" s="8" t="n">
        <v>9793</v>
      </c>
      <c r="E4540" s="8" t="n">
        <v>9066</v>
      </c>
      <c r="F4540" s="8" t="n">
        <v>1011727</v>
      </c>
      <c r="G4540" s="8" t="n">
        <v>399150</v>
      </c>
      <c r="H4540" s="8" t="n">
        <v>9523</v>
      </c>
      <c r="I4540" s="8" t="n">
        <v>8918</v>
      </c>
      <c r="J4540" s="8" t="n">
        <v>9523</v>
      </c>
      <c r="K4540" s="8" t="n">
        <v>8851</v>
      </c>
      <c r="L4540" s="8" t="n">
        <v>867839</v>
      </c>
      <c r="M4540" s="8" t="n">
        <v>373237</v>
      </c>
      <c r="N4540" t="inlineStr">
        <is>
          <t>是</t>
        </is>
      </c>
    </row>
    <row r="4541">
      <c r="A4541" s="7" t="inlineStr">
        <is>
          <t>2026-03-24</t>
        </is>
      </c>
      <c r="B4541" s="8" t="n">
        <v>9114</v>
      </c>
      <c r="C4541" s="8" t="n">
        <v>9250</v>
      </c>
      <c r="D4541" s="8" t="n">
        <v>9542</v>
      </c>
      <c r="E4541" s="8" t="n">
        <v>9073</v>
      </c>
      <c r="F4541" s="8" t="n">
        <v>1328839</v>
      </c>
      <c r="G4541" s="8" t="n">
        <v>339558</v>
      </c>
      <c r="H4541" s="8" t="n">
        <v>8918</v>
      </c>
      <c r="I4541" s="8" t="n">
        <v>9073</v>
      </c>
      <c r="J4541" s="8" t="n">
        <v>9313</v>
      </c>
      <c r="K4541" s="8" t="n">
        <v>8857</v>
      </c>
      <c r="L4541" s="8" t="n">
        <v>1133666</v>
      </c>
      <c r="M4541" s="8" t="n">
        <v>314927</v>
      </c>
      <c r="N4541" t="inlineStr">
        <is>
          <t>是</t>
        </is>
      </c>
    </row>
    <row r="4542">
      <c r="A4542" s="7" t="inlineStr">
        <is>
          <t>2026-03-25</t>
        </is>
      </c>
      <c r="B4542" s="8" t="n">
        <v>8975</v>
      </c>
      <c r="C4542" s="8" t="n">
        <v>9250</v>
      </c>
      <c r="D4542" s="8" t="n">
        <v>9280</v>
      </c>
      <c r="E4542" s="8" t="n">
        <v>8557</v>
      </c>
      <c r="F4542" s="8" t="n">
        <v>1186296</v>
      </c>
      <c r="G4542" s="8" t="n">
        <v>339198</v>
      </c>
      <c r="H4542" s="8" t="n">
        <v>8715</v>
      </c>
      <c r="I4542" s="8" t="n">
        <v>9098</v>
      </c>
      <c r="J4542" s="8" t="n">
        <v>9101</v>
      </c>
      <c r="K4542" s="8" t="n">
        <v>8340</v>
      </c>
      <c r="L4542" s="8" t="n">
        <v>1057929</v>
      </c>
      <c r="M4542" s="8" t="n">
        <v>319820</v>
      </c>
      <c r="N4542" t="inlineStr">
        <is>
          <t>是</t>
        </is>
      </c>
    </row>
    <row r="4543">
      <c r="A4543" s="7" t="inlineStr">
        <is>
          <t>2026-03-26</t>
        </is>
      </c>
      <c r="B4543" s="8" t="n">
        <v>9120</v>
      </c>
      <c r="C4543" s="8" t="n">
        <v>9050</v>
      </c>
      <c r="D4543" s="8" t="n">
        <v>9246</v>
      </c>
      <c r="E4543" s="8" t="n">
        <v>8888</v>
      </c>
      <c r="F4543" s="8" t="n">
        <v>1030746</v>
      </c>
      <c r="G4543" s="8" t="n">
        <v>343310</v>
      </c>
      <c r="H4543" s="8" t="n">
        <v>8767</v>
      </c>
      <c r="I4543" s="8" t="n">
        <v>8790</v>
      </c>
      <c r="J4543" s="8" t="n">
        <v>8864</v>
      </c>
      <c r="K4543" s="8" t="n">
        <v>8620</v>
      </c>
      <c r="L4543" s="8" t="n">
        <v>733675</v>
      </c>
      <c r="M4543" s="8" t="n">
        <v>322033</v>
      </c>
      <c r="N4543" t="inlineStr">
        <is>
          <t>是</t>
        </is>
      </c>
    </row>
    <row r="4544">
      <c r="A4544" s="7" t="inlineStr">
        <is>
          <t>2026-03-27</t>
        </is>
      </c>
      <c r="B4544" s="8" t="n">
        <v>9313</v>
      </c>
      <c r="C4544" s="8" t="n">
        <v>9260</v>
      </c>
      <c r="D4544" s="8" t="n">
        <v>9365</v>
      </c>
      <c r="E4544" s="8" t="n">
        <v>9118</v>
      </c>
      <c r="F4544" s="8" t="n">
        <v>867414</v>
      </c>
      <c r="G4544" s="8" t="n">
        <v>357307</v>
      </c>
      <c r="H4544" s="8" t="n">
        <v>8868</v>
      </c>
      <c r="I4544" s="8" t="n">
        <v>8850</v>
      </c>
      <c r="J4544" s="8" t="n">
        <v>8956</v>
      </c>
      <c r="K4544" s="8" t="n">
        <v>8716</v>
      </c>
      <c r="L4544" s="8" t="n">
        <v>659046</v>
      </c>
      <c r="M4544" s="8" t="n">
        <v>326742</v>
      </c>
      <c r="N4544" t="inlineStr">
        <is>
          <t>是</t>
        </is>
      </c>
    </row>
    <row r="4545">
      <c r="A4545" s="7" t="inlineStr">
        <is>
          <t>2026-03-30</t>
        </is>
      </c>
      <c r="B4545" s="8" t="n">
        <v>9269</v>
      </c>
      <c r="C4545" s="8" t="n">
        <v>9500</v>
      </c>
      <c r="D4545" s="8" t="n">
        <v>9730</v>
      </c>
      <c r="E4545" s="8" t="n">
        <v>9240</v>
      </c>
      <c r="F4545" s="8" t="n">
        <v>1032463</v>
      </c>
      <c r="G4545" s="8" t="n">
        <v>337577</v>
      </c>
      <c r="H4545" s="8" t="n">
        <v>8804</v>
      </c>
      <c r="I4545" s="8" t="n">
        <v>9241</v>
      </c>
      <c r="J4545" s="8" t="n">
        <v>9241</v>
      </c>
      <c r="K4545" s="8" t="n">
        <v>8766</v>
      </c>
      <c r="L4545" s="8" t="n">
        <v>890738</v>
      </c>
      <c r="M4545" s="8" t="n">
        <v>324187</v>
      </c>
      <c r="N4545" t="inlineStr">
        <is>
          <t>是</t>
        </is>
      </c>
    </row>
    <row r="4546">
      <c r="A4546" s="7" t="inlineStr">
        <is>
          <t>2026-03-31</t>
        </is>
      </c>
      <c r="B4546" s="8" t="n">
        <v>9103</v>
      </c>
      <c r="C4546" s="8" t="n">
        <v>9269</v>
      </c>
      <c r="D4546" s="8" t="n">
        <v>9393</v>
      </c>
      <c r="E4546" s="8" t="n">
        <v>9019</v>
      </c>
      <c r="F4546" s="8" t="n">
        <v>912841</v>
      </c>
      <c r="G4546" s="8" t="n">
        <v>319551</v>
      </c>
      <c r="H4546" s="8" t="n">
        <v>8614</v>
      </c>
      <c r="I4546" s="8" t="n">
        <v>8804</v>
      </c>
      <c r="J4546" s="8" t="n">
        <v>8916</v>
      </c>
      <c r="K4546" s="8" t="n">
        <v>8511</v>
      </c>
      <c r="L4546" s="8" t="n">
        <v>830040</v>
      </c>
      <c r="M4546" s="8" t="n">
        <v>299225</v>
      </c>
      <c r="N4546" t="inlineStr">
        <is>
          <t>是</t>
        </is>
      </c>
    </row>
    <row r="4547">
      <c r="A4547" s="7" t="inlineStr">
        <is>
          <t>2026-04-01</t>
        </is>
      </c>
      <c r="B4547" s="8" t="n">
        <v>8764</v>
      </c>
      <c r="C4547" s="8" t="n">
        <v>9111</v>
      </c>
      <c r="D4547" s="8" t="n">
        <v>9190</v>
      </c>
      <c r="E4547" s="8" t="n">
        <v>8739</v>
      </c>
      <c r="F4547" s="8" t="n">
        <v>1049034</v>
      </c>
      <c r="G4547" s="8" t="n">
        <v>285664</v>
      </c>
      <c r="H4547" s="8" t="n">
        <v>8380</v>
      </c>
      <c r="I4547" s="8" t="n">
        <v>8614</v>
      </c>
      <c r="J4547" s="8" t="n">
        <v>8698</v>
      </c>
      <c r="K4547" s="8" t="n">
        <v>8372</v>
      </c>
      <c r="L4547" s="8" t="n">
        <v>919191</v>
      </c>
      <c r="M4547" s="8" t="n">
        <v>278839</v>
      </c>
      <c r="N4547" t="inlineStr">
        <is>
          <t>是</t>
        </is>
      </c>
    </row>
    <row r="4548">
      <c r="A4548" s="7" t="inlineStr">
        <is>
          <t>2026-04-02</t>
        </is>
      </c>
      <c r="B4548" s="8" t="n">
        <v>9130</v>
      </c>
      <c r="C4548" s="8" t="n">
        <v>8885</v>
      </c>
      <c r="D4548" s="8" t="n">
        <v>9246</v>
      </c>
      <c r="E4548" s="8" t="n">
        <v>8828</v>
      </c>
      <c r="F4548" s="8" t="n">
        <v>930583</v>
      </c>
      <c r="G4548" s="8" t="n">
        <v>282079</v>
      </c>
      <c r="H4548" s="8" t="n">
        <v>8625</v>
      </c>
      <c r="I4548" s="8" t="n">
        <v>8493</v>
      </c>
      <c r="J4548" s="8" t="n">
        <v>8755</v>
      </c>
      <c r="K4548" s="8" t="n">
        <v>8400</v>
      </c>
      <c r="L4548" s="8" t="n">
        <v>810708</v>
      </c>
      <c r="M4548" s="8" t="n">
        <v>271405</v>
      </c>
      <c r="N4548" t="inlineStr">
        <is>
          <t>是</t>
        </is>
      </c>
    </row>
    <row r="4549">
      <c r="A4549" s="7" t="inlineStr">
        <is>
          <t>2026-04-03</t>
        </is>
      </c>
      <c r="B4549" s="8" t="n">
        <v>9400</v>
      </c>
      <c r="C4549" s="8" t="n">
        <v>9400</v>
      </c>
      <c r="D4549" s="8" t="n">
        <v>9425</v>
      </c>
      <c r="E4549" s="8" t="n">
        <v>8912</v>
      </c>
      <c r="F4549" s="8" t="n">
        <v>859945</v>
      </c>
      <c r="G4549" s="8" t="n">
        <v>289174</v>
      </c>
      <c r="H4549" s="8" t="n">
        <v>8799</v>
      </c>
      <c r="I4549" s="8" t="n">
        <v>8900</v>
      </c>
      <c r="J4549" s="8" t="n">
        <v>8900</v>
      </c>
      <c r="K4549" s="8" t="n">
        <v>8393</v>
      </c>
      <c r="L4549" s="8" t="n">
        <v>728131</v>
      </c>
      <c r="M4549" s="8" t="n">
        <v>264160</v>
      </c>
      <c r="N4549" t="inlineStr">
        <is>
          <t>是</t>
        </is>
      </c>
    </row>
    <row r="4550">
      <c r="A4550" s="7" t="inlineStr">
        <is>
          <t>2026-04-07</t>
        </is>
      </c>
      <c r="B4550" s="8" t="n">
        <v>9865</v>
      </c>
      <c r="C4550" s="8" t="n">
        <v>9555</v>
      </c>
      <c r="D4550" s="8" t="n">
        <v>9980</v>
      </c>
      <c r="E4550" s="8" t="n">
        <v>9460</v>
      </c>
      <c r="F4550" s="8" t="n">
        <v>777764</v>
      </c>
      <c r="G4550" s="8" t="n">
        <v>322441</v>
      </c>
      <c r="H4550" s="8" t="n">
        <v>9389</v>
      </c>
      <c r="I4550" s="8" t="n">
        <v>9100</v>
      </c>
      <c r="J4550" s="8" t="n">
        <v>9407</v>
      </c>
      <c r="K4550" s="8" t="n">
        <v>8925</v>
      </c>
      <c r="L4550" s="8" t="n">
        <v>691540</v>
      </c>
      <c r="M4550" s="8" t="n">
        <v>292898</v>
      </c>
      <c r="N4550" t="inlineStr">
        <is>
          <t>是</t>
        </is>
      </c>
    </row>
    <row r="4551">
      <c r="A4551" s="7" t="inlineStr">
        <is>
          <t>2026-04-08</t>
        </is>
      </c>
      <c r="B4551" s="8" t="n">
        <v>8902</v>
      </c>
      <c r="C4551" s="8" t="n">
        <v>9858</v>
      </c>
      <c r="D4551" s="8" t="n">
        <v>9905</v>
      </c>
      <c r="E4551" s="8" t="n">
        <v>8880</v>
      </c>
      <c r="F4551" s="8" t="n">
        <v>1055114</v>
      </c>
      <c r="G4551" s="8" t="n">
        <v>250480</v>
      </c>
      <c r="H4551" s="8" t="n">
        <v>8498</v>
      </c>
      <c r="I4551" s="8" t="n">
        <v>9342</v>
      </c>
      <c r="J4551" s="8" t="n">
        <v>9381</v>
      </c>
      <c r="K4551" s="8" t="n">
        <v>8416</v>
      </c>
      <c r="L4551" s="8" t="n">
        <v>918186</v>
      </c>
      <c r="M4551" s="8" t="n">
        <v>246680</v>
      </c>
      <c r="N4551" t="inlineStr">
        <is>
          <t>是</t>
        </is>
      </c>
    </row>
    <row r="4552">
      <c r="A4552" s="7" t="inlineStr">
        <is>
          <t>2026-04-09</t>
        </is>
      </c>
      <c r="B4552" s="8" t="n">
        <v>8530</v>
      </c>
      <c r="C4552" s="8" t="n">
        <v>8315</v>
      </c>
      <c r="D4552" s="8" t="n">
        <v>8573</v>
      </c>
      <c r="E4552" s="8" t="n">
        <v>8291</v>
      </c>
      <c r="F4552" s="8" t="n">
        <v>445934</v>
      </c>
      <c r="G4552" s="8" t="n">
        <v>266207</v>
      </c>
      <c r="H4552" s="8" t="n">
        <v>8579</v>
      </c>
      <c r="I4552" s="8" t="n">
        <v>8410</v>
      </c>
      <c r="J4552" s="8" t="n">
        <v>8669</v>
      </c>
      <c r="K4552" s="8" t="n">
        <v>8361</v>
      </c>
      <c r="L4552" s="8" t="n">
        <v>551305</v>
      </c>
      <c r="M4552" s="8" t="n">
        <v>241334</v>
      </c>
      <c r="N4552" t="inlineStr">
        <is>
          <t>是</t>
        </is>
      </c>
    </row>
    <row r="4553">
      <c r="A4553" s="7" t="inlineStr">
        <is>
          <t>2026-04-10</t>
        </is>
      </c>
      <c r="B4553" s="8" t="n">
        <v>8369</v>
      </c>
      <c r="C4553" s="8" t="n">
        <v>8608</v>
      </c>
      <c r="D4553" s="8" t="n">
        <v>8619</v>
      </c>
      <c r="E4553" s="8" t="n">
        <v>8309</v>
      </c>
      <c r="F4553" s="8" t="n">
        <v>422398</v>
      </c>
      <c r="G4553" s="8" t="n">
        <v>282811</v>
      </c>
      <c r="H4553" s="8" t="n">
        <v>8398</v>
      </c>
      <c r="I4553" s="8" t="n">
        <v>8629</v>
      </c>
      <c r="J4553" s="8" t="n">
        <v>8638</v>
      </c>
      <c r="K4553" s="8" t="n">
        <v>8343</v>
      </c>
      <c r="L4553" s="8" t="n">
        <v>524106</v>
      </c>
      <c r="M4553" s="8" t="n">
        <v>228878</v>
      </c>
      <c r="N4553" t="inlineStr">
        <is>
          <t>是</t>
        </is>
      </c>
    </row>
    <row r="4554">
      <c r="A4554" s="7" t="inlineStr">
        <is>
          <t>2026-04-13</t>
        </is>
      </c>
      <c r="B4554" s="8" t="n">
        <v>8460</v>
      </c>
      <c r="C4554" s="8" t="n">
        <v>8320</v>
      </c>
      <c r="D4554" s="8" t="n">
        <v>8646</v>
      </c>
      <c r="E4554" s="8" t="n">
        <v>8232</v>
      </c>
      <c r="F4554" s="8" t="n">
        <v>512492</v>
      </c>
      <c r="G4554" s="8" t="n">
        <v>297715</v>
      </c>
      <c r="H4554" s="8" t="n">
        <v>8203</v>
      </c>
      <c r="I4554" s="8" t="n">
        <v>8147</v>
      </c>
      <c r="J4554" s="8" t="n">
        <v>8420</v>
      </c>
      <c r="K4554" s="8" t="n">
        <v>8011</v>
      </c>
      <c r="L4554" s="8" t="n">
        <v>502328</v>
      </c>
      <c r="M4554" s="8" t="n">
        <v>263434</v>
      </c>
      <c r="N4554" t="inlineStr">
        <is>
          <t>是</t>
        </is>
      </c>
    </row>
    <row r="4555">
      <c r="A4555" s="7" t="inlineStr">
        <is>
          <t>2026-04-14</t>
        </is>
      </c>
      <c r="B4555" s="8" t="n">
        <v>8368</v>
      </c>
      <c r="C4555" s="8" t="n">
        <v>8460</v>
      </c>
      <c r="D4555" s="8" t="n">
        <v>8474</v>
      </c>
      <c r="E4555" s="8" t="n">
        <v>8282</v>
      </c>
      <c r="F4555" s="8" t="n">
        <v>353498</v>
      </c>
      <c r="G4555" s="8" t="n">
        <v>312094</v>
      </c>
      <c r="H4555" s="8" t="n">
        <v>8067</v>
      </c>
      <c r="I4555" s="8" t="n">
        <v>8200</v>
      </c>
      <c r="J4555" s="8" t="n">
        <v>8216</v>
      </c>
      <c r="K4555" s="8" t="n">
        <v>8017</v>
      </c>
      <c r="L4555" s="8" t="n">
        <v>406521</v>
      </c>
      <c r="M4555" s="8" t="n">
        <v>275067</v>
      </c>
      <c r="N4555" t="inlineStr">
        <is>
          <t>是</t>
        </is>
      </c>
    </row>
    <row r="4556">
      <c r="A4556" s="7" t="inlineStr">
        <is>
          <t>2026-04-15</t>
        </is>
      </c>
      <c r="B4556" s="8" t="n">
        <v>8363</v>
      </c>
      <c r="C4556" s="8" t="n">
        <v>8339</v>
      </c>
      <c r="D4556" s="8" t="n">
        <v>8436</v>
      </c>
      <c r="E4556" s="8" t="n">
        <v>8240</v>
      </c>
      <c r="F4556" s="8" t="n">
        <v>489452</v>
      </c>
      <c r="G4556" s="8" t="n">
        <v>331824</v>
      </c>
      <c r="H4556" s="8" t="n">
        <v>8036</v>
      </c>
      <c r="I4556" s="8" t="n">
        <v>8020</v>
      </c>
      <c r="J4556" s="8" t="n">
        <v>8132</v>
      </c>
      <c r="K4556" s="8" t="n">
        <v>7961</v>
      </c>
      <c r="L4556" s="8" t="n">
        <v>566627</v>
      </c>
      <c r="M4556" s="8" t="n">
        <v>296907</v>
      </c>
      <c r="N4556" t="inlineStr">
        <is>
          <t>是</t>
        </is>
      </c>
    </row>
    <row r="4557">
      <c r="A4557" s="7" t="inlineStr">
        <is>
          <t>2026-04-16</t>
        </is>
      </c>
      <c r="B4557" s="8" t="n">
        <v>8446</v>
      </c>
      <c r="C4557" s="8" t="n">
        <v>8371</v>
      </c>
      <c r="D4557" s="8" t="n">
        <v>8462</v>
      </c>
      <c r="E4557" s="8" t="n">
        <v>8314</v>
      </c>
      <c r="F4557" s="8" t="n">
        <v>486712</v>
      </c>
      <c r="G4557" s="8" t="n">
        <v>361445</v>
      </c>
      <c r="H4557" s="8" t="n">
        <v>8091</v>
      </c>
      <c r="I4557" s="8" t="n">
        <v>8070</v>
      </c>
      <c r="J4557" s="8" t="n">
        <v>8107</v>
      </c>
      <c r="K4557" s="8" t="n">
        <v>7973</v>
      </c>
      <c r="L4557" s="8" t="n">
        <v>540944</v>
      </c>
      <c r="M4557" s="8" t="n">
        <v>317066</v>
      </c>
      <c r="N4557" t="inlineStr">
        <is>
          <t>是</t>
        </is>
      </c>
    </row>
    <row r="4558">
      <c r="A4558" s="7" t="inlineStr">
        <is>
          <t>2026-04-17</t>
        </is>
      </c>
      <c r="B4558" s="8" t="n">
        <v>8429</v>
      </c>
      <c r="C4558" s="8" t="n">
        <v>8466</v>
      </c>
      <c r="D4558" s="8" t="n">
        <v>8538</v>
      </c>
      <c r="E4558" s="8" t="n">
        <v>8373</v>
      </c>
      <c r="F4558" s="8" t="n">
        <v>532830</v>
      </c>
      <c r="G4558" s="8" t="n">
        <v>374572</v>
      </c>
      <c r="H4558" s="8" t="n">
        <v>8129</v>
      </c>
      <c r="I4558" s="8" t="n">
        <v>8098</v>
      </c>
      <c r="J4558" s="8" t="n">
        <v>8205</v>
      </c>
      <c r="K4558" s="8" t="n">
        <v>8072</v>
      </c>
      <c r="L4558" s="8" t="n">
        <v>583740</v>
      </c>
      <c r="M4558" s="8" t="n">
        <v>325775</v>
      </c>
      <c r="N4558" t="inlineStr">
        <is>
          <t>是</t>
        </is>
      </c>
    </row>
    <row r="4559">
      <c r="A4559" s="7" t="inlineStr">
        <is>
          <t>2026-04-20</t>
        </is>
      </c>
      <c r="B4559" s="8" t="n">
        <v>8228</v>
      </c>
      <c r="C4559" s="8" t="n">
        <v>8120</v>
      </c>
      <c r="D4559" s="8" t="n">
        <v>8375</v>
      </c>
      <c r="E4559" s="8" t="n">
        <v>8120</v>
      </c>
      <c r="F4559" s="8" t="n">
        <v>775306</v>
      </c>
      <c r="G4559" s="8" t="n">
        <v>398671</v>
      </c>
      <c r="H4559" s="8" t="n">
        <v>7968</v>
      </c>
      <c r="I4559" s="8" t="n">
        <v>7950</v>
      </c>
      <c r="J4559" s="8" t="n">
        <v>8088</v>
      </c>
      <c r="K4559" s="8" t="n">
        <v>7840</v>
      </c>
      <c r="L4559" s="8" t="n">
        <v>752583</v>
      </c>
      <c r="M4559" s="8" t="n">
        <v>337441</v>
      </c>
      <c r="N4559" t="inlineStr">
        <is>
          <t>是</t>
        </is>
      </c>
    </row>
    <row r="4560">
      <c r="A4560" s="7" t="inlineStr">
        <is>
          <t>2026-04-21</t>
        </is>
      </c>
      <c r="B4560" s="8" t="n">
        <v>8220</v>
      </c>
      <c r="C4560" s="8" t="n">
        <v>8220</v>
      </c>
      <c r="D4560" s="8" t="n">
        <v>8276</v>
      </c>
      <c r="E4560" s="8" t="n">
        <v>8116</v>
      </c>
      <c r="F4560" s="8" t="n">
        <v>544387</v>
      </c>
      <c r="G4560" s="8" t="n">
        <v>399412</v>
      </c>
      <c r="H4560" s="8" t="n">
        <v>7981</v>
      </c>
      <c r="I4560" s="8" t="n">
        <v>7960</v>
      </c>
      <c r="J4560" s="8" t="n">
        <v>8012</v>
      </c>
      <c r="K4560" s="8" t="n">
        <v>7884</v>
      </c>
      <c r="L4560" s="8" t="n">
        <v>567219</v>
      </c>
      <c r="M4560" s="8" t="n">
        <v>338959</v>
      </c>
      <c r="N4560" t="inlineStr">
        <is>
          <t>是</t>
        </is>
      </c>
    </row>
    <row r="4561">
      <c r="A4561" s="7" t="inlineStr">
        <is>
          <t>2026-04-22</t>
        </is>
      </c>
      <c r="B4561" s="8" t="n">
        <v>8278</v>
      </c>
      <c r="C4561" s="8" t="n">
        <v>8220</v>
      </c>
      <c r="D4561" s="8" t="n">
        <v>8346</v>
      </c>
      <c r="E4561" s="8" t="n">
        <v>8173</v>
      </c>
      <c r="F4561" s="8" t="n">
        <v>553804</v>
      </c>
      <c r="G4561" s="8" t="n">
        <v>396577</v>
      </c>
      <c r="H4561" s="8" t="n">
        <v>8069</v>
      </c>
      <c r="I4561" s="8" t="n">
        <v>8000</v>
      </c>
      <c r="J4561" s="8" t="n">
        <v>8163</v>
      </c>
      <c r="K4561" s="8" t="n">
        <v>7973</v>
      </c>
      <c r="L4561" s="8" t="n">
        <v>560231</v>
      </c>
      <c r="M4561" s="8" t="n">
        <v>338473</v>
      </c>
      <c r="N4561" t="inlineStr">
        <is>
          <t>是</t>
        </is>
      </c>
    </row>
    <row r="4562">
      <c r="A4562" s="7" t="inlineStr">
        <is>
          <t>2026-04-23</t>
        </is>
      </c>
      <c r="B4562" s="8" t="n">
        <v>8349</v>
      </c>
      <c r="C4562" s="8" t="n">
        <v>8319</v>
      </c>
      <c r="D4562" s="8" t="n">
        <v>8375</v>
      </c>
      <c r="E4562" s="8" t="n">
        <v>8257</v>
      </c>
      <c r="F4562" s="8" t="n">
        <v>474790</v>
      </c>
      <c r="G4562" s="8" t="n">
        <v>397318</v>
      </c>
      <c r="H4562" s="8" t="n">
        <v>8145</v>
      </c>
      <c r="I4562" s="8" t="n">
        <v>8110</v>
      </c>
      <c r="J4562" s="8" t="n">
        <v>8158</v>
      </c>
      <c r="K4562" s="8" t="n">
        <v>8063</v>
      </c>
      <c r="L4562" s="8" t="n">
        <v>464116</v>
      </c>
      <c r="M4562" s="8" t="n">
        <v>346165</v>
      </c>
      <c r="N4562" t="inlineStr">
        <is>
          <t>是</t>
        </is>
      </c>
    </row>
    <row r="4563">
      <c r="A4563" s="7" t="inlineStr">
        <is>
          <t>2026-04-24</t>
        </is>
      </c>
      <c r="B4563" s="8" t="n">
        <v>8394</v>
      </c>
      <c r="C4563" s="8" t="n">
        <v>8325</v>
      </c>
      <c r="D4563" s="8" t="n">
        <v>8450</v>
      </c>
      <c r="E4563" s="8" t="n">
        <v>8310</v>
      </c>
      <c r="F4563" s="8" t="n">
        <v>444213</v>
      </c>
      <c r="G4563" s="8" t="n">
        <v>410789</v>
      </c>
      <c r="H4563" s="8" t="n">
        <v>8120</v>
      </c>
      <c r="I4563" s="8" t="n">
        <v>8119</v>
      </c>
      <c r="J4563" s="8" t="n">
        <v>8208</v>
      </c>
      <c r="K4563" s="8" t="n">
        <v>8093</v>
      </c>
      <c r="L4563" s="8" t="n">
        <v>484499</v>
      </c>
      <c r="M4563" s="8" t="n">
        <v>352607</v>
      </c>
      <c r="N4563" t="inlineStr">
        <is>
          <t>是</t>
        </is>
      </c>
    </row>
    <row r="4564">
      <c r="A4564" s="7" t="inlineStr">
        <is>
          <t>2026-04-27</t>
        </is>
      </c>
      <c r="B4564" s="8" t="n">
        <v>8553</v>
      </c>
      <c r="C4564" s="8" t="n">
        <v>8388</v>
      </c>
      <c r="D4564" s="8" t="n">
        <v>8598</v>
      </c>
      <c r="E4564" s="8" t="n">
        <v>8371</v>
      </c>
      <c r="F4564" s="8" t="n">
        <v>563120</v>
      </c>
      <c r="G4564" s="8" t="n">
        <v>434030</v>
      </c>
      <c r="H4564" s="8" t="n">
        <v>8250</v>
      </c>
      <c r="I4564" s="8" t="n">
        <v>8114</v>
      </c>
      <c r="J4564" s="8" t="n">
        <v>8297</v>
      </c>
      <c r="K4564" s="8" t="n">
        <v>8081</v>
      </c>
      <c r="L4564" s="8" t="n">
        <v>554382</v>
      </c>
      <c r="M4564" s="8" t="n">
        <v>359793</v>
      </c>
      <c r="N4564" t="inlineStr">
        <is>
          <t>是</t>
        </is>
      </c>
    </row>
    <row r="4565">
      <c r="A4565" s="7" t="inlineStr">
        <is>
          <t>2026-04-28</t>
        </is>
      </c>
      <c r="B4565" s="8" t="n">
        <v>8752</v>
      </c>
      <c r="C4565" s="8" t="n">
        <v>8554</v>
      </c>
      <c r="D4565" s="8" t="n">
        <v>8758</v>
      </c>
      <c r="E4565" s="8" t="n">
        <v>8533</v>
      </c>
      <c r="F4565" s="8" t="n">
        <v>492040</v>
      </c>
      <c r="G4565" s="8" t="n">
        <v>448385</v>
      </c>
      <c r="H4565" s="8" t="n">
        <v>8389</v>
      </c>
      <c r="I4565" s="8" t="n">
        <v>8250</v>
      </c>
      <c r="J4565" s="8" t="n">
        <v>8391</v>
      </c>
      <c r="K4565" s="8" t="n">
        <v>8207</v>
      </c>
      <c r="L4565" s="8" t="n">
        <v>458173</v>
      </c>
      <c r="M4565" s="8" t="n">
        <v>365510</v>
      </c>
      <c r="N4565" t="inlineStr">
        <is>
          <t>是</t>
        </is>
      </c>
    </row>
    <row r="4566">
      <c r="A4566" s="7" t="inlineStr">
        <is>
          <t>2026-04-29</t>
        </is>
      </c>
      <c r="B4566" s="8" t="n">
        <v>8771</v>
      </c>
      <c r="C4566" s="8" t="n">
        <v>8788</v>
      </c>
      <c r="D4566" s="8" t="n">
        <v>8814</v>
      </c>
      <c r="E4566" s="8" t="n">
        <v>8694</v>
      </c>
      <c r="F4566" s="8" t="n">
        <v>465823</v>
      </c>
      <c r="G4566" s="8" t="n">
        <v>452266</v>
      </c>
      <c r="H4566" s="8" t="n">
        <v>8412</v>
      </c>
      <c r="I4566" s="8" t="n">
        <v>8410</v>
      </c>
      <c r="J4566" s="8" t="n">
        <v>8473</v>
      </c>
      <c r="K4566" s="8" t="n">
        <v>8351</v>
      </c>
      <c r="L4566" s="8" t="n">
        <v>511370</v>
      </c>
      <c r="M4566" s="8" t="n">
        <v>349877</v>
      </c>
      <c r="N4566" t="inlineStr">
        <is>
          <t>是</t>
        </is>
      </c>
    </row>
    <row r="4567">
      <c r="A4567" s="7" t="inlineStr">
        <is>
          <t>2026-04-30</t>
        </is>
      </c>
      <c r="B4567" s="8" t="n">
        <v>8822</v>
      </c>
      <c r="C4567" s="8" t="n">
        <v>8850</v>
      </c>
      <c r="D4567" s="8" t="n">
        <v>8850</v>
      </c>
      <c r="E4567" s="8" t="n">
        <v>8752</v>
      </c>
      <c r="F4567" s="8" t="n">
        <v>442442</v>
      </c>
      <c r="G4567" s="8" t="n">
        <v>443162</v>
      </c>
      <c r="H4567" s="8" t="n">
        <v>8452</v>
      </c>
      <c r="I4567" s="8" t="n">
        <v>8470</v>
      </c>
      <c r="J4567" s="8" t="n">
        <v>8486</v>
      </c>
      <c r="K4567" s="8" t="n">
        <v>8381</v>
      </c>
      <c r="L4567" s="8" t="n">
        <v>402815</v>
      </c>
      <c r="M4567" s="8" t="n">
        <v>345246</v>
      </c>
      <c r="N4567" t="inlineStr">
        <is>
          <t>是</t>
        </is>
      </c>
    </row>
    <row r="4568">
      <c r="A4568" s="7" t="inlineStr">
        <is>
          <t>2026-05-06</t>
        </is>
      </c>
      <c r="B4568" s="8" t="n">
        <v>8960</v>
      </c>
      <c r="C4568" s="8" t="n">
        <v>8812</v>
      </c>
      <c r="D4568" s="8" t="n">
        <v>8986</v>
      </c>
      <c r="E4568" s="8" t="n">
        <v>8801</v>
      </c>
      <c r="F4568" s="8" t="n">
        <v>412967</v>
      </c>
      <c r="G4568" s="8" t="n">
        <v>480074</v>
      </c>
      <c r="H4568" s="8" t="n">
        <v>8486</v>
      </c>
      <c r="I4568" s="8" t="n">
        <v>8450</v>
      </c>
      <c r="J4568" s="8" t="n">
        <v>8521</v>
      </c>
      <c r="K4568" s="8" t="n">
        <v>8416</v>
      </c>
      <c r="L4568" s="8" t="n">
        <v>349065</v>
      </c>
      <c r="M4568" s="8" t="n">
        <v>366458</v>
      </c>
      <c r="N4568" t="inlineStr">
        <is>
          <t>是</t>
        </is>
      </c>
    </row>
    <row r="4569">
      <c r="A4569" s="7" t="inlineStr">
        <is>
          <t>2026-05-07</t>
        </is>
      </c>
      <c r="B4569" s="8" t="n">
        <v>8589</v>
      </c>
      <c r="C4569" s="8" t="n">
        <v>8800</v>
      </c>
      <c r="D4569" s="8" t="n">
        <v>8816</v>
      </c>
      <c r="E4569" s="8" t="n">
        <v>8555</v>
      </c>
      <c r="F4569" s="8" t="n">
        <v>662964</v>
      </c>
      <c r="G4569" s="8" t="n">
        <v>471905</v>
      </c>
      <c r="H4569" s="8" t="n">
        <v>8079</v>
      </c>
      <c r="I4569" s="8" t="n">
        <v>8340</v>
      </c>
      <c r="J4569" s="8" t="n">
        <v>8350</v>
      </c>
      <c r="K4569" s="8" t="n">
        <v>8063</v>
      </c>
      <c r="L4569" s="8" t="n">
        <v>575594</v>
      </c>
      <c r="M4569" s="8" t="n">
        <v>365319</v>
      </c>
      <c r="N4569" t="inlineStr">
        <is>
          <t>是</t>
        </is>
      </c>
    </row>
    <row r="4570">
      <c r="A4570" s="7" t="inlineStr">
        <is>
          <t>2026-05-08</t>
        </is>
      </c>
      <c r="B4570" s="8" t="n">
        <v>8557</v>
      </c>
      <c r="C4570" s="8" t="n">
        <v>8500</v>
      </c>
      <c r="D4570" s="8" t="n">
        <v>8625</v>
      </c>
      <c r="E4570" s="8" t="n">
        <v>8470</v>
      </c>
      <c r="F4570" s="8" t="n">
        <v>493404</v>
      </c>
      <c r="G4570" s="8" t="n">
        <v>467644</v>
      </c>
      <c r="H4570" s="8" t="n">
        <v>8060</v>
      </c>
      <c r="I4570" s="8" t="n">
        <v>8010</v>
      </c>
      <c r="J4570" s="8" t="n">
        <v>8132</v>
      </c>
      <c r="K4570" s="8" t="n">
        <v>7962</v>
      </c>
      <c r="L4570" s="8" t="n">
        <v>398352</v>
      </c>
      <c r="M4570" s="8" t="n">
        <v>359440</v>
      </c>
      <c r="N4570" t="inlineStr">
        <is>
          <t>是</t>
        </is>
      </c>
    </row>
    <row r="4571">
      <c r="A4571" s="7" t="inlineStr">
        <is>
          <t>2026-05-11</t>
        </is>
      </c>
      <c r="B4571" s="8" t="n">
        <v>8685</v>
      </c>
      <c r="C4571" s="8" t="n">
        <v>8572</v>
      </c>
      <c r="D4571" s="8" t="n">
        <v>8740</v>
      </c>
      <c r="E4571" s="8" t="n">
        <v>8556</v>
      </c>
      <c r="F4571" s="8" t="n">
        <v>570523</v>
      </c>
      <c r="G4571" s="8" t="n">
        <v>500603</v>
      </c>
      <c r="H4571" s="8" t="n">
        <v>8177</v>
      </c>
      <c r="I4571" s="8" t="n">
        <v>8060</v>
      </c>
      <c r="J4571" s="8" t="n">
        <v>8223</v>
      </c>
      <c r="K4571" s="8" t="n">
        <v>8050</v>
      </c>
      <c r="L4571" s="8" t="n">
        <v>428933</v>
      </c>
      <c r="M4571" s="8" t="n">
        <v>353072</v>
      </c>
      <c r="N4571" t="inlineStr">
        <is>
          <t>是</t>
        </is>
      </c>
    </row>
    <row r="4572">
      <c r="A4572" s="7" t="inlineStr">
        <is>
          <t>2026-05-12</t>
        </is>
      </c>
      <c r="B4572" s="8" t="n">
        <v>8811</v>
      </c>
      <c r="C4572" s="8" t="n">
        <v>8676</v>
      </c>
      <c r="D4572" s="8" t="n">
        <v>8831</v>
      </c>
      <c r="E4572" s="8" t="n">
        <v>8625</v>
      </c>
      <c r="F4572" s="8" t="n">
        <v>507364</v>
      </c>
      <c r="G4572" s="8" t="n">
        <v>546948</v>
      </c>
      <c r="H4572" s="8" t="n">
        <v>8255</v>
      </c>
      <c r="I4572" s="8" t="n">
        <v>8167</v>
      </c>
      <c r="J4572" s="8" t="n">
        <v>8284</v>
      </c>
      <c r="K4572" s="8" t="n">
        <v>8119</v>
      </c>
      <c r="L4572" s="8" t="n">
        <v>404574</v>
      </c>
      <c r="M4572" s="8" t="n">
        <v>373123</v>
      </c>
      <c r="N4572" t="inlineStr">
        <is>
          <t>是</t>
        </is>
      </c>
    </row>
    <row r="4573">
      <c r="A4573" s="7" t="inlineStr">
        <is>
          <t>2026-05-13</t>
        </is>
      </c>
      <c r="B4573" s="8" t="n">
        <v>8818</v>
      </c>
      <c r="C4573" s="8" t="n">
        <v>8810</v>
      </c>
      <c r="D4573" s="8" t="n">
        <v>8839</v>
      </c>
      <c r="E4573" s="8" t="n">
        <v>8717</v>
      </c>
      <c r="F4573" s="8" t="n">
        <v>458134</v>
      </c>
      <c r="G4573" s="8" t="n">
        <v>551625</v>
      </c>
      <c r="H4573" s="8" t="n">
        <v>8214</v>
      </c>
      <c r="I4573" s="8" t="n">
        <v>8275</v>
      </c>
      <c r="J4573" s="8" t="n">
        <v>8275</v>
      </c>
      <c r="K4573" s="8" t="n">
        <v>8135</v>
      </c>
      <c r="L4573" s="8" t="n">
        <v>336693</v>
      </c>
      <c r="M4573" s="8" t="n">
        <v>381697</v>
      </c>
      <c r="N4573" t="inlineStr">
        <is>
          <t>是</t>
        </is>
      </c>
    </row>
    <row r="4574">
      <c r="A4574" s="7" t="inlineStr">
        <is>
          <t>2026-05-14</t>
        </is>
      </c>
      <c r="B4574" s="8" t="n">
        <v>8686</v>
      </c>
      <c r="C4574" s="8" t="n">
        <v>8845</v>
      </c>
      <c r="D4574" s="8" t="n">
        <v>8912</v>
      </c>
      <c r="E4574" s="8" t="n">
        <v>8664</v>
      </c>
      <c r="F4574" s="8" t="n">
        <v>574716</v>
      </c>
      <c r="G4574" s="8" t="n">
        <v>542619</v>
      </c>
      <c r="H4574" s="8" t="n">
        <v>8048</v>
      </c>
      <c r="I4574" s="8" t="n">
        <v>8249</v>
      </c>
      <c r="J4574" s="8" t="n">
        <v>8249</v>
      </c>
      <c r="K4574" s="8" t="n">
        <v>8033</v>
      </c>
      <c r="L4574" s="8" t="n">
        <v>411391</v>
      </c>
      <c r="M4574" s="8" t="n">
        <v>396889</v>
      </c>
      <c r="N4574" t="inlineStr">
        <is>
          <t>是</t>
        </is>
      </c>
    </row>
    <row r="4575">
      <c r="A4575" s="7" t="inlineStr">
        <is>
          <t>2026-05-15</t>
        </is>
      </c>
      <c r="B4575" s="8" t="n">
        <v>8749</v>
      </c>
      <c r="C4575" s="8" t="n">
        <v>8680</v>
      </c>
      <c r="D4575" s="8" t="n">
        <v>8820</v>
      </c>
      <c r="E4575" s="8" t="n">
        <v>8667</v>
      </c>
      <c r="F4575" s="8" t="n">
        <v>531507</v>
      </c>
      <c r="G4575" s="8" t="n">
        <v>554526</v>
      </c>
      <c r="H4575" s="8" t="n">
        <v>8034</v>
      </c>
      <c r="I4575" s="8" t="n">
        <v>8041</v>
      </c>
      <c r="J4575" s="8" t="n">
        <v>8112</v>
      </c>
      <c r="K4575" s="8" t="n">
        <v>8016</v>
      </c>
      <c r="L4575" s="8" t="n">
        <v>449649</v>
      </c>
      <c r="M4575" s="8" t="n">
        <v>392999</v>
      </c>
      <c r="N4575" t="inlineStr">
        <is>
          <t>是</t>
        </is>
      </c>
    </row>
    <row r="4576">
      <c r="A4576" s="7" t="inlineStr">
        <is>
          <t>2026-05-18</t>
        </is>
      </c>
      <c r="B4576" s="8" t="n">
        <v>8940</v>
      </c>
      <c r="C4576" s="8" t="n">
        <v>8800</v>
      </c>
      <c r="D4576" s="8" t="n">
        <v>9026</v>
      </c>
      <c r="E4576" s="8" t="n">
        <v>8718</v>
      </c>
      <c r="F4576" s="8" t="n">
        <v>633258</v>
      </c>
      <c r="G4576" s="8" t="n">
        <v>583653</v>
      </c>
      <c r="H4576" s="8" t="n">
        <v>8170</v>
      </c>
      <c r="I4576" s="8" t="n">
        <v>8040</v>
      </c>
      <c r="J4576" s="8" t="n">
        <v>8230</v>
      </c>
      <c r="K4576" s="8" t="n">
        <v>8012</v>
      </c>
      <c r="L4576" s="8" t="n">
        <v>461644</v>
      </c>
      <c r="M4576" s="8" t="n">
        <v>387917</v>
      </c>
      <c r="N4576" t="inlineStr">
        <is>
          <t>是</t>
        </is>
      </c>
    </row>
    <row r="4577">
      <c r="A4577" s="7" t="inlineStr">
        <is>
          <t>2026-05-19</t>
        </is>
      </c>
      <c r="B4577" s="8" t="n">
        <v>8944</v>
      </c>
      <c r="C4577" s="8" t="n">
        <v>8800</v>
      </c>
      <c r="D4577" s="8" t="n">
        <v>8960</v>
      </c>
      <c r="E4577" s="8" t="n">
        <v>8759</v>
      </c>
      <c r="F4577" s="8" t="n">
        <v>618587</v>
      </c>
      <c r="G4577" s="8" t="n">
        <v>592010</v>
      </c>
      <c r="H4577" s="8" t="n">
        <v>8051</v>
      </c>
      <c r="I4577" s="8" t="n">
        <v>8118</v>
      </c>
      <c r="J4577" s="8" t="n">
        <v>8118</v>
      </c>
      <c r="K4577" s="8" t="n">
        <v>7968</v>
      </c>
      <c r="L4577" s="8" t="n">
        <v>559654</v>
      </c>
      <c r="M4577" s="8" t="n">
        <v>391896</v>
      </c>
      <c r="N4577" t="inlineStr">
        <is>
          <t>是</t>
        </is>
      </c>
    </row>
    <row r="4578">
      <c r="A4578" s="7" t="inlineStr">
        <is>
          <t>2026-05-20</t>
        </is>
      </c>
      <c r="B4578" s="8" t="n">
        <v>8920</v>
      </c>
      <c r="C4578" s="8" t="n">
        <v>8968</v>
      </c>
      <c r="D4578" s="8" t="n">
        <v>9088</v>
      </c>
      <c r="E4578" s="8" t="n">
        <v>8914</v>
      </c>
      <c r="F4578" s="8" t="n">
        <v>660741</v>
      </c>
      <c r="G4578" s="8" t="n">
        <v>586679</v>
      </c>
      <c r="H4578" s="8" t="n">
        <v>8094</v>
      </c>
      <c r="I4578" s="8" t="n">
        <v>8070</v>
      </c>
      <c r="J4578" s="8" t="n">
        <v>8210</v>
      </c>
      <c r="K4578" s="8" t="n">
        <v>8054</v>
      </c>
      <c r="L4578" s="8" t="n">
        <v>640931</v>
      </c>
      <c r="M4578" s="8" t="n">
        <v>380476</v>
      </c>
      <c r="N4578" t="inlineStr">
        <is>
          <t>是</t>
        </is>
      </c>
    </row>
    <row r="4579">
      <c r="A4579" s="7" t="inlineStr">
        <is>
          <t>2026-05-21</t>
        </is>
      </c>
      <c r="B4579" s="8" t="n">
        <v>8890</v>
      </c>
      <c r="C4579" s="8" t="n">
        <v>8898</v>
      </c>
      <c r="D4579" s="8" t="n">
        <v>8969</v>
      </c>
      <c r="E4579" s="8" t="n">
        <v>8848</v>
      </c>
      <c r="F4579" s="8" t="n">
        <v>626304</v>
      </c>
      <c r="G4579" s="8" t="n">
        <v>591260</v>
      </c>
      <c r="H4579" s="8" t="n">
        <v>8012</v>
      </c>
      <c r="I4579" s="8" t="n">
        <v>8055</v>
      </c>
      <c r="J4579" s="8" t="n">
        <v>8114</v>
      </c>
      <c r="K4579" s="8" t="n">
        <v>7960</v>
      </c>
      <c r="L4579" s="8" t="n">
        <v>573041</v>
      </c>
      <c r="M4579" s="8" t="n">
        <v>387032</v>
      </c>
      <c r="N4579" t="inlineStr">
        <is>
          <t>是</t>
        </is>
      </c>
    </row>
    <row r="4580">
      <c r="A4580" s="7" t="inlineStr">
        <is>
          <t>2026-05-22</t>
        </is>
      </c>
      <c r="B4580" s="8" t="n">
        <v>8792</v>
      </c>
      <c r="C4580" s="8" t="n">
        <v>8940</v>
      </c>
      <c r="D4580" s="8" t="n">
        <v>8958</v>
      </c>
      <c r="E4580" s="8" t="n">
        <v>8685</v>
      </c>
      <c r="F4580" s="8" t="n">
        <v>762201</v>
      </c>
      <c r="G4580" s="8" t="n">
        <v>584584</v>
      </c>
      <c r="H4580" s="8" t="n">
        <v>7927</v>
      </c>
      <c r="I4580" s="8" t="n">
        <v>8030</v>
      </c>
      <c r="J4580" s="8" t="n">
        <v>8076</v>
      </c>
      <c r="K4580" s="8" t="n">
        <v>7851</v>
      </c>
      <c r="L4580" s="8" t="n">
        <v>554242</v>
      </c>
      <c r="M4580" s="8" t="n">
        <v>392673</v>
      </c>
      <c r="N4580" t="inlineStr">
        <is>
          <t>是</t>
        </is>
      </c>
    </row>
    <row r="4581">
      <c r="A4581" s="7" t="inlineStr">
        <is>
          <t>2026-05-25</t>
        </is>
      </c>
      <c r="B4581" s="8" t="n">
        <v>8577</v>
      </c>
      <c r="C4581" s="8" t="n">
        <v>8740</v>
      </c>
      <c r="D4581" s="8" t="n">
        <v>8867</v>
      </c>
      <c r="E4581" s="8" t="n">
        <v>8472</v>
      </c>
      <c r="F4581" s="8" t="n">
        <v>958398</v>
      </c>
      <c r="G4581" s="8" t="n">
        <v>559750</v>
      </c>
      <c r="H4581" s="8" t="n">
        <v>7814</v>
      </c>
      <c r="I4581" s="8" t="n">
        <v>7908</v>
      </c>
      <c r="J4581" s="8" t="n">
        <v>8008</v>
      </c>
      <c r="K4581" s="8" t="n">
        <v>7724</v>
      </c>
      <c r="L4581" s="8" t="n">
        <v>711380</v>
      </c>
      <c r="M4581" s="8" t="n">
        <v>384000</v>
      </c>
      <c r="N4581" t="inlineStr">
        <is>
          <t>是</t>
        </is>
      </c>
    </row>
    <row r="4582">
      <c r="A4582" s="7" t="inlineStr">
        <is>
          <t>2026-05-26</t>
        </is>
      </c>
      <c r="B4582" s="8" t="n">
        <v>8476</v>
      </c>
      <c r="C4582" s="8" t="n">
        <v>8568</v>
      </c>
      <c r="D4582" s="8" t="n">
        <v>8577</v>
      </c>
      <c r="E4582" s="8" t="n">
        <v>8446</v>
      </c>
      <c r="F4582" s="8" t="n">
        <v>577617</v>
      </c>
      <c r="G4582" s="8" t="n">
        <v>543377</v>
      </c>
      <c r="H4582" s="8" t="n">
        <v>7796</v>
      </c>
      <c r="I4582" s="8" t="n">
        <v>7819</v>
      </c>
      <c r="J4582" s="8" t="n">
        <v>7854</v>
      </c>
      <c r="K4582" s="8" t="n">
        <v>7752</v>
      </c>
      <c r="L4582" s="8" t="n">
        <v>401777</v>
      </c>
      <c r="M4582" s="8" t="n">
        <v>373680</v>
      </c>
      <c r="N4582" t="inlineStr">
        <is>
          <t>是</t>
        </is>
      </c>
    </row>
    <row r="4583">
      <c r="A4583" s="7" t="inlineStr">
        <is>
          <t>2026-05-27</t>
        </is>
      </c>
      <c r="B4583" s="8" t="n">
        <v>8446</v>
      </c>
      <c r="C4583" s="8" t="n">
        <v>8488</v>
      </c>
      <c r="D4583" s="8" t="n">
        <v>8628</v>
      </c>
      <c r="E4583" s="8" t="n">
        <v>8398</v>
      </c>
      <c r="F4583" s="8" t="n">
        <v>683729</v>
      </c>
      <c r="G4583" s="8" t="n">
        <v>531272</v>
      </c>
      <c r="H4583" s="8" t="n">
        <v>7738</v>
      </c>
      <c r="I4583" s="8" t="n">
        <v>7805</v>
      </c>
      <c r="J4583" s="8" t="n">
        <v>7864</v>
      </c>
      <c r="K4583" s="8" t="n">
        <v>7721</v>
      </c>
      <c r="L4583" s="8" t="n">
        <v>458059</v>
      </c>
      <c r="M4583" s="8" t="n">
        <v>369070</v>
      </c>
      <c r="N4583" t="inlineStr">
        <is>
          <t>是</t>
        </is>
      </c>
    </row>
    <row r="4584">
      <c r="A4584" s="7" t="inlineStr">
        <is>
          <t>2026-05-28</t>
        </is>
      </c>
      <c r="B4584" s="8" t="n">
        <v>8491</v>
      </c>
      <c r="C4584" s="8" t="n">
        <v>8345</v>
      </c>
      <c r="D4584" s="8" t="n">
        <v>8553</v>
      </c>
      <c r="E4584" s="8" t="n">
        <v>8337</v>
      </c>
      <c r="F4584" s="8" t="n">
        <v>644269</v>
      </c>
      <c r="G4584" s="8" t="n">
        <v>549543</v>
      </c>
      <c r="H4584" s="8" t="n">
        <v>7818</v>
      </c>
      <c r="I4584" s="8" t="n">
        <v>7670</v>
      </c>
      <c r="J4584" s="8" t="n">
        <v>7857</v>
      </c>
      <c r="K4584" s="8" t="n">
        <v>7655</v>
      </c>
      <c r="L4584" s="8" t="n">
        <v>460507</v>
      </c>
      <c r="M4584" s="8" t="n">
        <v>357709</v>
      </c>
      <c r="N4584" t="inlineStr">
        <is>
          <t>是</t>
        </is>
      </c>
    </row>
    <row r="4585">
      <c r="A4585" s="7" t="inlineStr">
        <is>
          <t>2026-05-29</t>
        </is>
      </c>
      <c r="B4585" s="8" t="n">
        <v>8484</v>
      </c>
      <c r="C4585" s="8" t="n">
        <v>8482</v>
      </c>
      <c r="D4585" s="8" t="n">
        <v>8524</v>
      </c>
      <c r="E4585" s="8" t="n">
        <v>8394</v>
      </c>
      <c r="F4585" s="8" t="n">
        <v>623477</v>
      </c>
      <c r="G4585" s="8" t="n">
        <v>546436</v>
      </c>
      <c r="H4585" s="8" t="n">
        <v>7851</v>
      </c>
      <c r="I4585" s="8" t="n">
        <v>7801</v>
      </c>
      <c r="J4585" s="8" t="n">
        <v>7875</v>
      </c>
      <c r="K4585" s="8" t="n">
        <v>7748</v>
      </c>
      <c r="L4585" s="8" t="n">
        <v>525600</v>
      </c>
      <c r="M4585" s="8" t="n">
        <v>363990</v>
      </c>
      <c r="N4585" t="inlineStr">
        <is>
          <t>是</t>
        </is>
      </c>
    </row>
    <row r="4586">
      <c r="A4586" s="7" t="inlineStr">
        <is>
          <t>2026-06-01</t>
        </is>
      </c>
      <c r="B4586" s="8" t="n">
        <v>8612</v>
      </c>
      <c r="C4586" s="8" t="n">
        <v>8456</v>
      </c>
      <c r="D4586" s="8" t="n">
        <v>8655</v>
      </c>
      <c r="E4586" s="8" t="n">
        <v>8423</v>
      </c>
      <c r="F4586" s="8" t="n">
        <v>617121</v>
      </c>
      <c r="G4586" s="8" t="n">
        <v>555665</v>
      </c>
      <c r="H4586" s="8" t="n">
        <v>7968</v>
      </c>
      <c r="I4586" s="8" t="n">
        <v>7848</v>
      </c>
      <c r="J4586" s="8" t="n">
        <v>8043</v>
      </c>
      <c r="K4586" s="8" t="n">
        <v>7808</v>
      </c>
      <c r="L4586" s="8" t="n">
        <v>564744</v>
      </c>
      <c r="M4586" s="8" t="n">
        <v>375033</v>
      </c>
      <c r="N4586" t="inlineStr">
        <is>
          <t>是</t>
        </is>
      </c>
    </row>
    <row r="4587">
      <c r="A4587" s="7" t="inlineStr">
        <is>
          <t>2026-06-02</t>
        </is>
      </c>
      <c r="B4587" s="8" t="n">
        <v>8651</v>
      </c>
      <c r="C4587" s="8" t="n">
        <v>8598</v>
      </c>
      <c r="D4587" s="8" t="n">
        <v>8788</v>
      </c>
      <c r="E4587" s="8" t="n">
        <v>8575</v>
      </c>
      <c r="F4587" s="8" t="n">
        <v>721349</v>
      </c>
      <c r="G4587" s="8" t="n">
        <v>558734</v>
      </c>
      <c r="H4587" s="8" t="n">
        <v>7937</v>
      </c>
      <c r="I4587" s="8" t="n">
        <v>7958</v>
      </c>
      <c r="J4587" s="8" t="n">
        <v>8098</v>
      </c>
      <c r="K4587" s="8" t="n">
        <v>7920</v>
      </c>
      <c r="L4587" s="8" t="n">
        <v>586695</v>
      </c>
      <c r="M4587" s="8" t="n">
        <v>369101</v>
      </c>
      <c r="N4587" t="inlineStr">
        <is>
          <t>是</t>
        </is>
      </c>
    </row>
    <row r="4588">
      <c r="A4588" s="7" t="inlineStr">
        <is>
          <t>2026-06-03</t>
        </is>
      </c>
      <c r="B4588" s="8" t="n">
        <v>8795</v>
      </c>
      <c r="C4588" s="8" t="n">
        <v>8651</v>
      </c>
      <c r="D4588" s="8" t="n">
        <v>8812</v>
      </c>
      <c r="E4588" s="8" t="n">
        <v>8636</v>
      </c>
      <c r="F4588" s="8" t="n">
        <v>600638</v>
      </c>
      <c r="G4588" s="8" t="n">
        <v>588699</v>
      </c>
      <c r="H4588" s="8" t="n">
        <v>8005</v>
      </c>
      <c r="I4588" s="8" t="n">
        <v>7937</v>
      </c>
      <c r="J4588" s="8" t="n">
        <v>8032</v>
      </c>
      <c r="K4588" s="8" t="n">
        <v>7910</v>
      </c>
      <c r="L4588" s="8" t="n">
        <v>459292</v>
      </c>
      <c r="M4588" s="8" t="n">
        <v>375125</v>
      </c>
      <c r="N4588" t="inlineStr">
        <is>
          <t>是</t>
        </is>
      </c>
    </row>
    <row r="4589">
      <c r="A4589" s="7" t="inlineStr">
        <is>
          <t>2026-06-04</t>
        </is>
      </c>
      <c r="B4589" s="8" t="n">
        <v>8683</v>
      </c>
      <c r="C4589" s="8" t="n">
        <v>8800</v>
      </c>
      <c r="D4589" s="8" t="n">
        <v>8814</v>
      </c>
      <c r="E4589" s="8" t="n">
        <v>8650</v>
      </c>
      <c r="F4589" s="8" t="n">
        <v>508215</v>
      </c>
      <c r="G4589" s="8" t="n">
        <v>579585</v>
      </c>
      <c r="H4589" s="8" t="n">
        <v>7885</v>
      </c>
      <c r="I4589" s="8" t="n">
        <v>8007</v>
      </c>
      <c r="J4589" s="8" t="n">
        <v>8025</v>
      </c>
      <c r="K4589" s="8" t="n">
        <v>7857</v>
      </c>
      <c r="L4589" s="8" t="n">
        <v>412952</v>
      </c>
      <c r="M4589" s="8" t="n">
        <v>369533</v>
      </c>
      <c r="N4589" t="inlineStr">
        <is>
          <t>是</t>
        </is>
      </c>
    </row>
    <row r="4590">
      <c r="A4590" s="7" t="inlineStr">
        <is>
          <t>2026-06-05</t>
        </is>
      </c>
      <c r="B4590" s="8" t="n">
        <v>8714</v>
      </c>
      <c r="C4590" s="8" t="n">
        <v>8638</v>
      </c>
      <c r="D4590" s="8" t="n">
        <v>8774</v>
      </c>
      <c r="E4590" s="8" t="n">
        <v>8619</v>
      </c>
      <c r="F4590" s="8" t="n">
        <v>498218</v>
      </c>
      <c r="G4590" s="8" t="n">
        <v>601174</v>
      </c>
      <c r="H4590" s="8" t="n">
        <v>7916</v>
      </c>
      <c r="I4590" s="8" t="n">
        <v>7841</v>
      </c>
      <c r="J4590" s="8" t="n">
        <v>7965</v>
      </c>
      <c r="K4590" s="8" t="n">
        <v>7828</v>
      </c>
      <c r="L4590" s="8" t="n">
        <v>403799</v>
      </c>
      <c r="M4590" s="8" t="n">
        <v>379677</v>
      </c>
      <c r="N4590" t="inlineStr">
        <is>
          <t>是</t>
        </is>
      </c>
    </row>
    <row r="4591">
      <c r="A4591" s="7" t="inlineStr">
        <is>
          <t>2026-06-08</t>
        </is>
      </c>
      <c r="B4591" s="8" t="n">
        <v>8989</v>
      </c>
      <c r="C4591" s="8" t="n">
        <v>8716</v>
      </c>
      <c r="D4591" s="8" t="n">
        <v>9008</v>
      </c>
      <c r="E4591" s="8" t="n">
        <v>8664</v>
      </c>
      <c r="F4591" s="8" t="n">
        <v>818191</v>
      </c>
      <c r="G4591" s="8" t="n">
        <v>652490</v>
      </c>
      <c r="H4591" s="8" t="n">
        <v>8146</v>
      </c>
      <c r="I4591" s="8" t="n">
        <v>7916</v>
      </c>
      <c r="J4591" s="8" t="n">
        <v>8149</v>
      </c>
      <c r="K4591" s="8" t="n">
        <v>7845</v>
      </c>
      <c r="L4591" s="8" t="n">
        <v>605232</v>
      </c>
      <c r="M4591" s="8" t="n">
        <v>403985</v>
      </c>
      <c r="N4591" t="inlineStr">
        <is>
          <t>是</t>
        </is>
      </c>
    </row>
    <row r="4592">
      <c r="A4592" s="7" t="inlineStr">
        <is>
          <t>2026-06-09</t>
        </is>
      </c>
      <c r="B4592" s="8" t="n">
        <v>8753</v>
      </c>
      <c r="C4592" s="8" t="n">
        <v>8898</v>
      </c>
      <c r="D4592" s="8" t="n">
        <v>8900</v>
      </c>
      <c r="E4592" s="8" t="n">
        <v>8672</v>
      </c>
      <c r="F4592" s="8" t="n">
        <v>686379</v>
      </c>
      <c r="G4592" s="8" t="n">
        <v>611733</v>
      </c>
      <c r="H4592" s="8" t="n">
        <v>7888</v>
      </c>
      <c r="I4592" s="8" t="n">
        <v>8050</v>
      </c>
      <c r="J4592" s="8" t="n">
        <v>8056</v>
      </c>
      <c r="K4592" s="8" t="n">
        <v>7851</v>
      </c>
      <c r="L4592" s="8" t="n">
        <v>521306</v>
      </c>
      <c r="M4592" s="8" t="n">
        <v>382901</v>
      </c>
      <c r="N4592" t="inlineStr">
        <is>
          <t>是</t>
        </is>
      </c>
    </row>
    <row r="4593">
      <c r="A4593" s="7" t="inlineStr">
        <is>
          <t>2026-06-10</t>
        </is>
      </c>
      <c r="B4593" s="8" t="n">
        <v>8649</v>
      </c>
      <c r="C4593" s="8" t="n">
        <v>8740</v>
      </c>
      <c r="D4593" s="8" t="n">
        <v>8740</v>
      </c>
      <c r="E4593" s="8" t="n">
        <v>8556</v>
      </c>
      <c r="F4593" s="8" t="n">
        <v>832786</v>
      </c>
      <c r="G4593" s="8" t="n">
        <v>585360</v>
      </c>
      <c r="H4593" s="8" t="n">
        <v>7875</v>
      </c>
      <c r="I4593" s="8" t="n">
        <v>7888</v>
      </c>
      <c r="J4593" s="8" t="n">
        <v>7950</v>
      </c>
      <c r="K4593" s="8" t="n">
        <v>7787</v>
      </c>
      <c r="L4593" s="8" t="n">
        <v>559053</v>
      </c>
      <c r="M4593" s="8" t="n">
        <v>368482</v>
      </c>
      <c r="N4593" t="inlineStr">
        <is>
          <t>是</t>
        </is>
      </c>
    </row>
    <row r="4594">
      <c r="A4594" s="7" t="inlineStr">
        <is>
          <t>2026-06-11</t>
        </is>
      </c>
      <c r="B4594" s="8" t="n">
        <v>8712</v>
      </c>
      <c r="C4594" s="8" t="n">
        <v>8666</v>
      </c>
      <c r="D4594" s="8" t="n">
        <v>8793</v>
      </c>
      <c r="E4594" s="8" t="n">
        <v>8661</v>
      </c>
      <c r="F4594" s="8" t="n">
        <v>593376</v>
      </c>
      <c r="G4594" s="8" t="n">
        <v>597174</v>
      </c>
      <c r="H4594" s="8" t="n">
        <v>7983</v>
      </c>
      <c r="I4594" s="8" t="n">
        <v>7910</v>
      </c>
      <c r="J4594" s="8" t="n">
        <v>7997</v>
      </c>
      <c r="K4594" s="8" t="n">
        <v>7886</v>
      </c>
      <c r="L4594" s="8" t="n">
        <v>447772</v>
      </c>
      <c r="M4594" s="8" t="n">
        <v>376782</v>
      </c>
      <c r="N4594" t="inlineStr">
        <is>
          <t>是</t>
        </is>
      </c>
    </row>
    <row r="4595">
      <c r="A4595" s="7" t="inlineStr">
        <is>
          <t>2026-06-12</t>
        </is>
      </c>
      <c r="B4595" s="8" t="n">
        <v>8596</v>
      </c>
      <c r="C4595" s="8" t="n">
        <v>8730</v>
      </c>
      <c r="D4595" s="8" t="n">
        <v>8769</v>
      </c>
      <c r="E4595" s="8" t="n">
        <v>8548</v>
      </c>
      <c r="F4595" s="8" t="n">
        <v>759115</v>
      </c>
      <c r="G4595" s="8" t="n">
        <v>589081</v>
      </c>
      <c r="H4595" s="8" t="n">
        <v>7902</v>
      </c>
      <c r="I4595" s="8" t="n">
        <v>7968</v>
      </c>
      <c r="J4595" s="8" t="n">
        <v>8052</v>
      </c>
      <c r="K4595" s="8" t="n">
        <v>7858</v>
      </c>
      <c r="L4595" s="8" t="n">
        <v>562199</v>
      </c>
      <c r="M4595" s="8" t="n">
        <v>371679</v>
      </c>
      <c r="N4595" t="inlineStr">
        <is>
          <t>是</t>
        </is>
      </c>
    </row>
    <row r="4596">
      <c r="A4596" s="7" t="inlineStr">
        <is>
          <t>2026-06-15</t>
        </is>
      </c>
      <c r="B4596" s="8" t="n">
        <v>8259</v>
      </c>
      <c r="C4596" s="8" t="n">
        <v>8590</v>
      </c>
      <c r="D4596" s="8" t="n">
        <v>8692</v>
      </c>
      <c r="E4596" s="8" t="n">
        <v>8178</v>
      </c>
      <c r="F4596" s="8" t="n">
        <v>1081511</v>
      </c>
      <c r="G4596" s="8" t="n">
        <v>579980</v>
      </c>
      <c r="H4596" s="8" t="n">
        <v>7646</v>
      </c>
      <c r="I4596" s="8" t="n">
        <v>7900</v>
      </c>
      <c r="J4596" s="8" t="n">
        <v>7978</v>
      </c>
      <c r="K4596" s="8" t="n">
        <v>7590</v>
      </c>
      <c r="L4596" s="8" t="n">
        <v>689995</v>
      </c>
      <c r="M4596" s="8" t="n">
        <v>380436</v>
      </c>
      <c r="N4596" t="inlineStr">
        <is>
          <t>是</t>
        </is>
      </c>
    </row>
    <row r="4597">
      <c r="A4597" s="7" t="inlineStr">
        <is>
          <t>2026-06-16</t>
        </is>
      </c>
      <c r="B4597" s="8" t="n">
        <v>8004</v>
      </c>
      <c r="C4597" s="8" t="n">
        <v>8211</v>
      </c>
      <c r="D4597" s="8" t="n">
        <v>8249</v>
      </c>
      <c r="E4597" s="8" t="n">
        <v>7880</v>
      </c>
      <c r="F4597" s="8" t="n">
        <v>994842</v>
      </c>
      <c r="G4597" s="8" t="n">
        <v>555581</v>
      </c>
      <c r="H4597" s="8" t="n">
        <v>7504</v>
      </c>
      <c r="I4597" s="8" t="n">
        <v>7646</v>
      </c>
      <c r="J4597" s="8" t="n">
        <v>7646</v>
      </c>
      <c r="K4597" s="8" t="n">
        <v>7386</v>
      </c>
      <c r="L4597" s="8" t="n">
        <v>737986</v>
      </c>
      <c r="M4597" s="8" t="n">
        <v>409820</v>
      </c>
      <c r="N4597" t="inlineStr">
        <is>
          <t>是</t>
        </is>
      </c>
    </row>
    <row r="4598">
      <c r="A4598" s="7" t="inlineStr">
        <is>
          <t>2026-06-17</t>
        </is>
      </c>
      <c r="B4598" s="8" t="n">
        <v>7828</v>
      </c>
      <c r="C4598" s="8" t="n">
        <v>7875</v>
      </c>
      <c r="D4598" s="8" t="n">
        <v>8019</v>
      </c>
      <c r="E4598" s="8" t="n">
        <v>7792</v>
      </c>
      <c r="F4598" s="8" t="n">
        <v>874060</v>
      </c>
      <c r="G4598" s="8" t="n">
        <v>540433</v>
      </c>
      <c r="H4598" s="8" t="n">
        <v>7344</v>
      </c>
      <c r="I4598" s="8" t="n">
        <v>7391</v>
      </c>
      <c r="J4598" s="8" t="n">
        <v>7515</v>
      </c>
      <c r="K4598" s="8" t="n">
        <v>7330</v>
      </c>
      <c r="L4598" s="8" t="n">
        <v>566967</v>
      </c>
      <c r="M4598" s="8" t="n">
        <v>410247</v>
      </c>
      <c r="N4598" t="inlineStr">
        <is>
          <t>是</t>
        </is>
      </c>
    </row>
    <row r="4599">
      <c r="A4599" s="7" t="inlineStr">
        <is>
          <t>2026-06-18</t>
        </is>
      </c>
      <c r="B4599" s="8" t="n">
        <v>7647</v>
      </c>
      <c r="C4599" s="8" t="n">
        <v>7850</v>
      </c>
      <c r="D4599" s="8" t="n">
        <v>7900</v>
      </c>
      <c r="E4599" s="8" t="n">
        <v>7632</v>
      </c>
      <c r="F4599" s="8" t="n">
        <v>839170</v>
      </c>
      <c r="G4599" s="8" t="n">
        <v>524585</v>
      </c>
      <c r="H4599" s="8" t="n">
        <v>7206</v>
      </c>
      <c r="I4599" s="8" t="n">
        <v>7350</v>
      </c>
      <c r="J4599" s="8" t="n">
        <v>7381</v>
      </c>
      <c r="K4599" s="8" t="n">
        <v>7192</v>
      </c>
      <c r="L4599" s="8" t="n">
        <v>529045</v>
      </c>
      <c r="M4599" s="8" t="n">
        <v>415152</v>
      </c>
      <c r="N4599" t="inlineStr">
        <is>
          <t>是</t>
        </is>
      </c>
    </row>
    <row r="4600">
      <c r="A4600" s="7" t="inlineStr">
        <is>
          <t>2026-06-22</t>
        </is>
      </c>
      <c r="B4600" s="8" t="n">
        <v>7557</v>
      </c>
      <c r="C4600" s="8" t="n">
        <v>7730</v>
      </c>
      <c r="D4600" s="8" t="n">
        <v>7821</v>
      </c>
      <c r="E4600" s="8" t="n">
        <v>7506</v>
      </c>
      <c r="F4600" s="8" t="n">
        <v>708439</v>
      </c>
      <c r="G4600" s="8" t="n">
        <v>537562</v>
      </c>
      <c r="H4600" s="8" t="n">
        <v>7160</v>
      </c>
      <c r="I4600" s="8" t="n">
        <v>7310</v>
      </c>
      <c r="J4600" s="8" t="n">
        <v>7326</v>
      </c>
      <c r="K4600" s="8" t="n">
        <v>7098</v>
      </c>
      <c r="L4600" s="8" t="n">
        <v>456362</v>
      </c>
      <c r="M4600" s="8" t="n">
        <v>411642</v>
      </c>
      <c r="N4600" t="inlineStr">
        <is>
          <t>是</t>
        </is>
      </c>
    </row>
    <row r="4601">
      <c r="A4601" s="7" t="inlineStr">
        <is>
          <t>2026-06-23</t>
        </is>
      </c>
      <c r="B4601" s="8" t="n">
        <v>7379</v>
      </c>
      <c r="C4601" s="8" t="n">
        <v>7510</v>
      </c>
      <c r="D4601" s="8" t="n">
        <v>7581</v>
      </c>
      <c r="E4601" s="8" t="n">
        <v>7366</v>
      </c>
      <c r="F4601" s="8" t="n">
        <v>844559</v>
      </c>
      <c r="G4601" s="8" t="n">
        <v>530793</v>
      </c>
      <c r="H4601" s="8" t="n">
        <v>7051</v>
      </c>
      <c r="I4601" s="8" t="n">
        <v>7124</v>
      </c>
      <c r="J4601" s="8" t="n">
        <v>7177</v>
      </c>
      <c r="K4601" s="8" t="n">
        <v>7047</v>
      </c>
      <c r="L4601" s="8" t="n">
        <v>452451</v>
      </c>
      <c r="M4601" s="8" t="n">
        <v>419033</v>
      </c>
      <c r="N4601" t="inlineStr">
        <is>
          <t>是</t>
        </is>
      </c>
    </row>
    <row r="4602">
      <c r="A4602" s="7" t="inlineStr">
        <is>
          <t>2026-06-24</t>
        </is>
      </c>
      <c r="B4602" s="8" t="n">
        <v>7278</v>
      </c>
      <c r="C4602" s="8" t="n">
        <v>7379</v>
      </c>
      <c r="D4602" s="8" t="n">
        <v>7442</v>
      </c>
      <c r="E4602" s="8" t="n">
        <v>7272</v>
      </c>
      <c r="F4602" s="8" t="n">
        <v>875729</v>
      </c>
      <c r="G4602" s="8" t="n">
        <v>535931</v>
      </c>
      <c r="H4602" s="8" t="n">
        <v>6949</v>
      </c>
      <c r="I4602" s="8" t="n">
        <v>7051</v>
      </c>
      <c r="J4602" s="8" t="n">
        <v>7092</v>
      </c>
      <c r="K4602" s="8" t="n">
        <v>6941</v>
      </c>
      <c r="L4602" s="8" t="n">
        <v>479168</v>
      </c>
      <c r="M4602" s="8" t="n">
        <v>431792</v>
      </c>
      <c r="N4602" t="inlineStr">
        <is>
          <t>是</t>
        </is>
      </c>
    </row>
    <row r="4603">
      <c r="A4603" s="7" t="inlineStr">
        <is>
          <t>2026-06-25</t>
        </is>
      </c>
      <c r="B4603" s="8" t="n">
        <v>7116</v>
      </c>
      <c r="C4603" s="8" t="n">
        <v>7250</v>
      </c>
      <c r="D4603" s="8" t="n">
        <v>7252</v>
      </c>
      <c r="E4603" s="8" t="n">
        <v>7020</v>
      </c>
      <c r="F4603" s="8" t="n">
        <v>1128323</v>
      </c>
      <c r="G4603" s="8" t="n">
        <v>548799</v>
      </c>
      <c r="H4603" s="8" t="n">
        <v>6868</v>
      </c>
      <c r="I4603" s="8" t="n">
        <v>6900</v>
      </c>
      <c r="J4603" s="8" t="n">
        <v>6919</v>
      </c>
      <c r="K4603" s="8" t="n">
        <v>6818</v>
      </c>
      <c r="L4603" s="8" t="n">
        <v>562969</v>
      </c>
      <c r="M4603" s="8" t="n">
        <v>421105</v>
      </c>
      <c r="N4603" t="inlineStr">
        <is>
          <t>是</t>
        </is>
      </c>
    </row>
    <row r="4604">
      <c r="A4604" s="7" t="inlineStr">
        <is>
          <t>2026-06-26</t>
        </is>
      </c>
      <c r="B4604" s="8" t="n">
        <v>7143</v>
      </c>
      <c r="C4604" s="8" t="n">
        <v>7116</v>
      </c>
      <c r="D4604" s="8" t="n">
        <v>7313</v>
      </c>
      <c r="E4604" s="8" t="n">
        <v>7085</v>
      </c>
      <c r="F4604" s="8" t="n">
        <v>1220195</v>
      </c>
      <c r="G4604" s="8" t="n">
        <v>528391</v>
      </c>
      <c r="H4604" s="8" t="n">
        <v>6852</v>
      </c>
      <c r="I4604" s="8" t="n">
        <v>6870</v>
      </c>
      <c r="J4604" s="8" t="n">
        <v>6957</v>
      </c>
      <c r="K4604" s="8" t="n">
        <v>6813</v>
      </c>
      <c r="L4604" s="8" t="n">
        <v>538078</v>
      </c>
      <c r="M4604" s="8" t="n">
        <v>420597</v>
      </c>
      <c r="N4604" t="inlineStr">
        <is>
          <t>是</t>
        </is>
      </c>
    </row>
    <row r="4605">
      <c r="A4605" s="7" t="inlineStr">
        <is>
          <t>2026-06-29</t>
        </is>
      </c>
      <c r="B4605" s="8" t="n">
        <v>7356</v>
      </c>
      <c r="C4605" s="8" t="n">
        <v>7100</v>
      </c>
      <c r="D4605" s="8" t="n">
        <v>7360</v>
      </c>
      <c r="E4605" s="8" t="n">
        <v>7088</v>
      </c>
      <c r="F4605" s="8" t="n">
        <v>906043</v>
      </c>
      <c r="G4605" s="8" t="n">
        <v>542011</v>
      </c>
      <c r="H4605" s="8" t="n">
        <v>6940</v>
      </c>
      <c r="I4605" s="8" t="n">
        <v>6830</v>
      </c>
      <c r="J4605" s="8" t="n">
        <v>6946</v>
      </c>
      <c r="K4605" s="8" t="n">
        <v>6817</v>
      </c>
      <c r="L4605" s="8" t="n">
        <v>464204</v>
      </c>
      <c r="M4605" s="8" t="n">
        <v>430224</v>
      </c>
      <c r="N4605" t="inlineStr">
        <is>
          <t>是</t>
        </is>
      </c>
    </row>
    <row r="4606">
      <c r="A4606" s="7" t="inlineStr">
        <is>
          <t>2026-06-30</t>
        </is>
      </c>
      <c r="B4606" s="8" t="n">
        <v>7300</v>
      </c>
      <c r="C4606" s="8" t="n">
        <v>7355</v>
      </c>
      <c r="D4606" s="8" t="n">
        <v>7402</v>
      </c>
      <c r="E4606" s="8" t="n">
        <v>7266</v>
      </c>
      <c r="F4606" s="8" t="n">
        <v>758170</v>
      </c>
      <c r="G4606" s="8" t="n">
        <v>502450</v>
      </c>
      <c r="H4606" s="8" t="n">
        <v>6954</v>
      </c>
      <c r="I4606" s="8" t="n">
        <v>6940</v>
      </c>
      <c r="J4606" s="8" t="n">
        <v>7011</v>
      </c>
      <c r="K4606" s="8" t="n">
        <v>6895</v>
      </c>
      <c r="L4606" s="8" t="n">
        <v>411862</v>
      </c>
      <c r="M4606" s="8" t="n">
        <v>419356</v>
      </c>
      <c r="N4606" t="inlineStr">
        <is>
          <t>是</t>
        </is>
      </c>
    </row>
    <row r="4607">
      <c r="A4607" s="7" t="inlineStr">
        <is>
          <t>2026-07-01</t>
        </is>
      </c>
      <c r="B4607" s="8" t="n">
        <v>7196</v>
      </c>
      <c r="C4607" s="8" t="n">
        <v>7355</v>
      </c>
      <c r="D4607" s="8" t="n">
        <v>7379</v>
      </c>
      <c r="E4607" s="8" t="n">
        <v>7182</v>
      </c>
      <c r="F4607" s="8" t="n">
        <v>671718</v>
      </c>
      <c r="G4607" s="8" t="n">
        <v>476889</v>
      </c>
      <c r="H4607" s="8" t="n">
        <v>6813</v>
      </c>
      <c r="I4607" s="8" t="n">
        <v>6966</v>
      </c>
      <c r="J4607" s="8" t="n">
        <v>7005</v>
      </c>
      <c r="K4607" s="8" t="n">
        <v>6804</v>
      </c>
      <c r="L4607" s="8" t="n">
        <v>376051</v>
      </c>
      <c r="M4607" s="8" t="n">
        <v>422673</v>
      </c>
      <c r="N4607" t="inlineStr">
        <is>
          <t>是</t>
        </is>
      </c>
    </row>
    <row r="4608">
      <c r="A4608" s="7" t="inlineStr">
        <is>
          <t>2026-07-02</t>
        </is>
      </c>
      <c r="B4608" s="8" t="n">
        <v>7127</v>
      </c>
      <c r="C4608" s="8" t="n">
        <v>7178</v>
      </c>
      <c r="D4608" s="8" t="n">
        <v>7235</v>
      </c>
      <c r="E4608" s="8" t="n">
        <v>7014</v>
      </c>
      <c r="F4608" s="8" t="n">
        <v>773546</v>
      </c>
      <c r="G4608" s="8" t="n">
        <v>485878</v>
      </c>
      <c r="H4608" s="8" t="n">
        <v>6798</v>
      </c>
      <c r="I4608" s="8" t="n">
        <v>6801</v>
      </c>
      <c r="J4608" s="8" t="n">
        <v>6839</v>
      </c>
      <c r="K4608" s="8" t="n">
        <v>6704</v>
      </c>
      <c r="L4608" s="8" t="n">
        <v>449966</v>
      </c>
      <c r="M4608" s="8" t="n">
        <v>428900</v>
      </c>
      <c r="N4608" t="inlineStr">
        <is>
          <t>是</t>
        </is>
      </c>
    </row>
    <row r="4609">
      <c r="A4609" s="7" t="inlineStr">
        <is>
          <t>2026-07-03</t>
        </is>
      </c>
      <c r="B4609" s="8" t="n">
        <v>7275</v>
      </c>
      <c r="C4609" s="8" t="n">
        <v>7125</v>
      </c>
      <c r="D4609" s="8" t="n">
        <v>7322</v>
      </c>
      <c r="E4609" s="8" t="n">
        <v>7090</v>
      </c>
      <c r="F4609" s="8" t="n">
        <v>801715</v>
      </c>
      <c r="G4609" s="8" t="n">
        <v>506471</v>
      </c>
      <c r="H4609" s="8" t="n">
        <v>6861</v>
      </c>
      <c r="I4609" s="8" t="n">
        <v>6790</v>
      </c>
      <c r="J4609" s="8" t="n">
        <v>6904</v>
      </c>
      <c r="K4609" s="8" t="n">
        <v>6767</v>
      </c>
      <c r="L4609" s="8" t="n">
        <v>427172</v>
      </c>
      <c r="M4609" s="8" t="n">
        <v>419984</v>
      </c>
      <c r="N4609" t="inlineStr">
        <is>
          <t>是</t>
        </is>
      </c>
    </row>
    <row r="4610">
      <c r="A4610" s="7" t="inlineStr">
        <is>
          <t>2026-07-06</t>
        </is>
      </c>
      <c r="B4610" s="8" t="n">
        <v>7273</v>
      </c>
      <c r="C4610" s="8" t="n">
        <v>7236</v>
      </c>
      <c r="D4610" s="8" t="n">
        <v>7346</v>
      </c>
      <c r="E4610" s="8" t="n">
        <v>7236</v>
      </c>
      <c r="F4610" s="8" t="n">
        <v>639140</v>
      </c>
      <c r="G4610" s="8" t="n">
        <v>503379</v>
      </c>
      <c r="H4610" s="8" t="n">
        <v>6896</v>
      </c>
      <c r="I4610" s="8" t="n">
        <v>6850</v>
      </c>
      <c r="J4610" s="8" t="n">
        <v>6929</v>
      </c>
      <c r="K4610" s="8" t="n">
        <v>6825</v>
      </c>
      <c r="L4610" s="8" t="n">
        <v>368329</v>
      </c>
      <c r="M4610" s="8" t="n">
        <v>415711</v>
      </c>
      <c r="N4610" t="inlineStr">
        <is>
          <t>是</t>
        </is>
      </c>
    </row>
    <row r="4611">
      <c r="A4611" s="7" t="inlineStr">
        <is>
          <t>2026-07-07</t>
        </is>
      </c>
      <c r="B4611" s="8" t="n">
        <v>7454</v>
      </c>
      <c r="C4611" s="8" t="n">
        <v>7271</v>
      </c>
      <c r="D4611" s="8" t="n">
        <v>7466</v>
      </c>
      <c r="E4611" s="8" t="n">
        <v>7261</v>
      </c>
      <c r="F4611" s="8" t="n">
        <v>738081</v>
      </c>
      <c r="G4611" s="8" t="n">
        <v>556387</v>
      </c>
      <c r="H4611" s="8" t="n">
        <v>7029</v>
      </c>
      <c r="I4611" s="8" t="n">
        <v>6882</v>
      </c>
      <c r="J4611" s="8" t="n">
        <v>7040</v>
      </c>
      <c r="K4611" s="8" t="n">
        <v>6869</v>
      </c>
      <c r="L4611" s="8" t="n">
        <v>405662</v>
      </c>
      <c r="M4611" s="8" t="n">
        <v>423509</v>
      </c>
      <c r="N4611" t="inlineStr">
        <is>
          <t>是</t>
        </is>
      </c>
    </row>
    <row r="4612">
      <c r="A4612" s="7" t="inlineStr">
        <is>
          <t>2026-07-08</t>
        </is>
      </c>
      <c r="B4612" s="8" t="n">
        <v>7647</v>
      </c>
      <c r="C4612" s="8" t="n">
        <v>7466</v>
      </c>
      <c r="D4612" s="8" t="n">
        <v>7754</v>
      </c>
      <c r="E4612" s="8" t="n">
        <v>7423</v>
      </c>
      <c r="F4612" s="8" t="n">
        <v>1138182</v>
      </c>
      <c r="G4612" s="8" t="n">
        <v>531618</v>
      </c>
      <c r="H4612" s="8" t="n">
        <v>7085</v>
      </c>
      <c r="I4612" s="8" t="n">
        <v>7013</v>
      </c>
      <c r="J4612" s="8" t="n">
        <v>7150</v>
      </c>
      <c r="K4612" s="8" t="n">
        <v>6990</v>
      </c>
      <c r="L4612" s="8" t="n">
        <v>499733</v>
      </c>
      <c r="M4612" s="8" t="n">
        <v>424283</v>
      </c>
      <c r="N4612" t="inlineStr">
        <is>
          <t>是</t>
        </is>
      </c>
    </row>
    <row r="4613">
      <c r="A4613" s="7" t="inlineStr">
        <is>
          <t>2026-07-09</t>
        </is>
      </c>
      <c r="B4613" s="8" t="n">
        <v>7642</v>
      </c>
      <c r="C4613" s="8" t="n">
        <v>7732</v>
      </c>
      <c r="D4613" s="8" t="n">
        <v>7732</v>
      </c>
      <c r="E4613" s="8" t="n">
        <v>7605</v>
      </c>
      <c r="F4613" s="8" t="n">
        <v>932673</v>
      </c>
      <c r="G4613" s="8" t="n">
        <v>507325</v>
      </c>
      <c r="H4613" s="8" t="n">
        <v>7209</v>
      </c>
      <c r="I4613" s="8" t="n">
        <v>7118</v>
      </c>
      <c r="J4613" s="8" t="n">
        <v>7285</v>
      </c>
      <c r="K4613" s="8" t="n">
        <v>7093</v>
      </c>
      <c r="L4613" s="8" t="n">
        <v>642871</v>
      </c>
      <c r="M4613" s="8" t="n">
        <v>403157</v>
      </c>
      <c r="N4613" t="inlineStr">
        <is>
          <t>是</t>
        </is>
      </c>
    </row>
    <row r="4614">
      <c r="A4614" s="7" t="inlineStr">
        <is>
          <t>2026-07-10</t>
        </is>
      </c>
      <c r="B4614" s="8" t="n">
        <v>7585</v>
      </c>
      <c r="C4614" s="8" t="n">
        <v>7654</v>
      </c>
      <c r="D4614" s="8" t="n">
        <v>7678</v>
      </c>
      <c r="E4614" s="8" t="n">
        <v>7491</v>
      </c>
      <c r="F4614" s="8" t="n">
        <v>840135</v>
      </c>
      <c r="G4614" s="8" t="n">
        <v>498011</v>
      </c>
      <c r="H4614" s="8" t="n">
        <v>7196</v>
      </c>
      <c r="I4614" s="8" t="n">
        <v>7239</v>
      </c>
      <c r="J4614" s="8" t="n">
        <v>7279</v>
      </c>
      <c r="K4614" s="8" t="n">
        <v>7110</v>
      </c>
      <c r="L4614" s="8" t="n">
        <v>592352</v>
      </c>
      <c r="M4614" s="8" t="n">
        <v>403114</v>
      </c>
      <c r="N4614" t="inlineStr">
        <is>
          <t>是</t>
        </is>
      </c>
    </row>
    <row r="4615">
      <c r="A4615" s="7" t="inlineStr">
        <is>
          <t>2026-07-13</t>
        </is>
      </c>
      <c r="B4615" s="8" t="n">
        <v>7670</v>
      </c>
      <c r="C4615" s="8" t="n">
        <v>7600</v>
      </c>
      <c r="D4615" s="8" t="n">
        <v>7760</v>
      </c>
      <c r="E4615" s="8" t="n">
        <v>7553</v>
      </c>
      <c r="F4615" s="8" t="n">
        <v>750113</v>
      </c>
      <c r="G4615" s="8" t="n">
        <v>494210</v>
      </c>
      <c r="H4615" s="8" t="n">
        <v>7294</v>
      </c>
      <c r="I4615" s="8" t="n">
        <v>7171</v>
      </c>
      <c r="J4615" s="8" t="n">
        <v>7353</v>
      </c>
      <c r="K4615" s="8" t="n">
        <v>7165</v>
      </c>
      <c r="L4615" s="8" t="n">
        <v>515265</v>
      </c>
      <c r="M4615" s="8" t="n">
        <v>409322</v>
      </c>
      <c r="N4615" t="inlineStr">
        <is>
          <t>是</t>
        </is>
      </c>
    </row>
    <row r="4616">
      <c r="A4616" s="7" t="inlineStr">
        <is>
          <t>2026-07-14</t>
        </is>
      </c>
      <c r="B4616" s="8" t="n">
        <v>8062</v>
      </c>
      <c r="C4616" s="8" t="n">
        <v>7680</v>
      </c>
      <c r="D4616" s="8" t="n">
        <v>8214</v>
      </c>
      <c r="E4616" s="8" t="n">
        <v>7645</v>
      </c>
      <c r="F4616" s="8" t="n">
        <v>1124509</v>
      </c>
      <c r="G4616" s="8" t="n">
        <v>467224</v>
      </c>
      <c r="H4616" s="8" t="n">
        <v>7714</v>
      </c>
      <c r="I4616" s="8" t="n">
        <v>7307</v>
      </c>
      <c r="J4616" s="8" t="n">
        <v>7794</v>
      </c>
      <c r="K4616" s="8" t="n">
        <v>7293</v>
      </c>
      <c r="L4616" s="8" t="n">
        <v>902407</v>
      </c>
      <c r="M4616" s="8" t="n">
        <v>372509</v>
      </c>
      <c r="N4616" t="inlineStr">
        <is>
          <t>是</t>
        </is>
      </c>
    </row>
    <row r="4617">
      <c r="A4617" s="7" t="inlineStr">
        <is>
          <t>2026-07-15</t>
        </is>
      </c>
      <c r="B4617" s="8" t="n">
        <v>8095</v>
      </c>
      <c r="C4617" s="8" t="n">
        <v>8090</v>
      </c>
      <c r="D4617" s="8" t="n">
        <v>8155</v>
      </c>
      <c r="E4617" s="8" t="n">
        <v>7971</v>
      </c>
      <c r="F4617" s="8" t="n">
        <v>813592</v>
      </c>
      <c r="G4617" s="8" t="n">
        <v>465005</v>
      </c>
      <c r="H4617" s="8" t="n">
        <v>7748</v>
      </c>
      <c r="I4617" s="8" t="n">
        <v>7758</v>
      </c>
      <c r="J4617" s="8" t="n">
        <v>7765</v>
      </c>
      <c r="K4617" s="8" t="n">
        <v>7617</v>
      </c>
      <c r="L4617" s="8" t="n">
        <v>651762</v>
      </c>
      <c r="M4617" s="8" t="n">
        <v>360871</v>
      </c>
      <c r="N4617" t="inlineStr">
        <is>
          <t>是</t>
        </is>
      </c>
    </row>
    <row r="4618">
      <c r="A4618" s="7" t="inlineStr">
        <is>
          <t>2026-07-16</t>
        </is>
      </c>
      <c r="B4618" s="8" t="n">
        <v>8058</v>
      </c>
      <c r="C4618" s="8" t="n">
        <v>8100</v>
      </c>
      <c r="D4618" s="8" t="n">
        <v>8176</v>
      </c>
      <c r="E4618" s="8" t="n">
        <v>8016</v>
      </c>
      <c r="F4618" s="8" t="n">
        <v>805793</v>
      </c>
      <c r="G4618" s="8" t="n">
        <v>485063</v>
      </c>
      <c r="H4618" s="8" t="n">
        <v>7697</v>
      </c>
      <c r="I4618" s="8" t="n">
        <v>7748</v>
      </c>
      <c r="J4618" s="8" t="n">
        <v>7842</v>
      </c>
      <c r="K4618" s="8" t="n">
        <v>7672</v>
      </c>
      <c r="L4618" s="8" t="n">
        <v>781671</v>
      </c>
      <c r="M4618" s="8" t="n">
        <v>376062</v>
      </c>
      <c r="N4618" t="inlineStr">
        <is>
          <t>是</t>
        </is>
      </c>
    </row>
    <row r="4619">
      <c r="A4619" s="7" t="inlineStr">
        <is>
          <t>2026-07-17</t>
        </is>
      </c>
      <c r="B4619" s="8" t="n">
        <v>8044</v>
      </c>
      <c r="C4619" s="8" t="n">
        <v>8087</v>
      </c>
      <c r="D4619" s="8" t="n">
        <v>8164</v>
      </c>
      <c r="E4619" s="8" t="n">
        <v>8022</v>
      </c>
      <c r="F4619" s="8" t="n">
        <v>775187</v>
      </c>
      <c r="G4619" s="8" t="n">
        <v>493662</v>
      </c>
      <c r="H4619" s="8" t="n">
        <v>7618</v>
      </c>
      <c r="I4619" s="8" t="n">
        <v>7730</v>
      </c>
      <c r="J4619" s="8" t="n">
        <v>7778</v>
      </c>
      <c r="K4619" s="8" t="n">
        <v>7590</v>
      </c>
      <c r="L4619" s="8" t="n">
        <v>641397</v>
      </c>
      <c r="M4619" s="8" t="n">
        <v>378141</v>
      </c>
      <c r="N4619" t="inlineStr">
        <is>
          <t>是</t>
        </is>
      </c>
    </row>
    <row r="4620">
      <c r="A4620" s="7" t="inlineStr">
        <is>
          <t>2026-07-20</t>
        </is>
      </c>
      <c r="B4620" s="8" t="n">
        <v>8462</v>
      </c>
      <c r="C4620" s="8" t="n">
        <v>8120</v>
      </c>
      <c r="D4620" s="8" t="n">
        <v>8554</v>
      </c>
      <c r="E4620" s="8" t="n">
        <v>8108</v>
      </c>
      <c r="F4620" s="8" t="n">
        <v>1041516</v>
      </c>
      <c r="G4620" s="8" t="n">
        <v>469323</v>
      </c>
      <c r="H4620" s="8" t="n">
        <v>7940</v>
      </c>
      <c r="I4620" s="8" t="n">
        <v>7688</v>
      </c>
      <c r="J4620" s="8" t="n">
        <v>8012</v>
      </c>
      <c r="K4620" s="8" t="n">
        <v>7678</v>
      </c>
      <c r="L4620" s="8" t="n">
        <v>796561</v>
      </c>
      <c r="M4620" s="8" t="n">
        <v>350627</v>
      </c>
      <c r="N4620" t="inlineStr">
        <is>
          <t>是</t>
        </is>
      </c>
    </row>
    <row r="4621">
      <c r="A4621" s="7" t="inlineStr">
        <is>
          <t>2026-07-21</t>
        </is>
      </c>
      <c r="B4621" s="8" t="n">
        <v>8273</v>
      </c>
      <c r="C4621" s="8" t="n">
        <v>8377</v>
      </c>
      <c r="D4621" s="8" t="n">
        <v>8378</v>
      </c>
      <c r="E4621" s="8" t="n">
        <v>8206</v>
      </c>
      <c r="F4621" s="8" t="n">
        <v>732397</v>
      </c>
      <c r="G4621" s="8" t="n">
        <v>458847</v>
      </c>
      <c r="H4621" s="8" t="n">
        <v>7794</v>
      </c>
      <c r="I4621" s="8" t="n">
        <v>7850</v>
      </c>
      <c r="J4621" s="8" t="n">
        <v>7850</v>
      </c>
      <c r="K4621" s="8" t="n">
        <v>7705</v>
      </c>
      <c r="L4621" s="8" t="n">
        <v>578570</v>
      </c>
      <c r="M4621" s="8" t="n">
        <v>340260</v>
      </c>
      <c r="N4621" t="inlineStr">
        <is>
          <t>是</t>
        </is>
      </c>
    </row>
    <row r="4622">
      <c r="A4622" s="7" t="inlineStr">
        <is>
          <t>2026-07-22</t>
        </is>
      </c>
      <c r="B4622" s="8" t="n">
        <v>8339</v>
      </c>
      <c r="C4622" s="8" t="n">
        <v>8380</v>
      </c>
      <c r="D4622" s="8" t="n">
        <v>8427</v>
      </c>
      <c r="E4622" s="8" t="n">
        <v>8207</v>
      </c>
      <c r="F4622" s="8" t="n">
        <v>691367</v>
      </c>
      <c r="G4622" s="8" t="n">
        <v>474174</v>
      </c>
      <c r="H4622" s="8" t="n">
        <v>7810</v>
      </c>
      <c r="I4622" s="8" t="n">
        <v>7877</v>
      </c>
      <c r="J4622" s="8" t="n">
        <v>7923</v>
      </c>
      <c r="K4622" s="8" t="n">
        <v>7746</v>
      </c>
      <c r="L4622" s="8" t="n">
        <v>545301</v>
      </c>
      <c r="M4622" s="8" t="n">
        <v>343874</v>
      </c>
      <c r="N4622" t="inlineStr">
        <is>
          <t>是</t>
        </is>
      </c>
    </row>
    <row r="4623">
      <c r="A4623" s="7" t="inlineStr">
        <is>
          <t>2026-07-23</t>
        </is>
      </c>
      <c r="B4623" s="8" t="n">
        <v>8470</v>
      </c>
      <c r="C4623" s="8" t="n">
        <v>8400</v>
      </c>
      <c r="D4623" s="8" t="n">
        <v>8475</v>
      </c>
      <c r="E4623" s="8" t="n">
        <v>8321</v>
      </c>
      <c r="F4623" s="8" t="n">
        <v>663110</v>
      </c>
      <c r="G4623" s="8" t="n">
        <v>478611</v>
      </c>
      <c r="H4623" s="8" t="n">
        <v>7997</v>
      </c>
      <c r="I4623" s="8" t="n">
        <v>7860</v>
      </c>
      <c r="J4623" s="8" t="n">
        <v>8004</v>
      </c>
      <c r="K4623" s="8" t="n">
        <v>7791</v>
      </c>
      <c r="L4623" s="8" t="n">
        <v>592382</v>
      </c>
      <c r="M4623" s="8" t="n">
        <v>368906</v>
      </c>
      <c r="N4623" t="inlineStr">
        <is>
          <t>是</t>
        </is>
      </c>
    </row>
    <row r="4624">
      <c r="A4624" s="7" t="inlineStr">
        <is>
          <t>2026-07-24</t>
        </is>
      </c>
      <c r="B4624" s="8" t="n">
        <v>8470</v>
      </c>
      <c r="C4624" s="8" t="n">
        <v>8546</v>
      </c>
      <c r="D4624" s="8" t="n">
        <v>8560</v>
      </c>
      <c r="E4624" s="8" t="n">
        <v>8327</v>
      </c>
      <c r="F4624" s="8" t="n">
        <v>783731</v>
      </c>
      <c r="G4624" s="8" t="n">
        <v>475195</v>
      </c>
      <c r="H4624" s="8" t="n">
        <v>7990</v>
      </c>
      <c r="I4624" s="8" t="n">
        <v>8050</v>
      </c>
      <c r="J4624" s="8" t="n">
        <v>8092</v>
      </c>
      <c r="K4624" s="8" t="n">
        <v>7897</v>
      </c>
      <c r="L4624" s="8" t="n">
        <v>645912</v>
      </c>
      <c r="M4624" s="8" t="n">
        <v>357663</v>
      </c>
      <c r="N4624" t="inlineStr">
        <is>
          <t>是</t>
        </is>
      </c>
    </row>
    <row r="4625">
      <c r="A4625" s="7" t="inlineStr">
        <is>
          <t>2026-07-27</t>
        </is>
      </c>
      <c r="B4625" s="8" t="n">
        <v>8086</v>
      </c>
      <c r="C4625" s="8" t="n">
        <v>8420</v>
      </c>
      <c r="D4625" s="8" t="n">
        <v>8466</v>
      </c>
      <c r="E4625" s="8" t="n">
        <v>8031</v>
      </c>
      <c r="F4625" s="8" t="n">
        <v>781472</v>
      </c>
      <c r="G4625" s="8" t="n">
        <v>459092</v>
      </c>
      <c r="H4625" s="8" t="n">
        <v>7650</v>
      </c>
      <c r="I4625" s="8" t="n">
        <v>7948</v>
      </c>
      <c r="J4625" s="8" t="n">
        <v>8000</v>
      </c>
      <c r="K4625" s="8" t="n">
        <v>7593</v>
      </c>
      <c r="L4625" s="8" t="n">
        <v>614575</v>
      </c>
      <c r="M4625" s="8" t="n">
        <v>331757</v>
      </c>
      <c r="N4625" t="inlineStr">
        <is>
          <t>是</t>
        </is>
      </c>
    </row>
    <row r="4626">
      <c r="A4626" s="7" t="inlineStr">
        <is>
          <t>2026-07-28</t>
        </is>
      </c>
      <c r="B4626" s="8" t="n">
        <v>8098</v>
      </c>
      <c r="C4626" s="8" t="n">
        <v>8100</v>
      </c>
      <c r="D4626" s="8" t="n">
        <v>8173</v>
      </c>
      <c r="E4626" s="8" t="n">
        <v>8035</v>
      </c>
      <c r="F4626" s="8" t="n">
        <v>659919</v>
      </c>
      <c r="G4626" s="8" t="n">
        <v>460269</v>
      </c>
      <c r="H4626" s="8" t="n">
        <v>7631</v>
      </c>
      <c r="I4626" s="8" t="n">
        <v>7691</v>
      </c>
      <c r="J4626" s="8" t="n">
        <v>7747</v>
      </c>
      <c r="K4626" s="8" t="n">
        <v>7612</v>
      </c>
      <c r="L4626" s="8" t="n">
        <v>549597</v>
      </c>
      <c r="M4626" s="8" t="n">
        <v>335761</v>
      </c>
      <c r="N4626" t="inlineStr">
        <is>
          <t>是</t>
        </is>
      </c>
    </row>
    <row r="4627">
      <c r="A4627" s="7" t="inlineStr">
        <is>
          <t>2026-07-29</t>
        </is>
      </c>
      <c r="B4627" s="8" t="n">
        <v>8214</v>
      </c>
      <c r="C4627" s="8" t="n">
        <v>8098</v>
      </c>
      <c r="D4627" s="8" t="n">
        <v>8283</v>
      </c>
      <c r="E4627" s="8" t="n">
        <v>8072</v>
      </c>
      <c r="F4627" s="8" t="n">
        <v>549287</v>
      </c>
      <c r="G4627" s="8" t="n">
        <v>461959</v>
      </c>
      <c r="H4627" s="8" t="n">
        <v>7705</v>
      </c>
      <c r="I4627" s="8" t="n">
        <v>7602</v>
      </c>
      <c r="J4627" s="8" t="n">
        <v>7789</v>
      </c>
      <c r="K4627" s="8" t="n">
        <v>7602</v>
      </c>
      <c r="L4627" s="8" t="n">
        <v>423009</v>
      </c>
      <c r="M4627" s="8" t="n">
        <v>329897</v>
      </c>
      <c r="N4627" t="inlineStr">
        <is>
          <t>是</t>
        </is>
      </c>
    </row>
    <row r="4628">
      <c r="A4628" s="7" t="inlineStr">
        <is>
          <t>2026-07-30</t>
        </is>
      </c>
      <c r="B4628" s="8" t="n">
        <v>8364</v>
      </c>
      <c r="C4628" s="8" t="n">
        <v>8300</v>
      </c>
      <c r="D4628" s="8" t="n">
        <v>8375</v>
      </c>
      <c r="E4628" s="8" t="n">
        <v>8209</v>
      </c>
      <c r="F4628" s="8" t="n">
        <v>632724</v>
      </c>
      <c r="G4628" s="8" t="n">
        <v>472168</v>
      </c>
      <c r="H4628" s="8" t="n">
        <v>7787</v>
      </c>
      <c r="I4628" s="8" t="n">
        <v>7792</v>
      </c>
      <c r="J4628" s="8" t="n">
        <v>7837</v>
      </c>
      <c r="K4628" s="8" t="n">
        <v>7715</v>
      </c>
      <c r="L4628" s="8" t="n">
        <v>476081</v>
      </c>
      <c r="M4628" s="8" t="n">
        <v>324403</v>
      </c>
      <c r="N4628" t="inlineStr">
        <is>
          <t>是</t>
        </is>
      </c>
    </row>
    <row r="4629">
      <c r="A4629" s="7" t="inlineStr">
        <is>
          <t>2026-07-31</t>
        </is>
      </c>
      <c r="B4629" s="8" t="n">
        <v>8310</v>
      </c>
      <c r="C4629" s="8" t="n">
        <v>8300</v>
      </c>
      <c r="D4629" s="8" t="n">
        <v>8330</v>
      </c>
      <c r="E4629" s="8" t="n">
        <v>8190</v>
      </c>
      <c r="F4629" s="8" t="n">
        <v>554633</v>
      </c>
      <c r="G4629" s="8" t="n">
        <v>478178</v>
      </c>
      <c r="H4629" s="8" t="n">
        <v>7742</v>
      </c>
      <c r="I4629" s="8" t="n">
        <v>7740</v>
      </c>
      <c r="J4629" s="8" t="n">
        <v>7753</v>
      </c>
      <c r="K4629" s="8" t="n">
        <v>7652</v>
      </c>
      <c r="L4629" s="8" t="n">
        <v>450566</v>
      </c>
      <c r="M4629" s="8" t="n">
        <v>317660</v>
      </c>
      <c r="N4629" t="inlineStr">
        <is>
          <t>是</t>
        </is>
      </c>
    </row>
    <row r="4630">
      <c r="A4630" s="7" t="inlineStr">
        <is>
          <t>2026-08-03</t>
        </is>
      </c>
      <c r="B4630" s="8" t="n">
        <v>8231</v>
      </c>
      <c r="C4630" s="8" t="n">
        <v>8400</v>
      </c>
      <c r="D4630" s="8" t="n">
        <v>8430</v>
      </c>
      <c r="E4630" s="8" t="n">
        <v>8150</v>
      </c>
      <c r="F4630" s="8" t="n">
        <v>581696</v>
      </c>
      <c r="G4630" s="8" t="n">
        <v>458874</v>
      </c>
      <c r="H4630" s="8" t="n">
        <v>7671</v>
      </c>
      <c r="I4630" s="8" t="n">
        <v>7844</v>
      </c>
      <c r="J4630" s="8" t="n">
        <v>7864</v>
      </c>
      <c r="K4630" s="8" t="n">
        <v>7633</v>
      </c>
      <c r="L4630" s="8" t="n">
        <v>506082</v>
      </c>
      <c r="M4630" s="8" t="n">
        <v>303892</v>
      </c>
      <c r="N4630" t="inlineStr">
        <is>
          <t>是</t>
        </is>
      </c>
    </row>
    <row r="4631">
      <c r="A4631" s="7" t="inlineStr">
        <is>
          <t>2026-08-04</t>
        </is>
      </c>
      <c r="B4631" s="8" t="n">
        <v>8298</v>
      </c>
      <c r="C4631" s="8" t="n">
        <v>8258</v>
      </c>
      <c r="D4631" s="8" t="n">
        <v>8431</v>
      </c>
      <c r="E4631" s="8" t="n">
        <v>8215</v>
      </c>
      <c r="F4631" s="8" t="n">
        <v>683383</v>
      </c>
      <c r="G4631" s="8" t="n">
        <v>477729</v>
      </c>
      <c r="H4631" s="8" t="n">
        <v>7726</v>
      </c>
      <c r="I4631" s="8" t="n">
        <v>7671</v>
      </c>
      <c r="J4631" s="8" t="n">
        <v>7845</v>
      </c>
      <c r="K4631" s="8" t="n">
        <v>7655</v>
      </c>
      <c r="L4631" s="8" t="n">
        <v>487393</v>
      </c>
      <c r="M4631" s="8" t="n">
        <v>310587</v>
      </c>
      <c r="N4631" t="inlineStr">
        <is>
          <t>是</t>
        </is>
      </c>
    </row>
    <row r="4632">
      <c r="A4632" s="7" t="inlineStr">
        <is>
          <t>2026-08-05</t>
        </is>
      </c>
      <c r="B4632" s="8" t="n">
        <v>8080</v>
      </c>
      <c r="C4632" s="8" t="n">
        <v>8188</v>
      </c>
      <c r="D4632" s="8" t="n">
        <v>8251</v>
      </c>
      <c r="E4632" s="8" t="n">
        <v>8045</v>
      </c>
      <c r="F4632" s="8" t="n">
        <v>871570</v>
      </c>
      <c r="G4632" s="8" t="n">
        <v>449576</v>
      </c>
      <c r="H4632" s="8" t="n">
        <v>7616</v>
      </c>
      <c r="I4632" s="8" t="n">
        <v>7650</v>
      </c>
      <c r="J4632" s="8" t="n">
        <v>7688</v>
      </c>
      <c r="K4632" s="8" t="n">
        <v>7573</v>
      </c>
      <c r="L4632" s="8" t="n">
        <v>545606</v>
      </c>
      <c r="M4632" s="8" t="n">
        <v>298340</v>
      </c>
      <c r="N4632" t="inlineStr">
        <is>
          <t>是</t>
        </is>
      </c>
    </row>
    <row r="4633">
      <c r="A4633" s="7" t="inlineStr">
        <is>
          <t>2026-08-06</t>
        </is>
      </c>
      <c r="B4633" s="8" t="n">
        <v>8034</v>
      </c>
      <c r="C4633" s="8" t="n">
        <v>8106</v>
      </c>
      <c r="D4633" s="8" t="n">
        <v>8116</v>
      </c>
      <c r="E4633" s="8" t="n">
        <v>7890</v>
      </c>
      <c r="F4633" s="8" t="n">
        <v>799435</v>
      </c>
      <c r="G4633" s="8" t="n">
        <v>430672</v>
      </c>
      <c r="H4633" s="8" t="n">
        <v>7629</v>
      </c>
      <c r="I4633" s="8" t="n">
        <v>7637</v>
      </c>
      <c r="J4633" s="8" t="n">
        <v>7644</v>
      </c>
      <c r="K4633" s="8" t="n">
        <v>7462</v>
      </c>
      <c r="L4633" s="8" t="n">
        <v>560127</v>
      </c>
      <c r="M4633" s="8" t="n">
        <v>289191</v>
      </c>
      <c r="N4633" t="inlineStr">
        <is>
          <t>是</t>
        </is>
      </c>
    </row>
    <row r="4634">
      <c r="A4634" s="7" t="inlineStr">
        <is>
          <t>2026-08-07</t>
        </is>
      </c>
      <c r="B4634" s="8" t="n">
        <v>8159</v>
      </c>
      <c r="C4634" s="8" t="n">
        <v>8052</v>
      </c>
      <c r="D4634" s="8" t="n">
        <v>8184</v>
      </c>
      <c r="E4634" s="8" t="n">
        <v>8001</v>
      </c>
      <c r="F4634" s="8" t="n">
        <v>552111</v>
      </c>
      <c r="G4634" s="8" t="n">
        <v>432421</v>
      </c>
      <c r="H4634" s="8" t="n">
        <v>7739</v>
      </c>
      <c r="I4634" s="8" t="n">
        <v>7650</v>
      </c>
      <c r="J4634" s="8" t="n">
        <v>7755</v>
      </c>
      <c r="K4634" s="8" t="n">
        <v>7605</v>
      </c>
      <c r="L4634" s="8" t="n">
        <v>351198</v>
      </c>
      <c r="M4634" s="8" t="n">
        <v>291971</v>
      </c>
      <c r="N4634" t="inlineStr">
        <is>
          <t>是</t>
        </is>
      </c>
    </row>
    <row r="4635">
      <c r="A4635" s="7" t="inlineStr">
        <is>
          <t>2026-08-10</t>
        </is>
      </c>
      <c r="B4635" s="8" t="n">
        <v>8170</v>
      </c>
      <c r="C4635" s="8" t="n">
        <v>8100</v>
      </c>
      <c r="D4635" s="8" t="n">
        <v>8247</v>
      </c>
      <c r="E4635" s="8" t="n">
        <v>8089</v>
      </c>
      <c r="F4635" s="8" t="n">
        <v>462046</v>
      </c>
      <c r="G4635" s="8" t="n">
        <v>426914</v>
      </c>
      <c r="H4635" s="8" t="n">
        <v>7666</v>
      </c>
      <c r="I4635" s="8" t="n">
        <v>7666</v>
      </c>
      <c r="J4635" s="8" t="n">
        <v>7762</v>
      </c>
      <c r="K4635" s="8" t="n">
        <v>7647</v>
      </c>
      <c r="L4635" s="8" t="n">
        <v>318383</v>
      </c>
      <c r="M4635" s="8" t="n">
        <v>271652</v>
      </c>
      <c r="N4635" t="inlineStr">
        <is>
          <t>是</t>
        </is>
      </c>
    </row>
    <row r="4636">
      <c r="A4636" s="7" t="inlineStr">
        <is>
          <t>2026-08-11</t>
        </is>
      </c>
      <c r="B4636" s="8" t="n">
        <v>8423</v>
      </c>
      <c r="C4636" s="8" t="n">
        <v>8252</v>
      </c>
      <c r="D4636" s="8" t="n">
        <v>8429</v>
      </c>
      <c r="E4636" s="8" t="n">
        <v>8210</v>
      </c>
      <c r="F4636" s="8" t="n">
        <v>512899</v>
      </c>
      <c r="G4636" s="8" t="n">
        <v>430167</v>
      </c>
      <c r="H4636" s="8" t="n">
        <v>7852</v>
      </c>
      <c r="I4636" s="8" t="n">
        <v>7740</v>
      </c>
      <c r="J4636" s="8" t="n">
        <v>7856</v>
      </c>
      <c r="K4636" s="8" t="n">
        <v>7699</v>
      </c>
      <c r="L4636" s="8" t="n">
        <v>325197</v>
      </c>
      <c r="M4636" s="8" t="n">
        <v>262913</v>
      </c>
      <c r="N4636" t="inlineStr">
        <is>
          <t>是</t>
        </is>
      </c>
    </row>
    <row r="4637">
      <c r="A4637" s="7" t="inlineStr">
        <is>
          <t>2026-08-12</t>
        </is>
      </c>
      <c r="B4637" s="8" t="n">
        <v>8356</v>
      </c>
      <c r="C4637" s="8" t="n">
        <v>8370</v>
      </c>
      <c r="D4637" s="8" t="n">
        <v>8400</v>
      </c>
      <c r="E4637" s="8" t="n">
        <v>8238</v>
      </c>
      <c r="F4637" s="8" t="n">
        <v>495537</v>
      </c>
      <c r="G4637" s="8" t="n">
        <v>403773</v>
      </c>
      <c r="H4637" s="8" t="n">
        <v>7809</v>
      </c>
      <c r="I4637" s="8" t="n">
        <v>7805</v>
      </c>
      <c r="J4637" s="8" t="n">
        <v>7839</v>
      </c>
      <c r="K4637" s="8" t="n">
        <v>7689</v>
      </c>
      <c r="L4637" s="8" t="n">
        <v>351439</v>
      </c>
      <c r="M4637" s="8" t="n">
        <v>246417</v>
      </c>
      <c r="N4637" t="inlineStr">
        <is>
          <t>是</t>
        </is>
      </c>
    </row>
    <row r="4638">
      <c r="A4638" s="7" t="inlineStr">
        <is>
          <t>2026-08-13</t>
        </is>
      </c>
      <c r="B4638" s="8" t="n">
        <v>8421</v>
      </c>
      <c r="C4638" s="8" t="n">
        <v>8356</v>
      </c>
      <c r="D4638" s="8" t="n">
        <v>8443</v>
      </c>
      <c r="E4638" s="8" t="n">
        <v>8319</v>
      </c>
      <c r="F4638" s="8" t="n">
        <v>433586</v>
      </c>
      <c r="G4638" s="8" t="n">
        <v>399537</v>
      </c>
      <c r="H4638" s="8" t="n">
        <v>7879</v>
      </c>
      <c r="I4638" s="8" t="n">
        <v>7809</v>
      </c>
      <c r="J4638" s="8" t="n">
        <v>7913</v>
      </c>
      <c r="K4638" s="8" t="n">
        <v>7758</v>
      </c>
      <c r="L4638" s="8" t="n">
        <v>306640</v>
      </c>
      <c r="M4638" s="8" t="n">
        <v>249825</v>
      </c>
      <c r="N4638" t="inlineStr">
        <is>
          <t>是</t>
        </is>
      </c>
    </row>
    <row r="4639">
      <c r="A4639" s="7" t="inlineStr">
        <is>
          <t>2026-08-14</t>
        </is>
      </c>
      <c r="B4639" s="8" t="n">
        <v>8464</v>
      </c>
      <c r="C4639" s="8" t="n">
        <v>8360</v>
      </c>
      <c r="D4639" s="8" t="n">
        <v>8485</v>
      </c>
      <c r="E4639" s="8" t="n">
        <v>8340</v>
      </c>
      <c r="F4639" s="8" t="n">
        <v>406111</v>
      </c>
      <c r="G4639" s="8" t="n">
        <v>379941</v>
      </c>
      <c r="H4639" s="8" t="n">
        <v>7932</v>
      </c>
      <c r="I4639" s="8" t="n">
        <v>7801</v>
      </c>
      <c r="J4639" s="8" t="n">
        <v>7942</v>
      </c>
      <c r="K4639" s="8" t="n">
        <v>7797</v>
      </c>
      <c r="L4639" s="8" t="n">
        <v>304035</v>
      </c>
      <c r="M4639" s="8" t="n">
        <v>236863</v>
      </c>
      <c r="N4639" t="inlineStr">
        <is>
          <t>是</t>
        </is>
      </c>
    </row>
    <row r="4640">
      <c r="A4640" s="7" t="inlineStr">
        <is>
          <t>2026-08-17</t>
        </is>
      </c>
      <c r="B4640" s="8" t="n">
        <v>8573</v>
      </c>
      <c r="C4640" s="8" t="n">
        <v>8449</v>
      </c>
      <c r="D4640" s="8" t="n">
        <v>8691</v>
      </c>
      <c r="E4640" s="8" t="n">
        <v>8430</v>
      </c>
      <c r="F4640" s="8" t="n">
        <v>484661</v>
      </c>
      <c r="G4640" s="8" t="n">
        <v>328721</v>
      </c>
      <c r="H4640" s="8" t="n">
        <v>8091</v>
      </c>
      <c r="I4640" s="8" t="n">
        <v>7918</v>
      </c>
      <c r="J4640" s="8" t="n">
        <v>8155</v>
      </c>
      <c r="K4640" s="8" t="n">
        <v>7911</v>
      </c>
      <c r="L4640" s="8" t="n">
        <v>311611</v>
      </c>
      <c r="M4640" s="8" t="n">
        <v>226058</v>
      </c>
      <c r="N4640" t="inlineStr">
        <is>
          <t>是</t>
        </is>
      </c>
    </row>
    <row r="4641">
      <c r="A4641" s="7" t="inlineStr">
        <is>
          <t>2026-08-18</t>
        </is>
      </c>
      <c r="B4641" s="8" t="n">
        <v>7947</v>
      </c>
      <c r="C4641" s="8" t="n">
        <v>7852</v>
      </c>
      <c r="D4641" s="8" t="n">
        <v>7981</v>
      </c>
      <c r="E4641" s="8" t="n">
        <v>7814</v>
      </c>
      <c r="F4641" s="8" t="n">
        <v>373567</v>
      </c>
      <c r="G4641" s="8" t="n">
        <v>413815</v>
      </c>
      <c r="H4641" s="8" t="n">
        <v>7789</v>
      </c>
      <c r="I4641" s="8" t="n">
        <v>7694</v>
      </c>
      <c r="J4641" s="8" t="n">
        <v>7813</v>
      </c>
      <c r="K4641" s="8" t="n">
        <v>7667</v>
      </c>
      <c r="L4641" s="8" t="n">
        <v>292558</v>
      </c>
      <c r="M4641" s="8" t="n">
        <v>297281</v>
      </c>
      <c r="N4641" t="inlineStr">
        <is>
          <t>是</t>
        </is>
      </c>
    </row>
    <row r="4642">
      <c r="A4642" s="7" t="inlineStr">
        <is>
          <t>2026-08-19</t>
        </is>
      </c>
      <c r="B4642" s="8" t="n">
        <v>8010</v>
      </c>
      <c r="C4642" s="8" t="n">
        <v>7968</v>
      </c>
      <c r="D4642" s="8" t="n">
        <v>8064</v>
      </c>
      <c r="E4642" s="8" t="n">
        <v>7935</v>
      </c>
      <c r="F4642" s="8" t="n">
        <v>358374</v>
      </c>
      <c r="G4642" s="8" t="n">
        <v>454794</v>
      </c>
      <c r="H4642" s="8" t="n">
        <v>7842</v>
      </c>
      <c r="I4642" s="8" t="n">
        <v>7801</v>
      </c>
      <c r="J4642" s="8" t="n">
        <v>7898</v>
      </c>
      <c r="K4642" s="8" t="n">
        <v>7781</v>
      </c>
      <c r="L4642" s="8" t="n">
        <v>301518</v>
      </c>
      <c r="M4642" s="8" t="n">
        <v>336879</v>
      </c>
      <c r="N4642" t="inlineStr">
        <is>
          <t>是</t>
        </is>
      </c>
    </row>
    <row r="4643">
      <c r="A4643" s="7" t="inlineStr">
        <is>
          <t>2026-08-20</t>
        </is>
      </c>
      <c r="B4643" s="8" t="n">
        <v>7994</v>
      </c>
      <c r="C4643" s="8" t="n">
        <v>7998</v>
      </c>
      <c r="D4643" s="8" t="n">
        <v>8055</v>
      </c>
      <c r="E4643" s="8" t="n">
        <v>7930</v>
      </c>
      <c r="F4643" s="8" t="n">
        <v>514702</v>
      </c>
      <c r="G4643" s="8" t="n">
        <v>489787</v>
      </c>
      <c r="H4643" s="8" t="n">
        <v>7794</v>
      </c>
      <c r="I4643" s="8" t="n">
        <v>7831</v>
      </c>
      <c r="J4643" s="8" t="n">
        <v>7860</v>
      </c>
      <c r="K4643" s="8" t="n">
        <v>7732</v>
      </c>
      <c r="L4643" s="8" t="n">
        <v>403557</v>
      </c>
      <c r="M4643" s="8" t="n">
        <v>362995</v>
      </c>
      <c r="N4643" t="inlineStr">
        <is>
          <t>是</t>
        </is>
      </c>
    </row>
    <row r="4644">
      <c r="A4644" s="7" t="inlineStr">
        <is>
          <t>2026-08-21</t>
        </is>
      </c>
      <c r="B4644" s="8" t="n">
        <v>8121</v>
      </c>
      <c r="C4644" s="8" t="n">
        <v>8069</v>
      </c>
      <c r="D4644" s="8" t="n">
        <v>8124</v>
      </c>
      <c r="E4644" s="8" t="n">
        <v>7991</v>
      </c>
      <c r="F4644" s="8" t="n">
        <v>510967</v>
      </c>
      <c r="G4644" s="8" t="n">
        <v>520570</v>
      </c>
      <c r="H4644" s="8" t="n">
        <v>7864</v>
      </c>
      <c r="I4644" s="8" t="n">
        <v>7866</v>
      </c>
      <c r="J4644" s="8" t="n">
        <v>7887</v>
      </c>
      <c r="K4644" s="8" t="n">
        <v>7774</v>
      </c>
      <c r="L4644" s="8" t="n">
        <v>388368</v>
      </c>
      <c r="M4644" s="8" t="n">
        <v>381901</v>
      </c>
      <c r="N4644" t="inlineStr">
        <is>
          <t>是</t>
        </is>
      </c>
    </row>
    <row r="4645">
      <c r="A4645" s="7" t="inlineStr">
        <is>
          <t>2026-08-24</t>
        </is>
      </c>
      <c r="B4645" s="8" t="n">
        <v>8139</v>
      </c>
      <c r="C4645" s="8" t="n">
        <v>8148</v>
      </c>
      <c r="D4645" s="8" t="n">
        <v>8156</v>
      </c>
      <c r="E4645" s="8" t="n">
        <v>8018</v>
      </c>
      <c r="F4645" s="8" t="n">
        <v>612816</v>
      </c>
      <c r="G4645" s="8" t="n">
        <v>533071</v>
      </c>
      <c r="H4645" s="8" t="n">
        <v>7810</v>
      </c>
      <c r="I4645" s="8" t="n">
        <v>7870</v>
      </c>
      <c r="J4645" s="8" t="n">
        <v>7883</v>
      </c>
      <c r="K4645" s="8" t="n">
        <v>7758</v>
      </c>
      <c r="L4645" s="8" t="n">
        <v>462638</v>
      </c>
      <c r="M4645" s="8" t="n">
        <v>391543</v>
      </c>
      <c r="N4645" t="inlineStr">
        <is>
          <t>是</t>
        </is>
      </c>
    </row>
    <row r="4646">
      <c r="A4646" s="7" t="inlineStr">
        <is>
          <t>2026-08-25</t>
        </is>
      </c>
      <c r="B4646" s="8" t="n">
        <v>8098</v>
      </c>
      <c r="C4646" s="8" t="n">
        <v>8153</v>
      </c>
      <c r="D4646" s="8" t="n">
        <v>8291</v>
      </c>
      <c r="E4646" s="8" t="n">
        <v>8085</v>
      </c>
      <c r="F4646" s="8" t="n">
        <v>792547</v>
      </c>
      <c r="G4646" s="8" t="n">
        <v>541044</v>
      </c>
      <c r="H4646" s="8" t="n">
        <v>7802</v>
      </c>
      <c r="I4646" s="8" t="n">
        <v>7822</v>
      </c>
      <c r="J4646" s="8" t="n">
        <v>7960</v>
      </c>
      <c r="K4646" s="8" t="n">
        <v>7789</v>
      </c>
      <c r="L4646" s="8" t="n">
        <v>567358</v>
      </c>
      <c r="M4646" s="8" t="n">
        <v>397697</v>
      </c>
      <c r="N4646" t="inlineStr">
        <is>
          <t>是</t>
        </is>
      </c>
    </row>
    <row r="4647">
      <c r="A4647" s="7" t="inlineStr">
        <is>
          <t>2026-08-26</t>
        </is>
      </c>
      <c r="B4647" s="8" t="n">
        <v>7769</v>
      </c>
      <c r="C4647" s="8" t="n">
        <v>8002</v>
      </c>
      <c r="D4647" s="8" t="n">
        <v>8056</v>
      </c>
      <c r="E4647" s="8" t="n">
        <v>7728</v>
      </c>
      <c r="F4647" s="8" t="n">
        <v>818380</v>
      </c>
      <c r="G4647" s="8" t="n">
        <v>538637</v>
      </c>
      <c r="H4647" s="8" t="n">
        <v>7561</v>
      </c>
      <c r="I4647" s="8" t="n">
        <v>7700</v>
      </c>
      <c r="J4647" s="8" t="n">
        <v>7778</v>
      </c>
      <c r="K4647" s="8" t="n">
        <v>7507</v>
      </c>
      <c r="L4647" s="8" t="n">
        <v>566570</v>
      </c>
      <c r="M4647" s="8" t="n">
        <v>393813</v>
      </c>
      <c r="N4647" t="inlineStr">
        <is>
          <t>是</t>
        </is>
      </c>
    </row>
    <row r="4648">
      <c r="A4648" s="7" t="inlineStr">
        <is>
          <t>2026-08-27</t>
        </is>
      </c>
      <c r="B4648" s="8" t="n">
        <v>7851</v>
      </c>
      <c r="C4648" s="8" t="n">
        <v>7805</v>
      </c>
      <c r="D4648" s="8" t="n">
        <v>7943</v>
      </c>
      <c r="E4648" s="8" t="n">
        <v>7783</v>
      </c>
      <c r="F4648" s="8" t="n">
        <v>668415</v>
      </c>
      <c r="G4648" s="8" t="n">
        <v>546551</v>
      </c>
      <c r="H4648" s="8" t="n">
        <v>7595</v>
      </c>
      <c r="I4648" s="8" t="n">
        <v>7583</v>
      </c>
      <c r="J4648" s="8" t="n">
        <v>7676</v>
      </c>
      <c r="K4648" s="8" t="n">
        <v>7542</v>
      </c>
      <c r="L4648" s="8" t="n">
        <v>444826</v>
      </c>
      <c r="M4648" s="8" t="n">
        <v>396978</v>
      </c>
      <c r="N4648" t="inlineStr">
        <is>
          <t>是</t>
        </is>
      </c>
    </row>
    <row r="4649">
      <c r="A4649" s="7" t="inlineStr">
        <is>
          <t>2026-08-28</t>
        </is>
      </c>
      <c r="B4649" s="8" t="n">
        <v>7988</v>
      </c>
      <c r="C4649" s="8" t="n">
        <v>7910</v>
      </c>
      <c r="D4649" s="8" t="n">
        <v>7993</v>
      </c>
      <c r="E4649" s="8" t="n">
        <v>7878</v>
      </c>
      <c r="F4649" s="8" t="n">
        <v>608273</v>
      </c>
      <c r="G4649" s="8" t="n">
        <v>565823</v>
      </c>
      <c r="H4649" s="8" t="n">
        <v>7720</v>
      </c>
      <c r="I4649" s="8" t="n">
        <v>7657</v>
      </c>
      <c r="J4649" s="8" t="n">
        <v>7722</v>
      </c>
      <c r="K4649" s="8" t="n">
        <v>7615</v>
      </c>
      <c r="L4649" s="8" t="n">
        <v>441018</v>
      </c>
      <c r="M4649" s="8" t="n">
        <v>412987</v>
      </c>
      <c r="N4649" t="inlineStr">
        <is>
          <t>是</t>
        </is>
      </c>
    </row>
    <row r="4650">
      <c r="A4650" s="7" t="inlineStr">
        <is>
          <t>2026-08-31</t>
        </is>
      </c>
      <c r="B4650" s="8" t="n">
        <v>8366</v>
      </c>
      <c r="C4650" s="8" t="n">
        <v>7982</v>
      </c>
      <c r="D4650" s="8" t="n">
        <v>8397</v>
      </c>
      <c r="E4650" s="8" t="n">
        <v>7949</v>
      </c>
      <c r="F4650" s="8" t="n">
        <v>923568</v>
      </c>
      <c r="G4650" s="8" t="n">
        <v>599187</v>
      </c>
      <c r="H4650" s="8" t="n">
        <v>8098</v>
      </c>
      <c r="I4650" s="8" t="n">
        <v>7721</v>
      </c>
      <c r="J4650" s="8" t="n">
        <v>8113</v>
      </c>
      <c r="K4650" s="8" t="n">
        <v>7683</v>
      </c>
      <c r="L4650" s="8" t="n">
        <v>664824</v>
      </c>
      <c r="M4650" s="8" t="n">
        <v>436064</v>
      </c>
      <c r="N4650" t="inlineStr">
        <is>
          <t>是</t>
        </is>
      </c>
    </row>
    <row r="4651">
      <c r="A4651" s="7" t="inlineStr">
        <is>
          <t>2026-09-01</t>
        </is>
      </c>
      <c r="B4651" s="8" t="n">
        <v>8360</v>
      </c>
      <c r="C4651" s="8" t="n">
        <v>8347</v>
      </c>
      <c r="D4651" s="8" t="n">
        <v>8436</v>
      </c>
      <c r="E4651" s="8" t="n">
        <v>8320</v>
      </c>
      <c r="F4651" s="8" t="n">
        <v>687435</v>
      </c>
      <c r="G4651" s="8" t="n">
        <v>598082</v>
      </c>
      <c r="H4651" s="8" t="n">
        <v>8125</v>
      </c>
      <c r="I4651" s="8" t="n">
        <v>8071</v>
      </c>
      <c r="J4651" s="8" t="n">
        <v>8188</v>
      </c>
      <c r="K4651" s="8" t="n">
        <v>8046</v>
      </c>
      <c r="L4651" s="8" t="n">
        <v>531232</v>
      </c>
      <c r="M4651" s="8" t="n">
        <v>427207</v>
      </c>
      <c r="N4651" t="inlineStr">
        <is>
          <t>是</t>
        </is>
      </c>
    </row>
    <row r="4652">
      <c r="A4652" s="7" t="inlineStr">
        <is>
          <t>2026-09-02</t>
        </is>
      </c>
      <c r="B4652" s="8" t="n">
        <v>8536</v>
      </c>
      <c r="C4652" s="8" t="n">
        <v>8435</v>
      </c>
      <c r="D4652" s="8" t="n">
        <v>8790</v>
      </c>
      <c r="E4652" s="8" t="n">
        <v>8411</v>
      </c>
      <c r="F4652" s="8" t="n">
        <v>802158</v>
      </c>
      <c r="G4652" s="8" t="n">
        <v>593761</v>
      </c>
      <c r="H4652" s="8" t="n">
        <v>8279</v>
      </c>
      <c r="I4652" s="8" t="n">
        <v>8188</v>
      </c>
      <c r="J4652" s="8" t="n">
        <v>8528</v>
      </c>
      <c r="K4652" s="8" t="n">
        <v>8162</v>
      </c>
      <c r="L4652" s="8" t="n">
        <v>630685</v>
      </c>
      <c r="M4652" s="8" t="n">
        <v>430430</v>
      </c>
      <c r="N4652" t="inlineStr">
        <is>
          <t>是</t>
        </is>
      </c>
    </row>
    <row r="4653">
      <c r="A4653" s="7" t="inlineStr">
        <is>
          <t>2026-09-03</t>
        </is>
      </c>
      <c r="B4653" s="8" t="n">
        <v>8448</v>
      </c>
      <c r="C4653" s="8" t="n">
        <v>8508</v>
      </c>
      <c r="D4653" s="8" t="n">
        <v>8618</v>
      </c>
      <c r="E4653" s="8" t="n">
        <v>8402</v>
      </c>
      <c r="F4653" s="8" t="n">
        <v>839934</v>
      </c>
      <c r="G4653" s="8" t="n">
        <v>604492</v>
      </c>
      <c r="H4653" s="8" t="n">
        <v>8240</v>
      </c>
      <c r="I4653" s="8" t="n">
        <v>8275</v>
      </c>
      <c r="J4653" s="8" t="n">
        <v>8410</v>
      </c>
      <c r="K4653" s="8" t="n">
        <v>8194</v>
      </c>
      <c r="L4653" s="8" t="n">
        <v>608745</v>
      </c>
      <c r="M4653" s="8" t="n">
        <v>436933</v>
      </c>
      <c r="N4653" t="inlineStr">
        <is>
          <t>是</t>
        </is>
      </c>
    </row>
    <row r="4654">
      <c r="A4654" s="7" t="inlineStr">
        <is>
          <t>2026-09-04</t>
        </is>
      </c>
      <c r="B4654" s="8" t="n">
        <v>8567</v>
      </c>
      <c r="C4654" s="8" t="n">
        <v>8505</v>
      </c>
      <c r="D4654" s="8" t="n">
        <v>8659</v>
      </c>
      <c r="E4654" s="8" t="n">
        <v>8502</v>
      </c>
      <c r="F4654" s="8" t="n">
        <v>735136</v>
      </c>
      <c r="G4654" s="8" t="n">
        <v>616462</v>
      </c>
      <c r="H4654" s="8" t="n">
        <v>8359</v>
      </c>
      <c r="I4654" s="8" t="n">
        <v>8300</v>
      </c>
      <c r="J4654" s="8" t="n">
        <v>8427</v>
      </c>
      <c r="K4654" s="8" t="n">
        <v>8280</v>
      </c>
      <c r="L4654" s="8" t="n">
        <v>529377</v>
      </c>
      <c r="M4654" s="8" t="n">
        <v>443565</v>
      </c>
      <c r="N4654" t="inlineStr">
        <is>
          <t>是</t>
        </is>
      </c>
    </row>
    <row r="4655">
      <c r="A4655" s="7" t="inlineStr">
        <is>
          <t>2026-09-07</t>
        </is>
      </c>
      <c r="B4655" s="8" t="n">
        <v>8560</v>
      </c>
      <c r="C4655" s="8" t="n">
        <v>8495</v>
      </c>
      <c r="D4655" s="8" t="n">
        <v>8627</v>
      </c>
      <c r="E4655" s="8" t="n">
        <v>8470</v>
      </c>
      <c r="F4655" s="8" t="n">
        <v>663450</v>
      </c>
      <c r="G4655" s="8" t="n">
        <v>607657</v>
      </c>
      <c r="H4655" s="8" t="n">
        <v>8302</v>
      </c>
      <c r="I4655" s="8" t="n">
        <v>8314</v>
      </c>
      <c r="J4655" s="8" t="n">
        <v>8402</v>
      </c>
      <c r="K4655" s="8" t="n">
        <v>8260</v>
      </c>
      <c r="L4655" s="8" t="n">
        <v>520939</v>
      </c>
      <c r="M4655" s="8" t="n">
        <v>433574</v>
      </c>
      <c r="N4655" t="inlineStr">
        <is>
          <t>是</t>
        </is>
      </c>
    </row>
    <row r="4656">
      <c r="A4656" s="7" t="inlineStr">
        <is>
          <t>2026-09-08</t>
        </is>
      </c>
      <c r="B4656" s="8" t="n">
        <v>8785</v>
      </c>
      <c r="C4656" s="8" t="n">
        <v>8586</v>
      </c>
      <c r="D4656" s="8" t="n">
        <v>8798</v>
      </c>
      <c r="E4656" s="8" t="n">
        <v>8548</v>
      </c>
      <c r="F4656" s="8" t="n">
        <v>674389</v>
      </c>
      <c r="G4656" s="8" t="n">
        <v>633003</v>
      </c>
      <c r="H4656" s="8" t="n">
        <v>8494</v>
      </c>
      <c r="I4656" s="8" t="n">
        <v>8326</v>
      </c>
      <c r="J4656" s="8" t="n">
        <v>8503</v>
      </c>
      <c r="K4656" s="8" t="n">
        <v>8309</v>
      </c>
      <c r="L4656" s="8" t="n">
        <v>495338</v>
      </c>
      <c r="M4656" s="8" t="n">
        <v>445828</v>
      </c>
      <c r="N4656" t="inlineStr">
        <is>
          <t>是</t>
        </is>
      </c>
    </row>
    <row r="4657">
      <c r="A4657" s="7" t="inlineStr">
        <is>
          <t>2026-09-09</t>
        </is>
      </c>
      <c r="B4657" s="8" t="n">
        <v>8799</v>
      </c>
      <c r="C4657" s="8" t="n">
        <v>8730</v>
      </c>
      <c r="D4657" s="8" t="n">
        <v>8819</v>
      </c>
      <c r="E4657" s="8" t="n">
        <v>8619</v>
      </c>
      <c r="F4657" s="8" t="n">
        <v>787062</v>
      </c>
      <c r="G4657" s="8" t="n">
        <v>641921</v>
      </c>
      <c r="H4657" s="8" t="n">
        <v>8498</v>
      </c>
      <c r="I4657" s="8" t="n">
        <v>8440</v>
      </c>
      <c r="J4657" s="8" t="n">
        <v>8515</v>
      </c>
      <c r="K4657" s="8" t="n">
        <v>8329</v>
      </c>
      <c r="L4657" s="8" t="n">
        <v>600823</v>
      </c>
      <c r="M4657" s="8" t="n">
        <v>441760</v>
      </c>
      <c r="N4657" t="inlineStr">
        <is>
          <t>是</t>
        </is>
      </c>
    </row>
    <row r="4658">
      <c r="A4658" s="7" t="inlineStr">
        <is>
          <t>2026-09-10</t>
        </is>
      </c>
      <c r="B4658" s="8" t="n">
        <v>8939</v>
      </c>
      <c r="C4658" s="8" t="n">
        <v>8880</v>
      </c>
      <c r="D4658" s="8" t="n">
        <v>9114</v>
      </c>
      <c r="E4658" s="8" t="n">
        <v>8845</v>
      </c>
      <c r="F4658" s="8" t="n">
        <v>923723</v>
      </c>
      <c r="G4658" s="8" t="n">
        <v>652822</v>
      </c>
      <c r="H4658" s="8" t="n">
        <v>8583</v>
      </c>
      <c r="I4658" s="8" t="n">
        <v>8563</v>
      </c>
      <c r="J4658" s="8" t="n">
        <v>8775</v>
      </c>
      <c r="K4658" s="8" t="n">
        <v>8523</v>
      </c>
      <c r="L4658" s="8" t="n">
        <v>716339</v>
      </c>
      <c r="M4658" s="8" t="n">
        <v>440518</v>
      </c>
      <c r="N4658" t="inlineStr">
        <is>
          <t>是</t>
        </is>
      </c>
    </row>
    <row r="4659">
      <c r="A4659" s="7" t="inlineStr">
        <is>
          <t>2026-09-11</t>
        </is>
      </c>
      <c r="B4659" s="8" t="n">
        <v>8882</v>
      </c>
      <c r="C4659" s="8" t="n">
        <v>9200</v>
      </c>
      <c r="D4659" s="8" t="n">
        <v>9275</v>
      </c>
      <c r="E4659" s="8" t="n">
        <v>8804</v>
      </c>
      <c r="F4659" s="8" t="n">
        <v>1070774</v>
      </c>
      <c r="G4659" s="8" t="n">
        <v>642420</v>
      </c>
      <c r="H4659" s="8" t="n">
        <v>8598</v>
      </c>
      <c r="I4659" s="8" t="n">
        <v>8850</v>
      </c>
      <c r="J4659" s="8" t="n">
        <v>8924</v>
      </c>
      <c r="K4659" s="8" t="n">
        <v>8507</v>
      </c>
      <c r="L4659" s="8" t="n">
        <v>858174</v>
      </c>
      <c r="M4659" s="8" t="n">
        <v>432249</v>
      </c>
      <c r="N4659" t="inlineStr">
        <is>
          <t>是</t>
        </is>
      </c>
    </row>
    <row r="4660">
      <c r="A4660" s="7" t="inlineStr">
        <is>
          <t>2026-09-14</t>
        </is>
      </c>
      <c r="B4660" s="8" t="n">
        <v>8876</v>
      </c>
      <c r="C4660" s="8" t="n">
        <v>8800</v>
      </c>
      <c r="D4660" s="8" t="n">
        <v>9086</v>
      </c>
      <c r="E4660" s="8" t="n">
        <v>8784</v>
      </c>
      <c r="F4660" s="8" t="n">
        <v>843842</v>
      </c>
      <c r="G4660" s="8" t="n">
        <v>647081</v>
      </c>
      <c r="H4660" s="8" t="n">
        <v>8579</v>
      </c>
      <c r="I4660" s="8" t="n">
        <v>8529</v>
      </c>
      <c r="J4660" s="8" t="n">
        <v>8771</v>
      </c>
      <c r="K4660" s="8" t="n">
        <v>8513</v>
      </c>
      <c r="L4660" s="8" t="n">
        <v>713501</v>
      </c>
      <c r="M4660" s="8" t="n">
        <v>447957</v>
      </c>
      <c r="N4660" t="inlineStr">
        <is>
          <t>是</t>
        </is>
      </c>
    </row>
    <row r="4661">
      <c r="A4661" s="7" t="inlineStr">
        <is>
          <t>2026-09-15</t>
        </is>
      </c>
      <c r="B4661" s="8" t="n">
        <v>8876</v>
      </c>
      <c r="C4661" s="8" t="n">
        <v>8926</v>
      </c>
      <c r="D4661" s="8" t="n">
        <v>9016</v>
      </c>
      <c r="E4661" s="8" t="n">
        <v>8814</v>
      </c>
      <c r="F4661" s="8" t="n">
        <v>763613</v>
      </c>
      <c r="G4661" s="8" t="n">
        <v>648052</v>
      </c>
      <c r="H4661" s="8" t="n">
        <v>8540</v>
      </c>
      <c r="I4661" s="8" t="n">
        <v>8605</v>
      </c>
      <c r="J4661" s="8" t="n">
        <v>8681</v>
      </c>
      <c r="K4661" s="8" t="n">
        <v>8484</v>
      </c>
      <c r="L4661" s="8" t="n">
        <v>653228</v>
      </c>
      <c r="M4661" s="8" t="n">
        <v>434473</v>
      </c>
      <c r="N4661" t="inlineStr">
        <is>
          <t>是</t>
        </is>
      </c>
    </row>
    <row r="4662">
      <c r="A4662" s="7" t="inlineStr">
        <is>
          <t>2026-09-16</t>
        </is>
      </c>
      <c r="B4662" s="8" t="n">
        <v>8989</v>
      </c>
      <c r="C4662" s="8" t="n">
        <v>8800</v>
      </c>
      <c r="D4662" s="8" t="n">
        <v>9115</v>
      </c>
      <c r="E4662" s="8" t="n">
        <v>8772</v>
      </c>
      <c r="F4662" s="8" t="n">
        <v>902810</v>
      </c>
      <c r="G4662" s="8" t="n">
        <v>664704</v>
      </c>
      <c r="H4662" s="8" t="n">
        <v>8587</v>
      </c>
      <c r="I4662" s="8" t="n">
        <v>8495</v>
      </c>
      <c r="J4662" s="8" t="n">
        <v>8744</v>
      </c>
      <c r="K4662" s="8" t="n">
        <v>8461</v>
      </c>
      <c r="L4662" s="8" t="n">
        <v>754363</v>
      </c>
      <c r="M4662" s="8" t="n">
        <v>443606</v>
      </c>
      <c r="N4662" t="inlineStr">
        <is>
          <t>是</t>
        </is>
      </c>
    </row>
    <row r="4663">
      <c r="A4663" s="7" t="inlineStr">
        <is>
          <t>2026-09-17</t>
        </is>
      </c>
      <c r="B4663" s="8" t="n">
        <v>8766</v>
      </c>
      <c r="C4663" s="8" t="n">
        <v>8990</v>
      </c>
      <c r="D4663" s="8" t="n">
        <v>9009</v>
      </c>
      <c r="E4663" s="8" t="n">
        <v>8746</v>
      </c>
      <c r="F4663" s="8" t="n">
        <v>827011</v>
      </c>
      <c r="G4663" s="8" t="n">
        <v>647564</v>
      </c>
      <c r="H4663" s="8" t="n">
        <v>8407</v>
      </c>
      <c r="I4663" s="8" t="n">
        <v>8522</v>
      </c>
      <c r="J4663" s="8" t="n">
        <v>8613</v>
      </c>
      <c r="K4663" s="8" t="n">
        <v>8379</v>
      </c>
      <c r="L4663" s="8" t="n">
        <v>703082</v>
      </c>
      <c r="M4663" s="8" t="n">
        <v>444808</v>
      </c>
      <c r="N4663" t="inlineStr">
        <is>
          <t>是</t>
        </is>
      </c>
    </row>
    <row r="4664">
      <c r="A4664" s="7" t="inlineStr">
        <is>
          <t>2026-09-18</t>
        </is>
      </c>
      <c r="B4664" s="8" t="n">
        <v>8653</v>
      </c>
      <c r="C4664" s="8" t="n">
        <v>8700</v>
      </c>
      <c r="D4664" s="8" t="n">
        <v>8806</v>
      </c>
      <c r="E4664" s="8" t="n">
        <v>8638</v>
      </c>
      <c r="F4664" s="8" t="n">
        <v>758171</v>
      </c>
      <c r="G4664" s="8" t="n">
        <v>656376</v>
      </c>
      <c r="H4664" s="8" t="n">
        <v>8318</v>
      </c>
      <c r="I4664" s="8" t="n">
        <v>8360</v>
      </c>
      <c r="J4664" s="8" t="n">
        <v>8439</v>
      </c>
      <c r="K4664" s="8" t="n">
        <v>8300</v>
      </c>
      <c r="L4664" s="8" t="n">
        <v>601661</v>
      </c>
      <c r="M4664" s="8" t="n">
        <v>443917</v>
      </c>
      <c r="N4664" t="inlineStr">
        <is>
          <t>是</t>
        </is>
      </c>
    </row>
    <row r="4665">
      <c r="A4665" s="7" t="inlineStr">
        <is>
          <t>2026-09-21</t>
        </is>
      </c>
      <c r="B4665" s="8" t="n">
        <v>8571</v>
      </c>
      <c r="C4665" s="8" t="n">
        <v>8710</v>
      </c>
      <c r="D4665" s="8" t="n">
        <v>8803</v>
      </c>
      <c r="E4665" s="8" t="n">
        <v>8516</v>
      </c>
      <c r="F4665" s="8" t="n">
        <v>818654</v>
      </c>
      <c r="G4665" s="8" t="n">
        <v>653220</v>
      </c>
      <c r="H4665" s="8" t="n">
        <v>8256</v>
      </c>
      <c r="I4665" s="8" t="n">
        <v>8360</v>
      </c>
      <c r="J4665" s="8" t="n">
        <v>8464</v>
      </c>
      <c r="K4665" s="8" t="n">
        <v>8221</v>
      </c>
      <c r="L4665" s="8" t="n">
        <v>608754</v>
      </c>
      <c r="M4665" s="8" t="n">
        <v>439396</v>
      </c>
      <c r="N4665" t="inlineStr">
        <is>
          <t>是</t>
        </is>
      </c>
    </row>
    <row r="4666">
      <c r="A4666" s="7" t="inlineStr">
        <is>
          <t>2026-09-22</t>
        </is>
      </c>
      <c r="B4666" s="8" t="n">
        <v>8582</v>
      </c>
      <c r="C4666" s="8" t="n">
        <v>8568</v>
      </c>
      <c r="D4666" s="8" t="n">
        <v>8616</v>
      </c>
      <c r="E4666" s="8" t="n">
        <v>8465</v>
      </c>
      <c r="F4666" s="8" t="n">
        <v>701197</v>
      </c>
      <c r="G4666" s="8" t="n">
        <v>658674</v>
      </c>
      <c r="H4666" s="8" t="n">
        <v>8243</v>
      </c>
      <c r="I4666" s="8" t="n">
        <v>8240</v>
      </c>
      <c r="J4666" s="8" t="n">
        <v>8288</v>
      </c>
      <c r="K4666" s="8" t="n">
        <v>8165</v>
      </c>
      <c r="L4666" s="8" t="n">
        <v>503201</v>
      </c>
      <c r="M4666" s="8" t="n">
        <v>436790</v>
      </c>
      <c r="N4666" t="inlineStr">
        <is>
          <t>是</t>
        </is>
      </c>
    </row>
    <row r="4667">
      <c r="A4667" s="7" t="inlineStr">
        <is>
          <t>2026-09-23</t>
        </is>
      </c>
      <c r="B4667" s="8" t="n">
        <v>8330</v>
      </c>
      <c r="C4667" s="8" t="n">
        <v>8440</v>
      </c>
      <c r="D4667" s="8" t="n">
        <v>8486</v>
      </c>
      <c r="E4667" s="8" t="n">
        <v>8314</v>
      </c>
      <c r="F4667" s="8" t="n">
        <v>740714</v>
      </c>
      <c r="G4667" s="8" t="n">
        <v>638239</v>
      </c>
      <c r="H4667" s="8" t="n">
        <v>8028</v>
      </c>
      <c r="I4667" s="8" t="n">
        <v>8100</v>
      </c>
      <c r="J4667" s="8" t="n">
        <v>8172</v>
      </c>
      <c r="K4667" s="8" t="n">
        <v>8011</v>
      </c>
      <c r="L4667" s="8" t="n">
        <v>544366</v>
      </c>
      <c r="M4667" s="8" t="n">
        <v>411918</v>
      </c>
      <c r="N4667" t="inlineStr">
        <is>
          <t>是</t>
        </is>
      </c>
    </row>
    <row r="4668">
      <c r="A4668" s="7" t="inlineStr">
        <is>
          <t>2026-09-24</t>
        </is>
      </c>
      <c r="B4668" s="8" t="n">
        <v>8631</v>
      </c>
      <c r="C4668" s="8" t="n">
        <v>8400</v>
      </c>
      <c r="D4668" s="8" t="n">
        <v>8632</v>
      </c>
      <c r="E4668" s="8" t="n">
        <v>8377</v>
      </c>
      <c r="F4668" s="8" t="n">
        <v>766593</v>
      </c>
      <c r="G4668" s="8" t="n">
        <v>635077</v>
      </c>
      <c r="H4668" s="8" t="n">
        <v>8235</v>
      </c>
      <c r="I4668" s="8" t="n">
        <v>8079</v>
      </c>
      <c r="J4668" s="8" t="n">
        <v>8240</v>
      </c>
      <c r="K4668" s="8" t="n">
        <v>8037</v>
      </c>
      <c r="L4668" s="8" t="n">
        <v>622064</v>
      </c>
      <c r="M4668" s="8" t="n">
        <v>403256</v>
      </c>
      <c r="N4668" t="inlineStr">
        <is>
          <t>是</t>
        </is>
      </c>
    </row>
    <row r="4669">
      <c r="A4669" s="7" t="inlineStr">
        <is>
          <t>2026-09-28</t>
        </is>
      </c>
      <c r="B4669" s="8" t="n">
        <v>8595</v>
      </c>
      <c r="C4669" s="8" t="n">
        <v>8600</v>
      </c>
      <c r="D4669" s="8" t="n">
        <v>8676</v>
      </c>
      <c r="E4669" s="8" t="n">
        <v>8530</v>
      </c>
      <c r="F4669" s="8" t="n">
        <v>496479</v>
      </c>
      <c r="G4669" s="8" t="n">
        <v>629351</v>
      </c>
      <c r="H4669" s="8" t="n">
        <v>8202</v>
      </c>
      <c r="I4669" s="8" t="n">
        <v>8216</v>
      </c>
      <c r="J4669" s="8" t="n">
        <v>8284</v>
      </c>
      <c r="K4669" s="8" t="n">
        <v>8154</v>
      </c>
      <c r="L4669" s="8" t="n">
        <v>376741</v>
      </c>
      <c r="M4669" s="8" t="n">
        <v>397088</v>
      </c>
      <c r="N4669" t="inlineStr">
        <is>
          <t>是</t>
        </is>
      </c>
    </row>
    <row r="4670">
      <c r="A4670" s="7" t="inlineStr">
        <is>
          <t>2026-09-29</t>
        </is>
      </c>
      <c r="B4670" s="8" t="n">
        <v>8676</v>
      </c>
      <c r="C4670" s="8" t="n">
        <v>8611</v>
      </c>
      <c r="D4670" s="8" t="n">
        <v>8689</v>
      </c>
      <c r="E4670" s="8" t="n">
        <v>8526</v>
      </c>
      <c r="F4670" s="8" t="n">
        <v>633609</v>
      </c>
      <c r="G4670" s="8" t="n">
        <v>615806</v>
      </c>
      <c r="H4670" s="8" t="n">
        <v>8283</v>
      </c>
      <c r="I4670" s="8" t="n">
        <v>8222</v>
      </c>
      <c r="J4670" s="8" t="n">
        <v>8302</v>
      </c>
      <c r="K4670" s="8" t="n">
        <v>8098</v>
      </c>
      <c r="L4670" s="8" t="n">
        <v>529590</v>
      </c>
      <c r="M4670" s="8" t="n">
        <v>396840</v>
      </c>
      <c r="N4670" t="inlineStr">
        <is>
          <t>是</t>
        </is>
      </c>
    </row>
    <row r="4671">
      <c r="A4671" s="7" t="inlineStr">
        <is>
          <t>2026-09-30</t>
        </is>
      </c>
      <c r="B4671" s="8" t="n">
        <v>8631</v>
      </c>
      <c r="C4671" s="8" t="n">
        <v>8566</v>
      </c>
      <c r="D4671" s="8" t="n">
        <v>8668</v>
      </c>
      <c r="E4671" s="8" t="n">
        <v>8510</v>
      </c>
      <c r="F4671" s="8" t="n">
        <v>585488</v>
      </c>
      <c r="G4671" s="8" t="n">
        <v>586359</v>
      </c>
      <c r="H4671" s="8" t="n">
        <v>8197</v>
      </c>
      <c r="I4671" s="8" t="n">
        <v>8189</v>
      </c>
      <c r="J4671" s="8" t="n">
        <v>8270</v>
      </c>
      <c r="K4671" s="8" t="n">
        <v>8143</v>
      </c>
      <c r="L4671" s="8" t="n">
        <v>468761</v>
      </c>
      <c r="M4671" s="8" t="n">
        <v>370852</v>
      </c>
      <c r="N4671" t="inlineStr">
        <is>
          <t>是</t>
        </is>
      </c>
    </row>
    <row r="4672">
      <c r="A4672" s="7" t="inlineStr">
        <is>
          <t>2026-10-08</t>
        </is>
      </c>
      <c r="B4672" s="8" t="n">
        <v>9242</v>
      </c>
      <c r="C4672" s="8" t="n">
        <v>8800</v>
      </c>
      <c r="D4672" s="8" t="n">
        <v>9257</v>
      </c>
      <c r="E4672" s="8" t="n">
        <v>8750</v>
      </c>
      <c r="F4672" s="8" t="n">
        <v>658863</v>
      </c>
      <c r="G4672" s="8" t="n">
        <v>646913</v>
      </c>
      <c r="H4672" s="8" t="n">
        <v>8697</v>
      </c>
      <c r="I4672" s="8" t="n">
        <v>8221</v>
      </c>
      <c r="J4672" s="8" t="n">
        <v>8728</v>
      </c>
      <c r="K4672" s="8" t="n">
        <v>8221</v>
      </c>
      <c r="L4672" s="8" t="n">
        <v>458103</v>
      </c>
      <c r="M4672" s="8" t="n">
        <v>407010</v>
      </c>
      <c r="N4672" t="inlineStr">
        <is>
          <t>是</t>
        </is>
      </c>
    </row>
    <row r="4673">
      <c r="A4673" s="7" t="inlineStr">
        <is>
          <t>2026-10-09</t>
        </is>
      </c>
      <c r="B4673" s="8" t="n">
        <v>9395</v>
      </c>
      <c r="C4673" s="8" t="n">
        <v>9240</v>
      </c>
      <c r="D4673" s="8" t="n">
        <v>9411</v>
      </c>
      <c r="E4673" s="8" t="n">
        <v>9152</v>
      </c>
      <c r="F4673" s="8" t="n">
        <v>907508</v>
      </c>
      <c r="G4673" s="8" t="n">
        <v>698525</v>
      </c>
      <c r="H4673" s="8" t="n">
        <v>8860</v>
      </c>
      <c r="I4673" s="8" t="n">
        <v>8747</v>
      </c>
      <c r="J4673" s="8" t="n">
        <v>8883</v>
      </c>
      <c r="K4673" s="8" t="n">
        <v>8661</v>
      </c>
      <c r="L4673" s="8" t="n">
        <v>682310</v>
      </c>
      <c r="M4673" s="8" t="n">
        <v>437078</v>
      </c>
      <c r="N4673" t="inlineStr">
        <is>
          <t>是</t>
        </is>
      </c>
    </row>
    <row r="4674">
      <c r="A4674" s="7" t="inlineStr">
        <is>
          <t>2026-10-12</t>
        </is>
      </c>
      <c r="B4674" s="8" t="n">
        <v>9382</v>
      </c>
      <c r="C4674" s="8" t="n">
        <v>9426</v>
      </c>
      <c r="D4674" s="8" t="n">
        <v>9484</v>
      </c>
      <c r="E4674" s="8" t="n">
        <v>9227</v>
      </c>
      <c r="F4674" s="8" t="n">
        <v>1000085</v>
      </c>
      <c r="G4674" s="8" t="n">
        <v>676698</v>
      </c>
      <c r="H4674" s="8" t="n">
        <v>8874</v>
      </c>
      <c r="I4674" s="8" t="n">
        <v>8876</v>
      </c>
      <c r="J4674" s="8" t="n">
        <v>8965</v>
      </c>
      <c r="K4674" s="8" t="n">
        <v>8758</v>
      </c>
      <c r="L4674" s="8" t="n">
        <v>764075</v>
      </c>
      <c r="M4674" s="8" t="n">
        <v>440195</v>
      </c>
      <c r="N4674" t="inlineStr">
        <is>
          <t>是</t>
        </is>
      </c>
    </row>
    <row r="4675">
      <c r="A4675" s="7" t="inlineStr">
        <is>
          <t>2026-10-13</t>
        </is>
      </c>
      <c r="B4675" s="8" t="n">
        <v>9351</v>
      </c>
      <c r="C4675" s="8" t="n">
        <v>9531</v>
      </c>
      <c r="D4675" s="8" t="n">
        <v>9565</v>
      </c>
      <c r="E4675" s="8" t="n">
        <v>9322</v>
      </c>
      <c r="F4675" s="8" t="n">
        <v>795067</v>
      </c>
      <c r="G4675" s="8" t="n">
        <v>670908</v>
      </c>
      <c r="H4675" s="8" t="n">
        <v>8865</v>
      </c>
      <c r="I4675" s="8" t="n">
        <v>8980</v>
      </c>
      <c r="J4675" s="8" t="n">
        <v>9035</v>
      </c>
      <c r="K4675" s="8" t="n">
        <v>8858</v>
      </c>
      <c r="L4675" s="8" t="n">
        <v>671121</v>
      </c>
      <c r="M4675" s="8" t="n">
        <v>441323</v>
      </c>
      <c r="N4675" t="inlineStr">
        <is>
          <t>是</t>
        </is>
      </c>
    </row>
    <row r="4676">
      <c r="A4676" s="7" t="inlineStr">
        <is>
          <t>2026-10-14</t>
        </is>
      </c>
      <c r="B4676" s="8" t="n">
        <v>9498</v>
      </c>
      <c r="C4676" s="8" t="n">
        <v>9340</v>
      </c>
      <c r="D4676" s="8" t="n">
        <v>9672</v>
      </c>
      <c r="E4676" s="8" t="n">
        <v>9330</v>
      </c>
      <c r="F4676" s="8" t="n">
        <v>859790</v>
      </c>
      <c r="G4676" s="8" t="n">
        <v>666260</v>
      </c>
      <c r="H4676" s="8" t="n">
        <v>8949</v>
      </c>
      <c r="I4676" s="8" t="n">
        <v>8858</v>
      </c>
      <c r="J4676" s="8" t="n">
        <v>9136</v>
      </c>
      <c r="K4676" s="8" t="n">
        <v>8849</v>
      </c>
      <c r="L4676" s="8" t="n">
        <v>683362</v>
      </c>
      <c r="M4676" s="8" t="n">
        <v>441351</v>
      </c>
      <c r="N4676" t="inlineStr">
        <is>
          <t>是</t>
        </is>
      </c>
    </row>
    <row r="4677">
      <c r="A4677" s="7" t="inlineStr">
        <is>
          <t>2026-10-15</t>
        </is>
      </c>
      <c r="B4677" s="8" t="n">
        <v>9387</v>
      </c>
      <c r="C4677" s="8" t="n">
        <v>9559</v>
      </c>
      <c r="D4677" s="8" t="n">
        <v>9595</v>
      </c>
      <c r="E4677" s="8" t="n">
        <v>9348</v>
      </c>
      <c r="F4677" s="8" t="n">
        <v>887506</v>
      </c>
      <c r="G4677" s="8" t="n">
        <v>666540</v>
      </c>
      <c r="H4677" s="8" t="n">
        <v>8789</v>
      </c>
      <c r="I4677" s="8" t="n">
        <v>8975</v>
      </c>
      <c r="J4677" s="8" t="n">
        <v>9001</v>
      </c>
      <c r="K4677" s="8" t="n">
        <v>8729</v>
      </c>
      <c r="L4677" s="8" t="n">
        <v>726198</v>
      </c>
      <c r="M4677" s="8" t="n">
        <v>456913</v>
      </c>
      <c r="N4677" t="inlineStr">
        <is>
          <t>是</t>
        </is>
      </c>
    </row>
    <row r="4678">
      <c r="A4678" s="7" t="inlineStr">
        <is>
          <t>2026-10-16</t>
        </is>
      </c>
      <c r="B4678" s="8" t="n">
        <v>9343</v>
      </c>
      <c r="C4678" s="8" t="n">
        <v>9420</v>
      </c>
      <c r="D4678" s="8" t="n">
        <v>9447</v>
      </c>
      <c r="E4678" s="8" t="n">
        <v>9305</v>
      </c>
      <c r="F4678" s="8" t="n">
        <v>819838</v>
      </c>
      <c r="G4678" s="8" t="n">
        <v>671592</v>
      </c>
      <c r="H4678" s="8" t="n">
        <v>8663</v>
      </c>
      <c r="I4678" s="8" t="n">
        <v>8789</v>
      </c>
      <c r="J4678" s="8" t="n">
        <v>8789</v>
      </c>
      <c r="K4678" s="8" t="n">
        <v>8630</v>
      </c>
      <c r="L4678" s="8" t="n">
        <v>676140</v>
      </c>
      <c r="M4678" s="8" t="n">
        <v>454163</v>
      </c>
      <c r="N4678" t="inlineStr">
        <is>
          <t>是</t>
        </is>
      </c>
    </row>
    <row r="4679">
      <c r="A4679" s="7" t="inlineStr">
        <is>
          <t>2026-10-19</t>
        </is>
      </c>
      <c r="B4679" s="8" t="n">
        <v>9320</v>
      </c>
      <c r="C4679" s="8" t="n">
        <v>9320</v>
      </c>
      <c r="D4679" s="8" t="n">
        <v>9542</v>
      </c>
      <c r="E4679" s="8" t="n">
        <v>9300</v>
      </c>
      <c r="F4679" s="8" t="n">
        <v>887518</v>
      </c>
      <c r="G4679" s="8" t="n">
        <v>671777</v>
      </c>
      <c r="H4679" s="8" t="n">
        <v>8612</v>
      </c>
      <c r="I4679" s="8" t="n">
        <v>8663</v>
      </c>
      <c r="J4679" s="8" t="n">
        <v>8807</v>
      </c>
      <c r="K4679" s="8" t="n">
        <v>8595</v>
      </c>
      <c r="L4679" s="8" t="n">
        <v>649775</v>
      </c>
      <c r="M4679" s="8" t="n">
        <v>440529</v>
      </c>
      <c r="N4679" t="inlineStr">
        <is>
          <t>是</t>
        </is>
      </c>
    </row>
    <row r="4680">
      <c r="A4680" s="7" t="inlineStr">
        <is>
          <t>2026-10-20</t>
        </is>
      </c>
      <c r="B4680" s="8" t="n">
        <v>9376</v>
      </c>
      <c r="C4680" s="8" t="n">
        <v>9350</v>
      </c>
      <c r="D4680" s="8" t="n">
        <v>9452</v>
      </c>
      <c r="E4680" s="8" t="n">
        <v>9250</v>
      </c>
      <c r="F4680" s="8" t="n">
        <v>869012</v>
      </c>
      <c r="G4680" s="8" t="n">
        <v>672680</v>
      </c>
      <c r="H4680" s="8" t="n">
        <v>8726</v>
      </c>
      <c r="I4680" s="8" t="n">
        <v>8625</v>
      </c>
      <c r="J4680" s="8" t="n">
        <v>8798</v>
      </c>
      <c r="K4680" s="8" t="n">
        <v>8581</v>
      </c>
      <c r="L4680" s="8" t="n">
        <v>618080</v>
      </c>
      <c r="M4680" s="8" t="n">
        <v>451074</v>
      </c>
      <c r="N4680" t="inlineStr">
        <is>
          <t>是</t>
        </is>
      </c>
    </row>
  </sheetData>
  <autoFilter ref="A4:O4680"/>
  <mergeCells count="2">
    <mergeCell ref="A1:O1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7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2" customWidth="1" min="4" max="4"/>
    <col width="14" customWidth="1" min="5" max="5"/>
    <col width="11" customWidth="1" min="6" max="6"/>
    <col width="15" customWidth="1" min="7" max="7"/>
    <col width="15" customWidth="1" min="8" max="8"/>
    <col width="10" customWidth="1" min="9" max="9"/>
    <col width="10" customWidth="1" min="10" max="10"/>
    <col width="12" customWidth="1" min="11" max="11"/>
    <col width="34" customWidth="1" min="12" max="12"/>
    <col width="9" customWidth="1" min="13" max="13"/>
  </cols>
  <sheetData>
    <row r="1">
      <c r="A1" s="1" t="inlineStr">
        <is>
          <t>比价序列与滚动统计（公式可复算）</t>
        </is>
      </c>
    </row>
    <row r="2" ht="30" customHeight="1">
      <c r="A2" s="2" t="inlineStr">
        <is>
          <t>比价 = A收盘/B收盘（原生除法公式）；滚动252日分位与均值用公式从本表历史自动计算；异常点用全样本稳健 z（中位数/MAD），因需整列统计，取值为计算结果。</t>
        </is>
      </c>
    </row>
    <row r="4" ht="28" customHeight="1">
      <c r="A4" s="6" t="inlineStr">
        <is>
          <t>日期</t>
        </is>
      </c>
      <c r="B4" s="6" t="inlineStr">
        <is>
          <t>A 收盘</t>
        </is>
      </c>
      <c r="C4" s="6" t="inlineStr">
        <is>
          <t>B 收盘</t>
        </is>
      </c>
      <c r="D4" s="6" t="inlineStr">
        <is>
          <t>比价 A/B</t>
        </is>
      </c>
      <c r="E4" s="6" t="inlineStr">
        <is>
          <t>A/B 取倒数(=B/A)</t>
        </is>
      </c>
      <c r="F4" s="6" t="inlineStr">
        <is>
          <t>日变化 %</t>
        </is>
      </c>
      <c r="G4" s="6" t="inlineStr">
        <is>
          <t>252日滚动分位 %</t>
        </is>
      </c>
      <c r="H4" s="6" t="inlineStr">
        <is>
          <t>252日滚动均值</t>
        </is>
      </c>
      <c r="I4" s="6" t="inlineStr">
        <is>
          <t>稳健 z</t>
        </is>
      </c>
      <c r="J4" s="6" t="inlineStr">
        <is>
          <t>是否异常</t>
        </is>
      </c>
      <c r="K4" s="6" t="inlineStr">
        <is>
          <t>是否换月日</t>
        </is>
      </c>
      <c r="L4" s="6" t="inlineStr">
        <is>
          <t>备注</t>
        </is>
      </c>
      <c r="M4" s="6" t="inlineStr">
        <is>
          <t>来源行</t>
        </is>
      </c>
    </row>
    <row r="5">
      <c r="A5" s="7" t="inlineStr">
        <is>
          <t>2014-02-28</t>
        </is>
      </c>
      <c r="B5" s="8">
        <f>IFERROR(VLOOKUP($A5,'01-原始价格'!$A:$M,2,FALSE),"")</f>
        <v/>
      </c>
      <c r="C5" s="8">
        <f>IFERROR(VLOOKUP($A5,'01-原始价格'!$A:$M,8,FALSE),"")</f>
        <v/>
      </c>
      <c r="D5" s="10">
        <f>IFERROR(B5/C5,"")</f>
        <v/>
      </c>
      <c r="E5" s="10">
        <f>IFERROR(C5/B5,"")</f>
        <v/>
      </c>
      <c r="F5" s="11" t="inlineStr"/>
      <c r="G5" s="11" t="inlineStr"/>
      <c r="H5" s="10" t="inlineStr"/>
      <c r="I5" s="10" t="n"/>
      <c r="J5" t="inlineStr"/>
      <c r="K5" t="inlineStr"/>
    </row>
    <row r="6">
      <c r="A6" s="7" t="inlineStr">
        <is>
          <t>2014-03-03</t>
        </is>
      </c>
      <c r="B6" s="8">
        <f>IFERROR(VLOOKUP($A6,'01-原始价格'!$A:$M,2,FALSE),"")</f>
        <v/>
      </c>
      <c r="C6" s="8">
        <f>IFERROR(VLOOKUP($A6,'01-原始价格'!$A:$M,8,FALSE),"")</f>
        <v/>
      </c>
      <c r="D6" s="10">
        <f>IFERROR(B6/C6,"")</f>
        <v/>
      </c>
      <c r="E6" s="10">
        <f>IFERROR(C6/B6,"")</f>
        <v/>
      </c>
      <c r="F6" s="11">
        <f>IFERROR((D6/D5-1)*100,"")</f>
        <v/>
      </c>
      <c r="G6" s="11" t="inlineStr"/>
      <c r="H6" s="10" t="inlineStr"/>
      <c r="I6" s="10" t="n"/>
      <c r="J6" t="inlineStr"/>
      <c r="K6" t="inlineStr"/>
    </row>
    <row r="7">
      <c r="A7" s="7" t="inlineStr">
        <is>
          <t>2014-03-04</t>
        </is>
      </c>
      <c r="B7" s="8">
        <f>IFERROR(VLOOKUP($A7,'01-原始价格'!$A:$M,2,FALSE),"")</f>
        <v/>
      </c>
      <c r="C7" s="8">
        <f>IFERROR(VLOOKUP($A7,'01-原始价格'!$A:$M,8,FALSE),"")</f>
        <v/>
      </c>
      <c r="D7" s="10">
        <f>IFERROR(B7/C7,"")</f>
        <v/>
      </c>
      <c r="E7" s="10">
        <f>IFERROR(C7/B7,"")</f>
        <v/>
      </c>
      <c r="F7" s="11">
        <f>IFERROR((D7/D6-1)*100,"")</f>
        <v/>
      </c>
      <c r="G7" s="11" t="inlineStr"/>
      <c r="H7" s="10" t="inlineStr"/>
      <c r="I7" s="10" t="n"/>
      <c r="J7" t="inlineStr"/>
      <c r="K7" t="inlineStr"/>
    </row>
    <row r="8">
      <c r="A8" s="7" t="inlineStr">
        <is>
          <t>2014-03-05</t>
        </is>
      </c>
      <c r="B8" s="8">
        <f>IFERROR(VLOOKUP($A8,'01-原始价格'!$A:$M,2,FALSE),"")</f>
        <v/>
      </c>
      <c r="C8" s="8">
        <f>IFERROR(VLOOKUP($A8,'01-原始价格'!$A:$M,8,FALSE),"")</f>
        <v/>
      </c>
      <c r="D8" s="10">
        <f>IFERROR(B8/C8,"")</f>
        <v/>
      </c>
      <c r="E8" s="10">
        <f>IFERROR(C8/B8,"")</f>
        <v/>
      </c>
      <c r="F8" s="11">
        <f>IFERROR((D8/D7-1)*100,"")</f>
        <v/>
      </c>
      <c r="G8" s="11" t="inlineStr"/>
      <c r="H8" s="10" t="inlineStr"/>
      <c r="I8" s="10" t="n"/>
      <c r="J8" t="inlineStr"/>
      <c r="K8" t="inlineStr"/>
    </row>
    <row r="9">
      <c r="A9" s="7" t="inlineStr">
        <is>
          <t>2014-03-06</t>
        </is>
      </c>
      <c r="B9" s="8">
        <f>IFERROR(VLOOKUP($A9,'01-原始价格'!$A:$M,2,FALSE),"")</f>
        <v/>
      </c>
      <c r="C9" s="8">
        <f>IFERROR(VLOOKUP($A9,'01-原始价格'!$A:$M,8,FALSE),"")</f>
        <v/>
      </c>
      <c r="D9" s="10">
        <f>IFERROR(B9/C9,"")</f>
        <v/>
      </c>
      <c r="E9" s="10">
        <f>IFERROR(C9/B9,"")</f>
        <v/>
      </c>
      <c r="F9" s="11">
        <f>IFERROR((D9/D8-1)*100,"")</f>
        <v/>
      </c>
      <c r="G9" s="11" t="inlineStr"/>
      <c r="H9" s="10" t="inlineStr"/>
      <c r="I9" s="10" t="n"/>
      <c r="J9" t="inlineStr"/>
      <c r="K9" t="inlineStr"/>
    </row>
    <row r="10">
      <c r="A10" s="7" t="inlineStr">
        <is>
          <t>2014-03-10</t>
        </is>
      </c>
      <c r="B10" s="8">
        <f>IFERROR(VLOOKUP($A10,'01-原始价格'!$A:$M,2,FALSE),"")</f>
        <v/>
      </c>
      <c r="C10" s="8">
        <f>IFERROR(VLOOKUP($A10,'01-原始价格'!$A:$M,8,FALSE),"")</f>
        <v/>
      </c>
      <c r="D10" s="10">
        <f>IFERROR(B10/C10,"")</f>
        <v/>
      </c>
      <c r="E10" s="10">
        <f>IFERROR(C10/B10,"")</f>
        <v/>
      </c>
      <c r="F10" s="11">
        <f>IFERROR((D10/D9-1)*100,"")</f>
        <v/>
      </c>
      <c r="G10" s="11" t="inlineStr"/>
      <c r="H10" s="10" t="inlineStr"/>
      <c r="I10" s="10" t="n"/>
      <c r="J10" t="inlineStr"/>
      <c r="K10" t="inlineStr"/>
    </row>
    <row r="11">
      <c r="A11" s="7" t="inlineStr">
        <is>
          <t>2014-03-11</t>
        </is>
      </c>
      <c r="B11" s="8">
        <f>IFERROR(VLOOKUP($A11,'01-原始价格'!$A:$M,2,FALSE),"")</f>
        <v/>
      </c>
      <c r="C11" s="8">
        <f>IFERROR(VLOOKUP($A11,'01-原始价格'!$A:$M,8,FALSE),"")</f>
        <v/>
      </c>
      <c r="D11" s="10">
        <f>IFERROR(B11/C11,"")</f>
        <v/>
      </c>
      <c r="E11" s="10">
        <f>IFERROR(C11/B11,"")</f>
        <v/>
      </c>
      <c r="F11" s="11">
        <f>IFERROR((D11/D10-1)*100,"")</f>
        <v/>
      </c>
      <c r="G11" s="11" t="inlineStr"/>
      <c r="H11" s="10" t="inlineStr"/>
      <c r="I11" s="10" t="n"/>
      <c r="J11" t="inlineStr"/>
      <c r="K11" t="inlineStr"/>
    </row>
    <row r="12">
      <c r="A12" s="7" t="inlineStr">
        <is>
          <t>2014-03-12</t>
        </is>
      </c>
      <c r="B12" s="8">
        <f>IFERROR(VLOOKUP($A12,'01-原始价格'!$A:$M,2,FALSE),"")</f>
        <v/>
      </c>
      <c r="C12" s="8">
        <f>IFERROR(VLOOKUP($A12,'01-原始价格'!$A:$M,8,FALSE),"")</f>
        <v/>
      </c>
      <c r="D12" s="10">
        <f>IFERROR(B12/C12,"")</f>
        <v/>
      </c>
      <c r="E12" s="10">
        <f>IFERROR(C12/B12,"")</f>
        <v/>
      </c>
      <c r="F12" s="11">
        <f>IFERROR((D12/D11-1)*100,"")</f>
        <v/>
      </c>
      <c r="G12" s="11" t="inlineStr"/>
      <c r="H12" s="10" t="inlineStr"/>
      <c r="I12" s="10" t="n"/>
      <c r="J12" t="inlineStr"/>
      <c r="K12" t="inlineStr"/>
    </row>
    <row r="13">
      <c r="A13" s="7" t="inlineStr">
        <is>
          <t>2014-03-14</t>
        </is>
      </c>
      <c r="B13" s="8">
        <f>IFERROR(VLOOKUP($A13,'01-原始价格'!$A:$M,2,FALSE),"")</f>
        <v/>
      </c>
      <c r="C13" s="8">
        <f>IFERROR(VLOOKUP($A13,'01-原始价格'!$A:$M,8,FALSE),"")</f>
        <v/>
      </c>
      <c r="D13" s="10">
        <f>IFERROR(B13/C13,"")</f>
        <v/>
      </c>
      <c r="E13" s="10">
        <f>IFERROR(C13/B13,"")</f>
        <v/>
      </c>
      <c r="F13" s="11">
        <f>IFERROR((D13/D12-1)*100,"")</f>
        <v/>
      </c>
      <c r="G13" s="11" t="inlineStr"/>
      <c r="H13" s="10" t="inlineStr"/>
      <c r="I13" s="10" t="n"/>
      <c r="J13" t="inlineStr"/>
      <c r="K13" t="inlineStr"/>
    </row>
    <row r="14">
      <c r="A14" s="7" t="inlineStr">
        <is>
          <t>2014-03-17</t>
        </is>
      </c>
      <c r="B14" s="8">
        <f>IFERROR(VLOOKUP($A14,'01-原始价格'!$A:$M,2,FALSE),"")</f>
        <v/>
      </c>
      <c r="C14" s="8">
        <f>IFERROR(VLOOKUP($A14,'01-原始价格'!$A:$M,8,FALSE),"")</f>
        <v/>
      </c>
      <c r="D14" s="10">
        <f>IFERROR(B14/C14,"")</f>
        <v/>
      </c>
      <c r="E14" s="10">
        <f>IFERROR(C14/B14,"")</f>
        <v/>
      </c>
      <c r="F14" s="11">
        <f>IFERROR((D14/D13-1)*100,"")</f>
        <v/>
      </c>
      <c r="G14" s="11" t="inlineStr"/>
      <c r="H14" s="10" t="inlineStr"/>
      <c r="I14" s="10" t="n"/>
      <c r="J14" t="inlineStr"/>
      <c r="K14" t="inlineStr"/>
    </row>
    <row r="15">
      <c r="A15" s="7" t="inlineStr">
        <is>
          <t>2014-03-18</t>
        </is>
      </c>
      <c r="B15" s="8">
        <f>IFERROR(VLOOKUP($A15,'01-原始价格'!$A:$M,2,FALSE),"")</f>
        <v/>
      </c>
      <c r="C15" s="8">
        <f>IFERROR(VLOOKUP($A15,'01-原始价格'!$A:$M,8,FALSE),"")</f>
        <v/>
      </c>
      <c r="D15" s="10">
        <f>IFERROR(B15/C15,"")</f>
        <v/>
      </c>
      <c r="E15" s="10">
        <f>IFERROR(C15/B15,"")</f>
        <v/>
      </c>
      <c r="F15" s="11">
        <f>IFERROR((D15/D14-1)*100,"")</f>
        <v/>
      </c>
      <c r="G15" s="11" t="inlineStr"/>
      <c r="H15" s="10" t="inlineStr"/>
      <c r="I15" s="10" t="n"/>
      <c r="J15" t="inlineStr"/>
      <c r="K15" t="inlineStr"/>
    </row>
    <row r="16">
      <c r="A16" s="7" t="inlineStr">
        <is>
          <t>2014-03-19</t>
        </is>
      </c>
      <c r="B16" s="8">
        <f>IFERROR(VLOOKUP($A16,'01-原始价格'!$A:$M,2,FALSE),"")</f>
        <v/>
      </c>
      <c r="C16" s="8">
        <f>IFERROR(VLOOKUP($A16,'01-原始价格'!$A:$M,8,FALSE),"")</f>
        <v/>
      </c>
      <c r="D16" s="10">
        <f>IFERROR(B16/C16,"")</f>
        <v/>
      </c>
      <c r="E16" s="10">
        <f>IFERROR(C16/B16,"")</f>
        <v/>
      </c>
      <c r="F16" s="11">
        <f>IFERROR((D16/D15-1)*100,"")</f>
        <v/>
      </c>
      <c r="G16" s="11" t="inlineStr"/>
      <c r="H16" s="10" t="inlineStr"/>
      <c r="I16" s="10" t="n"/>
      <c r="J16" t="inlineStr"/>
      <c r="K16" t="inlineStr"/>
    </row>
    <row r="17">
      <c r="A17" s="7" t="inlineStr">
        <is>
          <t>2014-03-20</t>
        </is>
      </c>
      <c r="B17" s="8">
        <f>IFERROR(VLOOKUP($A17,'01-原始价格'!$A:$M,2,FALSE),"")</f>
        <v/>
      </c>
      <c r="C17" s="8">
        <f>IFERROR(VLOOKUP($A17,'01-原始价格'!$A:$M,8,FALSE),"")</f>
        <v/>
      </c>
      <c r="D17" s="10">
        <f>IFERROR(B17/C17,"")</f>
        <v/>
      </c>
      <c r="E17" s="10">
        <f>IFERROR(C17/B17,"")</f>
        <v/>
      </c>
      <c r="F17" s="11">
        <f>IFERROR((D17/D16-1)*100,"")</f>
        <v/>
      </c>
      <c r="G17" s="11" t="inlineStr"/>
      <c r="H17" s="10" t="inlineStr"/>
      <c r="I17" s="10" t="n"/>
      <c r="J17" t="inlineStr"/>
      <c r="K17" t="inlineStr"/>
    </row>
    <row r="18">
      <c r="A18" s="7" t="inlineStr">
        <is>
          <t>2014-03-21</t>
        </is>
      </c>
      <c r="B18" s="8">
        <f>IFERROR(VLOOKUP($A18,'01-原始价格'!$A:$M,2,FALSE),"")</f>
        <v/>
      </c>
      <c r="C18" s="8">
        <f>IFERROR(VLOOKUP($A18,'01-原始价格'!$A:$M,8,FALSE),"")</f>
        <v/>
      </c>
      <c r="D18" s="10">
        <f>IFERROR(B18/C18,"")</f>
        <v/>
      </c>
      <c r="E18" s="10">
        <f>IFERROR(C18/B18,"")</f>
        <v/>
      </c>
      <c r="F18" s="11">
        <f>IFERROR((D18/D17-1)*100,"")</f>
        <v/>
      </c>
      <c r="G18" s="11" t="inlineStr"/>
      <c r="H18" s="10" t="inlineStr"/>
      <c r="I18" s="10" t="n"/>
      <c r="J18" t="inlineStr"/>
      <c r="K18" t="inlineStr"/>
    </row>
    <row r="19">
      <c r="A19" s="7" t="inlineStr">
        <is>
          <t>2014-03-24</t>
        </is>
      </c>
      <c r="B19" s="8">
        <f>IFERROR(VLOOKUP($A19,'01-原始价格'!$A:$M,2,FALSE),"")</f>
        <v/>
      </c>
      <c r="C19" s="8">
        <f>IFERROR(VLOOKUP($A19,'01-原始价格'!$A:$M,8,FALSE),"")</f>
        <v/>
      </c>
      <c r="D19" s="10">
        <f>IFERROR(B19/C19,"")</f>
        <v/>
      </c>
      <c r="E19" s="10">
        <f>IFERROR(C19/B19,"")</f>
        <v/>
      </c>
      <c r="F19" s="11">
        <f>IFERROR((D19/D18-1)*100,"")</f>
        <v/>
      </c>
      <c r="G19" s="11" t="inlineStr"/>
      <c r="H19" s="10" t="inlineStr"/>
      <c r="I19" s="10" t="n"/>
      <c r="J19" t="inlineStr"/>
      <c r="K19" t="inlineStr"/>
    </row>
    <row r="20">
      <c r="A20" s="7" t="inlineStr">
        <is>
          <t>2014-03-25</t>
        </is>
      </c>
      <c r="B20" s="8">
        <f>IFERROR(VLOOKUP($A20,'01-原始价格'!$A:$M,2,FALSE),"")</f>
        <v/>
      </c>
      <c r="C20" s="8">
        <f>IFERROR(VLOOKUP($A20,'01-原始价格'!$A:$M,8,FALSE),"")</f>
        <v/>
      </c>
      <c r="D20" s="10">
        <f>IFERROR(B20/C20,"")</f>
        <v/>
      </c>
      <c r="E20" s="10">
        <f>IFERROR(C20/B20,"")</f>
        <v/>
      </c>
      <c r="F20" s="11">
        <f>IFERROR((D20/D19-1)*100,"")</f>
        <v/>
      </c>
      <c r="G20" s="11" t="inlineStr"/>
      <c r="H20" s="10" t="inlineStr"/>
      <c r="I20" s="10" t="n"/>
      <c r="J20" t="inlineStr"/>
      <c r="K20" t="inlineStr"/>
    </row>
    <row r="21">
      <c r="A21" s="7" t="inlineStr">
        <is>
          <t>2014-03-26</t>
        </is>
      </c>
      <c r="B21" s="8">
        <f>IFERROR(VLOOKUP($A21,'01-原始价格'!$A:$M,2,FALSE),"")</f>
        <v/>
      </c>
      <c r="C21" s="8">
        <f>IFERROR(VLOOKUP($A21,'01-原始价格'!$A:$M,8,FALSE),"")</f>
        <v/>
      </c>
      <c r="D21" s="10">
        <f>IFERROR(B21/C21,"")</f>
        <v/>
      </c>
      <c r="E21" s="10">
        <f>IFERROR(C21/B21,"")</f>
        <v/>
      </c>
      <c r="F21" s="11">
        <f>IFERROR((D21/D20-1)*100,"")</f>
        <v/>
      </c>
      <c r="G21" s="11" t="inlineStr"/>
      <c r="H21" s="10" t="inlineStr"/>
      <c r="I21" s="10" t="n"/>
      <c r="J21" t="inlineStr"/>
      <c r="K21" t="inlineStr"/>
    </row>
    <row r="22">
      <c r="A22" s="7" t="inlineStr">
        <is>
          <t>2014-03-27</t>
        </is>
      </c>
      <c r="B22" s="8">
        <f>IFERROR(VLOOKUP($A22,'01-原始价格'!$A:$M,2,FALSE),"")</f>
        <v/>
      </c>
      <c r="C22" s="8">
        <f>IFERROR(VLOOKUP($A22,'01-原始价格'!$A:$M,8,FALSE),"")</f>
        <v/>
      </c>
      <c r="D22" s="10">
        <f>IFERROR(B22/C22,"")</f>
        <v/>
      </c>
      <c r="E22" s="10">
        <f>IFERROR(C22/B22,"")</f>
        <v/>
      </c>
      <c r="F22" s="11">
        <f>IFERROR((D22/D21-1)*100,"")</f>
        <v/>
      </c>
      <c r="G22" s="11" t="inlineStr"/>
      <c r="H22" s="10" t="inlineStr"/>
      <c r="I22" s="10" t="n"/>
      <c r="J22" t="inlineStr"/>
      <c r="K22" t="inlineStr"/>
    </row>
    <row r="23">
      <c r="A23" s="7" t="inlineStr">
        <is>
          <t>2014-03-28</t>
        </is>
      </c>
      <c r="B23" s="8">
        <f>IFERROR(VLOOKUP($A23,'01-原始价格'!$A:$M,2,FALSE),"")</f>
        <v/>
      </c>
      <c r="C23" s="8">
        <f>IFERROR(VLOOKUP($A23,'01-原始价格'!$A:$M,8,FALSE),"")</f>
        <v/>
      </c>
      <c r="D23" s="10">
        <f>IFERROR(B23/C23,"")</f>
        <v/>
      </c>
      <c r="E23" s="10">
        <f>IFERROR(C23/B23,"")</f>
        <v/>
      </c>
      <c r="F23" s="11">
        <f>IFERROR((D23/D22-1)*100,"")</f>
        <v/>
      </c>
      <c r="G23" s="11" t="inlineStr"/>
      <c r="H23" s="10" t="inlineStr"/>
      <c r="I23" s="10" t="n"/>
      <c r="J23" t="inlineStr"/>
      <c r="K23" t="inlineStr"/>
    </row>
    <row r="24">
      <c r="A24" s="7" t="inlineStr">
        <is>
          <t>2014-03-31</t>
        </is>
      </c>
      <c r="B24" s="8">
        <f>IFERROR(VLOOKUP($A24,'01-原始价格'!$A:$M,2,FALSE),"")</f>
        <v/>
      </c>
      <c r="C24" s="8">
        <f>IFERROR(VLOOKUP($A24,'01-原始价格'!$A:$M,8,FALSE),"")</f>
        <v/>
      </c>
      <c r="D24" s="10">
        <f>IFERROR(B24/C24,"")</f>
        <v/>
      </c>
      <c r="E24" s="10">
        <f>IFERROR(C24/B24,"")</f>
        <v/>
      </c>
      <c r="F24" s="11">
        <f>IFERROR((D24/D23-1)*100,"")</f>
        <v/>
      </c>
      <c r="G24" s="11" t="inlineStr"/>
      <c r="H24" s="10" t="inlineStr"/>
      <c r="I24" s="10" t="n"/>
      <c r="J24" t="inlineStr"/>
      <c r="K24" t="inlineStr"/>
    </row>
    <row r="25">
      <c r="A25" s="7" t="inlineStr">
        <is>
          <t>2014-04-01</t>
        </is>
      </c>
      <c r="B25" s="8">
        <f>IFERROR(VLOOKUP($A25,'01-原始价格'!$A:$M,2,FALSE),"")</f>
        <v/>
      </c>
      <c r="C25" s="8">
        <f>IFERROR(VLOOKUP($A25,'01-原始价格'!$A:$M,8,FALSE),"")</f>
        <v/>
      </c>
      <c r="D25" s="10">
        <f>IFERROR(B25/C25,"")</f>
        <v/>
      </c>
      <c r="E25" s="10">
        <f>IFERROR(C25/B25,"")</f>
        <v/>
      </c>
      <c r="F25" s="11">
        <f>IFERROR((D25/D24-1)*100,"")</f>
        <v/>
      </c>
      <c r="G25" s="11" t="inlineStr"/>
      <c r="H25" s="10" t="inlineStr"/>
      <c r="I25" s="10" t="n"/>
      <c r="J25" t="inlineStr"/>
      <c r="K25" t="inlineStr"/>
    </row>
    <row r="26">
      <c r="A26" s="7" t="inlineStr">
        <is>
          <t>2014-04-02</t>
        </is>
      </c>
      <c r="B26" s="8">
        <f>IFERROR(VLOOKUP($A26,'01-原始价格'!$A:$M,2,FALSE),"")</f>
        <v/>
      </c>
      <c r="C26" s="8">
        <f>IFERROR(VLOOKUP($A26,'01-原始价格'!$A:$M,8,FALSE),"")</f>
        <v/>
      </c>
      <c r="D26" s="10">
        <f>IFERROR(B26/C26,"")</f>
        <v/>
      </c>
      <c r="E26" s="10">
        <f>IFERROR(C26/B26,"")</f>
        <v/>
      </c>
      <c r="F26" s="11">
        <f>IFERROR((D26/D25-1)*100,"")</f>
        <v/>
      </c>
      <c r="G26" s="11" t="inlineStr"/>
      <c r="H26" s="10" t="inlineStr"/>
      <c r="I26" s="10" t="n"/>
      <c r="J26" t="inlineStr"/>
      <c r="K26" t="inlineStr"/>
    </row>
    <row r="27">
      <c r="A27" s="7" t="inlineStr">
        <is>
          <t>2014-04-03</t>
        </is>
      </c>
      <c r="B27" s="8">
        <f>IFERROR(VLOOKUP($A27,'01-原始价格'!$A:$M,2,FALSE),"")</f>
        <v/>
      </c>
      <c r="C27" s="8">
        <f>IFERROR(VLOOKUP($A27,'01-原始价格'!$A:$M,8,FALSE),"")</f>
        <v/>
      </c>
      <c r="D27" s="10">
        <f>IFERROR(B27/C27,"")</f>
        <v/>
      </c>
      <c r="E27" s="10">
        <f>IFERROR(C27/B27,"")</f>
        <v/>
      </c>
      <c r="F27" s="11">
        <f>IFERROR((D27/D26-1)*100,"")</f>
        <v/>
      </c>
      <c r="G27" s="11" t="inlineStr"/>
      <c r="H27" s="10" t="inlineStr"/>
      <c r="I27" s="10" t="n"/>
      <c r="J27" t="inlineStr"/>
      <c r="K27" t="inlineStr"/>
    </row>
    <row r="28">
      <c r="A28" s="7" t="inlineStr">
        <is>
          <t>2014-04-04</t>
        </is>
      </c>
      <c r="B28" s="8">
        <f>IFERROR(VLOOKUP($A28,'01-原始价格'!$A:$M,2,FALSE),"")</f>
        <v/>
      </c>
      <c r="C28" s="8">
        <f>IFERROR(VLOOKUP($A28,'01-原始价格'!$A:$M,8,FALSE),"")</f>
        <v/>
      </c>
      <c r="D28" s="10">
        <f>IFERROR(B28/C28,"")</f>
        <v/>
      </c>
      <c r="E28" s="10">
        <f>IFERROR(C28/B28,"")</f>
        <v/>
      </c>
      <c r="F28" s="11">
        <f>IFERROR((D28/D27-1)*100,"")</f>
        <v/>
      </c>
      <c r="G28" s="11" t="inlineStr"/>
      <c r="H28" s="10" t="inlineStr"/>
      <c r="I28" s="10" t="n"/>
      <c r="J28" t="inlineStr"/>
      <c r="K28" t="inlineStr"/>
    </row>
    <row r="29">
      <c r="A29" s="7" t="inlineStr">
        <is>
          <t>2014-04-08</t>
        </is>
      </c>
      <c r="B29" s="8">
        <f>IFERROR(VLOOKUP($A29,'01-原始价格'!$A:$M,2,FALSE),"")</f>
        <v/>
      </c>
      <c r="C29" s="8">
        <f>IFERROR(VLOOKUP($A29,'01-原始价格'!$A:$M,8,FALSE),"")</f>
        <v/>
      </c>
      <c r="D29" s="10">
        <f>IFERROR(B29/C29,"")</f>
        <v/>
      </c>
      <c r="E29" s="10">
        <f>IFERROR(C29/B29,"")</f>
        <v/>
      </c>
      <c r="F29" s="11">
        <f>IFERROR((D29/D28-1)*100,"")</f>
        <v/>
      </c>
      <c r="G29" s="11" t="inlineStr"/>
      <c r="H29" s="10" t="inlineStr"/>
      <c r="I29" s="10" t="n"/>
      <c r="J29" t="inlineStr"/>
      <c r="K29" t="inlineStr"/>
    </row>
    <row r="30">
      <c r="A30" s="7" t="inlineStr">
        <is>
          <t>2014-04-09</t>
        </is>
      </c>
      <c r="B30" s="8">
        <f>IFERROR(VLOOKUP($A30,'01-原始价格'!$A:$M,2,FALSE),"")</f>
        <v/>
      </c>
      <c r="C30" s="8">
        <f>IFERROR(VLOOKUP($A30,'01-原始价格'!$A:$M,8,FALSE),"")</f>
        <v/>
      </c>
      <c r="D30" s="10">
        <f>IFERROR(B30/C30,"")</f>
        <v/>
      </c>
      <c r="E30" s="10">
        <f>IFERROR(C30/B30,"")</f>
        <v/>
      </c>
      <c r="F30" s="11">
        <f>IFERROR((D30/D29-1)*100,"")</f>
        <v/>
      </c>
      <c r="G30" s="11" t="inlineStr"/>
      <c r="H30" s="10" t="inlineStr"/>
      <c r="I30" s="10" t="n"/>
      <c r="J30" t="inlineStr"/>
      <c r="K30" t="inlineStr"/>
    </row>
    <row r="31">
      <c r="A31" s="7" t="inlineStr">
        <is>
          <t>2014-04-10</t>
        </is>
      </c>
      <c r="B31" s="8">
        <f>IFERROR(VLOOKUP($A31,'01-原始价格'!$A:$M,2,FALSE),"")</f>
        <v/>
      </c>
      <c r="C31" s="8">
        <f>IFERROR(VLOOKUP($A31,'01-原始价格'!$A:$M,8,FALSE),"")</f>
        <v/>
      </c>
      <c r="D31" s="10">
        <f>IFERROR(B31/C31,"")</f>
        <v/>
      </c>
      <c r="E31" s="10">
        <f>IFERROR(C31/B31,"")</f>
        <v/>
      </c>
      <c r="F31" s="11">
        <f>IFERROR((D31/D30-1)*100,"")</f>
        <v/>
      </c>
      <c r="G31" s="11" t="inlineStr"/>
      <c r="H31" s="10" t="inlineStr"/>
      <c r="I31" s="10" t="n"/>
      <c r="J31" t="inlineStr"/>
      <c r="K31" t="inlineStr"/>
    </row>
    <row r="32">
      <c r="A32" s="7" t="inlineStr">
        <is>
          <t>2014-04-11</t>
        </is>
      </c>
      <c r="B32" s="8">
        <f>IFERROR(VLOOKUP($A32,'01-原始价格'!$A:$M,2,FALSE),"")</f>
        <v/>
      </c>
      <c r="C32" s="8">
        <f>IFERROR(VLOOKUP($A32,'01-原始价格'!$A:$M,8,FALSE),"")</f>
        <v/>
      </c>
      <c r="D32" s="10">
        <f>IFERROR(B32/C32,"")</f>
        <v/>
      </c>
      <c r="E32" s="10">
        <f>IFERROR(C32/B32,"")</f>
        <v/>
      </c>
      <c r="F32" s="11">
        <f>IFERROR((D32/D31-1)*100,"")</f>
        <v/>
      </c>
      <c r="G32" s="11" t="inlineStr"/>
      <c r="H32" s="10" t="inlineStr"/>
      <c r="I32" s="10" t="n"/>
      <c r="J32" t="inlineStr"/>
      <c r="K32" t="inlineStr"/>
    </row>
    <row r="33">
      <c r="A33" s="7" t="inlineStr">
        <is>
          <t>2014-04-14</t>
        </is>
      </c>
      <c r="B33" s="8">
        <f>IFERROR(VLOOKUP($A33,'01-原始价格'!$A:$M,2,FALSE),"")</f>
        <v/>
      </c>
      <c r="C33" s="8">
        <f>IFERROR(VLOOKUP($A33,'01-原始价格'!$A:$M,8,FALSE),"")</f>
        <v/>
      </c>
      <c r="D33" s="10">
        <f>IFERROR(B33/C33,"")</f>
        <v/>
      </c>
      <c r="E33" s="10">
        <f>IFERROR(C33/B33,"")</f>
        <v/>
      </c>
      <c r="F33" s="11">
        <f>IFERROR((D33/D32-1)*100,"")</f>
        <v/>
      </c>
      <c r="G33" s="11" t="inlineStr"/>
      <c r="H33" s="10" t="inlineStr"/>
      <c r="I33" s="10" t="n"/>
      <c r="J33" t="inlineStr"/>
      <c r="K33" t="inlineStr"/>
    </row>
    <row r="34">
      <c r="A34" s="7" t="inlineStr">
        <is>
          <t>2014-04-15</t>
        </is>
      </c>
      <c r="B34" s="8">
        <f>IFERROR(VLOOKUP($A34,'01-原始价格'!$A:$M,2,FALSE),"")</f>
        <v/>
      </c>
      <c r="C34" s="8">
        <f>IFERROR(VLOOKUP($A34,'01-原始价格'!$A:$M,8,FALSE),"")</f>
        <v/>
      </c>
      <c r="D34" s="10">
        <f>IFERROR(B34/C34,"")</f>
        <v/>
      </c>
      <c r="E34" s="10">
        <f>IFERROR(C34/B34,"")</f>
        <v/>
      </c>
      <c r="F34" s="11">
        <f>IFERROR((D34/D33-1)*100,"")</f>
        <v/>
      </c>
      <c r="G34" s="11" t="inlineStr"/>
      <c r="H34" s="10" t="inlineStr"/>
      <c r="I34" s="10" t="n"/>
      <c r="J34" t="inlineStr"/>
      <c r="K34" t="inlineStr"/>
    </row>
    <row r="35">
      <c r="A35" s="7" t="inlineStr">
        <is>
          <t>2014-04-16</t>
        </is>
      </c>
      <c r="B35" s="8">
        <f>IFERROR(VLOOKUP($A35,'01-原始价格'!$A:$M,2,FALSE),"")</f>
        <v/>
      </c>
      <c r="C35" s="8">
        <f>IFERROR(VLOOKUP($A35,'01-原始价格'!$A:$M,8,FALSE),"")</f>
        <v/>
      </c>
      <c r="D35" s="10">
        <f>IFERROR(B35/C35,"")</f>
        <v/>
      </c>
      <c r="E35" s="10">
        <f>IFERROR(C35/B35,"")</f>
        <v/>
      </c>
      <c r="F35" s="11">
        <f>IFERROR((D35/D34-1)*100,"")</f>
        <v/>
      </c>
      <c r="G35" s="11" t="inlineStr"/>
      <c r="H35" s="10" t="inlineStr"/>
      <c r="I35" s="10" t="n"/>
      <c r="J35" t="inlineStr"/>
      <c r="K35" t="inlineStr"/>
    </row>
    <row r="36">
      <c r="A36" s="7" t="inlineStr">
        <is>
          <t>2014-04-17</t>
        </is>
      </c>
      <c r="B36" s="8">
        <f>IFERROR(VLOOKUP($A36,'01-原始价格'!$A:$M,2,FALSE),"")</f>
        <v/>
      </c>
      <c r="C36" s="8">
        <f>IFERROR(VLOOKUP($A36,'01-原始价格'!$A:$M,8,FALSE),"")</f>
        <v/>
      </c>
      <c r="D36" s="10">
        <f>IFERROR(B36/C36,"")</f>
        <v/>
      </c>
      <c r="E36" s="10">
        <f>IFERROR(C36/B36,"")</f>
        <v/>
      </c>
      <c r="F36" s="11">
        <f>IFERROR((D36/D35-1)*100,"")</f>
        <v/>
      </c>
      <c r="G36" s="11" t="inlineStr"/>
      <c r="H36" s="10" t="inlineStr"/>
      <c r="I36" s="10" t="n"/>
      <c r="J36" t="inlineStr"/>
      <c r="K36" t="inlineStr"/>
    </row>
    <row r="37">
      <c r="A37" s="7" t="inlineStr">
        <is>
          <t>2014-04-18</t>
        </is>
      </c>
      <c r="B37" s="8">
        <f>IFERROR(VLOOKUP($A37,'01-原始价格'!$A:$M,2,FALSE),"")</f>
        <v/>
      </c>
      <c r="C37" s="8">
        <f>IFERROR(VLOOKUP($A37,'01-原始价格'!$A:$M,8,FALSE),"")</f>
        <v/>
      </c>
      <c r="D37" s="10">
        <f>IFERROR(B37/C37,"")</f>
        <v/>
      </c>
      <c r="E37" s="10">
        <f>IFERROR(C37/B37,"")</f>
        <v/>
      </c>
      <c r="F37" s="11">
        <f>IFERROR((D37/D36-1)*100,"")</f>
        <v/>
      </c>
      <c r="G37" s="11" t="inlineStr"/>
      <c r="H37" s="10" t="inlineStr"/>
      <c r="I37" s="10" t="n"/>
      <c r="J37" t="inlineStr"/>
      <c r="K37" t="inlineStr"/>
    </row>
    <row r="38">
      <c r="A38" s="7" t="inlineStr">
        <is>
          <t>2014-04-21</t>
        </is>
      </c>
      <c r="B38" s="8">
        <f>IFERROR(VLOOKUP($A38,'01-原始价格'!$A:$M,2,FALSE),"")</f>
        <v/>
      </c>
      <c r="C38" s="8">
        <f>IFERROR(VLOOKUP($A38,'01-原始价格'!$A:$M,8,FALSE),"")</f>
        <v/>
      </c>
      <c r="D38" s="10">
        <f>IFERROR(B38/C38,"")</f>
        <v/>
      </c>
      <c r="E38" s="10">
        <f>IFERROR(C38/B38,"")</f>
        <v/>
      </c>
      <c r="F38" s="11">
        <f>IFERROR((D38/D37-1)*100,"")</f>
        <v/>
      </c>
      <c r="G38" s="11" t="inlineStr"/>
      <c r="H38" s="10" t="inlineStr"/>
      <c r="I38" s="10" t="n"/>
      <c r="J38" t="inlineStr"/>
      <c r="K38" t="inlineStr"/>
    </row>
    <row r="39">
      <c r="A39" s="7" t="inlineStr">
        <is>
          <t>2014-04-22</t>
        </is>
      </c>
      <c r="B39" s="8">
        <f>IFERROR(VLOOKUP($A39,'01-原始价格'!$A:$M,2,FALSE),"")</f>
        <v/>
      </c>
      <c r="C39" s="8">
        <f>IFERROR(VLOOKUP($A39,'01-原始价格'!$A:$M,8,FALSE),"")</f>
        <v/>
      </c>
      <c r="D39" s="10">
        <f>IFERROR(B39/C39,"")</f>
        <v/>
      </c>
      <c r="E39" s="10">
        <f>IFERROR(C39/B39,"")</f>
        <v/>
      </c>
      <c r="F39" s="11">
        <f>IFERROR((D39/D38-1)*100,"")</f>
        <v/>
      </c>
      <c r="G39" s="11" t="inlineStr"/>
      <c r="H39" s="10" t="inlineStr"/>
      <c r="I39" s="10" t="n"/>
      <c r="J39" t="inlineStr"/>
      <c r="K39" t="inlineStr"/>
    </row>
    <row r="40">
      <c r="A40" s="7" t="inlineStr">
        <is>
          <t>2014-04-23</t>
        </is>
      </c>
      <c r="B40" s="8">
        <f>IFERROR(VLOOKUP($A40,'01-原始价格'!$A:$M,2,FALSE),"")</f>
        <v/>
      </c>
      <c r="C40" s="8">
        <f>IFERROR(VLOOKUP($A40,'01-原始价格'!$A:$M,8,FALSE),"")</f>
        <v/>
      </c>
      <c r="D40" s="10">
        <f>IFERROR(B40/C40,"")</f>
        <v/>
      </c>
      <c r="E40" s="10">
        <f>IFERROR(C40/B40,"")</f>
        <v/>
      </c>
      <c r="F40" s="11">
        <f>IFERROR((D40/D39-1)*100,"")</f>
        <v/>
      </c>
      <c r="G40" s="11" t="inlineStr"/>
      <c r="H40" s="10" t="inlineStr"/>
      <c r="I40" s="10" t="n"/>
      <c r="J40" t="inlineStr"/>
      <c r="K40" t="inlineStr"/>
    </row>
    <row r="41">
      <c r="A41" s="7" t="inlineStr">
        <is>
          <t>2014-04-24</t>
        </is>
      </c>
      <c r="B41" s="8">
        <f>IFERROR(VLOOKUP($A41,'01-原始价格'!$A:$M,2,FALSE),"")</f>
        <v/>
      </c>
      <c r="C41" s="8">
        <f>IFERROR(VLOOKUP($A41,'01-原始价格'!$A:$M,8,FALSE),"")</f>
        <v/>
      </c>
      <c r="D41" s="10">
        <f>IFERROR(B41/C41,"")</f>
        <v/>
      </c>
      <c r="E41" s="10">
        <f>IFERROR(C41/B41,"")</f>
        <v/>
      </c>
      <c r="F41" s="11">
        <f>IFERROR((D41/D40-1)*100,"")</f>
        <v/>
      </c>
      <c r="G41" s="11" t="inlineStr"/>
      <c r="H41" s="10" t="inlineStr"/>
      <c r="I41" s="10" t="n"/>
      <c r="J41" t="inlineStr"/>
      <c r="K41" t="inlineStr"/>
    </row>
    <row r="42">
      <c r="A42" s="7" t="inlineStr">
        <is>
          <t>2014-04-25</t>
        </is>
      </c>
      <c r="B42" s="8">
        <f>IFERROR(VLOOKUP($A42,'01-原始价格'!$A:$M,2,FALSE),"")</f>
        <v/>
      </c>
      <c r="C42" s="8">
        <f>IFERROR(VLOOKUP($A42,'01-原始价格'!$A:$M,8,FALSE),"")</f>
        <v/>
      </c>
      <c r="D42" s="10">
        <f>IFERROR(B42/C42,"")</f>
        <v/>
      </c>
      <c r="E42" s="10">
        <f>IFERROR(C42/B42,"")</f>
        <v/>
      </c>
      <c r="F42" s="11">
        <f>IFERROR((D42/D41-1)*100,"")</f>
        <v/>
      </c>
      <c r="G42" s="11" t="inlineStr"/>
      <c r="H42" s="10" t="inlineStr"/>
      <c r="I42" s="10" t="n"/>
      <c r="J42" t="inlineStr"/>
      <c r="K42" t="inlineStr"/>
    </row>
    <row r="43">
      <c r="A43" s="7" t="inlineStr">
        <is>
          <t>2014-04-28</t>
        </is>
      </c>
      <c r="B43" s="8">
        <f>IFERROR(VLOOKUP($A43,'01-原始价格'!$A:$M,2,FALSE),"")</f>
        <v/>
      </c>
      <c r="C43" s="8">
        <f>IFERROR(VLOOKUP($A43,'01-原始价格'!$A:$M,8,FALSE),"")</f>
        <v/>
      </c>
      <c r="D43" s="10">
        <f>IFERROR(B43/C43,"")</f>
        <v/>
      </c>
      <c r="E43" s="10">
        <f>IFERROR(C43/B43,"")</f>
        <v/>
      </c>
      <c r="F43" s="11">
        <f>IFERROR((D43/D42-1)*100,"")</f>
        <v/>
      </c>
      <c r="G43" s="11" t="inlineStr"/>
      <c r="H43" s="10" t="inlineStr"/>
      <c r="I43" s="10" t="n"/>
      <c r="J43" t="inlineStr"/>
      <c r="K43" t="inlineStr"/>
    </row>
    <row r="44">
      <c r="A44" s="7" t="inlineStr">
        <is>
          <t>2014-04-29</t>
        </is>
      </c>
      <c r="B44" s="8">
        <f>IFERROR(VLOOKUP($A44,'01-原始价格'!$A:$M,2,FALSE),"")</f>
        <v/>
      </c>
      <c r="C44" s="8">
        <f>IFERROR(VLOOKUP($A44,'01-原始价格'!$A:$M,8,FALSE),"")</f>
        <v/>
      </c>
      <c r="D44" s="10">
        <f>IFERROR(B44/C44,"")</f>
        <v/>
      </c>
      <c r="E44" s="10">
        <f>IFERROR(C44/B44,"")</f>
        <v/>
      </c>
      <c r="F44" s="11">
        <f>IFERROR((D44/D43-1)*100,"")</f>
        <v/>
      </c>
      <c r="G44" s="11" t="inlineStr"/>
      <c r="H44" s="10" t="inlineStr"/>
      <c r="I44" s="10" t="n"/>
      <c r="J44" t="inlineStr"/>
      <c r="K44" t="inlineStr"/>
    </row>
    <row r="45">
      <c r="A45" s="7" t="inlineStr">
        <is>
          <t>2014-04-30</t>
        </is>
      </c>
      <c r="B45" s="8">
        <f>IFERROR(VLOOKUP($A45,'01-原始价格'!$A:$M,2,FALSE),"")</f>
        <v/>
      </c>
      <c r="C45" s="8">
        <f>IFERROR(VLOOKUP($A45,'01-原始价格'!$A:$M,8,FALSE),"")</f>
        <v/>
      </c>
      <c r="D45" s="10">
        <f>IFERROR(B45/C45,"")</f>
        <v/>
      </c>
      <c r="E45" s="10">
        <f>IFERROR(C45/B45,"")</f>
        <v/>
      </c>
      <c r="F45" s="11">
        <f>IFERROR((D45/D44-1)*100,"")</f>
        <v/>
      </c>
      <c r="G45" s="11" t="inlineStr"/>
      <c r="H45" s="10" t="inlineStr"/>
      <c r="I45" s="10" t="n"/>
      <c r="J45" t="inlineStr"/>
      <c r="K45" t="inlineStr"/>
    </row>
    <row r="46">
      <c r="A46" s="7" t="inlineStr">
        <is>
          <t>2014-05-05</t>
        </is>
      </c>
      <c r="B46" s="8">
        <f>IFERROR(VLOOKUP($A46,'01-原始价格'!$A:$M,2,FALSE),"")</f>
        <v/>
      </c>
      <c r="C46" s="8">
        <f>IFERROR(VLOOKUP($A46,'01-原始价格'!$A:$M,8,FALSE),"")</f>
        <v/>
      </c>
      <c r="D46" s="10">
        <f>IFERROR(B46/C46,"")</f>
        <v/>
      </c>
      <c r="E46" s="10">
        <f>IFERROR(C46/B46,"")</f>
        <v/>
      </c>
      <c r="F46" s="11">
        <f>IFERROR((D46/D45-1)*100,"")</f>
        <v/>
      </c>
      <c r="G46" s="11" t="inlineStr"/>
      <c r="H46" s="10" t="inlineStr"/>
      <c r="I46" s="10" t="n"/>
      <c r="J46" t="inlineStr"/>
      <c r="K46" t="inlineStr"/>
    </row>
    <row r="47">
      <c r="A47" s="7" t="inlineStr">
        <is>
          <t>2014-05-06</t>
        </is>
      </c>
      <c r="B47" s="8">
        <f>IFERROR(VLOOKUP($A47,'01-原始价格'!$A:$M,2,FALSE),"")</f>
        <v/>
      </c>
      <c r="C47" s="8">
        <f>IFERROR(VLOOKUP($A47,'01-原始价格'!$A:$M,8,FALSE),"")</f>
        <v/>
      </c>
      <c r="D47" s="10">
        <f>IFERROR(B47/C47,"")</f>
        <v/>
      </c>
      <c r="E47" s="10">
        <f>IFERROR(C47/B47,"")</f>
        <v/>
      </c>
      <c r="F47" s="11">
        <f>IFERROR((D47/D46-1)*100,"")</f>
        <v/>
      </c>
      <c r="G47" s="11" t="inlineStr"/>
      <c r="H47" s="10" t="inlineStr"/>
      <c r="I47" s="10" t="n"/>
      <c r="J47" t="inlineStr"/>
      <c r="K47" t="inlineStr"/>
    </row>
    <row r="48">
      <c r="A48" s="7" t="inlineStr">
        <is>
          <t>2014-05-07</t>
        </is>
      </c>
      <c r="B48" s="8">
        <f>IFERROR(VLOOKUP($A48,'01-原始价格'!$A:$M,2,FALSE),"")</f>
        <v/>
      </c>
      <c r="C48" s="8">
        <f>IFERROR(VLOOKUP($A48,'01-原始价格'!$A:$M,8,FALSE),"")</f>
        <v/>
      </c>
      <c r="D48" s="10">
        <f>IFERROR(B48/C48,"")</f>
        <v/>
      </c>
      <c r="E48" s="10">
        <f>IFERROR(C48/B48,"")</f>
        <v/>
      </c>
      <c r="F48" s="11">
        <f>IFERROR((D48/D47-1)*100,"")</f>
        <v/>
      </c>
      <c r="G48" s="11" t="inlineStr"/>
      <c r="H48" s="10" t="inlineStr"/>
      <c r="I48" s="10" t="n"/>
      <c r="J48" t="inlineStr"/>
      <c r="K48" t="inlineStr"/>
    </row>
    <row r="49">
      <c r="A49" s="7" t="inlineStr">
        <is>
          <t>2014-05-08</t>
        </is>
      </c>
      <c r="B49" s="8">
        <f>IFERROR(VLOOKUP($A49,'01-原始价格'!$A:$M,2,FALSE),"")</f>
        <v/>
      </c>
      <c r="C49" s="8">
        <f>IFERROR(VLOOKUP($A49,'01-原始价格'!$A:$M,8,FALSE),"")</f>
        <v/>
      </c>
      <c r="D49" s="10">
        <f>IFERROR(B49/C49,"")</f>
        <v/>
      </c>
      <c r="E49" s="10">
        <f>IFERROR(C49/B49,"")</f>
        <v/>
      </c>
      <c r="F49" s="11">
        <f>IFERROR((D49/D48-1)*100,"")</f>
        <v/>
      </c>
      <c r="G49" s="11" t="inlineStr"/>
      <c r="H49" s="10" t="inlineStr"/>
      <c r="I49" s="10" t="n"/>
      <c r="J49" t="inlineStr"/>
      <c r="K49" t="inlineStr"/>
    </row>
    <row r="50">
      <c r="A50" s="7" t="inlineStr">
        <is>
          <t>2014-05-09</t>
        </is>
      </c>
      <c r="B50" s="8">
        <f>IFERROR(VLOOKUP($A50,'01-原始价格'!$A:$M,2,FALSE),"")</f>
        <v/>
      </c>
      <c r="C50" s="8">
        <f>IFERROR(VLOOKUP($A50,'01-原始价格'!$A:$M,8,FALSE),"")</f>
        <v/>
      </c>
      <c r="D50" s="10">
        <f>IFERROR(B50/C50,"")</f>
        <v/>
      </c>
      <c r="E50" s="10">
        <f>IFERROR(C50/B50,"")</f>
        <v/>
      </c>
      <c r="F50" s="11">
        <f>IFERROR((D50/D49-1)*100,"")</f>
        <v/>
      </c>
      <c r="G50" s="11" t="inlineStr"/>
      <c r="H50" s="10" t="inlineStr"/>
      <c r="I50" s="10" t="n"/>
      <c r="J50" t="inlineStr"/>
      <c r="K50" t="inlineStr"/>
    </row>
    <row r="51">
      <c r="A51" s="7" t="inlineStr">
        <is>
          <t>2014-05-12</t>
        </is>
      </c>
      <c r="B51" s="8">
        <f>IFERROR(VLOOKUP($A51,'01-原始价格'!$A:$M,2,FALSE),"")</f>
        <v/>
      </c>
      <c r="C51" s="8">
        <f>IFERROR(VLOOKUP($A51,'01-原始价格'!$A:$M,8,FALSE),"")</f>
        <v/>
      </c>
      <c r="D51" s="10">
        <f>IFERROR(B51/C51,"")</f>
        <v/>
      </c>
      <c r="E51" s="10">
        <f>IFERROR(C51/B51,"")</f>
        <v/>
      </c>
      <c r="F51" s="11">
        <f>IFERROR((D51/D50-1)*100,"")</f>
        <v/>
      </c>
      <c r="G51" s="11" t="inlineStr"/>
      <c r="H51" s="10" t="inlineStr"/>
      <c r="I51" s="10" t="n"/>
      <c r="J51" t="inlineStr"/>
      <c r="K51" t="inlineStr"/>
    </row>
    <row r="52">
      <c r="A52" s="7" t="inlineStr">
        <is>
          <t>2014-05-13</t>
        </is>
      </c>
      <c r="B52" s="8">
        <f>IFERROR(VLOOKUP($A52,'01-原始价格'!$A:$M,2,FALSE),"")</f>
        <v/>
      </c>
      <c r="C52" s="8">
        <f>IFERROR(VLOOKUP($A52,'01-原始价格'!$A:$M,8,FALSE),"")</f>
        <v/>
      </c>
      <c r="D52" s="10">
        <f>IFERROR(B52/C52,"")</f>
        <v/>
      </c>
      <c r="E52" s="10">
        <f>IFERROR(C52/B52,"")</f>
        <v/>
      </c>
      <c r="F52" s="11">
        <f>IFERROR((D52/D51-1)*100,"")</f>
        <v/>
      </c>
      <c r="G52" s="11" t="inlineStr"/>
      <c r="H52" s="10" t="inlineStr"/>
      <c r="I52" s="10" t="n"/>
      <c r="J52" t="inlineStr"/>
      <c r="K52" t="inlineStr"/>
    </row>
    <row r="53">
      <c r="A53" s="7" t="inlineStr">
        <is>
          <t>2014-05-14</t>
        </is>
      </c>
      <c r="B53" s="8">
        <f>IFERROR(VLOOKUP($A53,'01-原始价格'!$A:$M,2,FALSE),"")</f>
        <v/>
      </c>
      <c r="C53" s="8">
        <f>IFERROR(VLOOKUP($A53,'01-原始价格'!$A:$M,8,FALSE),"")</f>
        <v/>
      </c>
      <c r="D53" s="10">
        <f>IFERROR(B53/C53,"")</f>
        <v/>
      </c>
      <c r="E53" s="10">
        <f>IFERROR(C53/B53,"")</f>
        <v/>
      </c>
      <c r="F53" s="11">
        <f>IFERROR((D53/D52-1)*100,"")</f>
        <v/>
      </c>
      <c r="G53" s="11" t="inlineStr"/>
      <c r="H53" s="10" t="inlineStr"/>
      <c r="I53" s="10" t="n"/>
      <c r="J53" t="inlineStr"/>
      <c r="K53" t="inlineStr"/>
    </row>
    <row r="54">
      <c r="A54" s="7" t="inlineStr">
        <is>
          <t>2014-05-15</t>
        </is>
      </c>
      <c r="B54" s="8">
        <f>IFERROR(VLOOKUP($A54,'01-原始价格'!$A:$M,2,FALSE),"")</f>
        <v/>
      </c>
      <c r="C54" s="8">
        <f>IFERROR(VLOOKUP($A54,'01-原始价格'!$A:$M,8,FALSE),"")</f>
        <v/>
      </c>
      <c r="D54" s="10">
        <f>IFERROR(B54/C54,"")</f>
        <v/>
      </c>
      <c r="E54" s="10">
        <f>IFERROR(C54/B54,"")</f>
        <v/>
      </c>
      <c r="F54" s="11">
        <f>IFERROR((D54/D53-1)*100,"")</f>
        <v/>
      </c>
      <c r="G54" s="11" t="inlineStr"/>
      <c r="H54" s="10" t="inlineStr"/>
      <c r="I54" s="10" t="n"/>
      <c r="J54" t="inlineStr"/>
      <c r="K54" t="inlineStr"/>
    </row>
    <row r="55">
      <c r="A55" s="7" t="inlineStr">
        <is>
          <t>2014-05-16</t>
        </is>
      </c>
      <c r="B55" s="8">
        <f>IFERROR(VLOOKUP($A55,'01-原始价格'!$A:$M,2,FALSE),"")</f>
        <v/>
      </c>
      <c r="C55" s="8">
        <f>IFERROR(VLOOKUP($A55,'01-原始价格'!$A:$M,8,FALSE),"")</f>
        <v/>
      </c>
      <c r="D55" s="10">
        <f>IFERROR(B55/C55,"")</f>
        <v/>
      </c>
      <c r="E55" s="10">
        <f>IFERROR(C55/B55,"")</f>
        <v/>
      </c>
      <c r="F55" s="11">
        <f>IFERROR((D55/D54-1)*100,"")</f>
        <v/>
      </c>
      <c r="G55" s="11" t="inlineStr"/>
      <c r="H55" s="10" t="inlineStr"/>
      <c r="I55" s="10" t="n"/>
      <c r="J55" t="inlineStr"/>
      <c r="K55" t="inlineStr"/>
    </row>
    <row r="56">
      <c r="A56" s="7" t="inlineStr">
        <is>
          <t>2014-05-19</t>
        </is>
      </c>
      <c r="B56" s="8">
        <f>IFERROR(VLOOKUP($A56,'01-原始价格'!$A:$M,2,FALSE),"")</f>
        <v/>
      </c>
      <c r="C56" s="8">
        <f>IFERROR(VLOOKUP($A56,'01-原始价格'!$A:$M,8,FALSE),"")</f>
        <v/>
      </c>
      <c r="D56" s="10">
        <f>IFERROR(B56/C56,"")</f>
        <v/>
      </c>
      <c r="E56" s="10">
        <f>IFERROR(C56/B56,"")</f>
        <v/>
      </c>
      <c r="F56" s="11">
        <f>IFERROR((D56/D55-1)*100,"")</f>
        <v/>
      </c>
      <c r="G56" s="11" t="inlineStr"/>
      <c r="H56" s="10" t="inlineStr"/>
      <c r="I56" s="10" t="n"/>
      <c r="J56" t="inlineStr"/>
      <c r="K56" t="inlineStr"/>
    </row>
    <row r="57">
      <c r="A57" s="7" t="inlineStr">
        <is>
          <t>2014-05-20</t>
        </is>
      </c>
      <c r="B57" s="8">
        <f>IFERROR(VLOOKUP($A57,'01-原始价格'!$A:$M,2,FALSE),"")</f>
        <v/>
      </c>
      <c r="C57" s="8">
        <f>IFERROR(VLOOKUP($A57,'01-原始价格'!$A:$M,8,FALSE),"")</f>
        <v/>
      </c>
      <c r="D57" s="10">
        <f>IFERROR(B57/C57,"")</f>
        <v/>
      </c>
      <c r="E57" s="10">
        <f>IFERROR(C57/B57,"")</f>
        <v/>
      </c>
      <c r="F57" s="11">
        <f>IFERROR((D57/D56-1)*100,"")</f>
        <v/>
      </c>
      <c r="G57" s="11" t="inlineStr"/>
      <c r="H57" s="10" t="inlineStr"/>
      <c r="I57" s="10" t="n"/>
      <c r="J57" t="inlineStr"/>
      <c r="K57" t="inlineStr"/>
    </row>
    <row r="58">
      <c r="A58" s="7" t="inlineStr">
        <is>
          <t>2014-05-21</t>
        </is>
      </c>
      <c r="B58" s="8">
        <f>IFERROR(VLOOKUP($A58,'01-原始价格'!$A:$M,2,FALSE),"")</f>
        <v/>
      </c>
      <c r="C58" s="8">
        <f>IFERROR(VLOOKUP($A58,'01-原始价格'!$A:$M,8,FALSE),"")</f>
        <v/>
      </c>
      <c r="D58" s="10">
        <f>IFERROR(B58/C58,"")</f>
        <v/>
      </c>
      <c r="E58" s="10">
        <f>IFERROR(C58/B58,"")</f>
        <v/>
      </c>
      <c r="F58" s="11">
        <f>IFERROR((D58/D57-1)*100,"")</f>
        <v/>
      </c>
      <c r="G58" s="11" t="inlineStr"/>
      <c r="H58" s="10" t="inlineStr"/>
      <c r="I58" s="10" t="n"/>
      <c r="J58" t="inlineStr"/>
      <c r="K58" t="inlineStr"/>
    </row>
    <row r="59">
      <c r="A59" s="7" t="inlineStr">
        <is>
          <t>2014-05-22</t>
        </is>
      </c>
      <c r="B59" s="8">
        <f>IFERROR(VLOOKUP($A59,'01-原始价格'!$A:$M,2,FALSE),"")</f>
        <v/>
      </c>
      <c r="C59" s="8">
        <f>IFERROR(VLOOKUP($A59,'01-原始价格'!$A:$M,8,FALSE),"")</f>
        <v/>
      </c>
      <c r="D59" s="10">
        <f>IFERROR(B59/C59,"")</f>
        <v/>
      </c>
      <c r="E59" s="10">
        <f>IFERROR(C59/B59,"")</f>
        <v/>
      </c>
      <c r="F59" s="11">
        <f>IFERROR((D59/D58-1)*100,"")</f>
        <v/>
      </c>
      <c r="G59" s="11" t="inlineStr"/>
      <c r="H59" s="10" t="inlineStr"/>
      <c r="I59" s="10" t="n"/>
      <c r="J59" t="inlineStr"/>
      <c r="K59" t="inlineStr"/>
    </row>
    <row r="60">
      <c r="A60" s="7" t="inlineStr">
        <is>
          <t>2014-05-23</t>
        </is>
      </c>
      <c r="B60" s="8">
        <f>IFERROR(VLOOKUP($A60,'01-原始价格'!$A:$M,2,FALSE),"")</f>
        <v/>
      </c>
      <c r="C60" s="8">
        <f>IFERROR(VLOOKUP($A60,'01-原始价格'!$A:$M,8,FALSE),"")</f>
        <v/>
      </c>
      <c r="D60" s="10">
        <f>IFERROR(B60/C60,"")</f>
        <v/>
      </c>
      <c r="E60" s="10">
        <f>IFERROR(C60/B60,"")</f>
        <v/>
      </c>
      <c r="F60" s="11">
        <f>IFERROR((D60/D59-1)*100,"")</f>
        <v/>
      </c>
      <c r="G60" s="11" t="inlineStr"/>
      <c r="H60" s="10" t="inlineStr"/>
      <c r="I60" s="10" t="n"/>
      <c r="J60" t="inlineStr"/>
      <c r="K60" t="inlineStr"/>
    </row>
    <row r="61">
      <c r="A61" s="7" t="inlineStr">
        <is>
          <t>2014-05-26</t>
        </is>
      </c>
      <c r="B61" s="8">
        <f>IFERROR(VLOOKUP($A61,'01-原始价格'!$A:$M,2,FALSE),"")</f>
        <v/>
      </c>
      <c r="C61" s="8">
        <f>IFERROR(VLOOKUP($A61,'01-原始价格'!$A:$M,8,FALSE),"")</f>
        <v/>
      </c>
      <c r="D61" s="10">
        <f>IFERROR(B61/C61,"")</f>
        <v/>
      </c>
      <c r="E61" s="10">
        <f>IFERROR(C61/B61,"")</f>
        <v/>
      </c>
      <c r="F61" s="11">
        <f>IFERROR((D61/D60-1)*100,"")</f>
        <v/>
      </c>
      <c r="G61" s="11" t="inlineStr"/>
      <c r="H61" s="10" t="inlineStr"/>
      <c r="I61" s="10" t="n"/>
      <c r="J61" t="inlineStr"/>
      <c r="K61" t="inlineStr"/>
    </row>
    <row r="62">
      <c r="A62" s="7" t="inlineStr">
        <is>
          <t>2014-05-27</t>
        </is>
      </c>
      <c r="B62" s="8">
        <f>IFERROR(VLOOKUP($A62,'01-原始价格'!$A:$M,2,FALSE),"")</f>
        <v/>
      </c>
      <c r="C62" s="8">
        <f>IFERROR(VLOOKUP($A62,'01-原始价格'!$A:$M,8,FALSE),"")</f>
        <v/>
      </c>
      <c r="D62" s="10">
        <f>IFERROR(B62/C62,"")</f>
        <v/>
      </c>
      <c r="E62" s="10">
        <f>IFERROR(C62/B62,"")</f>
        <v/>
      </c>
      <c r="F62" s="11">
        <f>IFERROR((D62/D61-1)*100,"")</f>
        <v/>
      </c>
      <c r="G62" s="11" t="inlineStr"/>
      <c r="H62" s="10" t="inlineStr"/>
      <c r="I62" s="10" t="n"/>
      <c r="J62" t="inlineStr"/>
      <c r="K62" t="inlineStr"/>
    </row>
    <row r="63">
      <c r="A63" s="7" t="inlineStr">
        <is>
          <t>2014-05-28</t>
        </is>
      </c>
      <c r="B63" s="8">
        <f>IFERROR(VLOOKUP($A63,'01-原始价格'!$A:$M,2,FALSE),"")</f>
        <v/>
      </c>
      <c r="C63" s="8">
        <f>IFERROR(VLOOKUP($A63,'01-原始价格'!$A:$M,8,FALSE),"")</f>
        <v/>
      </c>
      <c r="D63" s="10">
        <f>IFERROR(B63/C63,"")</f>
        <v/>
      </c>
      <c r="E63" s="10">
        <f>IFERROR(C63/B63,"")</f>
        <v/>
      </c>
      <c r="F63" s="11">
        <f>IFERROR((D63/D62-1)*100,"")</f>
        <v/>
      </c>
      <c r="G63" s="11" t="inlineStr"/>
      <c r="H63" s="10" t="inlineStr"/>
      <c r="I63" s="10" t="n"/>
      <c r="J63" t="inlineStr"/>
      <c r="K63" t="inlineStr"/>
    </row>
    <row r="64">
      <c r="A64" s="7" t="inlineStr">
        <is>
          <t>2014-05-29</t>
        </is>
      </c>
      <c r="B64" s="8">
        <f>IFERROR(VLOOKUP($A64,'01-原始价格'!$A:$M,2,FALSE),"")</f>
        <v/>
      </c>
      <c r="C64" s="8">
        <f>IFERROR(VLOOKUP($A64,'01-原始价格'!$A:$M,8,FALSE),"")</f>
        <v/>
      </c>
      <c r="D64" s="10">
        <f>IFERROR(B64/C64,"")</f>
        <v/>
      </c>
      <c r="E64" s="10">
        <f>IFERROR(C64/B64,"")</f>
        <v/>
      </c>
      <c r="F64" s="11">
        <f>IFERROR((D64/D63-1)*100,"")</f>
        <v/>
      </c>
      <c r="G64" s="11" t="inlineStr"/>
      <c r="H64" s="10" t="inlineStr"/>
      <c r="I64" s="10" t="n"/>
      <c r="J64" t="inlineStr"/>
      <c r="K64" t="inlineStr"/>
    </row>
    <row r="65">
      <c r="A65" s="7" t="inlineStr">
        <is>
          <t>2014-05-30</t>
        </is>
      </c>
      <c r="B65" s="8">
        <f>IFERROR(VLOOKUP($A65,'01-原始价格'!$A:$M,2,FALSE),"")</f>
        <v/>
      </c>
      <c r="C65" s="8">
        <f>IFERROR(VLOOKUP($A65,'01-原始价格'!$A:$M,8,FALSE),"")</f>
        <v/>
      </c>
      <c r="D65" s="10">
        <f>IFERROR(B65/C65,"")</f>
        <v/>
      </c>
      <c r="E65" s="10">
        <f>IFERROR(C65/B65,"")</f>
        <v/>
      </c>
      <c r="F65" s="11">
        <f>IFERROR((D65/D64-1)*100,"")</f>
        <v/>
      </c>
      <c r="G65" s="11" t="inlineStr"/>
      <c r="H65" s="10" t="inlineStr"/>
      <c r="I65" s="10" t="n"/>
      <c r="J65" t="inlineStr"/>
      <c r="K65" t="inlineStr"/>
    </row>
    <row r="66">
      <c r="A66" s="7" t="inlineStr">
        <is>
          <t>2014-06-03</t>
        </is>
      </c>
      <c r="B66" s="8">
        <f>IFERROR(VLOOKUP($A66,'01-原始价格'!$A:$M,2,FALSE),"")</f>
        <v/>
      </c>
      <c r="C66" s="8">
        <f>IFERROR(VLOOKUP($A66,'01-原始价格'!$A:$M,8,FALSE),"")</f>
        <v/>
      </c>
      <c r="D66" s="10">
        <f>IFERROR(B66/C66,"")</f>
        <v/>
      </c>
      <c r="E66" s="10">
        <f>IFERROR(C66/B66,"")</f>
        <v/>
      </c>
      <c r="F66" s="11">
        <f>IFERROR((D66/D65-1)*100,"")</f>
        <v/>
      </c>
      <c r="G66" s="11" t="inlineStr"/>
      <c r="H66" s="10" t="inlineStr"/>
      <c r="I66" s="10" t="n"/>
      <c r="J66" t="inlineStr"/>
      <c r="K66" t="inlineStr"/>
    </row>
    <row r="67">
      <c r="A67" s="7" t="inlineStr">
        <is>
          <t>2014-06-04</t>
        </is>
      </c>
      <c r="B67" s="8">
        <f>IFERROR(VLOOKUP($A67,'01-原始价格'!$A:$M,2,FALSE),"")</f>
        <v/>
      </c>
      <c r="C67" s="8">
        <f>IFERROR(VLOOKUP($A67,'01-原始价格'!$A:$M,8,FALSE),"")</f>
        <v/>
      </c>
      <c r="D67" s="10">
        <f>IFERROR(B67/C67,"")</f>
        <v/>
      </c>
      <c r="E67" s="10">
        <f>IFERROR(C67/B67,"")</f>
        <v/>
      </c>
      <c r="F67" s="11">
        <f>IFERROR((D67/D66-1)*100,"")</f>
        <v/>
      </c>
      <c r="G67" s="11" t="inlineStr"/>
      <c r="H67" s="10" t="inlineStr"/>
      <c r="I67" s="10" t="n"/>
      <c r="J67" t="inlineStr"/>
      <c r="K67" t="inlineStr"/>
    </row>
    <row r="68">
      <c r="A68" s="7" t="inlineStr">
        <is>
          <t>2014-06-05</t>
        </is>
      </c>
      <c r="B68" s="8">
        <f>IFERROR(VLOOKUP($A68,'01-原始价格'!$A:$M,2,FALSE),"")</f>
        <v/>
      </c>
      <c r="C68" s="8">
        <f>IFERROR(VLOOKUP($A68,'01-原始价格'!$A:$M,8,FALSE),"")</f>
        <v/>
      </c>
      <c r="D68" s="10">
        <f>IFERROR(B68/C68,"")</f>
        <v/>
      </c>
      <c r="E68" s="10">
        <f>IFERROR(C68/B68,"")</f>
        <v/>
      </c>
      <c r="F68" s="11">
        <f>IFERROR((D68/D67-1)*100,"")</f>
        <v/>
      </c>
      <c r="G68" s="11" t="inlineStr"/>
      <c r="H68" s="10" t="inlineStr"/>
      <c r="I68" s="10" t="n"/>
      <c r="J68" t="inlineStr"/>
      <c r="K68" t="inlineStr"/>
    </row>
    <row r="69">
      <c r="A69" s="7" t="inlineStr">
        <is>
          <t>2014-06-06</t>
        </is>
      </c>
      <c r="B69" s="8">
        <f>IFERROR(VLOOKUP($A69,'01-原始价格'!$A:$M,2,FALSE),"")</f>
        <v/>
      </c>
      <c r="C69" s="8">
        <f>IFERROR(VLOOKUP($A69,'01-原始价格'!$A:$M,8,FALSE),"")</f>
        <v/>
      </c>
      <c r="D69" s="10">
        <f>IFERROR(B69/C69,"")</f>
        <v/>
      </c>
      <c r="E69" s="10">
        <f>IFERROR(C69/B69,"")</f>
        <v/>
      </c>
      <c r="F69" s="11">
        <f>IFERROR((D69/D68-1)*100,"")</f>
        <v/>
      </c>
      <c r="G69" s="11" t="inlineStr"/>
      <c r="H69" s="10" t="inlineStr"/>
      <c r="I69" s="10" t="n"/>
      <c r="J69" t="inlineStr"/>
      <c r="K69" t="inlineStr"/>
    </row>
    <row r="70">
      <c r="A70" s="7" t="inlineStr">
        <is>
          <t>2014-06-09</t>
        </is>
      </c>
      <c r="B70" s="8">
        <f>IFERROR(VLOOKUP($A70,'01-原始价格'!$A:$M,2,FALSE),"")</f>
        <v/>
      </c>
      <c r="C70" s="8">
        <f>IFERROR(VLOOKUP($A70,'01-原始价格'!$A:$M,8,FALSE),"")</f>
        <v/>
      </c>
      <c r="D70" s="10">
        <f>IFERROR(B70/C70,"")</f>
        <v/>
      </c>
      <c r="E70" s="10">
        <f>IFERROR(C70/B70,"")</f>
        <v/>
      </c>
      <c r="F70" s="11">
        <f>IFERROR((D70/D69-1)*100,"")</f>
        <v/>
      </c>
      <c r="G70" s="11" t="inlineStr"/>
      <c r="H70" s="10" t="inlineStr"/>
      <c r="I70" s="10" t="n"/>
      <c r="J70" t="inlineStr"/>
      <c r="K70" t="inlineStr"/>
    </row>
    <row r="71">
      <c r="A71" s="7" t="inlineStr">
        <is>
          <t>2014-06-10</t>
        </is>
      </c>
      <c r="B71" s="8">
        <f>IFERROR(VLOOKUP($A71,'01-原始价格'!$A:$M,2,FALSE),"")</f>
        <v/>
      </c>
      <c r="C71" s="8">
        <f>IFERROR(VLOOKUP($A71,'01-原始价格'!$A:$M,8,FALSE),"")</f>
        <v/>
      </c>
      <c r="D71" s="10">
        <f>IFERROR(B71/C71,"")</f>
        <v/>
      </c>
      <c r="E71" s="10">
        <f>IFERROR(C71/B71,"")</f>
        <v/>
      </c>
      <c r="F71" s="11">
        <f>IFERROR((D71/D70-1)*100,"")</f>
        <v/>
      </c>
      <c r="G71" s="11" t="inlineStr"/>
      <c r="H71" s="10" t="inlineStr"/>
      <c r="I71" s="10" t="n"/>
      <c r="J71" t="inlineStr"/>
      <c r="K71" t="inlineStr"/>
    </row>
    <row r="72">
      <c r="A72" s="7" t="inlineStr">
        <is>
          <t>2014-06-11</t>
        </is>
      </c>
      <c r="B72" s="8">
        <f>IFERROR(VLOOKUP($A72,'01-原始价格'!$A:$M,2,FALSE),"")</f>
        <v/>
      </c>
      <c r="C72" s="8">
        <f>IFERROR(VLOOKUP($A72,'01-原始价格'!$A:$M,8,FALSE),"")</f>
        <v/>
      </c>
      <c r="D72" s="10">
        <f>IFERROR(B72/C72,"")</f>
        <v/>
      </c>
      <c r="E72" s="10">
        <f>IFERROR(C72/B72,"")</f>
        <v/>
      </c>
      <c r="F72" s="11">
        <f>IFERROR((D72/D71-1)*100,"")</f>
        <v/>
      </c>
      <c r="G72" s="11" t="inlineStr"/>
      <c r="H72" s="10" t="inlineStr"/>
      <c r="I72" s="10" t="n"/>
      <c r="J72" t="inlineStr"/>
      <c r="K72" t="inlineStr"/>
    </row>
    <row r="73">
      <c r="A73" s="7" t="inlineStr">
        <is>
          <t>2014-06-12</t>
        </is>
      </c>
      <c r="B73" s="8">
        <f>IFERROR(VLOOKUP($A73,'01-原始价格'!$A:$M,2,FALSE),"")</f>
        <v/>
      </c>
      <c r="C73" s="8">
        <f>IFERROR(VLOOKUP($A73,'01-原始价格'!$A:$M,8,FALSE),"")</f>
        <v/>
      </c>
      <c r="D73" s="10">
        <f>IFERROR(B73/C73,"")</f>
        <v/>
      </c>
      <c r="E73" s="10">
        <f>IFERROR(C73/B73,"")</f>
        <v/>
      </c>
      <c r="F73" s="11">
        <f>IFERROR((D73/D72-1)*100,"")</f>
        <v/>
      </c>
      <c r="G73" s="11" t="inlineStr"/>
      <c r="H73" s="10" t="inlineStr"/>
      <c r="I73" s="10" t="n"/>
      <c r="J73" t="inlineStr"/>
      <c r="K73" t="inlineStr"/>
    </row>
    <row r="74">
      <c r="A74" s="7" t="inlineStr">
        <is>
          <t>2014-06-13</t>
        </is>
      </c>
      <c r="B74" s="8">
        <f>IFERROR(VLOOKUP($A74,'01-原始价格'!$A:$M,2,FALSE),"")</f>
        <v/>
      </c>
      <c r="C74" s="8">
        <f>IFERROR(VLOOKUP($A74,'01-原始价格'!$A:$M,8,FALSE),"")</f>
        <v/>
      </c>
      <c r="D74" s="10">
        <f>IFERROR(B74/C74,"")</f>
        <v/>
      </c>
      <c r="E74" s="10">
        <f>IFERROR(C74/B74,"")</f>
        <v/>
      </c>
      <c r="F74" s="11">
        <f>IFERROR((D74/D73-1)*100,"")</f>
        <v/>
      </c>
      <c r="G74" s="11" t="inlineStr"/>
      <c r="H74" s="10" t="inlineStr"/>
      <c r="I74" s="10" t="n"/>
      <c r="J74" t="inlineStr"/>
      <c r="K74" t="inlineStr"/>
    </row>
    <row r="75">
      <c r="A75" s="7" t="inlineStr">
        <is>
          <t>2014-06-16</t>
        </is>
      </c>
      <c r="B75" s="8">
        <f>IFERROR(VLOOKUP($A75,'01-原始价格'!$A:$M,2,FALSE),"")</f>
        <v/>
      </c>
      <c r="C75" s="8">
        <f>IFERROR(VLOOKUP($A75,'01-原始价格'!$A:$M,8,FALSE),"")</f>
        <v/>
      </c>
      <c r="D75" s="10">
        <f>IFERROR(B75/C75,"")</f>
        <v/>
      </c>
      <c r="E75" s="10">
        <f>IFERROR(C75/B75,"")</f>
        <v/>
      </c>
      <c r="F75" s="11">
        <f>IFERROR((D75/D74-1)*100,"")</f>
        <v/>
      </c>
      <c r="G75" s="11" t="inlineStr"/>
      <c r="H75" s="10" t="inlineStr"/>
      <c r="I75" s="10" t="n"/>
      <c r="J75" t="inlineStr"/>
      <c r="K75" t="inlineStr"/>
    </row>
    <row r="76">
      <c r="A76" s="7" t="inlineStr">
        <is>
          <t>2014-06-17</t>
        </is>
      </c>
      <c r="B76" s="8">
        <f>IFERROR(VLOOKUP($A76,'01-原始价格'!$A:$M,2,FALSE),"")</f>
        <v/>
      </c>
      <c r="C76" s="8">
        <f>IFERROR(VLOOKUP($A76,'01-原始价格'!$A:$M,8,FALSE),"")</f>
        <v/>
      </c>
      <c r="D76" s="10">
        <f>IFERROR(B76/C76,"")</f>
        <v/>
      </c>
      <c r="E76" s="10">
        <f>IFERROR(C76/B76,"")</f>
        <v/>
      </c>
      <c r="F76" s="11">
        <f>IFERROR((D76/D75-1)*100,"")</f>
        <v/>
      </c>
      <c r="G76" s="11" t="inlineStr"/>
      <c r="H76" s="10" t="inlineStr"/>
      <c r="I76" s="10" t="n"/>
      <c r="J76" t="inlineStr"/>
      <c r="K76" t="inlineStr"/>
    </row>
    <row r="77">
      <c r="A77" s="7" t="inlineStr">
        <is>
          <t>2014-06-18</t>
        </is>
      </c>
      <c r="B77" s="8">
        <f>IFERROR(VLOOKUP($A77,'01-原始价格'!$A:$M,2,FALSE),"")</f>
        <v/>
      </c>
      <c r="C77" s="8">
        <f>IFERROR(VLOOKUP($A77,'01-原始价格'!$A:$M,8,FALSE),"")</f>
        <v/>
      </c>
      <c r="D77" s="10">
        <f>IFERROR(B77/C77,"")</f>
        <v/>
      </c>
      <c r="E77" s="10">
        <f>IFERROR(C77/B77,"")</f>
        <v/>
      </c>
      <c r="F77" s="11">
        <f>IFERROR((D77/D76-1)*100,"")</f>
        <v/>
      </c>
      <c r="G77" s="11" t="inlineStr"/>
      <c r="H77" s="10" t="inlineStr"/>
      <c r="I77" s="10" t="n"/>
      <c r="J77" t="inlineStr"/>
      <c r="K77" t="inlineStr"/>
    </row>
    <row r="78">
      <c r="A78" s="7" t="inlineStr">
        <is>
          <t>2014-06-19</t>
        </is>
      </c>
      <c r="B78" s="8">
        <f>IFERROR(VLOOKUP($A78,'01-原始价格'!$A:$M,2,FALSE),"")</f>
        <v/>
      </c>
      <c r="C78" s="8">
        <f>IFERROR(VLOOKUP($A78,'01-原始价格'!$A:$M,8,FALSE),"")</f>
        <v/>
      </c>
      <c r="D78" s="10">
        <f>IFERROR(B78/C78,"")</f>
        <v/>
      </c>
      <c r="E78" s="10">
        <f>IFERROR(C78/B78,"")</f>
        <v/>
      </c>
      <c r="F78" s="11">
        <f>IFERROR((D78/D77-1)*100,"")</f>
        <v/>
      </c>
      <c r="G78" s="11" t="inlineStr"/>
      <c r="H78" s="10" t="inlineStr"/>
      <c r="I78" s="10" t="n"/>
      <c r="J78" t="inlineStr"/>
      <c r="K78" t="inlineStr"/>
    </row>
    <row r="79">
      <c r="A79" s="7" t="inlineStr">
        <is>
          <t>2014-06-20</t>
        </is>
      </c>
      <c r="B79" s="8">
        <f>IFERROR(VLOOKUP($A79,'01-原始价格'!$A:$M,2,FALSE),"")</f>
        <v/>
      </c>
      <c r="C79" s="8">
        <f>IFERROR(VLOOKUP($A79,'01-原始价格'!$A:$M,8,FALSE),"")</f>
        <v/>
      </c>
      <c r="D79" s="10">
        <f>IFERROR(B79/C79,"")</f>
        <v/>
      </c>
      <c r="E79" s="10">
        <f>IFERROR(C79/B79,"")</f>
        <v/>
      </c>
      <c r="F79" s="11">
        <f>IFERROR((D79/D78-1)*100,"")</f>
        <v/>
      </c>
      <c r="G79" s="11" t="inlineStr"/>
      <c r="H79" s="10" t="inlineStr"/>
      <c r="I79" s="10" t="n"/>
      <c r="J79" t="inlineStr"/>
      <c r="K79" t="inlineStr"/>
    </row>
    <row r="80">
      <c r="A80" s="7" t="inlineStr">
        <is>
          <t>2014-06-23</t>
        </is>
      </c>
      <c r="B80" s="8">
        <f>IFERROR(VLOOKUP($A80,'01-原始价格'!$A:$M,2,FALSE),"")</f>
        <v/>
      </c>
      <c r="C80" s="8">
        <f>IFERROR(VLOOKUP($A80,'01-原始价格'!$A:$M,8,FALSE),"")</f>
        <v/>
      </c>
      <c r="D80" s="10">
        <f>IFERROR(B80/C80,"")</f>
        <v/>
      </c>
      <c r="E80" s="10">
        <f>IFERROR(C80/B80,"")</f>
        <v/>
      </c>
      <c r="F80" s="11">
        <f>IFERROR((D80/D79-1)*100,"")</f>
        <v/>
      </c>
      <c r="G80" s="11" t="inlineStr"/>
      <c r="H80" s="10" t="inlineStr"/>
      <c r="I80" s="10" t="n"/>
      <c r="J80" t="inlineStr"/>
      <c r="K80" t="inlineStr"/>
    </row>
    <row r="81">
      <c r="A81" s="7" t="inlineStr">
        <is>
          <t>2014-06-24</t>
        </is>
      </c>
      <c r="B81" s="8">
        <f>IFERROR(VLOOKUP($A81,'01-原始价格'!$A:$M,2,FALSE),"")</f>
        <v/>
      </c>
      <c r="C81" s="8">
        <f>IFERROR(VLOOKUP($A81,'01-原始价格'!$A:$M,8,FALSE),"")</f>
        <v/>
      </c>
      <c r="D81" s="10">
        <f>IFERROR(B81/C81,"")</f>
        <v/>
      </c>
      <c r="E81" s="10">
        <f>IFERROR(C81/B81,"")</f>
        <v/>
      </c>
      <c r="F81" s="11">
        <f>IFERROR((D81/D80-1)*100,"")</f>
        <v/>
      </c>
      <c r="G81" s="11" t="inlineStr"/>
      <c r="H81" s="10" t="inlineStr"/>
      <c r="I81" s="10" t="n"/>
      <c r="J81" t="inlineStr"/>
      <c r="K81" t="inlineStr"/>
    </row>
    <row r="82">
      <c r="A82" s="7" t="inlineStr">
        <is>
          <t>2014-06-25</t>
        </is>
      </c>
      <c r="B82" s="8">
        <f>IFERROR(VLOOKUP($A82,'01-原始价格'!$A:$M,2,FALSE),"")</f>
        <v/>
      </c>
      <c r="C82" s="8">
        <f>IFERROR(VLOOKUP($A82,'01-原始价格'!$A:$M,8,FALSE),"")</f>
        <v/>
      </c>
      <c r="D82" s="10">
        <f>IFERROR(B82/C82,"")</f>
        <v/>
      </c>
      <c r="E82" s="10">
        <f>IFERROR(C82/B82,"")</f>
        <v/>
      </c>
      <c r="F82" s="11">
        <f>IFERROR((D82/D81-1)*100,"")</f>
        <v/>
      </c>
      <c r="G82" s="11" t="inlineStr"/>
      <c r="H82" s="10" t="inlineStr"/>
      <c r="I82" s="10" t="n"/>
      <c r="J82" t="inlineStr"/>
      <c r="K82" t="inlineStr"/>
    </row>
    <row r="83">
      <c r="A83" s="7" t="inlineStr">
        <is>
          <t>2014-06-26</t>
        </is>
      </c>
      <c r="B83" s="8">
        <f>IFERROR(VLOOKUP($A83,'01-原始价格'!$A:$M,2,FALSE),"")</f>
        <v/>
      </c>
      <c r="C83" s="8">
        <f>IFERROR(VLOOKUP($A83,'01-原始价格'!$A:$M,8,FALSE),"")</f>
        <v/>
      </c>
      <c r="D83" s="10">
        <f>IFERROR(B83/C83,"")</f>
        <v/>
      </c>
      <c r="E83" s="10">
        <f>IFERROR(C83/B83,"")</f>
        <v/>
      </c>
      <c r="F83" s="11">
        <f>IFERROR((D83/D82-1)*100,"")</f>
        <v/>
      </c>
      <c r="G83" s="11" t="inlineStr"/>
      <c r="H83" s="10" t="inlineStr"/>
      <c r="I83" s="10" t="n"/>
      <c r="J83" t="inlineStr"/>
      <c r="K83" t="inlineStr"/>
    </row>
    <row r="84">
      <c r="A84" s="7" t="inlineStr">
        <is>
          <t>2014-06-27</t>
        </is>
      </c>
      <c r="B84" s="8">
        <f>IFERROR(VLOOKUP($A84,'01-原始价格'!$A:$M,2,FALSE),"")</f>
        <v/>
      </c>
      <c r="C84" s="8">
        <f>IFERROR(VLOOKUP($A84,'01-原始价格'!$A:$M,8,FALSE),"")</f>
        <v/>
      </c>
      <c r="D84" s="10">
        <f>IFERROR(B84/C84,"")</f>
        <v/>
      </c>
      <c r="E84" s="10">
        <f>IFERROR(C84/B84,"")</f>
        <v/>
      </c>
      <c r="F84" s="11">
        <f>IFERROR((D84/D83-1)*100,"")</f>
        <v/>
      </c>
      <c r="G84" s="11" t="inlineStr"/>
      <c r="H84" s="10" t="inlineStr"/>
      <c r="I84" s="10" t="n"/>
      <c r="J84" t="inlineStr"/>
      <c r="K84" t="inlineStr"/>
    </row>
    <row r="85">
      <c r="A85" s="7" t="inlineStr">
        <is>
          <t>2014-06-30</t>
        </is>
      </c>
      <c r="B85" s="8">
        <f>IFERROR(VLOOKUP($A85,'01-原始价格'!$A:$M,2,FALSE),"")</f>
        <v/>
      </c>
      <c r="C85" s="8">
        <f>IFERROR(VLOOKUP($A85,'01-原始价格'!$A:$M,8,FALSE),"")</f>
        <v/>
      </c>
      <c r="D85" s="10">
        <f>IFERROR(B85/C85,"")</f>
        <v/>
      </c>
      <c r="E85" s="10">
        <f>IFERROR(C85/B85,"")</f>
        <v/>
      </c>
      <c r="F85" s="11">
        <f>IFERROR((D85/D84-1)*100,"")</f>
        <v/>
      </c>
      <c r="G85" s="11" t="inlineStr"/>
      <c r="H85" s="10" t="inlineStr"/>
      <c r="I85" s="10" t="n"/>
      <c r="J85" t="inlineStr"/>
      <c r="K85" t="inlineStr"/>
    </row>
    <row r="86">
      <c r="A86" s="7" t="inlineStr">
        <is>
          <t>2014-07-01</t>
        </is>
      </c>
      <c r="B86" s="8">
        <f>IFERROR(VLOOKUP($A86,'01-原始价格'!$A:$M,2,FALSE),"")</f>
        <v/>
      </c>
      <c r="C86" s="8">
        <f>IFERROR(VLOOKUP($A86,'01-原始价格'!$A:$M,8,FALSE),"")</f>
        <v/>
      </c>
      <c r="D86" s="10">
        <f>IFERROR(B86/C86,"")</f>
        <v/>
      </c>
      <c r="E86" s="10">
        <f>IFERROR(C86/B86,"")</f>
        <v/>
      </c>
      <c r="F86" s="11">
        <f>IFERROR((D86/D85-1)*100,"")</f>
        <v/>
      </c>
      <c r="G86" s="11" t="inlineStr"/>
      <c r="H86" s="10" t="inlineStr"/>
      <c r="I86" s="10" t="n"/>
      <c r="J86" t="inlineStr"/>
      <c r="K86" t="inlineStr"/>
    </row>
    <row r="87">
      <c r="A87" s="7" t="inlineStr">
        <is>
          <t>2014-07-02</t>
        </is>
      </c>
      <c r="B87" s="8">
        <f>IFERROR(VLOOKUP($A87,'01-原始价格'!$A:$M,2,FALSE),"")</f>
        <v/>
      </c>
      <c r="C87" s="8">
        <f>IFERROR(VLOOKUP($A87,'01-原始价格'!$A:$M,8,FALSE),"")</f>
        <v/>
      </c>
      <c r="D87" s="10">
        <f>IFERROR(B87/C87,"")</f>
        <v/>
      </c>
      <c r="E87" s="10">
        <f>IFERROR(C87/B87,"")</f>
        <v/>
      </c>
      <c r="F87" s="11">
        <f>IFERROR((D87/D86-1)*100,"")</f>
        <v/>
      </c>
      <c r="G87" s="11" t="inlineStr"/>
      <c r="H87" s="10" t="inlineStr"/>
      <c r="I87" s="10" t="n"/>
      <c r="J87" t="inlineStr"/>
      <c r="K87" t="inlineStr"/>
    </row>
    <row r="88">
      <c r="A88" s="7" t="inlineStr">
        <is>
          <t>2014-07-03</t>
        </is>
      </c>
      <c r="B88" s="8">
        <f>IFERROR(VLOOKUP($A88,'01-原始价格'!$A:$M,2,FALSE),"")</f>
        <v/>
      </c>
      <c r="C88" s="8">
        <f>IFERROR(VLOOKUP($A88,'01-原始价格'!$A:$M,8,FALSE),"")</f>
        <v/>
      </c>
      <c r="D88" s="10">
        <f>IFERROR(B88/C88,"")</f>
        <v/>
      </c>
      <c r="E88" s="10">
        <f>IFERROR(C88/B88,"")</f>
        <v/>
      </c>
      <c r="F88" s="11">
        <f>IFERROR((D88/D87-1)*100,"")</f>
        <v/>
      </c>
      <c r="G88" s="11" t="inlineStr"/>
      <c r="H88" s="10" t="inlineStr"/>
      <c r="I88" s="10" t="n"/>
      <c r="J88" t="inlineStr"/>
      <c r="K88" t="inlineStr"/>
    </row>
    <row r="89">
      <c r="A89" s="7" t="inlineStr">
        <is>
          <t>2014-07-04</t>
        </is>
      </c>
      <c r="B89" s="8">
        <f>IFERROR(VLOOKUP($A89,'01-原始价格'!$A:$M,2,FALSE),"")</f>
        <v/>
      </c>
      <c r="C89" s="8">
        <f>IFERROR(VLOOKUP($A89,'01-原始价格'!$A:$M,8,FALSE),"")</f>
        <v/>
      </c>
      <c r="D89" s="10">
        <f>IFERROR(B89/C89,"")</f>
        <v/>
      </c>
      <c r="E89" s="10">
        <f>IFERROR(C89/B89,"")</f>
        <v/>
      </c>
      <c r="F89" s="11">
        <f>IFERROR((D89/D88-1)*100,"")</f>
        <v/>
      </c>
      <c r="G89" s="11" t="inlineStr"/>
      <c r="H89" s="10" t="inlineStr"/>
      <c r="I89" s="10" t="n"/>
      <c r="J89" t="inlineStr"/>
      <c r="K89" t="inlineStr"/>
    </row>
    <row r="90">
      <c r="A90" s="7" t="inlineStr">
        <is>
          <t>2014-07-07</t>
        </is>
      </c>
      <c r="B90" s="8">
        <f>IFERROR(VLOOKUP($A90,'01-原始价格'!$A:$M,2,FALSE),"")</f>
        <v/>
      </c>
      <c r="C90" s="8">
        <f>IFERROR(VLOOKUP($A90,'01-原始价格'!$A:$M,8,FALSE),"")</f>
        <v/>
      </c>
      <c r="D90" s="10">
        <f>IFERROR(B90/C90,"")</f>
        <v/>
      </c>
      <c r="E90" s="10">
        <f>IFERROR(C90/B90,"")</f>
        <v/>
      </c>
      <c r="F90" s="11">
        <f>IFERROR((D90/D89-1)*100,"")</f>
        <v/>
      </c>
      <c r="G90" s="11" t="inlineStr"/>
      <c r="H90" s="10" t="inlineStr"/>
      <c r="I90" s="10" t="n"/>
      <c r="J90" t="inlineStr"/>
      <c r="K90" t="inlineStr"/>
    </row>
    <row r="91">
      <c r="A91" s="7" t="inlineStr">
        <is>
          <t>2014-07-08</t>
        </is>
      </c>
      <c r="B91" s="8">
        <f>IFERROR(VLOOKUP($A91,'01-原始价格'!$A:$M,2,FALSE),"")</f>
        <v/>
      </c>
      <c r="C91" s="8">
        <f>IFERROR(VLOOKUP($A91,'01-原始价格'!$A:$M,8,FALSE),"")</f>
        <v/>
      </c>
      <c r="D91" s="10">
        <f>IFERROR(B91/C91,"")</f>
        <v/>
      </c>
      <c r="E91" s="10">
        <f>IFERROR(C91/B91,"")</f>
        <v/>
      </c>
      <c r="F91" s="11">
        <f>IFERROR((D91/D90-1)*100,"")</f>
        <v/>
      </c>
      <c r="G91" s="11" t="inlineStr"/>
      <c r="H91" s="10" t="inlineStr"/>
      <c r="I91" s="10" t="n"/>
      <c r="J91" t="inlineStr"/>
      <c r="K91" t="inlineStr"/>
    </row>
    <row r="92">
      <c r="A92" s="7" t="inlineStr">
        <is>
          <t>2014-07-09</t>
        </is>
      </c>
      <c r="B92" s="8">
        <f>IFERROR(VLOOKUP($A92,'01-原始价格'!$A:$M,2,FALSE),"")</f>
        <v/>
      </c>
      <c r="C92" s="8">
        <f>IFERROR(VLOOKUP($A92,'01-原始价格'!$A:$M,8,FALSE),"")</f>
        <v/>
      </c>
      <c r="D92" s="10">
        <f>IFERROR(B92/C92,"")</f>
        <v/>
      </c>
      <c r="E92" s="10">
        <f>IFERROR(C92/B92,"")</f>
        <v/>
      </c>
      <c r="F92" s="11">
        <f>IFERROR((D92/D91-1)*100,"")</f>
        <v/>
      </c>
      <c r="G92" s="11" t="inlineStr"/>
      <c r="H92" s="10" t="inlineStr"/>
      <c r="I92" s="10" t="n"/>
      <c r="J92" t="inlineStr"/>
      <c r="K92" t="inlineStr"/>
    </row>
    <row r="93">
      <c r="A93" s="7" t="inlineStr">
        <is>
          <t>2014-07-10</t>
        </is>
      </c>
      <c r="B93" s="8">
        <f>IFERROR(VLOOKUP($A93,'01-原始价格'!$A:$M,2,FALSE),"")</f>
        <v/>
      </c>
      <c r="C93" s="8">
        <f>IFERROR(VLOOKUP($A93,'01-原始价格'!$A:$M,8,FALSE),"")</f>
        <v/>
      </c>
      <c r="D93" s="10">
        <f>IFERROR(B93/C93,"")</f>
        <v/>
      </c>
      <c r="E93" s="10">
        <f>IFERROR(C93/B93,"")</f>
        <v/>
      </c>
      <c r="F93" s="11">
        <f>IFERROR((D93/D92-1)*100,"")</f>
        <v/>
      </c>
      <c r="G93" s="11" t="inlineStr"/>
      <c r="H93" s="10" t="inlineStr"/>
      <c r="I93" s="10" t="n"/>
      <c r="J93" t="inlineStr"/>
      <c r="K93" t="inlineStr"/>
    </row>
    <row r="94">
      <c r="A94" s="7" t="inlineStr">
        <is>
          <t>2014-07-11</t>
        </is>
      </c>
      <c r="B94" s="8">
        <f>IFERROR(VLOOKUP($A94,'01-原始价格'!$A:$M,2,FALSE),"")</f>
        <v/>
      </c>
      <c r="C94" s="8">
        <f>IFERROR(VLOOKUP($A94,'01-原始价格'!$A:$M,8,FALSE),"")</f>
        <v/>
      </c>
      <c r="D94" s="10">
        <f>IFERROR(B94/C94,"")</f>
        <v/>
      </c>
      <c r="E94" s="10">
        <f>IFERROR(C94/B94,"")</f>
        <v/>
      </c>
      <c r="F94" s="11">
        <f>IFERROR((D94/D93-1)*100,"")</f>
        <v/>
      </c>
      <c r="G94" s="11" t="inlineStr"/>
      <c r="H94" s="10" t="inlineStr"/>
      <c r="I94" s="10" t="n"/>
      <c r="J94" t="inlineStr"/>
      <c r="K94" t="inlineStr"/>
    </row>
    <row r="95">
      <c r="A95" s="7" t="inlineStr">
        <is>
          <t>2014-07-14</t>
        </is>
      </c>
      <c r="B95" s="8">
        <f>IFERROR(VLOOKUP($A95,'01-原始价格'!$A:$M,2,FALSE),"")</f>
        <v/>
      </c>
      <c r="C95" s="8">
        <f>IFERROR(VLOOKUP($A95,'01-原始价格'!$A:$M,8,FALSE),"")</f>
        <v/>
      </c>
      <c r="D95" s="10">
        <f>IFERROR(B95/C95,"")</f>
        <v/>
      </c>
      <c r="E95" s="10">
        <f>IFERROR(C95/B95,"")</f>
        <v/>
      </c>
      <c r="F95" s="11">
        <f>IFERROR((D95/D94-1)*100,"")</f>
        <v/>
      </c>
      <c r="G95" s="11" t="inlineStr"/>
      <c r="H95" s="10" t="inlineStr"/>
      <c r="I95" s="10" t="n"/>
      <c r="J95" t="inlineStr"/>
      <c r="K95" t="inlineStr"/>
    </row>
    <row r="96">
      <c r="A96" s="7" t="inlineStr">
        <is>
          <t>2014-07-15</t>
        </is>
      </c>
      <c r="B96" s="8">
        <f>IFERROR(VLOOKUP($A96,'01-原始价格'!$A:$M,2,FALSE),"")</f>
        <v/>
      </c>
      <c r="C96" s="8">
        <f>IFERROR(VLOOKUP($A96,'01-原始价格'!$A:$M,8,FALSE),"")</f>
        <v/>
      </c>
      <c r="D96" s="10">
        <f>IFERROR(B96/C96,"")</f>
        <v/>
      </c>
      <c r="E96" s="10">
        <f>IFERROR(C96/B96,"")</f>
        <v/>
      </c>
      <c r="F96" s="11">
        <f>IFERROR((D96/D95-1)*100,"")</f>
        <v/>
      </c>
      <c r="G96" s="11" t="inlineStr"/>
      <c r="H96" s="10" t="inlineStr"/>
      <c r="I96" s="10" t="n"/>
      <c r="J96" t="inlineStr"/>
      <c r="K96" t="inlineStr"/>
    </row>
    <row r="97">
      <c r="A97" s="7" t="inlineStr">
        <is>
          <t>2014-07-16</t>
        </is>
      </c>
      <c r="B97" s="8">
        <f>IFERROR(VLOOKUP($A97,'01-原始价格'!$A:$M,2,FALSE),"")</f>
        <v/>
      </c>
      <c r="C97" s="8">
        <f>IFERROR(VLOOKUP($A97,'01-原始价格'!$A:$M,8,FALSE),"")</f>
        <v/>
      </c>
      <c r="D97" s="10">
        <f>IFERROR(B97/C97,"")</f>
        <v/>
      </c>
      <c r="E97" s="10">
        <f>IFERROR(C97/B97,"")</f>
        <v/>
      </c>
      <c r="F97" s="11">
        <f>IFERROR((D97/D96-1)*100,"")</f>
        <v/>
      </c>
      <c r="G97" s="11" t="inlineStr"/>
      <c r="H97" s="10" t="inlineStr"/>
      <c r="I97" s="10" t="n"/>
      <c r="J97" t="inlineStr"/>
      <c r="K97" t="inlineStr"/>
    </row>
    <row r="98">
      <c r="A98" s="7" t="inlineStr">
        <is>
          <t>2014-07-17</t>
        </is>
      </c>
      <c r="B98" s="8">
        <f>IFERROR(VLOOKUP($A98,'01-原始价格'!$A:$M,2,FALSE),"")</f>
        <v/>
      </c>
      <c r="C98" s="8">
        <f>IFERROR(VLOOKUP($A98,'01-原始价格'!$A:$M,8,FALSE),"")</f>
        <v/>
      </c>
      <c r="D98" s="10">
        <f>IFERROR(B98/C98,"")</f>
        <v/>
      </c>
      <c r="E98" s="10">
        <f>IFERROR(C98/B98,"")</f>
        <v/>
      </c>
      <c r="F98" s="11">
        <f>IFERROR((D98/D97-1)*100,"")</f>
        <v/>
      </c>
      <c r="G98" s="11" t="inlineStr"/>
      <c r="H98" s="10" t="inlineStr"/>
      <c r="I98" s="10" t="n"/>
      <c r="J98" t="inlineStr"/>
      <c r="K98" t="inlineStr"/>
    </row>
    <row r="99">
      <c r="A99" s="7" t="inlineStr">
        <is>
          <t>2014-07-18</t>
        </is>
      </c>
      <c r="B99" s="8">
        <f>IFERROR(VLOOKUP($A99,'01-原始价格'!$A:$M,2,FALSE),"")</f>
        <v/>
      </c>
      <c r="C99" s="8">
        <f>IFERROR(VLOOKUP($A99,'01-原始价格'!$A:$M,8,FALSE),"")</f>
        <v/>
      </c>
      <c r="D99" s="10">
        <f>IFERROR(B99/C99,"")</f>
        <v/>
      </c>
      <c r="E99" s="10">
        <f>IFERROR(C99/B99,"")</f>
        <v/>
      </c>
      <c r="F99" s="11">
        <f>IFERROR((D99/D98-1)*100,"")</f>
        <v/>
      </c>
      <c r="G99" s="11" t="inlineStr"/>
      <c r="H99" s="10" t="inlineStr"/>
      <c r="I99" s="10" t="n"/>
      <c r="J99" t="inlineStr"/>
      <c r="K99" t="inlineStr"/>
    </row>
    <row r="100">
      <c r="A100" s="7" t="inlineStr">
        <is>
          <t>2014-07-21</t>
        </is>
      </c>
      <c r="B100" s="8">
        <f>IFERROR(VLOOKUP($A100,'01-原始价格'!$A:$M,2,FALSE),"")</f>
        <v/>
      </c>
      <c r="C100" s="8">
        <f>IFERROR(VLOOKUP($A100,'01-原始价格'!$A:$M,8,FALSE),"")</f>
        <v/>
      </c>
      <c r="D100" s="10">
        <f>IFERROR(B100/C100,"")</f>
        <v/>
      </c>
      <c r="E100" s="10">
        <f>IFERROR(C100/B100,"")</f>
        <v/>
      </c>
      <c r="F100" s="11">
        <f>IFERROR((D100/D99-1)*100,"")</f>
        <v/>
      </c>
      <c r="G100" s="11" t="inlineStr"/>
      <c r="H100" s="10" t="inlineStr"/>
      <c r="I100" s="10" t="n"/>
      <c r="J100" t="inlineStr"/>
      <c r="K100" t="inlineStr"/>
    </row>
    <row r="101">
      <c r="A101" s="7" t="inlineStr">
        <is>
          <t>2014-07-22</t>
        </is>
      </c>
      <c r="B101" s="8">
        <f>IFERROR(VLOOKUP($A101,'01-原始价格'!$A:$M,2,FALSE),"")</f>
        <v/>
      </c>
      <c r="C101" s="8">
        <f>IFERROR(VLOOKUP($A101,'01-原始价格'!$A:$M,8,FALSE),"")</f>
        <v/>
      </c>
      <c r="D101" s="10">
        <f>IFERROR(B101/C101,"")</f>
        <v/>
      </c>
      <c r="E101" s="10">
        <f>IFERROR(C101/B101,"")</f>
        <v/>
      </c>
      <c r="F101" s="11">
        <f>IFERROR((D101/D100-1)*100,"")</f>
        <v/>
      </c>
      <c r="G101" s="11" t="inlineStr"/>
      <c r="H101" s="10" t="inlineStr"/>
      <c r="I101" s="10" t="n"/>
      <c r="J101" t="inlineStr"/>
      <c r="K101" t="inlineStr"/>
    </row>
    <row r="102">
      <c r="A102" s="7" t="inlineStr">
        <is>
          <t>2014-07-23</t>
        </is>
      </c>
      <c r="B102" s="8">
        <f>IFERROR(VLOOKUP($A102,'01-原始价格'!$A:$M,2,FALSE),"")</f>
        <v/>
      </c>
      <c r="C102" s="8">
        <f>IFERROR(VLOOKUP($A102,'01-原始价格'!$A:$M,8,FALSE),"")</f>
        <v/>
      </c>
      <c r="D102" s="10">
        <f>IFERROR(B102/C102,"")</f>
        <v/>
      </c>
      <c r="E102" s="10">
        <f>IFERROR(C102/B102,"")</f>
        <v/>
      </c>
      <c r="F102" s="11">
        <f>IFERROR((D102/D101-1)*100,"")</f>
        <v/>
      </c>
      <c r="G102" s="11" t="inlineStr"/>
      <c r="H102" s="10" t="inlineStr"/>
      <c r="I102" s="10" t="n"/>
      <c r="J102" t="inlineStr"/>
      <c r="K102" t="inlineStr"/>
    </row>
    <row r="103">
      <c r="A103" s="7" t="inlineStr">
        <is>
          <t>2014-07-24</t>
        </is>
      </c>
      <c r="B103" s="8">
        <f>IFERROR(VLOOKUP($A103,'01-原始价格'!$A:$M,2,FALSE),"")</f>
        <v/>
      </c>
      <c r="C103" s="8">
        <f>IFERROR(VLOOKUP($A103,'01-原始价格'!$A:$M,8,FALSE),"")</f>
        <v/>
      </c>
      <c r="D103" s="10">
        <f>IFERROR(B103/C103,"")</f>
        <v/>
      </c>
      <c r="E103" s="10">
        <f>IFERROR(C103/B103,"")</f>
        <v/>
      </c>
      <c r="F103" s="11">
        <f>IFERROR((D103/D102-1)*100,"")</f>
        <v/>
      </c>
      <c r="G103" s="11" t="inlineStr"/>
      <c r="H103" s="10" t="inlineStr"/>
      <c r="I103" s="10" t="n"/>
      <c r="J103" t="inlineStr"/>
      <c r="K103" t="inlineStr"/>
    </row>
    <row r="104">
      <c r="A104" s="7" t="inlineStr">
        <is>
          <t>2014-07-25</t>
        </is>
      </c>
      <c r="B104" s="8">
        <f>IFERROR(VLOOKUP($A104,'01-原始价格'!$A:$M,2,FALSE),"")</f>
        <v/>
      </c>
      <c r="C104" s="8">
        <f>IFERROR(VLOOKUP($A104,'01-原始价格'!$A:$M,8,FALSE),"")</f>
        <v/>
      </c>
      <c r="D104" s="10">
        <f>IFERROR(B104/C104,"")</f>
        <v/>
      </c>
      <c r="E104" s="10">
        <f>IFERROR(C104/B104,"")</f>
        <v/>
      </c>
      <c r="F104" s="11">
        <f>IFERROR((D104/D103-1)*100,"")</f>
        <v/>
      </c>
      <c r="G104" s="11" t="inlineStr"/>
      <c r="H104" s="10" t="inlineStr"/>
      <c r="I104" s="10" t="n"/>
      <c r="J104" t="inlineStr"/>
      <c r="K104" t="inlineStr"/>
    </row>
    <row r="105">
      <c r="A105" s="7" t="inlineStr">
        <is>
          <t>2014-07-28</t>
        </is>
      </c>
      <c r="B105" s="8">
        <f>IFERROR(VLOOKUP($A105,'01-原始价格'!$A:$M,2,FALSE),"")</f>
        <v/>
      </c>
      <c r="C105" s="8">
        <f>IFERROR(VLOOKUP($A105,'01-原始价格'!$A:$M,8,FALSE),"")</f>
        <v/>
      </c>
      <c r="D105" s="10">
        <f>IFERROR(B105/C105,"")</f>
        <v/>
      </c>
      <c r="E105" s="10">
        <f>IFERROR(C105/B105,"")</f>
        <v/>
      </c>
      <c r="F105" s="11">
        <f>IFERROR((D105/D104-1)*100,"")</f>
        <v/>
      </c>
      <c r="G105" s="11" t="inlineStr"/>
      <c r="H105" s="10" t="inlineStr"/>
      <c r="I105" s="10" t="n"/>
      <c r="J105" t="inlineStr"/>
      <c r="K105" t="inlineStr"/>
    </row>
    <row r="106">
      <c r="A106" s="7" t="inlineStr">
        <is>
          <t>2014-07-29</t>
        </is>
      </c>
      <c r="B106" s="8">
        <f>IFERROR(VLOOKUP($A106,'01-原始价格'!$A:$M,2,FALSE),"")</f>
        <v/>
      </c>
      <c r="C106" s="8">
        <f>IFERROR(VLOOKUP($A106,'01-原始价格'!$A:$M,8,FALSE),"")</f>
        <v/>
      </c>
      <c r="D106" s="10">
        <f>IFERROR(B106/C106,"")</f>
        <v/>
      </c>
      <c r="E106" s="10">
        <f>IFERROR(C106/B106,"")</f>
        <v/>
      </c>
      <c r="F106" s="11">
        <f>IFERROR((D106/D105-1)*100,"")</f>
        <v/>
      </c>
      <c r="G106" s="11" t="inlineStr"/>
      <c r="H106" s="10" t="inlineStr"/>
      <c r="I106" s="10" t="n"/>
      <c r="J106" t="inlineStr"/>
      <c r="K106" t="inlineStr"/>
    </row>
    <row r="107">
      <c r="A107" s="7" t="inlineStr">
        <is>
          <t>2014-07-30</t>
        </is>
      </c>
      <c r="B107" s="8">
        <f>IFERROR(VLOOKUP($A107,'01-原始价格'!$A:$M,2,FALSE),"")</f>
        <v/>
      </c>
      <c r="C107" s="8">
        <f>IFERROR(VLOOKUP($A107,'01-原始价格'!$A:$M,8,FALSE),"")</f>
        <v/>
      </c>
      <c r="D107" s="10">
        <f>IFERROR(B107/C107,"")</f>
        <v/>
      </c>
      <c r="E107" s="10">
        <f>IFERROR(C107/B107,"")</f>
        <v/>
      </c>
      <c r="F107" s="11">
        <f>IFERROR((D107/D106-1)*100,"")</f>
        <v/>
      </c>
      <c r="G107" s="11" t="inlineStr"/>
      <c r="H107" s="10" t="inlineStr"/>
      <c r="I107" s="10" t="n"/>
      <c r="J107" t="inlineStr"/>
      <c r="K107" t="inlineStr"/>
    </row>
    <row r="108">
      <c r="A108" s="7" t="inlineStr">
        <is>
          <t>2014-07-31</t>
        </is>
      </c>
      <c r="B108" s="8">
        <f>IFERROR(VLOOKUP($A108,'01-原始价格'!$A:$M,2,FALSE),"")</f>
        <v/>
      </c>
      <c r="C108" s="8">
        <f>IFERROR(VLOOKUP($A108,'01-原始价格'!$A:$M,8,FALSE),"")</f>
        <v/>
      </c>
      <c r="D108" s="10">
        <f>IFERROR(B108/C108,"")</f>
        <v/>
      </c>
      <c r="E108" s="10">
        <f>IFERROR(C108/B108,"")</f>
        <v/>
      </c>
      <c r="F108" s="11">
        <f>IFERROR((D108/D107-1)*100,"")</f>
        <v/>
      </c>
      <c r="G108" s="11" t="inlineStr"/>
      <c r="H108" s="10" t="inlineStr"/>
      <c r="I108" s="10" t="n"/>
      <c r="J108" t="inlineStr"/>
      <c r="K108" t="inlineStr"/>
    </row>
    <row r="109">
      <c r="A109" s="7" t="inlineStr">
        <is>
          <t>2014-08-01</t>
        </is>
      </c>
      <c r="B109" s="8">
        <f>IFERROR(VLOOKUP($A109,'01-原始价格'!$A:$M,2,FALSE),"")</f>
        <v/>
      </c>
      <c r="C109" s="8">
        <f>IFERROR(VLOOKUP($A109,'01-原始价格'!$A:$M,8,FALSE),"")</f>
        <v/>
      </c>
      <c r="D109" s="10">
        <f>IFERROR(B109/C109,"")</f>
        <v/>
      </c>
      <c r="E109" s="10">
        <f>IFERROR(C109/B109,"")</f>
        <v/>
      </c>
      <c r="F109" s="11">
        <f>IFERROR((D109/D108-1)*100,"")</f>
        <v/>
      </c>
      <c r="G109" s="11" t="inlineStr"/>
      <c r="H109" s="10" t="inlineStr"/>
      <c r="I109" s="10" t="n"/>
      <c r="J109" t="inlineStr"/>
      <c r="K109" t="inlineStr"/>
    </row>
    <row r="110">
      <c r="A110" s="7" t="inlineStr">
        <is>
          <t>2014-08-04</t>
        </is>
      </c>
      <c r="B110" s="8">
        <f>IFERROR(VLOOKUP($A110,'01-原始价格'!$A:$M,2,FALSE),"")</f>
        <v/>
      </c>
      <c r="C110" s="8">
        <f>IFERROR(VLOOKUP($A110,'01-原始价格'!$A:$M,8,FALSE),"")</f>
        <v/>
      </c>
      <c r="D110" s="10">
        <f>IFERROR(B110/C110,"")</f>
        <v/>
      </c>
      <c r="E110" s="10">
        <f>IFERROR(C110/B110,"")</f>
        <v/>
      </c>
      <c r="F110" s="11">
        <f>IFERROR((D110/D109-1)*100,"")</f>
        <v/>
      </c>
      <c r="G110" s="11" t="inlineStr"/>
      <c r="H110" s="10" t="inlineStr"/>
      <c r="I110" s="10" t="n"/>
      <c r="J110" t="inlineStr"/>
      <c r="K110" t="inlineStr"/>
    </row>
    <row r="111">
      <c r="A111" s="7" t="inlineStr">
        <is>
          <t>2014-08-05</t>
        </is>
      </c>
      <c r="B111" s="8">
        <f>IFERROR(VLOOKUP($A111,'01-原始价格'!$A:$M,2,FALSE),"")</f>
        <v/>
      </c>
      <c r="C111" s="8">
        <f>IFERROR(VLOOKUP($A111,'01-原始价格'!$A:$M,8,FALSE),"")</f>
        <v/>
      </c>
      <c r="D111" s="10">
        <f>IFERROR(B111/C111,"")</f>
        <v/>
      </c>
      <c r="E111" s="10">
        <f>IFERROR(C111/B111,"")</f>
        <v/>
      </c>
      <c r="F111" s="11">
        <f>IFERROR((D111/D110-1)*100,"")</f>
        <v/>
      </c>
      <c r="G111" s="11" t="inlineStr"/>
      <c r="H111" s="10" t="inlineStr"/>
      <c r="I111" s="10" t="n"/>
      <c r="J111" t="inlineStr"/>
      <c r="K111" t="inlineStr"/>
    </row>
    <row r="112">
      <c r="A112" s="7" t="inlineStr">
        <is>
          <t>2014-08-06</t>
        </is>
      </c>
      <c r="B112" s="8">
        <f>IFERROR(VLOOKUP($A112,'01-原始价格'!$A:$M,2,FALSE),"")</f>
        <v/>
      </c>
      <c r="C112" s="8">
        <f>IFERROR(VLOOKUP($A112,'01-原始价格'!$A:$M,8,FALSE),"")</f>
        <v/>
      </c>
      <c r="D112" s="10">
        <f>IFERROR(B112/C112,"")</f>
        <v/>
      </c>
      <c r="E112" s="10">
        <f>IFERROR(C112/B112,"")</f>
        <v/>
      </c>
      <c r="F112" s="11">
        <f>IFERROR((D112/D111-1)*100,"")</f>
        <v/>
      </c>
      <c r="G112" s="11" t="inlineStr"/>
      <c r="H112" s="10" t="inlineStr"/>
      <c r="I112" s="10" t="n"/>
      <c r="J112" t="inlineStr"/>
      <c r="K112" t="inlineStr"/>
    </row>
    <row r="113">
      <c r="A113" s="7" t="inlineStr">
        <is>
          <t>2014-08-07</t>
        </is>
      </c>
      <c r="B113" s="8">
        <f>IFERROR(VLOOKUP($A113,'01-原始价格'!$A:$M,2,FALSE),"")</f>
        <v/>
      </c>
      <c r="C113" s="8">
        <f>IFERROR(VLOOKUP($A113,'01-原始价格'!$A:$M,8,FALSE),"")</f>
        <v/>
      </c>
      <c r="D113" s="10">
        <f>IFERROR(B113/C113,"")</f>
        <v/>
      </c>
      <c r="E113" s="10">
        <f>IFERROR(C113/B113,"")</f>
        <v/>
      </c>
      <c r="F113" s="11">
        <f>IFERROR((D113/D112-1)*100,"")</f>
        <v/>
      </c>
      <c r="G113" s="11" t="inlineStr"/>
      <c r="H113" s="10" t="inlineStr"/>
      <c r="I113" s="10" t="n"/>
      <c r="J113" t="inlineStr"/>
      <c r="K113" t="inlineStr"/>
    </row>
    <row r="114">
      <c r="A114" s="7" t="inlineStr">
        <is>
          <t>2014-08-08</t>
        </is>
      </c>
      <c r="B114" s="8">
        <f>IFERROR(VLOOKUP($A114,'01-原始价格'!$A:$M,2,FALSE),"")</f>
        <v/>
      </c>
      <c r="C114" s="8">
        <f>IFERROR(VLOOKUP($A114,'01-原始价格'!$A:$M,8,FALSE),"")</f>
        <v/>
      </c>
      <c r="D114" s="10">
        <f>IFERROR(B114/C114,"")</f>
        <v/>
      </c>
      <c r="E114" s="10">
        <f>IFERROR(C114/B114,"")</f>
        <v/>
      </c>
      <c r="F114" s="11">
        <f>IFERROR((D114/D113-1)*100,"")</f>
        <v/>
      </c>
      <c r="G114" s="11" t="inlineStr"/>
      <c r="H114" s="10" t="inlineStr"/>
      <c r="I114" s="10" t="n"/>
      <c r="J114" t="inlineStr"/>
      <c r="K114" t="inlineStr"/>
    </row>
    <row r="115">
      <c r="A115" s="7" t="inlineStr">
        <is>
          <t>2014-08-11</t>
        </is>
      </c>
      <c r="B115" s="8">
        <f>IFERROR(VLOOKUP($A115,'01-原始价格'!$A:$M,2,FALSE),"")</f>
        <v/>
      </c>
      <c r="C115" s="8">
        <f>IFERROR(VLOOKUP($A115,'01-原始价格'!$A:$M,8,FALSE),"")</f>
        <v/>
      </c>
      <c r="D115" s="10">
        <f>IFERROR(B115/C115,"")</f>
        <v/>
      </c>
      <c r="E115" s="10">
        <f>IFERROR(C115/B115,"")</f>
        <v/>
      </c>
      <c r="F115" s="11">
        <f>IFERROR((D115/D114-1)*100,"")</f>
        <v/>
      </c>
      <c r="G115" s="11" t="inlineStr"/>
      <c r="H115" s="10" t="inlineStr"/>
      <c r="I115" s="10" t="n"/>
      <c r="J115" t="inlineStr"/>
      <c r="K115" t="inlineStr"/>
    </row>
    <row r="116">
      <c r="A116" s="7" t="inlineStr">
        <is>
          <t>2014-08-12</t>
        </is>
      </c>
      <c r="B116" s="8">
        <f>IFERROR(VLOOKUP($A116,'01-原始价格'!$A:$M,2,FALSE),"")</f>
        <v/>
      </c>
      <c r="C116" s="8">
        <f>IFERROR(VLOOKUP($A116,'01-原始价格'!$A:$M,8,FALSE),"")</f>
        <v/>
      </c>
      <c r="D116" s="10">
        <f>IFERROR(B116/C116,"")</f>
        <v/>
      </c>
      <c r="E116" s="10">
        <f>IFERROR(C116/B116,"")</f>
        <v/>
      </c>
      <c r="F116" s="11">
        <f>IFERROR((D116/D115-1)*100,"")</f>
        <v/>
      </c>
      <c r="G116" s="11" t="inlineStr"/>
      <c r="H116" s="10" t="inlineStr"/>
      <c r="I116" s="10" t="n"/>
      <c r="J116" t="inlineStr"/>
      <c r="K116" t="inlineStr"/>
    </row>
    <row r="117">
      <c r="A117" s="7" t="inlineStr">
        <is>
          <t>2014-08-13</t>
        </is>
      </c>
      <c r="B117" s="8">
        <f>IFERROR(VLOOKUP($A117,'01-原始价格'!$A:$M,2,FALSE),"")</f>
        <v/>
      </c>
      <c r="C117" s="8">
        <f>IFERROR(VLOOKUP($A117,'01-原始价格'!$A:$M,8,FALSE),"")</f>
        <v/>
      </c>
      <c r="D117" s="10">
        <f>IFERROR(B117/C117,"")</f>
        <v/>
      </c>
      <c r="E117" s="10">
        <f>IFERROR(C117/B117,"")</f>
        <v/>
      </c>
      <c r="F117" s="11">
        <f>IFERROR((D117/D116-1)*100,"")</f>
        <v/>
      </c>
      <c r="G117" s="11" t="inlineStr"/>
      <c r="H117" s="10" t="inlineStr"/>
      <c r="I117" s="10" t="n"/>
      <c r="J117" t="inlineStr"/>
      <c r="K117" t="inlineStr"/>
    </row>
    <row r="118">
      <c r="A118" s="7" t="inlineStr">
        <is>
          <t>2014-08-14</t>
        </is>
      </c>
      <c r="B118" s="8">
        <f>IFERROR(VLOOKUP($A118,'01-原始价格'!$A:$M,2,FALSE),"")</f>
        <v/>
      </c>
      <c r="C118" s="8">
        <f>IFERROR(VLOOKUP($A118,'01-原始价格'!$A:$M,8,FALSE),"")</f>
        <v/>
      </c>
      <c r="D118" s="10">
        <f>IFERROR(B118/C118,"")</f>
        <v/>
      </c>
      <c r="E118" s="10">
        <f>IFERROR(C118/B118,"")</f>
        <v/>
      </c>
      <c r="F118" s="11">
        <f>IFERROR((D118/D117-1)*100,"")</f>
        <v/>
      </c>
      <c r="G118" s="11" t="inlineStr"/>
      <c r="H118" s="10" t="inlineStr"/>
      <c r="I118" s="10" t="n"/>
      <c r="J118" t="inlineStr"/>
      <c r="K118" t="inlineStr"/>
    </row>
    <row r="119">
      <c r="A119" s="7" t="inlineStr">
        <is>
          <t>2014-08-15</t>
        </is>
      </c>
      <c r="B119" s="8">
        <f>IFERROR(VLOOKUP($A119,'01-原始价格'!$A:$M,2,FALSE),"")</f>
        <v/>
      </c>
      <c r="C119" s="8">
        <f>IFERROR(VLOOKUP($A119,'01-原始价格'!$A:$M,8,FALSE),"")</f>
        <v/>
      </c>
      <c r="D119" s="10">
        <f>IFERROR(B119/C119,"")</f>
        <v/>
      </c>
      <c r="E119" s="10">
        <f>IFERROR(C119/B119,"")</f>
        <v/>
      </c>
      <c r="F119" s="11">
        <f>IFERROR((D119/D118-1)*100,"")</f>
        <v/>
      </c>
      <c r="G119" s="11" t="inlineStr"/>
      <c r="H119" s="10" t="inlineStr"/>
      <c r="I119" s="10" t="n"/>
      <c r="J119" t="inlineStr"/>
      <c r="K119" t="inlineStr"/>
    </row>
    <row r="120">
      <c r="A120" s="7" t="inlineStr">
        <is>
          <t>2014-08-18</t>
        </is>
      </c>
      <c r="B120" s="8">
        <f>IFERROR(VLOOKUP($A120,'01-原始价格'!$A:$M,2,FALSE),"")</f>
        <v/>
      </c>
      <c r="C120" s="8">
        <f>IFERROR(VLOOKUP($A120,'01-原始价格'!$A:$M,8,FALSE),"")</f>
        <v/>
      </c>
      <c r="D120" s="10">
        <f>IFERROR(B120/C120,"")</f>
        <v/>
      </c>
      <c r="E120" s="10">
        <f>IFERROR(C120/B120,"")</f>
        <v/>
      </c>
      <c r="F120" s="11">
        <f>IFERROR((D120/D119-1)*100,"")</f>
        <v/>
      </c>
      <c r="G120" s="11" t="inlineStr"/>
      <c r="H120" s="10" t="inlineStr"/>
      <c r="I120" s="10" t="n"/>
      <c r="J120" t="inlineStr"/>
      <c r="K120" t="inlineStr"/>
    </row>
    <row r="121">
      <c r="A121" s="7" t="inlineStr">
        <is>
          <t>2014-08-19</t>
        </is>
      </c>
      <c r="B121" s="8">
        <f>IFERROR(VLOOKUP($A121,'01-原始价格'!$A:$M,2,FALSE),"")</f>
        <v/>
      </c>
      <c r="C121" s="8">
        <f>IFERROR(VLOOKUP($A121,'01-原始价格'!$A:$M,8,FALSE),"")</f>
        <v/>
      </c>
      <c r="D121" s="10">
        <f>IFERROR(B121/C121,"")</f>
        <v/>
      </c>
      <c r="E121" s="10">
        <f>IFERROR(C121/B121,"")</f>
        <v/>
      </c>
      <c r="F121" s="11">
        <f>IFERROR((D121/D120-1)*100,"")</f>
        <v/>
      </c>
      <c r="G121" s="11" t="inlineStr"/>
      <c r="H121" s="10" t="inlineStr"/>
      <c r="I121" s="10" t="n"/>
      <c r="J121" t="inlineStr"/>
      <c r="K121" t="inlineStr"/>
    </row>
    <row r="122">
      <c r="A122" s="7" t="inlineStr">
        <is>
          <t>2014-08-20</t>
        </is>
      </c>
      <c r="B122" s="8">
        <f>IFERROR(VLOOKUP($A122,'01-原始价格'!$A:$M,2,FALSE),"")</f>
        <v/>
      </c>
      <c r="C122" s="8">
        <f>IFERROR(VLOOKUP($A122,'01-原始价格'!$A:$M,8,FALSE),"")</f>
        <v/>
      </c>
      <c r="D122" s="10">
        <f>IFERROR(B122/C122,"")</f>
        <v/>
      </c>
      <c r="E122" s="10">
        <f>IFERROR(C122/B122,"")</f>
        <v/>
      </c>
      <c r="F122" s="11">
        <f>IFERROR((D122/D121-1)*100,"")</f>
        <v/>
      </c>
      <c r="G122" s="11" t="inlineStr"/>
      <c r="H122" s="10" t="inlineStr"/>
      <c r="I122" s="10" t="n"/>
      <c r="J122" t="inlineStr"/>
      <c r="K122" t="inlineStr"/>
    </row>
    <row r="123">
      <c r="A123" s="7" t="inlineStr">
        <is>
          <t>2014-08-21</t>
        </is>
      </c>
      <c r="B123" s="8">
        <f>IFERROR(VLOOKUP($A123,'01-原始价格'!$A:$M,2,FALSE),"")</f>
        <v/>
      </c>
      <c r="C123" s="8">
        <f>IFERROR(VLOOKUP($A123,'01-原始价格'!$A:$M,8,FALSE),"")</f>
        <v/>
      </c>
      <c r="D123" s="10">
        <f>IFERROR(B123/C123,"")</f>
        <v/>
      </c>
      <c r="E123" s="10">
        <f>IFERROR(C123/B123,"")</f>
        <v/>
      </c>
      <c r="F123" s="11">
        <f>IFERROR((D123/D122-1)*100,"")</f>
        <v/>
      </c>
      <c r="G123" s="11" t="inlineStr"/>
      <c r="H123" s="10" t="inlineStr"/>
      <c r="I123" s="10" t="n"/>
      <c r="J123" t="inlineStr"/>
      <c r="K123" t="inlineStr"/>
    </row>
    <row r="124">
      <c r="A124" s="7" t="inlineStr">
        <is>
          <t>2014-08-22</t>
        </is>
      </c>
      <c r="B124" s="8">
        <f>IFERROR(VLOOKUP($A124,'01-原始价格'!$A:$M,2,FALSE),"")</f>
        <v/>
      </c>
      <c r="C124" s="8">
        <f>IFERROR(VLOOKUP($A124,'01-原始价格'!$A:$M,8,FALSE),"")</f>
        <v/>
      </c>
      <c r="D124" s="10">
        <f>IFERROR(B124/C124,"")</f>
        <v/>
      </c>
      <c r="E124" s="10">
        <f>IFERROR(C124/B124,"")</f>
        <v/>
      </c>
      <c r="F124" s="11">
        <f>IFERROR((D124/D123-1)*100,"")</f>
        <v/>
      </c>
      <c r="G124" s="11" t="inlineStr"/>
      <c r="H124" s="10" t="inlineStr"/>
      <c r="I124" s="10" t="n"/>
      <c r="J124" t="inlineStr"/>
      <c r="K124" t="inlineStr"/>
    </row>
    <row r="125">
      <c r="A125" s="7" t="inlineStr">
        <is>
          <t>2014-08-25</t>
        </is>
      </c>
      <c r="B125" s="8">
        <f>IFERROR(VLOOKUP($A125,'01-原始价格'!$A:$M,2,FALSE),"")</f>
        <v/>
      </c>
      <c r="C125" s="8">
        <f>IFERROR(VLOOKUP($A125,'01-原始价格'!$A:$M,8,FALSE),"")</f>
        <v/>
      </c>
      <c r="D125" s="10">
        <f>IFERROR(B125/C125,"")</f>
        <v/>
      </c>
      <c r="E125" s="10">
        <f>IFERROR(C125/B125,"")</f>
        <v/>
      </c>
      <c r="F125" s="11">
        <f>IFERROR((D125/D124-1)*100,"")</f>
        <v/>
      </c>
      <c r="G125" s="11" t="inlineStr"/>
      <c r="H125" s="10" t="inlineStr"/>
      <c r="I125" s="10" t="n">
        <v>0.3123816336980247</v>
      </c>
      <c r="J125" t="inlineStr"/>
      <c r="K125" t="inlineStr"/>
    </row>
    <row r="126">
      <c r="A126" s="7" t="inlineStr">
        <is>
          <t>2014-08-26</t>
        </is>
      </c>
      <c r="B126" s="8">
        <f>IFERROR(VLOOKUP($A126,'01-原始价格'!$A:$M,2,FALSE),"")</f>
        <v/>
      </c>
      <c r="C126" s="8">
        <f>IFERROR(VLOOKUP($A126,'01-原始价格'!$A:$M,8,FALSE),"")</f>
        <v/>
      </c>
      <c r="D126" s="10">
        <f>IFERROR(B126/C126,"")</f>
        <v/>
      </c>
      <c r="E126" s="10">
        <f>IFERROR(C126/B126,"")</f>
        <v/>
      </c>
      <c r="F126" s="11">
        <f>IFERROR((D126/D125-1)*100,"")</f>
        <v/>
      </c>
      <c r="G126" s="11" t="inlineStr"/>
      <c r="H126" s="10" t="inlineStr"/>
      <c r="I126" s="10" t="n">
        <v>0.4489828725264816</v>
      </c>
      <c r="J126" t="inlineStr"/>
      <c r="K126" t="inlineStr"/>
    </row>
    <row r="127">
      <c r="A127" s="7" t="inlineStr">
        <is>
          <t>2014-08-27</t>
        </is>
      </c>
      <c r="B127" s="8">
        <f>IFERROR(VLOOKUP($A127,'01-原始价格'!$A:$M,2,FALSE),"")</f>
        <v/>
      </c>
      <c r="C127" s="8">
        <f>IFERROR(VLOOKUP($A127,'01-原始价格'!$A:$M,8,FALSE),"")</f>
        <v/>
      </c>
      <c r="D127" s="10">
        <f>IFERROR(B127/C127,"")</f>
        <v/>
      </c>
      <c r="E127" s="10">
        <f>IFERROR(C127/B127,"")</f>
        <v/>
      </c>
      <c r="F127" s="11">
        <f>IFERROR((D127/D126-1)*100,"")</f>
        <v/>
      </c>
      <c r="G127" s="11" t="inlineStr"/>
      <c r="H127" s="10" t="inlineStr"/>
      <c r="I127" s="10" t="n">
        <v>0.5438130032169204</v>
      </c>
      <c r="J127" t="inlineStr"/>
      <c r="K127" t="inlineStr"/>
    </row>
    <row r="128">
      <c r="A128" s="7" t="inlineStr">
        <is>
          <t>2014-08-28</t>
        </is>
      </c>
      <c r="B128" s="8">
        <f>IFERROR(VLOOKUP($A128,'01-原始价格'!$A:$M,2,FALSE),"")</f>
        <v/>
      </c>
      <c r="C128" s="8">
        <f>IFERROR(VLOOKUP($A128,'01-原始价格'!$A:$M,8,FALSE),"")</f>
        <v/>
      </c>
      <c r="D128" s="10">
        <f>IFERROR(B128/C128,"")</f>
        <v/>
      </c>
      <c r="E128" s="10">
        <f>IFERROR(C128/B128,"")</f>
        <v/>
      </c>
      <c r="F128" s="11">
        <f>IFERROR((D128/D127-1)*100,"")</f>
        <v/>
      </c>
      <c r="G128" s="11" t="inlineStr"/>
      <c r="H128" s="10" t="inlineStr"/>
      <c r="I128" s="10" t="n">
        <v>0.4606066426981587</v>
      </c>
      <c r="J128" t="inlineStr"/>
      <c r="K128" t="inlineStr"/>
    </row>
    <row r="129">
      <c r="A129" s="7" t="inlineStr">
        <is>
          <t>2014-08-29</t>
        </is>
      </c>
      <c r="B129" s="8">
        <f>IFERROR(VLOOKUP($A129,'01-原始价格'!$A:$M,2,FALSE),"")</f>
        <v/>
      </c>
      <c r="C129" s="8">
        <f>IFERROR(VLOOKUP($A129,'01-原始价格'!$A:$M,8,FALSE),"")</f>
        <v/>
      </c>
      <c r="D129" s="10">
        <f>IFERROR(B129/C129,"")</f>
        <v/>
      </c>
      <c r="E129" s="10">
        <f>IFERROR(C129/B129,"")</f>
        <v/>
      </c>
      <c r="F129" s="11">
        <f>IFERROR((D129/D128-1)*100,"")</f>
        <v/>
      </c>
      <c r="G129" s="11" t="inlineStr"/>
      <c r="H129" s="10" t="inlineStr"/>
      <c r="I129" s="10" t="n">
        <v>0.5528493613184031</v>
      </c>
      <c r="J129" t="inlineStr"/>
      <c r="K129" t="inlineStr"/>
    </row>
    <row r="130">
      <c r="A130" s="7" t="inlineStr">
        <is>
          <t>2014-09-01</t>
        </is>
      </c>
      <c r="B130" s="8">
        <f>IFERROR(VLOOKUP($A130,'01-原始价格'!$A:$M,2,FALSE),"")</f>
        <v/>
      </c>
      <c r="C130" s="8">
        <f>IFERROR(VLOOKUP($A130,'01-原始价格'!$A:$M,8,FALSE),"")</f>
        <v/>
      </c>
      <c r="D130" s="10">
        <f>IFERROR(B130/C130,"")</f>
        <v/>
      </c>
      <c r="E130" s="10">
        <f>IFERROR(C130/B130,"")</f>
        <v/>
      </c>
      <c r="F130" s="11">
        <f>IFERROR((D130/D129-1)*100,"")</f>
        <v/>
      </c>
      <c r="G130" s="11" t="inlineStr"/>
      <c r="H130" s="10" t="inlineStr"/>
      <c r="I130" s="10" t="n">
        <v>0.3490789312164728</v>
      </c>
      <c r="J130" t="inlineStr"/>
      <c r="K130" t="inlineStr"/>
    </row>
    <row r="131">
      <c r="A131" s="7" t="inlineStr">
        <is>
          <t>2014-09-02</t>
        </is>
      </c>
      <c r="B131" s="8">
        <f>IFERROR(VLOOKUP($A131,'01-原始价格'!$A:$M,2,FALSE),"")</f>
        <v/>
      </c>
      <c r="C131" s="8">
        <f>IFERROR(VLOOKUP($A131,'01-原始价格'!$A:$M,8,FALSE),"")</f>
        <v/>
      </c>
      <c r="D131" s="10">
        <f>IFERROR(B131/C131,"")</f>
        <v/>
      </c>
      <c r="E131" s="10">
        <f>IFERROR(C131/B131,"")</f>
        <v/>
      </c>
      <c r="F131" s="11">
        <f>IFERROR((D131/D130-1)*100,"")</f>
        <v/>
      </c>
      <c r="G131" s="11" t="inlineStr"/>
      <c r="H131" s="10" t="inlineStr"/>
      <c r="I131" s="10" t="n">
        <v>0.2433375412894981</v>
      </c>
      <c r="J131" t="inlineStr"/>
      <c r="K131" t="inlineStr"/>
    </row>
    <row r="132">
      <c r="A132" s="7" t="inlineStr">
        <is>
          <t>2014-09-03</t>
        </is>
      </c>
      <c r="B132" s="8">
        <f>IFERROR(VLOOKUP($A132,'01-原始价格'!$A:$M,2,FALSE),"")</f>
        <v/>
      </c>
      <c r="C132" s="8">
        <f>IFERROR(VLOOKUP($A132,'01-原始价格'!$A:$M,8,FALSE),"")</f>
        <v/>
      </c>
      <c r="D132" s="10">
        <f>IFERROR(B132/C132,"")</f>
        <v/>
      </c>
      <c r="E132" s="10">
        <f>IFERROR(C132/B132,"")</f>
        <v/>
      </c>
      <c r="F132" s="11">
        <f>IFERROR((D132/D131-1)*100,"")</f>
        <v/>
      </c>
      <c r="G132" s="11" t="inlineStr"/>
      <c r="H132" s="10" t="inlineStr"/>
      <c r="I132" s="10" t="n">
        <v>0.5172791784892442</v>
      </c>
      <c r="J132" t="inlineStr"/>
      <c r="K132" t="inlineStr"/>
    </row>
    <row r="133">
      <c r="A133" s="7" t="inlineStr">
        <is>
          <t>2014-09-04</t>
        </is>
      </c>
      <c r="B133" s="8">
        <f>IFERROR(VLOOKUP($A133,'01-原始价格'!$A:$M,2,FALSE),"")</f>
        <v/>
      </c>
      <c r="C133" s="8">
        <f>IFERROR(VLOOKUP($A133,'01-原始价格'!$A:$M,8,FALSE),"")</f>
        <v/>
      </c>
      <c r="D133" s="10">
        <f>IFERROR(B133/C133,"")</f>
        <v/>
      </c>
      <c r="E133" s="10">
        <f>IFERROR(C133/B133,"")</f>
        <v/>
      </c>
      <c r="F133" s="11">
        <f>IFERROR((D133/D132-1)*100,"")</f>
        <v/>
      </c>
      <c r="G133" s="11" t="inlineStr"/>
      <c r="H133" s="10" t="inlineStr"/>
      <c r="I133" s="10" t="n">
        <v>0.4413183709504711</v>
      </c>
      <c r="J133" t="inlineStr"/>
      <c r="K133" t="inlineStr"/>
    </row>
    <row r="134">
      <c r="A134" s="7" t="inlineStr">
        <is>
          <t>2014-09-05</t>
        </is>
      </c>
      <c r="B134" s="8">
        <f>IFERROR(VLOOKUP($A134,'01-原始价格'!$A:$M,2,FALSE),"")</f>
        <v/>
      </c>
      <c r="C134" s="8">
        <f>IFERROR(VLOOKUP($A134,'01-原始价格'!$A:$M,8,FALSE),"")</f>
        <v/>
      </c>
      <c r="D134" s="10">
        <f>IFERROR(B134/C134,"")</f>
        <v/>
      </c>
      <c r="E134" s="10">
        <f>IFERROR(C134/B134,"")</f>
        <v/>
      </c>
      <c r="F134" s="11">
        <f>IFERROR((D134/D133-1)*100,"")</f>
        <v/>
      </c>
      <c r="G134" s="11" t="inlineStr"/>
      <c r="H134" s="10" t="inlineStr"/>
      <c r="I134" s="10" t="n">
        <v>0.4004697705669482</v>
      </c>
      <c r="J134" t="inlineStr"/>
      <c r="K134" t="inlineStr"/>
    </row>
    <row r="135">
      <c r="A135" s="7" t="inlineStr">
        <is>
          <t>2014-09-09</t>
        </is>
      </c>
      <c r="B135" s="8">
        <f>IFERROR(VLOOKUP($A135,'01-原始价格'!$A:$M,2,FALSE),"")</f>
        <v/>
      </c>
      <c r="C135" s="8">
        <f>IFERROR(VLOOKUP($A135,'01-原始价格'!$A:$M,8,FALSE),"")</f>
        <v/>
      </c>
      <c r="D135" s="10">
        <f>IFERROR(B135/C135,"")</f>
        <v/>
      </c>
      <c r="E135" s="10">
        <f>IFERROR(C135/B135,"")</f>
        <v/>
      </c>
      <c r="F135" s="11">
        <f>IFERROR((D135/D134-1)*100,"")</f>
        <v/>
      </c>
      <c r="G135" s="11" t="inlineStr"/>
      <c r="H135" s="10" t="inlineStr"/>
      <c r="I135" s="10" t="n">
        <v>0.7956870016197123</v>
      </c>
      <c r="J135" t="inlineStr"/>
      <c r="K135" t="inlineStr"/>
    </row>
    <row r="136">
      <c r="A136" s="7" t="inlineStr">
        <is>
          <t>2014-09-10</t>
        </is>
      </c>
      <c r="B136" s="8">
        <f>IFERROR(VLOOKUP($A136,'01-原始价格'!$A:$M,2,FALSE),"")</f>
        <v/>
      </c>
      <c r="C136" s="8">
        <f>IFERROR(VLOOKUP($A136,'01-原始价格'!$A:$M,8,FALSE),"")</f>
        <v/>
      </c>
      <c r="D136" s="10">
        <f>IFERROR(B136/C136,"")</f>
        <v/>
      </c>
      <c r="E136" s="10">
        <f>IFERROR(C136/B136,"")</f>
        <v/>
      </c>
      <c r="F136" s="11">
        <f>IFERROR((D136/D135-1)*100,"")</f>
        <v/>
      </c>
      <c r="G136" s="11" t="inlineStr"/>
      <c r="H136" s="10" t="inlineStr"/>
      <c r="I136" s="10" t="n">
        <v>0.8359302536306243</v>
      </c>
      <c r="J136" t="inlineStr"/>
      <c r="K136" t="inlineStr"/>
    </row>
    <row r="137">
      <c r="A137" s="7" t="inlineStr">
        <is>
          <t>2014-09-11</t>
        </is>
      </c>
      <c r="B137" s="8">
        <f>IFERROR(VLOOKUP($A137,'01-原始价格'!$A:$M,2,FALSE),"")</f>
        <v/>
      </c>
      <c r="C137" s="8">
        <f>IFERROR(VLOOKUP($A137,'01-原始价格'!$A:$M,8,FALSE),"")</f>
        <v/>
      </c>
      <c r="D137" s="10">
        <f>IFERROR(B137/C137,"")</f>
        <v/>
      </c>
      <c r="E137" s="10">
        <f>IFERROR(C137/B137,"")</f>
        <v/>
      </c>
      <c r="F137" s="11">
        <f>IFERROR((D137/D136-1)*100,"")</f>
        <v/>
      </c>
      <c r="G137" s="11" t="inlineStr"/>
      <c r="H137" s="10" t="inlineStr"/>
      <c r="I137" s="10" t="n">
        <v>0.6994821904797589</v>
      </c>
      <c r="J137" t="inlineStr"/>
      <c r="K137" t="inlineStr"/>
    </row>
    <row r="138">
      <c r="A138" s="7" t="inlineStr">
        <is>
          <t>2014-09-12</t>
        </is>
      </c>
      <c r="B138" s="8">
        <f>IFERROR(VLOOKUP($A138,'01-原始价格'!$A:$M,2,FALSE),"")</f>
        <v/>
      </c>
      <c r="C138" s="8">
        <f>IFERROR(VLOOKUP($A138,'01-原始价格'!$A:$M,8,FALSE),"")</f>
        <v/>
      </c>
      <c r="D138" s="10">
        <f>IFERROR(B138/C138,"")</f>
        <v/>
      </c>
      <c r="E138" s="10">
        <f>IFERROR(C138/B138,"")</f>
        <v/>
      </c>
      <c r="F138" s="11">
        <f>IFERROR((D138/D137-1)*100,"")</f>
        <v/>
      </c>
      <c r="G138" s="11" t="inlineStr"/>
      <c r="H138" s="10" t="inlineStr"/>
      <c r="I138" s="10" t="n">
        <v>0.8214917560668965</v>
      </c>
      <c r="J138" t="inlineStr"/>
      <c r="K138" t="inlineStr"/>
    </row>
    <row r="139">
      <c r="A139" s="7" t="inlineStr">
        <is>
          <t>2014-09-15</t>
        </is>
      </c>
      <c r="B139" s="8">
        <f>IFERROR(VLOOKUP($A139,'01-原始价格'!$A:$M,2,FALSE),"")</f>
        <v/>
      </c>
      <c r="C139" s="8">
        <f>IFERROR(VLOOKUP($A139,'01-原始价格'!$A:$M,8,FALSE),"")</f>
        <v/>
      </c>
      <c r="D139" s="10">
        <f>IFERROR(B139/C139,"")</f>
        <v/>
      </c>
      <c r="E139" s="10">
        <f>IFERROR(C139/B139,"")</f>
        <v/>
      </c>
      <c r="F139" s="11">
        <f>IFERROR((D139/D138-1)*100,"")</f>
        <v/>
      </c>
      <c r="G139" s="11" t="inlineStr"/>
      <c r="H139" s="10" t="inlineStr"/>
      <c r="I139" s="10" t="n">
        <v>0.5659410992985024</v>
      </c>
      <c r="J139" t="inlineStr"/>
      <c r="K139" t="inlineStr"/>
    </row>
    <row r="140">
      <c r="A140" s="7" t="inlineStr">
        <is>
          <t>2014-09-16</t>
        </is>
      </c>
      <c r="B140" s="8">
        <f>IFERROR(VLOOKUP($A140,'01-原始价格'!$A:$M,2,FALSE),"")</f>
        <v/>
      </c>
      <c r="C140" s="8">
        <f>IFERROR(VLOOKUP($A140,'01-原始价格'!$A:$M,8,FALSE),"")</f>
        <v/>
      </c>
      <c r="D140" s="10">
        <f>IFERROR(B140/C140,"")</f>
        <v/>
      </c>
      <c r="E140" s="10">
        <f>IFERROR(C140/B140,"")</f>
        <v/>
      </c>
      <c r="F140" s="11">
        <f>IFERROR((D140/D139-1)*100,"")</f>
        <v/>
      </c>
      <c r="G140" s="11" t="inlineStr"/>
      <c r="H140" s="10" t="inlineStr"/>
      <c r="I140" s="10" t="n">
        <v>0.8539689228843872</v>
      </c>
      <c r="J140" t="inlineStr"/>
      <c r="K140" t="inlineStr"/>
    </row>
    <row r="141">
      <c r="A141" s="7" t="inlineStr">
        <is>
          <t>2014-09-17</t>
        </is>
      </c>
      <c r="B141" s="8">
        <f>IFERROR(VLOOKUP($A141,'01-原始价格'!$A:$M,2,FALSE),"")</f>
        <v/>
      </c>
      <c r="C141" s="8">
        <f>IFERROR(VLOOKUP($A141,'01-原始价格'!$A:$M,8,FALSE),"")</f>
        <v/>
      </c>
      <c r="D141" s="10">
        <f>IFERROR(B141/C141,"")</f>
        <v/>
      </c>
      <c r="E141" s="10">
        <f>IFERROR(C141/B141,"")</f>
        <v/>
      </c>
      <c r="F141" s="11">
        <f>IFERROR((D141/D140-1)*100,"")</f>
        <v/>
      </c>
      <c r="G141" s="11" t="inlineStr"/>
      <c r="H141" s="10" t="inlineStr"/>
      <c r="I141" s="10" t="n">
        <v>0.783597018606393</v>
      </c>
      <c r="J141" t="inlineStr"/>
      <c r="K141" t="inlineStr"/>
    </row>
    <row r="142">
      <c r="A142" s="7" t="inlineStr">
        <is>
          <t>2014-09-18</t>
        </is>
      </c>
      <c r="B142" s="8">
        <f>IFERROR(VLOOKUP($A142,'01-原始价格'!$A:$M,2,FALSE),"")</f>
        <v/>
      </c>
      <c r="C142" s="8">
        <f>IFERROR(VLOOKUP($A142,'01-原始价格'!$A:$M,8,FALSE),"")</f>
        <v/>
      </c>
      <c r="D142" s="10">
        <f>IFERROR(B142/C142,"")</f>
        <v/>
      </c>
      <c r="E142" s="10">
        <f>IFERROR(C142/B142,"")</f>
        <v/>
      </c>
      <c r="F142" s="11">
        <f>IFERROR((D142/D141-1)*100,"")</f>
        <v/>
      </c>
      <c r="G142" s="11" t="inlineStr"/>
      <c r="H142" s="10" t="inlineStr"/>
      <c r="I142" s="10" t="n">
        <v>1.02300559474104</v>
      </c>
      <c r="J142" t="inlineStr"/>
      <c r="K142" t="inlineStr"/>
    </row>
    <row r="143">
      <c r="A143" s="7" t="inlineStr">
        <is>
          <t>2014-09-19</t>
        </is>
      </c>
      <c r="B143" s="8">
        <f>IFERROR(VLOOKUP($A143,'01-原始价格'!$A:$M,2,FALSE),"")</f>
        <v/>
      </c>
      <c r="C143" s="8">
        <f>IFERROR(VLOOKUP($A143,'01-原始价格'!$A:$M,8,FALSE),"")</f>
        <v/>
      </c>
      <c r="D143" s="10">
        <f>IFERROR(B143/C143,"")</f>
        <v/>
      </c>
      <c r="E143" s="10">
        <f>IFERROR(C143/B143,"")</f>
        <v/>
      </c>
      <c r="F143" s="11">
        <f>IFERROR((D143/D142-1)*100,"")</f>
        <v/>
      </c>
      <c r="G143" s="11" t="inlineStr"/>
      <c r="H143" s="10" t="inlineStr"/>
      <c r="I143" s="10" t="n">
        <v>1.035292206020505</v>
      </c>
      <c r="J143" t="inlineStr"/>
      <c r="K143" t="inlineStr"/>
    </row>
    <row r="144">
      <c r="A144" s="7" t="inlineStr">
        <is>
          <t>2014-09-22</t>
        </is>
      </c>
      <c r="B144" s="8">
        <f>IFERROR(VLOOKUP($A144,'01-原始价格'!$A:$M,2,FALSE),"")</f>
        <v/>
      </c>
      <c r="C144" s="8">
        <f>IFERROR(VLOOKUP($A144,'01-原始价格'!$A:$M,8,FALSE),"")</f>
        <v/>
      </c>
      <c r="D144" s="10">
        <f>IFERROR(B144/C144,"")</f>
        <v/>
      </c>
      <c r="E144" s="10">
        <f>IFERROR(C144/B144,"")</f>
        <v/>
      </c>
      <c r="F144" s="11">
        <f>IFERROR((D144/D143-1)*100,"")</f>
        <v/>
      </c>
      <c r="G144" s="11" t="inlineStr"/>
      <c r="H144" s="10" t="inlineStr"/>
      <c r="I144" s="10" t="n">
        <v>1.170611066215435</v>
      </c>
      <c r="J144" t="inlineStr"/>
      <c r="K144" t="inlineStr"/>
    </row>
    <row r="145">
      <c r="A145" s="7" t="inlineStr">
        <is>
          <t>2014-09-23</t>
        </is>
      </c>
      <c r="B145" s="8">
        <f>IFERROR(VLOOKUP($A145,'01-原始价格'!$A:$M,2,FALSE),"")</f>
        <v/>
      </c>
      <c r="C145" s="8">
        <f>IFERROR(VLOOKUP($A145,'01-原始价格'!$A:$M,8,FALSE),"")</f>
        <v/>
      </c>
      <c r="D145" s="10">
        <f>IFERROR(B145/C145,"")</f>
        <v/>
      </c>
      <c r="E145" s="10">
        <f>IFERROR(C145/B145,"")</f>
        <v/>
      </c>
      <c r="F145" s="11">
        <f>IFERROR((D145/D144-1)*100,"")</f>
        <v/>
      </c>
      <c r="G145" s="11" t="inlineStr"/>
      <c r="H145" s="10" t="inlineStr"/>
      <c r="I145" s="10" t="n">
        <v>1.759037976085279</v>
      </c>
      <c r="J145" t="inlineStr"/>
      <c r="K145" t="inlineStr"/>
    </row>
    <row r="146">
      <c r="A146" s="7" t="inlineStr">
        <is>
          <t>2014-09-24</t>
        </is>
      </c>
      <c r="B146" s="8">
        <f>IFERROR(VLOOKUP($A146,'01-原始价格'!$A:$M,2,FALSE),"")</f>
        <v/>
      </c>
      <c r="C146" s="8">
        <f>IFERROR(VLOOKUP($A146,'01-原始价格'!$A:$M,8,FALSE),"")</f>
        <v/>
      </c>
      <c r="D146" s="10">
        <f>IFERROR(B146/C146,"")</f>
        <v/>
      </c>
      <c r="E146" s="10">
        <f>IFERROR(C146/B146,"")</f>
        <v/>
      </c>
      <c r="F146" s="11">
        <f>IFERROR((D146/D145-1)*100,"")</f>
        <v/>
      </c>
      <c r="G146" s="11" t="inlineStr"/>
      <c r="H146" s="10" t="inlineStr"/>
      <c r="I146" s="10" t="n">
        <v>1.741825839853277</v>
      </c>
      <c r="J146" t="inlineStr"/>
      <c r="K146" t="inlineStr"/>
    </row>
    <row r="147">
      <c r="A147" s="7" t="inlineStr">
        <is>
          <t>2014-09-25</t>
        </is>
      </c>
      <c r="B147" s="8">
        <f>IFERROR(VLOOKUP($A147,'01-原始价格'!$A:$M,2,FALSE),"")</f>
        <v/>
      </c>
      <c r="C147" s="8">
        <f>IFERROR(VLOOKUP($A147,'01-原始价格'!$A:$M,8,FALSE),"")</f>
        <v/>
      </c>
      <c r="D147" s="10">
        <f>IFERROR(B147/C147,"")</f>
        <v/>
      </c>
      <c r="E147" s="10">
        <f>IFERROR(C147/B147,"")</f>
        <v/>
      </c>
      <c r="F147" s="11">
        <f>IFERROR((D147/D146-1)*100,"")</f>
        <v/>
      </c>
      <c r="G147" s="11" t="inlineStr"/>
      <c r="H147" s="10" t="inlineStr"/>
      <c r="I147" s="10" t="n">
        <v>1.72117632280121</v>
      </c>
      <c r="J147" t="inlineStr"/>
      <c r="K147" t="inlineStr"/>
    </row>
    <row r="148">
      <c r="A148" s="7" t="inlineStr">
        <is>
          <t>2014-09-26</t>
        </is>
      </c>
      <c r="B148" s="8">
        <f>IFERROR(VLOOKUP($A148,'01-原始价格'!$A:$M,2,FALSE),"")</f>
        <v/>
      </c>
      <c r="C148" s="8">
        <f>IFERROR(VLOOKUP($A148,'01-原始价格'!$A:$M,8,FALSE),"")</f>
        <v/>
      </c>
      <c r="D148" s="10">
        <f>IFERROR(B148/C148,"")</f>
        <v/>
      </c>
      <c r="E148" s="10">
        <f>IFERROR(C148/B148,"")</f>
        <v/>
      </c>
      <c r="F148" s="11">
        <f>IFERROR((D148/D147-1)*100,"")</f>
        <v/>
      </c>
      <c r="G148" s="11" t="inlineStr"/>
      <c r="H148" s="10" t="inlineStr"/>
      <c r="I148" s="10" t="n">
        <v>1.638819296909388</v>
      </c>
      <c r="J148" t="inlineStr"/>
      <c r="K148" t="inlineStr"/>
    </row>
    <row r="149">
      <c r="A149" s="7" t="inlineStr">
        <is>
          <t>2014-09-29</t>
        </is>
      </c>
      <c r="B149" s="8">
        <f>IFERROR(VLOOKUP($A149,'01-原始价格'!$A:$M,2,FALSE),"")</f>
        <v/>
      </c>
      <c r="C149" s="8">
        <f>IFERROR(VLOOKUP($A149,'01-原始价格'!$A:$M,8,FALSE),"")</f>
        <v/>
      </c>
      <c r="D149" s="10">
        <f>IFERROR(B149/C149,"")</f>
        <v/>
      </c>
      <c r="E149" s="10">
        <f>IFERROR(C149/B149,"")</f>
        <v/>
      </c>
      <c r="F149" s="11">
        <f>IFERROR((D149/D148-1)*100,"")</f>
        <v/>
      </c>
      <c r="G149" s="11" t="inlineStr"/>
      <c r="H149" s="10" t="inlineStr"/>
      <c r="I149" s="10" t="n">
        <v>1.264472221588778</v>
      </c>
      <c r="J149" t="inlineStr"/>
      <c r="K149" t="inlineStr"/>
    </row>
    <row r="150">
      <c r="A150" s="7" t="inlineStr">
        <is>
          <t>2014-09-30</t>
        </is>
      </c>
      <c r="B150" s="8">
        <f>IFERROR(VLOOKUP($A150,'01-原始价格'!$A:$M,2,FALSE),"")</f>
        <v/>
      </c>
      <c r="C150" s="8">
        <f>IFERROR(VLOOKUP($A150,'01-原始价格'!$A:$M,8,FALSE),"")</f>
        <v/>
      </c>
      <c r="D150" s="10">
        <f>IFERROR(B150/C150,"")</f>
        <v/>
      </c>
      <c r="E150" s="10">
        <f>IFERROR(C150/B150,"")</f>
        <v/>
      </c>
      <c r="F150" s="11">
        <f>IFERROR((D150/D149-1)*100,"")</f>
        <v/>
      </c>
      <c r="G150" s="11" t="inlineStr"/>
      <c r="H150" s="10" t="inlineStr"/>
      <c r="I150" s="10" t="n">
        <v>1.265112126226812</v>
      </c>
      <c r="J150" t="inlineStr"/>
      <c r="K150" t="inlineStr"/>
    </row>
    <row r="151">
      <c r="A151" s="7" t="inlineStr">
        <is>
          <t>2014-10-09</t>
        </is>
      </c>
      <c r="B151" s="8">
        <f>IFERROR(VLOOKUP($A151,'01-原始价格'!$A:$M,2,FALSE),"")</f>
        <v/>
      </c>
      <c r="C151" s="8">
        <f>IFERROR(VLOOKUP($A151,'01-原始价格'!$A:$M,8,FALSE),"")</f>
        <v/>
      </c>
      <c r="D151" s="10">
        <f>IFERROR(B151/C151,"")</f>
        <v/>
      </c>
      <c r="E151" s="10">
        <f>IFERROR(C151/B151,"")</f>
        <v/>
      </c>
      <c r="F151" s="11">
        <f>IFERROR((D151/D150-1)*100,"")</f>
        <v/>
      </c>
      <c r="G151" s="11" t="inlineStr"/>
      <c r="H151" s="10" t="inlineStr"/>
      <c r="I151" s="10" t="n">
        <v>1.689190631727316</v>
      </c>
      <c r="J151" t="inlineStr"/>
      <c r="K151" t="inlineStr"/>
    </row>
    <row r="152">
      <c r="A152" s="7" t="inlineStr">
        <is>
          <t>2014-10-10</t>
        </is>
      </c>
      <c r="B152" s="8">
        <f>IFERROR(VLOOKUP($A152,'01-原始价格'!$A:$M,2,FALSE),"")</f>
        <v/>
      </c>
      <c r="C152" s="8">
        <f>IFERROR(VLOOKUP($A152,'01-原始价格'!$A:$M,8,FALSE),"")</f>
        <v/>
      </c>
      <c r="D152" s="10">
        <f>IFERROR(B152/C152,"")</f>
        <v/>
      </c>
      <c r="E152" s="10">
        <f>IFERROR(C152/B152,"")</f>
        <v/>
      </c>
      <c r="F152" s="11">
        <f>IFERROR((D152/D151-1)*100,"")</f>
        <v/>
      </c>
      <c r="G152" s="11" t="inlineStr"/>
      <c r="H152" s="10" t="inlineStr"/>
      <c r="I152" s="10" t="n">
        <v>1.747146549414036</v>
      </c>
      <c r="J152" t="inlineStr"/>
      <c r="K152" t="inlineStr"/>
    </row>
    <row r="153">
      <c r="A153" s="7" t="inlineStr">
        <is>
          <t>2014-10-13</t>
        </is>
      </c>
      <c r="B153" s="8">
        <f>IFERROR(VLOOKUP($A153,'01-原始价格'!$A:$M,2,FALSE),"")</f>
        <v/>
      </c>
      <c r="C153" s="8">
        <f>IFERROR(VLOOKUP($A153,'01-原始价格'!$A:$M,8,FALSE),"")</f>
        <v/>
      </c>
      <c r="D153" s="10">
        <f>IFERROR(B153/C153,"")</f>
        <v/>
      </c>
      <c r="E153" s="10">
        <f>IFERROR(C153/B153,"")</f>
        <v/>
      </c>
      <c r="F153" s="11">
        <f>IFERROR((D153/D152-1)*100,"")</f>
        <v/>
      </c>
      <c r="G153" s="11" t="inlineStr"/>
      <c r="H153" s="10" t="inlineStr"/>
      <c r="I153" s="10" t="n">
        <v>2.170463146158451</v>
      </c>
      <c r="J153" t="inlineStr"/>
      <c r="K153" t="inlineStr"/>
    </row>
    <row r="154">
      <c r="A154" s="7" t="inlineStr">
        <is>
          <t>2014-10-14</t>
        </is>
      </c>
      <c r="B154" s="8">
        <f>IFERROR(VLOOKUP($A154,'01-原始价格'!$A:$M,2,FALSE),"")</f>
        <v/>
      </c>
      <c r="C154" s="8">
        <f>IFERROR(VLOOKUP($A154,'01-原始价格'!$A:$M,8,FALSE),"")</f>
        <v/>
      </c>
      <c r="D154" s="10">
        <f>IFERROR(B154/C154,"")</f>
        <v/>
      </c>
      <c r="E154" s="10">
        <f>IFERROR(C154/B154,"")</f>
        <v/>
      </c>
      <c r="F154" s="11">
        <f>IFERROR((D154/D153-1)*100,"")</f>
        <v/>
      </c>
      <c r="G154" s="11" t="inlineStr"/>
      <c r="H154" s="10" t="inlineStr"/>
      <c r="I154" s="10" t="n">
        <v>2.011925870648511</v>
      </c>
      <c r="J154" t="inlineStr"/>
      <c r="K154" t="inlineStr"/>
    </row>
    <row r="155">
      <c r="A155" s="7" t="inlineStr">
        <is>
          <t>2014-10-15</t>
        </is>
      </c>
      <c r="B155" s="8">
        <f>IFERROR(VLOOKUP($A155,'01-原始价格'!$A:$M,2,FALSE),"")</f>
        <v/>
      </c>
      <c r="C155" s="8">
        <f>IFERROR(VLOOKUP($A155,'01-原始价格'!$A:$M,8,FALSE),"")</f>
        <v/>
      </c>
      <c r="D155" s="10">
        <f>IFERROR(B155/C155,"")</f>
        <v/>
      </c>
      <c r="E155" s="10">
        <f>IFERROR(C155/B155,"")</f>
        <v/>
      </c>
      <c r="F155" s="11">
        <f>IFERROR((D155/D154-1)*100,"")</f>
        <v/>
      </c>
      <c r="G155" s="11" t="inlineStr"/>
      <c r="H155" s="10" t="inlineStr"/>
      <c r="I155" s="10" t="n">
        <v>1.846510946254365</v>
      </c>
      <c r="J155" t="inlineStr"/>
      <c r="K155" t="inlineStr"/>
    </row>
    <row r="156">
      <c r="A156" s="7" t="inlineStr">
        <is>
          <t>2014-10-16</t>
        </is>
      </c>
      <c r="B156" s="8">
        <f>IFERROR(VLOOKUP($A156,'01-原始价格'!$A:$M,2,FALSE),"")</f>
        <v/>
      </c>
      <c r="C156" s="8">
        <f>IFERROR(VLOOKUP($A156,'01-原始价格'!$A:$M,8,FALSE),"")</f>
        <v/>
      </c>
      <c r="D156" s="10">
        <f>IFERROR(B156/C156,"")</f>
        <v/>
      </c>
      <c r="E156" s="10">
        <f>IFERROR(C156/B156,"")</f>
        <v/>
      </c>
      <c r="F156" s="11">
        <f>IFERROR((D156/D155-1)*100,"")</f>
        <v/>
      </c>
      <c r="G156" s="11" t="inlineStr"/>
      <c r="H156" s="10" t="inlineStr"/>
      <c r="I156" s="10" t="n">
        <v>1.656802702105857</v>
      </c>
      <c r="J156" t="inlineStr"/>
      <c r="K156" t="inlineStr"/>
    </row>
    <row r="157">
      <c r="A157" s="7" t="inlineStr">
        <is>
          <t>2014-10-17</t>
        </is>
      </c>
      <c r="B157" s="8">
        <f>IFERROR(VLOOKUP($A157,'01-原始价格'!$A:$M,2,FALSE),"")</f>
        <v/>
      </c>
      <c r="C157" s="8">
        <f>IFERROR(VLOOKUP($A157,'01-原始价格'!$A:$M,8,FALSE),"")</f>
        <v/>
      </c>
      <c r="D157" s="10">
        <f>IFERROR(B157/C157,"")</f>
        <v/>
      </c>
      <c r="E157" s="10">
        <f>IFERROR(C157/B157,"")</f>
        <v/>
      </c>
      <c r="F157" s="11">
        <f>IFERROR((D157/D156-1)*100,"")</f>
        <v/>
      </c>
      <c r="G157" s="11" t="inlineStr"/>
      <c r="H157" s="10" t="inlineStr"/>
      <c r="I157" s="10" t="n">
        <v>0.6868171760192769</v>
      </c>
      <c r="J157" t="inlineStr"/>
      <c r="K157" t="inlineStr"/>
    </row>
    <row r="158">
      <c r="A158" s="7" t="inlineStr">
        <is>
          <t>2014-10-20</t>
        </is>
      </c>
      <c r="B158" s="8">
        <f>IFERROR(VLOOKUP($A158,'01-原始价格'!$A:$M,2,FALSE),"")</f>
        <v/>
      </c>
      <c r="C158" s="8">
        <f>IFERROR(VLOOKUP($A158,'01-原始价格'!$A:$M,8,FALSE),"")</f>
        <v/>
      </c>
      <c r="D158" s="10">
        <f>IFERROR(B158/C158,"")</f>
        <v/>
      </c>
      <c r="E158" s="10">
        <f>IFERROR(C158/B158,"")</f>
        <v/>
      </c>
      <c r="F158" s="11">
        <f>IFERROR((D158/D157-1)*100,"")</f>
        <v/>
      </c>
      <c r="G158" s="11" t="inlineStr"/>
      <c r="H158" s="10" t="inlineStr"/>
      <c r="I158" s="10" t="n">
        <v>0.498749026681908</v>
      </c>
      <c r="J158" t="inlineStr"/>
      <c r="K158" t="inlineStr"/>
    </row>
    <row r="159">
      <c r="A159" s="7" t="inlineStr">
        <is>
          <t>2014-10-21</t>
        </is>
      </c>
      <c r="B159" s="8">
        <f>IFERROR(VLOOKUP($A159,'01-原始价格'!$A:$M,2,FALSE),"")</f>
        <v/>
      </c>
      <c r="C159" s="8">
        <f>IFERROR(VLOOKUP($A159,'01-原始价格'!$A:$M,8,FALSE),"")</f>
        <v/>
      </c>
      <c r="D159" s="10">
        <f>IFERROR(B159/C159,"")</f>
        <v/>
      </c>
      <c r="E159" s="10">
        <f>IFERROR(C159/B159,"")</f>
        <v/>
      </c>
      <c r="F159" s="11">
        <f>IFERROR((D159/D158-1)*100,"")</f>
        <v/>
      </c>
      <c r="G159" s="11" t="inlineStr"/>
      <c r="H159" s="10" t="inlineStr"/>
      <c r="I159" s="10" t="n">
        <v>0.2435419980194435</v>
      </c>
      <c r="J159" t="inlineStr"/>
      <c r="K159" t="inlineStr"/>
    </row>
    <row r="160">
      <c r="A160" s="7" t="inlineStr">
        <is>
          <t>2014-10-22</t>
        </is>
      </c>
      <c r="B160" s="8">
        <f>IFERROR(VLOOKUP($A160,'01-原始价格'!$A:$M,2,FALSE),"")</f>
        <v/>
      </c>
      <c r="C160" s="8">
        <f>IFERROR(VLOOKUP($A160,'01-原始价格'!$A:$M,8,FALSE),"")</f>
        <v/>
      </c>
      <c r="D160" s="10">
        <f>IFERROR(B160/C160,"")</f>
        <v/>
      </c>
      <c r="E160" s="10">
        <f>IFERROR(C160/B160,"")</f>
        <v/>
      </c>
      <c r="F160" s="11">
        <f>IFERROR((D160/D159-1)*100,"")</f>
        <v/>
      </c>
      <c r="G160" s="11" t="inlineStr"/>
      <c r="H160" s="10" t="inlineStr"/>
      <c r="I160" s="10" t="n">
        <v>0.1447472056707942</v>
      </c>
      <c r="J160" t="inlineStr"/>
      <c r="K160" t="inlineStr"/>
    </row>
    <row r="161">
      <c r="A161" s="7" t="inlineStr">
        <is>
          <t>2014-10-23</t>
        </is>
      </c>
      <c r="B161" s="8">
        <f>IFERROR(VLOOKUP($A161,'01-原始价格'!$A:$M,2,FALSE),"")</f>
        <v/>
      </c>
      <c r="C161" s="8">
        <f>IFERROR(VLOOKUP($A161,'01-原始价格'!$A:$M,8,FALSE),"")</f>
        <v/>
      </c>
      <c r="D161" s="10">
        <f>IFERROR(B161/C161,"")</f>
        <v/>
      </c>
      <c r="E161" s="10">
        <f>IFERROR(C161/B161,"")</f>
        <v/>
      </c>
      <c r="F161" s="11">
        <f>IFERROR((D161/D160-1)*100,"")</f>
        <v/>
      </c>
      <c r="G161" s="11" t="inlineStr"/>
      <c r="H161" s="10" t="inlineStr"/>
      <c r="I161" s="10" t="n">
        <v>0.4569843933844221</v>
      </c>
      <c r="J161" t="inlineStr"/>
      <c r="K161" t="inlineStr"/>
    </row>
    <row r="162">
      <c r="A162" s="7" t="inlineStr">
        <is>
          <t>2014-10-24</t>
        </is>
      </c>
      <c r="B162" s="8">
        <f>IFERROR(VLOOKUP($A162,'01-原始价格'!$A:$M,2,FALSE),"")</f>
        <v/>
      </c>
      <c r="C162" s="8">
        <f>IFERROR(VLOOKUP($A162,'01-原始价格'!$A:$M,8,FALSE),"")</f>
        <v/>
      </c>
      <c r="D162" s="10">
        <f>IFERROR(B162/C162,"")</f>
        <v/>
      </c>
      <c r="E162" s="10">
        <f>IFERROR(C162/B162,"")</f>
        <v/>
      </c>
      <c r="F162" s="11">
        <f>IFERROR((D162/D161-1)*100,"")</f>
        <v/>
      </c>
      <c r="G162" s="11" t="inlineStr"/>
      <c r="H162" s="10" t="inlineStr"/>
      <c r="I162" s="10" t="n">
        <v>0.9385686375782881</v>
      </c>
      <c r="J162" t="inlineStr"/>
      <c r="K162" t="inlineStr"/>
    </row>
    <row r="163">
      <c r="A163" s="7" t="inlineStr">
        <is>
          <t>2014-10-27</t>
        </is>
      </c>
      <c r="B163" s="8">
        <f>IFERROR(VLOOKUP($A163,'01-原始价格'!$A:$M,2,FALSE),"")</f>
        <v/>
      </c>
      <c r="C163" s="8">
        <f>IFERROR(VLOOKUP($A163,'01-原始价格'!$A:$M,8,FALSE),"")</f>
        <v/>
      </c>
      <c r="D163" s="10">
        <f>IFERROR(B163/C163,"")</f>
        <v/>
      </c>
      <c r="E163" s="10">
        <f>IFERROR(C163/B163,"")</f>
        <v/>
      </c>
      <c r="F163" s="11">
        <f>IFERROR((D163/D162-1)*100,"")</f>
        <v/>
      </c>
      <c r="G163" s="11" t="inlineStr"/>
      <c r="H163" s="10" t="inlineStr"/>
      <c r="I163" s="10" t="n">
        <v>1.106306805889716</v>
      </c>
      <c r="J163" t="inlineStr"/>
      <c r="K163" t="inlineStr"/>
    </row>
    <row r="164">
      <c r="A164" s="7" t="inlineStr">
        <is>
          <t>2014-10-28</t>
        </is>
      </c>
      <c r="B164" s="8">
        <f>IFERROR(VLOOKUP($A164,'01-原始价格'!$A:$M,2,FALSE),"")</f>
        <v/>
      </c>
      <c r="C164" s="8">
        <f>IFERROR(VLOOKUP($A164,'01-原始价格'!$A:$M,8,FALSE),"")</f>
        <v/>
      </c>
      <c r="D164" s="10">
        <f>IFERROR(B164/C164,"")</f>
        <v/>
      </c>
      <c r="E164" s="10">
        <f>IFERROR(C164/B164,"")</f>
        <v/>
      </c>
      <c r="F164" s="11">
        <f>IFERROR((D164/D163-1)*100,"")</f>
        <v/>
      </c>
      <c r="G164" s="11" t="inlineStr"/>
      <c r="H164" s="10" t="inlineStr"/>
      <c r="I164" s="10" t="n">
        <v>0.8423659408865496</v>
      </c>
      <c r="J164" t="inlineStr"/>
      <c r="K164" t="inlineStr"/>
    </row>
    <row r="165">
      <c r="A165" s="7" t="inlineStr">
        <is>
          <t>2014-10-29</t>
        </is>
      </c>
      <c r="B165" s="8">
        <f>IFERROR(VLOOKUP($A165,'01-原始价格'!$A:$M,2,FALSE),"")</f>
        <v/>
      </c>
      <c r="C165" s="8">
        <f>IFERROR(VLOOKUP($A165,'01-原始价格'!$A:$M,8,FALSE),"")</f>
        <v/>
      </c>
      <c r="D165" s="10">
        <f>IFERROR(B165/C165,"")</f>
        <v/>
      </c>
      <c r="E165" s="10">
        <f>IFERROR(C165/B165,"")</f>
        <v/>
      </c>
      <c r="F165" s="11">
        <f>IFERROR((D165/D164-1)*100,"")</f>
        <v/>
      </c>
      <c r="G165" s="11" t="inlineStr"/>
      <c r="H165" s="10" t="inlineStr"/>
      <c r="I165" s="10" t="n">
        <v>0.7558121306562933</v>
      </c>
      <c r="J165" t="inlineStr"/>
      <c r="K165" t="inlineStr"/>
    </row>
    <row r="166">
      <c r="A166" s="7" t="inlineStr">
        <is>
          <t>2014-10-30</t>
        </is>
      </c>
      <c r="B166" s="8">
        <f>IFERROR(VLOOKUP($A166,'01-原始价格'!$A:$M,2,FALSE),"")</f>
        <v/>
      </c>
      <c r="C166" s="8">
        <f>IFERROR(VLOOKUP($A166,'01-原始价格'!$A:$M,8,FALSE),"")</f>
        <v/>
      </c>
      <c r="D166" s="10">
        <f>IFERROR(B166/C166,"")</f>
        <v/>
      </c>
      <c r="E166" s="10">
        <f>IFERROR(C166/B166,"")</f>
        <v/>
      </c>
      <c r="F166" s="11">
        <f>IFERROR((D166/D165-1)*100,"")</f>
        <v/>
      </c>
      <c r="G166" s="11" t="inlineStr"/>
      <c r="H166" s="10" t="inlineStr"/>
      <c r="I166" s="10" t="n">
        <v>0.4322386313844097</v>
      </c>
      <c r="J166" t="inlineStr"/>
      <c r="K166" t="inlineStr"/>
    </row>
    <row r="167">
      <c r="A167" s="7" t="inlineStr">
        <is>
          <t>2014-10-31</t>
        </is>
      </c>
      <c r="B167" s="8">
        <f>IFERROR(VLOOKUP($A167,'01-原始价格'!$A:$M,2,FALSE),"")</f>
        <v/>
      </c>
      <c r="C167" s="8">
        <f>IFERROR(VLOOKUP($A167,'01-原始价格'!$A:$M,8,FALSE),"")</f>
        <v/>
      </c>
      <c r="D167" s="10">
        <f>IFERROR(B167/C167,"")</f>
        <v/>
      </c>
      <c r="E167" s="10">
        <f>IFERROR(C167/B167,"")</f>
        <v/>
      </c>
      <c r="F167" s="11">
        <f>IFERROR((D167/D166-1)*100,"")</f>
        <v/>
      </c>
      <c r="G167" s="11" t="inlineStr"/>
      <c r="H167" s="10" t="inlineStr"/>
      <c r="I167" s="10" t="n">
        <v>0.8022503952389319</v>
      </c>
      <c r="J167" t="inlineStr"/>
      <c r="K167" t="inlineStr"/>
    </row>
    <row r="168">
      <c r="A168" s="7" t="inlineStr">
        <is>
          <t>2014-11-03</t>
        </is>
      </c>
      <c r="B168" s="8">
        <f>IFERROR(VLOOKUP($A168,'01-原始价格'!$A:$M,2,FALSE),"")</f>
        <v/>
      </c>
      <c r="C168" s="8">
        <f>IFERROR(VLOOKUP($A168,'01-原始价格'!$A:$M,8,FALSE),"")</f>
        <v/>
      </c>
      <c r="D168" s="10">
        <f>IFERROR(B168/C168,"")</f>
        <v/>
      </c>
      <c r="E168" s="10">
        <f>IFERROR(C168/B168,"")</f>
        <v/>
      </c>
      <c r="F168" s="11">
        <f>IFERROR((D168/D167-1)*100,"")</f>
        <v/>
      </c>
      <c r="G168" s="11" t="inlineStr"/>
      <c r="H168" s="10" t="inlineStr"/>
      <c r="I168" s="10" t="n">
        <v>0.59074666036504</v>
      </c>
      <c r="J168" t="inlineStr"/>
      <c r="K168" t="inlineStr"/>
    </row>
    <row r="169">
      <c r="A169" s="7" t="inlineStr">
        <is>
          <t>2014-11-04</t>
        </is>
      </c>
      <c r="B169" s="8">
        <f>IFERROR(VLOOKUP($A169,'01-原始价格'!$A:$M,2,FALSE),"")</f>
        <v/>
      </c>
      <c r="C169" s="8">
        <f>IFERROR(VLOOKUP($A169,'01-原始价格'!$A:$M,8,FALSE),"")</f>
        <v/>
      </c>
      <c r="D169" s="10">
        <f>IFERROR(B169/C169,"")</f>
        <v/>
      </c>
      <c r="E169" s="10">
        <f>IFERROR(C169/B169,"")</f>
        <v/>
      </c>
      <c r="F169" s="11">
        <f>IFERROR((D169/D168-1)*100,"")</f>
        <v/>
      </c>
      <c r="G169" s="11" t="inlineStr"/>
      <c r="H169" s="10" t="inlineStr"/>
      <c r="I169" s="10" t="n">
        <v>0.2438020778749136</v>
      </c>
      <c r="J169" t="inlineStr"/>
      <c r="K169" t="inlineStr"/>
    </row>
    <row r="170">
      <c r="A170" s="7" t="inlineStr">
        <is>
          <t>2014-11-05</t>
        </is>
      </c>
      <c r="B170" s="8">
        <f>IFERROR(VLOOKUP($A170,'01-原始价格'!$A:$M,2,FALSE),"")</f>
        <v/>
      </c>
      <c r="C170" s="8">
        <f>IFERROR(VLOOKUP($A170,'01-原始价格'!$A:$M,8,FALSE),"")</f>
        <v/>
      </c>
      <c r="D170" s="10">
        <f>IFERROR(B170/C170,"")</f>
        <v/>
      </c>
      <c r="E170" s="10">
        <f>IFERROR(C170/B170,"")</f>
        <v/>
      </c>
      <c r="F170" s="11">
        <f>IFERROR((D170/D169-1)*100,"")</f>
        <v/>
      </c>
      <c r="G170" s="11" t="inlineStr"/>
      <c r="H170" s="10" t="inlineStr"/>
      <c r="I170" s="10" t="n">
        <v>0.1750409247478703</v>
      </c>
      <c r="J170" t="inlineStr"/>
      <c r="K170" t="inlineStr"/>
    </row>
    <row r="171">
      <c r="A171" s="7" t="inlineStr">
        <is>
          <t>2014-11-06</t>
        </is>
      </c>
      <c r="B171" s="8">
        <f>IFERROR(VLOOKUP($A171,'01-原始价格'!$A:$M,2,FALSE),"")</f>
        <v/>
      </c>
      <c r="C171" s="8">
        <f>IFERROR(VLOOKUP($A171,'01-原始价格'!$A:$M,8,FALSE),"")</f>
        <v/>
      </c>
      <c r="D171" s="10">
        <f>IFERROR(B171/C171,"")</f>
        <v/>
      </c>
      <c r="E171" s="10">
        <f>IFERROR(C171/B171,"")</f>
        <v/>
      </c>
      <c r="F171" s="11">
        <f>IFERROR((D171/D170-1)*100,"")</f>
        <v/>
      </c>
      <c r="G171" s="11" t="inlineStr"/>
      <c r="H171" s="10" t="inlineStr"/>
      <c r="I171" s="10" t="n">
        <v>0.5068259417128015</v>
      </c>
      <c r="J171" t="inlineStr"/>
      <c r="K171" t="inlineStr"/>
    </row>
    <row r="172">
      <c r="A172" s="7" t="inlineStr">
        <is>
          <t>2014-11-07</t>
        </is>
      </c>
      <c r="B172" s="8">
        <f>IFERROR(VLOOKUP($A172,'01-原始价格'!$A:$M,2,FALSE),"")</f>
        <v/>
      </c>
      <c r="C172" s="8">
        <f>IFERROR(VLOOKUP($A172,'01-原始价格'!$A:$M,8,FALSE),"")</f>
        <v/>
      </c>
      <c r="D172" s="10">
        <f>IFERROR(B172/C172,"")</f>
        <v/>
      </c>
      <c r="E172" s="10">
        <f>IFERROR(C172/B172,"")</f>
        <v/>
      </c>
      <c r="F172" s="11">
        <f>IFERROR((D172/D171-1)*100,"")</f>
        <v/>
      </c>
      <c r="G172" s="11" t="inlineStr"/>
      <c r="H172" s="10" t="inlineStr"/>
      <c r="I172" s="10" t="n">
        <v>0.6768805948572741</v>
      </c>
      <c r="J172" t="inlineStr"/>
      <c r="K172" t="inlineStr"/>
    </row>
    <row r="173">
      <c r="A173" s="7" t="inlineStr">
        <is>
          <t>2014-11-10</t>
        </is>
      </c>
      <c r="B173" s="8">
        <f>IFERROR(VLOOKUP($A173,'01-原始价格'!$A:$M,2,FALSE),"")</f>
        <v/>
      </c>
      <c r="C173" s="8">
        <f>IFERROR(VLOOKUP($A173,'01-原始价格'!$A:$M,8,FALSE),"")</f>
        <v/>
      </c>
      <c r="D173" s="10">
        <f>IFERROR(B173/C173,"")</f>
        <v/>
      </c>
      <c r="E173" s="10">
        <f>IFERROR(C173/B173,"")</f>
        <v/>
      </c>
      <c r="F173" s="11">
        <f>IFERROR((D173/D172-1)*100,"")</f>
        <v/>
      </c>
      <c r="G173" s="11" t="inlineStr"/>
      <c r="H173" s="10" t="inlineStr"/>
      <c r="I173" s="10" t="n">
        <v>0.3536223684103429</v>
      </c>
      <c r="J173" t="inlineStr"/>
      <c r="K173" t="inlineStr"/>
    </row>
    <row r="174">
      <c r="A174" s="7" t="inlineStr">
        <is>
          <t>2014-11-11</t>
        </is>
      </c>
      <c r="B174" s="8">
        <f>IFERROR(VLOOKUP($A174,'01-原始价格'!$A:$M,2,FALSE),"")</f>
        <v/>
      </c>
      <c r="C174" s="8">
        <f>IFERROR(VLOOKUP($A174,'01-原始价格'!$A:$M,8,FALSE),"")</f>
        <v/>
      </c>
      <c r="D174" s="10">
        <f>IFERROR(B174/C174,"")</f>
        <v/>
      </c>
      <c r="E174" s="10">
        <f>IFERROR(C174/B174,"")</f>
        <v/>
      </c>
      <c r="F174" s="11">
        <f>IFERROR((D174/D173-1)*100,"")</f>
        <v/>
      </c>
      <c r="G174" s="11" t="inlineStr"/>
      <c r="H174" s="10" t="inlineStr"/>
      <c r="I174" s="10" t="n">
        <v>0.3627425514006664</v>
      </c>
      <c r="J174" t="inlineStr"/>
      <c r="K174" t="inlineStr"/>
    </row>
    <row r="175">
      <c r="A175" s="7" t="inlineStr">
        <is>
          <t>2014-11-12</t>
        </is>
      </c>
      <c r="B175" s="8">
        <f>IFERROR(VLOOKUP($A175,'01-原始价格'!$A:$M,2,FALSE),"")</f>
        <v/>
      </c>
      <c r="C175" s="8">
        <f>IFERROR(VLOOKUP($A175,'01-原始价格'!$A:$M,8,FALSE),"")</f>
        <v/>
      </c>
      <c r="D175" s="10">
        <f>IFERROR(B175/C175,"")</f>
        <v/>
      </c>
      <c r="E175" s="10">
        <f>IFERROR(C175/B175,"")</f>
        <v/>
      </c>
      <c r="F175" s="11">
        <f>IFERROR((D175/D174-1)*100,"")</f>
        <v/>
      </c>
      <c r="G175" s="11" t="inlineStr"/>
      <c r="H175" s="10" t="inlineStr"/>
      <c r="I175" s="10" t="n">
        <v>-0.01398253817860499</v>
      </c>
      <c r="J175" t="inlineStr"/>
      <c r="K175" t="inlineStr"/>
    </row>
    <row r="176">
      <c r="A176" s="7" t="inlineStr">
        <is>
          <t>2014-11-13</t>
        </is>
      </c>
      <c r="B176" s="8">
        <f>IFERROR(VLOOKUP($A176,'01-原始价格'!$A:$M,2,FALSE),"")</f>
        <v/>
      </c>
      <c r="C176" s="8">
        <f>IFERROR(VLOOKUP($A176,'01-原始价格'!$A:$M,8,FALSE),"")</f>
        <v/>
      </c>
      <c r="D176" s="10">
        <f>IFERROR(B176/C176,"")</f>
        <v/>
      </c>
      <c r="E176" s="10">
        <f>IFERROR(C176/B176,"")</f>
        <v/>
      </c>
      <c r="F176" s="11">
        <f>IFERROR((D176/D175-1)*100,"")</f>
        <v/>
      </c>
      <c r="G176" s="11" t="inlineStr"/>
      <c r="H176" s="10" t="inlineStr"/>
      <c r="I176" s="10" t="n">
        <v>0.1872119317067531</v>
      </c>
      <c r="J176" t="inlineStr"/>
      <c r="K176" t="inlineStr"/>
    </row>
    <row r="177">
      <c r="A177" s="7" t="inlineStr">
        <is>
          <t>2014-11-14</t>
        </is>
      </c>
      <c r="B177" s="8">
        <f>IFERROR(VLOOKUP($A177,'01-原始价格'!$A:$M,2,FALSE),"")</f>
        <v/>
      </c>
      <c r="C177" s="8">
        <f>IFERROR(VLOOKUP($A177,'01-原始价格'!$A:$M,8,FALSE),"")</f>
        <v/>
      </c>
      <c r="D177" s="10">
        <f>IFERROR(B177/C177,"")</f>
        <v/>
      </c>
      <c r="E177" s="10">
        <f>IFERROR(C177/B177,"")</f>
        <v/>
      </c>
      <c r="F177" s="11">
        <f>IFERROR((D177/D176-1)*100,"")</f>
        <v/>
      </c>
      <c r="G177" s="11" t="inlineStr"/>
      <c r="H177" s="10" t="inlineStr"/>
      <c r="I177" s="10" t="n">
        <v>0.1063663498918111</v>
      </c>
      <c r="J177" t="inlineStr"/>
      <c r="K177" t="inlineStr"/>
    </row>
    <row r="178">
      <c r="A178" s="7" t="inlineStr">
        <is>
          <t>2014-11-17</t>
        </is>
      </c>
      <c r="B178" s="8">
        <f>IFERROR(VLOOKUP($A178,'01-原始价格'!$A:$M,2,FALSE),"")</f>
        <v/>
      </c>
      <c r="C178" s="8">
        <f>IFERROR(VLOOKUP($A178,'01-原始价格'!$A:$M,8,FALSE),"")</f>
        <v/>
      </c>
      <c r="D178" s="10">
        <f>IFERROR(B178/C178,"")</f>
        <v/>
      </c>
      <c r="E178" s="10">
        <f>IFERROR(C178/B178,"")</f>
        <v/>
      </c>
      <c r="F178" s="11">
        <f>IFERROR((D178/D177-1)*100,"")</f>
        <v/>
      </c>
      <c r="G178" s="11" t="inlineStr"/>
      <c r="H178" s="10" t="inlineStr"/>
      <c r="I178" s="10" t="n">
        <v>0.4668482815486944</v>
      </c>
      <c r="J178" t="inlineStr"/>
      <c r="K178" t="inlineStr"/>
    </row>
    <row r="179">
      <c r="A179" s="7" t="inlineStr">
        <is>
          <t>2014-11-18</t>
        </is>
      </c>
      <c r="B179" s="8">
        <f>IFERROR(VLOOKUP($A179,'01-原始价格'!$A:$M,2,FALSE),"")</f>
        <v/>
      </c>
      <c r="C179" s="8">
        <f>IFERROR(VLOOKUP($A179,'01-原始价格'!$A:$M,8,FALSE),"")</f>
        <v/>
      </c>
      <c r="D179" s="10">
        <f>IFERROR(B179/C179,"")</f>
        <v/>
      </c>
      <c r="E179" s="10">
        <f>IFERROR(C179/B179,"")</f>
        <v/>
      </c>
      <c r="F179" s="11">
        <f>IFERROR((D179/D178-1)*100,"")</f>
        <v/>
      </c>
      <c r="G179" s="11" t="inlineStr"/>
      <c r="H179" s="10" t="inlineStr"/>
      <c r="I179" s="10" t="n">
        <v>0.5034013633667973</v>
      </c>
      <c r="J179" t="inlineStr"/>
      <c r="K179" t="inlineStr"/>
    </row>
    <row r="180">
      <c r="A180" s="7" t="inlineStr">
        <is>
          <t>2014-11-19</t>
        </is>
      </c>
      <c r="B180" s="8">
        <f>IFERROR(VLOOKUP($A180,'01-原始价格'!$A:$M,2,FALSE),"")</f>
        <v/>
      </c>
      <c r="C180" s="8">
        <f>IFERROR(VLOOKUP($A180,'01-原始价格'!$A:$M,8,FALSE),"")</f>
        <v/>
      </c>
      <c r="D180" s="10">
        <f>IFERROR(B180/C180,"")</f>
        <v/>
      </c>
      <c r="E180" s="10">
        <f>IFERROR(C180/B180,"")</f>
        <v/>
      </c>
      <c r="F180" s="11">
        <f>IFERROR((D180/D179-1)*100,"")</f>
        <v/>
      </c>
      <c r="G180" s="11" t="inlineStr"/>
      <c r="H180" s="10" t="inlineStr"/>
      <c r="I180" s="10" t="n">
        <v>0.6226516964559866</v>
      </c>
      <c r="J180" t="inlineStr"/>
      <c r="K180" t="inlineStr"/>
    </row>
    <row r="181">
      <c r="A181" s="7" t="inlineStr">
        <is>
          <t>2014-11-20</t>
        </is>
      </c>
      <c r="B181" s="8">
        <f>IFERROR(VLOOKUP($A181,'01-原始价格'!$A:$M,2,FALSE),"")</f>
        <v/>
      </c>
      <c r="C181" s="8">
        <f>IFERROR(VLOOKUP($A181,'01-原始价格'!$A:$M,8,FALSE),"")</f>
        <v/>
      </c>
      <c r="D181" s="10">
        <f>IFERROR(B181/C181,"")</f>
        <v/>
      </c>
      <c r="E181" s="10">
        <f>IFERROR(C181/B181,"")</f>
        <v/>
      </c>
      <c r="F181" s="11">
        <f>IFERROR((D181/D180-1)*100,"")</f>
        <v/>
      </c>
      <c r="G181" s="11" t="inlineStr"/>
      <c r="H181" s="10" t="inlineStr"/>
      <c r="I181" s="10" t="n">
        <v>0.38844474876745</v>
      </c>
      <c r="J181" t="inlineStr"/>
      <c r="K181" t="inlineStr"/>
    </row>
    <row r="182">
      <c r="A182" s="7" t="inlineStr">
        <is>
          <t>2014-11-21</t>
        </is>
      </c>
      <c r="B182" s="8">
        <f>IFERROR(VLOOKUP($A182,'01-原始价格'!$A:$M,2,FALSE),"")</f>
        <v/>
      </c>
      <c r="C182" s="8">
        <f>IFERROR(VLOOKUP($A182,'01-原始价格'!$A:$M,8,FALSE),"")</f>
        <v/>
      </c>
      <c r="D182" s="10">
        <f>IFERROR(B182/C182,"")</f>
        <v/>
      </c>
      <c r="E182" s="10">
        <f>IFERROR(C182/B182,"")</f>
        <v/>
      </c>
      <c r="F182" s="11">
        <f>IFERROR((D182/D181-1)*100,"")</f>
        <v/>
      </c>
      <c r="G182" s="11" t="inlineStr"/>
      <c r="H182" s="10" t="inlineStr"/>
      <c r="I182" s="10" t="n">
        <v>0.7040149922506556</v>
      </c>
      <c r="J182" t="inlineStr"/>
      <c r="K182" t="inlineStr"/>
    </row>
    <row r="183">
      <c r="A183" s="7" t="inlineStr">
        <is>
          <t>2014-11-24</t>
        </is>
      </c>
      <c r="B183" s="8">
        <f>IFERROR(VLOOKUP($A183,'01-原始价格'!$A:$M,2,FALSE),"")</f>
        <v/>
      </c>
      <c r="C183" s="8">
        <f>IFERROR(VLOOKUP($A183,'01-原始价格'!$A:$M,8,FALSE),"")</f>
        <v/>
      </c>
      <c r="D183" s="10">
        <f>IFERROR(B183/C183,"")</f>
        <v/>
      </c>
      <c r="E183" s="10">
        <f>IFERROR(C183/B183,"")</f>
        <v/>
      </c>
      <c r="F183" s="11">
        <f>IFERROR((D183/D182-1)*100,"")</f>
        <v/>
      </c>
      <c r="G183" s="11" t="inlineStr"/>
      <c r="H183" s="10" t="inlineStr"/>
      <c r="I183" s="10" t="n">
        <v>0.6633490272207559</v>
      </c>
      <c r="J183" t="inlineStr"/>
      <c r="K183" t="inlineStr"/>
    </row>
    <row r="184">
      <c r="A184" s="7" t="inlineStr">
        <is>
          <t>2014-11-25</t>
        </is>
      </c>
      <c r="B184" s="8">
        <f>IFERROR(VLOOKUP($A184,'01-原始价格'!$A:$M,2,FALSE),"")</f>
        <v/>
      </c>
      <c r="C184" s="8">
        <f>IFERROR(VLOOKUP($A184,'01-原始价格'!$A:$M,8,FALSE),"")</f>
        <v/>
      </c>
      <c r="D184" s="10">
        <f>IFERROR(B184/C184,"")</f>
        <v/>
      </c>
      <c r="E184" s="10">
        <f>IFERROR(C184/B184,"")</f>
        <v/>
      </c>
      <c r="F184" s="11">
        <f>IFERROR((D184/D183-1)*100,"")</f>
        <v/>
      </c>
      <c r="G184" s="11" t="inlineStr"/>
      <c r="H184" s="10" t="inlineStr"/>
      <c r="I184" s="10" t="n">
        <v>-4.009033227684703</v>
      </c>
      <c r="J184" s="9" t="inlineStr">
        <is>
          <t>是</t>
        </is>
      </c>
      <c r="K184" t="inlineStr"/>
      <c r="L184" t="inlineStr">
        <is>
          <t>统计异常</t>
        </is>
      </c>
    </row>
    <row r="185">
      <c r="A185" s="7" t="inlineStr">
        <is>
          <t>2014-11-26</t>
        </is>
      </c>
      <c r="B185" s="8">
        <f>IFERROR(VLOOKUP($A185,'01-原始价格'!$A:$M,2,FALSE),"")</f>
        <v/>
      </c>
      <c r="C185" s="8">
        <f>IFERROR(VLOOKUP($A185,'01-原始价格'!$A:$M,8,FALSE),"")</f>
        <v/>
      </c>
      <c r="D185" s="10">
        <f>IFERROR(B185/C185,"")</f>
        <v/>
      </c>
      <c r="E185" s="10">
        <f>IFERROR(C185/B185,"")</f>
        <v/>
      </c>
      <c r="F185" s="11">
        <f>IFERROR((D185/D184-1)*100,"")</f>
        <v/>
      </c>
      <c r="G185" s="11" t="inlineStr"/>
      <c r="H185" s="10" t="inlineStr"/>
      <c r="I185" s="10" t="n">
        <v>-4.384783577801961</v>
      </c>
      <c r="J185" s="9" t="inlineStr">
        <is>
          <t>是</t>
        </is>
      </c>
      <c r="K185" t="inlineStr"/>
      <c r="L185" t="inlineStr">
        <is>
          <t>统计异常</t>
        </is>
      </c>
    </row>
    <row r="186">
      <c r="A186" s="7" t="inlineStr">
        <is>
          <t>2014-11-27</t>
        </is>
      </c>
      <c r="B186" s="8">
        <f>IFERROR(VLOOKUP($A186,'01-原始价格'!$A:$M,2,FALSE),"")</f>
        <v/>
      </c>
      <c r="C186" s="8">
        <f>IFERROR(VLOOKUP($A186,'01-原始价格'!$A:$M,8,FALSE),"")</f>
        <v/>
      </c>
      <c r="D186" s="10">
        <f>IFERROR(B186/C186,"")</f>
        <v/>
      </c>
      <c r="E186" s="10">
        <f>IFERROR(C186/B186,"")</f>
        <v/>
      </c>
      <c r="F186" s="11">
        <f>IFERROR((D186/D185-1)*100,"")</f>
        <v/>
      </c>
      <c r="G186" s="11" t="inlineStr"/>
      <c r="H186" s="10" t="inlineStr"/>
      <c r="I186" s="10" t="n">
        <v>-4.284042390065985</v>
      </c>
      <c r="J186" s="9" t="inlineStr">
        <is>
          <t>是</t>
        </is>
      </c>
      <c r="K186" t="inlineStr"/>
      <c r="L186" t="inlineStr">
        <is>
          <t>统计异常</t>
        </is>
      </c>
    </row>
    <row r="187">
      <c r="A187" s="7" t="inlineStr">
        <is>
          <t>2014-11-28</t>
        </is>
      </c>
      <c r="B187" s="8">
        <f>IFERROR(VLOOKUP($A187,'01-原始价格'!$A:$M,2,FALSE),"")</f>
        <v/>
      </c>
      <c r="C187" s="8">
        <f>IFERROR(VLOOKUP($A187,'01-原始价格'!$A:$M,8,FALSE),"")</f>
        <v/>
      </c>
      <c r="D187" s="10">
        <f>IFERROR(B187/C187,"")</f>
        <v/>
      </c>
      <c r="E187" s="10">
        <f>IFERROR(C187/B187,"")</f>
        <v/>
      </c>
      <c r="F187" s="11">
        <f>IFERROR((D187/D186-1)*100,"")</f>
        <v/>
      </c>
      <c r="G187" s="11" t="inlineStr"/>
      <c r="H187" s="10" t="inlineStr"/>
      <c r="I187" s="10" t="n">
        <v>-4.220954291427343</v>
      </c>
      <c r="J187" s="9" t="inlineStr">
        <is>
          <t>是</t>
        </is>
      </c>
      <c r="K187" t="inlineStr"/>
      <c r="L187" t="inlineStr">
        <is>
          <t>统计异常</t>
        </is>
      </c>
    </row>
    <row r="188">
      <c r="A188" s="7" t="inlineStr">
        <is>
          <t>2014-12-01</t>
        </is>
      </c>
      <c r="B188" s="8">
        <f>IFERROR(VLOOKUP($A188,'01-原始价格'!$A:$M,2,FALSE),"")</f>
        <v/>
      </c>
      <c r="C188" s="8">
        <f>IFERROR(VLOOKUP($A188,'01-原始价格'!$A:$M,8,FALSE),"")</f>
        <v/>
      </c>
      <c r="D188" s="10">
        <f>IFERROR(B188/C188,"")</f>
        <v/>
      </c>
      <c r="E188" s="10">
        <f>IFERROR(C188/B188,"")</f>
        <v/>
      </c>
      <c r="F188" s="11">
        <f>IFERROR((D188/D187-1)*100,"")</f>
        <v/>
      </c>
      <c r="G188" s="11" t="inlineStr"/>
      <c r="H188" s="10" t="inlineStr"/>
      <c r="I188" s="10" t="n">
        <v>-0.08868082905428107</v>
      </c>
      <c r="J188" t="inlineStr"/>
      <c r="K188" t="inlineStr"/>
    </row>
    <row r="189">
      <c r="A189" s="7" t="inlineStr">
        <is>
          <t>2014-12-02</t>
        </is>
      </c>
      <c r="B189" s="8">
        <f>IFERROR(VLOOKUP($A189,'01-原始价格'!$A:$M,2,FALSE),"")</f>
        <v/>
      </c>
      <c r="C189" s="8">
        <f>IFERROR(VLOOKUP($A189,'01-原始价格'!$A:$M,8,FALSE),"")</f>
        <v/>
      </c>
      <c r="D189" s="10">
        <f>IFERROR(B189/C189,"")</f>
        <v/>
      </c>
      <c r="E189" s="10">
        <f>IFERROR(C189/B189,"")</f>
        <v/>
      </c>
      <c r="F189" s="11">
        <f>IFERROR((D189/D188-1)*100,"")</f>
        <v/>
      </c>
      <c r="G189" s="11" t="inlineStr"/>
      <c r="H189" s="10" t="inlineStr"/>
      <c r="I189" s="10" t="n">
        <v>-0.1440337405183357</v>
      </c>
      <c r="J189" t="inlineStr"/>
      <c r="K189" t="inlineStr"/>
    </row>
    <row r="190">
      <c r="A190" s="7" t="inlineStr">
        <is>
          <t>2014-12-03</t>
        </is>
      </c>
      <c r="B190" s="8">
        <f>IFERROR(VLOOKUP($A190,'01-原始价格'!$A:$M,2,FALSE),"")</f>
        <v/>
      </c>
      <c r="C190" s="8">
        <f>IFERROR(VLOOKUP($A190,'01-原始价格'!$A:$M,8,FALSE),"")</f>
        <v/>
      </c>
      <c r="D190" s="10">
        <f>IFERROR(B190/C190,"")</f>
        <v/>
      </c>
      <c r="E190" s="10">
        <f>IFERROR(C190/B190,"")</f>
        <v/>
      </c>
      <c r="F190" s="11">
        <f>IFERROR((D190/D189-1)*100,"")</f>
        <v/>
      </c>
      <c r="G190" s="11" t="inlineStr"/>
      <c r="H190" s="10" t="inlineStr"/>
      <c r="I190" s="10" t="n">
        <v>-0.3939043303331751</v>
      </c>
      <c r="J190" t="inlineStr"/>
      <c r="K190" t="inlineStr"/>
    </row>
    <row r="191">
      <c r="A191" s="7" t="inlineStr">
        <is>
          <t>2014-12-04</t>
        </is>
      </c>
      <c r="B191" s="8">
        <f>IFERROR(VLOOKUP($A191,'01-原始价格'!$A:$M,2,FALSE),"")</f>
        <v/>
      </c>
      <c r="C191" s="8">
        <f>IFERROR(VLOOKUP($A191,'01-原始价格'!$A:$M,8,FALSE),"")</f>
        <v/>
      </c>
      <c r="D191" s="10">
        <f>IFERROR(B191/C191,"")</f>
        <v/>
      </c>
      <c r="E191" s="10">
        <f>IFERROR(C191/B191,"")</f>
        <v/>
      </c>
      <c r="F191" s="11">
        <f>IFERROR((D191/D190-1)*100,"")</f>
        <v/>
      </c>
      <c r="G191" s="11" t="inlineStr"/>
      <c r="H191" s="10" t="inlineStr"/>
      <c r="I191" s="10" t="n">
        <v>-0.3666936489492092</v>
      </c>
      <c r="J191" t="inlineStr"/>
      <c r="K191" t="inlineStr"/>
    </row>
    <row r="192">
      <c r="A192" s="7" t="inlineStr">
        <is>
          <t>2014-12-05</t>
        </is>
      </c>
      <c r="B192" s="8">
        <f>IFERROR(VLOOKUP($A192,'01-原始价格'!$A:$M,2,FALSE),"")</f>
        <v/>
      </c>
      <c r="C192" s="8">
        <f>IFERROR(VLOOKUP($A192,'01-原始价格'!$A:$M,8,FALSE),"")</f>
        <v/>
      </c>
      <c r="D192" s="10">
        <f>IFERROR(B192/C192,"")</f>
        <v/>
      </c>
      <c r="E192" s="10">
        <f>IFERROR(C192/B192,"")</f>
        <v/>
      </c>
      <c r="F192" s="11">
        <f>IFERROR((D192/D191-1)*100,"")</f>
        <v/>
      </c>
      <c r="G192" s="11" t="inlineStr"/>
      <c r="H192" s="10" t="inlineStr"/>
      <c r="I192" s="10" t="n">
        <v>-0.6322553806638537</v>
      </c>
      <c r="J192" t="inlineStr"/>
      <c r="K192" t="inlineStr"/>
    </row>
    <row r="193">
      <c r="A193" s="7" t="inlineStr">
        <is>
          <t>2014-12-08</t>
        </is>
      </c>
      <c r="B193" s="8">
        <f>IFERROR(VLOOKUP($A193,'01-原始价格'!$A:$M,2,FALSE),"")</f>
        <v/>
      </c>
      <c r="C193" s="8">
        <f>IFERROR(VLOOKUP($A193,'01-原始价格'!$A:$M,8,FALSE),"")</f>
        <v/>
      </c>
      <c r="D193" s="10">
        <f>IFERROR(B193/C193,"")</f>
        <v/>
      </c>
      <c r="E193" s="10">
        <f>IFERROR(C193/B193,"")</f>
        <v/>
      </c>
      <c r="F193" s="11">
        <f>IFERROR((D193/D192-1)*100,"")</f>
        <v/>
      </c>
      <c r="G193" s="11" t="inlineStr"/>
      <c r="H193" s="10" t="inlineStr"/>
      <c r="I193" s="10" t="n">
        <v>-0.4989854506009348</v>
      </c>
      <c r="J193" t="inlineStr"/>
      <c r="K193" t="inlineStr"/>
    </row>
    <row r="194">
      <c r="A194" s="7" t="inlineStr">
        <is>
          <t>2014-12-09</t>
        </is>
      </c>
      <c r="B194" s="8">
        <f>IFERROR(VLOOKUP($A194,'01-原始价格'!$A:$M,2,FALSE),"")</f>
        <v/>
      </c>
      <c r="C194" s="8">
        <f>IFERROR(VLOOKUP($A194,'01-原始价格'!$A:$M,8,FALSE),"")</f>
        <v/>
      </c>
      <c r="D194" s="10">
        <f>IFERROR(B194/C194,"")</f>
        <v/>
      </c>
      <c r="E194" s="10">
        <f>IFERROR(C194/B194,"")</f>
        <v/>
      </c>
      <c r="F194" s="11">
        <f>IFERROR((D194/D193-1)*100,"")</f>
        <v/>
      </c>
      <c r="G194" s="11" t="inlineStr"/>
      <c r="H194" s="10" t="inlineStr"/>
      <c r="I194" s="10" t="n">
        <v>-0.5181166265651292</v>
      </c>
      <c r="J194" t="inlineStr"/>
      <c r="K194" t="inlineStr"/>
    </row>
    <row r="195">
      <c r="A195" s="7" t="inlineStr">
        <is>
          <t>2014-12-10</t>
        </is>
      </c>
      <c r="B195" s="8">
        <f>IFERROR(VLOOKUP($A195,'01-原始价格'!$A:$M,2,FALSE),"")</f>
        <v/>
      </c>
      <c r="C195" s="8">
        <f>IFERROR(VLOOKUP($A195,'01-原始价格'!$A:$M,8,FALSE),"")</f>
        <v/>
      </c>
      <c r="D195" s="10">
        <f>IFERROR(B195/C195,"")</f>
        <v/>
      </c>
      <c r="E195" s="10">
        <f>IFERROR(C195/B195,"")</f>
        <v/>
      </c>
      <c r="F195" s="11">
        <f>IFERROR((D195/D194-1)*100,"")</f>
        <v/>
      </c>
      <c r="G195" s="11" t="inlineStr"/>
      <c r="H195" s="10" t="inlineStr"/>
      <c r="I195" s="10" t="n">
        <v>-0.9577264685985534</v>
      </c>
      <c r="J195" t="inlineStr"/>
      <c r="K195" t="inlineStr"/>
    </row>
    <row r="196">
      <c r="A196" s="7" t="inlineStr">
        <is>
          <t>2014-12-11</t>
        </is>
      </c>
      <c r="B196" s="8">
        <f>IFERROR(VLOOKUP($A196,'01-原始价格'!$A:$M,2,FALSE),"")</f>
        <v/>
      </c>
      <c r="C196" s="8">
        <f>IFERROR(VLOOKUP($A196,'01-原始价格'!$A:$M,8,FALSE),"")</f>
        <v/>
      </c>
      <c r="D196" s="10">
        <f>IFERROR(B196/C196,"")</f>
        <v/>
      </c>
      <c r="E196" s="10">
        <f>IFERROR(C196/B196,"")</f>
        <v/>
      </c>
      <c r="F196" s="11">
        <f>IFERROR((D196/D195-1)*100,"")</f>
        <v/>
      </c>
      <c r="G196" s="11" t="inlineStr"/>
      <c r="H196" s="10" t="inlineStr"/>
      <c r="I196" s="10" t="n">
        <v>-1.480929248324665</v>
      </c>
      <c r="J196" t="inlineStr"/>
      <c r="K196" t="inlineStr"/>
    </row>
    <row r="197">
      <c r="A197" s="7" t="inlineStr">
        <is>
          <t>2014-12-12</t>
        </is>
      </c>
      <c r="B197" s="8">
        <f>IFERROR(VLOOKUP($A197,'01-原始价格'!$A:$M,2,FALSE),"")</f>
        <v/>
      </c>
      <c r="C197" s="8">
        <f>IFERROR(VLOOKUP($A197,'01-原始价格'!$A:$M,8,FALSE),"")</f>
        <v/>
      </c>
      <c r="D197" s="10">
        <f>IFERROR(B197/C197,"")</f>
        <v/>
      </c>
      <c r="E197" s="10">
        <f>IFERROR(C197/B197,"")</f>
        <v/>
      </c>
      <c r="F197" s="11">
        <f>IFERROR((D197/D196-1)*100,"")</f>
        <v/>
      </c>
      <c r="G197" s="11" t="inlineStr"/>
      <c r="H197" s="10" t="inlineStr"/>
      <c r="I197" s="10" t="n">
        <v>-1.799480039228762</v>
      </c>
      <c r="J197" t="inlineStr"/>
      <c r="K197" t="inlineStr"/>
    </row>
    <row r="198">
      <c r="A198" s="7" t="inlineStr">
        <is>
          <t>2014-12-15</t>
        </is>
      </c>
      <c r="B198" s="8">
        <f>IFERROR(VLOOKUP($A198,'01-原始价格'!$A:$M,2,FALSE),"")</f>
        <v/>
      </c>
      <c r="C198" s="8">
        <f>IFERROR(VLOOKUP($A198,'01-原始价格'!$A:$M,8,FALSE),"")</f>
        <v/>
      </c>
      <c r="D198" s="10">
        <f>IFERROR(B198/C198,"")</f>
        <v/>
      </c>
      <c r="E198" s="10">
        <f>IFERROR(C198/B198,"")</f>
        <v/>
      </c>
      <c r="F198" s="11">
        <f>IFERROR((D198/D197-1)*100,"")</f>
        <v/>
      </c>
      <c r="G198" s="11" t="inlineStr"/>
      <c r="H198" s="10" t="inlineStr"/>
      <c r="I198" s="10" t="n">
        <v>-2.074032865726497</v>
      </c>
      <c r="J198" t="inlineStr"/>
      <c r="K198" t="inlineStr"/>
    </row>
    <row r="199">
      <c r="A199" s="7" t="inlineStr">
        <is>
          <t>2014-12-16</t>
        </is>
      </c>
      <c r="B199" s="8">
        <f>IFERROR(VLOOKUP($A199,'01-原始价格'!$A:$M,2,FALSE),"")</f>
        <v/>
      </c>
      <c r="C199" s="8">
        <f>IFERROR(VLOOKUP($A199,'01-原始价格'!$A:$M,8,FALSE),"")</f>
        <v/>
      </c>
      <c r="D199" s="10">
        <f>IFERROR(B199/C199,"")</f>
        <v/>
      </c>
      <c r="E199" s="10">
        <f>IFERROR(C199/B199,"")</f>
        <v/>
      </c>
      <c r="F199" s="11">
        <f>IFERROR((D199/D198-1)*100,"")</f>
        <v/>
      </c>
      <c r="G199" s="11" t="inlineStr"/>
      <c r="H199" s="10" t="inlineStr"/>
      <c r="I199" s="10" t="n">
        <v>-1.770758223614281</v>
      </c>
      <c r="J199" t="inlineStr"/>
      <c r="K199" t="inlineStr"/>
    </row>
    <row r="200">
      <c r="A200" s="7" t="inlineStr">
        <is>
          <t>2014-12-17</t>
        </is>
      </c>
      <c r="B200" s="8">
        <f>IFERROR(VLOOKUP($A200,'01-原始价格'!$A:$M,2,FALSE),"")</f>
        <v/>
      </c>
      <c r="C200" s="8">
        <f>IFERROR(VLOOKUP($A200,'01-原始价格'!$A:$M,8,FALSE),"")</f>
        <v/>
      </c>
      <c r="D200" s="10">
        <f>IFERROR(B200/C200,"")</f>
        <v/>
      </c>
      <c r="E200" s="10">
        <f>IFERROR(C200/B200,"")</f>
        <v/>
      </c>
      <c r="F200" s="11">
        <f>IFERROR((D200/D199-1)*100,"")</f>
        <v/>
      </c>
      <c r="G200" s="11" t="inlineStr"/>
      <c r="H200" s="10" t="inlineStr"/>
      <c r="I200" s="10" t="n">
        <v>-2.232501739086141</v>
      </c>
      <c r="J200" t="inlineStr"/>
      <c r="K200" t="inlineStr"/>
    </row>
    <row r="201">
      <c r="A201" s="7" t="inlineStr">
        <is>
          <t>2014-12-18</t>
        </is>
      </c>
      <c r="B201" s="8">
        <f>IFERROR(VLOOKUP($A201,'01-原始价格'!$A:$M,2,FALSE),"")</f>
        <v/>
      </c>
      <c r="C201" s="8">
        <f>IFERROR(VLOOKUP($A201,'01-原始价格'!$A:$M,8,FALSE),"")</f>
        <v/>
      </c>
      <c r="D201" s="10">
        <f>IFERROR(B201/C201,"")</f>
        <v/>
      </c>
      <c r="E201" s="10">
        <f>IFERROR(C201/B201,"")</f>
        <v/>
      </c>
      <c r="F201" s="11">
        <f>IFERROR((D201/D200-1)*100,"")</f>
        <v/>
      </c>
      <c r="G201" s="11" t="inlineStr"/>
      <c r="H201" s="10" t="inlineStr"/>
      <c r="I201" s="10" t="n">
        <v>-2.621312051647478</v>
      </c>
      <c r="J201" t="inlineStr"/>
      <c r="K201" t="inlineStr"/>
    </row>
    <row r="202">
      <c r="A202" s="7" t="inlineStr">
        <is>
          <t>2014-12-19</t>
        </is>
      </c>
      <c r="B202" s="8">
        <f>IFERROR(VLOOKUP($A202,'01-原始价格'!$A:$M,2,FALSE),"")</f>
        <v/>
      </c>
      <c r="C202" s="8">
        <f>IFERROR(VLOOKUP($A202,'01-原始价格'!$A:$M,8,FALSE),"")</f>
        <v/>
      </c>
      <c r="D202" s="10">
        <f>IFERROR(B202/C202,"")</f>
        <v/>
      </c>
      <c r="E202" s="10">
        <f>IFERROR(C202/B202,"")</f>
        <v/>
      </c>
      <c r="F202" s="11">
        <f>IFERROR((D202/D201-1)*100,"")</f>
        <v/>
      </c>
      <c r="G202" s="11" t="inlineStr"/>
      <c r="H202" s="10" t="inlineStr"/>
      <c r="I202" s="10" t="n">
        <v>-2.800196450652183</v>
      </c>
      <c r="J202" t="inlineStr"/>
      <c r="K202" t="inlineStr"/>
    </row>
    <row r="203">
      <c r="A203" s="7" t="inlineStr">
        <is>
          <t>2014-12-22</t>
        </is>
      </c>
      <c r="B203" s="8">
        <f>IFERROR(VLOOKUP($A203,'01-原始价格'!$A:$M,2,FALSE),"")</f>
        <v/>
      </c>
      <c r="C203" s="8">
        <f>IFERROR(VLOOKUP($A203,'01-原始价格'!$A:$M,8,FALSE),"")</f>
        <v/>
      </c>
      <c r="D203" s="10">
        <f>IFERROR(B203/C203,"")</f>
        <v/>
      </c>
      <c r="E203" s="10">
        <f>IFERROR(C203/B203,"")</f>
        <v/>
      </c>
      <c r="F203" s="11">
        <f>IFERROR((D203/D202-1)*100,"")</f>
        <v/>
      </c>
      <c r="G203" s="11" t="inlineStr"/>
      <c r="H203" s="10" t="inlineStr"/>
      <c r="I203" s="10" t="n">
        <v>-2.347798595559578</v>
      </c>
      <c r="J203" t="inlineStr"/>
      <c r="K203" t="inlineStr"/>
    </row>
    <row r="204">
      <c r="A204" s="7" t="inlineStr">
        <is>
          <t>2014-12-23</t>
        </is>
      </c>
      <c r="B204" s="8">
        <f>IFERROR(VLOOKUP($A204,'01-原始价格'!$A:$M,2,FALSE),"")</f>
        <v/>
      </c>
      <c r="C204" s="8">
        <f>IFERROR(VLOOKUP($A204,'01-原始价格'!$A:$M,8,FALSE),"")</f>
        <v/>
      </c>
      <c r="D204" s="10">
        <f>IFERROR(B204/C204,"")</f>
        <v/>
      </c>
      <c r="E204" s="10">
        <f>IFERROR(C204/B204,"")</f>
        <v/>
      </c>
      <c r="F204" s="11">
        <f>IFERROR((D204/D203-1)*100,"")</f>
        <v/>
      </c>
      <c r="G204" s="11" t="inlineStr"/>
      <c r="H204" s="10" t="inlineStr"/>
      <c r="I204" s="10" t="n">
        <v>-1.836480004089919</v>
      </c>
      <c r="J204" t="inlineStr"/>
      <c r="K204" t="inlineStr"/>
    </row>
    <row r="205">
      <c r="A205" s="7" t="inlineStr">
        <is>
          <t>2014-12-24</t>
        </is>
      </c>
      <c r="B205" s="8">
        <f>IFERROR(VLOOKUP($A205,'01-原始价格'!$A:$M,2,FALSE),"")</f>
        <v/>
      </c>
      <c r="C205" s="8">
        <f>IFERROR(VLOOKUP($A205,'01-原始价格'!$A:$M,8,FALSE),"")</f>
        <v/>
      </c>
      <c r="D205" s="10">
        <f>IFERROR(B205/C205,"")</f>
        <v/>
      </c>
      <c r="E205" s="10">
        <f>IFERROR(C205/B205,"")</f>
        <v/>
      </c>
      <c r="F205" s="11">
        <f>IFERROR((D205/D204-1)*100,"")</f>
        <v/>
      </c>
      <c r="G205" s="11" t="inlineStr"/>
      <c r="H205" s="10" t="inlineStr"/>
      <c r="I205" s="10" t="n">
        <v>-2.142487823884981</v>
      </c>
      <c r="J205" t="inlineStr"/>
      <c r="K205" t="inlineStr"/>
    </row>
    <row r="206">
      <c r="A206" s="7" t="inlineStr">
        <is>
          <t>2014-12-25</t>
        </is>
      </c>
      <c r="B206" s="8">
        <f>IFERROR(VLOOKUP($A206,'01-原始价格'!$A:$M,2,FALSE),"")</f>
        <v/>
      </c>
      <c r="C206" s="8">
        <f>IFERROR(VLOOKUP($A206,'01-原始价格'!$A:$M,8,FALSE),"")</f>
        <v/>
      </c>
      <c r="D206" s="10">
        <f>IFERROR(B206/C206,"")</f>
        <v/>
      </c>
      <c r="E206" s="10">
        <f>IFERROR(C206/B206,"")</f>
        <v/>
      </c>
      <c r="F206" s="11">
        <f>IFERROR((D206/D205-1)*100,"")</f>
        <v/>
      </c>
      <c r="G206" s="11" t="inlineStr"/>
      <c r="H206" s="10" t="inlineStr"/>
      <c r="I206" s="10" t="n">
        <v>-1.720023663875663</v>
      </c>
      <c r="J206" t="inlineStr"/>
      <c r="K206" t="inlineStr"/>
    </row>
    <row r="207">
      <c r="A207" s="7" t="inlineStr">
        <is>
          <t>2014-12-26</t>
        </is>
      </c>
      <c r="B207" s="8">
        <f>IFERROR(VLOOKUP($A207,'01-原始价格'!$A:$M,2,FALSE),"")</f>
        <v/>
      </c>
      <c r="C207" s="8">
        <f>IFERROR(VLOOKUP($A207,'01-原始价格'!$A:$M,8,FALSE),"")</f>
        <v/>
      </c>
      <c r="D207" s="10">
        <f>IFERROR(B207/C207,"")</f>
        <v/>
      </c>
      <c r="E207" s="10">
        <f>IFERROR(C207/B207,"")</f>
        <v/>
      </c>
      <c r="F207" s="11">
        <f>IFERROR((D207/D206-1)*100,"")</f>
        <v/>
      </c>
      <c r="G207" s="11" t="inlineStr"/>
      <c r="H207" s="10" t="inlineStr"/>
      <c r="I207" s="10" t="n">
        <v>-1.339978094165329</v>
      </c>
      <c r="J207" t="inlineStr"/>
      <c r="K207" t="inlineStr"/>
    </row>
    <row r="208">
      <c r="A208" s="7" t="inlineStr">
        <is>
          <t>2014-12-29</t>
        </is>
      </c>
      <c r="B208" s="8">
        <f>IFERROR(VLOOKUP($A208,'01-原始价格'!$A:$M,2,FALSE),"")</f>
        <v/>
      </c>
      <c r="C208" s="8">
        <f>IFERROR(VLOOKUP($A208,'01-原始价格'!$A:$M,8,FALSE),"")</f>
        <v/>
      </c>
      <c r="D208" s="10">
        <f>IFERROR(B208/C208,"")</f>
        <v/>
      </c>
      <c r="E208" s="10">
        <f>IFERROR(C208/B208,"")</f>
        <v/>
      </c>
      <c r="F208" s="11">
        <f>IFERROR((D208/D207-1)*100,"")</f>
        <v/>
      </c>
      <c r="G208" s="11" t="inlineStr"/>
      <c r="H208" s="10" t="inlineStr"/>
      <c r="I208" s="10" t="n">
        <v>-1.718204393413763</v>
      </c>
      <c r="J208" t="inlineStr"/>
      <c r="K208" t="inlineStr"/>
    </row>
    <row r="209">
      <c r="A209" s="7" t="inlineStr">
        <is>
          <t>2014-12-30</t>
        </is>
      </c>
      <c r="B209" s="8">
        <f>IFERROR(VLOOKUP($A209,'01-原始价格'!$A:$M,2,FALSE),"")</f>
        <v/>
      </c>
      <c r="C209" s="8">
        <f>IFERROR(VLOOKUP($A209,'01-原始价格'!$A:$M,8,FALSE),"")</f>
        <v/>
      </c>
      <c r="D209" s="10">
        <f>IFERROR(B209/C209,"")</f>
        <v/>
      </c>
      <c r="E209" s="10">
        <f>IFERROR(C209/B209,"")</f>
        <v/>
      </c>
      <c r="F209" s="11">
        <f>IFERROR((D209/D208-1)*100,"")</f>
        <v/>
      </c>
      <c r="G209" s="11" t="inlineStr"/>
      <c r="H209" s="10" t="inlineStr"/>
      <c r="I209" s="10" t="n">
        <v>-1.834579312561675</v>
      </c>
      <c r="J209" t="inlineStr"/>
      <c r="K209" t="inlineStr"/>
    </row>
    <row r="210">
      <c r="A210" s="7" t="inlineStr">
        <is>
          <t>2014-12-31</t>
        </is>
      </c>
      <c r="B210" s="8">
        <f>IFERROR(VLOOKUP($A210,'01-原始价格'!$A:$M,2,FALSE),"")</f>
        <v/>
      </c>
      <c r="C210" s="8">
        <f>IFERROR(VLOOKUP($A210,'01-原始价格'!$A:$M,8,FALSE),"")</f>
        <v/>
      </c>
      <c r="D210" s="10">
        <f>IFERROR(B210/C210,"")</f>
        <v/>
      </c>
      <c r="E210" s="10">
        <f>IFERROR(C210/B210,"")</f>
        <v/>
      </c>
      <c r="F210" s="11">
        <f>IFERROR((D210/D209-1)*100,"")</f>
        <v/>
      </c>
      <c r="G210" s="11" t="inlineStr"/>
      <c r="H210" s="10" t="inlineStr"/>
      <c r="I210" s="10" t="n">
        <v>-2.294275444918889</v>
      </c>
      <c r="J210" t="inlineStr"/>
      <c r="K210" t="inlineStr"/>
    </row>
    <row r="211">
      <c r="A211" s="7" t="inlineStr">
        <is>
          <t>2015-01-05</t>
        </is>
      </c>
      <c r="B211" s="8">
        <f>IFERROR(VLOOKUP($A211,'01-原始价格'!$A:$M,2,FALSE),"")</f>
        <v/>
      </c>
      <c r="C211" s="8">
        <f>IFERROR(VLOOKUP($A211,'01-原始价格'!$A:$M,8,FALSE),"")</f>
        <v/>
      </c>
      <c r="D211" s="10">
        <f>IFERROR(B211/C211,"")</f>
        <v/>
      </c>
      <c r="E211" s="10">
        <f>IFERROR(C211/B211,"")</f>
        <v/>
      </c>
      <c r="F211" s="11">
        <f>IFERROR((D211/D210-1)*100,"")</f>
        <v/>
      </c>
      <c r="G211" s="11" t="inlineStr"/>
      <c r="H211" s="10" t="inlineStr"/>
      <c r="I211" s="10" t="n">
        <v>-3.135999574739034</v>
      </c>
      <c r="J211" t="inlineStr"/>
      <c r="K211" t="inlineStr"/>
    </row>
    <row r="212">
      <c r="A212" s="7" t="inlineStr">
        <is>
          <t>2015-01-06</t>
        </is>
      </c>
      <c r="B212" s="8">
        <f>IFERROR(VLOOKUP($A212,'01-原始价格'!$A:$M,2,FALSE),"")</f>
        <v/>
      </c>
      <c r="C212" s="8">
        <f>IFERROR(VLOOKUP($A212,'01-原始价格'!$A:$M,8,FALSE),"")</f>
        <v/>
      </c>
      <c r="D212" s="10">
        <f>IFERROR(B212/C212,"")</f>
        <v/>
      </c>
      <c r="E212" s="10">
        <f>IFERROR(C212/B212,"")</f>
        <v/>
      </c>
      <c r="F212" s="11">
        <f>IFERROR((D212/D211-1)*100,"")</f>
        <v/>
      </c>
      <c r="G212" s="11" t="inlineStr"/>
      <c r="H212" s="10" t="inlineStr"/>
      <c r="I212" s="10" t="n">
        <v>-4.210595818783999</v>
      </c>
      <c r="J212" s="9" t="inlineStr">
        <is>
          <t>是</t>
        </is>
      </c>
      <c r="K212" t="inlineStr"/>
      <c r="L212" t="inlineStr">
        <is>
          <t>统计异常</t>
        </is>
      </c>
    </row>
    <row r="213">
      <c r="A213" s="7" t="inlineStr">
        <is>
          <t>2015-01-07</t>
        </is>
      </c>
      <c r="B213" s="8">
        <f>IFERROR(VLOOKUP($A213,'01-原始价格'!$A:$M,2,FALSE),"")</f>
        <v/>
      </c>
      <c r="C213" s="8">
        <f>IFERROR(VLOOKUP($A213,'01-原始价格'!$A:$M,8,FALSE),"")</f>
        <v/>
      </c>
      <c r="D213" s="10">
        <f>IFERROR(B213/C213,"")</f>
        <v/>
      </c>
      <c r="E213" s="10">
        <f>IFERROR(C213/B213,"")</f>
        <v/>
      </c>
      <c r="F213" s="11">
        <f>IFERROR((D213/D212-1)*100,"")</f>
        <v/>
      </c>
      <c r="G213" s="11" t="inlineStr"/>
      <c r="H213" s="10" t="inlineStr"/>
      <c r="I213" s="10" t="n">
        <v>-4.410959953380224</v>
      </c>
      <c r="J213" s="9" t="inlineStr">
        <is>
          <t>是</t>
        </is>
      </c>
      <c r="K213" t="inlineStr"/>
      <c r="L213" t="inlineStr">
        <is>
          <t>统计异常</t>
        </is>
      </c>
    </row>
    <row r="214">
      <c r="A214" s="7" t="inlineStr">
        <is>
          <t>2015-01-08</t>
        </is>
      </c>
      <c r="B214" s="8">
        <f>IFERROR(VLOOKUP($A214,'01-原始价格'!$A:$M,2,FALSE),"")</f>
        <v/>
      </c>
      <c r="C214" s="8">
        <f>IFERROR(VLOOKUP($A214,'01-原始价格'!$A:$M,8,FALSE),"")</f>
        <v/>
      </c>
      <c r="D214" s="10">
        <f>IFERROR(B214/C214,"")</f>
        <v/>
      </c>
      <c r="E214" s="10">
        <f>IFERROR(C214/B214,"")</f>
        <v/>
      </c>
      <c r="F214" s="11">
        <f>IFERROR((D214/D213-1)*100,"")</f>
        <v/>
      </c>
      <c r="G214" s="11" t="inlineStr"/>
      <c r="H214" s="10" t="inlineStr"/>
      <c r="I214" s="10" t="n">
        <v>-4.185642532561184</v>
      </c>
      <c r="J214" s="9" t="inlineStr">
        <is>
          <t>是</t>
        </is>
      </c>
      <c r="K214" t="inlineStr"/>
      <c r="L214" t="inlineStr">
        <is>
          <t>统计异常</t>
        </is>
      </c>
    </row>
    <row r="215">
      <c r="A215" s="7" t="inlineStr">
        <is>
          <t>2015-01-09</t>
        </is>
      </c>
      <c r="B215" s="8">
        <f>IFERROR(VLOOKUP($A215,'01-原始价格'!$A:$M,2,FALSE),"")</f>
        <v/>
      </c>
      <c r="C215" s="8">
        <f>IFERROR(VLOOKUP($A215,'01-原始价格'!$A:$M,8,FALSE),"")</f>
        <v/>
      </c>
      <c r="D215" s="10">
        <f>IFERROR(B215/C215,"")</f>
        <v/>
      </c>
      <c r="E215" s="10">
        <f>IFERROR(C215/B215,"")</f>
        <v/>
      </c>
      <c r="F215" s="11">
        <f>IFERROR((D215/D214-1)*100,"")</f>
        <v/>
      </c>
      <c r="G215" s="11" t="inlineStr"/>
      <c r="H215" s="10" t="inlineStr"/>
      <c r="I215" s="10" t="n">
        <v>-4.594215849801469</v>
      </c>
      <c r="J215" s="9" t="inlineStr">
        <is>
          <t>是</t>
        </is>
      </c>
      <c r="K215" t="inlineStr"/>
      <c r="L215" t="inlineStr">
        <is>
          <t>统计异常</t>
        </is>
      </c>
    </row>
    <row r="216">
      <c r="A216" s="7" t="inlineStr">
        <is>
          <t>2015-01-12</t>
        </is>
      </c>
      <c r="B216" s="8">
        <f>IFERROR(VLOOKUP($A216,'01-原始价格'!$A:$M,2,FALSE),"")</f>
        <v/>
      </c>
      <c r="C216" s="8">
        <f>IFERROR(VLOOKUP($A216,'01-原始价格'!$A:$M,8,FALSE),"")</f>
        <v/>
      </c>
      <c r="D216" s="10">
        <f>IFERROR(B216/C216,"")</f>
        <v/>
      </c>
      <c r="E216" s="10">
        <f>IFERROR(C216/B216,"")</f>
        <v/>
      </c>
      <c r="F216" s="11">
        <f>IFERROR((D216/D215-1)*100,"")</f>
        <v/>
      </c>
      <c r="G216" s="11" t="inlineStr"/>
      <c r="H216" s="10" t="inlineStr"/>
      <c r="I216" s="10" t="n">
        <v>-3.896654340445439</v>
      </c>
      <c r="J216" s="9" t="inlineStr">
        <is>
          <t>是</t>
        </is>
      </c>
      <c r="K216" t="inlineStr"/>
      <c r="L216" t="inlineStr">
        <is>
          <t>统计异常</t>
        </is>
      </c>
    </row>
    <row r="217">
      <c r="A217" s="7" t="inlineStr">
        <is>
          <t>2015-01-13</t>
        </is>
      </c>
      <c r="B217" s="8">
        <f>IFERROR(VLOOKUP($A217,'01-原始价格'!$A:$M,2,FALSE),"")</f>
        <v/>
      </c>
      <c r="C217" s="8">
        <f>IFERROR(VLOOKUP($A217,'01-原始价格'!$A:$M,8,FALSE),"")</f>
        <v/>
      </c>
      <c r="D217" s="10">
        <f>IFERROR(B217/C217,"")</f>
        <v/>
      </c>
      <c r="E217" s="10">
        <f>IFERROR(C217/B217,"")</f>
        <v/>
      </c>
      <c r="F217" s="11">
        <f>IFERROR((D217/D216-1)*100,"")</f>
        <v/>
      </c>
      <c r="G217" s="11" t="inlineStr"/>
      <c r="H217" s="10" t="inlineStr"/>
      <c r="I217" s="10" t="n">
        <v>-3.849596352322204</v>
      </c>
      <c r="J217" s="9" t="inlineStr">
        <is>
          <t>是</t>
        </is>
      </c>
      <c r="K217" t="inlineStr"/>
      <c r="L217" t="inlineStr">
        <is>
          <t>统计异常</t>
        </is>
      </c>
    </row>
    <row r="218">
      <c r="A218" s="7" t="inlineStr">
        <is>
          <t>2015-01-14</t>
        </is>
      </c>
      <c r="B218" s="8">
        <f>IFERROR(VLOOKUP($A218,'01-原始价格'!$A:$M,2,FALSE),"")</f>
        <v/>
      </c>
      <c r="C218" s="8">
        <f>IFERROR(VLOOKUP($A218,'01-原始价格'!$A:$M,8,FALSE),"")</f>
        <v/>
      </c>
      <c r="D218" s="10">
        <f>IFERROR(B218/C218,"")</f>
        <v/>
      </c>
      <c r="E218" s="10">
        <f>IFERROR(C218/B218,"")</f>
        <v/>
      </c>
      <c r="F218" s="11">
        <f>IFERROR((D218/D217-1)*100,"")</f>
        <v/>
      </c>
      <c r="G218" s="11" t="inlineStr"/>
      <c r="H218" s="10" t="inlineStr"/>
      <c r="I218" s="10" t="n">
        <v>-4.453713780904872</v>
      </c>
      <c r="J218" s="9" t="inlineStr">
        <is>
          <t>是</t>
        </is>
      </c>
      <c r="K218" t="inlineStr"/>
      <c r="L218" t="inlineStr">
        <is>
          <t>统计异常</t>
        </is>
      </c>
    </row>
    <row r="219">
      <c r="A219" s="7" t="inlineStr">
        <is>
          <t>2015-01-15</t>
        </is>
      </c>
      <c r="B219" s="8">
        <f>IFERROR(VLOOKUP($A219,'01-原始价格'!$A:$M,2,FALSE),"")</f>
        <v/>
      </c>
      <c r="C219" s="8">
        <f>IFERROR(VLOOKUP($A219,'01-原始价格'!$A:$M,8,FALSE),"")</f>
        <v/>
      </c>
      <c r="D219" s="10">
        <f>IFERROR(B219/C219,"")</f>
        <v/>
      </c>
      <c r="E219" s="10">
        <f>IFERROR(C219/B219,"")</f>
        <v/>
      </c>
      <c r="F219" s="11">
        <f>IFERROR((D219/D218-1)*100,"")</f>
        <v/>
      </c>
      <c r="G219" s="11" t="inlineStr"/>
      <c r="H219" s="10" t="inlineStr"/>
      <c r="I219" s="10" t="n">
        <v>-5.019395006158197</v>
      </c>
      <c r="J219" s="9" t="inlineStr">
        <is>
          <t>是</t>
        </is>
      </c>
      <c r="K219" t="inlineStr"/>
      <c r="L219" t="inlineStr">
        <is>
          <t>统计异常</t>
        </is>
      </c>
    </row>
    <row r="220">
      <c r="A220" s="7" t="inlineStr">
        <is>
          <t>2015-01-16</t>
        </is>
      </c>
      <c r="B220" s="8">
        <f>IFERROR(VLOOKUP($A220,'01-原始价格'!$A:$M,2,FALSE),"")</f>
        <v/>
      </c>
      <c r="C220" s="8">
        <f>IFERROR(VLOOKUP($A220,'01-原始价格'!$A:$M,8,FALSE),"")</f>
        <v/>
      </c>
      <c r="D220" s="10">
        <f>IFERROR(B220/C220,"")</f>
        <v/>
      </c>
      <c r="E220" s="10">
        <f>IFERROR(C220/B220,"")</f>
        <v/>
      </c>
      <c r="F220" s="11">
        <f>IFERROR((D220/D219-1)*100,"")</f>
        <v/>
      </c>
      <c r="G220" s="11" t="inlineStr"/>
      <c r="H220" s="10" t="inlineStr"/>
      <c r="I220" s="10" t="n">
        <v>-5.241438025079974</v>
      </c>
      <c r="J220" s="9" t="inlineStr">
        <is>
          <t>是</t>
        </is>
      </c>
      <c r="K220" t="inlineStr"/>
      <c r="L220" t="inlineStr">
        <is>
          <t>统计异常</t>
        </is>
      </c>
    </row>
    <row r="221">
      <c r="A221" s="7" t="inlineStr">
        <is>
          <t>2015-01-19</t>
        </is>
      </c>
      <c r="B221" s="8">
        <f>IFERROR(VLOOKUP($A221,'01-原始价格'!$A:$M,2,FALSE),"")</f>
        <v/>
      </c>
      <c r="C221" s="8">
        <f>IFERROR(VLOOKUP($A221,'01-原始价格'!$A:$M,8,FALSE),"")</f>
        <v/>
      </c>
      <c r="D221" s="10">
        <f>IFERROR(B221/C221,"")</f>
        <v/>
      </c>
      <c r="E221" s="10">
        <f>IFERROR(C221/B221,"")</f>
        <v/>
      </c>
      <c r="F221" s="11">
        <f>IFERROR((D221/D220-1)*100,"")</f>
        <v/>
      </c>
      <c r="G221" s="11" t="inlineStr"/>
      <c r="H221" s="10" t="inlineStr"/>
      <c r="I221" s="10" t="n">
        <v>-4.850885263338965</v>
      </c>
      <c r="J221" s="9" t="inlineStr">
        <is>
          <t>是</t>
        </is>
      </c>
      <c r="K221" t="inlineStr"/>
      <c r="L221" t="inlineStr">
        <is>
          <t>统计异常</t>
        </is>
      </c>
    </row>
    <row r="222">
      <c r="A222" s="7" t="inlineStr">
        <is>
          <t>2015-01-20</t>
        </is>
      </c>
      <c r="B222" s="8">
        <f>IFERROR(VLOOKUP($A222,'01-原始价格'!$A:$M,2,FALSE),"")</f>
        <v/>
      </c>
      <c r="C222" s="8">
        <f>IFERROR(VLOOKUP($A222,'01-原始价格'!$A:$M,8,FALSE),"")</f>
        <v/>
      </c>
      <c r="D222" s="10">
        <f>IFERROR(B222/C222,"")</f>
        <v/>
      </c>
      <c r="E222" s="10">
        <f>IFERROR(C222/B222,"")</f>
        <v/>
      </c>
      <c r="F222" s="11">
        <f>IFERROR((D222/D221-1)*100,"")</f>
        <v/>
      </c>
      <c r="G222" s="11" t="inlineStr"/>
      <c r="H222" s="10" t="inlineStr"/>
      <c r="I222" s="10" t="n">
        <v>-4.872304454075893</v>
      </c>
      <c r="J222" s="9" t="inlineStr">
        <is>
          <t>是</t>
        </is>
      </c>
      <c r="K222" t="inlineStr"/>
      <c r="L222" t="inlineStr">
        <is>
          <t>统计异常</t>
        </is>
      </c>
    </row>
    <row r="223">
      <c r="A223" s="7" t="inlineStr">
        <is>
          <t>2015-01-21</t>
        </is>
      </c>
      <c r="B223" s="8">
        <f>IFERROR(VLOOKUP($A223,'01-原始价格'!$A:$M,2,FALSE),"")</f>
        <v/>
      </c>
      <c r="C223" s="8">
        <f>IFERROR(VLOOKUP($A223,'01-原始价格'!$A:$M,8,FALSE),"")</f>
        <v/>
      </c>
      <c r="D223" s="10">
        <f>IFERROR(B223/C223,"")</f>
        <v/>
      </c>
      <c r="E223" s="10">
        <f>IFERROR(C223/B223,"")</f>
        <v/>
      </c>
      <c r="F223" s="11">
        <f>IFERROR((D223/D222-1)*100,"")</f>
        <v/>
      </c>
      <c r="G223" s="11" t="inlineStr"/>
      <c r="H223" s="10" t="inlineStr"/>
      <c r="I223" s="10" t="n">
        <v>-4.814406060312732</v>
      </c>
      <c r="J223" s="9" t="inlineStr">
        <is>
          <t>是</t>
        </is>
      </c>
      <c r="K223" t="inlineStr"/>
      <c r="L223" t="inlineStr">
        <is>
          <t>统计异常</t>
        </is>
      </c>
    </row>
    <row r="224">
      <c r="A224" s="7" t="inlineStr">
        <is>
          <t>2015-01-22</t>
        </is>
      </c>
      <c r="B224" s="8">
        <f>IFERROR(VLOOKUP($A224,'01-原始价格'!$A:$M,2,FALSE),"")</f>
        <v/>
      </c>
      <c r="C224" s="8">
        <f>IFERROR(VLOOKUP($A224,'01-原始价格'!$A:$M,8,FALSE),"")</f>
        <v/>
      </c>
      <c r="D224" s="10">
        <f>IFERROR(B224/C224,"")</f>
        <v/>
      </c>
      <c r="E224" s="10">
        <f>IFERROR(C224/B224,"")</f>
        <v/>
      </c>
      <c r="F224" s="11">
        <f>IFERROR((D224/D223-1)*100,"")</f>
        <v/>
      </c>
      <c r="G224" s="11" t="inlineStr"/>
      <c r="H224" s="10" t="inlineStr"/>
      <c r="I224" s="10" t="n">
        <v>-4.464336063730766</v>
      </c>
      <c r="J224" s="9" t="inlineStr">
        <is>
          <t>是</t>
        </is>
      </c>
      <c r="K224" t="inlineStr"/>
      <c r="L224" t="inlineStr">
        <is>
          <t>统计异常</t>
        </is>
      </c>
    </row>
    <row r="225">
      <c r="A225" s="7" t="inlineStr">
        <is>
          <t>2015-01-23</t>
        </is>
      </c>
      <c r="B225" s="8">
        <f>IFERROR(VLOOKUP($A225,'01-原始价格'!$A:$M,2,FALSE),"")</f>
        <v/>
      </c>
      <c r="C225" s="8">
        <f>IFERROR(VLOOKUP($A225,'01-原始价格'!$A:$M,8,FALSE),"")</f>
        <v/>
      </c>
      <c r="D225" s="10">
        <f>IFERROR(B225/C225,"")</f>
        <v/>
      </c>
      <c r="E225" s="10">
        <f>IFERROR(C225/B225,"")</f>
        <v/>
      </c>
      <c r="F225" s="11">
        <f>IFERROR((D225/D224-1)*100,"")</f>
        <v/>
      </c>
      <c r="G225" s="11" t="inlineStr"/>
      <c r="H225" s="10" t="inlineStr"/>
      <c r="I225" s="10" t="n">
        <v>-4.135339745460447</v>
      </c>
      <c r="J225" s="9" t="inlineStr">
        <is>
          <t>是</t>
        </is>
      </c>
      <c r="K225" t="inlineStr"/>
      <c r="L225" t="inlineStr">
        <is>
          <t>统计异常</t>
        </is>
      </c>
    </row>
    <row r="226">
      <c r="A226" s="7" t="inlineStr">
        <is>
          <t>2015-01-26</t>
        </is>
      </c>
      <c r="B226" s="8">
        <f>IFERROR(VLOOKUP($A226,'01-原始价格'!$A:$M,2,FALSE),"")</f>
        <v/>
      </c>
      <c r="C226" s="8">
        <f>IFERROR(VLOOKUP($A226,'01-原始价格'!$A:$M,8,FALSE),"")</f>
        <v/>
      </c>
      <c r="D226" s="10">
        <f>IFERROR(B226/C226,"")</f>
        <v/>
      </c>
      <c r="E226" s="10">
        <f>IFERROR(C226/B226,"")</f>
        <v/>
      </c>
      <c r="F226" s="11">
        <f>IFERROR((D226/D225-1)*100,"")</f>
        <v/>
      </c>
      <c r="G226" s="11" t="inlineStr"/>
      <c r="H226" s="10" t="inlineStr"/>
      <c r="I226" s="10" t="n">
        <v>-3.770919671609417</v>
      </c>
      <c r="J226" s="9" t="inlineStr">
        <is>
          <t>是</t>
        </is>
      </c>
      <c r="K226" t="inlineStr"/>
      <c r="L226" t="inlineStr">
        <is>
          <t>统计异常</t>
        </is>
      </c>
    </row>
    <row r="227">
      <c r="A227" s="7" t="inlineStr">
        <is>
          <t>2015-01-27</t>
        </is>
      </c>
      <c r="B227" s="8">
        <f>IFERROR(VLOOKUP($A227,'01-原始价格'!$A:$M,2,FALSE),"")</f>
        <v/>
      </c>
      <c r="C227" s="8">
        <f>IFERROR(VLOOKUP($A227,'01-原始价格'!$A:$M,8,FALSE),"")</f>
        <v/>
      </c>
      <c r="D227" s="10">
        <f>IFERROR(B227/C227,"")</f>
        <v/>
      </c>
      <c r="E227" s="10">
        <f>IFERROR(C227/B227,"")</f>
        <v/>
      </c>
      <c r="F227" s="11">
        <f>IFERROR((D227/D226-1)*100,"")</f>
        <v/>
      </c>
      <c r="G227" s="11" t="inlineStr"/>
      <c r="H227" s="10" t="inlineStr"/>
      <c r="I227" s="10" t="n">
        <v>-3.919671570940221</v>
      </c>
      <c r="J227" s="9" t="inlineStr">
        <is>
          <t>是</t>
        </is>
      </c>
      <c r="K227" t="inlineStr"/>
      <c r="L227" t="inlineStr">
        <is>
          <t>统计异常</t>
        </is>
      </c>
    </row>
    <row r="228">
      <c r="A228" s="7" t="inlineStr">
        <is>
          <t>2015-01-28</t>
        </is>
      </c>
      <c r="B228" s="8">
        <f>IFERROR(VLOOKUP($A228,'01-原始价格'!$A:$M,2,FALSE),"")</f>
        <v/>
      </c>
      <c r="C228" s="8">
        <f>IFERROR(VLOOKUP($A228,'01-原始价格'!$A:$M,8,FALSE),"")</f>
        <v/>
      </c>
      <c r="D228" s="10">
        <f>IFERROR(B228/C228,"")</f>
        <v/>
      </c>
      <c r="E228" s="10">
        <f>IFERROR(C228/B228,"")</f>
        <v/>
      </c>
      <c r="F228" s="11">
        <f>IFERROR((D228/D227-1)*100,"")</f>
        <v/>
      </c>
      <c r="G228" s="11" t="inlineStr"/>
      <c r="H228" s="10" t="inlineStr"/>
      <c r="I228" s="10" t="n">
        <v>-3.864234972823009</v>
      </c>
      <c r="J228" s="9" t="inlineStr">
        <is>
          <t>是</t>
        </is>
      </c>
      <c r="K228" t="inlineStr"/>
      <c r="L228" t="inlineStr">
        <is>
          <t>统计异常</t>
        </is>
      </c>
    </row>
    <row r="229">
      <c r="A229" s="7" t="inlineStr">
        <is>
          <t>2015-01-29</t>
        </is>
      </c>
      <c r="B229" s="8">
        <f>IFERROR(VLOOKUP($A229,'01-原始价格'!$A:$M,2,FALSE),"")</f>
        <v/>
      </c>
      <c r="C229" s="8">
        <f>IFERROR(VLOOKUP($A229,'01-原始价格'!$A:$M,8,FALSE),"")</f>
        <v/>
      </c>
      <c r="D229" s="10">
        <f>IFERROR(B229/C229,"")</f>
        <v/>
      </c>
      <c r="E229" s="10">
        <f>IFERROR(C229/B229,"")</f>
        <v/>
      </c>
      <c r="F229" s="11">
        <f>IFERROR((D229/D228-1)*100,"")</f>
        <v/>
      </c>
      <c r="G229" s="11" t="inlineStr"/>
      <c r="H229" s="10" t="inlineStr"/>
      <c r="I229" s="10" t="n">
        <v>-4.044926063466586</v>
      </c>
      <c r="J229" s="9" t="inlineStr">
        <is>
          <t>是</t>
        </is>
      </c>
      <c r="K229" t="inlineStr"/>
      <c r="L229" t="inlineStr">
        <is>
          <t>统计异常</t>
        </is>
      </c>
    </row>
    <row r="230">
      <c r="A230" s="7" t="inlineStr">
        <is>
          <t>2015-01-30</t>
        </is>
      </c>
      <c r="B230" s="8">
        <f>IFERROR(VLOOKUP($A230,'01-原始价格'!$A:$M,2,FALSE),"")</f>
        <v/>
      </c>
      <c r="C230" s="8">
        <f>IFERROR(VLOOKUP($A230,'01-原始价格'!$A:$M,8,FALSE),"")</f>
        <v/>
      </c>
      <c r="D230" s="10">
        <f>IFERROR(B230/C230,"")</f>
        <v/>
      </c>
      <c r="E230" s="10">
        <f>IFERROR(C230/B230,"")</f>
        <v/>
      </c>
      <c r="F230" s="11">
        <f>IFERROR((D230/D229-1)*100,"")</f>
        <v/>
      </c>
      <c r="G230" s="11" t="inlineStr"/>
      <c r="H230" s="10" t="inlineStr"/>
      <c r="I230" s="10" t="n">
        <v>-3.83859705886231</v>
      </c>
      <c r="J230" s="9" t="inlineStr">
        <is>
          <t>是</t>
        </is>
      </c>
      <c r="K230" t="inlineStr"/>
      <c r="L230" t="inlineStr">
        <is>
          <t>统计异常</t>
        </is>
      </c>
    </row>
    <row r="231">
      <c r="A231" s="7" t="inlineStr">
        <is>
          <t>2015-02-02</t>
        </is>
      </c>
      <c r="B231" s="8">
        <f>IFERROR(VLOOKUP($A231,'01-原始价格'!$A:$M,2,FALSE),"")</f>
        <v/>
      </c>
      <c r="C231" s="8">
        <f>IFERROR(VLOOKUP($A231,'01-原始价格'!$A:$M,8,FALSE),"")</f>
        <v/>
      </c>
      <c r="D231" s="10">
        <f>IFERROR(B231/C231,"")</f>
        <v/>
      </c>
      <c r="E231" s="10">
        <f>IFERROR(C231/B231,"")</f>
        <v/>
      </c>
      <c r="F231" s="11">
        <f>IFERROR((D231/D230-1)*100,"")</f>
        <v/>
      </c>
      <c r="G231" s="11" t="inlineStr"/>
      <c r="H231" s="10" t="inlineStr"/>
      <c r="I231" s="10" t="n">
        <v>-4.0467426649322</v>
      </c>
      <c r="J231" s="9" t="inlineStr">
        <is>
          <t>是</t>
        </is>
      </c>
      <c r="K231" t="inlineStr"/>
      <c r="L231" t="inlineStr">
        <is>
          <t>统计异常</t>
        </is>
      </c>
    </row>
    <row r="232">
      <c r="A232" s="7" t="inlineStr">
        <is>
          <t>2015-02-03</t>
        </is>
      </c>
      <c r="B232" s="8">
        <f>IFERROR(VLOOKUP($A232,'01-原始价格'!$A:$M,2,FALSE),"")</f>
        <v/>
      </c>
      <c r="C232" s="8">
        <f>IFERROR(VLOOKUP($A232,'01-原始价格'!$A:$M,8,FALSE),"")</f>
        <v/>
      </c>
      <c r="D232" s="10">
        <f>IFERROR(B232/C232,"")</f>
        <v/>
      </c>
      <c r="E232" s="10">
        <f>IFERROR(C232/B232,"")</f>
        <v/>
      </c>
      <c r="F232" s="11">
        <f>IFERROR((D232/D231-1)*100,"")</f>
        <v/>
      </c>
      <c r="G232" s="11" t="inlineStr"/>
      <c r="H232" s="10" t="inlineStr"/>
      <c r="I232" s="10" t="n">
        <v>-4.047849938024052</v>
      </c>
      <c r="J232" s="9" t="inlineStr">
        <is>
          <t>是</t>
        </is>
      </c>
      <c r="K232" t="inlineStr"/>
      <c r="L232" t="inlineStr">
        <is>
          <t>统计异常</t>
        </is>
      </c>
    </row>
    <row r="233">
      <c r="A233" s="7" t="inlineStr">
        <is>
          <t>2015-02-04</t>
        </is>
      </c>
      <c r="B233" s="8">
        <f>IFERROR(VLOOKUP($A233,'01-原始价格'!$A:$M,2,FALSE),"")</f>
        <v/>
      </c>
      <c r="C233" s="8">
        <f>IFERROR(VLOOKUP($A233,'01-原始价格'!$A:$M,8,FALSE),"")</f>
        <v/>
      </c>
      <c r="D233" s="10">
        <f>IFERROR(B233/C233,"")</f>
        <v/>
      </c>
      <c r="E233" s="10">
        <f>IFERROR(C233/B233,"")</f>
        <v/>
      </c>
      <c r="F233" s="11">
        <f>IFERROR((D233/D232-1)*100,"")</f>
        <v/>
      </c>
      <c r="G233" s="11" t="inlineStr"/>
      <c r="H233" s="10" t="inlineStr"/>
      <c r="I233" s="10" t="n">
        <v>-3.291471235600684</v>
      </c>
      <c r="J233" t="inlineStr"/>
      <c r="K233" t="inlineStr"/>
    </row>
    <row r="234">
      <c r="A234" s="7" t="inlineStr">
        <is>
          <t>2015-02-05</t>
        </is>
      </c>
      <c r="B234" s="8">
        <f>IFERROR(VLOOKUP($A234,'01-原始价格'!$A:$M,2,FALSE),"")</f>
        <v/>
      </c>
      <c r="C234" s="8">
        <f>IFERROR(VLOOKUP($A234,'01-原始价格'!$A:$M,8,FALSE),"")</f>
        <v/>
      </c>
      <c r="D234" s="10">
        <f>IFERROR(B234/C234,"")</f>
        <v/>
      </c>
      <c r="E234" s="10">
        <f>IFERROR(C234/B234,"")</f>
        <v/>
      </c>
      <c r="F234" s="11">
        <f>IFERROR((D234/D233-1)*100,"")</f>
        <v/>
      </c>
      <c r="G234" s="11" t="inlineStr"/>
      <c r="H234" s="10" t="inlineStr"/>
      <c r="I234" s="10" t="n">
        <v>-3.376856014727804</v>
      </c>
      <c r="J234" t="inlineStr"/>
      <c r="K234" t="inlineStr"/>
    </row>
    <row r="235">
      <c r="A235" s="7" t="inlineStr">
        <is>
          <t>2015-02-06</t>
        </is>
      </c>
      <c r="B235" s="8">
        <f>IFERROR(VLOOKUP($A235,'01-原始价格'!$A:$M,2,FALSE),"")</f>
        <v/>
      </c>
      <c r="C235" s="8">
        <f>IFERROR(VLOOKUP($A235,'01-原始价格'!$A:$M,8,FALSE),"")</f>
        <v/>
      </c>
      <c r="D235" s="10">
        <f>IFERROR(B235/C235,"")</f>
        <v/>
      </c>
      <c r="E235" s="10">
        <f>IFERROR(C235/B235,"")</f>
        <v/>
      </c>
      <c r="F235" s="11">
        <f>IFERROR((D235/D234-1)*100,"")</f>
        <v/>
      </c>
      <c r="G235" s="11" t="inlineStr"/>
      <c r="H235" s="10" t="inlineStr"/>
      <c r="I235" s="10" t="n">
        <v>-3.488930016260245</v>
      </c>
      <c r="J235" t="inlineStr"/>
      <c r="K235" t="inlineStr"/>
    </row>
    <row r="236">
      <c r="A236" s="7" t="inlineStr">
        <is>
          <t>2015-02-09</t>
        </is>
      </c>
      <c r="B236" s="8">
        <f>IFERROR(VLOOKUP($A236,'01-原始价格'!$A:$M,2,FALSE),"")</f>
        <v/>
      </c>
      <c r="C236" s="8">
        <f>IFERROR(VLOOKUP($A236,'01-原始价格'!$A:$M,8,FALSE),"")</f>
        <v/>
      </c>
      <c r="D236" s="10">
        <f>IFERROR(B236/C236,"")</f>
        <v/>
      </c>
      <c r="E236" s="10">
        <f>IFERROR(C236/B236,"")</f>
        <v/>
      </c>
      <c r="F236" s="11">
        <f>IFERROR((D236/D235-1)*100,"")</f>
        <v/>
      </c>
      <c r="G236" s="11" t="inlineStr"/>
      <c r="H236" s="10" t="inlineStr"/>
      <c r="I236" s="10" t="n">
        <v>-3.40275277292272</v>
      </c>
      <c r="J236" t="inlineStr"/>
      <c r="K236" t="inlineStr"/>
    </row>
    <row r="237">
      <c r="A237" s="7" t="inlineStr">
        <is>
          <t>2015-02-10</t>
        </is>
      </c>
      <c r="B237" s="8">
        <f>IFERROR(VLOOKUP($A237,'01-原始价格'!$A:$M,2,FALSE),"")</f>
        <v/>
      </c>
      <c r="C237" s="8">
        <f>IFERROR(VLOOKUP($A237,'01-原始价格'!$A:$M,8,FALSE),"")</f>
        <v/>
      </c>
      <c r="D237" s="10">
        <f>IFERROR(B237/C237,"")</f>
        <v/>
      </c>
      <c r="E237" s="10">
        <f>IFERROR(C237/B237,"")</f>
        <v/>
      </c>
      <c r="F237" s="11">
        <f>IFERROR((D237/D236-1)*100,"")</f>
        <v/>
      </c>
      <c r="G237" s="11" t="inlineStr"/>
      <c r="H237" s="10" t="inlineStr"/>
      <c r="I237" s="10" t="n">
        <v>-3.316273939466298</v>
      </c>
      <c r="J237" t="inlineStr"/>
      <c r="K237" t="inlineStr"/>
    </row>
    <row r="238">
      <c r="A238" s="7" t="inlineStr">
        <is>
          <t>2015-02-11</t>
        </is>
      </c>
      <c r="B238" s="8">
        <f>IFERROR(VLOOKUP($A238,'01-原始价格'!$A:$M,2,FALSE),"")</f>
        <v/>
      </c>
      <c r="C238" s="8">
        <f>IFERROR(VLOOKUP($A238,'01-原始价格'!$A:$M,8,FALSE),"")</f>
        <v/>
      </c>
      <c r="D238" s="10">
        <f>IFERROR(B238/C238,"")</f>
        <v/>
      </c>
      <c r="E238" s="10">
        <f>IFERROR(C238/B238,"")</f>
        <v/>
      </c>
      <c r="F238" s="11">
        <f>IFERROR((D238/D237-1)*100,"")</f>
        <v/>
      </c>
      <c r="G238" s="11" t="inlineStr"/>
      <c r="H238" s="10" t="inlineStr"/>
      <c r="I238" s="10" t="n">
        <v>-3.245171500521652</v>
      </c>
      <c r="J238" t="inlineStr"/>
      <c r="K238" t="inlineStr"/>
    </row>
    <row r="239">
      <c r="A239" s="7" t="inlineStr">
        <is>
          <t>2015-02-12</t>
        </is>
      </c>
      <c r="B239" s="8">
        <f>IFERROR(VLOOKUP($A239,'01-原始价格'!$A:$M,2,FALSE),"")</f>
        <v/>
      </c>
      <c r="C239" s="8">
        <f>IFERROR(VLOOKUP($A239,'01-原始价格'!$A:$M,8,FALSE),"")</f>
        <v/>
      </c>
      <c r="D239" s="10">
        <f>IFERROR(B239/C239,"")</f>
        <v/>
      </c>
      <c r="E239" s="10">
        <f>IFERROR(C239/B239,"")</f>
        <v/>
      </c>
      <c r="F239" s="11">
        <f>IFERROR((D239/D238-1)*100,"")</f>
        <v/>
      </c>
      <c r="G239" s="11" t="inlineStr"/>
      <c r="H239" s="10" t="inlineStr"/>
      <c r="I239" s="10" t="n">
        <v>-3.047443020661613</v>
      </c>
      <c r="J239" t="inlineStr"/>
      <c r="K239" t="inlineStr"/>
    </row>
    <row r="240">
      <c r="A240" s="7" t="inlineStr">
        <is>
          <t>2015-02-13</t>
        </is>
      </c>
      <c r="B240" s="8">
        <f>IFERROR(VLOOKUP($A240,'01-原始价格'!$A:$M,2,FALSE),"")</f>
        <v/>
      </c>
      <c r="C240" s="8">
        <f>IFERROR(VLOOKUP($A240,'01-原始价格'!$A:$M,8,FALSE),"")</f>
        <v/>
      </c>
      <c r="D240" s="10">
        <f>IFERROR(B240/C240,"")</f>
        <v/>
      </c>
      <c r="E240" s="10">
        <f>IFERROR(C240/B240,"")</f>
        <v/>
      </c>
      <c r="F240" s="11">
        <f>IFERROR((D240/D239-1)*100,"")</f>
        <v/>
      </c>
      <c r="G240" s="11" t="inlineStr"/>
      <c r="H240" s="10" t="inlineStr"/>
      <c r="I240" s="10" t="n">
        <v>-2.537942879480126</v>
      </c>
      <c r="J240" t="inlineStr"/>
      <c r="K240" t="inlineStr"/>
    </row>
    <row r="241">
      <c r="A241" s="7" t="inlineStr">
        <is>
          <t>2015-02-16</t>
        </is>
      </c>
      <c r="B241" s="8">
        <f>IFERROR(VLOOKUP($A241,'01-原始价格'!$A:$M,2,FALSE),"")</f>
        <v/>
      </c>
      <c r="C241" s="8">
        <f>IFERROR(VLOOKUP($A241,'01-原始价格'!$A:$M,8,FALSE),"")</f>
        <v/>
      </c>
      <c r="D241" s="10">
        <f>IFERROR(B241/C241,"")</f>
        <v/>
      </c>
      <c r="E241" s="10">
        <f>IFERROR(C241/B241,"")</f>
        <v/>
      </c>
      <c r="F241" s="11">
        <f>IFERROR((D241/D240-1)*100,"")</f>
        <v/>
      </c>
      <c r="G241" s="11" t="inlineStr"/>
      <c r="H241" s="10" t="inlineStr"/>
      <c r="I241" s="10" t="n">
        <v>-2.278779125313633</v>
      </c>
      <c r="J241" t="inlineStr"/>
      <c r="K241" t="inlineStr"/>
    </row>
    <row r="242">
      <c r="A242" s="7" t="inlineStr">
        <is>
          <t>2015-02-17</t>
        </is>
      </c>
      <c r="B242" s="8">
        <f>IFERROR(VLOOKUP($A242,'01-原始价格'!$A:$M,2,FALSE),"")</f>
        <v/>
      </c>
      <c r="C242" s="8">
        <f>IFERROR(VLOOKUP($A242,'01-原始价格'!$A:$M,8,FALSE),"")</f>
        <v/>
      </c>
      <c r="D242" s="10">
        <f>IFERROR(B242/C242,"")</f>
        <v/>
      </c>
      <c r="E242" s="10">
        <f>IFERROR(C242/B242,"")</f>
        <v/>
      </c>
      <c r="F242" s="11">
        <f>IFERROR((D242/D241-1)*100,"")</f>
        <v/>
      </c>
      <c r="G242" s="11" t="inlineStr"/>
      <c r="H242" s="10" t="inlineStr"/>
      <c r="I242" s="10" t="n">
        <v>-2.410060185731163</v>
      </c>
      <c r="J242" t="inlineStr"/>
      <c r="K242" t="inlineStr"/>
    </row>
    <row r="243">
      <c r="A243" s="7" t="inlineStr">
        <is>
          <t>2015-02-26</t>
        </is>
      </c>
      <c r="B243" s="8">
        <f>IFERROR(VLOOKUP($A243,'01-原始价格'!$A:$M,2,FALSE),"")</f>
        <v/>
      </c>
      <c r="C243" s="8">
        <f>IFERROR(VLOOKUP($A243,'01-原始价格'!$A:$M,8,FALSE),"")</f>
        <v/>
      </c>
      <c r="D243" s="10">
        <f>IFERROR(B243/C243,"")</f>
        <v/>
      </c>
      <c r="E243" s="10">
        <f>IFERROR(C243/B243,"")</f>
        <v/>
      </c>
      <c r="F243" s="11">
        <f>IFERROR((D243/D242-1)*100,"")</f>
        <v/>
      </c>
      <c r="G243" s="11" t="inlineStr"/>
      <c r="H243" s="10" t="inlineStr"/>
      <c r="I243" s="10" t="n">
        <v>-2.275766424089224</v>
      </c>
      <c r="J243" t="inlineStr"/>
      <c r="K243" t="inlineStr"/>
    </row>
    <row r="244">
      <c r="A244" s="7" t="inlineStr">
        <is>
          <t>2015-02-27</t>
        </is>
      </c>
      <c r="B244" s="8">
        <f>IFERROR(VLOOKUP($A244,'01-原始价格'!$A:$M,2,FALSE),"")</f>
        <v/>
      </c>
      <c r="C244" s="8">
        <f>IFERROR(VLOOKUP($A244,'01-原始价格'!$A:$M,8,FALSE),"")</f>
        <v/>
      </c>
      <c r="D244" s="10">
        <f>IFERROR(B244/C244,"")</f>
        <v/>
      </c>
      <c r="E244" s="10">
        <f>IFERROR(C244/B244,"")</f>
        <v/>
      </c>
      <c r="F244" s="11">
        <f>IFERROR((D244/D243-1)*100,"")</f>
        <v/>
      </c>
      <c r="G244" s="11" t="inlineStr"/>
      <c r="H244" s="10" t="inlineStr"/>
      <c r="I244" s="10" t="n">
        <v>-2.081119042071145</v>
      </c>
      <c r="J244" t="inlineStr"/>
      <c r="K244" t="inlineStr"/>
    </row>
    <row r="245">
      <c r="A245" s="7" t="inlineStr">
        <is>
          <t>2015-03-02</t>
        </is>
      </c>
      <c r="B245" s="8">
        <f>IFERROR(VLOOKUP($A245,'01-原始价格'!$A:$M,2,FALSE),"")</f>
        <v/>
      </c>
      <c r="C245" s="8">
        <f>IFERROR(VLOOKUP($A245,'01-原始价格'!$A:$M,8,FALSE),"")</f>
        <v/>
      </c>
      <c r="D245" s="10">
        <f>IFERROR(B245/C245,"")</f>
        <v/>
      </c>
      <c r="E245" s="10">
        <f>IFERROR(C245/B245,"")</f>
        <v/>
      </c>
      <c r="F245" s="11">
        <f>IFERROR((D245/D244-1)*100,"")</f>
        <v/>
      </c>
      <c r="G245" s="11" t="inlineStr"/>
      <c r="H245" s="10" t="inlineStr"/>
      <c r="I245" s="10" t="n">
        <v>-1.874609391382565</v>
      </c>
      <c r="J245" t="inlineStr"/>
      <c r="K245" t="inlineStr"/>
    </row>
    <row r="246">
      <c r="A246" s="7" t="inlineStr">
        <is>
          <t>2015-03-03</t>
        </is>
      </c>
      <c r="B246" s="8">
        <f>IFERROR(VLOOKUP($A246,'01-原始价格'!$A:$M,2,FALSE),"")</f>
        <v/>
      </c>
      <c r="C246" s="8">
        <f>IFERROR(VLOOKUP($A246,'01-原始价格'!$A:$M,8,FALSE),"")</f>
        <v/>
      </c>
      <c r="D246" s="10">
        <f>IFERROR(B246/C246,"")</f>
        <v/>
      </c>
      <c r="E246" s="10">
        <f>IFERROR(C246/B246,"")</f>
        <v/>
      </c>
      <c r="F246" s="11">
        <f>IFERROR((D246/D245-1)*100,"")</f>
        <v/>
      </c>
      <c r="G246" s="11" t="inlineStr"/>
      <c r="H246" s="10" t="inlineStr"/>
      <c r="I246" s="10" t="n">
        <v>-1.876647252656543</v>
      </c>
      <c r="J246" t="inlineStr"/>
      <c r="K246" t="inlineStr"/>
    </row>
    <row r="247">
      <c r="A247" s="7" t="inlineStr">
        <is>
          <t>2015-03-04</t>
        </is>
      </c>
      <c r="B247" s="8">
        <f>IFERROR(VLOOKUP($A247,'01-原始价格'!$A:$M,2,FALSE),"")</f>
        <v/>
      </c>
      <c r="C247" s="8">
        <f>IFERROR(VLOOKUP($A247,'01-原始价格'!$A:$M,8,FALSE),"")</f>
        <v/>
      </c>
      <c r="D247" s="10">
        <f>IFERROR(B247/C247,"")</f>
        <v/>
      </c>
      <c r="E247" s="10">
        <f>IFERROR(C247/B247,"")</f>
        <v/>
      </c>
      <c r="F247" s="11">
        <f>IFERROR((D247/D246-1)*100,"")</f>
        <v/>
      </c>
      <c r="G247" s="11" t="inlineStr"/>
      <c r="H247" s="10" t="inlineStr"/>
      <c r="I247" s="10" t="n">
        <v>-1.944809754651305</v>
      </c>
      <c r="J247" t="inlineStr"/>
      <c r="K247" t="inlineStr"/>
    </row>
    <row r="248">
      <c r="A248" s="7" t="inlineStr">
        <is>
          <t>2015-03-05</t>
        </is>
      </c>
      <c r="B248" s="8">
        <f>IFERROR(VLOOKUP($A248,'01-原始价格'!$A:$M,2,FALSE),"")</f>
        <v/>
      </c>
      <c r="C248" s="8">
        <f>IFERROR(VLOOKUP($A248,'01-原始价格'!$A:$M,8,FALSE),"")</f>
        <v/>
      </c>
      <c r="D248" s="10">
        <f>IFERROR(B248/C248,"")</f>
        <v/>
      </c>
      <c r="E248" s="10">
        <f>IFERROR(C248/B248,"")</f>
        <v/>
      </c>
      <c r="F248" s="11">
        <f>IFERROR((D248/D247-1)*100,"")</f>
        <v/>
      </c>
      <c r="G248" s="11" t="inlineStr"/>
      <c r="H248" s="10" t="inlineStr"/>
      <c r="I248" s="10" t="n">
        <v>-1.877103699120842</v>
      </c>
      <c r="J248" t="inlineStr"/>
      <c r="K248" t="inlineStr"/>
    </row>
    <row r="249">
      <c r="A249" s="7" t="inlineStr">
        <is>
          <t>2015-03-06</t>
        </is>
      </c>
      <c r="B249" s="8">
        <f>IFERROR(VLOOKUP($A249,'01-原始价格'!$A:$M,2,FALSE),"")</f>
        <v/>
      </c>
      <c r="C249" s="8">
        <f>IFERROR(VLOOKUP($A249,'01-原始价格'!$A:$M,8,FALSE),"")</f>
        <v/>
      </c>
      <c r="D249" s="10">
        <f>IFERROR(B249/C249,"")</f>
        <v/>
      </c>
      <c r="E249" s="10">
        <f>IFERROR(C249/B249,"")</f>
        <v/>
      </c>
      <c r="F249" s="11">
        <f>IFERROR((D249/D248-1)*100,"")</f>
        <v/>
      </c>
      <c r="G249" s="11" t="inlineStr"/>
      <c r="H249" s="10" t="inlineStr"/>
      <c r="I249" s="10" t="n">
        <v>-1.89587110692092</v>
      </c>
      <c r="J249" t="inlineStr"/>
      <c r="K249" t="inlineStr"/>
    </row>
    <row r="250">
      <c r="A250" s="7" t="inlineStr">
        <is>
          <t>2015-03-09</t>
        </is>
      </c>
      <c r="B250" s="8">
        <f>IFERROR(VLOOKUP($A250,'01-原始价格'!$A:$M,2,FALSE),"")</f>
        <v/>
      </c>
      <c r="C250" s="8">
        <f>IFERROR(VLOOKUP($A250,'01-原始价格'!$A:$M,8,FALSE),"")</f>
        <v/>
      </c>
      <c r="D250" s="10">
        <f>IFERROR(B250/C250,"")</f>
        <v/>
      </c>
      <c r="E250" s="10">
        <f>IFERROR(C250/B250,"")</f>
        <v/>
      </c>
      <c r="F250" s="11">
        <f>IFERROR((D250/D249-1)*100,"")</f>
        <v/>
      </c>
      <c r="G250" s="11" t="inlineStr"/>
      <c r="H250" s="10" t="inlineStr"/>
      <c r="I250" s="10" t="n">
        <v>-1.948082801021433</v>
      </c>
      <c r="J250" t="inlineStr"/>
      <c r="K250" t="inlineStr"/>
    </row>
    <row r="251">
      <c r="A251" s="7" t="inlineStr">
        <is>
          <t>2015-03-10</t>
        </is>
      </c>
      <c r="B251" s="8">
        <f>IFERROR(VLOOKUP($A251,'01-原始价格'!$A:$M,2,FALSE),"")</f>
        <v/>
      </c>
      <c r="C251" s="8">
        <f>IFERROR(VLOOKUP($A251,'01-原始价格'!$A:$M,8,FALSE),"")</f>
        <v/>
      </c>
      <c r="D251" s="10">
        <f>IFERROR(B251/C251,"")</f>
        <v/>
      </c>
      <c r="E251" s="10">
        <f>IFERROR(C251/B251,"")</f>
        <v/>
      </c>
      <c r="F251" s="11">
        <f>IFERROR((D251/D250-1)*100,"")</f>
        <v/>
      </c>
      <c r="G251" s="11" t="inlineStr"/>
      <c r="H251" s="10" t="inlineStr"/>
      <c r="I251" s="10" t="n">
        <v>-1.832672201011726</v>
      </c>
      <c r="J251" t="inlineStr"/>
      <c r="K251" t="inlineStr"/>
    </row>
    <row r="252">
      <c r="A252" s="7" t="inlineStr">
        <is>
          <t>2015-03-11</t>
        </is>
      </c>
      <c r="B252" s="8">
        <f>IFERROR(VLOOKUP($A252,'01-原始价格'!$A:$M,2,FALSE),"")</f>
        <v/>
      </c>
      <c r="C252" s="8">
        <f>IFERROR(VLOOKUP($A252,'01-原始价格'!$A:$M,8,FALSE),"")</f>
        <v/>
      </c>
      <c r="D252" s="10">
        <f>IFERROR(B252/C252,"")</f>
        <v/>
      </c>
      <c r="E252" s="10">
        <f>IFERROR(C252/B252,"")</f>
        <v/>
      </c>
      <c r="F252" s="11">
        <f>IFERROR((D252/D251-1)*100,"")</f>
        <v/>
      </c>
      <c r="G252" s="11" t="inlineStr"/>
      <c r="H252" s="10" t="inlineStr"/>
      <c r="I252" s="10" t="n">
        <v>-1.425125870025902</v>
      </c>
      <c r="J252" t="inlineStr"/>
      <c r="K252" t="inlineStr"/>
    </row>
    <row r="253">
      <c r="A253" s="7" t="inlineStr">
        <is>
          <t>2015-03-12</t>
        </is>
      </c>
      <c r="B253" s="8">
        <f>IFERROR(VLOOKUP($A253,'01-原始价格'!$A:$M,2,FALSE),"")</f>
        <v/>
      </c>
      <c r="C253" s="8">
        <f>IFERROR(VLOOKUP($A253,'01-原始价格'!$A:$M,8,FALSE),"")</f>
        <v/>
      </c>
      <c r="D253" s="10">
        <f>IFERROR(B253/C253,"")</f>
        <v/>
      </c>
      <c r="E253" s="10">
        <f>IFERROR(C253/B253,"")</f>
        <v/>
      </c>
      <c r="F253" s="11">
        <f>IFERROR((D253/D252-1)*100,"")</f>
        <v/>
      </c>
      <c r="G253" s="11" t="inlineStr"/>
      <c r="H253" s="10" t="inlineStr"/>
      <c r="I253" s="10" t="n">
        <v>-1.118936671375735</v>
      </c>
      <c r="J253" t="inlineStr"/>
      <c r="K253" t="inlineStr"/>
    </row>
    <row r="254">
      <c r="A254" s="7" t="inlineStr">
        <is>
          <t>2015-03-13</t>
        </is>
      </c>
      <c r="B254" s="8">
        <f>IFERROR(VLOOKUP($A254,'01-原始价格'!$A:$M,2,FALSE),"")</f>
        <v/>
      </c>
      <c r="C254" s="8">
        <f>IFERROR(VLOOKUP($A254,'01-原始价格'!$A:$M,8,FALSE),"")</f>
        <v/>
      </c>
      <c r="D254" s="10">
        <f>IFERROR(B254/C254,"")</f>
        <v/>
      </c>
      <c r="E254" s="10">
        <f>IFERROR(C254/B254,"")</f>
        <v/>
      </c>
      <c r="F254" s="11">
        <f>IFERROR((D254/D253-1)*100,"")</f>
        <v/>
      </c>
      <c r="G254" s="11" t="inlineStr"/>
      <c r="H254" s="10" t="inlineStr"/>
      <c r="I254" s="10" t="n">
        <v>-0.8204433649088834</v>
      </c>
      <c r="J254" t="inlineStr"/>
      <c r="K254" t="inlineStr"/>
    </row>
    <row r="255">
      <c r="A255" s="7" t="inlineStr">
        <is>
          <t>2015-03-16</t>
        </is>
      </c>
      <c r="B255" s="8">
        <f>IFERROR(VLOOKUP($A255,'01-原始价格'!$A:$M,2,FALSE),"")</f>
        <v/>
      </c>
      <c r="C255" s="8">
        <f>IFERROR(VLOOKUP($A255,'01-原始价格'!$A:$M,8,FALSE),"")</f>
        <v/>
      </c>
      <c r="D255" s="10">
        <f>IFERROR(B255/C255,"")</f>
        <v/>
      </c>
      <c r="E255" s="10">
        <f>IFERROR(C255/B255,"")</f>
        <v/>
      </c>
      <c r="F255" s="11">
        <f>IFERROR((D255/D254-1)*100,"")</f>
        <v/>
      </c>
      <c r="G255" s="11" t="inlineStr"/>
      <c r="H255" s="10" t="inlineStr"/>
      <c r="I255" s="10" t="n">
        <v>-1.160263020510509</v>
      </c>
      <c r="J255" t="inlineStr"/>
      <c r="K255" t="inlineStr"/>
    </row>
    <row r="256">
      <c r="A256" s="7" t="inlineStr">
        <is>
          <t>2015-03-17</t>
        </is>
      </c>
      <c r="B256" s="8">
        <f>IFERROR(VLOOKUP($A256,'01-原始价格'!$A:$M,2,FALSE),"")</f>
        <v/>
      </c>
      <c r="C256" s="8">
        <f>IFERROR(VLOOKUP($A256,'01-原始价格'!$A:$M,8,FALSE),"")</f>
        <v/>
      </c>
      <c r="D256" s="10">
        <f>IFERROR(B256/C256,"")</f>
        <v/>
      </c>
      <c r="E256" s="10">
        <f>IFERROR(C256/B256,"")</f>
        <v/>
      </c>
      <c r="F256" s="11">
        <f>IFERROR((D256/D255-1)*100,"")</f>
        <v/>
      </c>
      <c r="G256" s="11">
        <f>IFERROR((COUNTIF($D$5:$D$256,"&lt;"&amp;D256)+0.5*COUNTIF($D$5:$D$256,D256))/COUNT($D$5:$D$256)*100,"")</f>
        <v/>
      </c>
      <c r="H256" s="10">
        <f>IFERROR(AVERAGE($D$5:$D$256),"")</f>
        <v/>
      </c>
      <c r="I256" s="10" t="n">
        <v>-0.6920375720906734</v>
      </c>
      <c r="J256" t="inlineStr"/>
      <c r="K256" t="inlineStr"/>
    </row>
    <row r="257">
      <c r="A257" s="7" t="inlineStr">
        <is>
          <t>2015-03-18</t>
        </is>
      </c>
      <c r="B257" s="8">
        <f>IFERROR(VLOOKUP($A257,'01-原始价格'!$A:$M,2,FALSE),"")</f>
        <v/>
      </c>
      <c r="C257" s="8">
        <f>IFERROR(VLOOKUP($A257,'01-原始价格'!$A:$M,8,FALSE),"")</f>
        <v/>
      </c>
      <c r="D257" s="10">
        <f>IFERROR(B257/C257,"")</f>
        <v/>
      </c>
      <c r="E257" s="10">
        <f>IFERROR(C257/B257,"")</f>
        <v/>
      </c>
      <c r="F257" s="11">
        <f>IFERROR((D257/D256-1)*100,"")</f>
        <v/>
      </c>
      <c r="G257" s="11">
        <f>IFERROR((COUNTIF($D$6:$D$257,"&lt;"&amp;D257)+0.5*COUNTIF($D$6:$D$257,D257))/COUNT($D$6:$D$257)*100,"")</f>
        <v/>
      </c>
      <c r="H257" s="10">
        <f>IFERROR(AVERAGE($D$6:$D$257),"")</f>
        <v/>
      </c>
      <c r="I257" s="10" t="n">
        <v>-0.8658158309929834</v>
      </c>
      <c r="J257" t="inlineStr"/>
      <c r="K257" t="inlineStr"/>
    </row>
    <row r="258">
      <c r="A258" s="7" t="inlineStr">
        <is>
          <t>2015-03-19</t>
        </is>
      </c>
      <c r="B258" s="8">
        <f>IFERROR(VLOOKUP($A258,'01-原始价格'!$A:$M,2,FALSE),"")</f>
        <v/>
      </c>
      <c r="C258" s="8">
        <f>IFERROR(VLOOKUP($A258,'01-原始价格'!$A:$M,8,FALSE),"")</f>
        <v/>
      </c>
      <c r="D258" s="10">
        <f>IFERROR(B258/C258,"")</f>
        <v/>
      </c>
      <c r="E258" s="10">
        <f>IFERROR(C258/B258,"")</f>
        <v/>
      </c>
      <c r="F258" s="11">
        <f>IFERROR((D258/D257-1)*100,"")</f>
        <v/>
      </c>
      <c r="G258" s="11">
        <f>IFERROR((COUNTIF($D$7:$D$258,"&lt;"&amp;D258)+0.5*COUNTIF($D$7:$D$258,D258))/COUNT($D$7:$D$258)*100,"")</f>
        <v/>
      </c>
      <c r="H258" s="10">
        <f>IFERROR(AVERAGE($D$7:$D$258),"")</f>
        <v/>
      </c>
      <c r="I258" s="10" t="n">
        <v>-0.7646590135075716</v>
      </c>
      <c r="J258" t="inlineStr"/>
      <c r="K258" t="inlineStr"/>
    </row>
    <row r="259">
      <c r="A259" s="7" t="inlineStr">
        <is>
          <t>2015-03-20</t>
        </is>
      </c>
      <c r="B259" s="8">
        <f>IFERROR(VLOOKUP($A259,'01-原始价格'!$A:$M,2,FALSE),"")</f>
        <v/>
      </c>
      <c r="C259" s="8">
        <f>IFERROR(VLOOKUP($A259,'01-原始价格'!$A:$M,8,FALSE),"")</f>
        <v/>
      </c>
      <c r="D259" s="10">
        <f>IFERROR(B259/C259,"")</f>
        <v/>
      </c>
      <c r="E259" s="10">
        <f>IFERROR(C259/B259,"")</f>
        <v/>
      </c>
      <c r="F259" s="11">
        <f>IFERROR((D259/D258-1)*100,"")</f>
        <v/>
      </c>
      <c r="G259" s="11">
        <f>IFERROR((COUNTIF($D$8:$D$259,"&lt;"&amp;D259)+0.5*COUNTIF($D$8:$D$259,D259))/COUNT($D$8:$D$259)*100,"")</f>
        <v/>
      </c>
      <c r="H259" s="10">
        <f>IFERROR(AVERAGE($D$8:$D$259),"")</f>
        <v/>
      </c>
      <c r="I259" s="10" t="n">
        <v>-0.7245107314709397</v>
      </c>
      <c r="J259" t="inlineStr"/>
      <c r="K259" t="inlineStr"/>
    </row>
    <row r="260">
      <c r="A260" s="7" t="inlineStr">
        <is>
          <t>2015-03-23</t>
        </is>
      </c>
      <c r="B260" s="8">
        <f>IFERROR(VLOOKUP($A260,'01-原始价格'!$A:$M,2,FALSE),"")</f>
        <v/>
      </c>
      <c r="C260" s="8">
        <f>IFERROR(VLOOKUP($A260,'01-原始价格'!$A:$M,8,FALSE),"")</f>
        <v/>
      </c>
      <c r="D260" s="10">
        <f>IFERROR(B260/C260,"")</f>
        <v/>
      </c>
      <c r="E260" s="10">
        <f>IFERROR(C260/B260,"")</f>
        <v/>
      </c>
      <c r="F260" s="11">
        <f>IFERROR((D260/D259-1)*100,"")</f>
        <v/>
      </c>
      <c r="G260" s="11">
        <f>IFERROR((COUNTIF($D$9:$D$260,"&lt;"&amp;D260)+0.5*COUNTIF($D$9:$D$260,D260))/COUNT($D$9:$D$260)*100,"")</f>
        <v/>
      </c>
      <c r="H260" s="10">
        <f>IFERROR(AVERAGE($D$9:$D$260),"")</f>
        <v/>
      </c>
      <c r="I260" s="10" t="n">
        <v>-0.7763609716463621</v>
      </c>
      <c r="J260" t="inlineStr"/>
      <c r="K260" t="inlineStr"/>
    </row>
    <row r="261">
      <c r="A261" s="7" t="inlineStr">
        <is>
          <t>2015-03-24</t>
        </is>
      </c>
      <c r="B261" s="8">
        <f>IFERROR(VLOOKUP($A261,'01-原始价格'!$A:$M,2,FALSE),"")</f>
        <v/>
      </c>
      <c r="C261" s="8">
        <f>IFERROR(VLOOKUP($A261,'01-原始价格'!$A:$M,8,FALSE),"")</f>
        <v/>
      </c>
      <c r="D261" s="10">
        <f>IFERROR(B261/C261,"")</f>
        <v/>
      </c>
      <c r="E261" s="10">
        <f>IFERROR(C261/B261,"")</f>
        <v/>
      </c>
      <c r="F261" s="11">
        <f>IFERROR((D261/D260-1)*100,"")</f>
        <v/>
      </c>
      <c r="G261" s="11">
        <f>IFERROR((COUNTIF($D$10:$D$261,"&lt;"&amp;D261)+0.5*COUNTIF($D$10:$D$261,D261))/COUNT($D$10:$D$261)*100,"")</f>
        <v/>
      </c>
      <c r="H261" s="10">
        <f>IFERROR(AVERAGE($D$10:$D$261),"")</f>
        <v/>
      </c>
      <c r="I261" s="10" t="n">
        <v>-1.001367108475117</v>
      </c>
      <c r="J261" t="inlineStr"/>
      <c r="K261" t="inlineStr"/>
    </row>
    <row r="262">
      <c r="A262" s="7" t="inlineStr">
        <is>
          <t>2015-03-25</t>
        </is>
      </c>
      <c r="B262" s="8">
        <f>IFERROR(VLOOKUP($A262,'01-原始价格'!$A:$M,2,FALSE),"")</f>
        <v/>
      </c>
      <c r="C262" s="8">
        <f>IFERROR(VLOOKUP($A262,'01-原始价格'!$A:$M,8,FALSE),"")</f>
        <v/>
      </c>
      <c r="D262" s="10">
        <f>IFERROR(B262/C262,"")</f>
        <v/>
      </c>
      <c r="E262" s="10">
        <f>IFERROR(C262/B262,"")</f>
        <v/>
      </c>
      <c r="F262" s="11">
        <f>IFERROR((D262/D261-1)*100,"")</f>
        <v/>
      </c>
      <c r="G262" s="11">
        <f>IFERROR((COUNTIF($D$11:$D$262,"&lt;"&amp;D262)+0.5*COUNTIF($D$11:$D$262,D262))/COUNT($D$11:$D$262)*100,"")</f>
        <v/>
      </c>
      <c r="H262" s="10">
        <f>IFERROR(AVERAGE($D$11:$D$262),"")</f>
        <v/>
      </c>
      <c r="I262" s="10" t="n">
        <v>-1.028561761605843</v>
      </c>
      <c r="J262" t="inlineStr"/>
      <c r="K262" t="inlineStr"/>
    </row>
    <row r="263">
      <c r="A263" s="7" t="inlineStr">
        <is>
          <t>2015-03-26</t>
        </is>
      </c>
      <c r="B263" s="8">
        <f>IFERROR(VLOOKUP($A263,'01-原始价格'!$A:$M,2,FALSE),"")</f>
        <v/>
      </c>
      <c r="C263" s="8">
        <f>IFERROR(VLOOKUP($A263,'01-原始价格'!$A:$M,8,FALSE),"")</f>
        <v/>
      </c>
      <c r="D263" s="10">
        <f>IFERROR(B263/C263,"")</f>
        <v/>
      </c>
      <c r="E263" s="10">
        <f>IFERROR(C263/B263,"")</f>
        <v/>
      </c>
      <c r="F263" s="11">
        <f>IFERROR((D263/D262-1)*100,"")</f>
        <v/>
      </c>
      <c r="G263" s="11">
        <f>IFERROR((COUNTIF($D$12:$D$263,"&lt;"&amp;D263)+0.5*COUNTIF($D$12:$D$263,D263))/COUNT($D$12:$D$263)*100,"")</f>
        <v/>
      </c>
      <c r="H263" s="10">
        <f>IFERROR(AVERAGE($D$12:$D$263),"")</f>
        <v/>
      </c>
      <c r="I263" s="10" t="n">
        <v>-1.090625610351443</v>
      </c>
      <c r="J263" t="inlineStr"/>
      <c r="K263" t="inlineStr"/>
    </row>
    <row r="264">
      <c r="A264" s="7" t="inlineStr">
        <is>
          <t>2015-03-27</t>
        </is>
      </c>
      <c r="B264" s="8">
        <f>IFERROR(VLOOKUP($A264,'01-原始价格'!$A:$M,2,FALSE),"")</f>
        <v/>
      </c>
      <c r="C264" s="8">
        <f>IFERROR(VLOOKUP($A264,'01-原始价格'!$A:$M,8,FALSE),"")</f>
        <v/>
      </c>
      <c r="D264" s="10">
        <f>IFERROR(B264/C264,"")</f>
        <v/>
      </c>
      <c r="E264" s="10">
        <f>IFERROR(C264/B264,"")</f>
        <v/>
      </c>
      <c r="F264" s="11">
        <f>IFERROR((D264/D263-1)*100,"")</f>
        <v/>
      </c>
      <c r="G264" s="11">
        <f>IFERROR((COUNTIF($D$13:$D$264,"&lt;"&amp;D264)+0.5*COUNTIF($D$13:$D$264,D264))/COUNT($D$13:$D$264)*100,"")</f>
        <v/>
      </c>
      <c r="H264" s="10">
        <f>IFERROR(AVERAGE($D$13:$D$264),"")</f>
        <v/>
      </c>
      <c r="I264" s="10" t="n">
        <v>-1.089340829307385</v>
      </c>
      <c r="J264" t="inlineStr"/>
      <c r="K264" t="inlineStr"/>
    </row>
    <row r="265">
      <c r="A265" s="7" t="inlineStr">
        <is>
          <t>2015-03-30</t>
        </is>
      </c>
      <c r="B265" s="8">
        <f>IFERROR(VLOOKUP($A265,'01-原始价格'!$A:$M,2,FALSE),"")</f>
        <v/>
      </c>
      <c r="C265" s="8">
        <f>IFERROR(VLOOKUP($A265,'01-原始价格'!$A:$M,8,FALSE),"")</f>
        <v/>
      </c>
      <c r="D265" s="10">
        <f>IFERROR(B265/C265,"")</f>
        <v/>
      </c>
      <c r="E265" s="10">
        <f>IFERROR(C265/B265,"")</f>
        <v/>
      </c>
      <c r="F265" s="11">
        <f>IFERROR((D265/D264-1)*100,"")</f>
        <v/>
      </c>
      <c r="G265" s="11">
        <f>IFERROR((COUNTIF($D$14:$D$265,"&lt;"&amp;D265)+0.5*COUNTIF($D$14:$D$265,D265))/COUNT($D$14:$D$265)*100,"")</f>
        <v/>
      </c>
      <c r="H265" s="10">
        <f>IFERROR(AVERAGE($D$14:$D$265),"")</f>
        <v/>
      </c>
      <c r="I265" s="10" t="n">
        <v>-1.151314009079624</v>
      </c>
      <c r="J265" t="inlineStr"/>
      <c r="K265" t="inlineStr"/>
    </row>
    <row r="266">
      <c r="A266" s="7" t="inlineStr">
        <is>
          <t>2015-03-31</t>
        </is>
      </c>
      <c r="B266" s="8">
        <f>IFERROR(VLOOKUP($A266,'01-原始价格'!$A:$M,2,FALSE),"")</f>
        <v/>
      </c>
      <c r="C266" s="8">
        <f>IFERROR(VLOOKUP($A266,'01-原始价格'!$A:$M,8,FALSE),"")</f>
        <v/>
      </c>
      <c r="D266" s="10">
        <f>IFERROR(B266/C266,"")</f>
        <v/>
      </c>
      <c r="E266" s="10">
        <f>IFERROR(C266/B266,"")</f>
        <v/>
      </c>
      <c r="F266" s="11">
        <f>IFERROR((D266/D265-1)*100,"")</f>
        <v/>
      </c>
      <c r="G266" s="11">
        <f>IFERROR((COUNTIF($D$15:$D$266,"&lt;"&amp;D266)+0.5*COUNTIF($D$15:$D$266,D266))/COUNT($D$15:$D$266)*100,"")</f>
        <v/>
      </c>
      <c r="H266" s="10">
        <f>IFERROR(AVERAGE($D$15:$D$266),"")</f>
        <v/>
      </c>
      <c r="I266" s="10" t="n">
        <v>-1.042650937369991</v>
      </c>
      <c r="J266" t="inlineStr"/>
      <c r="K266" t="inlineStr"/>
    </row>
    <row r="267">
      <c r="A267" s="7" t="inlineStr">
        <is>
          <t>2015-04-01</t>
        </is>
      </c>
      <c r="B267" s="8">
        <f>IFERROR(VLOOKUP($A267,'01-原始价格'!$A:$M,2,FALSE),"")</f>
        <v/>
      </c>
      <c r="C267" s="8">
        <f>IFERROR(VLOOKUP($A267,'01-原始价格'!$A:$M,8,FALSE),"")</f>
        <v/>
      </c>
      <c r="D267" s="10">
        <f>IFERROR(B267/C267,"")</f>
        <v/>
      </c>
      <c r="E267" s="10">
        <f>IFERROR(C267/B267,"")</f>
        <v/>
      </c>
      <c r="F267" s="11">
        <f>IFERROR((D267/D266-1)*100,"")</f>
        <v/>
      </c>
      <c r="G267" s="11">
        <f>IFERROR((COUNTIF($D$16:$D$267,"&lt;"&amp;D267)+0.5*COUNTIF($D$16:$D$267,D267))/COUNT($D$16:$D$267)*100,"")</f>
        <v/>
      </c>
      <c r="H267" s="10">
        <f>IFERROR(AVERAGE($D$16:$D$267),"")</f>
        <v/>
      </c>
      <c r="I267" s="10" t="n">
        <v>-0.9828750336988608</v>
      </c>
      <c r="J267" t="inlineStr"/>
      <c r="K267" t="inlineStr"/>
    </row>
    <row r="268">
      <c r="A268" s="7" t="inlineStr">
        <is>
          <t>2015-04-02</t>
        </is>
      </c>
      <c r="B268" s="8">
        <f>IFERROR(VLOOKUP($A268,'01-原始价格'!$A:$M,2,FALSE),"")</f>
        <v/>
      </c>
      <c r="C268" s="8">
        <f>IFERROR(VLOOKUP($A268,'01-原始价格'!$A:$M,8,FALSE),"")</f>
        <v/>
      </c>
      <c r="D268" s="10">
        <f>IFERROR(B268/C268,"")</f>
        <v/>
      </c>
      <c r="E268" s="10">
        <f>IFERROR(C268/B268,"")</f>
        <v/>
      </c>
      <c r="F268" s="11">
        <f>IFERROR((D268/D267-1)*100,"")</f>
        <v/>
      </c>
      <c r="G268" s="11">
        <f>IFERROR((COUNTIF($D$17:$D$268,"&lt;"&amp;D268)+0.5*COUNTIF($D$17:$D$268,D268))/COUNT($D$17:$D$268)*100,"")</f>
        <v/>
      </c>
      <c r="H268" s="10">
        <f>IFERROR(AVERAGE($D$17:$D$268),"")</f>
        <v/>
      </c>
      <c r="I268" s="10" t="n">
        <v>-0.9398528683972852</v>
      </c>
      <c r="J268" t="inlineStr"/>
      <c r="K268" t="inlineStr"/>
    </row>
    <row r="269">
      <c r="A269" s="7" t="inlineStr">
        <is>
          <t>2015-04-03</t>
        </is>
      </c>
      <c r="B269" s="8">
        <f>IFERROR(VLOOKUP($A269,'01-原始价格'!$A:$M,2,FALSE),"")</f>
        <v/>
      </c>
      <c r="C269" s="8">
        <f>IFERROR(VLOOKUP($A269,'01-原始价格'!$A:$M,8,FALSE),"")</f>
        <v/>
      </c>
      <c r="D269" s="10">
        <f>IFERROR(B269/C269,"")</f>
        <v/>
      </c>
      <c r="E269" s="10">
        <f>IFERROR(C269/B269,"")</f>
        <v/>
      </c>
      <c r="F269" s="11">
        <f>IFERROR((D269/D268-1)*100,"")</f>
        <v/>
      </c>
      <c r="G269" s="11">
        <f>IFERROR((COUNTIF($D$18:$D$269,"&lt;"&amp;D269)+0.5*COUNTIF($D$18:$D$269,D269))/COUNT($D$18:$D$269)*100,"")</f>
        <v/>
      </c>
      <c r="H269" s="10">
        <f>IFERROR(AVERAGE($D$18:$D$269),"")</f>
        <v/>
      </c>
      <c r="I269" s="10" t="n">
        <v>-0.7491336222807269</v>
      </c>
      <c r="J269" t="inlineStr"/>
      <c r="K269" t="inlineStr"/>
    </row>
    <row r="270">
      <c r="A270" s="7" t="inlineStr">
        <is>
          <t>2015-04-07</t>
        </is>
      </c>
      <c r="B270" s="8">
        <f>IFERROR(VLOOKUP($A270,'01-原始价格'!$A:$M,2,FALSE),"")</f>
        <v/>
      </c>
      <c r="C270" s="8">
        <f>IFERROR(VLOOKUP($A270,'01-原始价格'!$A:$M,8,FALSE),"")</f>
        <v/>
      </c>
      <c r="D270" s="10">
        <f>IFERROR(B270/C270,"")</f>
        <v/>
      </c>
      <c r="E270" s="10">
        <f>IFERROR(C270/B270,"")</f>
        <v/>
      </c>
      <c r="F270" s="11">
        <f>IFERROR((D270/D269-1)*100,"")</f>
        <v/>
      </c>
      <c r="G270" s="11">
        <f>IFERROR((COUNTIF($D$19:$D$270,"&lt;"&amp;D270)+0.5*COUNTIF($D$19:$D$270,D270))/COUNT($D$19:$D$270)*100,"")</f>
        <v/>
      </c>
      <c r="H270" s="10">
        <f>IFERROR(AVERAGE($D$19:$D$270),"")</f>
        <v/>
      </c>
      <c r="I270" s="10" t="n">
        <v>-0.5978497404485202</v>
      </c>
      <c r="J270" t="inlineStr"/>
      <c r="K270" t="inlineStr"/>
    </row>
    <row r="271">
      <c r="A271" s="7" t="inlineStr">
        <is>
          <t>2015-04-08</t>
        </is>
      </c>
      <c r="B271" s="8">
        <f>IFERROR(VLOOKUP($A271,'01-原始价格'!$A:$M,2,FALSE),"")</f>
        <v/>
      </c>
      <c r="C271" s="8">
        <f>IFERROR(VLOOKUP($A271,'01-原始价格'!$A:$M,8,FALSE),"")</f>
        <v/>
      </c>
      <c r="D271" s="10">
        <f>IFERROR(B271/C271,"")</f>
        <v/>
      </c>
      <c r="E271" s="10">
        <f>IFERROR(C271/B271,"")</f>
        <v/>
      </c>
      <c r="F271" s="11">
        <f>IFERROR((D271/D270-1)*100,"")</f>
        <v/>
      </c>
      <c r="G271" s="11">
        <f>IFERROR((COUNTIF($D$20:$D$271,"&lt;"&amp;D271)+0.5*COUNTIF($D$20:$D$271,D271))/COUNT($D$20:$D$271)*100,"")</f>
        <v/>
      </c>
      <c r="H271" s="10">
        <f>IFERROR(AVERAGE($D$20:$D$271),"")</f>
        <v/>
      </c>
      <c r="I271" s="10" t="n">
        <v>-0.3829245177911024</v>
      </c>
      <c r="J271" t="inlineStr"/>
      <c r="K271" t="inlineStr"/>
    </row>
    <row r="272">
      <c r="A272" s="7" t="inlineStr">
        <is>
          <t>2015-04-09</t>
        </is>
      </c>
      <c r="B272" s="8">
        <f>IFERROR(VLOOKUP($A272,'01-原始价格'!$A:$M,2,FALSE),"")</f>
        <v/>
      </c>
      <c r="C272" s="8">
        <f>IFERROR(VLOOKUP($A272,'01-原始价格'!$A:$M,8,FALSE),"")</f>
        <v/>
      </c>
      <c r="D272" s="10">
        <f>IFERROR(B272/C272,"")</f>
        <v/>
      </c>
      <c r="E272" s="10">
        <f>IFERROR(C272/B272,"")</f>
        <v/>
      </c>
      <c r="F272" s="11">
        <f>IFERROR((D272/D271-1)*100,"")</f>
        <v/>
      </c>
      <c r="G272" s="11">
        <f>IFERROR((COUNTIF($D$21:$D$272,"&lt;"&amp;D272)+0.5*COUNTIF($D$21:$D$272,D272))/COUNT($D$21:$D$272)*100,"")</f>
        <v/>
      </c>
      <c r="H272" s="10">
        <f>IFERROR(AVERAGE($D$21:$D$272),"")</f>
        <v/>
      </c>
      <c r="I272" s="10" t="n">
        <v>-0.3079579759955376</v>
      </c>
      <c r="J272" t="inlineStr"/>
      <c r="K272" t="inlineStr"/>
    </row>
    <row r="273">
      <c r="A273" s="7" t="inlineStr">
        <is>
          <t>2015-04-10</t>
        </is>
      </c>
      <c r="B273" s="8">
        <f>IFERROR(VLOOKUP($A273,'01-原始价格'!$A:$M,2,FALSE),"")</f>
        <v/>
      </c>
      <c r="C273" s="8">
        <f>IFERROR(VLOOKUP($A273,'01-原始价格'!$A:$M,8,FALSE),"")</f>
        <v/>
      </c>
      <c r="D273" s="10">
        <f>IFERROR(B273/C273,"")</f>
        <v/>
      </c>
      <c r="E273" s="10">
        <f>IFERROR(C273/B273,"")</f>
        <v/>
      </c>
      <c r="F273" s="11">
        <f>IFERROR((D273/D272-1)*100,"")</f>
        <v/>
      </c>
      <c r="G273" s="11">
        <f>IFERROR((COUNTIF($D$22:$D$273,"&lt;"&amp;D273)+0.5*COUNTIF($D$22:$D$273,D273))/COUNT($D$22:$D$273)*100,"")</f>
        <v/>
      </c>
      <c r="H273" s="10">
        <f>IFERROR(AVERAGE($D$22:$D$273),"")</f>
        <v/>
      </c>
      <c r="I273" s="10" t="n">
        <v>-0.1551325603137743</v>
      </c>
      <c r="J273" t="inlineStr"/>
      <c r="K273" t="inlineStr"/>
    </row>
    <row r="274">
      <c r="A274" s="7" t="inlineStr">
        <is>
          <t>2015-04-13</t>
        </is>
      </c>
      <c r="B274" s="8">
        <f>IFERROR(VLOOKUP($A274,'01-原始价格'!$A:$M,2,FALSE),"")</f>
        <v/>
      </c>
      <c r="C274" s="8">
        <f>IFERROR(VLOOKUP($A274,'01-原始价格'!$A:$M,8,FALSE),"")</f>
        <v/>
      </c>
      <c r="D274" s="10">
        <f>IFERROR(B274/C274,"")</f>
        <v/>
      </c>
      <c r="E274" s="10">
        <f>IFERROR(C274/B274,"")</f>
        <v/>
      </c>
      <c r="F274" s="11">
        <f>IFERROR((D274/D273-1)*100,"")</f>
        <v/>
      </c>
      <c r="G274" s="11">
        <f>IFERROR((COUNTIF($D$23:$D$274,"&lt;"&amp;D274)+0.5*COUNTIF($D$23:$D$274,D274))/COUNT($D$23:$D$274)*100,"")</f>
        <v/>
      </c>
      <c r="H274" s="10">
        <f>IFERROR(AVERAGE($D$23:$D$274),"")</f>
        <v/>
      </c>
      <c r="I274" s="10" t="n">
        <v>-0.0664426514572978</v>
      </c>
      <c r="J274" t="inlineStr"/>
      <c r="K274" t="inlineStr"/>
    </row>
    <row r="275">
      <c r="A275" s="7" t="inlineStr">
        <is>
          <t>2015-04-14</t>
        </is>
      </c>
      <c r="B275" s="8">
        <f>IFERROR(VLOOKUP($A275,'01-原始价格'!$A:$M,2,FALSE),"")</f>
        <v/>
      </c>
      <c r="C275" s="8">
        <f>IFERROR(VLOOKUP($A275,'01-原始价格'!$A:$M,8,FALSE),"")</f>
        <v/>
      </c>
      <c r="D275" s="10">
        <f>IFERROR(B275/C275,"")</f>
        <v/>
      </c>
      <c r="E275" s="10">
        <f>IFERROR(C275/B275,"")</f>
        <v/>
      </c>
      <c r="F275" s="11">
        <f>IFERROR((D275/D274-1)*100,"")</f>
        <v/>
      </c>
      <c r="G275" s="11">
        <f>IFERROR((COUNTIF($D$24:$D$275,"&lt;"&amp;D275)+0.5*COUNTIF($D$24:$D$275,D275))/COUNT($D$24:$D$275)*100,"")</f>
        <v/>
      </c>
      <c r="H275" s="10">
        <f>IFERROR(AVERAGE($D$24:$D$275),"")</f>
        <v/>
      </c>
      <c r="I275" s="10" t="n">
        <v>-0.02580548289991694</v>
      </c>
      <c r="J275" t="inlineStr"/>
      <c r="K275" t="inlineStr"/>
    </row>
    <row r="276">
      <c r="A276" s="7" t="inlineStr">
        <is>
          <t>2015-04-15</t>
        </is>
      </c>
      <c r="B276" s="8">
        <f>IFERROR(VLOOKUP($A276,'01-原始价格'!$A:$M,2,FALSE),"")</f>
        <v/>
      </c>
      <c r="C276" s="8">
        <f>IFERROR(VLOOKUP($A276,'01-原始价格'!$A:$M,8,FALSE),"")</f>
        <v/>
      </c>
      <c r="D276" s="10">
        <f>IFERROR(B276/C276,"")</f>
        <v/>
      </c>
      <c r="E276" s="10">
        <f>IFERROR(C276/B276,"")</f>
        <v/>
      </c>
      <c r="F276" s="11">
        <f>IFERROR((D276/D275-1)*100,"")</f>
        <v/>
      </c>
      <c r="G276" s="11">
        <f>IFERROR((COUNTIF($D$25:$D$276,"&lt;"&amp;D276)+0.5*COUNTIF($D$25:$D$276,D276))/COUNT($D$25:$D$276)*100,"")</f>
        <v/>
      </c>
      <c r="H276" s="10">
        <f>IFERROR(AVERAGE($D$25:$D$276),"")</f>
        <v/>
      </c>
      <c r="I276" s="10" t="n">
        <v>-0.04139120352028591</v>
      </c>
      <c r="J276" t="inlineStr"/>
      <c r="K276" t="inlineStr"/>
    </row>
    <row r="277">
      <c r="A277" s="7" t="inlineStr">
        <is>
          <t>2015-04-16</t>
        </is>
      </c>
      <c r="B277" s="8">
        <f>IFERROR(VLOOKUP($A277,'01-原始价格'!$A:$M,2,FALSE),"")</f>
        <v/>
      </c>
      <c r="C277" s="8">
        <f>IFERROR(VLOOKUP($A277,'01-原始价格'!$A:$M,8,FALSE),"")</f>
        <v/>
      </c>
      <c r="D277" s="10">
        <f>IFERROR(B277/C277,"")</f>
        <v/>
      </c>
      <c r="E277" s="10">
        <f>IFERROR(C277/B277,"")</f>
        <v/>
      </c>
      <c r="F277" s="11">
        <f>IFERROR((D277/D276-1)*100,"")</f>
        <v/>
      </c>
      <c r="G277" s="11">
        <f>IFERROR((COUNTIF($D$26:$D$277,"&lt;"&amp;D277)+0.5*COUNTIF($D$26:$D$277,D277))/COUNT($D$26:$D$277)*100,"")</f>
        <v/>
      </c>
      <c r="H277" s="10">
        <f>IFERROR(AVERAGE($D$26:$D$277),"")</f>
        <v/>
      </c>
      <c r="I277" s="10" t="n">
        <v>0.03510417113803829</v>
      </c>
      <c r="J277" t="inlineStr"/>
      <c r="K277" t="inlineStr"/>
    </row>
    <row r="278">
      <c r="A278" s="7" t="inlineStr">
        <is>
          <t>2015-04-17</t>
        </is>
      </c>
      <c r="B278" s="8">
        <f>IFERROR(VLOOKUP($A278,'01-原始价格'!$A:$M,2,FALSE),"")</f>
        <v/>
      </c>
      <c r="C278" s="8">
        <f>IFERROR(VLOOKUP($A278,'01-原始价格'!$A:$M,8,FALSE),"")</f>
        <v/>
      </c>
      <c r="D278" s="10">
        <f>IFERROR(B278/C278,"")</f>
        <v/>
      </c>
      <c r="E278" s="10">
        <f>IFERROR(C278/B278,"")</f>
        <v/>
      </c>
      <c r="F278" s="11">
        <f>IFERROR((D278/D277-1)*100,"")</f>
        <v/>
      </c>
      <c r="G278" s="11">
        <f>IFERROR((COUNTIF($D$27:$D$278,"&lt;"&amp;D278)+0.5*COUNTIF($D$27:$D$278,D278))/COUNT($D$27:$D$278)*100,"")</f>
        <v/>
      </c>
      <c r="H278" s="10">
        <f>IFERROR(AVERAGE($D$27:$D$278),"")</f>
        <v/>
      </c>
      <c r="I278" s="10" t="n">
        <v>0.217236518592885</v>
      </c>
      <c r="J278" t="inlineStr"/>
      <c r="K278" t="inlineStr"/>
    </row>
    <row r="279">
      <c r="A279" s="7" t="inlineStr">
        <is>
          <t>2015-04-20</t>
        </is>
      </c>
      <c r="B279" s="8">
        <f>IFERROR(VLOOKUP($A279,'01-原始价格'!$A:$M,2,FALSE),"")</f>
        <v/>
      </c>
      <c r="C279" s="8">
        <f>IFERROR(VLOOKUP($A279,'01-原始价格'!$A:$M,8,FALSE),"")</f>
        <v/>
      </c>
      <c r="D279" s="10">
        <f>IFERROR(B279/C279,"")</f>
        <v/>
      </c>
      <c r="E279" s="10">
        <f>IFERROR(C279/B279,"")</f>
        <v/>
      </c>
      <c r="F279" s="11">
        <f>IFERROR((D279/D278-1)*100,"")</f>
        <v/>
      </c>
      <c r="G279" s="11">
        <f>IFERROR((COUNTIF($D$28:$D$279,"&lt;"&amp;D279)+0.5*COUNTIF($D$28:$D$279,D279))/COUNT($D$28:$D$279)*100,"")</f>
        <v/>
      </c>
      <c r="H279" s="10">
        <f>IFERROR(AVERAGE($D$28:$D$279),"")</f>
        <v/>
      </c>
      <c r="I279" s="10" t="n">
        <v>-0.1103936952066803</v>
      </c>
      <c r="J279" t="inlineStr"/>
      <c r="K279" t="inlineStr"/>
    </row>
    <row r="280">
      <c r="A280" s="7" t="inlineStr">
        <is>
          <t>2015-04-21</t>
        </is>
      </c>
      <c r="B280" s="8">
        <f>IFERROR(VLOOKUP($A280,'01-原始价格'!$A:$M,2,FALSE),"")</f>
        <v/>
      </c>
      <c r="C280" s="8">
        <f>IFERROR(VLOOKUP($A280,'01-原始价格'!$A:$M,8,FALSE),"")</f>
        <v/>
      </c>
      <c r="D280" s="10">
        <f>IFERROR(B280/C280,"")</f>
        <v/>
      </c>
      <c r="E280" s="10">
        <f>IFERROR(C280/B280,"")</f>
        <v/>
      </c>
      <c r="F280" s="11">
        <f>IFERROR((D280/D279-1)*100,"")</f>
        <v/>
      </c>
      <c r="G280" s="11">
        <f>IFERROR((COUNTIF($D$29:$D$280,"&lt;"&amp;D280)+0.5*COUNTIF($D$29:$D$280,D280))/COUNT($D$29:$D$280)*100,"")</f>
        <v/>
      </c>
      <c r="H280" s="10">
        <f>IFERROR(AVERAGE($D$29:$D$280),"")</f>
        <v/>
      </c>
      <c r="I280" s="10" t="n">
        <v>-0.3671144698274508</v>
      </c>
      <c r="J280" t="inlineStr"/>
      <c r="K280" t="inlineStr"/>
    </row>
    <row r="281">
      <c r="A281" s="7" t="inlineStr">
        <is>
          <t>2015-04-22</t>
        </is>
      </c>
      <c r="B281" s="8">
        <f>IFERROR(VLOOKUP($A281,'01-原始价格'!$A:$M,2,FALSE),"")</f>
        <v/>
      </c>
      <c r="C281" s="8">
        <f>IFERROR(VLOOKUP($A281,'01-原始价格'!$A:$M,8,FALSE),"")</f>
        <v/>
      </c>
      <c r="D281" s="10">
        <f>IFERROR(B281/C281,"")</f>
        <v/>
      </c>
      <c r="E281" s="10">
        <f>IFERROR(C281/B281,"")</f>
        <v/>
      </c>
      <c r="F281" s="11">
        <f>IFERROR((D281/D280-1)*100,"")</f>
        <v/>
      </c>
      <c r="G281" s="11">
        <f>IFERROR((COUNTIF($D$30:$D$281,"&lt;"&amp;D281)+0.5*COUNTIF($D$30:$D$281,D281))/COUNT($D$30:$D$281)*100,"")</f>
        <v/>
      </c>
      <c r="H281" s="10">
        <f>IFERROR(AVERAGE($D$30:$D$281),"")</f>
        <v/>
      </c>
      <c r="I281" s="10" t="n">
        <v>-0.1556094067686827</v>
      </c>
      <c r="J281" t="inlineStr"/>
      <c r="K281" t="inlineStr"/>
    </row>
    <row r="282">
      <c r="A282" s="7" t="inlineStr">
        <is>
          <t>2015-04-23</t>
        </is>
      </c>
      <c r="B282" s="8">
        <f>IFERROR(VLOOKUP($A282,'01-原始价格'!$A:$M,2,FALSE),"")</f>
        <v/>
      </c>
      <c r="C282" s="8">
        <f>IFERROR(VLOOKUP($A282,'01-原始价格'!$A:$M,8,FALSE),"")</f>
        <v/>
      </c>
      <c r="D282" s="10">
        <f>IFERROR(B282/C282,"")</f>
        <v/>
      </c>
      <c r="E282" s="10">
        <f>IFERROR(C282/B282,"")</f>
        <v/>
      </c>
      <c r="F282" s="11">
        <f>IFERROR((D282/D281-1)*100,"")</f>
        <v/>
      </c>
      <c r="G282" s="11">
        <f>IFERROR((COUNTIF($D$31:$D$282,"&lt;"&amp;D282)+0.5*COUNTIF($D$31:$D$282,D282))/COUNT($D$31:$D$282)*100,"")</f>
        <v/>
      </c>
      <c r="H282" s="10">
        <f>IFERROR(AVERAGE($D$31:$D$282),"")</f>
        <v/>
      </c>
      <c r="I282" s="10" t="n">
        <v>-0.4814011420383215</v>
      </c>
      <c r="J282" t="inlineStr"/>
      <c r="K282" t="inlineStr"/>
    </row>
    <row r="283">
      <c r="A283" s="7" t="inlineStr">
        <is>
          <t>2015-04-24</t>
        </is>
      </c>
      <c r="B283" s="8">
        <f>IFERROR(VLOOKUP($A283,'01-原始价格'!$A:$M,2,FALSE),"")</f>
        <v/>
      </c>
      <c r="C283" s="8">
        <f>IFERROR(VLOOKUP($A283,'01-原始价格'!$A:$M,8,FALSE),"")</f>
        <v/>
      </c>
      <c r="D283" s="10">
        <f>IFERROR(B283/C283,"")</f>
        <v/>
      </c>
      <c r="E283" s="10">
        <f>IFERROR(C283/B283,"")</f>
        <v/>
      </c>
      <c r="F283" s="11">
        <f>IFERROR((D283/D282-1)*100,"")</f>
        <v/>
      </c>
      <c r="G283" s="11">
        <f>IFERROR((COUNTIF($D$32:$D$283,"&lt;"&amp;D283)+0.5*COUNTIF($D$32:$D$283,D283))/COUNT($D$32:$D$283)*100,"")</f>
        <v/>
      </c>
      <c r="H283" s="10">
        <f>IFERROR(AVERAGE($D$32:$D$283),"")</f>
        <v/>
      </c>
      <c r="I283" s="10" t="n">
        <v>-1.109785888822242</v>
      </c>
      <c r="J283" t="inlineStr"/>
      <c r="K283" t="inlineStr"/>
    </row>
    <row r="284">
      <c r="A284" s="7" t="inlineStr">
        <is>
          <t>2015-04-27</t>
        </is>
      </c>
      <c r="B284" s="8">
        <f>IFERROR(VLOOKUP($A284,'01-原始价格'!$A:$M,2,FALSE),"")</f>
        <v/>
      </c>
      <c r="C284" s="8">
        <f>IFERROR(VLOOKUP($A284,'01-原始价格'!$A:$M,8,FALSE),"")</f>
        <v/>
      </c>
      <c r="D284" s="10">
        <f>IFERROR(B284/C284,"")</f>
        <v/>
      </c>
      <c r="E284" s="10">
        <f>IFERROR(C284/B284,"")</f>
        <v/>
      </c>
      <c r="F284" s="11">
        <f>IFERROR((D284/D283-1)*100,"")</f>
        <v/>
      </c>
      <c r="G284" s="11">
        <f>IFERROR((COUNTIF($D$33:$D$284,"&lt;"&amp;D284)+0.5*COUNTIF($D$33:$D$284,D284))/COUNT($D$33:$D$284)*100,"")</f>
        <v/>
      </c>
      <c r="H284" s="10">
        <f>IFERROR(AVERAGE($D$33:$D$284),"")</f>
        <v/>
      </c>
      <c r="I284" s="10" t="n">
        <v>-1.239306760472613</v>
      </c>
      <c r="J284" t="inlineStr"/>
      <c r="K284" t="inlineStr"/>
    </row>
    <row r="285">
      <c r="A285" s="7" t="inlineStr">
        <is>
          <t>2015-04-28</t>
        </is>
      </c>
      <c r="B285" s="8">
        <f>IFERROR(VLOOKUP($A285,'01-原始价格'!$A:$M,2,FALSE),"")</f>
        <v/>
      </c>
      <c r="C285" s="8">
        <f>IFERROR(VLOOKUP($A285,'01-原始价格'!$A:$M,8,FALSE),"")</f>
        <v/>
      </c>
      <c r="D285" s="10">
        <f>IFERROR(B285/C285,"")</f>
        <v/>
      </c>
      <c r="E285" s="10">
        <f>IFERROR(C285/B285,"")</f>
        <v/>
      </c>
      <c r="F285" s="11">
        <f>IFERROR((D285/D284-1)*100,"")</f>
        <v/>
      </c>
      <c r="G285" s="11">
        <f>IFERROR((COUNTIF($D$34:$D$285,"&lt;"&amp;D285)+0.5*COUNTIF($D$34:$D$285,D285))/COUNT($D$34:$D$285)*100,"")</f>
        <v/>
      </c>
      <c r="H285" s="10">
        <f>IFERROR(AVERAGE($D$34:$D$285),"")</f>
        <v/>
      </c>
      <c r="I285" s="10" t="n">
        <v>-0.9146448098325451</v>
      </c>
      <c r="J285" t="inlineStr"/>
      <c r="K285" t="inlineStr"/>
    </row>
    <row r="286">
      <c r="A286" s="7" t="inlineStr">
        <is>
          <t>2015-04-29</t>
        </is>
      </c>
      <c r="B286" s="8">
        <f>IFERROR(VLOOKUP($A286,'01-原始价格'!$A:$M,2,FALSE),"")</f>
        <v/>
      </c>
      <c r="C286" s="8">
        <f>IFERROR(VLOOKUP($A286,'01-原始价格'!$A:$M,8,FALSE),"")</f>
        <v/>
      </c>
      <c r="D286" s="10">
        <f>IFERROR(B286/C286,"")</f>
        <v/>
      </c>
      <c r="E286" s="10">
        <f>IFERROR(C286/B286,"")</f>
        <v/>
      </c>
      <c r="F286" s="11">
        <f>IFERROR((D286/D285-1)*100,"")</f>
        <v/>
      </c>
      <c r="G286" s="11">
        <f>IFERROR((COUNTIF($D$35:$D$286,"&lt;"&amp;D286)+0.5*COUNTIF($D$35:$D$286,D286))/COUNT($D$35:$D$286)*100,"")</f>
        <v/>
      </c>
      <c r="H286" s="10">
        <f>IFERROR(AVERAGE($D$35:$D$286),"")</f>
        <v/>
      </c>
      <c r="I286" s="10" t="n">
        <v>-0.6074493157173271</v>
      </c>
      <c r="J286" t="inlineStr"/>
      <c r="K286" t="inlineStr"/>
    </row>
    <row r="287">
      <c r="A287" s="7" t="inlineStr">
        <is>
          <t>2015-04-30</t>
        </is>
      </c>
      <c r="B287" s="8">
        <f>IFERROR(VLOOKUP($A287,'01-原始价格'!$A:$M,2,FALSE),"")</f>
        <v/>
      </c>
      <c r="C287" s="8">
        <f>IFERROR(VLOOKUP($A287,'01-原始价格'!$A:$M,8,FALSE),"")</f>
        <v/>
      </c>
      <c r="D287" s="10">
        <f>IFERROR(B287/C287,"")</f>
        <v/>
      </c>
      <c r="E287" s="10">
        <f>IFERROR(C287/B287,"")</f>
        <v/>
      </c>
      <c r="F287" s="11">
        <f>IFERROR((D287/D286-1)*100,"")</f>
        <v/>
      </c>
      <c r="G287" s="11">
        <f>IFERROR((COUNTIF($D$36:$D$287,"&lt;"&amp;D287)+0.5*COUNTIF($D$36:$D$287,D287))/COUNT($D$36:$D$287)*100,"")</f>
        <v/>
      </c>
      <c r="H287" s="10">
        <f>IFERROR(AVERAGE($D$36:$D$287),"")</f>
        <v/>
      </c>
      <c r="I287" s="10" t="n">
        <v>-0.8316749255365531</v>
      </c>
      <c r="J287" t="inlineStr"/>
      <c r="K287" t="inlineStr"/>
    </row>
    <row r="288">
      <c r="A288" s="7" t="inlineStr">
        <is>
          <t>2015-05-04</t>
        </is>
      </c>
      <c r="B288" s="8">
        <f>IFERROR(VLOOKUP($A288,'01-原始价格'!$A:$M,2,FALSE),"")</f>
        <v/>
      </c>
      <c r="C288" s="8">
        <f>IFERROR(VLOOKUP($A288,'01-原始价格'!$A:$M,8,FALSE),"")</f>
        <v/>
      </c>
      <c r="D288" s="10">
        <f>IFERROR(B288/C288,"")</f>
        <v/>
      </c>
      <c r="E288" s="10">
        <f>IFERROR(C288/B288,"")</f>
        <v/>
      </c>
      <c r="F288" s="11">
        <f>IFERROR((D288/D287-1)*100,"")</f>
        <v/>
      </c>
      <c r="G288" s="11">
        <f>IFERROR((COUNTIF($D$37:$D$288,"&lt;"&amp;D288)+0.5*COUNTIF($D$37:$D$288,D288))/COUNT($D$37:$D$288)*100,"")</f>
        <v/>
      </c>
      <c r="H288" s="10">
        <f>IFERROR(AVERAGE($D$37:$D$288),"")</f>
        <v/>
      </c>
      <c r="I288" s="10" t="n">
        <v>-0.7245213251832077</v>
      </c>
      <c r="J288" t="inlineStr"/>
      <c r="K288" t="inlineStr"/>
    </row>
    <row r="289">
      <c r="A289" s="7" t="inlineStr">
        <is>
          <t>2015-05-05</t>
        </is>
      </c>
      <c r="B289" s="8">
        <f>IFERROR(VLOOKUP($A289,'01-原始价格'!$A:$M,2,FALSE),"")</f>
        <v/>
      </c>
      <c r="C289" s="8">
        <f>IFERROR(VLOOKUP($A289,'01-原始价格'!$A:$M,8,FALSE),"")</f>
        <v/>
      </c>
      <c r="D289" s="10">
        <f>IFERROR(B289/C289,"")</f>
        <v/>
      </c>
      <c r="E289" s="10">
        <f>IFERROR(C289/B289,"")</f>
        <v/>
      </c>
      <c r="F289" s="11">
        <f>IFERROR((D289/D288-1)*100,"")</f>
        <v/>
      </c>
      <c r="G289" s="11">
        <f>IFERROR((COUNTIF($D$38:$D$289,"&lt;"&amp;D289)+0.5*COUNTIF($D$38:$D$289,D289))/COUNT($D$38:$D$289)*100,"")</f>
        <v/>
      </c>
      <c r="H289" s="10">
        <f>IFERROR(AVERAGE($D$38:$D$289),"")</f>
        <v/>
      </c>
      <c r="I289" s="10" t="n">
        <v>-0.5586934354222691</v>
      </c>
      <c r="J289" t="inlineStr"/>
      <c r="K289" t="inlineStr"/>
    </row>
    <row r="290">
      <c r="A290" s="7" t="inlineStr">
        <is>
          <t>2015-05-06</t>
        </is>
      </c>
      <c r="B290" s="8">
        <f>IFERROR(VLOOKUP($A290,'01-原始价格'!$A:$M,2,FALSE),"")</f>
        <v/>
      </c>
      <c r="C290" s="8">
        <f>IFERROR(VLOOKUP($A290,'01-原始价格'!$A:$M,8,FALSE),"")</f>
        <v/>
      </c>
      <c r="D290" s="10">
        <f>IFERROR(B290/C290,"")</f>
        <v/>
      </c>
      <c r="E290" s="10">
        <f>IFERROR(C290/B290,"")</f>
        <v/>
      </c>
      <c r="F290" s="11">
        <f>IFERROR((D290/D289-1)*100,"")</f>
        <v/>
      </c>
      <c r="G290" s="11">
        <f>IFERROR((COUNTIF($D$39:$D$290,"&lt;"&amp;D290)+0.5*COUNTIF($D$39:$D$290,D290))/COUNT($D$39:$D$290)*100,"")</f>
        <v/>
      </c>
      <c r="H290" s="10">
        <f>IFERROR(AVERAGE($D$39:$D$290),"")</f>
        <v/>
      </c>
      <c r="I290" s="10" t="n">
        <v>0.1455188856306109</v>
      </c>
      <c r="J290" t="inlineStr"/>
      <c r="K290" t="inlineStr"/>
    </row>
    <row r="291">
      <c r="A291" s="7" t="inlineStr">
        <is>
          <t>2015-05-07</t>
        </is>
      </c>
      <c r="B291" s="8">
        <f>IFERROR(VLOOKUP($A291,'01-原始价格'!$A:$M,2,FALSE),"")</f>
        <v/>
      </c>
      <c r="C291" s="8">
        <f>IFERROR(VLOOKUP($A291,'01-原始价格'!$A:$M,8,FALSE),"")</f>
        <v/>
      </c>
      <c r="D291" s="10">
        <f>IFERROR(B291/C291,"")</f>
        <v/>
      </c>
      <c r="E291" s="10">
        <f>IFERROR(C291/B291,"")</f>
        <v/>
      </c>
      <c r="F291" s="11">
        <f>IFERROR((D291/D290-1)*100,"")</f>
        <v/>
      </c>
      <c r="G291" s="11">
        <f>IFERROR((COUNTIF($D$40:$D$291,"&lt;"&amp;D291)+0.5*COUNTIF($D$40:$D$291,D291))/COUNT($D$40:$D$291)*100,"")</f>
        <v/>
      </c>
      <c r="H291" s="10">
        <f>IFERROR(AVERAGE($D$40:$D$291),"")</f>
        <v/>
      </c>
      <c r="I291" s="10" t="n">
        <v>0.1317041729937833</v>
      </c>
      <c r="J291" t="inlineStr"/>
      <c r="K291" t="inlineStr"/>
    </row>
    <row r="292">
      <c r="A292" s="7" t="inlineStr">
        <is>
          <t>2015-05-08</t>
        </is>
      </c>
      <c r="B292" s="8">
        <f>IFERROR(VLOOKUP($A292,'01-原始价格'!$A:$M,2,FALSE),"")</f>
        <v/>
      </c>
      <c r="C292" s="8">
        <f>IFERROR(VLOOKUP($A292,'01-原始价格'!$A:$M,8,FALSE),"")</f>
        <v/>
      </c>
      <c r="D292" s="10">
        <f>IFERROR(B292/C292,"")</f>
        <v/>
      </c>
      <c r="E292" s="10">
        <f>IFERROR(C292/B292,"")</f>
        <v/>
      </c>
      <c r="F292" s="11">
        <f>IFERROR((D292/D291-1)*100,"")</f>
        <v/>
      </c>
      <c r="G292" s="11">
        <f>IFERROR((COUNTIF($D$41:$D$292,"&lt;"&amp;D292)+0.5*COUNTIF($D$41:$D$292,D292))/COUNT($D$41:$D$292)*100,"")</f>
        <v/>
      </c>
      <c r="H292" s="10">
        <f>IFERROR(AVERAGE($D$41:$D$292),"")</f>
        <v/>
      </c>
      <c r="I292" s="10" t="n">
        <v>-0.04178450174159652</v>
      </c>
      <c r="J292" t="inlineStr"/>
      <c r="K292" t="inlineStr"/>
    </row>
    <row r="293">
      <c r="A293" s="7" t="inlineStr">
        <is>
          <t>2015-05-11</t>
        </is>
      </c>
      <c r="B293" s="8">
        <f>IFERROR(VLOOKUP($A293,'01-原始价格'!$A:$M,2,FALSE),"")</f>
        <v/>
      </c>
      <c r="C293" s="8">
        <f>IFERROR(VLOOKUP($A293,'01-原始价格'!$A:$M,8,FALSE),"")</f>
        <v/>
      </c>
      <c r="D293" s="10">
        <f>IFERROR(B293/C293,"")</f>
        <v/>
      </c>
      <c r="E293" s="10">
        <f>IFERROR(C293/B293,"")</f>
        <v/>
      </c>
      <c r="F293" s="11">
        <f>IFERROR((D293/D292-1)*100,"")</f>
        <v/>
      </c>
      <c r="G293" s="11">
        <f>IFERROR((COUNTIF($D$42:$D$293,"&lt;"&amp;D293)+0.5*COUNTIF($D$42:$D$293,D293))/COUNT($D$42:$D$293)*100,"")</f>
        <v/>
      </c>
      <c r="H293" s="10">
        <f>IFERROR(AVERAGE($D$42:$D$293),"")</f>
        <v/>
      </c>
      <c r="I293" s="10" t="n">
        <v>-0.08424869714041501</v>
      </c>
      <c r="J293" t="inlineStr"/>
      <c r="K293" t="inlineStr"/>
    </row>
    <row r="294">
      <c r="A294" s="7" t="inlineStr">
        <is>
          <t>2015-05-12</t>
        </is>
      </c>
      <c r="B294" s="8">
        <f>IFERROR(VLOOKUP($A294,'01-原始价格'!$A:$M,2,FALSE),"")</f>
        <v/>
      </c>
      <c r="C294" s="8">
        <f>IFERROR(VLOOKUP($A294,'01-原始价格'!$A:$M,8,FALSE),"")</f>
        <v/>
      </c>
      <c r="D294" s="10">
        <f>IFERROR(B294/C294,"")</f>
        <v/>
      </c>
      <c r="E294" s="10">
        <f>IFERROR(C294/B294,"")</f>
        <v/>
      </c>
      <c r="F294" s="11">
        <f>IFERROR((D294/D293-1)*100,"")</f>
        <v/>
      </c>
      <c r="G294" s="11">
        <f>IFERROR((COUNTIF($D$43:$D$294,"&lt;"&amp;D294)+0.5*COUNTIF($D$43:$D$294,D294))/COUNT($D$43:$D$294)*100,"")</f>
        <v/>
      </c>
      <c r="H294" s="10">
        <f>IFERROR(AVERAGE($D$43:$D$294),"")</f>
        <v/>
      </c>
      <c r="I294" s="10" t="n">
        <v>-0.4293855561376863</v>
      </c>
      <c r="J294" t="inlineStr"/>
      <c r="K294" t="inlineStr"/>
    </row>
    <row r="295">
      <c r="A295" s="7" t="inlineStr">
        <is>
          <t>2015-05-13</t>
        </is>
      </c>
      <c r="B295" s="8">
        <f>IFERROR(VLOOKUP($A295,'01-原始价格'!$A:$M,2,FALSE),"")</f>
        <v/>
      </c>
      <c r="C295" s="8">
        <f>IFERROR(VLOOKUP($A295,'01-原始价格'!$A:$M,8,FALSE),"")</f>
        <v/>
      </c>
      <c r="D295" s="10">
        <f>IFERROR(B295/C295,"")</f>
        <v/>
      </c>
      <c r="E295" s="10">
        <f>IFERROR(C295/B295,"")</f>
        <v/>
      </c>
      <c r="F295" s="11">
        <f>IFERROR((D295/D294-1)*100,"")</f>
        <v/>
      </c>
      <c r="G295" s="11">
        <f>IFERROR((COUNTIF($D$44:$D$295,"&lt;"&amp;D295)+0.5*COUNTIF($D$44:$D$295,D295))/COUNT($D$44:$D$295)*100,"")</f>
        <v/>
      </c>
      <c r="H295" s="10">
        <f>IFERROR(AVERAGE($D$44:$D$295),"")</f>
        <v/>
      </c>
      <c r="I295" s="10" t="n">
        <v>-0.7278820503902089</v>
      </c>
      <c r="J295" t="inlineStr"/>
      <c r="K295" t="inlineStr"/>
    </row>
    <row r="296">
      <c r="A296" s="7" t="inlineStr">
        <is>
          <t>2015-05-14</t>
        </is>
      </c>
      <c r="B296" s="8">
        <f>IFERROR(VLOOKUP($A296,'01-原始价格'!$A:$M,2,FALSE),"")</f>
        <v/>
      </c>
      <c r="C296" s="8">
        <f>IFERROR(VLOOKUP($A296,'01-原始价格'!$A:$M,8,FALSE),"")</f>
        <v/>
      </c>
      <c r="D296" s="10">
        <f>IFERROR(B296/C296,"")</f>
        <v/>
      </c>
      <c r="E296" s="10">
        <f>IFERROR(C296/B296,"")</f>
        <v/>
      </c>
      <c r="F296" s="11">
        <f>IFERROR((D296/D295-1)*100,"")</f>
        <v/>
      </c>
      <c r="G296" s="11">
        <f>IFERROR((COUNTIF($D$45:$D$296,"&lt;"&amp;D296)+0.5*COUNTIF($D$45:$D$296,D296))/COUNT($D$45:$D$296)*100,"")</f>
        <v/>
      </c>
      <c r="H296" s="10">
        <f>IFERROR(AVERAGE($D$45:$D$296),"")</f>
        <v/>
      </c>
      <c r="I296" s="10" t="n">
        <v>-0.8265977242515249</v>
      </c>
      <c r="J296" t="inlineStr"/>
      <c r="K296" t="inlineStr"/>
    </row>
    <row r="297">
      <c r="A297" s="7" t="inlineStr">
        <is>
          <t>2015-05-15</t>
        </is>
      </c>
      <c r="B297" s="8">
        <f>IFERROR(VLOOKUP($A297,'01-原始价格'!$A:$M,2,FALSE),"")</f>
        <v/>
      </c>
      <c r="C297" s="8">
        <f>IFERROR(VLOOKUP($A297,'01-原始价格'!$A:$M,8,FALSE),"")</f>
        <v/>
      </c>
      <c r="D297" s="10">
        <f>IFERROR(B297/C297,"")</f>
        <v/>
      </c>
      <c r="E297" s="10">
        <f>IFERROR(C297/B297,"")</f>
        <v/>
      </c>
      <c r="F297" s="11">
        <f>IFERROR((D297/D296-1)*100,"")</f>
        <v/>
      </c>
      <c r="G297" s="11">
        <f>IFERROR((COUNTIF($D$46:$D$297,"&lt;"&amp;D297)+0.5*COUNTIF($D$46:$D$297,D297))/COUNT($D$46:$D$297)*100,"")</f>
        <v/>
      </c>
      <c r="H297" s="10">
        <f>IFERROR(AVERAGE($D$46:$D$297),"")</f>
        <v/>
      </c>
      <c r="I297" s="10" t="n">
        <v>-0.102051748091141</v>
      </c>
      <c r="J297" t="inlineStr"/>
      <c r="K297" t="inlineStr"/>
    </row>
    <row r="298">
      <c r="A298" s="7" t="inlineStr">
        <is>
          <t>2015-05-18</t>
        </is>
      </c>
      <c r="B298" s="8">
        <f>IFERROR(VLOOKUP($A298,'01-原始价格'!$A:$M,2,FALSE),"")</f>
        <v/>
      </c>
      <c r="C298" s="8">
        <f>IFERROR(VLOOKUP($A298,'01-原始价格'!$A:$M,8,FALSE),"")</f>
        <v/>
      </c>
      <c r="D298" s="10">
        <f>IFERROR(B298/C298,"")</f>
        <v/>
      </c>
      <c r="E298" s="10">
        <f>IFERROR(C298/B298,"")</f>
        <v/>
      </c>
      <c r="F298" s="11">
        <f>IFERROR((D298/D297-1)*100,"")</f>
        <v/>
      </c>
      <c r="G298" s="11">
        <f>IFERROR((COUNTIF($D$47:$D$298,"&lt;"&amp;D298)+0.5*COUNTIF($D$47:$D$298,D298))/COUNT($D$47:$D$298)*100,"")</f>
        <v/>
      </c>
      <c r="H298" s="10">
        <f>IFERROR(AVERAGE($D$47:$D$298),"")</f>
        <v/>
      </c>
      <c r="I298" s="10" t="n">
        <v>0.05615781670789968</v>
      </c>
      <c r="J298" t="inlineStr"/>
      <c r="K298" t="inlineStr"/>
    </row>
    <row r="299">
      <c r="A299" s="7" t="inlineStr">
        <is>
          <t>2015-05-19</t>
        </is>
      </c>
      <c r="B299" s="8">
        <f>IFERROR(VLOOKUP($A299,'01-原始价格'!$A:$M,2,FALSE),"")</f>
        <v/>
      </c>
      <c r="C299" s="8">
        <f>IFERROR(VLOOKUP($A299,'01-原始价格'!$A:$M,8,FALSE),"")</f>
        <v/>
      </c>
      <c r="D299" s="10">
        <f>IFERROR(B299/C299,"")</f>
        <v/>
      </c>
      <c r="E299" s="10">
        <f>IFERROR(C299/B299,"")</f>
        <v/>
      </c>
      <c r="F299" s="11">
        <f>IFERROR((D299/D298-1)*100,"")</f>
        <v/>
      </c>
      <c r="G299" s="11">
        <f>IFERROR((COUNTIF($D$48:$D$299,"&lt;"&amp;D299)+0.5*COUNTIF($D$48:$D$299,D299))/COUNT($D$48:$D$299)*100,"")</f>
        <v/>
      </c>
      <c r="H299" s="10">
        <f>IFERROR(AVERAGE($D$48:$D$299),"")</f>
        <v/>
      </c>
      <c r="I299" s="10" t="n">
        <v>0.1663867926613482</v>
      </c>
      <c r="J299" t="inlineStr"/>
      <c r="K299" t="inlineStr"/>
    </row>
    <row r="300">
      <c r="A300" s="7" t="inlineStr">
        <is>
          <t>2015-05-20</t>
        </is>
      </c>
      <c r="B300" s="8">
        <f>IFERROR(VLOOKUP($A300,'01-原始价格'!$A:$M,2,FALSE),"")</f>
        <v/>
      </c>
      <c r="C300" s="8">
        <f>IFERROR(VLOOKUP($A300,'01-原始价格'!$A:$M,8,FALSE),"")</f>
        <v/>
      </c>
      <c r="D300" s="10">
        <f>IFERROR(B300/C300,"")</f>
        <v/>
      </c>
      <c r="E300" s="10">
        <f>IFERROR(C300/B300,"")</f>
        <v/>
      </c>
      <c r="F300" s="11">
        <f>IFERROR((D300/D299-1)*100,"")</f>
        <v/>
      </c>
      <c r="G300" s="11">
        <f>IFERROR((COUNTIF($D$49:$D$300,"&lt;"&amp;D300)+0.5*COUNTIF($D$49:$D$300,D300))/COUNT($D$49:$D$300)*100,"")</f>
        <v/>
      </c>
      <c r="H300" s="10">
        <f>IFERROR(AVERAGE($D$49:$D$300),"")</f>
        <v/>
      </c>
      <c r="I300" s="10" t="n">
        <v>-0.06738070357051656</v>
      </c>
      <c r="J300" t="inlineStr"/>
      <c r="K300" t="inlineStr"/>
    </row>
    <row r="301">
      <c r="A301" s="7" t="inlineStr">
        <is>
          <t>2015-05-21</t>
        </is>
      </c>
      <c r="B301" s="8">
        <f>IFERROR(VLOOKUP($A301,'01-原始价格'!$A:$M,2,FALSE),"")</f>
        <v/>
      </c>
      <c r="C301" s="8">
        <f>IFERROR(VLOOKUP($A301,'01-原始价格'!$A:$M,8,FALSE),"")</f>
        <v/>
      </c>
      <c r="D301" s="10">
        <f>IFERROR(B301/C301,"")</f>
        <v/>
      </c>
      <c r="E301" s="10">
        <f>IFERROR(C301/B301,"")</f>
        <v/>
      </c>
      <c r="F301" s="11">
        <f>IFERROR((D301/D300-1)*100,"")</f>
        <v/>
      </c>
      <c r="G301" s="11">
        <f>IFERROR((COUNTIF($D$50:$D$301,"&lt;"&amp;D301)+0.5*COUNTIF($D$50:$D$301,D301))/COUNT($D$50:$D$301)*100,"")</f>
        <v/>
      </c>
      <c r="H301" s="10">
        <f>IFERROR(AVERAGE($D$50:$D$301),"")</f>
        <v/>
      </c>
      <c r="I301" s="10" t="n">
        <v>0.1160260375427981</v>
      </c>
      <c r="J301" t="inlineStr"/>
      <c r="K301" t="inlineStr"/>
    </row>
    <row r="302">
      <c r="A302" s="7" t="inlineStr">
        <is>
          <t>2015-05-22</t>
        </is>
      </c>
      <c r="B302" s="8">
        <f>IFERROR(VLOOKUP($A302,'01-原始价格'!$A:$M,2,FALSE),"")</f>
        <v/>
      </c>
      <c r="C302" s="8">
        <f>IFERROR(VLOOKUP($A302,'01-原始价格'!$A:$M,8,FALSE),"")</f>
        <v/>
      </c>
      <c r="D302" s="10">
        <f>IFERROR(B302/C302,"")</f>
        <v/>
      </c>
      <c r="E302" s="10">
        <f>IFERROR(C302/B302,"")</f>
        <v/>
      </c>
      <c r="F302" s="11">
        <f>IFERROR((D302/D301-1)*100,"")</f>
        <v/>
      </c>
      <c r="G302" s="11">
        <f>IFERROR((COUNTIF($D$51:$D$302,"&lt;"&amp;D302)+0.5*COUNTIF($D$51:$D$302,D302))/COUNT($D$51:$D$302)*100,"")</f>
        <v/>
      </c>
      <c r="H302" s="10">
        <f>IFERROR(AVERAGE($D$51:$D$302),"")</f>
        <v/>
      </c>
      <c r="I302" s="10" t="n">
        <v>-0.7255604488942503</v>
      </c>
      <c r="J302" t="inlineStr"/>
      <c r="K302" t="inlineStr"/>
    </row>
    <row r="303">
      <c r="A303" s="7" t="inlineStr">
        <is>
          <t>2015-05-25</t>
        </is>
      </c>
      <c r="B303" s="8">
        <f>IFERROR(VLOOKUP($A303,'01-原始价格'!$A:$M,2,FALSE),"")</f>
        <v/>
      </c>
      <c r="C303" s="8">
        <f>IFERROR(VLOOKUP($A303,'01-原始价格'!$A:$M,8,FALSE),"")</f>
        <v/>
      </c>
      <c r="D303" s="10">
        <f>IFERROR(B303/C303,"")</f>
        <v/>
      </c>
      <c r="E303" s="10">
        <f>IFERROR(C303/B303,"")</f>
        <v/>
      </c>
      <c r="F303" s="11">
        <f>IFERROR((D303/D302-1)*100,"")</f>
        <v/>
      </c>
      <c r="G303" s="11">
        <f>IFERROR((COUNTIF($D$52:$D$303,"&lt;"&amp;D303)+0.5*COUNTIF($D$52:$D$303,D303))/COUNT($D$52:$D$303)*100,"")</f>
        <v/>
      </c>
      <c r="H303" s="10">
        <f>IFERROR(AVERAGE($D$52:$D$303),"")</f>
        <v/>
      </c>
      <c r="I303" s="10" t="n">
        <v>-0.3972304605746078</v>
      </c>
      <c r="J303" t="inlineStr"/>
      <c r="K303" t="inlineStr"/>
    </row>
    <row r="304">
      <c r="A304" s="7" t="inlineStr">
        <is>
          <t>2015-05-26</t>
        </is>
      </c>
      <c r="B304" s="8">
        <f>IFERROR(VLOOKUP($A304,'01-原始价格'!$A:$M,2,FALSE),"")</f>
        <v/>
      </c>
      <c r="C304" s="8">
        <f>IFERROR(VLOOKUP($A304,'01-原始价格'!$A:$M,8,FALSE),"")</f>
        <v/>
      </c>
      <c r="D304" s="10">
        <f>IFERROR(B304/C304,"")</f>
        <v/>
      </c>
      <c r="E304" s="10">
        <f>IFERROR(C304/B304,"")</f>
        <v/>
      </c>
      <c r="F304" s="11">
        <f>IFERROR((D304/D303-1)*100,"")</f>
        <v/>
      </c>
      <c r="G304" s="11">
        <f>IFERROR((COUNTIF($D$53:$D$304,"&lt;"&amp;D304)+0.5*COUNTIF($D$53:$D$304,D304))/COUNT($D$53:$D$304)*100,"")</f>
        <v/>
      </c>
      <c r="H304" s="10">
        <f>IFERROR(AVERAGE($D$53:$D$304),"")</f>
        <v/>
      </c>
      <c r="I304" s="10" t="n">
        <v>0.1218389452812242</v>
      </c>
      <c r="J304" t="inlineStr"/>
      <c r="K304" t="inlineStr"/>
    </row>
    <row r="305">
      <c r="A305" s="7" t="inlineStr">
        <is>
          <t>2015-05-27</t>
        </is>
      </c>
      <c r="B305" s="8">
        <f>IFERROR(VLOOKUP($A305,'01-原始价格'!$A:$M,2,FALSE),"")</f>
        <v/>
      </c>
      <c r="C305" s="8">
        <f>IFERROR(VLOOKUP($A305,'01-原始价格'!$A:$M,8,FALSE),"")</f>
        <v/>
      </c>
      <c r="D305" s="10">
        <f>IFERROR(B305/C305,"")</f>
        <v/>
      </c>
      <c r="E305" s="10">
        <f>IFERROR(C305/B305,"")</f>
        <v/>
      </c>
      <c r="F305" s="11">
        <f>IFERROR((D305/D304-1)*100,"")</f>
        <v/>
      </c>
      <c r="G305" s="11">
        <f>IFERROR((COUNTIF($D$54:$D$305,"&lt;"&amp;D305)+0.5*COUNTIF($D$54:$D$305,D305))/COUNT($D$54:$D$305)*100,"")</f>
        <v/>
      </c>
      <c r="H305" s="10">
        <f>IFERROR(AVERAGE($D$54:$D$305),"")</f>
        <v/>
      </c>
      <c r="I305" s="10" t="n">
        <v>0.2042588121729308</v>
      </c>
      <c r="J305" t="inlineStr"/>
      <c r="K305" t="inlineStr"/>
    </row>
    <row r="306">
      <c r="A306" s="7" t="inlineStr">
        <is>
          <t>2015-05-28</t>
        </is>
      </c>
      <c r="B306" s="8">
        <f>IFERROR(VLOOKUP($A306,'01-原始价格'!$A:$M,2,FALSE),"")</f>
        <v/>
      </c>
      <c r="C306" s="8">
        <f>IFERROR(VLOOKUP($A306,'01-原始价格'!$A:$M,8,FALSE),"")</f>
        <v/>
      </c>
      <c r="D306" s="10">
        <f>IFERROR(B306/C306,"")</f>
        <v/>
      </c>
      <c r="E306" s="10">
        <f>IFERROR(C306/B306,"")</f>
        <v/>
      </c>
      <c r="F306" s="11">
        <f>IFERROR((D306/D305-1)*100,"")</f>
        <v/>
      </c>
      <c r="G306" s="11">
        <f>IFERROR((COUNTIF($D$55:$D$306,"&lt;"&amp;D306)+0.5*COUNTIF($D$55:$D$306,D306))/COUNT($D$55:$D$306)*100,"")</f>
        <v/>
      </c>
      <c r="H306" s="10">
        <f>IFERROR(AVERAGE($D$55:$D$306),"")</f>
        <v/>
      </c>
      <c r="I306" s="10" t="n">
        <v>0.2795781982520274</v>
      </c>
      <c r="J306" t="inlineStr"/>
      <c r="K306" t="inlineStr"/>
    </row>
    <row r="307">
      <c r="A307" s="7" t="inlineStr">
        <is>
          <t>2015-05-29</t>
        </is>
      </c>
      <c r="B307" s="8">
        <f>IFERROR(VLOOKUP($A307,'01-原始价格'!$A:$M,2,FALSE),"")</f>
        <v/>
      </c>
      <c r="C307" s="8">
        <f>IFERROR(VLOOKUP($A307,'01-原始价格'!$A:$M,8,FALSE),"")</f>
        <v/>
      </c>
      <c r="D307" s="10">
        <f>IFERROR(B307/C307,"")</f>
        <v/>
      </c>
      <c r="E307" s="10">
        <f>IFERROR(C307/B307,"")</f>
        <v/>
      </c>
      <c r="F307" s="11">
        <f>IFERROR((D307/D306-1)*100,"")</f>
        <v/>
      </c>
      <c r="G307" s="11">
        <f>IFERROR((COUNTIF($D$56:$D$307,"&lt;"&amp;D307)+0.5*COUNTIF($D$56:$D$307,D307))/COUNT($D$56:$D$307)*100,"")</f>
        <v/>
      </c>
      <c r="H307" s="10">
        <f>IFERROR(AVERAGE($D$56:$D$307),"")</f>
        <v/>
      </c>
      <c r="I307" s="10" t="n">
        <v>0.3940075361093399</v>
      </c>
      <c r="J307" t="inlineStr"/>
      <c r="K307" t="inlineStr"/>
    </row>
    <row r="308">
      <c r="A308" s="7" t="inlineStr">
        <is>
          <t>2015-06-01</t>
        </is>
      </c>
      <c r="B308" s="8">
        <f>IFERROR(VLOOKUP($A308,'01-原始价格'!$A:$M,2,FALSE),"")</f>
        <v/>
      </c>
      <c r="C308" s="8">
        <f>IFERROR(VLOOKUP($A308,'01-原始价格'!$A:$M,8,FALSE),"")</f>
        <v/>
      </c>
      <c r="D308" s="10">
        <f>IFERROR(B308/C308,"")</f>
        <v/>
      </c>
      <c r="E308" s="10">
        <f>IFERROR(C308/B308,"")</f>
        <v/>
      </c>
      <c r="F308" s="11">
        <f>IFERROR((D308/D307-1)*100,"")</f>
        <v/>
      </c>
      <c r="G308" s="11">
        <f>IFERROR((COUNTIF($D$57:$D$308,"&lt;"&amp;D308)+0.5*COUNTIF($D$57:$D$308,D308))/COUNT($D$57:$D$308)*100,"")</f>
        <v/>
      </c>
      <c r="H308" s="10">
        <f>IFERROR(AVERAGE($D$57:$D$308),"")</f>
        <v/>
      </c>
      <c r="I308" s="10" t="n">
        <v>0.2268520946169525</v>
      </c>
      <c r="J308" t="inlineStr"/>
      <c r="K308" t="inlineStr"/>
    </row>
    <row r="309">
      <c r="A309" s="7" t="inlineStr">
        <is>
          <t>2015-06-02</t>
        </is>
      </c>
      <c r="B309" s="8">
        <f>IFERROR(VLOOKUP($A309,'01-原始价格'!$A:$M,2,FALSE),"")</f>
        <v/>
      </c>
      <c r="C309" s="8">
        <f>IFERROR(VLOOKUP($A309,'01-原始价格'!$A:$M,8,FALSE),"")</f>
        <v/>
      </c>
      <c r="D309" s="10">
        <f>IFERROR(B309/C309,"")</f>
        <v/>
      </c>
      <c r="E309" s="10">
        <f>IFERROR(C309/B309,"")</f>
        <v/>
      </c>
      <c r="F309" s="11">
        <f>IFERROR((D309/D308-1)*100,"")</f>
        <v/>
      </c>
      <c r="G309" s="11">
        <f>IFERROR((COUNTIF($D$58:$D$309,"&lt;"&amp;D309)+0.5*COUNTIF($D$58:$D$309,D309))/COUNT($D$58:$D$309)*100,"")</f>
        <v/>
      </c>
      <c r="H309" s="10">
        <f>IFERROR(AVERAGE($D$58:$D$309),"")</f>
        <v/>
      </c>
      <c r="I309" s="10" t="n">
        <v>0.3667370504576815</v>
      </c>
      <c r="J309" t="inlineStr"/>
      <c r="K309" t="inlineStr"/>
    </row>
    <row r="310">
      <c r="A310" s="7" t="inlineStr">
        <is>
          <t>2015-06-03</t>
        </is>
      </c>
      <c r="B310" s="8">
        <f>IFERROR(VLOOKUP($A310,'01-原始价格'!$A:$M,2,FALSE),"")</f>
        <v/>
      </c>
      <c r="C310" s="8">
        <f>IFERROR(VLOOKUP($A310,'01-原始价格'!$A:$M,8,FALSE),"")</f>
        <v/>
      </c>
      <c r="D310" s="10">
        <f>IFERROR(B310/C310,"")</f>
        <v/>
      </c>
      <c r="E310" s="10">
        <f>IFERROR(C310/B310,"")</f>
        <v/>
      </c>
      <c r="F310" s="11">
        <f>IFERROR((D310/D309-1)*100,"")</f>
        <v/>
      </c>
      <c r="G310" s="11">
        <f>IFERROR((COUNTIF($D$59:$D$310,"&lt;"&amp;D310)+0.5*COUNTIF($D$59:$D$310,D310))/COUNT($D$59:$D$310)*100,"")</f>
        <v/>
      </c>
      <c r="H310" s="10">
        <f>IFERROR(AVERAGE($D$59:$D$310),"")</f>
        <v/>
      </c>
      <c r="I310" s="10" t="n">
        <v>0.6478120149574059</v>
      </c>
      <c r="J310" t="inlineStr"/>
      <c r="K310" t="inlineStr"/>
    </row>
    <row r="311">
      <c r="A311" s="7" t="inlineStr">
        <is>
          <t>2015-06-04</t>
        </is>
      </c>
      <c r="B311" s="8">
        <f>IFERROR(VLOOKUP($A311,'01-原始价格'!$A:$M,2,FALSE),"")</f>
        <v/>
      </c>
      <c r="C311" s="8">
        <f>IFERROR(VLOOKUP($A311,'01-原始价格'!$A:$M,8,FALSE),"")</f>
        <v/>
      </c>
      <c r="D311" s="10">
        <f>IFERROR(B311/C311,"")</f>
        <v/>
      </c>
      <c r="E311" s="10">
        <f>IFERROR(C311/B311,"")</f>
        <v/>
      </c>
      <c r="F311" s="11">
        <f>IFERROR((D311/D310-1)*100,"")</f>
        <v/>
      </c>
      <c r="G311" s="11">
        <f>IFERROR((COUNTIF($D$60:$D$311,"&lt;"&amp;D311)+0.5*COUNTIF($D$60:$D$311,D311))/COUNT($D$60:$D$311)*100,"")</f>
        <v/>
      </c>
      <c r="H311" s="10">
        <f>IFERROR(AVERAGE($D$60:$D$311),"")</f>
        <v/>
      </c>
      <c r="I311" s="10" t="n">
        <v>0.8772299946411606</v>
      </c>
      <c r="J311" t="inlineStr"/>
      <c r="K311" t="inlineStr"/>
    </row>
    <row r="312">
      <c r="A312" s="7" t="inlineStr">
        <is>
          <t>2015-06-05</t>
        </is>
      </c>
      <c r="B312" s="8">
        <f>IFERROR(VLOOKUP($A312,'01-原始价格'!$A:$M,2,FALSE),"")</f>
        <v/>
      </c>
      <c r="C312" s="8">
        <f>IFERROR(VLOOKUP($A312,'01-原始价格'!$A:$M,8,FALSE),"")</f>
        <v/>
      </c>
      <c r="D312" s="10">
        <f>IFERROR(B312/C312,"")</f>
        <v/>
      </c>
      <c r="E312" s="10">
        <f>IFERROR(C312/B312,"")</f>
        <v/>
      </c>
      <c r="F312" s="11">
        <f>IFERROR((D312/D311-1)*100,"")</f>
        <v/>
      </c>
      <c r="G312" s="11">
        <f>IFERROR((COUNTIF($D$61:$D$312,"&lt;"&amp;D312)+0.5*COUNTIF($D$61:$D$312,D312))/COUNT($D$61:$D$312)*100,"")</f>
        <v/>
      </c>
      <c r="H312" s="10">
        <f>IFERROR(AVERAGE($D$61:$D$312),"")</f>
        <v/>
      </c>
      <c r="I312" s="10" t="n">
        <v>1.220491862009918</v>
      </c>
      <c r="J312" t="inlineStr"/>
      <c r="K312" t="inlineStr"/>
    </row>
    <row r="313">
      <c r="A313" s="7" t="inlineStr">
        <is>
          <t>2015-06-08</t>
        </is>
      </c>
      <c r="B313" s="8">
        <f>IFERROR(VLOOKUP($A313,'01-原始价格'!$A:$M,2,FALSE),"")</f>
        <v/>
      </c>
      <c r="C313" s="8">
        <f>IFERROR(VLOOKUP($A313,'01-原始价格'!$A:$M,8,FALSE),"")</f>
        <v/>
      </c>
      <c r="D313" s="10">
        <f>IFERROR(B313/C313,"")</f>
        <v/>
      </c>
      <c r="E313" s="10">
        <f>IFERROR(C313/B313,"")</f>
        <v/>
      </c>
      <c r="F313" s="11">
        <f>IFERROR((D313/D312-1)*100,"")</f>
        <v/>
      </c>
      <c r="G313" s="11">
        <f>IFERROR((COUNTIF($D$62:$D$313,"&lt;"&amp;D313)+0.5*COUNTIF($D$62:$D$313,D313))/COUNT($D$62:$D$313)*100,"")</f>
        <v/>
      </c>
      <c r="H313" s="10">
        <f>IFERROR(AVERAGE($D$62:$D$313),"")</f>
        <v/>
      </c>
      <c r="I313" s="10" t="n">
        <v>1.309836230211511</v>
      </c>
      <c r="J313" t="inlineStr"/>
      <c r="K313" t="inlineStr"/>
    </row>
    <row r="314">
      <c r="A314" s="7" t="inlineStr">
        <is>
          <t>2015-06-09</t>
        </is>
      </c>
      <c r="B314" s="8">
        <f>IFERROR(VLOOKUP($A314,'01-原始价格'!$A:$M,2,FALSE),"")</f>
        <v/>
      </c>
      <c r="C314" s="8">
        <f>IFERROR(VLOOKUP($A314,'01-原始价格'!$A:$M,8,FALSE),"")</f>
        <v/>
      </c>
      <c r="D314" s="10">
        <f>IFERROR(B314/C314,"")</f>
        <v/>
      </c>
      <c r="E314" s="10">
        <f>IFERROR(C314/B314,"")</f>
        <v/>
      </c>
      <c r="F314" s="11">
        <f>IFERROR((D314/D313-1)*100,"")</f>
        <v/>
      </c>
      <c r="G314" s="11">
        <f>IFERROR((COUNTIF($D$63:$D$314,"&lt;"&amp;D314)+0.5*COUNTIF($D$63:$D$314,D314))/COUNT($D$63:$D$314)*100,"")</f>
        <v/>
      </c>
      <c r="H314" s="10">
        <f>IFERROR(AVERAGE($D$63:$D$314),"")</f>
        <v/>
      </c>
      <c r="I314" s="10" t="n">
        <v>1.237501713628591</v>
      </c>
      <c r="J314" t="inlineStr"/>
      <c r="K314" t="inlineStr"/>
    </row>
    <row r="315">
      <c r="A315" s="7" t="inlineStr">
        <is>
          <t>2015-06-10</t>
        </is>
      </c>
      <c r="B315" s="8">
        <f>IFERROR(VLOOKUP($A315,'01-原始价格'!$A:$M,2,FALSE),"")</f>
        <v/>
      </c>
      <c r="C315" s="8">
        <f>IFERROR(VLOOKUP($A315,'01-原始价格'!$A:$M,8,FALSE),"")</f>
        <v/>
      </c>
      <c r="D315" s="10">
        <f>IFERROR(B315/C315,"")</f>
        <v/>
      </c>
      <c r="E315" s="10">
        <f>IFERROR(C315/B315,"")</f>
        <v/>
      </c>
      <c r="F315" s="11">
        <f>IFERROR((D315/D314-1)*100,"")</f>
        <v/>
      </c>
      <c r="G315" s="11">
        <f>IFERROR((COUNTIF($D$64:$D$315,"&lt;"&amp;D315)+0.5*COUNTIF($D$64:$D$315,D315))/COUNT($D$64:$D$315)*100,"")</f>
        <v/>
      </c>
      <c r="H315" s="10">
        <f>IFERROR(AVERAGE($D$64:$D$315),"")</f>
        <v/>
      </c>
      <c r="I315" s="10" t="n">
        <v>0.6340070394366858</v>
      </c>
      <c r="J315" t="inlineStr"/>
      <c r="K315" t="inlineStr"/>
    </row>
    <row r="316">
      <c r="A316" s="7" t="inlineStr">
        <is>
          <t>2015-06-11</t>
        </is>
      </c>
      <c r="B316" s="8">
        <f>IFERROR(VLOOKUP($A316,'01-原始价格'!$A:$M,2,FALSE),"")</f>
        <v/>
      </c>
      <c r="C316" s="8">
        <f>IFERROR(VLOOKUP($A316,'01-原始价格'!$A:$M,8,FALSE),"")</f>
        <v/>
      </c>
      <c r="D316" s="10">
        <f>IFERROR(B316/C316,"")</f>
        <v/>
      </c>
      <c r="E316" s="10">
        <f>IFERROR(C316/B316,"")</f>
        <v/>
      </c>
      <c r="F316" s="11">
        <f>IFERROR((D316/D315-1)*100,"")</f>
        <v/>
      </c>
      <c r="G316" s="11">
        <f>IFERROR((COUNTIF($D$65:$D$316,"&lt;"&amp;D316)+0.5*COUNTIF($D$65:$D$316,D316))/COUNT($D$65:$D$316)*100,"")</f>
        <v/>
      </c>
      <c r="H316" s="10">
        <f>IFERROR(AVERAGE($D$65:$D$316),"")</f>
        <v/>
      </c>
      <c r="I316" s="10" t="n">
        <v>0.9846453025186125</v>
      </c>
      <c r="J316" t="inlineStr"/>
      <c r="K316" t="inlineStr"/>
    </row>
    <row r="317">
      <c r="A317" s="7" t="inlineStr">
        <is>
          <t>2015-06-12</t>
        </is>
      </c>
      <c r="B317" s="8">
        <f>IFERROR(VLOOKUP($A317,'01-原始价格'!$A:$M,2,FALSE),"")</f>
        <v/>
      </c>
      <c r="C317" s="8">
        <f>IFERROR(VLOOKUP($A317,'01-原始价格'!$A:$M,8,FALSE),"")</f>
        <v/>
      </c>
      <c r="D317" s="10">
        <f>IFERROR(B317/C317,"")</f>
        <v/>
      </c>
      <c r="E317" s="10">
        <f>IFERROR(C317/B317,"")</f>
        <v/>
      </c>
      <c r="F317" s="11">
        <f>IFERROR((D317/D316-1)*100,"")</f>
        <v/>
      </c>
      <c r="G317" s="11">
        <f>IFERROR((COUNTIF($D$66:$D$317,"&lt;"&amp;D317)+0.5*COUNTIF($D$66:$D$317,D317))/COUNT($D$66:$D$317)*100,"")</f>
        <v/>
      </c>
      <c r="H317" s="10">
        <f>IFERROR(AVERAGE($D$66:$D$317),"")</f>
        <v/>
      </c>
      <c r="I317" s="10" t="n">
        <v>0.9837578050529246</v>
      </c>
      <c r="J317" t="inlineStr"/>
      <c r="K317" t="inlineStr"/>
    </row>
    <row r="318">
      <c r="A318" s="7" t="inlineStr">
        <is>
          <t>2015-06-15</t>
        </is>
      </c>
      <c r="B318" s="8">
        <f>IFERROR(VLOOKUP($A318,'01-原始价格'!$A:$M,2,FALSE),"")</f>
        <v/>
      </c>
      <c r="C318" s="8">
        <f>IFERROR(VLOOKUP($A318,'01-原始价格'!$A:$M,8,FALSE),"")</f>
        <v/>
      </c>
      <c r="D318" s="10">
        <f>IFERROR(B318/C318,"")</f>
        <v/>
      </c>
      <c r="E318" s="10">
        <f>IFERROR(C318/B318,"")</f>
        <v/>
      </c>
      <c r="F318" s="11">
        <f>IFERROR((D318/D317-1)*100,"")</f>
        <v/>
      </c>
      <c r="G318" s="11">
        <f>IFERROR((COUNTIF($D$67:$D$318,"&lt;"&amp;D318)+0.5*COUNTIF($D$67:$D$318,D318))/COUNT($D$67:$D$318)*100,"")</f>
        <v/>
      </c>
      <c r="H318" s="10">
        <f>IFERROR(AVERAGE($D$67:$D$318),"")</f>
        <v/>
      </c>
      <c r="I318" s="10" t="n">
        <v>0.3400730043264606</v>
      </c>
      <c r="J318" t="inlineStr"/>
      <c r="K318" t="inlineStr"/>
    </row>
    <row r="319">
      <c r="A319" s="7" t="inlineStr">
        <is>
          <t>2015-06-16</t>
        </is>
      </c>
      <c r="B319" s="8">
        <f>IFERROR(VLOOKUP($A319,'01-原始价格'!$A:$M,2,FALSE),"")</f>
        <v/>
      </c>
      <c r="C319" s="8">
        <f>IFERROR(VLOOKUP($A319,'01-原始价格'!$A:$M,8,FALSE),"")</f>
        <v/>
      </c>
      <c r="D319" s="10">
        <f>IFERROR(B319/C319,"")</f>
        <v/>
      </c>
      <c r="E319" s="10">
        <f>IFERROR(C319/B319,"")</f>
        <v/>
      </c>
      <c r="F319" s="11">
        <f>IFERROR((D319/D318-1)*100,"")</f>
        <v/>
      </c>
      <c r="G319" s="11">
        <f>IFERROR((COUNTIF($D$68:$D$319,"&lt;"&amp;D319)+0.5*COUNTIF($D$68:$D$319,D319))/COUNT($D$68:$D$319)*100,"")</f>
        <v/>
      </c>
      <c r="H319" s="10">
        <f>IFERROR(AVERAGE($D$68:$D$319),"")</f>
        <v/>
      </c>
      <c r="I319" s="10" t="n">
        <v>0.230386034512578</v>
      </c>
      <c r="J319" t="inlineStr"/>
      <c r="K319" t="inlineStr"/>
    </row>
    <row r="320">
      <c r="A320" s="7" t="inlineStr">
        <is>
          <t>2015-06-17</t>
        </is>
      </c>
      <c r="B320" s="8">
        <f>IFERROR(VLOOKUP($A320,'01-原始价格'!$A:$M,2,FALSE),"")</f>
        <v/>
      </c>
      <c r="C320" s="8">
        <f>IFERROR(VLOOKUP($A320,'01-原始价格'!$A:$M,8,FALSE),"")</f>
        <v/>
      </c>
      <c r="D320" s="10">
        <f>IFERROR(B320/C320,"")</f>
        <v/>
      </c>
      <c r="E320" s="10">
        <f>IFERROR(C320/B320,"")</f>
        <v/>
      </c>
      <c r="F320" s="11">
        <f>IFERROR((D320/D319-1)*100,"")</f>
        <v/>
      </c>
      <c r="G320" s="11">
        <f>IFERROR((COUNTIF($D$69:$D$320,"&lt;"&amp;D320)+0.5*COUNTIF($D$69:$D$320,D320))/COUNT($D$69:$D$320)*100,"")</f>
        <v/>
      </c>
      <c r="H320" s="10">
        <f>IFERROR(AVERAGE($D$69:$D$320),"")</f>
        <v/>
      </c>
      <c r="I320" s="10" t="n">
        <v>0.5011765649051597</v>
      </c>
      <c r="J320" t="inlineStr"/>
      <c r="K320" t="inlineStr"/>
    </row>
    <row r="321">
      <c r="A321" s="7" t="inlineStr">
        <is>
          <t>2015-06-18</t>
        </is>
      </c>
      <c r="B321" s="8">
        <f>IFERROR(VLOOKUP($A321,'01-原始价格'!$A:$M,2,FALSE),"")</f>
        <v/>
      </c>
      <c r="C321" s="8">
        <f>IFERROR(VLOOKUP($A321,'01-原始价格'!$A:$M,8,FALSE),"")</f>
        <v/>
      </c>
      <c r="D321" s="10">
        <f>IFERROR(B321/C321,"")</f>
        <v/>
      </c>
      <c r="E321" s="10">
        <f>IFERROR(C321/B321,"")</f>
        <v/>
      </c>
      <c r="F321" s="11">
        <f>IFERROR((D321/D320-1)*100,"")</f>
        <v/>
      </c>
      <c r="G321" s="11">
        <f>IFERROR((COUNTIF($D$70:$D$321,"&lt;"&amp;D321)+0.5*COUNTIF($D$70:$D$321,D321))/COUNT($D$70:$D$321)*100,"")</f>
        <v/>
      </c>
      <c r="H321" s="10">
        <f>IFERROR(AVERAGE($D$70:$D$321),"")</f>
        <v/>
      </c>
      <c r="I321" s="10" t="n">
        <v>0.6530207307011986</v>
      </c>
      <c r="J321" t="inlineStr"/>
      <c r="K321" t="inlineStr"/>
    </row>
    <row r="322">
      <c r="A322" s="7" t="inlineStr">
        <is>
          <t>2015-06-19</t>
        </is>
      </c>
      <c r="B322" s="8">
        <f>IFERROR(VLOOKUP($A322,'01-原始价格'!$A:$M,2,FALSE),"")</f>
        <v/>
      </c>
      <c r="C322" s="8">
        <f>IFERROR(VLOOKUP($A322,'01-原始价格'!$A:$M,8,FALSE),"")</f>
        <v/>
      </c>
      <c r="D322" s="10">
        <f>IFERROR(B322/C322,"")</f>
        <v/>
      </c>
      <c r="E322" s="10">
        <f>IFERROR(C322/B322,"")</f>
        <v/>
      </c>
      <c r="F322" s="11">
        <f>IFERROR((D322/D321-1)*100,"")</f>
        <v/>
      </c>
      <c r="G322" s="11">
        <f>IFERROR((COUNTIF($D$71:$D$322,"&lt;"&amp;D322)+0.5*COUNTIF($D$71:$D$322,D322))/COUNT($D$71:$D$322)*100,"")</f>
        <v/>
      </c>
      <c r="H322" s="10">
        <f>IFERROR(AVERAGE($D$71:$D$322),"")</f>
        <v/>
      </c>
      <c r="I322" s="10" t="n">
        <v>0.763766404017949</v>
      </c>
      <c r="J322" t="inlineStr"/>
      <c r="K322" t="inlineStr"/>
    </row>
    <row r="323">
      <c r="A323" s="7" t="inlineStr">
        <is>
          <t>2015-06-23</t>
        </is>
      </c>
      <c r="B323" s="8">
        <f>IFERROR(VLOOKUP($A323,'01-原始价格'!$A:$M,2,FALSE),"")</f>
        <v/>
      </c>
      <c r="C323" s="8">
        <f>IFERROR(VLOOKUP($A323,'01-原始价格'!$A:$M,8,FALSE),"")</f>
        <v/>
      </c>
      <c r="D323" s="10">
        <f>IFERROR(B323/C323,"")</f>
        <v/>
      </c>
      <c r="E323" s="10">
        <f>IFERROR(C323/B323,"")</f>
        <v/>
      </c>
      <c r="F323" s="11">
        <f>IFERROR((D323/D322-1)*100,"")</f>
        <v/>
      </c>
      <c r="G323" s="11">
        <f>IFERROR((COUNTIF($D$72:$D$323,"&lt;"&amp;D323)+0.5*COUNTIF($D$72:$D$323,D323))/COUNT($D$72:$D$323)*100,"")</f>
        <v/>
      </c>
      <c r="H323" s="10">
        <f>IFERROR(AVERAGE($D$72:$D$323),"")</f>
        <v/>
      </c>
      <c r="I323" s="10" t="n">
        <v>5.74844442181256</v>
      </c>
      <c r="J323" s="9" t="inlineStr">
        <is>
          <t>是</t>
        </is>
      </c>
      <c r="K323" t="inlineStr"/>
      <c r="L323" t="inlineStr">
        <is>
          <t>统计异常</t>
        </is>
      </c>
    </row>
    <row r="324">
      <c r="A324" s="7" t="inlineStr">
        <is>
          <t>2015-06-24</t>
        </is>
      </c>
      <c r="B324" s="8">
        <f>IFERROR(VLOOKUP($A324,'01-原始价格'!$A:$M,2,FALSE),"")</f>
        <v/>
      </c>
      <c r="C324" s="8">
        <f>IFERROR(VLOOKUP($A324,'01-原始价格'!$A:$M,8,FALSE),"")</f>
        <v/>
      </c>
      <c r="D324" s="10">
        <f>IFERROR(B324/C324,"")</f>
        <v/>
      </c>
      <c r="E324" s="10">
        <f>IFERROR(C324/B324,"")</f>
        <v/>
      </c>
      <c r="F324" s="11">
        <f>IFERROR((D324/D323-1)*100,"")</f>
        <v/>
      </c>
      <c r="G324" s="11">
        <f>IFERROR((COUNTIF($D$73:$D$324,"&lt;"&amp;D324)+0.5*COUNTIF($D$73:$D$324,D324))/COUNT($D$73:$D$324)*100,"")</f>
        <v/>
      </c>
      <c r="H324" s="10">
        <f>IFERROR(AVERAGE($D$73:$D$324),"")</f>
        <v/>
      </c>
      <c r="I324" s="10" t="n">
        <v>0.6876551026407367</v>
      </c>
      <c r="J324" t="inlineStr"/>
      <c r="K324" t="inlineStr"/>
    </row>
    <row r="325">
      <c r="A325" s="7" t="inlineStr">
        <is>
          <t>2015-06-25</t>
        </is>
      </c>
      <c r="B325" s="8">
        <f>IFERROR(VLOOKUP($A325,'01-原始价格'!$A:$M,2,FALSE),"")</f>
        <v/>
      </c>
      <c r="C325" s="8">
        <f>IFERROR(VLOOKUP($A325,'01-原始价格'!$A:$M,8,FALSE),"")</f>
        <v/>
      </c>
      <c r="D325" s="10">
        <f>IFERROR(B325/C325,"")</f>
        <v/>
      </c>
      <c r="E325" s="10">
        <f>IFERROR(C325/B325,"")</f>
        <v/>
      </c>
      <c r="F325" s="11">
        <f>IFERROR((D325/D324-1)*100,"")</f>
        <v/>
      </c>
      <c r="G325" s="11">
        <f>IFERROR((COUNTIF($D$74:$D$325,"&lt;"&amp;D325)+0.5*COUNTIF($D$74:$D$325,D325))/COUNT($D$74:$D$325)*100,"")</f>
        <v/>
      </c>
      <c r="H325" s="10">
        <f>IFERROR(AVERAGE($D$74:$D$325),"")</f>
        <v/>
      </c>
      <c r="I325" s="10" t="n">
        <v>0.5268858590640052</v>
      </c>
      <c r="J325" t="inlineStr"/>
      <c r="K325" t="inlineStr"/>
    </row>
    <row r="326">
      <c r="A326" s="7" t="inlineStr">
        <is>
          <t>2015-06-26</t>
        </is>
      </c>
      <c r="B326" s="8">
        <f>IFERROR(VLOOKUP($A326,'01-原始价格'!$A:$M,2,FALSE),"")</f>
        <v/>
      </c>
      <c r="C326" s="8">
        <f>IFERROR(VLOOKUP($A326,'01-原始价格'!$A:$M,8,FALSE),"")</f>
        <v/>
      </c>
      <c r="D326" s="10">
        <f>IFERROR(B326/C326,"")</f>
        <v/>
      </c>
      <c r="E326" s="10">
        <f>IFERROR(C326/B326,"")</f>
        <v/>
      </c>
      <c r="F326" s="11">
        <f>IFERROR((D326/D325-1)*100,"")</f>
        <v/>
      </c>
      <c r="G326" s="11">
        <f>IFERROR((COUNTIF($D$75:$D$326,"&lt;"&amp;D326)+0.5*COUNTIF($D$75:$D$326,D326))/COUNT($D$75:$D$326)*100,"")</f>
        <v/>
      </c>
      <c r="H326" s="10">
        <f>IFERROR(AVERAGE($D$75:$D$326),"")</f>
        <v/>
      </c>
      <c r="I326" s="10" t="n">
        <v>-0.1818848202777349</v>
      </c>
      <c r="J326" t="inlineStr"/>
      <c r="K326" t="inlineStr"/>
    </row>
    <row r="327">
      <c r="A327" s="7" t="inlineStr">
        <is>
          <t>2015-06-29</t>
        </is>
      </c>
      <c r="B327" s="8">
        <f>IFERROR(VLOOKUP($A327,'01-原始价格'!$A:$M,2,FALSE),"")</f>
        <v/>
      </c>
      <c r="C327" s="8">
        <f>IFERROR(VLOOKUP($A327,'01-原始价格'!$A:$M,8,FALSE),"")</f>
        <v/>
      </c>
      <c r="D327" s="10">
        <f>IFERROR(B327/C327,"")</f>
        <v/>
      </c>
      <c r="E327" s="10">
        <f>IFERROR(C327/B327,"")</f>
        <v/>
      </c>
      <c r="F327" s="11">
        <f>IFERROR((D327/D326-1)*100,"")</f>
        <v/>
      </c>
      <c r="G327" s="11">
        <f>IFERROR((COUNTIF($D$76:$D$327,"&lt;"&amp;D327)+0.5*COUNTIF($D$76:$D$327,D327))/COUNT($D$76:$D$327)*100,"")</f>
        <v/>
      </c>
      <c r="H327" s="10">
        <f>IFERROR(AVERAGE($D$76:$D$327),"")</f>
        <v/>
      </c>
      <c r="I327" s="10" t="n">
        <v>-0.2873719803472644</v>
      </c>
      <c r="J327" t="inlineStr"/>
      <c r="K327" t="inlineStr"/>
    </row>
    <row r="328">
      <c r="A328" s="7" t="inlineStr">
        <is>
          <t>2015-06-30</t>
        </is>
      </c>
      <c r="B328" s="8">
        <f>IFERROR(VLOOKUP($A328,'01-原始价格'!$A:$M,2,FALSE),"")</f>
        <v/>
      </c>
      <c r="C328" s="8">
        <f>IFERROR(VLOOKUP($A328,'01-原始价格'!$A:$M,8,FALSE),"")</f>
        <v/>
      </c>
      <c r="D328" s="10">
        <f>IFERROR(B328/C328,"")</f>
        <v/>
      </c>
      <c r="E328" s="10">
        <f>IFERROR(C328/B328,"")</f>
        <v/>
      </c>
      <c r="F328" s="11">
        <f>IFERROR((D328/D327-1)*100,"")</f>
        <v/>
      </c>
      <c r="G328" s="11">
        <f>IFERROR((COUNTIF($D$77:$D$328,"&lt;"&amp;D328)+0.5*COUNTIF($D$77:$D$328,D328))/COUNT($D$77:$D$328)*100,"")</f>
        <v/>
      </c>
      <c r="H328" s="10">
        <f>IFERROR(AVERAGE($D$77:$D$328),"")</f>
        <v/>
      </c>
      <c r="I328" s="10" t="n">
        <v>-0.9351816615721859</v>
      </c>
      <c r="J328" t="inlineStr"/>
      <c r="K328" t="inlineStr"/>
    </row>
    <row r="329">
      <c r="A329" s="7" t="inlineStr">
        <is>
          <t>2015-07-01</t>
        </is>
      </c>
      <c r="B329" s="8">
        <f>IFERROR(VLOOKUP($A329,'01-原始价格'!$A:$M,2,FALSE),"")</f>
        <v/>
      </c>
      <c r="C329" s="8">
        <f>IFERROR(VLOOKUP($A329,'01-原始价格'!$A:$M,8,FALSE),"")</f>
        <v/>
      </c>
      <c r="D329" s="10">
        <f>IFERROR(B329/C329,"")</f>
        <v/>
      </c>
      <c r="E329" s="10">
        <f>IFERROR(C329/B329,"")</f>
        <v/>
      </c>
      <c r="F329" s="11">
        <f>IFERROR((D329/D328-1)*100,"")</f>
        <v/>
      </c>
      <c r="G329" s="11">
        <f>IFERROR((COUNTIF($D$78:$D$329,"&lt;"&amp;D329)+0.5*COUNTIF($D$78:$D$329,D329))/COUNT($D$78:$D$329)*100,"")</f>
        <v/>
      </c>
      <c r="H329" s="10">
        <f>IFERROR(AVERAGE($D$78:$D$329),"")</f>
        <v/>
      </c>
      <c r="I329" s="10" t="n">
        <v>-1.454930822179329</v>
      </c>
      <c r="J329" t="inlineStr"/>
      <c r="K329" t="inlineStr"/>
    </row>
    <row r="330">
      <c r="A330" s="7" t="inlineStr">
        <is>
          <t>2015-07-02</t>
        </is>
      </c>
      <c r="B330" s="8">
        <f>IFERROR(VLOOKUP($A330,'01-原始价格'!$A:$M,2,FALSE),"")</f>
        <v/>
      </c>
      <c r="C330" s="8">
        <f>IFERROR(VLOOKUP($A330,'01-原始价格'!$A:$M,8,FALSE),"")</f>
        <v/>
      </c>
      <c r="D330" s="10">
        <f>IFERROR(B330/C330,"")</f>
        <v/>
      </c>
      <c r="E330" s="10">
        <f>IFERROR(C330/B330,"")</f>
        <v/>
      </c>
      <c r="F330" s="11">
        <f>IFERROR((D330/D329-1)*100,"")</f>
        <v/>
      </c>
      <c r="G330" s="11">
        <f>IFERROR((COUNTIF($D$79:$D$330,"&lt;"&amp;D330)+0.5*COUNTIF($D$79:$D$330,D330))/COUNT($D$79:$D$330)*100,"")</f>
        <v/>
      </c>
      <c r="H330" s="10">
        <f>IFERROR(AVERAGE($D$79:$D$330),"")</f>
        <v/>
      </c>
      <c r="I330" s="10" t="n">
        <v>-1.193734432596934</v>
      </c>
      <c r="J330" t="inlineStr"/>
      <c r="K330" t="inlineStr"/>
    </row>
    <row r="331">
      <c r="A331" s="7" t="inlineStr">
        <is>
          <t>2015-07-03</t>
        </is>
      </c>
      <c r="B331" s="8">
        <f>IFERROR(VLOOKUP($A331,'01-原始价格'!$A:$M,2,FALSE),"")</f>
        <v/>
      </c>
      <c r="C331" s="8">
        <f>IFERROR(VLOOKUP($A331,'01-原始价格'!$A:$M,8,FALSE),"")</f>
        <v/>
      </c>
      <c r="D331" s="10">
        <f>IFERROR(B331/C331,"")</f>
        <v/>
      </c>
      <c r="E331" s="10">
        <f>IFERROR(C331/B331,"")</f>
        <v/>
      </c>
      <c r="F331" s="11">
        <f>IFERROR((D331/D330-1)*100,"")</f>
        <v/>
      </c>
      <c r="G331" s="11">
        <f>IFERROR((COUNTIF($D$80:$D$331,"&lt;"&amp;D331)+0.5*COUNTIF($D$80:$D$331,D331))/COUNT($D$80:$D$331)*100,"")</f>
        <v/>
      </c>
      <c r="H331" s="10">
        <f>IFERROR(AVERAGE($D$80:$D$331),"")</f>
        <v/>
      </c>
      <c r="I331" s="10" t="n">
        <v>-1.57411859269674</v>
      </c>
      <c r="J331" t="inlineStr"/>
      <c r="K331" t="inlineStr"/>
    </row>
    <row r="332">
      <c r="A332" s="7" t="inlineStr">
        <is>
          <t>2015-07-06</t>
        </is>
      </c>
      <c r="B332" s="8">
        <f>IFERROR(VLOOKUP($A332,'01-原始价格'!$A:$M,2,FALSE),"")</f>
        <v/>
      </c>
      <c r="C332" s="8">
        <f>IFERROR(VLOOKUP($A332,'01-原始价格'!$A:$M,8,FALSE),"")</f>
        <v/>
      </c>
      <c r="D332" s="10">
        <f>IFERROR(B332/C332,"")</f>
        <v/>
      </c>
      <c r="E332" s="10">
        <f>IFERROR(C332/B332,"")</f>
        <v/>
      </c>
      <c r="F332" s="11">
        <f>IFERROR((D332/D331-1)*100,"")</f>
        <v/>
      </c>
      <c r="G332" s="11">
        <f>IFERROR((COUNTIF($D$81:$D$332,"&lt;"&amp;D332)+0.5*COUNTIF($D$81:$D$332,D332))/COUNT($D$81:$D$332)*100,"")</f>
        <v/>
      </c>
      <c r="H332" s="10">
        <f>IFERROR(AVERAGE($D$81:$D$332),"")</f>
        <v/>
      </c>
      <c r="I332" s="10" t="n">
        <v>-1.629215286855648</v>
      </c>
      <c r="J332" t="inlineStr"/>
      <c r="K332" t="inlineStr"/>
    </row>
    <row r="333">
      <c r="A333" s="7" t="inlineStr">
        <is>
          <t>2015-07-07</t>
        </is>
      </c>
      <c r="B333" s="8">
        <f>IFERROR(VLOOKUP($A333,'01-原始价格'!$A:$M,2,FALSE),"")</f>
        <v/>
      </c>
      <c r="C333" s="8">
        <f>IFERROR(VLOOKUP($A333,'01-原始价格'!$A:$M,8,FALSE),"")</f>
        <v/>
      </c>
      <c r="D333" s="10">
        <f>IFERROR(B333/C333,"")</f>
        <v/>
      </c>
      <c r="E333" s="10">
        <f>IFERROR(C333/B333,"")</f>
        <v/>
      </c>
      <c r="F333" s="11">
        <f>IFERROR((D333/D332-1)*100,"")</f>
        <v/>
      </c>
      <c r="G333" s="11">
        <f>IFERROR((COUNTIF($D$82:$D$333,"&lt;"&amp;D333)+0.5*COUNTIF($D$82:$D$333,D333))/COUNT($D$82:$D$333)*100,"")</f>
        <v/>
      </c>
      <c r="H333" s="10">
        <f>IFERROR(AVERAGE($D$82:$D$333),"")</f>
        <v/>
      </c>
      <c r="I333" s="10" t="n">
        <v>-0.760120941570023</v>
      </c>
      <c r="J333" t="inlineStr"/>
      <c r="K333" t="inlineStr"/>
    </row>
    <row r="334">
      <c r="A334" s="7" t="inlineStr">
        <is>
          <t>2015-07-08</t>
        </is>
      </c>
      <c r="B334" s="8">
        <f>IFERROR(VLOOKUP($A334,'01-原始价格'!$A:$M,2,FALSE),"")</f>
        <v/>
      </c>
      <c r="C334" s="8">
        <f>IFERROR(VLOOKUP($A334,'01-原始价格'!$A:$M,8,FALSE),"")</f>
        <v/>
      </c>
      <c r="D334" s="10">
        <f>IFERROR(B334/C334,"")</f>
        <v/>
      </c>
      <c r="E334" s="10">
        <f>IFERROR(C334/B334,"")</f>
        <v/>
      </c>
      <c r="F334" s="11">
        <f>IFERROR((D334/D333-1)*100,"")</f>
        <v/>
      </c>
      <c r="G334" s="11">
        <f>IFERROR((COUNTIF($D$83:$D$334,"&lt;"&amp;D334)+0.5*COUNTIF($D$83:$D$334,D334))/COUNT($D$83:$D$334)*100,"")</f>
        <v/>
      </c>
      <c r="H334" s="10">
        <f>IFERROR(AVERAGE($D$83:$D$334),"")</f>
        <v/>
      </c>
      <c r="I334" s="10" t="n">
        <v>0.9759802771050043</v>
      </c>
      <c r="J334" t="inlineStr"/>
      <c r="K334" t="inlineStr"/>
    </row>
    <row r="335">
      <c r="A335" s="7" t="inlineStr">
        <is>
          <t>2015-07-09</t>
        </is>
      </c>
      <c r="B335" s="8">
        <f>IFERROR(VLOOKUP($A335,'01-原始价格'!$A:$M,2,FALSE),"")</f>
        <v/>
      </c>
      <c r="C335" s="8">
        <f>IFERROR(VLOOKUP($A335,'01-原始价格'!$A:$M,8,FALSE),"")</f>
        <v/>
      </c>
      <c r="D335" s="10">
        <f>IFERROR(B335/C335,"")</f>
        <v/>
      </c>
      <c r="E335" s="10">
        <f>IFERROR(C335/B335,"")</f>
        <v/>
      </c>
      <c r="F335" s="11">
        <f>IFERROR((D335/D334-1)*100,"")</f>
        <v/>
      </c>
      <c r="G335" s="11">
        <f>IFERROR((COUNTIF($D$84:$D$335,"&lt;"&amp;D335)+0.5*COUNTIF($D$84:$D$335,D335))/COUNT($D$84:$D$335)*100,"")</f>
        <v/>
      </c>
      <c r="H335" s="10">
        <f>IFERROR(AVERAGE($D$84:$D$335),"")</f>
        <v/>
      </c>
      <c r="I335" s="10" t="n">
        <v>-0.5081160950607835</v>
      </c>
      <c r="J335" t="inlineStr"/>
      <c r="K335" t="inlineStr"/>
    </row>
    <row r="336">
      <c r="A336" s="7" t="inlineStr">
        <is>
          <t>2015-07-10</t>
        </is>
      </c>
      <c r="B336" s="8">
        <f>IFERROR(VLOOKUP($A336,'01-原始价格'!$A:$M,2,FALSE),"")</f>
        <v/>
      </c>
      <c r="C336" s="8">
        <f>IFERROR(VLOOKUP($A336,'01-原始价格'!$A:$M,8,FALSE),"")</f>
        <v/>
      </c>
      <c r="D336" s="10">
        <f>IFERROR(B336/C336,"")</f>
        <v/>
      </c>
      <c r="E336" s="10">
        <f>IFERROR(C336/B336,"")</f>
        <v/>
      </c>
      <c r="F336" s="11">
        <f>IFERROR((D336/D335-1)*100,"")</f>
        <v/>
      </c>
      <c r="G336" s="11">
        <f>IFERROR((COUNTIF($D$85:$D$336,"&lt;"&amp;D336)+0.5*COUNTIF($D$85:$D$336,D336))/COUNT($D$85:$D$336)*100,"")</f>
        <v/>
      </c>
      <c r="H336" s="10">
        <f>IFERROR(AVERAGE($D$85:$D$336),"")</f>
        <v/>
      </c>
      <c r="I336" s="10" t="n">
        <v>-0.9919619770850133</v>
      </c>
      <c r="J336" t="inlineStr"/>
      <c r="K336" t="inlineStr"/>
    </row>
    <row r="337">
      <c r="A337" s="7" t="inlineStr">
        <is>
          <t>2015-07-13</t>
        </is>
      </c>
      <c r="B337" s="8">
        <f>IFERROR(VLOOKUP($A337,'01-原始价格'!$A:$M,2,FALSE),"")</f>
        <v/>
      </c>
      <c r="C337" s="8">
        <f>IFERROR(VLOOKUP($A337,'01-原始价格'!$A:$M,8,FALSE),"")</f>
        <v/>
      </c>
      <c r="D337" s="10">
        <f>IFERROR(B337/C337,"")</f>
        <v/>
      </c>
      <c r="E337" s="10">
        <f>IFERROR(C337/B337,"")</f>
        <v/>
      </c>
      <c r="F337" s="11">
        <f>IFERROR((D337/D336-1)*100,"")</f>
        <v/>
      </c>
      <c r="G337" s="11">
        <f>IFERROR((COUNTIF($D$86:$D$337,"&lt;"&amp;D337)+0.5*COUNTIF($D$86:$D$337,D337))/COUNT($D$86:$D$337)*100,"")</f>
        <v/>
      </c>
      <c r="H337" s="10">
        <f>IFERROR(AVERAGE($D$86:$D$337),"")</f>
        <v/>
      </c>
      <c r="I337" s="10" t="n">
        <v>-1.327097998722905</v>
      </c>
      <c r="J337" t="inlineStr"/>
      <c r="K337" t="inlineStr"/>
    </row>
    <row r="338">
      <c r="A338" s="7" t="inlineStr">
        <is>
          <t>2015-07-14</t>
        </is>
      </c>
      <c r="B338" s="8">
        <f>IFERROR(VLOOKUP($A338,'01-原始价格'!$A:$M,2,FALSE),"")</f>
        <v/>
      </c>
      <c r="C338" s="8">
        <f>IFERROR(VLOOKUP($A338,'01-原始价格'!$A:$M,8,FALSE),"")</f>
        <v/>
      </c>
      <c r="D338" s="10">
        <f>IFERROR(B338/C338,"")</f>
        <v/>
      </c>
      <c r="E338" s="10">
        <f>IFERROR(C338/B338,"")</f>
        <v/>
      </c>
      <c r="F338" s="11">
        <f>IFERROR((D338/D337-1)*100,"")</f>
        <v/>
      </c>
      <c r="G338" s="11">
        <f>IFERROR((COUNTIF($D$87:$D$338,"&lt;"&amp;D338)+0.5*COUNTIF($D$87:$D$338,D338))/COUNT($D$87:$D$338)*100,"")</f>
        <v/>
      </c>
      <c r="H338" s="10">
        <f>IFERROR(AVERAGE($D$87:$D$338),"")</f>
        <v/>
      </c>
      <c r="I338" s="10" t="n">
        <v>-1.463132308293681</v>
      </c>
      <c r="J338" t="inlineStr"/>
      <c r="K338" t="inlineStr"/>
    </row>
    <row r="339">
      <c r="A339" s="7" t="inlineStr">
        <is>
          <t>2015-07-15</t>
        </is>
      </c>
      <c r="B339" s="8">
        <f>IFERROR(VLOOKUP($A339,'01-原始价格'!$A:$M,2,FALSE),"")</f>
        <v/>
      </c>
      <c r="C339" s="8">
        <f>IFERROR(VLOOKUP($A339,'01-原始价格'!$A:$M,8,FALSE),"")</f>
        <v/>
      </c>
      <c r="D339" s="10">
        <f>IFERROR(B339/C339,"")</f>
        <v/>
      </c>
      <c r="E339" s="10">
        <f>IFERROR(C339/B339,"")</f>
        <v/>
      </c>
      <c r="F339" s="11">
        <f>IFERROR((D339/D338-1)*100,"")</f>
        <v/>
      </c>
      <c r="G339" s="11">
        <f>IFERROR((COUNTIF($D$88:$D$339,"&lt;"&amp;D339)+0.5*COUNTIF($D$88:$D$339,D339))/COUNT($D$88:$D$339)*100,"")</f>
        <v/>
      </c>
      <c r="H339" s="10">
        <f>IFERROR(AVERAGE($D$88:$D$339),"")</f>
        <v/>
      </c>
      <c r="I339" s="10" t="n">
        <v>-1.411294664229193</v>
      </c>
      <c r="J339" t="inlineStr"/>
      <c r="K339" t="inlineStr"/>
    </row>
    <row r="340">
      <c r="A340" s="7" t="inlineStr">
        <is>
          <t>2015-07-16</t>
        </is>
      </c>
      <c r="B340" s="8">
        <f>IFERROR(VLOOKUP($A340,'01-原始价格'!$A:$M,2,FALSE),"")</f>
        <v/>
      </c>
      <c r="C340" s="8">
        <f>IFERROR(VLOOKUP($A340,'01-原始价格'!$A:$M,8,FALSE),"")</f>
        <v/>
      </c>
      <c r="D340" s="10">
        <f>IFERROR(B340/C340,"")</f>
        <v/>
      </c>
      <c r="E340" s="10">
        <f>IFERROR(C340/B340,"")</f>
        <v/>
      </c>
      <c r="F340" s="11">
        <f>IFERROR((D340/D339-1)*100,"")</f>
        <v/>
      </c>
      <c r="G340" s="11">
        <f>IFERROR((COUNTIF($D$89:$D$340,"&lt;"&amp;D340)+0.5*COUNTIF($D$89:$D$340,D340))/COUNT($D$89:$D$340)*100,"")</f>
        <v/>
      </c>
      <c r="H340" s="10">
        <f>IFERROR(AVERAGE($D$89:$D$340),"")</f>
        <v/>
      </c>
      <c r="I340" s="10" t="n">
        <v>-0.9257566326077228</v>
      </c>
      <c r="J340" t="inlineStr"/>
      <c r="K340" t="inlineStr"/>
    </row>
    <row r="341">
      <c r="A341" s="7" t="inlineStr">
        <is>
          <t>2015-07-17</t>
        </is>
      </c>
      <c r="B341" s="8">
        <f>IFERROR(VLOOKUP($A341,'01-原始价格'!$A:$M,2,FALSE),"")</f>
        <v/>
      </c>
      <c r="C341" s="8">
        <f>IFERROR(VLOOKUP($A341,'01-原始价格'!$A:$M,8,FALSE),"")</f>
        <v/>
      </c>
      <c r="D341" s="10">
        <f>IFERROR(B341/C341,"")</f>
        <v/>
      </c>
      <c r="E341" s="10">
        <f>IFERROR(C341/B341,"")</f>
        <v/>
      </c>
      <c r="F341" s="11">
        <f>IFERROR((D341/D340-1)*100,"")</f>
        <v/>
      </c>
      <c r="G341" s="11">
        <f>IFERROR((COUNTIF($D$90:$D$341,"&lt;"&amp;D341)+0.5*COUNTIF($D$90:$D$341,D341))/COUNT($D$90:$D$341)*100,"")</f>
        <v/>
      </c>
      <c r="H341" s="10">
        <f>IFERROR(AVERAGE($D$90:$D$341),"")</f>
        <v/>
      </c>
      <c r="I341" s="10" t="n">
        <v>-0.643828450551555</v>
      </c>
      <c r="J341" t="inlineStr"/>
      <c r="K341" t="inlineStr"/>
    </row>
    <row r="342">
      <c r="A342" s="7" t="inlineStr">
        <is>
          <t>2015-07-20</t>
        </is>
      </c>
      <c r="B342" s="8">
        <f>IFERROR(VLOOKUP($A342,'01-原始价格'!$A:$M,2,FALSE),"")</f>
        <v/>
      </c>
      <c r="C342" s="8">
        <f>IFERROR(VLOOKUP($A342,'01-原始价格'!$A:$M,8,FALSE),"")</f>
        <v/>
      </c>
      <c r="D342" s="10">
        <f>IFERROR(B342/C342,"")</f>
        <v/>
      </c>
      <c r="E342" s="10">
        <f>IFERROR(C342/B342,"")</f>
        <v/>
      </c>
      <c r="F342" s="11">
        <f>IFERROR((D342/D341-1)*100,"")</f>
        <v/>
      </c>
      <c r="G342" s="11">
        <f>IFERROR((COUNTIF($D$91:$D$342,"&lt;"&amp;D342)+0.5*COUNTIF($D$91:$D$342,D342))/COUNT($D$91:$D$342)*100,"")</f>
        <v/>
      </c>
      <c r="H342" s="10">
        <f>IFERROR(AVERAGE($D$91:$D$342),"")</f>
        <v/>
      </c>
      <c r="I342" s="10" t="n">
        <v>-0.5429174252457826</v>
      </c>
      <c r="J342" t="inlineStr"/>
      <c r="K342" t="inlineStr"/>
    </row>
    <row r="343">
      <c r="A343" s="7" t="inlineStr">
        <is>
          <t>2015-07-21</t>
        </is>
      </c>
      <c r="B343" s="8">
        <f>IFERROR(VLOOKUP($A343,'01-原始价格'!$A:$M,2,FALSE),"")</f>
        <v/>
      </c>
      <c r="C343" s="8">
        <f>IFERROR(VLOOKUP($A343,'01-原始价格'!$A:$M,8,FALSE),"")</f>
        <v/>
      </c>
      <c r="D343" s="10">
        <f>IFERROR(B343/C343,"")</f>
        <v/>
      </c>
      <c r="E343" s="10">
        <f>IFERROR(C343/B343,"")</f>
        <v/>
      </c>
      <c r="F343" s="11">
        <f>IFERROR((D343/D342-1)*100,"")</f>
        <v/>
      </c>
      <c r="G343" s="11">
        <f>IFERROR((COUNTIF($D$92:$D$343,"&lt;"&amp;D343)+0.5*COUNTIF($D$92:$D$343,D343))/COUNT($D$92:$D$343)*100,"")</f>
        <v/>
      </c>
      <c r="H343" s="10">
        <f>IFERROR(AVERAGE($D$92:$D$343),"")</f>
        <v/>
      </c>
      <c r="I343" s="10" t="n">
        <v>-0.3569532454057548</v>
      </c>
      <c r="J343" t="inlineStr"/>
      <c r="K343" t="inlineStr"/>
    </row>
    <row r="344">
      <c r="A344" s="7" t="inlineStr">
        <is>
          <t>2015-07-22</t>
        </is>
      </c>
      <c r="B344" s="8">
        <f>IFERROR(VLOOKUP($A344,'01-原始价格'!$A:$M,2,FALSE),"")</f>
        <v/>
      </c>
      <c r="C344" s="8">
        <f>IFERROR(VLOOKUP($A344,'01-原始价格'!$A:$M,8,FALSE),"")</f>
        <v/>
      </c>
      <c r="D344" s="10">
        <f>IFERROR(B344/C344,"")</f>
        <v/>
      </c>
      <c r="E344" s="10">
        <f>IFERROR(C344/B344,"")</f>
        <v/>
      </c>
      <c r="F344" s="11">
        <f>IFERROR((D344/D343-1)*100,"")</f>
        <v/>
      </c>
      <c r="G344" s="11">
        <f>IFERROR((COUNTIF($D$93:$D$344,"&lt;"&amp;D344)+0.5*COUNTIF($D$93:$D$344,D344))/COUNT($D$93:$D$344)*100,"")</f>
        <v/>
      </c>
      <c r="H344" s="10">
        <f>IFERROR(AVERAGE($D$93:$D$344),"")</f>
        <v/>
      </c>
      <c r="I344" s="10" t="n">
        <v>-0.5401013749137209</v>
      </c>
      <c r="J344" t="inlineStr"/>
      <c r="K344" t="inlineStr"/>
    </row>
    <row r="345">
      <c r="A345" s="7" t="inlineStr">
        <is>
          <t>2015-07-23</t>
        </is>
      </c>
      <c r="B345" s="8">
        <f>IFERROR(VLOOKUP($A345,'01-原始价格'!$A:$M,2,FALSE),"")</f>
        <v/>
      </c>
      <c r="C345" s="8">
        <f>IFERROR(VLOOKUP($A345,'01-原始价格'!$A:$M,8,FALSE),"")</f>
        <v/>
      </c>
      <c r="D345" s="10">
        <f>IFERROR(B345/C345,"")</f>
        <v/>
      </c>
      <c r="E345" s="10">
        <f>IFERROR(C345/B345,"")</f>
        <v/>
      </c>
      <c r="F345" s="11">
        <f>IFERROR((D345/D344-1)*100,"")</f>
        <v/>
      </c>
      <c r="G345" s="11">
        <f>IFERROR((COUNTIF($D$94:$D$345,"&lt;"&amp;D345)+0.5*COUNTIF($D$94:$D$345,D345))/COUNT($D$94:$D$345)*100,"")</f>
        <v/>
      </c>
      <c r="H345" s="10">
        <f>IFERROR(AVERAGE($D$94:$D$345),"")</f>
        <v/>
      </c>
      <c r="I345" s="10" t="n">
        <v>-0.5351398294573131</v>
      </c>
      <c r="J345" t="inlineStr"/>
      <c r="K345" t="inlineStr"/>
    </row>
    <row r="346">
      <c r="A346" s="7" t="inlineStr">
        <is>
          <t>2015-07-24</t>
        </is>
      </c>
      <c r="B346" s="8">
        <f>IFERROR(VLOOKUP($A346,'01-原始价格'!$A:$M,2,FALSE),"")</f>
        <v/>
      </c>
      <c r="C346" s="8">
        <f>IFERROR(VLOOKUP($A346,'01-原始价格'!$A:$M,8,FALSE),"")</f>
        <v/>
      </c>
      <c r="D346" s="10">
        <f>IFERROR(B346/C346,"")</f>
        <v/>
      </c>
      <c r="E346" s="10">
        <f>IFERROR(C346/B346,"")</f>
        <v/>
      </c>
      <c r="F346" s="11">
        <f>IFERROR((D346/D345-1)*100,"")</f>
        <v/>
      </c>
      <c r="G346" s="11">
        <f>IFERROR((COUNTIF($D$95:$D$346,"&lt;"&amp;D346)+0.5*COUNTIF($D$95:$D$346,D346))/COUNT($D$95:$D$346)*100,"")</f>
        <v/>
      </c>
      <c r="H346" s="10">
        <f>IFERROR(AVERAGE($D$95:$D$346),"")</f>
        <v/>
      </c>
      <c r="I346" s="10" t="n">
        <v>-0.3137230854406785</v>
      </c>
      <c r="J346" t="inlineStr"/>
      <c r="K346" t="inlineStr"/>
    </row>
    <row r="347">
      <c r="A347" s="7" t="inlineStr">
        <is>
          <t>2015-07-27</t>
        </is>
      </c>
      <c r="B347" s="8">
        <f>IFERROR(VLOOKUP($A347,'01-原始价格'!$A:$M,2,FALSE),"")</f>
        <v/>
      </c>
      <c r="C347" s="8">
        <f>IFERROR(VLOOKUP($A347,'01-原始价格'!$A:$M,8,FALSE),"")</f>
        <v/>
      </c>
      <c r="D347" s="10">
        <f>IFERROR(B347/C347,"")</f>
        <v/>
      </c>
      <c r="E347" s="10">
        <f>IFERROR(C347/B347,"")</f>
        <v/>
      </c>
      <c r="F347" s="11">
        <f>IFERROR((D347/D346-1)*100,"")</f>
        <v/>
      </c>
      <c r="G347" s="11">
        <f>IFERROR((COUNTIF($D$96:$D$347,"&lt;"&amp;D347)+0.5*COUNTIF($D$96:$D$347,D347))/COUNT($D$96:$D$347)*100,"")</f>
        <v/>
      </c>
      <c r="H347" s="10">
        <f>IFERROR(AVERAGE($D$96:$D$347),"")</f>
        <v/>
      </c>
      <c r="I347" s="10" t="n">
        <v>0.03132580077256634</v>
      </c>
      <c r="J347" t="inlineStr"/>
      <c r="K347" t="inlineStr"/>
    </row>
    <row r="348">
      <c r="A348" s="7" t="inlineStr">
        <is>
          <t>2015-07-28</t>
        </is>
      </c>
      <c r="B348" s="8">
        <f>IFERROR(VLOOKUP($A348,'01-原始价格'!$A:$M,2,FALSE),"")</f>
        <v/>
      </c>
      <c r="C348" s="8">
        <f>IFERROR(VLOOKUP($A348,'01-原始价格'!$A:$M,8,FALSE),"")</f>
        <v/>
      </c>
      <c r="D348" s="10">
        <f>IFERROR(B348/C348,"")</f>
        <v/>
      </c>
      <c r="E348" s="10">
        <f>IFERROR(C348/B348,"")</f>
        <v/>
      </c>
      <c r="F348" s="11">
        <f>IFERROR((D348/D347-1)*100,"")</f>
        <v/>
      </c>
      <c r="G348" s="11">
        <f>IFERROR((COUNTIF($D$97:$D$348,"&lt;"&amp;D348)+0.5*COUNTIF($D$97:$D$348,D348))/COUNT($D$97:$D$348)*100,"")</f>
        <v/>
      </c>
      <c r="H348" s="10">
        <f>IFERROR(AVERAGE($D$97:$D$348),"")</f>
        <v/>
      </c>
      <c r="I348" s="10" t="n">
        <v>0.9931109012940429</v>
      </c>
      <c r="J348" t="inlineStr"/>
      <c r="K348" t="inlineStr"/>
    </row>
    <row r="349">
      <c r="A349" s="7" t="inlineStr">
        <is>
          <t>2015-07-29</t>
        </is>
      </c>
      <c r="B349" s="8">
        <f>IFERROR(VLOOKUP($A349,'01-原始价格'!$A:$M,2,FALSE),"")</f>
        <v/>
      </c>
      <c r="C349" s="8">
        <f>IFERROR(VLOOKUP($A349,'01-原始价格'!$A:$M,8,FALSE),"")</f>
        <v/>
      </c>
      <c r="D349" s="10">
        <f>IFERROR(B349/C349,"")</f>
        <v/>
      </c>
      <c r="E349" s="10">
        <f>IFERROR(C349/B349,"")</f>
        <v/>
      </c>
      <c r="F349" s="11">
        <f>IFERROR((D349/D348-1)*100,"")</f>
        <v/>
      </c>
      <c r="G349" s="11">
        <f>IFERROR((COUNTIF($D$98:$D$349,"&lt;"&amp;D349)+0.5*COUNTIF($D$98:$D$349,D349))/COUNT($D$98:$D$349)*100,"")</f>
        <v/>
      </c>
      <c r="H349" s="10">
        <f>IFERROR(AVERAGE($D$98:$D$349),"")</f>
        <v/>
      </c>
      <c r="I349" s="10" t="n">
        <v>0.6069309411467715</v>
      </c>
      <c r="J349" t="inlineStr"/>
      <c r="K349" t="inlineStr"/>
    </row>
    <row r="350">
      <c r="A350" s="7" t="inlineStr">
        <is>
          <t>2015-07-30</t>
        </is>
      </c>
      <c r="B350" s="8">
        <f>IFERROR(VLOOKUP($A350,'01-原始价格'!$A:$M,2,FALSE),"")</f>
        <v/>
      </c>
      <c r="C350" s="8">
        <f>IFERROR(VLOOKUP($A350,'01-原始价格'!$A:$M,8,FALSE),"")</f>
        <v/>
      </c>
      <c r="D350" s="10">
        <f>IFERROR(B350/C350,"")</f>
        <v/>
      </c>
      <c r="E350" s="10">
        <f>IFERROR(C350/B350,"")</f>
        <v/>
      </c>
      <c r="F350" s="11">
        <f>IFERROR((D350/D349-1)*100,"")</f>
        <v/>
      </c>
      <c r="G350" s="11">
        <f>IFERROR((COUNTIF($D$99:$D$350,"&lt;"&amp;D350)+0.5*COUNTIF($D$99:$D$350,D350))/COUNT($D$99:$D$350)*100,"")</f>
        <v/>
      </c>
      <c r="H350" s="10">
        <f>IFERROR(AVERAGE($D$99:$D$350),"")</f>
        <v/>
      </c>
      <c r="I350" s="10" t="n">
        <v>0.556596332571331</v>
      </c>
      <c r="J350" t="inlineStr"/>
      <c r="K350" t="inlineStr"/>
    </row>
    <row r="351">
      <c r="A351" s="7" t="inlineStr">
        <is>
          <t>2015-07-31</t>
        </is>
      </c>
      <c r="B351" s="8">
        <f>IFERROR(VLOOKUP($A351,'01-原始价格'!$A:$M,2,FALSE),"")</f>
        <v/>
      </c>
      <c r="C351" s="8">
        <f>IFERROR(VLOOKUP($A351,'01-原始价格'!$A:$M,8,FALSE),"")</f>
        <v/>
      </c>
      <c r="D351" s="10">
        <f>IFERROR(B351/C351,"")</f>
        <v/>
      </c>
      <c r="E351" s="10">
        <f>IFERROR(C351/B351,"")</f>
        <v/>
      </c>
      <c r="F351" s="11">
        <f>IFERROR((D351/D350-1)*100,"")</f>
        <v/>
      </c>
      <c r="G351" s="11">
        <f>IFERROR((COUNTIF($D$100:$D$351,"&lt;"&amp;D351)+0.5*COUNTIF($D$100:$D$351,D351))/COUNT($D$100:$D$351)*100,"")</f>
        <v/>
      </c>
      <c r="H351" s="10">
        <f>IFERROR(AVERAGE($D$100:$D$351),"")</f>
        <v/>
      </c>
      <c r="I351" s="10" t="n">
        <v>0.3204664561965808</v>
      </c>
      <c r="J351" t="inlineStr"/>
      <c r="K351" t="inlineStr"/>
    </row>
    <row r="352">
      <c r="A352" s="7" t="inlineStr">
        <is>
          <t>2015-08-03</t>
        </is>
      </c>
      <c r="B352" s="8">
        <f>IFERROR(VLOOKUP($A352,'01-原始价格'!$A:$M,2,FALSE),"")</f>
        <v/>
      </c>
      <c r="C352" s="8">
        <f>IFERROR(VLOOKUP($A352,'01-原始价格'!$A:$M,8,FALSE),"")</f>
        <v/>
      </c>
      <c r="D352" s="10">
        <f>IFERROR(B352/C352,"")</f>
        <v/>
      </c>
      <c r="E352" s="10">
        <f>IFERROR(C352/B352,"")</f>
        <v/>
      </c>
      <c r="F352" s="11">
        <f>IFERROR((D352/D351-1)*100,"")</f>
        <v/>
      </c>
      <c r="G352" s="11">
        <f>IFERROR((COUNTIF($D$101:$D$352,"&lt;"&amp;D352)+0.5*COUNTIF($D$101:$D$352,D352))/COUNT($D$101:$D$352)*100,"")</f>
        <v/>
      </c>
      <c r="H352" s="10">
        <f>IFERROR(AVERAGE($D$101:$D$352),"")</f>
        <v/>
      </c>
      <c r="I352" s="10" t="n">
        <v>0.1418548328573304</v>
      </c>
      <c r="J352" t="inlineStr"/>
      <c r="K352" t="inlineStr"/>
    </row>
    <row r="353">
      <c r="A353" s="7" t="inlineStr">
        <is>
          <t>2015-08-04</t>
        </is>
      </c>
      <c r="B353" s="8">
        <f>IFERROR(VLOOKUP($A353,'01-原始价格'!$A:$M,2,FALSE),"")</f>
        <v/>
      </c>
      <c r="C353" s="8">
        <f>IFERROR(VLOOKUP($A353,'01-原始价格'!$A:$M,8,FALSE),"")</f>
        <v/>
      </c>
      <c r="D353" s="10">
        <f>IFERROR(B353/C353,"")</f>
        <v/>
      </c>
      <c r="E353" s="10">
        <f>IFERROR(C353/B353,"")</f>
        <v/>
      </c>
      <c r="F353" s="11">
        <f>IFERROR((D353/D352-1)*100,"")</f>
        <v/>
      </c>
      <c r="G353" s="11">
        <f>IFERROR((COUNTIF($D$102:$D$353,"&lt;"&amp;D353)+0.5*COUNTIF($D$102:$D$353,D353))/COUNT($D$102:$D$353)*100,"")</f>
        <v/>
      </c>
      <c r="H353" s="10">
        <f>IFERROR(AVERAGE($D$102:$D$353),"")</f>
        <v/>
      </c>
      <c r="I353" s="10" t="n">
        <v>1.266962917237332</v>
      </c>
      <c r="J353" t="inlineStr"/>
      <c r="K353" t="inlineStr"/>
    </row>
    <row r="354">
      <c r="A354" s="7" t="inlineStr">
        <is>
          <t>2015-08-05</t>
        </is>
      </c>
      <c r="B354" s="8">
        <f>IFERROR(VLOOKUP($A354,'01-原始价格'!$A:$M,2,FALSE),"")</f>
        <v/>
      </c>
      <c r="C354" s="8">
        <f>IFERROR(VLOOKUP($A354,'01-原始价格'!$A:$M,8,FALSE),"")</f>
        <v/>
      </c>
      <c r="D354" s="10">
        <f>IFERROR(B354/C354,"")</f>
        <v/>
      </c>
      <c r="E354" s="10">
        <f>IFERROR(C354/B354,"")</f>
        <v/>
      </c>
      <c r="F354" s="11">
        <f>IFERROR((D354/D353-1)*100,"")</f>
        <v/>
      </c>
      <c r="G354" s="11">
        <f>IFERROR((COUNTIF($D$103:$D$354,"&lt;"&amp;D354)+0.5*COUNTIF($D$103:$D$354,D354))/COUNT($D$103:$D$354)*100,"")</f>
        <v/>
      </c>
      <c r="H354" s="10">
        <f>IFERROR(AVERAGE($D$103:$D$354),"")</f>
        <v/>
      </c>
      <c r="I354" s="10" t="n">
        <v>0.8160653845506166</v>
      </c>
      <c r="J354" t="inlineStr"/>
      <c r="K354" t="inlineStr"/>
    </row>
    <row r="355">
      <c r="A355" s="7" t="inlineStr">
        <is>
          <t>2015-08-06</t>
        </is>
      </c>
      <c r="B355" s="8">
        <f>IFERROR(VLOOKUP($A355,'01-原始价格'!$A:$M,2,FALSE),"")</f>
        <v/>
      </c>
      <c r="C355" s="8">
        <f>IFERROR(VLOOKUP($A355,'01-原始价格'!$A:$M,8,FALSE),"")</f>
        <v/>
      </c>
      <c r="D355" s="10">
        <f>IFERROR(B355/C355,"")</f>
        <v/>
      </c>
      <c r="E355" s="10">
        <f>IFERROR(C355/B355,"")</f>
        <v/>
      </c>
      <c r="F355" s="11">
        <f>IFERROR((D355/D354-1)*100,"")</f>
        <v/>
      </c>
      <c r="G355" s="11">
        <f>IFERROR((COUNTIF($D$104:$D$355,"&lt;"&amp;D355)+0.5*COUNTIF($D$104:$D$355,D355))/COUNT($D$104:$D$355)*100,"")</f>
        <v/>
      </c>
      <c r="H355" s="10">
        <f>IFERROR(AVERAGE($D$104:$D$355),"")</f>
        <v/>
      </c>
      <c r="I355" s="10" t="n">
        <v>1.033343088157718</v>
      </c>
      <c r="J355" t="inlineStr"/>
      <c r="K355" t="inlineStr"/>
    </row>
    <row r="356">
      <c r="A356" s="7" t="inlineStr">
        <is>
          <t>2015-08-07</t>
        </is>
      </c>
      <c r="B356" s="8">
        <f>IFERROR(VLOOKUP($A356,'01-原始价格'!$A:$M,2,FALSE),"")</f>
        <v/>
      </c>
      <c r="C356" s="8">
        <f>IFERROR(VLOOKUP($A356,'01-原始价格'!$A:$M,8,FALSE),"")</f>
        <v/>
      </c>
      <c r="D356" s="10">
        <f>IFERROR(B356/C356,"")</f>
        <v/>
      </c>
      <c r="E356" s="10">
        <f>IFERROR(C356/B356,"")</f>
        <v/>
      </c>
      <c r="F356" s="11">
        <f>IFERROR((D356/D355-1)*100,"")</f>
        <v/>
      </c>
      <c r="G356" s="11">
        <f>IFERROR((COUNTIF($D$105:$D$356,"&lt;"&amp;D356)+0.5*COUNTIF($D$105:$D$356,D356))/COUNT($D$105:$D$356)*100,"")</f>
        <v/>
      </c>
      <c r="H356" s="10">
        <f>IFERROR(AVERAGE($D$105:$D$356),"")</f>
        <v/>
      </c>
      <c r="I356" s="10" t="n">
        <v>1.287139148602951</v>
      </c>
      <c r="J356" t="inlineStr"/>
      <c r="K356" t="inlineStr"/>
    </row>
    <row r="357">
      <c r="A357" s="7" t="inlineStr">
        <is>
          <t>2015-08-10</t>
        </is>
      </c>
      <c r="B357" s="8">
        <f>IFERROR(VLOOKUP($A357,'01-原始价格'!$A:$M,2,FALSE),"")</f>
        <v/>
      </c>
      <c r="C357" s="8">
        <f>IFERROR(VLOOKUP($A357,'01-原始价格'!$A:$M,8,FALSE),"")</f>
        <v/>
      </c>
      <c r="D357" s="10">
        <f>IFERROR(B357/C357,"")</f>
        <v/>
      </c>
      <c r="E357" s="10">
        <f>IFERROR(C357/B357,"")</f>
        <v/>
      </c>
      <c r="F357" s="11">
        <f>IFERROR((D357/D356-1)*100,"")</f>
        <v/>
      </c>
      <c r="G357" s="11">
        <f>IFERROR((COUNTIF($D$106:$D$357,"&lt;"&amp;D357)+0.5*COUNTIF($D$106:$D$357,D357))/COUNT($D$106:$D$357)*100,"")</f>
        <v/>
      </c>
      <c r="H357" s="10">
        <f>IFERROR(AVERAGE($D$106:$D$357),"")</f>
        <v/>
      </c>
      <c r="I357" s="10" t="n">
        <v>1.230315774456473</v>
      </c>
      <c r="J357" t="inlineStr"/>
      <c r="K357" t="inlineStr"/>
    </row>
    <row r="358">
      <c r="A358" s="7" t="inlineStr">
        <is>
          <t>2015-08-11</t>
        </is>
      </c>
      <c r="B358" s="8">
        <f>IFERROR(VLOOKUP($A358,'01-原始价格'!$A:$M,2,FALSE),"")</f>
        <v/>
      </c>
      <c r="C358" s="8">
        <f>IFERROR(VLOOKUP($A358,'01-原始价格'!$A:$M,8,FALSE),"")</f>
        <v/>
      </c>
      <c r="D358" s="10">
        <f>IFERROR(B358/C358,"")</f>
        <v/>
      </c>
      <c r="E358" s="10">
        <f>IFERROR(C358/B358,"")</f>
        <v/>
      </c>
      <c r="F358" s="11">
        <f>IFERROR((D358/D357-1)*100,"")</f>
        <v/>
      </c>
      <c r="G358" s="11">
        <f>IFERROR((COUNTIF($D$107:$D$358,"&lt;"&amp;D358)+0.5*COUNTIF($D$107:$D$358,D358))/COUNT($D$107:$D$358)*100,"")</f>
        <v/>
      </c>
      <c r="H358" s="10">
        <f>IFERROR(AVERAGE($D$107:$D$358),"")</f>
        <v/>
      </c>
      <c r="I358" s="10" t="n">
        <v>1.277587367761359</v>
      </c>
      <c r="J358" t="inlineStr"/>
      <c r="K358" t="inlineStr"/>
    </row>
    <row r="359">
      <c r="A359" s="7" t="inlineStr">
        <is>
          <t>2015-08-12</t>
        </is>
      </c>
      <c r="B359" s="8">
        <f>IFERROR(VLOOKUP($A359,'01-原始价格'!$A:$M,2,FALSE),"")</f>
        <v/>
      </c>
      <c r="C359" s="8">
        <f>IFERROR(VLOOKUP($A359,'01-原始价格'!$A:$M,8,FALSE),"")</f>
        <v/>
      </c>
      <c r="D359" s="10">
        <f>IFERROR(B359/C359,"")</f>
        <v/>
      </c>
      <c r="E359" s="10">
        <f>IFERROR(C359/B359,"")</f>
        <v/>
      </c>
      <c r="F359" s="11">
        <f>IFERROR((D359/D358-1)*100,"")</f>
        <v/>
      </c>
      <c r="G359" s="11">
        <f>IFERROR((COUNTIF($D$108:$D$359,"&lt;"&amp;D359)+0.5*COUNTIF($D$108:$D$359,D359))/COUNT($D$108:$D$359)*100,"")</f>
        <v/>
      </c>
      <c r="H359" s="10">
        <f>IFERROR(AVERAGE($D$108:$D$359),"")</f>
        <v/>
      </c>
      <c r="I359" s="10" t="n">
        <v>0.6790025182588002</v>
      </c>
      <c r="J359" t="inlineStr"/>
      <c r="K359" t="inlineStr"/>
    </row>
    <row r="360">
      <c r="A360" s="7" t="inlineStr">
        <is>
          <t>2015-08-13</t>
        </is>
      </c>
      <c r="B360" s="8">
        <f>IFERROR(VLOOKUP($A360,'01-原始价格'!$A:$M,2,FALSE),"")</f>
        <v/>
      </c>
      <c r="C360" s="8">
        <f>IFERROR(VLOOKUP($A360,'01-原始价格'!$A:$M,8,FALSE),"")</f>
        <v/>
      </c>
      <c r="D360" s="10">
        <f>IFERROR(B360/C360,"")</f>
        <v/>
      </c>
      <c r="E360" s="10">
        <f>IFERROR(C360/B360,"")</f>
        <v/>
      </c>
      <c r="F360" s="11">
        <f>IFERROR((D360/D359-1)*100,"")</f>
        <v/>
      </c>
      <c r="G360" s="11">
        <f>IFERROR((COUNTIF($D$109:$D$360,"&lt;"&amp;D360)+0.5*COUNTIF($D$109:$D$360,D360))/COUNT($D$109:$D$360)*100,"")</f>
        <v/>
      </c>
      <c r="H360" s="10">
        <f>IFERROR(AVERAGE($D$109:$D$360),"")</f>
        <v/>
      </c>
      <c r="I360" s="10" t="n">
        <v>0.6466174095040861</v>
      </c>
      <c r="J360" t="inlineStr"/>
      <c r="K360" t="inlineStr"/>
    </row>
    <row r="361">
      <c r="A361" s="7" t="inlineStr">
        <is>
          <t>2015-08-14</t>
        </is>
      </c>
      <c r="B361" s="8">
        <f>IFERROR(VLOOKUP($A361,'01-原始价格'!$A:$M,2,FALSE),"")</f>
        <v/>
      </c>
      <c r="C361" s="8">
        <f>IFERROR(VLOOKUP($A361,'01-原始价格'!$A:$M,8,FALSE),"")</f>
        <v/>
      </c>
      <c r="D361" s="10">
        <f>IFERROR(B361/C361,"")</f>
        <v/>
      </c>
      <c r="E361" s="10">
        <f>IFERROR(C361/B361,"")</f>
        <v/>
      </c>
      <c r="F361" s="11">
        <f>IFERROR((D361/D360-1)*100,"")</f>
        <v/>
      </c>
      <c r="G361" s="11">
        <f>IFERROR((COUNTIF($D$110:$D$361,"&lt;"&amp;D361)+0.5*COUNTIF($D$110:$D$361,D361))/COUNT($D$110:$D$361)*100,"")</f>
        <v/>
      </c>
      <c r="H361" s="10">
        <f>IFERROR(AVERAGE($D$110:$D$361),"")</f>
        <v/>
      </c>
      <c r="I361" s="10" t="n">
        <v>0.7597348527340466</v>
      </c>
      <c r="J361" t="inlineStr"/>
      <c r="K361" t="inlineStr"/>
    </row>
    <row r="362">
      <c r="A362" s="7" t="inlineStr">
        <is>
          <t>2015-08-17</t>
        </is>
      </c>
      <c r="B362" s="8">
        <f>IFERROR(VLOOKUP($A362,'01-原始价格'!$A:$M,2,FALSE),"")</f>
        <v/>
      </c>
      <c r="C362" s="8">
        <f>IFERROR(VLOOKUP($A362,'01-原始价格'!$A:$M,8,FALSE),"")</f>
        <v/>
      </c>
      <c r="D362" s="10">
        <f>IFERROR(B362/C362,"")</f>
        <v/>
      </c>
      <c r="E362" s="10">
        <f>IFERROR(C362/B362,"")</f>
        <v/>
      </c>
      <c r="F362" s="11">
        <f>IFERROR((D362/D361-1)*100,"")</f>
        <v/>
      </c>
      <c r="G362" s="11">
        <f>IFERROR((COUNTIF($D$111:$D$362,"&lt;"&amp;D362)+0.5*COUNTIF($D$111:$D$362,D362))/COUNT($D$111:$D$362)*100,"")</f>
        <v/>
      </c>
      <c r="H362" s="10">
        <f>IFERROR(AVERAGE($D$111:$D$362),"")</f>
        <v/>
      </c>
      <c r="I362" s="10" t="n">
        <v>0.8299962617721165</v>
      </c>
      <c r="J362" t="inlineStr"/>
      <c r="K362" t="inlineStr"/>
    </row>
    <row r="363">
      <c r="A363" s="7" t="inlineStr">
        <is>
          <t>2015-08-18</t>
        </is>
      </c>
      <c r="B363" s="8">
        <f>IFERROR(VLOOKUP($A363,'01-原始价格'!$A:$M,2,FALSE),"")</f>
        <v/>
      </c>
      <c r="C363" s="8">
        <f>IFERROR(VLOOKUP($A363,'01-原始价格'!$A:$M,8,FALSE),"")</f>
        <v/>
      </c>
      <c r="D363" s="10">
        <f>IFERROR(B363/C363,"")</f>
        <v/>
      </c>
      <c r="E363" s="10">
        <f>IFERROR(C363/B363,"")</f>
        <v/>
      </c>
      <c r="F363" s="11">
        <f>IFERROR((D363/D362-1)*100,"")</f>
        <v/>
      </c>
      <c r="G363" s="11">
        <f>IFERROR((COUNTIF($D$112:$D$363,"&lt;"&amp;D363)+0.5*COUNTIF($D$112:$D$363,D363))/COUNT($D$112:$D$363)*100,"")</f>
        <v/>
      </c>
      <c r="H363" s="10">
        <f>IFERROR(AVERAGE($D$112:$D$363),"")</f>
        <v/>
      </c>
      <c r="I363" s="10" t="n">
        <v>1.050857687242762</v>
      </c>
      <c r="J363" t="inlineStr"/>
      <c r="K363" t="inlineStr"/>
    </row>
    <row r="364">
      <c r="A364" s="7" t="inlineStr">
        <is>
          <t>2015-08-19</t>
        </is>
      </c>
      <c r="B364" s="8">
        <f>IFERROR(VLOOKUP($A364,'01-原始价格'!$A:$M,2,FALSE),"")</f>
        <v/>
      </c>
      <c r="C364" s="8">
        <f>IFERROR(VLOOKUP($A364,'01-原始价格'!$A:$M,8,FALSE),"")</f>
        <v/>
      </c>
      <c r="D364" s="10">
        <f>IFERROR(B364/C364,"")</f>
        <v/>
      </c>
      <c r="E364" s="10">
        <f>IFERROR(C364/B364,"")</f>
        <v/>
      </c>
      <c r="F364" s="11">
        <f>IFERROR((D364/D363-1)*100,"")</f>
        <v/>
      </c>
      <c r="G364" s="11">
        <f>IFERROR((COUNTIF($D$113:$D$364,"&lt;"&amp;D364)+0.5*COUNTIF($D$113:$D$364,D364))/COUNT($D$113:$D$364)*100,"")</f>
        <v/>
      </c>
      <c r="H364" s="10">
        <f>IFERROR(AVERAGE($D$113:$D$364),"")</f>
        <v/>
      </c>
      <c r="I364" s="10" t="n">
        <v>1.538160547700293</v>
      </c>
      <c r="J364" t="inlineStr"/>
      <c r="K364" t="inlineStr"/>
    </row>
    <row r="365">
      <c r="A365" s="7" t="inlineStr">
        <is>
          <t>2015-08-20</t>
        </is>
      </c>
      <c r="B365" s="8">
        <f>IFERROR(VLOOKUP($A365,'01-原始价格'!$A:$M,2,FALSE),"")</f>
        <v/>
      </c>
      <c r="C365" s="8">
        <f>IFERROR(VLOOKUP($A365,'01-原始价格'!$A:$M,8,FALSE),"")</f>
        <v/>
      </c>
      <c r="D365" s="10">
        <f>IFERROR(B365/C365,"")</f>
        <v/>
      </c>
      <c r="E365" s="10">
        <f>IFERROR(C365/B365,"")</f>
        <v/>
      </c>
      <c r="F365" s="11">
        <f>IFERROR((D365/D364-1)*100,"")</f>
        <v/>
      </c>
      <c r="G365" s="11">
        <f>IFERROR((COUNTIF($D$114:$D$365,"&lt;"&amp;D365)+0.5*COUNTIF($D$114:$D$365,D365))/COUNT($D$114:$D$365)*100,"")</f>
        <v/>
      </c>
      <c r="H365" s="10">
        <f>IFERROR(AVERAGE($D$114:$D$365),"")</f>
        <v/>
      </c>
      <c r="I365" s="10" t="n">
        <v>1.82867630417777</v>
      </c>
      <c r="J365" t="inlineStr"/>
      <c r="K365" t="inlineStr"/>
    </row>
    <row r="366">
      <c r="A366" s="7" t="inlineStr">
        <is>
          <t>2015-08-21</t>
        </is>
      </c>
      <c r="B366" s="8">
        <f>IFERROR(VLOOKUP($A366,'01-原始价格'!$A:$M,2,FALSE),"")</f>
        <v/>
      </c>
      <c r="C366" s="8">
        <f>IFERROR(VLOOKUP($A366,'01-原始价格'!$A:$M,8,FALSE),"")</f>
        <v/>
      </c>
      <c r="D366" s="10">
        <f>IFERROR(B366/C366,"")</f>
        <v/>
      </c>
      <c r="E366" s="10">
        <f>IFERROR(C366/B366,"")</f>
        <v/>
      </c>
      <c r="F366" s="11">
        <f>IFERROR((D366/D365-1)*100,"")</f>
        <v/>
      </c>
      <c r="G366" s="11">
        <f>IFERROR((COUNTIF($D$115:$D$366,"&lt;"&amp;D366)+0.5*COUNTIF($D$115:$D$366,D366))/COUNT($D$115:$D$366)*100,"")</f>
        <v/>
      </c>
      <c r="H366" s="10">
        <f>IFERROR(AVERAGE($D$115:$D$366),"")</f>
        <v/>
      </c>
      <c r="I366" s="10" t="n">
        <v>1.459978588305529</v>
      </c>
      <c r="J366" t="inlineStr"/>
      <c r="K366" t="inlineStr"/>
    </row>
    <row r="367">
      <c r="A367" s="7" t="inlineStr">
        <is>
          <t>2015-08-24</t>
        </is>
      </c>
      <c r="B367" s="8">
        <f>IFERROR(VLOOKUP($A367,'01-原始价格'!$A:$M,2,FALSE),"")</f>
        <v/>
      </c>
      <c r="C367" s="8">
        <f>IFERROR(VLOOKUP($A367,'01-原始价格'!$A:$M,8,FALSE),"")</f>
        <v/>
      </c>
      <c r="D367" s="10">
        <f>IFERROR(B367/C367,"")</f>
        <v/>
      </c>
      <c r="E367" s="10">
        <f>IFERROR(C367/B367,"")</f>
        <v/>
      </c>
      <c r="F367" s="11">
        <f>IFERROR((D367/D366-1)*100,"")</f>
        <v/>
      </c>
      <c r="G367" s="11">
        <f>IFERROR((COUNTIF($D$116:$D$367,"&lt;"&amp;D367)+0.5*COUNTIF($D$116:$D$367,D367))/COUNT($D$116:$D$367)*100,"")</f>
        <v/>
      </c>
      <c r="H367" s="10">
        <f>IFERROR(AVERAGE($D$116:$D$367),"")</f>
        <v/>
      </c>
      <c r="I367" s="10" t="n">
        <v>1.500118783692613</v>
      </c>
      <c r="J367" t="inlineStr"/>
      <c r="K367" t="inlineStr"/>
    </row>
    <row r="368">
      <c r="A368" s="7" t="inlineStr">
        <is>
          <t>2015-08-25</t>
        </is>
      </c>
      <c r="B368" s="8">
        <f>IFERROR(VLOOKUP($A368,'01-原始价格'!$A:$M,2,FALSE),"")</f>
        <v/>
      </c>
      <c r="C368" s="8">
        <f>IFERROR(VLOOKUP($A368,'01-原始价格'!$A:$M,8,FALSE),"")</f>
        <v/>
      </c>
      <c r="D368" s="10">
        <f>IFERROR(B368/C368,"")</f>
        <v/>
      </c>
      <c r="E368" s="10">
        <f>IFERROR(C368/B368,"")</f>
        <v/>
      </c>
      <c r="F368" s="11">
        <f>IFERROR((D368/D367-1)*100,"")</f>
        <v/>
      </c>
      <c r="G368" s="11">
        <f>IFERROR((COUNTIF($D$117:$D$368,"&lt;"&amp;D368)+0.5*COUNTIF($D$117:$D$368,D368))/COUNT($D$117:$D$368)*100,"")</f>
        <v/>
      </c>
      <c r="H368" s="10">
        <f>IFERROR(AVERAGE($D$117:$D$368),"")</f>
        <v/>
      </c>
      <c r="I368" s="10" t="n">
        <v>0.5319801064853535</v>
      </c>
      <c r="J368" t="inlineStr"/>
      <c r="K368" t="inlineStr"/>
    </row>
    <row r="369">
      <c r="A369" s="7" t="inlineStr">
        <is>
          <t>2015-08-26</t>
        </is>
      </c>
      <c r="B369" s="8">
        <f>IFERROR(VLOOKUP($A369,'01-原始价格'!$A:$M,2,FALSE),"")</f>
        <v/>
      </c>
      <c r="C369" s="8">
        <f>IFERROR(VLOOKUP($A369,'01-原始价格'!$A:$M,8,FALSE),"")</f>
        <v/>
      </c>
      <c r="D369" s="10">
        <f>IFERROR(B369/C369,"")</f>
        <v/>
      </c>
      <c r="E369" s="10">
        <f>IFERROR(C369/B369,"")</f>
        <v/>
      </c>
      <c r="F369" s="11">
        <f>IFERROR((D369/D368-1)*100,"")</f>
        <v/>
      </c>
      <c r="G369" s="11">
        <f>IFERROR((COUNTIF($D$118:$D$369,"&lt;"&amp;D369)+0.5*COUNTIF($D$118:$D$369,D369))/COUNT($D$118:$D$369)*100,"")</f>
        <v/>
      </c>
      <c r="H369" s="10">
        <f>IFERROR(AVERAGE($D$118:$D$369),"")</f>
        <v/>
      </c>
      <c r="I369" s="10" t="n">
        <v>0.712967867322239</v>
      </c>
      <c r="J369" t="inlineStr"/>
      <c r="K369" t="inlineStr"/>
    </row>
    <row r="370">
      <c r="A370" s="7" t="inlineStr">
        <is>
          <t>2015-08-27</t>
        </is>
      </c>
      <c r="B370" s="8">
        <f>IFERROR(VLOOKUP($A370,'01-原始价格'!$A:$M,2,FALSE),"")</f>
        <v/>
      </c>
      <c r="C370" s="8">
        <f>IFERROR(VLOOKUP($A370,'01-原始价格'!$A:$M,8,FALSE),"")</f>
        <v/>
      </c>
      <c r="D370" s="10">
        <f>IFERROR(B370/C370,"")</f>
        <v/>
      </c>
      <c r="E370" s="10">
        <f>IFERROR(C370/B370,"")</f>
        <v/>
      </c>
      <c r="F370" s="11">
        <f>IFERROR((D370/D369-1)*100,"")</f>
        <v/>
      </c>
      <c r="G370" s="11">
        <f>IFERROR((COUNTIF($D$119:$D$370,"&lt;"&amp;D370)+0.5*COUNTIF($D$119:$D$370,D370))/COUNT($D$119:$D$370)*100,"")</f>
        <v/>
      </c>
      <c r="H370" s="10">
        <f>IFERROR(AVERAGE($D$119:$D$370),"")</f>
        <v/>
      </c>
      <c r="I370" s="10" t="n">
        <v>-0.6092355751573235</v>
      </c>
      <c r="J370" t="inlineStr"/>
      <c r="K370" t="inlineStr"/>
    </row>
    <row r="371">
      <c r="A371" s="7" t="inlineStr">
        <is>
          <t>2015-08-28</t>
        </is>
      </c>
      <c r="B371" s="8">
        <f>IFERROR(VLOOKUP($A371,'01-原始价格'!$A:$M,2,FALSE),"")</f>
        <v/>
      </c>
      <c r="C371" s="8">
        <f>IFERROR(VLOOKUP($A371,'01-原始价格'!$A:$M,8,FALSE),"")</f>
        <v/>
      </c>
      <c r="D371" s="10">
        <f>IFERROR(B371/C371,"")</f>
        <v/>
      </c>
      <c r="E371" s="10">
        <f>IFERROR(C371/B371,"")</f>
        <v/>
      </c>
      <c r="F371" s="11">
        <f>IFERROR((D371/D370-1)*100,"")</f>
        <v/>
      </c>
      <c r="G371" s="11">
        <f>IFERROR((COUNTIF($D$120:$D$371,"&lt;"&amp;D371)+0.5*COUNTIF($D$120:$D$371,D371))/COUNT($D$120:$D$371)*100,"")</f>
        <v/>
      </c>
      <c r="H371" s="10">
        <f>IFERROR(AVERAGE($D$120:$D$371),"")</f>
        <v/>
      </c>
      <c r="I371" s="10" t="n">
        <v>-0.2322301041187651</v>
      </c>
      <c r="J371" t="inlineStr"/>
      <c r="K371" t="inlineStr"/>
    </row>
    <row r="372">
      <c r="A372" s="7" t="inlineStr">
        <is>
          <t>2015-08-31</t>
        </is>
      </c>
      <c r="B372" s="8">
        <f>IFERROR(VLOOKUP($A372,'01-原始价格'!$A:$M,2,FALSE),"")</f>
        <v/>
      </c>
      <c r="C372" s="8">
        <f>IFERROR(VLOOKUP($A372,'01-原始价格'!$A:$M,8,FALSE),"")</f>
        <v/>
      </c>
      <c r="D372" s="10">
        <f>IFERROR(B372/C372,"")</f>
        <v/>
      </c>
      <c r="E372" s="10">
        <f>IFERROR(C372/B372,"")</f>
        <v/>
      </c>
      <c r="F372" s="11">
        <f>IFERROR((D372/D371-1)*100,"")</f>
        <v/>
      </c>
      <c r="G372" s="11">
        <f>IFERROR((COUNTIF($D$121:$D$372,"&lt;"&amp;D372)+0.5*COUNTIF($D$121:$D$372,D372))/COUNT($D$121:$D$372)*100,"")</f>
        <v/>
      </c>
      <c r="H372" s="10">
        <f>IFERROR(AVERAGE($D$121:$D$372),"")</f>
        <v/>
      </c>
      <c r="I372" s="10" t="n">
        <v>-0.1222865409557921</v>
      </c>
      <c r="J372" t="inlineStr"/>
      <c r="K372" t="inlineStr"/>
    </row>
    <row r="373">
      <c r="A373" s="7" t="inlineStr">
        <is>
          <t>2015-09-01</t>
        </is>
      </c>
      <c r="B373" s="8">
        <f>IFERROR(VLOOKUP($A373,'01-原始价格'!$A:$M,2,FALSE),"")</f>
        <v/>
      </c>
      <c r="C373" s="8">
        <f>IFERROR(VLOOKUP($A373,'01-原始价格'!$A:$M,8,FALSE),"")</f>
        <v/>
      </c>
      <c r="D373" s="10">
        <f>IFERROR(B373/C373,"")</f>
        <v/>
      </c>
      <c r="E373" s="10">
        <f>IFERROR(C373/B373,"")</f>
        <v/>
      </c>
      <c r="F373" s="11">
        <f>IFERROR((D373/D372-1)*100,"")</f>
        <v/>
      </c>
      <c r="G373" s="11">
        <f>IFERROR((COUNTIF($D$122:$D$373,"&lt;"&amp;D373)+0.5*COUNTIF($D$122:$D$373,D373))/COUNT($D$122:$D$373)*100,"")</f>
        <v/>
      </c>
      <c r="H373" s="10">
        <f>IFERROR(AVERAGE($D$122:$D$373),"")</f>
        <v/>
      </c>
      <c r="I373" s="10" t="n">
        <v>0.5527367168990808</v>
      </c>
      <c r="J373" t="inlineStr"/>
      <c r="K373" t="inlineStr"/>
    </row>
    <row r="374">
      <c r="A374" s="7" t="inlineStr">
        <is>
          <t>2015-09-02</t>
        </is>
      </c>
      <c r="B374" s="8">
        <f>IFERROR(VLOOKUP($A374,'01-原始价格'!$A:$M,2,FALSE),"")</f>
        <v/>
      </c>
      <c r="C374" s="8">
        <f>IFERROR(VLOOKUP($A374,'01-原始价格'!$A:$M,8,FALSE),"")</f>
        <v/>
      </c>
      <c r="D374" s="10">
        <f>IFERROR(B374/C374,"")</f>
        <v/>
      </c>
      <c r="E374" s="10">
        <f>IFERROR(C374/B374,"")</f>
        <v/>
      </c>
      <c r="F374" s="11">
        <f>IFERROR((D374/D373-1)*100,"")</f>
        <v/>
      </c>
      <c r="G374" s="11">
        <f>IFERROR((COUNTIF($D$123:$D$374,"&lt;"&amp;D374)+0.5*COUNTIF($D$123:$D$374,D374))/COUNT($D$123:$D$374)*100,"")</f>
        <v/>
      </c>
      <c r="H374" s="10">
        <f>IFERROR(AVERAGE($D$123:$D$374),"")</f>
        <v/>
      </c>
      <c r="I374" s="10" t="n">
        <v>0.1641131476289191</v>
      </c>
      <c r="J374" t="inlineStr"/>
      <c r="K374" t="inlineStr"/>
    </row>
    <row r="375">
      <c r="A375" s="7" t="inlineStr">
        <is>
          <t>2015-09-03</t>
        </is>
      </c>
      <c r="B375" s="8">
        <f>IFERROR(VLOOKUP($A375,'01-原始价格'!$A:$M,2,FALSE),"")</f>
        <v/>
      </c>
      <c r="C375" s="8">
        <f>IFERROR(VLOOKUP($A375,'01-原始价格'!$A:$M,8,FALSE),"")</f>
        <v/>
      </c>
      <c r="D375" s="10">
        <f>IFERROR(B375/C375,"")</f>
        <v/>
      </c>
      <c r="E375" s="10">
        <f>IFERROR(C375/B375,"")</f>
        <v/>
      </c>
      <c r="F375" s="11">
        <f>IFERROR((D375/D374-1)*100,"")</f>
        <v/>
      </c>
      <c r="G375" s="11">
        <f>IFERROR((COUNTIF($D$124:$D$375,"&lt;"&amp;D375)+0.5*COUNTIF($D$124:$D$375,D375))/COUNT($D$124:$D$375)*100,"")</f>
        <v/>
      </c>
      <c r="H375" s="10">
        <f>IFERROR(AVERAGE($D$124:$D$375),"")</f>
        <v/>
      </c>
      <c r="I375" s="10" t="n">
        <v>0.5838242764261639</v>
      </c>
      <c r="J375" t="inlineStr"/>
      <c r="K375" t="inlineStr"/>
    </row>
    <row r="376">
      <c r="A376" s="7" t="inlineStr">
        <is>
          <t>2015-09-07</t>
        </is>
      </c>
      <c r="B376" s="8">
        <f>IFERROR(VLOOKUP($A376,'01-原始价格'!$A:$M,2,FALSE),"")</f>
        <v/>
      </c>
      <c r="C376" s="8">
        <f>IFERROR(VLOOKUP($A376,'01-原始价格'!$A:$M,8,FALSE),"")</f>
        <v/>
      </c>
      <c r="D376" s="10">
        <f>IFERROR(B376/C376,"")</f>
        <v/>
      </c>
      <c r="E376" s="10">
        <f>IFERROR(C376/B376,"")</f>
        <v/>
      </c>
      <c r="F376" s="11">
        <f>IFERROR((D376/D375-1)*100,"")</f>
        <v/>
      </c>
      <c r="G376" s="11">
        <f>IFERROR((COUNTIF($D$125:$D$376,"&lt;"&amp;D376)+0.5*COUNTIF($D$125:$D$376,D376))/COUNT($D$125:$D$376)*100,"")</f>
        <v/>
      </c>
      <c r="H376" s="10">
        <f>IFERROR(AVERAGE($D$125:$D$376),"")</f>
        <v/>
      </c>
      <c r="I376" s="10" t="n">
        <v>-1.661259781618995</v>
      </c>
      <c r="J376" t="inlineStr"/>
      <c r="K376" t="inlineStr"/>
    </row>
    <row r="377">
      <c r="A377" s="7" t="inlineStr">
        <is>
          <t>2015-09-08</t>
        </is>
      </c>
      <c r="B377" s="8">
        <f>IFERROR(VLOOKUP($A377,'01-原始价格'!$A:$M,2,FALSE),"")</f>
        <v/>
      </c>
      <c r="C377" s="8">
        <f>IFERROR(VLOOKUP($A377,'01-原始价格'!$A:$M,8,FALSE),"")</f>
        <v/>
      </c>
      <c r="D377" s="10">
        <f>IFERROR(B377/C377,"")</f>
        <v/>
      </c>
      <c r="E377" s="10">
        <f>IFERROR(C377/B377,"")</f>
        <v/>
      </c>
      <c r="F377" s="11">
        <f>IFERROR((D377/D376-1)*100,"")</f>
        <v/>
      </c>
      <c r="G377" s="11">
        <f>IFERROR((COUNTIF($D$126:$D$377,"&lt;"&amp;D377)+0.5*COUNTIF($D$126:$D$377,D377))/COUNT($D$126:$D$377)*100,"")</f>
        <v/>
      </c>
      <c r="H377" s="10">
        <f>IFERROR(AVERAGE($D$126:$D$377),"")</f>
        <v/>
      </c>
      <c r="I377" s="10" t="n">
        <v>1.041772924491603</v>
      </c>
      <c r="J377" t="inlineStr"/>
      <c r="K377" t="inlineStr"/>
    </row>
    <row r="378">
      <c r="A378" s="7" t="inlineStr">
        <is>
          <t>2015-09-09</t>
        </is>
      </c>
      <c r="B378" s="8">
        <f>IFERROR(VLOOKUP($A378,'01-原始价格'!$A:$M,2,FALSE),"")</f>
        <v/>
      </c>
      <c r="C378" s="8">
        <f>IFERROR(VLOOKUP($A378,'01-原始价格'!$A:$M,8,FALSE),"")</f>
        <v/>
      </c>
      <c r="D378" s="10">
        <f>IFERROR(B378/C378,"")</f>
        <v/>
      </c>
      <c r="E378" s="10">
        <f>IFERROR(C378/B378,"")</f>
        <v/>
      </c>
      <c r="F378" s="11">
        <f>IFERROR((D378/D377-1)*100,"")</f>
        <v/>
      </c>
      <c r="G378" s="11">
        <f>IFERROR((COUNTIF($D$127:$D$378,"&lt;"&amp;D378)+0.5*COUNTIF($D$127:$D$378,D378))/COUNT($D$127:$D$378)*100,"")</f>
        <v/>
      </c>
      <c r="H378" s="10">
        <f>IFERROR(AVERAGE($D$127:$D$378),"")</f>
        <v/>
      </c>
      <c r="I378" s="10" t="n">
        <v>0.3962383687419364</v>
      </c>
      <c r="J378" t="inlineStr"/>
      <c r="K378" t="inlineStr"/>
    </row>
    <row r="379">
      <c r="A379" s="7" t="inlineStr">
        <is>
          <t>2015-09-10</t>
        </is>
      </c>
      <c r="B379" s="8">
        <f>IFERROR(VLOOKUP($A379,'01-原始价格'!$A:$M,2,FALSE),"")</f>
        <v/>
      </c>
      <c r="C379" s="8">
        <f>IFERROR(VLOOKUP($A379,'01-原始价格'!$A:$M,8,FALSE),"")</f>
        <v/>
      </c>
      <c r="D379" s="10">
        <f>IFERROR(B379/C379,"")</f>
        <v/>
      </c>
      <c r="E379" s="10">
        <f>IFERROR(C379/B379,"")</f>
        <v/>
      </c>
      <c r="F379" s="11">
        <f>IFERROR((D379/D378-1)*100,"")</f>
        <v/>
      </c>
      <c r="G379" s="11">
        <f>IFERROR((COUNTIF($D$128:$D$379,"&lt;"&amp;D379)+0.5*COUNTIF($D$128:$D$379,D379))/COUNT($D$128:$D$379)*100,"")</f>
        <v/>
      </c>
      <c r="H379" s="10">
        <f>IFERROR(AVERAGE($D$128:$D$379),"")</f>
        <v/>
      </c>
      <c r="I379" s="10" t="n">
        <v>-0.6309116918329332</v>
      </c>
      <c r="J379" t="inlineStr"/>
      <c r="K379" t="inlineStr"/>
    </row>
    <row r="380">
      <c r="A380" s="7" t="inlineStr">
        <is>
          <t>2015-09-11</t>
        </is>
      </c>
      <c r="B380" s="8">
        <f>IFERROR(VLOOKUP($A380,'01-原始价格'!$A:$M,2,FALSE),"")</f>
        <v/>
      </c>
      <c r="C380" s="8">
        <f>IFERROR(VLOOKUP($A380,'01-原始价格'!$A:$M,8,FALSE),"")</f>
        <v/>
      </c>
      <c r="D380" s="10">
        <f>IFERROR(B380/C380,"")</f>
        <v/>
      </c>
      <c r="E380" s="10">
        <f>IFERROR(C380/B380,"")</f>
        <v/>
      </c>
      <c r="F380" s="11">
        <f>IFERROR((D380/D379-1)*100,"")</f>
        <v/>
      </c>
      <c r="G380" s="11">
        <f>IFERROR((COUNTIF($D$129:$D$380,"&lt;"&amp;D380)+0.5*COUNTIF($D$129:$D$380,D380))/COUNT($D$129:$D$380)*100,"")</f>
        <v/>
      </c>
      <c r="H380" s="10">
        <f>IFERROR(AVERAGE($D$129:$D$380),"")</f>
        <v/>
      </c>
      <c r="I380" s="10" t="n">
        <v>-0.5431204490464556</v>
      </c>
      <c r="J380" t="inlineStr"/>
      <c r="K380" t="inlineStr"/>
    </row>
    <row r="381">
      <c r="A381" s="7" t="inlineStr">
        <is>
          <t>2015-09-14</t>
        </is>
      </c>
      <c r="B381" s="8">
        <f>IFERROR(VLOOKUP($A381,'01-原始价格'!$A:$M,2,FALSE),"")</f>
        <v/>
      </c>
      <c r="C381" s="8">
        <f>IFERROR(VLOOKUP($A381,'01-原始价格'!$A:$M,8,FALSE),"")</f>
        <v/>
      </c>
      <c r="D381" s="10">
        <f>IFERROR(B381/C381,"")</f>
        <v/>
      </c>
      <c r="E381" s="10">
        <f>IFERROR(C381/B381,"")</f>
        <v/>
      </c>
      <c r="F381" s="11">
        <f>IFERROR((D381/D380-1)*100,"")</f>
        <v/>
      </c>
      <c r="G381" s="11">
        <f>IFERROR((COUNTIF($D$130:$D$381,"&lt;"&amp;D381)+0.5*COUNTIF($D$130:$D$381,D381))/COUNT($D$130:$D$381)*100,"")</f>
        <v/>
      </c>
      <c r="H381" s="10">
        <f>IFERROR(AVERAGE($D$130:$D$381),"")</f>
        <v/>
      </c>
      <c r="I381" s="10" t="n">
        <v>-0.3525645678256492</v>
      </c>
      <c r="J381" t="inlineStr"/>
      <c r="K381" t="inlineStr"/>
    </row>
    <row r="382">
      <c r="A382" s="7" t="inlineStr">
        <is>
          <t>2015-09-15</t>
        </is>
      </c>
      <c r="B382" s="8">
        <f>IFERROR(VLOOKUP($A382,'01-原始价格'!$A:$M,2,FALSE),"")</f>
        <v/>
      </c>
      <c r="C382" s="8">
        <f>IFERROR(VLOOKUP($A382,'01-原始价格'!$A:$M,8,FALSE),"")</f>
        <v/>
      </c>
      <c r="D382" s="10">
        <f>IFERROR(B382/C382,"")</f>
        <v/>
      </c>
      <c r="E382" s="10">
        <f>IFERROR(C382/B382,"")</f>
        <v/>
      </c>
      <c r="F382" s="11">
        <f>IFERROR((D382/D381-1)*100,"")</f>
        <v/>
      </c>
      <c r="G382" s="11">
        <f>IFERROR((COUNTIF($D$131:$D$382,"&lt;"&amp;D382)+0.5*COUNTIF($D$131:$D$382,D382))/COUNT($D$131:$D$382)*100,"")</f>
        <v/>
      </c>
      <c r="H382" s="10">
        <f>IFERROR(AVERAGE($D$131:$D$382),"")</f>
        <v/>
      </c>
      <c r="I382" s="10" t="n">
        <v>-1.115760833611958</v>
      </c>
      <c r="J382" t="inlineStr"/>
      <c r="K382" t="inlineStr"/>
    </row>
    <row r="383">
      <c r="A383" s="7" t="inlineStr">
        <is>
          <t>2015-09-16</t>
        </is>
      </c>
      <c r="B383" s="8">
        <f>IFERROR(VLOOKUP($A383,'01-原始价格'!$A:$M,2,FALSE),"")</f>
        <v/>
      </c>
      <c r="C383" s="8">
        <f>IFERROR(VLOOKUP($A383,'01-原始价格'!$A:$M,8,FALSE),"")</f>
        <v/>
      </c>
      <c r="D383" s="10">
        <f>IFERROR(B383/C383,"")</f>
        <v/>
      </c>
      <c r="E383" s="10">
        <f>IFERROR(C383/B383,"")</f>
        <v/>
      </c>
      <c r="F383" s="11">
        <f>IFERROR((D383/D382-1)*100,"")</f>
        <v/>
      </c>
      <c r="G383" s="11">
        <f>IFERROR((COUNTIF($D$132:$D$383,"&lt;"&amp;D383)+0.5*COUNTIF($D$132:$D$383,D383))/COUNT($D$132:$D$383)*100,"")</f>
        <v/>
      </c>
      <c r="H383" s="10">
        <f>IFERROR(AVERAGE($D$132:$D$383),"")</f>
        <v/>
      </c>
      <c r="I383" s="10" t="n">
        <v>-1.290023966693847</v>
      </c>
      <c r="J383" t="inlineStr"/>
      <c r="K383" t="inlineStr"/>
    </row>
    <row r="384">
      <c r="A384" s="7" t="inlineStr">
        <is>
          <t>2015-09-17</t>
        </is>
      </c>
      <c r="B384" s="8">
        <f>IFERROR(VLOOKUP($A384,'01-原始价格'!$A:$M,2,FALSE),"")</f>
        <v/>
      </c>
      <c r="C384" s="8">
        <f>IFERROR(VLOOKUP($A384,'01-原始价格'!$A:$M,8,FALSE),"")</f>
        <v/>
      </c>
      <c r="D384" s="10">
        <f>IFERROR(B384/C384,"")</f>
        <v/>
      </c>
      <c r="E384" s="10">
        <f>IFERROR(C384/B384,"")</f>
        <v/>
      </c>
      <c r="F384" s="11">
        <f>IFERROR((D384/D383-1)*100,"")</f>
        <v/>
      </c>
      <c r="G384" s="11">
        <f>IFERROR((COUNTIF($D$133:$D$384,"&lt;"&amp;D384)+0.5*COUNTIF($D$133:$D$384,D384))/COUNT($D$133:$D$384)*100,"")</f>
        <v/>
      </c>
      <c r="H384" s="10">
        <f>IFERROR(AVERAGE($D$133:$D$384),"")</f>
        <v/>
      </c>
      <c r="I384" s="10" t="n">
        <v>-1.549004013992635</v>
      </c>
      <c r="J384" t="inlineStr"/>
      <c r="K384" t="inlineStr"/>
    </row>
    <row r="385">
      <c r="A385" s="7" t="inlineStr">
        <is>
          <t>2015-09-18</t>
        </is>
      </c>
      <c r="B385" s="8">
        <f>IFERROR(VLOOKUP($A385,'01-原始价格'!$A:$M,2,FALSE),"")</f>
        <v/>
      </c>
      <c r="C385" s="8">
        <f>IFERROR(VLOOKUP($A385,'01-原始价格'!$A:$M,8,FALSE),"")</f>
        <v/>
      </c>
      <c r="D385" s="10">
        <f>IFERROR(B385/C385,"")</f>
        <v/>
      </c>
      <c r="E385" s="10">
        <f>IFERROR(C385/B385,"")</f>
        <v/>
      </c>
      <c r="F385" s="11">
        <f>IFERROR((D385/D384-1)*100,"")</f>
        <v/>
      </c>
      <c r="G385" s="11">
        <f>IFERROR((COUNTIF($D$134:$D$385,"&lt;"&amp;D385)+0.5*COUNTIF($D$134:$D$385,D385))/COUNT($D$134:$D$385)*100,"")</f>
        <v/>
      </c>
      <c r="H385" s="10">
        <f>IFERROR(AVERAGE($D$134:$D$385),"")</f>
        <v/>
      </c>
      <c r="I385" s="10" t="n">
        <v>-0.8030722654717186</v>
      </c>
      <c r="J385" t="inlineStr"/>
      <c r="K385" t="inlineStr"/>
    </row>
    <row r="386">
      <c r="A386" s="7" t="inlineStr">
        <is>
          <t>2015-09-21</t>
        </is>
      </c>
      <c r="B386" s="8">
        <f>IFERROR(VLOOKUP($A386,'01-原始价格'!$A:$M,2,FALSE),"")</f>
        <v/>
      </c>
      <c r="C386" s="8">
        <f>IFERROR(VLOOKUP($A386,'01-原始价格'!$A:$M,8,FALSE),"")</f>
        <v/>
      </c>
      <c r="D386" s="10">
        <f>IFERROR(B386/C386,"")</f>
        <v/>
      </c>
      <c r="E386" s="10">
        <f>IFERROR(C386/B386,"")</f>
        <v/>
      </c>
      <c r="F386" s="11">
        <f>IFERROR((D386/D385-1)*100,"")</f>
        <v/>
      </c>
      <c r="G386" s="11">
        <f>IFERROR((COUNTIF($D$135:$D$386,"&lt;"&amp;D386)+0.5*COUNTIF($D$135:$D$386,D386))/COUNT($D$135:$D$386)*100,"")</f>
        <v/>
      </c>
      <c r="H386" s="10">
        <f>IFERROR(AVERAGE($D$135:$D$386),"")</f>
        <v/>
      </c>
      <c r="I386" s="10" t="n">
        <v>-0.8212768774312146</v>
      </c>
      <c r="J386" t="inlineStr"/>
      <c r="K386" t="inlineStr"/>
    </row>
    <row r="387">
      <c r="A387" s="7" t="inlineStr">
        <is>
          <t>2015-09-22</t>
        </is>
      </c>
      <c r="B387" s="8">
        <f>IFERROR(VLOOKUP($A387,'01-原始价格'!$A:$M,2,FALSE),"")</f>
        <v/>
      </c>
      <c r="C387" s="8">
        <f>IFERROR(VLOOKUP($A387,'01-原始价格'!$A:$M,8,FALSE),"")</f>
        <v/>
      </c>
      <c r="D387" s="10">
        <f>IFERROR(B387/C387,"")</f>
        <v/>
      </c>
      <c r="E387" s="10">
        <f>IFERROR(C387/B387,"")</f>
        <v/>
      </c>
      <c r="F387" s="11">
        <f>IFERROR((D387/D386-1)*100,"")</f>
        <v/>
      </c>
      <c r="G387" s="11">
        <f>IFERROR((COUNTIF($D$136:$D$387,"&lt;"&amp;D387)+0.5*COUNTIF($D$136:$D$387,D387))/COUNT($D$136:$D$387)*100,"")</f>
        <v/>
      </c>
      <c r="H387" s="10">
        <f>IFERROR(AVERAGE($D$136:$D$387),"")</f>
        <v/>
      </c>
      <c r="I387" s="10" t="n">
        <v>-0.9865407309363616</v>
      </c>
      <c r="J387" t="inlineStr"/>
      <c r="K387" t="inlineStr"/>
    </row>
    <row r="388">
      <c r="A388" s="7" t="inlineStr">
        <is>
          <t>2015-09-23</t>
        </is>
      </c>
      <c r="B388" s="8">
        <f>IFERROR(VLOOKUP($A388,'01-原始价格'!$A:$M,2,FALSE),"")</f>
        <v/>
      </c>
      <c r="C388" s="8">
        <f>IFERROR(VLOOKUP($A388,'01-原始价格'!$A:$M,8,FALSE),"")</f>
        <v/>
      </c>
      <c r="D388" s="10">
        <f>IFERROR(B388/C388,"")</f>
        <v/>
      </c>
      <c r="E388" s="10">
        <f>IFERROR(C388/B388,"")</f>
        <v/>
      </c>
      <c r="F388" s="11">
        <f>IFERROR((D388/D387-1)*100,"")</f>
        <v/>
      </c>
      <c r="G388" s="11">
        <f>IFERROR((COUNTIF($D$137:$D$388,"&lt;"&amp;D388)+0.5*COUNTIF($D$137:$D$388,D388))/COUNT($D$137:$D$388)*100,"")</f>
        <v/>
      </c>
      <c r="H388" s="10">
        <f>IFERROR(AVERAGE($D$137:$D$388),"")</f>
        <v/>
      </c>
      <c r="I388" s="10" t="n">
        <v>-1.715747507756056</v>
      </c>
      <c r="J388" t="inlineStr"/>
      <c r="K388" t="inlineStr"/>
    </row>
    <row r="389">
      <c r="A389" s="7" t="inlineStr">
        <is>
          <t>2015-09-24</t>
        </is>
      </c>
      <c r="B389" s="8">
        <f>IFERROR(VLOOKUP($A389,'01-原始价格'!$A:$M,2,FALSE),"")</f>
        <v/>
      </c>
      <c r="C389" s="8">
        <f>IFERROR(VLOOKUP($A389,'01-原始价格'!$A:$M,8,FALSE),"")</f>
        <v/>
      </c>
      <c r="D389" s="10">
        <f>IFERROR(B389/C389,"")</f>
        <v/>
      </c>
      <c r="E389" s="10">
        <f>IFERROR(C389/B389,"")</f>
        <v/>
      </c>
      <c r="F389" s="11">
        <f>IFERROR((D389/D388-1)*100,"")</f>
        <v/>
      </c>
      <c r="G389" s="11">
        <f>IFERROR((COUNTIF($D$138:$D$389,"&lt;"&amp;D389)+0.5*COUNTIF($D$138:$D$389,D389))/COUNT($D$138:$D$389)*100,"")</f>
        <v/>
      </c>
      <c r="H389" s="10">
        <f>IFERROR(AVERAGE($D$138:$D$389),"")</f>
        <v/>
      </c>
      <c r="I389" s="10" t="n">
        <v>-1.930476783033872</v>
      </c>
      <c r="J389" t="inlineStr"/>
      <c r="K389" t="inlineStr"/>
    </row>
    <row r="390">
      <c r="A390" s="7" t="inlineStr">
        <is>
          <t>2015-09-25</t>
        </is>
      </c>
      <c r="B390" s="8">
        <f>IFERROR(VLOOKUP($A390,'01-原始价格'!$A:$M,2,FALSE),"")</f>
        <v/>
      </c>
      <c r="C390" s="8">
        <f>IFERROR(VLOOKUP($A390,'01-原始价格'!$A:$M,8,FALSE),"")</f>
        <v/>
      </c>
      <c r="D390" s="10">
        <f>IFERROR(B390/C390,"")</f>
        <v/>
      </c>
      <c r="E390" s="10">
        <f>IFERROR(C390/B390,"")</f>
        <v/>
      </c>
      <c r="F390" s="11">
        <f>IFERROR((D390/D389-1)*100,"")</f>
        <v/>
      </c>
      <c r="G390" s="11">
        <f>IFERROR((COUNTIF($D$139:$D$390,"&lt;"&amp;D390)+0.5*COUNTIF($D$139:$D$390,D390))/COUNT($D$139:$D$390)*100,"")</f>
        <v/>
      </c>
      <c r="H390" s="10">
        <f>IFERROR(AVERAGE($D$139:$D$390),"")</f>
        <v/>
      </c>
      <c r="I390" s="10" t="n">
        <v>-1.903355878877671</v>
      </c>
      <c r="J390" t="inlineStr"/>
      <c r="K390" t="inlineStr"/>
    </row>
    <row r="391">
      <c r="A391" s="7" t="inlineStr">
        <is>
          <t>2015-09-28</t>
        </is>
      </c>
      <c r="B391" s="8">
        <f>IFERROR(VLOOKUP($A391,'01-原始价格'!$A:$M,2,FALSE),"")</f>
        <v/>
      </c>
      <c r="C391" s="8">
        <f>IFERROR(VLOOKUP($A391,'01-原始价格'!$A:$M,8,FALSE),"")</f>
        <v/>
      </c>
      <c r="D391" s="10">
        <f>IFERROR(B391/C391,"")</f>
        <v/>
      </c>
      <c r="E391" s="10">
        <f>IFERROR(C391/B391,"")</f>
        <v/>
      </c>
      <c r="F391" s="11">
        <f>IFERROR((D391/D390-1)*100,"")</f>
        <v/>
      </c>
      <c r="G391" s="11">
        <f>IFERROR((COUNTIF($D$140:$D$391,"&lt;"&amp;D391)+0.5*COUNTIF($D$140:$D$391,D391))/COUNT($D$140:$D$391)*100,"")</f>
        <v/>
      </c>
      <c r="H391" s="10">
        <f>IFERROR(AVERAGE($D$140:$D$391),"")</f>
        <v/>
      </c>
      <c r="I391" s="10" t="n">
        <v>-1.400487449447152</v>
      </c>
      <c r="J391" t="inlineStr"/>
      <c r="K391" t="inlineStr"/>
    </row>
    <row r="392">
      <c r="A392" s="7" t="inlineStr">
        <is>
          <t>2015-09-29</t>
        </is>
      </c>
      <c r="B392" s="8">
        <f>IFERROR(VLOOKUP($A392,'01-原始价格'!$A:$M,2,FALSE),"")</f>
        <v/>
      </c>
      <c r="C392" s="8">
        <f>IFERROR(VLOOKUP($A392,'01-原始价格'!$A:$M,8,FALSE),"")</f>
        <v/>
      </c>
      <c r="D392" s="10">
        <f>IFERROR(B392/C392,"")</f>
        <v/>
      </c>
      <c r="E392" s="10">
        <f>IFERROR(C392/B392,"")</f>
        <v/>
      </c>
      <c r="F392" s="11">
        <f>IFERROR((D392/D391-1)*100,"")</f>
        <v/>
      </c>
      <c r="G392" s="11">
        <f>IFERROR((COUNTIF($D$141:$D$392,"&lt;"&amp;D392)+0.5*COUNTIF($D$141:$D$392,D392))/COUNT($D$141:$D$392)*100,"")</f>
        <v/>
      </c>
      <c r="H392" s="10">
        <f>IFERROR(AVERAGE($D$141:$D$392),"")</f>
        <v/>
      </c>
      <c r="I392" s="10" t="n">
        <v>-2.309374403628131</v>
      </c>
      <c r="J392" t="inlineStr"/>
      <c r="K392" t="inlineStr"/>
    </row>
    <row r="393">
      <c r="A393" s="7" t="inlineStr">
        <is>
          <t>2015-09-30</t>
        </is>
      </c>
      <c r="B393" s="8">
        <f>IFERROR(VLOOKUP($A393,'01-原始价格'!$A:$M,2,FALSE),"")</f>
        <v/>
      </c>
      <c r="C393" s="8">
        <f>IFERROR(VLOOKUP($A393,'01-原始价格'!$A:$M,8,FALSE),"")</f>
        <v/>
      </c>
      <c r="D393" s="10">
        <f>IFERROR(B393/C393,"")</f>
        <v/>
      </c>
      <c r="E393" s="10">
        <f>IFERROR(C393/B393,"")</f>
        <v/>
      </c>
      <c r="F393" s="11">
        <f>IFERROR((D393/D392-1)*100,"")</f>
        <v/>
      </c>
      <c r="G393" s="11">
        <f>IFERROR((COUNTIF($D$142:$D$393,"&lt;"&amp;D393)+0.5*COUNTIF($D$142:$D$393,D393))/COUNT($D$142:$D$393)*100,"")</f>
        <v/>
      </c>
      <c r="H393" s="10">
        <f>IFERROR(AVERAGE($D$142:$D$393),"")</f>
        <v/>
      </c>
      <c r="I393" s="10" t="n">
        <v>-2.846403852604308</v>
      </c>
      <c r="J393" t="inlineStr"/>
      <c r="K393" t="inlineStr"/>
    </row>
    <row r="394">
      <c r="A394" s="7" t="inlineStr">
        <is>
          <t>2015-10-01</t>
        </is>
      </c>
      <c r="B394" s="8">
        <f>IFERROR(VLOOKUP($A394,'01-原始价格'!$A:$M,2,FALSE),"")</f>
        <v/>
      </c>
      <c r="C394" s="8">
        <f>IFERROR(VLOOKUP($A394,'01-原始价格'!$A:$M,8,FALSE),"")</f>
        <v/>
      </c>
      <c r="D394" s="10">
        <f>IFERROR(B394/C394,"")</f>
        <v/>
      </c>
      <c r="E394" s="10">
        <f>IFERROR(C394/B394,"")</f>
        <v/>
      </c>
      <c r="F394" s="11">
        <f>IFERROR((D394/D393-1)*100,"")</f>
        <v/>
      </c>
      <c r="G394" s="11">
        <f>IFERROR((COUNTIF($D$143:$D$394,"&lt;"&amp;D394)+0.5*COUNTIF($D$143:$D$394,D394))/COUNT($D$143:$D$394)*100,"")</f>
        <v/>
      </c>
      <c r="H394" s="10">
        <f>IFERROR(AVERAGE($D$143:$D$394),"")</f>
        <v/>
      </c>
      <c r="I394" s="10" t="n">
        <v>-2.547416392652935</v>
      </c>
      <c r="J394" t="inlineStr"/>
      <c r="K394" t="inlineStr"/>
    </row>
    <row r="395">
      <c r="A395" s="7" t="inlineStr">
        <is>
          <t>2015-10-08</t>
        </is>
      </c>
      <c r="B395" s="8">
        <f>IFERROR(VLOOKUP($A395,'01-原始价格'!$A:$M,2,FALSE),"")</f>
        <v/>
      </c>
      <c r="C395" s="8">
        <f>IFERROR(VLOOKUP($A395,'01-原始价格'!$A:$M,8,FALSE),"")</f>
        <v/>
      </c>
      <c r="D395" s="10">
        <f>IFERROR(B395/C395,"")</f>
        <v/>
      </c>
      <c r="E395" s="10">
        <f>IFERROR(C395/B395,"")</f>
        <v/>
      </c>
      <c r="F395" s="11">
        <f>IFERROR((D395/D394-1)*100,"")</f>
        <v/>
      </c>
      <c r="G395" s="11">
        <f>IFERROR((COUNTIF($D$144:$D$395,"&lt;"&amp;D395)+0.5*COUNTIF($D$144:$D$395,D395))/COUNT($D$144:$D$395)*100,"")</f>
        <v/>
      </c>
      <c r="H395" s="10">
        <f>IFERROR(AVERAGE($D$144:$D$395),"")</f>
        <v/>
      </c>
      <c r="I395" s="10" t="n">
        <v>-2.046931742000201</v>
      </c>
      <c r="J395" t="inlineStr"/>
      <c r="K395" t="inlineStr"/>
    </row>
    <row r="396">
      <c r="A396" s="7" t="inlineStr">
        <is>
          <t>2015-10-09</t>
        </is>
      </c>
      <c r="B396" s="8">
        <f>IFERROR(VLOOKUP($A396,'01-原始价格'!$A:$M,2,FALSE),"")</f>
        <v/>
      </c>
      <c r="C396" s="8">
        <f>IFERROR(VLOOKUP($A396,'01-原始价格'!$A:$M,8,FALSE),"")</f>
        <v/>
      </c>
      <c r="D396" s="10">
        <f>IFERROR(B396/C396,"")</f>
        <v/>
      </c>
      <c r="E396" s="10">
        <f>IFERROR(C396/B396,"")</f>
        <v/>
      </c>
      <c r="F396" s="11">
        <f>IFERROR((D396/D395-1)*100,"")</f>
        <v/>
      </c>
      <c r="G396" s="11">
        <f>IFERROR((COUNTIF($D$145:$D$396,"&lt;"&amp;D396)+0.5*COUNTIF($D$145:$D$396,D396))/COUNT($D$145:$D$396)*100,"")</f>
        <v/>
      </c>
      <c r="H396" s="10">
        <f>IFERROR(AVERAGE($D$145:$D$396),"")</f>
        <v/>
      </c>
      <c r="I396" s="10" t="n">
        <v>-2.34026030703065</v>
      </c>
      <c r="J396" t="inlineStr"/>
      <c r="K396" t="inlineStr"/>
    </row>
    <row r="397">
      <c r="A397" s="7" t="inlineStr">
        <is>
          <t>2015-10-12</t>
        </is>
      </c>
      <c r="B397" s="8">
        <f>IFERROR(VLOOKUP($A397,'01-原始价格'!$A:$M,2,FALSE),"")</f>
        <v/>
      </c>
      <c r="C397" s="8">
        <f>IFERROR(VLOOKUP($A397,'01-原始价格'!$A:$M,8,FALSE),"")</f>
        <v/>
      </c>
      <c r="D397" s="10">
        <f>IFERROR(B397/C397,"")</f>
        <v/>
      </c>
      <c r="E397" s="10">
        <f>IFERROR(C397/B397,"")</f>
        <v/>
      </c>
      <c r="F397" s="11">
        <f>IFERROR((D397/D396-1)*100,"")</f>
        <v/>
      </c>
      <c r="G397" s="11">
        <f>IFERROR((COUNTIF($D$146:$D$397,"&lt;"&amp;D397)+0.5*COUNTIF($D$146:$D$397,D397))/COUNT($D$146:$D$397)*100,"")</f>
        <v/>
      </c>
      <c r="H397" s="10">
        <f>IFERROR(AVERAGE($D$146:$D$397),"")</f>
        <v/>
      </c>
      <c r="I397" s="10" t="n">
        <v>-2.369029433680272</v>
      </c>
      <c r="J397" t="inlineStr"/>
      <c r="K397" t="inlineStr"/>
    </row>
    <row r="398">
      <c r="A398" s="7" t="inlineStr">
        <is>
          <t>2015-10-13</t>
        </is>
      </c>
      <c r="B398" s="8">
        <f>IFERROR(VLOOKUP($A398,'01-原始价格'!$A:$M,2,FALSE),"")</f>
        <v/>
      </c>
      <c r="C398" s="8">
        <f>IFERROR(VLOOKUP($A398,'01-原始价格'!$A:$M,8,FALSE),"")</f>
        <v/>
      </c>
      <c r="D398" s="10">
        <f>IFERROR(B398/C398,"")</f>
        <v/>
      </c>
      <c r="E398" s="10">
        <f>IFERROR(C398/B398,"")</f>
        <v/>
      </c>
      <c r="F398" s="11">
        <f>IFERROR((D398/D397-1)*100,"")</f>
        <v/>
      </c>
      <c r="G398" s="11">
        <f>IFERROR((COUNTIF($D$147:$D$398,"&lt;"&amp;D398)+0.5*COUNTIF($D$147:$D$398,D398))/COUNT($D$147:$D$398)*100,"")</f>
        <v/>
      </c>
      <c r="H398" s="10">
        <f>IFERROR(AVERAGE($D$147:$D$398),"")</f>
        <v/>
      </c>
      <c r="I398" s="10" t="n">
        <v>-2.94263003546161</v>
      </c>
      <c r="J398" t="inlineStr"/>
      <c r="K398" t="inlineStr"/>
    </row>
    <row r="399">
      <c r="A399" s="7" t="inlineStr">
        <is>
          <t>2015-10-14</t>
        </is>
      </c>
      <c r="B399" s="8">
        <f>IFERROR(VLOOKUP($A399,'01-原始价格'!$A:$M,2,FALSE),"")</f>
        <v/>
      </c>
      <c r="C399" s="8">
        <f>IFERROR(VLOOKUP($A399,'01-原始价格'!$A:$M,8,FALSE),"")</f>
        <v/>
      </c>
      <c r="D399" s="10">
        <f>IFERROR(B399/C399,"")</f>
        <v/>
      </c>
      <c r="E399" s="10">
        <f>IFERROR(C399/B399,"")</f>
        <v/>
      </c>
      <c r="F399" s="11">
        <f>IFERROR((D399/D398-1)*100,"")</f>
        <v/>
      </c>
      <c r="G399" s="11">
        <f>IFERROR((COUNTIF($D$148:$D$399,"&lt;"&amp;D399)+0.5*COUNTIF($D$148:$D$399,D399))/COUNT($D$148:$D$399)*100,"")</f>
        <v/>
      </c>
      <c r="H399" s="10">
        <f>IFERROR(AVERAGE($D$148:$D$399),"")</f>
        <v/>
      </c>
      <c r="I399" s="10" t="n">
        <v>-2.092876149121141</v>
      </c>
      <c r="J399" t="inlineStr"/>
      <c r="K399" t="inlineStr"/>
    </row>
    <row r="400">
      <c r="A400" s="7" t="inlineStr">
        <is>
          <t>2015-10-15</t>
        </is>
      </c>
      <c r="B400" s="8">
        <f>IFERROR(VLOOKUP($A400,'01-原始价格'!$A:$M,2,FALSE),"")</f>
        <v/>
      </c>
      <c r="C400" s="8">
        <f>IFERROR(VLOOKUP($A400,'01-原始价格'!$A:$M,8,FALSE),"")</f>
        <v/>
      </c>
      <c r="D400" s="10">
        <f>IFERROR(B400/C400,"")</f>
        <v/>
      </c>
      <c r="E400" s="10">
        <f>IFERROR(C400/B400,"")</f>
        <v/>
      </c>
      <c r="F400" s="11">
        <f>IFERROR((D400/D399-1)*100,"")</f>
        <v/>
      </c>
      <c r="G400" s="11">
        <f>IFERROR((COUNTIF($D$149:$D$400,"&lt;"&amp;D400)+0.5*COUNTIF($D$149:$D$400,D400))/COUNT($D$149:$D$400)*100,"")</f>
        <v/>
      </c>
      <c r="H400" s="10">
        <f>IFERROR(AVERAGE($D$149:$D$400),"")</f>
        <v/>
      </c>
      <c r="I400" s="10" t="n">
        <v>-2.343447014023047</v>
      </c>
      <c r="J400" t="inlineStr"/>
      <c r="K400" t="inlineStr"/>
    </row>
    <row r="401">
      <c r="A401" s="7" t="inlineStr">
        <is>
          <t>2015-10-16</t>
        </is>
      </c>
      <c r="B401" s="8">
        <f>IFERROR(VLOOKUP($A401,'01-原始价格'!$A:$M,2,FALSE),"")</f>
        <v/>
      </c>
      <c r="C401" s="8">
        <f>IFERROR(VLOOKUP($A401,'01-原始价格'!$A:$M,8,FALSE),"")</f>
        <v/>
      </c>
      <c r="D401" s="10">
        <f>IFERROR(B401/C401,"")</f>
        <v/>
      </c>
      <c r="E401" s="10">
        <f>IFERROR(C401/B401,"")</f>
        <v/>
      </c>
      <c r="F401" s="11">
        <f>IFERROR((D401/D400-1)*100,"")</f>
        <v/>
      </c>
      <c r="G401" s="11">
        <f>IFERROR((COUNTIF($D$150:$D$401,"&lt;"&amp;D401)+0.5*COUNTIF($D$150:$D$401,D401))/COUNT($D$150:$D$401)*100,"")</f>
        <v/>
      </c>
      <c r="H401" s="10">
        <f>IFERROR(AVERAGE($D$150:$D$401),"")</f>
        <v/>
      </c>
      <c r="I401" s="10" t="n">
        <v>-2.583237485588172</v>
      </c>
      <c r="J401" t="inlineStr"/>
      <c r="K401" t="inlineStr"/>
    </row>
    <row r="402">
      <c r="A402" s="7" t="inlineStr">
        <is>
          <t>2015-10-19</t>
        </is>
      </c>
      <c r="B402" s="8">
        <f>IFERROR(VLOOKUP($A402,'01-原始价格'!$A:$M,2,FALSE),"")</f>
        <v/>
      </c>
      <c r="C402" s="8">
        <f>IFERROR(VLOOKUP($A402,'01-原始价格'!$A:$M,8,FALSE),"")</f>
        <v/>
      </c>
      <c r="D402" s="10">
        <f>IFERROR(B402/C402,"")</f>
        <v/>
      </c>
      <c r="E402" s="10">
        <f>IFERROR(C402/B402,"")</f>
        <v/>
      </c>
      <c r="F402" s="11">
        <f>IFERROR((D402/D401-1)*100,"")</f>
        <v/>
      </c>
      <c r="G402" s="11">
        <f>IFERROR((COUNTIF($D$151:$D$402,"&lt;"&amp;D402)+0.5*COUNTIF($D$151:$D$402,D402))/COUNT($D$151:$D$402)*100,"")</f>
        <v/>
      </c>
      <c r="H402" s="10">
        <f>IFERROR(AVERAGE($D$151:$D$402),"")</f>
        <v/>
      </c>
      <c r="I402" s="10" t="n">
        <v>-2.471432093681823</v>
      </c>
      <c r="J402" t="inlineStr"/>
      <c r="K402" t="inlineStr"/>
    </row>
    <row r="403">
      <c r="A403" s="7" t="inlineStr">
        <is>
          <t>2015-10-20</t>
        </is>
      </c>
      <c r="B403" s="8">
        <f>IFERROR(VLOOKUP($A403,'01-原始价格'!$A:$M,2,FALSE),"")</f>
        <v/>
      </c>
      <c r="C403" s="8">
        <f>IFERROR(VLOOKUP($A403,'01-原始价格'!$A:$M,8,FALSE),"")</f>
        <v/>
      </c>
      <c r="D403" s="10">
        <f>IFERROR(B403/C403,"")</f>
        <v/>
      </c>
      <c r="E403" s="10">
        <f>IFERROR(C403/B403,"")</f>
        <v/>
      </c>
      <c r="F403" s="11">
        <f>IFERROR((D403/D402-1)*100,"")</f>
        <v/>
      </c>
      <c r="G403" s="11">
        <f>IFERROR((COUNTIF($D$152:$D$403,"&lt;"&amp;D403)+0.5*COUNTIF($D$152:$D$403,D403))/COUNT($D$152:$D$403)*100,"")</f>
        <v/>
      </c>
      <c r="H403" s="10">
        <f>IFERROR(AVERAGE($D$152:$D$403),"")</f>
        <v/>
      </c>
      <c r="I403" s="10" t="n">
        <v>-2.381884123699683</v>
      </c>
      <c r="J403" t="inlineStr"/>
      <c r="K403" t="inlineStr"/>
    </row>
    <row r="404">
      <c r="A404" s="7" t="inlineStr">
        <is>
          <t>2015-10-21</t>
        </is>
      </c>
      <c r="B404" s="8">
        <f>IFERROR(VLOOKUP($A404,'01-原始价格'!$A:$M,2,FALSE),"")</f>
        <v/>
      </c>
      <c r="C404" s="8">
        <f>IFERROR(VLOOKUP($A404,'01-原始价格'!$A:$M,8,FALSE),"")</f>
        <v/>
      </c>
      <c r="D404" s="10">
        <f>IFERROR(B404/C404,"")</f>
        <v/>
      </c>
      <c r="E404" s="10">
        <f>IFERROR(C404/B404,"")</f>
        <v/>
      </c>
      <c r="F404" s="11">
        <f>IFERROR((D404/D403-1)*100,"")</f>
        <v/>
      </c>
      <c r="G404" s="11">
        <f>IFERROR((COUNTIF($D$153:$D$404,"&lt;"&amp;D404)+0.5*COUNTIF($D$153:$D$404,D404))/COUNT($D$153:$D$404)*100,"")</f>
        <v/>
      </c>
      <c r="H404" s="10">
        <f>IFERROR(AVERAGE($D$153:$D$404),"")</f>
        <v/>
      </c>
      <c r="I404" s="10" t="n">
        <v>-2.312038452430829</v>
      </c>
      <c r="J404" t="inlineStr"/>
      <c r="K404" t="inlineStr"/>
    </row>
    <row r="405">
      <c r="A405" s="7" t="inlineStr">
        <is>
          <t>2015-10-22</t>
        </is>
      </c>
      <c r="B405" s="8">
        <f>IFERROR(VLOOKUP($A405,'01-原始价格'!$A:$M,2,FALSE),"")</f>
        <v/>
      </c>
      <c r="C405" s="8">
        <f>IFERROR(VLOOKUP($A405,'01-原始价格'!$A:$M,8,FALSE),"")</f>
        <v/>
      </c>
      <c r="D405" s="10">
        <f>IFERROR(B405/C405,"")</f>
        <v/>
      </c>
      <c r="E405" s="10">
        <f>IFERROR(C405/B405,"")</f>
        <v/>
      </c>
      <c r="F405" s="11">
        <f>IFERROR((D405/D404-1)*100,"")</f>
        <v/>
      </c>
      <c r="G405" s="11">
        <f>IFERROR((COUNTIF($D$154:$D$405,"&lt;"&amp;D405)+0.5*COUNTIF($D$154:$D$405,D405))/COUNT($D$154:$D$405)*100,"")</f>
        <v/>
      </c>
      <c r="H405" s="10">
        <f>IFERROR(AVERAGE($D$154:$D$405),"")</f>
        <v/>
      </c>
      <c r="I405" s="10" t="n">
        <v>-2.541792495035109</v>
      </c>
      <c r="J405" t="inlineStr"/>
      <c r="K405" t="inlineStr"/>
    </row>
    <row r="406">
      <c r="A406" s="7" t="inlineStr">
        <is>
          <t>2015-10-23</t>
        </is>
      </c>
      <c r="B406" s="8">
        <f>IFERROR(VLOOKUP($A406,'01-原始价格'!$A:$M,2,FALSE),"")</f>
        <v/>
      </c>
      <c r="C406" s="8">
        <f>IFERROR(VLOOKUP($A406,'01-原始价格'!$A:$M,8,FALSE),"")</f>
        <v/>
      </c>
      <c r="D406" s="10">
        <f>IFERROR(B406/C406,"")</f>
        <v/>
      </c>
      <c r="E406" s="10">
        <f>IFERROR(C406/B406,"")</f>
        <v/>
      </c>
      <c r="F406" s="11">
        <f>IFERROR((D406/D405-1)*100,"")</f>
        <v/>
      </c>
      <c r="G406" s="11">
        <f>IFERROR((COUNTIF($D$155:$D$406,"&lt;"&amp;D406)+0.5*COUNTIF($D$155:$D$406,D406))/COUNT($D$155:$D$406)*100,"")</f>
        <v/>
      </c>
      <c r="H406" s="10">
        <f>IFERROR(AVERAGE($D$155:$D$406),"")</f>
        <v/>
      </c>
      <c r="I406" s="10" t="n">
        <v>-2.783848556468413</v>
      </c>
      <c r="J406" t="inlineStr"/>
      <c r="K406" t="inlineStr"/>
    </row>
    <row r="407">
      <c r="A407" s="7" t="inlineStr">
        <is>
          <t>2015-10-26</t>
        </is>
      </c>
      <c r="B407" s="8">
        <f>IFERROR(VLOOKUP($A407,'01-原始价格'!$A:$M,2,FALSE),"")</f>
        <v/>
      </c>
      <c r="C407" s="8">
        <f>IFERROR(VLOOKUP($A407,'01-原始价格'!$A:$M,8,FALSE),"")</f>
        <v/>
      </c>
      <c r="D407" s="10">
        <f>IFERROR(B407/C407,"")</f>
        <v/>
      </c>
      <c r="E407" s="10">
        <f>IFERROR(C407/B407,"")</f>
        <v/>
      </c>
      <c r="F407" s="11">
        <f>IFERROR((D407/D406-1)*100,"")</f>
        <v/>
      </c>
      <c r="G407" s="11">
        <f>IFERROR((COUNTIF($D$156:$D$407,"&lt;"&amp;D407)+0.5*COUNTIF($D$156:$D$407,D407))/COUNT($D$156:$D$407)*100,"")</f>
        <v/>
      </c>
      <c r="H407" s="10">
        <f>IFERROR(AVERAGE($D$156:$D$407),"")</f>
        <v/>
      </c>
      <c r="I407" s="10" t="n">
        <v>-2.610309524681702</v>
      </c>
      <c r="J407" t="inlineStr"/>
      <c r="K407" t="inlineStr"/>
    </row>
    <row r="408">
      <c r="A408" s="7" t="inlineStr">
        <is>
          <t>2015-10-27</t>
        </is>
      </c>
      <c r="B408" s="8">
        <f>IFERROR(VLOOKUP($A408,'01-原始价格'!$A:$M,2,FALSE),"")</f>
        <v/>
      </c>
      <c r="C408" s="8">
        <f>IFERROR(VLOOKUP($A408,'01-原始价格'!$A:$M,8,FALSE),"")</f>
        <v/>
      </c>
      <c r="D408" s="10">
        <f>IFERROR(B408/C408,"")</f>
        <v/>
      </c>
      <c r="E408" s="10">
        <f>IFERROR(C408/B408,"")</f>
        <v/>
      </c>
      <c r="F408" s="11">
        <f>IFERROR((D408/D407-1)*100,"")</f>
        <v/>
      </c>
      <c r="G408" s="11">
        <f>IFERROR((COUNTIF($D$157:$D$408,"&lt;"&amp;D408)+0.5*COUNTIF($D$157:$D$408,D408))/COUNT($D$157:$D$408)*100,"")</f>
        <v/>
      </c>
      <c r="H408" s="10">
        <f>IFERROR(AVERAGE($D$157:$D$408),"")</f>
        <v/>
      </c>
      <c r="I408" s="10" t="n">
        <v>-3.167973952636327</v>
      </c>
      <c r="J408" t="inlineStr"/>
      <c r="K408" t="inlineStr"/>
    </row>
    <row r="409">
      <c r="A409" s="7" t="inlineStr">
        <is>
          <t>2015-10-28</t>
        </is>
      </c>
      <c r="B409" s="8">
        <f>IFERROR(VLOOKUP($A409,'01-原始价格'!$A:$M,2,FALSE),"")</f>
        <v/>
      </c>
      <c r="C409" s="8">
        <f>IFERROR(VLOOKUP($A409,'01-原始价格'!$A:$M,8,FALSE),"")</f>
        <v/>
      </c>
      <c r="D409" s="10">
        <f>IFERROR(B409/C409,"")</f>
        <v/>
      </c>
      <c r="E409" s="10">
        <f>IFERROR(C409/B409,"")</f>
        <v/>
      </c>
      <c r="F409" s="11">
        <f>IFERROR((D409/D408-1)*100,"")</f>
        <v/>
      </c>
      <c r="G409" s="11">
        <f>IFERROR((COUNTIF($D$158:$D$409,"&lt;"&amp;D409)+0.5*COUNTIF($D$158:$D$409,D409))/COUNT($D$158:$D$409)*100,"")</f>
        <v/>
      </c>
      <c r="H409" s="10">
        <f>IFERROR(AVERAGE($D$158:$D$409),"")</f>
        <v/>
      </c>
      <c r="I409" s="10" t="n">
        <v>-3.106496891325165</v>
      </c>
      <c r="J409" t="inlineStr"/>
      <c r="K409" t="inlineStr"/>
    </row>
    <row r="410">
      <c r="A410" s="7" t="inlineStr">
        <is>
          <t>2015-10-29</t>
        </is>
      </c>
      <c r="B410" s="8">
        <f>IFERROR(VLOOKUP($A410,'01-原始价格'!$A:$M,2,FALSE),"")</f>
        <v/>
      </c>
      <c r="C410" s="8">
        <f>IFERROR(VLOOKUP($A410,'01-原始价格'!$A:$M,8,FALSE),"")</f>
        <v/>
      </c>
      <c r="D410" s="10">
        <f>IFERROR(B410/C410,"")</f>
        <v/>
      </c>
      <c r="E410" s="10">
        <f>IFERROR(C410/B410,"")</f>
        <v/>
      </c>
      <c r="F410" s="11">
        <f>IFERROR((D410/D409-1)*100,"")</f>
        <v/>
      </c>
      <c r="G410" s="11">
        <f>IFERROR((COUNTIF($D$159:$D$410,"&lt;"&amp;D410)+0.5*COUNTIF($D$159:$D$410,D410))/COUNT($D$159:$D$410)*100,"")</f>
        <v/>
      </c>
      <c r="H410" s="10">
        <f>IFERROR(AVERAGE($D$159:$D$410),"")</f>
        <v/>
      </c>
      <c r="I410" s="10" t="n">
        <v>-3.264785311384823</v>
      </c>
      <c r="J410" t="inlineStr"/>
      <c r="K410" t="inlineStr"/>
    </row>
    <row r="411">
      <c r="A411" s="7" t="inlineStr">
        <is>
          <t>2015-10-30</t>
        </is>
      </c>
      <c r="B411" s="8">
        <f>IFERROR(VLOOKUP($A411,'01-原始价格'!$A:$M,2,FALSE),"")</f>
        <v/>
      </c>
      <c r="C411" s="8">
        <f>IFERROR(VLOOKUP($A411,'01-原始价格'!$A:$M,8,FALSE),"")</f>
        <v/>
      </c>
      <c r="D411" s="10">
        <f>IFERROR(B411/C411,"")</f>
        <v/>
      </c>
      <c r="E411" s="10">
        <f>IFERROR(C411/B411,"")</f>
        <v/>
      </c>
      <c r="F411" s="11">
        <f>IFERROR((D411/D410-1)*100,"")</f>
        <v/>
      </c>
      <c r="G411" s="11">
        <f>IFERROR((COUNTIF($D$160:$D$411,"&lt;"&amp;D411)+0.5*COUNTIF($D$160:$D$411,D411))/COUNT($D$160:$D$411)*100,"")</f>
        <v/>
      </c>
      <c r="H411" s="10">
        <f>IFERROR(AVERAGE($D$160:$D$411),"")</f>
        <v/>
      </c>
      <c r="I411" s="10" t="n">
        <v>-3.782073631472138</v>
      </c>
      <c r="J411" s="9" t="inlineStr">
        <is>
          <t>是</t>
        </is>
      </c>
      <c r="K411" t="inlineStr"/>
      <c r="L411" t="inlineStr">
        <is>
          <t>统计异常</t>
        </is>
      </c>
    </row>
    <row r="412">
      <c r="A412" s="7" t="inlineStr">
        <is>
          <t>2015-11-02</t>
        </is>
      </c>
      <c r="B412" s="8">
        <f>IFERROR(VLOOKUP($A412,'01-原始价格'!$A:$M,2,FALSE),"")</f>
        <v/>
      </c>
      <c r="C412" s="8">
        <f>IFERROR(VLOOKUP($A412,'01-原始价格'!$A:$M,8,FALSE),"")</f>
        <v/>
      </c>
      <c r="D412" s="10">
        <f>IFERROR(B412/C412,"")</f>
        <v/>
      </c>
      <c r="E412" s="10">
        <f>IFERROR(C412/B412,"")</f>
        <v/>
      </c>
      <c r="F412" s="11">
        <f>IFERROR((D412/D411-1)*100,"")</f>
        <v/>
      </c>
      <c r="G412" s="11">
        <f>IFERROR((COUNTIF($D$161:$D$412,"&lt;"&amp;D412)+0.5*COUNTIF($D$161:$D$412,D412))/COUNT($D$161:$D$412)*100,"")</f>
        <v/>
      </c>
      <c r="H412" s="10">
        <f>IFERROR(AVERAGE($D$161:$D$412),"")</f>
        <v/>
      </c>
      <c r="I412" s="10" t="n">
        <v>-3.687470561410192</v>
      </c>
      <c r="J412" s="9" t="inlineStr">
        <is>
          <t>是</t>
        </is>
      </c>
      <c r="K412" t="inlineStr"/>
      <c r="L412" t="inlineStr">
        <is>
          <t>统计异常</t>
        </is>
      </c>
    </row>
    <row r="413">
      <c r="A413" s="7" t="inlineStr">
        <is>
          <t>2015-11-03</t>
        </is>
      </c>
      <c r="B413" s="8">
        <f>IFERROR(VLOOKUP($A413,'01-原始价格'!$A:$M,2,FALSE),"")</f>
        <v/>
      </c>
      <c r="C413" s="8">
        <f>IFERROR(VLOOKUP($A413,'01-原始价格'!$A:$M,8,FALSE),"")</f>
        <v/>
      </c>
      <c r="D413" s="10">
        <f>IFERROR(B413/C413,"")</f>
        <v/>
      </c>
      <c r="E413" s="10">
        <f>IFERROR(C413/B413,"")</f>
        <v/>
      </c>
      <c r="F413" s="11">
        <f>IFERROR((D413/D412-1)*100,"")</f>
        <v/>
      </c>
      <c r="G413" s="11">
        <f>IFERROR((COUNTIF($D$162:$D$413,"&lt;"&amp;D413)+0.5*COUNTIF($D$162:$D$413,D413))/COUNT($D$162:$D$413)*100,"")</f>
        <v/>
      </c>
      <c r="H413" s="10">
        <f>IFERROR(AVERAGE($D$162:$D$413),"")</f>
        <v/>
      </c>
      <c r="I413" s="10" t="n">
        <v>-3.783492709056596</v>
      </c>
      <c r="J413" s="9" t="inlineStr">
        <is>
          <t>是</t>
        </is>
      </c>
      <c r="K413" t="inlineStr"/>
      <c r="L413" t="inlineStr">
        <is>
          <t>统计异常</t>
        </is>
      </c>
    </row>
    <row r="414">
      <c r="A414" s="7" t="inlineStr">
        <is>
          <t>2015-11-04</t>
        </is>
      </c>
      <c r="B414" s="8">
        <f>IFERROR(VLOOKUP($A414,'01-原始价格'!$A:$M,2,FALSE),"")</f>
        <v/>
      </c>
      <c r="C414" s="8">
        <f>IFERROR(VLOOKUP($A414,'01-原始价格'!$A:$M,8,FALSE),"")</f>
        <v/>
      </c>
      <c r="D414" s="10">
        <f>IFERROR(B414/C414,"")</f>
        <v/>
      </c>
      <c r="E414" s="10">
        <f>IFERROR(C414/B414,"")</f>
        <v/>
      </c>
      <c r="F414" s="11">
        <f>IFERROR((D414/D413-1)*100,"")</f>
        <v/>
      </c>
      <c r="G414" s="11">
        <f>IFERROR((COUNTIF($D$163:$D$414,"&lt;"&amp;D414)+0.5*COUNTIF($D$163:$D$414,D414))/COUNT($D$163:$D$414)*100,"")</f>
        <v/>
      </c>
      <c r="H414" s="10">
        <f>IFERROR(AVERAGE($D$163:$D$414),"")</f>
        <v/>
      </c>
      <c r="I414" s="10" t="n">
        <v>-3.890920930094308</v>
      </c>
      <c r="J414" s="9" t="inlineStr">
        <is>
          <t>是</t>
        </is>
      </c>
      <c r="K414" t="inlineStr"/>
      <c r="L414" t="inlineStr">
        <is>
          <t>统计异常</t>
        </is>
      </c>
    </row>
    <row r="415">
      <c r="A415" s="7" t="inlineStr">
        <is>
          <t>2015-11-05</t>
        </is>
      </c>
      <c r="B415" s="8">
        <f>IFERROR(VLOOKUP($A415,'01-原始价格'!$A:$M,2,FALSE),"")</f>
        <v/>
      </c>
      <c r="C415" s="8">
        <f>IFERROR(VLOOKUP($A415,'01-原始价格'!$A:$M,8,FALSE),"")</f>
        <v/>
      </c>
      <c r="D415" s="10">
        <f>IFERROR(B415/C415,"")</f>
        <v/>
      </c>
      <c r="E415" s="10">
        <f>IFERROR(C415/B415,"")</f>
        <v/>
      </c>
      <c r="F415" s="11">
        <f>IFERROR((D415/D414-1)*100,"")</f>
        <v/>
      </c>
      <c r="G415" s="11">
        <f>IFERROR((COUNTIF($D$164:$D$415,"&lt;"&amp;D415)+0.5*COUNTIF($D$164:$D$415,D415))/COUNT($D$164:$D$415)*100,"")</f>
        <v/>
      </c>
      <c r="H415" s="10">
        <f>IFERROR(AVERAGE($D$164:$D$415),"")</f>
        <v/>
      </c>
      <c r="I415" s="10" t="n">
        <v>-3.376950070142054</v>
      </c>
      <c r="J415" t="inlineStr"/>
      <c r="K415" t="inlineStr"/>
    </row>
    <row r="416">
      <c r="A416" s="7" t="inlineStr">
        <is>
          <t>2015-11-06</t>
        </is>
      </c>
      <c r="B416" s="8">
        <f>IFERROR(VLOOKUP($A416,'01-原始价格'!$A:$M,2,FALSE),"")</f>
        <v/>
      </c>
      <c r="C416" s="8">
        <f>IFERROR(VLOOKUP($A416,'01-原始价格'!$A:$M,8,FALSE),"")</f>
        <v/>
      </c>
      <c r="D416" s="10">
        <f>IFERROR(B416/C416,"")</f>
        <v/>
      </c>
      <c r="E416" s="10">
        <f>IFERROR(C416/B416,"")</f>
        <v/>
      </c>
      <c r="F416" s="11">
        <f>IFERROR((D416/D415-1)*100,"")</f>
        <v/>
      </c>
      <c r="G416" s="11">
        <f>IFERROR((COUNTIF($D$165:$D$416,"&lt;"&amp;D416)+0.5*COUNTIF($D$165:$D$416,D416))/COUNT($D$165:$D$416)*100,"")</f>
        <v/>
      </c>
      <c r="H416" s="10">
        <f>IFERROR(AVERAGE($D$165:$D$416),"")</f>
        <v/>
      </c>
      <c r="I416" s="10" t="n">
        <v>-3.843923715511048</v>
      </c>
      <c r="J416" s="9" t="inlineStr">
        <is>
          <t>是</t>
        </is>
      </c>
      <c r="K416" t="inlineStr"/>
      <c r="L416" t="inlineStr">
        <is>
          <t>统计异常</t>
        </is>
      </c>
    </row>
    <row r="417">
      <c r="A417" s="7" t="inlineStr">
        <is>
          <t>2015-11-09</t>
        </is>
      </c>
      <c r="B417" s="8">
        <f>IFERROR(VLOOKUP($A417,'01-原始价格'!$A:$M,2,FALSE),"")</f>
        <v/>
      </c>
      <c r="C417" s="8">
        <f>IFERROR(VLOOKUP($A417,'01-原始价格'!$A:$M,8,FALSE),"")</f>
        <v/>
      </c>
      <c r="D417" s="10">
        <f>IFERROR(B417/C417,"")</f>
        <v/>
      </c>
      <c r="E417" s="10">
        <f>IFERROR(C417/B417,"")</f>
        <v/>
      </c>
      <c r="F417" s="11">
        <f>IFERROR((D417/D416-1)*100,"")</f>
        <v/>
      </c>
      <c r="G417" s="11">
        <f>IFERROR((COUNTIF($D$166:$D$417,"&lt;"&amp;D417)+0.5*COUNTIF($D$166:$D$417,D417))/COUNT($D$166:$D$417)*100,"")</f>
        <v/>
      </c>
      <c r="H417" s="10">
        <f>IFERROR(AVERAGE($D$166:$D$417),"")</f>
        <v/>
      </c>
      <c r="I417" s="10" t="n">
        <v>-3.714690291576485</v>
      </c>
      <c r="J417" s="9" t="inlineStr">
        <is>
          <t>是</t>
        </is>
      </c>
      <c r="K417" t="inlineStr"/>
      <c r="L417" t="inlineStr">
        <is>
          <t>统计异常</t>
        </is>
      </c>
    </row>
    <row r="418">
      <c r="A418" s="7" t="inlineStr">
        <is>
          <t>2015-11-10</t>
        </is>
      </c>
      <c r="B418" s="8">
        <f>IFERROR(VLOOKUP($A418,'01-原始价格'!$A:$M,2,FALSE),"")</f>
        <v/>
      </c>
      <c r="C418" s="8">
        <f>IFERROR(VLOOKUP($A418,'01-原始价格'!$A:$M,8,FALSE),"")</f>
        <v/>
      </c>
      <c r="D418" s="10">
        <f>IFERROR(B418/C418,"")</f>
        <v/>
      </c>
      <c r="E418" s="10">
        <f>IFERROR(C418/B418,"")</f>
        <v/>
      </c>
      <c r="F418" s="11">
        <f>IFERROR((D418/D417-1)*100,"")</f>
        <v/>
      </c>
      <c r="G418" s="11">
        <f>IFERROR((COUNTIF($D$167:$D$418,"&lt;"&amp;D418)+0.5*COUNTIF($D$167:$D$418,D418))/COUNT($D$167:$D$418)*100,"")</f>
        <v/>
      </c>
      <c r="H418" s="10">
        <f>IFERROR(AVERAGE($D$167:$D$418),"")</f>
        <v/>
      </c>
      <c r="I418" s="10" t="n">
        <v>-4.059477679081236</v>
      </c>
      <c r="J418" s="9" t="inlineStr">
        <is>
          <t>是</t>
        </is>
      </c>
      <c r="K418" t="inlineStr"/>
      <c r="L418" t="inlineStr">
        <is>
          <t>统计异常</t>
        </is>
      </c>
    </row>
    <row r="419">
      <c r="A419" s="7" t="inlineStr">
        <is>
          <t>2015-11-11</t>
        </is>
      </c>
      <c r="B419" s="8">
        <f>IFERROR(VLOOKUP($A419,'01-原始价格'!$A:$M,2,FALSE),"")</f>
        <v/>
      </c>
      <c r="C419" s="8">
        <f>IFERROR(VLOOKUP($A419,'01-原始价格'!$A:$M,8,FALSE),"")</f>
        <v/>
      </c>
      <c r="D419" s="10">
        <f>IFERROR(B419/C419,"")</f>
        <v/>
      </c>
      <c r="E419" s="10">
        <f>IFERROR(C419/B419,"")</f>
        <v/>
      </c>
      <c r="F419" s="11">
        <f>IFERROR((D419/D418-1)*100,"")</f>
        <v/>
      </c>
      <c r="G419" s="11">
        <f>IFERROR((COUNTIF($D$168:$D$419,"&lt;"&amp;D419)+0.5*COUNTIF($D$168:$D$419,D419))/COUNT($D$168:$D$419)*100,"")</f>
        <v/>
      </c>
      <c r="H419" s="10">
        <f>IFERROR(AVERAGE($D$168:$D$419),"")</f>
        <v/>
      </c>
      <c r="I419" s="10" t="n">
        <v>-4.097452800700257</v>
      </c>
      <c r="J419" s="9" t="inlineStr">
        <is>
          <t>是</t>
        </is>
      </c>
      <c r="K419" t="inlineStr"/>
      <c r="L419" t="inlineStr">
        <is>
          <t>统计异常</t>
        </is>
      </c>
    </row>
    <row r="420">
      <c r="A420" s="7" t="inlineStr">
        <is>
          <t>2015-11-12</t>
        </is>
      </c>
      <c r="B420" s="8">
        <f>IFERROR(VLOOKUP($A420,'01-原始价格'!$A:$M,2,FALSE),"")</f>
        <v/>
      </c>
      <c r="C420" s="8">
        <f>IFERROR(VLOOKUP($A420,'01-原始价格'!$A:$M,8,FALSE),"")</f>
        <v/>
      </c>
      <c r="D420" s="10">
        <f>IFERROR(B420/C420,"")</f>
        <v/>
      </c>
      <c r="E420" s="10">
        <f>IFERROR(C420/B420,"")</f>
        <v/>
      </c>
      <c r="F420" s="11">
        <f>IFERROR((D420/D419-1)*100,"")</f>
        <v/>
      </c>
      <c r="G420" s="11">
        <f>IFERROR((COUNTIF($D$169:$D$420,"&lt;"&amp;D420)+0.5*COUNTIF($D$169:$D$420,D420))/COUNT($D$169:$D$420)*100,"")</f>
        <v/>
      </c>
      <c r="H420" s="10">
        <f>IFERROR(AVERAGE($D$169:$D$420),"")</f>
        <v/>
      </c>
      <c r="I420" s="10" t="n">
        <v>-4.183505469781071</v>
      </c>
      <c r="J420" s="9" t="inlineStr">
        <is>
          <t>是</t>
        </is>
      </c>
      <c r="K420" t="inlineStr"/>
      <c r="L420" t="inlineStr">
        <is>
          <t>统计异常</t>
        </is>
      </c>
    </row>
    <row r="421">
      <c r="A421" s="7" t="inlineStr">
        <is>
          <t>2015-11-13</t>
        </is>
      </c>
      <c r="B421" s="8">
        <f>IFERROR(VLOOKUP($A421,'01-原始价格'!$A:$M,2,FALSE),"")</f>
        <v/>
      </c>
      <c r="C421" s="8">
        <f>IFERROR(VLOOKUP($A421,'01-原始价格'!$A:$M,8,FALSE),"")</f>
        <v/>
      </c>
      <c r="D421" s="10">
        <f>IFERROR(B421/C421,"")</f>
        <v/>
      </c>
      <c r="E421" s="10">
        <f>IFERROR(C421/B421,"")</f>
        <v/>
      </c>
      <c r="F421" s="11">
        <f>IFERROR((D421/D420-1)*100,"")</f>
        <v/>
      </c>
      <c r="G421" s="11">
        <f>IFERROR((COUNTIF($D$170:$D$421,"&lt;"&amp;D421)+0.5*COUNTIF($D$170:$D$421,D421))/COUNT($D$170:$D$421)*100,"")</f>
        <v/>
      </c>
      <c r="H421" s="10">
        <f>IFERROR(AVERAGE($D$170:$D$421),"")</f>
        <v/>
      </c>
      <c r="I421" s="10" t="n">
        <v>-4.242937506920311</v>
      </c>
      <c r="J421" s="9" t="inlineStr">
        <is>
          <t>是</t>
        </is>
      </c>
      <c r="K421" t="inlineStr"/>
      <c r="L421" t="inlineStr">
        <is>
          <t>统计异常</t>
        </is>
      </c>
    </row>
    <row r="422">
      <c r="A422" s="7" t="inlineStr">
        <is>
          <t>2015-11-16</t>
        </is>
      </c>
      <c r="B422" s="8">
        <f>IFERROR(VLOOKUP($A422,'01-原始价格'!$A:$M,2,FALSE),"")</f>
        <v/>
      </c>
      <c r="C422" s="8">
        <f>IFERROR(VLOOKUP($A422,'01-原始价格'!$A:$M,8,FALSE),"")</f>
        <v/>
      </c>
      <c r="D422" s="10">
        <f>IFERROR(B422/C422,"")</f>
        <v/>
      </c>
      <c r="E422" s="10">
        <f>IFERROR(C422/B422,"")</f>
        <v/>
      </c>
      <c r="F422" s="11">
        <f>IFERROR((D422/D421-1)*100,"")</f>
        <v/>
      </c>
      <c r="G422" s="11">
        <f>IFERROR((COUNTIF($D$171:$D$422,"&lt;"&amp;D422)+0.5*COUNTIF($D$171:$D$422,D422))/COUNT($D$171:$D$422)*100,"")</f>
        <v/>
      </c>
      <c r="H422" s="10">
        <f>IFERROR(AVERAGE($D$171:$D$422),"")</f>
        <v/>
      </c>
      <c r="I422" s="10" t="n">
        <v>-4.755850113449804</v>
      </c>
      <c r="J422" s="9" t="inlineStr">
        <is>
          <t>是</t>
        </is>
      </c>
      <c r="K422" t="inlineStr"/>
      <c r="L422" t="inlineStr">
        <is>
          <t>统计异常</t>
        </is>
      </c>
    </row>
    <row r="423">
      <c r="A423" s="7" t="inlineStr">
        <is>
          <t>2015-11-17</t>
        </is>
      </c>
      <c r="B423" s="8">
        <f>IFERROR(VLOOKUP($A423,'01-原始价格'!$A:$M,2,FALSE),"")</f>
        <v/>
      </c>
      <c r="C423" s="8">
        <f>IFERROR(VLOOKUP($A423,'01-原始价格'!$A:$M,8,FALSE),"")</f>
        <v/>
      </c>
      <c r="D423" s="10">
        <f>IFERROR(B423/C423,"")</f>
        <v/>
      </c>
      <c r="E423" s="10">
        <f>IFERROR(C423/B423,"")</f>
        <v/>
      </c>
      <c r="F423" s="11">
        <f>IFERROR((D423/D422-1)*100,"")</f>
        <v/>
      </c>
      <c r="G423" s="11">
        <f>IFERROR((COUNTIF($D$172:$D$423,"&lt;"&amp;D423)+0.5*COUNTIF($D$172:$D$423,D423))/COUNT($D$172:$D$423)*100,"")</f>
        <v/>
      </c>
      <c r="H423" s="10">
        <f>IFERROR(AVERAGE($D$172:$D$423),"")</f>
        <v/>
      </c>
      <c r="I423" s="10" t="n">
        <v>-5.010304606297201</v>
      </c>
      <c r="J423" s="9" t="inlineStr">
        <is>
          <t>是</t>
        </is>
      </c>
      <c r="K423" t="inlineStr"/>
      <c r="L423" t="inlineStr">
        <is>
          <t>统计异常</t>
        </is>
      </c>
    </row>
    <row r="424">
      <c r="A424" s="7" t="inlineStr">
        <is>
          <t>2015-11-18</t>
        </is>
      </c>
      <c r="B424" s="8">
        <f>IFERROR(VLOOKUP($A424,'01-原始价格'!$A:$M,2,FALSE),"")</f>
        <v/>
      </c>
      <c r="C424" s="8">
        <f>IFERROR(VLOOKUP($A424,'01-原始价格'!$A:$M,8,FALSE),"")</f>
        <v/>
      </c>
      <c r="D424" s="10">
        <f>IFERROR(B424/C424,"")</f>
        <v/>
      </c>
      <c r="E424" s="10">
        <f>IFERROR(C424/B424,"")</f>
        <v/>
      </c>
      <c r="F424" s="11">
        <f>IFERROR((D424/D423-1)*100,"")</f>
        <v/>
      </c>
      <c r="G424" s="11">
        <f>IFERROR((COUNTIF($D$173:$D$424,"&lt;"&amp;D424)+0.5*COUNTIF($D$173:$D$424,D424))/COUNT($D$173:$D$424)*100,"")</f>
        <v/>
      </c>
      <c r="H424" s="10">
        <f>IFERROR(AVERAGE($D$173:$D$424),"")</f>
        <v/>
      </c>
      <c r="I424" s="10" t="n">
        <v>-4.282540542550148</v>
      </c>
      <c r="J424" s="9" t="inlineStr">
        <is>
          <t>是</t>
        </is>
      </c>
      <c r="K424" t="inlineStr"/>
      <c r="L424" t="inlineStr">
        <is>
          <t>统计异常</t>
        </is>
      </c>
    </row>
    <row r="425">
      <c r="A425" s="7" t="inlineStr">
        <is>
          <t>2015-11-19</t>
        </is>
      </c>
      <c r="B425" s="8">
        <f>IFERROR(VLOOKUP($A425,'01-原始价格'!$A:$M,2,FALSE),"")</f>
        <v/>
      </c>
      <c r="C425" s="8">
        <f>IFERROR(VLOOKUP($A425,'01-原始价格'!$A:$M,8,FALSE),"")</f>
        <v/>
      </c>
      <c r="D425" s="10">
        <f>IFERROR(B425/C425,"")</f>
        <v/>
      </c>
      <c r="E425" s="10">
        <f>IFERROR(C425/B425,"")</f>
        <v/>
      </c>
      <c r="F425" s="11">
        <f>IFERROR((D425/D424-1)*100,"")</f>
        <v/>
      </c>
      <c r="G425" s="11">
        <f>IFERROR((COUNTIF($D$174:$D$425,"&lt;"&amp;D425)+0.5*COUNTIF($D$174:$D$425,D425))/COUNT($D$174:$D$425)*100,"")</f>
        <v/>
      </c>
      <c r="H425" s="10">
        <f>IFERROR(AVERAGE($D$174:$D$425),"")</f>
        <v/>
      </c>
      <c r="I425" s="10" t="n">
        <v>-3.912299698482631</v>
      </c>
      <c r="J425" s="9" t="inlineStr">
        <is>
          <t>是</t>
        </is>
      </c>
      <c r="K425" t="inlineStr"/>
      <c r="L425" t="inlineStr">
        <is>
          <t>统计异常</t>
        </is>
      </c>
    </row>
    <row r="426">
      <c r="A426" s="7" t="inlineStr">
        <is>
          <t>2015-11-20</t>
        </is>
      </c>
      <c r="B426" s="8">
        <f>IFERROR(VLOOKUP($A426,'01-原始价格'!$A:$M,2,FALSE),"")</f>
        <v/>
      </c>
      <c r="C426" s="8">
        <f>IFERROR(VLOOKUP($A426,'01-原始价格'!$A:$M,8,FALSE),"")</f>
        <v/>
      </c>
      <c r="D426" s="10">
        <f>IFERROR(B426/C426,"")</f>
        <v/>
      </c>
      <c r="E426" s="10">
        <f>IFERROR(C426/B426,"")</f>
        <v/>
      </c>
      <c r="F426" s="11">
        <f>IFERROR((D426/D425-1)*100,"")</f>
        <v/>
      </c>
      <c r="G426" s="11">
        <f>IFERROR((COUNTIF($D$175:$D$426,"&lt;"&amp;D426)+0.5*COUNTIF($D$175:$D$426,D426))/COUNT($D$175:$D$426)*100,"")</f>
        <v/>
      </c>
      <c r="H426" s="10">
        <f>IFERROR(AVERAGE($D$175:$D$426),"")</f>
        <v/>
      </c>
      <c r="I426" s="10" t="n">
        <v>-4.360582358984158</v>
      </c>
      <c r="J426" s="9" t="inlineStr">
        <is>
          <t>是</t>
        </is>
      </c>
      <c r="K426" t="inlineStr"/>
      <c r="L426" t="inlineStr">
        <is>
          <t>统计异常</t>
        </is>
      </c>
    </row>
    <row r="427">
      <c r="A427" s="7" t="inlineStr">
        <is>
          <t>2015-11-23</t>
        </is>
      </c>
      <c r="B427" s="8">
        <f>IFERROR(VLOOKUP($A427,'01-原始价格'!$A:$M,2,FALSE),"")</f>
        <v/>
      </c>
      <c r="C427" s="8">
        <f>IFERROR(VLOOKUP($A427,'01-原始价格'!$A:$M,8,FALSE),"")</f>
        <v/>
      </c>
      <c r="D427" s="10">
        <f>IFERROR(B427/C427,"")</f>
        <v/>
      </c>
      <c r="E427" s="10">
        <f>IFERROR(C427/B427,"")</f>
        <v/>
      </c>
      <c r="F427" s="11">
        <f>IFERROR((D427/D426-1)*100,"")</f>
        <v/>
      </c>
      <c r="G427" s="11">
        <f>IFERROR((COUNTIF($D$176:$D$427,"&lt;"&amp;D427)+0.5*COUNTIF($D$176:$D$427,D427))/COUNT($D$176:$D$427)*100,"")</f>
        <v/>
      </c>
      <c r="H427" s="10">
        <f>IFERROR(AVERAGE($D$176:$D$427),"")</f>
        <v/>
      </c>
      <c r="I427" s="10" t="n">
        <v>-6.04917295518159</v>
      </c>
      <c r="J427" s="9" t="inlineStr">
        <is>
          <t>是</t>
        </is>
      </c>
      <c r="K427" t="inlineStr"/>
      <c r="L427" t="inlineStr">
        <is>
          <t>统计异常</t>
        </is>
      </c>
    </row>
    <row r="428">
      <c r="A428" s="7" t="inlineStr">
        <is>
          <t>2015-11-24</t>
        </is>
      </c>
      <c r="B428" s="8">
        <f>IFERROR(VLOOKUP($A428,'01-原始价格'!$A:$M,2,FALSE),"")</f>
        <v/>
      </c>
      <c r="C428" s="8">
        <f>IFERROR(VLOOKUP($A428,'01-原始价格'!$A:$M,8,FALSE),"")</f>
        <v/>
      </c>
      <c r="D428" s="10">
        <f>IFERROR(B428/C428,"")</f>
        <v/>
      </c>
      <c r="E428" s="10">
        <f>IFERROR(C428/B428,"")</f>
        <v/>
      </c>
      <c r="F428" s="11">
        <f>IFERROR((D428/D427-1)*100,"")</f>
        <v/>
      </c>
      <c r="G428" s="11">
        <f>IFERROR((COUNTIF($D$177:$D$428,"&lt;"&amp;D428)+0.5*COUNTIF($D$177:$D$428,D428))/COUNT($D$177:$D$428)*100,"")</f>
        <v/>
      </c>
      <c r="H428" s="10">
        <f>IFERROR(AVERAGE($D$177:$D$428),"")</f>
        <v/>
      </c>
      <c r="I428" s="10" t="n">
        <v>-5.589028675453616</v>
      </c>
      <c r="J428" s="9" t="inlineStr">
        <is>
          <t>是</t>
        </is>
      </c>
      <c r="K428" t="inlineStr"/>
      <c r="L428" t="inlineStr">
        <is>
          <t>统计异常</t>
        </is>
      </c>
    </row>
    <row r="429">
      <c r="A429" s="7" t="inlineStr">
        <is>
          <t>2015-11-25</t>
        </is>
      </c>
      <c r="B429" s="8">
        <f>IFERROR(VLOOKUP($A429,'01-原始价格'!$A:$M,2,FALSE),"")</f>
        <v/>
      </c>
      <c r="C429" s="8">
        <f>IFERROR(VLOOKUP($A429,'01-原始价格'!$A:$M,8,FALSE),"")</f>
        <v/>
      </c>
      <c r="D429" s="10">
        <f>IFERROR(B429/C429,"")</f>
        <v/>
      </c>
      <c r="E429" s="10">
        <f>IFERROR(C429/B429,"")</f>
        <v/>
      </c>
      <c r="F429" s="11">
        <f>IFERROR((D429/D428-1)*100,"")</f>
        <v/>
      </c>
      <c r="G429" s="11">
        <f>IFERROR((COUNTIF($D$178:$D$429,"&lt;"&amp;D429)+0.5*COUNTIF($D$178:$D$429,D429))/COUNT($D$178:$D$429)*100,"")</f>
        <v/>
      </c>
      <c r="H429" s="10">
        <f>IFERROR(AVERAGE($D$178:$D$429),"")</f>
        <v/>
      </c>
      <c r="I429" s="10" t="n">
        <v>-8.190980303193664</v>
      </c>
      <c r="J429" s="9" t="inlineStr">
        <is>
          <t>是</t>
        </is>
      </c>
      <c r="K429" t="inlineStr"/>
      <c r="L429" t="inlineStr">
        <is>
          <t>统计异常</t>
        </is>
      </c>
    </row>
    <row r="430">
      <c r="A430" s="7" t="inlineStr">
        <is>
          <t>2015-11-26</t>
        </is>
      </c>
      <c r="B430" s="8">
        <f>IFERROR(VLOOKUP($A430,'01-原始价格'!$A:$M,2,FALSE),"")</f>
        <v/>
      </c>
      <c r="C430" s="8">
        <f>IFERROR(VLOOKUP($A430,'01-原始价格'!$A:$M,8,FALSE),"")</f>
        <v/>
      </c>
      <c r="D430" s="10">
        <f>IFERROR(B430/C430,"")</f>
        <v/>
      </c>
      <c r="E430" s="10">
        <f>IFERROR(C430/B430,"")</f>
        <v/>
      </c>
      <c r="F430" s="11">
        <f>IFERROR((D430/D429-1)*100,"")</f>
        <v/>
      </c>
      <c r="G430" s="11">
        <f>IFERROR((COUNTIF($D$179:$D$430,"&lt;"&amp;D430)+0.5*COUNTIF($D$179:$D$430,D430))/COUNT($D$179:$D$430)*100,"")</f>
        <v/>
      </c>
      <c r="H430" s="10">
        <f>IFERROR(AVERAGE($D$179:$D$430),"")</f>
        <v/>
      </c>
      <c r="I430" s="10" t="n">
        <v>-4.687218030348474</v>
      </c>
      <c r="J430" s="9" t="inlineStr">
        <is>
          <t>是</t>
        </is>
      </c>
      <c r="K430" t="inlineStr"/>
      <c r="L430" t="inlineStr">
        <is>
          <t>统计异常</t>
        </is>
      </c>
    </row>
    <row r="431">
      <c r="A431" s="7" t="inlineStr">
        <is>
          <t>2015-11-27</t>
        </is>
      </c>
      <c r="B431" s="8">
        <f>IFERROR(VLOOKUP($A431,'01-原始价格'!$A:$M,2,FALSE),"")</f>
        <v/>
      </c>
      <c r="C431" s="8">
        <f>IFERROR(VLOOKUP($A431,'01-原始价格'!$A:$M,8,FALSE),"")</f>
        <v/>
      </c>
      <c r="D431" s="10">
        <f>IFERROR(B431/C431,"")</f>
        <v/>
      </c>
      <c r="E431" s="10">
        <f>IFERROR(C431/B431,"")</f>
        <v/>
      </c>
      <c r="F431" s="11">
        <f>IFERROR((D431/D430-1)*100,"")</f>
        <v/>
      </c>
      <c r="G431" s="11">
        <f>IFERROR((COUNTIF($D$180:$D$431,"&lt;"&amp;D431)+0.5*COUNTIF($D$180:$D$431,D431))/COUNT($D$180:$D$431)*100,"")</f>
        <v/>
      </c>
      <c r="H431" s="10">
        <f>IFERROR(AVERAGE($D$180:$D$431),"")</f>
        <v/>
      </c>
      <c r="I431" s="10" t="n">
        <v>-4.320671391162519</v>
      </c>
      <c r="J431" s="9" t="inlineStr">
        <is>
          <t>是</t>
        </is>
      </c>
      <c r="K431" t="inlineStr"/>
      <c r="L431" t="inlineStr">
        <is>
          <t>统计异常</t>
        </is>
      </c>
    </row>
    <row r="432">
      <c r="A432" s="7" t="inlineStr">
        <is>
          <t>2015-11-30</t>
        </is>
      </c>
      <c r="B432" s="8">
        <f>IFERROR(VLOOKUP($A432,'01-原始价格'!$A:$M,2,FALSE),"")</f>
        <v/>
      </c>
      <c r="C432" s="8">
        <f>IFERROR(VLOOKUP($A432,'01-原始价格'!$A:$M,8,FALSE),"")</f>
        <v/>
      </c>
      <c r="D432" s="10">
        <f>IFERROR(B432/C432,"")</f>
        <v/>
      </c>
      <c r="E432" s="10">
        <f>IFERROR(C432/B432,"")</f>
        <v/>
      </c>
      <c r="F432" s="11">
        <f>IFERROR((D432/D431-1)*100,"")</f>
        <v/>
      </c>
      <c r="G432" s="11">
        <f>IFERROR((COUNTIF($D$181:$D$432,"&lt;"&amp;D432)+0.5*COUNTIF($D$181:$D$432,D432))/COUNT($D$181:$D$432)*100,"")</f>
        <v/>
      </c>
      <c r="H432" s="10">
        <f>IFERROR(AVERAGE($D$181:$D$432),"")</f>
        <v/>
      </c>
      <c r="I432" s="10" t="n">
        <v>-4.833490616094342</v>
      </c>
      <c r="J432" s="9" t="inlineStr">
        <is>
          <t>是</t>
        </is>
      </c>
      <c r="K432" t="inlineStr"/>
      <c r="L432" t="inlineStr">
        <is>
          <t>统计异常</t>
        </is>
      </c>
    </row>
    <row r="433">
      <c r="A433" s="7" t="inlineStr">
        <is>
          <t>2015-12-01</t>
        </is>
      </c>
      <c r="B433" s="8">
        <f>IFERROR(VLOOKUP($A433,'01-原始价格'!$A:$M,2,FALSE),"")</f>
        <v/>
      </c>
      <c r="C433" s="8">
        <f>IFERROR(VLOOKUP($A433,'01-原始价格'!$A:$M,8,FALSE),"")</f>
        <v/>
      </c>
      <c r="D433" s="10">
        <f>IFERROR(B433/C433,"")</f>
        <v/>
      </c>
      <c r="E433" s="10">
        <f>IFERROR(C433/B433,"")</f>
        <v/>
      </c>
      <c r="F433" s="11">
        <f>IFERROR((D433/D432-1)*100,"")</f>
        <v/>
      </c>
      <c r="G433" s="11">
        <f>IFERROR((COUNTIF($D$182:$D$433,"&lt;"&amp;D433)+0.5*COUNTIF($D$182:$D$433,D433))/COUNT($D$182:$D$433)*100,"")</f>
        <v/>
      </c>
      <c r="H433" s="10">
        <f>IFERROR(AVERAGE($D$182:$D$433),"")</f>
        <v/>
      </c>
      <c r="I433" s="10" t="n">
        <v>-4.110642918436028</v>
      </c>
      <c r="J433" s="9" t="inlineStr">
        <is>
          <t>是</t>
        </is>
      </c>
      <c r="K433" t="inlineStr"/>
      <c r="L433" t="inlineStr">
        <is>
          <t>统计异常</t>
        </is>
      </c>
    </row>
    <row r="434">
      <c r="A434" s="7" t="inlineStr">
        <is>
          <t>2015-12-02</t>
        </is>
      </c>
      <c r="B434" s="8">
        <f>IFERROR(VLOOKUP($A434,'01-原始价格'!$A:$M,2,FALSE),"")</f>
        <v/>
      </c>
      <c r="C434" s="8">
        <f>IFERROR(VLOOKUP($A434,'01-原始价格'!$A:$M,8,FALSE),"")</f>
        <v/>
      </c>
      <c r="D434" s="10">
        <f>IFERROR(B434/C434,"")</f>
        <v/>
      </c>
      <c r="E434" s="10">
        <f>IFERROR(C434/B434,"")</f>
        <v/>
      </c>
      <c r="F434" s="11">
        <f>IFERROR((D434/D433-1)*100,"")</f>
        <v/>
      </c>
      <c r="G434" s="11">
        <f>IFERROR((COUNTIF($D$183:$D$434,"&lt;"&amp;D434)+0.5*COUNTIF($D$183:$D$434,D434))/COUNT($D$183:$D$434)*100,"")</f>
        <v/>
      </c>
      <c r="H434" s="10">
        <f>IFERROR(AVERAGE($D$183:$D$434),"")</f>
        <v/>
      </c>
      <c r="I434" s="10" t="n">
        <v>-4.008219502144231</v>
      </c>
      <c r="J434" s="9" t="inlineStr">
        <is>
          <t>是</t>
        </is>
      </c>
      <c r="K434" t="inlineStr"/>
      <c r="L434" t="inlineStr">
        <is>
          <t>统计异常</t>
        </is>
      </c>
    </row>
    <row r="435">
      <c r="A435" s="7" t="inlineStr">
        <is>
          <t>2015-12-03</t>
        </is>
      </c>
      <c r="B435" s="8">
        <f>IFERROR(VLOOKUP($A435,'01-原始价格'!$A:$M,2,FALSE),"")</f>
        <v/>
      </c>
      <c r="C435" s="8">
        <f>IFERROR(VLOOKUP($A435,'01-原始价格'!$A:$M,8,FALSE),"")</f>
        <v/>
      </c>
      <c r="D435" s="10">
        <f>IFERROR(B435/C435,"")</f>
        <v/>
      </c>
      <c r="E435" s="10">
        <f>IFERROR(C435/B435,"")</f>
        <v/>
      </c>
      <c r="F435" s="11">
        <f>IFERROR((D435/D434-1)*100,"")</f>
        <v/>
      </c>
      <c r="G435" s="11">
        <f>IFERROR((COUNTIF($D$184:$D$435,"&lt;"&amp;D435)+0.5*COUNTIF($D$184:$D$435,D435))/COUNT($D$184:$D$435)*100,"")</f>
        <v/>
      </c>
      <c r="H435" s="10">
        <f>IFERROR(AVERAGE($D$184:$D$435),"")</f>
        <v/>
      </c>
      <c r="I435" s="10" t="n">
        <v>-3.791323880693645</v>
      </c>
      <c r="J435" s="9" t="inlineStr">
        <is>
          <t>是</t>
        </is>
      </c>
      <c r="K435" t="inlineStr"/>
      <c r="L435" t="inlineStr">
        <is>
          <t>统计异常</t>
        </is>
      </c>
    </row>
    <row r="436">
      <c r="A436" s="7" t="inlineStr">
        <is>
          <t>2015-12-04</t>
        </is>
      </c>
      <c r="B436" s="8">
        <f>IFERROR(VLOOKUP($A436,'01-原始价格'!$A:$M,2,FALSE),"")</f>
        <v/>
      </c>
      <c r="C436" s="8">
        <f>IFERROR(VLOOKUP($A436,'01-原始价格'!$A:$M,8,FALSE),"")</f>
        <v/>
      </c>
      <c r="D436" s="10">
        <f>IFERROR(B436/C436,"")</f>
        <v/>
      </c>
      <c r="E436" s="10">
        <f>IFERROR(C436/B436,"")</f>
        <v/>
      </c>
      <c r="F436" s="11">
        <f>IFERROR((D436/D435-1)*100,"")</f>
        <v/>
      </c>
      <c r="G436" s="11">
        <f>IFERROR((COUNTIF($D$185:$D$436,"&lt;"&amp;D436)+0.5*COUNTIF($D$185:$D$436,D436))/COUNT($D$185:$D$436)*100,"")</f>
        <v/>
      </c>
      <c r="H436" s="10">
        <f>IFERROR(AVERAGE($D$185:$D$436),"")</f>
        <v/>
      </c>
      <c r="I436" s="10" t="n">
        <v>-3.85406107446153</v>
      </c>
      <c r="J436" s="9" t="inlineStr">
        <is>
          <t>是</t>
        </is>
      </c>
      <c r="K436" t="inlineStr"/>
      <c r="L436" t="inlineStr">
        <is>
          <t>统计异常</t>
        </is>
      </c>
    </row>
    <row r="437">
      <c r="A437" s="7" t="inlineStr">
        <is>
          <t>2015-12-07</t>
        </is>
      </c>
      <c r="B437" s="8">
        <f>IFERROR(VLOOKUP($A437,'01-原始价格'!$A:$M,2,FALSE),"")</f>
        <v/>
      </c>
      <c r="C437" s="8">
        <f>IFERROR(VLOOKUP($A437,'01-原始价格'!$A:$M,8,FALSE),"")</f>
        <v/>
      </c>
      <c r="D437" s="10">
        <f>IFERROR(B437/C437,"")</f>
        <v/>
      </c>
      <c r="E437" s="10">
        <f>IFERROR(C437/B437,"")</f>
        <v/>
      </c>
      <c r="F437" s="11">
        <f>IFERROR((D437/D436-1)*100,"")</f>
        <v/>
      </c>
      <c r="G437" s="11">
        <f>IFERROR((COUNTIF($D$186:$D$437,"&lt;"&amp;D437)+0.5*COUNTIF($D$186:$D$437,D437))/COUNT($D$186:$D$437)*100,"")</f>
        <v/>
      </c>
      <c r="H437" s="10">
        <f>IFERROR(AVERAGE($D$186:$D$437),"")</f>
        <v/>
      </c>
      <c r="I437" s="10" t="n">
        <v>-3.965565464430736</v>
      </c>
      <c r="J437" s="9" t="inlineStr">
        <is>
          <t>是</t>
        </is>
      </c>
      <c r="K437" t="inlineStr"/>
      <c r="L437" t="inlineStr">
        <is>
          <t>统计异常</t>
        </is>
      </c>
    </row>
    <row r="438">
      <c r="A438" s="7" t="inlineStr">
        <is>
          <t>2015-12-08</t>
        </is>
      </c>
      <c r="B438" s="8">
        <f>IFERROR(VLOOKUP($A438,'01-原始价格'!$A:$M,2,FALSE),"")</f>
        <v/>
      </c>
      <c r="C438" s="8">
        <f>IFERROR(VLOOKUP($A438,'01-原始价格'!$A:$M,8,FALSE),"")</f>
        <v/>
      </c>
      <c r="D438" s="10">
        <f>IFERROR(B438/C438,"")</f>
        <v/>
      </c>
      <c r="E438" s="10">
        <f>IFERROR(C438/B438,"")</f>
        <v/>
      </c>
      <c r="F438" s="11">
        <f>IFERROR((D438/D437-1)*100,"")</f>
        <v/>
      </c>
      <c r="G438" s="11">
        <f>IFERROR((COUNTIF($D$187:$D$438,"&lt;"&amp;D438)+0.5*COUNTIF($D$187:$D$438,D438))/COUNT($D$187:$D$438)*100,"")</f>
        <v/>
      </c>
      <c r="H438" s="10">
        <f>IFERROR(AVERAGE($D$187:$D$438),"")</f>
        <v/>
      </c>
      <c r="I438" s="10" t="n">
        <v>-4.219697302625208</v>
      </c>
      <c r="J438" s="9" t="inlineStr">
        <is>
          <t>是</t>
        </is>
      </c>
      <c r="K438" t="inlineStr"/>
      <c r="L438" t="inlineStr">
        <is>
          <t>统计异常</t>
        </is>
      </c>
    </row>
    <row r="439">
      <c r="A439" s="7" t="inlineStr">
        <is>
          <t>2015-12-09</t>
        </is>
      </c>
      <c r="B439" s="8">
        <f>IFERROR(VLOOKUP($A439,'01-原始价格'!$A:$M,2,FALSE),"")</f>
        <v/>
      </c>
      <c r="C439" s="8">
        <f>IFERROR(VLOOKUP($A439,'01-原始价格'!$A:$M,8,FALSE),"")</f>
        <v/>
      </c>
      <c r="D439" s="10">
        <f>IFERROR(B439/C439,"")</f>
        <v/>
      </c>
      <c r="E439" s="10">
        <f>IFERROR(C439/B439,"")</f>
        <v/>
      </c>
      <c r="F439" s="11">
        <f>IFERROR((D439/D438-1)*100,"")</f>
        <v/>
      </c>
      <c r="G439" s="11">
        <f>IFERROR((COUNTIF($D$188:$D$439,"&lt;"&amp;D439)+0.5*COUNTIF($D$188:$D$439,D439))/COUNT($D$188:$D$439)*100,"")</f>
        <v/>
      </c>
      <c r="H439" s="10">
        <f>IFERROR(AVERAGE($D$188:$D$439),"")</f>
        <v/>
      </c>
      <c r="I439" s="10" t="n">
        <v>-4.36490387217146</v>
      </c>
      <c r="J439" s="9" t="inlineStr">
        <is>
          <t>是</t>
        </is>
      </c>
      <c r="K439" t="inlineStr"/>
      <c r="L439" t="inlineStr">
        <is>
          <t>统计异常</t>
        </is>
      </c>
    </row>
    <row r="440">
      <c r="A440" s="7" t="inlineStr">
        <is>
          <t>2015-12-10</t>
        </is>
      </c>
      <c r="B440" s="8">
        <f>IFERROR(VLOOKUP($A440,'01-原始价格'!$A:$M,2,FALSE),"")</f>
        <v/>
      </c>
      <c r="C440" s="8">
        <f>IFERROR(VLOOKUP($A440,'01-原始价格'!$A:$M,8,FALSE),"")</f>
        <v/>
      </c>
      <c r="D440" s="10">
        <f>IFERROR(B440/C440,"")</f>
        <v/>
      </c>
      <c r="E440" s="10">
        <f>IFERROR(C440/B440,"")</f>
        <v/>
      </c>
      <c r="F440" s="11">
        <f>IFERROR((D440/D439-1)*100,"")</f>
        <v/>
      </c>
      <c r="G440" s="11">
        <f>IFERROR((COUNTIF($D$189:$D$440,"&lt;"&amp;D440)+0.5*COUNTIF($D$189:$D$440,D440))/COUNT($D$189:$D$440)*100,"")</f>
        <v/>
      </c>
      <c r="H440" s="10">
        <f>IFERROR(AVERAGE($D$189:$D$440),"")</f>
        <v/>
      </c>
      <c r="I440" s="10" t="n">
        <v>-4.51222587329131</v>
      </c>
      <c r="J440" s="9" t="inlineStr">
        <is>
          <t>是</t>
        </is>
      </c>
      <c r="K440" t="inlineStr"/>
      <c r="L440" t="inlineStr">
        <is>
          <t>统计异常</t>
        </is>
      </c>
    </row>
    <row r="441">
      <c r="A441" s="7" t="inlineStr">
        <is>
          <t>2015-12-11</t>
        </is>
      </c>
      <c r="B441" s="8">
        <f>IFERROR(VLOOKUP($A441,'01-原始价格'!$A:$M,2,FALSE),"")</f>
        <v/>
      </c>
      <c r="C441" s="8">
        <f>IFERROR(VLOOKUP($A441,'01-原始价格'!$A:$M,8,FALSE),"")</f>
        <v/>
      </c>
      <c r="D441" s="10">
        <f>IFERROR(B441/C441,"")</f>
        <v/>
      </c>
      <c r="E441" s="10">
        <f>IFERROR(C441/B441,"")</f>
        <v/>
      </c>
      <c r="F441" s="11">
        <f>IFERROR((D441/D440-1)*100,"")</f>
        <v/>
      </c>
      <c r="G441" s="11">
        <f>IFERROR((COUNTIF($D$190:$D$441,"&lt;"&amp;D441)+0.5*COUNTIF($D$190:$D$441,D441))/COUNT($D$190:$D$441)*100,"")</f>
        <v/>
      </c>
      <c r="H441" s="10">
        <f>IFERROR(AVERAGE($D$190:$D$441),"")</f>
        <v/>
      </c>
      <c r="I441" s="10" t="n">
        <v>-4.441540889487762</v>
      </c>
      <c r="J441" s="9" t="inlineStr">
        <is>
          <t>是</t>
        </is>
      </c>
      <c r="K441" t="inlineStr"/>
      <c r="L441" t="inlineStr">
        <is>
          <t>统计异常</t>
        </is>
      </c>
    </row>
    <row r="442">
      <c r="A442" s="7" t="inlineStr">
        <is>
          <t>2015-12-14</t>
        </is>
      </c>
      <c r="B442" s="8">
        <f>IFERROR(VLOOKUP($A442,'01-原始价格'!$A:$M,2,FALSE),"")</f>
        <v/>
      </c>
      <c r="C442" s="8">
        <f>IFERROR(VLOOKUP($A442,'01-原始价格'!$A:$M,8,FALSE),"")</f>
        <v/>
      </c>
      <c r="D442" s="10">
        <f>IFERROR(B442/C442,"")</f>
        <v/>
      </c>
      <c r="E442" s="10">
        <f>IFERROR(C442/B442,"")</f>
        <v/>
      </c>
      <c r="F442" s="11">
        <f>IFERROR((D442/D441-1)*100,"")</f>
        <v/>
      </c>
      <c r="G442" s="11">
        <f>IFERROR((COUNTIF($D$191:$D$442,"&lt;"&amp;D442)+0.5*COUNTIF($D$191:$D$442,D442))/COUNT($D$191:$D$442)*100,"")</f>
        <v/>
      </c>
      <c r="H442" s="10">
        <f>IFERROR(AVERAGE($D$191:$D$442),"")</f>
        <v/>
      </c>
      <c r="I442" s="10" t="n">
        <v>-4.374473429627159</v>
      </c>
      <c r="J442" s="9" t="inlineStr">
        <is>
          <t>是</t>
        </is>
      </c>
      <c r="K442" t="inlineStr"/>
      <c r="L442" t="inlineStr">
        <is>
          <t>统计异常</t>
        </is>
      </c>
    </row>
    <row r="443">
      <c r="A443" s="7" t="inlineStr">
        <is>
          <t>2015-12-15</t>
        </is>
      </c>
      <c r="B443" s="8">
        <f>IFERROR(VLOOKUP($A443,'01-原始价格'!$A:$M,2,FALSE),"")</f>
        <v/>
      </c>
      <c r="C443" s="8">
        <f>IFERROR(VLOOKUP($A443,'01-原始价格'!$A:$M,8,FALSE),"")</f>
        <v/>
      </c>
      <c r="D443" s="10">
        <f>IFERROR(B443/C443,"")</f>
        <v/>
      </c>
      <c r="E443" s="10">
        <f>IFERROR(C443/B443,"")</f>
        <v/>
      </c>
      <c r="F443" s="11">
        <f>IFERROR((D443/D442-1)*100,"")</f>
        <v/>
      </c>
      <c r="G443" s="11">
        <f>IFERROR((COUNTIF($D$192:$D$443,"&lt;"&amp;D443)+0.5*COUNTIF($D$192:$D$443,D443))/COUNT($D$192:$D$443)*100,"")</f>
        <v/>
      </c>
      <c r="H443" s="10">
        <f>IFERROR(AVERAGE($D$192:$D$443),"")</f>
        <v/>
      </c>
      <c r="I443" s="10" t="n">
        <v>-4.087275922928659</v>
      </c>
      <c r="J443" s="9" t="inlineStr">
        <is>
          <t>是</t>
        </is>
      </c>
      <c r="K443" t="inlineStr"/>
      <c r="L443" t="inlineStr">
        <is>
          <t>统计异常</t>
        </is>
      </c>
    </row>
    <row r="444">
      <c r="A444" s="7" t="inlineStr">
        <is>
          <t>2015-12-16</t>
        </is>
      </c>
      <c r="B444" s="8">
        <f>IFERROR(VLOOKUP($A444,'01-原始价格'!$A:$M,2,FALSE),"")</f>
        <v/>
      </c>
      <c r="C444" s="8">
        <f>IFERROR(VLOOKUP($A444,'01-原始价格'!$A:$M,8,FALSE),"")</f>
        <v/>
      </c>
      <c r="D444" s="10">
        <f>IFERROR(B444/C444,"")</f>
        <v/>
      </c>
      <c r="E444" s="10">
        <f>IFERROR(C444/B444,"")</f>
        <v/>
      </c>
      <c r="F444" s="11">
        <f>IFERROR((D444/D443-1)*100,"")</f>
        <v/>
      </c>
      <c r="G444" s="11">
        <f>IFERROR((COUNTIF($D$193:$D$444,"&lt;"&amp;D444)+0.5*COUNTIF($D$193:$D$444,D444))/COUNT($D$193:$D$444)*100,"")</f>
        <v/>
      </c>
      <c r="H444" s="10">
        <f>IFERROR(AVERAGE($D$193:$D$444),"")</f>
        <v/>
      </c>
      <c r="I444" s="10" t="n">
        <v>-4.123252882588725</v>
      </c>
      <c r="J444" s="9" t="inlineStr">
        <is>
          <t>是</t>
        </is>
      </c>
      <c r="K444" t="inlineStr"/>
      <c r="L444" t="inlineStr">
        <is>
          <t>统计异常</t>
        </is>
      </c>
    </row>
    <row r="445">
      <c r="A445" s="7" t="inlineStr">
        <is>
          <t>2015-12-17</t>
        </is>
      </c>
      <c r="B445" s="8">
        <f>IFERROR(VLOOKUP($A445,'01-原始价格'!$A:$M,2,FALSE),"")</f>
        <v/>
      </c>
      <c r="C445" s="8">
        <f>IFERROR(VLOOKUP($A445,'01-原始价格'!$A:$M,8,FALSE),"")</f>
        <v/>
      </c>
      <c r="D445" s="10">
        <f>IFERROR(B445/C445,"")</f>
        <v/>
      </c>
      <c r="E445" s="10">
        <f>IFERROR(C445/B445,"")</f>
        <v/>
      </c>
      <c r="F445" s="11">
        <f>IFERROR((D445/D444-1)*100,"")</f>
        <v/>
      </c>
      <c r="G445" s="11">
        <f>IFERROR((COUNTIF($D$194:$D$445,"&lt;"&amp;D445)+0.5*COUNTIF($D$194:$D$445,D445))/COUNT($D$194:$D$445)*100,"")</f>
        <v/>
      </c>
      <c r="H445" s="10">
        <f>IFERROR(AVERAGE($D$194:$D$445),"")</f>
        <v/>
      </c>
      <c r="I445" s="10" t="n">
        <v>-3.978829598487816</v>
      </c>
      <c r="J445" s="9" t="inlineStr">
        <is>
          <t>是</t>
        </is>
      </c>
      <c r="K445" t="inlineStr"/>
      <c r="L445" t="inlineStr">
        <is>
          <t>统计异常</t>
        </is>
      </c>
    </row>
    <row r="446">
      <c r="A446" s="7" t="inlineStr">
        <is>
          <t>2015-12-18</t>
        </is>
      </c>
      <c r="B446" s="8">
        <f>IFERROR(VLOOKUP($A446,'01-原始价格'!$A:$M,2,FALSE),"")</f>
        <v/>
      </c>
      <c r="C446" s="8">
        <f>IFERROR(VLOOKUP($A446,'01-原始价格'!$A:$M,8,FALSE),"")</f>
        <v/>
      </c>
      <c r="D446" s="10">
        <f>IFERROR(B446/C446,"")</f>
        <v/>
      </c>
      <c r="E446" s="10">
        <f>IFERROR(C446/B446,"")</f>
        <v/>
      </c>
      <c r="F446" s="11">
        <f>IFERROR((D446/D445-1)*100,"")</f>
        <v/>
      </c>
      <c r="G446" s="11">
        <f>IFERROR((COUNTIF($D$195:$D$446,"&lt;"&amp;D446)+0.5*COUNTIF($D$195:$D$446,D446))/COUNT($D$195:$D$446)*100,"")</f>
        <v/>
      </c>
      <c r="H446" s="10">
        <f>IFERROR(AVERAGE($D$195:$D$446),"")</f>
        <v/>
      </c>
      <c r="I446" s="10" t="n">
        <v>-4.252326497367896</v>
      </c>
      <c r="J446" s="9" t="inlineStr">
        <is>
          <t>是</t>
        </is>
      </c>
      <c r="K446" t="inlineStr"/>
      <c r="L446" t="inlineStr">
        <is>
          <t>统计异常</t>
        </is>
      </c>
    </row>
    <row r="447">
      <c r="A447" s="7" t="inlineStr">
        <is>
          <t>2015-12-21</t>
        </is>
      </c>
      <c r="B447" s="8">
        <f>IFERROR(VLOOKUP($A447,'01-原始价格'!$A:$M,2,FALSE),"")</f>
        <v/>
      </c>
      <c r="C447" s="8">
        <f>IFERROR(VLOOKUP($A447,'01-原始价格'!$A:$M,8,FALSE),"")</f>
        <v/>
      </c>
      <c r="D447" s="10">
        <f>IFERROR(B447/C447,"")</f>
        <v/>
      </c>
      <c r="E447" s="10">
        <f>IFERROR(C447/B447,"")</f>
        <v/>
      </c>
      <c r="F447" s="11">
        <f>IFERROR((D447/D446-1)*100,"")</f>
        <v/>
      </c>
      <c r="G447" s="11">
        <f>IFERROR((COUNTIF($D$196:$D$447,"&lt;"&amp;D447)+0.5*COUNTIF($D$196:$D$447,D447))/COUNT($D$196:$D$447)*100,"")</f>
        <v/>
      </c>
      <c r="H447" s="10">
        <f>IFERROR(AVERAGE($D$196:$D$447),"")</f>
        <v/>
      </c>
      <c r="I447" s="10" t="n">
        <v>-3.76736253014439</v>
      </c>
      <c r="J447" s="9" t="inlineStr">
        <is>
          <t>是</t>
        </is>
      </c>
      <c r="K447" t="inlineStr"/>
      <c r="L447" t="inlineStr">
        <is>
          <t>统计异常</t>
        </is>
      </c>
    </row>
    <row r="448">
      <c r="A448" s="7" t="inlineStr">
        <is>
          <t>2015-12-22</t>
        </is>
      </c>
      <c r="B448" s="8">
        <f>IFERROR(VLOOKUP($A448,'01-原始价格'!$A:$M,2,FALSE),"")</f>
        <v/>
      </c>
      <c r="C448" s="8">
        <f>IFERROR(VLOOKUP($A448,'01-原始价格'!$A:$M,8,FALSE),"")</f>
        <v/>
      </c>
      <c r="D448" s="10">
        <f>IFERROR(B448/C448,"")</f>
        <v/>
      </c>
      <c r="E448" s="10">
        <f>IFERROR(C448/B448,"")</f>
        <v/>
      </c>
      <c r="F448" s="11">
        <f>IFERROR((D448/D447-1)*100,"")</f>
        <v/>
      </c>
      <c r="G448" s="11">
        <f>IFERROR((COUNTIF($D$197:$D$448,"&lt;"&amp;D448)+0.5*COUNTIF($D$197:$D$448,D448))/COUNT($D$197:$D$448)*100,"")</f>
        <v/>
      </c>
      <c r="H448" s="10">
        <f>IFERROR(AVERAGE($D$197:$D$448),"")</f>
        <v/>
      </c>
      <c r="I448" s="10" t="n">
        <v>-3.70304165704511</v>
      </c>
      <c r="J448" s="9" t="inlineStr">
        <is>
          <t>是</t>
        </is>
      </c>
      <c r="K448" t="inlineStr"/>
      <c r="L448" t="inlineStr">
        <is>
          <t>统计异常</t>
        </is>
      </c>
    </row>
    <row r="449">
      <c r="A449" s="7" t="inlineStr">
        <is>
          <t>2015-12-23</t>
        </is>
      </c>
      <c r="B449" s="8">
        <f>IFERROR(VLOOKUP($A449,'01-原始价格'!$A:$M,2,FALSE),"")</f>
        <v/>
      </c>
      <c r="C449" s="8">
        <f>IFERROR(VLOOKUP($A449,'01-原始价格'!$A:$M,8,FALSE),"")</f>
        <v/>
      </c>
      <c r="D449" s="10">
        <f>IFERROR(B449/C449,"")</f>
        <v/>
      </c>
      <c r="E449" s="10">
        <f>IFERROR(C449/B449,"")</f>
        <v/>
      </c>
      <c r="F449" s="11">
        <f>IFERROR((D449/D448-1)*100,"")</f>
        <v/>
      </c>
      <c r="G449" s="11">
        <f>IFERROR((COUNTIF($D$198:$D$449,"&lt;"&amp;D449)+0.5*COUNTIF($D$198:$D$449,D449))/COUNT($D$198:$D$449)*100,"")</f>
        <v/>
      </c>
      <c r="H449" s="10">
        <f>IFERROR(AVERAGE($D$198:$D$449),"")</f>
        <v/>
      </c>
      <c r="I449" s="10" t="n">
        <v>-3.856588422868855</v>
      </c>
      <c r="J449" s="9" t="inlineStr">
        <is>
          <t>是</t>
        </is>
      </c>
      <c r="K449" t="inlineStr"/>
      <c r="L449" t="inlineStr">
        <is>
          <t>统计异常</t>
        </is>
      </c>
    </row>
    <row r="450">
      <c r="A450" s="7" t="inlineStr">
        <is>
          <t>2015-12-24</t>
        </is>
      </c>
      <c r="B450" s="8">
        <f>IFERROR(VLOOKUP($A450,'01-原始价格'!$A:$M,2,FALSE),"")</f>
        <v/>
      </c>
      <c r="C450" s="8">
        <f>IFERROR(VLOOKUP($A450,'01-原始价格'!$A:$M,8,FALSE),"")</f>
        <v/>
      </c>
      <c r="D450" s="10">
        <f>IFERROR(B450/C450,"")</f>
        <v/>
      </c>
      <c r="E450" s="10">
        <f>IFERROR(C450/B450,"")</f>
        <v/>
      </c>
      <c r="F450" s="11">
        <f>IFERROR((D450/D449-1)*100,"")</f>
        <v/>
      </c>
      <c r="G450" s="11">
        <f>IFERROR((COUNTIF($D$199:$D$450,"&lt;"&amp;D450)+0.5*COUNTIF($D$199:$D$450,D450))/COUNT($D$199:$D$450)*100,"")</f>
        <v/>
      </c>
      <c r="H450" s="10">
        <f>IFERROR(AVERAGE($D$199:$D$450),"")</f>
        <v/>
      </c>
      <c r="I450" s="10" t="n">
        <v>-3.143615343014332</v>
      </c>
      <c r="J450" t="inlineStr"/>
      <c r="K450" t="inlineStr"/>
    </row>
    <row r="451">
      <c r="A451" s="7" t="inlineStr">
        <is>
          <t>2015-12-25</t>
        </is>
      </c>
      <c r="B451" s="8">
        <f>IFERROR(VLOOKUP($A451,'01-原始价格'!$A:$M,2,FALSE),"")</f>
        <v/>
      </c>
      <c r="C451" s="8">
        <f>IFERROR(VLOOKUP($A451,'01-原始价格'!$A:$M,8,FALSE),"")</f>
        <v/>
      </c>
      <c r="D451" s="10">
        <f>IFERROR(B451/C451,"")</f>
        <v/>
      </c>
      <c r="E451" s="10">
        <f>IFERROR(C451/B451,"")</f>
        <v/>
      </c>
      <c r="F451" s="11">
        <f>IFERROR((D451/D450-1)*100,"")</f>
        <v/>
      </c>
      <c r="G451" s="11">
        <f>IFERROR((COUNTIF($D$200:$D$451,"&lt;"&amp;D451)+0.5*COUNTIF($D$200:$D$451,D451))/COUNT($D$200:$D$451)*100,"")</f>
        <v/>
      </c>
      <c r="H451" s="10">
        <f>IFERROR(AVERAGE($D$200:$D$451),"")</f>
        <v/>
      </c>
      <c r="I451" s="10" t="n">
        <v>-3.136291696611924</v>
      </c>
      <c r="J451" t="inlineStr"/>
      <c r="K451" t="inlineStr"/>
    </row>
    <row r="452">
      <c r="A452" s="7" t="inlineStr">
        <is>
          <t>2015-12-28</t>
        </is>
      </c>
      <c r="B452" s="8">
        <f>IFERROR(VLOOKUP($A452,'01-原始价格'!$A:$M,2,FALSE),"")</f>
        <v/>
      </c>
      <c r="C452" s="8">
        <f>IFERROR(VLOOKUP($A452,'01-原始价格'!$A:$M,8,FALSE),"")</f>
        <v/>
      </c>
      <c r="D452" s="10">
        <f>IFERROR(B452/C452,"")</f>
        <v/>
      </c>
      <c r="E452" s="10">
        <f>IFERROR(C452/B452,"")</f>
        <v/>
      </c>
      <c r="F452" s="11">
        <f>IFERROR((D452/D451-1)*100,"")</f>
        <v/>
      </c>
      <c r="G452" s="11">
        <f>IFERROR((COUNTIF($D$201:$D$452,"&lt;"&amp;D452)+0.5*COUNTIF($D$201:$D$452,D452))/COUNT($D$201:$D$452)*100,"")</f>
        <v/>
      </c>
      <c r="H452" s="10">
        <f>IFERROR(AVERAGE($D$201:$D$452),"")</f>
        <v/>
      </c>
      <c r="I452" s="10" t="n">
        <v>-3.070411507118709</v>
      </c>
      <c r="J452" t="inlineStr"/>
      <c r="K452" t="inlineStr"/>
    </row>
    <row r="453">
      <c r="A453" s="7" t="inlineStr">
        <is>
          <t>2015-12-29</t>
        </is>
      </c>
      <c r="B453" s="8">
        <f>IFERROR(VLOOKUP($A453,'01-原始价格'!$A:$M,2,FALSE),"")</f>
        <v/>
      </c>
      <c r="C453" s="8">
        <f>IFERROR(VLOOKUP($A453,'01-原始价格'!$A:$M,8,FALSE),"")</f>
        <v/>
      </c>
      <c r="D453" s="10">
        <f>IFERROR(B453/C453,"")</f>
        <v/>
      </c>
      <c r="E453" s="10">
        <f>IFERROR(C453/B453,"")</f>
        <v/>
      </c>
      <c r="F453" s="11">
        <f>IFERROR((D453/D452-1)*100,"")</f>
        <v/>
      </c>
      <c r="G453" s="11">
        <f>IFERROR((COUNTIF($D$202:$D$453,"&lt;"&amp;D453)+0.5*COUNTIF($D$202:$D$453,D453))/COUNT($D$202:$D$453)*100,"")</f>
        <v/>
      </c>
      <c r="H453" s="10">
        <f>IFERROR(AVERAGE($D$202:$D$453),"")</f>
        <v/>
      </c>
      <c r="I453" s="10" t="n">
        <v>-2.747860354093477</v>
      </c>
      <c r="J453" t="inlineStr"/>
      <c r="K453" t="inlineStr"/>
    </row>
    <row r="454">
      <c r="A454" s="7" t="inlineStr">
        <is>
          <t>2015-12-30</t>
        </is>
      </c>
      <c r="B454" s="8">
        <f>IFERROR(VLOOKUP($A454,'01-原始价格'!$A:$M,2,FALSE),"")</f>
        <v/>
      </c>
      <c r="C454" s="8">
        <f>IFERROR(VLOOKUP($A454,'01-原始价格'!$A:$M,8,FALSE),"")</f>
        <v/>
      </c>
      <c r="D454" s="10">
        <f>IFERROR(B454/C454,"")</f>
        <v/>
      </c>
      <c r="E454" s="10">
        <f>IFERROR(C454/B454,"")</f>
        <v/>
      </c>
      <c r="F454" s="11">
        <f>IFERROR((D454/D453-1)*100,"")</f>
        <v/>
      </c>
      <c r="G454" s="11">
        <f>IFERROR((COUNTIF($D$203:$D$454,"&lt;"&amp;D454)+0.5*COUNTIF($D$203:$D$454,D454))/COUNT($D$203:$D$454)*100,"")</f>
        <v/>
      </c>
      <c r="H454" s="10">
        <f>IFERROR(AVERAGE($D$203:$D$454),"")</f>
        <v/>
      </c>
      <c r="I454" s="10" t="n">
        <v>-2.856058491069669</v>
      </c>
      <c r="J454" t="inlineStr"/>
      <c r="K454" t="inlineStr"/>
    </row>
    <row r="455">
      <c r="A455" s="7" t="inlineStr">
        <is>
          <t>2015-12-31</t>
        </is>
      </c>
      <c r="B455" s="8">
        <f>IFERROR(VLOOKUP($A455,'01-原始价格'!$A:$M,2,FALSE),"")</f>
        <v/>
      </c>
      <c r="C455" s="8">
        <f>IFERROR(VLOOKUP($A455,'01-原始价格'!$A:$M,8,FALSE),"")</f>
        <v/>
      </c>
      <c r="D455" s="10">
        <f>IFERROR(B455/C455,"")</f>
        <v/>
      </c>
      <c r="E455" s="10">
        <f>IFERROR(C455/B455,"")</f>
        <v/>
      </c>
      <c r="F455" s="11">
        <f>IFERROR((D455/D454-1)*100,"")</f>
        <v/>
      </c>
      <c r="G455" s="11">
        <f>IFERROR((COUNTIF($D$204:$D$455,"&lt;"&amp;D455)+0.5*COUNTIF($D$204:$D$455,D455))/COUNT($D$204:$D$455)*100,"")</f>
        <v/>
      </c>
      <c r="H455" s="10">
        <f>IFERROR(AVERAGE($D$204:$D$455),"")</f>
        <v/>
      </c>
      <c r="I455" s="10" t="n">
        <v>-2.745779078341351</v>
      </c>
      <c r="J455" t="inlineStr"/>
      <c r="K455" t="inlineStr"/>
    </row>
    <row r="456">
      <c r="A456" s="7" t="inlineStr">
        <is>
          <t>2016-01-04</t>
        </is>
      </c>
      <c r="B456" s="8">
        <f>IFERROR(VLOOKUP($A456,'01-原始价格'!$A:$M,2,FALSE),"")</f>
        <v/>
      </c>
      <c r="C456" s="8">
        <f>IFERROR(VLOOKUP($A456,'01-原始价格'!$A:$M,8,FALSE),"")</f>
        <v/>
      </c>
      <c r="D456" s="10">
        <f>IFERROR(B456/C456,"")</f>
        <v/>
      </c>
      <c r="E456" s="10">
        <f>IFERROR(C456/B456,"")</f>
        <v/>
      </c>
      <c r="F456" s="11">
        <f>IFERROR((D456/D455-1)*100,"")</f>
        <v/>
      </c>
      <c r="G456" s="11">
        <f>IFERROR((COUNTIF($D$205:$D$456,"&lt;"&amp;D456)+0.5*COUNTIF($D$205:$D$456,D456))/COUNT($D$205:$D$456)*100,"")</f>
        <v/>
      </c>
      <c r="H456" s="10">
        <f>IFERROR(AVERAGE($D$205:$D$456),"")</f>
        <v/>
      </c>
      <c r="I456" s="10" t="n">
        <v>-2.732157590398985</v>
      </c>
      <c r="J456" t="inlineStr"/>
      <c r="K456" t="inlineStr"/>
    </row>
    <row r="457">
      <c r="A457" s="7" t="inlineStr">
        <is>
          <t>2016-01-05</t>
        </is>
      </c>
      <c r="B457" s="8">
        <f>IFERROR(VLOOKUP($A457,'01-原始价格'!$A:$M,2,FALSE),"")</f>
        <v/>
      </c>
      <c r="C457" s="8">
        <f>IFERROR(VLOOKUP($A457,'01-原始价格'!$A:$M,8,FALSE),"")</f>
        <v/>
      </c>
      <c r="D457" s="10">
        <f>IFERROR(B457/C457,"")</f>
        <v/>
      </c>
      <c r="E457" s="10">
        <f>IFERROR(C457/B457,"")</f>
        <v/>
      </c>
      <c r="F457" s="11">
        <f>IFERROR((D457/D456-1)*100,"")</f>
        <v/>
      </c>
      <c r="G457" s="11">
        <f>IFERROR((COUNTIF($D$206:$D$457,"&lt;"&amp;D457)+0.5*COUNTIF($D$206:$D$457,D457))/COUNT($D$206:$D$457)*100,"")</f>
        <v/>
      </c>
      <c r="H457" s="10">
        <f>IFERROR(AVERAGE($D$206:$D$457),"")</f>
        <v/>
      </c>
      <c r="I457" s="10" t="n">
        <v>-2.653073750848337</v>
      </c>
      <c r="J457" t="inlineStr"/>
      <c r="K457" t="inlineStr"/>
    </row>
    <row r="458">
      <c r="A458" s="7" t="inlineStr">
        <is>
          <t>2016-01-06</t>
        </is>
      </c>
      <c r="B458" s="8">
        <f>IFERROR(VLOOKUP($A458,'01-原始价格'!$A:$M,2,FALSE),"")</f>
        <v/>
      </c>
      <c r="C458" s="8">
        <f>IFERROR(VLOOKUP($A458,'01-原始价格'!$A:$M,8,FALSE),"")</f>
        <v/>
      </c>
      <c r="D458" s="10">
        <f>IFERROR(B458/C458,"")</f>
        <v/>
      </c>
      <c r="E458" s="10">
        <f>IFERROR(C458/B458,"")</f>
        <v/>
      </c>
      <c r="F458" s="11">
        <f>IFERROR((D458/D457-1)*100,"")</f>
        <v/>
      </c>
      <c r="G458" s="11">
        <f>IFERROR((COUNTIF($D$207:$D$458,"&lt;"&amp;D458)+0.5*COUNTIF($D$207:$D$458,D458))/COUNT($D$207:$D$458)*100,"")</f>
        <v/>
      </c>
      <c r="H458" s="10">
        <f>IFERROR(AVERAGE($D$207:$D$458),"")</f>
        <v/>
      </c>
      <c r="I458" s="10" t="n">
        <v>-2.632710341733584</v>
      </c>
      <c r="J458" t="inlineStr"/>
      <c r="K458" t="inlineStr"/>
    </row>
    <row r="459">
      <c r="A459" s="7" t="inlineStr">
        <is>
          <t>2016-01-07</t>
        </is>
      </c>
      <c r="B459" s="8">
        <f>IFERROR(VLOOKUP($A459,'01-原始价格'!$A:$M,2,FALSE),"")</f>
        <v/>
      </c>
      <c r="C459" s="8">
        <f>IFERROR(VLOOKUP($A459,'01-原始价格'!$A:$M,8,FALSE),"")</f>
        <v/>
      </c>
      <c r="D459" s="10">
        <f>IFERROR(B459/C459,"")</f>
        <v/>
      </c>
      <c r="E459" s="10">
        <f>IFERROR(C459/B459,"")</f>
        <v/>
      </c>
      <c r="F459" s="11">
        <f>IFERROR((D459/D458-1)*100,"")</f>
        <v/>
      </c>
      <c r="G459" s="11">
        <f>IFERROR((COUNTIF($D$208:$D$459,"&lt;"&amp;D459)+0.5*COUNTIF($D$208:$D$459,D459))/COUNT($D$208:$D$459)*100,"")</f>
        <v/>
      </c>
      <c r="H459" s="10">
        <f>IFERROR(AVERAGE($D$208:$D$459),"")</f>
        <v/>
      </c>
      <c r="I459" s="10" t="n">
        <v>-2.612291727006506</v>
      </c>
      <c r="J459" t="inlineStr"/>
      <c r="K459" t="inlineStr"/>
    </row>
    <row r="460">
      <c r="A460" s="7" t="inlineStr">
        <is>
          <t>2016-01-08</t>
        </is>
      </c>
      <c r="B460" s="8">
        <f>IFERROR(VLOOKUP($A460,'01-原始价格'!$A:$M,2,FALSE),"")</f>
        <v/>
      </c>
      <c r="C460" s="8">
        <f>IFERROR(VLOOKUP($A460,'01-原始价格'!$A:$M,8,FALSE),"")</f>
        <v/>
      </c>
      <c r="D460" s="10">
        <f>IFERROR(B460/C460,"")</f>
        <v/>
      </c>
      <c r="E460" s="10">
        <f>IFERROR(C460/B460,"")</f>
        <v/>
      </c>
      <c r="F460" s="11">
        <f>IFERROR((D460/D459-1)*100,"")</f>
        <v/>
      </c>
      <c r="G460" s="11">
        <f>IFERROR((COUNTIF($D$209:$D$460,"&lt;"&amp;D460)+0.5*COUNTIF($D$209:$D$460,D460))/COUNT($D$209:$D$460)*100,"")</f>
        <v/>
      </c>
      <c r="H460" s="10">
        <f>IFERROR(AVERAGE($D$209:$D$460),"")</f>
        <v/>
      </c>
      <c r="I460" s="10" t="n">
        <v>-2.386947911366537</v>
      </c>
      <c r="J460" t="inlineStr"/>
      <c r="K460" t="inlineStr"/>
    </row>
    <row r="461">
      <c r="A461" s="7" t="inlineStr">
        <is>
          <t>2016-01-11</t>
        </is>
      </c>
      <c r="B461" s="8">
        <f>IFERROR(VLOOKUP($A461,'01-原始价格'!$A:$M,2,FALSE),"")</f>
        <v/>
      </c>
      <c r="C461" s="8">
        <f>IFERROR(VLOOKUP($A461,'01-原始价格'!$A:$M,8,FALSE),"")</f>
        <v/>
      </c>
      <c r="D461" s="10">
        <f>IFERROR(B461/C461,"")</f>
        <v/>
      </c>
      <c r="E461" s="10">
        <f>IFERROR(C461/B461,"")</f>
        <v/>
      </c>
      <c r="F461" s="11">
        <f>IFERROR((D461/D460-1)*100,"")</f>
        <v/>
      </c>
      <c r="G461" s="11">
        <f>IFERROR((COUNTIF($D$210:$D$461,"&lt;"&amp;D461)+0.5*COUNTIF($D$210:$D$461,D461))/COUNT($D$210:$D$461)*100,"")</f>
        <v/>
      </c>
      <c r="H461" s="10">
        <f>IFERROR(AVERAGE($D$210:$D$461),"")</f>
        <v/>
      </c>
      <c r="I461" s="10" t="n">
        <v>-2.291161059380339</v>
      </c>
      <c r="J461" t="inlineStr"/>
      <c r="K461" t="inlineStr"/>
    </row>
    <row r="462">
      <c r="A462" s="7" t="inlineStr">
        <is>
          <t>2016-01-12</t>
        </is>
      </c>
      <c r="B462" s="8">
        <f>IFERROR(VLOOKUP($A462,'01-原始价格'!$A:$M,2,FALSE),"")</f>
        <v/>
      </c>
      <c r="C462" s="8">
        <f>IFERROR(VLOOKUP($A462,'01-原始价格'!$A:$M,8,FALSE),"")</f>
        <v/>
      </c>
      <c r="D462" s="10">
        <f>IFERROR(B462/C462,"")</f>
        <v/>
      </c>
      <c r="E462" s="10">
        <f>IFERROR(C462/B462,"")</f>
        <v/>
      </c>
      <c r="F462" s="11">
        <f>IFERROR((D462/D461-1)*100,"")</f>
        <v/>
      </c>
      <c r="G462" s="11">
        <f>IFERROR((COUNTIF($D$211:$D$462,"&lt;"&amp;D462)+0.5*COUNTIF($D$211:$D$462,D462))/COUNT($D$211:$D$462)*100,"")</f>
        <v/>
      </c>
      <c r="H462" s="10">
        <f>IFERROR(AVERAGE($D$211:$D$462),"")</f>
        <v/>
      </c>
      <c r="I462" s="10" t="n">
        <v>-2.382172914264421</v>
      </c>
      <c r="J462" t="inlineStr"/>
      <c r="K462" t="inlineStr"/>
    </row>
    <row r="463">
      <c r="A463" s="7" t="inlineStr">
        <is>
          <t>2016-01-13</t>
        </is>
      </c>
      <c r="B463" s="8">
        <f>IFERROR(VLOOKUP($A463,'01-原始价格'!$A:$M,2,FALSE),"")</f>
        <v/>
      </c>
      <c r="C463" s="8">
        <f>IFERROR(VLOOKUP($A463,'01-原始价格'!$A:$M,8,FALSE),"")</f>
        <v/>
      </c>
      <c r="D463" s="10">
        <f>IFERROR(B463/C463,"")</f>
        <v/>
      </c>
      <c r="E463" s="10">
        <f>IFERROR(C463/B463,"")</f>
        <v/>
      </c>
      <c r="F463" s="11">
        <f>IFERROR((D463/D462-1)*100,"")</f>
        <v/>
      </c>
      <c r="G463" s="11">
        <f>IFERROR((COUNTIF($D$212:$D$463,"&lt;"&amp;D463)+0.5*COUNTIF($D$212:$D$463,D463))/COUNT($D$212:$D$463)*100,"")</f>
        <v/>
      </c>
      <c r="H463" s="10">
        <f>IFERROR(AVERAGE($D$212:$D$463),"")</f>
        <v/>
      </c>
      <c r="I463" s="10" t="n">
        <v>-2.225696507124942</v>
      </c>
      <c r="J463" t="inlineStr"/>
      <c r="K463" t="inlineStr"/>
    </row>
    <row r="464">
      <c r="A464" s="7" t="inlineStr">
        <is>
          <t>2016-01-14</t>
        </is>
      </c>
      <c r="B464" s="8">
        <f>IFERROR(VLOOKUP($A464,'01-原始价格'!$A:$M,2,FALSE),"")</f>
        <v/>
      </c>
      <c r="C464" s="8">
        <f>IFERROR(VLOOKUP($A464,'01-原始价格'!$A:$M,8,FALSE),"")</f>
        <v/>
      </c>
      <c r="D464" s="10">
        <f>IFERROR(B464/C464,"")</f>
        <v/>
      </c>
      <c r="E464" s="10">
        <f>IFERROR(C464/B464,"")</f>
        <v/>
      </c>
      <c r="F464" s="11">
        <f>IFERROR((D464/D463-1)*100,"")</f>
        <v/>
      </c>
      <c r="G464" s="11">
        <f>IFERROR((COUNTIF($D$213:$D$464,"&lt;"&amp;D464)+0.5*COUNTIF($D$213:$D$464,D464))/COUNT($D$213:$D$464)*100,"")</f>
        <v/>
      </c>
      <c r="H464" s="10">
        <f>IFERROR(AVERAGE($D$213:$D$464),"")</f>
        <v/>
      </c>
      <c r="I464" s="10" t="n">
        <v>-1.957108261391006</v>
      </c>
      <c r="J464" t="inlineStr"/>
      <c r="K464" t="inlineStr"/>
    </row>
    <row r="465">
      <c r="A465" s="7" t="inlineStr">
        <is>
          <t>2016-01-15</t>
        </is>
      </c>
      <c r="B465" s="8">
        <f>IFERROR(VLOOKUP($A465,'01-原始价格'!$A:$M,2,FALSE),"")</f>
        <v/>
      </c>
      <c r="C465" s="8">
        <f>IFERROR(VLOOKUP($A465,'01-原始价格'!$A:$M,8,FALSE),"")</f>
        <v/>
      </c>
      <c r="D465" s="10">
        <f>IFERROR(B465/C465,"")</f>
        <v/>
      </c>
      <c r="E465" s="10">
        <f>IFERROR(C465/B465,"")</f>
        <v/>
      </c>
      <c r="F465" s="11">
        <f>IFERROR((D465/D464-1)*100,"")</f>
        <v/>
      </c>
      <c r="G465" s="11">
        <f>IFERROR((COUNTIF($D$214:$D$465,"&lt;"&amp;D465)+0.5*COUNTIF($D$214:$D$465,D465))/COUNT($D$214:$D$465)*100,"")</f>
        <v/>
      </c>
      <c r="H465" s="10">
        <f>IFERROR(AVERAGE($D$214:$D$465),"")</f>
        <v/>
      </c>
      <c r="I465" s="10" t="n">
        <v>-1.937575565002015</v>
      </c>
      <c r="J465" t="inlineStr"/>
      <c r="K465" t="inlineStr"/>
    </row>
    <row r="466">
      <c r="A466" s="7" t="inlineStr">
        <is>
          <t>2016-01-18</t>
        </is>
      </c>
      <c r="B466" s="8">
        <f>IFERROR(VLOOKUP($A466,'01-原始价格'!$A:$M,2,FALSE),"")</f>
        <v/>
      </c>
      <c r="C466" s="8">
        <f>IFERROR(VLOOKUP($A466,'01-原始价格'!$A:$M,8,FALSE),"")</f>
        <v/>
      </c>
      <c r="D466" s="10">
        <f>IFERROR(B466/C466,"")</f>
        <v/>
      </c>
      <c r="E466" s="10">
        <f>IFERROR(C466/B466,"")</f>
        <v/>
      </c>
      <c r="F466" s="11">
        <f>IFERROR((D466/D465-1)*100,"")</f>
        <v/>
      </c>
      <c r="G466" s="11">
        <f>IFERROR((COUNTIF($D$215:$D$466,"&lt;"&amp;D466)+0.5*COUNTIF($D$215:$D$466,D466))/COUNT($D$215:$D$466)*100,"")</f>
        <v/>
      </c>
      <c r="H466" s="10">
        <f>IFERROR(AVERAGE($D$215:$D$466),"")</f>
        <v/>
      </c>
      <c r="I466" s="10" t="n">
        <v>-1.954501864734969</v>
      </c>
      <c r="J466" t="inlineStr"/>
      <c r="K466" t="inlineStr"/>
    </row>
    <row r="467">
      <c r="A467" s="7" t="inlineStr">
        <is>
          <t>2016-01-19</t>
        </is>
      </c>
      <c r="B467" s="8">
        <f>IFERROR(VLOOKUP($A467,'01-原始价格'!$A:$M,2,FALSE),"")</f>
        <v/>
      </c>
      <c r="C467" s="8">
        <f>IFERROR(VLOOKUP($A467,'01-原始价格'!$A:$M,8,FALSE),"")</f>
        <v/>
      </c>
      <c r="D467" s="10">
        <f>IFERROR(B467/C467,"")</f>
        <v/>
      </c>
      <c r="E467" s="10">
        <f>IFERROR(C467/B467,"")</f>
        <v/>
      </c>
      <c r="F467" s="11">
        <f>IFERROR((D467/D466-1)*100,"")</f>
        <v/>
      </c>
      <c r="G467" s="11">
        <f>IFERROR((COUNTIF($D$216:$D$467,"&lt;"&amp;D467)+0.5*COUNTIF($D$216:$D$467,D467))/COUNT($D$216:$D$467)*100,"")</f>
        <v/>
      </c>
      <c r="H467" s="10">
        <f>IFERROR(AVERAGE($D$216:$D$467),"")</f>
        <v/>
      </c>
      <c r="I467" s="10" t="n">
        <v>-1.919385307452862</v>
      </c>
      <c r="J467" t="inlineStr"/>
      <c r="K467" t="inlineStr"/>
    </row>
    <row r="468">
      <c r="A468" s="7" t="inlineStr">
        <is>
          <t>2016-01-20</t>
        </is>
      </c>
      <c r="B468" s="8">
        <f>IFERROR(VLOOKUP($A468,'01-原始价格'!$A:$M,2,FALSE),"")</f>
        <v/>
      </c>
      <c r="C468" s="8">
        <f>IFERROR(VLOOKUP($A468,'01-原始价格'!$A:$M,8,FALSE),"")</f>
        <v/>
      </c>
      <c r="D468" s="10">
        <f>IFERROR(B468/C468,"")</f>
        <v/>
      </c>
      <c r="E468" s="10">
        <f>IFERROR(C468/B468,"")</f>
        <v/>
      </c>
      <c r="F468" s="11">
        <f>IFERROR((D468/D467-1)*100,"")</f>
        <v/>
      </c>
      <c r="G468" s="11">
        <f>IFERROR((COUNTIF($D$217:$D$468,"&lt;"&amp;D468)+0.5*COUNTIF($D$217:$D$468,D468))/COUNT($D$217:$D$468)*100,"")</f>
        <v/>
      </c>
      <c r="H468" s="10">
        <f>IFERROR(AVERAGE($D$217:$D$468),"")</f>
        <v/>
      </c>
      <c r="I468" s="10" t="n">
        <v>-1.758370331225234</v>
      </c>
      <c r="J468" t="inlineStr"/>
      <c r="K468" t="inlineStr"/>
    </row>
    <row r="469">
      <c r="A469" s="7" t="inlineStr">
        <is>
          <t>2016-01-21</t>
        </is>
      </c>
      <c r="B469" s="8">
        <f>IFERROR(VLOOKUP($A469,'01-原始价格'!$A:$M,2,FALSE),"")</f>
        <v/>
      </c>
      <c r="C469" s="8">
        <f>IFERROR(VLOOKUP($A469,'01-原始价格'!$A:$M,8,FALSE),"")</f>
        <v/>
      </c>
      <c r="D469" s="10">
        <f>IFERROR(B469/C469,"")</f>
        <v/>
      </c>
      <c r="E469" s="10">
        <f>IFERROR(C469/B469,"")</f>
        <v/>
      </c>
      <c r="F469" s="11">
        <f>IFERROR((D469/D468-1)*100,"")</f>
        <v/>
      </c>
      <c r="G469" s="11">
        <f>IFERROR((COUNTIF($D$218:$D$469,"&lt;"&amp;D469)+0.5*COUNTIF($D$218:$D$469,D469))/COUNT($D$218:$D$469)*100,"")</f>
        <v/>
      </c>
      <c r="H469" s="10">
        <f>IFERROR(AVERAGE($D$218:$D$469),"")</f>
        <v/>
      </c>
      <c r="I469" s="10" t="n">
        <v>-1.593075592789676</v>
      </c>
      <c r="J469" t="inlineStr"/>
      <c r="K469" t="inlineStr"/>
    </row>
    <row r="470">
      <c r="A470" s="7" t="inlineStr">
        <is>
          <t>2016-01-22</t>
        </is>
      </c>
      <c r="B470" s="8">
        <f>IFERROR(VLOOKUP($A470,'01-原始价格'!$A:$M,2,FALSE),"")</f>
        <v/>
      </c>
      <c r="C470" s="8">
        <f>IFERROR(VLOOKUP($A470,'01-原始价格'!$A:$M,8,FALSE),"")</f>
        <v/>
      </c>
      <c r="D470" s="10">
        <f>IFERROR(B470/C470,"")</f>
        <v/>
      </c>
      <c r="E470" s="10">
        <f>IFERROR(C470/B470,"")</f>
        <v/>
      </c>
      <c r="F470" s="11">
        <f>IFERROR((D470/D469-1)*100,"")</f>
        <v/>
      </c>
      <c r="G470" s="11">
        <f>IFERROR((COUNTIF($D$219:$D$470,"&lt;"&amp;D470)+0.5*COUNTIF($D$219:$D$470,D470))/COUNT($D$219:$D$470)*100,"")</f>
        <v/>
      </c>
      <c r="H470" s="10">
        <f>IFERROR(AVERAGE($D$219:$D$470),"")</f>
        <v/>
      </c>
      <c r="I470" s="10" t="n">
        <v>-1.486129654335853</v>
      </c>
      <c r="J470" t="inlineStr"/>
      <c r="K470" t="inlineStr"/>
    </row>
    <row r="471">
      <c r="A471" s="7" t="inlineStr">
        <is>
          <t>2016-01-25</t>
        </is>
      </c>
      <c r="B471" s="8">
        <f>IFERROR(VLOOKUP($A471,'01-原始价格'!$A:$M,2,FALSE),"")</f>
        <v/>
      </c>
      <c r="C471" s="8">
        <f>IFERROR(VLOOKUP($A471,'01-原始价格'!$A:$M,8,FALSE),"")</f>
        <v/>
      </c>
      <c r="D471" s="10">
        <f>IFERROR(B471/C471,"")</f>
        <v/>
      </c>
      <c r="E471" s="10">
        <f>IFERROR(C471/B471,"")</f>
        <v/>
      </c>
      <c r="F471" s="11">
        <f>IFERROR((D471/D470-1)*100,"")</f>
        <v/>
      </c>
      <c r="G471" s="11">
        <f>IFERROR((COUNTIF($D$220:$D$471,"&lt;"&amp;D471)+0.5*COUNTIF($D$220:$D$471,D471))/COUNT($D$220:$D$471)*100,"")</f>
        <v/>
      </c>
      <c r="H471" s="10">
        <f>IFERROR(AVERAGE($D$220:$D$471),"")</f>
        <v/>
      </c>
      <c r="I471" s="10" t="n">
        <v>-1.240738134083891</v>
      </c>
      <c r="J471" t="inlineStr"/>
      <c r="K471" t="inlineStr"/>
    </row>
    <row r="472">
      <c r="A472" s="7" t="inlineStr">
        <is>
          <t>2016-01-26</t>
        </is>
      </c>
      <c r="B472" s="8">
        <f>IFERROR(VLOOKUP($A472,'01-原始价格'!$A:$M,2,FALSE),"")</f>
        <v/>
      </c>
      <c r="C472" s="8">
        <f>IFERROR(VLOOKUP($A472,'01-原始价格'!$A:$M,8,FALSE),"")</f>
        <v/>
      </c>
      <c r="D472" s="10">
        <f>IFERROR(B472/C472,"")</f>
        <v/>
      </c>
      <c r="E472" s="10">
        <f>IFERROR(C472/B472,"")</f>
        <v/>
      </c>
      <c r="F472" s="11">
        <f>IFERROR((D472/D471-1)*100,"")</f>
        <v/>
      </c>
      <c r="G472" s="11">
        <f>IFERROR((COUNTIF($D$221:$D$472,"&lt;"&amp;D472)+0.5*COUNTIF($D$221:$D$472,D472))/COUNT($D$221:$D$472)*100,"")</f>
        <v/>
      </c>
      <c r="H472" s="10">
        <f>IFERROR(AVERAGE($D$221:$D$472),"")</f>
        <v/>
      </c>
      <c r="I472" s="10" t="n">
        <v>-1.159381852428095</v>
      </c>
      <c r="J472" t="inlineStr"/>
      <c r="K472" t="inlineStr"/>
    </row>
    <row r="473">
      <c r="A473" s="7" t="inlineStr">
        <is>
          <t>2016-01-27</t>
        </is>
      </c>
      <c r="B473" s="8">
        <f>IFERROR(VLOOKUP($A473,'01-原始价格'!$A:$M,2,FALSE),"")</f>
        <v/>
      </c>
      <c r="C473" s="8">
        <f>IFERROR(VLOOKUP($A473,'01-原始价格'!$A:$M,8,FALSE),"")</f>
        <v/>
      </c>
      <c r="D473" s="10">
        <f>IFERROR(B473/C473,"")</f>
        <v/>
      </c>
      <c r="E473" s="10">
        <f>IFERROR(C473/B473,"")</f>
        <v/>
      </c>
      <c r="F473" s="11">
        <f>IFERROR((D473/D472-1)*100,"")</f>
        <v/>
      </c>
      <c r="G473" s="11">
        <f>IFERROR((COUNTIF($D$222:$D$473,"&lt;"&amp;D473)+0.5*COUNTIF($D$222:$D$473,D473))/COUNT($D$222:$D$473)*100,"")</f>
        <v/>
      </c>
      <c r="H473" s="10">
        <f>IFERROR(AVERAGE($D$222:$D$473),"")</f>
        <v/>
      </c>
      <c r="I473" s="10" t="n">
        <v>-1.083864609660172</v>
      </c>
      <c r="J473" t="inlineStr"/>
      <c r="K473" t="inlineStr"/>
    </row>
    <row r="474">
      <c r="A474" s="7" t="inlineStr">
        <is>
          <t>2016-01-28</t>
        </is>
      </c>
      <c r="B474" s="8">
        <f>IFERROR(VLOOKUP($A474,'01-原始价格'!$A:$M,2,FALSE),"")</f>
        <v/>
      </c>
      <c r="C474" s="8">
        <f>IFERROR(VLOOKUP($A474,'01-原始价格'!$A:$M,8,FALSE),"")</f>
        <v/>
      </c>
      <c r="D474" s="10">
        <f>IFERROR(B474/C474,"")</f>
        <v/>
      </c>
      <c r="E474" s="10">
        <f>IFERROR(C474/B474,"")</f>
        <v/>
      </c>
      <c r="F474" s="11">
        <f>IFERROR((D474/D473-1)*100,"")</f>
        <v/>
      </c>
      <c r="G474" s="11">
        <f>IFERROR((COUNTIF($D$223:$D$474,"&lt;"&amp;D474)+0.5*COUNTIF($D$223:$D$474,D474))/COUNT($D$223:$D$474)*100,"")</f>
        <v/>
      </c>
      <c r="H474" s="10">
        <f>IFERROR(AVERAGE($D$223:$D$474),"")</f>
        <v/>
      </c>
      <c r="I474" s="10" t="n">
        <v>-1.004948600123538</v>
      </c>
      <c r="J474" t="inlineStr"/>
      <c r="K474" t="inlineStr"/>
    </row>
    <row r="475">
      <c r="A475" s="7" t="inlineStr">
        <is>
          <t>2016-01-29</t>
        </is>
      </c>
      <c r="B475" s="8">
        <f>IFERROR(VLOOKUP($A475,'01-原始价格'!$A:$M,2,FALSE),"")</f>
        <v/>
      </c>
      <c r="C475" s="8">
        <f>IFERROR(VLOOKUP($A475,'01-原始价格'!$A:$M,8,FALSE),"")</f>
        <v/>
      </c>
      <c r="D475" s="10">
        <f>IFERROR(B475/C475,"")</f>
        <v/>
      </c>
      <c r="E475" s="10">
        <f>IFERROR(C475/B475,"")</f>
        <v/>
      </c>
      <c r="F475" s="11">
        <f>IFERROR((D475/D474-1)*100,"")</f>
        <v/>
      </c>
      <c r="G475" s="11">
        <f>IFERROR((COUNTIF($D$224:$D$475,"&lt;"&amp;D475)+0.5*COUNTIF($D$224:$D$475,D475))/COUNT($D$224:$D$475)*100,"")</f>
        <v/>
      </c>
      <c r="H475" s="10">
        <f>IFERROR(AVERAGE($D$224:$D$475),"")</f>
        <v/>
      </c>
      <c r="I475" s="10" t="n">
        <v>-1.05081934717745</v>
      </c>
      <c r="J475" t="inlineStr"/>
      <c r="K475" t="inlineStr"/>
    </row>
    <row r="476">
      <c r="A476" s="7" t="inlineStr">
        <is>
          <t>2016-02-01</t>
        </is>
      </c>
      <c r="B476" s="8">
        <f>IFERROR(VLOOKUP($A476,'01-原始价格'!$A:$M,2,FALSE),"")</f>
        <v/>
      </c>
      <c r="C476" s="8">
        <f>IFERROR(VLOOKUP($A476,'01-原始价格'!$A:$M,8,FALSE),"")</f>
        <v/>
      </c>
      <c r="D476" s="10">
        <f>IFERROR(B476/C476,"")</f>
        <v/>
      </c>
      <c r="E476" s="10">
        <f>IFERROR(C476/B476,"")</f>
        <v/>
      </c>
      <c r="F476" s="11">
        <f>IFERROR((D476/D475-1)*100,"")</f>
        <v/>
      </c>
      <c r="G476" s="11">
        <f>IFERROR((COUNTIF($D$225:$D$476,"&lt;"&amp;D476)+0.5*COUNTIF($D$225:$D$476,D476))/COUNT($D$225:$D$476)*100,"")</f>
        <v/>
      </c>
      <c r="H476" s="10">
        <f>IFERROR(AVERAGE($D$225:$D$476),"")</f>
        <v/>
      </c>
      <c r="I476" s="10" t="n">
        <v>-1.00958908600997</v>
      </c>
      <c r="J476" t="inlineStr"/>
      <c r="K476" t="inlineStr"/>
    </row>
    <row r="477">
      <c r="A477" s="7" t="inlineStr">
        <is>
          <t>2016-02-02</t>
        </is>
      </c>
      <c r="B477" s="8">
        <f>IFERROR(VLOOKUP($A477,'01-原始价格'!$A:$M,2,FALSE),"")</f>
        <v/>
      </c>
      <c r="C477" s="8">
        <f>IFERROR(VLOOKUP($A477,'01-原始价格'!$A:$M,8,FALSE),"")</f>
        <v/>
      </c>
      <c r="D477" s="10">
        <f>IFERROR(B477/C477,"")</f>
        <v/>
      </c>
      <c r="E477" s="10">
        <f>IFERROR(C477/B477,"")</f>
        <v/>
      </c>
      <c r="F477" s="11">
        <f>IFERROR((D477/D476-1)*100,"")</f>
        <v/>
      </c>
      <c r="G477" s="11">
        <f>IFERROR((COUNTIF($D$226:$D$477,"&lt;"&amp;D477)+0.5*COUNTIF($D$226:$D$477,D477))/COUNT($D$226:$D$477)*100,"")</f>
        <v/>
      </c>
      <c r="H477" s="10">
        <f>IFERROR(AVERAGE($D$226:$D$477),"")</f>
        <v/>
      </c>
      <c r="I477" s="10" t="n">
        <v>-0.9772837691581016</v>
      </c>
      <c r="J477" t="inlineStr"/>
      <c r="K477" t="inlineStr"/>
    </row>
    <row r="478">
      <c r="A478" s="7" t="inlineStr">
        <is>
          <t>2016-02-03</t>
        </is>
      </c>
      <c r="B478" s="8">
        <f>IFERROR(VLOOKUP($A478,'01-原始价格'!$A:$M,2,FALSE),"")</f>
        <v/>
      </c>
      <c r="C478" s="8">
        <f>IFERROR(VLOOKUP($A478,'01-原始价格'!$A:$M,8,FALSE),"")</f>
        <v/>
      </c>
      <c r="D478" s="10">
        <f>IFERROR(B478/C478,"")</f>
        <v/>
      </c>
      <c r="E478" s="10">
        <f>IFERROR(C478/B478,"")</f>
        <v/>
      </c>
      <c r="F478" s="11">
        <f>IFERROR((D478/D477-1)*100,"")</f>
        <v/>
      </c>
      <c r="G478" s="11">
        <f>IFERROR((COUNTIF($D$227:$D$478,"&lt;"&amp;D478)+0.5*COUNTIF($D$227:$D$478,D478))/COUNT($D$227:$D$478)*100,"")</f>
        <v/>
      </c>
      <c r="H478" s="10">
        <f>IFERROR(AVERAGE($D$227:$D$478),"")</f>
        <v/>
      </c>
      <c r="I478" s="10" t="n">
        <v>-0.8364104928743158</v>
      </c>
      <c r="J478" t="inlineStr"/>
      <c r="K478" t="inlineStr"/>
    </row>
    <row r="479">
      <c r="A479" s="7" t="inlineStr">
        <is>
          <t>2016-02-04</t>
        </is>
      </c>
      <c r="B479" s="8">
        <f>IFERROR(VLOOKUP($A479,'01-原始价格'!$A:$M,2,FALSE),"")</f>
        <v/>
      </c>
      <c r="C479" s="8">
        <f>IFERROR(VLOOKUP($A479,'01-原始价格'!$A:$M,8,FALSE),"")</f>
        <v/>
      </c>
      <c r="D479" s="10">
        <f>IFERROR(B479/C479,"")</f>
        <v/>
      </c>
      <c r="E479" s="10">
        <f>IFERROR(C479/B479,"")</f>
        <v/>
      </c>
      <c r="F479" s="11">
        <f>IFERROR((D479/D478-1)*100,"")</f>
        <v/>
      </c>
      <c r="G479" s="11">
        <f>IFERROR((COUNTIF($D$228:$D$479,"&lt;"&amp;D479)+0.5*COUNTIF($D$228:$D$479,D479))/COUNT($D$228:$D$479)*100,"")</f>
        <v/>
      </c>
      <c r="H479" s="10">
        <f>IFERROR(AVERAGE($D$228:$D$479),"")</f>
        <v/>
      </c>
      <c r="I479" s="10" t="n">
        <v>-0.7423653721322481</v>
      </c>
      <c r="J479" t="inlineStr"/>
      <c r="K479" t="inlineStr"/>
    </row>
    <row r="480">
      <c r="A480" s="7" t="inlineStr">
        <is>
          <t>2016-02-05</t>
        </is>
      </c>
      <c r="B480" s="8">
        <f>IFERROR(VLOOKUP($A480,'01-原始价格'!$A:$M,2,FALSE),"")</f>
        <v/>
      </c>
      <c r="C480" s="8">
        <f>IFERROR(VLOOKUP($A480,'01-原始价格'!$A:$M,8,FALSE),"")</f>
        <v/>
      </c>
      <c r="D480" s="10">
        <f>IFERROR(B480/C480,"")</f>
        <v/>
      </c>
      <c r="E480" s="10">
        <f>IFERROR(C480/B480,"")</f>
        <v/>
      </c>
      <c r="F480" s="11">
        <f>IFERROR((D480/D479-1)*100,"")</f>
        <v/>
      </c>
      <c r="G480" s="11">
        <f>IFERROR((COUNTIF($D$229:$D$480,"&lt;"&amp;D480)+0.5*COUNTIF($D$229:$D$480,D480))/COUNT($D$229:$D$480)*100,"")</f>
        <v/>
      </c>
      <c r="H480" s="10">
        <f>IFERROR(AVERAGE($D$229:$D$480),"")</f>
        <v/>
      </c>
      <c r="I480" s="10" t="n">
        <v>-0.6763887318502182</v>
      </c>
      <c r="J480" t="inlineStr"/>
      <c r="K480" t="inlineStr"/>
    </row>
    <row r="481">
      <c r="A481" s="7" t="inlineStr">
        <is>
          <t>2016-02-15</t>
        </is>
      </c>
      <c r="B481" s="8">
        <f>IFERROR(VLOOKUP($A481,'01-原始价格'!$A:$M,2,FALSE),"")</f>
        <v/>
      </c>
      <c r="C481" s="8">
        <f>IFERROR(VLOOKUP($A481,'01-原始价格'!$A:$M,8,FALSE),"")</f>
        <v/>
      </c>
      <c r="D481" s="10">
        <f>IFERROR(B481/C481,"")</f>
        <v/>
      </c>
      <c r="E481" s="10">
        <f>IFERROR(C481/B481,"")</f>
        <v/>
      </c>
      <c r="F481" s="11">
        <f>IFERROR((D481/D480-1)*100,"")</f>
        <v/>
      </c>
      <c r="G481" s="11">
        <f>IFERROR((COUNTIF($D$230:$D$481,"&lt;"&amp;D481)+0.5*COUNTIF($D$230:$D$481,D481))/COUNT($D$230:$D$481)*100,"")</f>
        <v/>
      </c>
      <c r="H481" s="10">
        <f>IFERROR(AVERAGE($D$230:$D$481),"")</f>
        <v/>
      </c>
      <c r="I481" s="10" t="n">
        <v>-0.7431543500603529</v>
      </c>
      <c r="J481" t="inlineStr"/>
      <c r="K481" t="inlineStr"/>
    </row>
    <row r="482">
      <c r="A482" s="7" t="inlineStr">
        <is>
          <t>2016-02-16</t>
        </is>
      </c>
      <c r="B482" s="8">
        <f>IFERROR(VLOOKUP($A482,'01-原始价格'!$A:$M,2,FALSE),"")</f>
        <v/>
      </c>
      <c r="C482" s="8">
        <f>IFERROR(VLOOKUP($A482,'01-原始价格'!$A:$M,8,FALSE),"")</f>
        <v/>
      </c>
      <c r="D482" s="10">
        <f>IFERROR(B482/C482,"")</f>
        <v/>
      </c>
      <c r="E482" s="10">
        <f>IFERROR(C482/B482,"")</f>
        <v/>
      </c>
      <c r="F482" s="11">
        <f>IFERROR((D482/D481-1)*100,"")</f>
        <v/>
      </c>
      <c r="G482" s="11">
        <f>IFERROR((COUNTIF($D$231:$D$482,"&lt;"&amp;D482)+0.5*COUNTIF($D$231:$D$482,D482))/COUNT($D$231:$D$482)*100,"")</f>
        <v/>
      </c>
      <c r="H482" s="10">
        <f>IFERROR(AVERAGE($D$231:$D$482),"")</f>
        <v/>
      </c>
      <c r="I482" s="10" t="n">
        <v>-0.7519033417238619</v>
      </c>
      <c r="J482" t="inlineStr"/>
      <c r="K482" t="inlineStr"/>
    </row>
    <row r="483">
      <c r="A483" s="7" t="inlineStr">
        <is>
          <t>2016-02-17</t>
        </is>
      </c>
      <c r="B483" s="8">
        <f>IFERROR(VLOOKUP($A483,'01-原始价格'!$A:$M,2,FALSE),"")</f>
        <v/>
      </c>
      <c r="C483" s="8">
        <f>IFERROR(VLOOKUP($A483,'01-原始价格'!$A:$M,8,FALSE),"")</f>
        <v/>
      </c>
      <c r="D483" s="10">
        <f>IFERROR(B483/C483,"")</f>
        <v/>
      </c>
      <c r="E483" s="10">
        <f>IFERROR(C483/B483,"")</f>
        <v/>
      </c>
      <c r="F483" s="11">
        <f>IFERROR((D483/D482-1)*100,"")</f>
        <v/>
      </c>
      <c r="G483" s="11">
        <f>IFERROR((COUNTIF($D$232:$D$483,"&lt;"&amp;D483)+0.5*COUNTIF($D$232:$D$483,D483))/COUNT($D$232:$D$483)*100,"")</f>
        <v/>
      </c>
      <c r="H483" s="10">
        <f>IFERROR(AVERAGE($D$232:$D$483),"")</f>
        <v/>
      </c>
      <c r="I483" s="10" t="n">
        <v>-0.7702926766742081</v>
      </c>
      <c r="J483" t="inlineStr"/>
      <c r="K483" t="inlineStr"/>
    </row>
    <row r="484">
      <c r="A484" s="7" t="inlineStr">
        <is>
          <t>2016-02-18</t>
        </is>
      </c>
      <c r="B484" s="8">
        <f>IFERROR(VLOOKUP($A484,'01-原始价格'!$A:$M,2,FALSE),"")</f>
        <v/>
      </c>
      <c r="C484" s="8">
        <f>IFERROR(VLOOKUP($A484,'01-原始价格'!$A:$M,8,FALSE),"")</f>
        <v/>
      </c>
      <c r="D484" s="10">
        <f>IFERROR(B484/C484,"")</f>
        <v/>
      </c>
      <c r="E484" s="10">
        <f>IFERROR(C484/B484,"")</f>
        <v/>
      </c>
      <c r="F484" s="11">
        <f>IFERROR((D484/D483-1)*100,"")</f>
        <v/>
      </c>
      <c r="G484" s="11">
        <f>IFERROR((COUNTIF($D$233:$D$484,"&lt;"&amp;D484)+0.5*COUNTIF($D$233:$D$484,D484))/COUNT($D$233:$D$484)*100,"")</f>
        <v/>
      </c>
      <c r="H484" s="10">
        <f>IFERROR(AVERAGE($D$233:$D$484),"")</f>
        <v/>
      </c>
      <c r="I484" s="10" t="n">
        <v>-0.6987901307591849</v>
      </c>
      <c r="J484" t="inlineStr"/>
      <c r="K484" t="inlineStr"/>
    </row>
    <row r="485">
      <c r="A485" s="7" t="inlineStr">
        <is>
          <t>2016-02-19</t>
        </is>
      </c>
      <c r="B485" s="8">
        <f>IFERROR(VLOOKUP($A485,'01-原始价格'!$A:$M,2,FALSE),"")</f>
        <v/>
      </c>
      <c r="C485" s="8">
        <f>IFERROR(VLOOKUP($A485,'01-原始价格'!$A:$M,8,FALSE),"")</f>
        <v/>
      </c>
      <c r="D485" s="10">
        <f>IFERROR(B485/C485,"")</f>
        <v/>
      </c>
      <c r="E485" s="10">
        <f>IFERROR(C485/B485,"")</f>
        <v/>
      </c>
      <c r="F485" s="11">
        <f>IFERROR((D485/D484-1)*100,"")</f>
        <v/>
      </c>
      <c r="G485" s="11">
        <f>IFERROR((COUNTIF($D$234:$D$485,"&lt;"&amp;D485)+0.5*COUNTIF($D$234:$D$485,D485))/COUNT($D$234:$D$485)*100,"")</f>
        <v/>
      </c>
      <c r="H485" s="10">
        <f>IFERROR(AVERAGE($D$234:$D$485),"")</f>
        <v/>
      </c>
      <c r="I485" s="10" t="n">
        <v>-0.7045097955670262</v>
      </c>
      <c r="J485" t="inlineStr"/>
      <c r="K485" t="inlineStr"/>
    </row>
    <row r="486">
      <c r="A486" s="7" t="inlineStr">
        <is>
          <t>2016-02-22</t>
        </is>
      </c>
      <c r="B486" s="8">
        <f>IFERROR(VLOOKUP($A486,'01-原始价格'!$A:$M,2,FALSE),"")</f>
        <v/>
      </c>
      <c r="C486" s="8">
        <f>IFERROR(VLOOKUP($A486,'01-原始价格'!$A:$M,8,FALSE),"")</f>
        <v/>
      </c>
      <c r="D486" s="10">
        <f>IFERROR(B486/C486,"")</f>
        <v/>
      </c>
      <c r="E486" s="10">
        <f>IFERROR(C486/B486,"")</f>
        <v/>
      </c>
      <c r="F486" s="11">
        <f>IFERROR((D486/D485-1)*100,"")</f>
        <v/>
      </c>
      <c r="G486" s="11">
        <f>IFERROR((COUNTIF($D$235:$D$486,"&lt;"&amp;D486)+0.5*COUNTIF($D$235:$D$486,D486))/COUNT($D$235:$D$486)*100,"")</f>
        <v/>
      </c>
      <c r="H486" s="10">
        <f>IFERROR(AVERAGE($D$235:$D$486),"")</f>
        <v/>
      </c>
      <c r="I486" s="10" t="n">
        <v>-0.6532655677358969</v>
      </c>
      <c r="J486" t="inlineStr"/>
      <c r="K486" t="inlineStr"/>
    </row>
    <row r="487">
      <c r="A487" s="7" t="inlineStr">
        <is>
          <t>2016-02-23</t>
        </is>
      </c>
      <c r="B487" s="8">
        <f>IFERROR(VLOOKUP($A487,'01-原始价格'!$A:$M,2,FALSE),"")</f>
        <v/>
      </c>
      <c r="C487" s="8">
        <f>IFERROR(VLOOKUP($A487,'01-原始价格'!$A:$M,8,FALSE),"")</f>
        <v/>
      </c>
      <c r="D487" s="10">
        <f>IFERROR(B487/C487,"")</f>
        <v/>
      </c>
      <c r="E487" s="10">
        <f>IFERROR(C487/B487,"")</f>
        <v/>
      </c>
      <c r="F487" s="11">
        <f>IFERROR((D487/D486-1)*100,"")</f>
        <v/>
      </c>
      <c r="G487" s="11">
        <f>IFERROR((COUNTIF($D$236:$D$487,"&lt;"&amp;D487)+0.5*COUNTIF($D$236:$D$487,D487))/COUNT($D$236:$D$487)*100,"")</f>
        <v/>
      </c>
      <c r="H487" s="10">
        <f>IFERROR(AVERAGE($D$236:$D$487),"")</f>
        <v/>
      </c>
      <c r="I487" s="10" t="n">
        <v>-0.5943573205297311</v>
      </c>
      <c r="J487" t="inlineStr"/>
      <c r="K487" t="inlineStr"/>
    </row>
    <row r="488">
      <c r="A488" s="7" t="inlineStr">
        <is>
          <t>2016-02-24</t>
        </is>
      </c>
      <c r="B488" s="8">
        <f>IFERROR(VLOOKUP($A488,'01-原始价格'!$A:$M,2,FALSE),"")</f>
        <v/>
      </c>
      <c r="C488" s="8">
        <f>IFERROR(VLOOKUP($A488,'01-原始价格'!$A:$M,8,FALSE),"")</f>
        <v/>
      </c>
      <c r="D488" s="10">
        <f>IFERROR(B488/C488,"")</f>
        <v/>
      </c>
      <c r="E488" s="10">
        <f>IFERROR(C488/B488,"")</f>
        <v/>
      </c>
      <c r="F488" s="11">
        <f>IFERROR((D488/D487-1)*100,"")</f>
        <v/>
      </c>
      <c r="G488" s="11">
        <f>IFERROR((COUNTIF($D$237:$D$488,"&lt;"&amp;D488)+0.5*COUNTIF($D$237:$D$488,D488))/COUNT($D$237:$D$488)*100,"")</f>
        <v/>
      </c>
      <c r="H488" s="10">
        <f>IFERROR(AVERAGE($D$237:$D$488),"")</f>
        <v/>
      </c>
      <c r="I488" s="10" t="n">
        <v>-0.616575658403147</v>
      </c>
      <c r="J488" t="inlineStr"/>
      <c r="K488" t="inlineStr"/>
    </row>
    <row r="489">
      <c r="A489" s="7" t="inlineStr">
        <is>
          <t>2016-02-25</t>
        </is>
      </c>
      <c r="B489" s="8">
        <f>IFERROR(VLOOKUP($A489,'01-原始价格'!$A:$M,2,FALSE),"")</f>
        <v/>
      </c>
      <c r="C489" s="8">
        <f>IFERROR(VLOOKUP($A489,'01-原始价格'!$A:$M,8,FALSE),"")</f>
        <v/>
      </c>
      <c r="D489" s="10">
        <f>IFERROR(B489/C489,"")</f>
        <v/>
      </c>
      <c r="E489" s="10">
        <f>IFERROR(C489/B489,"")</f>
        <v/>
      </c>
      <c r="F489" s="11">
        <f>IFERROR((D489/D488-1)*100,"")</f>
        <v/>
      </c>
      <c r="G489" s="11">
        <f>IFERROR((COUNTIF($D$238:$D$489,"&lt;"&amp;D489)+0.5*COUNTIF($D$238:$D$489,D489))/COUNT($D$238:$D$489)*100,"")</f>
        <v/>
      </c>
      <c r="H489" s="10">
        <f>IFERROR(AVERAGE($D$238:$D$489),"")</f>
        <v/>
      </c>
      <c r="I489" s="10" t="n">
        <v>-0.5161103254648149</v>
      </c>
      <c r="J489" t="inlineStr"/>
      <c r="K489" t="inlineStr"/>
    </row>
    <row r="490">
      <c r="A490" s="7" t="inlineStr">
        <is>
          <t>2016-02-26</t>
        </is>
      </c>
      <c r="B490" s="8">
        <f>IFERROR(VLOOKUP($A490,'01-原始价格'!$A:$M,2,FALSE),"")</f>
        <v/>
      </c>
      <c r="C490" s="8">
        <f>IFERROR(VLOOKUP($A490,'01-原始价格'!$A:$M,8,FALSE),"")</f>
        <v/>
      </c>
      <c r="D490" s="10">
        <f>IFERROR(B490/C490,"")</f>
        <v/>
      </c>
      <c r="E490" s="10">
        <f>IFERROR(C490/B490,"")</f>
        <v/>
      </c>
      <c r="F490" s="11">
        <f>IFERROR((D490/D489-1)*100,"")</f>
        <v/>
      </c>
      <c r="G490" s="11">
        <f>IFERROR((COUNTIF($D$239:$D$490,"&lt;"&amp;D490)+0.5*COUNTIF($D$239:$D$490,D490))/COUNT($D$239:$D$490)*100,"")</f>
        <v/>
      </c>
      <c r="H490" s="10">
        <f>IFERROR(AVERAGE($D$239:$D$490),"")</f>
        <v/>
      </c>
      <c r="I490" s="10" t="n">
        <v>-0.368033195988473</v>
      </c>
      <c r="J490" t="inlineStr"/>
      <c r="K490" t="inlineStr"/>
    </row>
    <row r="491">
      <c r="A491" s="7" t="inlineStr">
        <is>
          <t>2016-02-29</t>
        </is>
      </c>
      <c r="B491" s="8">
        <f>IFERROR(VLOOKUP($A491,'01-原始价格'!$A:$M,2,FALSE),"")</f>
        <v/>
      </c>
      <c r="C491" s="8">
        <f>IFERROR(VLOOKUP($A491,'01-原始价格'!$A:$M,8,FALSE),"")</f>
        <v/>
      </c>
      <c r="D491" s="10">
        <f>IFERROR(B491/C491,"")</f>
        <v/>
      </c>
      <c r="E491" s="10">
        <f>IFERROR(C491/B491,"")</f>
        <v/>
      </c>
      <c r="F491" s="11">
        <f>IFERROR((D491/D490-1)*100,"")</f>
        <v/>
      </c>
      <c r="G491" s="11">
        <f>IFERROR((COUNTIF($D$240:$D$491,"&lt;"&amp;D491)+0.5*COUNTIF($D$240:$D$491,D491))/COUNT($D$240:$D$491)*100,"")</f>
        <v/>
      </c>
      <c r="H491" s="10">
        <f>IFERROR(AVERAGE($D$240:$D$491),"")</f>
        <v/>
      </c>
      <c r="I491" s="10" t="n">
        <v>-0.4749493559455474</v>
      </c>
      <c r="J491" t="inlineStr"/>
      <c r="K491" t="inlineStr"/>
    </row>
    <row r="492">
      <c r="A492" s="7" t="inlineStr">
        <is>
          <t>2016-03-01</t>
        </is>
      </c>
      <c r="B492" s="8">
        <f>IFERROR(VLOOKUP($A492,'01-原始价格'!$A:$M,2,FALSE),"")</f>
        <v/>
      </c>
      <c r="C492" s="8">
        <f>IFERROR(VLOOKUP($A492,'01-原始价格'!$A:$M,8,FALSE),"")</f>
        <v/>
      </c>
      <c r="D492" s="10">
        <f>IFERROR(B492/C492,"")</f>
        <v/>
      </c>
      <c r="E492" s="10">
        <f>IFERROR(C492/B492,"")</f>
        <v/>
      </c>
      <c r="F492" s="11">
        <f>IFERROR((D492/D491-1)*100,"")</f>
        <v/>
      </c>
      <c r="G492" s="11">
        <f>IFERROR((COUNTIF($D$241:$D$492,"&lt;"&amp;D492)+0.5*COUNTIF($D$241:$D$492,D492))/COUNT($D$241:$D$492)*100,"")</f>
        <v/>
      </c>
      <c r="H492" s="10">
        <f>IFERROR(AVERAGE($D$241:$D$492),"")</f>
        <v/>
      </c>
      <c r="I492" s="10" t="n">
        <v>-0.4777044706957357</v>
      </c>
      <c r="J492" t="inlineStr"/>
      <c r="K492" t="inlineStr"/>
    </row>
    <row r="493">
      <c r="A493" s="7" t="inlineStr">
        <is>
          <t>2016-03-02</t>
        </is>
      </c>
      <c r="B493" s="8">
        <f>IFERROR(VLOOKUP($A493,'01-原始价格'!$A:$M,2,FALSE),"")</f>
        <v/>
      </c>
      <c r="C493" s="8">
        <f>IFERROR(VLOOKUP($A493,'01-原始价格'!$A:$M,8,FALSE),"")</f>
        <v/>
      </c>
      <c r="D493" s="10">
        <f>IFERROR(B493/C493,"")</f>
        <v/>
      </c>
      <c r="E493" s="10">
        <f>IFERROR(C493/B493,"")</f>
        <v/>
      </c>
      <c r="F493" s="11">
        <f>IFERROR((D493/D492-1)*100,"")</f>
        <v/>
      </c>
      <c r="G493" s="11">
        <f>IFERROR((COUNTIF($D$242:$D$493,"&lt;"&amp;D493)+0.5*COUNTIF($D$242:$D$493,D493))/COUNT($D$242:$D$493)*100,"")</f>
        <v/>
      </c>
      <c r="H493" s="10">
        <f>IFERROR(AVERAGE($D$242:$D$493),"")</f>
        <v/>
      </c>
      <c r="I493" s="10" t="n">
        <v>-0.3204374915150832</v>
      </c>
      <c r="J493" t="inlineStr"/>
      <c r="K493" t="inlineStr"/>
    </row>
    <row r="494">
      <c r="A494" s="7" t="inlineStr">
        <is>
          <t>2016-03-03</t>
        </is>
      </c>
      <c r="B494" s="8">
        <f>IFERROR(VLOOKUP($A494,'01-原始价格'!$A:$M,2,FALSE),"")</f>
        <v/>
      </c>
      <c r="C494" s="8">
        <f>IFERROR(VLOOKUP($A494,'01-原始价格'!$A:$M,8,FALSE),"")</f>
        <v/>
      </c>
      <c r="D494" s="10">
        <f>IFERROR(B494/C494,"")</f>
        <v/>
      </c>
      <c r="E494" s="10">
        <f>IFERROR(C494/B494,"")</f>
        <v/>
      </c>
      <c r="F494" s="11">
        <f>IFERROR((D494/D493-1)*100,"")</f>
        <v/>
      </c>
      <c r="G494" s="11">
        <f>IFERROR((COUNTIF($D$243:$D$494,"&lt;"&amp;D494)+0.5*COUNTIF($D$243:$D$494,D494))/COUNT($D$243:$D$494)*100,"")</f>
        <v/>
      </c>
      <c r="H494" s="10">
        <f>IFERROR(AVERAGE($D$243:$D$494),"")</f>
        <v/>
      </c>
      <c r="I494" s="10" t="n">
        <v>-0.1086907628169528</v>
      </c>
      <c r="J494" t="inlineStr"/>
      <c r="K494" t="inlineStr"/>
    </row>
    <row r="495">
      <c r="A495" s="7" t="inlineStr">
        <is>
          <t>2016-03-04</t>
        </is>
      </c>
      <c r="B495" s="8">
        <f>IFERROR(VLOOKUP($A495,'01-原始价格'!$A:$M,2,FALSE),"")</f>
        <v/>
      </c>
      <c r="C495" s="8">
        <f>IFERROR(VLOOKUP($A495,'01-原始价格'!$A:$M,8,FALSE),"")</f>
        <v/>
      </c>
      <c r="D495" s="10">
        <f>IFERROR(B495/C495,"")</f>
        <v/>
      </c>
      <c r="E495" s="10">
        <f>IFERROR(C495/B495,"")</f>
        <v/>
      </c>
      <c r="F495" s="11">
        <f>IFERROR((D495/D494-1)*100,"")</f>
        <v/>
      </c>
      <c r="G495" s="11">
        <f>IFERROR((COUNTIF($D$244:$D$495,"&lt;"&amp;D495)+0.5*COUNTIF($D$244:$D$495,D495))/COUNT($D$244:$D$495)*100,"")</f>
        <v/>
      </c>
      <c r="H495" s="10">
        <f>IFERROR(AVERAGE($D$244:$D$495),"")</f>
        <v/>
      </c>
      <c r="I495" s="10" t="n">
        <v>0.1402093225637593</v>
      </c>
      <c r="J495" t="inlineStr"/>
      <c r="K495" t="inlineStr"/>
    </row>
    <row r="496">
      <c r="A496" s="7" t="inlineStr">
        <is>
          <t>2016-03-07</t>
        </is>
      </c>
      <c r="B496" s="8">
        <f>IFERROR(VLOOKUP($A496,'01-原始价格'!$A:$M,2,FALSE),"")</f>
        <v/>
      </c>
      <c r="C496" s="8">
        <f>IFERROR(VLOOKUP($A496,'01-原始价格'!$A:$M,8,FALSE),"")</f>
        <v/>
      </c>
      <c r="D496" s="10">
        <f>IFERROR(B496/C496,"")</f>
        <v/>
      </c>
      <c r="E496" s="10">
        <f>IFERROR(C496/B496,"")</f>
        <v/>
      </c>
      <c r="F496" s="11">
        <f>IFERROR((D496/D495-1)*100,"")</f>
        <v/>
      </c>
      <c r="G496" s="11">
        <f>IFERROR((COUNTIF($D$245:$D$496,"&lt;"&amp;D496)+0.5*COUNTIF($D$245:$D$496,D496))/COUNT($D$245:$D$496)*100,"")</f>
        <v/>
      </c>
      <c r="H496" s="10">
        <f>IFERROR(AVERAGE($D$245:$D$496),"")</f>
        <v/>
      </c>
      <c r="I496" s="10" t="n">
        <v>0.4094258703294735</v>
      </c>
      <c r="J496" t="inlineStr"/>
      <c r="K496" t="inlineStr"/>
    </row>
    <row r="497">
      <c r="A497" s="7" t="inlineStr">
        <is>
          <t>2016-03-08</t>
        </is>
      </c>
      <c r="B497" s="8">
        <f>IFERROR(VLOOKUP($A497,'01-原始价格'!$A:$M,2,FALSE),"")</f>
        <v/>
      </c>
      <c r="C497" s="8">
        <f>IFERROR(VLOOKUP($A497,'01-原始价格'!$A:$M,8,FALSE),"")</f>
        <v/>
      </c>
      <c r="D497" s="10">
        <f>IFERROR(B497/C497,"")</f>
        <v/>
      </c>
      <c r="E497" s="10">
        <f>IFERROR(C497/B497,"")</f>
        <v/>
      </c>
      <c r="F497" s="11">
        <f>IFERROR((D497/D496-1)*100,"")</f>
        <v/>
      </c>
      <c r="G497" s="11">
        <f>IFERROR((COUNTIF($D$246:$D$497,"&lt;"&amp;D497)+0.5*COUNTIF($D$246:$D$497,D497))/COUNT($D$246:$D$497)*100,"")</f>
        <v/>
      </c>
      <c r="H497" s="10">
        <f>IFERROR(AVERAGE($D$246:$D$497),"")</f>
        <v/>
      </c>
      <c r="I497" s="10" t="n">
        <v>0.4411815689998108</v>
      </c>
      <c r="J497" t="inlineStr"/>
      <c r="K497" t="inlineStr"/>
    </row>
    <row r="498">
      <c r="A498" s="7" t="inlineStr">
        <is>
          <t>2016-03-09</t>
        </is>
      </c>
      <c r="B498" s="8">
        <f>IFERROR(VLOOKUP($A498,'01-原始价格'!$A:$M,2,FALSE),"")</f>
        <v/>
      </c>
      <c r="C498" s="8">
        <f>IFERROR(VLOOKUP($A498,'01-原始价格'!$A:$M,8,FALSE),"")</f>
        <v/>
      </c>
      <c r="D498" s="10">
        <f>IFERROR(B498/C498,"")</f>
        <v/>
      </c>
      <c r="E498" s="10">
        <f>IFERROR(C498/B498,"")</f>
        <v/>
      </c>
      <c r="F498" s="11">
        <f>IFERROR((D498/D497-1)*100,"")</f>
        <v/>
      </c>
      <c r="G498" s="11">
        <f>IFERROR((COUNTIF($D$247:$D$498,"&lt;"&amp;D498)+0.5*COUNTIF($D$247:$D$498,D498))/COUNT($D$247:$D$498)*100,"")</f>
        <v/>
      </c>
      <c r="H498" s="10">
        <f>IFERROR(AVERAGE($D$247:$D$498),"")</f>
        <v/>
      </c>
      <c r="I498" s="10" t="n">
        <v>0.3858927418133388</v>
      </c>
      <c r="J498" t="inlineStr"/>
      <c r="K498" t="inlineStr"/>
    </row>
    <row r="499">
      <c r="A499" s="7" t="inlineStr">
        <is>
          <t>2016-03-10</t>
        </is>
      </c>
      <c r="B499" s="8">
        <f>IFERROR(VLOOKUP($A499,'01-原始价格'!$A:$M,2,FALSE),"")</f>
        <v/>
      </c>
      <c r="C499" s="8">
        <f>IFERROR(VLOOKUP($A499,'01-原始价格'!$A:$M,8,FALSE),"")</f>
        <v/>
      </c>
      <c r="D499" s="10">
        <f>IFERROR(B499/C499,"")</f>
        <v/>
      </c>
      <c r="E499" s="10">
        <f>IFERROR(C499/B499,"")</f>
        <v/>
      </c>
      <c r="F499" s="11">
        <f>IFERROR((D499/D498-1)*100,"")</f>
        <v/>
      </c>
      <c r="G499" s="11">
        <f>IFERROR((COUNTIF($D$248:$D$499,"&lt;"&amp;D499)+0.5*COUNTIF($D$248:$D$499,D499))/COUNT($D$248:$D$499)*100,"")</f>
        <v/>
      </c>
      <c r="H499" s="10">
        <f>IFERROR(AVERAGE($D$248:$D$499),"")</f>
        <v/>
      </c>
      <c r="I499" s="10" t="n">
        <v>0.7569726366562618</v>
      </c>
      <c r="J499" t="inlineStr"/>
      <c r="K499" t="inlineStr"/>
    </row>
    <row r="500">
      <c r="A500" s="7" t="inlineStr">
        <is>
          <t>2016-03-11</t>
        </is>
      </c>
      <c r="B500" s="8">
        <f>IFERROR(VLOOKUP($A500,'01-原始价格'!$A:$M,2,FALSE),"")</f>
        <v/>
      </c>
      <c r="C500" s="8">
        <f>IFERROR(VLOOKUP($A500,'01-原始价格'!$A:$M,8,FALSE),"")</f>
        <v/>
      </c>
      <c r="D500" s="10">
        <f>IFERROR(B500/C500,"")</f>
        <v/>
      </c>
      <c r="E500" s="10">
        <f>IFERROR(C500/B500,"")</f>
        <v/>
      </c>
      <c r="F500" s="11">
        <f>IFERROR((D500/D499-1)*100,"")</f>
        <v/>
      </c>
      <c r="G500" s="11">
        <f>IFERROR((COUNTIF($D$249:$D$500,"&lt;"&amp;D500)+0.5*COUNTIF($D$249:$D$500,D500))/COUNT($D$249:$D$500)*100,"")</f>
        <v/>
      </c>
      <c r="H500" s="10">
        <f>IFERROR(AVERAGE($D$249:$D$500),"")</f>
        <v/>
      </c>
      <c r="I500" s="10" t="n">
        <v>0.3513946774966484</v>
      </c>
      <c r="J500" t="inlineStr"/>
      <c r="K500" t="inlineStr"/>
    </row>
    <row r="501">
      <c r="A501" s="7" t="inlineStr">
        <is>
          <t>2016-03-14</t>
        </is>
      </c>
      <c r="B501" s="8">
        <f>IFERROR(VLOOKUP($A501,'01-原始价格'!$A:$M,2,FALSE),"")</f>
        <v/>
      </c>
      <c r="C501" s="8">
        <f>IFERROR(VLOOKUP($A501,'01-原始价格'!$A:$M,8,FALSE),"")</f>
        <v/>
      </c>
      <c r="D501" s="10">
        <f>IFERROR(B501/C501,"")</f>
        <v/>
      </c>
      <c r="E501" s="10">
        <f>IFERROR(C501/B501,"")</f>
        <v/>
      </c>
      <c r="F501" s="11">
        <f>IFERROR((D501/D500-1)*100,"")</f>
        <v/>
      </c>
      <c r="G501" s="11">
        <f>IFERROR((COUNTIF($D$250:$D$501,"&lt;"&amp;D501)+0.5*COUNTIF($D$250:$D$501,D501))/COUNT($D$250:$D$501)*100,"")</f>
        <v/>
      </c>
      <c r="H501" s="10">
        <f>IFERROR(AVERAGE($D$250:$D$501),"")</f>
        <v/>
      </c>
      <c r="I501" s="10" t="n">
        <v>0.59310585851863</v>
      </c>
      <c r="J501" t="inlineStr"/>
      <c r="K501" t="inlineStr"/>
    </row>
    <row r="502">
      <c r="A502" s="7" t="inlineStr">
        <is>
          <t>2016-03-15</t>
        </is>
      </c>
      <c r="B502" s="8">
        <f>IFERROR(VLOOKUP($A502,'01-原始价格'!$A:$M,2,FALSE),"")</f>
        <v/>
      </c>
      <c r="C502" s="8">
        <f>IFERROR(VLOOKUP($A502,'01-原始价格'!$A:$M,8,FALSE),"")</f>
        <v/>
      </c>
      <c r="D502" s="10">
        <f>IFERROR(B502/C502,"")</f>
        <v/>
      </c>
      <c r="E502" s="10">
        <f>IFERROR(C502/B502,"")</f>
        <v/>
      </c>
      <c r="F502" s="11">
        <f>IFERROR((D502/D501-1)*100,"")</f>
        <v/>
      </c>
      <c r="G502" s="11">
        <f>IFERROR((COUNTIF($D$251:$D$502,"&lt;"&amp;D502)+0.5*COUNTIF($D$251:$D$502,D502))/COUNT($D$251:$D$502)*100,"")</f>
        <v/>
      </c>
      <c r="H502" s="10">
        <f>IFERROR(AVERAGE($D$251:$D$502),"")</f>
        <v/>
      </c>
      <c r="I502" s="10" t="n">
        <v>0.4369865911489064</v>
      </c>
      <c r="J502" t="inlineStr"/>
      <c r="K502" t="inlineStr"/>
    </row>
    <row r="503">
      <c r="A503" s="7" t="inlineStr">
        <is>
          <t>2016-03-16</t>
        </is>
      </c>
      <c r="B503" s="8">
        <f>IFERROR(VLOOKUP($A503,'01-原始价格'!$A:$M,2,FALSE),"")</f>
        <v/>
      </c>
      <c r="C503" s="8">
        <f>IFERROR(VLOOKUP($A503,'01-原始价格'!$A:$M,8,FALSE),"")</f>
        <v/>
      </c>
      <c r="D503" s="10">
        <f>IFERROR(B503/C503,"")</f>
        <v/>
      </c>
      <c r="E503" s="10">
        <f>IFERROR(C503/B503,"")</f>
        <v/>
      </c>
      <c r="F503" s="11">
        <f>IFERROR((D503/D502-1)*100,"")</f>
        <v/>
      </c>
      <c r="G503" s="11">
        <f>IFERROR((COUNTIF($D$252:$D$503,"&lt;"&amp;D503)+0.5*COUNTIF($D$252:$D$503,D503))/COUNT($D$252:$D$503)*100,"")</f>
        <v/>
      </c>
      <c r="H503" s="10">
        <f>IFERROR(AVERAGE($D$252:$D$503),"")</f>
        <v/>
      </c>
      <c r="I503" s="10" t="n">
        <v>0.2954825454654333</v>
      </c>
      <c r="J503" t="inlineStr"/>
      <c r="K503" t="inlineStr"/>
    </row>
    <row r="504">
      <c r="A504" s="7" t="inlineStr">
        <is>
          <t>2016-03-17</t>
        </is>
      </c>
      <c r="B504" s="8">
        <f>IFERROR(VLOOKUP($A504,'01-原始价格'!$A:$M,2,FALSE),"")</f>
        <v/>
      </c>
      <c r="C504" s="8">
        <f>IFERROR(VLOOKUP($A504,'01-原始价格'!$A:$M,8,FALSE),"")</f>
        <v/>
      </c>
      <c r="D504" s="10">
        <f>IFERROR(B504/C504,"")</f>
        <v/>
      </c>
      <c r="E504" s="10">
        <f>IFERROR(C504/B504,"")</f>
        <v/>
      </c>
      <c r="F504" s="11">
        <f>IFERROR((D504/D503-1)*100,"")</f>
        <v/>
      </c>
      <c r="G504" s="11">
        <f>IFERROR((COUNTIF($D$253:$D$504,"&lt;"&amp;D504)+0.5*COUNTIF($D$253:$D$504,D504))/COUNT($D$253:$D$504)*100,"")</f>
        <v/>
      </c>
      <c r="H504" s="10">
        <f>IFERROR(AVERAGE($D$253:$D$504),"")</f>
        <v/>
      </c>
      <c r="I504" s="10" t="n">
        <v>0.3981780093629101</v>
      </c>
      <c r="J504" t="inlineStr"/>
      <c r="K504" t="inlineStr"/>
    </row>
    <row r="505">
      <c r="A505" s="7" t="inlineStr">
        <is>
          <t>2016-03-18</t>
        </is>
      </c>
      <c r="B505" s="8">
        <f>IFERROR(VLOOKUP($A505,'01-原始价格'!$A:$M,2,FALSE),"")</f>
        <v/>
      </c>
      <c r="C505" s="8">
        <f>IFERROR(VLOOKUP($A505,'01-原始价格'!$A:$M,8,FALSE),"")</f>
        <v/>
      </c>
      <c r="D505" s="10">
        <f>IFERROR(B505/C505,"")</f>
        <v/>
      </c>
      <c r="E505" s="10">
        <f>IFERROR(C505/B505,"")</f>
        <v/>
      </c>
      <c r="F505" s="11">
        <f>IFERROR((D505/D504-1)*100,"")</f>
        <v/>
      </c>
      <c r="G505" s="11">
        <f>IFERROR((COUNTIF($D$254:$D$505,"&lt;"&amp;D505)+0.5*COUNTIF($D$254:$D$505,D505))/COUNT($D$254:$D$505)*100,"")</f>
        <v/>
      </c>
      <c r="H505" s="10">
        <f>IFERROR(AVERAGE($D$254:$D$505),"")</f>
        <v/>
      </c>
      <c r="I505" s="10" t="n">
        <v>0.3576389903987181</v>
      </c>
      <c r="J505" t="inlineStr"/>
      <c r="K505" t="inlineStr"/>
    </row>
    <row r="506">
      <c r="A506" s="7" t="inlineStr">
        <is>
          <t>2016-03-21</t>
        </is>
      </c>
      <c r="B506" s="8">
        <f>IFERROR(VLOOKUP($A506,'01-原始价格'!$A:$M,2,FALSE),"")</f>
        <v/>
      </c>
      <c r="C506" s="8">
        <f>IFERROR(VLOOKUP($A506,'01-原始价格'!$A:$M,8,FALSE),"")</f>
        <v/>
      </c>
      <c r="D506" s="10">
        <f>IFERROR(B506/C506,"")</f>
        <v/>
      </c>
      <c r="E506" s="10">
        <f>IFERROR(C506/B506,"")</f>
        <v/>
      </c>
      <c r="F506" s="11">
        <f>IFERROR((D506/D505-1)*100,"")</f>
        <v/>
      </c>
      <c r="G506" s="11">
        <f>IFERROR((COUNTIF($D$255:$D$506,"&lt;"&amp;D506)+0.5*COUNTIF($D$255:$D$506,D506))/COUNT($D$255:$D$506)*100,"")</f>
        <v/>
      </c>
      <c r="H506" s="10">
        <f>IFERROR(AVERAGE($D$255:$D$506),"")</f>
        <v/>
      </c>
      <c r="I506" s="10" t="n">
        <v>0.3591906465653122</v>
      </c>
      <c r="J506" t="inlineStr"/>
      <c r="K506" t="inlineStr"/>
    </row>
    <row r="507">
      <c r="A507" s="7" t="inlineStr">
        <is>
          <t>2016-03-22</t>
        </is>
      </c>
      <c r="B507" s="8">
        <f>IFERROR(VLOOKUP($A507,'01-原始价格'!$A:$M,2,FALSE),"")</f>
        <v/>
      </c>
      <c r="C507" s="8">
        <f>IFERROR(VLOOKUP($A507,'01-原始价格'!$A:$M,8,FALSE),"")</f>
        <v/>
      </c>
      <c r="D507" s="10">
        <f>IFERROR(B507/C507,"")</f>
        <v/>
      </c>
      <c r="E507" s="10">
        <f>IFERROR(C507/B507,"")</f>
        <v/>
      </c>
      <c r="F507" s="11">
        <f>IFERROR((D507/D506-1)*100,"")</f>
        <v/>
      </c>
      <c r="G507" s="11">
        <f>IFERROR((COUNTIF($D$256:$D$507,"&lt;"&amp;D507)+0.5*COUNTIF($D$256:$D$507,D507))/COUNT($D$256:$D$507)*100,"")</f>
        <v/>
      </c>
      <c r="H507" s="10">
        <f>IFERROR(AVERAGE($D$256:$D$507),"")</f>
        <v/>
      </c>
      <c r="I507" s="10" t="n">
        <v>0.4098560099298907</v>
      </c>
      <c r="J507" t="inlineStr"/>
      <c r="K507" t="inlineStr"/>
    </row>
    <row r="508">
      <c r="A508" s="7" t="inlineStr">
        <is>
          <t>2016-03-23</t>
        </is>
      </c>
      <c r="B508" s="8">
        <f>IFERROR(VLOOKUP($A508,'01-原始价格'!$A:$M,2,FALSE),"")</f>
        <v/>
      </c>
      <c r="C508" s="8">
        <f>IFERROR(VLOOKUP($A508,'01-原始价格'!$A:$M,8,FALSE),"")</f>
        <v/>
      </c>
      <c r="D508" s="10">
        <f>IFERROR(B508/C508,"")</f>
        <v/>
      </c>
      <c r="E508" s="10">
        <f>IFERROR(C508/B508,"")</f>
        <v/>
      </c>
      <c r="F508" s="11">
        <f>IFERROR((D508/D507-1)*100,"")</f>
        <v/>
      </c>
      <c r="G508" s="11">
        <f>IFERROR((COUNTIF($D$257:$D$508,"&lt;"&amp;D508)+0.5*COUNTIF($D$257:$D$508,D508))/COUNT($D$257:$D$508)*100,"")</f>
        <v/>
      </c>
      <c r="H508" s="10">
        <f>IFERROR(AVERAGE($D$257:$D$508),"")</f>
        <v/>
      </c>
      <c r="I508" s="10" t="n">
        <v>0.4577198541887445</v>
      </c>
      <c r="J508" t="inlineStr"/>
      <c r="K508" t="inlineStr"/>
    </row>
    <row r="509">
      <c r="A509" s="7" t="inlineStr">
        <is>
          <t>2016-03-24</t>
        </is>
      </c>
      <c r="B509" s="8">
        <f>IFERROR(VLOOKUP($A509,'01-原始价格'!$A:$M,2,FALSE),"")</f>
        <v/>
      </c>
      <c r="C509" s="8">
        <f>IFERROR(VLOOKUP($A509,'01-原始价格'!$A:$M,8,FALSE),"")</f>
        <v/>
      </c>
      <c r="D509" s="10">
        <f>IFERROR(B509/C509,"")</f>
        <v/>
      </c>
      <c r="E509" s="10">
        <f>IFERROR(C509/B509,"")</f>
        <v/>
      </c>
      <c r="F509" s="11">
        <f>IFERROR((D509/D508-1)*100,"")</f>
        <v/>
      </c>
      <c r="G509" s="11">
        <f>IFERROR((COUNTIF($D$258:$D$509,"&lt;"&amp;D509)+0.5*COUNTIF($D$258:$D$509,D509))/COUNT($D$258:$D$509)*100,"")</f>
        <v/>
      </c>
      <c r="H509" s="10">
        <f>IFERROR(AVERAGE($D$258:$D$509),"")</f>
        <v/>
      </c>
      <c r="I509" s="10" t="n">
        <v>0.6286578326546736</v>
      </c>
      <c r="J509" t="inlineStr"/>
      <c r="K509" t="inlineStr"/>
    </row>
    <row r="510">
      <c r="A510" s="7" t="inlineStr">
        <is>
          <t>2016-03-25</t>
        </is>
      </c>
      <c r="B510" s="8">
        <f>IFERROR(VLOOKUP($A510,'01-原始价格'!$A:$M,2,FALSE),"")</f>
        <v/>
      </c>
      <c r="C510" s="8">
        <f>IFERROR(VLOOKUP($A510,'01-原始价格'!$A:$M,8,FALSE),"")</f>
        <v/>
      </c>
      <c r="D510" s="10">
        <f>IFERROR(B510/C510,"")</f>
        <v/>
      </c>
      <c r="E510" s="10">
        <f>IFERROR(C510/B510,"")</f>
        <v/>
      </c>
      <c r="F510" s="11">
        <f>IFERROR((D510/D509-1)*100,"")</f>
        <v/>
      </c>
      <c r="G510" s="11">
        <f>IFERROR((COUNTIF($D$259:$D$510,"&lt;"&amp;D510)+0.5*COUNTIF($D$259:$D$510,D510))/COUNT($D$259:$D$510)*100,"")</f>
        <v/>
      </c>
      <c r="H510" s="10">
        <f>IFERROR(AVERAGE($D$259:$D$510),"")</f>
        <v/>
      </c>
      <c r="I510" s="10" t="n">
        <v>1.994752175119218</v>
      </c>
      <c r="J510" t="inlineStr"/>
      <c r="K510" t="inlineStr"/>
    </row>
    <row r="511">
      <c r="A511" s="7" t="inlineStr">
        <is>
          <t>2016-03-28</t>
        </is>
      </c>
      <c r="B511" s="8">
        <f>IFERROR(VLOOKUP($A511,'01-原始价格'!$A:$M,2,FALSE),"")</f>
        <v/>
      </c>
      <c r="C511" s="8">
        <f>IFERROR(VLOOKUP($A511,'01-原始价格'!$A:$M,8,FALSE),"")</f>
        <v/>
      </c>
      <c r="D511" s="10">
        <f>IFERROR(B511/C511,"")</f>
        <v/>
      </c>
      <c r="E511" s="10">
        <f>IFERROR(C511/B511,"")</f>
        <v/>
      </c>
      <c r="F511" s="11">
        <f>IFERROR((D511/D510-1)*100,"")</f>
        <v/>
      </c>
      <c r="G511" s="11">
        <f>IFERROR((COUNTIF($D$260:$D$511,"&lt;"&amp;D511)+0.5*COUNTIF($D$260:$D$511,D511))/COUNT($D$260:$D$511)*100,"")</f>
        <v/>
      </c>
      <c r="H511" s="10">
        <f>IFERROR(AVERAGE($D$260:$D$511),"")</f>
        <v/>
      </c>
      <c r="I511" s="10" t="n">
        <v>0.8671577432328954</v>
      </c>
      <c r="J511" t="inlineStr"/>
      <c r="K511" t="inlineStr"/>
    </row>
    <row r="512">
      <c r="A512" s="7" t="inlineStr">
        <is>
          <t>2016-03-29</t>
        </is>
      </c>
      <c r="B512" s="8">
        <f>IFERROR(VLOOKUP($A512,'01-原始价格'!$A:$M,2,FALSE),"")</f>
        <v/>
      </c>
      <c r="C512" s="8">
        <f>IFERROR(VLOOKUP($A512,'01-原始价格'!$A:$M,8,FALSE),"")</f>
        <v/>
      </c>
      <c r="D512" s="10">
        <f>IFERROR(B512/C512,"")</f>
        <v/>
      </c>
      <c r="E512" s="10">
        <f>IFERROR(C512/B512,"")</f>
        <v/>
      </c>
      <c r="F512" s="11">
        <f>IFERROR((D512/D511-1)*100,"")</f>
        <v/>
      </c>
      <c r="G512" s="11">
        <f>IFERROR((COUNTIF($D$261:$D$512,"&lt;"&amp;D512)+0.5*COUNTIF($D$261:$D$512,D512))/COUNT($D$261:$D$512)*100,"")</f>
        <v/>
      </c>
      <c r="H512" s="10">
        <f>IFERROR(AVERAGE($D$261:$D$512),"")</f>
        <v/>
      </c>
      <c r="I512" s="10" t="n">
        <v>1.115911723075233</v>
      </c>
      <c r="J512" t="inlineStr"/>
      <c r="K512" t="inlineStr"/>
    </row>
    <row r="513">
      <c r="A513" s="7" t="inlineStr">
        <is>
          <t>2016-03-30</t>
        </is>
      </c>
      <c r="B513" s="8">
        <f>IFERROR(VLOOKUP($A513,'01-原始价格'!$A:$M,2,FALSE),"")</f>
        <v/>
      </c>
      <c r="C513" s="8">
        <f>IFERROR(VLOOKUP($A513,'01-原始价格'!$A:$M,8,FALSE),"")</f>
        <v/>
      </c>
      <c r="D513" s="10">
        <f>IFERROR(B513/C513,"")</f>
        <v/>
      </c>
      <c r="E513" s="10">
        <f>IFERROR(C513/B513,"")</f>
        <v/>
      </c>
      <c r="F513" s="11">
        <f>IFERROR((D513/D512-1)*100,"")</f>
        <v/>
      </c>
      <c r="G513" s="11">
        <f>IFERROR((COUNTIF($D$262:$D$513,"&lt;"&amp;D513)+0.5*COUNTIF($D$262:$D$513,D513))/COUNT($D$262:$D$513)*100,"")</f>
        <v/>
      </c>
      <c r="H513" s="10">
        <f>IFERROR(AVERAGE($D$262:$D$513),"")</f>
        <v/>
      </c>
      <c r="I513" s="10" t="n">
        <v>1.114932897252645</v>
      </c>
      <c r="J513" t="inlineStr"/>
      <c r="K513" t="inlineStr"/>
    </row>
    <row r="514">
      <c r="A514" s="7" t="inlineStr">
        <is>
          <t>2016-03-31</t>
        </is>
      </c>
      <c r="B514" s="8">
        <f>IFERROR(VLOOKUP($A514,'01-原始价格'!$A:$M,2,FALSE),"")</f>
        <v/>
      </c>
      <c r="C514" s="8">
        <f>IFERROR(VLOOKUP($A514,'01-原始价格'!$A:$M,8,FALSE),"")</f>
        <v/>
      </c>
      <c r="D514" s="10">
        <f>IFERROR(B514/C514,"")</f>
        <v/>
      </c>
      <c r="E514" s="10">
        <f>IFERROR(C514/B514,"")</f>
        <v/>
      </c>
      <c r="F514" s="11">
        <f>IFERROR((D514/D513-1)*100,"")</f>
        <v/>
      </c>
      <c r="G514" s="11">
        <f>IFERROR((COUNTIF($D$263:$D$514,"&lt;"&amp;D514)+0.5*COUNTIF($D$263:$D$514,D514))/COUNT($D$263:$D$514)*100,"")</f>
        <v/>
      </c>
      <c r="H514" s="10">
        <f>IFERROR(AVERAGE($D$263:$D$514),"")</f>
        <v/>
      </c>
      <c r="I514" s="10" t="n">
        <v>0.7019379053509647</v>
      </c>
      <c r="J514" t="inlineStr"/>
      <c r="K514" t="inlineStr"/>
    </row>
    <row r="515">
      <c r="A515" s="7" t="inlineStr">
        <is>
          <t>2016-04-01</t>
        </is>
      </c>
      <c r="B515" s="8">
        <f>IFERROR(VLOOKUP($A515,'01-原始价格'!$A:$M,2,FALSE),"")</f>
        <v/>
      </c>
      <c r="C515" s="8">
        <f>IFERROR(VLOOKUP($A515,'01-原始价格'!$A:$M,8,FALSE),"")</f>
        <v/>
      </c>
      <c r="D515" s="10">
        <f>IFERROR(B515/C515,"")</f>
        <v/>
      </c>
      <c r="E515" s="10">
        <f>IFERROR(C515/B515,"")</f>
        <v/>
      </c>
      <c r="F515" s="11">
        <f>IFERROR((D515/D514-1)*100,"")</f>
        <v/>
      </c>
      <c r="G515" s="11">
        <f>IFERROR((COUNTIF($D$264:$D$515,"&lt;"&amp;D515)+0.5*COUNTIF($D$264:$D$515,D515))/COUNT($D$264:$D$515)*100,"")</f>
        <v/>
      </c>
      <c r="H515" s="10">
        <f>IFERROR(AVERAGE($D$264:$D$515),"")</f>
        <v/>
      </c>
      <c r="I515" s="10" t="n">
        <v>1.18862679042765</v>
      </c>
      <c r="J515" t="inlineStr"/>
      <c r="K515" t="inlineStr"/>
    </row>
    <row r="516">
      <c r="A516" s="7" t="inlineStr">
        <is>
          <t>2016-04-06</t>
        </is>
      </c>
      <c r="B516" s="8">
        <f>IFERROR(VLOOKUP($A516,'01-原始价格'!$A:$M,2,FALSE),"")</f>
        <v/>
      </c>
      <c r="C516" s="8">
        <f>IFERROR(VLOOKUP($A516,'01-原始价格'!$A:$M,8,FALSE),"")</f>
        <v/>
      </c>
      <c r="D516" s="10">
        <f>IFERROR(B516/C516,"")</f>
        <v/>
      </c>
      <c r="E516" s="10">
        <f>IFERROR(C516/B516,"")</f>
        <v/>
      </c>
      <c r="F516" s="11">
        <f>IFERROR((D516/D515-1)*100,"")</f>
        <v/>
      </c>
      <c r="G516" s="11">
        <f>IFERROR((COUNTIF($D$265:$D$516,"&lt;"&amp;D516)+0.5*COUNTIF($D$265:$D$516,D516))/COUNT($D$265:$D$516)*100,"")</f>
        <v/>
      </c>
      <c r="H516" s="10">
        <f>IFERROR(AVERAGE($D$265:$D$516),"")</f>
        <v/>
      </c>
      <c r="I516" s="10" t="n">
        <v>1.42550866569328</v>
      </c>
      <c r="J516" t="inlineStr"/>
      <c r="K516" t="inlineStr"/>
    </row>
    <row r="517">
      <c r="A517" s="7" t="inlineStr">
        <is>
          <t>2016-04-07</t>
        </is>
      </c>
      <c r="B517" s="8">
        <f>IFERROR(VLOOKUP($A517,'01-原始价格'!$A:$M,2,FALSE),"")</f>
        <v/>
      </c>
      <c r="C517" s="8">
        <f>IFERROR(VLOOKUP($A517,'01-原始价格'!$A:$M,8,FALSE),"")</f>
        <v/>
      </c>
      <c r="D517" s="10">
        <f>IFERROR(B517/C517,"")</f>
        <v/>
      </c>
      <c r="E517" s="10">
        <f>IFERROR(C517/B517,"")</f>
        <v/>
      </c>
      <c r="F517" s="11">
        <f>IFERROR((D517/D516-1)*100,"")</f>
        <v/>
      </c>
      <c r="G517" s="11">
        <f>IFERROR((COUNTIF($D$266:$D$517,"&lt;"&amp;D517)+0.5*COUNTIF($D$266:$D$517,D517))/COUNT($D$266:$D$517)*100,"")</f>
        <v/>
      </c>
      <c r="H517" s="10">
        <f>IFERROR(AVERAGE($D$266:$D$517),"")</f>
        <v/>
      </c>
      <c r="I517" s="10" t="n">
        <v>1.391698956930131</v>
      </c>
      <c r="J517" t="inlineStr"/>
      <c r="K517" t="inlineStr"/>
    </row>
    <row r="518">
      <c r="A518" s="7" t="inlineStr">
        <is>
          <t>2016-04-08</t>
        </is>
      </c>
      <c r="B518" s="8">
        <f>IFERROR(VLOOKUP($A518,'01-原始价格'!$A:$M,2,FALSE),"")</f>
        <v/>
      </c>
      <c r="C518" s="8">
        <f>IFERROR(VLOOKUP($A518,'01-原始价格'!$A:$M,8,FALSE),"")</f>
        <v/>
      </c>
      <c r="D518" s="10">
        <f>IFERROR(B518/C518,"")</f>
        <v/>
      </c>
      <c r="E518" s="10">
        <f>IFERROR(C518/B518,"")</f>
        <v/>
      </c>
      <c r="F518" s="11">
        <f>IFERROR((D518/D517-1)*100,"")</f>
        <v/>
      </c>
      <c r="G518" s="11">
        <f>IFERROR((COUNTIF($D$267:$D$518,"&lt;"&amp;D518)+0.5*COUNTIF($D$267:$D$518,D518))/COUNT($D$267:$D$518)*100,"")</f>
        <v/>
      </c>
      <c r="H518" s="10">
        <f>IFERROR(AVERAGE($D$267:$D$518),"")</f>
        <v/>
      </c>
      <c r="I518" s="10" t="n">
        <v>1.046669814388168</v>
      </c>
      <c r="J518" t="inlineStr"/>
      <c r="K518" t="inlineStr"/>
    </row>
    <row r="519">
      <c r="A519" s="7" t="inlineStr">
        <is>
          <t>2016-04-11</t>
        </is>
      </c>
      <c r="B519" s="8">
        <f>IFERROR(VLOOKUP($A519,'01-原始价格'!$A:$M,2,FALSE),"")</f>
        <v/>
      </c>
      <c r="C519" s="8">
        <f>IFERROR(VLOOKUP($A519,'01-原始价格'!$A:$M,8,FALSE),"")</f>
        <v/>
      </c>
      <c r="D519" s="10">
        <f>IFERROR(B519/C519,"")</f>
        <v/>
      </c>
      <c r="E519" s="10">
        <f>IFERROR(C519/B519,"")</f>
        <v/>
      </c>
      <c r="F519" s="11">
        <f>IFERROR((D519/D518-1)*100,"")</f>
        <v/>
      </c>
      <c r="G519" s="11">
        <f>IFERROR((COUNTIF($D$268:$D$519,"&lt;"&amp;D519)+0.5*COUNTIF($D$268:$D$519,D519))/COUNT($D$268:$D$519)*100,"")</f>
        <v/>
      </c>
      <c r="H519" s="10">
        <f>IFERROR(AVERAGE($D$268:$D$519),"")</f>
        <v/>
      </c>
      <c r="I519" s="10" t="n">
        <v>1.328025127332173</v>
      </c>
      <c r="J519" t="inlineStr"/>
      <c r="K519" t="inlineStr"/>
    </row>
    <row r="520">
      <c r="A520" s="7" t="inlineStr">
        <is>
          <t>2016-04-12</t>
        </is>
      </c>
      <c r="B520" s="8">
        <f>IFERROR(VLOOKUP($A520,'01-原始价格'!$A:$M,2,FALSE),"")</f>
        <v/>
      </c>
      <c r="C520" s="8">
        <f>IFERROR(VLOOKUP($A520,'01-原始价格'!$A:$M,8,FALSE),"")</f>
        <v/>
      </c>
      <c r="D520" s="10">
        <f>IFERROR(B520/C520,"")</f>
        <v/>
      </c>
      <c r="E520" s="10">
        <f>IFERROR(C520/B520,"")</f>
        <v/>
      </c>
      <c r="F520" s="11">
        <f>IFERROR((D520/D519-1)*100,"")</f>
        <v/>
      </c>
      <c r="G520" s="11">
        <f>IFERROR((COUNTIF($D$269:$D$520,"&lt;"&amp;D520)+0.5*COUNTIF($D$269:$D$520,D520))/COUNT($D$269:$D$520)*100,"")</f>
        <v/>
      </c>
      <c r="H520" s="10">
        <f>IFERROR(AVERAGE($D$269:$D$520),"")</f>
        <v/>
      </c>
      <c r="I520" s="10" t="n">
        <v>1.283968289720744</v>
      </c>
      <c r="J520" t="inlineStr"/>
      <c r="K520" t="inlineStr"/>
    </row>
    <row r="521">
      <c r="A521" s="7" t="inlineStr">
        <is>
          <t>2016-04-13</t>
        </is>
      </c>
      <c r="B521" s="8">
        <f>IFERROR(VLOOKUP($A521,'01-原始价格'!$A:$M,2,FALSE),"")</f>
        <v/>
      </c>
      <c r="C521" s="8">
        <f>IFERROR(VLOOKUP($A521,'01-原始价格'!$A:$M,8,FALSE),"")</f>
        <v/>
      </c>
      <c r="D521" s="10">
        <f>IFERROR(B521/C521,"")</f>
        <v/>
      </c>
      <c r="E521" s="10">
        <f>IFERROR(C521/B521,"")</f>
        <v/>
      </c>
      <c r="F521" s="11">
        <f>IFERROR((D521/D520-1)*100,"")</f>
        <v/>
      </c>
      <c r="G521" s="11">
        <f>IFERROR((COUNTIF($D$270:$D$521,"&lt;"&amp;D521)+0.5*COUNTIF($D$270:$D$521,D521))/COUNT($D$270:$D$521)*100,"")</f>
        <v/>
      </c>
      <c r="H521" s="10">
        <f>IFERROR(AVERAGE($D$270:$D$521),"")</f>
        <v/>
      </c>
      <c r="I521" s="10" t="n">
        <v>1.464456463144284</v>
      </c>
      <c r="J521" t="inlineStr"/>
      <c r="K521" t="inlineStr"/>
    </row>
    <row r="522">
      <c r="A522" s="7" t="inlineStr">
        <is>
          <t>2016-04-14</t>
        </is>
      </c>
      <c r="B522" s="8">
        <f>IFERROR(VLOOKUP($A522,'01-原始价格'!$A:$M,2,FALSE),"")</f>
        <v/>
      </c>
      <c r="C522" s="8">
        <f>IFERROR(VLOOKUP($A522,'01-原始价格'!$A:$M,8,FALSE),"")</f>
        <v/>
      </c>
      <c r="D522" s="10">
        <f>IFERROR(B522/C522,"")</f>
        <v/>
      </c>
      <c r="E522" s="10">
        <f>IFERROR(C522/B522,"")</f>
        <v/>
      </c>
      <c r="F522" s="11">
        <f>IFERROR((D522/D521-1)*100,"")</f>
        <v/>
      </c>
      <c r="G522" s="11">
        <f>IFERROR((COUNTIF($D$271:$D$522,"&lt;"&amp;D522)+0.5*COUNTIF($D$271:$D$522,D522))/COUNT($D$271:$D$522)*100,"")</f>
        <v/>
      </c>
      <c r="H522" s="10">
        <f>IFERROR(AVERAGE($D$271:$D$522),"")</f>
        <v/>
      </c>
      <c r="I522" s="10" t="n">
        <v>1.327271981685104</v>
      </c>
      <c r="J522" t="inlineStr"/>
      <c r="K522" t="inlineStr"/>
    </row>
    <row r="523">
      <c r="A523" s="7" t="inlineStr">
        <is>
          <t>2016-04-15</t>
        </is>
      </c>
      <c r="B523" s="8">
        <f>IFERROR(VLOOKUP($A523,'01-原始价格'!$A:$M,2,FALSE),"")</f>
        <v/>
      </c>
      <c r="C523" s="8">
        <f>IFERROR(VLOOKUP($A523,'01-原始价格'!$A:$M,8,FALSE),"")</f>
        <v/>
      </c>
      <c r="D523" s="10">
        <f>IFERROR(B523/C523,"")</f>
        <v/>
      </c>
      <c r="E523" s="10">
        <f>IFERROR(C523/B523,"")</f>
        <v/>
      </c>
      <c r="F523" s="11">
        <f>IFERROR((D523/D522-1)*100,"")</f>
        <v/>
      </c>
      <c r="G523" s="11">
        <f>IFERROR((COUNTIF($D$272:$D$523,"&lt;"&amp;D523)+0.5*COUNTIF($D$272:$D$523,D523))/COUNT($D$272:$D$523)*100,"")</f>
        <v/>
      </c>
      <c r="H523" s="10">
        <f>IFERROR(AVERAGE($D$272:$D$523),"")</f>
        <v/>
      </c>
      <c r="I523" s="10" t="n">
        <v>1.296396744629415</v>
      </c>
      <c r="J523" t="inlineStr"/>
      <c r="K523" t="inlineStr"/>
    </row>
    <row r="524">
      <c r="A524" s="7" t="inlineStr">
        <is>
          <t>2016-04-18</t>
        </is>
      </c>
      <c r="B524" s="8">
        <f>IFERROR(VLOOKUP($A524,'01-原始价格'!$A:$M,2,FALSE),"")</f>
        <v/>
      </c>
      <c r="C524" s="8">
        <f>IFERROR(VLOOKUP($A524,'01-原始价格'!$A:$M,8,FALSE),"")</f>
        <v/>
      </c>
      <c r="D524" s="10">
        <f>IFERROR(B524/C524,"")</f>
        <v/>
      </c>
      <c r="E524" s="10">
        <f>IFERROR(C524/B524,"")</f>
        <v/>
      </c>
      <c r="F524" s="11">
        <f>IFERROR((D524/D523-1)*100,"")</f>
        <v/>
      </c>
      <c r="G524" s="11">
        <f>IFERROR((COUNTIF($D$273:$D$524,"&lt;"&amp;D524)+0.5*COUNTIF($D$273:$D$524,D524))/COUNT($D$273:$D$524)*100,"")</f>
        <v/>
      </c>
      <c r="H524" s="10">
        <f>IFERROR(AVERAGE($D$273:$D$524),"")</f>
        <v/>
      </c>
      <c r="I524" s="10" t="n">
        <v>1.248985167061284</v>
      </c>
      <c r="J524" t="inlineStr"/>
      <c r="K524" t="inlineStr"/>
    </row>
    <row r="525">
      <c r="A525" s="7" t="inlineStr">
        <is>
          <t>2016-04-19</t>
        </is>
      </c>
      <c r="B525" s="8">
        <f>IFERROR(VLOOKUP($A525,'01-原始价格'!$A:$M,2,FALSE),"")</f>
        <v/>
      </c>
      <c r="C525" s="8">
        <f>IFERROR(VLOOKUP($A525,'01-原始价格'!$A:$M,8,FALSE),"")</f>
        <v/>
      </c>
      <c r="D525" s="10">
        <f>IFERROR(B525/C525,"")</f>
        <v/>
      </c>
      <c r="E525" s="10">
        <f>IFERROR(C525/B525,"")</f>
        <v/>
      </c>
      <c r="F525" s="11">
        <f>IFERROR((D525/D524-1)*100,"")</f>
        <v/>
      </c>
      <c r="G525" s="11">
        <f>IFERROR((COUNTIF($D$274:$D$525,"&lt;"&amp;D525)+0.5*COUNTIF($D$274:$D$525,D525))/COUNT($D$274:$D$525)*100,"")</f>
        <v/>
      </c>
      <c r="H525" s="10">
        <f>IFERROR(AVERAGE($D$274:$D$525),"")</f>
        <v/>
      </c>
      <c r="I525" s="10" t="n">
        <v>1.231586929518627</v>
      </c>
      <c r="J525" t="inlineStr"/>
      <c r="K525" t="inlineStr"/>
    </row>
    <row r="526">
      <c r="A526" s="7" t="inlineStr">
        <is>
          <t>2016-04-20</t>
        </is>
      </c>
      <c r="B526" s="8">
        <f>IFERROR(VLOOKUP($A526,'01-原始价格'!$A:$M,2,FALSE),"")</f>
        <v/>
      </c>
      <c r="C526" s="8">
        <f>IFERROR(VLOOKUP($A526,'01-原始价格'!$A:$M,8,FALSE),"")</f>
        <v/>
      </c>
      <c r="D526" s="10">
        <f>IFERROR(B526/C526,"")</f>
        <v/>
      </c>
      <c r="E526" s="10">
        <f>IFERROR(C526/B526,"")</f>
        <v/>
      </c>
      <c r="F526" s="11">
        <f>IFERROR((D526/D525-1)*100,"")</f>
        <v/>
      </c>
      <c r="G526" s="11">
        <f>IFERROR((COUNTIF($D$275:$D$526,"&lt;"&amp;D526)+0.5*COUNTIF($D$275:$D$526,D526))/COUNT($D$275:$D$526)*100,"")</f>
        <v/>
      </c>
      <c r="H526" s="10">
        <f>IFERROR(AVERAGE($D$275:$D$526),"")</f>
        <v/>
      </c>
      <c r="I526" s="10" t="n">
        <v>0.9678596012849765</v>
      </c>
      <c r="J526" t="inlineStr"/>
      <c r="K526" t="inlineStr"/>
    </row>
    <row r="527">
      <c r="A527" s="7" t="inlineStr">
        <is>
          <t>2016-04-21</t>
        </is>
      </c>
      <c r="B527" s="8">
        <f>IFERROR(VLOOKUP($A527,'01-原始价格'!$A:$M,2,FALSE),"")</f>
        <v/>
      </c>
      <c r="C527" s="8">
        <f>IFERROR(VLOOKUP($A527,'01-原始价格'!$A:$M,8,FALSE),"")</f>
        <v/>
      </c>
      <c r="D527" s="10">
        <f>IFERROR(B527/C527,"")</f>
        <v/>
      </c>
      <c r="E527" s="10">
        <f>IFERROR(C527/B527,"")</f>
        <v/>
      </c>
      <c r="F527" s="11">
        <f>IFERROR((D527/D526-1)*100,"")</f>
        <v/>
      </c>
      <c r="G527" s="11">
        <f>IFERROR((COUNTIF($D$276:$D$527,"&lt;"&amp;D527)+0.5*COUNTIF($D$276:$D$527,D527))/COUNT($D$276:$D$527)*100,"")</f>
        <v/>
      </c>
      <c r="H527" s="10">
        <f>IFERROR(AVERAGE($D$276:$D$527),"")</f>
        <v/>
      </c>
      <c r="I527" s="10" t="n">
        <v>0.8364284064421152</v>
      </c>
      <c r="J527" t="inlineStr"/>
      <c r="K527" t="inlineStr"/>
    </row>
    <row r="528">
      <c r="A528" s="7" t="inlineStr">
        <is>
          <t>2016-04-22</t>
        </is>
      </c>
      <c r="B528" s="8">
        <f>IFERROR(VLOOKUP($A528,'01-原始价格'!$A:$M,2,FALSE),"")</f>
        <v/>
      </c>
      <c r="C528" s="8">
        <f>IFERROR(VLOOKUP($A528,'01-原始价格'!$A:$M,8,FALSE),"")</f>
        <v/>
      </c>
      <c r="D528" s="10">
        <f>IFERROR(B528/C528,"")</f>
        <v/>
      </c>
      <c r="E528" s="10">
        <f>IFERROR(C528/B528,"")</f>
        <v/>
      </c>
      <c r="F528" s="11">
        <f>IFERROR((D528/D527-1)*100,"")</f>
        <v/>
      </c>
      <c r="G528" s="11">
        <f>IFERROR((COUNTIF($D$277:$D$528,"&lt;"&amp;D528)+0.5*COUNTIF($D$277:$D$528,D528))/COUNT($D$277:$D$528)*100,"")</f>
        <v/>
      </c>
      <c r="H528" s="10">
        <f>IFERROR(AVERAGE($D$277:$D$528),"")</f>
        <v/>
      </c>
      <c r="I528" s="10" t="n">
        <v>0.9660042385907909</v>
      </c>
      <c r="J528" t="inlineStr"/>
      <c r="K528" t="inlineStr"/>
    </row>
    <row r="529">
      <c r="A529" s="7" t="inlineStr">
        <is>
          <t>2016-04-25</t>
        </is>
      </c>
      <c r="B529" s="8">
        <f>IFERROR(VLOOKUP($A529,'01-原始价格'!$A:$M,2,FALSE),"")</f>
        <v/>
      </c>
      <c r="C529" s="8">
        <f>IFERROR(VLOOKUP($A529,'01-原始价格'!$A:$M,8,FALSE),"")</f>
        <v/>
      </c>
      <c r="D529" s="10">
        <f>IFERROR(B529/C529,"")</f>
        <v/>
      </c>
      <c r="E529" s="10">
        <f>IFERROR(C529/B529,"")</f>
        <v/>
      </c>
      <c r="F529" s="11">
        <f>IFERROR((D529/D528-1)*100,"")</f>
        <v/>
      </c>
      <c r="G529" s="11">
        <f>IFERROR((COUNTIF($D$278:$D$529,"&lt;"&amp;D529)+0.5*COUNTIF($D$278:$D$529,D529))/COUNT($D$278:$D$529)*100,"")</f>
        <v/>
      </c>
      <c r="H529" s="10">
        <f>IFERROR(AVERAGE($D$278:$D$529),"")</f>
        <v/>
      </c>
      <c r="I529" s="10" t="n">
        <v>0.827356119759394</v>
      </c>
      <c r="J529" t="inlineStr"/>
      <c r="K529" t="inlineStr"/>
    </row>
    <row r="530">
      <c r="A530" s="7" t="inlineStr">
        <is>
          <t>2016-04-26</t>
        </is>
      </c>
      <c r="B530" s="8">
        <f>IFERROR(VLOOKUP($A530,'01-原始价格'!$A:$M,2,FALSE),"")</f>
        <v/>
      </c>
      <c r="C530" s="8">
        <f>IFERROR(VLOOKUP($A530,'01-原始价格'!$A:$M,8,FALSE),"")</f>
        <v/>
      </c>
      <c r="D530" s="10">
        <f>IFERROR(B530/C530,"")</f>
        <v/>
      </c>
      <c r="E530" s="10">
        <f>IFERROR(C530/B530,"")</f>
        <v/>
      </c>
      <c r="F530" s="11">
        <f>IFERROR((D530/D529-1)*100,"")</f>
        <v/>
      </c>
      <c r="G530" s="11">
        <f>IFERROR((COUNTIF($D$279:$D$530,"&lt;"&amp;D530)+0.5*COUNTIF($D$279:$D$530,D530))/COUNT($D$279:$D$530)*100,"")</f>
        <v/>
      </c>
      <c r="H530" s="10">
        <f>IFERROR(AVERAGE($D$279:$D$530),"")</f>
        <v/>
      </c>
      <c r="I530" s="10" t="n">
        <v>1.100415116267642</v>
      </c>
      <c r="J530" t="inlineStr"/>
      <c r="K530" t="inlineStr"/>
    </row>
    <row r="531">
      <c r="A531" s="7" t="inlineStr">
        <is>
          <t>2016-04-27</t>
        </is>
      </c>
      <c r="B531" s="8">
        <f>IFERROR(VLOOKUP($A531,'01-原始价格'!$A:$M,2,FALSE),"")</f>
        <v/>
      </c>
      <c r="C531" s="8">
        <f>IFERROR(VLOOKUP($A531,'01-原始价格'!$A:$M,8,FALSE),"")</f>
        <v/>
      </c>
      <c r="D531" s="10">
        <f>IFERROR(B531/C531,"")</f>
        <v/>
      </c>
      <c r="E531" s="10">
        <f>IFERROR(C531/B531,"")</f>
        <v/>
      </c>
      <c r="F531" s="11">
        <f>IFERROR((D531/D530-1)*100,"")</f>
        <v/>
      </c>
      <c r="G531" s="11">
        <f>IFERROR((COUNTIF($D$280:$D$531,"&lt;"&amp;D531)+0.5*COUNTIF($D$280:$D$531,D531))/COUNT($D$280:$D$531)*100,"")</f>
        <v/>
      </c>
      <c r="H531" s="10">
        <f>IFERROR(AVERAGE($D$280:$D$531),"")</f>
        <v/>
      </c>
      <c r="I531" s="10" t="n">
        <v>1.296063322669368</v>
      </c>
      <c r="J531" t="inlineStr"/>
      <c r="K531" t="inlineStr"/>
    </row>
    <row r="532">
      <c r="A532" s="7" t="inlineStr">
        <is>
          <t>2016-04-28</t>
        </is>
      </c>
      <c r="B532" s="8">
        <f>IFERROR(VLOOKUP($A532,'01-原始价格'!$A:$M,2,FALSE),"")</f>
        <v/>
      </c>
      <c r="C532" s="8">
        <f>IFERROR(VLOOKUP($A532,'01-原始价格'!$A:$M,8,FALSE),"")</f>
        <v/>
      </c>
      <c r="D532" s="10">
        <f>IFERROR(B532/C532,"")</f>
        <v/>
      </c>
      <c r="E532" s="10">
        <f>IFERROR(C532/B532,"")</f>
        <v/>
      </c>
      <c r="F532" s="11">
        <f>IFERROR((D532/D531-1)*100,"")</f>
        <v/>
      </c>
      <c r="G532" s="11">
        <f>IFERROR((COUNTIF($D$281:$D$532,"&lt;"&amp;D532)+0.5*COUNTIF($D$281:$D$532,D532))/COUNT($D$281:$D$532)*100,"")</f>
        <v/>
      </c>
      <c r="H532" s="10">
        <f>IFERROR(AVERAGE($D$281:$D$532),"")</f>
        <v/>
      </c>
      <c r="I532" s="10" t="n">
        <v>0.8803149254329091</v>
      </c>
      <c r="J532" t="inlineStr"/>
      <c r="K532" t="inlineStr"/>
    </row>
    <row r="533">
      <c r="A533" s="7" t="inlineStr">
        <is>
          <t>2016-04-29</t>
        </is>
      </c>
      <c r="B533" s="8">
        <f>IFERROR(VLOOKUP($A533,'01-原始价格'!$A:$M,2,FALSE),"")</f>
        <v/>
      </c>
      <c r="C533" s="8">
        <f>IFERROR(VLOOKUP($A533,'01-原始价格'!$A:$M,8,FALSE),"")</f>
        <v/>
      </c>
      <c r="D533" s="10">
        <f>IFERROR(B533/C533,"")</f>
        <v/>
      </c>
      <c r="E533" s="10">
        <f>IFERROR(C533/B533,"")</f>
        <v/>
      </c>
      <c r="F533" s="11">
        <f>IFERROR((D533/D532-1)*100,"")</f>
        <v/>
      </c>
      <c r="G533" s="11">
        <f>IFERROR((COUNTIF($D$282:$D$533,"&lt;"&amp;D533)+0.5*COUNTIF($D$282:$D$533,D533))/COUNT($D$282:$D$533)*100,"")</f>
        <v/>
      </c>
      <c r="H533" s="10">
        <f>IFERROR(AVERAGE($D$282:$D$533),"")</f>
        <v/>
      </c>
      <c r="I533" s="10" t="n">
        <v>1.099169559541184</v>
      </c>
      <c r="J533" t="inlineStr"/>
      <c r="K533" t="inlineStr"/>
    </row>
    <row r="534">
      <c r="A534" s="7" t="inlineStr">
        <is>
          <t>2016-05-03</t>
        </is>
      </c>
      <c r="B534" s="8">
        <f>IFERROR(VLOOKUP($A534,'01-原始价格'!$A:$M,2,FALSE),"")</f>
        <v/>
      </c>
      <c r="C534" s="8">
        <f>IFERROR(VLOOKUP($A534,'01-原始价格'!$A:$M,8,FALSE),"")</f>
        <v/>
      </c>
      <c r="D534" s="10">
        <f>IFERROR(B534/C534,"")</f>
        <v/>
      </c>
      <c r="E534" s="10">
        <f>IFERROR(C534/B534,"")</f>
        <v/>
      </c>
      <c r="F534" s="11">
        <f>IFERROR((D534/D533-1)*100,"")</f>
        <v/>
      </c>
      <c r="G534" s="11">
        <f>IFERROR((COUNTIF($D$283:$D$534,"&lt;"&amp;D534)+0.5*COUNTIF($D$283:$D$534,D534))/COUNT($D$283:$D$534)*100,"")</f>
        <v/>
      </c>
      <c r="H534" s="10">
        <f>IFERROR(AVERAGE($D$283:$D$534),"")</f>
        <v/>
      </c>
      <c r="I534" s="10" t="n">
        <v>1.382262728686257</v>
      </c>
      <c r="J534" t="inlineStr"/>
      <c r="K534" t="inlineStr"/>
    </row>
    <row r="535">
      <c r="A535" s="7" t="inlineStr">
        <is>
          <t>2016-05-04</t>
        </is>
      </c>
      <c r="B535" s="8">
        <f>IFERROR(VLOOKUP($A535,'01-原始价格'!$A:$M,2,FALSE),"")</f>
        <v/>
      </c>
      <c r="C535" s="8">
        <f>IFERROR(VLOOKUP($A535,'01-原始价格'!$A:$M,8,FALSE),"")</f>
        <v/>
      </c>
      <c r="D535" s="10">
        <f>IFERROR(B535/C535,"")</f>
        <v/>
      </c>
      <c r="E535" s="10">
        <f>IFERROR(C535/B535,"")</f>
        <v/>
      </c>
      <c r="F535" s="11">
        <f>IFERROR((D535/D534-1)*100,"")</f>
        <v/>
      </c>
      <c r="G535" s="11">
        <f>IFERROR((COUNTIF($D$284:$D$535,"&lt;"&amp;D535)+0.5*COUNTIF($D$284:$D$535,D535))/COUNT($D$284:$D$535)*100,"")</f>
        <v/>
      </c>
      <c r="H535" s="10">
        <f>IFERROR(AVERAGE($D$284:$D$535),"")</f>
        <v/>
      </c>
      <c r="I535" s="10" t="n">
        <v>1.386648196942112</v>
      </c>
      <c r="J535" t="inlineStr"/>
      <c r="K535" t="inlineStr"/>
    </row>
    <row r="536">
      <c r="A536" s="7" t="inlineStr">
        <is>
          <t>2016-05-05</t>
        </is>
      </c>
      <c r="B536" s="8">
        <f>IFERROR(VLOOKUP($A536,'01-原始价格'!$A:$M,2,FALSE),"")</f>
        <v/>
      </c>
      <c r="C536" s="8">
        <f>IFERROR(VLOOKUP($A536,'01-原始价格'!$A:$M,8,FALSE),"")</f>
        <v/>
      </c>
      <c r="D536" s="10">
        <f>IFERROR(B536/C536,"")</f>
        <v/>
      </c>
      <c r="E536" s="10">
        <f>IFERROR(C536/B536,"")</f>
        <v/>
      </c>
      <c r="F536" s="11">
        <f>IFERROR((D536/D535-1)*100,"")</f>
        <v/>
      </c>
      <c r="G536" s="11">
        <f>IFERROR((COUNTIF($D$285:$D$536,"&lt;"&amp;D536)+0.5*COUNTIF($D$285:$D$536,D536))/COUNT($D$285:$D$536)*100,"")</f>
        <v/>
      </c>
      <c r="H536" s="10">
        <f>IFERROR(AVERAGE($D$285:$D$536),"")</f>
        <v/>
      </c>
      <c r="I536" s="10" t="n">
        <v>1.572014067604747</v>
      </c>
      <c r="J536" t="inlineStr"/>
      <c r="K536" t="inlineStr"/>
    </row>
    <row r="537">
      <c r="A537" s="7" t="inlineStr">
        <is>
          <t>2016-05-06</t>
        </is>
      </c>
      <c r="B537" s="8">
        <f>IFERROR(VLOOKUP($A537,'01-原始价格'!$A:$M,2,FALSE),"")</f>
        <v/>
      </c>
      <c r="C537" s="8">
        <f>IFERROR(VLOOKUP($A537,'01-原始价格'!$A:$M,8,FALSE),"")</f>
        <v/>
      </c>
      <c r="D537" s="10">
        <f>IFERROR(B537/C537,"")</f>
        <v/>
      </c>
      <c r="E537" s="10">
        <f>IFERROR(C537/B537,"")</f>
        <v/>
      </c>
      <c r="F537" s="11">
        <f>IFERROR((D537/D536-1)*100,"")</f>
        <v/>
      </c>
      <c r="G537" s="11">
        <f>IFERROR((COUNTIF($D$286:$D$537,"&lt;"&amp;D537)+0.5*COUNTIF($D$286:$D$537,D537))/COUNT($D$286:$D$537)*100,"")</f>
        <v/>
      </c>
      <c r="H537" s="10">
        <f>IFERROR(AVERAGE($D$286:$D$537),"")</f>
        <v/>
      </c>
      <c r="I537" s="10" t="n">
        <v>1.522936120215215</v>
      </c>
      <c r="J537" t="inlineStr"/>
      <c r="K537" t="inlineStr"/>
    </row>
    <row r="538">
      <c r="A538" s="7" t="inlineStr">
        <is>
          <t>2016-05-09</t>
        </is>
      </c>
      <c r="B538" s="8">
        <f>IFERROR(VLOOKUP($A538,'01-原始价格'!$A:$M,2,FALSE),"")</f>
        <v/>
      </c>
      <c r="C538" s="8">
        <f>IFERROR(VLOOKUP($A538,'01-原始价格'!$A:$M,8,FALSE),"")</f>
        <v/>
      </c>
      <c r="D538" s="10">
        <f>IFERROR(B538/C538,"")</f>
        <v/>
      </c>
      <c r="E538" s="10">
        <f>IFERROR(C538/B538,"")</f>
        <v/>
      </c>
      <c r="F538" s="11">
        <f>IFERROR((D538/D537-1)*100,"")</f>
        <v/>
      </c>
      <c r="G538" s="11">
        <f>IFERROR((COUNTIF($D$287:$D$538,"&lt;"&amp;D538)+0.5*COUNTIF($D$287:$D$538,D538))/COUNT($D$287:$D$538)*100,"")</f>
        <v/>
      </c>
      <c r="H538" s="10">
        <f>IFERROR(AVERAGE($D$287:$D$538),"")</f>
        <v/>
      </c>
      <c r="I538" s="10" t="n">
        <v>1.394194772261859</v>
      </c>
      <c r="J538" t="inlineStr"/>
      <c r="K538" t="inlineStr"/>
    </row>
    <row r="539">
      <c r="A539" s="7" t="inlineStr">
        <is>
          <t>2016-05-10</t>
        </is>
      </c>
      <c r="B539" s="8">
        <f>IFERROR(VLOOKUP($A539,'01-原始价格'!$A:$M,2,FALSE),"")</f>
        <v/>
      </c>
      <c r="C539" s="8">
        <f>IFERROR(VLOOKUP($A539,'01-原始价格'!$A:$M,8,FALSE),"")</f>
        <v/>
      </c>
      <c r="D539" s="10">
        <f>IFERROR(B539/C539,"")</f>
        <v/>
      </c>
      <c r="E539" s="10">
        <f>IFERROR(C539/B539,"")</f>
        <v/>
      </c>
      <c r="F539" s="11">
        <f>IFERROR((D539/D538-1)*100,"")</f>
        <v/>
      </c>
      <c r="G539" s="11">
        <f>IFERROR((COUNTIF($D$288:$D$539,"&lt;"&amp;D539)+0.5*COUNTIF($D$288:$D$539,D539))/COUNT($D$288:$D$539)*100,"")</f>
        <v/>
      </c>
      <c r="H539" s="10">
        <f>IFERROR(AVERAGE($D$288:$D$539),"")</f>
        <v/>
      </c>
      <c r="I539" s="10" t="n">
        <v>1.345152242097853</v>
      </c>
      <c r="J539" t="inlineStr"/>
      <c r="K539" t="inlineStr"/>
    </row>
    <row r="540">
      <c r="A540" s="7" t="inlineStr">
        <is>
          <t>2016-05-11</t>
        </is>
      </c>
      <c r="B540" s="8">
        <f>IFERROR(VLOOKUP($A540,'01-原始价格'!$A:$M,2,FALSE),"")</f>
        <v/>
      </c>
      <c r="C540" s="8">
        <f>IFERROR(VLOOKUP($A540,'01-原始价格'!$A:$M,8,FALSE),"")</f>
        <v/>
      </c>
      <c r="D540" s="10">
        <f>IFERROR(B540/C540,"")</f>
        <v/>
      </c>
      <c r="E540" s="10">
        <f>IFERROR(C540/B540,"")</f>
        <v/>
      </c>
      <c r="F540" s="11">
        <f>IFERROR((D540/D539-1)*100,"")</f>
        <v/>
      </c>
      <c r="G540" s="11">
        <f>IFERROR((COUNTIF($D$289:$D$540,"&lt;"&amp;D540)+0.5*COUNTIF($D$289:$D$540,D540))/COUNT($D$289:$D$540)*100,"")</f>
        <v/>
      </c>
      <c r="H540" s="10">
        <f>IFERROR(AVERAGE($D$289:$D$540),"")</f>
        <v/>
      </c>
      <c r="I540" s="10" t="n">
        <v>1.517972727727521</v>
      </c>
      <c r="J540" t="inlineStr"/>
      <c r="K540" t="inlineStr"/>
    </row>
    <row r="541">
      <c r="A541" s="7" t="inlineStr">
        <is>
          <t>2016-05-12</t>
        </is>
      </c>
      <c r="B541" s="8">
        <f>IFERROR(VLOOKUP($A541,'01-原始价格'!$A:$M,2,FALSE),"")</f>
        <v/>
      </c>
      <c r="C541" s="8">
        <f>IFERROR(VLOOKUP($A541,'01-原始价格'!$A:$M,8,FALSE),"")</f>
        <v/>
      </c>
      <c r="D541" s="10">
        <f>IFERROR(B541/C541,"")</f>
        <v/>
      </c>
      <c r="E541" s="10">
        <f>IFERROR(C541/B541,"")</f>
        <v/>
      </c>
      <c r="F541" s="11">
        <f>IFERROR((D541/D540-1)*100,"")</f>
        <v/>
      </c>
      <c r="G541" s="11">
        <f>IFERROR((COUNTIF($D$290:$D$541,"&lt;"&amp;D541)+0.5*COUNTIF($D$290:$D$541,D541))/COUNT($D$290:$D$541)*100,"")</f>
        <v/>
      </c>
      <c r="H541" s="10">
        <f>IFERROR(AVERAGE($D$290:$D$541),"")</f>
        <v/>
      </c>
      <c r="I541" s="10" t="n">
        <v>1.599406006143111</v>
      </c>
      <c r="J541" t="inlineStr"/>
      <c r="K541" t="inlineStr"/>
    </row>
    <row r="542">
      <c r="A542" s="7" t="inlineStr">
        <is>
          <t>2016-05-13</t>
        </is>
      </c>
      <c r="B542" s="8">
        <f>IFERROR(VLOOKUP($A542,'01-原始价格'!$A:$M,2,FALSE),"")</f>
        <v/>
      </c>
      <c r="C542" s="8">
        <f>IFERROR(VLOOKUP($A542,'01-原始价格'!$A:$M,8,FALSE),"")</f>
        <v/>
      </c>
      <c r="D542" s="10">
        <f>IFERROR(B542/C542,"")</f>
        <v/>
      </c>
      <c r="E542" s="10">
        <f>IFERROR(C542/B542,"")</f>
        <v/>
      </c>
      <c r="F542" s="11">
        <f>IFERROR((D542/D541-1)*100,"")</f>
        <v/>
      </c>
      <c r="G542" s="11">
        <f>IFERROR((COUNTIF($D$291:$D$542,"&lt;"&amp;D542)+0.5*COUNTIF($D$291:$D$542,D542))/COUNT($D$291:$D$542)*100,"")</f>
        <v/>
      </c>
      <c r="H542" s="10">
        <f>IFERROR(AVERAGE($D$291:$D$542),"")</f>
        <v/>
      </c>
      <c r="I542" s="10" t="n">
        <v>1.698677747594646</v>
      </c>
      <c r="J542" t="inlineStr"/>
      <c r="K542" t="inlineStr"/>
    </row>
    <row r="543">
      <c r="A543" s="7" t="inlineStr">
        <is>
          <t>2016-05-16</t>
        </is>
      </c>
      <c r="B543" s="8">
        <f>IFERROR(VLOOKUP($A543,'01-原始价格'!$A:$M,2,FALSE),"")</f>
        <v/>
      </c>
      <c r="C543" s="8">
        <f>IFERROR(VLOOKUP($A543,'01-原始价格'!$A:$M,8,FALSE),"")</f>
        <v/>
      </c>
      <c r="D543" s="10">
        <f>IFERROR(B543/C543,"")</f>
        <v/>
      </c>
      <c r="E543" s="10">
        <f>IFERROR(C543/B543,"")</f>
        <v/>
      </c>
      <c r="F543" s="11">
        <f>IFERROR((D543/D542-1)*100,"")</f>
        <v/>
      </c>
      <c r="G543" s="11">
        <f>IFERROR((COUNTIF($D$292:$D$543,"&lt;"&amp;D543)+0.5*COUNTIF($D$292:$D$543,D543))/COUNT($D$292:$D$543)*100,"")</f>
        <v/>
      </c>
      <c r="H543" s="10">
        <f>IFERROR(AVERAGE($D$292:$D$543),"")</f>
        <v/>
      </c>
      <c r="I543" s="10" t="n">
        <v>1.901883429050794</v>
      </c>
      <c r="J543" t="inlineStr"/>
      <c r="K543" t="inlineStr"/>
    </row>
    <row r="544">
      <c r="A544" s="7" t="inlineStr">
        <is>
          <t>2016-05-17</t>
        </is>
      </c>
      <c r="B544" s="8">
        <f>IFERROR(VLOOKUP($A544,'01-原始价格'!$A:$M,2,FALSE),"")</f>
        <v/>
      </c>
      <c r="C544" s="8">
        <f>IFERROR(VLOOKUP($A544,'01-原始价格'!$A:$M,8,FALSE),"")</f>
        <v/>
      </c>
      <c r="D544" s="10">
        <f>IFERROR(B544/C544,"")</f>
        <v/>
      </c>
      <c r="E544" s="10">
        <f>IFERROR(C544/B544,"")</f>
        <v/>
      </c>
      <c r="F544" s="11">
        <f>IFERROR((D544/D543-1)*100,"")</f>
        <v/>
      </c>
      <c r="G544" s="11">
        <f>IFERROR((COUNTIF($D$293:$D$544,"&lt;"&amp;D544)+0.5*COUNTIF($D$293:$D$544,D544))/COUNT($D$293:$D$544)*100,"")</f>
        <v/>
      </c>
      <c r="H544" s="10">
        <f>IFERROR(AVERAGE($D$293:$D$544),"")</f>
        <v/>
      </c>
      <c r="I544" s="10" t="n">
        <v>1.737337664729926</v>
      </c>
      <c r="J544" t="inlineStr"/>
      <c r="K544" t="inlineStr"/>
    </row>
    <row r="545">
      <c r="A545" s="7" t="inlineStr">
        <is>
          <t>2016-05-18</t>
        </is>
      </c>
      <c r="B545" s="8">
        <f>IFERROR(VLOOKUP($A545,'01-原始价格'!$A:$M,2,FALSE),"")</f>
        <v/>
      </c>
      <c r="C545" s="8">
        <f>IFERROR(VLOOKUP($A545,'01-原始价格'!$A:$M,8,FALSE),"")</f>
        <v/>
      </c>
      <c r="D545" s="10">
        <f>IFERROR(B545/C545,"")</f>
        <v/>
      </c>
      <c r="E545" s="10">
        <f>IFERROR(C545/B545,"")</f>
        <v/>
      </c>
      <c r="F545" s="11">
        <f>IFERROR((D545/D544-1)*100,"")</f>
        <v/>
      </c>
      <c r="G545" s="11">
        <f>IFERROR((COUNTIF($D$294:$D$545,"&lt;"&amp;D545)+0.5*COUNTIF($D$294:$D$545,D545))/COUNT($D$294:$D$545)*100,"")</f>
        <v/>
      </c>
      <c r="H545" s="10">
        <f>IFERROR(AVERAGE($D$294:$D$545),"")</f>
        <v/>
      </c>
      <c r="I545" s="10" t="n">
        <v>1.565263643202712</v>
      </c>
      <c r="J545" t="inlineStr"/>
      <c r="K545" t="inlineStr"/>
    </row>
    <row r="546">
      <c r="A546" s="7" t="inlineStr">
        <is>
          <t>2016-05-19</t>
        </is>
      </c>
      <c r="B546" s="8">
        <f>IFERROR(VLOOKUP($A546,'01-原始价格'!$A:$M,2,FALSE),"")</f>
        <v/>
      </c>
      <c r="C546" s="8">
        <f>IFERROR(VLOOKUP($A546,'01-原始价格'!$A:$M,8,FALSE),"")</f>
        <v/>
      </c>
      <c r="D546" s="10">
        <f>IFERROR(B546/C546,"")</f>
        <v/>
      </c>
      <c r="E546" s="10">
        <f>IFERROR(C546/B546,"")</f>
        <v/>
      </c>
      <c r="F546" s="11">
        <f>IFERROR((D546/D545-1)*100,"")</f>
        <v/>
      </c>
      <c r="G546" s="11">
        <f>IFERROR((COUNTIF($D$295:$D$546,"&lt;"&amp;D546)+0.5*COUNTIF($D$295:$D$546,D546))/COUNT($D$295:$D$546)*100,"")</f>
        <v/>
      </c>
      <c r="H546" s="10">
        <f>IFERROR(AVERAGE($D$295:$D$546),"")</f>
        <v/>
      </c>
      <c r="I546" s="10" t="n">
        <v>1.482913349515615</v>
      </c>
      <c r="J546" t="inlineStr"/>
      <c r="K546" t="inlineStr"/>
    </row>
    <row r="547">
      <c r="A547" s="7" t="inlineStr">
        <is>
          <t>2016-05-20</t>
        </is>
      </c>
      <c r="B547" s="8">
        <f>IFERROR(VLOOKUP($A547,'01-原始价格'!$A:$M,2,FALSE),"")</f>
        <v/>
      </c>
      <c r="C547" s="8">
        <f>IFERROR(VLOOKUP($A547,'01-原始价格'!$A:$M,8,FALSE),"")</f>
        <v/>
      </c>
      <c r="D547" s="10">
        <f>IFERROR(B547/C547,"")</f>
        <v/>
      </c>
      <c r="E547" s="10">
        <f>IFERROR(C547/B547,"")</f>
        <v/>
      </c>
      <c r="F547" s="11">
        <f>IFERROR((D547/D546-1)*100,"")</f>
        <v/>
      </c>
      <c r="G547" s="11">
        <f>IFERROR((COUNTIF($D$296:$D$547,"&lt;"&amp;D547)+0.5*COUNTIF($D$296:$D$547,D547))/COUNT($D$296:$D$547)*100,"")</f>
        <v/>
      </c>
      <c r="H547" s="10">
        <f>IFERROR(AVERAGE($D$296:$D$547),"")</f>
        <v/>
      </c>
      <c r="I547" s="10" t="n">
        <v>1.238575304240091</v>
      </c>
      <c r="J547" t="inlineStr"/>
      <c r="K547" t="inlineStr"/>
    </row>
    <row r="548">
      <c r="A548" s="7" t="inlineStr">
        <is>
          <t>2016-05-23</t>
        </is>
      </c>
      <c r="B548" s="8">
        <f>IFERROR(VLOOKUP($A548,'01-原始价格'!$A:$M,2,FALSE),"")</f>
        <v/>
      </c>
      <c r="C548" s="8">
        <f>IFERROR(VLOOKUP($A548,'01-原始价格'!$A:$M,8,FALSE),"")</f>
        <v/>
      </c>
      <c r="D548" s="10">
        <f>IFERROR(B548/C548,"")</f>
        <v/>
      </c>
      <c r="E548" s="10">
        <f>IFERROR(C548/B548,"")</f>
        <v/>
      </c>
      <c r="F548" s="11">
        <f>IFERROR((D548/D547-1)*100,"")</f>
        <v/>
      </c>
      <c r="G548" s="11">
        <f>IFERROR((COUNTIF($D$297:$D$548,"&lt;"&amp;D548)+0.5*COUNTIF($D$297:$D$548,D548))/COUNT($D$297:$D$548)*100,"")</f>
        <v/>
      </c>
      <c r="H548" s="10">
        <f>IFERROR(AVERAGE($D$297:$D$548),"")</f>
        <v/>
      </c>
      <c r="I548" s="10" t="n">
        <v>0.9411389779100402</v>
      </c>
      <c r="J548" t="inlineStr"/>
      <c r="K548" t="inlineStr"/>
    </row>
    <row r="549">
      <c r="A549" s="7" t="inlineStr">
        <is>
          <t>2016-05-24</t>
        </is>
      </c>
      <c r="B549" s="8">
        <f>IFERROR(VLOOKUP($A549,'01-原始价格'!$A:$M,2,FALSE),"")</f>
        <v/>
      </c>
      <c r="C549" s="8">
        <f>IFERROR(VLOOKUP($A549,'01-原始价格'!$A:$M,8,FALSE),"")</f>
        <v/>
      </c>
      <c r="D549" s="10">
        <f>IFERROR(B549/C549,"")</f>
        <v/>
      </c>
      <c r="E549" s="10">
        <f>IFERROR(C549/B549,"")</f>
        <v/>
      </c>
      <c r="F549" s="11">
        <f>IFERROR((D549/D548-1)*100,"")</f>
        <v/>
      </c>
      <c r="G549" s="11">
        <f>IFERROR((COUNTIF($D$298:$D$549,"&lt;"&amp;D549)+0.5*COUNTIF($D$298:$D$549,D549))/COUNT($D$298:$D$549)*100,"")</f>
        <v/>
      </c>
      <c r="H549" s="10">
        <f>IFERROR(AVERAGE($D$298:$D$549),"")</f>
        <v/>
      </c>
      <c r="I549" s="10" t="n">
        <v>0.5421740291763559</v>
      </c>
      <c r="J549" t="inlineStr"/>
      <c r="K549" t="inlineStr"/>
    </row>
    <row r="550">
      <c r="A550" s="7" t="inlineStr">
        <is>
          <t>2016-05-25</t>
        </is>
      </c>
      <c r="B550" s="8">
        <f>IFERROR(VLOOKUP($A550,'01-原始价格'!$A:$M,2,FALSE),"")</f>
        <v/>
      </c>
      <c r="C550" s="8">
        <f>IFERROR(VLOOKUP($A550,'01-原始价格'!$A:$M,8,FALSE),"")</f>
        <v/>
      </c>
      <c r="D550" s="10">
        <f>IFERROR(B550/C550,"")</f>
        <v/>
      </c>
      <c r="E550" s="10">
        <f>IFERROR(C550/B550,"")</f>
        <v/>
      </c>
      <c r="F550" s="11">
        <f>IFERROR((D550/D549-1)*100,"")</f>
        <v/>
      </c>
      <c r="G550" s="11">
        <f>IFERROR((COUNTIF($D$299:$D$550,"&lt;"&amp;D550)+0.5*COUNTIF($D$299:$D$550,D550))/COUNT($D$299:$D$550)*100,"")</f>
        <v/>
      </c>
      <c r="H550" s="10">
        <f>IFERROR(AVERAGE($D$299:$D$550),"")</f>
        <v/>
      </c>
      <c r="I550" s="10" t="n">
        <v>0.5856502168779099</v>
      </c>
      <c r="J550" t="inlineStr"/>
      <c r="K550" t="inlineStr"/>
    </row>
    <row r="551">
      <c r="A551" s="7" t="inlineStr">
        <is>
          <t>2016-05-26</t>
        </is>
      </c>
      <c r="B551" s="8">
        <f>IFERROR(VLOOKUP($A551,'01-原始价格'!$A:$M,2,FALSE),"")</f>
        <v/>
      </c>
      <c r="C551" s="8">
        <f>IFERROR(VLOOKUP($A551,'01-原始价格'!$A:$M,8,FALSE),"")</f>
        <v/>
      </c>
      <c r="D551" s="10">
        <f>IFERROR(B551/C551,"")</f>
        <v/>
      </c>
      <c r="E551" s="10">
        <f>IFERROR(C551/B551,"")</f>
        <v/>
      </c>
      <c r="F551" s="11">
        <f>IFERROR((D551/D550-1)*100,"")</f>
        <v/>
      </c>
      <c r="G551" s="11">
        <f>IFERROR((COUNTIF($D$300:$D$551,"&lt;"&amp;D551)+0.5*COUNTIF($D$300:$D$551,D551))/COUNT($D$300:$D$551)*100,"")</f>
        <v/>
      </c>
      <c r="H551" s="10">
        <f>IFERROR(AVERAGE($D$300:$D$551),"")</f>
        <v/>
      </c>
      <c r="I551" s="10" t="n">
        <v>0.7924318446966797</v>
      </c>
      <c r="J551" t="inlineStr"/>
      <c r="K551" t="inlineStr"/>
    </row>
    <row r="552">
      <c r="A552" s="7" t="inlineStr">
        <is>
          <t>2016-05-27</t>
        </is>
      </c>
      <c r="B552" s="8">
        <f>IFERROR(VLOOKUP($A552,'01-原始价格'!$A:$M,2,FALSE),"")</f>
        <v/>
      </c>
      <c r="C552" s="8">
        <f>IFERROR(VLOOKUP($A552,'01-原始价格'!$A:$M,8,FALSE),"")</f>
        <v/>
      </c>
      <c r="D552" s="10">
        <f>IFERROR(B552/C552,"")</f>
        <v/>
      </c>
      <c r="E552" s="10">
        <f>IFERROR(C552/B552,"")</f>
        <v/>
      </c>
      <c r="F552" s="11">
        <f>IFERROR((D552/D551-1)*100,"")</f>
        <v/>
      </c>
      <c r="G552" s="11">
        <f>IFERROR((COUNTIF($D$301:$D$552,"&lt;"&amp;D552)+0.5*COUNTIF($D$301:$D$552,D552))/COUNT($D$301:$D$552)*100,"")</f>
        <v/>
      </c>
      <c r="H552" s="10">
        <f>IFERROR(AVERAGE($D$301:$D$552),"")</f>
        <v/>
      </c>
      <c r="I552" s="10" t="n">
        <v>0.904343244569166</v>
      </c>
      <c r="J552" t="inlineStr"/>
      <c r="K552" t="inlineStr"/>
    </row>
    <row r="553">
      <c r="A553" s="7" t="inlineStr">
        <is>
          <t>2016-05-30</t>
        </is>
      </c>
      <c r="B553" s="8">
        <f>IFERROR(VLOOKUP($A553,'01-原始价格'!$A:$M,2,FALSE),"")</f>
        <v/>
      </c>
      <c r="C553" s="8">
        <f>IFERROR(VLOOKUP($A553,'01-原始价格'!$A:$M,8,FALSE),"")</f>
        <v/>
      </c>
      <c r="D553" s="10">
        <f>IFERROR(B553/C553,"")</f>
        <v/>
      </c>
      <c r="E553" s="10">
        <f>IFERROR(C553/B553,"")</f>
        <v/>
      </c>
      <c r="F553" s="11">
        <f>IFERROR((D553/D552-1)*100,"")</f>
        <v/>
      </c>
      <c r="G553" s="11">
        <f>IFERROR((COUNTIF($D$302:$D$553,"&lt;"&amp;D553)+0.5*COUNTIF($D$302:$D$553,D553))/COUNT($D$302:$D$553)*100,"")</f>
        <v/>
      </c>
      <c r="H553" s="10">
        <f>IFERROR(AVERAGE($D$302:$D$553),"")</f>
        <v/>
      </c>
      <c r="I553" s="10" t="n">
        <v>0.8267531573616071</v>
      </c>
      <c r="J553" t="inlineStr"/>
      <c r="K553" t="inlineStr"/>
    </row>
    <row r="554">
      <c r="A554" s="7" t="inlineStr">
        <is>
          <t>2016-05-31</t>
        </is>
      </c>
      <c r="B554" s="8">
        <f>IFERROR(VLOOKUP($A554,'01-原始价格'!$A:$M,2,FALSE),"")</f>
        <v/>
      </c>
      <c r="C554" s="8">
        <f>IFERROR(VLOOKUP($A554,'01-原始价格'!$A:$M,8,FALSE),"")</f>
        <v/>
      </c>
      <c r="D554" s="10">
        <f>IFERROR(B554/C554,"")</f>
        <v/>
      </c>
      <c r="E554" s="10">
        <f>IFERROR(C554/B554,"")</f>
        <v/>
      </c>
      <c r="F554" s="11">
        <f>IFERROR((D554/D553-1)*100,"")</f>
        <v/>
      </c>
      <c r="G554" s="11">
        <f>IFERROR((COUNTIF($D$303:$D$554,"&lt;"&amp;D554)+0.5*COUNTIF($D$303:$D$554,D554))/COUNT($D$303:$D$554)*100,"")</f>
        <v/>
      </c>
      <c r="H554" s="10">
        <f>IFERROR(AVERAGE($D$303:$D$554),"")</f>
        <v/>
      </c>
      <c r="I554" s="10" t="n">
        <v>0.9088647009157411</v>
      </c>
      <c r="J554" t="inlineStr"/>
      <c r="K554" t="inlineStr"/>
    </row>
    <row r="555">
      <c r="A555" s="7" t="inlineStr">
        <is>
          <t>2016-06-01</t>
        </is>
      </c>
      <c r="B555" s="8">
        <f>IFERROR(VLOOKUP($A555,'01-原始价格'!$A:$M,2,FALSE),"")</f>
        <v/>
      </c>
      <c r="C555" s="8">
        <f>IFERROR(VLOOKUP($A555,'01-原始价格'!$A:$M,8,FALSE),"")</f>
        <v/>
      </c>
      <c r="D555" s="10">
        <f>IFERROR(B555/C555,"")</f>
        <v/>
      </c>
      <c r="E555" s="10">
        <f>IFERROR(C555/B555,"")</f>
        <v/>
      </c>
      <c r="F555" s="11">
        <f>IFERROR((D555/D554-1)*100,"")</f>
        <v/>
      </c>
      <c r="G555" s="11">
        <f>IFERROR((COUNTIF($D$304:$D$555,"&lt;"&amp;D555)+0.5*COUNTIF($D$304:$D$555,D555))/COUNT($D$304:$D$555)*100,"")</f>
        <v/>
      </c>
      <c r="H555" s="10">
        <f>IFERROR(AVERAGE($D$304:$D$555),"")</f>
        <v/>
      </c>
      <c r="I555" s="10" t="n">
        <v>0.917901709723052</v>
      </c>
      <c r="J555" t="inlineStr"/>
      <c r="K555" t="inlineStr"/>
    </row>
    <row r="556">
      <c r="A556" s="7" t="inlineStr">
        <is>
          <t>2016-06-02</t>
        </is>
      </c>
      <c r="B556" s="8">
        <f>IFERROR(VLOOKUP($A556,'01-原始价格'!$A:$M,2,FALSE),"")</f>
        <v/>
      </c>
      <c r="C556" s="8">
        <f>IFERROR(VLOOKUP($A556,'01-原始价格'!$A:$M,8,FALSE),"")</f>
        <v/>
      </c>
      <c r="D556" s="10">
        <f>IFERROR(B556/C556,"")</f>
        <v/>
      </c>
      <c r="E556" s="10">
        <f>IFERROR(C556/B556,"")</f>
        <v/>
      </c>
      <c r="F556" s="11">
        <f>IFERROR((D556/D555-1)*100,"")</f>
        <v/>
      </c>
      <c r="G556" s="11">
        <f>IFERROR((COUNTIF($D$305:$D$556,"&lt;"&amp;D556)+0.5*COUNTIF($D$305:$D$556,D556))/COUNT($D$305:$D$556)*100,"")</f>
        <v/>
      </c>
      <c r="H556" s="10">
        <f>IFERROR(AVERAGE($D$305:$D$556),"")</f>
        <v/>
      </c>
      <c r="I556" s="10" t="n">
        <v>0.9799716545121798</v>
      </c>
      <c r="J556" t="inlineStr"/>
      <c r="K556" t="inlineStr"/>
    </row>
    <row r="557">
      <c r="A557" s="7" t="inlineStr">
        <is>
          <t>2016-06-03</t>
        </is>
      </c>
      <c r="B557" s="8">
        <f>IFERROR(VLOOKUP($A557,'01-原始价格'!$A:$M,2,FALSE),"")</f>
        <v/>
      </c>
      <c r="C557" s="8">
        <f>IFERROR(VLOOKUP($A557,'01-原始价格'!$A:$M,8,FALSE),"")</f>
        <v/>
      </c>
      <c r="D557" s="10">
        <f>IFERROR(B557/C557,"")</f>
        <v/>
      </c>
      <c r="E557" s="10">
        <f>IFERROR(C557/B557,"")</f>
        <v/>
      </c>
      <c r="F557" s="11">
        <f>IFERROR((D557/D556-1)*100,"")</f>
        <v/>
      </c>
      <c r="G557" s="11">
        <f>IFERROR((COUNTIF($D$306:$D$557,"&lt;"&amp;D557)+0.5*COUNTIF($D$306:$D$557,D557))/COUNT($D$306:$D$557)*100,"")</f>
        <v/>
      </c>
      <c r="H557" s="10">
        <f>IFERROR(AVERAGE($D$306:$D$557),"")</f>
        <v/>
      </c>
      <c r="I557" s="10" t="n">
        <v>0.9414352005001587</v>
      </c>
      <c r="J557" t="inlineStr"/>
      <c r="K557" t="inlineStr"/>
    </row>
    <row r="558">
      <c r="A558" s="7" t="inlineStr">
        <is>
          <t>2016-06-06</t>
        </is>
      </c>
      <c r="B558" s="8">
        <f>IFERROR(VLOOKUP($A558,'01-原始价格'!$A:$M,2,FALSE),"")</f>
        <v/>
      </c>
      <c r="C558" s="8">
        <f>IFERROR(VLOOKUP($A558,'01-原始价格'!$A:$M,8,FALSE),"")</f>
        <v/>
      </c>
      <c r="D558" s="10">
        <f>IFERROR(B558/C558,"")</f>
        <v/>
      </c>
      <c r="E558" s="10">
        <f>IFERROR(C558/B558,"")</f>
        <v/>
      </c>
      <c r="F558" s="11">
        <f>IFERROR((D558/D557-1)*100,"")</f>
        <v/>
      </c>
      <c r="G558" s="11">
        <f>IFERROR((COUNTIF($D$307:$D$558,"&lt;"&amp;D558)+0.5*COUNTIF($D$307:$D$558,D558))/COUNT($D$307:$D$558)*100,"")</f>
        <v/>
      </c>
      <c r="H558" s="10">
        <f>IFERROR(AVERAGE($D$307:$D$558),"")</f>
        <v/>
      </c>
      <c r="I558" s="10" t="n">
        <v>0.8671268477194608</v>
      </c>
      <c r="J558" t="inlineStr"/>
      <c r="K558" t="inlineStr"/>
    </row>
    <row r="559">
      <c r="A559" s="7" t="inlineStr">
        <is>
          <t>2016-06-07</t>
        </is>
      </c>
      <c r="B559" s="8">
        <f>IFERROR(VLOOKUP($A559,'01-原始价格'!$A:$M,2,FALSE),"")</f>
        <v/>
      </c>
      <c r="C559" s="8">
        <f>IFERROR(VLOOKUP($A559,'01-原始价格'!$A:$M,8,FALSE),"")</f>
        <v/>
      </c>
      <c r="D559" s="10">
        <f>IFERROR(B559/C559,"")</f>
        <v/>
      </c>
      <c r="E559" s="10">
        <f>IFERROR(C559/B559,"")</f>
        <v/>
      </c>
      <c r="F559" s="11">
        <f>IFERROR((D559/D558-1)*100,"")</f>
        <v/>
      </c>
      <c r="G559" s="11">
        <f>IFERROR((COUNTIF($D$308:$D$559,"&lt;"&amp;D559)+0.5*COUNTIF($D$308:$D$559,D559))/COUNT($D$308:$D$559)*100,"")</f>
        <v/>
      </c>
      <c r="H559" s="10">
        <f>IFERROR(AVERAGE($D$308:$D$559),"")</f>
        <v/>
      </c>
      <c r="I559" s="10" t="n">
        <v>0.870902289175743</v>
      </c>
      <c r="J559" t="inlineStr"/>
      <c r="K559" t="inlineStr"/>
    </row>
    <row r="560">
      <c r="A560" s="7" t="inlineStr">
        <is>
          <t>2016-06-08</t>
        </is>
      </c>
      <c r="B560" s="8">
        <f>IFERROR(VLOOKUP($A560,'01-原始价格'!$A:$M,2,FALSE),"")</f>
        <v/>
      </c>
      <c r="C560" s="8">
        <f>IFERROR(VLOOKUP($A560,'01-原始价格'!$A:$M,8,FALSE),"")</f>
        <v/>
      </c>
      <c r="D560" s="10">
        <f>IFERROR(B560/C560,"")</f>
        <v/>
      </c>
      <c r="E560" s="10">
        <f>IFERROR(C560/B560,"")</f>
        <v/>
      </c>
      <c r="F560" s="11">
        <f>IFERROR((D560/D559-1)*100,"")</f>
        <v/>
      </c>
      <c r="G560" s="11">
        <f>IFERROR((COUNTIF($D$309:$D$560,"&lt;"&amp;D560)+0.5*COUNTIF($D$309:$D$560,D560))/COUNT($D$309:$D$560)*100,"")</f>
        <v/>
      </c>
      <c r="H560" s="10">
        <f>IFERROR(AVERAGE($D$309:$D$560),"")</f>
        <v/>
      </c>
      <c r="I560" s="10" t="n">
        <v>0.9310821437107871</v>
      </c>
      <c r="J560" t="inlineStr"/>
      <c r="K560" t="inlineStr"/>
    </row>
    <row r="561">
      <c r="A561" s="7" t="inlineStr">
        <is>
          <t>2016-06-13</t>
        </is>
      </c>
      <c r="B561" s="8">
        <f>IFERROR(VLOOKUP($A561,'01-原始价格'!$A:$M,2,FALSE),"")</f>
        <v/>
      </c>
      <c r="C561" s="8">
        <f>IFERROR(VLOOKUP($A561,'01-原始价格'!$A:$M,8,FALSE),"")</f>
        <v/>
      </c>
      <c r="D561" s="10">
        <f>IFERROR(B561/C561,"")</f>
        <v/>
      </c>
      <c r="E561" s="10">
        <f>IFERROR(C561/B561,"")</f>
        <v/>
      </c>
      <c r="F561" s="11">
        <f>IFERROR((D561/D560-1)*100,"")</f>
        <v/>
      </c>
      <c r="G561" s="11">
        <f>IFERROR((COUNTIF($D$310:$D$561,"&lt;"&amp;D561)+0.5*COUNTIF($D$310:$D$561,D561))/COUNT($D$310:$D$561)*100,"")</f>
        <v/>
      </c>
      <c r="H561" s="10">
        <f>IFERROR(AVERAGE($D$310:$D$561),"")</f>
        <v/>
      </c>
      <c r="I561" s="10" t="n">
        <v>0.8440479769353105</v>
      </c>
      <c r="J561" t="inlineStr"/>
      <c r="K561" t="inlineStr"/>
    </row>
    <row r="562">
      <c r="A562" s="7" t="inlineStr">
        <is>
          <t>2016-06-14</t>
        </is>
      </c>
      <c r="B562" s="8">
        <f>IFERROR(VLOOKUP($A562,'01-原始价格'!$A:$M,2,FALSE),"")</f>
        <v/>
      </c>
      <c r="C562" s="8">
        <f>IFERROR(VLOOKUP($A562,'01-原始价格'!$A:$M,8,FALSE),"")</f>
        <v/>
      </c>
      <c r="D562" s="10">
        <f>IFERROR(B562/C562,"")</f>
        <v/>
      </c>
      <c r="E562" s="10">
        <f>IFERROR(C562/B562,"")</f>
        <v/>
      </c>
      <c r="F562" s="11">
        <f>IFERROR((D562/D561-1)*100,"")</f>
        <v/>
      </c>
      <c r="G562" s="11">
        <f>IFERROR((COUNTIF($D$311:$D$562,"&lt;"&amp;D562)+0.5*COUNTIF($D$311:$D$562,D562))/COUNT($D$311:$D$562)*100,"")</f>
        <v/>
      </c>
      <c r="H562" s="10">
        <f>IFERROR(AVERAGE($D$311:$D$562),"")</f>
        <v/>
      </c>
      <c r="I562" s="10" t="n">
        <v>0.8002794873442468</v>
      </c>
      <c r="J562" t="inlineStr"/>
      <c r="K562" t="inlineStr"/>
    </row>
    <row r="563">
      <c r="A563" s="7" t="inlineStr">
        <is>
          <t>2016-06-15</t>
        </is>
      </c>
      <c r="B563" s="8">
        <f>IFERROR(VLOOKUP($A563,'01-原始价格'!$A:$M,2,FALSE),"")</f>
        <v/>
      </c>
      <c r="C563" s="8">
        <f>IFERROR(VLOOKUP($A563,'01-原始价格'!$A:$M,8,FALSE),"")</f>
        <v/>
      </c>
      <c r="D563" s="10">
        <f>IFERROR(B563/C563,"")</f>
        <v/>
      </c>
      <c r="E563" s="10">
        <f>IFERROR(C563/B563,"")</f>
        <v/>
      </c>
      <c r="F563" s="11">
        <f>IFERROR((D563/D562-1)*100,"")</f>
        <v/>
      </c>
      <c r="G563" s="11">
        <f>IFERROR((COUNTIF($D$312:$D$563,"&lt;"&amp;D563)+0.5*COUNTIF($D$312:$D$563,D563))/COUNT($D$312:$D$563)*100,"")</f>
        <v/>
      </c>
      <c r="H563" s="10">
        <f>IFERROR(AVERAGE($D$312:$D$563),"")</f>
        <v/>
      </c>
      <c r="I563" s="10" t="n">
        <v>0.5328784139584493</v>
      </c>
      <c r="J563" t="inlineStr"/>
      <c r="K563" t="inlineStr"/>
    </row>
    <row r="564">
      <c r="A564" s="7" t="inlineStr">
        <is>
          <t>2016-06-16</t>
        </is>
      </c>
      <c r="B564" s="8">
        <f>IFERROR(VLOOKUP($A564,'01-原始价格'!$A:$M,2,FALSE),"")</f>
        <v/>
      </c>
      <c r="C564" s="8">
        <f>IFERROR(VLOOKUP($A564,'01-原始价格'!$A:$M,8,FALSE),"")</f>
        <v/>
      </c>
      <c r="D564" s="10">
        <f>IFERROR(B564/C564,"")</f>
        <v/>
      </c>
      <c r="E564" s="10">
        <f>IFERROR(C564/B564,"")</f>
        <v/>
      </c>
      <c r="F564" s="11">
        <f>IFERROR((D564/D563-1)*100,"")</f>
        <v/>
      </c>
      <c r="G564" s="11">
        <f>IFERROR((COUNTIF($D$313:$D$564,"&lt;"&amp;D564)+0.5*COUNTIF($D$313:$D$564,D564))/COUNT($D$313:$D$564)*100,"")</f>
        <v/>
      </c>
      <c r="H564" s="10">
        <f>IFERROR(AVERAGE($D$313:$D$564),"")</f>
        <v/>
      </c>
      <c r="I564" s="10" t="n">
        <v>0.5742168219246289</v>
      </c>
      <c r="J564" t="inlineStr"/>
      <c r="K564" t="inlineStr"/>
    </row>
    <row r="565">
      <c r="A565" s="7" t="inlineStr">
        <is>
          <t>2016-06-17</t>
        </is>
      </c>
      <c r="B565" s="8">
        <f>IFERROR(VLOOKUP($A565,'01-原始价格'!$A:$M,2,FALSE),"")</f>
        <v/>
      </c>
      <c r="C565" s="8">
        <f>IFERROR(VLOOKUP($A565,'01-原始价格'!$A:$M,8,FALSE),"")</f>
        <v/>
      </c>
      <c r="D565" s="10">
        <f>IFERROR(B565/C565,"")</f>
        <v/>
      </c>
      <c r="E565" s="10">
        <f>IFERROR(C565/B565,"")</f>
        <v/>
      </c>
      <c r="F565" s="11">
        <f>IFERROR((D565/D564-1)*100,"")</f>
        <v/>
      </c>
      <c r="G565" s="11">
        <f>IFERROR((COUNTIF($D$314:$D$565,"&lt;"&amp;D565)+0.5*COUNTIF($D$314:$D$565,D565))/COUNT($D$314:$D$565)*100,"")</f>
        <v/>
      </c>
      <c r="H565" s="10">
        <f>IFERROR(AVERAGE($D$314:$D$565),"")</f>
        <v/>
      </c>
      <c r="I565" s="10" t="n">
        <v>0.5663103265185497</v>
      </c>
      <c r="J565" t="inlineStr"/>
      <c r="K565" t="inlineStr"/>
    </row>
    <row r="566">
      <c r="A566" s="7" t="inlineStr">
        <is>
          <t>2016-06-20</t>
        </is>
      </c>
      <c r="B566" s="8">
        <f>IFERROR(VLOOKUP($A566,'01-原始价格'!$A:$M,2,FALSE),"")</f>
        <v/>
      </c>
      <c r="C566" s="8">
        <f>IFERROR(VLOOKUP($A566,'01-原始价格'!$A:$M,8,FALSE),"")</f>
        <v/>
      </c>
      <c r="D566" s="10">
        <f>IFERROR(B566/C566,"")</f>
        <v/>
      </c>
      <c r="E566" s="10">
        <f>IFERROR(C566/B566,"")</f>
        <v/>
      </c>
      <c r="F566" s="11">
        <f>IFERROR((D566/D565-1)*100,"")</f>
        <v/>
      </c>
      <c r="G566" s="11">
        <f>IFERROR((COUNTIF($D$315:$D$566,"&lt;"&amp;D566)+0.5*COUNTIF($D$315:$D$566,D566))/COUNT($D$315:$D$566)*100,"")</f>
        <v/>
      </c>
      <c r="H566" s="10">
        <f>IFERROR(AVERAGE($D$315:$D$566),"")</f>
        <v/>
      </c>
      <c r="I566" s="10" t="n">
        <v>0.6123407285390277</v>
      </c>
      <c r="J566" t="inlineStr"/>
      <c r="K566" t="inlineStr"/>
    </row>
    <row r="567">
      <c r="A567" s="7" t="inlineStr">
        <is>
          <t>2016-06-21</t>
        </is>
      </c>
      <c r="B567" s="8">
        <f>IFERROR(VLOOKUP($A567,'01-原始价格'!$A:$M,2,FALSE),"")</f>
        <v/>
      </c>
      <c r="C567" s="8">
        <f>IFERROR(VLOOKUP($A567,'01-原始价格'!$A:$M,8,FALSE),"")</f>
        <v/>
      </c>
      <c r="D567" s="10">
        <f>IFERROR(B567/C567,"")</f>
        <v/>
      </c>
      <c r="E567" s="10">
        <f>IFERROR(C567/B567,"")</f>
        <v/>
      </c>
      <c r="F567" s="11">
        <f>IFERROR((D567/D566-1)*100,"")</f>
        <v/>
      </c>
      <c r="G567" s="11">
        <f>IFERROR((COUNTIF($D$316:$D$567,"&lt;"&amp;D567)+0.5*COUNTIF($D$316:$D$567,D567))/COUNT($D$316:$D$567)*100,"")</f>
        <v/>
      </c>
      <c r="H567" s="10">
        <f>IFERROR(AVERAGE($D$316:$D$567),"")</f>
        <v/>
      </c>
      <c r="I567" s="10" t="n">
        <v>0.7575043462976496</v>
      </c>
      <c r="J567" t="inlineStr"/>
      <c r="K567" t="inlineStr"/>
    </row>
    <row r="568">
      <c r="A568" s="7" t="inlineStr">
        <is>
          <t>2016-06-22</t>
        </is>
      </c>
      <c r="B568" s="8">
        <f>IFERROR(VLOOKUP($A568,'01-原始价格'!$A:$M,2,FALSE),"")</f>
        <v/>
      </c>
      <c r="C568" s="8">
        <f>IFERROR(VLOOKUP($A568,'01-原始价格'!$A:$M,8,FALSE),"")</f>
        <v/>
      </c>
      <c r="D568" s="10">
        <f>IFERROR(B568/C568,"")</f>
        <v/>
      </c>
      <c r="E568" s="10">
        <f>IFERROR(C568/B568,"")</f>
        <v/>
      </c>
      <c r="F568" s="11">
        <f>IFERROR((D568/D567-1)*100,"")</f>
        <v/>
      </c>
      <c r="G568" s="11">
        <f>IFERROR((COUNTIF($D$317:$D$568,"&lt;"&amp;D568)+0.5*COUNTIF($D$317:$D$568,D568))/COUNT($D$317:$D$568)*100,"")</f>
        <v/>
      </c>
      <c r="H568" s="10">
        <f>IFERROR(AVERAGE($D$317:$D$568),"")</f>
        <v/>
      </c>
      <c r="I568" s="10" t="n">
        <v>0.732089850663567</v>
      </c>
      <c r="J568" t="inlineStr"/>
      <c r="K568" t="inlineStr"/>
    </row>
    <row r="569">
      <c r="A569" s="7" t="inlineStr">
        <is>
          <t>2016-06-23</t>
        </is>
      </c>
      <c r="B569" s="8">
        <f>IFERROR(VLOOKUP($A569,'01-原始价格'!$A:$M,2,FALSE),"")</f>
        <v/>
      </c>
      <c r="C569" s="8">
        <f>IFERROR(VLOOKUP($A569,'01-原始价格'!$A:$M,8,FALSE),"")</f>
        <v/>
      </c>
      <c r="D569" s="10">
        <f>IFERROR(B569/C569,"")</f>
        <v/>
      </c>
      <c r="E569" s="10">
        <f>IFERROR(C569/B569,"")</f>
        <v/>
      </c>
      <c r="F569" s="11">
        <f>IFERROR((D569/D568-1)*100,"")</f>
        <v/>
      </c>
      <c r="G569" s="11">
        <f>IFERROR((COUNTIF($D$318:$D$569,"&lt;"&amp;D569)+0.5*COUNTIF($D$318:$D$569,D569))/COUNT($D$318:$D$569)*100,"")</f>
        <v/>
      </c>
      <c r="H569" s="10">
        <f>IFERROR(AVERAGE($D$318:$D$569),"")</f>
        <v/>
      </c>
      <c r="I569" s="10" t="n">
        <v>0.7380237548988224</v>
      </c>
      <c r="J569" t="inlineStr"/>
      <c r="K569" t="inlineStr"/>
    </row>
    <row r="570">
      <c r="A570" s="7" t="inlineStr">
        <is>
          <t>2016-06-24</t>
        </is>
      </c>
      <c r="B570" s="8">
        <f>IFERROR(VLOOKUP($A570,'01-原始价格'!$A:$M,2,FALSE),"")</f>
        <v/>
      </c>
      <c r="C570" s="8">
        <f>IFERROR(VLOOKUP($A570,'01-原始价格'!$A:$M,8,FALSE),"")</f>
        <v/>
      </c>
      <c r="D570" s="10">
        <f>IFERROR(B570/C570,"")</f>
        <v/>
      </c>
      <c r="E570" s="10">
        <f>IFERROR(C570/B570,"")</f>
        <v/>
      </c>
      <c r="F570" s="11">
        <f>IFERROR((D570/D569-1)*100,"")</f>
        <v/>
      </c>
      <c r="G570" s="11">
        <f>IFERROR((COUNTIF($D$319:$D$570,"&lt;"&amp;D570)+0.5*COUNTIF($D$319:$D$570,D570))/COUNT($D$319:$D$570)*100,"")</f>
        <v/>
      </c>
      <c r="H570" s="10">
        <f>IFERROR(AVERAGE($D$319:$D$570),"")</f>
        <v/>
      </c>
      <c r="I570" s="10" t="n">
        <v>0.8811128973764397</v>
      </c>
      <c r="J570" t="inlineStr"/>
      <c r="K570" t="inlineStr"/>
    </row>
    <row r="571">
      <c r="A571" s="7" t="inlineStr">
        <is>
          <t>2016-06-27</t>
        </is>
      </c>
      <c r="B571" s="8">
        <f>IFERROR(VLOOKUP($A571,'01-原始价格'!$A:$M,2,FALSE),"")</f>
        <v/>
      </c>
      <c r="C571" s="8">
        <f>IFERROR(VLOOKUP($A571,'01-原始价格'!$A:$M,8,FALSE),"")</f>
        <v/>
      </c>
      <c r="D571" s="10">
        <f>IFERROR(B571/C571,"")</f>
        <v/>
      </c>
      <c r="E571" s="10">
        <f>IFERROR(C571/B571,"")</f>
        <v/>
      </c>
      <c r="F571" s="11">
        <f>IFERROR((D571/D570-1)*100,"")</f>
        <v/>
      </c>
      <c r="G571" s="11">
        <f>IFERROR((COUNTIF($D$320:$D$571,"&lt;"&amp;D571)+0.5*COUNTIF($D$320:$D$571,D571))/COUNT($D$320:$D$571)*100,"")</f>
        <v/>
      </c>
      <c r="H571" s="10">
        <f>IFERROR(AVERAGE($D$320:$D$571),"")</f>
        <v/>
      </c>
      <c r="I571" s="10" t="n">
        <v>1.210137492318762</v>
      </c>
      <c r="J571" t="inlineStr"/>
      <c r="K571" t="inlineStr"/>
    </row>
    <row r="572">
      <c r="A572" s="7" t="inlineStr">
        <is>
          <t>2016-06-28</t>
        </is>
      </c>
      <c r="B572" s="8">
        <f>IFERROR(VLOOKUP($A572,'01-原始价格'!$A:$M,2,FALSE),"")</f>
        <v/>
      </c>
      <c r="C572" s="8">
        <f>IFERROR(VLOOKUP($A572,'01-原始价格'!$A:$M,8,FALSE),"")</f>
        <v/>
      </c>
      <c r="D572" s="10">
        <f>IFERROR(B572/C572,"")</f>
        <v/>
      </c>
      <c r="E572" s="10">
        <f>IFERROR(C572/B572,"")</f>
        <v/>
      </c>
      <c r="F572" s="11">
        <f>IFERROR((D572/D571-1)*100,"")</f>
        <v/>
      </c>
      <c r="G572" s="11">
        <f>IFERROR((COUNTIF($D$321:$D$572,"&lt;"&amp;D572)+0.5*COUNTIF($D$321:$D$572,D572))/COUNT($D$321:$D$572)*100,"")</f>
        <v/>
      </c>
      <c r="H572" s="10">
        <f>IFERROR(AVERAGE($D$321:$D$572),"")</f>
        <v/>
      </c>
      <c r="I572" s="10" t="n">
        <v>1.590372369829116</v>
      </c>
      <c r="J572" t="inlineStr"/>
      <c r="K572" t="inlineStr"/>
    </row>
    <row r="573">
      <c r="A573" s="7" t="inlineStr">
        <is>
          <t>2016-06-29</t>
        </is>
      </c>
      <c r="B573" s="8">
        <f>IFERROR(VLOOKUP($A573,'01-原始价格'!$A:$M,2,FALSE),"")</f>
        <v/>
      </c>
      <c r="C573" s="8">
        <f>IFERROR(VLOOKUP($A573,'01-原始价格'!$A:$M,8,FALSE),"")</f>
        <v/>
      </c>
      <c r="D573" s="10">
        <f>IFERROR(B573/C573,"")</f>
        <v/>
      </c>
      <c r="E573" s="10">
        <f>IFERROR(C573/B573,"")</f>
        <v/>
      </c>
      <c r="F573" s="11">
        <f>IFERROR((D573/D572-1)*100,"")</f>
        <v/>
      </c>
      <c r="G573" s="11">
        <f>IFERROR((COUNTIF($D$322:$D$573,"&lt;"&amp;D573)+0.5*COUNTIF($D$322:$D$573,D573))/COUNT($D$322:$D$573)*100,"")</f>
        <v/>
      </c>
      <c r="H573" s="10">
        <f>IFERROR(AVERAGE($D$322:$D$573),"")</f>
        <v/>
      </c>
      <c r="I573" s="10" t="n">
        <v>1.914371185062106</v>
      </c>
      <c r="J573" t="inlineStr"/>
      <c r="K573" t="inlineStr"/>
    </row>
    <row r="574">
      <c r="A574" s="7" t="inlineStr">
        <is>
          <t>2016-06-30</t>
        </is>
      </c>
      <c r="B574" s="8">
        <f>IFERROR(VLOOKUP($A574,'01-原始价格'!$A:$M,2,FALSE),"")</f>
        <v/>
      </c>
      <c r="C574" s="8">
        <f>IFERROR(VLOOKUP($A574,'01-原始价格'!$A:$M,8,FALSE),"")</f>
        <v/>
      </c>
      <c r="D574" s="10">
        <f>IFERROR(B574/C574,"")</f>
        <v/>
      </c>
      <c r="E574" s="10">
        <f>IFERROR(C574/B574,"")</f>
        <v/>
      </c>
      <c r="F574" s="11">
        <f>IFERROR((D574/D573-1)*100,"")</f>
        <v/>
      </c>
      <c r="G574" s="11">
        <f>IFERROR((COUNTIF($D$323:$D$574,"&lt;"&amp;D574)+0.5*COUNTIF($D$323:$D$574,D574))/COUNT($D$323:$D$574)*100,"")</f>
        <v/>
      </c>
      <c r="H574" s="10">
        <f>IFERROR(AVERAGE($D$323:$D$574),"")</f>
        <v/>
      </c>
      <c r="I574" s="10" t="n">
        <v>2.209480316886403</v>
      </c>
      <c r="J574" t="inlineStr"/>
      <c r="K574" t="inlineStr"/>
    </row>
    <row r="575">
      <c r="A575" s="7" t="inlineStr">
        <is>
          <t>2016-07-01</t>
        </is>
      </c>
      <c r="B575" s="8">
        <f>IFERROR(VLOOKUP($A575,'01-原始价格'!$A:$M,2,FALSE),"")</f>
        <v/>
      </c>
      <c r="C575" s="8">
        <f>IFERROR(VLOOKUP($A575,'01-原始价格'!$A:$M,8,FALSE),"")</f>
        <v/>
      </c>
      <c r="D575" s="10">
        <f>IFERROR(B575/C575,"")</f>
        <v/>
      </c>
      <c r="E575" s="10">
        <f>IFERROR(C575/B575,"")</f>
        <v/>
      </c>
      <c r="F575" s="11">
        <f>IFERROR((D575/D574-1)*100,"")</f>
        <v/>
      </c>
      <c r="G575" s="11">
        <f>IFERROR((COUNTIF($D$324:$D$575,"&lt;"&amp;D575)+0.5*COUNTIF($D$324:$D$575,D575))/COUNT($D$324:$D$575)*100,"")</f>
        <v/>
      </c>
      <c r="H575" s="10">
        <f>IFERROR(AVERAGE($D$324:$D$575),"")</f>
        <v/>
      </c>
      <c r="I575" s="10" t="n">
        <v>1.824405973060317</v>
      </c>
      <c r="J575" t="inlineStr"/>
      <c r="K575" t="inlineStr"/>
    </row>
    <row r="576">
      <c r="A576" s="7" t="inlineStr">
        <is>
          <t>2016-07-04</t>
        </is>
      </c>
      <c r="B576" s="8">
        <f>IFERROR(VLOOKUP($A576,'01-原始价格'!$A:$M,2,FALSE),"")</f>
        <v/>
      </c>
      <c r="C576" s="8">
        <f>IFERROR(VLOOKUP($A576,'01-原始价格'!$A:$M,8,FALSE),"")</f>
        <v/>
      </c>
      <c r="D576" s="10">
        <f>IFERROR(B576/C576,"")</f>
        <v/>
      </c>
      <c r="E576" s="10">
        <f>IFERROR(C576/B576,"")</f>
        <v/>
      </c>
      <c r="F576" s="11">
        <f>IFERROR((D576/D575-1)*100,"")</f>
        <v/>
      </c>
      <c r="G576" s="11">
        <f>IFERROR((COUNTIF($D$325:$D$576,"&lt;"&amp;D576)+0.5*COUNTIF($D$325:$D$576,D576))/COUNT($D$325:$D$576)*100,"")</f>
        <v/>
      </c>
      <c r="H576" s="10">
        <f>IFERROR(AVERAGE($D$325:$D$576),"")</f>
        <v/>
      </c>
      <c r="I576" s="10" t="n">
        <v>1.930550511653287</v>
      </c>
      <c r="J576" t="inlineStr"/>
      <c r="K576" t="inlineStr"/>
    </row>
    <row r="577">
      <c r="A577" s="7" t="inlineStr">
        <is>
          <t>2016-07-05</t>
        </is>
      </c>
      <c r="B577" s="8">
        <f>IFERROR(VLOOKUP($A577,'01-原始价格'!$A:$M,2,FALSE),"")</f>
        <v/>
      </c>
      <c r="C577" s="8">
        <f>IFERROR(VLOOKUP($A577,'01-原始价格'!$A:$M,8,FALSE),"")</f>
        <v/>
      </c>
      <c r="D577" s="10">
        <f>IFERROR(B577/C577,"")</f>
        <v/>
      </c>
      <c r="E577" s="10">
        <f>IFERROR(C577/B577,"")</f>
        <v/>
      </c>
      <c r="F577" s="11">
        <f>IFERROR((D577/D576-1)*100,"")</f>
        <v/>
      </c>
      <c r="G577" s="11">
        <f>IFERROR((COUNTIF($D$326:$D$577,"&lt;"&amp;D577)+0.5*COUNTIF($D$326:$D$577,D577))/COUNT($D$326:$D$577)*100,"")</f>
        <v/>
      </c>
      <c r="H577" s="10">
        <f>IFERROR(AVERAGE($D$326:$D$577),"")</f>
        <v/>
      </c>
      <c r="I577" s="10" t="n">
        <v>1.806442253885139</v>
      </c>
      <c r="J577" t="inlineStr"/>
      <c r="K577" t="inlineStr"/>
    </row>
    <row r="578">
      <c r="A578" s="7" t="inlineStr">
        <is>
          <t>2016-07-06</t>
        </is>
      </c>
      <c r="B578" s="8">
        <f>IFERROR(VLOOKUP($A578,'01-原始价格'!$A:$M,2,FALSE),"")</f>
        <v/>
      </c>
      <c r="C578" s="8">
        <f>IFERROR(VLOOKUP($A578,'01-原始价格'!$A:$M,8,FALSE),"")</f>
        <v/>
      </c>
      <c r="D578" s="10">
        <f>IFERROR(B578/C578,"")</f>
        <v/>
      </c>
      <c r="E578" s="10">
        <f>IFERROR(C578/B578,"")</f>
        <v/>
      </c>
      <c r="F578" s="11">
        <f>IFERROR((D578/D577-1)*100,"")</f>
        <v/>
      </c>
      <c r="G578" s="11">
        <f>IFERROR((COUNTIF($D$327:$D$578,"&lt;"&amp;D578)+0.5*COUNTIF($D$327:$D$578,D578))/COUNT($D$327:$D$578)*100,"")</f>
        <v/>
      </c>
      <c r="H578" s="10">
        <f>IFERROR(AVERAGE($D$327:$D$578),"")</f>
        <v/>
      </c>
      <c r="I578" s="10" t="n">
        <v>1.958004804853343</v>
      </c>
      <c r="J578" t="inlineStr"/>
      <c r="K578" t="inlineStr"/>
    </row>
    <row r="579">
      <c r="A579" s="7" t="inlineStr">
        <is>
          <t>2016-07-07</t>
        </is>
      </c>
      <c r="B579" s="8">
        <f>IFERROR(VLOOKUP($A579,'01-原始价格'!$A:$M,2,FALSE),"")</f>
        <v/>
      </c>
      <c r="C579" s="8">
        <f>IFERROR(VLOOKUP($A579,'01-原始价格'!$A:$M,8,FALSE),"")</f>
        <v/>
      </c>
      <c r="D579" s="10">
        <f>IFERROR(B579/C579,"")</f>
        <v/>
      </c>
      <c r="E579" s="10">
        <f>IFERROR(C579/B579,"")</f>
        <v/>
      </c>
      <c r="F579" s="11">
        <f>IFERROR((D579/D578-1)*100,"")</f>
        <v/>
      </c>
      <c r="G579" s="11">
        <f>IFERROR((COUNTIF($D$328:$D$579,"&lt;"&amp;D579)+0.5*COUNTIF($D$328:$D$579,D579))/COUNT($D$328:$D$579)*100,"")</f>
        <v/>
      </c>
      <c r="H579" s="10">
        <f>IFERROR(AVERAGE($D$328:$D$579),"")</f>
        <v/>
      </c>
      <c r="I579" s="10" t="n">
        <v>1.951786548796805</v>
      </c>
      <c r="J579" t="inlineStr"/>
      <c r="K579" t="inlineStr"/>
    </row>
    <row r="580">
      <c r="A580" s="7" t="inlineStr">
        <is>
          <t>2016-07-08</t>
        </is>
      </c>
      <c r="B580" s="8">
        <f>IFERROR(VLOOKUP($A580,'01-原始价格'!$A:$M,2,FALSE),"")</f>
        <v/>
      </c>
      <c r="C580" s="8">
        <f>IFERROR(VLOOKUP($A580,'01-原始价格'!$A:$M,8,FALSE),"")</f>
        <v/>
      </c>
      <c r="D580" s="10">
        <f>IFERROR(B580/C580,"")</f>
        <v/>
      </c>
      <c r="E580" s="10">
        <f>IFERROR(C580/B580,"")</f>
        <v/>
      </c>
      <c r="F580" s="11">
        <f>IFERROR((D580/D579-1)*100,"")</f>
        <v/>
      </c>
      <c r="G580" s="11">
        <f>IFERROR((COUNTIF($D$329:$D$580,"&lt;"&amp;D580)+0.5*COUNTIF($D$329:$D$580,D580))/COUNT($D$329:$D$580)*100,"")</f>
        <v/>
      </c>
      <c r="H580" s="10">
        <f>IFERROR(AVERAGE($D$329:$D$580),"")</f>
        <v/>
      </c>
      <c r="I580" s="10" t="n">
        <v>2.316058187727378</v>
      </c>
      <c r="J580" t="inlineStr"/>
      <c r="K580" t="inlineStr"/>
    </row>
    <row r="581">
      <c r="A581" s="7" t="inlineStr">
        <is>
          <t>2016-07-11</t>
        </is>
      </c>
      <c r="B581" s="8">
        <f>IFERROR(VLOOKUP($A581,'01-原始价格'!$A:$M,2,FALSE),"")</f>
        <v/>
      </c>
      <c r="C581" s="8">
        <f>IFERROR(VLOOKUP($A581,'01-原始价格'!$A:$M,8,FALSE),"")</f>
        <v/>
      </c>
      <c r="D581" s="10">
        <f>IFERROR(B581/C581,"")</f>
        <v/>
      </c>
      <c r="E581" s="10">
        <f>IFERROR(C581/B581,"")</f>
        <v/>
      </c>
      <c r="F581" s="11">
        <f>IFERROR((D581/D580-1)*100,"")</f>
        <v/>
      </c>
      <c r="G581" s="11">
        <f>IFERROR((COUNTIF($D$330:$D$581,"&lt;"&amp;D581)+0.5*COUNTIF($D$330:$D$581,D581))/COUNT($D$330:$D$581)*100,"")</f>
        <v/>
      </c>
      <c r="H581" s="10">
        <f>IFERROR(AVERAGE($D$330:$D$581),"")</f>
        <v/>
      </c>
      <c r="I581" s="10" t="n">
        <v>2.021714019052637</v>
      </c>
      <c r="J581" t="inlineStr"/>
      <c r="K581" t="inlineStr"/>
    </row>
    <row r="582">
      <c r="A582" s="7" t="inlineStr">
        <is>
          <t>2016-07-12</t>
        </is>
      </c>
      <c r="B582" s="8">
        <f>IFERROR(VLOOKUP($A582,'01-原始价格'!$A:$M,2,FALSE),"")</f>
        <v/>
      </c>
      <c r="C582" s="8">
        <f>IFERROR(VLOOKUP($A582,'01-原始价格'!$A:$M,8,FALSE),"")</f>
        <v/>
      </c>
      <c r="D582" s="10">
        <f>IFERROR(B582/C582,"")</f>
        <v/>
      </c>
      <c r="E582" s="10">
        <f>IFERROR(C582/B582,"")</f>
        <v/>
      </c>
      <c r="F582" s="11">
        <f>IFERROR((D582/D581-1)*100,"")</f>
        <v/>
      </c>
      <c r="G582" s="11">
        <f>IFERROR((COUNTIF($D$331:$D$582,"&lt;"&amp;D582)+0.5*COUNTIF($D$331:$D$582,D582))/COUNT($D$331:$D$582)*100,"")</f>
        <v/>
      </c>
      <c r="H582" s="10">
        <f>IFERROR(AVERAGE($D$331:$D$582),"")</f>
        <v/>
      </c>
      <c r="I582" s="10" t="n">
        <v>2.065628108719122</v>
      </c>
      <c r="J582" t="inlineStr"/>
      <c r="K582" t="inlineStr"/>
    </row>
    <row r="583">
      <c r="A583" s="7" t="inlineStr">
        <is>
          <t>2016-07-13</t>
        </is>
      </c>
      <c r="B583" s="8">
        <f>IFERROR(VLOOKUP($A583,'01-原始价格'!$A:$M,2,FALSE),"")</f>
        <v/>
      </c>
      <c r="C583" s="8">
        <f>IFERROR(VLOOKUP($A583,'01-原始价格'!$A:$M,8,FALSE),"")</f>
        <v/>
      </c>
      <c r="D583" s="10">
        <f>IFERROR(B583/C583,"")</f>
        <v/>
      </c>
      <c r="E583" s="10">
        <f>IFERROR(C583/B583,"")</f>
        <v/>
      </c>
      <c r="F583" s="11">
        <f>IFERROR((D583/D582-1)*100,"")</f>
        <v/>
      </c>
      <c r="G583" s="11">
        <f>IFERROR((COUNTIF($D$332:$D$583,"&lt;"&amp;D583)+0.5*COUNTIF($D$332:$D$583,D583))/COUNT($D$332:$D$583)*100,"")</f>
        <v/>
      </c>
      <c r="H583" s="10">
        <f>IFERROR(AVERAGE($D$332:$D$583),"")</f>
        <v/>
      </c>
      <c r="I583" s="10" t="n">
        <v>2.109872515766155</v>
      </c>
      <c r="J583" t="inlineStr"/>
      <c r="K583" t="inlineStr"/>
    </row>
    <row r="584">
      <c r="A584" s="7" t="inlineStr">
        <is>
          <t>2016-07-14</t>
        </is>
      </c>
      <c r="B584" s="8">
        <f>IFERROR(VLOOKUP($A584,'01-原始价格'!$A:$M,2,FALSE),"")</f>
        <v/>
      </c>
      <c r="C584" s="8">
        <f>IFERROR(VLOOKUP($A584,'01-原始价格'!$A:$M,8,FALSE),"")</f>
        <v/>
      </c>
      <c r="D584" s="10">
        <f>IFERROR(B584/C584,"")</f>
        <v/>
      </c>
      <c r="E584" s="10">
        <f>IFERROR(C584/B584,"")</f>
        <v/>
      </c>
      <c r="F584" s="11">
        <f>IFERROR((D584/D583-1)*100,"")</f>
        <v/>
      </c>
      <c r="G584" s="11">
        <f>IFERROR((COUNTIF($D$333:$D$584,"&lt;"&amp;D584)+0.5*COUNTIF($D$333:$D$584,D584))/COUNT($D$333:$D$584)*100,"")</f>
        <v/>
      </c>
      <c r="H584" s="10">
        <f>IFERROR(AVERAGE($D$333:$D$584),"")</f>
        <v/>
      </c>
      <c r="I584" s="10" t="n">
        <v>2.094354673030455</v>
      </c>
      <c r="J584" t="inlineStr"/>
      <c r="K584" t="inlineStr"/>
    </row>
    <row r="585">
      <c r="A585" s="7" t="inlineStr">
        <is>
          <t>2016-07-15</t>
        </is>
      </c>
      <c r="B585" s="8">
        <f>IFERROR(VLOOKUP($A585,'01-原始价格'!$A:$M,2,FALSE),"")</f>
        <v/>
      </c>
      <c r="C585" s="8">
        <f>IFERROR(VLOOKUP($A585,'01-原始价格'!$A:$M,8,FALSE),"")</f>
        <v/>
      </c>
      <c r="D585" s="10">
        <f>IFERROR(B585/C585,"")</f>
        <v/>
      </c>
      <c r="E585" s="10">
        <f>IFERROR(C585/B585,"")</f>
        <v/>
      </c>
      <c r="F585" s="11">
        <f>IFERROR((D585/D584-1)*100,"")</f>
        <v/>
      </c>
      <c r="G585" s="11">
        <f>IFERROR((COUNTIF($D$334:$D$585,"&lt;"&amp;D585)+0.5*COUNTIF($D$334:$D$585,D585))/COUNT($D$334:$D$585)*100,"")</f>
        <v/>
      </c>
      <c r="H585" s="10">
        <f>IFERROR(AVERAGE($D$334:$D$585),"")</f>
        <v/>
      </c>
      <c r="I585" s="10" t="n">
        <v>2.221340456693135</v>
      </c>
      <c r="J585" t="inlineStr"/>
      <c r="K585" t="inlineStr"/>
    </row>
    <row r="586">
      <c r="A586" s="7" t="inlineStr">
        <is>
          <t>2016-07-18</t>
        </is>
      </c>
      <c r="B586" s="8">
        <f>IFERROR(VLOOKUP($A586,'01-原始价格'!$A:$M,2,FALSE),"")</f>
        <v/>
      </c>
      <c r="C586" s="8">
        <f>IFERROR(VLOOKUP($A586,'01-原始价格'!$A:$M,8,FALSE),"")</f>
        <v/>
      </c>
      <c r="D586" s="10">
        <f>IFERROR(B586/C586,"")</f>
        <v/>
      </c>
      <c r="E586" s="10">
        <f>IFERROR(C586/B586,"")</f>
        <v/>
      </c>
      <c r="F586" s="11">
        <f>IFERROR((D586/D585-1)*100,"")</f>
        <v/>
      </c>
      <c r="G586" s="11">
        <f>IFERROR((COUNTIF($D$335:$D$586,"&lt;"&amp;D586)+0.5*COUNTIF($D$335:$D$586,D586))/COUNT($D$335:$D$586)*100,"")</f>
        <v/>
      </c>
      <c r="H586" s="10">
        <f>IFERROR(AVERAGE($D$335:$D$586),"")</f>
        <v/>
      </c>
      <c r="I586" s="10" t="n">
        <v>2.14413358538519</v>
      </c>
      <c r="J586" t="inlineStr"/>
      <c r="K586" t="inlineStr"/>
    </row>
    <row r="587">
      <c r="A587" s="7" t="inlineStr">
        <is>
          <t>2016-07-19</t>
        </is>
      </c>
      <c r="B587" s="8">
        <f>IFERROR(VLOOKUP($A587,'01-原始价格'!$A:$M,2,FALSE),"")</f>
        <v/>
      </c>
      <c r="C587" s="8">
        <f>IFERROR(VLOOKUP($A587,'01-原始价格'!$A:$M,8,FALSE),"")</f>
        <v/>
      </c>
      <c r="D587" s="10">
        <f>IFERROR(B587/C587,"")</f>
        <v/>
      </c>
      <c r="E587" s="10">
        <f>IFERROR(C587/B587,"")</f>
        <v/>
      </c>
      <c r="F587" s="11">
        <f>IFERROR((D587/D586-1)*100,"")</f>
        <v/>
      </c>
      <c r="G587" s="11">
        <f>IFERROR((COUNTIF($D$336:$D$587,"&lt;"&amp;D587)+0.5*COUNTIF($D$336:$D$587,D587))/COUNT($D$336:$D$587)*100,"")</f>
        <v/>
      </c>
      <c r="H587" s="10">
        <f>IFERROR(AVERAGE($D$336:$D$587),"")</f>
        <v/>
      </c>
      <c r="I587" s="10" t="n">
        <v>2.523030706811576</v>
      </c>
      <c r="J587" t="inlineStr"/>
      <c r="K587" t="inlineStr"/>
    </row>
    <row r="588">
      <c r="A588" s="7" t="inlineStr">
        <is>
          <t>2016-07-20</t>
        </is>
      </c>
      <c r="B588" s="8">
        <f>IFERROR(VLOOKUP($A588,'01-原始价格'!$A:$M,2,FALSE),"")</f>
        <v/>
      </c>
      <c r="C588" s="8">
        <f>IFERROR(VLOOKUP($A588,'01-原始价格'!$A:$M,8,FALSE),"")</f>
        <v/>
      </c>
      <c r="D588" s="10">
        <f>IFERROR(B588/C588,"")</f>
        <v/>
      </c>
      <c r="E588" s="10">
        <f>IFERROR(C588/B588,"")</f>
        <v/>
      </c>
      <c r="F588" s="11">
        <f>IFERROR((D588/D587-1)*100,"")</f>
        <v/>
      </c>
      <c r="G588" s="11">
        <f>IFERROR((COUNTIF($D$337:$D$588,"&lt;"&amp;D588)+0.5*COUNTIF($D$337:$D$588,D588))/COUNT($D$337:$D$588)*100,"")</f>
        <v/>
      </c>
      <c r="H588" s="10">
        <f>IFERROR(AVERAGE($D$337:$D$588),"")</f>
        <v/>
      </c>
      <c r="I588" s="10" t="n">
        <v>2.421114469448728</v>
      </c>
      <c r="J588" t="inlineStr"/>
      <c r="K588" t="inlineStr"/>
    </row>
    <row r="589">
      <c r="A589" s="7" t="inlineStr">
        <is>
          <t>2016-07-21</t>
        </is>
      </c>
      <c r="B589" s="8">
        <f>IFERROR(VLOOKUP($A589,'01-原始价格'!$A:$M,2,FALSE),"")</f>
        <v/>
      </c>
      <c r="C589" s="8">
        <f>IFERROR(VLOOKUP($A589,'01-原始价格'!$A:$M,8,FALSE),"")</f>
        <v/>
      </c>
      <c r="D589" s="10">
        <f>IFERROR(B589/C589,"")</f>
        <v/>
      </c>
      <c r="E589" s="10">
        <f>IFERROR(C589/B589,"")</f>
        <v/>
      </c>
      <c r="F589" s="11">
        <f>IFERROR((D589/D588-1)*100,"")</f>
        <v/>
      </c>
      <c r="G589" s="11">
        <f>IFERROR((COUNTIF($D$338:$D$589,"&lt;"&amp;D589)+0.5*COUNTIF($D$338:$D$589,D589))/COUNT($D$338:$D$589)*100,"")</f>
        <v/>
      </c>
      <c r="H589" s="10">
        <f>IFERROR(AVERAGE($D$338:$D$589),"")</f>
        <v/>
      </c>
      <c r="I589" s="10" t="n">
        <v>2.417112740008232</v>
      </c>
      <c r="J589" t="inlineStr"/>
      <c r="K589" t="inlineStr"/>
    </row>
    <row r="590">
      <c r="A590" s="7" t="inlineStr">
        <is>
          <t>2016-07-22</t>
        </is>
      </c>
      <c r="B590" s="8">
        <f>IFERROR(VLOOKUP($A590,'01-原始价格'!$A:$M,2,FALSE),"")</f>
        <v/>
      </c>
      <c r="C590" s="8">
        <f>IFERROR(VLOOKUP($A590,'01-原始价格'!$A:$M,8,FALSE),"")</f>
        <v/>
      </c>
      <c r="D590" s="10">
        <f>IFERROR(B590/C590,"")</f>
        <v/>
      </c>
      <c r="E590" s="10">
        <f>IFERROR(C590/B590,"")</f>
        <v/>
      </c>
      <c r="F590" s="11">
        <f>IFERROR((D590/D589-1)*100,"")</f>
        <v/>
      </c>
      <c r="G590" s="11">
        <f>IFERROR((COUNTIF($D$339:$D$590,"&lt;"&amp;D590)+0.5*COUNTIF($D$339:$D$590,D590))/COUNT($D$339:$D$590)*100,"")</f>
        <v/>
      </c>
      <c r="H590" s="10">
        <f>IFERROR(AVERAGE($D$339:$D$590),"")</f>
        <v/>
      </c>
      <c r="I590" s="10" t="n">
        <v>2.290055516941524</v>
      </c>
      <c r="J590" t="inlineStr"/>
      <c r="K590" t="inlineStr"/>
    </row>
    <row r="591">
      <c r="A591" s="7" t="inlineStr">
        <is>
          <t>2016-07-25</t>
        </is>
      </c>
      <c r="B591" s="8">
        <f>IFERROR(VLOOKUP($A591,'01-原始价格'!$A:$M,2,FALSE),"")</f>
        <v/>
      </c>
      <c r="C591" s="8">
        <f>IFERROR(VLOOKUP($A591,'01-原始价格'!$A:$M,8,FALSE),"")</f>
        <v/>
      </c>
      <c r="D591" s="10">
        <f>IFERROR(B591/C591,"")</f>
        <v/>
      </c>
      <c r="E591" s="10">
        <f>IFERROR(C591/B591,"")</f>
        <v/>
      </c>
      <c r="F591" s="11">
        <f>IFERROR((D591/D590-1)*100,"")</f>
        <v/>
      </c>
      <c r="G591" s="11">
        <f>IFERROR((COUNTIF($D$340:$D$591,"&lt;"&amp;D591)+0.5*COUNTIF($D$340:$D$591,D591))/COUNT($D$340:$D$591)*100,"")</f>
        <v/>
      </c>
      <c r="H591" s="10">
        <f>IFERROR(AVERAGE($D$340:$D$591),"")</f>
        <v/>
      </c>
      <c r="I591" s="10" t="n">
        <v>3.05893237234038</v>
      </c>
      <c r="J591" t="inlineStr"/>
      <c r="K591" t="inlineStr"/>
    </row>
    <row r="592">
      <c r="A592" s="7" t="inlineStr">
        <is>
          <t>2016-07-26</t>
        </is>
      </c>
      <c r="B592" s="8">
        <f>IFERROR(VLOOKUP($A592,'01-原始价格'!$A:$M,2,FALSE),"")</f>
        <v/>
      </c>
      <c r="C592" s="8">
        <f>IFERROR(VLOOKUP($A592,'01-原始价格'!$A:$M,8,FALSE),"")</f>
        <v/>
      </c>
      <c r="D592" s="10">
        <f>IFERROR(B592/C592,"")</f>
        <v/>
      </c>
      <c r="E592" s="10">
        <f>IFERROR(C592/B592,"")</f>
        <v/>
      </c>
      <c r="F592" s="11">
        <f>IFERROR((D592/D591-1)*100,"")</f>
        <v/>
      </c>
      <c r="G592" s="11">
        <f>IFERROR((COUNTIF($D$341:$D$592,"&lt;"&amp;D592)+0.5*COUNTIF($D$341:$D$592,D592))/COUNT($D$341:$D$592)*100,"")</f>
        <v/>
      </c>
      <c r="H592" s="10">
        <f>IFERROR(AVERAGE($D$341:$D$592),"")</f>
        <v/>
      </c>
      <c r="I592" s="10" t="n">
        <v>3.379514967736471</v>
      </c>
      <c r="J592" t="inlineStr"/>
      <c r="K592" t="inlineStr"/>
    </row>
    <row r="593">
      <c r="A593" s="7" t="inlineStr">
        <is>
          <t>2016-07-27</t>
        </is>
      </c>
      <c r="B593" s="8">
        <f>IFERROR(VLOOKUP($A593,'01-原始价格'!$A:$M,2,FALSE),"")</f>
        <v/>
      </c>
      <c r="C593" s="8">
        <f>IFERROR(VLOOKUP($A593,'01-原始价格'!$A:$M,8,FALSE),"")</f>
        <v/>
      </c>
      <c r="D593" s="10">
        <f>IFERROR(B593/C593,"")</f>
        <v/>
      </c>
      <c r="E593" s="10">
        <f>IFERROR(C593/B593,"")</f>
        <v/>
      </c>
      <c r="F593" s="11">
        <f>IFERROR((D593/D592-1)*100,"")</f>
        <v/>
      </c>
      <c r="G593" s="11">
        <f>IFERROR((COUNTIF($D$342:$D$593,"&lt;"&amp;D593)+0.5*COUNTIF($D$342:$D$593,D593))/COUNT($D$342:$D$593)*100,"")</f>
        <v/>
      </c>
      <c r="H593" s="10">
        <f>IFERROR(AVERAGE($D$342:$D$593),"")</f>
        <v/>
      </c>
      <c r="I593" s="10" t="n">
        <v>3.38581096021343</v>
      </c>
      <c r="J593" t="inlineStr"/>
      <c r="K593" t="inlineStr"/>
    </row>
    <row r="594">
      <c r="A594" s="7" t="inlineStr">
        <is>
          <t>2016-07-28</t>
        </is>
      </c>
      <c r="B594" s="8">
        <f>IFERROR(VLOOKUP($A594,'01-原始价格'!$A:$M,2,FALSE),"")</f>
        <v/>
      </c>
      <c r="C594" s="8">
        <f>IFERROR(VLOOKUP($A594,'01-原始价格'!$A:$M,8,FALSE),"")</f>
        <v/>
      </c>
      <c r="D594" s="10">
        <f>IFERROR(B594/C594,"")</f>
        <v/>
      </c>
      <c r="E594" s="10">
        <f>IFERROR(C594/B594,"")</f>
        <v/>
      </c>
      <c r="F594" s="11">
        <f>IFERROR((D594/D593-1)*100,"")</f>
        <v/>
      </c>
      <c r="G594" s="11">
        <f>IFERROR((COUNTIF($D$343:$D$594,"&lt;"&amp;D594)+0.5*COUNTIF($D$343:$D$594,D594))/COUNT($D$343:$D$594)*100,"")</f>
        <v/>
      </c>
      <c r="H594" s="10">
        <f>IFERROR(AVERAGE($D$343:$D$594),"")</f>
        <v/>
      </c>
      <c r="I594" s="10" t="n">
        <v>3.152743347269385</v>
      </c>
      <c r="J594" t="inlineStr"/>
      <c r="K594" t="inlineStr"/>
    </row>
    <row r="595">
      <c r="A595" s="7" t="inlineStr">
        <is>
          <t>2016-07-29</t>
        </is>
      </c>
      <c r="B595" s="8">
        <f>IFERROR(VLOOKUP($A595,'01-原始价格'!$A:$M,2,FALSE),"")</f>
        <v/>
      </c>
      <c r="C595" s="8">
        <f>IFERROR(VLOOKUP($A595,'01-原始价格'!$A:$M,8,FALSE),"")</f>
        <v/>
      </c>
      <c r="D595" s="10">
        <f>IFERROR(B595/C595,"")</f>
        <v/>
      </c>
      <c r="E595" s="10">
        <f>IFERROR(C595/B595,"")</f>
        <v/>
      </c>
      <c r="F595" s="11">
        <f>IFERROR((D595/D594-1)*100,"")</f>
        <v/>
      </c>
      <c r="G595" s="11">
        <f>IFERROR((COUNTIF($D$344:$D$595,"&lt;"&amp;D595)+0.5*COUNTIF($D$344:$D$595,D595))/COUNT($D$344:$D$595)*100,"")</f>
        <v/>
      </c>
      <c r="H595" s="10">
        <f>IFERROR(AVERAGE($D$344:$D$595),"")</f>
        <v/>
      </c>
      <c r="I595" s="10" t="n">
        <v>2.920004961088899</v>
      </c>
      <c r="J595" t="inlineStr"/>
      <c r="K595" t="inlineStr"/>
    </row>
    <row r="596">
      <c r="A596" s="7" t="inlineStr">
        <is>
          <t>2016-08-01</t>
        </is>
      </c>
      <c r="B596" s="8">
        <f>IFERROR(VLOOKUP($A596,'01-原始价格'!$A:$M,2,FALSE),"")</f>
        <v/>
      </c>
      <c r="C596" s="8">
        <f>IFERROR(VLOOKUP($A596,'01-原始价格'!$A:$M,8,FALSE),"")</f>
        <v/>
      </c>
      <c r="D596" s="10">
        <f>IFERROR(B596/C596,"")</f>
        <v/>
      </c>
      <c r="E596" s="10">
        <f>IFERROR(C596/B596,"")</f>
        <v/>
      </c>
      <c r="F596" s="11">
        <f>IFERROR((D596/D595-1)*100,"")</f>
        <v/>
      </c>
      <c r="G596" s="11">
        <f>IFERROR((COUNTIF($D$345:$D$596,"&lt;"&amp;D596)+0.5*COUNTIF($D$345:$D$596,D596))/COUNT($D$345:$D$596)*100,"")</f>
        <v/>
      </c>
      <c r="H596" s="10">
        <f>IFERROR(AVERAGE($D$345:$D$596),"")</f>
        <v/>
      </c>
      <c r="I596" s="10" t="n">
        <v>2.350005609013729</v>
      </c>
      <c r="J596" t="inlineStr"/>
      <c r="K596" t="inlineStr"/>
    </row>
    <row r="597">
      <c r="A597" s="7" t="inlineStr">
        <is>
          <t>2016-08-02</t>
        </is>
      </c>
      <c r="B597" s="8">
        <f>IFERROR(VLOOKUP($A597,'01-原始价格'!$A:$M,2,FALSE),"")</f>
        <v/>
      </c>
      <c r="C597" s="8">
        <f>IFERROR(VLOOKUP($A597,'01-原始价格'!$A:$M,8,FALSE),"")</f>
        <v/>
      </c>
      <c r="D597" s="10">
        <f>IFERROR(B597/C597,"")</f>
        <v/>
      </c>
      <c r="E597" s="10">
        <f>IFERROR(C597/B597,"")</f>
        <v/>
      </c>
      <c r="F597" s="11">
        <f>IFERROR((D597/D596-1)*100,"")</f>
        <v/>
      </c>
      <c r="G597" s="11">
        <f>IFERROR((COUNTIF($D$346:$D$597,"&lt;"&amp;D597)+0.5*COUNTIF($D$346:$D$597,D597))/COUNT($D$346:$D$597)*100,"")</f>
        <v/>
      </c>
      <c r="H597" s="10">
        <f>IFERROR(AVERAGE($D$346:$D$597),"")</f>
        <v/>
      </c>
      <c r="I597" s="10" t="n">
        <v>2.82883532390399</v>
      </c>
      <c r="J597" t="inlineStr"/>
      <c r="K597" t="inlineStr"/>
    </row>
    <row r="598">
      <c r="A598" s="7" t="inlineStr">
        <is>
          <t>2016-08-03</t>
        </is>
      </c>
      <c r="B598" s="8">
        <f>IFERROR(VLOOKUP($A598,'01-原始价格'!$A:$M,2,FALSE),"")</f>
        <v/>
      </c>
      <c r="C598" s="8">
        <f>IFERROR(VLOOKUP($A598,'01-原始价格'!$A:$M,8,FALSE),"")</f>
        <v/>
      </c>
      <c r="D598" s="10">
        <f>IFERROR(B598/C598,"")</f>
        <v/>
      </c>
      <c r="E598" s="10">
        <f>IFERROR(C598/B598,"")</f>
        <v/>
      </c>
      <c r="F598" s="11">
        <f>IFERROR((D598/D597-1)*100,"")</f>
        <v/>
      </c>
      <c r="G598" s="11">
        <f>IFERROR((COUNTIF($D$347:$D$598,"&lt;"&amp;D598)+0.5*COUNTIF($D$347:$D$598,D598))/COUNT($D$347:$D$598)*100,"")</f>
        <v/>
      </c>
      <c r="H598" s="10">
        <f>IFERROR(AVERAGE($D$347:$D$598),"")</f>
        <v/>
      </c>
      <c r="I598" s="10" t="n">
        <v>2.58122662855306</v>
      </c>
      <c r="J598" t="inlineStr"/>
      <c r="K598" t="inlineStr"/>
    </row>
    <row r="599">
      <c r="A599" s="7" t="inlineStr">
        <is>
          <t>2016-08-04</t>
        </is>
      </c>
      <c r="B599" s="8">
        <f>IFERROR(VLOOKUP($A599,'01-原始价格'!$A:$M,2,FALSE),"")</f>
        <v/>
      </c>
      <c r="C599" s="8">
        <f>IFERROR(VLOOKUP($A599,'01-原始价格'!$A:$M,8,FALSE),"")</f>
        <v/>
      </c>
      <c r="D599" s="10">
        <f>IFERROR(B599/C599,"")</f>
        <v/>
      </c>
      <c r="E599" s="10">
        <f>IFERROR(C599/B599,"")</f>
        <v/>
      </c>
      <c r="F599" s="11">
        <f>IFERROR((D599/D598-1)*100,"")</f>
        <v/>
      </c>
      <c r="G599" s="11">
        <f>IFERROR((COUNTIF($D$348:$D$599,"&lt;"&amp;D599)+0.5*COUNTIF($D$348:$D$599,D599))/COUNT($D$348:$D$599)*100,"")</f>
        <v/>
      </c>
      <c r="H599" s="10">
        <f>IFERROR(AVERAGE($D$348:$D$599),"")</f>
        <v/>
      </c>
      <c r="I599" s="10" t="n">
        <v>2.623965399178107</v>
      </c>
      <c r="J599" t="inlineStr"/>
      <c r="K599" t="inlineStr"/>
    </row>
    <row r="600">
      <c r="A600" s="7" t="inlineStr">
        <is>
          <t>2016-08-05</t>
        </is>
      </c>
      <c r="B600" s="8">
        <f>IFERROR(VLOOKUP($A600,'01-原始价格'!$A:$M,2,FALSE),"")</f>
        <v/>
      </c>
      <c r="C600" s="8">
        <f>IFERROR(VLOOKUP($A600,'01-原始价格'!$A:$M,8,FALSE),"")</f>
        <v/>
      </c>
      <c r="D600" s="10">
        <f>IFERROR(B600/C600,"")</f>
        <v/>
      </c>
      <c r="E600" s="10">
        <f>IFERROR(C600/B600,"")</f>
        <v/>
      </c>
      <c r="F600" s="11">
        <f>IFERROR((D600/D599-1)*100,"")</f>
        <v/>
      </c>
      <c r="G600" s="11">
        <f>IFERROR((COUNTIF($D$349:$D$600,"&lt;"&amp;D600)+0.5*COUNTIF($D$349:$D$600,D600))/COUNT($D$349:$D$600)*100,"")</f>
        <v/>
      </c>
      <c r="H600" s="10">
        <f>IFERROR(AVERAGE($D$349:$D$600),"")</f>
        <v/>
      </c>
      <c r="I600" s="10" t="n">
        <v>2.347114198849261</v>
      </c>
      <c r="J600" t="inlineStr"/>
      <c r="K600" t="inlineStr"/>
    </row>
    <row r="601">
      <c r="A601" s="7" t="inlineStr">
        <is>
          <t>2016-08-08</t>
        </is>
      </c>
      <c r="B601" s="8">
        <f>IFERROR(VLOOKUP($A601,'01-原始价格'!$A:$M,2,FALSE),"")</f>
        <v/>
      </c>
      <c r="C601" s="8">
        <f>IFERROR(VLOOKUP($A601,'01-原始价格'!$A:$M,8,FALSE),"")</f>
        <v/>
      </c>
      <c r="D601" s="10">
        <f>IFERROR(B601/C601,"")</f>
        <v/>
      </c>
      <c r="E601" s="10">
        <f>IFERROR(C601/B601,"")</f>
        <v/>
      </c>
      <c r="F601" s="11">
        <f>IFERROR((D601/D600-1)*100,"")</f>
        <v/>
      </c>
      <c r="G601" s="11">
        <f>IFERROR((COUNTIF($D$350:$D$601,"&lt;"&amp;D601)+0.5*COUNTIF($D$350:$D$601,D601))/COUNT($D$350:$D$601)*100,"")</f>
        <v/>
      </c>
      <c r="H601" s="10">
        <f>IFERROR(AVERAGE($D$350:$D$601),"")</f>
        <v/>
      </c>
      <c r="I601" s="10" t="n">
        <v>2.73614145147875</v>
      </c>
      <c r="J601" t="inlineStr"/>
      <c r="K601" t="inlineStr"/>
    </row>
    <row r="602">
      <c r="A602" s="7" t="inlineStr">
        <is>
          <t>2016-08-09</t>
        </is>
      </c>
      <c r="B602" s="8">
        <f>IFERROR(VLOOKUP($A602,'01-原始价格'!$A:$M,2,FALSE),"")</f>
        <v/>
      </c>
      <c r="C602" s="8">
        <f>IFERROR(VLOOKUP($A602,'01-原始价格'!$A:$M,8,FALSE),"")</f>
        <v/>
      </c>
      <c r="D602" s="10">
        <f>IFERROR(B602/C602,"")</f>
        <v/>
      </c>
      <c r="E602" s="10">
        <f>IFERROR(C602/B602,"")</f>
        <v/>
      </c>
      <c r="F602" s="11">
        <f>IFERROR((D602/D601-1)*100,"")</f>
        <v/>
      </c>
      <c r="G602" s="11">
        <f>IFERROR((COUNTIF($D$351:$D$602,"&lt;"&amp;D602)+0.5*COUNTIF($D$351:$D$602,D602))/COUNT($D$351:$D$602)*100,"")</f>
        <v/>
      </c>
      <c r="H602" s="10">
        <f>IFERROR(AVERAGE($D$351:$D$602),"")</f>
        <v/>
      </c>
      <c r="I602" s="10" t="n">
        <v>2.923436697497245</v>
      </c>
      <c r="J602" t="inlineStr"/>
      <c r="K602" t="inlineStr"/>
    </row>
    <row r="603">
      <c r="A603" s="7" t="inlineStr">
        <is>
          <t>2016-08-10</t>
        </is>
      </c>
      <c r="B603" s="8">
        <f>IFERROR(VLOOKUP($A603,'01-原始价格'!$A:$M,2,FALSE),"")</f>
        <v/>
      </c>
      <c r="C603" s="8">
        <f>IFERROR(VLOOKUP($A603,'01-原始价格'!$A:$M,8,FALSE),"")</f>
        <v/>
      </c>
      <c r="D603" s="10">
        <f>IFERROR(B603/C603,"")</f>
        <v/>
      </c>
      <c r="E603" s="10">
        <f>IFERROR(C603/B603,"")</f>
        <v/>
      </c>
      <c r="F603" s="11">
        <f>IFERROR((D603/D602-1)*100,"")</f>
        <v/>
      </c>
      <c r="G603" s="11">
        <f>IFERROR((COUNTIF($D$352:$D$603,"&lt;"&amp;D603)+0.5*COUNTIF($D$352:$D$603,D603))/COUNT($D$352:$D$603)*100,"")</f>
        <v/>
      </c>
      <c r="H603" s="10">
        <f>IFERROR(AVERAGE($D$352:$D$603),"")</f>
        <v/>
      </c>
      <c r="I603" s="10" t="n">
        <v>2.642605253775178</v>
      </c>
      <c r="J603" t="inlineStr"/>
      <c r="K603" t="inlineStr"/>
    </row>
    <row r="604">
      <c r="A604" s="7" t="inlineStr">
        <is>
          <t>2016-08-11</t>
        </is>
      </c>
      <c r="B604" s="8">
        <f>IFERROR(VLOOKUP($A604,'01-原始价格'!$A:$M,2,FALSE),"")</f>
        <v/>
      </c>
      <c r="C604" s="8">
        <f>IFERROR(VLOOKUP($A604,'01-原始价格'!$A:$M,8,FALSE),"")</f>
        <v/>
      </c>
      <c r="D604" s="10">
        <f>IFERROR(B604/C604,"")</f>
        <v/>
      </c>
      <c r="E604" s="10">
        <f>IFERROR(C604/B604,"")</f>
        <v/>
      </c>
      <c r="F604" s="11">
        <f>IFERROR((D604/D603-1)*100,"")</f>
        <v/>
      </c>
      <c r="G604" s="11">
        <f>IFERROR((COUNTIF($D$353:$D$604,"&lt;"&amp;D604)+0.5*COUNTIF($D$353:$D$604,D604))/COUNT($D$353:$D$604)*100,"")</f>
        <v/>
      </c>
      <c r="H604" s="10">
        <f>IFERROR(AVERAGE($D$353:$D$604),"")</f>
        <v/>
      </c>
      <c r="I604" s="10" t="n">
        <v>0.1684027387703989</v>
      </c>
      <c r="J604" t="inlineStr"/>
      <c r="K604" t="inlineStr"/>
    </row>
    <row r="605">
      <c r="A605" s="7" t="inlineStr">
        <is>
          <t>2016-08-12</t>
        </is>
      </c>
      <c r="B605" s="8">
        <f>IFERROR(VLOOKUP($A605,'01-原始价格'!$A:$M,2,FALSE),"")</f>
        <v/>
      </c>
      <c r="C605" s="8">
        <f>IFERROR(VLOOKUP($A605,'01-原始价格'!$A:$M,8,FALSE),"")</f>
        <v/>
      </c>
      <c r="D605" s="10">
        <f>IFERROR(B605/C605,"")</f>
        <v/>
      </c>
      <c r="E605" s="10">
        <f>IFERROR(C605/B605,"")</f>
        <v/>
      </c>
      <c r="F605" s="11">
        <f>IFERROR((D605/D604-1)*100,"")</f>
        <v/>
      </c>
      <c r="G605" s="11">
        <f>IFERROR((COUNTIF($D$354:$D$605,"&lt;"&amp;D605)+0.5*COUNTIF($D$354:$D$605,D605))/COUNT($D$354:$D$605)*100,"")</f>
        <v/>
      </c>
      <c r="H605" s="10">
        <f>IFERROR(AVERAGE($D$354:$D$605),"")</f>
        <v/>
      </c>
      <c r="I605" s="10" t="n">
        <v>0.3013649278504282</v>
      </c>
      <c r="J605" t="inlineStr"/>
      <c r="K605" t="inlineStr"/>
    </row>
    <row r="606">
      <c r="A606" s="7" t="inlineStr">
        <is>
          <t>2016-08-15</t>
        </is>
      </c>
      <c r="B606" s="8">
        <f>IFERROR(VLOOKUP($A606,'01-原始价格'!$A:$M,2,FALSE),"")</f>
        <v/>
      </c>
      <c r="C606" s="8">
        <f>IFERROR(VLOOKUP($A606,'01-原始价格'!$A:$M,8,FALSE),"")</f>
        <v/>
      </c>
      <c r="D606" s="10">
        <f>IFERROR(B606/C606,"")</f>
        <v/>
      </c>
      <c r="E606" s="10">
        <f>IFERROR(C606/B606,"")</f>
        <v/>
      </c>
      <c r="F606" s="11">
        <f>IFERROR((D606/D605-1)*100,"")</f>
        <v/>
      </c>
      <c r="G606" s="11">
        <f>IFERROR((COUNTIF($D$355:$D$606,"&lt;"&amp;D606)+0.5*COUNTIF($D$355:$D$606,D606))/COUNT($D$355:$D$606)*100,"")</f>
        <v/>
      </c>
      <c r="H606" s="10">
        <f>IFERROR(AVERAGE($D$355:$D$606),"")</f>
        <v/>
      </c>
      <c r="I606" s="10" t="n">
        <v>0.3800481386382065</v>
      </c>
      <c r="J606" t="inlineStr"/>
      <c r="K606" t="inlineStr"/>
    </row>
    <row r="607">
      <c r="A607" s="7" t="inlineStr">
        <is>
          <t>2016-08-16</t>
        </is>
      </c>
      <c r="B607" s="8">
        <f>IFERROR(VLOOKUP($A607,'01-原始价格'!$A:$M,2,FALSE),"")</f>
        <v/>
      </c>
      <c r="C607" s="8">
        <f>IFERROR(VLOOKUP($A607,'01-原始价格'!$A:$M,8,FALSE),"")</f>
        <v/>
      </c>
      <c r="D607" s="10">
        <f>IFERROR(B607/C607,"")</f>
        <v/>
      </c>
      <c r="E607" s="10">
        <f>IFERROR(C607/B607,"")</f>
        <v/>
      </c>
      <c r="F607" s="11">
        <f>IFERROR((D607/D606-1)*100,"")</f>
        <v/>
      </c>
      <c r="G607" s="11">
        <f>IFERROR((COUNTIF($D$356:$D$607,"&lt;"&amp;D607)+0.5*COUNTIF($D$356:$D$607,D607))/COUNT($D$356:$D$607)*100,"")</f>
        <v/>
      </c>
      <c r="H607" s="10">
        <f>IFERROR(AVERAGE($D$356:$D$607),"")</f>
        <v/>
      </c>
      <c r="I607" s="10" t="n">
        <v>0.3273017909912673</v>
      </c>
      <c r="J607" t="inlineStr"/>
      <c r="K607" t="inlineStr"/>
    </row>
    <row r="608">
      <c r="A608" s="7" t="inlineStr">
        <is>
          <t>2016-08-17</t>
        </is>
      </c>
      <c r="B608" s="8">
        <f>IFERROR(VLOOKUP($A608,'01-原始价格'!$A:$M,2,FALSE),"")</f>
        <v/>
      </c>
      <c r="C608" s="8">
        <f>IFERROR(VLOOKUP($A608,'01-原始价格'!$A:$M,8,FALSE),"")</f>
        <v/>
      </c>
      <c r="D608" s="10">
        <f>IFERROR(B608/C608,"")</f>
        <v/>
      </c>
      <c r="E608" s="10">
        <f>IFERROR(C608/B608,"")</f>
        <v/>
      </c>
      <c r="F608" s="11">
        <f>IFERROR((D608/D607-1)*100,"")</f>
        <v/>
      </c>
      <c r="G608" s="11">
        <f>IFERROR((COUNTIF($D$357:$D$608,"&lt;"&amp;D608)+0.5*COUNTIF($D$357:$D$608,D608))/COUNT($D$357:$D$608)*100,"")</f>
        <v/>
      </c>
      <c r="H608" s="10">
        <f>IFERROR(AVERAGE($D$357:$D$608),"")</f>
        <v/>
      </c>
      <c r="I608" s="10" t="n">
        <v>0.1507635252613407</v>
      </c>
      <c r="J608" t="inlineStr"/>
      <c r="K608" t="inlineStr"/>
    </row>
    <row r="609">
      <c r="A609" s="7" t="inlineStr">
        <is>
          <t>2016-08-18</t>
        </is>
      </c>
      <c r="B609" s="8">
        <f>IFERROR(VLOOKUP($A609,'01-原始价格'!$A:$M,2,FALSE),"")</f>
        <v/>
      </c>
      <c r="C609" s="8">
        <f>IFERROR(VLOOKUP($A609,'01-原始价格'!$A:$M,8,FALSE),"")</f>
        <v/>
      </c>
      <c r="D609" s="10">
        <f>IFERROR(B609/C609,"")</f>
        <v/>
      </c>
      <c r="E609" s="10">
        <f>IFERROR(C609/B609,"")</f>
        <v/>
      </c>
      <c r="F609" s="11">
        <f>IFERROR((D609/D608-1)*100,"")</f>
        <v/>
      </c>
      <c r="G609" s="11">
        <f>IFERROR((COUNTIF($D$358:$D$609,"&lt;"&amp;D609)+0.5*COUNTIF($D$358:$D$609,D609))/COUNT($D$358:$D$609)*100,"")</f>
        <v/>
      </c>
      <c r="H609" s="10">
        <f>IFERROR(AVERAGE($D$358:$D$609),"")</f>
        <v/>
      </c>
      <c r="I609" s="10" t="n">
        <v>0.2969392071059506</v>
      </c>
      <c r="J609" t="inlineStr"/>
      <c r="K609" t="inlineStr"/>
    </row>
    <row r="610">
      <c r="A610" s="7" t="inlineStr">
        <is>
          <t>2016-08-19</t>
        </is>
      </c>
      <c r="B610" s="8">
        <f>IFERROR(VLOOKUP($A610,'01-原始价格'!$A:$M,2,FALSE),"")</f>
        <v/>
      </c>
      <c r="C610" s="8">
        <f>IFERROR(VLOOKUP($A610,'01-原始价格'!$A:$M,8,FALSE),"")</f>
        <v/>
      </c>
      <c r="D610" s="10">
        <f>IFERROR(B610/C610,"")</f>
        <v/>
      </c>
      <c r="E610" s="10">
        <f>IFERROR(C610/B610,"")</f>
        <v/>
      </c>
      <c r="F610" s="11">
        <f>IFERROR((D610/D609-1)*100,"")</f>
        <v/>
      </c>
      <c r="G610" s="11">
        <f>IFERROR((COUNTIF($D$359:$D$610,"&lt;"&amp;D610)+0.5*COUNTIF($D$359:$D$610,D610))/COUNT($D$359:$D$610)*100,"")</f>
        <v/>
      </c>
      <c r="H610" s="10">
        <f>IFERROR(AVERAGE($D$359:$D$610),"")</f>
        <v/>
      </c>
      <c r="I610" s="10" t="n">
        <v>0.285664260176183</v>
      </c>
      <c r="J610" t="inlineStr"/>
      <c r="K610" t="inlineStr"/>
    </row>
    <row r="611">
      <c r="A611" s="7" t="inlineStr">
        <is>
          <t>2016-08-22</t>
        </is>
      </c>
      <c r="B611" s="8">
        <f>IFERROR(VLOOKUP($A611,'01-原始价格'!$A:$M,2,FALSE),"")</f>
        <v/>
      </c>
      <c r="C611" s="8">
        <f>IFERROR(VLOOKUP($A611,'01-原始价格'!$A:$M,8,FALSE),"")</f>
        <v/>
      </c>
      <c r="D611" s="10">
        <f>IFERROR(B611/C611,"")</f>
        <v/>
      </c>
      <c r="E611" s="10">
        <f>IFERROR(C611/B611,"")</f>
        <v/>
      </c>
      <c r="F611" s="11">
        <f>IFERROR((D611/D610-1)*100,"")</f>
        <v/>
      </c>
      <c r="G611" s="11">
        <f>IFERROR((COUNTIF($D$360:$D$611,"&lt;"&amp;D611)+0.5*COUNTIF($D$360:$D$611,D611))/COUNT($D$360:$D$611)*100,"")</f>
        <v/>
      </c>
      <c r="H611" s="10">
        <f>IFERROR(AVERAGE($D$360:$D$611),"")</f>
        <v/>
      </c>
      <c r="I611" s="10" t="n">
        <v>0.2712943071435813</v>
      </c>
      <c r="J611" t="inlineStr"/>
      <c r="K611" t="inlineStr"/>
    </row>
    <row r="612">
      <c r="A612" s="7" t="inlineStr">
        <is>
          <t>2016-08-23</t>
        </is>
      </c>
      <c r="B612" s="8">
        <f>IFERROR(VLOOKUP($A612,'01-原始价格'!$A:$M,2,FALSE),"")</f>
        <v/>
      </c>
      <c r="C612" s="8">
        <f>IFERROR(VLOOKUP($A612,'01-原始价格'!$A:$M,8,FALSE),"")</f>
        <v/>
      </c>
      <c r="D612" s="10">
        <f>IFERROR(B612/C612,"")</f>
        <v/>
      </c>
      <c r="E612" s="10">
        <f>IFERROR(C612/B612,"")</f>
        <v/>
      </c>
      <c r="F612" s="11">
        <f>IFERROR((D612/D611-1)*100,"")</f>
        <v/>
      </c>
      <c r="G612" s="11">
        <f>IFERROR((COUNTIF($D$361:$D$612,"&lt;"&amp;D612)+0.5*COUNTIF($D$361:$D$612,D612))/COUNT($D$361:$D$612)*100,"")</f>
        <v/>
      </c>
      <c r="H612" s="10">
        <f>IFERROR(AVERAGE($D$361:$D$612),"")</f>
        <v/>
      </c>
      <c r="I612" s="10" t="n">
        <v>0.1990977127535536</v>
      </c>
      <c r="J612" t="inlineStr"/>
      <c r="K612" t="inlineStr"/>
    </row>
    <row r="613">
      <c r="A613" s="7" t="inlineStr">
        <is>
          <t>2016-08-24</t>
        </is>
      </c>
      <c r="B613" s="8">
        <f>IFERROR(VLOOKUP($A613,'01-原始价格'!$A:$M,2,FALSE),"")</f>
        <v/>
      </c>
      <c r="C613" s="8">
        <f>IFERROR(VLOOKUP($A613,'01-原始价格'!$A:$M,8,FALSE),"")</f>
        <v/>
      </c>
      <c r="D613" s="10">
        <f>IFERROR(B613/C613,"")</f>
        <v/>
      </c>
      <c r="E613" s="10">
        <f>IFERROR(C613/B613,"")</f>
        <v/>
      </c>
      <c r="F613" s="11">
        <f>IFERROR((D613/D612-1)*100,"")</f>
        <v/>
      </c>
      <c r="G613" s="11">
        <f>IFERROR((COUNTIF($D$362:$D$613,"&lt;"&amp;D613)+0.5*COUNTIF($D$362:$D$613,D613))/COUNT($D$362:$D$613)*100,"")</f>
        <v/>
      </c>
      <c r="H613" s="10">
        <f>IFERROR(AVERAGE($D$362:$D$613),"")</f>
        <v/>
      </c>
      <c r="I613" s="10" t="n">
        <v>0.149618946934036</v>
      </c>
      <c r="J613" t="inlineStr"/>
      <c r="K613" t="inlineStr"/>
    </row>
    <row r="614">
      <c r="A614" s="7" t="inlineStr">
        <is>
          <t>2016-08-25</t>
        </is>
      </c>
      <c r="B614" s="8">
        <f>IFERROR(VLOOKUP($A614,'01-原始价格'!$A:$M,2,FALSE),"")</f>
        <v/>
      </c>
      <c r="C614" s="8">
        <f>IFERROR(VLOOKUP($A614,'01-原始价格'!$A:$M,8,FALSE),"")</f>
        <v/>
      </c>
      <c r="D614" s="10">
        <f>IFERROR(B614/C614,"")</f>
        <v/>
      </c>
      <c r="E614" s="10">
        <f>IFERROR(C614/B614,"")</f>
        <v/>
      </c>
      <c r="F614" s="11">
        <f>IFERROR((D614/D613-1)*100,"")</f>
        <v/>
      </c>
      <c r="G614" s="11">
        <f>IFERROR((COUNTIF($D$363:$D$614,"&lt;"&amp;D614)+0.5*COUNTIF($D$363:$D$614,D614))/COUNT($D$363:$D$614)*100,"")</f>
        <v/>
      </c>
      <c r="H614" s="10">
        <f>IFERROR(AVERAGE($D$363:$D$614),"")</f>
        <v/>
      </c>
      <c r="I614" s="10" t="n">
        <v>-0.0954943465246557</v>
      </c>
      <c r="J614" t="inlineStr"/>
      <c r="K614" t="inlineStr"/>
    </row>
    <row r="615">
      <c r="A615" s="7" t="inlineStr">
        <is>
          <t>2016-08-26</t>
        </is>
      </c>
      <c r="B615" s="8">
        <f>IFERROR(VLOOKUP($A615,'01-原始价格'!$A:$M,2,FALSE),"")</f>
        <v/>
      </c>
      <c r="C615" s="8">
        <f>IFERROR(VLOOKUP($A615,'01-原始价格'!$A:$M,8,FALSE),"")</f>
        <v/>
      </c>
      <c r="D615" s="10">
        <f>IFERROR(B615/C615,"")</f>
        <v/>
      </c>
      <c r="E615" s="10">
        <f>IFERROR(C615/B615,"")</f>
        <v/>
      </c>
      <c r="F615" s="11">
        <f>IFERROR((D615/D614-1)*100,"")</f>
        <v/>
      </c>
      <c r="G615" s="11">
        <f>IFERROR((COUNTIF($D$364:$D$615,"&lt;"&amp;D615)+0.5*COUNTIF($D$364:$D$615,D615))/COUNT($D$364:$D$615)*100,"")</f>
        <v/>
      </c>
      <c r="H615" s="10">
        <f>IFERROR(AVERAGE($D$364:$D$615),"")</f>
        <v/>
      </c>
      <c r="I615" s="10" t="n">
        <v>-0.4015538375025258</v>
      </c>
      <c r="J615" t="inlineStr"/>
      <c r="K615" t="inlineStr"/>
    </row>
    <row r="616">
      <c r="A616" s="7" t="inlineStr">
        <is>
          <t>2016-08-29</t>
        </is>
      </c>
      <c r="B616" s="8">
        <f>IFERROR(VLOOKUP($A616,'01-原始价格'!$A:$M,2,FALSE),"")</f>
        <v/>
      </c>
      <c r="C616" s="8">
        <f>IFERROR(VLOOKUP($A616,'01-原始价格'!$A:$M,8,FALSE),"")</f>
        <v/>
      </c>
      <c r="D616" s="10">
        <f>IFERROR(B616/C616,"")</f>
        <v/>
      </c>
      <c r="E616" s="10">
        <f>IFERROR(C616/B616,"")</f>
        <v/>
      </c>
      <c r="F616" s="11">
        <f>IFERROR((D616/D615-1)*100,"")</f>
        <v/>
      </c>
      <c r="G616" s="11">
        <f>IFERROR((COUNTIF($D$365:$D$616,"&lt;"&amp;D616)+0.5*COUNTIF($D$365:$D$616,D616))/COUNT($D$365:$D$616)*100,"")</f>
        <v/>
      </c>
      <c r="H616" s="10">
        <f>IFERROR(AVERAGE($D$365:$D$616),"")</f>
        <v/>
      </c>
      <c r="I616" s="10" t="n">
        <v>-0.1408439546000038</v>
      </c>
      <c r="J616" t="inlineStr"/>
      <c r="K616" t="inlineStr"/>
    </row>
    <row r="617">
      <c r="A617" s="7" t="inlineStr">
        <is>
          <t>2016-08-30</t>
        </is>
      </c>
      <c r="B617" s="8">
        <f>IFERROR(VLOOKUP($A617,'01-原始价格'!$A:$M,2,FALSE),"")</f>
        <v/>
      </c>
      <c r="C617" s="8">
        <f>IFERROR(VLOOKUP($A617,'01-原始价格'!$A:$M,8,FALSE),"")</f>
        <v/>
      </c>
      <c r="D617" s="10">
        <f>IFERROR(B617/C617,"")</f>
        <v/>
      </c>
      <c r="E617" s="10">
        <f>IFERROR(C617/B617,"")</f>
        <v/>
      </c>
      <c r="F617" s="11">
        <f>IFERROR((D617/D616-1)*100,"")</f>
        <v/>
      </c>
      <c r="G617" s="11">
        <f>IFERROR((COUNTIF($D$366:$D$617,"&lt;"&amp;D617)+0.5*COUNTIF($D$366:$D$617,D617))/COUNT($D$366:$D$617)*100,"")</f>
        <v/>
      </c>
      <c r="H617" s="10">
        <f>IFERROR(AVERAGE($D$366:$D$617),"")</f>
        <v/>
      </c>
      <c r="I617" s="10" t="n">
        <v>0.03323359929845981</v>
      </c>
      <c r="J617" t="inlineStr"/>
      <c r="K617" t="inlineStr"/>
    </row>
    <row r="618">
      <c r="A618" s="7" t="inlineStr">
        <is>
          <t>2016-08-31</t>
        </is>
      </c>
      <c r="B618" s="8">
        <f>IFERROR(VLOOKUP($A618,'01-原始价格'!$A:$M,2,FALSE),"")</f>
        <v/>
      </c>
      <c r="C618" s="8">
        <f>IFERROR(VLOOKUP($A618,'01-原始价格'!$A:$M,8,FALSE),"")</f>
        <v/>
      </c>
      <c r="D618" s="10">
        <f>IFERROR(B618/C618,"")</f>
        <v/>
      </c>
      <c r="E618" s="10">
        <f>IFERROR(C618/B618,"")</f>
        <v/>
      </c>
      <c r="F618" s="11">
        <f>IFERROR((D618/D617-1)*100,"")</f>
        <v/>
      </c>
      <c r="G618" s="11">
        <f>IFERROR((COUNTIF($D$367:$D$618,"&lt;"&amp;D618)+0.5*COUNTIF($D$367:$D$618,D618))/COUNT($D$367:$D$618)*100,"")</f>
        <v/>
      </c>
      <c r="H618" s="10">
        <f>IFERROR(AVERAGE($D$367:$D$618),"")</f>
        <v/>
      </c>
      <c r="I618" s="10" t="n">
        <v>-0.07082920511319012</v>
      </c>
      <c r="J618" t="inlineStr"/>
      <c r="K618" t="inlineStr"/>
    </row>
    <row r="619">
      <c r="A619" s="7" t="inlineStr">
        <is>
          <t>2016-09-01</t>
        </is>
      </c>
      <c r="B619" s="8">
        <f>IFERROR(VLOOKUP($A619,'01-原始价格'!$A:$M,2,FALSE),"")</f>
        <v/>
      </c>
      <c r="C619" s="8">
        <f>IFERROR(VLOOKUP($A619,'01-原始价格'!$A:$M,8,FALSE),"")</f>
        <v/>
      </c>
      <c r="D619" s="10">
        <f>IFERROR(B619/C619,"")</f>
        <v/>
      </c>
      <c r="E619" s="10">
        <f>IFERROR(C619/B619,"")</f>
        <v/>
      </c>
      <c r="F619" s="11">
        <f>IFERROR((D619/D618-1)*100,"")</f>
        <v/>
      </c>
      <c r="G619" s="11">
        <f>IFERROR((COUNTIF($D$368:$D$619,"&lt;"&amp;D619)+0.5*COUNTIF($D$368:$D$619,D619))/COUNT($D$368:$D$619)*100,"")</f>
        <v/>
      </c>
      <c r="H619" s="10">
        <f>IFERROR(AVERAGE($D$368:$D$619),"")</f>
        <v/>
      </c>
      <c r="I619" s="10" t="n">
        <v>-0.07703629976015031</v>
      </c>
      <c r="J619" t="inlineStr"/>
      <c r="K619" t="inlineStr"/>
    </row>
    <row r="620">
      <c r="A620" s="7" t="inlineStr">
        <is>
          <t>2016-09-02</t>
        </is>
      </c>
      <c r="B620" s="8">
        <f>IFERROR(VLOOKUP($A620,'01-原始价格'!$A:$M,2,FALSE),"")</f>
        <v/>
      </c>
      <c r="C620" s="8">
        <f>IFERROR(VLOOKUP($A620,'01-原始价格'!$A:$M,8,FALSE),"")</f>
        <v/>
      </c>
      <c r="D620" s="10">
        <f>IFERROR(B620/C620,"")</f>
        <v/>
      </c>
      <c r="E620" s="10">
        <f>IFERROR(C620/B620,"")</f>
        <v/>
      </c>
      <c r="F620" s="11">
        <f>IFERROR((D620/D619-1)*100,"")</f>
        <v/>
      </c>
      <c r="G620" s="11">
        <f>IFERROR((COUNTIF($D$369:$D$620,"&lt;"&amp;D620)+0.5*COUNTIF($D$369:$D$620,D620))/COUNT($D$369:$D$620)*100,"")</f>
        <v/>
      </c>
      <c r="H620" s="10">
        <f>IFERROR(AVERAGE($D$369:$D$620),"")</f>
        <v/>
      </c>
      <c r="I620" s="10" t="n">
        <v>-0.3084452967480357</v>
      </c>
      <c r="J620" t="inlineStr"/>
      <c r="K620" t="inlineStr"/>
    </row>
    <row r="621">
      <c r="A621" s="7" t="inlineStr">
        <is>
          <t>2016-09-05</t>
        </is>
      </c>
      <c r="B621" s="8">
        <f>IFERROR(VLOOKUP($A621,'01-原始价格'!$A:$M,2,FALSE),"")</f>
        <v/>
      </c>
      <c r="C621" s="8">
        <f>IFERROR(VLOOKUP($A621,'01-原始价格'!$A:$M,8,FALSE),"")</f>
        <v/>
      </c>
      <c r="D621" s="10">
        <f>IFERROR(B621/C621,"")</f>
        <v/>
      </c>
      <c r="E621" s="10">
        <f>IFERROR(C621/B621,"")</f>
        <v/>
      </c>
      <c r="F621" s="11">
        <f>IFERROR((D621/D620-1)*100,"")</f>
        <v/>
      </c>
      <c r="G621" s="11">
        <f>IFERROR((COUNTIF($D$370:$D$621,"&lt;"&amp;D621)+0.5*COUNTIF($D$370:$D$621,D621))/COUNT($D$370:$D$621)*100,"")</f>
        <v/>
      </c>
      <c r="H621" s="10">
        <f>IFERROR(AVERAGE($D$370:$D$621),"")</f>
        <v/>
      </c>
      <c r="I621" s="10" t="n">
        <v>-0.1688949665250427</v>
      </c>
      <c r="J621" t="inlineStr"/>
      <c r="K621" t="inlineStr"/>
    </row>
    <row r="622">
      <c r="A622" s="7" t="inlineStr">
        <is>
          <t>2016-09-06</t>
        </is>
      </c>
      <c r="B622" s="8">
        <f>IFERROR(VLOOKUP($A622,'01-原始价格'!$A:$M,2,FALSE),"")</f>
        <v/>
      </c>
      <c r="C622" s="8">
        <f>IFERROR(VLOOKUP($A622,'01-原始价格'!$A:$M,8,FALSE),"")</f>
        <v/>
      </c>
      <c r="D622" s="10">
        <f>IFERROR(B622/C622,"")</f>
        <v/>
      </c>
      <c r="E622" s="10">
        <f>IFERROR(C622/B622,"")</f>
        <v/>
      </c>
      <c r="F622" s="11">
        <f>IFERROR((D622/D621-1)*100,"")</f>
        <v/>
      </c>
      <c r="G622" s="11">
        <f>IFERROR((COUNTIF($D$371:$D$622,"&lt;"&amp;D622)+0.5*COUNTIF($D$371:$D$622,D622))/COUNT($D$371:$D$622)*100,"")</f>
        <v/>
      </c>
      <c r="H622" s="10">
        <f>IFERROR(AVERAGE($D$371:$D$622),"")</f>
        <v/>
      </c>
      <c r="I622" s="10" t="n">
        <v>-0.06390447905413847</v>
      </c>
      <c r="J622" t="inlineStr"/>
      <c r="K622" t="inlineStr"/>
    </row>
    <row r="623">
      <c r="A623" s="7" t="inlineStr">
        <is>
          <t>2016-09-07</t>
        </is>
      </c>
      <c r="B623" s="8">
        <f>IFERROR(VLOOKUP($A623,'01-原始价格'!$A:$M,2,FALSE),"")</f>
        <v/>
      </c>
      <c r="C623" s="8">
        <f>IFERROR(VLOOKUP($A623,'01-原始价格'!$A:$M,8,FALSE),"")</f>
        <v/>
      </c>
      <c r="D623" s="10">
        <f>IFERROR(B623/C623,"")</f>
        <v/>
      </c>
      <c r="E623" s="10">
        <f>IFERROR(C623/B623,"")</f>
        <v/>
      </c>
      <c r="F623" s="11">
        <f>IFERROR((D623/D622-1)*100,"")</f>
        <v/>
      </c>
      <c r="G623" s="11">
        <f>IFERROR((COUNTIF($D$372:$D$623,"&lt;"&amp;D623)+0.5*COUNTIF($D$372:$D$623,D623))/COUNT($D$372:$D$623)*100,"")</f>
        <v/>
      </c>
      <c r="H623" s="10">
        <f>IFERROR(AVERAGE($D$372:$D$623),"")</f>
        <v/>
      </c>
      <c r="I623" s="10" t="n">
        <v>-0.1564858345529415</v>
      </c>
      <c r="J623" t="inlineStr"/>
      <c r="K623" t="inlineStr"/>
    </row>
    <row r="624">
      <c r="A624" s="7" t="inlineStr">
        <is>
          <t>2016-09-08</t>
        </is>
      </c>
      <c r="B624" s="8">
        <f>IFERROR(VLOOKUP($A624,'01-原始价格'!$A:$M,2,FALSE),"")</f>
        <v/>
      </c>
      <c r="C624" s="8">
        <f>IFERROR(VLOOKUP($A624,'01-原始价格'!$A:$M,8,FALSE),"")</f>
        <v/>
      </c>
      <c r="D624" s="10">
        <f>IFERROR(B624/C624,"")</f>
        <v/>
      </c>
      <c r="E624" s="10">
        <f>IFERROR(C624/B624,"")</f>
        <v/>
      </c>
      <c r="F624" s="11">
        <f>IFERROR((D624/D623-1)*100,"")</f>
        <v/>
      </c>
      <c r="G624" s="11">
        <f>IFERROR((COUNTIF($D$373:$D$624,"&lt;"&amp;D624)+0.5*COUNTIF($D$373:$D$624,D624))/COUNT($D$373:$D$624)*100,"")</f>
        <v/>
      </c>
      <c r="H624" s="10">
        <f>IFERROR(AVERAGE($D$373:$D$624),"")</f>
        <v/>
      </c>
      <c r="I624" s="10" t="n">
        <v>-0.9406892203900498</v>
      </c>
      <c r="J624" t="inlineStr"/>
      <c r="K624" t="inlineStr"/>
    </row>
    <row r="625">
      <c r="A625" s="7" t="inlineStr">
        <is>
          <t>2016-09-09</t>
        </is>
      </c>
      <c r="B625" s="8">
        <f>IFERROR(VLOOKUP($A625,'01-原始价格'!$A:$M,2,FALSE),"")</f>
        <v/>
      </c>
      <c r="C625" s="8">
        <f>IFERROR(VLOOKUP($A625,'01-原始价格'!$A:$M,8,FALSE),"")</f>
        <v/>
      </c>
      <c r="D625" s="10">
        <f>IFERROR(B625/C625,"")</f>
        <v/>
      </c>
      <c r="E625" s="10">
        <f>IFERROR(C625/B625,"")</f>
        <v/>
      </c>
      <c r="F625" s="11">
        <f>IFERROR((D625/D624-1)*100,"")</f>
        <v/>
      </c>
      <c r="G625" s="11">
        <f>IFERROR((COUNTIF($D$374:$D$625,"&lt;"&amp;D625)+0.5*COUNTIF($D$374:$D$625,D625))/COUNT($D$374:$D$625)*100,"")</f>
        <v/>
      </c>
      <c r="H625" s="10">
        <f>IFERROR(AVERAGE($D$374:$D$625),"")</f>
        <v/>
      </c>
      <c r="I625" s="10" t="n">
        <v>-1.228187934196294</v>
      </c>
      <c r="J625" t="inlineStr"/>
      <c r="K625" t="inlineStr"/>
    </row>
    <row r="626">
      <c r="A626" s="7" t="inlineStr">
        <is>
          <t>2016-09-12</t>
        </is>
      </c>
      <c r="B626" s="8">
        <f>IFERROR(VLOOKUP($A626,'01-原始价格'!$A:$M,2,FALSE),"")</f>
        <v/>
      </c>
      <c r="C626" s="8">
        <f>IFERROR(VLOOKUP($A626,'01-原始价格'!$A:$M,8,FALSE),"")</f>
        <v/>
      </c>
      <c r="D626" s="10">
        <f>IFERROR(B626/C626,"")</f>
        <v/>
      </c>
      <c r="E626" s="10">
        <f>IFERROR(C626/B626,"")</f>
        <v/>
      </c>
      <c r="F626" s="11">
        <f>IFERROR((D626/D625-1)*100,"")</f>
        <v/>
      </c>
      <c r="G626" s="11">
        <f>IFERROR((COUNTIF($D$375:$D$626,"&lt;"&amp;D626)+0.5*COUNTIF($D$375:$D$626,D626))/COUNT($D$375:$D$626)*100,"")</f>
        <v/>
      </c>
      <c r="H626" s="10">
        <f>IFERROR(AVERAGE($D$375:$D$626),"")</f>
        <v/>
      </c>
      <c r="I626" s="10" t="n">
        <v>-0.7456354225677113</v>
      </c>
      <c r="J626" t="inlineStr"/>
      <c r="K626" t="inlineStr"/>
    </row>
    <row r="627">
      <c r="A627" s="7" t="inlineStr">
        <is>
          <t>2016-09-13</t>
        </is>
      </c>
      <c r="B627" s="8">
        <f>IFERROR(VLOOKUP($A627,'01-原始价格'!$A:$M,2,FALSE),"")</f>
        <v/>
      </c>
      <c r="C627" s="8">
        <f>IFERROR(VLOOKUP($A627,'01-原始价格'!$A:$M,8,FALSE),"")</f>
        <v/>
      </c>
      <c r="D627" s="10">
        <f>IFERROR(B627/C627,"")</f>
        <v/>
      </c>
      <c r="E627" s="10">
        <f>IFERROR(C627/B627,"")</f>
        <v/>
      </c>
      <c r="F627" s="11">
        <f>IFERROR((D627/D626-1)*100,"")</f>
        <v/>
      </c>
      <c r="G627" s="11">
        <f>IFERROR((COUNTIF($D$376:$D$627,"&lt;"&amp;D627)+0.5*COUNTIF($D$376:$D$627,D627))/COUNT($D$376:$D$627)*100,"")</f>
        <v/>
      </c>
      <c r="H627" s="10">
        <f>IFERROR(AVERAGE($D$376:$D$627),"")</f>
        <v/>
      </c>
      <c r="I627" s="10" t="n">
        <v>-0.8448462098522266</v>
      </c>
      <c r="J627" t="inlineStr"/>
      <c r="K627" t="inlineStr"/>
    </row>
    <row r="628">
      <c r="A628" s="7" t="inlineStr">
        <is>
          <t>2016-09-14</t>
        </is>
      </c>
      <c r="B628" s="8">
        <f>IFERROR(VLOOKUP($A628,'01-原始价格'!$A:$M,2,FALSE),"")</f>
        <v/>
      </c>
      <c r="C628" s="8">
        <f>IFERROR(VLOOKUP($A628,'01-原始价格'!$A:$M,8,FALSE),"")</f>
        <v/>
      </c>
      <c r="D628" s="10">
        <f>IFERROR(B628/C628,"")</f>
        <v/>
      </c>
      <c r="E628" s="10">
        <f>IFERROR(C628/B628,"")</f>
        <v/>
      </c>
      <c r="F628" s="11">
        <f>IFERROR((D628/D627-1)*100,"")</f>
        <v/>
      </c>
      <c r="G628" s="11">
        <f>IFERROR((COUNTIF($D$377:$D$628,"&lt;"&amp;D628)+0.5*COUNTIF($D$377:$D$628,D628))/COUNT($D$377:$D$628)*100,"")</f>
        <v/>
      </c>
      <c r="H628" s="10">
        <f>IFERROR(AVERAGE($D$377:$D$628),"")</f>
        <v/>
      </c>
      <c r="I628" s="10" t="n">
        <v>-0.7463763625498486</v>
      </c>
      <c r="J628" t="inlineStr"/>
      <c r="K628" t="inlineStr"/>
    </row>
    <row r="629">
      <c r="A629" s="7" t="inlineStr">
        <is>
          <t>2016-09-19</t>
        </is>
      </c>
      <c r="B629" s="8">
        <f>IFERROR(VLOOKUP($A629,'01-原始价格'!$A:$M,2,FALSE),"")</f>
        <v/>
      </c>
      <c r="C629" s="8">
        <f>IFERROR(VLOOKUP($A629,'01-原始价格'!$A:$M,8,FALSE),"")</f>
        <v/>
      </c>
      <c r="D629" s="10">
        <f>IFERROR(B629/C629,"")</f>
        <v/>
      </c>
      <c r="E629" s="10">
        <f>IFERROR(C629/B629,"")</f>
        <v/>
      </c>
      <c r="F629" s="11">
        <f>IFERROR((D629/D628-1)*100,"")</f>
        <v/>
      </c>
      <c r="G629" s="11">
        <f>IFERROR((COUNTIF($D$378:$D$629,"&lt;"&amp;D629)+0.5*COUNTIF($D$378:$D$629,D629))/COUNT($D$378:$D$629)*100,"")</f>
        <v/>
      </c>
      <c r="H629" s="10">
        <f>IFERROR(AVERAGE($D$378:$D$629),"")</f>
        <v/>
      </c>
      <c r="I629" s="10" t="n">
        <v>-0.7448927851285708</v>
      </c>
      <c r="J629" t="inlineStr"/>
      <c r="K629" t="inlineStr"/>
    </row>
    <row r="630">
      <c r="A630" s="7" t="inlineStr">
        <is>
          <t>2016-09-20</t>
        </is>
      </c>
      <c r="B630" s="8">
        <f>IFERROR(VLOOKUP($A630,'01-原始价格'!$A:$M,2,FALSE),"")</f>
        <v/>
      </c>
      <c r="C630" s="8">
        <f>IFERROR(VLOOKUP($A630,'01-原始价格'!$A:$M,8,FALSE),"")</f>
        <v/>
      </c>
      <c r="D630" s="10">
        <f>IFERROR(B630/C630,"")</f>
        <v/>
      </c>
      <c r="E630" s="10">
        <f>IFERROR(C630/B630,"")</f>
        <v/>
      </c>
      <c r="F630" s="11">
        <f>IFERROR((D630/D629-1)*100,"")</f>
        <v/>
      </c>
      <c r="G630" s="11">
        <f>IFERROR((COUNTIF($D$379:$D$630,"&lt;"&amp;D630)+0.5*COUNTIF($D$379:$D$630,D630))/COUNT($D$379:$D$630)*100,"")</f>
        <v/>
      </c>
      <c r="H630" s="10">
        <f>IFERROR(AVERAGE($D$379:$D$630),"")</f>
        <v/>
      </c>
      <c r="I630" s="10" t="n">
        <v>-0.5123548242507684</v>
      </c>
      <c r="J630" t="inlineStr"/>
      <c r="K630" t="inlineStr"/>
    </row>
    <row r="631">
      <c r="A631" s="7" t="inlineStr">
        <is>
          <t>2016-09-21</t>
        </is>
      </c>
      <c r="B631" s="8">
        <f>IFERROR(VLOOKUP($A631,'01-原始价格'!$A:$M,2,FALSE),"")</f>
        <v/>
      </c>
      <c r="C631" s="8">
        <f>IFERROR(VLOOKUP($A631,'01-原始价格'!$A:$M,8,FALSE),"")</f>
        <v/>
      </c>
      <c r="D631" s="10">
        <f>IFERROR(B631/C631,"")</f>
        <v/>
      </c>
      <c r="E631" s="10">
        <f>IFERROR(C631/B631,"")</f>
        <v/>
      </c>
      <c r="F631" s="11">
        <f>IFERROR((D631/D630-1)*100,"")</f>
        <v/>
      </c>
      <c r="G631" s="11">
        <f>IFERROR((COUNTIF($D$380:$D$631,"&lt;"&amp;D631)+0.5*COUNTIF($D$380:$D$631,D631))/COUNT($D$380:$D$631)*100,"")</f>
        <v/>
      </c>
      <c r="H631" s="10">
        <f>IFERROR(AVERAGE($D$380:$D$631),"")</f>
        <v/>
      </c>
      <c r="I631" s="10" t="n">
        <v>-0.2640396589213778</v>
      </c>
      <c r="J631" t="inlineStr"/>
      <c r="K631" t="inlineStr"/>
    </row>
    <row r="632">
      <c r="A632" s="7" t="inlineStr">
        <is>
          <t>2016-09-22</t>
        </is>
      </c>
      <c r="B632" s="8">
        <f>IFERROR(VLOOKUP($A632,'01-原始价格'!$A:$M,2,FALSE),"")</f>
        <v/>
      </c>
      <c r="C632" s="8">
        <f>IFERROR(VLOOKUP($A632,'01-原始价格'!$A:$M,8,FALSE),"")</f>
        <v/>
      </c>
      <c r="D632" s="10">
        <f>IFERROR(B632/C632,"")</f>
        <v/>
      </c>
      <c r="E632" s="10">
        <f>IFERROR(C632/B632,"")</f>
        <v/>
      </c>
      <c r="F632" s="11">
        <f>IFERROR((D632/D631-1)*100,"")</f>
        <v/>
      </c>
      <c r="G632" s="11">
        <f>IFERROR((COUNTIF($D$381:$D$632,"&lt;"&amp;D632)+0.5*COUNTIF($D$381:$D$632,D632))/COUNT($D$381:$D$632)*100,"")</f>
        <v/>
      </c>
      <c r="H632" s="10">
        <f>IFERROR(AVERAGE($D$381:$D$632),"")</f>
        <v/>
      </c>
      <c r="I632" s="10" t="n">
        <v>-0.1882941893317986</v>
      </c>
      <c r="J632" t="inlineStr"/>
      <c r="K632" t="inlineStr"/>
    </row>
    <row r="633">
      <c r="A633" s="7" t="inlineStr">
        <is>
          <t>2016-09-23</t>
        </is>
      </c>
      <c r="B633" s="8">
        <f>IFERROR(VLOOKUP($A633,'01-原始价格'!$A:$M,2,FALSE),"")</f>
        <v/>
      </c>
      <c r="C633" s="8">
        <f>IFERROR(VLOOKUP($A633,'01-原始价格'!$A:$M,8,FALSE),"")</f>
        <v/>
      </c>
      <c r="D633" s="10">
        <f>IFERROR(B633/C633,"")</f>
        <v/>
      </c>
      <c r="E633" s="10">
        <f>IFERROR(C633/B633,"")</f>
        <v/>
      </c>
      <c r="F633" s="11">
        <f>IFERROR((D633/D632-1)*100,"")</f>
        <v/>
      </c>
      <c r="G633" s="11">
        <f>IFERROR((COUNTIF($D$382:$D$633,"&lt;"&amp;D633)+0.5*COUNTIF($D$382:$D$633,D633))/COUNT($D$382:$D$633)*100,"")</f>
        <v/>
      </c>
      <c r="H633" s="10">
        <f>IFERROR(AVERAGE($D$382:$D$633),"")</f>
        <v/>
      </c>
      <c r="I633" s="10" t="n">
        <v>-0.2388817437518966</v>
      </c>
      <c r="J633" t="inlineStr"/>
      <c r="K633" t="inlineStr"/>
    </row>
    <row r="634">
      <c r="A634" s="7" t="inlineStr">
        <is>
          <t>2016-09-26</t>
        </is>
      </c>
      <c r="B634" s="8">
        <f>IFERROR(VLOOKUP($A634,'01-原始价格'!$A:$M,2,FALSE),"")</f>
        <v/>
      </c>
      <c r="C634" s="8">
        <f>IFERROR(VLOOKUP($A634,'01-原始价格'!$A:$M,8,FALSE),"")</f>
        <v/>
      </c>
      <c r="D634" s="10">
        <f>IFERROR(B634/C634,"")</f>
        <v/>
      </c>
      <c r="E634" s="10">
        <f>IFERROR(C634/B634,"")</f>
        <v/>
      </c>
      <c r="F634" s="11">
        <f>IFERROR((D634/D633-1)*100,"")</f>
        <v/>
      </c>
      <c r="G634" s="11">
        <f>IFERROR((COUNTIF($D$383:$D$634,"&lt;"&amp;D634)+0.5*COUNTIF($D$383:$D$634,D634))/COUNT($D$383:$D$634)*100,"")</f>
        <v/>
      </c>
      <c r="H634" s="10">
        <f>IFERROR(AVERAGE($D$383:$D$634),"")</f>
        <v/>
      </c>
      <c r="I634" s="10" t="n">
        <v>-0.3415147952585643</v>
      </c>
      <c r="J634" t="inlineStr"/>
      <c r="K634" t="inlineStr"/>
    </row>
    <row r="635">
      <c r="A635" s="7" t="inlineStr">
        <is>
          <t>2016-09-27</t>
        </is>
      </c>
      <c r="B635" s="8">
        <f>IFERROR(VLOOKUP($A635,'01-原始价格'!$A:$M,2,FALSE),"")</f>
        <v/>
      </c>
      <c r="C635" s="8">
        <f>IFERROR(VLOOKUP($A635,'01-原始价格'!$A:$M,8,FALSE),"")</f>
        <v/>
      </c>
      <c r="D635" s="10">
        <f>IFERROR(B635/C635,"")</f>
        <v/>
      </c>
      <c r="E635" s="10">
        <f>IFERROR(C635/B635,"")</f>
        <v/>
      </c>
      <c r="F635" s="11">
        <f>IFERROR((D635/D634-1)*100,"")</f>
        <v/>
      </c>
      <c r="G635" s="11">
        <f>IFERROR((COUNTIF($D$384:$D$635,"&lt;"&amp;D635)+0.5*COUNTIF($D$384:$D$635,D635))/COUNT($D$384:$D$635)*100,"")</f>
        <v/>
      </c>
      <c r="H635" s="10">
        <f>IFERROR(AVERAGE($D$384:$D$635),"")</f>
        <v/>
      </c>
      <c r="I635" s="10" t="n">
        <v>0.1117533237811663</v>
      </c>
      <c r="J635" t="inlineStr"/>
      <c r="K635" t="inlineStr"/>
    </row>
    <row r="636">
      <c r="A636" s="7" t="inlineStr">
        <is>
          <t>2016-09-28</t>
        </is>
      </c>
      <c r="B636" s="8">
        <f>IFERROR(VLOOKUP($A636,'01-原始价格'!$A:$M,2,FALSE),"")</f>
        <v/>
      </c>
      <c r="C636" s="8">
        <f>IFERROR(VLOOKUP($A636,'01-原始价格'!$A:$M,8,FALSE),"")</f>
        <v/>
      </c>
      <c r="D636" s="10">
        <f>IFERROR(B636/C636,"")</f>
        <v/>
      </c>
      <c r="E636" s="10">
        <f>IFERROR(C636/B636,"")</f>
        <v/>
      </c>
      <c r="F636" s="11">
        <f>IFERROR((D636/D635-1)*100,"")</f>
        <v/>
      </c>
      <c r="G636" s="11">
        <f>IFERROR((COUNTIF($D$385:$D$636,"&lt;"&amp;D636)+0.5*COUNTIF($D$385:$D$636,D636))/COUNT($D$385:$D$636)*100,"")</f>
        <v/>
      </c>
      <c r="H636" s="10">
        <f>IFERROR(AVERAGE($D$385:$D$636),"")</f>
        <v/>
      </c>
      <c r="I636" s="10" t="n">
        <v>-0.02215312194239431</v>
      </c>
      <c r="J636" t="inlineStr"/>
      <c r="K636" t="inlineStr"/>
    </row>
    <row r="637">
      <c r="A637" s="7" t="inlineStr">
        <is>
          <t>2016-09-29</t>
        </is>
      </c>
      <c r="B637" s="8">
        <f>IFERROR(VLOOKUP($A637,'01-原始价格'!$A:$M,2,FALSE),"")</f>
        <v/>
      </c>
      <c r="C637" s="8">
        <f>IFERROR(VLOOKUP($A637,'01-原始价格'!$A:$M,8,FALSE),"")</f>
        <v/>
      </c>
      <c r="D637" s="10">
        <f>IFERROR(B637/C637,"")</f>
        <v/>
      </c>
      <c r="E637" s="10">
        <f>IFERROR(C637/B637,"")</f>
        <v/>
      </c>
      <c r="F637" s="11">
        <f>IFERROR((D637/D636-1)*100,"")</f>
        <v/>
      </c>
      <c r="G637" s="11">
        <f>IFERROR((COUNTIF($D$386:$D$637,"&lt;"&amp;D637)+0.5*COUNTIF($D$386:$D$637,D637))/COUNT($D$386:$D$637)*100,"")</f>
        <v/>
      </c>
      <c r="H637" s="10">
        <f>IFERROR(AVERAGE($D$386:$D$637),"")</f>
        <v/>
      </c>
      <c r="I637" s="10" t="n">
        <v>0.4331981883851477</v>
      </c>
      <c r="J637" t="inlineStr"/>
      <c r="K637" t="inlineStr"/>
    </row>
    <row r="638">
      <c r="A638" s="7" t="inlineStr">
        <is>
          <t>2016-09-30</t>
        </is>
      </c>
      <c r="B638" s="8">
        <f>IFERROR(VLOOKUP($A638,'01-原始价格'!$A:$M,2,FALSE),"")</f>
        <v/>
      </c>
      <c r="C638" s="8">
        <f>IFERROR(VLOOKUP($A638,'01-原始价格'!$A:$M,8,FALSE),"")</f>
        <v/>
      </c>
      <c r="D638" s="10">
        <f>IFERROR(B638/C638,"")</f>
        <v/>
      </c>
      <c r="E638" s="10">
        <f>IFERROR(C638/B638,"")</f>
        <v/>
      </c>
      <c r="F638" s="11">
        <f>IFERROR((D638/D637-1)*100,"")</f>
        <v/>
      </c>
      <c r="G638" s="11">
        <f>IFERROR((COUNTIF($D$387:$D$638,"&lt;"&amp;D638)+0.5*COUNTIF($D$387:$D$638,D638))/COUNT($D$387:$D$638)*100,"")</f>
        <v/>
      </c>
      <c r="H638" s="10">
        <f>IFERROR(AVERAGE($D$387:$D$638),"")</f>
        <v/>
      </c>
      <c r="I638" s="10" t="n">
        <v>0.04601950059643576</v>
      </c>
      <c r="J638" t="inlineStr"/>
      <c r="K638" t="inlineStr"/>
    </row>
    <row r="639">
      <c r="A639" s="7" t="inlineStr">
        <is>
          <t>2016-10-10</t>
        </is>
      </c>
      <c r="B639" s="8">
        <f>IFERROR(VLOOKUP($A639,'01-原始价格'!$A:$M,2,FALSE),"")</f>
        <v/>
      </c>
      <c r="C639" s="8">
        <f>IFERROR(VLOOKUP($A639,'01-原始价格'!$A:$M,8,FALSE),"")</f>
        <v/>
      </c>
      <c r="D639" s="10">
        <f>IFERROR(B639/C639,"")</f>
        <v/>
      </c>
      <c r="E639" s="10">
        <f>IFERROR(C639/B639,"")</f>
        <v/>
      </c>
      <c r="F639" s="11">
        <f>IFERROR((D639/D638-1)*100,"")</f>
        <v/>
      </c>
      <c r="G639" s="11">
        <f>IFERROR((COUNTIF($D$388:$D$639,"&lt;"&amp;D639)+0.5*COUNTIF($D$388:$D$639,D639))/COUNT($D$388:$D$639)*100,"")</f>
        <v/>
      </c>
      <c r="H639" s="10">
        <f>IFERROR(AVERAGE($D$388:$D$639),"")</f>
        <v/>
      </c>
      <c r="I639" s="10" t="n">
        <v>-0.1946825931680226</v>
      </c>
      <c r="J639" t="inlineStr"/>
      <c r="K639" t="inlineStr"/>
    </row>
    <row r="640">
      <c r="A640" s="7" t="inlineStr">
        <is>
          <t>2016-10-11</t>
        </is>
      </c>
      <c r="B640" s="8">
        <f>IFERROR(VLOOKUP($A640,'01-原始价格'!$A:$M,2,FALSE),"")</f>
        <v/>
      </c>
      <c r="C640" s="8">
        <f>IFERROR(VLOOKUP($A640,'01-原始价格'!$A:$M,8,FALSE),"")</f>
        <v/>
      </c>
      <c r="D640" s="10">
        <f>IFERROR(B640/C640,"")</f>
        <v/>
      </c>
      <c r="E640" s="10">
        <f>IFERROR(C640/B640,"")</f>
        <v/>
      </c>
      <c r="F640" s="11">
        <f>IFERROR((D640/D639-1)*100,"")</f>
        <v/>
      </c>
      <c r="G640" s="11">
        <f>IFERROR((COUNTIF($D$389:$D$640,"&lt;"&amp;D640)+0.5*COUNTIF($D$389:$D$640,D640))/COUNT($D$389:$D$640)*100,"")</f>
        <v/>
      </c>
      <c r="H640" s="10">
        <f>IFERROR(AVERAGE($D$389:$D$640),"")</f>
        <v/>
      </c>
      <c r="I640" s="10" t="n">
        <v>-0.2588891210253301</v>
      </c>
      <c r="J640" t="inlineStr"/>
      <c r="K640" t="inlineStr"/>
    </row>
    <row r="641">
      <c r="A641" s="7" t="inlineStr">
        <is>
          <t>2016-10-12</t>
        </is>
      </c>
      <c r="B641" s="8">
        <f>IFERROR(VLOOKUP($A641,'01-原始价格'!$A:$M,2,FALSE),"")</f>
        <v/>
      </c>
      <c r="C641" s="8">
        <f>IFERROR(VLOOKUP($A641,'01-原始价格'!$A:$M,8,FALSE),"")</f>
        <v/>
      </c>
      <c r="D641" s="10">
        <f>IFERROR(B641/C641,"")</f>
        <v/>
      </c>
      <c r="E641" s="10">
        <f>IFERROR(C641/B641,"")</f>
        <v/>
      </c>
      <c r="F641" s="11">
        <f>IFERROR((D641/D640-1)*100,"")</f>
        <v/>
      </c>
      <c r="G641" s="11">
        <f>IFERROR((COUNTIF($D$390:$D$641,"&lt;"&amp;D641)+0.5*COUNTIF($D$390:$D$641,D641))/COUNT($D$390:$D$641)*100,"")</f>
        <v/>
      </c>
      <c r="H641" s="10">
        <f>IFERROR(AVERAGE($D$390:$D$641),"")</f>
        <v/>
      </c>
      <c r="I641" s="10" t="n">
        <v>-0.4188124762986182</v>
      </c>
      <c r="J641" t="inlineStr"/>
      <c r="K641" t="inlineStr"/>
    </row>
    <row r="642">
      <c r="A642" s="7" t="inlineStr">
        <is>
          <t>2016-10-13</t>
        </is>
      </c>
      <c r="B642" s="8">
        <f>IFERROR(VLOOKUP($A642,'01-原始价格'!$A:$M,2,FALSE),"")</f>
        <v/>
      </c>
      <c r="C642" s="8">
        <f>IFERROR(VLOOKUP($A642,'01-原始价格'!$A:$M,8,FALSE),"")</f>
        <v/>
      </c>
      <c r="D642" s="10">
        <f>IFERROR(B642/C642,"")</f>
        <v/>
      </c>
      <c r="E642" s="10">
        <f>IFERROR(C642/B642,"")</f>
        <v/>
      </c>
      <c r="F642" s="11">
        <f>IFERROR((D642/D641-1)*100,"")</f>
        <v/>
      </c>
      <c r="G642" s="11">
        <f>IFERROR((COUNTIF($D$391:$D$642,"&lt;"&amp;D642)+0.5*COUNTIF($D$391:$D$642,D642))/COUNT($D$391:$D$642)*100,"")</f>
        <v/>
      </c>
      <c r="H642" s="10">
        <f>IFERROR(AVERAGE($D$391:$D$642),"")</f>
        <v/>
      </c>
      <c r="I642" s="10" t="n">
        <v>-0.9836334747810195</v>
      </c>
      <c r="J642" t="inlineStr"/>
      <c r="K642" t="inlineStr"/>
    </row>
    <row r="643">
      <c r="A643" s="7" t="inlineStr">
        <is>
          <t>2016-10-14</t>
        </is>
      </c>
      <c r="B643" s="8">
        <f>IFERROR(VLOOKUP($A643,'01-原始价格'!$A:$M,2,FALSE),"")</f>
        <v/>
      </c>
      <c r="C643" s="8">
        <f>IFERROR(VLOOKUP($A643,'01-原始价格'!$A:$M,8,FALSE),"")</f>
        <v/>
      </c>
      <c r="D643" s="10">
        <f>IFERROR(B643/C643,"")</f>
        <v/>
      </c>
      <c r="E643" s="10">
        <f>IFERROR(C643/B643,"")</f>
        <v/>
      </c>
      <c r="F643" s="11">
        <f>IFERROR((D643/D642-1)*100,"")</f>
        <v/>
      </c>
      <c r="G643" s="11">
        <f>IFERROR((COUNTIF($D$392:$D$643,"&lt;"&amp;D643)+0.5*COUNTIF($D$392:$D$643,D643))/COUNT($D$392:$D$643)*100,"")</f>
        <v/>
      </c>
      <c r="H643" s="10">
        <f>IFERROR(AVERAGE($D$392:$D$643),"")</f>
        <v/>
      </c>
      <c r="I643" s="10" t="n">
        <v>-1.096752901092738</v>
      </c>
      <c r="J643" t="inlineStr"/>
      <c r="K643" t="inlineStr"/>
    </row>
    <row r="644">
      <c r="A644" s="7" t="inlineStr">
        <is>
          <t>2016-10-17</t>
        </is>
      </c>
      <c r="B644" s="8">
        <f>IFERROR(VLOOKUP($A644,'01-原始价格'!$A:$M,2,FALSE),"")</f>
        <v/>
      </c>
      <c r="C644" s="8">
        <f>IFERROR(VLOOKUP($A644,'01-原始价格'!$A:$M,8,FALSE),"")</f>
        <v/>
      </c>
      <c r="D644" s="10">
        <f>IFERROR(B644/C644,"")</f>
        <v/>
      </c>
      <c r="E644" s="10">
        <f>IFERROR(C644/B644,"")</f>
        <v/>
      </c>
      <c r="F644" s="11">
        <f>IFERROR((D644/D643-1)*100,"")</f>
        <v/>
      </c>
      <c r="G644" s="11">
        <f>IFERROR((COUNTIF($D$393:$D$644,"&lt;"&amp;D644)+0.5*COUNTIF($D$393:$D$644,D644))/COUNT($D$393:$D$644)*100,"")</f>
        <v/>
      </c>
      <c r="H644" s="10">
        <f>IFERROR(AVERAGE($D$393:$D$644),"")</f>
        <v/>
      </c>
      <c r="I644" s="10" t="n">
        <v>-0.4063146789173862</v>
      </c>
      <c r="J644" t="inlineStr"/>
      <c r="K644" t="inlineStr"/>
    </row>
    <row r="645">
      <c r="A645" s="7" t="inlineStr">
        <is>
          <t>2016-10-18</t>
        </is>
      </c>
      <c r="B645" s="8">
        <f>IFERROR(VLOOKUP($A645,'01-原始价格'!$A:$M,2,FALSE),"")</f>
        <v/>
      </c>
      <c r="C645" s="8">
        <f>IFERROR(VLOOKUP($A645,'01-原始价格'!$A:$M,8,FALSE),"")</f>
        <v/>
      </c>
      <c r="D645" s="10">
        <f>IFERROR(B645/C645,"")</f>
        <v/>
      </c>
      <c r="E645" s="10">
        <f>IFERROR(C645/B645,"")</f>
        <v/>
      </c>
      <c r="F645" s="11">
        <f>IFERROR((D645/D644-1)*100,"")</f>
        <v/>
      </c>
      <c r="G645" s="11">
        <f>IFERROR((COUNTIF($D$394:$D$645,"&lt;"&amp;D645)+0.5*COUNTIF($D$394:$D$645,D645))/COUNT($D$394:$D$645)*100,"")</f>
        <v/>
      </c>
      <c r="H645" s="10">
        <f>IFERROR(AVERAGE($D$394:$D$645),"")</f>
        <v/>
      </c>
      <c r="I645" s="10" t="n">
        <v>-0.3462036105335195</v>
      </c>
      <c r="J645" t="inlineStr"/>
      <c r="K645" t="inlineStr"/>
    </row>
    <row r="646">
      <c r="A646" s="7" t="inlineStr">
        <is>
          <t>2016-10-19</t>
        </is>
      </c>
      <c r="B646" s="8">
        <f>IFERROR(VLOOKUP($A646,'01-原始价格'!$A:$M,2,FALSE),"")</f>
        <v/>
      </c>
      <c r="C646" s="8">
        <f>IFERROR(VLOOKUP($A646,'01-原始价格'!$A:$M,8,FALSE),"")</f>
        <v/>
      </c>
      <c r="D646" s="10">
        <f>IFERROR(B646/C646,"")</f>
        <v/>
      </c>
      <c r="E646" s="10">
        <f>IFERROR(C646/B646,"")</f>
        <v/>
      </c>
      <c r="F646" s="11">
        <f>IFERROR((D646/D645-1)*100,"")</f>
        <v/>
      </c>
      <c r="G646" s="11">
        <f>IFERROR((COUNTIF($D$395:$D$646,"&lt;"&amp;D646)+0.5*COUNTIF($D$395:$D$646,D646))/COUNT($D$395:$D$646)*100,"")</f>
        <v/>
      </c>
      <c r="H646" s="10">
        <f>IFERROR(AVERAGE($D$395:$D$646),"")</f>
        <v/>
      </c>
      <c r="I646" s="10" t="n">
        <v>0.1415026087604522</v>
      </c>
      <c r="J646" t="inlineStr"/>
      <c r="K646" t="inlineStr"/>
    </row>
    <row r="647">
      <c r="A647" s="7" t="inlineStr">
        <is>
          <t>2016-10-20</t>
        </is>
      </c>
      <c r="B647" s="8">
        <f>IFERROR(VLOOKUP($A647,'01-原始价格'!$A:$M,2,FALSE),"")</f>
        <v/>
      </c>
      <c r="C647" s="8">
        <f>IFERROR(VLOOKUP($A647,'01-原始价格'!$A:$M,8,FALSE),"")</f>
        <v/>
      </c>
      <c r="D647" s="10">
        <f>IFERROR(B647/C647,"")</f>
        <v/>
      </c>
      <c r="E647" s="10">
        <f>IFERROR(C647/B647,"")</f>
        <v/>
      </c>
      <c r="F647" s="11">
        <f>IFERROR((D647/D646-1)*100,"")</f>
        <v/>
      </c>
      <c r="G647" s="11">
        <f>IFERROR((COUNTIF($D$396:$D$647,"&lt;"&amp;D647)+0.5*COUNTIF($D$396:$D$647,D647))/COUNT($D$396:$D$647)*100,"")</f>
        <v/>
      </c>
      <c r="H647" s="10">
        <f>IFERROR(AVERAGE($D$396:$D$647),"")</f>
        <v/>
      </c>
      <c r="I647" s="10" t="n">
        <v>-0.1243390751968163</v>
      </c>
      <c r="J647" t="inlineStr"/>
      <c r="K647" t="inlineStr"/>
    </row>
    <row r="648">
      <c r="A648" s="7" t="inlineStr">
        <is>
          <t>2016-10-21</t>
        </is>
      </c>
      <c r="B648" s="8">
        <f>IFERROR(VLOOKUP($A648,'01-原始价格'!$A:$M,2,FALSE),"")</f>
        <v/>
      </c>
      <c r="C648" s="8">
        <f>IFERROR(VLOOKUP($A648,'01-原始价格'!$A:$M,8,FALSE),"")</f>
        <v/>
      </c>
      <c r="D648" s="10">
        <f>IFERROR(B648/C648,"")</f>
        <v/>
      </c>
      <c r="E648" s="10">
        <f>IFERROR(C648/B648,"")</f>
        <v/>
      </c>
      <c r="F648" s="11">
        <f>IFERROR((D648/D647-1)*100,"")</f>
        <v/>
      </c>
      <c r="G648" s="11">
        <f>IFERROR((COUNTIF($D$397:$D$648,"&lt;"&amp;D648)+0.5*COUNTIF($D$397:$D$648,D648))/COUNT($D$397:$D$648)*100,"")</f>
        <v/>
      </c>
      <c r="H648" s="10">
        <f>IFERROR(AVERAGE($D$397:$D$648),"")</f>
        <v/>
      </c>
      <c r="I648" s="10" t="n">
        <v>0.01467181606402315</v>
      </c>
      <c r="J648" t="inlineStr"/>
      <c r="K648" t="inlineStr"/>
    </row>
    <row r="649">
      <c r="A649" s="7" t="inlineStr">
        <is>
          <t>2016-10-24</t>
        </is>
      </c>
      <c r="B649" s="8">
        <f>IFERROR(VLOOKUP($A649,'01-原始价格'!$A:$M,2,FALSE),"")</f>
        <v/>
      </c>
      <c r="C649" s="8">
        <f>IFERROR(VLOOKUP($A649,'01-原始价格'!$A:$M,8,FALSE),"")</f>
        <v/>
      </c>
      <c r="D649" s="10">
        <f>IFERROR(B649/C649,"")</f>
        <v/>
      </c>
      <c r="E649" s="10">
        <f>IFERROR(C649/B649,"")</f>
        <v/>
      </c>
      <c r="F649" s="11">
        <f>IFERROR((D649/D648-1)*100,"")</f>
        <v/>
      </c>
      <c r="G649" s="11">
        <f>IFERROR((COUNTIF($D$398:$D$649,"&lt;"&amp;D649)+0.5*COUNTIF($D$398:$D$649,D649))/COUNT($D$398:$D$649)*100,"")</f>
        <v/>
      </c>
      <c r="H649" s="10">
        <f>IFERROR(AVERAGE($D$398:$D$649),"")</f>
        <v/>
      </c>
      <c r="I649" s="10" t="n">
        <v>0.08605450505093398</v>
      </c>
      <c r="J649" t="inlineStr"/>
      <c r="K649" t="inlineStr"/>
    </row>
    <row r="650">
      <c r="A650" s="7" t="inlineStr">
        <is>
          <t>2016-10-25</t>
        </is>
      </c>
      <c r="B650" s="8">
        <f>IFERROR(VLOOKUP($A650,'01-原始价格'!$A:$M,2,FALSE),"")</f>
        <v/>
      </c>
      <c r="C650" s="8">
        <f>IFERROR(VLOOKUP($A650,'01-原始价格'!$A:$M,8,FALSE),"")</f>
        <v/>
      </c>
      <c r="D650" s="10">
        <f>IFERROR(B650/C650,"")</f>
        <v/>
      </c>
      <c r="E650" s="10">
        <f>IFERROR(C650/B650,"")</f>
        <v/>
      </c>
      <c r="F650" s="11">
        <f>IFERROR((D650/D649-1)*100,"")</f>
        <v/>
      </c>
      <c r="G650" s="11">
        <f>IFERROR((COUNTIF($D$399:$D$650,"&lt;"&amp;D650)+0.5*COUNTIF($D$399:$D$650,D650))/COUNT($D$399:$D$650)*100,"")</f>
        <v/>
      </c>
      <c r="H650" s="10">
        <f>IFERROR(AVERAGE($D$399:$D$650),"")</f>
        <v/>
      </c>
      <c r="I650" s="10" t="n">
        <v>1.515777400989233</v>
      </c>
      <c r="J650" t="inlineStr"/>
      <c r="K650" t="inlineStr"/>
    </row>
    <row r="651">
      <c r="A651" s="7" t="inlineStr">
        <is>
          <t>2016-10-26</t>
        </is>
      </c>
      <c r="B651" s="8">
        <f>IFERROR(VLOOKUP($A651,'01-原始价格'!$A:$M,2,FALSE),"")</f>
        <v/>
      </c>
      <c r="C651" s="8">
        <f>IFERROR(VLOOKUP($A651,'01-原始价格'!$A:$M,8,FALSE),"")</f>
        <v/>
      </c>
      <c r="D651" s="10">
        <f>IFERROR(B651/C651,"")</f>
        <v/>
      </c>
      <c r="E651" s="10">
        <f>IFERROR(C651/B651,"")</f>
        <v/>
      </c>
      <c r="F651" s="11">
        <f>IFERROR((D651/D650-1)*100,"")</f>
        <v/>
      </c>
      <c r="G651" s="11">
        <f>IFERROR((COUNTIF($D$400:$D$651,"&lt;"&amp;D651)+0.5*COUNTIF($D$400:$D$651,D651))/COUNT($D$400:$D$651)*100,"")</f>
        <v/>
      </c>
      <c r="H651" s="10">
        <f>IFERROR(AVERAGE($D$400:$D$651),"")</f>
        <v/>
      </c>
      <c r="I651" s="10" t="n">
        <v>1.242755511069263</v>
      </c>
      <c r="J651" t="inlineStr"/>
      <c r="K651" t="inlineStr"/>
    </row>
    <row r="652">
      <c r="A652" s="7" t="inlineStr">
        <is>
          <t>2016-10-27</t>
        </is>
      </c>
      <c r="B652" s="8">
        <f>IFERROR(VLOOKUP($A652,'01-原始价格'!$A:$M,2,FALSE),"")</f>
        <v/>
      </c>
      <c r="C652" s="8">
        <f>IFERROR(VLOOKUP($A652,'01-原始价格'!$A:$M,8,FALSE),"")</f>
        <v/>
      </c>
      <c r="D652" s="10">
        <f>IFERROR(B652/C652,"")</f>
        <v/>
      </c>
      <c r="E652" s="10">
        <f>IFERROR(C652/B652,"")</f>
        <v/>
      </c>
      <c r="F652" s="11">
        <f>IFERROR((D652/D651-1)*100,"")</f>
        <v/>
      </c>
      <c r="G652" s="11">
        <f>IFERROR((COUNTIF($D$401:$D$652,"&lt;"&amp;D652)+0.5*COUNTIF($D$401:$D$652,D652))/COUNT($D$401:$D$652)*100,"")</f>
        <v/>
      </c>
      <c r="H652" s="10">
        <f>IFERROR(AVERAGE($D$401:$D$652),"")</f>
        <v/>
      </c>
      <c r="I652" s="10" t="n">
        <v>1.057288357582276</v>
      </c>
      <c r="J652" t="inlineStr"/>
      <c r="K652" t="inlineStr"/>
    </row>
    <row r="653">
      <c r="A653" s="7" t="inlineStr">
        <is>
          <t>2016-10-28</t>
        </is>
      </c>
      <c r="B653" s="8">
        <f>IFERROR(VLOOKUP($A653,'01-原始价格'!$A:$M,2,FALSE),"")</f>
        <v/>
      </c>
      <c r="C653" s="8">
        <f>IFERROR(VLOOKUP($A653,'01-原始价格'!$A:$M,8,FALSE),"")</f>
        <v/>
      </c>
      <c r="D653" s="10">
        <f>IFERROR(B653/C653,"")</f>
        <v/>
      </c>
      <c r="E653" s="10">
        <f>IFERROR(C653/B653,"")</f>
        <v/>
      </c>
      <c r="F653" s="11">
        <f>IFERROR((D653/D652-1)*100,"")</f>
        <v/>
      </c>
      <c r="G653" s="11">
        <f>IFERROR((COUNTIF($D$402:$D$653,"&lt;"&amp;D653)+0.5*COUNTIF($D$402:$D$653,D653))/COUNT($D$402:$D$653)*100,"")</f>
        <v/>
      </c>
      <c r="H653" s="10">
        <f>IFERROR(AVERAGE($D$402:$D$653),"")</f>
        <v/>
      </c>
      <c r="I653" s="10" t="n">
        <v>1.362194240841724</v>
      </c>
      <c r="J653" t="inlineStr"/>
      <c r="K653" t="inlineStr"/>
    </row>
    <row r="654">
      <c r="A654" s="7" t="inlineStr">
        <is>
          <t>2016-10-31</t>
        </is>
      </c>
      <c r="B654" s="8">
        <f>IFERROR(VLOOKUP($A654,'01-原始价格'!$A:$M,2,FALSE),"")</f>
        <v/>
      </c>
      <c r="C654" s="8">
        <f>IFERROR(VLOOKUP($A654,'01-原始价格'!$A:$M,8,FALSE),"")</f>
        <v/>
      </c>
      <c r="D654" s="10">
        <f>IFERROR(B654/C654,"")</f>
        <v/>
      </c>
      <c r="E654" s="10">
        <f>IFERROR(C654/B654,"")</f>
        <v/>
      </c>
      <c r="F654" s="11">
        <f>IFERROR((D654/D653-1)*100,"")</f>
        <v/>
      </c>
      <c r="G654" s="11">
        <f>IFERROR((COUNTIF($D$403:$D$654,"&lt;"&amp;D654)+0.5*COUNTIF($D$403:$D$654,D654))/COUNT($D$403:$D$654)*100,"")</f>
        <v/>
      </c>
      <c r="H654" s="10">
        <f>IFERROR(AVERAGE($D$403:$D$654),"")</f>
        <v/>
      </c>
      <c r="I654" s="10" t="n">
        <v>2.514045875890873</v>
      </c>
      <c r="J654" t="inlineStr"/>
      <c r="K654" t="inlineStr"/>
    </row>
    <row r="655">
      <c r="A655" s="7" t="inlineStr">
        <is>
          <t>2016-11-01</t>
        </is>
      </c>
      <c r="B655" s="8">
        <f>IFERROR(VLOOKUP($A655,'01-原始价格'!$A:$M,2,FALSE),"")</f>
        <v/>
      </c>
      <c r="C655" s="8">
        <f>IFERROR(VLOOKUP($A655,'01-原始价格'!$A:$M,8,FALSE),"")</f>
        <v/>
      </c>
      <c r="D655" s="10">
        <f>IFERROR(B655/C655,"")</f>
        <v/>
      </c>
      <c r="E655" s="10">
        <f>IFERROR(C655/B655,"")</f>
        <v/>
      </c>
      <c r="F655" s="11">
        <f>IFERROR((D655/D654-1)*100,"")</f>
        <v/>
      </c>
      <c r="G655" s="11">
        <f>IFERROR((COUNTIF($D$404:$D$655,"&lt;"&amp;D655)+0.5*COUNTIF($D$404:$D$655,D655))/COUNT($D$404:$D$655)*100,"")</f>
        <v/>
      </c>
      <c r="H655" s="10">
        <f>IFERROR(AVERAGE($D$404:$D$655),"")</f>
        <v/>
      </c>
      <c r="I655" s="10" t="n">
        <v>1.655267176014308</v>
      </c>
      <c r="J655" t="inlineStr"/>
      <c r="K655" t="inlineStr"/>
    </row>
    <row r="656">
      <c r="A656" s="7" t="inlineStr">
        <is>
          <t>2016-11-02</t>
        </is>
      </c>
      <c r="B656" s="8">
        <f>IFERROR(VLOOKUP($A656,'01-原始价格'!$A:$M,2,FALSE),"")</f>
        <v/>
      </c>
      <c r="C656" s="8">
        <f>IFERROR(VLOOKUP($A656,'01-原始价格'!$A:$M,8,FALSE),"")</f>
        <v/>
      </c>
      <c r="D656" s="10">
        <f>IFERROR(B656/C656,"")</f>
        <v/>
      </c>
      <c r="E656" s="10">
        <f>IFERROR(C656/B656,"")</f>
        <v/>
      </c>
      <c r="F656" s="11">
        <f>IFERROR((D656/D655-1)*100,"")</f>
        <v/>
      </c>
      <c r="G656" s="11">
        <f>IFERROR((COUNTIF($D$405:$D$656,"&lt;"&amp;D656)+0.5*COUNTIF($D$405:$D$656,D656))/COUNT($D$405:$D$656)*100,"")</f>
        <v/>
      </c>
      <c r="H656" s="10">
        <f>IFERROR(AVERAGE($D$405:$D$656),"")</f>
        <v/>
      </c>
      <c r="I656" s="10" t="n">
        <v>0.9272370881509042</v>
      </c>
      <c r="J656" t="inlineStr"/>
      <c r="K656" t="inlineStr"/>
    </row>
    <row r="657">
      <c r="A657" s="7" t="inlineStr">
        <is>
          <t>2016-11-03</t>
        </is>
      </c>
      <c r="B657" s="8">
        <f>IFERROR(VLOOKUP($A657,'01-原始价格'!$A:$M,2,FALSE),"")</f>
        <v/>
      </c>
      <c r="C657" s="8">
        <f>IFERROR(VLOOKUP($A657,'01-原始价格'!$A:$M,8,FALSE),"")</f>
        <v/>
      </c>
      <c r="D657" s="10">
        <f>IFERROR(B657/C657,"")</f>
        <v/>
      </c>
      <c r="E657" s="10">
        <f>IFERROR(C657/B657,"")</f>
        <v/>
      </c>
      <c r="F657" s="11">
        <f>IFERROR((D657/D656-1)*100,"")</f>
        <v/>
      </c>
      <c r="G657" s="11">
        <f>IFERROR((COUNTIF($D$406:$D$657,"&lt;"&amp;D657)+0.5*COUNTIF($D$406:$D$657,D657))/COUNT($D$406:$D$657)*100,"")</f>
        <v/>
      </c>
      <c r="H657" s="10">
        <f>IFERROR(AVERAGE($D$406:$D$657),"")</f>
        <v/>
      </c>
      <c r="I657" s="10" t="n">
        <v>0.8514666140217506</v>
      </c>
      <c r="J657" t="inlineStr"/>
      <c r="K657" t="inlineStr"/>
    </row>
    <row r="658">
      <c r="A658" s="7" t="inlineStr">
        <is>
          <t>2016-11-04</t>
        </is>
      </c>
      <c r="B658" s="8">
        <f>IFERROR(VLOOKUP($A658,'01-原始价格'!$A:$M,2,FALSE),"")</f>
        <v/>
      </c>
      <c r="C658" s="8">
        <f>IFERROR(VLOOKUP($A658,'01-原始价格'!$A:$M,8,FALSE),"")</f>
        <v/>
      </c>
      <c r="D658" s="10">
        <f>IFERROR(B658/C658,"")</f>
        <v/>
      </c>
      <c r="E658" s="10">
        <f>IFERROR(C658/B658,"")</f>
        <v/>
      </c>
      <c r="F658" s="11">
        <f>IFERROR((D658/D657-1)*100,"")</f>
        <v/>
      </c>
      <c r="G658" s="11">
        <f>IFERROR((COUNTIF($D$407:$D$658,"&lt;"&amp;D658)+0.5*COUNTIF($D$407:$D$658,D658))/COUNT($D$407:$D$658)*100,"")</f>
        <v/>
      </c>
      <c r="H658" s="10">
        <f>IFERROR(AVERAGE($D$407:$D$658),"")</f>
        <v/>
      </c>
      <c r="I658" s="10" t="n">
        <v>0.3539111329095813</v>
      </c>
      <c r="J658" t="inlineStr"/>
      <c r="K658" t="inlineStr"/>
    </row>
    <row r="659">
      <c r="A659" s="7" t="inlineStr">
        <is>
          <t>2016-11-07</t>
        </is>
      </c>
      <c r="B659" s="8">
        <f>IFERROR(VLOOKUP($A659,'01-原始价格'!$A:$M,2,FALSE),"")</f>
        <v/>
      </c>
      <c r="C659" s="8">
        <f>IFERROR(VLOOKUP($A659,'01-原始价格'!$A:$M,8,FALSE),"")</f>
        <v/>
      </c>
      <c r="D659" s="10">
        <f>IFERROR(B659/C659,"")</f>
        <v/>
      </c>
      <c r="E659" s="10">
        <f>IFERROR(C659/B659,"")</f>
        <v/>
      </c>
      <c r="F659" s="11">
        <f>IFERROR((D659/D658-1)*100,"")</f>
        <v/>
      </c>
      <c r="G659" s="11">
        <f>IFERROR((COUNTIF($D$408:$D$659,"&lt;"&amp;D659)+0.5*COUNTIF($D$408:$D$659,D659))/COUNT($D$408:$D$659)*100,"")</f>
        <v/>
      </c>
      <c r="H659" s="10">
        <f>IFERROR(AVERAGE($D$408:$D$659),"")</f>
        <v/>
      </c>
      <c r="I659" s="10" t="n">
        <v>0.6603543741022264</v>
      </c>
      <c r="J659" t="inlineStr"/>
      <c r="K659" t="inlineStr"/>
    </row>
    <row r="660">
      <c r="A660" s="7" t="inlineStr">
        <is>
          <t>2016-11-08</t>
        </is>
      </c>
      <c r="B660" s="8">
        <f>IFERROR(VLOOKUP($A660,'01-原始价格'!$A:$M,2,FALSE),"")</f>
        <v/>
      </c>
      <c r="C660" s="8">
        <f>IFERROR(VLOOKUP($A660,'01-原始价格'!$A:$M,8,FALSE),"")</f>
        <v/>
      </c>
      <c r="D660" s="10">
        <f>IFERROR(B660/C660,"")</f>
        <v/>
      </c>
      <c r="E660" s="10">
        <f>IFERROR(C660/B660,"")</f>
        <v/>
      </c>
      <c r="F660" s="11">
        <f>IFERROR((D660/D659-1)*100,"")</f>
        <v/>
      </c>
      <c r="G660" s="11">
        <f>IFERROR((COUNTIF($D$409:$D$660,"&lt;"&amp;D660)+0.5*COUNTIF($D$409:$D$660,D660))/COUNT($D$409:$D$660)*100,"")</f>
        <v/>
      </c>
      <c r="H660" s="10">
        <f>IFERROR(AVERAGE($D$409:$D$660),"")</f>
        <v/>
      </c>
      <c r="I660" s="10" t="n">
        <v>1.115869863917316</v>
      </c>
      <c r="J660" t="inlineStr"/>
      <c r="K660" t="inlineStr"/>
    </row>
    <row r="661">
      <c r="A661" s="7" t="inlineStr">
        <is>
          <t>2016-11-09</t>
        </is>
      </c>
      <c r="B661" s="8">
        <f>IFERROR(VLOOKUP($A661,'01-原始价格'!$A:$M,2,FALSE),"")</f>
        <v/>
      </c>
      <c r="C661" s="8">
        <f>IFERROR(VLOOKUP($A661,'01-原始价格'!$A:$M,8,FALSE),"")</f>
        <v/>
      </c>
      <c r="D661" s="10">
        <f>IFERROR(B661/C661,"")</f>
        <v/>
      </c>
      <c r="E661" s="10">
        <f>IFERROR(C661/B661,"")</f>
        <v/>
      </c>
      <c r="F661" s="11">
        <f>IFERROR((D661/D660-1)*100,"")</f>
        <v/>
      </c>
      <c r="G661" s="11">
        <f>IFERROR((COUNTIF($D$410:$D$661,"&lt;"&amp;D661)+0.5*COUNTIF($D$410:$D$661,D661))/COUNT($D$410:$D$661)*100,"")</f>
        <v/>
      </c>
      <c r="H661" s="10">
        <f>IFERROR(AVERAGE($D$410:$D$661),"")</f>
        <v/>
      </c>
      <c r="I661" s="10" t="n">
        <v>1.328423749909328</v>
      </c>
      <c r="J661" t="inlineStr"/>
      <c r="K661" t="inlineStr"/>
    </row>
    <row r="662">
      <c r="A662" s="7" t="inlineStr">
        <is>
          <t>2016-11-10</t>
        </is>
      </c>
      <c r="B662" s="8">
        <f>IFERROR(VLOOKUP($A662,'01-原始价格'!$A:$M,2,FALSE),"")</f>
        <v/>
      </c>
      <c r="C662" s="8">
        <f>IFERROR(VLOOKUP($A662,'01-原始价格'!$A:$M,8,FALSE),"")</f>
        <v/>
      </c>
      <c r="D662" s="10">
        <f>IFERROR(B662/C662,"")</f>
        <v/>
      </c>
      <c r="E662" s="10">
        <f>IFERROR(C662/B662,"")</f>
        <v/>
      </c>
      <c r="F662" s="11">
        <f>IFERROR((D662/D661-1)*100,"")</f>
        <v/>
      </c>
      <c r="G662" s="11">
        <f>IFERROR((COUNTIF($D$411:$D$662,"&lt;"&amp;D662)+0.5*COUNTIF($D$411:$D$662,D662))/COUNT($D$411:$D$662)*100,"")</f>
        <v/>
      </c>
      <c r="H662" s="10">
        <f>IFERROR(AVERAGE($D$411:$D$662),"")</f>
        <v/>
      </c>
      <c r="I662" s="10" t="n">
        <v>1.703783174147053</v>
      </c>
      <c r="J662" t="inlineStr"/>
      <c r="K662" t="inlineStr"/>
    </row>
    <row r="663">
      <c r="A663" s="7" t="inlineStr">
        <is>
          <t>2016-11-11</t>
        </is>
      </c>
      <c r="B663" s="8">
        <f>IFERROR(VLOOKUP($A663,'01-原始价格'!$A:$M,2,FALSE),"")</f>
        <v/>
      </c>
      <c r="C663" s="8">
        <f>IFERROR(VLOOKUP($A663,'01-原始价格'!$A:$M,8,FALSE),"")</f>
        <v/>
      </c>
      <c r="D663" s="10">
        <f>IFERROR(B663/C663,"")</f>
        <v/>
      </c>
      <c r="E663" s="10">
        <f>IFERROR(C663/B663,"")</f>
        <v/>
      </c>
      <c r="F663" s="11">
        <f>IFERROR((D663/D662-1)*100,"")</f>
        <v/>
      </c>
      <c r="G663" s="11">
        <f>IFERROR((COUNTIF($D$412:$D$663,"&lt;"&amp;D663)+0.5*COUNTIF($D$412:$D$663,D663))/COUNT($D$412:$D$663)*100,"")</f>
        <v/>
      </c>
      <c r="H663" s="10">
        <f>IFERROR(AVERAGE($D$412:$D$663),"")</f>
        <v/>
      </c>
      <c r="I663" s="10" t="n">
        <v>2.3469684008608</v>
      </c>
      <c r="J663" t="inlineStr"/>
      <c r="K663" t="inlineStr"/>
    </row>
    <row r="664">
      <c r="A664" s="7" t="inlineStr">
        <is>
          <t>2016-11-14</t>
        </is>
      </c>
      <c r="B664" s="8">
        <f>IFERROR(VLOOKUP($A664,'01-原始价格'!$A:$M,2,FALSE),"")</f>
        <v/>
      </c>
      <c r="C664" s="8">
        <f>IFERROR(VLOOKUP($A664,'01-原始价格'!$A:$M,8,FALSE),"")</f>
        <v/>
      </c>
      <c r="D664" s="10">
        <f>IFERROR(B664/C664,"")</f>
        <v/>
      </c>
      <c r="E664" s="10">
        <f>IFERROR(C664/B664,"")</f>
        <v/>
      </c>
      <c r="F664" s="11">
        <f>IFERROR((D664/D663-1)*100,"")</f>
        <v/>
      </c>
      <c r="G664" s="11">
        <f>IFERROR((COUNTIF($D$413:$D$664,"&lt;"&amp;D664)+0.5*COUNTIF($D$413:$D$664,D664))/COUNT($D$413:$D$664)*100,"")</f>
        <v/>
      </c>
      <c r="H664" s="10">
        <f>IFERROR(AVERAGE($D$413:$D$664),"")</f>
        <v/>
      </c>
      <c r="I664" s="10" t="n">
        <v>2.059580776273205</v>
      </c>
      <c r="J664" t="inlineStr"/>
      <c r="K664" t="inlineStr"/>
    </row>
    <row r="665">
      <c r="A665" s="7" t="inlineStr">
        <is>
          <t>2016-11-15</t>
        </is>
      </c>
      <c r="B665" s="8">
        <f>IFERROR(VLOOKUP($A665,'01-原始价格'!$A:$M,2,FALSE),"")</f>
        <v/>
      </c>
      <c r="C665" s="8">
        <f>IFERROR(VLOOKUP($A665,'01-原始价格'!$A:$M,8,FALSE),"")</f>
        <v/>
      </c>
      <c r="D665" s="10">
        <f>IFERROR(B665/C665,"")</f>
        <v/>
      </c>
      <c r="E665" s="10">
        <f>IFERROR(C665/B665,"")</f>
        <v/>
      </c>
      <c r="F665" s="11">
        <f>IFERROR((D665/D664-1)*100,"")</f>
        <v/>
      </c>
      <c r="G665" s="11">
        <f>IFERROR((COUNTIF($D$414:$D$665,"&lt;"&amp;D665)+0.5*COUNTIF($D$414:$D$665,D665))/COUNT($D$414:$D$665)*100,"")</f>
        <v/>
      </c>
      <c r="H665" s="10">
        <f>IFERROR(AVERAGE($D$414:$D$665),"")</f>
        <v/>
      </c>
      <c r="I665" s="10" t="n">
        <v>2.312666799686459</v>
      </c>
      <c r="J665" t="inlineStr"/>
      <c r="K665" t="inlineStr"/>
    </row>
    <row r="666">
      <c r="A666" s="7" t="inlineStr">
        <is>
          <t>2016-11-16</t>
        </is>
      </c>
      <c r="B666" s="8">
        <f>IFERROR(VLOOKUP($A666,'01-原始价格'!$A:$M,2,FALSE),"")</f>
        <v/>
      </c>
      <c r="C666" s="8">
        <f>IFERROR(VLOOKUP($A666,'01-原始价格'!$A:$M,8,FALSE),"")</f>
        <v/>
      </c>
      <c r="D666" s="10">
        <f>IFERROR(B666/C666,"")</f>
        <v/>
      </c>
      <c r="E666" s="10">
        <f>IFERROR(C666/B666,"")</f>
        <v/>
      </c>
      <c r="F666" s="11">
        <f>IFERROR((D666/D665-1)*100,"")</f>
        <v/>
      </c>
      <c r="G666" s="11">
        <f>IFERROR((COUNTIF($D$415:$D$666,"&lt;"&amp;D666)+0.5*COUNTIF($D$415:$D$666,D666))/COUNT($D$415:$D$666)*100,"")</f>
        <v/>
      </c>
      <c r="H666" s="10">
        <f>IFERROR(AVERAGE($D$415:$D$666),"")</f>
        <v/>
      </c>
      <c r="I666" s="10" t="n">
        <v>1.967699910381299</v>
      </c>
      <c r="J666" t="inlineStr"/>
      <c r="K666" t="inlineStr"/>
    </row>
    <row r="667">
      <c r="A667" s="7" t="inlineStr">
        <is>
          <t>2016-11-17</t>
        </is>
      </c>
      <c r="B667" s="8">
        <f>IFERROR(VLOOKUP($A667,'01-原始价格'!$A:$M,2,FALSE),"")</f>
        <v/>
      </c>
      <c r="C667" s="8">
        <f>IFERROR(VLOOKUP($A667,'01-原始价格'!$A:$M,8,FALSE),"")</f>
        <v/>
      </c>
      <c r="D667" s="10">
        <f>IFERROR(B667/C667,"")</f>
        <v/>
      </c>
      <c r="E667" s="10">
        <f>IFERROR(C667/B667,"")</f>
        <v/>
      </c>
      <c r="F667" s="11">
        <f>IFERROR((D667/D666-1)*100,"")</f>
        <v/>
      </c>
      <c r="G667" s="11">
        <f>IFERROR((COUNTIF($D$416:$D$667,"&lt;"&amp;D667)+0.5*COUNTIF($D$416:$D$667,D667))/COUNT($D$416:$D$667)*100,"")</f>
        <v/>
      </c>
      <c r="H667" s="10">
        <f>IFERROR(AVERAGE($D$416:$D$667),"")</f>
        <v/>
      </c>
      <c r="I667" s="10" t="n">
        <v>1.976460011142541</v>
      </c>
      <c r="J667" t="inlineStr"/>
      <c r="K667" t="inlineStr"/>
    </row>
    <row r="668">
      <c r="A668" s="7" t="inlineStr">
        <is>
          <t>2016-11-18</t>
        </is>
      </c>
      <c r="B668" s="8">
        <f>IFERROR(VLOOKUP($A668,'01-原始价格'!$A:$M,2,FALSE),"")</f>
        <v/>
      </c>
      <c r="C668" s="8">
        <f>IFERROR(VLOOKUP($A668,'01-原始价格'!$A:$M,8,FALSE),"")</f>
        <v/>
      </c>
      <c r="D668" s="10">
        <f>IFERROR(B668/C668,"")</f>
        <v/>
      </c>
      <c r="E668" s="10">
        <f>IFERROR(C668/B668,"")</f>
        <v/>
      </c>
      <c r="F668" s="11">
        <f>IFERROR((D668/D667-1)*100,"")</f>
        <v/>
      </c>
      <c r="G668" s="11">
        <f>IFERROR((COUNTIF($D$417:$D$668,"&lt;"&amp;D668)+0.5*COUNTIF($D$417:$D$668,D668))/COUNT($D$417:$D$668)*100,"")</f>
        <v/>
      </c>
      <c r="H668" s="10">
        <f>IFERROR(AVERAGE($D$417:$D$668),"")</f>
        <v/>
      </c>
      <c r="I668" s="10" t="n">
        <v>1.852743578517068</v>
      </c>
      <c r="J668" t="inlineStr"/>
      <c r="K668" t="inlineStr"/>
    </row>
    <row r="669">
      <c r="A669" s="7" t="inlineStr">
        <is>
          <t>2016-11-21</t>
        </is>
      </c>
      <c r="B669" s="8">
        <f>IFERROR(VLOOKUP($A669,'01-原始价格'!$A:$M,2,FALSE),"")</f>
        <v/>
      </c>
      <c r="C669" s="8">
        <f>IFERROR(VLOOKUP($A669,'01-原始价格'!$A:$M,8,FALSE),"")</f>
        <v/>
      </c>
      <c r="D669" s="10">
        <f>IFERROR(B669/C669,"")</f>
        <v/>
      </c>
      <c r="E669" s="10">
        <f>IFERROR(C669/B669,"")</f>
        <v/>
      </c>
      <c r="F669" s="11">
        <f>IFERROR((D669/D668-1)*100,"")</f>
        <v/>
      </c>
      <c r="G669" s="11">
        <f>IFERROR((COUNTIF($D$418:$D$669,"&lt;"&amp;D669)+0.5*COUNTIF($D$418:$D$669,D669))/COUNT($D$418:$D$669)*100,"")</f>
        <v/>
      </c>
      <c r="H669" s="10">
        <f>IFERROR(AVERAGE($D$418:$D$669),"")</f>
        <v/>
      </c>
      <c r="I669" s="10" t="n">
        <v>2.016218488992429</v>
      </c>
      <c r="J669" t="inlineStr"/>
      <c r="K669" t="inlineStr"/>
    </row>
    <row r="670">
      <c r="A670" s="7" t="inlineStr">
        <is>
          <t>2016-11-22</t>
        </is>
      </c>
      <c r="B670" s="8">
        <f>IFERROR(VLOOKUP($A670,'01-原始价格'!$A:$M,2,FALSE),"")</f>
        <v/>
      </c>
      <c r="C670" s="8">
        <f>IFERROR(VLOOKUP($A670,'01-原始价格'!$A:$M,8,FALSE),"")</f>
        <v/>
      </c>
      <c r="D670" s="10">
        <f>IFERROR(B670/C670,"")</f>
        <v/>
      </c>
      <c r="E670" s="10">
        <f>IFERROR(C670/B670,"")</f>
        <v/>
      </c>
      <c r="F670" s="11">
        <f>IFERROR((D670/D669-1)*100,"")</f>
        <v/>
      </c>
      <c r="G670" s="11">
        <f>IFERROR((COUNTIF($D$419:$D$670,"&lt;"&amp;D670)+0.5*COUNTIF($D$419:$D$670,D670))/COUNT($D$419:$D$670)*100,"")</f>
        <v/>
      </c>
      <c r="H670" s="10">
        <f>IFERROR(AVERAGE($D$419:$D$670),"")</f>
        <v/>
      </c>
      <c r="I670" s="10" t="n">
        <v>2.296067695375407</v>
      </c>
      <c r="J670" t="inlineStr"/>
      <c r="K670" t="inlineStr"/>
    </row>
    <row r="671">
      <c r="A671" s="7" t="inlineStr">
        <is>
          <t>2016-11-23</t>
        </is>
      </c>
      <c r="B671" s="8">
        <f>IFERROR(VLOOKUP($A671,'01-原始价格'!$A:$M,2,FALSE),"")</f>
        <v/>
      </c>
      <c r="C671" s="8">
        <f>IFERROR(VLOOKUP($A671,'01-原始价格'!$A:$M,8,FALSE),"")</f>
        <v/>
      </c>
      <c r="D671" s="10">
        <f>IFERROR(B671/C671,"")</f>
        <v/>
      </c>
      <c r="E671" s="10">
        <f>IFERROR(C671/B671,"")</f>
        <v/>
      </c>
      <c r="F671" s="11">
        <f>IFERROR((D671/D670-1)*100,"")</f>
        <v/>
      </c>
      <c r="G671" s="11">
        <f>IFERROR((COUNTIF($D$420:$D$671,"&lt;"&amp;D671)+0.5*COUNTIF($D$420:$D$671,D671))/COUNT($D$420:$D$671)*100,"")</f>
        <v/>
      </c>
      <c r="H671" s="10">
        <f>IFERROR(AVERAGE($D$420:$D$671),"")</f>
        <v/>
      </c>
      <c r="I671" s="10" t="n">
        <v>2.217233628306806</v>
      </c>
      <c r="J671" t="inlineStr"/>
      <c r="K671" t="inlineStr"/>
    </row>
    <row r="672">
      <c r="A672" s="7" t="inlineStr">
        <is>
          <t>2016-11-24</t>
        </is>
      </c>
      <c r="B672" s="8">
        <f>IFERROR(VLOOKUP($A672,'01-原始价格'!$A:$M,2,FALSE),"")</f>
        <v/>
      </c>
      <c r="C672" s="8">
        <f>IFERROR(VLOOKUP($A672,'01-原始价格'!$A:$M,8,FALSE),"")</f>
        <v/>
      </c>
      <c r="D672" s="10">
        <f>IFERROR(B672/C672,"")</f>
        <v/>
      </c>
      <c r="E672" s="10">
        <f>IFERROR(C672/B672,"")</f>
        <v/>
      </c>
      <c r="F672" s="11">
        <f>IFERROR((D672/D671-1)*100,"")</f>
        <v/>
      </c>
      <c r="G672" s="11">
        <f>IFERROR((COUNTIF($D$421:$D$672,"&lt;"&amp;D672)+0.5*COUNTIF($D$421:$D$672,D672))/COUNT($D$421:$D$672)*100,"")</f>
        <v/>
      </c>
      <c r="H672" s="10">
        <f>IFERROR(AVERAGE($D$421:$D$672),"")</f>
        <v/>
      </c>
      <c r="I672" s="10" t="n">
        <v>2.742076165808722</v>
      </c>
      <c r="J672" t="inlineStr"/>
      <c r="K672" t="inlineStr"/>
    </row>
    <row r="673">
      <c r="A673" s="7" t="inlineStr">
        <is>
          <t>2016-11-25</t>
        </is>
      </c>
      <c r="B673" s="8">
        <f>IFERROR(VLOOKUP($A673,'01-原始价格'!$A:$M,2,FALSE),"")</f>
        <v/>
      </c>
      <c r="C673" s="8">
        <f>IFERROR(VLOOKUP($A673,'01-原始价格'!$A:$M,8,FALSE),"")</f>
        <v/>
      </c>
      <c r="D673" s="10">
        <f>IFERROR(B673/C673,"")</f>
        <v/>
      </c>
      <c r="E673" s="10">
        <f>IFERROR(C673/B673,"")</f>
        <v/>
      </c>
      <c r="F673" s="11">
        <f>IFERROR((D673/D672-1)*100,"")</f>
        <v/>
      </c>
      <c r="G673" s="11">
        <f>IFERROR((COUNTIF($D$422:$D$673,"&lt;"&amp;D673)+0.5*COUNTIF($D$422:$D$673,D673))/COUNT($D$422:$D$673)*100,"")</f>
        <v/>
      </c>
      <c r="H673" s="10">
        <f>IFERROR(AVERAGE($D$422:$D$673),"")</f>
        <v/>
      </c>
      <c r="I673" s="10" t="n">
        <v>2.31313788620678</v>
      </c>
      <c r="J673" t="inlineStr"/>
      <c r="K673" t="inlineStr"/>
    </row>
    <row r="674">
      <c r="A674" s="7" t="inlineStr">
        <is>
          <t>2016-11-28</t>
        </is>
      </c>
      <c r="B674" s="8">
        <f>IFERROR(VLOOKUP($A674,'01-原始价格'!$A:$M,2,FALSE),"")</f>
        <v/>
      </c>
      <c r="C674" s="8">
        <f>IFERROR(VLOOKUP($A674,'01-原始价格'!$A:$M,8,FALSE),"")</f>
        <v/>
      </c>
      <c r="D674" s="10">
        <f>IFERROR(B674/C674,"")</f>
        <v/>
      </c>
      <c r="E674" s="10">
        <f>IFERROR(C674/B674,"")</f>
        <v/>
      </c>
      <c r="F674" s="11">
        <f>IFERROR((D674/D673-1)*100,"")</f>
        <v/>
      </c>
      <c r="G674" s="11">
        <f>IFERROR((COUNTIF($D$423:$D$674,"&lt;"&amp;D674)+0.5*COUNTIF($D$423:$D$674,D674))/COUNT($D$423:$D$674)*100,"")</f>
        <v/>
      </c>
      <c r="H674" s="10">
        <f>IFERROR(AVERAGE($D$423:$D$674),"")</f>
        <v/>
      </c>
      <c r="I674" s="10" t="n">
        <v>1.388190276883666</v>
      </c>
      <c r="J674" t="inlineStr"/>
      <c r="K674" t="inlineStr"/>
    </row>
    <row r="675">
      <c r="A675" s="7" t="inlineStr">
        <is>
          <t>2016-11-29</t>
        </is>
      </c>
      <c r="B675" s="8">
        <f>IFERROR(VLOOKUP($A675,'01-原始价格'!$A:$M,2,FALSE),"")</f>
        <v/>
      </c>
      <c r="C675" s="8">
        <f>IFERROR(VLOOKUP($A675,'01-原始价格'!$A:$M,8,FALSE),"")</f>
        <v/>
      </c>
      <c r="D675" s="10">
        <f>IFERROR(B675/C675,"")</f>
        <v/>
      </c>
      <c r="E675" s="10">
        <f>IFERROR(C675/B675,"")</f>
        <v/>
      </c>
      <c r="F675" s="11">
        <f>IFERROR((D675/D674-1)*100,"")</f>
        <v/>
      </c>
      <c r="G675" s="11">
        <f>IFERROR((COUNTIF($D$424:$D$675,"&lt;"&amp;D675)+0.5*COUNTIF($D$424:$D$675,D675))/COUNT($D$424:$D$675)*100,"")</f>
        <v/>
      </c>
      <c r="H675" s="10">
        <f>IFERROR(AVERAGE($D$424:$D$675),"")</f>
        <v/>
      </c>
      <c r="I675" s="10" t="n">
        <v>1.295044036720784</v>
      </c>
      <c r="J675" t="inlineStr"/>
      <c r="K675" t="inlineStr"/>
    </row>
    <row r="676">
      <c r="A676" s="7" t="inlineStr">
        <is>
          <t>2016-11-30</t>
        </is>
      </c>
      <c r="B676" s="8">
        <f>IFERROR(VLOOKUP($A676,'01-原始价格'!$A:$M,2,FALSE),"")</f>
        <v/>
      </c>
      <c r="C676" s="8">
        <f>IFERROR(VLOOKUP($A676,'01-原始价格'!$A:$M,8,FALSE),"")</f>
        <v/>
      </c>
      <c r="D676" s="10">
        <f>IFERROR(B676/C676,"")</f>
        <v/>
      </c>
      <c r="E676" s="10">
        <f>IFERROR(C676/B676,"")</f>
        <v/>
      </c>
      <c r="F676" s="11">
        <f>IFERROR((D676/D675-1)*100,"")</f>
        <v/>
      </c>
      <c r="G676" s="11">
        <f>IFERROR((COUNTIF($D$425:$D$676,"&lt;"&amp;D676)+0.5*COUNTIF($D$425:$D$676,D676))/COUNT($D$425:$D$676)*100,"")</f>
        <v/>
      </c>
      <c r="H676" s="10">
        <f>IFERROR(AVERAGE($D$425:$D$676),"")</f>
        <v/>
      </c>
      <c r="I676" s="10" t="n">
        <v>1.443778274939538</v>
      </c>
      <c r="J676" t="inlineStr"/>
      <c r="K676" t="inlineStr"/>
    </row>
    <row r="677">
      <c r="A677" s="7" t="inlineStr">
        <is>
          <t>2016-12-01</t>
        </is>
      </c>
      <c r="B677" s="8">
        <f>IFERROR(VLOOKUP($A677,'01-原始价格'!$A:$M,2,FALSE),"")</f>
        <v/>
      </c>
      <c r="C677" s="8">
        <f>IFERROR(VLOOKUP($A677,'01-原始价格'!$A:$M,8,FALSE),"")</f>
        <v/>
      </c>
      <c r="D677" s="10">
        <f>IFERROR(B677/C677,"")</f>
        <v/>
      </c>
      <c r="E677" s="10">
        <f>IFERROR(C677/B677,"")</f>
        <v/>
      </c>
      <c r="F677" s="11">
        <f>IFERROR((D677/D676-1)*100,"")</f>
        <v/>
      </c>
      <c r="G677" s="11">
        <f>IFERROR((COUNTIF($D$426:$D$677,"&lt;"&amp;D677)+0.5*COUNTIF($D$426:$D$677,D677))/COUNT($D$426:$D$677)*100,"")</f>
        <v/>
      </c>
      <c r="H677" s="10">
        <f>IFERROR(AVERAGE($D$426:$D$677),"")</f>
        <v/>
      </c>
      <c r="I677" s="10" t="n">
        <v>1.467828462445178</v>
      </c>
      <c r="J677" t="inlineStr"/>
      <c r="K677" t="inlineStr"/>
    </row>
    <row r="678">
      <c r="A678" s="7" t="inlineStr">
        <is>
          <t>2016-12-02</t>
        </is>
      </c>
      <c r="B678" s="8">
        <f>IFERROR(VLOOKUP($A678,'01-原始价格'!$A:$M,2,FALSE),"")</f>
        <v/>
      </c>
      <c r="C678" s="8">
        <f>IFERROR(VLOOKUP($A678,'01-原始价格'!$A:$M,8,FALSE),"")</f>
        <v/>
      </c>
      <c r="D678" s="10">
        <f>IFERROR(B678/C678,"")</f>
        <v/>
      </c>
      <c r="E678" s="10">
        <f>IFERROR(C678/B678,"")</f>
        <v/>
      </c>
      <c r="F678" s="11">
        <f>IFERROR((D678/D677-1)*100,"")</f>
        <v/>
      </c>
      <c r="G678" s="11">
        <f>IFERROR((COUNTIF($D$427:$D$678,"&lt;"&amp;D678)+0.5*COUNTIF($D$427:$D$678,D678))/COUNT($D$427:$D$678)*100,"")</f>
        <v/>
      </c>
      <c r="H678" s="10">
        <f>IFERROR(AVERAGE($D$427:$D$678),"")</f>
        <v/>
      </c>
      <c r="I678" s="10" t="n">
        <v>1.2428234362691</v>
      </c>
      <c r="J678" t="inlineStr"/>
      <c r="K678" t="inlineStr"/>
    </row>
    <row r="679">
      <c r="A679" s="7" t="inlineStr">
        <is>
          <t>2016-12-05</t>
        </is>
      </c>
      <c r="B679" s="8">
        <f>IFERROR(VLOOKUP($A679,'01-原始价格'!$A:$M,2,FALSE),"")</f>
        <v/>
      </c>
      <c r="C679" s="8">
        <f>IFERROR(VLOOKUP($A679,'01-原始价格'!$A:$M,8,FALSE),"")</f>
        <v/>
      </c>
      <c r="D679" s="10">
        <f>IFERROR(B679/C679,"")</f>
        <v/>
      </c>
      <c r="E679" s="10">
        <f>IFERROR(C679/B679,"")</f>
        <v/>
      </c>
      <c r="F679" s="11">
        <f>IFERROR((D679/D678-1)*100,"")</f>
        <v/>
      </c>
      <c r="G679" s="11">
        <f>IFERROR((COUNTIF($D$428:$D$679,"&lt;"&amp;D679)+0.5*COUNTIF($D$428:$D$679,D679))/COUNT($D$428:$D$679)*100,"")</f>
        <v/>
      </c>
      <c r="H679" s="10">
        <f>IFERROR(AVERAGE($D$428:$D$679),"")</f>
        <v/>
      </c>
      <c r="I679" s="10" t="n">
        <v>1.142135089798679</v>
      </c>
      <c r="J679" t="inlineStr"/>
      <c r="K679" t="inlineStr"/>
    </row>
    <row r="680">
      <c r="A680" s="7" t="inlineStr">
        <is>
          <t>2016-12-06</t>
        </is>
      </c>
      <c r="B680" s="8">
        <f>IFERROR(VLOOKUP($A680,'01-原始价格'!$A:$M,2,FALSE),"")</f>
        <v/>
      </c>
      <c r="C680" s="8">
        <f>IFERROR(VLOOKUP($A680,'01-原始价格'!$A:$M,8,FALSE),"")</f>
        <v/>
      </c>
      <c r="D680" s="10">
        <f>IFERROR(B680/C680,"")</f>
        <v/>
      </c>
      <c r="E680" s="10">
        <f>IFERROR(C680/B680,"")</f>
        <v/>
      </c>
      <c r="F680" s="11">
        <f>IFERROR((D680/D679-1)*100,"")</f>
        <v/>
      </c>
      <c r="G680" s="11">
        <f>IFERROR((COUNTIF($D$429:$D$680,"&lt;"&amp;D680)+0.5*COUNTIF($D$429:$D$680,D680))/COUNT($D$429:$D$680)*100,"")</f>
        <v/>
      </c>
      <c r="H680" s="10">
        <f>IFERROR(AVERAGE($D$429:$D$680),"")</f>
        <v/>
      </c>
      <c r="I680" s="10" t="n">
        <v>1.248020463223941</v>
      </c>
      <c r="J680" t="inlineStr"/>
      <c r="K680" t="inlineStr"/>
    </row>
    <row r="681">
      <c r="A681" s="7" t="inlineStr">
        <is>
          <t>2016-12-07</t>
        </is>
      </c>
      <c r="B681" s="8">
        <f>IFERROR(VLOOKUP($A681,'01-原始价格'!$A:$M,2,FALSE),"")</f>
        <v/>
      </c>
      <c r="C681" s="8">
        <f>IFERROR(VLOOKUP($A681,'01-原始价格'!$A:$M,8,FALSE),"")</f>
        <v/>
      </c>
      <c r="D681" s="10">
        <f>IFERROR(B681/C681,"")</f>
        <v/>
      </c>
      <c r="E681" s="10">
        <f>IFERROR(C681/B681,"")</f>
        <v/>
      </c>
      <c r="F681" s="11">
        <f>IFERROR((D681/D680-1)*100,"")</f>
        <v/>
      </c>
      <c r="G681" s="11">
        <f>IFERROR((COUNTIF($D$430:$D$681,"&lt;"&amp;D681)+0.5*COUNTIF($D$430:$D$681,D681))/COUNT($D$430:$D$681)*100,"")</f>
        <v/>
      </c>
      <c r="H681" s="10">
        <f>IFERROR(AVERAGE($D$430:$D$681),"")</f>
        <v/>
      </c>
      <c r="I681" s="10" t="n">
        <v>1.596292123441961</v>
      </c>
      <c r="J681" t="inlineStr"/>
      <c r="K681" t="inlineStr"/>
    </row>
    <row r="682">
      <c r="A682" s="7" t="inlineStr">
        <is>
          <t>2016-12-08</t>
        </is>
      </c>
      <c r="B682" s="8">
        <f>IFERROR(VLOOKUP($A682,'01-原始价格'!$A:$M,2,FALSE),"")</f>
        <v/>
      </c>
      <c r="C682" s="8">
        <f>IFERROR(VLOOKUP($A682,'01-原始价格'!$A:$M,8,FALSE),"")</f>
        <v/>
      </c>
      <c r="D682" s="10">
        <f>IFERROR(B682/C682,"")</f>
        <v/>
      </c>
      <c r="E682" s="10">
        <f>IFERROR(C682/B682,"")</f>
        <v/>
      </c>
      <c r="F682" s="11">
        <f>IFERROR((D682/D681-1)*100,"")</f>
        <v/>
      </c>
      <c r="G682" s="11">
        <f>IFERROR((COUNTIF($D$431:$D$682,"&lt;"&amp;D682)+0.5*COUNTIF($D$431:$D$682,D682))/COUNT($D$431:$D$682)*100,"")</f>
        <v/>
      </c>
      <c r="H682" s="10">
        <f>IFERROR(AVERAGE($D$431:$D$682),"")</f>
        <v/>
      </c>
      <c r="I682" s="10" t="n">
        <v>1.399383001078543</v>
      </c>
      <c r="J682" t="inlineStr"/>
      <c r="K682" t="inlineStr"/>
    </row>
    <row r="683">
      <c r="A683" s="7" t="inlineStr">
        <is>
          <t>2016-12-09</t>
        </is>
      </c>
      <c r="B683" s="8">
        <f>IFERROR(VLOOKUP($A683,'01-原始价格'!$A:$M,2,FALSE),"")</f>
        <v/>
      </c>
      <c r="C683" s="8">
        <f>IFERROR(VLOOKUP($A683,'01-原始价格'!$A:$M,8,FALSE),"")</f>
        <v/>
      </c>
      <c r="D683" s="10">
        <f>IFERROR(B683/C683,"")</f>
        <v/>
      </c>
      <c r="E683" s="10">
        <f>IFERROR(C683/B683,"")</f>
        <v/>
      </c>
      <c r="F683" s="11">
        <f>IFERROR((D683/D682-1)*100,"")</f>
        <v/>
      </c>
      <c r="G683" s="11">
        <f>IFERROR((COUNTIF($D$432:$D$683,"&lt;"&amp;D683)+0.5*COUNTIF($D$432:$D$683,D683))/COUNT($D$432:$D$683)*100,"")</f>
        <v/>
      </c>
      <c r="H683" s="10">
        <f>IFERROR(AVERAGE($D$432:$D$683),"")</f>
        <v/>
      </c>
      <c r="I683" s="10" t="n">
        <v>1.417587060305626</v>
      </c>
      <c r="J683" t="inlineStr"/>
      <c r="K683" t="inlineStr"/>
    </row>
    <row r="684">
      <c r="A684" s="7" t="inlineStr">
        <is>
          <t>2016-12-12</t>
        </is>
      </c>
      <c r="B684" s="8">
        <f>IFERROR(VLOOKUP($A684,'01-原始价格'!$A:$M,2,FALSE),"")</f>
        <v/>
      </c>
      <c r="C684" s="8">
        <f>IFERROR(VLOOKUP($A684,'01-原始价格'!$A:$M,8,FALSE),"")</f>
        <v/>
      </c>
      <c r="D684" s="10">
        <f>IFERROR(B684/C684,"")</f>
        <v/>
      </c>
      <c r="E684" s="10">
        <f>IFERROR(C684/B684,"")</f>
        <v/>
      </c>
      <c r="F684" s="11">
        <f>IFERROR((D684/D683-1)*100,"")</f>
        <v/>
      </c>
      <c r="G684" s="11">
        <f>IFERROR((COUNTIF($D$433:$D$684,"&lt;"&amp;D684)+0.5*COUNTIF($D$433:$D$684,D684))/COUNT($D$433:$D$684)*100,"")</f>
        <v/>
      </c>
      <c r="H684" s="10">
        <f>IFERROR(AVERAGE($D$433:$D$684),"")</f>
        <v/>
      </c>
      <c r="I684" s="10" t="n">
        <v>1.564733114774567</v>
      </c>
      <c r="J684" t="inlineStr"/>
      <c r="K684" t="inlineStr"/>
    </row>
    <row r="685">
      <c r="A685" s="7" t="inlineStr">
        <is>
          <t>2016-12-13</t>
        </is>
      </c>
      <c r="B685" s="8">
        <f>IFERROR(VLOOKUP($A685,'01-原始价格'!$A:$M,2,FALSE),"")</f>
        <v/>
      </c>
      <c r="C685" s="8">
        <f>IFERROR(VLOOKUP($A685,'01-原始价格'!$A:$M,8,FALSE),"")</f>
        <v/>
      </c>
      <c r="D685" s="10">
        <f>IFERROR(B685/C685,"")</f>
        <v/>
      </c>
      <c r="E685" s="10">
        <f>IFERROR(C685/B685,"")</f>
        <v/>
      </c>
      <c r="F685" s="11">
        <f>IFERROR((D685/D684-1)*100,"")</f>
        <v/>
      </c>
      <c r="G685" s="11">
        <f>IFERROR((COUNTIF($D$434:$D$685,"&lt;"&amp;D685)+0.5*COUNTIF($D$434:$D$685,D685))/COUNT($D$434:$D$685)*100,"")</f>
        <v/>
      </c>
      <c r="H685" s="10">
        <f>IFERROR(AVERAGE($D$434:$D$685),"")</f>
        <v/>
      </c>
      <c r="I685" s="10" t="n">
        <v>1.615738494111066</v>
      </c>
      <c r="J685" t="inlineStr"/>
      <c r="K685" t="inlineStr"/>
    </row>
    <row r="686">
      <c r="A686" s="7" t="inlineStr">
        <is>
          <t>2016-12-14</t>
        </is>
      </c>
      <c r="B686" s="8">
        <f>IFERROR(VLOOKUP($A686,'01-原始价格'!$A:$M,2,FALSE),"")</f>
        <v/>
      </c>
      <c r="C686" s="8">
        <f>IFERROR(VLOOKUP($A686,'01-原始价格'!$A:$M,8,FALSE),"")</f>
        <v/>
      </c>
      <c r="D686" s="10">
        <f>IFERROR(B686/C686,"")</f>
        <v/>
      </c>
      <c r="E686" s="10">
        <f>IFERROR(C686/B686,"")</f>
        <v/>
      </c>
      <c r="F686" s="11">
        <f>IFERROR((D686/D685-1)*100,"")</f>
        <v/>
      </c>
      <c r="G686" s="11">
        <f>IFERROR((COUNTIF($D$435:$D$686,"&lt;"&amp;D686)+0.5*COUNTIF($D$435:$D$686,D686))/COUNT($D$435:$D$686)*100,"")</f>
        <v/>
      </c>
      <c r="H686" s="10">
        <f>IFERROR(AVERAGE($D$435:$D$686),"")</f>
        <v/>
      </c>
      <c r="I686" s="10" t="n">
        <v>1.985662481998325</v>
      </c>
      <c r="J686" t="inlineStr"/>
      <c r="K686" t="inlineStr"/>
    </row>
    <row r="687">
      <c r="A687" s="7" t="inlineStr">
        <is>
          <t>2016-12-15</t>
        </is>
      </c>
      <c r="B687" s="8">
        <f>IFERROR(VLOOKUP($A687,'01-原始价格'!$A:$M,2,FALSE),"")</f>
        <v/>
      </c>
      <c r="C687" s="8">
        <f>IFERROR(VLOOKUP($A687,'01-原始价格'!$A:$M,8,FALSE),"")</f>
        <v/>
      </c>
      <c r="D687" s="10">
        <f>IFERROR(B687/C687,"")</f>
        <v/>
      </c>
      <c r="E687" s="10">
        <f>IFERROR(C687/B687,"")</f>
        <v/>
      </c>
      <c r="F687" s="11">
        <f>IFERROR((D687/D686-1)*100,"")</f>
        <v/>
      </c>
      <c r="G687" s="11">
        <f>IFERROR((COUNTIF($D$436:$D$687,"&lt;"&amp;D687)+0.5*COUNTIF($D$436:$D$687,D687))/COUNT($D$436:$D$687)*100,"")</f>
        <v/>
      </c>
      <c r="H687" s="10">
        <f>IFERROR(AVERAGE($D$436:$D$687),"")</f>
        <v/>
      </c>
      <c r="I687" s="10" t="n">
        <v>1.959654747678759</v>
      </c>
      <c r="J687" t="inlineStr"/>
      <c r="K687" t="inlineStr"/>
    </row>
    <row r="688">
      <c r="A688" s="7" t="inlineStr">
        <is>
          <t>2016-12-16</t>
        </is>
      </c>
      <c r="B688" s="8">
        <f>IFERROR(VLOOKUP($A688,'01-原始价格'!$A:$M,2,FALSE),"")</f>
        <v/>
      </c>
      <c r="C688" s="8">
        <f>IFERROR(VLOOKUP($A688,'01-原始价格'!$A:$M,8,FALSE),"")</f>
        <v/>
      </c>
      <c r="D688" s="10">
        <f>IFERROR(B688/C688,"")</f>
        <v/>
      </c>
      <c r="E688" s="10">
        <f>IFERROR(C688/B688,"")</f>
        <v/>
      </c>
      <c r="F688" s="11">
        <f>IFERROR((D688/D687-1)*100,"")</f>
        <v/>
      </c>
      <c r="G688" s="11">
        <f>IFERROR((COUNTIF($D$437:$D$688,"&lt;"&amp;D688)+0.5*COUNTIF($D$437:$D$688,D688))/COUNT($D$437:$D$688)*100,"")</f>
        <v/>
      </c>
      <c r="H688" s="10">
        <f>IFERROR(AVERAGE($D$437:$D$688),"")</f>
        <v/>
      </c>
      <c r="I688" s="10" t="n">
        <v>1.878193591123288</v>
      </c>
      <c r="J688" t="inlineStr"/>
      <c r="K688" t="inlineStr"/>
    </row>
    <row r="689">
      <c r="A689" s="7" t="inlineStr">
        <is>
          <t>2016-12-19</t>
        </is>
      </c>
      <c r="B689" s="8">
        <f>IFERROR(VLOOKUP($A689,'01-原始价格'!$A:$M,2,FALSE),"")</f>
        <v/>
      </c>
      <c r="C689" s="8">
        <f>IFERROR(VLOOKUP($A689,'01-原始价格'!$A:$M,8,FALSE),"")</f>
        <v/>
      </c>
      <c r="D689" s="10">
        <f>IFERROR(B689/C689,"")</f>
        <v/>
      </c>
      <c r="E689" s="10">
        <f>IFERROR(C689/B689,"")</f>
        <v/>
      </c>
      <c r="F689" s="11">
        <f>IFERROR((D689/D688-1)*100,"")</f>
        <v/>
      </c>
      <c r="G689" s="11">
        <f>IFERROR((COUNTIF($D$438:$D$689,"&lt;"&amp;D689)+0.5*COUNTIF($D$438:$D$689,D689))/COUNT($D$438:$D$689)*100,"")</f>
        <v/>
      </c>
      <c r="H689" s="10">
        <f>IFERROR(AVERAGE($D$438:$D$689),"")</f>
        <v/>
      </c>
      <c r="I689" s="10" t="n">
        <v>1.125902342070758</v>
      </c>
      <c r="J689" t="inlineStr"/>
      <c r="K689" t="inlineStr"/>
    </row>
    <row r="690">
      <c r="A690" s="7" t="inlineStr">
        <is>
          <t>2016-12-20</t>
        </is>
      </c>
      <c r="B690" s="8">
        <f>IFERROR(VLOOKUP($A690,'01-原始价格'!$A:$M,2,FALSE),"")</f>
        <v/>
      </c>
      <c r="C690" s="8">
        <f>IFERROR(VLOOKUP($A690,'01-原始价格'!$A:$M,8,FALSE),"")</f>
        <v/>
      </c>
      <c r="D690" s="10">
        <f>IFERROR(B690/C690,"")</f>
        <v/>
      </c>
      <c r="E690" s="10">
        <f>IFERROR(C690/B690,"")</f>
        <v/>
      </c>
      <c r="F690" s="11">
        <f>IFERROR((D690/D689-1)*100,"")</f>
        <v/>
      </c>
      <c r="G690" s="11">
        <f>IFERROR((COUNTIF($D$439:$D$690,"&lt;"&amp;D690)+0.5*COUNTIF($D$439:$D$690,D690))/COUNT($D$439:$D$690)*100,"")</f>
        <v/>
      </c>
      <c r="H690" s="10">
        <f>IFERROR(AVERAGE($D$439:$D$690),"")</f>
        <v/>
      </c>
      <c r="I690" s="10" t="n">
        <v>0.8779003161404743</v>
      </c>
      <c r="J690" t="inlineStr"/>
      <c r="K690" t="inlineStr"/>
    </row>
    <row r="691">
      <c r="A691" s="7" t="inlineStr">
        <is>
          <t>2016-12-21</t>
        </is>
      </c>
      <c r="B691" s="8">
        <f>IFERROR(VLOOKUP($A691,'01-原始价格'!$A:$M,2,FALSE),"")</f>
        <v/>
      </c>
      <c r="C691" s="8">
        <f>IFERROR(VLOOKUP($A691,'01-原始价格'!$A:$M,8,FALSE),"")</f>
        <v/>
      </c>
      <c r="D691" s="10">
        <f>IFERROR(B691/C691,"")</f>
        <v/>
      </c>
      <c r="E691" s="10">
        <f>IFERROR(C691/B691,"")</f>
        <v/>
      </c>
      <c r="F691" s="11">
        <f>IFERROR((D691/D690-1)*100,"")</f>
        <v/>
      </c>
      <c r="G691" s="11">
        <f>IFERROR((COUNTIF($D$440:$D$691,"&lt;"&amp;D691)+0.5*COUNTIF($D$440:$D$691,D691))/COUNT($D$440:$D$691)*100,"")</f>
        <v/>
      </c>
      <c r="H691" s="10">
        <f>IFERROR(AVERAGE($D$440:$D$691),"")</f>
        <v/>
      </c>
      <c r="I691" s="10" t="n">
        <v>0.8737511087015241</v>
      </c>
      <c r="J691" t="inlineStr"/>
      <c r="K691" t="inlineStr"/>
    </row>
    <row r="692">
      <c r="A692" s="7" t="inlineStr">
        <is>
          <t>2016-12-22</t>
        </is>
      </c>
      <c r="B692" s="8">
        <f>IFERROR(VLOOKUP($A692,'01-原始价格'!$A:$M,2,FALSE),"")</f>
        <v/>
      </c>
      <c r="C692" s="8">
        <f>IFERROR(VLOOKUP($A692,'01-原始价格'!$A:$M,8,FALSE),"")</f>
        <v/>
      </c>
      <c r="D692" s="10">
        <f>IFERROR(B692/C692,"")</f>
        <v/>
      </c>
      <c r="E692" s="10">
        <f>IFERROR(C692/B692,"")</f>
        <v/>
      </c>
      <c r="F692" s="11">
        <f>IFERROR((D692/D691-1)*100,"")</f>
        <v/>
      </c>
      <c r="G692" s="11">
        <f>IFERROR((COUNTIF($D$441:$D$692,"&lt;"&amp;D692)+0.5*COUNTIF($D$441:$D$692,D692))/COUNT($D$441:$D$692)*100,"")</f>
        <v/>
      </c>
      <c r="H692" s="10">
        <f>IFERROR(AVERAGE($D$441:$D$692),"")</f>
        <v/>
      </c>
      <c r="I692" s="10" t="n">
        <v>0.5392952866218276</v>
      </c>
      <c r="J692" t="inlineStr"/>
      <c r="K692" t="inlineStr"/>
    </row>
    <row r="693">
      <c r="A693" s="7" t="inlineStr">
        <is>
          <t>2016-12-23</t>
        </is>
      </c>
      <c r="B693" s="8">
        <f>IFERROR(VLOOKUP($A693,'01-原始价格'!$A:$M,2,FALSE),"")</f>
        <v/>
      </c>
      <c r="C693" s="8">
        <f>IFERROR(VLOOKUP($A693,'01-原始价格'!$A:$M,8,FALSE),"")</f>
        <v/>
      </c>
      <c r="D693" s="10">
        <f>IFERROR(B693/C693,"")</f>
        <v/>
      </c>
      <c r="E693" s="10">
        <f>IFERROR(C693/B693,"")</f>
        <v/>
      </c>
      <c r="F693" s="11">
        <f>IFERROR((D693/D692-1)*100,"")</f>
        <v/>
      </c>
      <c r="G693" s="11">
        <f>IFERROR((COUNTIF($D$442:$D$693,"&lt;"&amp;D693)+0.5*COUNTIF($D$442:$D$693,D693))/COUNT($D$442:$D$693)*100,"")</f>
        <v/>
      </c>
      <c r="H693" s="10">
        <f>IFERROR(AVERAGE($D$442:$D$693),"")</f>
        <v/>
      </c>
      <c r="I693" s="10" t="n">
        <v>0.4072952865664705</v>
      </c>
      <c r="J693" t="inlineStr"/>
      <c r="K693" t="inlineStr"/>
    </row>
    <row r="694">
      <c r="A694" s="7" t="inlineStr">
        <is>
          <t>2016-12-26</t>
        </is>
      </c>
      <c r="B694" s="8">
        <f>IFERROR(VLOOKUP($A694,'01-原始价格'!$A:$M,2,FALSE),"")</f>
        <v/>
      </c>
      <c r="C694" s="8">
        <f>IFERROR(VLOOKUP($A694,'01-原始价格'!$A:$M,8,FALSE),"")</f>
        <v/>
      </c>
      <c r="D694" s="10">
        <f>IFERROR(B694/C694,"")</f>
        <v/>
      </c>
      <c r="E694" s="10">
        <f>IFERROR(C694/B694,"")</f>
        <v/>
      </c>
      <c r="F694" s="11">
        <f>IFERROR((D694/D693-1)*100,"")</f>
        <v/>
      </c>
      <c r="G694" s="11">
        <f>IFERROR((COUNTIF($D$443:$D$694,"&lt;"&amp;D694)+0.5*COUNTIF($D$443:$D$694,D694))/COUNT($D$443:$D$694)*100,"")</f>
        <v/>
      </c>
      <c r="H694" s="10">
        <f>IFERROR(AVERAGE($D$443:$D$694),"")</f>
        <v/>
      </c>
      <c r="I694" s="10" t="n">
        <v>0.4085726158242114</v>
      </c>
      <c r="J694" t="inlineStr"/>
      <c r="K694" t="inlineStr"/>
    </row>
    <row r="695">
      <c r="A695" s="7" t="inlineStr">
        <is>
          <t>2016-12-27</t>
        </is>
      </c>
      <c r="B695" s="8">
        <f>IFERROR(VLOOKUP($A695,'01-原始价格'!$A:$M,2,FALSE),"")</f>
        <v/>
      </c>
      <c r="C695" s="8">
        <f>IFERROR(VLOOKUP($A695,'01-原始价格'!$A:$M,8,FALSE),"")</f>
        <v/>
      </c>
      <c r="D695" s="10">
        <f>IFERROR(B695/C695,"")</f>
        <v/>
      </c>
      <c r="E695" s="10">
        <f>IFERROR(C695/B695,"")</f>
        <v/>
      </c>
      <c r="F695" s="11">
        <f>IFERROR((D695/D694-1)*100,"")</f>
        <v/>
      </c>
      <c r="G695" s="11">
        <f>IFERROR((COUNTIF($D$444:$D$695,"&lt;"&amp;D695)+0.5*COUNTIF($D$444:$D$695,D695))/COUNT($D$444:$D$695)*100,"")</f>
        <v/>
      </c>
      <c r="H695" s="10">
        <f>IFERROR(AVERAGE($D$444:$D$695),"")</f>
        <v/>
      </c>
      <c r="I695" s="10" t="n">
        <v>0.3943107372563014</v>
      </c>
      <c r="J695" t="inlineStr"/>
      <c r="K695" t="inlineStr"/>
    </row>
    <row r="696">
      <c r="A696" s="7" t="inlineStr">
        <is>
          <t>2016-12-28</t>
        </is>
      </c>
      <c r="B696" s="8">
        <f>IFERROR(VLOOKUP($A696,'01-原始价格'!$A:$M,2,FALSE),"")</f>
        <v/>
      </c>
      <c r="C696" s="8">
        <f>IFERROR(VLOOKUP($A696,'01-原始价格'!$A:$M,8,FALSE),"")</f>
        <v/>
      </c>
      <c r="D696" s="10">
        <f>IFERROR(B696/C696,"")</f>
        <v/>
      </c>
      <c r="E696" s="10">
        <f>IFERROR(C696/B696,"")</f>
        <v/>
      </c>
      <c r="F696" s="11">
        <f>IFERROR((D696/D695-1)*100,"")</f>
        <v/>
      </c>
      <c r="G696" s="11">
        <f>IFERROR((COUNTIF($D$445:$D$696,"&lt;"&amp;D696)+0.5*COUNTIF($D$445:$D$696,D696))/COUNT($D$445:$D$696)*100,"")</f>
        <v/>
      </c>
      <c r="H696" s="10">
        <f>IFERROR(AVERAGE($D$445:$D$696),"")</f>
        <v/>
      </c>
      <c r="I696" s="10" t="n">
        <v>0.5049663199413047</v>
      </c>
      <c r="J696" t="inlineStr"/>
      <c r="K696" t="inlineStr"/>
    </row>
    <row r="697">
      <c r="A697" s="7" t="inlineStr">
        <is>
          <t>2016-12-29</t>
        </is>
      </c>
      <c r="B697" s="8">
        <f>IFERROR(VLOOKUP($A697,'01-原始价格'!$A:$M,2,FALSE),"")</f>
        <v/>
      </c>
      <c r="C697" s="8">
        <f>IFERROR(VLOOKUP($A697,'01-原始价格'!$A:$M,8,FALSE),"")</f>
        <v/>
      </c>
      <c r="D697" s="10">
        <f>IFERROR(B697/C697,"")</f>
        <v/>
      </c>
      <c r="E697" s="10">
        <f>IFERROR(C697/B697,"")</f>
        <v/>
      </c>
      <c r="F697" s="11">
        <f>IFERROR((D697/D696-1)*100,"")</f>
        <v/>
      </c>
      <c r="G697" s="11">
        <f>IFERROR((COUNTIF($D$446:$D$697,"&lt;"&amp;D697)+0.5*COUNTIF($D$446:$D$697,D697))/COUNT($D$446:$D$697)*100,"")</f>
        <v/>
      </c>
      <c r="H697" s="10">
        <f>IFERROR(AVERAGE($D$446:$D$697),"")</f>
        <v/>
      </c>
      <c r="I697" s="10" t="n">
        <v>0.4181789105985003</v>
      </c>
      <c r="J697" t="inlineStr"/>
      <c r="K697" t="inlineStr"/>
    </row>
    <row r="698">
      <c r="A698" s="7" t="inlineStr">
        <is>
          <t>2016-12-30</t>
        </is>
      </c>
      <c r="B698" s="8">
        <f>IFERROR(VLOOKUP($A698,'01-原始价格'!$A:$M,2,FALSE),"")</f>
        <v/>
      </c>
      <c r="C698" s="8">
        <f>IFERROR(VLOOKUP($A698,'01-原始价格'!$A:$M,8,FALSE),"")</f>
        <v/>
      </c>
      <c r="D698" s="10">
        <f>IFERROR(B698/C698,"")</f>
        <v/>
      </c>
      <c r="E698" s="10">
        <f>IFERROR(C698/B698,"")</f>
        <v/>
      </c>
      <c r="F698" s="11">
        <f>IFERROR((D698/D697-1)*100,"")</f>
        <v/>
      </c>
      <c r="G698" s="11">
        <f>IFERROR((COUNTIF($D$447:$D$698,"&lt;"&amp;D698)+0.5*COUNTIF($D$447:$D$698,D698))/COUNT($D$447:$D$698)*100,"")</f>
        <v/>
      </c>
      <c r="H698" s="10">
        <f>IFERROR(AVERAGE($D$447:$D$698),"")</f>
        <v/>
      </c>
      <c r="I698" s="10" t="n">
        <v>0.2318409123051919</v>
      </c>
      <c r="J698" t="inlineStr"/>
      <c r="K698" t="inlineStr"/>
    </row>
    <row r="699">
      <c r="A699" s="7" t="inlineStr">
        <is>
          <t>2017-01-02</t>
        </is>
      </c>
      <c r="B699" s="8">
        <f>IFERROR(VLOOKUP($A699,'01-原始价格'!$A:$M,2,FALSE),"")</f>
        <v/>
      </c>
      <c r="C699" s="8">
        <f>IFERROR(VLOOKUP($A699,'01-原始价格'!$A:$M,8,FALSE),"")</f>
        <v/>
      </c>
      <c r="D699" s="10">
        <f>IFERROR(B699/C699,"")</f>
        <v/>
      </c>
      <c r="E699" s="10">
        <f>IFERROR(C699/B699,"")</f>
        <v/>
      </c>
      <c r="F699" s="11">
        <f>IFERROR((D699/D698-1)*100,"")</f>
        <v/>
      </c>
      <c r="G699" s="11">
        <f>IFERROR((COUNTIF($D$448:$D$699,"&lt;"&amp;D699)+0.5*COUNTIF($D$448:$D$699,D699))/COUNT($D$448:$D$699)*100,"")</f>
        <v/>
      </c>
      <c r="H699" s="10">
        <f>IFERROR(AVERAGE($D$448:$D$699),"")</f>
        <v/>
      </c>
      <c r="I699" s="10" t="n">
        <v>0.3197085401441958</v>
      </c>
      <c r="J699" t="inlineStr"/>
      <c r="K699" t="inlineStr"/>
    </row>
    <row r="700">
      <c r="A700" s="7" t="inlineStr">
        <is>
          <t>2017-01-03</t>
        </is>
      </c>
      <c r="B700" s="8">
        <f>IFERROR(VLOOKUP($A700,'01-原始价格'!$A:$M,2,FALSE),"")</f>
        <v/>
      </c>
      <c r="C700" s="8">
        <f>IFERROR(VLOOKUP($A700,'01-原始价格'!$A:$M,8,FALSE),"")</f>
        <v/>
      </c>
      <c r="D700" s="10">
        <f>IFERROR(B700/C700,"")</f>
        <v/>
      </c>
      <c r="E700" s="10">
        <f>IFERROR(C700/B700,"")</f>
        <v/>
      </c>
      <c r="F700" s="11">
        <f>IFERROR((D700/D699-1)*100,"")</f>
        <v/>
      </c>
      <c r="G700" s="11">
        <f>IFERROR((COUNTIF($D$449:$D$700,"&lt;"&amp;D700)+0.5*COUNTIF($D$449:$D$700,D700))/COUNT($D$449:$D$700)*100,"")</f>
        <v/>
      </c>
      <c r="H700" s="10">
        <f>IFERROR(AVERAGE($D$449:$D$700),"")</f>
        <v/>
      </c>
      <c r="I700" s="10" t="n">
        <v>0.09462315025818779</v>
      </c>
      <c r="J700" t="inlineStr"/>
      <c r="K700" t="inlineStr"/>
    </row>
    <row r="701">
      <c r="A701" s="7" t="inlineStr">
        <is>
          <t>2017-01-04</t>
        </is>
      </c>
      <c r="B701" s="8">
        <f>IFERROR(VLOOKUP($A701,'01-原始价格'!$A:$M,2,FALSE),"")</f>
        <v/>
      </c>
      <c r="C701" s="8">
        <f>IFERROR(VLOOKUP($A701,'01-原始价格'!$A:$M,8,FALSE),"")</f>
        <v/>
      </c>
      <c r="D701" s="10">
        <f>IFERROR(B701/C701,"")</f>
        <v/>
      </c>
      <c r="E701" s="10">
        <f>IFERROR(C701/B701,"")</f>
        <v/>
      </c>
      <c r="F701" s="11">
        <f>IFERROR((D701/D700-1)*100,"")</f>
        <v/>
      </c>
      <c r="G701" s="11">
        <f>IFERROR((COUNTIF($D$450:$D$701,"&lt;"&amp;D701)+0.5*COUNTIF($D$450:$D$701,D701))/COUNT($D$450:$D$701)*100,"")</f>
        <v/>
      </c>
      <c r="H701" s="10">
        <f>IFERROR(AVERAGE($D$450:$D$701),"")</f>
        <v/>
      </c>
      <c r="I701" s="10" t="n">
        <v>0.05358802991699551</v>
      </c>
      <c r="J701" t="inlineStr"/>
      <c r="K701" t="inlineStr"/>
    </row>
    <row r="702">
      <c r="A702" s="7" t="inlineStr">
        <is>
          <t>2017-01-05</t>
        </is>
      </c>
      <c r="B702" s="8">
        <f>IFERROR(VLOOKUP($A702,'01-原始价格'!$A:$M,2,FALSE),"")</f>
        <v/>
      </c>
      <c r="C702" s="8">
        <f>IFERROR(VLOOKUP($A702,'01-原始价格'!$A:$M,8,FALSE),"")</f>
        <v/>
      </c>
      <c r="D702" s="10">
        <f>IFERROR(B702/C702,"")</f>
        <v/>
      </c>
      <c r="E702" s="10">
        <f>IFERROR(C702/B702,"")</f>
        <v/>
      </c>
      <c r="F702" s="11">
        <f>IFERROR((D702/D701-1)*100,"")</f>
        <v/>
      </c>
      <c r="G702" s="11">
        <f>IFERROR((COUNTIF($D$451:$D$702,"&lt;"&amp;D702)+0.5*COUNTIF($D$451:$D$702,D702))/COUNT($D$451:$D$702)*100,"")</f>
        <v/>
      </c>
      <c r="H702" s="10">
        <f>IFERROR(AVERAGE($D$451:$D$702),"")</f>
        <v/>
      </c>
      <c r="I702" s="10" t="n">
        <v>0.08051307247592822</v>
      </c>
      <c r="J702" t="inlineStr"/>
      <c r="K702" t="inlineStr"/>
    </row>
    <row r="703">
      <c r="A703" s="7" t="inlineStr">
        <is>
          <t>2017-01-06</t>
        </is>
      </c>
      <c r="B703" s="8">
        <f>IFERROR(VLOOKUP($A703,'01-原始价格'!$A:$M,2,FALSE),"")</f>
        <v/>
      </c>
      <c r="C703" s="8">
        <f>IFERROR(VLOOKUP($A703,'01-原始价格'!$A:$M,8,FALSE),"")</f>
        <v/>
      </c>
      <c r="D703" s="10">
        <f>IFERROR(B703/C703,"")</f>
        <v/>
      </c>
      <c r="E703" s="10">
        <f>IFERROR(C703/B703,"")</f>
        <v/>
      </c>
      <c r="F703" s="11">
        <f>IFERROR((D703/D702-1)*100,"")</f>
        <v/>
      </c>
      <c r="G703" s="11">
        <f>IFERROR((COUNTIF($D$452:$D$703,"&lt;"&amp;D703)+0.5*COUNTIF($D$452:$D$703,D703))/COUNT($D$452:$D$703)*100,"")</f>
        <v/>
      </c>
      <c r="H703" s="10">
        <f>IFERROR(AVERAGE($D$452:$D$703),"")</f>
        <v/>
      </c>
      <c r="I703" s="10" t="n">
        <v>0.1513283748460028</v>
      </c>
      <c r="J703" t="inlineStr"/>
      <c r="K703" t="inlineStr"/>
    </row>
    <row r="704">
      <c r="A704" s="7" t="inlineStr">
        <is>
          <t>2017-01-09</t>
        </is>
      </c>
      <c r="B704" s="8">
        <f>IFERROR(VLOOKUP($A704,'01-原始价格'!$A:$M,2,FALSE),"")</f>
        <v/>
      </c>
      <c r="C704" s="8">
        <f>IFERROR(VLOOKUP($A704,'01-原始价格'!$A:$M,8,FALSE),"")</f>
        <v/>
      </c>
      <c r="D704" s="10">
        <f>IFERROR(B704/C704,"")</f>
        <v/>
      </c>
      <c r="E704" s="10">
        <f>IFERROR(C704/B704,"")</f>
        <v/>
      </c>
      <c r="F704" s="11">
        <f>IFERROR((D704/D703-1)*100,"")</f>
        <v/>
      </c>
      <c r="G704" s="11">
        <f>IFERROR((COUNTIF($D$453:$D$704,"&lt;"&amp;D704)+0.5*COUNTIF($D$453:$D$704,D704))/COUNT($D$453:$D$704)*100,"")</f>
        <v/>
      </c>
      <c r="H704" s="10">
        <f>IFERROR(AVERAGE($D$453:$D$704),"")</f>
        <v/>
      </c>
      <c r="I704" s="10" t="n">
        <v>0.09631215390103394</v>
      </c>
      <c r="J704" t="inlineStr"/>
      <c r="K704" t="inlineStr"/>
    </row>
    <row r="705">
      <c r="A705" s="7" t="inlineStr">
        <is>
          <t>2017-01-10</t>
        </is>
      </c>
      <c r="B705" s="8">
        <f>IFERROR(VLOOKUP($A705,'01-原始价格'!$A:$M,2,FALSE),"")</f>
        <v/>
      </c>
      <c r="C705" s="8">
        <f>IFERROR(VLOOKUP($A705,'01-原始价格'!$A:$M,8,FALSE),"")</f>
        <v/>
      </c>
      <c r="D705" s="10">
        <f>IFERROR(B705/C705,"")</f>
        <v/>
      </c>
      <c r="E705" s="10">
        <f>IFERROR(C705/B705,"")</f>
        <v/>
      </c>
      <c r="F705" s="11">
        <f>IFERROR((D705/D704-1)*100,"")</f>
        <v/>
      </c>
      <c r="G705" s="11">
        <f>IFERROR((COUNTIF($D$454:$D$705,"&lt;"&amp;D705)+0.5*COUNTIF($D$454:$D$705,D705))/COUNT($D$454:$D$705)*100,"")</f>
        <v/>
      </c>
      <c r="H705" s="10">
        <f>IFERROR(AVERAGE($D$454:$D$705),"")</f>
        <v/>
      </c>
      <c r="I705" s="10" t="n">
        <v>-0.0944873143790219</v>
      </c>
      <c r="J705" t="inlineStr"/>
      <c r="K705" t="inlineStr"/>
    </row>
    <row r="706">
      <c r="A706" s="7" t="inlineStr">
        <is>
          <t>2017-01-11</t>
        </is>
      </c>
      <c r="B706" s="8">
        <f>IFERROR(VLOOKUP($A706,'01-原始价格'!$A:$M,2,FALSE),"")</f>
        <v/>
      </c>
      <c r="C706" s="8">
        <f>IFERROR(VLOOKUP($A706,'01-原始价格'!$A:$M,8,FALSE),"")</f>
        <v/>
      </c>
      <c r="D706" s="10">
        <f>IFERROR(B706/C706,"")</f>
        <v/>
      </c>
      <c r="E706" s="10">
        <f>IFERROR(C706/B706,"")</f>
        <v/>
      </c>
      <c r="F706" s="11">
        <f>IFERROR((D706/D705-1)*100,"")</f>
        <v/>
      </c>
      <c r="G706" s="11">
        <f>IFERROR((COUNTIF($D$455:$D$706,"&lt;"&amp;D706)+0.5*COUNTIF($D$455:$D$706,D706))/COUNT($D$455:$D$706)*100,"")</f>
        <v/>
      </c>
      <c r="H706" s="10">
        <f>IFERROR(AVERAGE($D$455:$D$706),"")</f>
        <v/>
      </c>
      <c r="I706" s="10" t="n">
        <v>0.02306403616959275</v>
      </c>
      <c r="J706" t="inlineStr"/>
      <c r="K706" t="inlineStr"/>
    </row>
    <row r="707">
      <c r="A707" s="7" t="inlineStr">
        <is>
          <t>2017-01-12</t>
        </is>
      </c>
      <c r="B707" s="8">
        <f>IFERROR(VLOOKUP($A707,'01-原始价格'!$A:$M,2,FALSE),"")</f>
        <v/>
      </c>
      <c r="C707" s="8">
        <f>IFERROR(VLOOKUP($A707,'01-原始价格'!$A:$M,8,FALSE),"")</f>
        <v/>
      </c>
      <c r="D707" s="10">
        <f>IFERROR(B707/C707,"")</f>
        <v/>
      </c>
      <c r="E707" s="10">
        <f>IFERROR(C707/B707,"")</f>
        <v/>
      </c>
      <c r="F707" s="11">
        <f>IFERROR((D707/D706-1)*100,"")</f>
        <v/>
      </c>
      <c r="G707" s="11">
        <f>IFERROR((COUNTIF($D$456:$D$707,"&lt;"&amp;D707)+0.5*COUNTIF($D$456:$D$707,D707))/COUNT($D$456:$D$707)*100,"")</f>
        <v/>
      </c>
      <c r="H707" s="10">
        <f>IFERROR(AVERAGE($D$456:$D$707),"")</f>
        <v/>
      </c>
      <c r="I707" s="10" t="n">
        <v>0.2802667508086412</v>
      </c>
      <c r="J707" t="inlineStr"/>
      <c r="K707" t="inlineStr"/>
    </row>
    <row r="708">
      <c r="A708" s="7" t="inlineStr">
        <is>
          <t>2017-01-13</t>
        </is>
      </c>
      <c r="B708" s="8">
        <f>IFERROR(VLOOKUP($A708,'01-原始价格'!$A:$M,2,FALSE),"")</f>
        <v/>
      </c>
      <c r="C708" s="8">
        <f>IFERROR(VLOOKUP($A708,'01-原始价格'!$A:$M,8,FALSE),"")</f>
        <v/>
      </c>
      <c r="D708" s="10">
        <f>IFERROR(B708/C708,"")</f>
        <v/>
      </c>
      <c r="E708" s="10">
        <f>IFERROR(C708/B708,"")</f>
        <v/>
      </c>
      <c r="F708" s="11">
        <f>IFERROR((D708/D707-1)*100,"")</f>
        <v/>
      </c>
      <c r="G708" s="11">
        <f>IFERROR((COUNTIF($D$457:$D$708,"&lt;"&amp;D708)+0.5*COUNTIF($D$457:$D$708,D708))/COUNT($D$457:$D$708)*100,"")</f>
        <v/>
      </c>
      <c r="H708" s="10">
        <f>IFERROR(AVERAGE($D$457:$D$708),"")</f>
        <v/>
      </c>
      <c r="I708" s="10" t="n">
        <v>0.09599635309041486</v>
      </c>
      <c r="J708" t="inlineStr"/>
      <c r="K708" t="inlineStr"/>
    </row>
    <row r="709">
      <c r="A709" s="7" t="inlineStr">
        <is>
          <t>2017-01-16</t>
        </is>
      </c>
      <c r="B709" s="8">
        <f>IFERROR(VLOOKUP($A709,'01-原始价格'!$A:$M,2,FALSE),"")</f>
        <v/>
      </c>
      <c r="C709" s="8">
        <f>IFERROR(VLOOKUP($A709,'01-原始价格'!$A:$M,8,FALSE),"")</f>
        <v/>
      </c>
      <c r="D709" s="10">
        <f>IFERROR(B709/C709,"")</f>
        <v/>
      </c>
      <c r="E709" s="10">
        <f>IFERROR(C709/B709,"")</f>
        <v/>
      </c>
      <c r="F709" s="11">
        <f>IFERROR((D709/D708-1)*100,"")</f>
        <v/>
      </c>
      <c r="G709" s="11">
        <f>IFERROR((COUNTIF($D$458:$D$709,"&lt;"&amp;D709)+0.5*COUNTIF($D$458:$D$709,D709))/COUNT($D$458:$D$709)*100,"")</f>
        <v/>
      </c>
      <c r="H709" s="10">
        <f>IFERROR(AVERAGE($D$458:$D$709),"")</f>
        <v/>
      </c>
      <c r="I709" s="10" t="n">
        <v>0.3807727240986962</v>
      </c>
      <c r="J709" t="inlineStr"/>
      <c r="K709" t="inlineStr"/>
    </row>
    <row r="710">
      <c r="A710" s="7" t="inlineStr">
        <is>
          <t>2017-01-17</t>
        </is>
      </c>
      <c r="B710" s="8">
        <f>IFERROR(VLOOKUP($A710,'01-原始价格'!$A:$M,2,FALSE),"")</f>
        <v/>
      </c>
      <c r="C710" s="8">
        <f>IFERROR(VLOOKUP($A710,'01-原始价格'!$A:$M,8,FALSE),"")</f>
        <v/>
      </c>
      <c r="D710" s="10">
        <f>IFERROR(B710/C710,"")</f>
        <v/>
      </c>
      <c r="E710" s="10">
        <f>IFERROR(C710/B710,"")</f>
        <v/>
      </c>
      <c r="F710" s="11">
        <f>IFERROR((D710/D709-1)*100,"")</f>
        <v/>
      </c>
      <c r="G710" s="11">
        <f>IFERROR((COUNTIF($D$459:$D$710,"&lt;"&amp;D710)+0.5*COUNTIF($D$459:$D$710,D710))/COUNT($D$459:$D$710)*100,"")</f>
        <v/>
      </c>
      <c r="H710" s="10">
        <f>IFERROR(AVERAGE($D$459:$D$710),"")</f>
        <v/>
      </c>
      <c r="I710" s="10" t="n">
        <v>0.2963221758584902</v>
      </c>
      <c r="J710" t="inlineStr"/>
      <c r="K710" t="inlineStr"/>
    </row>
    <row r="711">
      <c r="A711" s="7" t="inlineStr">
        <is>
          <t>2017-01-18</t>
        </is>
      </c>
      <c r="B711" s="8">
        <f>IFERROR(VLOOKUP($A711,'01-原始价格'!$A:$M,2,FALSE),"")</f>
        <v/>
      </c>
      <c r="C711" s="8">
        <f>IFERROR(VLOOKUP($A711,'01-原始价格'!$A:$M,8,FALSE),"")</f>
        <v/>
      </c>
      <c r="D711" s="10">
        <f>IFERROR(B711/C711,"")</f>
        <v/>
      </c>
      <c r="E711" s="10">
        <f>IFERROR(C711/B711,"")</f>
        <v/>
      </c>
      <c r="F711" s="11">
        <f>IFERROR((D711/D710-1)*100,"")</f>
        <v/>
      </c>
      <c r="G711" s="11">
        <f>IFERROR((COUNTIF($D$460:$D$711,"&lt;"&amp;D711)+0.5*COUNTIF($D$460:$D$711,D711))/COUNT($D$460:$D$711)*100,"")</f>
        <v/>
      </c>
      <c r="H711" s="10">
        <f>IFERROR(AVERAGE($D$460:$D$711),"")</f>
        <v/>
      </c>
      <c r="I711" s="10" t="n">
        <v>0.2712350740148824</v>
      </c>
      <c r="J711" t="inlineStr"/>
      <c r="K711" t="inlineStr"/>
    </row>
    <row r="712">
      <c r="A712" s="7" t="inlineStr">
        <is>
          <t>2017-01-19</t>
        </is>
      </c>
      <c r="B712" s="8">
        <f>IFERROR(VLOOKUP($A712,'01-原始价格'!$A:$M,2,FALSE),"")</f>
        <v/>
      </c>
      <c r="C712" s="8">
        <f>IFERROR(VLOOKUP($A712,'01-原始价格'!$A:$M,8,FALSE),"")</f>
        <v/>
      </c>
      <c r="D712" s="10">
        <f>IFERROR(B712/C712,"")</f>
        <v/>
      </c>
      <c r="E712" s="10">
        <f>IFERROR(C712/B712,"")</f>
        <v/>
      </c>
      <c r="F712" s="11">
        <f>IFERROR((D712/D711-1)*100,"")</f>
        <v/>
      </c>
      <c r="G712" s="11">
        <f>IFERROR((COUNTIF($D$461:$D$712,"&lt;"&amp;D712)+0.5*COUNTIF($D$461:$D$712,D712))/COUNT($D$461:$D$712)*100,"")</f>
        <v/>
      </c>
      <c r="H712" s="10">
        <f>IFERROR(AVERAGE($D$461:$D$712),"")</f>
        <v/>
      </c>
      <c r="I712" s="10" t="n">
        <v>0.1547916475189734</v>
      </c>
      <c r="J712" t="inlineStr"/>
      <c r="K712" t="inlineStr"/>
    </row>
    <row r="713">
      <c r="A713" s="7" t="inlineStr">
        <is>
          <t>2017-01-20</t>
        </is>
      </c>
      <c r="B713" s="8">
        <f>IFERROR(VLOOKUP($A713,'01-原始价格'!$A:$M,2,FALSE),"")</f>
        <v/>
      </c>
      <c r="C713" s="8">
        <f>IFERROR(VLOOKUP($A713,'01-原始价格'!$A:$M,8,FALSE),"")</f>
        <v/>
      </c>
      <c r="D713" s="10">
        <f>IFERROR(B713/C713,"")</f>
        <v/>
      </c>
      <c r="E713" s="10">
        <f>IFERROR(C713/B713,"")</f>
        <v/>
      </c>
      <c r="F713" s="11">
        <f>IFERROR((D713/D712-1)*100,"")</f>
        <v/>
      </c>
      <c r="G713" s="11">
        <f>IFERROR((COUNTIF($D$462:$D$713,"&lt;"&amp;D713)+0.5*COUNTIF($D$462:$D$713,D713))/COUNT($D$462:$D$713)*100,"")</f>
        <v/>
      </c>
      <c r="H713" s="10">
        <f>IFERROR(AVERAGE($D$462:$D$713),"")</f>
        <v/>
      </c>
      <c r="I713" s="10" t="n">
        <v>0.1093842937809844</v>
      </c>
      <c r="J713" t="inlineStr"/>
      <c r="K713" t="inlineStr"/>
    </row>
    <row r="714">
      <c r="A714" s="7" t="inlineStr">
        <is>
          <t>2017-01-23</t>
        </is>
      </c>
      <c r="B714" s="8">
        <f>IFERROR(VLOOKUP($A714,'01-原始价格'!$A:$M,2,FALSE),"")</f>
        <v/>
      </c>
      <c r="C714" s="8">
        <f>IFERROR(VLOOKUP($A714,'01-原始价格'!$A:$M,8,FALSE),"")</f>
        <v/>
      </c>
      <c r="D714" s="10">
        <f>IFERROR(B714/C714,"")</f>
        <v/>
      </c>
      <c r="E714" s="10">
        <f>IFERROR(C714/B714,"")</f>
        <v/>
      </c>
      <c r="F714" s="11">
        <f>IFERROR((D714/D713-1)*100,"")</f>
        <v/>
      </c>
      <c r="G714" s="11">
        <f>IFERROR((COUNTIF($D$463:$D$714,"&lt;"&amp;D714)+0.5*COUNTIF($D$463:$D$714,D714))/COUNT($D$463:$D$714)*100,"")</f>
        <v/>
      </c>
      <c r="H714" s="10">
        <f>IFERROR(AVERAGE($D$463:$D$714),"")</f>
        <v/>
      </c>
      <c r="I714" s="10" t="n">
        <v>0.3019814884505808</v>
      </c>
      <c r="J714" t="inlineStr"/>
      <c r="K714" t="inlineStr"/>
    </row>
    <row r="715">
      <c r="A715" s="7" t="inlineStr">
        <is>
          <t>2017-01-24</t>
        </is>
      </c>
      <c r="B715" s="8">
        <f>IFERROR(VLOOKUP($A715,'01-原始价格'!$A:$M,2,FALSE),"")</f>
        <v/>
      </c>
      <c r="C715" s="8">
        <f>IFERROR(VLOOKUP($A715,'01-原始价格'!$A:$M,8,FALSE),"")</f>
        <v/>
      </c>
      <c r="D715" s="10">
        <f>IFERROR(B715/C715,"")</f>
        <v/>
      </c>
      <c r="E715" s="10">
        <f>IFERROR(C715/B715,"")</f>
        <v/>
      </c>
      <c r="F715" s="11">
        <f>IFERROR((D715/D714-1)*100,"")</f>
        <v/>
      </c>
      <c r="G715" s="11">
        <f>IFERROR((COUNTIF($D$464:$D$715,"&lt;"&amp;D715)+0.5*COUNTIF($D$464:$D$715,D715))/COUNT($D$464:$D$715)*100,"")</f>
        <v/>
      </c>
      <c r="H715" s="10">
        <f>IFERROR(AVERAGE($D$464:$D$715),"")</f>
        <v/>
      </c>
      <c r="I715" s="10" t="n">
        <v>0.3502127863302935</v>
      </c>
      <c r="J715" t="inlineStr"/>
      <c r="K715" t="inlineStr"/>
    </row>
    <row r="716">
      <c r="A716" s="7" t="inlineStr">
        <is>
          <t>2017-01-25</t>
        </is>
      </c>
      <c r="B716" s="8">
        <f>IFERROR(VLOOKUP($A716,'01-原始价格'!$A:$M,2,FALSE),"")</f>
        <v/>
      </c>
      <c r="C716" s="8">
        <f>IFERROR(VLOOKUP($A716,'01-原始价格'!$A:$M,8,FALSE),"")</f>
        <v/>
      </c>
      <c r="D716" s="10">
        <f>IFERROR(B716/C716,"")</f>
        <v/>
      </c>
      <c r="E716" s="10">
        <f>IFERROR(C716/B716,"")</f>
        <v/>
      </c>
      <c r="F716" s="11">
        <f>IFERROR((D716/D715-1)*100,"")</f>
        <v/>
      </c>
      <c r="G716" s="11">
        <f>IFERROR((COUNTIF($D$465:$D$716,"&lt;"&amp;D716)+0.5*COUNTIF($D$465:$D$716,D716))/COUNT($D$465:$D$716)*100,"")</f>
        <v/>
      </c>
      <c r="H716" s="10">
        <f>IFERROR(AVERAGE($D$465:$D$716),"")</f>
        <v/>
      </c>
      <c r="I716" s="10" t="n">
        <v>0.593271739587787</v>
      </c>
      <c r="J716" t="inlineStr"/>
      <c r="K716" t="inlineStr"/>
    </row>
    <row r="717">
      <c r="A717" s="7" t="inlineStr">
        <is>
          <t>2017-01-26</t>
        </is>
      </c>
      <c r="B717" s="8">
        <f>IFERROR(VLOOKUP($A717,'01-原始价格'!$A:$M,2,FALSE),"")</f>
        <v/>
      </c>
      <c r="C717" s="8">
        <f>IFERROR(VLOOKUP($A717,'01-原始价格'!$A:$M,8,FALSE),"")</f>
        <v/>
      </c>
      <c r="D717" s="10">
        <f>IFERROR(B717/C717,"")</f>
        <v/>
      </c>
      <c r="E717" s="10">
        <f>IFERROR(C717/B717,"")</f>
        <v/>
      </c>
      <c r="F717" s="11">
        <f>IFERROR((D717/D716-1)*100,"")</f>
        <v/>
      </c>
      <c r="G717" s="11">
        <f>IFERROR((COUNTIF($D$466:$D$717,"&lt;"&amp;D717)+0.5*COUNTIF($D$466:$D$717,D717))/COUNT($D$466:$D$717)*100,"")</f>
        <v/>
      </c>
      <c r="H717" s="10">
        <f>IFERROR(AVERAGE($D$466:$D$717),"")</f>
        <v/>
      </c>
      <c r="I717" s="10" t="n">
        <v>0.6592525040216511</v>
      </c>
      <c r="J717" t="inlineStr"/>
      <c r="K717" t="inlineStr"/>
    </row>
    <row r="718">
      <c r="A718" s="7" t="inlineStr">
        <is>
          <t>2017-02-03</t>
        </is>
      </c>
      <c r="B718" s="8">
        <f>IFERROR(VLOOKUP($A718,'01-原始价格'!$A:$M,2,FALSE),"")</f>
        <v/>
      </c>
      <c r="C718" s="8">
        <f>IFERROR(VLOOKUP($A718,'01-原始价格'!$A:$M,8,FALSE),"")</f>
        <v/>
      </c>
      <c r="D718" s="10">
        <f>IFERROR(B718/C718,"")</f>
        <v/>
      </c>
      <c r="E718" s="10">
        <f>IFERROR(C718/B718,"")</f>
        <v/>
      </c>
      <c r="F718" s="11">
        <f>IFERROR((D718/D717-1)*100,"")</f>
        <v/>
      </c>
      <c r="G718" s="11">
        <f>IFERROR((COUNTIF($D$467:$D$718,"&lt;"&amp;D718)+0.5*COUNTIF($D$467:$D$718,D718))/COUNT($D$467:$D$718)*100,"")</f>
        <v/>
      </c>
      <c r="H718" s="10">
        <f>IFERROR(AVERAGE($D$467:$D$718),"")</f>
        <v/>
      </c>
      <c r="I718" s="10" t="n">
        <v>0.5732724408389369</v>
      </c>
      <c r="J718" t="inlineStr"/>
      <c r="K718" t="inlineStr"/>
    </row>
    <row r="719">
      <c r="A719" s="7" t="inlineStr">
        <is>
          <t>2017-02-06</t>
        </is>
      </c>
      <c r="B719" s="8">
        <f>IFERROR(VLOOKUP($A719,'01-原始价格'!$A:$M,2,FALSE),"")</f>
        <v/>
      </c>
      <c r="C719" s="8">
        <f>IFERROR(VLOOKUP($A719,'01-原始价格'!$A:$M,8,FALSE),"")</f>
        <v/>
      </c>
      <c r="D719" s="10">
        <f>IFERROR(B719/C719,"")</f>
        <v/>
      </c>
      <c r="E719" s="10">
        <f>IFERROR(C719/B719,"")</f>
        <v/>
      </c>
      <c r="F719" s="11">
        <f>IFERROR((D719/D718-1)*100,"")</f>
        <v/>
      </c>
      <c r="G719" s="11">
        <f>IFERROR((COUNTIF($D$468:$D$719,"&lt;"&amp;D719)+0.5*COUNTIF($D$468:$D$719,D719))/COUNT($D$468:$D$719)*100,"")</f>
        <v/>
      </c>
      <c r="H719" s="10">
        <f>IFERROR(AVERAGE($D$468:$D$719),"")</f>
        <v/>
      </c>
      <c r="I719" s="10" t="n">
        <v>0.5078561699555719</v>
      </c>
      <c r="J719" t="inlineStr"/>
      <c r="K719" t="inlineStr"/>
    </row>
    <row r="720">
      <c r="A720" s="7" t="inlineStr">
        <is>
          <t>2017-02-07</t>
        </is>
      </c>
      <c r="B720" s="8">
        <f>IFERROR(VLOOKUP($A720,'01-原始价格'!$A:$M,2,FALSE),"")</f>
        <v/>
      </c>
      <c r="C720" s="8">
        <f>IFERROR(VLOOKUP($A720,'01-原始价格'!$A:$M,8,FALSE),"")</f>
        <v/>
      </c>
      <c r="D720" s="10">
        <f>IFERROR(B720/C720,"")</f>
        <v/>
      </c>
      <c r="E720" s="10">
        <f>IFERROR(C720/B720,"")</f>
        <v/>
      </c>
      <c r="F720" s="11">
        <f>IFERROR((D720/D719-1)*100,"")</f>
        <v/>
      </c>
      <c r="G720" s="11">
        <f>IFERROR((COUNTIF($D$469:$D$720,"&lt;"&amp;D720)+0.5*COUNTIF($D$469:$D$720,D720))/COUNT($D$469:$D$720)*100,"")</f>
        <v/>
      </c>
      <c r="H720" s="10">
        <f>IFERROR(AVERAGE($D$469:$D$720),"")</f>
        <v/>
      </c>
      <c r="I720" s="10" t="n">
        <v>0.4828463977859252</v>
      </c>
      <c r="J720" t="inlineStr"/>
      <c r="K720" t="inlineStr"/>
    </row>
    <row r="721">
      <c r="A721" s="7" t="inlineStr">
        <is>
          <t>2017-02-08</t>
        </is>
      </c>
      <c r="B721" s="8">
        <f>IFERROR(VLOOKUP($A721,'01-原始价格'!$A:$M,2,FALSE),"")</f>
        <v/>
      </c>
      <c r="C721" s="8">
        <f>IFERROR(VLOOKUP($A721,'01-原始价格'!$A:$M,8,FALSE),"")</f>
        <v/>
      </c>
      <c r="D721" s="10">
        <f>IFERROR(B721/C721,"")</f>
        <v/>
      </c>
      <c r="E721" s="10">
        <f>IFERROR(C721/B721,"")</f>
        <v/>
      </c>
      <c r="F721" s="11">
        <f>IFERROR((D721/D720-1)*100,"")</f>
        <v/>
      </c>
      <c r="G721" s="11">
        <f>IFERROR((COUNTIF($D$470:$D$721,"&lt;"&amp;D721)+0.5*COUNTIF($D$470:$D$721,D721))/COUNT($D$470:$D$721)*100,"")</f>
        <v/>
      </c>
      <c r="H721" s="10">
        <f>IFERROR(AVERAGE($D$470:$D$721),"")</f>
        <v/>
      </c>
      <c r="I721" s="10" t="n">
        <v>0.5300356968799366</v>
      </c>
      <c r="J721" t="inlineStr"/>
      <c r="K721" t="inlineStr"/>
    </row>
    <row r="722">
      <c r="A722" s="7" t="inlineStr">
        <is>
          <t>2017-02-09</t>
        </is>
      </c>
      <c r="B722" s="8">
        <f>IFERROR(VLOOKUP($A722,'01-原始价格'!$A:$M,2,FALSE),"")</f>
        <v/>
      </c>
      <c r="C722" s="8">
        <f>IFERROR(VLOOKUP($A722,'01-原始价格'!$A:$M,8,FALSE),"")</f>
        <v/>
      </c>
      <c r="D722" s="10">
        <f>IFERROR(B722/C722,"")</f>
        <v/>
      </c>
      <c r="E722" s="10">
        <f>IFERROR(C722/B722,"")</f>
        <v/>
      </c>
      <c r="F722" s="11">
        <f>IFERROR((D722/D721-1)*100,"")</f>
        <v/>
      </c>
      <c r="G722" s="11">
        <f>IFERROR((COUNTIF($D$471:$D$722,"&lt;"&amp;D722)+0.5*COUNTIF($D$471:$D$722,D722))/COUNT($D$471:$D$722)*100,"")</f>
        <v/>
      </c>
      <c r="H722" s="10">
        <f>IFERROR(AVERAGE($D$471:$D$722),"")</f>
        <v/>
      </c>
      <c r="I722" s="10" t="n">
        <v>0.5395845868302038</v>
      </c>
      <c r="J722" t="inlineStr"/>
      <c r="K722" t="inlineStr"/>
    </row>
    <row r="723">
      <c r="A723" s="7" t="inlineStr">
        <is>
          <t>2017-02-10</t>
        </is>
      </c>
      <c r="B723" s="8">
        <f>IFERROR(VLOOKUP($A723,'01-原始价格'!$A:$M,2,FALSE),"")</f>
        <v/>
      </c>
      <c r="C723" s="8">
        <f>IFERROR(VLOOKUP($A723,'01-原始价格'!$A:$M,8,FALSE),"")</f>
        <v/>
      </c>
      <c r="D723" s="10">
        <f>IFERROR(B723/C723,"")</f>
        <v/>
      </c>
      <c r="E723" s="10">
        <f>IFERROR(C723/B723,"")</f>
        <v/>
      </c>
      <c r="F723" s="11">
        <f>IFERROR((D723/D722-1)*100,"")</f>
        <v/>
      </c>
      <c r="G723" s="11">
        <f>IFERROR((COUNTIF($D$472:$D$723,"&lt;"&amp;D723)+0.5*COUNTIF($D$472:$D$723,D723))/COUNT($D$472:$D$723)*100,"")</f>
        <v/>
      </c>
      <c r="H723" s="10">
        <f>IFERROR(AVERAGE($D$472:$D$723),"")</f>
        <v/>
      </c>
      <c r="I723" s="10" t="n">
        <v>0.5340429394294871</v>
      </c>
      <c r="J723" t="inlineStr"/>
      <c r="K723" t="inlineStr"/>
    </row>
    <row r="724">
      <c r="A724" s="7" t="inlineStr">
        <is>
          <t>2017-02-13</t>
        </is>
      </c>
      <c r="B724" s="8">
        <f>IFERROR(VLOOKUP($A724,'01-原始价格'!$A:$M,2,FALSE),"")</f>
        <v/>
      </c>
      <c r="C724" s="8">
        <f>IFERROR(VLOOKUP($A724,'01-原始价格'!$A:$M,8,FALSE),"")</f>
        <v/>
      </c>
      <c r="D724" s="10">
        <f>IFERROR(B724/C724,"")</f>
        <v/>
      </c>
      <c r="E724" s="10">
        <f>IFERROR(C724/B724,"")</f>
        <v/>
      </c>
      <c r="F724" s="11">
        <f>IFERROR((D724/D723-1)*100,"")</f>
        <v/>
      </c>
      <c r="G724" s="11">
        <f>IFERROR((COUNTIF($D$473:$D$724,"&lt;"&amp;D724)+0.5*COUNTIF($D$473:$D$724,D724))/COUNT($D$473:$D$724)*100,"")</f>
        <v/>
      </c>
      <c r="H724" s="10">
        <f>IFERROR(AVERAGE($D$473:$D$724),"")</f>
        <v/>
      </c>
      <c r="I724" s="10" t="n">
        <v>0.5339446578555196</v>
      </c>
      <c r="J724" t="inlineStr"/>
      <c r="K724" t="inlineStr"/>
    </row>
    <row r="725">
      <c r="A725" s="7" t="inlineStr">
        <is>
          <t>2017-02-14</t>
        </is>
      </c>
      <c r="B725" s="8">
        <f>IFERROR(VLOOKUP($A725,'01-原始价格'!$A:$M,2,FALSE),"")</f>
        <v/>
      </c>
      <c r="C725" s="8">
        <f>IFERROR(VLOOKUP($A725,'01-原始价格'!$A:$M,8,FALSE),"")</f>
        <v/>
      </c>
      <c r="D725" s="10">
        <f>IFERROR(B725/C725,"")</f>
        <v/>
      </c>
      <c r="E725" s="10">
        <f>IFERROR(C725/B725,"")</f>
        <v/>
      </c>
      <c r="F725" s="11">
        <f>IFERROR((D725/D724-1)*100,"")</f>
        <v/>
      </c>
      <c r="G725" s="11">
        <f>IFERROR((COUNTIF($D$474:$D$725,"&lt;"&amp;D725)+0.5*COUNTIF($D$474:$D$725,D725))/COUNT($D$474:$D$725)*100,"")</f>
        <v/>
      </c>
      <c r="H725" s="10">
        <f>IFERROR(AVERAGE($D$474:$D$725),"")</f>
        <v/>
      </c>
      <c r="I725" s="10" t="n">
        <v>0.6064781484855516</v>
      </c>
      <c r="J725" t="inlineStr"/>
      <c r="K725" t="inlineStr"/>
    </row>
    <row r="726">
      <c r="A726" s="7" t="inlineStr">
        <is>
          <t>2017-02-15</t>
        </is>
      </c>
      <c r="B726" s="8">
        <f>IFERROR(VLOOKUP($A726,'01-原始价格'!$A:$M,2,FALSE),"")</f>
        <v/>
      </c>
      <c r="C726" s="8">
        <f>IFERROR(VLOOKUP($A726,'01-原始价格'!$A:$M,8,FALSE),"")</f>
        <v/>
      </c>
      <c r="D726" s="10">
        <f>IFERROR(B726/C726,"")</f>
        <v/>
      </c>
      <c r="E726" s="10">
        <f>IFERROR(C726/B726,"")</f>
        <v/>
      </c>
      <c r="F726" s="11">
        <f>IFERROR((D726/D725-1)*100,"")</f>
        <v/>
      </c>
      <c r="G726" s="11">
        <f>IFERROR((COUNTIF($D$475:$D$726,"&lt;"&amp;D726)+0.5*COUNTIF($D$475:$D$726,D726))/COUNT($D$475:$D$726)*100,"")</f>
        <v/>
      </c>
      <c r="H726" s="10">
        <f>IFERROR(AVERAGE($D$475:$D$726),"")</f>
        <v/>
      </c>
      <c r="I726" s="10" t="n">
        <v>0.9462482239581248</v>
      </c>
      <c r="J726" t="inlineStr"/>
      <c r="K726" t="inlineStr"/>
    </row>
    <row r="727">
      <c r="A727" s="7" t="inlineStr">
        <is>
          <t>2017-02-16</t>
        </is>
      </c>
      <c r="B727" s="8">
        <f>IFERROR(VLOOKUP($A727,'01-原始价格'!$A:$M,2,FALSE),"")</f>
        <v/>
      </c>
      <c r="C727" s="8">
        <f>IFERROR(VLOOKUP($A727,'01-原始价格'!$A:$M,8,FALSE),"")</f>
        <v/>
      </c>
      <c r="D727" s="10">
        <f>IFERROR(B727/C727,"")</f>
        <v/>
      </c>
      <c r="E727" s="10">
        <f>IFERROR(C727/B727,"")</f>
        <v/>
      </c>
      <c r="F727" s="11">
        <f>IFERROR((D727/D726-1)*100,"")</f>
        <v/>
      </c>
      <c r="G727" s="11">
        <f>IFERROR((COUNTIF($D$476:$D$727,"&lt;"&amp;D727)+0.5*COUNTIF($D$476:$D$727,D727))/COUNT($D$476:$D$727)*100,"")</f>
        <v/>
      </c>
      <c r="H727" s="10">
        <f>IFERROR(AVERAGE($D$476:$D$727),"")</f>
        <v/>
      </c>
      <c r="I727" s="10" t="n">
        <v>0.6270956464747531</v>
      </c>
      <c r="J727" t="inlineStr"/>
      <c r="K727" t="inlineStr"/>
    </row>
    <row r="728">
      <c r="A728" s="7" t="inlineStr">
        <is>
          <t>2017-02-17</t>
        </is>
      </c>
      <c r="B728" s="8">
        <f>IFERROR(VLOOKUP($A728,'01-原始价格'!$A:$M,2,FALSE),"")</f>
        <v/>
      </c>
      <c r="C728" s="8">
        <f>IFERROR(VLOOKUP($A728,'01-原始价格'!$A:$M,8,FALSE),"")</f>
        <v/>
      </c>
      <c r="D728" s="10">
        <f>IFERROR(B728/C728,"")</f>
        <v/>
      </c>
      <c r="E728" s="10">
        <f>IFERROR(C728/B728,"")</f>
        <v/>
      </c>
      <c r="F728" s="11">
        <f>IFERROR((D728/D727-1)*100,"")</f>
        <v/>
      </c>
      <c r="G728" s="11">
        <f>IFERROR((COUNTIF($D$477:$D$728,"&lt;"&amp;D728)+0.5*COUNTIF($D$477:$D$728,D728))/COUNT($D$477:$D$728)*100,"")</f>
        <v/>
      </c>
      <c r="H728" s="10">
        <f>IFERROR(AVERAGE($D$477:$D$728),"")</f>
        <v/>
      </c>
      <c r="I728" s="10" t="n">
        <v>0.5421437060923705</v>
      </c>
      <c r="J728" t="inlineStr"/>
      <c r="K728" t="inlineStr"/>
    </row>
    <row r="729">
      <c r="A729" s="7" t="inlineStr">
        <is>
          <t>2017-02-20</t>
        </is>
      </c>
      <c r="B729" s="8">
        <f>IFERROR(VLOOKUP($A729,'01-原始价格'!$A:$M,2,FALSE),"")</f>
        <v/>
      </c>
      <c r="C729" s="8">
        <f>IFERROR(VLOOKUP($A729,'01-原始价格'!$A:$M,8,FALSE),"")</f>
        <v/>
      </c>
      <c r="D729" s="10">
        <f>IFERROR(B729/C729,"")</f>
        <v/>
      </c>
      <c r="E729" s="10">
        <f>IFERROR(C729/B729,"")</f>
        <v/>
      </c>
      <c r="F729" s="11">
        <f>IFERROR((D729/D728-1)*100,"")</f>
        <v/>
      </c>
      <c r="G729" s="11">
        <f>IFERROR((COUNTIF($D$478:$D$729,"&lt;"&amp;D729)+0.5*COUNTIF($D$478:$D$729,D729))/COUNT($D$478:$D$729)*100,"")</f>
        <v/>
      </c>
      <c r="H729" s="10">
        <f>IFERROR(AVERAGE($D$478:$D$729),"")</f>
        <v/>
      </c>
      <c r="I729" s="10" t="n">
        <v>0.4921153688477743</v>
      </c>
      <c r="J729" t="inlineStr"/>
      <c r="K729" t="inlineStr"/>
    </row>
    <row r="730">
      <c r="A730" s="7" t="inlineStr">
        <is>
          <t>2017-02-21</t>
        </is>
      </c>
      <c r="B730" s="8">
        <f>IFERROR(VLOOKUP($A730,'01-原始价格'!$A:$M,2,FALSE),"")</f>
        <v/>
      </c>
      <c r="C730" s="8">
        <f>IFERROR(VLOOKUP($A730,'01-原始价格'!$A:$M,8,FALSE),"")</f>
        <v/>
      </c>
      <c r="D730" s="10">
        <f>IFERROR(B730/C730,"")</f>
        <v/>
      </c>
      <c r="E730" s="10">
        <f>IFERROR(C730/B730,"")</f>
        <v/>
      </c>
      <c r="F730" s="11">
        <f>IFERROR((D730/D729-1)*100,"")</f>
        <v/>
      </c>
      <c r="G730" s="11">
        <f>IFERROR((COUNTIF($D$479:$D$730,"&lt;"&amp;D730)+0.5*COUNTIF($D$479:$D$730,D730))/COUNT($D$479:$D$730)*100,"")</f>
        <v/>
      </c>
      <c r="H730" s="10">
        <f>IFERROR(AVERAGE($D$479:$D$730),"")</f>
        <v/>
      </c>
      <c r="I730" s="10" t="n">
        <v>0.3165606780636308</v>
      </c>
      <c r="J730" t="inlineStr"/>
      <c r="K730" t="inlineStr"/>
    </row>
    <row r="731">
      <c r="A731" s="7" t="inlineStr">
        <is>
          <t>2017-02-22</t>
        </is>
      </c>
      <c r="B731" s="8">
        <f>IFERROR(VLOOKUP($A731,'01-原始价格'!$A:$M,2,FALSE),"")</f>
        <v/>
      </c>
      <c r="C731" s="8">
        <f>IFERROR(VLOOKUP($A731,'01-原始价格'!$A:$M,8,FALSE),"")</f>
        <v/>
      </c>
      <c r="D731" s="10">
        <f>IFERROR(B731/C731,"")</f>
        <v/>
      </c>
      <c r="E731" s="10">
        <f>IFERROR(C731/B731,"")</f>
        <v/>
      </c>
      <c r="F731" s="11">
        <f>IFERROR((D731/D730-1)*100,"")</f>
        <v/>
      </c>
      <c r="G731" s="11">
        <f>IFERROR((COUNTIF($D$480:$D$731,"&lt;"&amp;D731)+0.5*COUNTIF($D$480:$D$731,D731))/COUNT($D$480:$D$731)*100,"")</f>
        <v/>
      </c>
      <c r="H731" s="10">
        <f>IFERROR(AVERAGE($D$480:$D$731),"")</f>
        <v/>
      </c>
      <c r="I731" s="10" t="n">
        <v>0.2574646705447521</v>
      </c>
      <c r="J731" t="inlineStr"/>
      <c r="K731" t="inlineStr"/>
    </row>
    <row r="732">
      <c r="A732" s="7" t="inlineStr">
        <is>
          <t>2017-02-23</t>
        </is>
      </c>
      <c r="B732" s="8">
        <f>IFERROR(VLOOKUP($A732,'01-原始价格'!$A:$M,2,FALSE),"")</f>
        <v/>
      </c>
      <c r="C732" s="8">
        <f>IFERROR(VLOOKUP($A732,'01-原始价格'!$A:$M,8,FALSE),"")</f>
        <v/>
      </c>
      <c r="D732" s="10">
        <f>IFERROR(B732/C732,"")</f>
        <v/>
      </c>
      <c r="E732" s="10">
        <f>IFERROR(C732/B732,"")</f>
        <v/>
      </c>
      <c r="F732" s="11">
        <f>IFERROR((D732/D731-1)*100,"")</f>
        <v/>
      </c>
      <c r="G732" s="11">
        <f>IFERROR((COUNTIF($D$481:$D$732,"&lt;"&amp;D732)+0.5*COUNTIF($D$481:$D$732,D732))/COUNT($D$481:$D$732)*100,"")</f>
        <v/>
      </c>
      <c r="H732" s="10">
        <f>IFERROR(AVERAGE($D$481:$D$732),"")</f>
        <v/>
      </c>
      <c r="I732" s="10" t="n">
        <v>0.3719549882775213</v>
      </c>
      <c r="J732" t="inlineStr"/>
      <c r="K732" t="inlineStr"/>
    </row>
    <row r="733">
      <c r="A733" s="7" t="inlineStr">
        <is>
          <t>2017-02-24</t>
        </is>
      </c>
      <c r="B733" s="8">
        <f>IFERROR(VLOOKUP($A733,'01-原始价格'!$A:$M,2,FALSE),"")</f>
        <v/>
      </c>
      <c r="C733" s="8">
        <f>IFERROR(VLOOKUP($A733,'01-原始价格'!$A:$M,8,FALSE),"")</f>
        <v/>
      </c>
      <c r="D733" s="10">
        <f>IFERROR(B733/C733,"")</f>
        <v/>
      </c>
      <c r="E733" s="10">
        <f>IFERROR(C733/B733,"")</f>
        <v/>
      </c>
      <c r="F733" s="11">
        <f>IFERROR((D733/D732-1)*100,"")</f>
        <v/>
      </c>
      <c r="G733" s="11">
        <f>IFERROR((COUNTIF($D$482:$D$733,"&lt;"&amp;D733)+0.5*COUNTIF($D$482:$D$733,D733))/COUNT($D$482:$D$733)*100,"")</f>
        <v/>
      </c>
      <c r="H733" s="10">
        <f>IFERROR(AVERAGE($D$482:$D$733),"")</f>
        <v/>
      </c>
      <c r="I733" s="10" t="n">
        <v>0.3339476109275373</v>
      </c>
      <c r="J733" t="inlineStr"/>
      <c r="K733" t="inlineStr"/>
    </row>
    <row r="734">
      <c r="A734" s="7" t="inlineStr">
        <is>
          <t>2017-02-27</t>
        </is>
      </c>
      <c r="B734" s="8">
        <f>IFERROR(VLOOKUP($A734,'01-原始价格'!$A:$M,2,FALSE),"")</f>
        <v/>
      </c>
      <c r="C734" s="8">
        <f>IFERROR(VLOOKUP($A734,'01-原始价格'!$A:$M,8,FALSE),"")</f>
        <v/>
      </c>
      <c r="D734" s="10">
        <f>IFERROR(B734/C734,"")</f>
        <v/>
      </c>
      <c r="E734" s="10">
        <f>IFERROR(C734/B734,"")</f>
        <v/>
      </c>
      <c r="F734" s="11">
        <f>IFERROR((D734/D733-1)*100,"")</f>
        <v/>
      </c>
      <c r="G734" s="11">
        <f>IFERROR((COUNTIF($D$483:$D$734,"&lt;"&amp;D734)+0.5*COUNTIF($D$483:$D$734,D734))/COUNT($D$483:$D$734)*100,"")</f>
        <v/>
      </c>
      <c r="H734" s="10">
        <f>IFERROR(AVERAGE($D$483:$D$734),"")</f>
        <v/>
      </c>
      <c r="I734" s="10" t="n">
        <v>0.4247691234215502</v>
      </c>
      <c r="J734" t="inlineStr"/>
      <c r="K734" t="inlineStr"/>
    </row>
    <row r="735">
      <c r="A735" s="7" t="inlineStr">
        <is>
          <t>2017-02-28</t>
        </is>
      </c>
      <c r="B735" s="8">
        <f>IFERROR(VLOOKUP($A735,'01-原始价格'!$A:$M,2,FALSE),"")</f>
        <v/>
      </c>
      <c r="C735" s="8">
        <f>IFERROR(VLOOKUP($A735,'01-原始价格'!$A:$M,8,FALSE),"")</f>
        <v/>
      </c>
      <c r="D735" s="10">
        <f>IFERROR(B735/C735,"")</f>
        <v/>
      </c>
      <c r="E735" s="10">
        <f>IFERROR(C735/B735,"")</f>
        <v/>
      </c>
      <c r="F735" s="11">
        <f>IFERROR((D735/D734-1)*100,"")</f>
        <v/>
      </c>
      <c r="G735" s="11">
        <f>IFERROR((COUNTIF($D$484:$D$735,"&lt;"&amp;D735)+0.5*COUNTIF($D$484:$D$735,D735))/COUNT($D$484:$D$735)*100,"")</f>
        <v/>
      </c>
      <c r="H735" s="10">
        <f>IFERROR(AVERAGE($D$484:$D$735),"")</f>
        <v/>
      </c>
      <c r="I735" s="10" t="n">
        <v>0.2682522807034363</v>
      </c>
      <c r="J735" t="inlineStr"/>
      <c r="K735" t="inlineStr"/>
    </row>
    <row r="736">
      <c r="A736" s="7" t="inlineStr">
        <is>
          <t>2017-03-01</t>
        </is>
      </c>
      <c r="B736" s="8">
        <f>IFERROR(VLOOKUP($A736,'01-原始价格'!$A:$M,2,FALSE),"")</f>
        <v/>
      </c>
      <c r="C736" s="8">
        <f>IFERROR(VLOOKUP($A736,'01-原始价格'!$A:$M,8,FALSE),"")</f>
        <v/>
      </c>
      <c r="D736" s="10">
        <f>IFERROR(B736/C736,"")</f>
        <v/>
      </c>
      <c r="E736" s="10">
        <f>IFERROR(C736/B736,"")</f>
        <v/>
      </c>
      <c r="F736" s="11">
        <f>IFERROR((D736/D735-1)*100,"")</f>
        <v/>
      </c>
      <c r="G736" s="11">
        <f>IFERROR((COUNTIF($D$485:$D$736,"&lt;"&amp;D736)+0.5*COUNTIF($D$485:$D$736,D736))/COUNT($D$485:$D$736)*100,"")</f>
        <v/>
      </c>
      <c r="H736" s="10">
        <f>IFERROR(AVERAGE($D$485:$D$736),"")</f>
        <v/>
      </c>
      <c r="I736" s="10" t="n">
        <v>0.3096876577886253</v>
      </c>
      <c r="J736" t="inlineStr"/>
      <c r="K736" t="inlineStr"/>
    </row>
    <row r="737">
      <c r="A737" s="7" t="inlineStr">
        <is>
          <t>2017-03-02</t>
        </is>
      </c>
      <c r="B737" s="8">
        <f>IFERROR(VLOOKUP($A737,'01-原始价格'!$A:$M,2,FALSE),"")</f>
        <v/>
      </c>
      <c r="C737" s="8">
        <f>IFERROR(VLOOKUP($A737,'01-原始价格'!$A:$M,8,FALSE),"")</f>
        <v/>
      </c>
      <c r="D737" s="10">
        <f>IFERROR(B737/C737,"")</f>
        <v/>
      </c>
      <c r="E737" s="10">
        <f>IFERROR(C737/B737,"")</f>
        <v/>
      </c>
      <c r="F737" s="11">
        <f>IFERROR((D737/D736-1)*100,"")</f>
        <v/>
      </c>
      <c r="G737" s="11">
        <f>IFERROR((COUNTIF($D$486:$D$737,"&lt;"&amp;D737)+0.5*COUNTIF($D$486:$D$737,D737))/COUNT($D$486:$D$737)*100,"")</f>
        <v/>
      </c>
      <c r="H737" s="10">
        <f>IFERROR(AVERAGE($D$486:$D$737),"")</f>
        <v/>
      </c>
      <c r="I737" s="10" t="n">
        <v>0.2927553929549785</v>
      </c>
      <c r="J737" t="inlineStr"/>
      <c r="K737" t="inlineStr"/>
    </row>
    <row r="738">
      <c r="A738" s="7" t="inlineStr">
        <is>
          <t>2017-03-03</t>
        </is>
      </c>
      <c r="B738" s="8">
        <f>IFERROR(VLOOKUP($A738,'01-原始价格'!$A:$M,2,FALSE),"")</f>
        <v/>
      </c>
      <c r="C738" s="8">
        <f>IFERROR(VLOOKUP($A738,'01-原始价格'!$A:$M,8,FALSE),"")</f>
        <v/>
      </c>
      <c r="D738" s="10">
        <f>IFERROR(B738/C738,"")</f>
        <v/>
      </c>
      <c r="E738" s="10">
        <f>IFERROR(C738/B738,"")</f>
        <v/>
      </c>
      <c r="F738" s="11">
        <f>IFERROR((D738/D737-1)*100,"")</f>
        <v/>
      </c>
      <c r="G738" s="11">
        <f>IFERROR((COUNTIF($D$487:$D$738,"&lt;"&amp;D738)+0.5*COUNTIF($D$487:$D$738,D738))/COUNT($D$487:$D$738)*100,"")</f>
        <v/>
      </c>
      <c r="H738" s="10">
        <f>IFERROR(AVERAGE($D$487:$D$738),"")</f>
        <v/>
      </c>
      <c r="I738" s="10" t="n">
        <v>0.2964999659483586</v>
      </c>
      <c r="J738" t="inlineStr"/>
      <c r="K738" t="inlineStr"/>
    </row>
    <row r="739">
      <c r="A739" s="7" t="inlineStr">
        <is>
          <t>2017-03-06</t>
        </is>
      </c>
      <c r="B739" s="8">
        <f>IFERROR(VLOOKUP($A739,'01-原始价格'!$A:$M,2,FALSE),"")</f>
        <v/>
      </c>
      <c r="C739" s="8">
        <f>IFERROR(VLOOKUP($A739,'01-原始价格'!$A:$M,8,FALSE),"")</f>
        <v/>
      </c>
      <c r="D739" s="10">
        <f>IFERROR(B739/C739,"")</f>
        <v/>
      </c>
      <c r="E739" s="10">
        <f>IFERROR(C739/B739,"")</f>
        <v/>
      </c>
      <c r="F739" s="11">
        <f>IFERROR((D739/D738-1)*100,"")</f>
        <v/>
      </c>
      <c r="G739" s="11">
        <f>IFERROR((COUNTIF($D$488:$D$739,"&lt;"&amp;D739)+0.5*COUNTIF($D$488:$D$739,D739))/COUNT($D$488:$D$739)*100,"")</f>
        <v/>
      </c>
      <c r="H739" s="10">
        <f>IFERROR(AVERAGE($D$488:$D$739),"")</f>
        <v/>
      </c>
      <c r="I739" s="10" t="n">
        <v>0.4540457819075165</v>
      </c>
      <c r="J739" t="inlineStr"/>
      <c r="K739" t="inlineStr"/>
    </row>
    <row r="740">
      <c r="A740" s="7" t="inlineStr">
        <is>
          <t>2017-03-07</t>
        </is>
      </c>
      <c r="B740" s="8">
        <f>IFERROR(VLOOKUP($A740,'01-原始价格'!$A:$M,2,FALSE),"")</f>
        <v/>
      </c>
      <c r="C740" s="8">
        <f>IFERROR(VLOOKUP($A740,'01-原始价格'!$A:$M,8,FALSE),"")</f>
        <v/>
      </c>
      <c r="D740" s="10">
        <f>IFERROR(B740/C740,"")</f>
        <v/>
      </c>
      <c r="E740" s="10">
        <f>IFERROR(C740/B740,"")</f>
        <v/>
      </c>
      <c r="F740" s="11">
        <f>IFERROR((D740/D739-1)*100,"")</f>
        <v/>
      </c>
      <c r="G740" s="11">
        <f>IFERROR((COUNTIF($D$489:$D$740,"&lt;"&amp;D740)+0.5*COUNTIF($D$489:$D$740,D740))/COUNT($D$489:$D$740)*100,"")</f>
        <v/>
      </c>
      <c r="H740" s="10">
        <f>IFERROR(AVERAGE($D$489:$D$740),"")</f>
        <v/>
      </c>
      <c r="I740" s="10" t="n">
        <v>0.3698418385878873</v>
      </c>
      <c r="J740" t="inlineStr"/>
      <c r="K740" t="inlineStr"/>
    </row>
    <row r="741">
      <c r="A741" s="7" t="inlineStr">
        <is>
          <t>2017-03-08</t>
        </is>
      </c>
      <c r="B741" s="8">
        <f>IFERROR(VLOOKUP($A741,'01-原始价格'!$A:$M,2,FALSE),"")</f>
        <v/>
      </c>
      <c r="C741" s="8">
        <f>IFERROR(VLOOKUP($A741,'01-原始价格'!$A:$M,8,FALSE),"")</f>
        <v/>
      </c>
      <c r="D741" s="10">
        <f>IFERROR(B741/C741,"")</f>
        <v/>
      </c>
      <c r="E741" s="10">
        <f>IFERROR(C741/B741,"")</f>
        <v/>
      </c>
      <c r="F741" s="11">
        <f>IFERROR((D741/D740-1)*100,"")</f>
        <v/>
      </c>
      <c r="G741" s="11">
        <f>IFERROR((COUNTIF($D$490:$D$741,"&lt;"&amp;D741)+0.5*COUNTIF($D$490:$D$741,D741))/COUNT($D$490:$D$741)*100,"")</f>
        <v/>
      </c>
      <c r="H741" s="10">
        <f>IFERROR(AVERAGE($D$490:$D$741),"")</f>
        <v/>
      </c>
      <c r="I741" s="10" t="n">
        <v>0.3122332710333371</v>
      </c>
      <c r="J741" t="inlineStr"/>
      <c r="K741" t="inlineStr"/>
    </row>
    <row r="742">
      <c r="A742" s="7" t="inlineStr">
        <is>
          <t>2017-03-09</t>
        </is>
      </c>
      <c r="B742" s="8">
        <f>IFERROR(VLOOKUP($A742,'01-原始价格'!$A:$M,2,FALSE),"")</f>
        <v/>
      </c>
      <c r="C742" s="8">
        <f>IFERROR(VLOOKUP($A742,'01-原始价格'!$A:$M,8,FALSE),"")</f>
        <v/>
      </c>
      <c r="D742" s="10">
        <f>IFERROR(B742/C742,"")</f>
        <v/>
      </c>
      <c r="E742" s="10">
        <f>IFERROR(C742/B742,"")</f>
        <v/>
      </c>
      <c r="F742" s="11">
        <f>IFERROR((D742/D741-1)*100,"")</f>
        <v/>
      </c>
      <c r="G742" s="11">
        <f>IFERROR((COUNTIF($D$491:$D$742,"&lt;"&amp;D742)+0.5*COUNTIF($D$491:$D$742,D742))/COUNT($D$491:$D$742)*100,"")</f>
        <v/>
      </c>
      <c r="H742" s="10">
        <f>IFERROR(AVERAGE($D$491:$D$742),"")</f>
        <v/>
      </c>
      <c r="I742" s="10" t="n">
        <v>0.3070825849675193</v>
      </c>
      <c r="J742" t="inlineStr"/>
      <c r="K742" t="inlineStr"/>
    </row>
    <row r="743">
      <c r="A743" s="7" t="inlineStr">
        <is>
          <t>2017-03-10</t>
        </is>
      </c>
      <c r="B743" s="8">
        <f>IFERROR(VLOOKUP($A743,'01-原始价格'!$A:$M,2,FALSE),"")</f>
        <v/>
      </c>
      <c r="C743" s="8">
        <f>IFERROR(VLOOKUP($A743,'01-原始价格'!$A:$M,8,FALSE),"")</f>
        <v/>
      </c>
      <c r="D743" s="10">
        <f>IFERROR(B743/C743,"")</f>
        <v/>
      </c>
      <c r="E743" s="10">
        <f>IFERROR(C743/B743,"")</f>
        <v/>
      </c>
      <c r="F743" s="11">
        <f>IFERROR((D743/D742-1)*100,"")</f>
        <v/>
      </c>
      <c r="G743" s="11">
        <f>IFERROR((COUNTIF($D$492:$D$743,"&lt;"&amp;D743)+0.5*COUNTIF($D$492:$D$743,D743))/COUNT($D$492:$D$743)*100,"")</f>
        <v/>
      </c>
      <c r="H743" s="10">
        <f>IFERROR(AVERAGE($D$492:$D$743),"")</f>
        <v/>
      </c>
      <c r="I743" s="10" t="n">
        <v>0.1479491291615675</v>
      </c>
      <c r="J743" t="inlineStr"/>
      <c r="K743" t="inlineStr"/>
    </row>
    <row r="744">
      <c r="A744" s="7" t="inlineStr">
        <is>
          <t>2017-03-13</t>
        </is>
      </c>
      <c r="B744" s="8">
        <f>IFERROR(VLOOKUP($A744,'01-原始价格'!$A:$M,2,FALSE),"")</f>
        <v/>
      </c>
      <c r="C744" s="8">
        <f>IFERROR(VLOOKUP($A744,'01-原始价格'!$A:$M,8,FALSE),"")</f>
        <v/>
      </c>
      <c r="D744" s="10">
        <f>IFERROR(B744/C744,"")</f>
        <v/>
      </c>
      <c r="E744" s="10">
        <f>IFERROR(C744/B744,"")</f>
        <v/>
      </c>
      <c r="F744" s="11">
        <f>IFERROR((D744/D743-1)*100,"")</f>
        <v/>
      </c>
      <c r="G744" s="11">
        <f>IFERROR((COUNTIF($D$493:$D$744,"&lt;"&amp;D744)+0.5*COUNTIF($D$493:$D$744,D744))/COUNT($D$493:$D$744)*100,"")</f>
        <v/>
      </c>
      <c r="H744" s="10">
        <f>IFERROR(AVERAGE($D$493:$D$744),"")</f>
        <v/>
      </c>
      <c r="I744" s="10" t="n">
        <v>0.3018337478324054</v>
      </c>
      <c r="J744" t="inlineStr"/>
      <c r="K744" t="inlineStr"/>
    </row>
    <row r="745">
      <c r="A745" s="7" t="inlineStr">
        <is>
          <t>2017-03-14</t>
        </is>
      </c>
      <c r="B745" s="8">
        <f>IFERROR(VLOOKUP($A745,'01-原始价格'!$A:$M,2,FALSE),"")</f>
        <v/>
      </c>
      <c r="C745" s="8">
        <f>IFERROR(VLOOKUP($A745,'01-原始价格'!$A:$M,8,FALSE),"")</f>
        <v/>
      </c>
      <c r="D745" s="10">
        <f>IFERROR(B745/C745,"")</f>
        <v/>
      </c>
      <c r="E745" s="10">
        <f>IFERROR(C745/B745,"")</f>
        <v/>
      </c>
      <c r="F745" s="11">
        <f>IFERROR((D745/D744-1)*100,"")</f>
        <v/>
      </c>
      <c r="G745" s="11">
        <f>IFERROR((COUNTIF($D$494:$D$745,"&lt;"&amp;D745)+0.5*COUNTIF($D$494:$D$745,D745))/COUNT($D$494:$D$745)*100,"")</f>
        <v/>
      </c>
      <c r="H745" s="10">
        <f>IFERROR(AVERAGE($D$494:$D$745),"")</f>
        <v/>
      </c>
      <c r="I745" s="10" t="n">
        <v>-0.2110651458539116</v>
      </c>
      <c r="J745" t="inlineStr"/>
      <c r="K745" t="inlineStr"/>
    </row>
    <row r="746">
      <c r="A746" s="7" t="inlineStr">
        <is>
          <t>2017-03-15</t>
        </is>
      </c>
      <c r="B746" s="8">
        <f>IFERROR(VLOOKUP($A746,'01-原始价格'!$A:$M,2,FALSE),"")</f>
        <v/>
      </c>
      <c r="C746" s="8">
        <f>IFERROR(VLOOKUP($A746,'01-原始价格'!$A:$M,8,FALSE),"")</f>
        <v/>
      </c>
      <c r="D746" s="10">
        <f>IFERROR(B746/C746,"")</f>
        <v/>
      </c>
      <c r="E746" s="10">
        <f>IFERROR(C746/B746,"")</f>
        <v/>
      </c>
      <c r="F746" s="11">
        <f>IFERROR((D746/D745-1)*100,"")</f>
        <v/>
      </c>
      <c r="G746" s="11">
        <f>IFERROR((COUNTIF($D$495:$D$746,"&lt;"&amp;D746)+0.5*COUNTIF($D$495:$D$746,D746))/COUNT($D$495:$D$746)*100,"")</f>
        <v/>
      </c>
      <c r="H746" s="10">
        <f>IFERROR(AVERAGE($D$495:$D$746),"")</f>
        <v/>
      </c>
      <c r="I746" s="10" t="n">
        <v>0.05645303437685251</v>
      </c>
      <c r="J746" t="inlineStr"/>
      <c r="K746" t="inlineStr"/>
    </row>
    <row r="747">
      <c r="A747" s="7" t="inlineStr">
        <is>
          <t>2017-03-16</t>
        </is>
      </c>
      <c r="B747" s="8">
        <f>IFERROR(VLOOKUP($A747,'01-原始价格'!$A:$M,2,FALSE),"")</f>
        <v/>
      </c>
      <c r="C747" s="8">
        <f>IFERROR(VLOOKUP($A747,'01-原始价格'!$A:$M,8,FALSE),"")</f>
        <v/>
      </c>
      <c r="D747" s="10">
        <f>IFERROR(B747/C747,"")</f>
        <v/>
      </c>
      <c r="E747" s="10">
        <f>IFERROR(C747/B747,"")</f>
        <v/>
      </c>
      <c r="F747" s="11">
        <f>IFERROR((D747/D746-1)*100,"")</f>
        <v/>
      </c>
      <c r="G747" s="11">
        <f>IFERROR((COUNTIF($D$496:$D$747,"&lt;"&amp;D747)+0.5*COUNTIF($D$496:$D$747,D747))/COUNT($D$496:$D$747)*100,"")</f>
        <v/>
      </c>
      <c r="H747" s="10">
        <f>IFERROR(AVERAGE($D$496:$D$747),"")</f>
        <v/>
      </c>
      <c r="I747" s="10" t="n">
        <v>-0.04766915305507141</v>
      </c>
      <c r="J747" t="inlineStr"/>
      <c r="K747" t="inlineStr"/>
    </row>
    <row r="748">
      <c r="A748" s="7" t="inlineStr">
        <is>
          <t>2017-03-17</t>
        </is>
      </c>
      <c r="B748" s="8">
        <f>IFERROR(VLOOKUP($A748,'01-原始价格'!$A:$M,2,FALSE),"")</f>
        <v/>
      </c>
      <c r="C748" s="8">
        <f>IFERROR(VLOOKUP($A748,'01-原始价格'!$A:$M,8,FALSE),"")</f>
        <v/>
      </c>
      <c r="D748" s="10">
        <f>IFERROR(B748/C748,"")</f>
        <v/>
      </c>
      <c r="E748" s="10">
        <f>IFERROR(C748/B748,"")</f>
        <v/>
      </c>
      <c r="F748" s="11">
        <f>IFERROR((D748/D747-1)*100,"")</f>
        <v/>
      </c>
      <c r="G748" s="11">
        <f>IFERROR((COUNTIF($D$497:$D$748,"&lt;"&amp;D748)+0.5*COUNTIF($D$497:$D$748,D748))/COUNT($D$497:$D$748)*100,"")</f>
        <v/>
      </c>
      <c r="H748" s="10">
        <f>IFERROR(AVERAGE($D$497:$D$748),"")</f>
        <v/>
      </c>
      <c r="I748" s="10" t="n">
        <v>-0.08631192652507998</v>
      </c>
      <c r="J748" t="inlineStr"/>
      <c r="K748" t="inlineStr"/>
    </row>
    <row r="749">
      <c r="A749" s="7" t="inlineStr">
        <is>
          <t>2017-03-20</t>
        </is>
      </c>
      <c r="B749" s="8">
        <f>IFERROR(VLOOKUP($A749,'01-原始价格'!$A:$M,2,FALSE),"")</f>
        <v/>
      </c>
      <c r="C749" s="8">
        <f>IFERROR(VLOOKUP($A749,'01-原始价格'!$A:$M,8,FALSE),"")</f>
        <v/>
      </c>
      <c r="D749" s="10">
        <f>IFERROR(B749/C749,"")</f>
        <v/>
      </c>
      <c r="E749" s="10">
        <f>IFERROR(C749/B749,"")</f>
        <v/>
      </c>
      <c r="F749" s="11">
        <f>IFERROR((D749/D748-1)*100,"")</f>
        <v/>
      </c>
      <c r="G749" s="11">
        <f>IFERROR((COUNTIF($D$498:$D$749,"&lt;"&amp;D749)+0.5*COUNTIF($D$498:$D$749,D749))/COUNT($D$498:$D$749)*100,"")</f>
        <v/>
      </c>
      <c r="H749" s="10">
        <f>IFERROR(AVERAGE($D$498:$D$749),"")</f>
        <v/>
      </c>
      <c r="I749" s="10" t="n">
        <v>-0.6821777214001703</v>
      </c>
      <c r="J749" t="inlineStr"/>
      <c r="K749" t="inlineStr"/>
    </row>
    <row r="750">
      <c r="A750" s="7" t="inlineStr">
        <is>
          <t>2017-03-21</t>
        </is>
      </c>
      <c r="B750" s="8">
        <f>IFERROR(VLOOKUP($A750,'01-原始价格'!$A:$M,2,FALSE),"")</f>
        <v/>
      </c>
      <c r="C750" s="8">
        <f>IFERROR(VLOOKUP($A750,'01-原始价格'!$A:$M,8,FALSE),"")</f>
        <v/>
      </c>
      <c r="D750" s="10">
        <f>IFERROR(B750/C750,"")</f>
        <v/>
      </c>
      <c r="E750" s="10">
        <f>IFERROR(C750/B750,"")</f>
        <v/>
      </c>
      <c r="F750" s="11">
        <f>IFERROR((D750/D749-1)*100,"")</f>
        <v/>
      </c>
      <c r="G750" s="11">
        <f>IFERROR((COUNTIF($D$499:$D$750,"&lt;"&amp;D750)+0.5*COUNTIF($D$499:$D$750,D750))/COUNT($D$499:$D$750)*100,"")</f>
        <v/>
      </c>
      <c r="H750" s="10">
        <f>IFERROR(AVERAGE($D$499:$D$750),"")</f>
        <v/>
      </c>
      <c r="I750" s="10" t="n">
        <v>-0.5823260035222675</v>
      </c>
      <c r="J750" t="inlineStr"/>
      <c r="K750" t="inlineStr"/>
    </row>
    <row r="751">
      <c r="A751" s="7" t="inlineStr">
        <is>
          <t>2017-03-22</t>
        </is>
      </c>
      <c r="B751" s="8">
        <f>IFERROR(VLOOKUP($A751,'01-原始价格'!$A:$M,2,FALSE),"")</f>
        <v/>
      </c>
      <c r="C751" s="8">
        <f>IFERROR(VLOOKUP($A751,'01-原始价格'!$A:$M,8,FALSE),"")</f>
        <v/>
      </c>
      <c r="D751" s="10">
        <f>IFERROR(B751/C751,"")</f>
        <v/>
      </c>
      <c r="E751" s="10">
        <f>IFERROR(C751/B751,"")</f>
        <v/>
      </c>
      <c r="F751" s="11">
        <f>IFERROR((D751/D750-1)*100,"")</f>
        <v/>
      </c>
      <c r="G751" s="11">
        <f>IFERROR((COUNTIF($D$500:$D$751,"&lt;"&amp;D751)+0.5*COUNTIF($D$500:$D$751,D751))/COUNT($D$500:$D$751)*100,"")</f>
        <v/>
      </c>
      <c r="H751" s="10">
        <f>IFERROR(AVERAGE($D$500:$D$751),"")</f>
        <v/>
      </c>
      <c r="I751" s="10" t="n">
        <v>-0.7836413791711871</v>
      </c>
      <c r="J751" t="inlineStr"/>
      <c r="K751" t="inlineStr"/>
    </row>
    <row r="752">
      <c r="A752" s="7" t="inlineStr">
        <is>
          <t>2017-03-23</t>
        </is>
      </c>
      <c r="B752" s="8">
        <f>IFERROR(VLOOKUP($A752,'01-原始价格'!$A:$M,2,FALSE),"")</f>
        <v/>
      </c>
      <c r="C752" s="8">
        <f>IFERROR(VLOOKUP($A752,'01-原始价格'!$A:$M,8,FALSE),"")</f>
        <v/>
      </c>
      <c r="D752" s="10">
        <f>IFERROR(B752/C752,"")</f>
        <v/>
      </c>
      <c r="E752" s="10">
        <f>IFERROR(C752/B752,"")</f>
        <v/>
      </c>
      <c r="F752" s="11">
        <f>IFERROR((D752/D751-1)*100,"")</f>
        <v/>
      </c>
      <c r="G752" s="11">
        <f>IFERROR((COUNTIF($D$501:$D$752,"&lt;"&amp;D752)+0.5*COUNTIF($D$501:$D$752,D752))/COUNT($D$501:$D$752)*100,"")</f>
        <v/>
      </c>
      <c r="H752" s="10">
        <f>IFERROR(AVERAGE($D$501:$D$752),"")</f>
        <v/>
      </c>
      <c r="I752" s="10" t="n">
        <v>-0.9061547361741522</v>
      </c>
      <c r="J752" t="inlineStr"/>
      <c r="K752" t="inlineStr"/>
    </row>
    <row r="753">
      <c r="A753" s="7" t="inlineStr">
        <is>
          <t>2017-03-24</t>
        </is>
      </c>
      <c r="B753" s="8">
        <f>IFERROR(VLOOKUP($A753,'01-原始价格'!$A:$M,2,FALSE),"")</f>
        <v/>
      </c>
      <c r="C753" s="8">
        <f>IFERROR(VLOOKUP($A753,'01-原始价格'!$A:$M,8,FALSE),"")</f>
        <v/>
      </c>
      <c r="D753" s="10">
        <f>IFERROR(B753/C753,"")</f>
        <v/>
      </c>
      <c r="E753" s="10">
        <f>IFERROR(C753/B753,"")</f>
        <v/>
      </c>
      <c r="F753" s="11">
        <f>IFERROR((D753/D752-1)*100,"")</f>
        <v/>
      </c>
      <c r="G753" s="11">
        <f>IFERROR((COUNTIF($D$502:$D$753,"&lt;"&amp;D753)+0.5*COUNTIF($D$502:$D$753,D753))/COUNT($D$502:$D$753)*100,"")</f>
        <v/>
      </c>
      <c r="H753" s="10">
        <f>IFERROR(AVERAGE($D$502:$D$753),"")</f>
        <v/>
      </c>
      <c r="I753" s="10" t="n">
        <v>-0.6209530728696182</v>
      </c>
      <c r="J753" t="inlineStr"/>
      <c r="K753" t="inlineStr"/>
    </row>
    <row r="754">
      <c r="A754" s="7" t="inlineStr">
        <is>
          <t>2017-03-27</t>
        </is>
      </c>
      <c r="B754" s="8">
        <f>IFERROR(VLOOKUP($A754,'01-原始价格'!$A:$M,2,FALSE),"")</f>
        <v/>
      </c>
      <c r="C754" s="8">
        <f>IFERROR(VLOOKUP($A754,'01-原始价格'!$A:$M,8,FALSE),"")</f>
        <v/>
      </c>
      <c r="D754" s="10">
        <f>IFERROR(B754/C754,"")</f>
        <v/>
      </c>
      <c r="E754" s="10">
        <f>IFERROR(C754/B754,"")</f>
        <v/>
      </c>
      <c r="F754" s="11">
        <f>IFERROR((D754/D753-1)*100,"")</f>
        <v/>
      </c>
      <c r="G754" s="11">
        <f>IFERROR((COUNTIF($D$503:$D$754,"&lt;"&amp;D754)+0.5*COUNTIF($D$503:$D$754,D754))/COUNT($D$503:$D$754)*100,"")</f>
        <v/>
      </c>
      <c r="H754" s="10">
        <f>IFERROR(AVERAGE($D$503:$D$754),"")</f>
        <v/>
      </c>
      <c r="I754" s="10" t="n">
        <v>-1.799555279293344</v>
      </c>
      <c r="J754" t="inlineStr"/>
      <c r="K754" t="inlineStr"/>
    </row>
    <row r="755">
      <c r="A755" s="7" t="inlineStr">
        <is>
          <t>2017-03-28</t>
        </is>
      </c>
      <c r="B755" s="8">
        <f>IFERROR(VLOOKUP($A755,'01-原始价格'!$A:$M,2,FALSE),"")</f>
        <v/>
      </c>
      <c r="C755" s="8">
        <f>IFERROR(VLOOKUP($A755,'01-原始价格'!$A:$M,8,FALSE),"")</f>
        <v/>
      </c>
      <c r="D755" s="10">
        <f>IFERROR(B755/C755,"")</f>
        <v/>
      </c>
      <c r="E755" s="10">
        <f>IFERROR(C755/B755,"")</f>
        <v/>
      </c>
      <c r="F755" s="11">
        <f>IFERROR((D755/D754-1)*100,"")</f>
        <v/>
      </c>
      <c r="G755" s="11">
        <f>IFERROR((COUNTIF($D$504:$D$755,"&lt;"&amp;D755)+0.5*COUNTIF($D$504:$D$755,D755))/COUNT($D$504:$D$755)*100,"")</f>
        <v/>
      </c>
      <c r="H755" s="10">
        <f>IFERROR(AVERAGE($D$504:$D$755),"")</f>
        <v/>
      </c>
      <c r="I755" s="10" t="n">
        <v>-1.374769537357215</v>
      </c>
      <c r="J755" t="inlineStr"/>
      <c r="K755" t="inlineStr"/>
    </row>
    <row r="756">
      <c r="A756" s="7" t="inlineStr">
        <is>
          <t>2017-03-29</t>
        </is>
      </c>
      <c r="B756" s="8">
        <f>IFERROR(VLOOKUP($A756,'01-原始价格'!$A:$M,2,FALSE),"")</f>
        <v/>
      </c>
      <c r="C756" s="8">
        <f>IFERROR(VLOOKUP($A756,'01-原始价格'!$A:$M,8,FALSE),"")</f>
        <v/>
      </c>
      <c r="D756" s="10">
        <f>IFERROR(B756/C756,"")</f>
        <v/>
      </c>
      <c r="E756" s="10">
        <f>IFERROR(C756/B756,"")</f>
        <v/>
      </c>
      <c r="F756" s="11">
        <f>IFERROR((D756/D755-1)*100,"")</f>
        <v/>
      </c>
      <c r="G756" s="11">
        <f>IFERROR((COUNTIF($D$505:$D$756,"&lt;"&amp;D756)+0.5*COUNTIF($D$505:$D$756,D756))/COUNT($D$505:$D$756)*100,"")</f>
        <v/>
      </c>
      <c r="H756" s="10">
        <f>IFERROR(AVERAGE($D$505:$D$756),"")</f>
        <v/>
      </c>
      <c r="I756" s="10" t="n">
        <v>-0.2808604724536741</v>
      </c>
      <c r="J756" t="inlineStr"/>
      <c r="K756" t="inlineStr"/>
    </row>
    <row r="757">
      <c r="A757" s="7" t="inlineStr">
        <is>
          <t>2017-03-30</t>
        </is>
      </c>
      <c r="B757" s="8">
        <f>IFERROR(VLOOKUP($A757,'01-原始价格'!$A:$M,2,FALSE),"")</f>
        <v/>
      </c>
      <c r="C757" s="8">
        <f>IFERROR(VLOOKUP($A757,'01-原始价格'!$A:$M,8,FALSE),"")</f>
        <v/>
      </c>
      <c r="D757" s="10">
        <f>IFERROR(B757/C757,"")</f>
        <v/>
      </c>
      <c r="E757" s="10">
        <f>IFERROR(C757/B757,"")</f>
        <v/>
      </c>
      <c r="F757" s="11">
        <f>IFERROR((D757/D756-1)*100,"")</f>
        <v/>
      </c>
      <c r="G757" s="11">
        <f>IFERROR((COUNTIF($D$506:$D$757,"&lt;"&amp;D757)+0.5*COUNTIF($D$506:$D$757,D757))/COUNT($D$506:$D$757)*100,"")</f>
        <v/>
      </c>
      <c r="H757" s="10">
        <f>IFERROR(AVERAGE($D$506:$D$757),"")</f>
        <v/>
      </c>
      <c r="I757" s="10" t="n">
        <v>-0.2997639277140778</v>
      </c>
      <c r="J757" t="inlineStr"/>
      <c r="K757" t="inlineStr"/>
    </row>
    <row r="758">
      <c r="A758" s="7" t="inlineStr">
        <is>
          <t>2017-03-31</t>
        </is>
      </c>
      <c r="B758" s="8">
        <f>IFERROR(VLOOKUP($A758,'01-原始价格'!$A:$M,2,FALSE),"")</f>
        <v/>
      </c>
      <c r="C758" s="8">
        <f>IFERROR(VLOOKUP($A758,'01-原始价格'!$A:$M,8,FALSE),"")</f>
        <v/>
      </c>
      <c r="D758" s="10">
        <f>IFERROR(B758/C758,"")</f>
        <v/>
      </c>
      <c r="E758" s="10">
        <f>IFERROR(C758/B758,"")</f>
        <v/>
      </c>
      <c r="F758" s="11">
        <f>IFERROR((D758/D757-1)*100,"")</f>
        <v/>
      </c>
      <c r="G758" s="11">
        <f>IFERROR((COUNTIF($D$507:$D$758,"&lt;"&amp;D758)+0.5*COUNTIF($D$507:$D$758,D758))/COUNT($D$507:$D$758)*100,"")</f>
        <v/>
      </c>
      <c r="H758" s="10">
        <f>IFERROR(AVERAGE($D$507:$D$758),"")</f>
        <v/>
      </c>
      <c r="I758" s="10" t="n">
        <v>-0.5826618179661585</v>
      </c>
      <c r="J758" t="inlineStr"/>
      <c r="K758" t="inlineStr"/>
    </row>
    <row r="759">
      <c r="A759" s="7" t="inlineStr">
        <is>
          <t>2017-04-05</t>
        </is>
      </c>
      <c r="B759" s="8">
        <f>IFERROR(VLOOKUP($A759,'01-原始价格'!$A:$M,2,FALSE),"")</f>
        <v/>
      </c>
      <c r="C759" s="8">
        <f>IFERROR(VLOOKUP($A759,'01-原始价格'!$A:$M,8,FALSE),"")</f>
        <v/>
      </c>
      <c r="D759" s="10">
        <f>IFERROR(B759/C759,"")</f>
        <v/>
      </c>
      <c r="E759" s="10">
        <f>IFERROR(C759/B759,"")</f>
        <v/>
      </c>
      <c r="F759" s="11">
        <f>IFERROR((D759/D758-1)*100,"")</f>
        <v/>
      </c>
      <c r="G759" s="11">
        <f>IFERROR((COUNTIF($D$508:$D$759,"&lt;"&amp;D759)+0.5*COUNTIF($D$508:$D$759,D759))/COUNT($D$508:$D$759)*100,"")</f>
        <v/>
      </c>
      <c r="H759" s="10">
        <f>IFERROR(AVERAGE($D$508:$D$759),"")</f>
        <v/>
      </c>
      <c r="I759" s="10" t="n">
        <v>-0.7949472099885784</v>
      </c>
      <c r="J759" t="inlineStr"/>
      <c r="K759" t="inlineStr"/>
    </row>
    <row r="760">
      <c r="A760" s="7" t="inlineStr">
        <is>
          <t>2017-04-06</t>
        </is>
      </c>
      <c r="B760" s="8">
        <f>IFERROR(VLOOKUP($A760,'01-原始价格'!$A:$M,2,FALSE),"")</f>
        <v/>
      </c>
      <c r="C760" s="8">
        <f>IFERROR(VLOOKUP($A760,'01-原始价格'!$A:$M,8,FALSE),"")</f>
        <v/>
      </c>
      <c r="D760" s="10">
        <f>IFERROR(B760/C760,"")</f>
        <v/>
      </c>
      <c r="E760" s="10">
        <f>IFERROR(C760/B760,"")</f>
        <v/>
      </c>
      <c r="F760" s="11">
        <f>IFERROR((D760/D759-1)*100,"")</f>
        <v/>
      </c>
      <c r="G760" s="11">
        <f>IFERROR((COUNTIF($D$509:$D$760,"&lt;"&amp;D760)+0.5*COUNTIF($D$509:$D$760,D760))/COUNT($D$509:$D$760)*100,"")</f>
        <v/>
      </c>
      <c r="H760" s="10">
        <f>IFERROR(AVERAGE($D$509:$D$760),"")</f>
        <v/>
      </c>
      <c r="I760" s="10" t="n">
        <v>-1.031666471063967</v>
      </c>
      <c r="J760" t="inlineStr"/>
      <c r="K760" t="inlineStr"/>
    </row>
    <row r="761">
      <c r="A761" s="7" t="inlineStr">
        <is>
          <t>2017-04-07</t>
        </is>
      </c>
      <c r="B761" s="8">
        <f>IFERROR(VLOOKUP($A761,'01-原始价格'!$A:$M,2,FALSE),"")</f>
        <v/>
      </c>
      <c r="C761" s="8">
        <f>IFERROR(VLOOKUP($A761,'01-原始价格'!$A:$M,8,FALSE),"")</f>
        <v/>
      </c>
      <c r="D761" s="10">
        <f>IFERROR(B761/C761,"")</f>
        <v/>
      </c>
      <c r="E761" s="10">
        <f>IFERROR(C761/B761,"")</f>
        <v/>
      </c>
      <c r="F761" s="11">
        <f>IFERROR((D761/D760-1)*100,"")</f>
        <v/>
      </c>
      <c r="G761" s="11">
        <f>IFERROR((COUNTIF($D$510:$D$761,"&lt;"&amp;D761)+0.5*COUNTIF($D$510:$D$761,D761))/COUNT($D$510:$D$761)*100,"")</f>
        <v/>
      </c>
      <c r="H761" s="10">
        <f>IFERROR(AVERAGE($D$510:$D$761),"")</f>
        <v/>
      </c>
      <c r="I761" s="10" t="n">
        <v>-0.5152747052595255</v>
      </c>
      <c r="J761" t="inlineStr"/>
      <c r="K761" t="inlineStr"/>
    </row>
    <row r="762">
      <c r="A762" s="7" t="inlineStr">
        <is>
          <t>2017-04-10</t>
        </is>
      </c>
      <c r="B762" s="8">
        <f>IFERROR(VLOOKUP($A762,'01-原始价格'!$A:$M,2,FALSE),"")</f>
        <v/>
      </c>
      <c r="C762" s="8">
        <f>IFERROR(VLOOKUP($A762,'01-原始价格'!$A:$M,8,FALSE),"")</f>
        <v/>
      </c>
      <c r="D762" s="10">
        <f>IFERROR(B762/C762,"")</f>
        <v/>
      </c>
      <c r="E762" s="10">
        <f>IFERROR(C762/B762,"")</f>
        <v/>
      </c>
      <c r="F762" s="11">
        <f>IFERROR((D762/D761-1)*100,"")</f>
        <v/>
      </c>
      <c r="G762" s="11">
        <f>IFERROR((COUNTIF($D$511:$D$762,"&lt;"&amp;D762)+0.5*COUNTIF($D$511:$D$762,D762))/COUNT($D$511:$D$762)*100,"")</f>
        <v/>
      </c>
      <c r="H762" s="10">
        <f>IFERROR(AVERAGE($D$511:$D$762),"")</f>
        <v/>
      </c>
      <c r="I762" s="10" t="n">
        <v>-0.5648345742871113</v>
      </c>
      <c r="J762" t="inlineStr"/>
      <c r="K762" t="inlineStr"/>
    </row>
    <row r="763">
      <c r="A763" s="7" t="inlineStr">
        <is>
          <t>2017-04-11</t>
        </is>
      </c>
      <c r="B763" s="8">
        <f>IFERROR(VLOOKUP($A763,'01-原始价格'!$A:$M,2,FALSE),"")</f>
        <v/>
      </c>
      <c r="C763" s="8">
        <f>IFERROR(VLOOKUP($A763,'01-原始价格'!$A:$M,8,FALSE),"")</f>
        <v/>
      </c>
      <c r="D763" s="10">
        <f>IFERROR(B763/C763,"")</f>
        <v/>
      </c>
      <c r="E763" s="10">
        <f>IFERROR(C763/B763,"")</f>
        <v/>
      </c>
      <c r="F763" s="11">
        <f>IFERROR((D763/D762-1)*100,"")</f>
        <v/>
      </c>
      <c r="G763" s="11">
        <f>IFERROR((COUNTIF($D$512:$D$763,"&lt;"&amp;D763)+0.5*COUNTIF($D$512:$D$763,D763))/COUNT($D$512:$D$763)*100,"")</f>
        <v/>
      </c>
      <c r="H763" s="10">
        <f>IFERROR(AVERAGE($D$512:$D$763),"")</f>
        <v/>
      </c>
      <c r="I763" s="10" t="n">
        <v>-1.074440238741925</v>
      </c>
      <c r="J763" t="inlineStr"/>
      <c r="K763" t="inlineStr"/>
    </row>
    <row r="764">
      <c r="A764" s="7" t="inlineStr">
        <is>
          <t>2017-04-12</t>
        </is>
      </c>
      <c r="B764" s="8">
        <f>IFERROR(VLOOKUP($A764,'01-原始价格'!$A:$M,2,FALSE),"")</f>
        <v/>
      </c>
      <c r="C764" s="8">
        <f>IFERROR(VLOOKUP($A764,'01-原始价格'!$A:$M,8,FALSE),"")</f>
        <v/>
      </c>
      <c r="D764" s="10">
        <f>IFERROR(B764/C764,"")</f>
        <v/>
      </c>
      <c r="E764" s="10">
        <f>IFERROR(C764/B764,"")</f>
        <v/>
      </c>
      <c r="F764" s="11">
        <f>IFERROR((D764/D763-1)*100,"")</f>
        <v/>
      </c>
      <c r="G764" s="11">
        <f>IFERROR((COUNTIF($D$513:$D$764,"&lt;"&amp;D764)+0.5*COUNTIF($D$513:$D$764,D764))/COUNT($D$513:$D$764)*100,"")</f>
        <v/>
      </c>
      <c r="H764" s="10">
        <f>IFERROR(AVERAGE($D$513:$D$764),"")</f>
        <v/>
      </c>
      <c r="I764" s="10" t="n">
        <v>-1.052157953132167</v>
      </c>
      <c r="J764" t="inlineStr"/>
      <c r="K764" t="inlineStr"/>
    </row>
    <row r="765">
      <c r="A765" s="7" t="inlineStr">
        <is>
          <t>2017-04-13</t>
        </is>
      </c>
      <c r="B765" s="8">
        <f>IFERROR(VLOOKUP($A765,'01-原始价格'!$A:$M,2,FALSE),"")</f>
        <v/>
      </c>
      <c r="C765" s="8">
        <f>IFERROR(VLOOKUP($A765,'01-原始价格'!$A:$M,8,FALSE),"")</f>
        <v/>
      </c>
      <c r="D765" s="10">
        <f>IFERROR(B765/C765,"")</f>
        <v/>
      </c>
      <c r="E765" s="10">
        <f>IFERROR(C765/B765,"")</f>
        <v/>
      </c>
      <c r="F765" s="11">
        <f>IFERROR((D765/D764-1)*100,"")</f>
        <v/>
      </c>
      <c r="G765" s="11">
        <f>IFERROR((COUNTIF($D$514:$D$765,"&lt;"&amp;D765)+0.5*COUNTIF($D$514:$D$765,D765))/COUNT($D$514:$D$765)*100,"")</f>
        <v/>
      </c>
      <c r="H765" s="10">
        <f>IFERROR(AVERAGE($D$514:$D$765),"")</f>
        <v/>
      </c>
      <c r="I765" s="10" t="n">
        <v>-0.7684872588601019</v>
      </c>
      <c r="J765" t="inlineStr"/>
      <c r="K765" t="inlineStr"/>
    </row>
    <row r="766">
      <c r="A766" s="7" t="inlineStr">
        <is>
          <t>2017-04-14</t>
        </is>
      </c>
      <c r="B766" s="8">
        <f>IFERROR(VLOOKUP($A766,'01-原始价格'!$A:$M,2,FALSE),"")</f>
        <v/>
      </c>
      <c r="C766" s="8">
        <f>IFERROR(VLOOKUP($A766,'01-原始价格'!$A:$M,8,FALSE),"")</f>
        <v/>
      </c>
      <c r="D766" s="10">
        <f>IFERROR(B766/C766,"")</f>
        <v/>
      </c>
      <c r="E766" s="10">
        <f>IFERROR(C766/B766,"")</f>
        <v/>
      </c>
      <c r="F766" s="11">
        <f>IFERROR((D766/D765-1)*100,"")</f>
        <v/>
      </c>
      <c r="G766" s="11">
        <f>IFERROR((COUNTIF($D$515:$D$766,"&lt;"&amp;D766)+0.5*COUNTIF($D$515:$D$766,D766))/COUNT($D$515:$D$766)*100,"")</f>
        <v/>
      </c>
      <c r="H766" s="10">
        <f>IFERROR(AVERAGE($D$515:$D$766),"")</f>
        <v/>
      </c>
      <c r="I766" s="10" t="n">
        <v>-0.9147081707509308</v>
      </c>
      <c r="J766" t="inlineStr"/>
      <c r="K766" t="inlineStr"/>
    </row>
    <row r="767">
      <c r="A767" s="7" t="inlineStr">
        <is>
          <t>2017-04-17</t>
        </is>
      </c>
      <c r="B767" s="8">
        <f>IFERROR(VLOOKUP($A767,'01-原始价格'!$A:$M,2,FALSE),"")</f>
        <v/>
      </c>
      <c r="C767" s="8">
        <f>IFERROR(VLOOKUP($A767,'01-原始价格'!$A:$M,8,FALSE),"")</f>
        <v/>
      </c>
      <c r="D767" s="10">
        <f>IFERROR(B767/C767,"")</f>
        <v/>
      </c>
      <c r="E767" s="10">
        <f>IFERROR(C767/B767,"")</f>
        <v/>
      </c>
      <c r="F767" s="11">
        <f>IFERROR((D767/D766-1)*100,"")</f>
        <v/>
      </c>
      <c r="G767" s="11">
        <f>IFERROR((COUNTIF($D$516:$D$767,"&lt;"&amp;D767)+0.5*COUNTIF($D$516:$D$767,D767))/COUNT($D$516:$D$767)*100,"")</f>
        <v/>
      </c>
      <c r="H767" s="10">
        <f>IFERROR(AVERAGE($D$516:$D$767),"")</f>
        <v/>
      </c>
      <c r="I767" s="10" t="n">
        <v>-1.190114542904582</v>
      </c>
      <c r="J767" t="inlineStr"/>
      <c r="K767" t="inlineStr"/>
    </row>
    <row r="768">
      <c r="A768" s="7" t="inlineStr">
        <is>
          <t>2017-04-18</t>
        </is>
      </c>
      <c r="B768" s="8">
        <f>IFERROR(VLOOKUP($A768,'01-原始价格'!$A:$M,2,FALSE),"")</f>
        <v/>
      </c>
      <c r="C768" s="8">
        <f>IFERROR(VLOOKUP($A768,'01-原始价格'!$A:$M,8,FALSE),"")</f>
        <v/>
      </c>
      <c r="D768" s="10">
        <f>IFERROR(B768/C768,"")</f>
        <v/>
      </c>
      <c r="E768" s="10">
        <f>IFERROR(C768/B768,"")</f>
        <v/>
      </c>
      <c r="F768" s="11">
        <f>IFERROR((D768/D767-1)*100,"")</f>
        <v/>
      </c>
      <c r="G768" s="11">
        <f>IFERROR((COUNTIF($D$517:$D$768,"&lt;"&amp;D768)+0.5*COUNTIF($D$517:$D$768,D768))/COUNT($D$517:$D$768)*100,"")</f>
        <v/>
      </c>
      <c r="H768" s="10">
        <f>IFERROR(AVERAGE($D$517:$D$768),"")</f>
        <v/>
      </c>
      <c r="I768" s="10" t="n">
        <v>-1.161920882119036</v>
      </c>
      <c r="J768" t="inlineStr"/>
      <c r="K768" t="inlineStr"/>
    </row>
    <row r="769">
      <c r="A769" s="7" t="inlineStr">
        <is>
          <t>2017-04-19</t>
        </is>
      </c>
      <c r="B769" s="8">
        <f>IFERROR(VLOOKUP($A769,'01-原始价格'!$A:$M,2,FALSE),"")</f>
        <v/>
      </c>
      <c r="C769" s="8">
        <f>IFERROR(VLOOKUP($A769,'01-原始价格'!$A:$M,8,FALSE),"")</f>
        <v/>
      </c>
      <c r="D769" s="10">
        <f>IFERROR(B769/C769,"")</f>
        <v/>
      </c>
      <c r="E769" s="10">
        <f>IFERROR(C769/B769,"")</f>
        <v/>
      </c>
      <c r="F769" s="11">
        <f>IFERROR((D769/D768-1)*100,"")</f>
        <v/>
      </c>
      <c r="G769" s="11">
        <f>IFERROR((COUNTIF($D$518:$D$769,"&lt;"&amp;D769)+0.5*COUNTIF($D$518:$D$769,D769))/COUNT($D$518:$D$769)*100,"")</f>
        <v/>
      </c>
      <c r="H769" s="10">
        <f>IFERROR(AVERAGE($D$518:$D$769),"")</f>
        <v/>
      </c>
      <c r="I769" s="10" t="n">
        <v>-1.079138078165755</v>
      </c>
      <c r="J769" t="inlineStr"/>
      <c r="K769" t="inlineStr"/>
    </row>
    <row r="770">
      <c r="A770" s="7" t="inlineStr">
        <is>
          <t>2017-04-20</t>
        </is>
      </c>
      <c r="B770" s="8">
        <f>IFERROR(VLOOKUP($A770,'01-原始价格'!$A:$M,2,FALSE),"")</f>
        <v/>
      </c>
      <c r="C770" s="8">
        <f>IFERROR(VLOOKUP($A770,'01-原始价格'!$A:$M,8,FALSE),"")</f>
        <v/>
      </c>
      <c r="D770" s="10">
        <f>IFERROR(B770/C770,"")</f>
        <v/>
      </c>
      <c r="E770" s="10">
        <f>IFERROR(C770/B770,"")</f>
        <v/>
      </c>
      <c r="F770" s="11">
        <f>IFERROR((D770/D769-1)*100,"")</f>
        <v/>
      </c>
      <c r="G770" s="11">
        <f>IFERROR((COUNTIF($D$519:$D$770,"&lt;"&amp;D770)+0.5*COUNTIF($D$519:$D$770,D770))/COUNT($D$519:$D$770)*100,"")</f>
        <v/>
      </c>
      <c r="H770" s="10">
        <f>IFERROR(AVERAGE($D$519:$D$770),"")</f>
        <v/>
      </c>
      <c r="I770" s="10" t="n">
        <v>-0.9236249614771387</v>
      </c>
      <c r="J770" t="inlineStr"/>
      <c r="K770" t="inlineStr"/>
    </row>
    <row r="771">
      <c r="A771" s="7" t="inlineStr">
        <is>
          <t>2017-04-21</t>
        </is>
      </c>
      <c r="B771" s="8">
        <f>IFERROR(VLOOKUP($A771,'01-原始价格'!$A:$M,2,FALSE),"")</f>
        <v/>
      </c>
      <c r="C771" s="8">
        <f>IFERROR(VLOOKUP($A771,'01-原始价格'!$A:$M,8,FALSE),"")</f>
        <v/>
      </c>
      <c r="D771" s="10">
        <f>IFERROR(B771/C771,"")</f>
        <v/>
      </c>
      <c r="E771" s="10">
        <f>IFERROR(C771/B771,"")</f>
        <v/>
      </c>
      <c r="F771" s="11">
        <f>IFERROR((D771/D770-1)*100,"")</f>
        <v/>
      </c>
      <c r="G771" s="11">
        <f>IFERROR((COUNTIF($D$520:$D$771,"&lt;"&amp;D771)+0.5*COUNTIF($D$520:$D$771,D771))/COUNT($D$520:$D$771)*100,"")</f>
        <v/>
      </c>
      <c r="H771" s="10">
        <f>IFERROR(AVERAGE($D$520:$D$771),"")</f>
        <v/>
      </c>
      <c r="I771" s="10" t="n">
        <v>-1.014698918543451</v>
      </c>
      <c r="J771" t="inlineStr"/>
      <c r="K771" t="inlineStr"/>
    </row>
    <row r="772">
      <c r="A772" s="7" t="inlineStr">
        <is>
          <t>2017-04-24</t>
        </is>
      </c>
      <c r="B772" s="8">
        <f>IFERROR(VLOOKUP($A772,'01-原始价格'!$A:$M,2,FALSE),"")</f>
        <v/>
      </c>
      <c r="C772" s="8">
        <f>IFERROR(VLOOKUP($A772,'01-原始价格'!$A:$M,8,FALSE),"")</f>
        <v/>
      </c>
      <c r="D772" s="10">
        <f>IFERROR(B772/C772,"")</f>
        <v/>
      </c>
      <c r="E772" s="10">
        <f>IFERROR(C772/B772,"")</f>
        <v/>
      </c>
      <c r="F772" s="11">
        <f>IFERROR((D772/D771-1)*100,"")</f>
        <v/>
      </c>
      <c r="G772" s="11">
        <f>IFERROR((COUNTIF($D$521:$D$772,"&lt;"&amp;D772)+0.5*COUNTIF($D$521:$D$772,D772))/COUNT($D$521:$D$772)*100,"")</f>
        <v/>
      </c>
      <c r="H772" s="10">
        <f>IFERROR(AVERAGE($D$521:$D$772),"")</f>
        <v/>
      </c>
      <c r="I772" s="10" t="n">
        <v>-0.9067292298179848</v>
      </c>
      <c r="J772" t="inlineStr"/>
      <c r="K772" t="inlineStr"/>
    </row>
    <row r="773">
      <c r="A773" s="7" t="inlineStr">
        <is>
          <t>2017-04-25</t>
        </is>
      </c>
      <c r="B773" s="8">
        <f>IFERROR(VLOOKUP($A773,'01-原始价格'!$A:$M,2,FALSE),"")</f>
        <v/>
      </c>
      <c r="C773" s="8">
        <f>IFERROR(VLOOKUP($A773,'01-原始价格'!$A:$M,8,FALSE),"")</f>
        <v/>
      </c>
      <c r="D773" s="10">
        <f>IFERROR(B773/C773,"")</f>
        <v/>
      </c>
      <c r="E773" s="10">
        <f>IFERROR(C773/B773,"")</f>
        <v/>
      </c>
      <c r="F773" s="11">
        <f>IFERROR((D773/D772-1)*100,"")</f>
        <v/>
      </c>
      <c r="G773" s="11">
        <f>IFERROR((COUNTIF($D$522:$D$773,"&lt;"&amp;D773)+0.5*COUNTIF($D$522:$D$773,D773))/COUNT($D$522:$D$773)*100,"")</f>
        <v/>
      </c>
      <c r="H773" s="10">
        <f>IFERROR(AVERAGE($D$522:$D$773),"")</f>
        <v/>
      </c>
      <c r="I773" s="10" t="n">
        <v>-0.6080712404422057</v>
      </c>
      <c r="J773" t="inlineStr"/>
      <c r="K773" t="inlineStr"/>
    </row>
    <row r="774">
      <c r="A774" s="7" t="inlineStr">
        <is>
          <t>2017-04-26</t>
        </is>
      </c>
      <c r="B774" s="8">
        <f>IFERROR(VLOOKUP($A774,'01-原始价格'!$A:$M,2,FALSE),"")</f>
        <v/>
      </c>
      <c r="C774" s="8">
        <f>IFERROR(VLOOKUP($A774,'01-原始价格'!$A:$M,8,FALSE),"")</f>
        <v/>
      </c>
      <c r="D774" s="10">
        <f>IFERROR(B774/C774,"")</f>
        <v/>
      </c>
      <c r="E774" s="10">
        <f>IFERROR(C774/B774,"")</f>
        <v/>
      </c>
      <c r="F774" s="11">
        <f>IFERROR((D774/D773-1)*100,"")</f>
        <v/>
      </c>
      <c r="G774" s="11">
        <f>IFERROR((COUNTIF($D$523:$D$774,"&lt;"&amp;D774)+0.5*COUNTIF($D$523:$D$774,D774))/COUNT($D$523:$D$774)*100,"")</f>
        <v/>
      </c>
      <c r="H774" s="10">
        <f>IFERROR(AVERAGE($D$523:$D$774),"")</f>
        <v/>
      </c>
      <c r="I774" s="10" t="n">
        <v>-0.1212781465468564</v>
      </c>
      <c r="J774" t="inlineStr"/>
      <c r="K774" t="inlineStr"/>
    </row>
    <row r="775">
      <c r="A775" s="7" t="inlineStr">
        <is>
          <t>2017-04-27</t>
        </is>
      </c>
      <c r="B775" s="8">
        <f>IFERROR(VLOOKUP($A775,'01-原始价格'!$A:$M,2,FALSE),"")</f>
        <v/>
      </c>
      <c r="C775" s="8">
        <f>IFERROR(VLOOKUP($A775,'01-原始价格'!$A:$M,8,FALSE),"")</f>
        <v/>
      </c>
      <c r="D775" s="10">
        <f>IFERROR(B775/C775,"")</f>
        <v/>
      </c>
      <c r="E775" s="10">
        <f>IFERROR(C775/B775,"")</f>
        <v/>
      </c>
      <c r="F775" s="11">
        <f>IFERROR((D775/D774-1)*100,"")</f>
        <v/>
      </c>
      <c r="G775" s="11">
        <f>IFERROR((COUNTIF($D$524:$D$775,"&lt;"&amp;D775)+0.5*COUNTIF($D$524:$D$775,D775))/COUNT($D$524:$D$775)*100,"")</f>
        <v/>
      </c>
      <c r="H775" s="10">
        <f>IFERROR(AVERAGE($D$524:$D$775),"")</f>
        <v/>
      </c>
      <c r="I775" s="10" t="n">
        <v>0.4160484724872162</v>
      </c>
      <c r="J775" t="inlineStr"/>
      <c r="K775" t="inlineStr"/>
    </row>
    <row r="776">
      <c r="A776" s="7" t="inlineStr">
        <is>
          <t>2017-04-28</t>
        </is>
      </c>
      <c r="B776" s="8">
        <f>IFERROR(VLOOKUP($A776,'01-原始价格'!$A:$M,2,FALSE),"")</f>
        <v/>
      </c>
      <c r="C776" s="8">
        <f>IFERROR(VLOOKUP($A776,'01-原始价格'!$A:$M,8,FALSE),"")</f>
        <v/>
      </c>
      <c r="D776" s="10">
        <f>IFERROR(B776/C776,"")</f>
        <v/>
      </c>
      <c r="E776" s="10">
        <f>IFERROR(C776/B776,"")</f>
        <v/>
      </c>
      <c r="F776" s="11">
        <f>IFERROR((D776/D775-1)*100,"")</f>
        <v/>
      </c>
      <c r="G776" s="11">
        <f>IFERROR((COUNTIF($D$525:$D$776,"&lt;"&amp;D776)+0.5*COUNTIF($D$525:$D$776,D776))/COUNT($D$525:$D$776)*100,"")</f>
        <v/>
      </c>
      <c r="H776" s="10">
        <f>IFERROR(AVERAGE($D$525:$D$776),"")</f>
        <v/>
      </c>
      <c r="I776" s="10" t="n">
        <v>-0.409987095406985</v>
      </c>
      <c r="J776" t="inlineStr"/>
      <c r="K776" t="inlineStr"/>
    </row>
    <row r="777">
      <c r="A777" s="7" t="inlineStr">
        <is>
          <t>2017-05-02</t>
        </is>
      </c>
      <c r="B777" s="8">
        <f>IFERROR(VLOOKUP($A777,'01-原始价格'!$A:$M,2,FALSE),"")</f>
        <v/>
      </c>
      <c r="C777" s="8">
        <f>IFERROR(VLOOKUP($A777,'01-原始价格'!$A:$M,8,FALSE),"")</f>
        <v/>
      </c>
      <c r="D777" s="10">
        <f>IFERROR(B777/C777,"")</f>
        <v/>
      </c>
      <c r="E777" s="10">
        <f>IFERROR(C777/B777,"")</f>
        <v/>
      </c>
      <c r="F777" s="11">
        <f>IFERROR((D777/D776-1)*100,"")</f>
        <v/>
      </c>
      <c r="G777" s="11">
        <f>IFERROR((COUNTIF($D$526:$D$777,"&lt;"&amp;D777)+0.5*COUNTIF($D$526:$D$777,D777))/COUNT($D$526:$D$777)*100,"")</f>
        <v/>
      </c>
      <c r="H777" s="10">
        <f>IFERROR(AVERAGE($D$526:$D$777),"")</f>
        <v/>
      </c>
      <c r="I777" s="10" t="n">
        <v>-0.5312311858569829</v>
      </c>
      <c r="J777" t="inlineStr"/>
      <c r="K777" t="inlineStr"/>
    </row>
    <row r="778">
      <c r="A778" s="7" t="inlineStr">
        <is>
          <t>2017-05-03</t>
        </is>
      </c>
      <c r="B778" s="8">
        <f>IFERROR(VLOOKUP($A778,'01-原始价格'!$A:$M,2,FALSE),"")</f>
        <v/>
      </c>
      <c r="C778" s="8">
        <f>IFERROR(VLOOKUP($A778,'01-原始价格'!$A:$M,8,FALSE),"")</f>
        <v/>
      </c>
      <c r="D778" s="10">
        <f>IFERROR(B778/C778,"")</f>
        <v/>
      </c>
      <c r="E778" s="10">
        <f>IFERROR(C778/B778,"")</f>
        <v/>
      </c>
      <c r="F778" s="11">
        <f>IFERROR((D778/D777-1)*100,"")</f>
        <v/>
      </c>
      <c r="G778" s="11">
        <f>IFERROR((COUNTIF($D$527:$D$778,"&lt;"&amp;D778)+0.5*COUNTIF($D$527:$D$778,D778))/COUNT($D$527:$D$778)*100,"")</f>
        <v/>
      </c>
      <c r="H778" s="10">
        <f>IFERROR(AVERAGE($D$527:$D$778),"")</f>
        <v/>
      </c>
      <c r="I778" s="10" t="n">
        <v>-0.5600233355852743</v>
      </c>
      <c r="J778" t="inlineStr"/>
      <c r="K778" t="inlineStr"/>
    </row>
    <row r="779">
      <c r="A779" s="7" t="inlineStr">
        <is>
          <t>2017-05-04</t>
        </is>
      </c>
      <c r="B779" s="8">
        <f>IFERROR(VLOOKUP($A779,'01-原始价格'!$A:$M,2,FALSE),"")</f>
        <v/>
      </c>
      <c r="C779" s="8">
        <f>IFERROR(VLOOKUP($A779,'01-原始价格'!$A:$M,8,FALSE),"")</f>
        <v/>
      </c>
      <c r="D779" s="10">
        <f>IFERROR(B779/C779,"")</f>
        <v/>
      </c>
      <c r="E779" s="10">
        <f>IFERROR(C779/B779,"")</f>
        <v/>
      </c>
      <c r="F779" s="11">
        <f>IFERROR((D779/D778-1)*100,"")</f>
        <v/>
      </c>
      <c r="G779" s="11">
        <f>IFERROR((COUNTIF($D$528:$D$779,"&lt;"&amp;D779)+0.5*COUNTIF($D$528:$D$779,D779))/COUNT($D$528:$D$779)*100,"")</f>
        <v/>
      </c>
      <c r="H779" s="10">
        <f>IFERROR(AVERAGE($D$528:$D$779),"")</f>
        <v/>
      </c>
      <c r="I779" s="10" t="n">
        <v>-1.518823676589413</v>
      </c>
      <c r="J779" t="inlineStr"/>
      <c r="K779" t="inlineStr"/>
    </row>
    <row r="780">
      <c r="A780" s="7" t="inlineStr">
        <is>
          <t>2017-05-05</t>
        </is>
      </c>
      <c r="B780" s="8">
        <f>IFERROR(VLOOKUP($A780,'01-原始价格'!$A:$M,2,FALSE),"")</f>
        <v/>
      </c>
      <c r="C780" s="8">
        <f>IFERROR(VLOOKUP($A780,'01-原始价格'!$A:$M,8,FALSE),"")</f>
        <v/>
      </c>
      <c r="D780" s="10">
        <f>IFERROR(B780/C780,"")</f>
        <v/>
      </c>
      <c r="E780" s="10">
        <f>IFERROR(C780/B780,"")</f>
        <v/>
      </c>
      <c r="F780" s="11">
        <f>IFERROR((D780/D779-1)*100,"")</f>
        <v/>
      </c>
      <c r="G780" s="11">
        <f>IFERROR((COUNTIF($D$529:$D$780,"&lt;"&amp;D780)+0.5*COUNTIF($D$529:$D$780,D780))/COUNT($D$529:$D$780)*100,"")</f>
        <v/>
      </c>
      <c r="H780" s="10">
        <f>IFERROR(AVERAGE($D$529:$D$780),"")</f>
        <v/>
      </c>
      <c r="I780" s="10" t="n">
        <v>-1.728248123005428</v>
      </c>
      <c r="J780" t="inlineStr"/>
      <c r="K780" t="inlineStr"/>
    </row>
    <row r="781">
      <c r="A781" s="7" t="inlineStr">
        <is>
          <t>2017-05-08</t>
        </is>
      </c>
      <c r="B781" s="8">
        <f>IFERROR(VLOOKUP($A781,'01-原始价格'!$A:$M,2,FALSE),"")</f>
        <v/>
      </c>
      <c r="C781" s="8">
        <f>IFERROR(VLOOKUP($A781,'01-原始价格'!$A:$M,8,FALSE),"")</f>
        <v/>
      </c>
      <c r="D781" s="10">
        <f>IFERROR(B781/C781,"")</f>
        <v/>
      </c>
      <c r="E781" s="10">
        <f>IFERROR(C781/B781,"")</f>
        <v/>
      </c>
      <c r="F781" s="11">
        <f>IFERROR((D781/D780-1)*100,"")</f>
        <v/>
      </c>
      <c r="G781" s="11">
        <f>IFERROR((COUNTIF($D$530:$D$781,"&lt;"&amp;D781)+0.5*COUNTIF($D$530:$D$781,D781))/COUNT($D$530:$D$781)*100,"")</f>
        <v/>
      </c>
      <c r="H781" s="10">
        <f>IFERROR(AVERAGE($D$530:$D$781),"")</f>
        <v/>
      </c>
      <c r="I781" s="10" t="n">
        <v>-1.553983737178317</v>
      </c>
      <c r="J781" t="inlineStr"/>
      <c r="K781" t="inlineStr"/>
    </row>
    <row r="782">
      <c r="A782" s="7" t="inlineStr">
        <is>
          <t>2017-05-09</t>
        </is>
      </c>
      <c r="B782" s="8">
        <f>IFERROR(VLOOKUP($A782,'01-原始价格'!$A:$M,2,FALSE),"")</f>
        <v/>
      </c>
      <c r="C782" s="8">
        <f>IFERROR(VLOOKUP($A782,'01-原始价格'!$A:$M,8,FALSE),"")</f>
        <v/>
      </c>
      <c r="D782" s="10">
        <f>IFERROR(B782/C782,"")</f>
        <v/>
      </c>
      <c r="E782" s="10">
        <f>IFERROR(C782/B782,"")</f>
        <v/>
      </c>
      <c r="F782" s="11">
        <f>IFERROR((D782/D781-1)*100,"")</f>
        <v/>
      </c>
      <c r="G782" s="11">
        <f>IFERROR((COUNTIF($D$531:$D$782,"&lt;"&amp;D782)+0.5*COUNTIF($D$531:$D$782,D782))/COUNT($D$531:$D$782)*100,"")</f>
        <v/>
      </c>
      <c r="H782" s="10">
        <f>IFERROR(AVERAGE($D$531:$D$782),"")</f>
        <v/>
      </c>
      <c r="I782" s="10" t="n">
        <v>-1.624411586856941</v>
      </c>
      <c r="J782" t="inlineStr"/>
      <c r="K782" t="inlineStr"/>
    </row>
    <row r="783">
      <c r="A783" s="7" t="inlineStr">
        <is>
          <t>2017-05-10</t>
        </is>
      </c>
      <c r="B783" s="8">
        <f>IFERROR(VLOOKUP($A783,'01-原始价格'!$A:$M,2,FALSE),"")</f>
        <v/>
      </c>
      <c r="C783" s="8">
        <f>IFERROR(VLOOKUP($A783,'01-原始价格'!$A:$M,8,FALSE),"")</f>
        <v/>
      </c>
      <c r="D783" s="10">
        <f>IFERROR(B783/C783,"")</f>
        <v/>
      </c>
      <c r="E783" s="10">
        <f>IFERROR(C783/B783,"")</f>
        <v/>
      </c>
      <c r="F783" s="11">
        <f>IFERROR((D783/D782-1)*100,"")</f>
        <v/>
      </c>
      <c r="G783" s="11">
        <f>IFERROR((COUNTIF($D$532:$D$783,"&lt;"&amp;D783)+0.5*COUNTIF($D$532:$D$783,D783))/COUNT($D$532:$D$783)*100,"")</f>
        <v/>
      </c>
      <c r="H783" s="10">
        <f>IFERROR(AVERAGE($D$532:$D$783),"")</f>
        <v/>
      </c>
      <c r="I783" s="10" t="n">
        <v>-1.904940181411629</v>
      </c>
      <c r="J783" t="inlineStr"/>
      <c r="K783" t="inlineStr"/>
    </row>
    <row r="784">
      <c r="A784" s="7" t="inlineStr">
        <is>
          <t>2017-05-11</t>
        </is>
      </c>
      <c r="B784" s="8">
        <f>IFERROR(VLOOKUP($A784,'01-原始价格'!$A:$M,2,FALSE),"")</f>
        <v/>
      </c>
      <c r="C784" s="8">
        <f>IFERROR(VLOOKUP($A784,'01-原始价格'!$A:$M,8,FALSE),"")</f>
        <v/>
      </c>
      <c r="D784" s="10">
        <f>IFERROR(B784/C784,"")</f>
        <v/>
      </c>
      <c r="E784" s="10">
        <f>IFERROR(C784/B784,"")</f>
        <v/>
      </c>
      <c r="F784" s="11">
        <f>IFERROR((D784/D783-1)*100,"")</f>
        <v/>
      </c>
      <c r="G784" s="11">
        <f>IFERROR((COUNTIF($D$533:$D$784,"&lt;"&amp;D784)+0.5*COUNTIF($D$533:$D$784,D784))/COUNT($D$533:$D$784)*100,"")</f>
        <v/>
      </c>
      <c r="H784" s="10">
        <f>IFERROR(AVERAGE($D$533:$D$784),"")</f>
        <v/>
      </c>
      <c r="I784" s="10" t="n">
        <v>-2.311965853154869</v>
      </c>
      <c r="J784" t="inlineStr"/>
      <c r="K784" t="inlineStr"/>
    </row>
    <row r="785">
      <c r="A785" s="7" t="inlineStr">
        <is>
          <t>2017-05-12</t>
        </is>
      </c>
      <c r="B785" s="8">
        <f>IFERROR(VLOOKUP($A785,'01-原始价格'!$A:$M,2,FALSE),"")</f>
        <v/>
      </c>
      <c r="C785" s="8">
        <f>IFERROR(VLOOKUP($A785,'01-原始价格'!$A:$M,8,FALSE),"")</f>
        <v/>
      </c>
      <c r="D785" s="10">
        <f>IFERROR(B785/C785,"")</f>
        <v/>
      </c>
      <c r="E785" s="10">
        <f>IFERROR(C785/B785,"")</f>
        <v/>
      </c>
      <c r="F785" s="11">
        <f>IFERROR((D785/D784-1)*100,"")</f>
        <v/>
      </c>
      <c r="G785" s="11">
        <f>IFERROR((COUNTIF($D$534:$D$785,"&lt;"&amp;D785)+0.5*COUNTIF($D$534:$D$785,D785))/COUNT($D$534:$D$785)*100,"")</f>
        <v/>
      </c>
      <c r="H785" s="10">
        <f>IFERROR(AVERAGE($D$534:$D$785),"")</f>
        <v/>
      </c>
      <c r="I785" s="10" t="n">
        <v>-2.646535573692528</v>
      </c>
      <c r="J785" t="inlineStr"/>
      <c r="K785" t="inlineStr"/>
    </row>
    <row r="786">
      <c r="A786" s="7" t="inlineStr">
        <is>
          <t>2017-05-15</t>
        </is>
      </c>
      <c r="B786" s="8">
        <f>IFERROR(VLOOKUP($A786,'01-原始价格'!$A:$M,2,FALSE),"")</f>
        <v/>
      </c>
      <c r="C786" s="8">
        <f>IFERROR(VLOOKUP($A786,'01-原始价格'!$A:$M,8,FALSE),"")</f>
        <v/>
      </c>
      <c r="D786" s="10">
        <f>IFERROR(B786/C786,"")</f>
        <v/>
      </c>
      <c r="E786" s="10">
        <f>IFERROR(C786/B786,"")</f>
        <v/>
      </c>
      <c r="F786" s="11">
        <f>IFERROR((D786/D785-1)*100,"")</f>
        <v/>
      </c>
      <c r="G786" s="11">
        <f>IFERROR((COUNTIF($D$535:$D$786,"&lt;"&amp;D786)+0.5*COUNTIF($D$535:$D$786,D786))/COUNT($D$535:$D$786)*100,"")</f>
        <v/>
      </c>
      <c r="H786" s="10">
        <f>IFERROR(AVERAGE($D$535:$D$786),"")</f>
        <v/>
      </c>
      <c r="I786" s="10" t="n">
        <v>-2.542950790347347</v>
      </c>
      <c r="J786" t="inlineStr"/>
      <c r="K786" t="inlineStr"/>
    </row>
    <row r="787">
      <c r="A787" s="7" t="inlineStr">
        <is>
          <t>2017-05-16</t>
        </is>
      </c>
      <c r="B787" s="8">
        <f>IFERROR(VLOOKUP($A787,'01-原始价格'!$A:$M,2,FALSE),"")</f>
        <v/>
      </c>
      <c r="C787" s="8">
        <f>IFERROR(VLOOKUP($A787,'01-原始价格'!$A:$M,8,FALSE),"")</f>
        <v/>
      </c>
      <c r="D787" s="10">
        <f>IFERROR(B787/C787,"")</f>
        <v/>
      </c>
      <c r="E787" s="10">
        <f>IFERROR(C787/B787,"")</f>
        <v/>
      </c>
      <c r="F787" s="11">
        <f>IFERROR((D787/D786-1)*100,"")</f>
        <v/>
      </c>
      <c r="G787" s="11">
        <f>IFERROR((COUNTIF($D$536:$D$787,"&lt;"&amp;D787)+0.5*COUNTIF($D$536:$D$787,D787))/COUNT($D$536:$D$787)*100,"")</f>
        <v/>
      </c>
      <c r="H787" s="10">
        <f>IFERROR(AVERAGE($D$536:$D$787),"")</f>
        <v/>
      </c>
      <c r="I787" s="10" t="n">
        <v>-2.507479687818468</v>
      </c>
      <c r="J787" t="inlineStr"/>
      <c r="K787" t="inlineStr"/>
    </row>
    <row r="788">
      <c r="A788" s="7" t="inlineStr">
        <is>
          <t>2017-05-17</t>
        </is>
      </c>
      <c r="B788" s="8">
        <f>IFERROR(VLOOKUP($A788,'01-原始价格'!$A:$M,2,FALSE),"")</f>
        <v/>
      </c>
      <c r="C788" s="8">
        <f>IFERROR(VLOOKUP($A788,'01-原始价格'!$A:$M,8,FALSE),"")</f>
        <v/>
      </c>
      <c r="D788" s="10">
        <f>IFERROR(B788/C788,"")</f>
        <v/>
      </c>
      <c r="E788" s="10">
        <f>IFERROR(C788/B788,"")</f>
        <v/>
      </c>
      <c r="F788" s="11">
        <f>IFERROR((D788/D787-1)*100,"")</f>
        <v/>
      </c>
      <c r="G788" s="11">
        <f>IFERROR((COUNTIF($D$537:$D$788,"&lt;"&amp;D788)+0.5*COUNTIF($D$537:$D$788,D788))/COUNT($D$537:$D$788)*100,"")</f>
        <v/>
      </c>
      <c r="H788" s="10">
        <f>IFERROR(AVERAGE($D$537:$D$788),"")</f>
        <v/>
      </c>
      <c r="I788" s="10" t="n">
        <v>-2.476864029309744</v>
      </c>
      <c r="J788" t="inlineStr"/>
      <c r="K788" t="inlineStr"/>
    </row>
    <row r="789">
      <c r="A789" s="7" t="inlineStr">
        <is>
          <t>2017-05-18</t>
        </is>
      </c>
      <c r="B789" s="8">
        <f>IFERROR(VLOOKUP($A789,'01-原始价格'!$A:$M,2,FALSE),"")</f>
        <v/>
      </c>
      <c r="C789" s="8">
        <f>IFERROR(VLOOKUP($A789,'01-原始价格'!$A:$M,8,FALSE),"")</f>
        <v/>
      </c>
      <c r="D789" s="10">
        <f>IFERROR(B789/C789,"")</f>
        <v/>
      </c>
      <c r="E789" s="10">
        <f>IFERROR(C789/B789,"")</f>
        <v/>
      </c>
      <c r="F789" s="11">
        <f>IFERROR((D789/D788-1)*100,"")</f>
        <v/>
      </c>
      <c r="G789" s="11">
        <f>IFERROR((COUNTIF($D$538:$D$789,"&lt;"&amp;D789)+0.5*COUNTIF($D$538:$D$789,D789))/COUNT($D$538:$D$789)*100,"")</f>
        <v/>
      </c>
      <c r="H789" s="10">
        <f>IFERROR(AVERAGE($D$538:$D$789),"")</f>
        <v/>
      </c>
      <c r="I789" s="10" t="n">
        <v>-2.498178023664166</v>
      </c>
      <c r="J789" t="inlineStr"/>
      <c r="K789" t="inlineStr"/>
    </row>
    <row r="790">
      <c r="A790" s="7" t="inlineStr">
        <is>
          <t>2017-05-19</t>
        </is>
      </c>
      <c r="B790" s="8">
        <f>IFERROR(VLOOKUP($A790,'01-原始价格'!$A:$M,2,FALSE),"")</f>
        <v/>
      </c>
      <c r="C790" s="8">
        <f>IFERROR(VLOOKUP($A790,'01-原始价格'!$A:$M,8,FALSE),"")</f>
        <v/>
      </c>
      <c r="D790" s="10">
        <f>IFERROR(B790/C790,"")</f>
        <v/>
      </c>
      <c r="E790" s="10">
        <f>IFERROR(C790/B790,"")</f>
        <v/>
      </c>
      <c r="F790" s="11">
        <f>IFERROR((D790/D789-1)*100,"")</f>
        <v/>
      </c>
      <c r="G790" s="11">
        <f>IFERROR((COUNTIF($D$539:$D$790,"&lt;"&amp;D790)+0.5*COUNTIF($D$539:$D$790,D790))/COUNT($D$539:$D$790)*100,"")</f>
        <v/>
      </c>
      <c r="H790" s="10">
        <f>IFERROR(AVERAGE($D$539:$D$790),"")</f>
        <v/>
      </c>
      <c r="I790" s="10" t="n">
        <v>-1.553622215943639</v>
      </c>
      <c r="J790" t="inlineStr"/>
      <c r="K790" t="inlineStr"/>
    </row>
    <row r="791">
      <c r="A791" s="7" t="inlineStr">
        <is>
          <t>2017-05-22</t>
        </is>
      </c>
      <c r="B791" s="8">
        <f>IFERROR(VLOOKUP($A791,'01-原始价格'!$A:$M,2,FALSE),"")</f>
        <v/>
      </c>
      <c r="C791" s="8">
        <f>IFERROR(VLOOKUP($A791,'01-原始价格'!$A:$M,8,FALSE),"")</f>
        <v/>
      </c>
      <c r="D791" s="10">
        <f>IFERROR(B791/C791,"")</f>
        <v/>
      </c>
      <c r="E791" s="10">
        <f>IFERROR(C791/B791,"")</f>
        <v/>
      </c>
      <c r="F791" s="11">
        <f>IFERROR((D791/D790-1)*100,"")</f>
        <v/>
      </c>
      <c r="G791" s="11">
        <f>IFERROR((COUNTIF($D$540:$D$791,"&lt;"&amp;D791)+0.5*COUNTIF($D$540:$D$791,D791))/COUNT($D$540:$D$791)*100,"")</f>
        <v/>
      </c>
      <c r="H791" s="10">
        <f>IFERROR(AVERAGE($D$540:$D$791),"")</f>
        <v/>
      </c>
      <c r="I791" s="10" t="n">
        <v>-1.219712650896733</v>
      </c>
      <c r="J791" t="inlineStr"/>
      <c r="K791" t="inlineStr"/>
    </row>
    <row r="792">
      <c r="A792" s="7" t="inlineStr">
        <is>
          <t>2017-05-23</t>
        </is>
      </c>
      <c r="B792" s="8">
        <f>IFERROR(VLOOKUP($A792,'01-原始价格'!$A:$M,2,FALSE),"")</f>
        <v/>
      </c>
      <c r="C792" s="8">
        <f>IFERROR(VLOOKUP($A792,'01-原始价格'!$A:$M,8,FALSE),"")</f>
        <v/>
      </c>
      <c r="D792" s="10">
        <f>IFERROR(B792/C792,"")</f>
        <v/>
      </c>
      <c r="E792" s="10">
        <f>IFERROR(C792/B792,"")</f>
        <v/>
      </c>
      <c r="F792" s="11">
        <f>IFERROR((D792/D791-1)*100,"")</f>
        <v/>
      </c>
      <c r="G792" s="11">
        <f>IFERROR((COUNTIF($D$541:$D$792,"&lt;"&amp;D792)+0.5*COUNTIF($D$541:$D$792,D792))/COUNT($D$541:$D$792)*100,"")</f>
        <v/>
      </c>
      <c r="H792" s="10">
        <f>IFERROR(AVERAGE($D$541:$D$792),"")</f>
        <v/>
      </c>
      <c r="I792" s="10" t="n">
        <v>-1.11309737979258</v>
      </c>
      <c r="J792" t="inlineStr"/>
      <c r="K792" t="inlineStr"/>
    </row>
    <row r="793">
      <c r="A793" s="7" t="inlineStr">
        <is>
          <t>2017-05-24</t>
        </is>
      </c>
      <c r="B793" s="8">
        <f>IFERROR(VLOOKUP($A793,'01-原始价格'!$A:$M,2,FALSE),"")</f>
        <v/>
      </c>
      <c r="C793" s="8">
        <f>IFERROR(VLOOKUP($A793,'01-原始价格'!$A:$M,8,FALSE),"")</f>
        <v/>
      </c>
      <c r="D793" s="10">
        <f>IFERROR(B793/C793,"")</f>
        <v/>
      </c>
      <c r="E793" s="10">
        <f>IFERROR(C793/B793,"")</f>
        <v/>
      </c>
      <c r="F793" s="11">
        <f>IFERROR((D793/D792-1)*100,"")</f>
        <v/>
      </c>
      <c r="G793" s="11">
        <f>IFERROR((COUNTIF($D$542:$D$793,"&lt;"&amp;D793)+0.5*COUNTIF($D$542:$D$793,D793))/COUNT($D$542:$D$793)*100,"")</f>
        <v/>
      </c>
      <c r="H793" s="10">
        <f>IFERROR(AVERAGE($D$542:$D$793),"")</f>
        <v/>
      </c>
      <c r="I793" s="10" t="n">
        <v>-1.108344591967739</v>
      </c>
      <c r="J793" t="inlineStr"/>
      <c r="K793" t="inlineStr"/>
    </row>
    <row r="794">
      <c r="A794" s="7" t="inlineStr">
        <is>
          <t>2017-05-25</t>
        </is>
      </c>
      <c r="B794" s="8">
        <f>IFERROR(VLOOKUP($A794,'01-原始价格'!$A:$M,2,FALSE),"")</f>
        <v/>
      </c>
      <c r="C794" s="8">
        <f>IFERROR(VLOOKUP($A794,'01-原始价格'!$A:$M,8,FALSE),"")</f>
        <v/>
      </c>
      <c r="D794" s="10">
        <f>IFERROR(B794/C794,"")</f>
        <v/>
      </c>
      <c r="E794" s="10">
        <f>IFERROR(C794/B794,"")</f>
        <v/>
      </c>
      <c r="F794" s="11">
        <f>IFERROR((D794/D793-1)*100,"")</f>
        <v/>
      </c>
      <c r="G794" s="11">
        <f>IFERROR((COUNTIF($D$543:$D$794,"&lt;"&amp;D794)+0.5*COUNTIF($D$543:$D$794,D794))/COUNT($D$543:$D$794)*100,"")</f>
        <v/>
      </c>
      <c r="H794" s="10">
        <f>IFERROR(AVERAGE($D$543:$D$794),"")</f>
        <v/>
      </c>
      <c r="I794" s="10" t="n">
        <v>-0.5285495431620459</v>
      </c>
      <c r="J794" t="inlineStr"/>
      <c r="K794" t="inlineStr"/>
    </row>
    <row r="795">
      <c r="A795" s="7" t="inlineStr">
        <is>
          <t>2017-05-26</t>
        </is>
      </c>
      <c r="B795" s="8">
        <f>IFERROR(VLOOKUP($A795,'01-原始价格'!$A:$M,2,FALSE),"")</f>
        <v/>
      </c>
      <c r="C795" s="8">
        <f>IFERROR(VLOOKUP($A795,'01-原始价格'!$A:$M,8,FALSE),"")</f>
        <v/>
      </c>
      <c r="D795" s="10">
        <f>IFERROR(B795/C795,"")</f>
        <v/>
      </c>
      <c r="E795" s="10">
        <f>IFERROR(C795/B795,"")</f>
        <v/>
      </c>
      <c r="F795" s="11">
        <f>IFERROR((D795/D794-1)*100,"")</f>
        <v/>
      </c>
      <c r="G795" s="11">
        <f>IFERROR((COUNTIF($D$544:$D$795,"&lt;"&amp;D795)+0.5*COUNTIF($D$544:$D$795,D795))/COUNT($D$544:$D$795)*100,"")</f>
        <v/>
      </c>
      <c r="H795" s="10">
        <f>IFERROR(AVERAGE($D$544:$D$795),"")</f>
        <v/>
      </c>
      <c r="I795" s="10" t="n">
        <v>-0.5616530483010651</v>
      </c>
      <c r="J795" t="inlineStr"/>
      <c r="K795" t="inlineStr"/>
    </row>
    <row r="796">
      <c r="A796" s="7" t="inlineStr">
        <is>
          <t>2017-05-31</t>
        </is>
      </c>
      <c r="B796" s="8">
        <f>IFERROR(VLOOKUP($A796,'01-原始价格'!$A:$M,2,FALSE),"")</f>
        <v/>
      </c>
      <c r="C796" s="8">
        <f>IFERROR(VLOOKUP($A796,'01-原始价格'!$A:$M,8,FALSE),"")</f>
        <v/>
      </c>
      <c r="D796" s="10">
        <f>IFERROR(B796/C796,"")</f>
        <v/>
      </c>
      <c r="E796" s="10">
        <f>IFERROR(C796/B796,"")</f>
        <v/>
      </c>
      <c r="F796" s="11">
        <f>IFERROR((D796/D795-1)*100,"")</f>
        <v/>
      </c>
      <c r="G796" s="11">
        <f>IFERROR((COUNTIF($D$545:$D$796,"&lt;"&amp;D796)+0.5*COUNTIF($D$545:$D$796,D796))/COUNT($D$545:$D$796)*100,"")</f>
        <v/>
      </c>
      <c r="H796" s="10">
        <f>IFERROR(AVERAGE($D$545:$D$796),"")</f>
        <v/>
      </c>
      <c r="I796" s="10" t="n">
        <v>-0.9740522499820552</v>
      </c>
      <c r="J796" t="inlineStr"/>
      <c r="K796" t="inlineStr"/>
    </row>
    <row r="797">
      <c r="A797" s="7" t="inlineStr">
        <is>
          <t>2017-06-01</t>
        </is>
      </c>
      <c r="B797" s="8">
        <f>IFERROR(VLOOKUP($A797,'01-原始价格'!$A:$M,2,FALSE),"")</f>
        <v/>
      </c>
      <c r="C797" s="8">
        <f>IFERROR(VLOOKUP($A797,'01-原始价格'!$A:$M,8,FALSE),"")</f>
        <v/>
      </c>
      <c r="D797" s="10">
        <f>IFERROR(B797/C797,"")</f>
        <v/>
      </c>
      <c r="E797" s="10">
        <f>IFERROR(C797/B797,"")</f>
        <v/>
      </c>
      <c r="F797" s="11">
        <f>IFERROR((D797/D796-1)*100,"")</f>
        <v/>
      </c>
      <c r="G797" s="11">
        <f>IFERROR((COUNTIF($D$546:$D$797,"&lt;"&amp;D797)+0.5*COUNTIF($D$546:$D$797,D797))/COUNT($D$546:$D$797)*100,"")</f>
        <v/>
      </c>
      <c r="H797" s="10">
        <f>IFERROR(AVERAGE($D$546:$D$797),"")</f>
        <v/>
      </c>
      <c r="I797" s="10" t="n">
        <v>-1.830684454101959</v>
      </c>
      <c r="J797" t="inlineStr"/>
      <c r="K797" t="inlineStr"/>
    </row>
    <row r="798">
      <c r="A798" s="7" t="inlineStr">
        <is>
          <t>2017-06-02</t>
        </is>
      </c>
      <c r="B798" s="8">
        <f>IFERROR(VLOOKUP($A798,'01-原始价格'!$A:$M,2,FALSE),"")</f>
        <v/>
      </c>
      <c r="C798" s="8">
        <f>IFERROR(VLOOKUP($A798,'01-原始价格'!$A:$M,8,FALSE),"")</f>
        <v/>
      </c>
      <c r="D798" s="10">
        <f>IFERROR(B798/C798,"")</f>
        <v/>
      </c>
      <c r="E798" s="10">
        <f>IFERROR(C798/B798,"")</f>
        <v/>
      </c>
      <c r="F798" s="11">
        <f>IFERROR((D798/D797-1)*100,"")</f>
        <v/>
      </c>
      <c r="G798" s="11">
        <f>IFERROR((COUNTIF($D$547:$D$798,"&lt;"&amp;D798)+0.5*COUNTIF($D$547:$D$798,D798))/COUNT($D$547:$D$798)*100,"")</f>
        <v/>
      </c>
      <c r="H798" s="10">
        <f>IFERROR(AVERAGE($D$547:$D$798),"")</f>
        <v/>
      </c>
      <c r="I798" s="10" t="n">
        <v>-1.680650549873843</v>
      </c>
      <c r="J798" t="inlineStr"/>
      <c r="K798" t="inlineStr"/>
    </row>
    <row r="799">
      <c r="A799" s="7" t="inlineStr">
        <is>
          <t>2017-06-05</t>
        </is>
      </c>
      <c r="B799" s="8">
        <f>IFERROR(VLOOKUP($A799,'01-原始价格'!$A:$M,2,FALSE),"")</f>
        <v/>
      </c>
      <c r="C799" s="8">
        <f>IFERROR(VLOOKUP($A799,'01-原始价格'!$A:$M,8,FALSE),"")</f>
        <v/>
      </c>
      <c r="D799" s="10">
        <f>IFERROR(B799/C799,"")</f>
        <v/>
      </c>
      <c r="E799" s="10">
        <f>IFERROR(C799/B799,"")</f>
        <v/>
      </c>
      <c r="F799" s="11">
        <f>IFERROR((D799/D798-1)*100,"")</f>
        <v/>
      </c>
      <c r="G799" s="11">
        <f>IFERROR((COUNTIF($D$548:$D$799,"&lt;"&amp;D799)+0.5*COUNTIF($D$548:$D$799,D799))/COUNT($D$548:$D$799)*100,"")</f>
        <v/>
      </c>
      <c r="H799" s="10">
        <f>IFERROR(AVERAGE($D$548:$D$799),"")</f>
        <v/>
      </c>
      <c r="I799" s="10" t="n">
        <v>-1.504324550628523</v>
      </c>
      <c r="J799" t="inlineStr"/>
      <c r="K799" t="inlineStr"/>
    </row>
    <row r="800">
      <c r="A800" s="7" t="inlineStr">
        <is>
          <t>2017-06-06</t>
        </is>
      </c>
      <c r="B800" s="8">
        <f>IFERROR(VLOOKUP($A800,'01-原始价格'!$A:$M,2,FALSE),"")</f>
        <v/>
      </c>
      <c r="C800" s="8">
        <f>IFERROR(VLOOKUP($A800,'01-原始价格'!$A:$M,8,FALSE),"")</f>
        <v/>
      </c>
      <c r="D800" s="10">
        <f>IFERROR(B800/C800,"")</f>
        <v/>
      </c>
      <c r="E800" s="10">
        <f>IFERROR(C800/B800,"")</f>
        <v/>
      </c>
      <c r="F800" s="11">
        <f>IFERROR((D800/D799-1)*100,"")</f>
        <v/>
      </c>
      <c r="G800" s="11">
        <f>IFERROR((COUNTIF($D$549:$D$800,"&lt;"&amp;D800)+0.5*COUNTIF($D$549:$D$800,D800))/COUNT($D$549:$D$800)*100,"")</f>
        <v/>
      </c>
      <c r="H800" s="10">
        <f>IFERROR(AVERAGE($D$549:$D$800),"")</f>
        <v/>
      </c>
      <c r="I800" s="10" t="n">
        <v>-1.272294778880327</v>
      </c>
      <c r="J800" t="inlineStr"/>
      <c r="K800" t="inlineStr"/>
    </row>
    <row r="801">
      <c r="A801" s="7" t="inlineStr">
        <is>
          <t>2017-06-07</t>
        </is>
      </c>
      <c r="B801" s="8">
        <f>IFERROR(VLOOKUP($A801,'01-原始价格'!$A:$M,2,FALSE),"")</f>
        <v/>
      </c>
      <c r="C801" s="8">
        <f>IFERROR(VLOOKUP($A801,'01-原始价格'!$A:$M,8,FALSE),"")</f>
        <v/>
      </c>
      <c r="D801" s="10">
        <f>IFERROR(B801/C801,"")</f>
        <v/>
      </c>
      <c r="E801" s="10">
        <f>IFERROR(C801/B801,"")</f>
        <v/>
      </c>
      <c r="F801" s="11">
        <f>IFERROR((D801/D800-1)*100,"")</f>
        <v/>
      </c>
      <c r="G801" s="11">
        <f>IFERROR((COUNTIF($D$550:$D$801,"&lt;"&amp;D801)+0.5*COUNTIF($D$550:$D$801,D801))/COUNT($D$550:$D$801)*100,"")</f>
        <v/>
      </c>
      <c r="H801" s="10">
        <f>IFERROR(AVERAGE($D$550:$D$801),"")</f>
        <v/>
      </c>
      <c r="I801" s="10" t="n">
        <v>-0.9387502383495453</v>
      </c>
      <c r="J801" t="inlineStr"/>
      <c r="K801" t="inlineStr"/>
    </row>
    <row r="802">
      <c r="A802" s="7" t="inlineStr">
        <is>
          <t>2017-06-08</t>
        </is>
      </c>
      <c r="B802" s="8">
        <f>IFERROR(VLOOKUP($A802,'01-原始价格'!$A:$M,2,FALSE),"")</f>
        <v/>
      </c>
      <c r="C802" s="8">
        <f>IFERROR(VLOOKUP($A802,'01-原始价格'!$A:$M,8,FALSE),"")</f>
        <v/>
      </c>
      <c r="D802" s="10">
        <f>IFERROR(B802/C802,"")</f>
        <v/>
      </c>
      <c r="E802" s="10">
        <f>IFERROR(C802/B802,"")</f>
        <v/>
      </c>
      <c r="F802" s="11">
        <f>IFERROR((D802/D801-1)*100,"")</f>
        <v/>
      </c>
      <c r="G802" s="11">
        <f>IFERROR((COUNTIF($D$551:$D$802,"&lt;"&amp;D802)+0.5*COUNTIF($D$551:$D$802,D802))/COUNT($D$551:$D$802)*100,"")</f>
        <v/>
      </c>
      <c r="H802" s="10">
        <f>IFERROR(AVERAGE($D$551:$D$802),"")</f>
        <v/>
      </c>
      <c r="I802" s="10" t="n">
        <v>-1.009158975641206</v>
      </c>
      <c r="J802" t="inlineStr"/>
      <c r="K802" t="inlineStr"/>
    </row>
    <row r="803">
      <c r="A803" s="7" t="inlineStr">
        <is>
          <t>2017-06-09</t>
        </is>
      </c>
      <c r="B803" s="8">
        <f>IFERROR(VLOOKUP($A803,'01-原始价格'!$A:$M,2,FALSE),"")</f>
        <v/>
      </c>
      <c r="C803" s="8">
        <f>IFERROR(VLOOKUP($A803,'01-原始价格'!$A:$M,8,FALSE),"")</f>
        <v/>
      </c>
      <c r="D803" s="10">
        <f>IFERROR(B803/C803,"")</f>
        <v/>
      </c>
      <c r="E803" s="10">
        <f>IFERROR(C803/B803,"")</f>
        <v/>
      </c>
      <c r="F803" s="11">
        <f>IFERROR((D803/D802-1)*100,"")</f>
        <v/>
      </c>
      <c r="G803" s="11">
        <f>IFERROR((COUNTIF($D$552:$D$803,"&lt;"&amp;D803)+0.5*COUNTIF($D$552:$D$803,D803))/COUNT($D$552:$D$803)*100,"")</f>
        <v/>
      </c>
      <c r="H803" s="10">
        <f>IFERROR(AVERAGE($D$552:$D$803),"")</f>
        <v/>
      </c>
      <c r="I803" s="10" t="n">
        <v>-1.158185449774229</v>
      </c>
      <c r="J803" t="inlineStr"/>
      <c r="K803" t="inlineStr"/>
    </row>
    <row r="804">
      <c r="A804" s="7" t="inlineStr">
        <is>
          <t>2017-06-12</t>
        </is>
      </c>
      <c r="B804" s="8">
        <f>IFERROR(VLOOKUP($A804,'01-原始价格'!$A:$M,2,FALSE),"")</f>
        <v/>
      </c>
      <c r="C804" s="8">
        <f>IFERROR(VLOOKUP($A804,'01-原始价格'!$A:$M,8,FALSE),"")</f>
        <v/>
      </c>
      <c r="D804" s="10">
        <f>IFERROR(B804/C804,"")</f>
        <v/>
      </c>
      <c r="E804" s="10">
        <f>IFERROR(C804/B804,"")</f>
        <v/>
      </c>
      <c r="F804" s="11">
        <f>IFERROR((D804/D803-1)*100,"")</f>
        <v/>
      </c>
      <c r="G804" s="11">
        <f>IFERROR((COUNTIF($D$553:$D$804,"&lt;"&amp;D804)+0.5*COUNTIF($D$553:$D$804,D804))/COUNT($D$553:$D$804)*100,"")</f>
        <v/>
      </c>
      <c r="H804" s="10">
        <f>IFERROR(AVERAGE($D$553:$D$804),"")</f>
        <v/>
      </c>
      <c r="I804" s="10" t="n">
        <v>-0.9740976168689832</v>
      </c>
      <c r="J804" t="inlineStr"/>
      <c r="K804" t="inlineStr"/>
    </row>
    <row r="805">
      <c r="A805" s="7" t="inlineStr">
        <is>
          <t>2017-06-13</t>
        </is>
      </c>
      <c r="B805" s="8">
        <f>IFERROR(VLOOKUP($A805,'01-原始价格'!$A:$M,2,FALSE),"")</f>
        <v/>
      </c>
      <c r="C805" s="8">
        <f>IFERROR(VLOOKUP($A805,'01-原始价格'!$A:$M,8,FALSE),"")</f>
        <v/>
      </c>
      <c r="D805" s="10">
        <f>IFERROR(B805/C805,"")</f>
        <v/>
      </c>
      <c r="E805" s="10">
        <f>IFERROR(C805/B805,"")</f>
        <v/>
      </c>
      <c r="F805" s="11">
        <f>IFERROR((D805/D804-1)*100,"")</f>
        <v/>
      </c>
      <c r="G805" s="11">
        <f>IFERROR((COUNTIF($D$554:$D$805,"&lt;"&amp;D805)+0.5*COUNTIF($D$554:$D$805,D805))/COUNT($D$554:$D$805)*100,"")</f>
        <v/>
      </c>
      <c r="H805" s="10">
        <f>IFERROR(AVERAGE($D$554:$D$805),"")</f>
        <v/>
      </c>
      <c r="I805" s="10" t="n">
        <v>-1.253587607812009</v>
      </c>
      <c r="J805" t="inlineStr"/>
      <c r="K805" t="inlineStr"/>
    </row>
    <row r="806">
      <c r="A806" s="7" t="inlineStr">
        <is>
          <t>2017-06-14</t>
        </is>
      </c>
      <c r="B806" s="8">
        <f>IFERROR(VLOOKUP($A806,'01-原始价格'!$A:$M,2,FALSE),"")</f>
        <v/>
      </c>
      <c r="C806" s="8">
        <f>IFERROR(VLOOKUP($A806,'01-原始价格'!$A:$M,8,FALSE),"")</f>
        <v/>
      </c>
      <c r="D806" s="10">
        <f>IFERROR(B806/C806,"")</f>
        <v/>
      </c>
      <c r="E806" s="10">
        <f>IFERROR(C806/B806,"")</f>
        <v/>
      </c>
      <c r="F806" s="11">
        <f>IFERROR((D806/D805-1)*100,"")</f>
        <v/>
      </c>
      <c r="G806" s="11">
        <f>IFERROR((COUNTIF($D$555:$D$806,"&lt;"&amp;D806)+0.5*COUNTIF($D$555:$D$806,D806))/COUNT($D$555:$D$806)*100,"")</f>
        <v/>
      </c>
      <c r="H806" s="10">
        <f>IFERROR(AVERAGE($D$555:$D$806),"")</f>
        <v/>
      </c>
      <c r="I806" s="10" t="n">
        <v>-1.011537198086424</v>
      </c>
      <c r="J806" t="inlineStr"/>
      <c r="K806" t="inlineStr"/>
    </row>
    <row r="807">
      <c r="A807" s="7" t="inlineStr">
        <is>
          <t>2017-06-15</t>
        </is>
      </c>
      <c r="B807" s="8">
        <f>IFERROR(VLOOKUP($A807,'01-原始价格'!$A:$M,2,FALSE),"")</f>
        <v/>
      </c>
      <c r="C807" s="8">
        <f>IFERROR(VLOOKUP($A807,'01-原始价格'!$A:$M,8,FALSE),"")</f>
        <v/>
      </c>
      <c r="D807" s="10">
        <f>IFERROR(B807/C807,"")</f>
        <v/>
      </c>
      <c r="E807" s="10">
        <f>IFERROR(C807/B807,"")</f>
        <v/>
      </c>
      <c r="F807" s="11">
        <f>IFERROR((D807/D806-1)*100,"")</f>
        <v/>
      </c>
      <c r="G807" s="11">
        <f>IFERROR((COUNTIF($D$556:$D$807,"&lt;"&amp;D807)+0.5*COUNTIF($D$556:$D$807,D807))/COUNT($D$556:$D$807)*100,"")</f>
        <v/>
      </c>
      <c r="H807" s="10">
        <f>IFERROR(AVERAGE($D$556:$D$807),"")</f>
        <v/>
      </c>
      <c r="I807" s="10" t="n">
        <v>-1.09265571587672</v>
      </c>
      <c r="J807" t="inlineStr"/>
      <c r="K807" t="inlineStr"/>
    </row>
    <row r="808">
      <c r="A808" s="7" t="inlineStr">
        <is>
          <t>2017-06-16</t>
        </is>
      </c>
      <c r="B808" s="8">
        <f>IFERROR(VLOOKUP($A808,'01-原始价格'!$A:$M,2,FALSE),"")</f>
        <v/>
      </c>
      <c r="C808" s="8">
        <f>IFERROR(VLOOKUP($A808,'01-原始价格'!$A:$M,8,FALSE),"")</f>
        <v/>
      </c>
      <c r="D808" s="10">
        <f>IFERROR(B808/C808,"")</f>
        <v/>
      </c>
      <c r="E808" s="10">
        <f>IFERROR(C808/B808,"")</f>
        <v/>
      </c>
      <c r="F808" s="11">
        <f>IFERROR((D808/D807-1)*100,"")</f>
        <v/>
      </c>
      <c r="G808" s="11">
        <f>IFERROR((COUNTIF($D$557:$D$808,"&lt;"&amp;D808)+0.5*COUNTIF($D$557:$D$808,D808))/COUNT($D$557:$D$808)*100,"")</f>
        <v/>
      </c>
      <c r="H808" s="10">
        <f>IFERROR(AVERAGE($D$557:$D$808),"")</f>
        <v/>
      </c>
      <c r="I808" s="10" t="n">
        <v>-0.7603205422148019</v>
      </c>
      <c r="J808" t="inlineStr"/>
      <c r="K808" t="inlineStr"/>
    </row>
    <row r="809">
      <c r="A809" s="7" t="inlineStr">
        <is>
          <t>2017-06-19</t>
        </is>
      </c>
      <c r="B809" s="8">
        <f>IFERROR(VLOOKUP($A809,'01-原始价格'!$A:$M,2,FALSE),"")</f>
        <v/>
      </c>
      <c r="C809" s="8">
        <f>IFERROR(VLOOKUP($A809,'01-原始价格'!$A:$M,8,FALSE),"")</f>
        <v/>
      </c>
      <c r="D809" s="10">
        <f>IFERROR(B809/C809,"")</f>
        <v/>
      </c>
      <c r="E809" s="10">
        <f>IFERROR(C809/B809,"")</f>
        <v/>
      </c>
      <c r="F809" s="11">
        <f>IFERROR((D809/D808-1)*100,"")</f>
        <v/>
      </c>
      <c r="G809" s="11">
        <f>IFERROR((COUNTIF($D$558:$D$809,"&lt;"&amp;D809)+0.5*COUNTIF($D$558:$D$809,D809))/COUNT($D$558:$D$809)*100,"")</f>
        <v/>
      </c>
      <c r="H809" s="10">
        <f>IFERROR(AVERAGE($D$558:$D$809),"")</f>
        <v/>
      </c>
      <c r="I809" s="10" t="n">
        <v>-0.9669016276782941</v>
      </c>
      <c r="J809" t="inlineStr"/>
      <c r="K809" t="inlineStr"/>
    </row>
    <row r="810">
      <c r="A810" s="7" t="inlineStr">
        <is>
          <t>2017-06-20</t>
        </is>
      </c>
      <c r="B810" s="8">
        <f>IFERROR(VLOOKUP($A810,'01-原始价格'!$A:$M,2,FALSE),"")</f>
        <v/>
      </c>
      <c r="C810" s="8">
        <f>IFERROR(VLOOKUP($A810,'01-原始价格'!$A:$M,8,FALSE),"")</f>
        <v/>
      </c>
      <c r="D810" s="10">
        <f>IFERROR(B810/C810,"")</f>
        <v/>
      </c>
      <c r="E810" s="10">
        <f>IFERROR(C810/B810,"")</f>
        <v/>
      </c>
      <c r="F810" s="11">
        <f>IFERROR((D810/D809-1)*100,"")</f>
        <v/>
      </c>
      <c r="G810" s="11">
        <f>IFERROR((COUNTIF($D$559:$D$810,"&lt;"&amp;D810)+0.5*COUNTIF($D$559:$D$810,D810))/COUNT($D$559:$D$810)*100,"")</f>
        <v/>
      </c>
      <c r="H810" s="10">
        <f>IFERROR(AVERAGE($D$559:$D$810),"")</f>
        <v/>
      </c>
      <c r="I810" s="10" t="n">
        <v>-1.118737982761484</v>
      </c>
      <c r="J810" t="inlineStr"/>
      <c r="K810" t="inlineStr"/>
    </row>
    <row r="811">
      <c r="A811" s="7" t="inlineStr">
        <is>
          <t>2017-06-21</t>
        </is>
      </c>
      <c r="B811" s="8">
        <f>IFERROR(VLOOKUP($A811,'01-原始价格'!$A:$M,2,FALSE),"")</f>
        <v/>
      </c>
      <c r="C811" s="8">
        <f>IFERROR(VLOOKUP($A811,'01-原始价格'!$A:$M,8,FALSE),"")</f>
        <v/>
      </c>
      <c r="D811" s="10">
        <f>IFERROR(B811/C811,"")</f>
        <v/>
      </c>
      <c r="E811" s="10">
        <f>IFERROR(C811/B811,"")</f>
        <v/>
      </c>
      <c r="F811" s="11">
        <f>IFERROR((D811/D810-1)*100,"")</f>
        <v/>
      </c>
      <c r="G811" s="11">
        <f>IFERROR((COUNTIF($D$560:$D$811,"&lt;"&amp;D811)+0.5*COUNTIF($D$560:$D$811,D811))/COUNT($D$560:$D$811)*100,"")</f>
        <v/>
      </c>
      <c r="H811" s="10">
        <f>IFERROR(AVERAGE($D$560:$D$811),"")</f>
        <v/>
      </c>
      <c r="I811" s="10" t="n">
        <v>-1.007293137266412</v>
      </c>
      <c r="J811" t="inlineStr"/>
      <c r="K811" t="inlineStr"/>
    </row>
    <row r="812">
      <c r="A812" s="7" t="inlineStr">
        <is>
          <t>2017-06-22</t>
        </is>
      </c>
      <c r="B812" s="8">
        <f>IFERROR(VLOOKUP($A812,'01-原始价格'!$A:$M,2,FALSE),"")</f>
        <v/>
      </c>
      <c r="C812" s="8">
        <f>IFERROR(VLOOKUP($A812,'01-原始价格'!$A:$M,8,FALSE),"")</f>
        <v/>
      </c>
      <c r="D812" s="10">
        <f>IFERROR(B812/C812,"")</f>
        <v/>
      </c>
      <c r="E812" s="10">
        <f>IFERROR(C812/B812,"")</f>
        <v/>
      </c>
      <c r="F812" s="11">
        <f>IFERROR((D812/D811-1)*100,"")</f>
        <v/>
      </c>
      <c r="G812" s="11">
        <f>IFERROR((COUNTIF($D$561:$D$812,"&lt;"&amp;D812)+0.5*COUNTIF($D$561:$D$812,D812))/COUNT($D$561:$D$812)*100,"")</f>
        <v/>
      </c>
      <c r="H812" s="10">
        <f>IFERROR(AVERAGE($D$561:$D$812),"")</f>
        <v/>
      </c>
      <c r="I812" s="10" t="n">
        <v>-0.7106475582216069</v>
      </c>
      <c r="J812" t="inlineStr"/>
      <c r="K812" t="inlineStr"/>
    </row>
    <row r="813">
      <c r="A813" s="7" t="inlineStr">
        <is>
          <t>2017-06-23</t>
        </is>
      </c>
      <c r="B813" s="8">
        <f>IFERROR(VLOOKUP($A813,'01-原始价格'!$A:$M,2,FALSE),"")</f>
        <v/>
      </c>
      <c r="C813" s="8">
        <f>IFERROR(VLOOKUP($A813,'01-原始价格'!$A:$M,8,FALSE),"")</f>
        <v/>
      </c>
      <c r="D813" s="10">
        <f>IFERROR(B813/C813,"")</f>
        <v/>
      </c>
      <c r="E813" s="10">
        <f>IFERROR(C813/B813,"")</f>
        <v/>
      </c>
      <c r="F813" s="11">
        <f>IFERROR((D813/D812-1)*100,"")</f>
        <v/>
      </c>
      <c r="G813" s="11">
        <f>IFERROR((COUNTIF($D$562:$D$813,"&lt;"&amp;D813)+0.5*COUNTIF($D$562:$D$813,D813))/COUNT($D$562:$D$813)*100,"")</f>
        <v/>
      </c>
      <c r="H813" s="10">
        <f>IFERROR(AVERAGE($D$562:$D$813),"")</f>
        <v/>
      </c>
      <c r="I813" s="10" t="n">
        <v>-0.4016391102377099</v>
      </c>
      <c r="J813" t="inlineStr"/>
      <c r="K813" t="inlineStr"/>
    </row>
    <row r="814">
      <c r="A814" s="7" t="inlineStr">
        <is>
          <t>2017-06-26</t>
        </is>
      </c>
      <c r="B814" s="8">
        <f>IFERROR(VLOOKUP($A814,'01-原始价格'!$A:$M,2,FALSE),"")</f>
        <v/>
      </c>
      <c r="C814" s="8">
        <f>IFERROR(VLOOKUP($A814,'01-原始价格'!$A:$M,8,FALSE),"")</f>
        <v/>
      </c>
      <c r="D814" s="10">
        <f>IFERROR(B814/C814,"")</f>
        <v/>
      </c>
      <c r="E814" s="10">
        <f>IFERROR(C814/B814,"")</f>
        <v/>
      </c>
      <c r="F814" s="11">
        <f>IFERROR((D814/D813-1)*100,"")</f>
        <v/>
      </c>
      <c r="G814" s="11">
        <f>IFERROR((COUNTIF($D$563:$D$814,"&lt;"&amp;D814)+0.5*COUNTIF($D$563:$D$814,D814))/COUNT($D$563:$D$814)*100,"")</f>
        <v/>
      </c>
      <c r="H814" s="10">
        <f>IFERROR(AVERAGE($D$563:$D$814),"")</f>
        <v/>
      </c>
      <c r="I814" s="10" t="n">
        <v>-0.2523379985185613</v>
      </c>
      <c r="J814" t="inlineStr"/>
      <c r="K814" t="inlineStr"/>
    </row>
    <row r="815">
      <c r="A815" s="7" t="inlineStr">
        <is>
          <t>2017-06-27</t>
        </is>
      </c>
      <c r="B815" s="8">
        <f>IFERROR(VLOOKUP($A815,'01-原始价格'!$A:$M,2,FALSE),"")</f>
        <v/>
      </c>
      <c r="C815" s="8">
        <f>IFERROR(VLOOKUP($A815,'01-原始价格'!$A:$M,8,FALSE),"")</f>
        <v/>
      </c>
      <c r="D815" s="10">
        <f>IFERROR(B815/C815,"")</f>
        <v/>
      </c>
      <c r="E815" s="10">
        <f>IFERROR(C815/B815,"")</f>
        <v/>
      </c>
      <c r="F815" s="11">
        <f>IFERROR((D815/D814-1)*100,"")</f>
        <v/>
      </c>
      <c r="G815" s="11">
        <f>IFERROR((COUNTIF($D$564:$D$815,"&lt;"&amp;D815)+0.5*COUNTIF($D$564:$D$815,D815))/COUNT($D$564:$D$815)*100,"")</f>
        <v/>
      </c>
      <c r="H815" s="10">
        <f>IFERROR(AVERAGE($D$564:$D$815),"")</f>
        <v/>
      </c>
      <c r="I815" s="10" t="n">
        <v>-0.2482169019273494</v>
      </c>
      <c r="J815" t="inlineStr"/>
      <c r="K815" t="inlineStr"/>
    </row>
    <row r="816">
      <c r="A816" s="7" t="inlineStr">
        <is>
          <t>2017-06-28</t>
        </is>
      </c>
      <c r="B816" s="8">
        <f>IFERROR(VLOOKUP($A816,'01-原始价格'!$A:$M,2,FALSE),"")</f>
        <v/>
      </c>
      <c r="C816" s="8">
        <f>IFERROR(VLOOKUP($A816,'01-原始价格'!$A:$M,8,FALSE),"")</f>
        <v/>
      </c>
      <c r="D816" s="10">
        <f>IFERROR(B816/C816,"")</f>
        <v/>
      </c>
      <c r="E816" s="10">
        <f>IFERROR(C816/B816,"")</f>
        <v/>
      </c>
      <c r="F816" s="11">
        <f>IFERROR((D816/D815-1)*100,"")</f>
        <v/>
      </c>
      <c r="G816" s="11">
        <f>IFERROR((COUNTIF($D$565:$D$816,"&lt;"&amp;D816)+0.5*COUNTIF($D$565:$D$816,D816))/COUNT($D$565:$D$816)*100,"")</f>
        <v/>
      </c>
      <c r="H816" s="10">
        <f>IFERROR(AVERAGE($D$565:$D$816),"")</f>
        <v/>
      </c>
      <c r="I816" s="10" t="n">
        <v>-0.3598716119151588</v>
      </c>
      <c r="J816" t="inlineStr"/>
      <c r="K816" t="inlineStr"/>
    </row>
    <row r="817">
      <c r="A817" s="7" t="inlineStr">
        <is>
          <t>2017-06-29</t>
        </is>
      </c>
      <c r="B817" s="8">
        <f>IFERROR(VLOOKUP($A817,'01-原始价格'!$A:$M,2,FALSE),"")</f>
        <v/>
      </c>
      <c r="C817" s="8">
        <f>IFERROR(VLOOKUP($A817,'01-原始价格'!$A:$M,8,FALSE),"")</f>
        <v/>
      </c>
      <c r="D817" s="10">
        <f>IFERROR(B817/C817,"")</f>
        <v/>
      </c>
      <c r="E817" s="10">
        <f>IFERROR(C817/B817,"")</f>
        <v/>
      </c>
      <c r="F817" s="11">
        <f>IFERROR((D817/D816-1)*100,"")</f>
        <v/>
      </c>
      <c r="G817" s="11">
        <f>IFERROR((COUNTIF($D$566:$D$817,"&lt;"&amp;D817)+0.5*COUNTIF($D$566:$D$817,D817))/COUNT($D$566:$D$817)*100,"")</f>
        <v/>
      </c>
      <c r="H817" s="10">
        <f>IFERROR(AVERAGE($D$566:$D$817),"")</f>
        <v/>
      </c>
      <c r="I817" s="10" t="n">
        <v>-0.147857135661812</v>
      </c>
      <c r="J817" t="inlineStr"/>
      <c r="K817" t="inlineStr"/>
    </row>
    <row r="818">
      <c r="A818" s="7" t="inlineStr">
        <is>
          <t>2017-06-30</t>
        </is>
      </c>
      <c r="B818" s="8">
        <f>IFERROR(VLOOKUP($A818,'01-原始价格'!$A:$M,2,FALSE),"")</f>
        <v/>
      </c>
      <c r="C818" s="8">
        <f>IFERROR(VLOOKUP($A818,'01-原始价格'!$A:$M,8,FALSE),"")</f>
        <v/>
      </c>
      <c r="D818" s="10">
        <f>IFERROR(B818/C818,"")</f>
        <v/>
      </c>
      <c r="E818" s="10">
        <f>IFERROR(C818/B818,"")</f>
        <v/>
      </c>
      <c r="F818" s="11">
        <f>IFERROR((D818/D817-1)*100,"")</f>
        <v/>
      </c>
      <c r="G818" s="11">
        <f>IFERROR((COUNTIF($D$567:$D$818,"&lt;"&amp;D818)+0.5*COUNTIF($D$567:$D$818,D818))/COUNT($D$567:$D$818)*100,"")</f>
        <v/>
      </c>
      <c r="H818" s="10">
        <f>IFERROR(AVERAGE($D$567:$D$818),"")</f>
        <v/>
      </c>
      <c r="I818" s="10" t="n">
        <v>-0.2359415171810602</v>
      </c>
      <c r="J818" t="inlineStr"/>
      <c r="K818" t="inlineStr"/>
    </row>
    <row r="819">
      <c r="A819" s="7" t="inlineStr">
        <is>
          <t>2017-07-03</t>
        </is>
      </c>
      <c r="B819" s="8">
        <f>IFERROR(VLOOKUP($A819,'01-原始价格'!$A:$M,2,FALSE),"")</f>
        <v/>
      </c>
      <c r="C819" s="8">
        <f>IFERROR(VLOOKUP($A819,'01-原始价格'!$A:$M,8,FALSE),"")</f>
        <v/>
      </c>
      <c r="D819" s="10">
        <f>IFERROR(B819/C819,"")</f>
        <v/>
      </c>
      <c r="E819" s="10">
        <f>IFERROR(C819/B819,"")</f>
        <v/>
      </c>
      <c r="F819" s="11">
        <f>IFERROR((D819/D818-1)*100,"")</f>
        <v/>
      </c>
      <c r="G819" s="11">
        <f>IFERROR((COUNTIF($D$568:$D$819,"&lt;"&amp;D819)+0.5*COUNTIF($D$568:$D$819,D819))/COUNT($D$568:$D$819)*100,"")</f>
        <v/>
      </c>
      <c r="H819" s="10">
        <f>IFERROR(AVERAGE($D$568:$D$819),"")</f>
        <v/>
      </c>
      <c r="I819" s="10" t="n">
        <v>0.2522890075326571</v>
      </c>
      <c r="J819" t="inlineStr"/>
      <c r="K819" t="inlineStr"/>
    </row>
    <row r="820">
      <c r="A820" s="7" t="inlineStr">
        <is>
          <t>2017-07-04</t>
        </is>
      </c>
      <c r="B820" s="8">
        <f>IFERROR(VLOOKUP($A820,'01-原始价格'!$A:$M,2,FALSE),"")</f>
        <v/>
      </c>
      <c r="C820" s="8">
        <f>IFERROR(VLOOKUP($A820,'01-原始价格'!$A:$M,8,FALSE),"")</f>
        <v/>
      </c>
      <c r="D820" s="10">
        <f>IFERROR(B820/C820,"")</f>
        <v/>
      </c>
      <c r="E820" s="10">
        <f>IFERROR(C820/B820,"")</f>
        <v/>
      </c>
      <c r="F820" s="11">
        <f>IFERROR((D820/D819-1)*100,"")</f>
        <v/>
      </c>
      <c r="G820" s="11">
        <f>IFERROR((COUNTIF($D$569:$D$820,"&lt;"&amp;D820)+0.5*COUNTIF($D$569:$D$820,D820))/COUNT($D$569:$D$820)*100,"")</f>
        <v/>
      </c>
      <c r="H820" s="10">
        <f>IFERROR(AVERAGE($D$569:$D$820),"")</f>
        <v/>
      </c>
      <c r="I820" s="10" t="n">
        <v>0.2846936366852632</v>
      </c>
      <c r="J820" t="inlineStr"/>
      <c r="K820" t="inlineStr"/>
    </row>
    <row r="821">
      <c r="A821" s="7" t="inlineStr">
        <is>
          <t>2017-07-05</t>
        </is>
      </c>
      <c r="B821" s="8">
        <f>IFERROR(VLOOKUP($A821,'01-原始价格'!$A:$M,2,FALSE),"")</f>
        <v/>
      </c>
      <c r="C821" s="8">
        <f>IFERROR(VLOOKUP($A821,'01-原始价格'!$A:$M,8,FALSE),"")</f>
        <v/>
      </c>
      <c r="D821" s="10">
        <f>IFERROR(B821/C821,"")</f>
        <v/>
      </c>
      <c r="E821" s="10">
        <f>IFERROR(C821/B821,"")</f>
        <v/>
      </c>
      <c r="F821" s="11">
        <f>IFERROR((D821/D820-1)*100,"")</f>
        <v/>
      </c>
      <c r="G821" s="11">
        <f>IFERROR((COUNTIF($D$570:$D$821,"&lt;"&amp;D821)+0.5*COUNTIF($D$570:$D$821,D821))/COUNT($D$570:$D$821)*100,"")</f>
        <v/>
      </c>
      <c r="H821" s="10">
        <f>IFERROR(AVERAGE($D$570:$D$821),"")</f>
        <v/>
      </c>
      <c r="I821" s="10" t="n">
        <v>0.6012105236834723</v>
      </c>
      <c r="J821" t="inlineStr"/>
      <c r="K821" t="inlineStr"/>
    </row>
    <row r="822">
      <c r="A822" s="7" t="inlineStr">
        <is>
          <t>2017-07-06</t>
        </is>
      </c>
      <c r="B822" s="8">
        <f>IFERROR(VLOOKUP($A822,'01-原始价格'!$A:$M,2,FALSE),"")</f>
        <v/>
      </c>
      <c r="C822" s="8">
        <f>IFERROR(VLOOKUP($A822,'01-原始价格'!$A:$M,8,FALSE),"")</f>
        <v/>
      </c>
      <c r="D822" s="10">
        <f>IFERROR(B822/C822,"")</f>
        <v/>
      </c>
      <c r="E822" s="10">
        <f>IFERROR(C822/B822,"")</f>
        <v/>
      </c>
      <c r="F822" s="11">
        <f>IFERROR((D822/D821-1)*100,"")</f>
        <v/>
      </c>
      <c r="G822" s="11">
        <f>IFERROR((COUNTIF($D$571:$D$822,"&lt;"&amp;D822)+0.5*COUNTIF($D$571:$D$822,D822))/COUNT($D$571:$D$822)*100,"")</f>
        <v/>
      </c>
      <c r="H822" s="10">
        <f>IFERROR(AVERAGE($D$571:$D$822),"")</f>
        <v/>
      </c>
      <c r="I822" s="10" t="n">
        <v>0.9318693426230577</v>
      </c>
      <c r="J822" t="inlineStr"/>
      <c r="K822" t="inlineStr"/>
    </row>
    <row r="823">
      <c r="A823" s="7" t="inlineStr">
        <is>
          <t>2017-07-07</t>
        </is>
      </c>
      <c r="B823" s="8">
        <f>IFERROR(VLOOKUP($A823,'01-原始价格'!$A:$M,2,FALSE),"")</f>
        <v/>
      </c>
      <c r="C823" s="8">
        <f>IFERROR(VLOOKUP($A823,'01-原始价格'!$A:$M,8,FALSE),"")</f>
        <v/>
      </c>
      <c r="D823" s="10">
        <f>IFERROR(B823/C823,"")</f>
        <v/>
      </c>
      <c r="E823" s="10">
        <f>IFERROR(C823/B823,"")</f>
        <v/>
      </c>
      <c r="F823" s="11">
        <f>IFERROR((D823/D822-1)*100,"")</f>
        <v/>
      </c>
      <c r="G823" s="11">
        <f>IFERROR((COUNTIF($D$572:$D$823,"&lt;"&amp;D823)+0.5*COUNTIF($D$572:$D$823,D823))/COUNT($D$572:$D$823)*100,"")</f>
        <v/>
      </c>
      <c r="H823" s="10">
        <f>IFERROR(AVERAGE($D$572:$D$823),"")</f>
        <v/>
      </c>
      <c r="I823" s="10" t="n">
        <v>1.120527198903833</v>
      </c>
      <c r="J823" t="inlineStr"/>
      <c r="K823" t="inlineStr"/>
    </row>
    <row r="824">
      <c r="A824" s="7" t="inlineStr">
        <is>
          <t>2017-07-10</t>
        </is>
      </c>
      <c r="B824" s="8">
        <f>IFERROR(VLOOKUP($A824,'01-原始价格'!$A:$M,2,FALSE),"")</f>
        <v/>
      </c>
      <c r="C824" s="8">
        <f>IFERROR(VLOOKUP($A824,'01-原始价格'!$A:$M,8,FALSE),"")</f>
        <v/>
      </c>
      <c r="D824" s="10">
        <f>IFERROR(B824/C824,"")</f>
        <v/>
      </c>
      <c r="E824" s="10">
        <f>IFERROR(C824/B824,"")</f>
        <v/>
      </c>
      <c r="F824" s="11">
        <f>IFERROR((D824/D823-1)*100,"")</f>
        <v/>
      </c>
      <c r="G824" s="11">
        <f>IFERROR((COUNTIF($D$573:$D$824,"&lt;"&amp;D824)+0.5*COUNTIF($D$573:$D$824,D824))/COUNT($D$573:$D$824)*100,"")</f>
        <v/>
      </c>
      <c r="H824" s="10">
        <f>IFERROR(AVERAGE($D$573:$D$824),"")</f>
        <v/>
      </c>
      <c r="I824" s="10" t="n">
        <v>1.293454495609687</v>
      </c>
      <c r="J824" t="inlineStr"/>
      <c r="K824" t="inlineStr"/>
    </row>
    <row r="825">
      <c r="A825" s="7" t="inlineStr">
        <is>
          <t>2017-07-11</t>
        </is>
      </c>
      <c r="B825" s="8">
        <f>IFERROR(VLOOKUP($A825,'01-原始价格'!$A:$M,2,FALSE),"")</f>
        <v/>
      </c>
      <c r="C825" s="8">
        <f>IFERROR(VLOOKUP($A825,'01-原始价格'!$A:$M,8,FALSE),"")</f>
        <v/>
      </c>
      <c r="D825" s="10">
        <f>IFERROR(B825/C825,"")</f>
        <v/>
      </c>
      <c r="E825" s="10">
        <f>IFERROR(C825/B825,"")</f>
        <v/>
      </c>
      <c r="F825" s="11">
        <f>IFERROR((D825/D824-1)*100,"")</f>
        <v/>
      </c>
      <c r="G825" s="11">
        <f>IFERROR((COUNTIF($D$574:$D$825,"&lt;"&amp;D825)+0.5*COUNTIF($D$574:$D$825,D825))/COUNT($D$574:$D$825)*100,"")</f>
        <v/>
      </c>
      <c r="H825" s="10">
        <f>IFERROR(AVERAGE($D$574:$D$825),"")</f>
        <v/>
      </c>
      <c r="I825" s="10" t="n">
        <v>0.9619275728557017</v>
      </c>
      <c r="J825" t="inlineStr"/>
      <c r="K825" t="inlineStr"/>
    </row>
    <row r="826">
      <c r="A826" s="7" t="inlineStr">
        <is>
          <t>2017-07-12</t>
        </is>
      </c>
      <c r="B826" s="8">
        <f>IFERROR(VLOOKUP($A826,'01-原始价格'!$A:$M,2,FALSE),"")</f>
        <v/>
      </c>
      <c r="C826" s="8">
        <f>IFERROR(VLOOKUP($A826,'01-原始价格'!$A:$M,8,FALSE),"")</f>
        <v/>
      </c>
      <c r="D826" s="10">
        <f>IFERROR(B826/C826,"")</f>
        <v/>
      </c>
      <c r="E826" s="10">
        <f>IFERROR(C826/B826,"")</f>
        <v/>
      </c>
      <c r="F826" s="11">
        <f>IFERROR((D826/D825-1)*100,"")</f>
        <v/>
      </c>
      <c r="G826" s="11">
        <f>IFERROR((COUNTIF($D$575:$D$826,"&lt;"&amp;D826)+0.5*COUNTIF($D$575:$D$826,D826))/COUNT($D$575:$D$826)*100,"")</f>
        <v/>
      </c>
      <c r="H826" s="10">
        <f>IFERROR(AVERAGE($D$575:$D$826),"")</f>
        <v/>
      </c>
      <c r="I826" s="10" t="n">
        <v>0.4674309742285541</v>
      </c>
      <c r="J826" t="inlineStr"/>
      <c r="K826" t="inlineStr"/>
    </row>
    <row r="827">
      <c r="A827" s="7" t="inlineStr">
        <is>
          <t>2017-07-13</t>
        </is>
      </c>
      <c r="B827" s="8">
        <f>IFERROR(VLOOKUP($A827,'01-原始价格'!$A:$M,2,FALSE),"")</f>
        <v/>
      </c>
      <c r="C827" s="8">
        <f>IFERROR(VLOOKUP($A827,'01-原始价格'!$A:$M,8,FALSE),"")</f>
        <v/>
      </c>
      <c r="D827" s="10">
        <f>IFERROR(B827/C827,"")</f>
        <v/>
      </c>
      <c r="E827" s="10">
        <f>IFERROR(C827/B827,"")</f>
        <v/>
      </c>
      <c r="F827" s="11">
        <f>IFERROR((D827/D826-1)*100,"")</f>
        <v/>
      </c>
      <c r="G827" s="11">
        <f>IFERROR((COUNTIF($D$576:$D$827,"&lt;"&amp;D827)+0.5*COUNTIF($D$576:$D$827,D827))/COUNT($D$576:$D$827)*100,"")</f>
        <v/>
      </c>
      <c r="H827" s="10">
        <f>IFERROR(AVERAGE($D$576:$D$827),"")</f>
        <v/>
      </c>
      <c r="I827" s="10" t="n">
        <v>-0.09639807882752822</v>
      </c>
      <c r="J827" t="inlineStr"/>
      <c r="K827" t="inlineStr"/>
    </row>
    <row r="828">
      <c r="A828" s="7" t="inlineStr">
        <is>
          <t>2017-07-14</t>
        </is>
      </c>
      <c r="B828" s="8">
        <f>IFERROR(VLOOKUP($A828,'01-原始价格'!$A:$M,2,FALSE),"")</f>
        <v/>
      </c>
      <c r="C828" s="8">
        <f>IFERROR(VLOOKUP($A828,'01-原始价格'!$A:$M,8,FALSE),"")</f>
        <v/>
      </c>
      <c r="D828" s="10">
        <f>IFERROR(B828/C828,"")</f>
        <v/>
      </c>
      <c r="E828" s="10">
        <f>IFERROR(C828/B828,"")</f>
        <v/>
      </c>
      <c r="F828" s="11">
        <f>IFERROR((D828/D827-1)*100,"")</f>
        <v/>
      </c>
      <c r="G828" s="11">
        <f>IFERROR((COUNTIF($D$577:$D$828,"&lt;"&amp;D828)+0.5*COUNTIF($D$577:$D$828,D828))/COUNT($D$577:$D$828)*100,"")</f>
        <v/>
      </c>
      <c r="H828" s="10">
        <f>IFERROR(AVERAGE($D$577:$D$828),"")</f>
        <v/>
      </c>
      <c r="I828" s="10" t="n">
        <v>0.04342281343724985</v>
      </c>
      <c r="J828" t="inlineStr"/>
      <c r="K828" t="inlineStr"/>
    </row>
    <row r="829">
      <c r="A829" s="7" t="inlineStr">
        <is>
          <t>2017-07-17</t>
        </is>
      </c>
      <c r="B829" s="8">
        <f>IFERROR(VLOOKUP($A829,'01-原始价格'!$A:$M,2,FALSE),"")</f>
        <v/>
      </c>
      <c r="C829" s="8">
        <f>IFERROR(VLOOKUP($A829,'01-原始价格'!$A:$M,8,FALSE),"")</f>
        <v/>
      </c>
      <c r="D829" s="10">
        <f>IFERROR(B829/C829,"")</f>
        <v/>
      </c>
      <c r="E829" s="10">
        <f>IFERROR(C829/B829,"")</f>
        <v/>
      </c>
      <c r="F829" s="11">
        <f>IFERROR((D829/D828-1)*100,"")</f>
        <v/>
      </c>
      <c r="G829" s="11">
        <f>IFERROR((COUNTIF($D$578:$D$829,"&lt;"&amp;D829)+0.5*COUNTIF($D$578:$D$829,D829))/COUNT($D$578:$D$829)*100,"")</f>
        <v/>
      </c>
      <c r="H829" s="10">
        <f>IFERROR(AVERAGE($D$578:$D$829),"")</f>
        <v/>
      </c>
      <c r="I829" s="10" t="n">
        <v>0.3529206438864254</v>
      </c>
      <c r="J829" t="inlineStr"/>
      <c r="K829" t="inlineStr"/>
    </row>
    <row r="830">
      <c r="A830" s="7" t="inlineStr">
        <is>
          <t>2017-07-18</t>
        </is>
      </c>
      <c r="B830" s="8">
        <f>IFERROR(VLOOKUP($A830,'01-原始价格'!$A:$M,2,FALSE),"")</f>
        <v/>
      </c>
      <c r="C830" s="8">
        <f>IFERROR(VLOOKUP($A830,'01-原始价格'!$A:$M,8,FALSE),"")</f>
        <v/>
      </c>
      <c r="D830" s="10">
        <f>IFERROR(B830/C830,"")</f>
        <v/>
      </c>
      <c r="E830" s="10">
        <f>IFERROR(C830/B830,"")</f>
        <v/>
      </c>
      <c r="F830" s="11">
        <f>IFERROR((D830/D829-1)*100,"")</f>
        <v/>
      </c>
      <c r="G830" s="11">
        <f>IFERROR((COUNTIF($D$579:$D$830,"&lt;"&amp;D830)+0.5*COUNTIF($D$579:$D$830,D830))/COUNT($D$579:$D$830)*100,"")</f>
        <v/>
      </c>
      <c r="H830" s="10">
        <f>IFERROR(AVERAGE($D$579:$D$830),"")</f>
        <v/>
      </c>
      <c r="I830" s="10" t="n">
        <v>0.5223549717322062</v>
      </c>
      <c r="J830" t="inlineStr"/>
      <c r="K830" t="inlineStr"/>
    </row>
    <row r="831">
      <c r="A831" s="7" t="inlineStr">
        <is>
          <t>2017-07-19</t>
        </is>
      </c>
      <c r="B831" s="8">
        <f>IFERROR(VLOOKUP($A831,'01-原始价格'!$A:$M,2,FALSE),"")</f>
        <v/>
      </c>
      <c r="C831" s="8">
        <f>IFERROR(VLOOKUP($A831,'01-原始价格'!$A:$M,8,FALSE),"")</f>
        <v/>
      </c>
      <c r="D831" s="10">
        <f>IFERROR(B831/C831,"")</f>
        <v/>
      </c>
      <c r="E831" s="10">
        <f>IFERROR(C831/B831,"")</f>
        <v/>
      </c>
      <c r="F831" s="11">
        <f>IFERROR((D831/D830-1)*100,"")</f>
        <v/>
      </c>
      <c r="G831" s="11">
        <f>IFERROR((COUNTIF($D$580:$D$831,"&lt;"&amp;D831)+0.5*COUNTIF($D$580:$D$831,D831))/COUNT($D$580:$D$831)*100,"")</f>
        <v/>
      </c>
      <c r="H831" s="10">
        <f>IFERROR(AVERAGE($D$580:$D$831),"")</f>
        <v/>
      </c>
      <c r="I831" s="10" t="n">
        <v>0.7138969083288802</v>
      </c>
      <c r="J831" t="inlineStr"/>
      <c r="K831" t="inlineStr"/>
    </row>
    <row r="832">
      <c r="A832" s="7" t="inlineStr">
        <is>
          <t>2017-07-20</t>
        </is>
      </c>
      <c r="B832" s="8">
        <f>IFERROR(VLOOKUP($A832,'01-原始价格'!$A:$M,2,FALSE),"")</f>
        <v/>
      </c>
      <c r="C832" s="8">
        <f>IFERROR(VLOOKUP($A832,'01-原始价格'!$A:$M,8,FALSE),"")</f>
        <v/>
      </c>
      <c r="D832" s="10">
        <f>IFERROR(B832/C832,"")</f>
        <v/>
      </c>
      <c r="E832" s="10">
        <f>IFERROR(C832/B832,"")</f>
        <v/>
      </c>
      <c r="F832" s="11">
        <f>IFERROR((D832/D831-1)*100,"")</f>
        <v/>
      </c>
      <c r="G832" s="11">
        <f>IFERROR((COUNTIF($D$581:$D$832,"&lt;"&amp;D832)+0.5*COUNTIF($D$581:$D$832,D832))/COUNT($D$581:$D$832)*100,"")</f>
        <v/>
      </c>
      <c r="H832" s="10">
        <f>IFERROR(AVERAGE($D$581:$D$832),"")</f>
        <v/>
      </c>
      <c r="I832" s="10" t="n">
        <v>0.03603352338782141</v>
      </c>
      <c r="J832" t="inlineStr"/>
      <c r="K832" t="inlineStr"/>
    </row>
    <row r="833">
      <c r="A833" s="7" t="inlineStr">
        <is>
          <t>2017-07-21</t>
        </is>
      </c>
      <c r="B833" s="8">
        <f>IFERROR(VLOOKUP($A833,'01-原始价格'!$A:$M,2,FALSE),"")</f>
        <v/>
      </c>
      <c r="C833" s="8">
        <f>IFERROR(VLOOKUP($A833,'01-原始价格'!$A:$M,8,FALSE),"")</f>
        <v/>
      </c>
      <c r="D833" s="10">
        <f>IFERROR(B833/C833,"")</f>
        <v/>
      </c>
      <c r="E833" s="10">
        <f>IFERROR(C833/B833,"")</f>
        <v/>
      </c>
      <c r="F833" s="11">
        <f>IFERROR((D833/D832-1)*100,"")</f>
        <v/>
      </c>
      <c r="G833" s="11">
        <f>IFERROR((COUNTIF($D$582:$D$833,"&lt;"&amp;D833)+0.5*COUNTIF($D$582:$D$833,D833))/COUNT($D$582:$D$833)*100,"")</f>
        <v/>
      </c>
      <c r="H833" s="10">
        <f>IFERROR(AVERAGE($D$582:$D$833),"")</f>
        <v/>
      </c>
      <c r="I833" s="10" t="n">
        <v>0.008237011103598023</v>
      </c>
      <c r="J833" t="inlineStr"/>
      <c r="K833" t="inlineStr"/>
    </row>
    <row r="834">
      <c r="A834" s="7" t="inlineStr">
        <is>
          <t>2017-07-24</t>
        </is>
      </c>
      <c r="B834" s="8">
        <f>IFERROR(VLOOKUP($A834,'01-原始价格'!$A:$M,2,FALSE),"")</f>
        <v/>
      </c>
      <c r="C834" s="8">
        <f>IFERROR(VLOOKUP($A834,'01-原始价格'!$A:$M,8,FALSE),"")</f>
        <v/>
      </c>
      <c r="D834" s="10">
        <f>IFERROR(B834/C834,"")</f>
        <v/>
      </c>
      <c r="E834" s="10">
        <f>IFERROR(C834/B834,"")</f>
        <v/>
      </c>
      <c r="F834" s="11">
        <f>IFERROR((D834/D833-1)*100,"")</f>
        <v/>
      </c>
      <c r="G834" s="11">
        <f>IFERROR((COUNTIF($D$583:$D$834,"&lt;"&amp;D834)+0.5*COUNTIF($D$583:$D$834,D834))/COUNT($D$583:$D$834)*100,"")</f>
        <v/>
      </c>
      <c r="H834" s="10">
        <f>IFERROR(AVERAGE($D$583:$D$834),"")</f>
        <v/>
      </c>
      <c r="I834" s="10" t="n">
        <v>-0.06821925129727252</v>
      </c>
      <c r="J834" t="inlineStr"/>
      <c r="K834" t="inlineStr"/>
    </row>
    <row r="835">
      <c r="A835" s="7" t="inlineStr">
        <is>
          <t>2017-07-25</t>
        </is>
      </c>
      <c r="B835" s="8">
        <f>IFERROR(VLOOKUP($A835,'01-原始价格'!$A:$M,2,FALSE),"")</f>
        <v/>
      </c>
      <c r="C835" s="8">
        <f>IFERROR(VLOOKUP($A835,'01-原始价格'!$A:$M,8,FALSE),"")</f>
        <v/>
      </c>
      <c r="D835" s="10">
        <f>IFERROR(B835/C835,"")</f>
        <v/>
      </c>
      <c r="E835" s="10">
        <f>IFERROR(C835/B835,"")</f>
        <v/>
      </c>
      <c r="F835" s="11">
        <f>IFERROR((D835/D834-1)*100,"")</f>
        <v/>
      </c>
      <c r="G835" s="11">
        <f>IFERROR((COUNTIF($D$584:$D$835,"&lt;"&amp;D835)+0.5*COUNTIF($D$584:$D$835,D835))/COUNT($D$584:$D$835)*100,"")</f>
        <v/>
      </c>
      <c r="H835" s="10">
        <f>IFERROR(AVERAGE($D$584:$D$835),"")</f>
        <v/>
      </c>
      <c r="I835" s="10" t="n">
        <v>0.1672676016187203</v>
      </c>
      <c r="J835" t="inlineStr"/>
      <c r="K835" t="inlineStr"/>
    </row>
    <row r="836">
      <c r="A836" s="7" t="inlineStr">
        <is>
          <t>2017-07-26</t>
        </is>
      </c>
      <c r="B836" s="8">
        <f>IFERROR(VLOOKUP($A836,'01-原始价格'!$A:$M,2,FALSE),"")</f>
        <v/>
      </c>
      <c r="C836" s="8">
        <f>IFERROR(VLOOKUP($A836,'01-原始价格'!$A:$M,8,FALSE),"")</f>
        <v/>
      </c>
      <c r="D836" s="10">
        <f>IFERROR(B836/C836,"")</f>
        <v/>
      </c>
      <c r="E836" s="10">
        <f>IFERROR(C836/B836,"")</f>
        <v/>
      </c>
      <c r="F836" s="11">
        <f>IFERROR((D836/D835-1)*100,"")</f>
        <v/>
      </c>
      <c r="G836" s="11">
        <f>IFERROR((COUNTIF($D$585:$D$836,"&lt;"&amp;D836)+0.5*COUNTIF($D$585:$D$836,D836))/COUNT($D$585:$D$836)*100,"")</f>
        <v/>
      </c>
      <c r="H836" s="10">
        <f>IFERROR(AVERAGE($D$585:$D$836),"")</f>
        <v/>
      </c>
      <c r="I836" s="10" t="n">
        <v>0.03662326934538378</v>
      </c>
      <c r="J836" t="inlineStr"/>
      <c r="K836" t="inlineStr"/>
    </row>
    <row r="837">
      <c r="A837" s="7" t="inlineStr">
        <is>
          <t>2017-07-27</t>
        </is>
      </c>
      <c r="B837" s="8">
        <f>IFERROR(VLOOKUP($A837,'01-原始价格'!$A:$M,2,FALSE),"")</f>
        <v/>
      </c>
      <c r="C837" s="8">
        <f>IFERROR(VLOOKUP($A837,'01-原始价格'!$A:$M,8,FALSE),"")</f>
        <v/>
      </c>
      <c r="D837" s="10">
        <f>IFERROR(B837/C837,"")</f>
        <v/>
      </c>
      <c r="E837" s="10">
        <f>IFERROR(C837/B837,"")</f>
        <v/>
      </c>
      <c r="F837" s="11">
        <f>IFERROR((D837/D836-1)*100,"")</f>
        <v/>
      </c>
      <c r="G837" s="11">
        <f>IFERROR((COUNTIF($D$586:$D$837,"&lt;"&amp;D837)+0.5*COUNTIF($D$586:$D$837,D837))/COUNT($D$586:$D$837)*100,"")</f>
        <v/>
      </c>
      <c r="H837" s="10">
        <f>IFERROR(AVERAGE($D$586:$D$837),"")</f>
        <v/>
      </c>
      <c r="I837" s="10" t="n">
        <v>-0.3271817173509557</v>
      </c>
      <c r="J837" t="inlineStr"/>
      <c r="K837" t="inlineStr"/>
    </row>
    <row r="838">
      <c r="A838" s="7" t="inlineStr">
        <is>
          <t>2017-07-28</t>
        </is>
      </c>
      <c r="B838" s="8">
        <f>IFERROR(VLOOKUP($A838,'01-原始价格'!$A:$M,2,FALSE),"")</f>
        <v/>
      </c>
      <c r="C838" s="8">
        <f>IFERROR(VLOOKUP($A838,'01-原始价格'!$A:$M,8,FALSE),"")</f>
        <v/>
      </c>
      <c r="D838" s="10">
        <f>IFERROR(B838/C838,"")</f>
        <v/>
      </c>
      <c r="E838" s="10">
        <f>IFERROR(C838/B838,"")</f>
        <v/>
      </c>
      <c r="F838" s="11">
        <f>IFERROR((D838/D837-1)*100,"")</f>
        <v/>
      </c>
      <c r="G838" s="11">
        <f>IFERROR((COUNTIF($D$587:$D$838,"&lt;"&amp;D838)+0.5*COUNTIF($D$587:$D$838,D838))/COUNT($D$587:$D$838)*100,"")</f>
        <v/>
      </c>
      <c r="H838" s="10">
        <f>IFERROR(AVERAGE($D$587:$D$838),"")</f>
        <v/>
      </c>
      <c r="I838" s="10" t="n">
        <v>-0.9871393507449255</v>
      </c>
      <c r="J838" t="inlineStr"/>
      <c r="K838" t="inlineStr"/>
    </row>
    <row r="839">
      <c r="A839" s="7" t="inlineStr">
        <is>
          <t>2017-07-31</t>
        </is>
      </c>
      <c r="B839" s="8">
        <f>IFERROR(VLOOKUP($A839,'01-原始价格'!$A:$M,2,FALSE),"")</f>
        <v/>
      </c>
      <c r="C839" s="8">
        <f>IFERROR(VLOOKUP($A839,'01-原始价格'!$A:$M,8,FALSE),"")</f>
        <v/>
      </c>
      <c r="D839" s="10">
        <f>IFERROR(B839/C839,"")</f>
        <v/>
      </c>
      <c r="E839" s="10">
        <f>IFERROR(C839/B839,"")</f>
        <v/>
      </c>
      <c r="F839" s="11">
        <f>IFERROR((D839/D838-1)*100,"")</f>
        <v/>
      </c>
      <c r="G839" s="11">
        <f>IFERROR((COUNTIF($D$588:$D$839,"&lt;"&amp;D839)+0.5*COUNTIF($D$588:$D$839,D839))/COUNT($D$588:$D$839)*100,"")</f>
        <v/>
      </c>
      <c r="H839" s="10">
        <f>IFERROR(AVERAGE($D$588:$D$839),"")</f>
        <v/>
      </c>
      <c r="I839" s="10" t="n">
        <v>-1.111727925466129</v>
      </c>
      <c r="J839" t="inlineStr"/>
      <c r="K839" t="inlineStr"/>
    </row>
    <row r="840">
      <c r="A840" s="7" t="inlineStr">
        <is>
          <t>2017-08-01</t>
        </is>
      </c>
      <c r="B840" s="8">
        <f>IFERROR(VLOOKUP($A840,'01-原始价格'!$A:$M,2,FALSE),"")</f>
        <v/>
      </c>
      <c r="C840" s="8">
        <f>IFERROR(VLOOKUP($A840,'01-原始价格'!$A:$M,8,FALSE),"")</f>
        <v/>
      </c>
      <c r="D840" s="10">
        <f>IFERROR(B840/C840,"")</f>
        <v/>
      </c>
      <c r="E840" s="10">
        <f>IFERROR(C840/B840,"")</f>
        <v/>
      </c>
      <c r="F840" s="11">
        <f>IFERROR((D840/D839-1)*100,"")</f>
        <v/>
      </c>
      <c r="G840" s="11">
        <f>IFERROR((COUNTIF($D$589:$D$840,"&lt;"&amp;D840)+0.5*COUNTIF($D$589:$D$840,D840))/COUNT($D$589:$D$840)*100,"")</f>
        <v/>
      </c>
      <c r="H840" s="10">
        <f>IFERROR(AVERAGE($D$589:$D$840),"")</f>
        <v/>
      </c>
      <c r="I840" s="10" t="n">
        <v>-0.8983381538970528</v>
      </c>
      <c r="J840" t="inlineStr"/>
      <c r="K840" t="inlineStr"/>
    </row>
    <row r="841">
      <c r="A841" s="7" t="inlineStr">
        <is>
          <t>2017-08-02</t>
        </is>
      </c>
      <c r="B841" s="8">
        <f>IFERROR(VLOOKUP($A841,'01-原始价格'!$A:$M,2,FALSE),"")</f>
        <v/>
      </c>
      <c r="C841" s="8">
        <f>IFERROR(VLOOKUP($A841,'01-原始价格'!$A:$M,8,FALSE),"")</f>
        <v/>
      </c>
      <c r="D841" s="10">
        <f>IFERROR(B841/C841,"")</f>
        <v/>
      </c>
      <c r="E841" s="10">
        <f>IFERROR(C841/B841,"")</f>
        <v/>
      </c>
      <c r="F841" s="11">
        <f>IFERROR((D841/D840-1)*100,"")</f>
        <v/>
      </c>
      <c r="G841" s="11">
        <f>IFERROR((COUNTIF($D$590:$D$841,"&lt;"&amp;D841)+0.5*COUNTIF($D$590:$D$841,D841))/COUNT($D$590:$D$841)*100,"")</f>
        <v/>
      </c>
      <c r="H841" s="10">
        <f>IFERROR(AVERAGE($D$590:$D$841),"")</f>
        <v/>
      </c>
      <c r="I841" s="10" t="n">
        <v>-0.7543221040992718</v>
      </c>
      <c r="J841" t="inlineStr"/>
      <c r="K841" t="inlineStr"/>
    </row>
    <row r="842">
      <c r="A842" s="7" t="inlineStr">
        <is>
          <t>2017-08-03</t>
        </is>
      </c>
      <c r="B842" s="8">
        <f>IFERROR(VLOOKUP($A842,'01-原始价格'!$A:$M,2,FALSE),"")</f>
        <v/>
      </c>
      <c r="C842" s="8">
        <f>IFERROR(VLOOKUP($A842,'01-原始价格'!$A:$M,8,FALSE),"")</f>
        <v/>
      </c>
      <c r="D842" s="10">
        <f>IFERROR(B842/C842,"")</f>
        <v/>
      </c>
      <c r="E842" s="10">
        <f>IFERROR(C842/B842,"")</f>
        <v/>
      </c>
      <c r="F842" s="11">
        <f>IFERROR((D842/D841-1)*100,"")</f>
        <v/>
      </c>
      <c r="G842" s="11">
        <f>IFERROR((COUNTIF($D$591:$D$842,"&lt;"&amp;D842)+0.5*COUNTIF($D$591:$D$842,D842))/COUNT($D$591:$D$842)*100,"")</f>
        <v/>
      </c>
      <c r="H842" s="10">
        <f>IFERROR(AVERAGE($D$591:$D$842),"")</f>
        <v/>
      </c>
      <c r="I842" s="10" t="n">
        <v>-0.7209636920972617</v>
      </c>
      <c r="J842" t="inlineStr"/>
      <c r="K842" t="inlineStr"/>
    </row>
    <row r="843">
      <c r="A843" s="7" t="inlineStr">
        <is>
          <t>2017-08-04</t>
        </is>
      </c>
      <c r="B843" s="8">
        <f>IFERROR(VLOOKUP($A843,'01-原始价格'!$A:$M,2,FALSE),"")</f>
        <v/>
      </c>
      <c r="C843" s="8">
        <f>IFERROR(VLOOKUP($A843,'01-原始价格'!$A:$M,8,FALSE),"")</f>
        <v/>
      </c>
      <c r="D843" s="10">
        <f>IFERROR(B843/C843,"")</f>
        <v/>
      </c>
      <c r="E843" s="10">
        <f>IFERROR(C843/B843,"")</f>
        <v/>
      </c>
      <c r="F843" s="11">
        <f>IFERROR((D843/D842-1)*100,"")</f>
        <v/>
      </c>
      <c r="G843" s="11">
        <f>IFERROR((COUNTIF($D$592:$D$843,"&lt;"&amp;D843)+0.5*COUNTIF($D$592:$D$843,D843))/COUNT($D$592:$D$843)*100,"")</f>
        <v/>
      </c>
      <c r="H843" s="10">
        <f>IFERROR(AVERAGE($D$592:$D$843),"")</f>
        <v/>
      </c>
      <c r="I843" s="10" t="n">
        <v>-0.7379683013440131</v>
      </c>
      <c r="J843" t="inlineStr"/>
      <c r="K843" t="inlineStr"/>
    </row>
    <row r="844">
      <c r="A844" s="7" t="inlineStr">
        <is>
          <t>2017-08-07</t>
        </is>
      </c>
      <c r="B844" s="8">
        <f>IFERROR(VLOOKUP($A844,'01-原始价格'!$A:$M,2,FALSE),"")</f>
        <v/>
      </c>
      <c r="C844" s="8">
        <f>IFERROR(VLOOKUP($A844,'01-原始价格'!$A:$M,8,FALSE),"")</f>
        <v/>
      </c>
      <c r="D844" s="10">
        <f>IFERROR(B844/C844,"")</f>
        <v/>
      </c>
      <c r="E844" s="10">
        <f>IFERROR(C844/B844,"")</f>
        <v/>
      </c>
      <c r="F844" s="11">
        <f>IFERROR((D844/D843-1)*100,"")</f>
        <v/>
      </c>
      <c r="G844" s="11">
        <f>IFERROR((COUNTIF($D$593:$D$844,"&lt;"&amp;D844)+0.5*COUNTIF($D$593:$D$844,D844))/COUNT($D$593:$D$844)*100,"")</f>
        <v/>
      </c>
      <c r="H844" s="10">
        <f>IFERROR(AVERAGE($D$593:$D$844),"")</f>
        <v/>
      </c>
      <c r="I844" s="10" t="n">
        <v>-0.6481766573812544</v>
      </c>
      <c r="J844" t="inlineStr"/>
      <c r="K844" t="inlineStr"/>
    </row>
    <row r="845">
      <c r="A845" s="7" t="inlineStr">
        <is>
          <t>2017-08-08</t>
        </is>
      </c>
      <c r="B845" s="8">
        <f>IFERROR(VLOOKUP($A845,'01-原始价格'!$A:$M,2,FALSE),"")</f>
        <v/>
      </c>
      <c r="C845" s="8">
        <f>IFERROR(VLOOKUP($A845,'01-原始价格'!$A:$M,8,FALSE),"")</f>
        <v/>
      </c>
      <c r="D845" s="10">
        <f>IFERROR(B845/C845,"")</f>
        <v/>
      </c>
      <c r="E845" s="10">
        <f>IFERROR(C845/B845,"")</f>
        <v/>
      </c>
      <c r="F845" s="11">
        <f>IFERROR((D845/D844-1)*100,"")</f>
        <v/>
      </c>
      <c r="G845" s="11">
        <f>IFERROR((COUNTIF($D$594:$D$845,"&lt;"&amp;D845)+0.5*COUNTIF($D$594:$D$845,D845))/COUNT($D$594:$D$845)*100,"")</f>
        <v/>
      </c>
      <c r="H845" s="10">
        <f>IFERROR(AVERAGE($D$594:$D$845),"")</f>
        <v/>
      </c>
      <c r="I845" s="10" t="n">
        <v>-0.5933601358066525</v>
      </c>
      <c r="J845" t="inlineStr"/>
      <c r="K845" t="inlineStr"/>
    </row>
    <row r="846">
      <c r="A846" s="7" t="inlineStr">
        <is>
          <t>2017-08-09</t>
        </is>
      </c>
      <c r="B846" s="8">
        <f>IFERROR(VLOOKUP($A846,'01-原始价格'!$A:$M,2,FALSE),"")</f>
        <v/>
      </c>
      <c r="C846" s="8">
        <f>IFERROR(VLOOKUP($A846,'01-原始价格'!$A:$M,8,FALSE),"")</f>
        <v/>
      </c>
      <c r="D846" s="10">
        <f>IFERROR(B846/C846,"")</f>
        <v/>
      </c>
      <c r="E846" s="10">
        <f>IFERROR(C846/B846,"")</f>
        <v/>
      </c>
      <c r="F846" s="11">
        <f>IFERROR((D846/D845-1)*100,"")</f>
        <v/>
      </c>
      <c r="G846" s="11">
        <f>IFERROR((COUNTIF($D$595:$D$846,"&lt;"&amp;D846)+0.5*COUNTIF($D$595:$D$846,D846))/COUNT($D$595:$D$846)*100,"")</f>
        <v/>
      </c>
      <c r="H846" s="10">
        <f>IFERROR(AVERAGE($D$595:$D$846),"")</f>
        <v/>
      </c>
      <c r="I846" s="10" t="n">
        <v>1.205867856093242</v>
      </c>
      <c r="J846" t="inlineStr"/>
      <c r="K846" t="inlineStr"/>
    </row>
    <row r="847">
      <c r="A847" s="7" t="inlineStr">
        <is>
          <t>2017-08-10</t>
        </is>
      </c>
      <c r="B847" s="8">
        <f>IFERROR(VLOOKUP($A847,'01-原始价格'!$A:$M,2,FALSE),"")</f>
        <v/>
      </c>
      <c r="C847" s="8">
        <f>IFERROR(VLOOKUP($A847,'01-原始价格'!$A:$M,8,FALSE),"")</f>
        <v/>
      </c>
      <c r="D847" s="10">
        <f>IFERROR(B847/C847,"")</f>
        <v/>
      </c>
      <c r="E847" s="10">
        <f>IFERROR(C847/B847,"")</f>
        <v/>
      </c>
      <c r="F847" s="11">
        <f>IFERROR((D847/D846-1)*100,"")</f>
        <v/>
      </c>
      <c r="G847" s="11">
        <f>IFERROR((COUNTIF($D$596:$D$847,"&lt;"&amp;D847)+0.5*COUNTIF($D$596:$D$847,D847))/COUNT($D$596:$D$847)*100,"")</f>
        <v/>
      </c>
      <c r="H847" s="10">
        <f>IFERROR(AVERAGE($D$596:$D$847),"")</f>
        <v/>
      </c>
      <c r="I847" s="10" t="n">
        <v>1.421501769823057</v>
      </c>
      <c r="J847" t="inlineStr"/>
      <c r="K847" t="inlineStr"/>
    </row>
    <row r="848">
      <c r="A848" s="7" t="inlineStr">
        <is>
          <t>2017-08-11</t>
        </is>
      </c>
      <c r="B848" s="8">
        <f>IFERROR(VLOOKUP($A848,'01-原始价格'!$A:$M,2,FALSE),"")</f>
        <v/>
      </c>
      <c r="C848" s="8">
        <f>IFERROR(VLOOKUP($A848,'01-原始价格'!$A:$M,8,FALSE),"")</f>
        <v/>
      </c>
      <c r="D848" s="10">
        <f>IFERROR(B848/C848,"")</f>
        <v/>
      </c>
      <c r="E848" s="10">
        <f>IFERROR(C848/B848,"")</f>
        <v/>
      </c>
      <c r="F848" s="11">
        <f>IFERROR((D848/D847-1)*100,"")</f>
        <v/>
      </c>
      <c r="G848" s="11">
        <f>IFERROR((COUNTIF($D$597:$D$848,"&lt;"&amp;D848)+0.5*COUNTIF($D$597:$D$848,D848))/COUNT($D$597:$D$848)*100,"")</f>
        <v/>
      </c>
      <c r="H848" s="10">
        <f>IFERROR(AVERAGE($D$597:$D$848),"")</f>
        <v/>
      </c>
      <c r="I848" s="10" t="n">
        <v>2.286666728087808</v>
      </c>
      <c r="J848" t="inlineStr"/>
      <c r="K848" t="inlineStr"/>
    </row>
    <row r="849">
      <c r="A849" s="7" t="inlineStr">
        <is>
          <t>2017-08-14</t>
        </is>
      </c>
      <c r="B849" s="8">
        <f>IFERROR(VLOOKUP($A849,'01-原始价格'!$A:$M,2,FALSE),"")</f>
        <v/>
      </c>
      <c r="C849" s="8">
        <f>IFERROR(VLOOKUP($A849,'01-原始价格'!$A:$M,8,FALSE),"")</f>
        <v/>
      </c>
      <c r="D849" s="10">
        <f>IFERROR(B849/C849,"")</f>
        <v/>
      </c>
      <c r="E849" s="10">
        <f>IFERROR(C849/B849,"")</f>
        <v/>
      </c>
      <c r="F849" s="11">
        <f>IFERROR((D849/D848-1)*100,"")</f>
        <v/>
      </c>
      <c r="G849" s="11">
        <f>IFERROR((COUNTIF($D$598:$D$849,"&lt;"&amp;D849)+0.5*COUNTIF($D$598:$D$849,D849))/COUNT($D$598:$D$849)*100,"")</f>
        <v/>
      </c>
      <c r="H849" s="10">
        <f>IFERROR(AVERAGE($D$598:$D$849),"")</f>
        <v/>
      </c>
      <c r="I849" s="10" t="n">
        <v>2.096762132084984</v>
      </c>
      <c r="J849" t="inlineStr"/>
      <c r="K849" t="inlineStr"/>
    </row>
    <row r="850">
      <c r="A850" s="7" t="inlineStr">
        <is>
          <t>2017-08-15</t>
        </is>
      </c>
      <c r="B850" s="8">
        <f>IFERROR(VLOOKUP($A850,'01-原始价格'!$A:$M,2,FALSE),"")</f>
        <v/>
      </c>
      <c r="C850" s="8">
        <f>IFERROR(VLOOKUP($A850,'01-原始价格'!$A:$M,8,FALSE),"")</f>
        <v/>
      </c>
      <c r="D850" s="10">
        <f>IFERROR(B850/C850,"")</f>
        <v/>
      </c>
      <c r="E850" s="10">
        <f>IFERROR(C850/B850,"")</f>
        <v/>
      </c>
      <c r="F850" s="11">
        <f>IFERROR((D850/D849-1)*100,"")</f>
        <v/>
      </c>
      <c r="G850" s="11">
        <f>IFERROR((COUNTIF($D$599:$D$850,"&lt;"&amp;D850)+0.5*COUNTIF($D$599:$D$850,D850))/COUNT($D$599:$D$850)*100,"")</f>
        <v/>
      </c>
      <c r="H850" s="10">
        <f>IFERROR(AVERAGE($D$599:$D$850),"")</f>
        <v/>
      </c>
      <c r="I850" s="10" t="n">
        <v>1.755248590709308</v>
      </c>
      <c r="J850" t="inlineStr"/>
      <c r="K850" t="inlineStr"/>
    </row>
    <row r="851">
      <c r="A851" s="7" t="inlineStr">
        <is>
          <t>2017-08-16</t>
        </is>
      </c>
      <c r="B851" s="8">
        <f>IFERROR(VLOOKUP($A851,'01-原始价格'!$A:$M,2,FALSE),"")</f>
        <v/>
      </c>
      <c r="C851" s="8">
        <f>IFERROR(VLOOKUP($A851,'01-原始价格'!$A:$M,8,FALSE),"")</f>
        <v/>
      </c>
      <c r="D851" s="10">
        <f>IFERROR(B851/C851,"")</f>
        <v/>
      </c>
      <c r="E851" s="10">
        <f>IFERROR(C851/B851,"")</f>
        <v/>
      </c>
      <c r="F851" s="11">
        <f>IFERROR((D851/D850-1)*100,"")</f>
        <v/>
      </c>
      <c r="G851" s="11">
        <f>IFERROR((COUNTIF($D$600:$D$851,"&lt;"&amp;D851)+0.5*COUNTIF($D$600:$D$851,D851))/COUNT($D$600:$D$851)*100,"")</f>
        <v/>
      </c>
      <c r="H851" s="10">
        <f>IFERROR(AVERAGE($D$600:$D$851),"")</f>
        <v/>
      </c>
      <c r="I851" s="10" t="n">
        <v>1.717297991414462</v>
      </c>
      <c r="J851" t="inlineStr"/>
      <c r="K851" t="inlineStr"/>
    </row>
    <row r="852">
      <c r="A852" s="7" t="inlineStr">
        <is>
          <t>2017-08-17</t>
        </is>
      </c>
      <c r="B852" s="8">
        <f>IFERROR(VLOOKUP($A852,'01-原始价格'!$A:$M,2,FALSE),"")</f>
        <v/>
      </c>
      <c r="C852" s="8">
        <f>IFERROR(VLOOKUP($A852,'01-原始价格'!$A:$M,8,FALSE),"")</f>
        <v/>
      </c>
      <c r="D852" s="10">
        <f>IFERROR(B852/C852,"")</f>
        <v/>
      </c>
      <c r="E852" s="10">
        <f>IFERROR(C852/B852,"")</f>
        <v/>
      </c>
      <c r="F852" s="11">
        <f>IFERROR((D852/D851-1)*100,"")</f>
        <v/>
      </c>
      <c r="G852" s="11">
        <f>IFERROR((COUNTIF($D$601:$D$852,"&lt;"&amp;D852)+0.5*COUNTIF($D$601:$D$852,D852))/COUNT($D$601:$D$852)*100,"")</f>
        <v/>
      </c>
      <c r="H852" s="10">
        <f>IFERROR(AVERAGE($D$601:$D$852),"")</f>
        <v/>
      </c>
      <c r="I852" s="10" t="n">
        <v>2.196364308094363</v>
      </c>
      <c r="J852" t="inlineStr"/>
      <c r="K852" t="inlineStr"/>
    </row>
    <row r="853">
      <c r="A853" s="7" t="inlineStr">
        <is>
          <t>2017-08-18</t>
        </is>
      </c>
      <c r="B853" s="8">
        <f>IFERROR(VLOOKUP($A853,'01-原始价格'!$A:$M,2,FALSE),"")</f>
        <v/>
      </c>
      <c r="C853" s="8">
        <f>IFERROR(VLOOKUP($A853,'01-原始价格'!$A:$M,8,FALSE),"")</f>
        <v/>
      </c>
      <c r="D853" s="10">
        <f>IFERROR(B853/C853,"")</f>
        <v/>
      </c>
      <c r="E853" s="10">
        <f>IFERROR(C853/B853,"")</f>
        <v/>
      </c>
      <c r="F853" s="11">
        <f>IFERROR((D853/D852-1)*100,"")</f>
        <v/>
      </c>
      <c r="G853" s="11">
        <f>IFERROR((COUNTIF($D$602:$D$853,"&lt;"&amp;D853)+0.5*COUNTIF($D$602:$D$853,D853))/COUNT($D$602:$D$853)*100,"")</f>
        <v/>
      </c>
      <c r="H853" s="10">
        <f>IFERROR(AVERAGE($D$602:$D$853),"")</f>
        <v/>
      </c>
      <c r="I853" s="10" t="n">
        <v>2.011799073769788</v>
      </c>
      <c r="J853" t="inlineStr"/>
      <c r="K853" t="inlineStr"/>
    </row>
    <row r="854">
      <c r="A854" s="7" t="inlineStr">
        <is>
          <t>2017-08-21</t>
        </is>
      </c>
      <c r="B854" s="8">
        <f>IFERROR(VLOOKUP($A854,'01-原始价格'!$A:$M,2,FALSE),"")</f>
        <v/>
      </c>
      <c r="C854" s="8">
        <f>IFERROR(VLOOKUP($A854,'01-原始价格'!$A:$M,8,FALSE),"")</f>
        <v/>
      </c>
      <c r="D854" s="10">
        <f>IFERROR(B854/C854,"")</f>
        <v/>
      </c>
      <c r="E854" s="10">
        <f>IFERROR(C854/B854,"")</f>
        <v/>
      </c>
      <c r="F854" s="11">
        <f>IFERROR((D854/D853-1)*100,"")</f>
        <v/>
      </c>
      <c r="G854" s="11">
        <f>IFERROR((COUNTIF($D$603:$D$854,"&lt;"&amp;D854)+0.5*COUNTIF($D$603:$D$854,D854))/COUNT($D$603:$D$854)*100,"")</f>
        <v/>
      </c>
      <c r="H854" s="10">
        <f>IFERROR(AVERAGE($D$603:$D$854),"")</f>
        <v/>
      </c>
      <c r="I854" s="10" t="n">
        <v>2.386157060067521</v>
      </c>
      <c r="J854" t="inlineStr"/>
      <c r="K854" t="inlineStr"/>
    </row>
    <row r="855">
      <c r="A855" s="7" t="inlineStr">
        <is>
          <t>2017-08-22</t>
        </is>
      </c>
      <c r="B855" s="8">
        <f>IFERROR(VLOOKUP($A855,'01-原始价格'!$A:$M,2,FALSE),"")</f>
        <v/>
      </c>
      <c r="C855" s="8">
        <f>IFERROR(VLOOKUP($A855,'01-原始价格'!$A:$M,8,FALSE),"")</f>
        <v/>
      </c>
      <c r="D855" s="10">
        <f>IFERROR(B855/C855,"")</f>
        <v/>
      </c>
      <c r="E855" s="10">
        <f>IFERROR(C855/B855,"")</f>
        <v/>
      </c>
      <c r="F855" s="11">
        <f>IFERROR((D855/D854-1)*100,"")</f>
        <v/>
      </c>
      <c r="G855" s="11">
        <f>IFERROR((COUNTIF($D$604:$D$855,"&lt;"&amp;D855)+0.5*COUNTIF($D$604:$D$855,D855))/COUNT($D$604:$D$855)*100,"")</f>
        <v/>
      </c>
      <c r="H855" s="10">
        <f>IFERROR(AVERAGE($D$604:$D$855),"")</f>
        <v/>
      </c>
      <c r="I855" s="10" t="n">
        <v>2.142183160810541</v>
      </c>
      <c r="J855" t="inlineStr"/>
      <c r="K855" t="inlineStr"/>
    </row>
    <row r="856">
      <c r="A856" s="7" t="inlineStr">
        <is>
          <t>2017-08-23</t>
        </is>
      </c>
      <c r="B856" s="8">
        <f>IFERROR(VLOOKUP($A856,'01-原始价格'!$A:$M,2,FALSE),"")</f>
        <v/>
      </c>
      <c r="C856" s="8">
        <f>IFERROR(VLOOKUP($A856,'01-原始价格'!$A:$M,8,FALSE),"")</f>
        <v/>
      </c>
      <c r="D856" s="10">
        <f>IFERROR(B856/C856,"")</f>
        <v/>
      </c>
      <c r="E856" s="10">
        <f>IFERROR(C856/B856,"")</f>
        <v/>
      </c>
      <c r="F856" s="11">
        <f>IFERROR((D856/D855-1)*100,"")</f>
        <v/>
      </c>
      <c r="G856" s="11">
        <f>IFERROR((COUNTIF($D$605:$D$856,"&lt;"&amp;D856)+0.5*COUNTIF($D$605:$D$856,D856))/COUNT($D$605:$D$856)*100,"")</f>
        <v/>
      </c>
      <c r="H856" s="10">
        <f>IFERROR(AVERAGE($D$605:$D$856),"")</f>
        <v/>
      </c>
      <c r="I856" s="10" t="n">
        <v>2.42608877462456</v>
      </c>
      <c r="J856" t="inlineStr"/>
      <c r="K856" t="inlineStr"/>
    </row>
    <row r="857">
      <c r="A857" s="7" t="inlineStr">
        <is>
          <t>2017-08-24</t>
        </is>
      </c>
      <c r="B857" s="8">
        <f>IFERROR(VLOOKUP($A857,'01-原始价格'!$A:$M,2,FALSE),"")</f>
        <v/>
      </c>
      <c r="C857" s="8">
        <f>IFERROR(VLOOKUP($A857,'01-原始价格'!$A:$M,8,FALSE),"")</f>
        <v/>
      </c>
      <c r="D857" s="10">
        <f>IFERROR(B857/C857,"")</f>
        <v/>
      </c>
      <c r="E857" s="10">
        <f>IFERROR(C857/B857,"")</f>
        <v/>
      </c>
      <c r="F857" s="11">
        <f>IFERROR((D857/D856-1)*100,"")</f>
        <v/>
      </c>
      <c r="G857" s="11">
        <f>IFERROR((COUNTIF($D$606:$D$857,"&lt;"&amp;D857)+0.5*COUNTIF($D$606:$D$857,D857))/COUNT($D$606:$D$857)*100,"")</f>
        <v/>
      </c>
      <c r="H857" s="10">
        <f>IFERROR(AVERAGE($D$606:$D$857),"")</f>
        <v/>
      </c>
      <c r="I857" s="10" t="n">
        <v>2.416739633347766</v>
      </c>
      <c r="J857" t="inlineStr"/>
      <c r="K857" t="inlineStr"/>
    </row>
    <row r="858">
      <c r="A858" s="7" t="inlineStr">
        <is>
          <t>2017-08-25</t>
        </is>
      </c>
      <c r="B858" s="8">
        <f>IFERROR(VLOOKUP($A858,'01-原始价格'!$A:$M,2,FALSE),"")</f>
        <v/>
      </c>
      <c r="C858" s="8">
        <f>IFERROR(VLOOKUP($A858,'01-原始价格'!$A:$M,8,FALSE),"")</f>
        <v/>
      </c>
      <c r="D858" s="10">
        <f>IFERROR(B858/C858,"")</f>
        <v/>
      </c>
      <c r="E858" s="10">
        <f>IFERROR(C858/B858,"")</f>
        <v/>
      </c>
      <c r="F858" s="11">
        <f>IFERROR((D858/D857-1)*100,"")</f>
        <v/>
      </c>
      <c r="G858" s="11">
        <f>IFERROR((COUNTIF($D$607:$D$858,"&lt;"&amp;D858)+0.5*COUNTIF($D$607:$D$858,D858))/COUNT($D$607:$D$858)*100,"")</f>
        <v/>
      </c>
      <c r="H858" s="10">
        <f>IFERROR(AVERAGE($D$607:$D$858),"")</f>
        <v/>
      </c>
      <c r="I858" s="10" t="n">
        <v>2.784367037383412</v>
      </c>
      <c r="J858" t="inlineStr"/>
      <c r="K858" t="inlineStr"/>
    </row>
    <row r="859">
      <c r="A859" s="7" t="inlineStr">
        <is>
          <t>2017-08-28</t>
        </is>
      </c>
      <c r="B859" s="8">
        <f>IFERROR(VLOOKUP($A859,'01-原始价格'!$A:$M,2,FALSE),"")</f>
        <v/>
      </c>
      <c r="C859" s="8">
        <f>IFERROR(VLOOKUP($A859,'01-原始价格'!$A:$M,8,FALSE),"")</f>
        <v/>
      </c>
      <c r="D859" s="10">
        <f>IFERROR(B859/C859,"")</f>
        <v/>
      </c>
      <c r="E859" s="10">
        <f>IFERROR(C859/B859,"")</f>
        <v/>
      </c>
      <c r="F859" s="11">
        <f>IFERROR((D859/D858-1)*100,"")</f>
        <v/>
      </c>
      <c r="G859" s="11">
        <f>IFERROR((COUNTIF($D$608:$D$859,"&lt;"&amp;D859)+0.5*COUNTIF($D$608:$D$859,D859))/COUNT($D$608:$D$859)*100,"")</f>
        <v/>
      </c>
      <c r="H859" s="10">
        <f>IFERROR(AVERAGE($D$608:$D$859),"")</f>
        <v/>
      </c>
      <c r="I859" s="10" t="n">
        <v>2.58190832994488</v>
      </c>
      <c r="J859" t="inlineStr"/>
      <c r="K859" t="inlineStr"/>
    </row>
    <row r="860">
      <c r="A860" s="7" t="inlineStr">
        <is>
          <t>2017-08-29</t>
        </is>
      </c>
      <c r="B860" s="8">
        <f>IFERROR(VLOOKUP($A860,'01-原始价格'!$A:$M,2,FALSE),"")</f>
        <v/>
      </c>
      <c r="C860" s="8">
        <f>IFERROR(VLOOKUP($A860,'01-原始价格'!$A:$M,8,FALSE),"")</f>
        <v/>
      </c>
      <c r="D860" s="10">
        <f>IFERROR(B860/C860,"")</f>
        <v/>
      </c>
      <c r="E860" s="10">
        <f>IFERROR(C860/B860,"")</f>
        <v/>
      </c>
      <c r="F860" s="11">
        <f>IFERROR((D860/D859-1)*100,"")</f>
        <v/>
      </c>
      <c r="G860" s="11">
        <f>IFERROR((COUNTIF($D$609:$D$860,"&lt;"&amp;D860)+0.5*COUNTIF($D$609:$D$860,D860))/COUNT($D$609:$D$860)*100,"")</f>
        <v/>
      </c>
      <c r="H860" s="10">
        <f>IFERROR(AVERAGE($D$609:$D$860),"")</f>
        <v/>
      </c>
      <c r="I860" s="10" t="n">
        <v>3.013394149240341</v>
      </c>
      <c r="J860" t="inlineStr"/>
      <c r="K860" t="inlineStr"/>
    </row>
    <row r="861">
      <c r="A861" s="7" t="inlineStr">
        <is>
          <t>2017-08-30</t>
        </is>
      </c>
      <c r="B861" s="8">
        <f>IFERROR(VLOOKUP($A861,'01-原始价格'!$A:$M,2,FALSE),"")</f>
        <v/>
      </c>
      <c r="C861" s="8">
        <f>IFERROR(VLOOKUP($A861,'01-原始价格'!$A:$M,8,FALSE),"")</f>
        <v/>
      </c>
      <c r="D861" s="10">
        <f>IFERROR(B861/C861,"")</f>
        <v/>
      </c>
      <c r="E861" s="10">
        <f>IFERROR(C861/B861,"")</f>
        <v/>
      </c>
      <c r="F861" s="11">
        <f>IFERROR((D861/D860-1)*100,"")</f>
        <v/>
      </c>
      <c r="G861" s="11">
        <f>IFERROR((COUNTIF($D$610:$D$861,"&lt;"&amp;D861)+0.5*COUNTIF($D$610:$D$861,D861))/COUNT($D$610:$D$861)*100,"")</f>
        <v/>
      </c>
      <c r="H861" s="10">
        <f>IFERROR(AVERAGE($D$610:$D$861),"")</f>
        <v/>
      </c>
      <c r="I861" s="10" t="n">
        <v>2.906063528193453</v>
      </c>
      <c r="J861" t="inlineStr"/>
      <c r="K861" t="inlineStr"/>
    </row>
    <row r="862">
      <c r="A862" s="7" t="inlineStr">
        <is>
          <t>2017-08-31</t>
        </is>
      </c>
      <c r="B862" s="8">
        <f>IFERROR(VLOOKUP($A862,'01-原始价格'!$A:$M,2,FALSE),"")</f>
        <v/>
      </c>
      <c r="C862" s="8">
        <f>IFERROR(VLOOKUP($A862,'01-原始价格'!$A:$M,8,FALSE),"")</f>
        <v/>
      </c>
      <c r="D862" s="10">
        <f>IFERROR(B862/C862,"")</f>
        <v/>
      </c>
      <c r="E862" s="10">
        <f>IFERROR(C862/B862,"")</f>
        <v/>
      </c>
      <c r="F862" s="11">
        <f>IFERROR((D862/D861-1)*100,"")</f>
        <v/>
      </c>
      <c r="G862" s="11">
        <f>IFERROR((COUNTIF($D$611:$D$862,"&lt;"&amp;D862)+0.5*COUNTIF($D$611:$D$862,D862))/COUNT($D$611:$D$862)*100,"")</f>
        <v/>
      </c>
      <c r="H862" s="10">
        <f>IFERROR(AVERAGE($D$611:$D$862),"")</f>
        <v/>
      </c>
      <c r="I862" s="10" t="n">
        <v>2.788709220646699</v>
      </c>
      <c r="J862" t="inlineStr"/>
      <c r="K862" t="inlineStr"/>
    </row>
    <row r="863">
      <c r="A863" s="7" t="inlineStr">
        <is>
          <t>2017-09-01</t>
        </is>
      </c>
      <c r="B863" s="8">
        <f>IFERROR(VLOOKUP($A863,'01-原始价格'!$A:$M,2,FALSE),"")</f>
        <v/>
      </c>
      <c r="C863" s="8">
        <f>IFERROR(VLOOKUP($A863,'01-原始价格'!$A:$M,8,FALSE),"")</f>
        <v/>
      </c>
      <c r="D863" s="10">
        <f>IFERROR(B863/C863,"")</f>
        <v/>
      </c>
      <c r="E863" s="10">
        <f>IFERROR(C863/B863,"")</f>
        <v/>
      </c>
      <c r="F863" s="11">
        <f>IFERROR((D863/D862-1)*100,"")</f>
        <v/>
      </c>
      <c r="G863" s="11">
        <f>IFERROR((COUNTIF($D$612:$D$863,"&lt;"&amp;D863)+0.5*COUNTIF($D$612:$D$863,D863))/COUNT($D$612:$D$863)*100,"")</f>
        <v/>
      </c>
      <c r="H863" s="10">
        <f>IFERROR(AVERAGE($D$612:$D$863),"")</f>
        <v/>
      </c>
      <c r="I863" s="10" t="n">
        <v>3.019994149641591</v>
      </c>
      <c r="J863" t="inlineStr"/>
      <c r="K863" t="inlineStr"/>
    </row>
    <row r="864">
      <c r="A864" s="7" t="inlineStr">
        <is>
          <t>2017-09-04</t>
        </is>
      </c>
      <c r="B864" s="8">
        <f>IFERROR(VLOOKUP($A864,'01-原始价格'!$A:$M,2,FALSE),"")</f>
        <v/>
      </c>
      <c r="C864" s="8">
        <f>IFERROR(VLOOKUP($A864,'01-原始价格'!$A:$M,8,FALSE),"")</f>
        <v/>
      </c>
      <c r="D864" s="10">
        <f>IFERROR(B864/C864,"")</f>
        <v/>
      </c>
      <c r="E864" s="10">
        <f>IFERROR(C864/B864,"")</f>
        <v/>
      </c>
      <c r="F864" s="11">
        <f>IFERROR((D864/D863-1)*100,"")</f>
        <v/>
      </c>
      <c r="G864" s="11">
        <f>IFERROR((COUNTIF($D$613:$D$864,"&lt;"&amp;D864)+0.5*COUNTIF($D$613:$D$864,D864))/COUNT($D$613:$D$864)*100,"")</f>
        <v/>
      </c>
      <c r="H864" s="10">
        <f>IFERROR(AVERAGE($D$613:$D$864),"")</f>
        <v/>
      </c>
      <c r="I864" s="10" t="n">
        <v>3.105591844406554</v>
      </c>
      <c r="J864" t="inlineStr"/>
      <c r="K864" t="inlineStr"/>
    </row>
    <row r="865">
      <c r="A865" s="7" t="inlineStr">
        <is>
          <t>2017-09-05</t>
        </is>
      </c>
      <c r="B865" s="8">
        <f>IFERROR(VLOOKUP($A865,'01-原始价格'!$A:$M,2,FALSE),"")</f>
        <v/>
      </c>
      <c r="C865" s="8">
        <f>IFERROR(VLOOKUP($A865,'01-原始价格'!$A:$M,8,FALSE),"")</f>
        <v/>
      </c>
      <c r="D865" s="10">
        <f>IFERROR(B865/C865,"")</f>
        <v/>
      </c>
      <c r="E865" s="10">
        <f>IFERROR(C865/B865,"")</f>
        <v/>
      </c>
      <c r="F865" s="11">
        <f>IFERROR((D865/D864-1)*100,"")</f>
        <v/>
      </c>
      <c r="G865" s="11">
        <f>IFERROR((COUNTIF($D$614:$D$865,"&lt;"&amp;D865)+0.5*COUNTIF($D$614:$D$865,D865))/COUNT($D$614:$D$865)*100,"")</f>
        <v/>
      </c>
      <c r="H865" s="10">
        <f>IFERROR(AVERAGE($D$614:$D$865),"")</f>
        <v/>
      </c>
      <c r="I865" s="10" t="n">
        <v>2.840261505031516</v>
      </c>
      <c r="J865" t="inlineStr"/>
      <c r="K865" t="inlineStr"/>
    </row>
    <row r="866">
      <c r="A866" s="7" t="inlineStr">
        <is>
          <t>2017-09-06</t>
        </is>
      </c>
      <c r="B866" s="8">
        <f>IFERROR(VLOOKUP($A866,'01-原始价格'!$A:$M,2,FALSE),"")</f>
        <v/>
      </c>
      <c r="C866" s="8">
        <f>IFERROR(VLOOKUP($A866,'01-原始价格'!$A:$M,8,FALSE),"")</f>
        <v/>
      </c>
      <c r="D866" s="10">
        <f>IFERROR(B866/C866,"")</f>
        <v/>
      </c>
      <c r="E866" s="10">
        <f>IFERROR(C866/B866,"")</f>
        <v/>
      </c>
      <c r="F866" s="11">
        <f>IFERROR((D866/D865-1)*100,"")</f>
        <v/>
      </c>
      <c r="G866" s="11">
        <f>IFERROR((COUNTIF($D$615:$D$866,"&lt;"&amp;D866)+0.5*COUNTIF($D$615:$D$866,D866))/COUNT($D$615:$D$866)*100,"")</f>
        <v/>
      </c>
      <c r="H866" s="10">
        <f>IFERROR(AVERAGE($D$615:$D$866),"")</f>
        <v/>
      </c>
      <c r="I866" s="10" t="n">
        <v>2.506937080722699</v>
      </c>
      <c r="J866" t="inlineStr"/>
      <c r="K866" t="inlineStr"/>
    </row>
    <row r="867">
      <c r="A867" s="7" t="inlineStr">
        <is>
          <t>2017-09-07</t>
        </is>
      </c>
      <c r="B867" s="8">
        <f>IFERROR(VLOOKUP($A867,'01-原始价格'!$A:$M,2,FALSE),"")</f>
        <v/>
      </c>
      <c r="C867" s="8">
        <f>IFERROR(VLOOKUP($A867,'01-原始价格'!$A:$M,8,FALSE),"")</f>
        <v/>
      </c>
      <c r="D867" s="10">
        <f>IFERROR(B867/C867,"")</f>
        <v/>
      </c>
      <c r="E867" s="10">
        <f>IFERROR(C867/B867,"")</f>
        <v/>
      </c>
      <c r="F867" s="11">
        <f>IFERROR((D867/D866-1)*100,"")</f>
        <v/>
      </c>
      <c r="G867" s="11">
        <f>IFERROR((COUNTIF($D$616:$D$867,"&lt;"&amp;D867)+0.5*COUNTIF($D$616:$D$867,D867))/COUNT($D$616:$D$867)*100,"")</f>
        <v/>
      </c>
      <c r="H867" s="10">
        <f>IFERROR(AVERAGE($D$616:$D$867),"")</f>
        <v/>
      </c>
      <c r="I867" s="10" t="n">
        <v>2.491872467352568</v>
      </c>
      <c r="J867" t="inlineStr"/>
      <c r="K867" t="inlineStr"/>
    </row>
    <row r="868">
      <c r="A868" s="7" t="inlineStr">
        <is>
          <t>2017-09-08</t>
        </is>
      </c>
      <c r="B868" s="8">
        <f>IFERROR(VLOOKUP($A868,'01-原始价格'!$A:$M,2,FALSE),"")</f>
        <v/>
      </c>
      <c r="C868" s="8">
        <f>IFERROR(VLOOKUP($A868,'01-原始价格'!$A:$M,8,FALSE),"")</f>
        <v/>
      </c>
      <c r="D868" s="10">
        <f>IFERROR(B868/C868,"")</f>
        <v/>
      </c>
      <c r="E868" s="10">
        <f>IFERROR(C868/B868,"")</f>
        <v/>
      </c>
      <c r="F868" s="11">
        <f>IFERROR((D868/D867-1)*100,"")</f>
        <v/>
      </c>
      <c r="G868" s="11">
        <f>IFERROR((COUNTIF($D$617:$D$868,"&lt;"&amp;D868)+0.5*COUNTIF($D$617:$D$868,D868))/COUNT($D$617:$D$868)*100,"")</f>
        <v/>
      </c>
      <c r="H868" s="10">
        <f>IFERROR(AVERAGE($D$617:$D$868),"")</f>
        <v/>
      </c>
      <c r="I868" s="10" t="n">
        <v>2.560007677751384</v>
      </c>
      <c r="J868" t="inlineStr"/>
      <c r="K868" t="inlineStr"/>
    </row>
    <row r="869">
      <c r="A869" s="7" t="inlineStr">
        <is>
          <t>2017-09-11</t>
        </is>
      </c>
      <c r="B869" s="8">
        <f>IFERROR(VLOOKUP($A869,'01-原始价格'!$A:$M,2,FALSE),"")</f>
        <v/>
      </c>
      <c r="C869" s="8">
        <f>IFERROR(VLOOKUP($A869,'01-原始价格'!$A:$M,8,FALSE),"")</f>
        <v/>
      </c>
      <c r="D869" s="10">
        <f>IFERROR(B869/C869,"")</f>
        <v/>
      </c>
      <c r="E869" s="10">
        <f>IFERROR(C869/B869,"")</f>
        <v/>
      </c>
      <c r="F869" s="11">
        <f>IFERROR((D869/D868-1)*100,"")</f>
        <v/>
      </c>
      <c r="G869" s="11">
        <f>IFERROR((COUNTIF($D$618:$D$869,"&lt;"&amp;D869)+0.5*COUNTIF($D$618:$D$869,D869))/COUNT($D$618:$D$869)*100,"")</f>
        <v/>
      </c>
      <c r="H869" s="10">
        <f>IFERROR(AVERAGE($D$618:$D$869),"")</f>
        <v/>
      </c>
      <c r="I869" s="10" t="n">
        <v>2.393013119470739</v>
      </c>
      <c r="J869" t="inlineStr"/>
      <c r="K869" t="inlineStr"/>
    </row>
    <row r="870">
      <c r="A870" s="7" t="inlineStr">
        <is>
          <t>2017-09-12</t>
        </is>
      </c>
      <c r="B870" s="8">
        <f>IFERROR(VLOOKUP($A870,'01-原始价格'!$A:$M,2,FALSE),"")</f>
        <v/>
      </c>
      <c r="C870" s="8">
        <f>IFERROR(VLOOKUP($A870,'01-原始价格'!$A:$M,8,FALSE),"")</f>
        <v/>
      </c>
      <c r="D870" s="10">
        <f>IFERROR(B870/C870,"")</f>
        <v/>
      </c>
      <c r="E870" s="10">
        <f>IFERROR(C870/B870,"")</f>
        <v/>
      </c>
      <c r="F870" s="11">
        <f>IFERROR((D870/D869-1)*100,"")</f>
        <v/>
      </c>
      <c r="G870" s="11">
        <f>IFERROR((COUNTIF($D$619:$D$870,"&lt;"&amp;D870)+0.5*COUNTIF($D$619:$D$870,D870))/COUNT($D$619:$D$870)*100,"")</f>
        <v/>
      </c>
      <c r="H870" s="10">
        <f>IFERROR(AVERAGE($D$619:$D$870),"")</f>
        <v/>
      </c>
      <c r="I870" s="10" t="n">
        <v>2.75493543997464</v>
      </c>
      <c r="J870" t="inlineStr"/>
      <c r="K870" t="inlineStr"/>
    </row>
    <row r="871">
      <c r="A871" s="7" t="inlineStr">
        <is>
          <t>2017-09-13</t>
        </is>
      </c>
      <c r="B871" s="8">
        <f>IFERROR(VLOOKUP($A871,'01-原始价格'!$A:$M,2,FALSE),"")</f>
        <v/>
      </c>
      <c r="C871" s="8">
        <f>IFERROR(VLOOKUP($A871,'01-原始价格'!$A:$M,8,FALSE),"")</f>
        <v/>
      </c>
      <c r="D871" s="10">
        <f>IFERROR(B871/C871,"")</f>
        <v/>
      </c>
      <c r="E871" s="10">
        <f>IFERROR(C871/B871,"")</f>
        <v/>
      </c>
      <c r="F871" s="11">
        <f>IFERROR((D871/D870-1)*100,"")</f>
        <v/>
      </c>
      <c r="G871" s="11">
        <f>IFERROR((COUNTIF($D$620:$D$871,"&lt;"&amp;D871)+0.5*COUNTIF($D$620:$D$871,D871))/COUNT($D$620:$D$871)*100,"")</f>
        <v/>
      </c>
      <c r="H871" s="10">
        <f>IFERROR(AVERAGE($D$620:$D$871),"")</f>
        <v/>
      </c>
      <c r="I871" s="10" t="n">
        <v>2.278236846631784</v>
      </c>
      <c r="J871" t="inlineStr"/>
      <c r="K871" t="inlineStr"/>
    </row>
    <row r="872">
      <c r="A872" s="7" t="inlineStr">
        <is>
          <t>2017-09-14</t>
        </is>
      </c>
      <c r="B872" s="8">
        <f>IFERROR(VLOOKUP($A872,'01-原始价格'!$A:$M,2,FALSE),"")</f>
        <v/>
      </c>
      <c r="C872" s="8">
        <f>IFERROR(VLOOKUP($A872,'01-原始价格'!$A:$M,8,FALSE),"")</f>
        <v/>
      </c>
      <c r="D872" s="10">
        <f>IFERROR(B872/C872,"")</f>
        <v/>
      </c>
      <c r="E872" s="10">
        <f>IFERROR(C872/B872,"")</f>
        <v/>
      </c>
      <c r="F872" s="11">
        <f>IFERROR((D872/D871-1)*100,"")</f>
        <v/>
      </c>
      <c r="G872" s="11">
        <f>IFERROR((COUNTIF($D$621:$D$872,"&lt;"&amp;D872)+0.5*COUNTIF($D$621:$D$872,D872))/COUNT($D$621:$D$872)*100,"")</f>
        <v/>
      </c>
      <c r="H872" s="10">
        <f>IFERROR(AVERAGE($D$621:$D$872),"")</f>
        <v/>
      </c>
      <c r="I872" s="10" t="n">
        <v>2.081971168348031</v>
      </c>
      <c r="J872" t="inlineStr"/>
      <c r="K872" t="inlineStr"/>
    </row>
    <row r="873">
      <c r="A873" s="7" t="inlineStr">
        <is>
          <t>2017-09-15</t>
        </is>
      </c>
      <c r="B873" s="8">
        <f>IFERROR(VLOOKUP($A873,'01-原始价格'!$A:$M,2,FALSE),"")</f>
        <v/>
      </c>
      <c r="C873" s="8">
        <f>IFERROR(VLOOKUP($A873,'01-原始价格'!$A:$M,8,FALSE),"")</f>
        <v/>
      </c>
      <c r="D873" s="10">
        <f>IFERROR(B873/C873,"")</f>
        <v/>
      </c>
      <c r="E873" s="10">
        <f>IFERROR(C873/B873,"")</f>
        <v/>
      </c>
      <c r="F873" s="11">
        <f>IFERROR((D873/D872-1)*100,"")</f>
        <v/>
      </c>
      <c r="G873" s="11">
        <f>IFERROR((COUNTIF($D$622:$D$873,"&lt;"&amp;D873)+0.5*COUNTIF($D$622:$D$873,D873))/COUNT($D$622:$D$873)*100,"")</f>
        <v/>
      </c>
      <c r="H873" s="10">
        <f>IFERROR(AVERAGE($D$622:$D$873),"")</f>
        <v/>
      </c>
      <c r="I873" s="10" t="n">
        <v>1.96521898300213</v>
      </c>
      <c r="J873" t="inlineStr"/>
      <c r="K873" t="inlineStr"/>
    </row>
    <row r="874">
      <c r="A874" s="7" t="inlineStr">
        <is>
          <t>2017-09-18</t>
        </is>
      </c>
      <c r="B874" s="8">
        <f>IFERROR(VLOOKUP($A874,'01-原始价格'!$A:$M,2,FALSE),"")</f>
        <v/>
      </c>
      <c r="C874" s="8">
        <f>IFERROR(VLOOKUP($A874,'01-原始价格'!$A:$M,8,FALSE),"")</f>
        <v/>
      </c>
      <c r="D874" s="10">
        <f>IFERROR(B874/C874,"")</f>
        <v/>
      </c>
      <c r="E874" s="10">
        <f>IFERROR(C874/B874,"")</f>
        <v/>
      </c>
      <c r="F874" s="11">
        <f>IFERROR((D874/D873-1)*100,"")</f>
        <v/>
      </c>
      <c r="G874" s="11">
        <f>IFERROR((COUNTIF($D$623:$D$874,"&lt;"&amp;D874)+0.5*COUNTIF($D$623:$D$874,D874))/COUNT($D$623:$D$874)*100,"")</f>
        <v/>
      </c>
      <c r="H874" s="10">
        <f>IFERROR(AVERAGE($D$623:$D$874),"")</f>
        <v/>
      </c>
      <c r="I874" s="10" t="n">
        <v>1.898321926022019</v>
      </c>
      <c r="J874" t="inlineStr"/>
      <c r="K874" t="inlineStr"/>
    </row>
    <row r="875">
      <c r="A875" s="7" t="inlineStr">
        <is>
          <t>2017-09-19</t>
        </is>
      </c>
      <c r="B875" s="8">
        <f>IFERROR(VLOOKUP($A875,'01-原始价格'!$A:$M,2,FALSE),"")</f>
        <v/>
      </c>
      <c r="C875" s="8">
        <f>IFERROR(VLOOKUP($A875,'01-原始价格'!$A:$M,8,FALSE),"")</f>
        <v/>
      </c>
      <c r="D875" s="10">
        <f>IFERROR(B875/C875,"")</f>
        <v/>
      </c>
      <c r="E875" s="10">
        <f>IFERROR(C875/B875,"")</f>
        <v/>
      </c>
      <c r="F875" s="11">
        <f>IFERROR((D875/D874-1)*100,"")</f>
        <v/>
      </c>
      <c r="G875" s="11">
        <f>IFERROR((COUNTIF($D$624:$D$875,"&lt;"&amp;D875)+0.5*COUNTIF($D$624:$D$875,D875))/COUNT($D$624:$D$875)*100,"")</f>
        <v/>
      </c>
      <c r="H875" s="10">
        <f>IFERROR(AVERAGE($D$624:$D$875),"")</f>
        <v/>
      </c>
      <c r="I875" s="10" t="n">
        <v>1.563663050941781</v>
      </c>
      <c r="J875" t="inlineStr"/>
      <c r="K875" t="inlineStr"/>
    </row>
    <row r="876">
      <c r="A876" s="7" t="inlineStr">
        <is>
          <t>2017-09-20</t>
        </is>
      </c>
      <c r="B876" s="8">
        <f>IFERROR(VLOOKUP($A876,'01-原始价格'!$A:$M,2,FALSE),"")</f>
        <v/>
      </c>
      <c r="C876" s="8">
        <f>IFERROR(VLOOKUP($A876,'01-原始价格'!$A:$M,8,FALSE),"")</f>
        <v/>
      </c>
      <c r="D876" s="10">
        <f>IFERROR(B876/C876,"")</f>
        <v/>
      </c>
      <c r="E876" s="10">
        <f>IFERROR(C876/B876,"")</f>
        <v/>
      </c>
      <c r="F876" s="11">
        <f>IFERROR((D876/D875-1)*100,"")</f>
        <v/>
      </c>
      <c r="G876" s="11">
        <f>IFERROR((COUNTIF($D$625:$D$876,"&lt;"&amp;D876)+0.5*COUNTIF($D$625:$D$876,D876))/COUNT($D$625:$D$876)*100,"")</f>
        <v/>
      </c>
      <c r="H876" s="10">
        <f>IFERROR(AVERAGE($D$625:$D$876),"")</f>
        <v/>
      </c>
      <c r="I876" s="10" t="n">
        <v>1.686611192906394</v>
      </c>
      <c r="J876" t="inlineStr"/>
      <c r="K876" t="inlineStr"/>
    </row>
    <row r="877">
      <c r="A877" s="7" t="inlineStr">
        <is>
          <t>2017-09-21</t>
        </is>
      </c>
      <c r="B877" s="8">
        <f>IFERROR(VLOOKUP($A877,'01-原始价格'!$A:$M,2,FALSE),"")</f>
        <v/>
      </c>
      <c r="C877" s="8">
        <f>IFERROR(VLOOKUP($A877,'01-原始价格'!$A:$M,8,FALSE),"")</f>
        <v/>
      </c>
      <c r="D877" s="10">
        <f>IFERROR(B877/C877,"")</f>
        <v/>
      </c>
      <c r="E877" s="10">
        <f>IFERROR(C877/B877,"")</f>
        <v/>
      </c>
      <c r="F877" s="11">
        <f>IFERROR((D877/D876-1)*100,"")</f>
        <v/>
      </c>
      <c r="G877" s="11">
        <f>IFERROR((COUNTIF($D$626:$D$877,"&lt;"&amp;D877)+0.5*COUNTIF($D$626:$D$877,D877))/COUNT($D$626:$D$877)*100,"")</f>
        <v/>
      </c>
      <c r="H877" s="10">
        <f>IFERROR(AVERAGE($D$626:$D$877),"")</f>
        <v/>
      </c>
      <c r="I877" s="10" t="n">
        <v>1.405056615771355</v>
      </c>
      <c r="J877" t="inlineStr"/>
      <c r="K877" t="inlineStr"/>
    </row>
    <row r="878">
      <c r="A878" s="7" t="inlineStr">
        <is>
          <t>2017-09-22</t>
        </is>
      </c>
      <c r="B878" s="8">
        <f>IFERROR(VLOOKUP($A878,'01-原始价格'!$A:$M,2,FALSE),"")</f>
        <v/>
      </c>
      <c r="C878" s="8">
        <f>IFERROR(VLOOKUP($A878,'01-原始价格'!$A:$M,8,FALSE),"")</f>
        <v/>
      </c>
      <c r="D878" s="10">
        <f>IFERROR(B878/C878,"")</f>
        <v/>
      </c>
      <c r="E878" s="10">
        <f>IFERROR(C878/B878,"")</f>
        <v/>
      </c>
      <c r="F878" s="11">
        <f>IFERROR((D878/D877-1)*100,"")</f>
        <v/>
      </c>
      <c r="G878" s="11">
        <f>IFERROR((COUNTIF($D$627:$D$878,"&lt;"&amp;D878)+0.5*COUNTIF($D$627:$D$878,D878))/COUNT($D$627:$D$878)*100,"")</f>
        <v/>
      </c>
      <c r="H878" s="10">
        <f>IFERROR(AVERAGE($D$627:$D$878),"")</f>
        <v/>
      </c>
      <c r="I878" s="10" t="n">
        <v>1.553813081164463</v>
      </c>
      <c r="J878" t="inlineStr"/>
      <c r="K878" t="inlineStr"/>
    </row>
    <row r="879">
      <c r="A879" s="7" t="inlineStr">
        <is>
          <t>2017-09-25</t>
        </is>
      </c>
      <c r="B879" s="8">
        <f>IFERROR(VLOOKUP($A879,'01-原始价格'!$A:$M,2,FALSE),"")</f>
        <v/>
      </c>
      <c r="C879" s="8">
        <f>IFERROR(VLOOKUP($A879,'01-原始价格'!$A:$M,8,FALSE),"")</f>
        <v/>
      </c>
      <c r="D879" s="10">
        <f>IFERROR(B879/C879,"")</f>
        <v/>
      </c>
      <c r="E879" s="10">
        <f>IFERROR(C879/B879,"")</f>
        <v/>
      </c>
      <c r="F879" s="11">
        <f>IFERROR((D879/D878-1)*100,"")</f>
        <v/>
      </c>
      <c r="G879" s="11">
        <f>IFERROR((COUNTIF($D$628:$D$879,"&lt;"&amp;D879)+0.5*COUNTIF($D$628:$D$879,D879))/COUNT($D$628:$D$879)*100,"")</f>
        <v/>
      </c>
      <c r="H879" s="10">
        <f>IFERROR(AVERAGE($D$628:$D$879),"")</f>
        <v/>
      </c>
      <c r="I879" s="10" t="n">
        <v>1.922994455310047</v>
      </c>
      <c r="J879" t="inlineStr"/>
      <c r="K879" t="inlineStr"/>
    </row>
    <row r="880">
      <c r="A880" s="7" t="inlineStr">
        <is>
          <t>2017-09-26</t>
        </is>
      </c>
      <c r="B880" s="8">
        <f>IFERROR(VLOOKUP($A880,'01-原始价格'!$A:$M,2,FALSE),"")</f>
        <v/>
      </c>
      <c r="C880" s="8">
        <f>IFERROR(VLOOKUP($A880,'01-原始价格'!$A:$M,8,FALSE),"")</f>
        <v/>
      </c>
      <c r="D880" s="10">
        <f>IFERROR(B880/C880,"")</f>
        <v/>
      </c>
      <c r="E880" s="10">
        <f>IFERROR(C880/B880,"")</f>
        <v/>
      </c>
      <c r="F880" s="11">
        <f>IFERROR((D880/D879-1)*100,"")</f>
        <v/>
      </c>
      <c r="G880" s="11">
        <f>IFERROR((COUNTIF($D$629:$D$880,"&lt;"&amp;D880)+0.5*COUNTIF($D$629:$D$880,D880))/COUNT($D$629:$D$880)*100,"")</f>
        <v/>
      </c>
      <c r="H880" s="10">
        <f>IFERROR(AVERAGE($D$629:$D$880),"")</f>
        <v/>
      </c>
      <c r="I880" s="10" t="n">
        <v>1.748363312810103</v>
      </c>
      <c r="J880" t="inlineStr"/>
      <c r="K880" t="inlineStr"/>
    </row>
    <row r="881">
      <c r="A881" s="7" t="inlineStr">
        <is>
          <t>2017-09-27</t>
        </is>
      </c>
      <c r="B881" s="8">
        <f>IFERROR(VLOOKUP($A881,'01-原始价格'!$A:$M,2,FALSE),"")</f>
        <v/>
      </c>
      <c r="C881" s="8">
        <f>IFERROR(VLOOKUP($A881,'01-原始价格'!$A:$M,8,FALSE),"")</f>
        <v/>
      </c>
      <c r="D881" s="10">
        <f>IFERROR(B881/C881,"")</f>
        <v/>
      </c>
      <c r="E881" s="10">
        <f>IFERROR(C881/B881,"")</f>
        <v/>
      </c>
      <c r="F881" s="11">
        <f>IFERROR((D881/D880-1)*100,"")</f>
        <v/>
      </c>
      <c r="G881" s="11">
        <f>IFERROR((COUNTIF($D$630:$D$881,"&lt;"&amp;D881)+0.5*COUNTIF($D$630:$D$881,D881))/COUNT($D$630:$D$881)*100,"")</f>
        <v/>
      </c>
      <c r="H881" s="10">
        <f>IFERROR(AVERAGE($D$630:$D$881),"")</f>
        <v/>
      </c>
      <c r="I881" s="10" t="n">
        <v>1.927866672844862</v>
      </c>
      <c r="J881" t="inlineStr"/>
      <c r="K881" t="inlineStr"/>
    </row>
    <row r="882">
      <c r="A882" s="7" t="inlineStr">
        <is>
          <t>2017-09-28</t>
        </is>
      </c>
      <c r="B882" s="8">
        <f>IFERROR(VLOOKUP($A882,'01-原始价格'!$A:$M,2,FALSE),"")</f>
        <v/>
      </c>
      <c r="C882" s="8">
        <f>IFERROR(VLOOKUP($A882,'01-原始价格'!$A:$M,8,FALSE),"")</f>
        <v/>
      </c>
      <c r="D882" s="10">
        <f>IFERROR(B882/C882,"")</f>
        <v/>
      </c>
      <c r="E882" s="10">
        <f>IFERROR(C882/B882,"")</f>
        <v/>
      </c>
      <c r="F882" s="11">
        <f>IFERROR((D882/D881-1)*100,"")</f>
        <v/>
      </c>
      <c r="G882" s="11">
        <f>IFERROR((COUNTIF($D$631:$D$882,"&lt;"&amp;D882)+0.5*COUNTIF($D$631:$D$882,D882))/COUNT($D$631:$D$882)*100,"")</f>
        <v/>
      </c>
      <c r="H882" s="10">
        <f>IFERROR(AVERAGE($D$631:$D$882),"")</f>
        <v/>
      </c>
      <c r="I882" s="10" t="n">
        <v>1.656688158863144</v>
      </c>
      <c r="J882" t="inlineStr"/>
      <c r="K882" t="inlineStr"/>
    </row>
    <row r="883">
      <c r="A883" s="7" t="inlineStr">
        <is>
          <t>2017-09-29</t>
        </is>
      </c>
      <c r="B883" s="8">
        <f>IFERROR(VLOOKUP($A883,'01-原始价格'!$A:$M,2,FALSE),"")</f>
        <v/>
      </c>
      <c r="C883" s="8">
        <f>IFERROR(VLOOKUP($A883,'01-原始价格'!$A:$M,8,FALSE),"")</f>
        <v/>
      </c>
      <c r="D883" s="10">
        <f>IFERROR(B883/C883,"")</f>
        <v/>
      </c>
      <c r="E883" s="10">
        <f>IFERROR(C883/B883,"")</f>
        <v/>
      </c>
      <c r="F883" s="11">
        <f>IFERROR((D883/D882-1)*100,"")</f>
        <v/>
      </c>
      <c r="G883" s="11">
        <f>IFERROR((COUNTIF($D$632:$D$883,"&lt;"&amp;D883)+0.5*COUNTIF($D$632:$D$883,D883))/COUNT($D$632:$D$883)*100,"")</f>
        <v/>
      </c>
      <c r="H883" s="10">
        <f>IFERROR(AVERAGE($D$632:$D$883),"")</f>
        <v/>
      </c>
      <c r="I883" s="10" t="n">
        <v>2.271011079588793</v>
      </c>
      <c r="J883" t="inlineStr"/>
      <c r="K883" t="inlineStr"/>
    </row>
    <row r="884">
      <c r="A884" s="7" t="inlineStr">
        <is>
          <t>2017-10-10</t>
        </is>
      </c>
      <c r="B884" s="8">
        <f>IFERROR(VLOOKUP($A884,'01-原始价格'!$A:$M,2,FALSE),"")</f>
        <v/>
      </c>
      <c r="C884" s="8">
        <f>IFERROR(VLOOKUP($A884,'01-原始价格'!$A:$M,8,FALSE),"")</f>
        <v/>
      </c>
      <c r="D884" s="10">
        <f>IFERROR(B884/C884,"")</f>
        <v/>
      </c>
      <c r="E884" s="10">
        <f>IFERROR(C884/B884,"")</f>
        <v/>
      </c>
      <c r="F884" s="11">
        <f>IFERROR((D884/D883-1)*100,"")</f>
        <v/>
      </c>
      <c r="G884" s="11">
        <f>IFERROR((COUNTIF($D$633:$D$884,"&lt;"&amp;D884)+0.5*COUNTIF($D$633:$D$884,D884))/COUNT($D$633:$D$884)*100,"")</f>
        <v/>
      </c>
      <c r="H884" s="10">
        <f>IFERROR(AVERAGE($D$633:$D$884),"")</f>
        <v/>
      </c>
      <c r="I884" s="10" t="n">
        <v>1.883318881090544</v>
      </c>
      <c r="J884" t="inlineStr"/>
      <c r="K884" t="inlineStr"/>
    </row>
    <row r="885">
      <c r="A885" s="7" t="inlineStr">
        <is>
          <t>2017-10-11</t>
        </is>
      </c>
      <c r="B885" s="8">
        <f>IFERROR(VLOOKUP($A885,'01-原始价格'!$A:$M,2,FALSE),"")</f>
        <v/>
      </c>
      <c r="C885" s="8">
        <f>IFERROR(VLOOKUP($A885,'01-原始价格'!$A:$M,8,FALSE),"")</f>
        <v/>
      </c>
      <c r="D885" s="10">
        <f>IFERROR(B885/C885,"")</f>
        <v/>
      </c>
      <c r="E885" s="10">
        <f>IFERROR(C885/B885,"")</f>
        <v/>
      </c>
      <c r="F885" s="11">
        <f>IFERROR((D885/D884-1)*100,"")</f>
        <v/>
      </c>
      <c r="G885" s="11">
        <f>IFERROR((COUNTIF($D$634:$D$885,"&lt;"&amp;D885)+0.5*COUNTIF($D$634:$D$885,D885))/COUNT($D$634:$D$885)*100,"")</f>
        <v/>
      </c>
      <c r="H885" s="10">
        <f>IFERROR(AVERAGE($D$634:$D$885),"")</f>
        <v/>
      </c>
      <c r="I885" s="10" t="n">
        <v>1.900903203702495</v>
      </c>
      <c r="J885" t="inlineStr"/>
      <c r="K885" t="inlineStr"/>
    </row>
    <row r="886">
      <c r="A886" s="7" t="inlineStr">
        <is>
          <t>2017-10-12</t>
        </is>
      </c>
      <c r="B886" s="8">
        <f>IFERROR(VLOOKUP($A886,'01-原始价格'!$A:$M,2,FALSE),"")</f>
        <v/>
      </c>
      <c r="C886" s="8">
        <f>IFERROR(VLOOKUP($A886,'01-原始价格'!$A:$M,8,FALSE),"")</f>
        <v/>
      </c>
      <c r="D886" s="10">
        <f>IFERROR(B886/C886,"")</f>
        <v/>
      </c>
      <c r="E886" s="10">
        <f>IFERROR(C886/B886,"")</f>
        <v/>
      </c>
      <c r="F886" s="11">
        <f>IFERROR((D886/D885-1)*100,"")</f>
        <v/>
      </c>
      <c r="G886" s="11">
        <f>IFERROR((COUNTIF($D$635:$D$886,"&lt;"&amp;D886)+0.5*COUNTIF($D$635:$D$886,D886))/COUNT($D$635:$D$886)*100,"")</f>
        <v/>
      </c>
      <c r="H886" s="10">
        <f>IFERROR(AVERAGE($D$635:$D$886),"")</f>
        <v/>
      </c>
      <c r="I886" s="10" t="n">
        <v>1.316633099164938</v>
      </c>
      <c r="J886" t="inlineStr"/>
      <c r="K886" t="inlineStr"/>
    </row>
    <row r="887">
      <c r="A887" s="7" t="inlineStr">
        <is>
          <t>2017-10-13</t>
        </is>
      </c>
      <c r="B887" s="8">
        <f>IFERROR(VLOOKUP($A887,'01-原始价格'!$A:$M,2,FALSE),"")</f>
        <v/>
      </c>
      <c r="C887" s="8">
        <f>IFERROR(VLOOKUP($A887,'01-原始价格'!$A:$M,8,FALSE),"")</f>
        <v/>
      </c>
      <c r="D887" s="10">
        <f>IFERROR(B887/C887,"")</f>
        <v/>
      </c>
      <c r="E887" s="10">
        <f>IFERROR(C887/B887,"")</f>
        <v/>
      </c>
      <c r="F887" s="11">
        <f>IFERROR((D887/D886-1)*100,"")</f>
        <v/>
      </c>
      <c r="G887" s="11">
        <f>IFERROR((COUNTIF($D$636:$D$887,"&lt;"&amp;D887)+0.5*COUNTIF($D$636:$D$887,D887))/COUNT($D$636:$D$887)*100,"")</f>
        <v/>
      </c>
      <c r="H887" s="10">
        <f>IFERROR(AVERAGE($D$636:$D$887),"")</f>
        <v/>
      </c>
      <c r="I887" s="10" t="n">
        <v>1.697119224973154</v>
      </c>
      <c r="J887" t="inlineStr"/>
      <c r="K887" t="inlineStr"/>
    </row>
    <row r="888">
      <c r="A888" s="7" t="inlineStr">
        <is>
          <t>2017-10-16</t>
        </is>
      </c>
      <c r="B888" s="8">
        <f>IFERROR(VLOOKUP($A888,'01-原始价格'!$A:$M,2,FALSE),"")</f>
        <v/>
      </c>
      <c r="C888" s="8">
        <f>IFERROR(VLOOKUP($A888,'01-原始价格'!$A:$M,8,FALSE),"")</f>
        <v/>
      </c>
      <c r="D888" s="10">
        <f>IFERROR(B888/C888,"")</f>
        <v/>
      </c>
      <c r="E888" s="10">
        <f>IFERROR(C888/B888,"")</f>
        <v/>
      </c>
      <c r="F888" s="11">
        <f>IFERROR((D888/D887-1)*100,"")</f>
        <v/>
      </c>
      <c r="G888" s="11">
        <f>IFERROR((COUNTIF($D$637:$D$888,"&lt;"&amp;D888)+0.5*COUNTIF($D$637:$D$888,D888))/COUNT($D$637:$D$888)*100,"")</f>
        <v/>
      </c>
      <c r="H888" s="10">
        <f>IFERROR(AVERAGE($D$637:$D$888),"")</f>
        <v/>
      </c>
      <c r="I888" s="10" t="n">
        <v>2.023240273541845</v>
      </c>
      <c r="J888" t="inlineStr"/>
      <c r="K888" t="inlineStr"/>
    </row>
    <row r="889">
      <c r="A889" s="7" t="inlineStr">
        <is>
          <t>2017-10-17</t>
        </is>
      </c>
      <c r="B889" s="8">
        <f>IFERROR(VLOOKUP($A889,'01-原始价格'!$A:$M,2,FALSE),"")</f>
        <v/>
      </c>
      <c r="C889" s="8">
        <f>IFERROR(VLOOKUP($A889,'01-原始价格'!$A:$M,8,FALSE),"")</f>
        <v/>
      </c>
      <c r="D889" s="10">
        <f>IFERROR(B889/C889,"")</f>
        <v/>
      </c>
      <c r="E889" s="10">
        <f>IFERROR(C889/B889,"")</f>
        <v/>
      </c>
      <c r="F889" s="11">
        <f>IFERROR((D889/D888-1)*100,"")</f>
        <v/>
      </c>
      <c r="G889" s="11">
        <f>IFERROR((COUNTIF($D$638:$D$889,"&lt;"&amp;D889)+0.5*COUNTIF($D$638:$D$889,D889))/COUNT($D$638:$D$889)*100,"")</f>
        <v/>
      </c>
      <c r="H889" s="10">
        <f>IFERROR(AVERAGE($D$638:$D$889),"")</f>
        <v/>
      </c>
      <c r="I889" s="10" t="n">
        <v>1.716273209661033</v>
      </c>
      <c r="J889" t="inlineStr"/>
      <c r="K889" t="inlineStr"/>
    </row>
    <row r="890">
      <c r="A890" s="7" t="inlineStr">
        <is>
          <t>2017-10-18</t>
        </is>
      </c>
      <c r="B890" s="8">
        <f>IFERROR(VLOOKUP($A890,'01-原始价格'!$A:$M,2,FALSE),"")</f>
        <v/>
      </c>
      <c r="C890" s="8">
        <f>IFERROR(VLOOKUP($A890,'01-原始价格'!$A:$M,8,FALSE),"")</f>
        <v/>
      </c>
      <c r="D890" s="10">
        <f>IFERROR(B890/C890,"")</f>
        <v/>
      </c>
      <c r="E890" s="10">
        <f>IFERROR(C890/B890,"")</f>
        <v/>
      </c>
      <c r="F890" s="11">
        <f>IFERROR((D890/D889-1)*100,"")</f>
        <v/>
      </c>
      <c r="G890" s="11">
        <f>IFERROR((COUNTIF($D$639:$D$890,"&lt;"&amp;D890)+0.5*COUNTIF($D$639:$D$890,D890))/COUNT($D$639:$D$890)*100,"")</f>
        <v/>
      </c>
      <c r="H890" s="10">
        <f>IFERROR(AVERAGE($D$639:$D$890),"")</f>
        <v/>
      </c>
      <c r="I890" s="10" t="n">
        <v>1.545127957967781</v>
      </c>
      <c r="J890" t="inlineStr"/>
      <c r="K890" t="inlineStr"/>
    </row>
    <row r="891">
      <c r="A891" s="7" t="inlineStr">
        <is>
          <t>2017-10-19</t>
        </is>
      </c>
      <c r="B891" s="8">
        <f>IFERROR(VLOOKUP($A891,'01-原始价格'!$A:$M,2,FALSE),"")</f>
        <v/>
      </c>
      <c r="C891" s="8">
        <f>IFERROR(VLOOKUP($A891,'01-原始价格'!$A:$M,8,FALSE),"")</f>
        <v/>
      </c>
      <c r="D891" s="10">
        <f>IFERROR(B891/C891,"")</f>
        <v/>
      </c>
      <c r="E891" s="10">
        <f>IFERROR(C891/B891,"")</f>
        <v/>
      </c>
      <c r="F891" s="11">
        <f>IFERROR((D891/D890-1)*100,"")</f>
        <v/>
      </c>
      <c r="G891" s="11">
        <f>IFERROR((COUNTIF($D$640:$D$891,"&lt;"&amp;D891)+0.5*COUNTIF($D$640:$D$891,D891))/COUNT($D$640:$D$891)*100,"")</f>
        <v/>
      </c>
      <c r="H891" s="10">
        <f>IFERROR(AVERAGE($D$640:$D$891),"")</f>
        <v/>
      </c>
      <c r="I891" s="10" t="n">
        <v>1.129392524469007</v>
      </c>
      <c r="J891" t="inlineStr"/>
      <c r="K891" t="inlineStr"/>
    </row>
    <row r="892">
      <c r="A892" s="7" t="inlineStr">
        <is>
          <t>2017-10-20</t>
        </is>
      </c>
      <c r="B892" s="8">
        <f>IFERROR(VLOOKUP($A892,'01-原始价格'!$A:$M,2,FALSE),"")</f>
        <v/>
      </c>
      <c r="C892" s="8">
        <f>IFERROR(VLOOKUP($A892,'01-原始价格'!$A:$M,8,FALSE),"")</f>
        <v/>
      </c>
      <c r="D892" s="10">
        <f>IFERROR(B892/C892,"")</f>
        <v/>
      </c>
      <c r="E892" s="10">
        <f>IFERROR(C892/B892,"")</f>
        <v/>
      </c>
      <c r="F892" s="11">
        <f>IFERROR((D892/D891-1)*100,"")</f>
        <v/>
      </c>
      <c r="G892" s="11">
        <f>IFERROR((COUNTIF($D$641:$D$892,"&lt;"&amp;D892)+0.5*COUNTIF($D$641:$D$892,D892))/COUNT($D$641:$D$892)*100,"")</f>
        <v/>
      </c>
      <c r="H892" s="10">
        <f>IFERROR(AVERAGE($D$641:$D$892),"")</f>
        <v/>
      </c>
      <c r="I892" s="10" t="n">
        <v>1.259753727796523</v>
      </c>
      <c r="J892" t="inlineStr"/>
      <c r="K892" t="inlineStr"/>
    </row>
    <row r="893">
      <c r="A893" s="7" t="inlineStr">
        <is>
          <t>2017-10-23</t>
        </is>
      </c>
      <c r="B893" s="8">
        <f>IFERROR(VLOOKUP($A893,'01-原始价格'!$A:$M,2,FALSE),"")</f>
        <v/>
      </c>
      <c r="C893" s="8">
        <f>IFERROR(VLOOKUP($A893,'01-原始价格'!$A:$M,8,FALSE),"")</f>
        <v/>
      </c>
      <c r="D893" s="10">
        <f>IFERROR(B893/C893,"")</f>
        <v/>
      </c>
      <c r="E893" s="10">
        <f>IFERROR(C893/B893,"")</f>
        <v/>
      </c>
      <c r="F893" s="11">
        <f>IFERROR((D893/D892-1)*100,"")</f>
        <v/>
      </c>
      <c r="G893" s="11">
        <f>IFERROR((COUNTIF($D$642:$D$893,"&lt;"&amp;D893)+0.5*COUNTIF($D$642:$D$893,D893))/COUNT($D$642:$D$893)*100,"")</f>
        <v/>
      </c>
      <c r="H893" s="10">
        <f>IFERROR(AVERAGE($D$642:$D$893),"")</f>
        <v/>
      </c>
      <c r="I893" s="10" t="n">
        <v>1.239494088207571</v>
      </c>
      <c r="J893" t="inlineStr"/>
      <c r="K893" t="inlineStr"/>
    </row>
    <row r="894">
      <c r="A894" s="7" t="inlineStr">
        <is>
          <t>2017-10-24</t>
        </is>
      </c>
      <c r="B894" s="8">
        <f>IFERROR(VLOOKUP($A894,'01-原始价格'!$A:$M,2,FALSE),"")</f>
        <v/>
      </c>
      <c r="C894" s="8">
        <f>IFERROR(VLOOKUP($A894,'01-原始价格'!$A:$M,8,FALSE),"")</f>
        <v/>
      </c>
      <c r="D894" s="10">
        <f>IFERROR(B894/C894,"")</f>
        <v/>
      </c>
      <c r="E894" s="10">
        <f>IFERROR(C894/B894,"")</f>
        <v/>
      </c>
      <c r="F894" s="11">
        <f>IFERROR((D894/D893-1)*100,"")</f>
        <v/>
      </c>
      <c r="G894" s="11">
        <f>IFERROR((COUNTIF($D$643:$D$894,"&lt;"&amp;D894)+0.5*COUNTIF($D$643:$D$894,D894))/COUNT($D$643:$D$894)*100,"")</f>
        <v/>
      </c>
      <c r="H894" s="10">
        <f>IFERROR(AVERAGE($D$643:$D$894),"")</f>
        <v/>
      </c>
      <c r="I894" s="10" t="n">
        <v>1.22206177570045</v>
      </c>
      <c r="J894" t="inlineStr"/>
      <c r="K894" t="inlineStr"/>
    </row>
    <row r="895">
      <c r="A895" s="7" t="inlineStr">
        <is>
          <t>2017-10-25</t>
        </is>
      </c>
      <c r="B895" s="8">
        <f>IFERROR(VLOOKUP($A895,'01-原始价格'!$A:$M,2,FALSE),"")</f>
        <v/>
      </c>
      <c r="C895" s="8">
        <f>IFERROR(VLOOKUP($A895,'01-原始价格'!$A:$M,8,FALSE),"")</f>
        <v/>
      </c>
      <c r="D895" s="10">
        <f>IFERROR(B895/C895,"")</f>
        <v/>
      </c>
      <c r="E895" s="10">
        <f>IFERROR(C895/B895,"")</f>
        <v/>
      </c>
      <c r="F895" s="11">
        <f>IFERROR((D895/D894-1)*100,"")</f>
        <v/>
      </c>
      <c r="G895" s="11">
        <f>IFERROR((COUNTIF($D$644:$D$895,"&lt;"&amp;D895)+0.5*COUNTIF($D$644:$D$895,D895))/COUNT($D$644:$D$895)*100,"")</f>
        <v/>
      </c>
      <c r="H895" s="10">
        <f>IFERROR(AVERAGE($D$644:$D$895),"")</f>
        <v/>
      </c>
      <c r="I895" s="10" t="n">
        <v>0.8915234407543561</v>
      </c>
      <c r="J895" t="inlineStr"/>
      <c r="K895" t="inlineStr"/>
    </row>
    <row r="896">
      <c r="A896" s="7" t="inlineStr">
        <is>
          <t>2017-10-26</t>
        </is>
      </c>
      <c r="B896" s="8">
        <f>IFERROR(VLOOKUP($A896,'01-原始价格'!$A:$M,2,FALSE),"")</f>
        <v/>
      </c>
      <c r="C896" s="8">
        <f>IFERROR(VLOOKUP($A896,'01-原始价格'!$A:$M,8,FALSE),"")</f>
        <v/>
      </c>
      <c r="D896" s="10">
        <f>IFERROR(B896/C896,"")</f>
        <v/>
      </c>
      <c r="E896" s="10">
        <f>IFERROR(C896/B896,"")</f>
        <v/>
      </c>
      <c r="F896" s="11">
        <f>IFERROR((D896/D895-1)*100,"")</f>
        <v/>
      </c>
      <c r="G896" s="11">
        <f>IFERROR((COUNTIF($D$645:$D$896,"&lt;"&amp;D896)+0.5*COUNTIF($D$645:$D$896,D896))/COUNT($D$645:$D$896)*100,"")</f>
        <v/>
      </c>
      <c r="H896" s="10">
        <f>IFERROR(AVERAGE($D$645:$D$896),"")</f>
        <v/>
      </c>
      <c r="I896" s="10" t="n">
        <v>0.7732463446551023</v>
      </c>
      <c r="J896" t="inlineStr"/>
      <c r="K896" t="inlineStr"/>
    </row>
    <row r="897">
      <c r="A897" s="7" t="inlineStr">
        <is>
          <t>2017-10-27</t>
        </is>
      </c>
      <c r="B897" s="8">
        <f>IFERROR(VLOOKUP($A897,'01-原始价格'!$A:$M,2,FALSE),"")</f>
        <v/>
      </c>
      <c r="C897" s="8">
        <f>IFERROR(VLOOKUP($A897,'01-原始价格'!$A:$M,8,FALSE),"")</f>
        <v/>
      </c>
      <c r="D897" s="10">
        <f>IFERROR(B897/C897,"")</f>
        <v/>
      </c>
      <c r="E897" s="10">
        <f>IFERROR(C897/B897,"")</f>
        <v/>
      </c>
      <c r="F897" s="11">
        <f>IFERROR((D897/D896-1)*100,"")</f>
        <v/>
      </c>
      <c r="G897" s="11">
        <f>IFERROR((COUNTIF($D$646:$D$897,"&lt;"&amp;D897)+0.5*COUNTIF($D$646:$D$897,D897))/COUNT($D$646:$D$897)*100,"")</f>
        <v/>
      </c>
      <c r="H897" s="10">
        <f>IFERROR(AVERAGE($D$646:$D$897),"")</f>
        <v/>
      </c>
      <c r="I897" s="10" t="n">
        <v>0.8368973520561502</v>
      </c>
      <c r="J897" t="inlineStr"/>
      <c r="K897" t="inlineStr"/>
    </row>
    <row r="898">
      <c r="A898" s="7" t="inlineStr">
        <is>
          <t>2017-10-30</t>
        </is>
      </c>
      <c r="B898" s="8">
        <f>IFERROR(VLOOKUP($A898,'01-原始价格'!$A:$M,2,FALSE),"")</f>
        <v/>
      </c>
      <c r="C898" s="8">
        <f>IFERROR(VLOOKUP($A898,'01-原始价格'!$A:$M,8,FALSE),"")</f>
        <v/>
      </c>
      <c r="D898" s="10">
        <f>IFERROR(B898/C898,"")</f>
        <v/>
      </c>
      <c r="E898" s="10">
        <f>IFERROR(C898/B898,"")</f>
        <v/>
      </c>
      <c r="F898" s="11">
        <f>IFERROR((D898/D897-1)*100,"")</f>
        <v/>
      </c>
      <c r="G898" s="11">
        <f>IFERROR((COUNTIF($D$647:$D$898,"&lt;"&amp;D898)+0.5*COUNTIF($D$647:$D$898,D898))/COUNT($D$647:$D$898)*100,"")</f>
        <v/>
      </c>
      <c r="H898" s="10">
        <f>IFERROR(AVERAGE($D$647:$D$898),"")</f>
        <v/>
      </c>
      <c r="I898" s="10" t="n">
        <v>0.7910534952205996</v>
      </c>
      <c r="J898" t="inlineStr"/>
      <c r="K898" t="inlineStr"/>
    </row>
    <row r="899">
      <c r="A899" s="7" t="inlineStr">
        <is>
          <t>2017-10-31</t>
        </is>
      </c>
      <c r="B899" s="8">
        <f>IFERROR(VLOOKUP($A899,'01-原始价格'!$A:$M,2,FALSE),"")</f>
        <v/>
      </c>
      <c r="C899" s="8">
        <f>IFERROR(VLOOKUP($A899,'01-原始价格'!$A:$M,8,FALSE),"")</f>
        <v/>
      </c>
      <c r="D899" s="10">
        <f>IFERROR(B899/C899,"")</f>
        <v/>
      </c>
      <c r="E899" s="10">
        <f>IFERROR(C899/B899,"")</f>
        <v/>
      </c>
      <c r="F899" s="11">
        <f>IFERROR((D899/D898-1)*100,"")</f>
        <v/>
      </c>
      <c r="G899" s="11">
        <f>IFERROR((COUNTIF($D$648:$D$899,"&lt;"&amp;D899)+0.5*COUNTIF($D$648:$D$899,D899))/COUNT($D$648:$D$899)*100,"")</f>
        <v/>
      </c>
      <c r="H899" s="10">
        <f>IFERROR(AVERAGE($D$648:$D$899),"")</f>
        <v/>
      </c>
      <c r="I899" s="10" t="n">
        <v>0.7152059640301935</v>
      </c>
      <c r="J899" t="inlineStr"/>
      <c r="K899" t="inlineStr"/>
    </row>
    <row r="900">
      <c r="A900" s="7" t="inlineStr">
        <is>
          <t>2017-11-01</t>
        </is>
      </c>
      <c r="B900" s="8">
        <f>IFERROR(VLOOKUP($A900,'01-原始价格'!$A:$M,2,FALSE),"")</f>
        <v/>
      </c>
      <c r="C900" s="8">
        <f>IFERROR(VLOOKUP($A900,'01-原始价格'!$A:$M,8,FALSE),"")</f>
        <v/>
      </c>
      <c r="D900" s="10">
        <f>IFERROR(B900/C900,"")</f>
        <v/>
      </c>
      <c r="E900" s="10">
        <f>IFERROR(C900/B900,"")</f>
        <v/>
      </c>
      <c r="F900" s="11">
        <f>IFERROR((D900/D899-1)*100,"")</f>
        <v/>
      </c>
      <c r="G900" s="11">
        <f>IFERROR((COUNTIF($D$649:$D$900,"&lt;"&amp;D900)+0.5*COUNTIF($D$649:$D$900,D900))/COUNT($D$649:$D$900)*100,"")</f>
        <v/>
      </c>
      <c r="H900" s="10">
        <f>IFERROR(AVERAGE($D$649:$D$900),"")</f>
        <v/>
      </c>
      <c r="I900" s="10" t="n">
        <v>0.7558664447915568</v>
      </c>
      <c r="J900" t="inlineStr"/>
      <c r="K900" t="inlineStr"/>
    </row>
    <row r="901">
      <c r="A901" s="7" t="inlineStr">
        <is>
          <t>2017-11-02</t>
        </is>
      </c>
      <c r="B901" s="8">
        <f>IFERROR(VLOOKUP($A901,'01-原始价格'!$A:$M,2,FALSE),"")</f>
        <v/>
      </c>
      <c r="C901" s="8">
        <f>IFERROR(VLOOKUP($A901,'01-原始价格'!$A:$M,8,FALSE),"")</f>
        <v/>
      </c>
      <c r="D901" s="10">
        <f>IFERROR(B901/C901,"")</f>
        <v/>
      </c>
      <c r="E901" s="10">
        <f>IFERROR(C901/B901,"")</f>
        <v/>
      </c>
      <c r="F901" s="11">
        <f>IFERROR((D901/D900-1)*100,"")</f>
        <v/>
      </c>
      <c r="G901" s="11">
        <f>IFERROR((COUNTIF($D$650:$D$901,"&lt;"&amp;D901)+0.5*COUNTIF($D$650:$D$901,D901))/COUNT($D$650:$D$901)*100,"")</f>
        <v/>
      </c>
      <c r="H901" s="10">
        <f>IFERROR(AVERAGE($D$650:$D$901),"")</f>
        <v/>
      </c>
      <c r="I901" s="10" t="n">
        <v>0.6771261394545055</v>
      </c>
      <c r="J901" t="inlineStr"/>
      <c r="K901" t="inlineStr"/>
    </row>
    <row r="902">
      <c r="A902" s="7" t="inlineStr">
        <is>
          <t>2017-11-03</t>
        </is>
      </c>
      <c r="B902" s="8">
        <f>IFERROR(VLOOKUP($A902,'01-原始价格'!$A:$M,2,FALSE),"")</f>
        <v/>
      </c>
      <c r="C902" s="8">
        <f>IFERROR(VLOOKUP($A902,'01-原始价格'!$A:$M,8,FALSE),"")</f>
        <v/>
      </c>
      <c r="D902" s="10">
        <f>IFERROR(B902/C902,"")</f>
        <v/>
      </c>
      <c r="E902" s="10">
        <f>IFERROR(C902/B902,"")</f>
        <v/>
      </c>
      <c r="F902" s="11">
        <f>IFERROR((D902/D901-1)*100,"")</f>
        <v/>
      </c>
      <c r="G902" s="11">
        <f>IFERROR((COUNTIF($D$651:$D$902,"&lt;"&amp;D902)+0.5*COUNTIF($D$651:$D$902,D902))/COUNT($D$651:$D$902)*100,"")</f>
        <v/>
      </c>
      <c r="H902" s="10">
        <f>IFERROR(AVERAGE($D$651:$D$902),"")</f>
        <v/>
      </c>
      <c r="I902" s="10" t="n">
        <v>0.8717375753060301</v>
      </c>
      <c r="J902" t="inlineStr"/>
      <c r="K902" t="inlineStr"/>
    </row>
    <row r="903">
      <c r="A903" s="7" t="inlineStr">
        <is>
          <t>2017-11-06</t>
        </is>
      </c>
      <c r="B903" s="8">
        <f>IFERROR(VLOOKUP($A903,'01-原始价格'!$A:$M,2,FALSE),"")</f>
        <v/>
      </c>
      <c r="C903" s="8">
        <f>IFERROR(VLOOKUP($A903,'01-原始价格'!$A:$M,8,FALSE),"")</f>
        <v/>
      </c>
      <c r="D903" s="10">
        <f>IFERROR(B903/C903,"")</f>
        <v/>
      </c>
      <c r="E903" s="10">
        <f>IFERROR(C903/B903,"")</f>
        <v/>
      </c>
      <c r="F903" s="11">
        <f>IFERROR((D903/D902-1)*100,"")</f>
        <v/>
      </c>
      <c r="G903" s="11">
        <f>IFERROR((COUNTIF($D$652:$D$903,"&lt;"&amp;D903)+0.5*COUNTIF($D$652:$D$903,D903))/COUNT($D$652:$D$903)*100,"")</f>
        <v/>
      </c>
      <c r="H903" s="10">
        <f>IFERROR(AVERAGE($D$652:$D$903),"")</f>
        <v/>
      </c>
      <c r="I903" s="10" t="n">
        <v>0.8616646647200739</v>
      </c>
      <c r="J903" t="inlineStr"/>
      <c r="K903" t="inlineStr"/>
    </row>
    <row r="904">
      <c r="A904" s="7" t="inlineStr">
        <is>
          <t>2017-11-07</t>
        </is>
      </c>
      <c r="B904" s="8">
        <f>IFERROR(VLOOKUP($A904,'01-原始价格'!$A:$M,2,FALSE),"")</f>
        <v/>
      </c>
      <c r="C904" s="8">
        <f>IFERROR(VLOOKUP($A904,'01-原始价格'!$A:$M,8,FALSE),"")</f>
        <v/>
      </c>
      <c r="D904" s="10">
        <f>IFERROR(B904/C904,"")</f>
        <v/>
      </c>
      <c r="E904" s="10">
        <f>IFERROR(C904/B904,"")</f>
        <v/>
      </c>
      <c r="F904" s="11">
        <f>IFERROR((D904/D903-1)*100,"")</f>
        <v/>
      </c>
      <c r="G904" s="11">
        <f>IFERROR((COUNTIF($D$653:$D$904,"&lt;"&amp;D904)+0.5*COUNTIF($D$653:$D$904,D904))/COUNT($D$653:$D$904)*100,"")</f>
        <v/>
      </c>
      <c r="H904" s="10">
        <f>IFERROR(AVERAGE($D$653:$D$904),"")</f>
        <v/>
      </c>
      <c r="I904" s="10" t="n">
        <v>0.9767571123046855</v>
      </c>
      <c r="J904" t="inlineStr"/>
      <c r="K904" t="inlineStr"/>
    </row>
    <row r="905">
      <c r="A905" s="7" t="inlineStr">
        <is>
          <t>2017-11-08</t>
        </is>
      </c>
      <c r="B905" s="8">
        <f>IFERROR(VLOOKUP($A905,'01-原始价格'!$A:$M,2,FALSE),"")</f>
        <v/>
      </c>
      <c r="C905" s="8">
        <f>IFERROR(VLOOKUP($A905,'01-原始价格'!$A:$M,8,FALSE),"")</f>
        <v/>
      </c>
      <c r="D905" s="10">
        <f>IFERROR(B905/C905,"")</f>
        <v/>
      </c>
      <c r="E905" s="10">
        <f>IFERROR(C905/B905,"")</f>
        <v/>
      </c>
      <c r="F905" s="11">
        <f>IFERROR((D905/D904-1)*100,"")</f>
        <v/>
      </c>
      <c r="G905" s="11">
        <f>IFERROR((COUNTIF($D$654:$D$905,"&lt;"&amp;D905)+0.5*COUNTIF($D$654:$D$905,D905))/COUNT($D$654:$D$905)*100,"")</f>
        <v/>
      </c>
      <c r="H905" s="10">
        <f>IFERROR(AVERAGE($D$654:$D$905),"")</f>
        <v/>
      </c>
      <c r="I905" s="10" t="n">
        <v>1.144624209036341</v>
      </c>
      <c r="J905" t="inlineStr"/>
      <c r="K905" t="inlineStr"/>
    </row>
    <row r="906">
      <c r="A906" s="7" t="inlineStr">
        <is>
          <t>2017-11-09</t>
        </is>
      </c>
      <c r="B906" s="8">
        <f>IFERROR(VLOOKUP($A906,'01-原始价格'!$A:$M,2,FALSE),"")</f>
        <v/>
      </c>
      <c r="C906" s="8">
        <f>IFERROR(VLOOKUP($A906,'01-原始价格'!$A:$M,8,FALSE),"")</f>
        <v/>
      </c>
      <c r="D906" s="10">
        <f>IFERROR(B906/C906,"")</f>
        <v/>
      </c>
      <c r="E906" s="10">
        <f>IFERROR(C906/B906,"")</f>
        <v/>
      </c>
      <c r="F906" s="11">
        <f>IFERROR((D906/D905-1)*100,"")</f>
        <v/>
      </c>
      <c r="G906" s="11">
        <f>IFERROR((COUNTIF($D$655:$D$906,"&lt;"&amp;D906)+0.5*COUNTIF($D$655:$D$906,D906))/COUNT($D$655:$D$906)*100,"")</f>
        <v/>
      </c>
      <c r="H906" s="10">
        <f>IFERROR(AVERAGE($D$655:$D$906),"")</f>
        <v/>
      </c>
      <c r="I906" s="10" t="n">
        <v>0.9544859442770316</v>
      </c>
      <c r="J906" t="inlineStr"/>
      <c r="K906" t="inlineStr"/>
    </row>
    <row r="907">
      <c r="A907" s="7" t="inlineStr">
        <is>
          <t>2017-11-10</t>
        </is>
      </c>
      <c r="B907" s="8">
        <f>IFERROR(VLOOKUP($A907,'01-原始价格'!$A:$M,2,FALSE),"")</f>
        <v/>
      </c>
      <c r="C907" s="8">
        <f>IFERROR(VLOOKUP($A907,'01-原始价格'!$A:$M,8,FALSE),"")</f>
        <v/>
      </c>
      <c r="D907" s="10">
        <f>IFERROR(B907/C907,"")</f>
        <v/>
      </c>
      <c r="E907" s="10">
        <f>IFERROR(C907/B907,"")</f>
        <v/>
      </c>
      <c r="F907" s="11">
        <f>IFERROR((D907/D906-1)*100,"")</f>
        <v/>
      </c>
      <c r="G907" s="11">
        <f>IFERROR((COUNTIF($D$656:$D$907,"&lt;"&amp;D907)+0.5*COUNTIF($D$656:$D$907,D907))/COUNT($D$656:$D$907)*100,"")</f>
        <v/>
      </c>
      <c r="H907" s="10">
        <f>IFERROR(AVERAGE($D$656:$D$907),"")</f>
        <v/>
      </c>
      <c r="I907" s="10" t="n">
        <v>0.8169036141208262</v>
      </c>
      <c r="J907" t="inlineStr"/>
      <c r="K907" t="inlineStr"/>
    </row>
    <row r="908">
      <c r="A908" s="7" t="inlineStr">
        <is>
          <t>2017-11-13</t>
        </is>
      </c>
      <c r="B908" s="8">
        <f>IFERROR(VLOOKUP($A908,'01-原始价格'!$A:$M,2,FALSE),"")</f>
        <v/>
      </c>
      <c r="C908" s="8">
        <f>IFERROR(VLOOKUP($A908,'01-原始价格'!$A:$M,8,FALSE),"")</f>
        <v/>
      </c>
      <c r="D908" s="10">
        <f>IFERROR(B908/C908,"")</f>
        <v/>
      </c>
      <c r="E908" s="10">
        <f>IFERROR(C908/B908,"")</f>
        <v/>
      </c>
      <c r="F908" s="11">
        <f>IFERROR((D908/D907-1)*100,"")</f>
        <v/>
      </c>
      <c r="G908" s="11">
        <f>IFERROR((COUNTIF($D$657:$D$908,"&lt;"&amp;D908)+0.5*COUNTIF($D$657:$D$908,D908))/COUNT($D$657:$D$908)*100,"")</f>
        <v/>
      </c>
      <c r="H908" s="10">
        <f>IFERROR(AVERAGE($D$657:$D$908),"")</f>
        <v/>
      </c>
      <c r="I908" s="10" t="n">
        <v>1.01470453798928</v>
      </c>
      <c r="J908" t="inlineStr"/>
      <c r="K908" t="inlineStr"/>
    </row>
    <row r="909">
      <c r="A909" s="7" t="inlineStr">
        <is>
          <t>2017-11-14</t>
        </is>
      </c>
      <c r="B909" s="8">
        <f>IFERROR(VLOOKUP($A909,'01-原始价格'!$A:$M,2,FALSE),"")</f>
        <v/>
      </c>
      <c r="C909" s="8">
        <f>IFERROR(VLOOKUP($A909,'01-原始价格'!$A:$M,8,FALSE),"")</f>
        <v/>
      </c>
      <c r="D909" s="10">
        <f>IFERROR(B909/C909,"")</f>
        <v/>
      </c>
      <c r="E909" s="10">
        <f>IFERROR(C909/B909,"")</f>
        <v/>
      </c>
      <c r="F909" s="11">
        <f>IFERROR((D909/D908-1)*100,"")</f>
        <v/>
      </c>
      <c r="G909" s="11">
        <f>IFERROR((COUNTIF($D$658:$D$909,"&lt;"&amp;D909)+0.5*COUNTIF($D$658:$D$909,D909))/COUNT($D$658:$D$909)*100,"")</f>
        <v/>
      </c>
      <c r="H909" s="10">
        <f>IFERROR(AVERAGE($D$658:$D$909),"")</f>
        <v/>
      </c>
      <c r="I909" s="10" t="n">
        <v>0.8313646632470958</v>
      </c>
      <c r="J909" t="inlineStr"/>
      <c r="K909" t="inlineStr"/>
    </row>
    <row r="910">
      <c r="A910" s="7" t="inlineStr">
        <is>
          <t>2017-11-15</t>
        </is>
      </c>
      <c r="B910" s="8">
        <f>IFERROR(VLOOKUP($A910,'01-原始价格'!$A:$M,2,FALSE),"")</f>
        <v/>
      </c>
      <c r="C910" s="8">
        <f>IFERROR(VLOOKUP($A910,'01-原始价格'!$A:$M,8,FALSE),"")</f>
        <v/>
      </c>
      <c r="D910" s="10">
        <f>IFERROR(B910/C910,"")</f>
        <v/>
      </c>
      <c r="E910" s="10">
        <f>IFERROR(C910/B910,"")</f>
        <v/>
      </c>
      <c r="F910" s="11">
        <f>IFERROR((D910/D909-1)*100,"")</f>
        <v/>
      </c>
      <c r="G910" s="11">
        <f>IFERROR((COUNTIF($D$659:$D$910,"&lt;"&amp;D910)+0.5*COUNTIF($D$659:$D$910,D910))/COUNT($D$659:$D$910)*100,"")</f>
        <v/>
      </c>
      <c r="H910" s="10">
        <f>IFERROR(AVERAGE($D$659:$D$910),"")</f>
        <v/>
      </c>
      <c r="I910" s="10" t="n">
        <v>0.6798896080737811</v>
      </c>
      <c r="J910" t="inlineStr"/>
      <c r="K910" t="inlineStr"/>
    </row>
    <row r="911">
      <c r="A911" s="7" t="inlineStr">
        <is>
          <t>2017-11-16</t>
        </is>
      </c>
      <c r="B911" s="8">
        <f>IFERROR(VLOOKUP($A911,'01-原始价格'!$A:$M,2,FALSE),"")</f>
        <v/>
      </c>
      <c r="C911" s="8">
        <f>IFERROR(VLOOKUP($A911,'01-原始价格'!$A:$M,8,FALSE),"")</f>
        <v/>
      </c>
      <c r="D911" s="10">
        <f>IFERROR(B911/C911,"")</f>
        <v/>
      </c>
      <c r="E911" s="10">
        <f>IFERROR(C911/B911,"")</f>
        <v/>
      </c>
      <c r="F911" s="11">
        <f>IFERROR((D911/D910-1)*100,"")</f>
        <v/>
      </c>
      <c r="G911" s="11">
        <f>IFERROR((COUNTIF($D$660:$D$911,"&lt;"&amp;D911)+0.5*COUNTIF($D$660:$D$911,D911))/COUNT($D$660:$D$911)*100,"")</f>
        <v/>
      </c>
      <c r="H911" s="10">
        <f>IFERROR(AVERAGE($D$660:$D$911),"")</f>
        <v/>
      </c>
      <c r="I911" s="10" t="n">
        <v>0.8629929463383275</v>
      </c>
      <c r="J911" t="inlineStr"/>
      <c r="K911" t="inlineStr"/>
    </row>
    <row r="912">
      <c r="A912" s="7" t="inlineStr">
        <is>
          <t>2017-11-17</t>
        </is>
      </c>
      <c r="B912" s="8">
        <f>IFERROR(VLOOKUP($A912,'01-原始价格'!$A:$M,2,FALSE),"")</f>
        <v/>
      </c>
      <c r="C912" s="8">
        <f>IFERROR(VLOOKUP($A912,'01-原始价格'!$A:$M,8,FALSE),"")</f>
        <v/>
      </c>
      <c r="D912" s="10">
        <f>IFERROR(B912/C912,"")</f>
        <v/>
      </c>
      <c r="E912" s="10">
        <f>IFERROR(C912/B912,"")</f>
        <v/>
      </c>
      <c r="F912" s="11">
        <f>IFERROR((D912/D911-1)*100,"")</f>
        <v/>
      </c>
      <c r="G912" s="11">
        <f>IFERROR((COUNTIF($D$661:$D$912,"&lt;"&amp;D912)+0.5*COUNTIF($D$661:$D$912,D912))/COUNT($D$661:$D$912)*100,"")</f>
        <v/>
      </c>
      <c r="H912" s="10">
        <f>IFERROR(AVERAGE($D$661:$D$912),"")</f>
        <v/>
      </c>
      <c r="I912" s="10" t="n">
        <v>1.348216181595539</v>
      </c>
      <c r="J912" t="inlineStr"/>
      <c r="K912" t="inlineStr"/>
    </row>
    <row r="913">
      <c r="A913" s="7" t="inlineStr">
        <is>
          <t>2017-11-20</t>
        </is>
      </c>
      <c r="B913" s="8">
        <f>IFERROR(VLOOKUP($A913,'01-原始价格'!$A:$M,2,FALSE),"")</f>
        <v/>
      </c>
      <c r="C913" s="8">
        <f>IFERROR(VLOOKUP($A913,'01-原始价格'!$A:$M,8,FALSE),"")</f>
        <v/>
      </c>
      <c r="D913" s="10">
        <f>IFERROR(B913/C913,"")</f>
        <v/>
      </c>
      <c r="E913" s="10">
        <f>IFERROR(C913/B913,"")</f>
        <v/>
      </c>
      <c r="F913" s="11">
        <f>IFERROR((D913/D912-1)*100,"")</f>
        <v/>
      </c>
      <c r="G913" s="11">
        <f>IFERROR((COUNTIF($D$662:$D$913,"&lt;"&amp;D913)+0.5*COUNTIF($D$662:$D$913,D913))/COUNT($D$662:$D$913)*100,"")</f>
        <v/>
      </c>
      <c r="H913" s="10">
        <f>IFERROR(AVERAGE($D$662:$D$913),"")</f>
        <v/>
      </c>
      <c r="I913" s="10" t="n">
        <v>1.409804322108522</v>
      </c>
      <c r="J913" t="inlineStr"/>
      <c r="K913" t="inlineStr"/>
    </row>
    <row r="914">
      <c r="A914" s="7" t="inlineStr">
        <is>
          <t>2017-11-21</t>
        </is>
      </c>
      <c r="B914" s="8">
        <f>IFERROR(VLOOKUP($A914,'01-原始价格'!$A:$M,2,FALSE),"")</f>
        <v/>
      </c>
      <c r="C914" s="8">
        <f>IFERROR(VLOOKUP($A914,'01-原始价格'!$A:$M,8,FALSE),"")</f>
        <v/>
      </c>
      <c r="D914" s="10">
        <f>IFERROR(B914/C914,"")</f>
        <v/>
      </c>
      <c r="E914" s="10">
        <f>IFERROR(C914/B914,"")</f>
        <v/>
      </c>
      <c r="F914" s="11">
        <f>IFERROR((D914/D913-1)*100,"")</f>
        <v/>
      </c>
      <c r="G914" s="11">
        <f>IFERROR((COUNTIF($D$663:$D$914,"&lt;"&amp;D914)+0.5*COUNTIF($D$663:$D$914,D914))/COUNT($D$663:$D$914)*100,"")</f>
        <v/>
      </c>
      <c r="H914" s="10">
        <f>IFERROR(AVERAGE($D$663:$D$914),"")</f>
        <v/>
      </c>
      <c r="I914" s="10" t="n">
        <v>1.274091425135822</v>
      </c>
      <c r="J914" t="inlineStr"/>
      <c r="K914" t="inlineStr"/>
    </row>
    <row r="915">
      <c r="A915" s="7" t="inlineStr">
        <is>
          <t>2017-11-22</t>
        </is>
      </c>
      <c r="B915" s="8">
        <f>IFERROR(VLOOKUP($A915,'01-原始价格'!$A:$M,2,FALSE),"")</f>
        <v/>
      </c>
      <c r="C915" s="8">
        <f>IFERROR(VLOOKUP($A915,'01-原始价格'!$A:$M,8,FALSE),"")</f>
        <v/>
      </c>
      <c r="D915" s="10">
        <f>IFERROR(B915/C915,"")</f>
        <v/>
      </c>
      <c r="E915" s="10">
        <f>IFERROR(C915/B915,"")</f>
        <v/>
      </c>
      <c r="F915" s="11">
        <f>IFERROR((D915/D914-1)*100,"")</f>
        <v/>
      </c>
      <c r="G915" s="11">
        <f>IFERROR((COUNTIF($D$664:$D$915,"&lt;"&amp;D915)+0.5*COUNTIF($D$664:$D$915,D915))/COUNT($D$664:$D$915)*100,"")</f>
        <v/>
      </c>
      <c r="H915" s="10">
        <f>IFERROR(AVERAGE($D$664:$D$915),"")</f>
        <v/>
      </c>
      <c r="I915" s="10" t="n">
        <v>1.220160727229064</v>
      </c>
      <c r="J915" t="inlineStr"/>
      <c r="K915" t="inlineStr"/>
    </row>
    <row r="916">
      <c r="A916" s="7" t="inlineStr">
        <is>
          <t>2017-11-23</t>
        </is>
      </c>
      <c r="B916" s="8">
        <f>IFERROR(VLOOKUP($A916,'01-原始价格'!$A:$M,2,FALSE),"")</f>
        <v/>
      </c>
      <c r="C916" s="8">
        <f>IFERROR(VLOOKUP($A916,'01-原始价格'!$A:$M,8,FALSE),"")</f>
        <v/>
      </c>
      <c r="D916" s="10">
        <f>IFERROR(B916/C916,"")</f>
        <v/>
      </c>
      <c r="E916" s="10">
        <f>IFERROR(C916/B916,"")</f>
        <v/>
      </c>
      <c r="F916" s="11">
        <f>IFERROR((D916/D915-1)*100,"")</f>
        <v/>
      </c>
      <c r="G916" s="11">
        <f>IFERROR((COUNTIF($D$665:$D$916,"&lt;"&amp;D916)+0.5*COUNTIF($D$665:$D$916,D916))/COUNT($D$665:$D$916)*100,"")</f>
        <v/>
      </c>
      <c r="H916" s="10">
        <f>IFERROR(AVERAGE($D$665:$D$916),"")</f>
        <v/>
      </c>
      <c r="I916" s="10" t="n">
        <v>1.327208832312662</v>
      </c>
      <c r="J916" t="inlineStr"/>
      <c r="K916" t="inlineStr"/>
    </row>
    <row r="917">
      <c r="A917" s="7" t="inlineStr">
        <is>
          <t>2017-11-24</t>
        </is>
      </c>
      <c r="B917" s="8">
        <f>IFERROR(VLOOKUP($A917,'01-原始价格'!$A:$M,2,FALSE),"")</f>
        <v/>
      </c>
      <c r="C917" s="8">
        <f>IFERROR(VLOOKUP($A917,'01-原始价格'!$A:$M,8,FALSE),"")</f>
        <v/>
      </c>
      <c r="D917" s="10">
        <f>IFERROR(B917/C917,"")</f>
        <v/>
      </c>
      <c r="E917" s="10">
        <f>IFERROR(C917/B917,"")</f>
        <v/>
      </c>
      <c r="F917" s="11">
        <f>IFERROR((D917/D916-1)*100,"")</f>
        <v/>
      </c>
      <c r="G917" s="11">
        <f>IFERROR((COUNTIF($D$666:$D$917,"&lt;"&amp;D917)+0.5*COUNTIF($D$666:$D$917,D917))/COUNT($D$666:$D$917)*100,"")</f>
        <v/>
      </c>
      <c r="H917" s="10">
        <f>IFERROR(AVERAGE($D$666:$D$917),"")</f>
        <v/>
      </c>
      <c r="I917" s="10" t="n">
        <v>1.320918505273439</v>
      </c>
      <c r="J917" t="inlineStr"/>
      <c r="K917" t="inlineStr"/>
    </row>
    <row r="918">
      <c r="A918" s="7" t="inlineStr">
        <is>
          <t>2017-11-27</t>
        </is>
      </c>
      <c r="B918" s="8">
        <f>IFERROR(VLOOKUP($A918,'01-原始价格'!$A:$M,2,FALSE),"")</f>
        <v/>
      </c>
      <c r="C918" s="8">
        <f>IFERROR(VLOOKUP($A918,'01-原始价格'!$A:$M,8,FALSE),"")</f>
        <v/>
      </c>
      <c r="D918" s="10">
        <f>IFERROR(B918/C918,"")</f>
        <v/>
      </c>
      <c r="E918" s="10">
        <f>IFERROR(C918/B918,"")</f>
        <v/>
      </c>
      <c r="F918" s="11">
        <f>IFERROR((D918/D917-1)*100,"")</f>
        <v/>
      </c>
      <c r="G918" s="11">
        <f>IFERROR((COUNTIF($D$667:$D$918,"&lt;"&amp;D918)+0.5*COUNTIF($D$667:$D$918,D918))/COUNT($D$667:$D$918)*100,"")</f>
        <v/>
      </c>
      <c r="H918" s="10">
        <f>IFERROR(AVERAGE($D$667:$D$918),"")</f>
        <v/>
      </c>
      <c r="I918" s="10" t="n">
        <v>1.11687949715529</v>
      </c>
      <c r="J918" t="inlineStr"/>
      <c r="K918" t="inlineStr"/>
    </row>
    <row r="919">
      <c r="A919" s="7" t="inlineStr">
        <is>
          <t>2017-11-28</t>
        </is>
      </c>
      <c r="B919" s="8">
        <f>IFERROR(VLOOKUP($A919,'01-原始价格'!$A:$M,2,FALSE),"")</f>
        <v/>
      </c>
      <c r="C919" s="8">
        <f>IFERROR(VLOOKUP($A919,'01-原始价格'!$A:$M,8,FALSE),"")</f>
        <v/>
      </c>
      <c r="D919" s="10">
        <f>IFERROR(B919/C919,"")</f>
        <v/>
      </c>
      <c r="E919" s="10">
        <f>IFERROR(C919/B919,"")</f>
        <v/>
      </c>
      <c r="F919" s="11">
        <f>IFERROR((D919/D918-1)*100,"")</f>
        <v/>
      </c>
      <c r="G919" s="11">
        <f>IFERROR((COUNTIF($D$668:$D$919,"&lt;"&amp;D919)+0.5*COUNTIF($D$668:$D$919,D919))/COUNT($D$668:$D$919)*100,"")</f>
        <v/>
      </c>
      <c r="H919" s="10">
        <f>IFERROR(AVERAGE($D$668:$D$919),"")</f>
        <v/>
      </c>
      <c r="I919" s="10" t="n">
        <v>1.534120072430646</v>
      </c>
      <c r="J919" t="inlineStr"/>
      <c r="K919" t="inlineStr"/>
    </row>
    <row r="920">
      <c r="A920" s="7" t="inlineStr">
        <is>
          <t>2017-11-29</t>
        </is>
      </c>
      <c r="B920" s="8">
        <f>IFERROR(VLOOKUP($A920,'01-原始价格'!$A:$M,2,FALSE),"")</f>
        <v/>
      </c>
      <c r="C920" s="8">
        <f>IFERROR(VLOOKUP($A920,'01-原始价格'!$A:$M,8,FALSE),"")</f>
        <v/>
      </c>
      <c r="D920" s="10">
        <f>IFERROR(B920/C920,"")</f>
        <v/>
      </c>
      <c r="E920" s="10">
        <f>IFERROR(C920/B920,"")</f>
        <v/>
      </c>
      <c r="F920" s="11">
        <f>IFERROR((D920/D919-1)*100,"")</f>
        <v/>
      </c>
      <c r="G920" s="11">
        <f>IFERROR((COUNTIF($D$669:$D$920,"&lt;"&amp;D920)+0.5*COUNTIF($D$669:$D$920,D920))/COUNT($D$669:$D$920)*100,"")</f>
        <v/>
      </c>
      <c r="H920" s="10">
        <f>IFERROR(AVERAGE($D$669:$D$920),"")</f>
        <v/>
      </c>
      <c r="I920" s="10" t="n">
        <v>1.410893937384756</v>
      </c>
      <c r="J920" t="inlineStr"/>
      <c r="K920" t="inlineStr"/>
    </row>
    <row r="921">
      <c r="A921" s="7" t="inlineStr">
        <is>
          <t>2017-11-30</t>
        </is>
      </c>
      <c r="B921" s="8">
        <f>IFERROR(VLOOKUP($A921,'01-原始价格'!$A:$M,2,FALSE),"")</f>
        <v/>
      </c>
      <c r="C921" s="8">
        <f>IFERROR(VLOOKUP($A921,'01-原始价格'!$A:$M,8,FALSE),"")</f>
        <v/>
      </c>
      <c r="D921" s="10">
        <f>IFERROR(B921/C921,"")</f>
        <v/>
      </c>
      <c r="E921" s="10">
        <f>IFERROR(C921/B921,"")</f>
        <v/>
      </c>
      <c r="F921" s="11">
        <f>IFERROR((D921/D920-1)*100,"")</f>
        <v/>
      </c>
      <c r="G921" s="11">
        <f>IFERROR((COUNTIF($D$670:$D$921,"&lt;"&amp;D921)+0.5*COUNTIF($D$670:$D$921,D921))/COUNT($D$670:$D$921)*100,"")</f>
        <v/>
      </c>
      <c r="H921" s="10">
        <f>IFERROR(AVERAGE($D$670:$D$921),"")</f>
        <v/>
      </c>
      <c r="I921" s="10" t="n">
        <v>1.844324369275839</v>
      </c>
      <c r="J921" t="inlineStr"/>
      <c r="K921" t="inlineStr"/>
    </row>
    <row r="922">
      <c r="A922" s="7" t="inlineStr">
        <is>
          <t>2017-12-01</t>
        </is>
      </c>
      <c r="B922" s="8">
        <f>IFERROR(VLOOKUP($A922,'01-原始价格'!$A:$M,2,FALSE),"")</f>
        <v/>
      </c>
      <c r="C922" s="8">
        <f>IFERROR(VLOOKUP($A922,'01-原始价格'!$A:$M,8,FALSE),"")</f>
        <v/>
      </c>
      <c r="D922" s="10">
        <f>IFERROR(B922/C922,"")</f>
        <v/>
      </c>
      <c r="E922" s="10">
        <f>IFERROR(C922/B922,"")</f>
        <v/>
      </c>
      <c r="F922" s="11">
        <f>IFERROR((D922/D921-1)*100,"")</f>
        <v/>
      </c>
      <c r="G922" s="11">
        <f>IFERROR((COUNTIF($D$671:$D$922,"&lt;"&amp;D922)+0.5*COUNTIF($D$671:$D$922,D922))/COUNT($D$671:$D$922)*100,"")</f>
        <v/>
      </c>
      <c r="H922" s="10">
        <f>IFERROR(AVERAGE($D$671:$D$922),"")</f>
        <v/>
      </c>
      <c r="I922" s="10" t="n">
        <v>1.619450960345099</v>
      </c>
      <c r="J922" t="inlineStr"/>
      <c r="K922" t="inlineStr"/>
    </row>
    <row r="923">
      <c r="A923" s="7" t="inlineStr">
        <is>
          <t>2017-12-04</t>
        </is>
      </c>
      <c r="B923" s="8">
        <f>IFERROR(VLOOKUP($A923,'01-原始价格'!$A:$M,2,FALSE),"")</f>
        <v/>
      </c>
      <c r="C923" s="8">
        <f>IFERROR(VLOOKUP($A923,'01-原始价格'!$A:$M,8,FALSE),"")</f>
        <v/>
      </c>
      <c r="D923" s="10">
        <f>IFERROR(B923/C923,"")</f>
        <v/>
      </c>
      <c r="E923" s="10">
        <f>IFERROR(C923/B923,"")</f>
        <v/>
      </c>
      <c r="F923" s="11">
        <f>IFERROR((D923/D922-1)*100,"")</f>
        <v/>
      </c>
      <c r="G923" s="11">
        <f>IFERROR((COUNTIF($D$672:$D$923,"&lt;"&amp;D923)+0.5*COUNTIF($D$672:$D$923,D923))/COUNT($D$672:$D$923)*100,"")</f>
        <v/>
      </c>
      <c r="H923" s="10">
        <f>IFERROR(AVERAGE($D$672:$D$923),"")</f>
        <v/>
      </c>
      <c r="I923" s="10" t="n">
        <v>1.931873909335318</v>
      </c>
      <c r="J923" t="inlineStr"/>
      <c r="K923" t="inlineStr"/>
    </row>
    <row r="924">
      <c r="A924" s="7" t="inlineStr">
        <is>
          <t>2017-12-05</t>
        </is>
      </c>
      <c r="B924" s="8">
        <f>IFERROR(VLOOKUP($A924,'01-原始价格'!$A:$M,2,FALSE),"")</f>
        <v/>
      </c>
      <c r="C924" s="8">
        <f>IFERROR(VLOOKUP($A924,'01-原始价格'!$A:$M,8,FALSE),"")</f>
        <v/>
      </c>
      <c r="D924" s="10">
        <f>IFERROR(B924/C924,"")</f>
        <v/>
      </c>
      <c r="E924" s="10">
        <f>IFERROR(C924/B924,"")</f>
        <v/>
      </c>
      <c r="F924" s="11">
        <f>IFERROR((D924/D923-1)*100,"")</f>
        <v/>
      </c>
      <c r="G924" s="11">
        <f>IFERROR((COUNTIF($D$673:$D$924,"&lt;"&amp;D924)+0.5*COUNTIF($D$673:$D$924,D924))/COUNT($D$673:$D$924)*100,"")</f>
        <v/>
      </c>
      <c r="H924" s="10">
        <f>IFERROR(AVERAGE($D$673:$D$924),"")</f>
        <v/>
      </c>
      <c r="I924" s="10" t="n">
        <v>2.142429069892327</v>
      </c>
      <c r="J924" t="inlineStr"/>
      <c r="K924" t="inlineStr"/>
    </row>
    <row r="925">
      <c r="A925" s="7" t="inlineStr">
        <is>
          <t>2017-12-06</t>
        </is>
      </c>
      <c r="B925" s="8">
        <f>IFERROR(VLOOKUP($A925,'01-原始价格'!$A:$M,2,FALSE),"")</f>
        <v/>
      </c>
      <c r="C925" s="8">
        <f>IFERROR(VLOOKUP($A925,'01-原始价格'!$A:$M,8,FALSE),"")</f>
        <v/>
      </c>
      <c r="D925" s="10">
        <f>IFERROR(B925/C925,"")</f>
        <v/>
      </c>
      <c r="E925" s="10">
        <f>IFERROR(C925/B925,"")</f>
        <v/>
      </c>
      <c r="F925" s="11">
        <f>IFERROR((D925/D924-1)*100,"")</f>
        <v/>
      </c>
      <c r="G925" s="11">
        <f>IFERROR((COUNTIF($D$674:$D$925,"&lt;"&amp;D925)+0.5*COUNTIF($D$674:$D$925,D925))/COUNT($D$674:$D$925)*100,"")</f>
        <v/>
      </c>
      <c r="H925" s="10">
        <f>IFERROR(AVERAGE($D$674:$D$925),"")</f>
        <v/>
      </c>
      <c r="I925" s="10" t="n">
        <v>2.200446090671581</v>
      </c>
      <c r="J925" t="inlineStr"/>
      <c r="K925" t="inlineStr"/>
    </row>
    <row r="926">
      <c r="A926" s="7" t="inlineStr">
        <is>
          <t>2017-12-07</t>
        </is>
      </c>
      <c r="B926" s="8">
        <f>IFERROR(VLOOKUP($A926,'01-原始价格'!$A:$M,2,FALSE),"")</f>
        <v/>
      </c>
      <c r="C926" s="8">
        <f>IFERROR(VLOOKUP($A926,'01-原始价格'!$A:$M,8,FALSE),"")</f>
        <v/>
      </c>
      <c r="D926" s="10">
        <f>IFERROR(B926/C926,"")</f>
        <v/>
      </c>
      <c r="E926" s="10">
        <f>IFERROR(C926/B926,"")</f>
        <v/>
      </c>
      <c r="F926" s="11">
        <f>IFERROR((D926/D925-1)*100,"")</f>
        <v/>
      </c>
      <c r="G926" s="11">
        <f>IFERROR((COUNTIF($D$675:$D$926,"&lt;"&amp;D926)+0.5*COUNTIF($D$675:$D$926,D926))/COUNT($D$675:$D$926)*100,"")</f>
        <v/>
      </c>
      <c r="H926" s="10">
        <f>IFERROR(AVERAGE($D$675:$D$926),"")</f>
        <v/>
      </c>
      <c r="I926" s="10" t="n">
        <v>1.400457497029713</v>
      </c>
      <c r="J926" t="inlineStr"/>
      <c r="K926" t="inlineStr"/>
    </row>
    <row r="927">
      <c r="A927" s="7" t="inlineStr">
        <is>
          <t>2017-12-08</t>
        </is>
      </c>
      <c r="B927" s="8">
        <f>IFERROR(VLOOKUP($A927,'01-原始价格'!$A:$M,2,FALSE),"")</f>
        <v/>
      </c>
      <c r="C927" s="8">
        <f>IFERROR(VLOOKUP($A927,'01-原始价格'!$A:$M,8,FALSE),"")</f>
        <v/>
      </c>
      <c r="D927" s="10">
        <f>IFERROR(B927/C927,"")</f>
        <v/>
      </c>
      <c r="E927" s="10">
        <f>IFERROR(C927/B927,"")</f>
        <v/>
      </c>
      <c r="F927" s="11">
        <f>IFERROR((D927/D926-1)*100,"")</f>
        <v/>
      </c>
      <c r="G927" s="11">
        <f>IFERROR((COUNTIF($D$676:$D$927,"&lt;"&amp;D927)+0.5*COUNTIF($D$676:$D$927,D927))/COUNT($D$676:$D$927)*100,"")</f>
        <v/>
      </c>
      <c r="H927" s="10">
        <f>IFERROR(AVERAGE($D$676:$D$927),"")</f>
        <v/>
      </c>
      <c r="I927" s="10" t="n">
        <v>1.811062514968107</v>
      </c>
      <c r="J927" t="inlineStr"/>
      <c r="K927" t="inlineStr"/>
    </row>
    <row r="928">
      <c r="A928" s="7" t="inlineStr">
        <is>
          <t>2017-12-11</t>
        </is>
      </c>
      <c r="B928" s="8">
        <f>IFERROR(VLOOKUP($A928,'01-原始价格'!$A:$M,2,FALSE),"")</f>
        <v/>
      </c>
      <c r="C928" s="8">
        <f>IFERROR(VLOOKUP($A928,'01-原始价格'!$A:$M,8,FALSE),"")</f>
        <v/>
      </c>
      <c r="D928" s="10">
        <f>IFERROR(B928/C928,"")</f>
        <v/>
      </c>
      <c r="E928" s="10">
        <f>IFERROR(C928/B928,"")</f>
        <v/>
      </c>
      <c r="F928" s="11">
        <f>IFERROR((D928/D927-1)*100,"")</f>
        <v/>
      </c>
      <c r="G928" s="11">
        <f>IFERROR((COUNTIF($D$677:$D$928,"&lt;"&amp;D928)+0.5*COUNTIF($D$677:$D$928,D928))/COUNT($D$677:$D$928)*100,"")</f>
        <v/>
      </c>
      <c r="H928" s="10">
        <f>IFERROR(AVERAGE($D$677:$D$928),"")</f>
        <v/>
      </c>
      <c r="I928" s="10" t="n">
        <v>2.147647593466029</v>
      </c>
      <c r="J928" t="inlineStr"/>
      <c r="K928" t="inlineStr"/>
    </row>
    <row r="929">
      <c r="A929" s="7" t="inlineStr">
        <is>
          <t>2017-12-12</t>
        </is>
      </c>
      <c r="B929" s="8">
        <f>IFERROR(VLOOKUP($A929,'01-原始价格'!$A:$M,2,FALSE),"")</f>
        <v/>
      </c>
      <c r="C929" s="8">
        <f>IFERROR(VLOOKUP($A929,'01-原始价格'!$A:$M,8,FALSE),"")</f>
        <v/>
      </c>
      <c r="D929" s="10">
        <f>IFERROR(B929/C929,"")</f>
        <v/>
      </c>
      <c r="E929" s="10">
        <f>IFERROR(C929/B929,"")</f>
        <v/>
      </c>
      <c r="F929" s="11">
        <f>IFERROR((D929/D928-1)*100,"")</f>
        <v/>
      </c>
      <c r="G929" s="11">
        <f>IFERROR((COUNTIF($D$678:$D$929,"&lt;"&amp;D929)+0.5*COUNTIF($D$678:$D$929,D929))/COUNT($D$678:$D$929)*100,"")</f>
        <v/>
      </c>
      <c r="H929" s="10">
        <f>IFERROR(AVERAGE($D$678:$D$929),"")</f>
        <v/>
      </c>
      <c r="I929" s="10" t="n">
        <v>2.059678807478105</v>
      </c>
      <c r="J929" t="inlineStr"/>
      <c r="K929" t="inlineStr"/>
    </row>
    <row r="930">
      <c r="A930" s="7" t="inlineStr">
        <is>
          <t>2017-12-13</t>
        </is>
      </c>
      <c r="B930" s="8">
        <f>IFERROR(VLOOKUP($A930,'01-原始价格'!$A:$M,2,FALSE),"")</f>
        <v/>
      </c>
      <c r="C930" s="8">
        <f>IFERROR(VLOOKUP($A930,'01-原始价格'!$A:$M,8,FALSE),"")</f>
        <v/>
      </c>
      <c r="D930" s="10">
        <f>IFERROR(B930/C930,"")</f>
        <v/>
      </c>
      <c r="E930" s="10">
        <f>IFERROR(C930/B930,"")</f>
        <v/>
      </c>
      <c r="F930" s="11">
        <f>IFERROR((D930/D929-1)*100,"")</f>
        <v/>
      </c>
      <c r="G930" s="11">
        <f>IFERROR((COUNTIF($D$679:$D$930,"&lt;"&amp;D930)+0.5*COUNTIF($D$679:$D$930,D930))/COUNT($D$679:$D$930)*100,"")</f>
        <v/>
      </c>
      <c r="H930" s="10">
        <f>IFERROR(AVERAGE($D$679:$D$930),"")</f>
        <v/>
      </c>
      <c r="I930" s="10" t="n">
        <v>2.115941829189623</v>
      </c>
      <c r="J930" t="inlineStr"/>
      <c r="K930" t="inlineStr"/>
    </row>
    <row r="931">
      <c r="A931" s="7" t="inlineStr">
        <is>
          <t>2017-12-14</t>
        </is>
      </c>
      <c r="B931" s="8">
        <f>IFERROR(VLOOKUP($A931,'01-原始价格'!$A:$M,2,FALSE),"")</f>
        <v/>
      </c>
      <c r="C931" s="8">
        <f>IFERROR(VLOOKUP($A931,'01-原始价格'!$A:$M,8,FALSE),"")</f>
        <v/>
      </c>
      <c r="D931" s="10">
        <f>IFERROR(B931/C931,"")</f>
        <v/>
      </c>
      <c r="E931" s="10">
        <f>IFERROR(C931/B931,"")</f>
        <v/>
      </c>
      <c r="F931" s="11">
        <f>IFERROR((D931/D930-1)*100,"")</f>
        <v/>
      </c>
      <c r="G931" s="11">
        <f>IFERROR((COUNTIF($D$680:$D$931,"&lt;"&amp;D931)+0.5*COUNTIF($D$680:$D$931,D931))/COUNT($D$680:$D$931)*100,"")</f>
        <v/>
      </c>
      <c r="H931" s="10">
        <f>IFERROR(AVERAGE($D$680:$D$931),"")</f>
        <v/>
      </c>
      <c r="I931" s="10" t="n">
        <v>1.939216632400434</v>
      </c>
      <c r="J931" t="inlineStr"/>
      <c r="K931" t="inlineStr"/>
    </row>
    <row r="932">
      <c r="A932" s="7" t="inlineStr">
        <is>
          <t>2017-12-15</t>
        </is>
      </c>
      <c r="B932" s="8">
        <f>IFERROR(VLOOKUP($A932,'01-原始价格'!$A:$M,2,FALSE),"")</f>
        <v/>
      </c>
      <c r="C932" s="8">
        <f>IFERROR(VLOOKUP($A932,'01-原始价格'!$A:$M,8,FALSE),"")</f>
        <v/>
      </c>
      <c r="D932" s="10">
        <f>IFERROR(B932/C932,"")</f>
        <v/>
      </c>
      <c r="E932" s="10">
        <f>IFERROR(C932/B932,"")</f>
        <v/>
      </c>
      <c r="F932" s="11">
        <f>IFERROR((D932/D931-1)*100,"")</f>
        <v/>
      </c>
      <c r="G932" s="11">
        <f>IFERROR((COUNTIF($D$681:$D$932,"&lt;"&amp;D932)+0.5*COUNTIF($D$681:$D$932,D932))/COUNT($D$681:$D$932)*100,"")</f>
        <v/>
      </c>
      <c r="H932" s="10">
        <f>IFERROR(AVERAGE($D$681:$D$932),"")</f>
        <v/>
      </c>
      <c r="I932" s="10" t="n">
        <v>1.834603288684082</v>
      </c>
      <c r="J932" t="inlineStr"/>
      <c r="K932" t="inlineStr"/>
    </row>
    <row r="933">
      <c r="A933" s="7" t="inlineStr">
        <is>
          <t>2017-12-18</t>
        </is>
      </c>
      <c r="B933" s="8">
        <f>IFERROR(VLOOKUP($A933,'01-原始价格'!$A:$M,2,FALSE),"")</f>
        <v/>
      </c>
      <c r="C933" s="8">
        <f>IFERROR(VLOOKUP($A933,'01-原始价格'!$A:$M,8,FALSE),"")</f>
        <v/>
      </c>
      <c r="D933" s="10">
        <f>IFERROR(B933/C933,"")</f>
        <v/>
      </c>
      <c r="E933" s="10">
        <f>IFERROR(C933/B933,"")</f>
        <v/>
      </c>
      <c r="F933" s="11">
        <f>IFERROR((D933/D932-1)*100,"")</f>
        <v/>
      </c>
      <c r="G933" s="11">
        <f>IFERROR((COUNTIF($D$682:$D$933,"&lt;"&amp;D933)+0.5*COUNTIF($D$682:$D$933,D933))/COUNT($D$682:$D$933)*100,"")</f>
        <v/>
      </c>
      <c r="H933" s="10">
        <f>IFERROR(AVERAGE($D$682:$D$933),"")</f>
        <v/>
      </c>
      <c r="I933" s="10" t="n">
        <v>2.097410035567134</v>
      </c>
      <c r="J933" t="inlineStr"/>
      <c r="K933" t="inlineStr"/>
    </row>
    <row r="934">
      <c r="A934" s="7" t="inlineStr">
        <is>
          <t>2017-12-19</t>
        </is>
      </c>
      <c r="B934" s="8">
        <f>IFERROR(VLOOKUP($A934,'01-原始价格'!$A:$M,2,FALSE),"")</f>
        <v/>
      </c>
      <c r="C934" s="8">
        <f>IFERROR(VLOOKUP($A934,'01-原始价格'!$A:$M,8,FALSE),"")</f>
        <v/>
      </c>
      <c r="D934" s="10">
        <f>IFERROR(B934/C934,"")</f>
        <v/>
      </c>
      <c r="E934" s="10">
        <f>IFERROR(C934/B934,"")</f>
        <v/>
      </c>
      <c r="F934" s="11">
        <f>IFERROR((D934/D933-1)*100,"")</f>
        <v/>
      </c>
      <c r="G934" s="11">
        <f>IFERROR((COUNTIF($D$683:$D$934,"&lt;"&amp;D934)+0.5*COUNTIF($D$683:$D$934,D934))/COUNT($D$683:$D$934)*100,"")</f>
        <v/>
      </c>
      <c r="H934" s="10">
        <f>IFERROR(AVERAGE($D$683:$D$934),"")</f>
        <v/>
      </c>
      <c r="I934" s="10" t="n">
        <v>2.091529997864395</v>
      </c>
      <c r="J934" t="inlineStr"/>
      <c r="K934" t="inlineStr"/>
    </row>
    <row r="935">
      <c r="A935" s="7" t="inlineStr">
        <is>
          <t>2017-12-20</t>
        </is>
      </c>
      <c r="B935" s="8">
        <f>IFERROR(VLOOKUP($A935,'01-原始价格'!$A:$M,2,FALSE),"")</f>
        <v/>
      </c>
      <c r="C935" s="8">
        <f>IFERROR(VLOOKUP($A935,'01-原始价格'!$A:$M,8,FALSE),"")</f>
        <v/>
      </c>
      <c r="D935" s="10">
        <f>IFERROR(B935/C935,"")</f>
        <v/>
      </c>
      <c r="E935" s="10">
        <f>IFERROR(C935/B935,"")</f>
        <v/>
      </c>
      <c r="F935" s="11">
        <f>IFERROR((D935/D934-1)*100,"")</f>
        <v/>
      </c>
      <c r="G935" s="11">
        <f>IFERROR((COUNTIF($D$684:$D$935,"&lt;"&amp;D935)+0.5*COUNTIF($D$684:$D$935,D935))/COUNT($D$684:$D$935)*100,"")</f>
        <v/>
      </c>
      <c r="H935" s="10">
        <f>IFERROR(AVERAGE($D$684:$D$935),"")</f>
        <v/>
      </c>
      <c r="I935" s="10" t="n">
        <v>2.030326169152099</v>
      </c>
      <c r="J935" t="inlineStr"/>
      <c r="K935" t="inlineStr"/>
    </row>
    <row r="936">
      <c r="A936" s="7" t="inlineStr">
        <is>
          <t>2017-12-21</t>
        </is>
      </c>
      <c r="B936" s="8">
        <f>IFERROR(VLOOKUP($A936,'01-原始价格'!$A:$M,2,FALSE),"")</f>
        <v/>
      </c>
      <c r="C936" s="8">
        <f>IFERROR(VLOOKUP($A936,'01-原始价格'!$A:$M,8,FALSE),"")</f>
        <v/>
      </c>
      <c r="D936" s="10">
        <f>IFERROR(B936/C936,"")</f>
        <v/>
      </c>
      <c r="E936" s="10">
        <f>IFERROR(C936/B936,"")</f>
        <v/>
      </c>
      <c r="F936" s="11">
        <f>IFERROR((D936/D935-1)*100,"")</f>
        <v/>
      </c>
      <c r="G936" s="11">
        <f>IFERROR((COUNTIF($D$685:$D$936,"&lt;"&amp;D936)+0.5*COUNTIF($D$685:$D$936,D936))/COUNT($D$685:$D$936)*100,"")</f>
        <v/>
      </c>
      <c r="H936" s="10">
        <f>IFERROR(AVERAGE($D$685:$D$936),"")</f>
        <v/>
      </c>
      <c r="I936" s="10" t="n">
        <v>1.951707168443327</v>
      </c>
      <c r="J936" t="inlineStr"/>
      <c r="K936" t="inlineStr"/>
    </row>
    <row r="937">
      <c r="A937" s="7" t="inlineStr">
        <is>
          <t>2017-12-22</t>
        </is>
      </c>
      <c r="B937" s="8">
        <f>IFERROR(VLOOKUP($A937,'01-原始价格'!$A:$M,2,FALSE),"")</f>
        <v/>
      </c>
      <c r="C937" s="8">
        <f>IFERROR(VLOOKUP($A937,'01-原始价格'!$A:$M,8,FALSE),"")</f>
        <v/>
      </c>
      <c r="D937" s="10">
        <f>IFERROR(B937/C937,"")</f>
        <v/>
      </c>
      <c r="E937" s="10">
        <f>IFERROR(C937/B937,"")</f>
        <v/>
      </c>
      <c r="F937" s="11">
        <f>IFERROR((D937/D936-1)*100,"")</f>
        <v/>
      </c>
      <c r="G937" s="11">
        <f>IFERROR((COUNTIF($D$686:$D$937,"&lt;"&amp;D937)+0.5*COUNTIF($D$686:$D$937,D937))/COUNT($D$686:$D$937)*100,"")</f>
        <v/>
      </c>
      <c r="H937" s="10">
        <f>IFERROR(AVERAGE($D$686:$D$937),"")</f>
        <v/>
      </c>
      <c r="I937" s="10" t="n">
        <v>2.107419996987964</v>
      </c>
      <c r="J937" t="inlineStr"/>
      <c r="K937" t="inlineStr"/>
    </row>
    <row r="938">
      <c r="A938" s="7" t="inlineStr">
        <is>
          <t>2017-12-25</t>
        </is>
      </c>
      <c r="B938" s="8">
        <f>IFERROR(VLOOKUP($A938,'01-原始价格'!$A:$M,2,FALSE),"")</f>
        <v/>
      </c>
      <c r="C938" s="8">
        <f>IFERROR(VLOOKUP($A938,'01-原始价格'!$A:$M,8,FALSE),"")</f>
        <v/>
      </c>
      <c r="D938" s="10">
        <f>IFERROR(B938/C938,"")</f>
        <v/>
      </c>
      <c r="E938" s="10">
        <f>IFERROR(C938/B938,"")</f>
        <v/>
      </c>
      <c r="F938" s="11">
        <f>IFERROR((D938/D937-1)*100,"")</f>
        <v/>
      </c>
      <c r="G938" s="11">
        <f>IFERROR((COUNTIF($D$687:$D$938,"&lt;"&amp;D938)+0.5*COUNTIF($D$687:$D$938,D938))/COUNT($D$687:$D$938)*100,"")</f>
        <v/>
      </c>
      <c r="H938" s="10">
        <f>IFERROR(AVERAGE($D$687:$D$938),"")</f>
        <v/>
      </c>
      <c r="I938" s="10" t="n">
        <v>2.181380170803116</v>
      </c>
      <c r="J938" t="inlineStr"/>
      <c r="K938" t="inlineStr"/>
    </row>
    <row r="939">
      <c r="A939" s="7" t="inlineStr">
        <is>
          <t>2017-12-26</t>
        </is>
      </c>
      <c r="B939" s="8">
        <f>IFERROR(VLOOKUP($A939,'01-原始价格'!$A:$M,2,FALSE),"")</f>
        <v/>
      </c>
      <c r="C939" s="8">
        <f>IFERROR(VLOOKUP($A939,'01-原始价格'!$A:$M,8,FALSE),"")</f>
        <v/>
      </c>
      <c r="D939" s="10">
        <f>IFERROR(B939/C939,"")</f>
        <v/>
      </c>
      <c r="E939" s="10">
        <f>IFERROR(C939/B939,"")</f>
        <v/>
      </c>
      <c r="F939" s="11">
        <f>IFERROR((D939/D938-1)*100,"")</f>
        <v/>
      </c>
      <c r="G939" s="11">
        <f>IFERROR((COUNTIF($D$688:$D$939,"&lt;"&amp;D939)+0.5*COUNTIF($D$688:$D$939,D939))/COUNT($D$688:$D$939)*100,"")</f>
        <v/>
      </c>
      <c r="H939" s="10">
        <f>IFERROR(AVERAGE($D$688:$D$939),"")</f>
        <v/>
      </c>
      <c r="I939" s="10" t="n">
        <v>1.829949012397031</v>
      </c>
      <c r="J939" t="inlineStr"/>
      <c r="K939" t="inlineStr"/>
    </row>
    <row r="940">
      <c r="A940" s="7" t="inlineStr">
        <is>
          <t>2017-12-27</t>
        </is>
      </c>
      <c r="B940" s="8">
        <f>IFERROR(VLOOKUP($A940,'01-原始价格'!$A:$M,2,FALSE),"")</f>
        <v/>
      </c>
      <c r="C940" s="8">
        <f>IFERROR(VLOOKUP($A940,'01-原始价格'!$A:$M,8,FALSE),"")</f>
        <v/>
      </c>
      <c r="D940" s="10">
        <f>IFERROR(B940/C940,"")</f>
        <v/>
      </c>
      <c r="E940" s="10">
        <f>IFERROR(C940/B940,"")</f>
        <v/>
      </c>
      <c r="F940" s="11">
        <f>IFERROR((D940/D939-1)*100,"")</f>
        <v/>
      </c>
      <c r="G940" s="11">
        <f>IFERROR((COUNTIF($D$689:$D$940,"&lt;"&amp;D940)+0.5*COUNTIF($D$689:$D$940,D940))/COUNT($D$689:$D$940)*100,"")</f>
        <v/>
      </c>
      <c r="H940" s="10">
        <f>IFERROR(AVERAGE($D$689:$D$940),"")</f>
        <v/>
      </c>
      <c r="I940" s="10" t="n">
        <v>1.642920043520759</v>
      </c>
      <c r="J940" t="inlineStr"/>
      <c r="K940" t="inlineStr"/>
    </row>
    <row r="941">
      <c r="A941" s="7" t="inlineStr">
        <is>
          <t>2017-12-28</t>
        </is>
      </c>
      <c r="B941" s="8">
        <f>IFERROR(VLOOKUP($A941,'01-原始价格'!$A:$M,2,FALSE),"")</f>
        <v/>
      </c>
      <c r="C941" s="8">
        <f>IFERROR(VLOOKUP($A941,'01-原始价格'!$A:$M,8,FALSE),"")</f>
        <v/>
      </c>
      <c r="D941" s="10">
        <f>IFERROR(B941/C941,"")</f>
        <v/>
      </c>
      <c r="E941" s="10">
        <f>IFERROR(C941/B941,"")</f>
        <v/>
      </c>
      <c r="F941" s="11">
        <f>IFERROR((D941/D940-1)*100,"")</f>
        <v/>
      </c>
      <c r="G941" s="11">
        <f>IFERROR((COUNTIF($D$690:$D$941,"&lt;"&amp;D941)+0.5*COUNTIF($D$690:$D$941,D941))/COUNT($D$690:$D$941)*100,"")</f>
        <v/>
      </c>
      <c r="H941" s="10">
        <f>IFERROR(AVERAGE($D$690:$D$941),"")</f>
        <v/>
      </c>
      <c r="I941" s="10" t="n">
        <v>1.645094518103197</v>
      </c>
      <c r="J941" t="inlineStr"/>
      <c r="K941" t="inlineStr"/>
    </row>
    <row r="942">
      <c r="A942" s="7" t="inlineStr">
        <is>
          <t>2017-12-29</t>
        </is>
      </c>
      <c r="B942" s="8">
        <f>IFERROR(VLOOKUP($A942,'01-原始价格'!$A:$M,2,FALSE),"")</f>
        <v/>
      </c>
      <c r="C942" s="8">
        <f>IFERROR(VLOOKUP($A942,'01-原始价格'!$A:$M,8,FALSE),"")</f>
        <v/>
      </c>
      <c r="D942" s="10">
        <f>IFERROR(B942/C942,"")</f>
        <v/>
      </c>
      <c r="E942" s="10">
        <f>IFERROR(C942/B942,"")</f>
        <v/>
      </c>
      <c r="F942" s="11">
        <f>IFERROR((D942/D941-1)*100,"")</f>
        <v/>
      </c>
      <c r="G942" s="11">
        <f>IFERROR((COUNTIF($D$691:$D$942,"&lt;"&amp;D942)+0.5*COUNTIF($D$691:$D$942,D942))/COUNT($D$691:$D$942)*100,"")</f>
        <v/>
      </c>
      <c r="H942" s="10">
        <f>IFERROR(AVERAGE($D$691:$D$942),"")</f>
        <v/>
      </c>
      <c r="I942" s="10" t="n">
        <v>1.523567653034488</v>
      </c>
      <c r="J942" t="inlineStr"/>
      <c r="K942" t="inlineStr"/>
    </row>
    <row r="943">
      <c r="A943" s="7" t="inlineStr">
        <is>
          <t>2018-01-02</t>
        </is>
      </c>
      <c r="B943" s="8">
        <f>IFERROR(VLOOKUP($A943,'01-原始价格'!$A:$M,2,FALSE),"")</f>
        <v/>
      </c>
      <c r="C943" s="8">
        <f>IFERROR(VLOOKUP($A943,'01-原始价格'!$A:$M,8,FALSE),"")</f>
        <v/>
      </c>
      <c r="D943" s="10">
        <f>IFERROR(B943/C943,"")</f>
        <v/>
      </c>
      <c r="E943" s="10">
        <f>IFERROR(C943/B943,"")</f>
        <v/>
      </c>
      <c r="F943" s="11">
        <f>IFERROR((D943/D942-1)*100,"")</f>
        <v/>
      </c>
      <c r="G943" s="11">
        <f>IFERROR((COUNTIF($D$692:$D$943,"&lt;"&amp;D943)+0.5*COUNTIF($D$692:$D$943,D943))/COUNT($D$692:$D$943)*100,"")</f>
        <v/>
      </c>
      <c r="H943" s="10">
        <f>IFERROR(AVERAGE($D$692:$D$943),"")</f>
        <v/>
      </c>
      <c r="I943" s="10" t="n">
        <v>1.683584486683397</v>
      </c>
      <c r="J943" t="inlineStr"/>
      <c r="K943" t="inlineStr"/>
    </row>
    <row r="944">
      <c r="A944" s="7" t="inlineStr">
        <is>
          <t>2018-01-03</t>
        </is>
      </c>
      <c r="B944" s="8">
        <f>IFERROR(VLOOKUP($A944,'01-原始价格'!$A:$M,2,FALSE),"")</f>
        <v/>
      </c>
      <c r="C944" s="8">
        <f>IFERROR(VLOOKUP($A944,'01-原始价格'!$A:$M,8,FALSE),"")</f>
        <v/>
      </c>
      <c r="D944" s="10">
        <f>IFERROR(B944/C944,"")</f>
        <v/>
      </c>
      <c r="E944" s="10">
        <f>IFERROR(C944/B944,"")</f>
        <v/>
      </c>
      <c r="F944" s="11">
        <f>IFERROR((D944/D943-1)*100,"")</f>
        <v/>
      </c>
      <c r="G944" s="11">
        <f>IFERROR((COUNTIF($D$693:$D$944,"&lt;"&amp;D944)+0.5*COUNTIF($D$693:$D$944,D944))/COUNT($D$693:$D$944)*100,"")</f>
        <v/>
      </c>
      <c r="H944" s="10">
        <f>IFERROR(AVERAGE($D$693:$D$944),"")</f>
        <v/>
      </c>
      <c r="I944" s="10" t="n">
        <v>1.559279506810646</v>
      </c>
      <c r="J944" t="inlineStr"/>
      <c r="K944" t="inlineStr"/>
    </row>
    <row r="945">
      <c r="A945" s="7" t="inlineStr">
        <is>
          <t>2018-01-04</t>
        </is>
      </c>
      <c r="B945" s="8">
        <f>IFERROR(VLOOKUP($A945,'01-原始价格'!$A:$M,2,FALSE),"")</f>
        <v/>
      </c>
      <c r="C945" s="8">
        <f>IFERROR(VLOOKUP($A945,'01-原始价格'!$A:$M,8,FALSE),"")</f>
        <v/>
      </c>
      <c r="D945" s="10">
        <f>IFERROR(B945/C945,"")</f>
        <v/>
      </c>
      <c r="E945" s="10">
        <f>IFERROR(C945/B945,"")</f>
        <v/>
      </c>
      <c r="F945" s="11">
        <f>IFERROR((D945/D944-1)*100,"")</f>
        <v/>
      </c>
      <c r="G945" s="11">
        <f>IFERROR((COUNTIF($D$694:$D$945,"&lt;"&amp;D945)+0.5*COUNTIF($D$694:$D$945,D945))/COUNT($D$694:$D$945)*100,"")</f>
        <v/>
      </c>
      <c r="H945" s="10">
        <f>IFERROR(AVERAGE($D$694:$D$945),"")</f>
        <v/>
      </c>
      <c r="I945" s="10" t="n">
        <v>1.651504357844282</v>
      </c>
      <c r="J945" t="inlineStr"/>
      <c r="K945" t="inlineStr"/>
    </row>
    <row r="946">
      <c r="A946" s="7" t="inlineStr">
        <is>
          <t>2018-01-05</t>
        </is>
      </c>
      <c r="B946" s="8">
        <f>IFERROR(VLOOKUP($A946,'01-原始价格'!$A:$M,2,FALSE),"")</f>
        <v/>
      </c>
      <c r="C946" s="8">
        <f>IFERROR(VLOOKUP($A946,'01-原始价格'!$A:$M,8,FALSE),"")</f>
        <v/>
      </c>
      <c r="D946" s="10">
        <f>IFERROR(B946/C946,"")</f>
        <v/>
      </c>
      <c r="E946" s="10">
        <f>IFERROR(C946/B946,"")</f>
        <v/>
      </c>
      <c r="F946" s="11">
        <f>IFERROR((D946/D945-1)*100,"")</f>
        <v/>
      </c>
      <c r="G946" s="11">
        <f>IFERROR((COUNTIF($D$695:$D$946,"&lt;"&amp;D946)+0.5*COUNTIF($D$695:$D$946,D946))/COUNT($D$695:$D$946)*100,"")</f>
        <v/>
      </c>
      <c r="H946" s="10">
        <f>IFERROR(AVERAGE($D$695:$D$946),"")</f>
        <v/>
      </c>
      <c r="I946" s="10" t="n">
        <v>1.622072300378285</v>
      </c>
      <c r="J946" t="inlineStr"/>
      <c r="K946" t="inlineStr"/>
    </row>
    <row r="947">
      <c r="A947" s="7" t="inlineStr">
        <is>
          <t>2018-01-08</t>
        </is>
      </c>
      <c r="B947" s="8">
        <f>IFERROR(VLOOKUP($A947,'01-原始价格'!$A:$M,2,FALSE),"")</f>
        <v/>
      </c>
      <c r="C947" s="8">
        <f>IFERROR(VLOOKUP($A947,'01-原始价格'!$A:$M,8,FALSE),"")</f>
        <v/>
      </c>
      <c r="D947" s="10">
        <f>IFERROR(B947/C947,"")</f>
        <v/>
      </c>
      <c r="E947" s="10">
        <f>IFERROR(C947/B947,"")</f>
        <v/>
      </c>
      <c r="F947" s="11">
        <f>IFERROR((D947/D946-1)*100,"")</f>
        <v/>
      </c>
      <c r="G947" s="11">
        <f>IFERROR((COUNTIF($D$696:$D$947,"&lt;"&amp;D947)+0.5*COUNTIF($D$696:$D$947,D947))/COUNT($D$696:$D$947)*100,"")</f>
        <v/>
      </c>
      <c r="H947" s="10">
        <f>IFERROR(AVERAGE($D$696:$D$947),"")</f>
        <v/>
      </c>
      <c r="I947" s="10" t="n">
        <v>1.790227673671177</v>
      </c>
      <c r="J947" t="inlineStr"/>
      <c r="K947" t="inlineStr"/>
    </row>
    <row r="948">
      <c r="A948" s="7" t="inlineStr">
        <is>
          <t>2018-01-09</t>
        </is>
      </c>
      <c r="B948" s="8">
        <f>IFERROR(VLOOKUP($A948,'01-原始价格'!$A:$M,2,FALSE),"")</f>
        <v/>
      </c>
      <c r="C948" s="8">
        <f>IFERROR(VLOOKUP($A948,'01-原始价格'!$A:$M,8,FALSE),"")</f>
        <v/>
      </c>
      <c r="D948" s="10">
        <f>IFERROR(B948/C948,"")</f>
        <v/>
      </c>
      <c r="E948" s="10">
        <f>IFERROR(C948/B948,"")</f>
        <v/>
      </c>
      <c r="F948" s="11">
        <f>IFERROR((D948/D947-1)*100,"")</f>
        <v/>
      </c>
      <c r="G948" s="11">
        <f>IFERROR((COUNTIF($D$697:$D$948,"&lt;"&amp;D948)+0.5*COUNTIF($D$697:$D$948,D948))/COUNT($D$697:$D$948)*100,"")</f>
        <v/>
      </c>
      <c r="H948" s="10">
        <f>IFERROR(AVERAGE($D$697:$D$948),"")</f>
        <v/>
      </c>
      <c r="I948" s="10" t="n">
        <v>1.773941695886921</v>
      </c>
      <c r="J948" t="inlineStr"/>
      <c r="K948" t="inlineStr"/>
    </row>
    <row r="949">
      <c r="A949" s="7" t="inlineStr">
        <is>
          <t>2018-01-10</t>
        </is>
      </c>
      <c r="B949" s="8">
        <f>IFERROR(VLOOKUP($A949,'01-原始价格'!$A:$M,2,FALSE),"")</f>
        <v/>
      </c>
      <c r="C949" s="8">
        <f>IFERROR(VLOOKUP($A949,'01-原始价格'!$A:$M,8,FALSE),"")</f>
        <v/>
      </c>
      <c r="D949" s="10">
        <f>IFERROR(B949/C949,"")</f>
        <v/>
      </c>
      <c r="E949" s="10">
        <f>IFERROR(C949/B949,"")</f>
        <v/>
      </c>
      <c r="F949" s="11">
        <f>IFERROR((D949/D948-1)*100,"")</f>
        <v/>
      </c>
      <c r="G949" s="11">
        <f>IFERROR((COUNTIF($D$698:$D$949,"&lt;"&amp;D949)+0.5*COUNTIF($D$698:$D$949,D949))/COUNT($D$698:$D$949)*100,"")</f>
        <v/>
      </c>
      <c r="H949" s="10">
        <f>IFERROR(AVERAGE($D$698:$D$949),"")</f>
        <v/>
      </c>
      <c r="I949" s="10" t="n">
        <v>1.774694573025157</v>
      </c>
      <c r="J949" t="inlineStr"/>
      <c r="K949" t="inlineStr"/>
    </row>
    <row r="950">
      <c r="A950" s="7" t="inlineStr">
        <is>
          <t>2018-01-11</t>
        </is>
      </c>
      <c r="B950" s="8">
        <f>IFERROR(VLOOKUP($A950,'01-原始价格'!$A:$M,2,FALSE),"")</f>
        <v/>
      </c>
      <c r="C950" s="8">
        <f>IFERROR(VLOOKUP($A950,'01-原始价格'!$A:$M,8,FALSE),"")</f>
        <v/>
      </c>
      <c r="D950" s="10">
        <f>IFERROR(B950/C950,"")</f>
        <v/>
      </c>
      <c r="E950" s="10">
        <f>IFERROR(C950/B950,"")</f>
        <v/>
      </c>
      <c r="F950" s="11">
        <f>IFERROR((D950/D949-1)*100,"")</f>
        <v/>
      </c>
      <c r="G950" s="11">
        <f>IFERROR((COUNTIF($D$699:$D$950,"&lt;"&amp;D950)+0.5*COUNTIF($D$699:$D$950,D950))/COUNT($D$699:$D$950)*100,"")</f>
        <v/>
      </c>
      <c r="H950" s="10">
        <f>IFERROR(AVERAGE($D$699:$D$950),"")</f>
        <v/>
      </c>
      <c r="I950" s="10" t="n">
        <v>1.672531219677935</v>
      </c>
      <c r="J950" t="inlineStr"/>
      <c r="K950" t="inlineStr"/>
    </row>
    <row r="951">
      <c r="A951" s="7" t="inlineStr">
        <is>
          <t>2018-01-12</t>
        </is>
      </c>
      <c r="B951" s="8">
        <f>IFERROR(VLOOKUP($A951,'01-原始价格'!$A:$M,2,FALSE),"")</f>
        <v/>
      </c>
      <c r="C951" s="8">
        <f>IFERROR(VLOOKUP($A951,'01-原始价格'!$A:$M,8,FALSE),"")</f>
        <v/>
      </c>
      <c r="D951" s="10">
        <f>IFERROR(B951/C951,"")</f>
        <v/>
      </c>
      <c r="E951" s="10">
        <f>IFERROR(C951/B951,"")</f>
        <v/>
      </c>
      <c r="F951" s="11">
        <f>IFERROR((D951/D950-1)*100,"")</f>
        <v/>
      </c>
      <c r="G951" s="11">
        <f>IFERROR((COUNTIF($D$700:$D$951,"&lt;"&amp;D951)+0.5*COUNTIF($D$700:$D$951,D951))/COUNT($D$700:$D$951)*100,"")</f>
        <v/>
      </c>
      <c r="H951" s="10">
        <f>IFERROR(AVERAGE($D$700:$D$951),"")</f>
        <v/>
      </c>
      <c r="I951" s="10" t="n">
        <v>1.577177159096658</v>
      </c>
      <c r="J951" t="inlineStr"/>
      <c r="K951" t="inlineStr"/>
    </row>
    <row r="952">
      <c r="A952" s="7" t="inlineStr">
        <is>
          <t>2018-01-15</t>
        </is>
      </c>
      <c r="B952" s="8">
        <f>IFERROR(VLOOKUP($A952,'01-原始价格'!$A:$M,2,FALSE),"")</f>
        <v/>
      </c>
      <c r="C952" s="8">
        <f>IFERROR(VLOOKUP($A952,'01-原始价格'!$A:$M,8,FALSE),"")</f>
        <v/>
      </c>
      <c r="D952" s="10">
        <f>IFERROR(B952/C952,"")</f>
        <v/>
      </c>
      <c r="E952" s="10">
        <f>IFERROR(C952/B952,"")</f>
        <v/>
      </c>
      <c r="F952" s="11">
        <f>IFERROR((D952/D951-1)*100,"")</f>
        <v/>
      </c>
      <c r="G952" s="11">
        <f>IFERROR((COUNTIF($D$701:$D$952,"&lt;"&amp;D952)+0.5*COUNTIF($D$701:$D$952,D952))/COUNT($D$701:$D$952)*100,"")</f>
        <v/>
      </c>
      <c r="H952" s="10">
        <f>IFERROR(AVERAGE($D$701:$D$952),"")</f>
        <v/>
      </c>
      <c r="I952" s="10" t="n">
        <v>1.650239074611748</v>
      </c>
      <c r="J952" t="inlineStr"/>
      <c r="K952" t="inlineStr"/>
    </row>
    <row r="953">
      <c r="A953" s="7" t="inlineStr">
        <is>
          <t>2018-01-16</t>
        </is>
      </c>
      <c r="B953" s="8">
        <f>IFERROR(VLOOKUP($A953,'01-原始价格'!$A:$M,2,FALSE),"")</f>
        <v/>
      </c>
      <c r="C953" s="8">
        <f>IFERROR(VLOOKUP($A953,'01-原始价格'!$A:$M,8,FALSE),"")</f>
        <v/>
      </c>
      <c r="D953" s="10">
        <f>IFERROR(B953/C953,"")</f>
        <v/>
      </c>
      <c r="E953" s="10">
        <f>IFERROR(C953/B953,"")</f>
        <v/>
      </c>
      <c r="F953" s="11">
        <f>IFERROR((D953/D952-1)*100,"")</f>
        <v/>
      </c>
      <c r="G953" s="11">
        <f>IFERROR((COUNTIF($D$702:$D$953,"&lt;"&amp;D953)+0.5*COUNTIF($D$702:$D$953,D953))/COUNT($D$702:$D$953)*100,"")</f>
        <v/>
      </c>
      <c r="H953" s="10">
        <f>IFERROR(AVERAGE($D$702:$D$953),"")</f>
        <v/>
      </c>
      <c r="I953" s="10" t="n">
        <v>1.497120935487651</v>
      </c>
      <c r="J953" t="inlineStr"/>
      <c r="K953" t="inlineStr"/>
    </row>
    <row r="954">
      <c r="A954" s="7" t="inlineStr">
        <is>
          <t>2018-01-17</t>
        </is>
      </c>
      <c r="B954" s="8">
        <f>IFERROR(VLOOKUP($A954,'01-原始价格'!$A:$M,2,FALSE),"")</f>
        <v/>
      </c>
      <c r="C954" s="8">
        <f>IFERROR(VLOOKUP($A954,'01-原始价格'!$A:$M,8,FALSE),"")</f>
        <v/>
      </c>
      <c r="D954" s="10">
        <f>IFERROR(B954/C954,"")</f>
        <v/>
      </c>
      <c r="E954" s="10">
        <f>IFERROR(C954/B954,"")</f>
        <v/>
      </c>
      <c r="F954" s="11">
        <f>IFERROR((D954/D953-1)*100,"")</f>
        <v/>
      </c>
      <c r="G954" s="11">
        <f>IFERROR((COUNTIF($D$703:$D$954,"&lt;"&amp;D954)+0.5*COUNTIF($D$703:$D$954,D954))/COUNT($D$703:$D$954)*100,"")</f>
        <v/>
      </c>
      <c r="H954" s="10">
        <f>IFERROR(AVERAGE($D$703:$D$954),"")</f>
        <v/>
      </c>
      <c r="I954" s="10" t="n">
        <v>1.50842592779269</v>
      </c>
      <c r="J954" t="inlineStr"/>
      <c r="K954" t="inlineStr"/>
    </row>
    <row r="955">
      <c r="A955" s="7" t="inlineStr">
        <is>
          <t>2018-01-18</t>
        </is>
      </c>
      <c r="B955" s="8">
        <f>IFERROR(VLOOKUP($A955,'01-原始价格'!$A:$M,2,FALSE),"")</f>
        <v/>
      </c>
      <c r="C955" s="8">
        <f>IFERROR(VLOOKUP($A955,'01-原始价格'!$A:$M,8,FALSE),"")</f>
        <v/>
      </c>
      <c r="D955" s="10">
        <f>IFERROR(B955/C955,"")</f>
        <v/>
      </c>
      <c r="E955" s="10">
        <f>IFERROR(C955/B955,"")</f>
        <v/>
      </c>
      <c r="F955" s="11">
        <f>IFERROR((D955/D954-1)*100,"")</f>
        <v/>
      </c>
      <c r="G955" s="11">
        <f>IFERROR((COUNTIF($D$704:$D$955,"&lt;"&amp;D955)+0.5*COUNTIF($D$704:$D$955,D955))/COUNT($D$704:$D$955)*100,"")</f>
        <v/>
      </c>
      <c r="H955" s="10">
        <f>IFERROR(AVERAGE($D$704:$D$955),"")</f>
        <v/>
      </c>
      <c r="I955" s="10" t="n">
        <v>1.514325963321173</v>
      </c>
      <c r="J955" t="inlineStr"/>
      <c r="K955" t="inlineStr"/>
    </row>
    <row r="956">
      <c r="A956" s="7" t="inlineStr">
        <is>
          <t>2018-01-19</t>
        </is>
      </c>
      <c r="B956" s="8">
        <f>IFERROR(VLOOKUP($A956,'01-原始价格'!$A:$M,2,FALSE),"")</f>
        <v/>
      </c>
      <c r="C956" s="8">
        <f>IFERROR(VLOOKUP($A956,'01-原始价格'!$A:$M,8,FALSE),"")</f>
        <v/>
      </c>
      <c r="D956" s="10">
        <f>IFERROR(B956/C956,"")</f>
        <v/>
      </c>
      <c r="E956" s="10">
        <f>IFERROR(C956/B956,"")</f>
        <v/>
      </c>
      <c r="F956" s="11">
        <f>IFERROR((D956/D955-1)*100,"")</f>
        <v/>
      </c>
      <c r="G956" s="11">
        <f>IFERROR((COUNTIF($D$705:$D$956,"&lt;"&amp;D956)+0.5*COUNTIF($D$705:$D$956,D956))/COUNT($D$705:$D$956)*100,"")</f>
        <v/>
      </c>
      <c r="H956" s="10">
        <f>IFERROR(AVERAGE($D$705:$D$956),"")</f>
        <v/>
      </c>
      <c r="I956" s="10" t="n">
        <v>1.605750102651922</v>
      </c>
      <c r="J956" t="inlineStr"/>
      <c r="K956" t="inlineStr"/>
    </row>
    <row r="957">
      <c r="A957" s="7" t="inlineStr">
        <is>
          <t>2018-01-22</t>
        </is>
      </c>
      <c r="B957" s="8">
        <f>IFERROR(VLOOKUP($A957,'01-原始价格'!$A:$M,2,FALSE),"")</f>
        <v/>
      </c>
      <c r="C957" s="8">
        <f>IFERROR(VLOOKUP($A957,'01-原始价格'!$A:$M,8,FALSE),"")</f>
        <v/>
      </c>
      <c r="D957" s="10">
        <f>IFERROR(B957/C957,"")</f>
        <v/>
      </c>
      <c r="E957" s="10">
        <f>IFERROR(C957/B957,"")</f>
        <v/>
      </c>
      <c r="F957" s="11">
        <f>IFERROR((D957/D956-1)*100,"")</f>
        <v/>
      </c>
      <c r="G957" s="11">
        <f>IFERROR((COUNTIF($D$706:$D$957,"&lt;"&amp;D957)+0.5*COUNTIF($D$706:$D$957,D957))/COUNT($D$706:$D$957)*100,"")</f>
        <v/>
      </c>
      <c r="H957" s="10">
        <f>IFERROR(AVERAGE($D$706:$D$957),"")</f>
        <v/>
      </c>
      <c r="I957" s="10" t="n">
        <v>1.427559194011657</v>
      </c>
      <c r="J957" t="inlineStr"/>
      <c r="K957" t="inlineStr"/>
    </row>
    <row r="958">
      <c r="A958" s="7" t="inlineStr">
        <is>
          <t>2018-01-23</t>
        </is>
      </c>
      <c r="B958" s="8">
        <f>IFERROR(VLOOKUP($A958,'01-原始价格'!$A:$M,2,FALSE),"")</f>
        <v/>
      </c>
      <c r="C958" s="8">
        <f>IFERROR(VLOOKUP($A958,'01-原始价格'!$A:$M,8,FALSE),"")</f>
        <v/>
      </c>
      <c r="D958" s="10">
        <f>IFERROR(B958/C958,"")</f>
        <v/>
      </c>
      <c r="E958" s="10">
        <f>IFERROR(C958/B958,"")</f>
        <v/>
      </c>
      <c r="F958" s="11">
        <f>IFERROR((D958/D957-1)*100,"")</f>
        <v/>
      </c>
      <c r="G958" s="11">
        <f>IFERROR((COUNTIF($D$707:$D$958,"&lt;"&amp;D958)+0.5*COUNTIF($D$707:$D$958,D958))/COUNT($D$707:$D$958)*100,"")</f>
        <v/>
      </c>
      <c r="H958" s="10">
        <f>IFERROR(AVERAGE($D$707:$D$958),"")</f>
        <v/>
      </c>
      <c r="I958" s="10" t="n">
        <v>1.451940688344213</v>
      </c>
      <c r="J958" t="inlineStr"/>
      <c r="K958" t="inlineStr"/>
    </row>
    <row r="959">
      <c r="A959" s="7" t="inlineStr">
        <is>
          <t>2018-01-24</t>
        </is>
      </c>
      <c r="B959" s="8">
        <f>IFERROR(VLOOKUP($A959,'01-原始价格'!$A:$M,2,FALSE),"")</f>
        <v/>
      </c>
      <c r="C959" s="8">
        <f>IFERROR(VLOOKUP($A959,'01-原始价格'!$A:$M,8,FALSE),"")</f>
        <v/>
      </c>
      <c r="D959" s="10">
        <f>IFERROR(B959/C959,"")</f>
        <v/>
      </c>
      <c r="E959" s="10">
        <f>IFERROR(C959/B959,"")</f>
        <v/>
      </c>
      <c r="F959" s="11">
        <f>IFERROR((D959/D958-1)*100,"")</f>
        <v/>
      </c>
      <c r="G959" s="11">
        <f>IFERROR((COUNTIF($D$708:$D$959,"&lt;"&amp;D959)+0.5*COUNTIF($D$708:$D$959,D959))/COUNT($D$708:$D$959)*100,"")</f>
        <v/>
      </c>
      <c r="H959" s="10">
        <f>IFERROR(AVERAGE($D$708:$D$959),"")</f>
        <v/>
      </c>
      <c r="I959" s="10" t="n">
        <v>1.583285862993392</v>
      </c>
      <c r="J959" t="inlineStr"/>
      <c r="K959" t="inlineStr"/>
    </row>
    <row r="960">
      <c r="A960" s="7" t="inlineStr">
        <is>
          <t>2018-01-25</t>
        </is>
      </c>
      <c r="B960" s="8">
        <f>IFERROR(VLOOKUP($A960,'01-原始价格'!$A:$M,2,FALSE),"")</f>
        <v/>
      </c>
      <c r="C960" s="8">
        <f>IFERROR(VLOOKUP($A960,'01-原始价格'!$A:$M,8,FALSE),"")</f>
        <v/>
      </c>
      <c r="D960" s="10">
        <f>IFERROR(B960/C960,"")</f>
        <v/>
      </c>
      <c r="E960" s="10">
        <f>IFERROR(C960/B960,"")</f>
        <v/>
      </c>
      <c r="F960" s="11">
        <f>IFERROR((D960/D959-1)*100,"")</f>
        <v/>
      </c>
      <c r="G960" s="11">
        <f>IFERROR((COUNTIF($D$709:$D$960,"&lt;"&amp;D960)+0.5*COUNTIF($D$709:$D$960,D960))/COUNT($D$709:$D$960)*100,"")</f>
        <v/>
      </c>
      <c r="H960" s="10">
        <f>IFERROR(AVERAGE($D$709:$D$960),"")</f>
        <v/>
      </c>
      <c r="I960" s="10" t="n">
        <v>1.529188986270598</v>
      </c>
      <c r="J960" t="inlineStr"/>
      <c r="K960" t="inlineStr"/>
    </row>
    <row r="961">
      <c r="A961" s="7" t="inlineStr">
        <is>
          <t>2018-01-26</t>
        </is>
      </c>
      <c r="B961" s="8">
        <f>IFERROR(VLOOKUP($A961,'01-原始价格'!$A:$M,2,FALSE),"")</f>
        <v/>
      </c>
      <c r="C961" s="8">
        <f>IFERROR(VLOOKUP($A961,'01-原始价格'!$A:$M,8,FALSE),"")</f>
        <v/>
      </c>
      <c r="D961" s="10">
        <f>IFERROR(B961/C961,"")</f>
        <v/>
      </c>
      <c r="E961" s="10">
        <f>IFERROR(C961/B961,"")</f>
        <v/>
      </c>
      <c r="F961" s="11">
        <f>IFERROR((D961/D960-1)*100,"")</f>
        <v/>
      </c>
      <c r="G961" s="11">
        <f>IFERROR((COUNTIF($D$710:$D$961,"&lt;"&amp;D961)+0.5*COUNTIF($D$710:$D$961,D961))/COUNT($D$710:$D$961)*100,"")</f>
        <v/>
      </c>
      <c r="H961" s="10">
        <f>IFERROR(AVERAGE($D$710:$D$961),"")</f>
        <v/>
      </c>
      <c r="I961" s="10" t="n">
        <v>1.484043181025225</v>
      </c>
      <c r="J961" t="inlineStr"/>
      <c r="K961" t="inlineStr"/>
    </row>
    <row r="962">
      <c r="A962" s="7" t="inlineStr">
        <is>
          <t>2018-01-29</t>
        </is>
      </c>
      <c r="B962" s="8">
        <f>IFERROR(VLOOKUP($A962,'01-原始价格'!$A:$M,2,FALSE),"")</f>
        <v/>
      </c>
      <c r="C962" s="8">
        <f>IFERROR(VLOOKUP($A962,'01-原始价格'!$A:$M,8,FALSE),"")</f>
        <v/>
      </c>
      <c r="D962" s="10">
        <f>IFERROR(B962/C962,"")</f>
        <v/>
      </c>
      <c r="E962" s="10">
        <f>IFERROR(C962/B962,"")</f>
        <v/>
      </c>
      <c r="F962" s="11">
        <f>IFERROR((D962/D961-1)*100,"")</f>
        <v/>
      </c>
      <c r="G962" s="11">
        <f>IFERROR((COUNTIF($D$711:$D$962,"&lt;"&amp;D962)+0.5*COUNTIF($D$711:$D$962,D962))/COUNT($D$711:$D$962)*100,"")</f>
        <v/>
      </c>
      <c r="H962" s="10">
        <f>IFERROR(AVERAGE($D$711:$D$962),"")</f>
        <v/>
      </c>
      <c r="I962" s="10" t="n">
        <v>1.525172357911751</v>
      </c>
      <c r="J962" t="inlineStr"/>
      <c r="K962" t="inlineStr"/>
    </row>
    <row r="963">
      <c r="A963" s="7" t="inlineStr">
        <is>
          <t>2018-01-30</t>
        </is>
      </c>
      <c r="B963" s="8">
        <f>IFERROR(VLOOKUP($A963,'01-原始价格'!$A:$M,2,FALSE),"")</f>
        <v/>
      </c>
      <c r="C963" s="8">
        <f>IFERROR(VLOOKUP($A963,'01-原始价格'!$A:$M,8,FALSE),"")</f>
        <v/>
      </c>
      <c r="D963" s="10">
        <f>IFERROR(B963/C963,"")</f>
        <v/>
      </c>
      <c r="E963" s="10">
        <f>IFERROR(C963/B963,"")</f>
        <v/>
      </c>
      <c r="F963" s="11">
        <f>IFERROR((D963/D962-1)*100,"")</f>
        <v/>
      </c>
      <c r="G963" s="11">
        <f>IFERROR((COUNTIF($D$712:$D$963,"&lt;"&amp;D963)+0.5*COUNTIF($D$712:$D$963,D963))/COUNT($D$712:$D$963)*100,"")</f>
        <v/>
      </c>
      <c r="H963" s="10">
        <f>IFERROR(AVERAGE($D$712:$D$963),"")</f>
        <v/>
      </c>
      <c r="I963" s="10" t="n">
        <v>1.701067318709301</v>
      </c>
      <c r="J963" t="inlineStr"/>
      <c r="K963" t="inlineStr"/>
    </row>
    <row r="964">
      <c r="A964" s="7" t="inlineStr">
        <is>
          <t>2018-01-31</t>
        </is>
      </c>
      <c r="B964" s="8">
        <f>IFERROR(VLOOKUP($A964,'01-原始价格'!$A:$M,2,FALSE),"")</f>
        <v/>
      </c>
      <c r="C964" s="8">
        <f>IFERROR(VLOOKUP($A964,'01-原始价格'!$A:$M,8,FALSE),"")</f>
        <v/>
      </c>
      <c r="D964" s="10">
        <f>IFERROR(B964/C964,"")</f>
        <v/>
      </c>
      <c r="E964" s="10">
        <f>IFERROR(C964/B964,"")</f>
        <v/>
      </c>
      <c r="F964" s="11">
        <f>IFERROR((D964/D963-1)*100,"")</f>
        <v/>
      </c>
      <c r="G964" s="11">
        <f>IFERROR((COUNTIF($D$713:$D$964,"&lt;"&amp;D964)+0.5*COUNTIF($D$713:$D$964,D964))/COUNT($D$713:$D$964)*100,"")</f>
        <v/>
      </c>
      <c r="H964" s="10">
        <f>IFERROR(AVERAGE($D$713:$D$964),"")</f>
        <v/>
      </c>
      <c r="I964" s="10" t="n">
        <v>1.909821124912275</v>
      </c>
      <c r="J964" t="inlineStr"/>
      <c r="K964" t="inlineStr"/>
    </row>
    <row r="965">
      <c r="A965" s="7" t="inlineStr">
        <is>
          <t>2018-02-01</t>
        </is>
      </c>
      <c r="B965" s="8">
        <f>IFERROR(VLOOKUP($A965,'01-原始价格'!$A:$M,2,FALSE),"")</f>
        <v/>
      </c>
      <c r="C965" s="8">
        <f>IFERROR(VLOOKUP($A965,'01-原始价格'!$A:$M,8,FALSE),"")</f>
        <v/>
      </c>
      <c r="D965" s="10">
        <f>IFERROR(B965/C965,"")</f>
        <v/>
      </c>
      <c r="E965" s="10">
        <f>IFERROR(C965/B965,"")</f>
        <v/>
      </c>
      <c r="F965" s="11">
        <f>IFERROR((D965/D964-1)*100,"")</f>
        <v/>
      </c>
      <c r="G965" s="11">
        <f>IFERROR((COUNTIF($D$714:$D$965,"&lt;"&amp;D965)+0.5*COUNTIF($D$714:$D$965,D965))/COUNT($D$714:$D$965)*100,"")</f>
        <v/>
      </c>
      <c r="H965" s="10">
        <f>IFERROR(AVERAGE($D$714:$D$965),"")</f>
        <v/>
      </c>
      <c r="I965" s="10" t="n">
        <v>1.70457074360169</v>
      </c>
      <c r="J965" t="inlineStr"/>
      <c r="K965" t="inlineStr"/>
    </row>
    <row r="966">
      <c r="A966" s="7" t="inlineStr">
        <is>
          <t>2018-02-02</t>
        </is>
      </c>
      <c r="B966" s="8">
        <f>IFERROR(VLOOKUP($A966,'01-原始价格'!$A:$M,2,FALSE),"")</f>
        <v/>
      </c>
      <c r="C966" s="8">
        <f>IFERROR(VLOOKUP($A966,'01-原始价格'!$A:$M,8,FALSE),"")</f>
        <v/>
      </c>
      <c r="D966" s="10">
        <f>IFERROR(B966/C966,"")</f>
        <v/>
      </c>
      <c r="E966" s="10">
        <f>IFERROR(C966/B966,"")</f>
        <v/>
      </c>
      <c r="F966" s="11">
        <f>IFERROR((D966/D965-1)*100,"")</f>
        <v/>
      </c>
      <c r="G966" s="11">
        <f>IFERROR((COUNTIF($D$715:$D$966,"&lt;"&amp;D966)+0.5*COUNTIF($D$715:$D$966,D966))/COUNT($D$715:$D$966)*100,"")</f>
        <v/>
      </c>
      <c r="H966" s="10">
        <f>IFERROR(AVERAGE($D$715:$D$966),"")</f>
        <v/>
      </c>
      <c r="I966" s="10" t="n">
        <v>1.718329752900725</v>
      </c>
      <c r="J966" t="inlineStr"/>
      <c r="K966" t="inlineStr"/>
    </row>
    <row r="967">
      <c r="A967" s="7" t="inlineStr">
        <is>
          <t>2018-02-05</t>
        </is>
      </c>
      <c r="B967" s="8">
        <f>IFERROR(VLOOKUP($A967,'01-原始价格'!$A:$M,2,FALSE),"")</f>
        <v/>
      </c>
      <c r="C967" s="8">
        <f>IFERROR(VLOOKUP($A967,'01-原始价格'!$A:$M,8,FALSE),"")</f>
        <v/>
      </c>
      <c r="D967" s="10">
        <f>IFERROR(B967/C967,"")</f>
        <v/>
      </c>
      <c r="E967" s="10">
        <f>IFERROR(C967/B967,"")</f>
        <v/>
      </c>
      <c r="F967" s="11">
        <f>IFERROR((D967/D966-1)*100,"")</f>
        <v/>
      </c>
      <c r="G967" s="11">
        <f>IFERROR((COUNTIF($D$716:$D$967,"&lt;"&amp;D967)+0.5*COUNTIF($D$716:$D$967,D967))/COUNT($D$716:$D$967)*100,"")</f>
        <v/>
      </c>
      <c r="H967" s="10">
        <f>IFERROR(AVERAGE($D$716:$D$967),"")</f>
        <v/>
      </c>
      <c r="I967" s="10" t="n">
        <v>1.963911404234059</v>
      </c>
      <c r="J967" t="inlineStr"/>
      <c r="K967" t="inlineStr"/>
    </row>
    <row r="968">
      <c r="A968" s="7" t="inlineStr">
        <is>
          <t>2018-02-06</t>
        </is>
      </c>
      <c r="B968" s="8">
        <f>IFERROR(VLOOKUP($A968,'01-原始价格'!$A:$M,2,FALSE),"")</f>
        <v/>
      </c>
      <c r="C968" s="8">
        <f>IFERROR(VLOOKUP($A968,'01-原始价格'!$A:$M,8,FALSE),"")</f>
        <v/>
      </c>
      <c r="D968" s="10">
        <f>IFERROR(B968/C968,"")</f>
        <v/>
      </c>
      <c r="E968" s="10">
        <f>IFERROR(C968/B968,"")</f>
        <v/>
      </c>
      <c r="F968" s="11">
        <f>IFERROR((D968/D967-1)*100,"")</f>
        <v/>
      </c>
      <c r="G968" s="11">
        <f>IFERROR((COUNTIF($D$717:$D$968,"&lt;"&amp;D968)+0.5*COUNTIF($D$717:$D$968,D968))/COUNT($D$717:$D$968)*100,"")</f>
        <v/>
      </c>
      <c r="H968" s="10">
        <f>IFERROR(AVERAGE($D$717:$D$968),"")</f>
        <v/>
      </c>
      <c r="I968" s="10" t="n">
        <v>1.920700370960635</v>
      </c>
      <c r="J968" t="inlineStr"/>
      <c r="K968" t="inlineStr"/>
    </row>
    <row r="969">
      <c r="A969" s="7" t="inlineStr">
        <is>
          <t>2018-02-07</t>
        </is>
      </c>
      <c r="B969" s="8">
        <f>IFERROR(VLOOKUP($A969,'01-原始价格'!$A:$M,2,FALSE),"")</f>
        <v/>
      </c>
      <c r="C969" s="8">
        <f>IFERROR(VLOOKUP($A969,'01-原始价格'!$A:$M,8,FALSE),"")</f>
        <v/>
      </c>
      <c r="D969" s="10">
        <f>IFERROR(B969/C969,"")</f>
        <v/>
      </c>
      <c r="E969" s="10">
        <f>IFERROR(C969/B969,"")</f>
        <v/>
      </c>
      <c r="F969" s="11">
        <f>IFERROR((D969/D968-1)*100,"")</f>
        <v/>
      </c>
      <c r="G969" s="11">
        <f>IFERROR((COUNTIF($D$718:$D$969,"&lt;"&amp;D969)+0.5*COUNTIF($D$718:$D$969,D969))/COUNT($D$718:$D$969)*100,"")</f>
        <v/>
      </c>
      <c r="H969" s="10">
        <f>IFERROR(AVERAGE($D$718:$D$969),"")</f>
        <v/>
      </c>
      <c r="I969" s="10" t="n">
        <v>1.453607293064285</v>
      </c>
      <c r="J969" t="inlineStr"/>
      <c r="K969" t="inlineStr"/>
    </row>
    <row r="970">
      <c r="A970" s="7" t="inlineStr">
        <is>
          <t>2018-02-08</t>
        </is>
      </c>
      <c r="B970" s="8">
        <f>IFERROR(VLOOKUP($A970,'01-原始价格'!$A:$M,2,FALSE),"")</f>
        <v/>
      </c>
      <c r="C970" s="8">
        <f>IFERROR(VLOOKUP($A970,'01-原始价格'!$A:$M,8,FALSE),"")</f>
        <v/>
      </c>
      <c r="D970" s="10">
        <f>IFERROR(B970/C970,"")</f>
        <v/>
      </c>
      <c r="E970" s="10">
        <f>IFERROR(C970/B970,"")</f>
        <v/>
      </c>
      <c r="F970" s="11">
        <f>IFERROR((D970/D969-1)*100,"")</f>
        <v/>
      </c>
      <c r="G970" s="11">
        <f>IFERROR((COUNTIF($D$719:$D$970,"&lt;"&amp;D970)+0.5*COUNTIF($D$719:$D$970,D970))/COUNT($D$719:$D$970)*100,"")</f>
        <v/>
      </c>
      <c r="H970" s="10">
        <f>IFERROR(AVERAGE($D$719:$D$970),"")</f>
        <v/>
      </c>
      <c r="I970" s="10" t="n">
        <v>1.212432042473743</v>
      </c>
      <c r="J970" t="inlineStr"/>
      <c r="K970" t="inlineStr"/>
    </row>
    <row r="971">
      <c r="A971" s="7" t="inlineStr">
        <is>
          <t>2018-02-09</t>
        </is>
      </c>
      <c r="B971" s="8">
        <f>IFERROR(VLOOKUP($A971,'01-原始价格'!$A:$M,2,FALSE),"")</f>
        <v/>
      </c>
      <c r="C971" s="8">
        <f>IFERROR(VLOOKUP($A971,'01-原始价格'!$A:$M,8,FALSE),"")</f>
        <v/>
      </c>
      <c r="D971" s="10">
        <f>IFERROR(B971/C971,"")</f>
        <v/>
      </c>
      <c r="E971" s="10">
        <f>IFERROR(C971/B971,"")</f>
        <v/>
      </c>
      <c r="F971" s="11">
        <f>IFERROR((D971/D970-1)*100,"")</f>
        <v/>
      </c>
      <c r="G971" s="11">
        <f>IFERROR((COUNTIF($D$720:$D$971,"&lt;"&amp;D971)+0.5*COUNTIF($D$720:$D$971,D971))/COUNT($D$720:$D$971)*100,"")</f>
        <v/>
      </c>
      <c r="H971" s="10">
        <f>IFERROR(AVERAGE($D$720:$D$971),"")</f>
        <v/>
      </c>
      <c r="I971" s="10" t="n">
        <v>1.326848292310787</v>
      </c>
      <c r="J971" t="inlineStr"/>
      <c r="K971" t="inlineStr"/>
    </row>
    <row r="972">
      <c r="A972" s="7" t="inlineStr">
        <is>
          <t>2018-02-12</t>
        </is>
      </c>
      <c r="B972" s="8">
        <f>IFERROR(VLOOKUP($A972,'01-原始价格'!$A:$M,2,FALSE),"")</f>
        <v/>
      </c>
      <c r="C972" s="8">
        <f>IFERROR(VLOOKUP($A972,'01-原始价格'!$A:$M,8,FALSE),"")</f>
        <v/>
      </c>
      <c r="D972" s="10">
        <f>IFERROR(B972/C972,"")</f>
        <v/>
      </c>
      <c r="E972" s="10">
        <f>IFERROR(C972/B972,"")</f>
        <v/>
      </c>
      <c r="F972" s="11">
        <f>IFERROR((D972/D971-1)*100,"")</f>
        <v/>
      </c>
      <c r="G972" s="11">
        <f>IFERROR((COUNTIF($D$721:$D$972,"&lt;"&amp;D972)+0.5*COUNTIF($D$721:$D$972,D972))/COUNT($D$721:$D$972)*100,"")</f>
        <v/>
      </c>
      <c r="H972" s="10">
        <f>IFERROR(AVERAGE($D$721:$D$972),"")</f>
        <v/>
      </c>
      <c r="I972" s="10" t="n">
        <v>1.409232307382533</v>
      </c>
      <c r="J972" t="inlineStr"/>
      <c r="K972" t="inlineStr"/>
    </row>
    <row r="973">
      <c r="A973" s="7" t="inlineStr">
        <is>
          <t>2018-02-13</t>
        </is>
      </c>
      <c r="B973" s="8">
        <f>IFERROR(VLOOKUP($A973,'01-原始价格'!$A:$M,2,FALSE),"")</f>
        <v/>
      </c>
      <c r="C973" s="8">
        <f>IFERROR(VLOOKUP($A973,'01-原始价格'!$A:$M,8,FALSE),"")</f>
        <v/>
      </c>
      <c r="D973" s="10">
        <f>IFERROR(B973/C973,"")</f>
        <v/>
      </c>
      <c r="E973" s="10">
        <f>IFERROR(C973/B973,"")</f>
        <v/>
      </c>
      <c r="F973" s="11">
        <f>IFERROR((D973/D972-1)*100,"")</f>
        <v/>
      </c>
      <c r="G973" s="11">
        <f>IFERROR((COUNTIF($D$722:$D$973,"&lt;"&amp;D973)+0.5*COUNTIF($D$722:$D$973,D973))/COUNT($D$722:$D$973)*100,"")</f>
        <v/>
      </c>
      <c r="H973" s="10">
        <f>IFERROR(AVERAGE($D$722:$D$973),"")</f>
        <v/>
      </c>
      <c r="I973" s="10" t="n">
        <v>1.404931820810701</v>
      </c>
      <c r="J973" t="inlineStr"/>
      <c r="K973" t="inlineStr"/>
    </row>
    <row r="974">
      <c r="A974" s="7" t="inlineStr">
        <is>
          <t>2018-02-14</t>
        </is>
      </c>
      <c r="B974" s="8">
        <f>IFERROR(VLOOKUP($A974,'01-原始价格'!$A:$M,2,FALSE),"")</f>
        <v/>
      </c>
      <c r="C974" s="8">
        <f>IFERROR(VLOOKUP($A974,'01-原始价格'!$A:$M,8,FALSE),"")</f>
        <v/>
      </c>
      <c r="D974" s="10">
        <f>IFERROR(B974/C974,"")</f>
        <v/>
      </c>
      <c r="E974" s="10">
        <f>IFERROR(C974/B974,"")</f>
        <v/>
      </c>
      <c r="F974" s="11">
        <f>IFERROR((D974/D973-1)*100,"")</f>
        <v/>
      </c>
      <c r="G974" s="11">
        <f>IFERROR((COUNTIF($D$723:$D$974,"&lt;"&amp;D974)+0.5*COUNTIF($D$723:$D$974,D974))/COUNT($D$723:$D$974)*100,"")</f>
        <v/>
      </c>
      <c r="H974" s="10">
        <f>IFERROR(AVERAGE($D$723:$D$974),"")</f>
        <v/>
      </c>
      <c r="I974" s="10" t="n">
        <v>1.460189862354804</v>
      </c>
      <c r="J974" t="inlineStr"/>
      <c r="K974" t="inlineStr"/>
    </row>
    <row r="975">
      <c r="A975" s="7" t="inlineStr">
        <is>
          <t>2018-02-22</t>
        </is>
      </c>
      <c r="B975" s="8">
        <f>IFERROR(VLOOKUP($A975,'01-原始价格'!$A:$M,2,FALSE),"")</f>
        <v/>
      </c>
      <c r="C975" s="8">
        <f>IFERROR(VLOOKUP($A975,'01-原始价格'!$A:$M,8,FALSE),"")</f>
        <v/>
      </c>
      <c r="D975" s="10">
        <f>IFERROR(B975/C975,"")</f>
        <v/>
      </c>
      <c r="E975" s="10">
        <f>IFERROR(C975/B975,"")</f>
        <v/>
      </c>
      <c r="F975" s="11">
        <f>IFERROR((D975/D974-1)*100,"")</f>
        <v/>
      </c>
      <c r="G975" s="11">
        <f>IFERROR((COUNTIF($D$724:$D$975,"&lt;"&amp;D975)+0.5*COUNTIF($D$724:$D$975,D975))/COUNT($D$724:$D$975)*100,"")</f>
        <v/>
      </c>
      <c r="H975" s="10">
        <f>IFERROR(AVERAGE($D$724:$D$975),"")</f>
        <v/>
      </c>
      <c r="I975" s="10" t="n">
        <v>1.28791179413117</v>
      </c>
      <c r="J975" t="inlineStr"/>
      <c r="K975" t="inlineStr"/>
    </row>
    <row r="976">
      <c r="A976" s="7" t="inlineStr">
        <is>
          <t>2018-02-23</t>
        </is>
      </c>
      <c r="B976" s="8">
        <f>IFERROR(VLOOKUP($A976,'01-原始价格'!$A:$M,2,FALSE),"")</f>
        <v/>
      </c>
      <c r="C976" s="8">
        <f>IFERROR(VLOOKUP($A976,'01-原始价格'!$A:$M,8,FALSE),"")</f>
        <v/>
      </c>
      <c r="D976" s="10">
        <f>IFERROR(B976/C976,"")</f>
        <v/>
      </c>
      <c r="E976" s="10">
        <f>IFERROR(C976/B976,"")</f>
        <v/>
      </c>
      <c r="F976" s="11">
        <f>IFERROR((D976/D975-1)*100,"")</f>
        <v/>
      </c>
      <c r="G976" s="11">
        <f>IFERROR((COUNTIF($D$725:$D$976,"&lt;"&amp;D976)+0.5*COUNTIF($D$725:$D$976,D976))/COUNT($D$725:$D$976)*100,"")</f>
        <v/>
      </c>
      <c r="H976" s="10">
        <f>IFERROR(AVERAGE($D$725:$D$976),"")</f>
        <v/>
      </c>
      <c r="I976" s="10" t="n">
        <v>1.098813001110214</v>
      </c>
      <c r="J976" t="inlineStr"/>
      <c r="K976" t="inlineStr"/>
    </row>
    <row r="977">
      <c r="A977" s="7" t="inlineStr">
        <is>
          <t>2018-02-26</t>
        </is>
      </c>
      <c r="B977" s="8">
        <f>IFERROR(VLOOKUP($A977,'01-原始价格'!$A:$M,2,FALSE),"")</f>
        <v/>
      </c>
      <c r="C977" s="8">
        <f>IFERROR(VLOOKUP($A977,'01-原始价格'!$A:$M,8,FALSE),"")</f>
        <v/>
      </c>
      <c r="D977" s="10">
        <f>IFERROR(B977/C977,"")</f>
        <v/>
      </c>
      <c r="E977" s="10">
        <f>IFERROR(C977/B977,"")</f>
        <v/>
      </c>
      <c r="F977" s="11">
        <f>IFERROR((D977/D976-1)*100,"")</f>
        <v/>
      </c>
      <c r="G977" s="11">
        <f>IFERROR((COUNTIF($D$726:$D$977,"&lt;"&amp;D977)+0.5*COUNTIF($D$726:$D$977,D977))/COUNT($D$726:$D$977)*100,"")</f>
        <v/>
      </c>
      <c r="H977" s="10">
        <f>IFERROR(AVERAGE($D$726:$D$977),"")</f>
        <v/>
      </c>
      <c r="I977" s="10" t="n">
        <v>0.7989034403168909</v>
      </c>
      <c r="J977" t="inlineStr"/>
      <c r="K977" t="inlineStr"/>
    </row>
    <row r="978">
      <c r="A978" s="7" t="inlineStr">
        <is>
          <t>2018-02-27</t>
        </is>
      </c>
      <c r="B978" s="8">
        <f>IFERROR(VLOOKUP($A978,'01-原始价格'!$A:$M,2,FALSE),"")</f>
        <v/>
      </c>
      <c r="C978" s="8">
        <f>IFERROR(VLOOKUP($A978,'01-原始价格'!$A:$M,8,FALSE),"")</f>
        <v/>
      </c>
      <c r="D978" s="10">
        <f>IFERROR(B978/C978,"")</f>
        <v/>
      </c>
      <c r="E978" s="10">
        <f>IFERROR(C978/B978,"")</f>
        <v/>
      </c>
      <c r="F978" s="11">
        <f>IFERROR((D978/D977-1)*100,"")</f>
        <v/>
      </c>
      <c r="G978" s="11">
        <f>IFERROR((COUNTIF($D$727:$D$978,"&lt;"&amp;D978)+0.5*COUNTIF($D$727:$D$978,D978))/COUNT($D$727:$D$978)*100,"")</f>
        <v/>
      </c>
      <c r="H978" s="10">
        <f>IFERROR(AVERAGE($D$727:$D$978),"")</f>
        <v/>
      </c>
      <c r="I978" s="10" t="n">
        <v>0.9398338573861492</v>
      </c>
      <c r="J978" t="inlineStr"/>
      <c r="K978" t="inlineStr"/>
    </row>
    <row r="979">
      <c r="A979" s="7" t="inlineStr">
        <is>
          <t>2018-02-28</t>
        </is>
      </c>
      <c r="B979" s="8">
        <f>IFERROR(VLOOKUP($A979,'01-原始价格'!$A:$M,2,FALSE),"")</f>
        <v/>
      </c>
      <c r="C979" s="8">
        <f>IFERROR(VLOOKUP($A979,'01-原始价格'!$A:$M,8,FALSE),"")</f>
        <v/>
      </c>
      <c r="D979" s="10">
        <f>IFERROR(B979/C979,"")</f>
        <v/>
      </c>
      <c r="E979" s="10">
        <f>IFERROR(C979/B979,"")</f>
        <v/>
      </c>
      <c r="F979" s="11">
        <f>IFERROR((D979/D978-1)*100,"")</f>
        <v/>
      </c>
      <c r="G979" s="11">
        <f>IFERROR((COUNTIF($D$728:$D$979,"&lt;"&amp;D979)+0.5*COUNTIF($D$728:$D$979,D979))/COUNT($D$728:$D$979)*100,"")</f>
        <v/>
      </c>
      <c r="H979" s="10">
        <f>IFERROR(AVERAGE($D$728:$D$979),"")</f>
        <v/>
      </c>
      <c r="I979" s="10" t="n">
        <v>0.8154662464247996</v>
      </c>
      <c r="J979" t="inlineStr"/>
      <c r="K979" t="inlineStr"/>
    </row>
    <row r="980">
      <c r="A980" s="7" t="inlineStr">
        <is>
          <t>2018-03-01</t>
        </is>
      </c>
      <c r="B980" s="8">
        <f>IFERROR(VLOOKUP($A980,'01-原始价格'!$A:$M,2,FALSE),"")</f>
        <v/>
      </c>
      <c r="C980" s="8">
        <f>IFERROR(VLOOKUP($A980,'01-原始价格'!$A:$M,8,FALSE),"")</f>
        <v/>
      </c>
      <c r="D980" s="10">
        <f>IFERROR(B980/C980,"")</f>
        <v/>
      </c>
      <c r="E980" s="10">
        <f>IFERROR(C980/B980,"")</f>
        <v/>
      </c>
      <c r="F980" s="11">
        <f>IFERROR((D980/D979-1)*100,"")</f>
        <v/>
      </c>
      <c r="G980" s="11">
        <f>IFERROR((COUNTIF($D$729:$D$980,"&lt;"&amp;D980)+0.5*COUNTIF($D$729:$D$980,D980))/COUNT($D$729:$D$980)*100,"")</f>
        <v/>
      </c>
      <c r="H980" s="10">
        <f>IFERROR(AVERAGE($D$729:$D$980),"")</f>
        <v/>
      </c>
      <c r="I980" s="10" t="n">
        <v>0.5478129485681118</v>
      </c>
      <c r="J980" t="inlineStr"/>
      <c r="K980" t="inlineStr"/>
    </row>
    <row r="981">
      <c r="A981" s="7" t="inlineStr">
        <is>
          <t>2018-03-02</t>
        </is>
      </c>
      <c r="B981" s="8">
        <f>IFERROR(VLOOKUP($A981,'01-原始价格'!$A:$M,2,FALSE),"")</f>
        <v/>
      </c>
      <c r="C981" s="8">
        <f>IFERROR(VLOOKUP($A981,'01-原始价格'!$A:$M,8,FALSE),"")</f>
        <v/>
      </c>
      <c r="D981" s="10">
        <f>IFERROR(B981/C981,"")</f>
        <v/>
      </c>
      <c r="E981" s="10">
        <f>IFERROR(C981/B981,"")</f>
        <v/>
      </c>
      <c r="F981" s="11">
        <f>IFERROR((D981/D980-1)*100,"")</f>
        <v/>
      </c>
      <c r="G981" s="11">
        <f>IFERROR((COUNTIF($D$730:$D$981,"&lt;"&amp;D981)+0.5*COUNTIF($D$730:$D$981,D981))/COUNT($D$730:$D$981)*100,"")</f>
        <v/>
      </c>
      <c r="H981" s="10">
        <f>IFERROR(AVERAGE($D$730:$D$981),"")</f>
        <v/>
      </c>
      <c r="I981" s="10" t="n">
        <v>0.6815667407217039</v>
      </c>
      <c r="J981" t="inlineStr"/>
      <c r="K981" t="inlineStr"/>
    </row>
    <row r="982">
      <c r="A982" s="7" t="inlineStr">
        <is>
          <t>2018-03-05</t>
        </is>
      </c>
      <c r="B982" s="8">
        <f>IFERROR(VLOOKUP($A982,'01-原始价格'!$A:$M,2,FALSE),"")</f>
        <v/>
      </c>
      <c r="C982" s="8">
        <f>IFERROR(VLOOKUP($A982,'01-原始价格'!$A:$M,8,FALSE),"")</f>
        <v/>
      </c>
      <c r="D982" s="10">
        <f>IFERROR(B982/C982,"")</f>
        <v/>
      </c>
      <c r="E982" s="10">
        <f>IFERROR(C982/B982,"")</f>
        <v/>
      </c>
      <c r="F982" s="11">
        <f>IFERROR((D982/D981-1)*100,"")</f>
        <v/>
      </c>
      <c r="G982" s="11">
        <f>IFERROR((COUNTIF($D$731:$D$982,"&lt;"&amp;D982)+0.5*COUNTIF($D$731:$D$982,D982))/COUNT($D$731:$D$982)*100,"")</f>
        <v/>
      </c>
      <c r="H982" s="10">
        <f>IFERROR(AVERAGE($D$731:$D$982),"")</f>
        <v/>
      </c>
      <c r="I982" s="10" t="n">
        <v>0.5832518318488379</v>
      </c>
      <c r="J982" t="inlineStr"/>
      <c r="K982" t="inlineStr"/>
    </row>
    <row r="983">
      <c r="A983" s="7" t="inlineStr">
        <is>
          <t>2018-03-06</t>
        </is>
      </c>
      <c r="B983" s="8">
        <f>IFERROR(VLOOKUP($A983,'01-原始价格'!$A:$M,2,FALSE),"")</f>
        <v/>
      </c>
      <c r="C983" s="8">
        <f>IFERROR(VLOOKUP($A983,'01-原始价格'!$A:$M,8,FALSE),"")</f>
        <v/>
      </c>
      <c r="D983" s="10">
        <f>IFERROR(B983/C983,"")</f>
        <v/>
      </c>
      <c r="E983" s="10">
        <f>IFERROR(C983/B983,"")</f>
        <v/>
      </c>
      <c r="F983" s="11">
        <f>IFERROR((D983/D982-1)*100,"")</f>
        <v/>
      </c>
      <c r="G983" s="11">
        <f>IFERROR((COUNTIF($D$732:$D$983,"&lt;"&amp;D983)+0.5*COUNTIF($D$732:$D$983,D983))/COUNT($D$732:$D$983)*100,"")</f>
        <v/>
      </c>
      <c r="H983" s="10">
        <f>IFERROR(AVERAGE($D$732:$D$983),"")</f>
        <v/>
      </c>
      <c r="I983" s="10" t="n">
        <v>0.7781169479680669</v>
      </c>
      <c r="J983" t="inlineStr"/>
      <c r="K983" t="inlineStr"/>
    </row>
    <row r="984">
      <c r="A984" s="7" t="inlineStr">
        <is>
          <t>2018-03-07</t>
        </is>
      </c>
      <c r="B984" s="8">
        <f>IFERROR(VLOOKUP($A984,'01-原始价格'!$A:$M,2,FALSE),"")</f>
        <v/>
      </c>
      <c r="C984" s="8">
        <f>IFERROR(VLOOKUP($A984,'01-原始价格'!$A:$M,8,FALSE),"")</f>
        <v/>
      </c>
      <c r="D984" s="10">
        <f>IFERROR(B984/C984,"")</f>
        <v/>
      </c>
      <c r="E984" s="10">
        <f>IFERROR(C984/B984,"")</f>
        <v/>
      </c>
      <c r="F984" s="11">
        <f>IFERROR((D984/D983-1)*100,"")</f>
        <v/>
      </c>
      <c r="G984" s="11">
        <f>IFERROR((COUNTIF($D$733:$D$984,"&lt;"&amp;D984)+0.5*COUNTIF($D$733:$D$984,D984))/COUNT($D$733:$D$984)*100,"")</f>
        <v/>
      </c>
      <c r="H984" s="10">
        <f>IFERROR(AVERAGE($D$733:$D$984),"")</f>
        <v/>
      </c>
      <c r="I984" s="10" t="n">
        <v>0.666696016373046</v>
      </c>
      <c r="J984" t="inlineStr"/>
      <c r="K984" t="inlineStr"/>
    </row>
    <row r="985">
      <c r="A985" s="7" t="inlineStr">
        <is>
          <t>2018-03-08</t>
        </is>
      </c>
      <c r="B985" s="8">
        <f>IFERROR(VLOOKUP($A985,'01-原始价格'!$A:$M,2,FALSE),"")</f>
        <v/>
      </c>
      <c r="C985" s="8">
        <f>IFERROR(VLOOKUP($A985,'01-原始价格'!$A:$M,8,FALSE),"")</f>
        <v/>
      </c>
      <c r="D985" s="10">
        <f>IFERROR(B985/C985,"")</f>
        <v/>
      </c>
      <c r="E985" s="10">
        <f>IFERROR(C985/B985,"")</f>
        <v/>
      </c>
      <c r="F985" s="11">
        <f>IFERROR((D985/D984-1)*100,"")</f>
        <v/>
      </c>
      <c r="G985" s="11">
        <f>IFERROR((COUNTIF($D$734:$D$985,"&lt;"&amp;D985)+0.5*COUNTIF($D$734:$D$985,D985))/COUNT($D$734:$D$985)*100,"")</f>
        <v/>
      </c>
      <c r="H985" s="10">
        <f>IFERROR(AVERAGE($D$734:$D$985),"")</f>
        <v/>
      </c>
      <c r="I985" s="10" t="n">
        <v>0.5744110696629847</v>
      </c>
      <c r="J985" t="inlineStr"/>
      <c r="K985" t="inlineStr"/>
    </row>
    <row r="986">
      <c r="A986" s="7" t="inlineStr">
        <is>
          <t>2018-03-09</t>
        </is>
      </c>
      <c r="B986" s="8">
        <f>IFERROR(VLOOKUP($A986,'01-原始价格'!$A:$M,2,FALSE),"")</f>
        <v/>
      </c>
      <c r="C986" s="8">
        <f>IFERROR(VLOOKUP($A986,'01-原始价格'!$A:$M,8,FALSE),"")</f>
        <v/>
      </c>
      <c r="D986" s="10">
        <f>IFERROR(B986/C986,"")</f>
        <v/>
      </c>
      <c r="E986" s="10">
        <f>IFERROR(C986/B986,"")</f>
        <v/>
      </c>
      <c r="F986" s="11">
        <f>IFERROR((D986/D985-1)*100,"")</f>
        <v/>
      </c>
      <c r="G986" s="11">
        <f>IFERROR((COUNTIF($D$735:$D$986,"&lt;"&amp;D986)+0.5*COUNTIF($D$735:$D$986,D986))/COUNT($D$735:$D$986)*100,"")</f>
        <v/>
      </c>
      <c r="H986" s="10">
        <f>IFERROR(AVERAGE($D$735:$D$986),"")</f>
        <v/>
      </c>
      <c r="I986" s="10" t="n">
        <v>0.6026802528832035</v>
      </c>
      <c r="J986" t="inlineStr"/>
      <c r="K986" t="inlineStr"/>
    </row>
    <row r="987">
      <c r="A987" s="7" t="inlineStr">
        <is>
          <t>2018-03-12</t>
        </is>
      </c>
      <c r="B987" s="8">
        <f>IFERROR(VLOOKUP($A987,'01-原始价格'!$A:$M,2,FALSE),"")</f>
        <v/>
      </c>
      <c r="C987" s="8">
        <f>IFERROR(VLOOKUP($A987,'01-原始价格'!$A:$M,8,FALSE),"")</f>
        <v/>
      </c>
      <c r="D987" s="10">
        <f>IFERROR(B987/C987,"")</f>
        <v/>
      </c>
      <c r="E987" s="10">
        <f>IFERROR(C987/B987,"")</f>
        <v/>
      </c>
      <c r="F987" s="11">
        <f>IFERROR((D987/D986-1)*100,"")</f>
        <v/>
      </c>
      <c r="G987" s="11">
        <f>IFERROR((COUNTIF($D$736:$D$987,"&lt;"&amp;D987)+0.5*COUNTIF($D$736:$D$987,D987))/COUNT($D$736:$D$987)*100,"")</f>
        <v/>
      </c>
      <c r="H987" s="10">
        <f>IFERROR(AVERAGE($D$736:$D$987),"")</f>
        <v/>
      </c>
      <c r="I987" s="10" t="n">
        <v>0.8246749041606878</v>
      </c>
      <c r="J987" t="inlineStr"/>
      <c r="K987" t="inlineStr"/>
    </row>
    <row r="988">
      <c r="A988" s="7" t="inlineStr">
        <is>
          <t>2018-03-13</t>
        </is>
      </c>
      <c r="B988" s="8">
        <f>IFERROR(VLOOKUP($A988,'01-原始价格'!$A:$M,2,FALSE),"")</f>
        <v/>
      </c>
      <c r="C988" s="8">
        <f>IFERROR(VLOOKUP($A988,'01-原始价格'!$A:$M,8,FALSE),"")</f>
        <v/>
      </c>
      <c r="D988" s="10">
        <f>IFERROR(B988/C988,"")</f>
        <v/>
      </c>
      <c r="E988" s="10">
        <f>IFERROR(C988/B988,"")</f>
        <v/>
      </c>
      <c r="F988" s="11">
        <f>IFERROR((D988/D987-1)*100,"")</f>
        <v/>
      </c>
      <c r="G988" s="11">
        <f>IFERROR((COUNTIF($D$737:$D$988,"&lt;"&amp;D988)+0.5*COUNTIF($D$737:$D$988,D988))/COUNT($D$737:$D$988)*100,"")</f>
        <v/>
      </c>
      <c r="H988" s="10">
        <f>IFERROR(AVERAGE($D$737:$D$988),"")</f>
        <v/>
      </c>
      <c r="I988" s="10" t="n">
        <v>0.6149425092316451</v>
      </c>
      <c r="J988" t="inlineStr"/>
      <c r="K988" t="inlineStr"/>
    </row>
    <row r="989">
      <c r="A989" s="7" t="inlineStr">
        <is>
          <t>2018-03-14</t>
        </is>
      </c>
      <c r="B989" s="8">
        <f>IFERROR(VLOOKUP($A989,'01-原始价格'!$A:$M,2,FALSE),"")</f>
        <v/>
      </c>
      <c r="C989" s="8">
        <f>IFERROR(VLOOKUP($A989,'01-原始价格'!$A:$M,8,FALSE),"")</f>
        <v/>
      </c>
      <c r="D989" s="10">
        <f>IFERROR(B989/C989,"")</f>
        <v/>
      </c>
      <c r="E989" s="10">
        <f>IFERROR(C989/B989,"")</f>
        <v/>
      </c>
      <c r="F989" s="11">
        <f>IFERROR((D989/D988-1)*100,"")</f>
        <v/>
      </c>
      <c r="G989" s="11">
        <f>IFERROR((COUNTIF($D$738:$D$989,"&lt;"&amp;D989)+0.5*COUNTIF($D$738:$D$989,D989))/COUNT($D$738:$D$989)*100,"")</f>
        <v/>
      </c>
      <c r="H989" s="10">
        <f>IFERROR(AVERAGE($D$738:$D$989),"")</f>
        <v/>
      </c>
      <c r="I989" s="10" t="n">
        <v>0.1127083125815836</v>
      </c>
      <c r="J989" t="inlineStr"/>
      <c r="K989" t="inlineStr"/>
    </row>
    <row r="990">
      <c r="A990" s="7" t="inlineStr">
        <is>
          <t>2018-03-15</t>
        </is>
      </c>
      <c r="B990" s="8">
        <f>IFERROR(VLOOKUP($A990,'01-原始价格'!$A:$M,2,FALSE),"")</f>
        <v/>
      </c>
      <c r="C990" s="8">
        <f>IFERROR(VLOOKUP($A990,'01-原始价格'!$A:$M,8,FALSE),"")</f>
        <v/>
      </c>
      <c r="D990" s="10">
        <f>IFERROR(B990/C990,"")</f>
        <v/>
      </c>
      <c r="E990" s="10">
        <f>IFERROR(C990/B990,"")</f>
        <v/>
      </c>
      <c r="F990" s="11">
        <f>IFERROR((D990/D989-1)*100,"")</f>
        <v/>
      </c>
      <c r="G990" s="11">
        <f>IFERROR((COUNTIF($D$739:$D$990,"&lt;"&amp;D990)+0.5*COUNTIF($D$739:$D$990,D990))/COUNT($D$739:$D$990)*100,"")</f>
        <v/>
      </c>
      <c r="H990" s="10">
        <f>IFERROR(AVERAGE($D$739:$D$990),"")</f>
        <v/>
      </c>
      <c r="I990" s="10" t="n">
        <v>-0.008301114594883729</v>
      </c>
      <c r="J990" t="inlineStr"/>
      <c r="K990" t="inlineStr"/>
    </row>
    <row r="991">
      <c r="A991" s="7" t="inlineStr">
        <is>
          <t>2018-03-16</t>
        </is>
      </c>
      <c r="B991" s="8">
        <f>IFERROR(VLOOKUP($A991,'01-原始价格'!$A:$M,2,FALSE),"")</f>
        <v/>
      </c>
      <c r="C991" s="8">
        <f>IFERROR(VLOOKUP($A991,'01-原始价格'!$A:$M,8,FALSE),"")</f>
        <v/>
      </c>
      <c r="D991" s="10">
        <f>IFERROR(B991/C991,"")</f>
        <v/>
      </c>
      <c r="E991" s="10">
        <f>IFERROR(C991/B991,"")</f>
        <v/>
      </c>
      <c r="F991" s="11">
        <f>IFERROR((D991/D990-1)*100,"")</f>
        <v/>
      </c>
      <c r="G991" s="11">
        <f>IFERROR((COUNTIF($D$740:$D$991,"&lt;"&amp;D991)+0.5*COUNTIF($D$740:$D$991,D991))/COUNT($D$740:$D$991)*100,"")</f>
        <v/>
      </c>
      <c r="H991" s="10">
        <f>IFERROR(AVERAGE($D$740:$D$991),"")</f>
        <v/>
      </c>
      <c r="I991" s="10" t="n">
        <v>-0.3666631141417743</v>
      </c>
      <c r="J991" t="inlineStr"/>
      <c r="K991" t="inlineStr"/>
    </row>
    <row r="992">
      <c r="A992" s="7" t="inlineStr">
        <is>
          <t>2018-03-19</t>
        </is>
      </c>
      <c r="B992" s="8">
        <f>IFERROR(VLOOKUP($A992,'01-原始价格'!$A:$M,2,FALSE),"")</f>
        <v/>
      </c>
      <c r="C992" s="8">
        <f>IFERROR(VLOOKUP($A992,'01-原始价格'!$A:$M,8,FALSE),"")</f>
        <v/>
      </c>
      <c r="D992" s="10">
        <f>IFERROR(B992/C992,"")</f>
        <v/>
      </c>
      <c r="E992" s="10">
        <f>IFERROR(C992/B992,"")</f>
        <v/>
      </c>
      <c r="F992" s="11">
        <f>IFERROR((D992/D991-1)*100,"")</f>
        <v/>
      </c>
      <c r="G992" s="11">
        <f>IFERROR((COUNTIF($D$741:$D$992,"&lt;"&amp;D992)+0.5*COUNTIF($D$741:$D$992,D992))/COUNT($D$741:$D$992)*100,"")</f>
        <v/>
      </c>
      <c r="H992" s="10">
        <f>IFERROR(AVERAGE($D$741:$D$992),"")</f>
        <v/>
      </c>
      <c r="I992" s="10" t="n">
        <v>-0.8131028795253844</v>
      </c>
      <c r="J992" t="inlineStr"/>
      <c r="K992" t="inlineStr"/>
    </row>
    <row r="993">
      <c r="A993" s="7" t="inlineStr">
        <is>
          <t>2018-03-20</t>
        </is>
      </c>
      <c r="B993" s="8">
        <f>IFERROR(VLOOKUP($A993,'01-原始价格'!$A:$M,2,FALSE),"")</f>
        <v/>
      </c>
      <c r="C993" s="8">
        <f>IFERROR(VLOOKUP($A993,'01-原始价格'!$A:$M,8,FALSE),"")</f>
        <v/>
      </c>
      <c r="D993" s="10">
        <f>IFERROR(B993/C993,"")</f>
        <v/>
      </c>
      <c r="E993" s="10">
        <f>IFERROR(C993/B993,"")</f>
        <v/>
      </c>
      <c r="F993" s="11">
        <f>IFERROR((D993/D992-1)*100,"")</f>
        <v/>
      </c>
      <c r="G993" s="11">
        <f>IFERROR((COUNTIF($D$742:$D$993,"&lt;"&amp;D993)+0.5*COUNTIF($D$742:$D$993,D993))/COUNT($D$742:$D$993)*100,"")</f>
        <v/>
      </c>
      <c r="H993" s="10">
        <f>IFERROR(AVERAGE($D$742:$D$993),"")</f>
        <v/>
      </c>
      <c r="I993" s="10" t="n">
        <v>-0.9384939849965854</v>
      </c>
      <c r="J993" t="inlineStr"/>
      <c r="K993" t="inlineStr"/>
    </row>
    <row r="994">
      <c r="A994" s="7" t="inlineStr">
        <is>
          <t>2018-03-21</t>
        </is>
      </c>
      <c r="B994" s="8">
        <f>IFERROR(VLOOKUP($A994,'01-原始价格'!$A:$M,2,FALSE),"")</f>
        <v/>
      </c>
      <c r="C994" s="8">
        <f>IFERROR(VLOOKUP($A994,'01-原始价格'!$A:$M,8,FALSE),"")</f>
        <v/>
      </c>
      <c r="D994" s="10">
        <f>IFERROR(B994/C994,"")</f>
        <v/>
      </c>
      <c r="E994" s="10">
        <f>IFERROR(C994/B994,"")</f>
        <v/>
      </c>
      <c r="F994" s="11">
        <f>IFERROR((D994/D993-1)*100,"")</f>
        <v/>
      </c>
      <c r="G994" s="11">
        <f>IFERROR((COUNTIF($D$743:$D$994,"&lt;"&amp;D994)+0.5*COUNTIF($D$743:$D$994,D994))/COUNT($D$743:$D$994)*100,"")</f>
        <v/>
      </c>
      <c r="H994" s="10">
        <f>IFERROR(AVERAGE($D$743:$D$994),"")</f>
        <v/>
      </c>
      <c r="I994" s="10" t="n">
        <v>-0.7823154106411336</v>
      </c>
      <c r="J994" t="inlineStr"/>
      <c r="K994" t="inlineStr"/>
    </row>
    <row r="995">
      <c r="A995" s="7" t="inlineStr">
        <is>
          <t>2018-03-22</t>
        </is>
      </c>
      <c r="B995" s="8">
        <f>IFERROR(VLOOKUP($A995,'01-原始价格'!$A:$M,2,FALSE),"")</f>
        <v/>
      </c>
      <c r="C995" s="8">
        <f>IFERROR(VLOOKUP($A995,'01-原始价格'!$A:$M,8,FALSE),"")</f>
        <v/>
      </c>
      <c r="D995" s="10">
        <f>IFERROR(B995/C995,"")</f>
        <v/>
      </c>
      <c r="E995" s="10">
        <f>IFERROR(C995/B995,"")</f>
        <v/>
      </c>
      <c r="F995" s="11">
        <f>IFERROR((D995/D994-1)*100,"")</f>
        <v/>
      </c>
      <c r="G995" s="11">
        <f>IFERROR((COUNTIF($D$744:$D$995,"&lt;"&amp;D995)+0.5*COUNTIF($D$744:$D$995,D995))/COUNT($D$744:$D$995)*100,"")</f>
        <v/>
      </c>
      <c r="H995" s="10">
        <f>IFERROR(AVERAGE($D$744:$D$995),"")</f>
        <v/>
      </c>
      <c r="I995" s="10" t="n">
        <v>-0.4537220062226371</v>
      </c>
      <c r="J995" t="inlineStr"/>
      <c r="K995" t="inlineStr"/>
    </row>
    <row r="996">
      <c r="A996" s="7" t="inlineStr">
        <is>
          <t>2018-03-23</t>
        </is>
      </c>
      <c r="B996" s="8">
        <f>IFERROR(VLOOKUP($A996,'01-原始价格'!$A:$M,2,FALSE),"")</f>
        <v/>
      </c>
      <c r="C996" s="8">
        <f>IFERROR(VLOOKUP($A996,'01-原始价格'!$A:$M,8,FALSE),"")</f>
        <v/>
      </c>
      <c r="D996" s="10">
        <f>IFERROR(B996/C996,"")</f>
        <v/>
      </c>
      <c r="E996" s="10">
        <f>IFERROR(C996/B996,"")</f>
        <v/>
      </c>
      <c r="F996" s="11">
        <f>IFERROR((D996/D995-1)*100,"")</f>
        <v/>
      </c>
      <c r="G996" s="11">
        <f>IFERROR((COUNTIF($D$745:$D$996,"&lt;"&amp;D996)+0.5*COUNTIF($D$745:$D$996,D996))/COUNT($D$745:$D$996)*100,"")</f>
        <v/>
      </c>
      <c r="H996" s="10">
        <f>IFERROR(AVERAGE($D$745:$D$996),"")</f>
        <v/>
      </c>
      <c r="I996" s="10" t="n">
        <v>-1.178575373215302</v>
      </c>
      <c r="J996" t="inlineStr"/>
      <c r="K996" t="inlineStr"/>
    </row>
    <row r="997">
      <c r="A997" s="7" t="inlineStr">
        <is>
          <t>2018-03-26</t>
        </is>
      </c>
      <c r="B997" s="8">
        <f>IFERROR(VLOOKUP($A997,'01-原始价格'!$A:$M,2,FALSE),"")</f>
        <v/>
      </c>
      <c r="C997" s="8">
        <f>IFERROR(VLOOKUP($A997,'01-原始价格'!$A:$M,8,FALSE),"")</f>
        <v/>
      </c>
      <c r="D997" s="10">
        <f>IFERROR(B997/C997,"")</f>
        <v/>
      </c>
      <c r="E997" s="10">
        <f>IFERROR(C997/B997,"")</f>
        <v/>
      </c>
      <c r="F997" s="11">
        <f>IFERROR((D997/D996-1)*100,"")</f>
        <v/>
      </c>
      <c r="G997" s="11">
        <f>IFERROR((COUNTIF($D$746:$D$997,"&lt;"&amp;D997)+0.5*COUNTIF($D$746:$D$997,D997))/COUNT($D$746:$D$997)*100,"")</f>
        <v/>
      </c>
      <c r="H997" s="10">
        <f>IFERROR(AVERAGE($D$746:$D$997),"")</f>
        <v/>
      </c>
      <c r="I997" s="10" t="n">
        <v>-0.6964017437990306</v>
      </c>
      <c r="J997" t="inlineStr"/>
      <c r="K997" t="inlineStr"/>
    </row>
    <row r="998">
      <c r="A998" s="7" t="inlineStr">
        <is>
          <t>2018-03-27</t>
        </is>
      </c>
      <c r="B998" s="8">
        <f>IFERROR(VLOOKUP($A998,'01-原始价格'!$A:$M,2,FALSE),"")</f>
        <v/>
      </c>
      <c r="C998" s="8">
        <f>IFERROR(VLOOKUP($A998,'01-原始价格'!$A:$M,8,FALSE),"")</f>
        <v/>
      </c>
      <c r="D998" s="10">
        <f>IFERROR(B998/C998,"")</f>
        <v/>
      </c>
      <c r="E998" s="10">
        <f>IFERROR(C998/B998,"")</f>
        <v/>
      </c>
      <c r="F998" s="11">
        <f>IFERROR((D998/D997-1)*100,"")</f>
        <v/>
      </c>
      <c r="G998" s="11">
        <f>IFERROR((COUNTIF($D$747:$D$998,"&lt;"&amp;D998)+0.5*COUNTIF($D$747:$D$998,D998))/COUNT($D$747:$D$998)*100,"")</f>
        <v/>
      </c>
      <c r="H998" s="10">
        <f>IFERROR(AVERAGE($D$747:$D$998),"")</f>
        <v/>
      </c>
      <c r="I998" s="10" t="n">
        <v>-0.7585086393935927</v>
      </c>
      <c r="J998" t="inlineStr"/>
      <c r="K998" t="inlineStr"/>
    </row>
    <row r="999">
      <c r="A999" s="7" t="inlineStr">
        <is>
          <t>2018-03-28</t>
        </is>
      </c>
      <c r="B999" s="8">
        <f>IFERROR(VLOOKUP($A999,'01-原始价格'!$A:$M,2,FALSE),"")</f>
        <v/>
      </c>
      <c r="C999" s="8">
        <f>IFERROR(VLOOKUP($A999,'01-原始价格'!$A:$M,8,FALSE),"")</f>
        <v/>
      </c>
      <c r="D999" s="10">
        <f>IFERROR(B999/C999,"")</f>
        <v/>
      </c>
      <c r="E999" s="10">
        <f>IFERROR(C999/B999,"")</f>
        <v/>
      </c>
      <c r="F999" s="11">
        <f>IFERROR((D999/D998-1)*100,"")</f>
        <v/>
      </c>
      <c r="G999" s="11">
        <f>IFERROR((COUNTIF($D$748:$D$999,"&lt;"&amp;D999)+0.5*COUNTIF($D$748:$D$999,D999))/COUNT($D$748:$D$999)*100,"")</f>
        <v/>
      </c>
      <c r="H999" s="10">
        <f>IFERROR(AVERAGE($D$748:$D$999),"")</f>
        <v/>
      </c>
      <c r="I999" s="10" t="n">
        <v>-0.9456934050263142</v>
      </c>
      <c r="J999" t="inlineStr"/>
      <c r="K999" t="inlineStr"/>
    </row>
    <row r="1000">
      <c r="A1000" s="7" t="inlineStr">
        <is>
          <t>2018-03-29</t>
        </is>
      </c>
      <c r="B1000" s="8">
        <f>IFERROR(VLOOKUP($A1000,'01-原始价格'!$A:$M,2,FALSE),"")</f>
        <v/>
      </c>
      <c r="C1000" s="8">
        <f>IFERROR(VLOOKUP($A1000,'01-原始价格'!$A:$M,8,FALSE),"")</f>
        <v/>
      </c>
      <c r="D1000" s="10">
        <f>IFERROR(B1000/C1000,"")</f>
        <v/>
      </c>
      <c r="E1000" s="10">
        <f>IFERROR(C1000/B1000,"")</f>
        <v/>
      </c>
      <c r="F1000" s="11">
        <f>IFERROR((D1000/D999-1)*100,"")</f>
        <v/>
      </c>
      <c r="G1000" s="11">
        <f>IFERROR((COUNTIF($D$749:$D$1000,"&lt;"&amp;D1000)+0.5*COUNTIF($D$749:$D$1000,D1000))/COUNT($D$749:$D$1000)*100,"")</f>
        <v/>
      </c>
      <c r="H1000" s="10">
        <f>IFERROR(AVERAGE($D$749:$D$1000),"")</f>
        <v/>
      </c>
      <c r="I1000" s="10" t="n">
        <v>-0.5527076677787833</v>
      </c>
      <c r="J1000" t="inlineStr"/>
      <c r="K1000" t="inlineStr"/>
    </row>
    <row r="1001">
      <c r="A1001" s="7" t="inlineStr">
        <is>
          <t>2018-03-30</t>
        </is>
      </c>
      <c r="B1001" s="8">
        <f>IFERROR(VLOOKUP($A1001,'01-原始价格'!$A:$M,2,FALSE),"")</f>
        <v/>
      </c>
      <c r="C1001" s="8">
        <f>IFERROR(VLOOKUP($A1001,'01-原始价格'!$A:$M,8,FALSE),"")</f>
        <v/>
      </c>
      <c r="D1001" s="10">
        <f>IFERROR(B1001/C1001,"")</f>
        <v/>
      </c>
      <c r="E1001" s="10">
        <f>IFERROR(C1001/B1001,"")</f>
        <v/>
      </c>
      <c r="F1001" s="11">
        <f>IFERROR((D1001/D1000-1)*100,"")</f>
        <v/>
      </c>
      <c r="G1001" s="11">
        <f>IFERROR((COUNTIF($D$750:$D$1001,"&lt;"&amp;D1001)+0.5*COUNTIF($D$750:$D$1001,D1001))/COUNT($D$750:$D$1001)*100,"")</f>
        <v/>
      </c>
      <c r="H1001" s="10">
        <f>IFERROR(AVERAGE($D$750:$D$1001),"")</f>
        <v/>
      </c>
      <c r="I1001" s="10" t="n">
        <v>-0.4393549299946604</v>
      </c>
      <c r="J1001" t="inlineStr"/>
      <c r="K1001" t="inlineStr"/>
    </row>
    <row r="1002">
      <c r="A1002" s="7" t="inlineStr">
        <is>
          <t>2018-04-02</t>
        </is>
      </c>
      <c r="B1002" s="8">
        <f>IFERROR(VLOOKUP($A1002,'01-原始价格'!$A:$M,2,FALSE),"")</f>
        <v/>
      </c>
      <c r="C1002" s="8">
        <f>IFERROR(VLOOKUP($A1002,'01-原始价格'!$A:$M,8,FALSE),"")</f>
        <v/>
      </c>
      <c r="D1002" s="10">
        <f>IFERROR(B1002/C1002,"")</f>
        <v/>
      </c>
      <c r="E1002" s="10">
        <f>IFERROR(C1002/B1002,"")</f>
        <v/>
      </c>
      <c r="F1002" s="11">
        <f>IFERROR((D1002/D1001-1)*100,"")</f>
        <v/>
      </c>
      <c r="G1002" s="11">
        <f>IFERROR((COUNTIF($D$751:$D$1002,"&lt;"&amp;D1002)+0.5*COUNTIF($D$751:$D$1002,D1002))/COUNT($D$751:$D$1002)*100,"")</f>
        <v/>
      </c>
      <c r="H1002" s="10">
        <f>IFERROR(AVERAGE($D$751:$D$1002),"")</f>
        <v/>
      </c>
      <c r="I1002" s="10" t="n">
        <v>-0.08802116254673932</v>
      </c>
      <c r="J1002" t="inlineStr"/>
      <c r="K1002" t="inlineStr"/>
    </row>
    <row r="1003">
      <c r="A1003" s="7" t="inlineStr">
        <is>
          <t>2018-04-03</t>
        </is>
      </c>
      <c r="B1003" s="8">
        <f>IFERROR(VLOOKUP($A1003,'01-原始价格'!$A:$M,2,FALSE),"")</f>
        <v/>
      </c>
      <c r="C1003" s="8">
        <f>IFERROR(VLOOKUP($A1003,'01-原始价格'!$A:$M,8,FALSE),"")</f>
        <v/>
      </c>
      <c r="D1003" s="10">
        <f>IFERROR(B1003/C1003,"")</f>
        <v/>
      </c>
      <c r="E1003" s="10">
        <f>IFERROR(C1003/B1003,"")</f>
        <v/>
      </c>
      <c r="F1003" s="11">
        <f>IFERROR((D1003/D1002-1)*100,"")</f>
        <v/>
      </c>
      <c r="G1003" s="11">
        <f>IFERROR((COUNTIF($D$752:$D$1003,"&lt;"&amp;D1003)+0.5*COUNTIF($D$752:$D$1003,D1003))/COUNT($D$752:$D$1003)*100,"")</f>
        <v/>
      </c>
      <c r="H1003" s="10">
        <f>IFERROR(AVERAGE($D$752:$D$1003),"")</f>
        <v/>
      </c>
      <c r="I1003" s="10" t="n">
        <v>-0.06506149227901196</v>
      </c>
      <c r="J1003" t="inlineStr"/>
      <c r="K1003" t="inlineStr"/>
    </row>
    <row r="1004">
      <c r="A1004" s="7" t="inlineStr">
        <is>
          <t>2018-04-04</t>
        </is>
      </c>
      <c r="B1004" s="8">
        <f>IFERROR(VLOOKUP($A1004,'01-原始价格'!$A:$M,2,FALSE),"")</f>
        <v/>
      </c>
      <c r="C1004" s="8">
        <f>IFERROR(VLOOKUP($A1004,'01-原始价格'!$A:$M,8,FALSE),"")</f>
        <v/>
      </c>
      <c r="D1004" s="10">
        <f>IFERROR(B1004/C1004,"")</f>
        <v/>
      </c>
      <c r="E1004" s="10">
        <f>IFERROR(C1004/B1004,"")</f>
        <v/>
      </c>
      <c r="F1004" s="11">
        <f>IFERROR((D1004/D1003-1)*100,"")</f>
        <v/>
      </c>
      <c r="G1004" s="11">
        <f>IFERROR((COUNTIF($D$753:$D$1004,"&lt;"&amp;D1004)+0.5*COUNTIF($D$753:$D$1004,D1004))/COUNT($D$753:$D$1004)*100,"")</f>
        <v/>
      </c>
      <c r="H1004" s="10">
        <f>IFERROR(AVERAGE($D$753:$D$1004),"")</f>
        <v/>
      </c>
      <c r="I1004" s="10" t="n">
        <v>1.094069141963433</v>
      </c>
      <c r="J1004" t="inlineStr"/>
      <c r="K1004" t="inlineStr"/>
    </row>
    <row r="1005">
      <c r="A1005" s="7" t="inlineStr">
        <is>
          <t>2018-04-09</t>
        </is>
      </c>
      <c r="B1005" s="8">
        <f>IFERROR(VLOOKUP($A1005,'01-原始价格'!$A:$M,2,FALSE),"")</f>
        <v/>
      </c>
      <c r="C1005" s="8">
        <f>IFERROR(VLOOKUP($A1005,'01-原始价格'!$A:$M,8,FALSE),"")</f>
        <v/>
      </c>
      <c r="D1005" s="10">
        <f>IFERROR(B1005/C1005,"")</f>
        <v/>
      </c>
      <c r="E1005" s="10">
        <f>IFERROR(C1005/B1005,"")</f>
        <v/>
      </c>
      <c r="F1005" s="11">
        <f>IFERROR((D1005/D1004-1)*100,"")</f>
        <v/>
      </c>
      <c r="G1005" s="11">
        <f>IFERROR((COUNTIF($D$754:$D$1005,"&lt;"&amp;D1005)+0.5*COUNTIF($D$754:$D$1005,D1005))/COUNT($D$754:$D$1005)*100,"")</f>
        <v/>
      </c>
      <c r="H1005" s="10">
        <f>IFERROR(AVERAGE($D$754:$D$1005),"")</f>
        <v/>
      </c>
      <c r="I1005" s="10" t="n">
        <v>1.500657987534824</v>
      </c>
      <c r="J1005" t="inlineStr"/>
      <c r="K1005" t="inlineStr"/>
    </row>
    <row r="1006">
      <c r="A1006" s="7" t="inlineStr">
        <is>
          <t>2018-04-10</t>
        </is>
      </c>
      <c r="B1006" s="8">
        <f>IFERROR(VLOOKUP($A1006,'01-原始价格'!$A:$M,2,FALSE),"")</f>
        <v/>
      </c>
      <c r="C1006" s="8">
        <f>IFERROR(VLOOKUP($A1006,'01-原始价格'!$A:$M,8,FALSE),"")</f>
        <v/>
      </c>
      <c r="D1006" s="10">
        <f>IFERROR(B1006/C1006,"")</f>
        <v/>
      </c>
      <c r="E1006" s="10">
        <f>IFERROR(C1006/B1006,"")</f>
        <v/>
      </c>
      <c r="F1006" s="11">
        <f>IFERROR((D1006/D1005-1)*100,"")</f>
        <v/>
      </c>
      <c r="G1006" s="11">
        <f>IFERROR((COUNTIF($D$755:$D$1006,"&lt;"&amp;D1006)+0.5*COUNTIF($D$755:$D$1006,D1006))/COUNT($D$755:$D$1006)*100,"")</f>
        <v/>
      </c>
      <c r="H1006" s="10">
        <f>IFERROR(AVERAGE($D$755:$D$1006),"")</f>
        <v/>
      </c>
      <c r="I1006" s="10" t="n">
        <v>1.439575115593775</v>
      </c>
      <c r="J1006" t="inlineStr"/>
      <c r="K1006" t="inlineStr"/>
    </row>
    <row r="1007">
      <c r="A1007" s="7" t="inlineStr">
        <is>
          <t>2018-04-11</t>
        </is>
      </c>
      <c r="B1007" s="8">
        <f>IFERROR(VLOOKUP($A1007,'01-原始价格'!$A:$M,2,FALSE),"")</f>
        <v/>
      </c>
      <c r="C1007" s="8">
        <f>IFERROR(VLOOKUP($A1007,'01-原始价格'!$A:$M,8,FALSE),"")</f>
        <v/>
      </c>
      <c r="D1007" s="10">
        <f>IFERROR(B1007/C1007,"")</f>
        <v/>
      </c>
      <c r="E1007" s="10">
        <f>IFERROR(C1007/B1007,"")</f>
        <v/>
      </c>
      <c r="F1007" s="11">
        <f>IFERROR((D1007/D1006-1)*100,"")</f>
        <v/>
      </c>
      <c r="G1007" s="11">
        <f>IFERROR((COUNTIF($D$756:$D$1007,"&lt;"&amp;D1007)+0.5*COUNTIF($D$756:$D$1007,D1007))/COUNT($D$756:$D$1007)*100,"")</f>
        <v/>
      </c>
      <c r="H1007" s="10">
        <f>IFERROR(AVERAGE($D$756:$D$1007),"")</f>
        <v/>
      </c>
      <c r="I1007" s="10" t="n">
        <v>1.1169344011116</v>
      </c>
      <c r="J1007" t="inlineStr"/>
      <c r="K1007" t="inlineStr"/>
    </row>
    <row r="1008">
      <c r="A1008" s="7" t="inlineStr">
        <is>
          <t>2018-04-12</t>
        </is>
      </c>
      <c r="B1008" s="8">
        <f>IFERROR(VLOOKUP($A1008,'01-原始价格'!$A:$M,2,FALSE),"")</f>
        <v/>
      </c>
      <c r="C1008" s="8">
        <f>IFERROR(VLOOKUP($A1008,'01-原始价格'!$A:$M,8,FALSE),"")</f>
        <v/>
      </c>
      <c r="D1008" s="10">
        <f>IFERROR(B1008/C1008,"")</f>
        <v/>
      </c>
      <c r="E1008" s="10">
        <f>IFERROR(C1008/B1008,"")</f>
        <v/>
      </c>
      <c r="F1008" s="11">
        <f>IFERROR((D1008/D1007-1)*100,"")</f>
        <v/>
      </c>
      <c r="G1008" s="11">
        <f>IFERROR((COUNTIF($D$757:$D$1008,"&lt;"&amp;D1008)+0.5*COUNTIF($D$757:$D$1008,D1008))/COUNT($D$757:$D$1008)*100,"")</f>
        <v/>
      </c>
      <c r="H1008" s="10">
        <f>IFERROR(AVERAGE($D$757:$D$1008),"")</f>
        <v/>
      </c>
      <c r="I1008" s="10" t="n">
        <v>1.193555041008661</v>
      </c>
      <c r="J1008" t="inlineStr"/>
      <c r="K1008" t="inlineStr"/>
    </row>
    <row r="1009">
      <c r="A1009" s="7" t="inlineStr">
        <is>
          <t>2018-04-13</t>
        </is>
      </c>
      <c r="B1009" s="8">
        <f>IFERROR(VLOOKUP($A1009,'01-原始价格'!$A:$M,2,FALSE),"")</f>
        <v/>
      </c>
      <c r="C1009" s="8">
        <f>IFERROR(VLOOKUP($A1009,'01-原始价格'!$A:$M,8,FALSE),"")</f>
        <v/>
      </c>
      <c r="D1009" s="10">
        <f>IFERROR(B1009/C1009,"")</f>
        <v/>
      </c>
      <c r="E1009" s="10">
        <f>IFERROR(C1009/B1009,"")</f>
        <v/>
      </c>
      <c r="F1009" s="11">
        <f>IFERROR((D1009/D1008-1)*100,"")</f>
        <v/>
      </c>
      <c r="G1009" s="11">
        <f>IFERROR((COUNTIF($D$758:$D$1009,"&lt;"&amp;D1009)+0.5*COUNTIF($D$758:$D$1009,D1009))/COUNT($D$758:$D$1009)*100,"")</f>
        <v/>
      </c>
      <c r="H1009" s="10">
        <f>IFERROR(AVERAGE($D$758:$D$1009),"")</f>
        <v/>
      </c>
      <c r="I1009" s="10" t="n">
        <v>1.064686136702856</v>
      </c>
      <c r="J1009" t="inlineStr"/>
      <c r="K1009" t="inlineStr"/>
    </row>
    <row r="1010">
      <c r="A1010" s="7" t="inlineStr">
        <is>
          <t>2018-04-16</t>
        </is>
      </c>
      <c r="B1010" s="8">
        <f>IFERROR(VLOOKUP($A1010,'01-原始价格'!$A:$M,2,FALSE),"")</f>
        <v/>
      </c>
      <c r="C1010" s="8">
        <f>IFERROR(VLOOKUP($A1010,'01-原始价格'!$A:$M,8,FALSE),"")</f>
        <v/>
      </c>
      <c r="D1010" s="10">
        <f>IFERROR(B1010/C1010,"")</f>
        <v/>
      </c>
      <c r="E1010" s="10">
        <f>IFERROR(C1010/B1010,"")</f>
        <v/>
      </c>
      <c r="F1010" s="11">
        <f>IFERROR((D1010/D1009-1)*100,"")</f>
        <v/>
      </c>
      <c r="G1010" s="11">
        <f>IFERROR((COUNTIF($D$759:$D$1010,"&lt;"&amp;D1010)+0.5*COUNTIF($D$759:$D$1010,D1010))/COUNT($D$759:$D$1010)*100,"")</f>
        <v/>
      </c>
      <c r="H1010" s="10">
        <f>IFERROR(AVERAGE($D$759:$D$1010),"")</f>
        <v/>
      </c>
      <c r="I1010" s="10" t="n">
        <v>1.275249094964447</v>
      </c>
      <c r="J1010" t="inlineStr"/>
      <c r="K1010" t="inlineStr"/>
    </row>
    <row r="1011">
      <c r="A1011" s="7" t="inlineStr">
        <is>
          <t>2018-04-17</t>
        </is>
      </c>
      <c r="B1011" s="8">
        <f>IFERROR(VLOOKUP($A1011,'01-原始价格'!$A:$M,2,FALSE),"")</f>
        <v/>
      </c>
      <c r="C1011" s="8">
        <f>IFERROR(VLOOKUP($A1011,'01-原始价格'!$A:$M,8,FALSE),"")</f>
        <v/>
      </c>
      <c r="D1011" s="10">
        <f>IFERROR(B1011/C1011,"")</f>
        <v/>
      </c>
      <c r="E1011" s="10">
        <f>IFERROR(C1011/B1011,"")</f>
        <v/>
      </c>
      <c r="F1011" s="11">
        <f>IFERROR((D1011/D1010-1)*100,"")</f>
        <v/>
      </c>
      <c r="G1011" s="11">
        <f>IFERROR((COUNTIF($D$760:$D$1011,"&lt;"&amp;D1011)+0.5*COUNTIF($D$760:$D$1011,D1011))/COUNT($D$760:$D$1011)*100,"")</f>
        <v/>
      </c>
      <c r="H1011" s="10">
        <f>IFERROR(AVERAGE($D$760:$D$1011),"")</f>
        <v/>
      </c>
      <c r="I1011" s="10" t="n">
        <v>1.122020381911638</v>
      </c>
      <c r="J1011" t="inlineStr"/>
      <c r="K1011" t="inlineStr"/>
    </row>
    <row r="1012">
      <c r="A1012" s="7" t="inlineStr">
        <is>
          <t>2018-04-18</t>
        </is>
      </c>
      <c r="B1012" s="8">
        <f>IFERROR(VLOOKUP($A1012,'01-原始价格'!$A:$M,2,FALSE),"")</f>
        <v/>
      </c>
      <c r="C1012" s="8">
        <f>IFERROR(VLOOKUP($A1012,'01-原始价格'!$A:$M,8,FALSE),"")</f>
        <v/>
      </c>
      <c r="D1012" s="10">
        <f>IFERROR(B1012/C1012,"")</f>
        <v/>
      </c>
      <c r="E1012" s="10">
        <f>IFERROR(C1012/B1012,"")</f>
        <v/>
      </c>
      <c r="F1012" s="11">
        <f>IFERROR((D1012/D1011-1)*100,"")</f>
        <v/>
      </c>
      <c r="G1012" s="11">
        <f>IFERROR((COUNTIF($D$761:$D$1012,"&lt;"&amp;D1012)+0.5*COUNTIF($D$761:$D$1012,D1012))/COUNT($D$761:$D$1012)*100,"")</f>
        <v/>
      </c>
      <c r="H1012" s="10">
        <f>IFERROR(AVERAGE($D$761:$D$1012),"")</f>
        <v/>
      </c>
      <c r="I1012" s="10" t="n">
        <v>0.9846565696580006</v>
      </c>
      <c r="J1012" t="inlineStr"/>
      <c r="K1012" t="inlineStr"/>
    </row>
    <row r="1013">
      <c r="A1013" s="7" t="inlineStr">
        <is>
          <t>2018-04-19</t>
        </is>
      </c>
      <c r="B1013" s="8">
        <f>IFERROR(VLOOKUP($A1013,'01-原始价格'!$A:$M,2,FALSE),"")</f>
        <v/>
      </c>
      <c r="C1013" s="8">
        <f>IFERROR(VLOOKUP($A1013,'01-原始价格'!$A:$M,8,FALSE),"")</f>
        <v/>
      </c>
      <c r="D1013" s="10">
        <f>IFERROR(B1013/C1013,"")</f>
        <v/>
      </c>
      <c r="E1013" s="10">
        <f>IFERROR(C1013/B1013,"")</f>
        <v/>
      </c>
      <c r="F1013" s="11">
        <f>IFERROR((D1013/D1012-1)*100,"")</f>
        <v/>
      </c>
      <c r="G1013" s="11">
        <f>IFERROR((COUNTIF($D$762:$D$1013,"&lt;"&amp;D1013)+0.5*COUNTIF($D$762:$D$1013,D1013))/COUNT($D$762:$D$1013)*100,"")</f>
        <v/>
      </c>
      <c r="H1013" s="10">
        <f>IFERROR(AVERAGE($D$762:$D$1013),"")</f>
        <v/>
      </c>
      <c r="I1013" s="10" t="n">
        <v>0.9398975916456291</v>
      </c>
      <c r="J1013" t="inlineStr"/>
      <c r="K1013" t="inlineStr"/>
    </row>
    <row r="1014">
      <c r="A1014" s="7" t="inlineStr">
        <is>
          <t>2018-04-20</t>
        </is>
      </c>
      <c r="B1014" s="8">
        <f>IFERROR(VLOOKUP($A1014,'01-原始价格'!$A:$M,2,FALSE),"")</f>
        <v/>
      </c>
      <c r="C1014" s="8">
        <f>IFERROR(VLOOKUP($A1014,'01-原始价格'!$A:$M,8,FALSE),"")</f>
        <v/>
      </c>
      <c r="D1014" s="10">
        <f>IFERROR(B1014/C1014,"")</f>
        <v/>
      </c>
      <c r="E1014" s="10">
        <f>IFERROR(C1014/B1014,"")</f>
        <v/>
      </c>
      <c r="F1014" s="11">
        <f>IFERROR((D1014/D1013-1)*100,"")</f>
        <v/>
      </c>
      <c r="G1014" s="11">
        <f>IFERROR((COUNTIF($D$763:$D$1014,"&lt;"&amp;D1014)+0.5*COUNTIF($D$763:$D$1014,D1014))/COUNT($D$763:$D$1014)*100,"")</f>
        <v/>
      </c>
      <c r="H1014" s="10">
        <f>IFERROR(AVERAGE($D$763:$D$1014),"")</f>
        <v/>
      </c>
      <c r="I1014" s="10" t="n">
        <v>0.5266068689163279</v>
      </c>
      <c r="J1014" t="inlineStr"/>
      <c r="K1014" t="inlineStr"/>
    </row>
    <row r="1015">
      <c r="A1015" s="7" t="inlineStr">
        <is>
          <t>2018-04-23</t>
        </is>
      </c>
      <c r="B1015" s="8">
        <f>IFERROR(VLOOKUP($A1015,'01-原始价格'!$A:$M,2,FALSE),"")</f>
        <v/>
      </c>
      <c r="C1015" s="8">
        <f>IFERROR(VLOOKUP($A1015,'01-原始价格'!$A:$M,8,FALSE),"")</f>
        <v/>
      </c>
      <c r="D1015" s="10">
        <f>IFERROR(B1015/C1015,"")</f>
        <v/>
      </c>
      <c r="E1015" s="10">
        <f>IFERROR(C1015/B1015,"")</f>
        <v/>
      </c>
      <c r="F1015" s="11">
        <f>IFERROR((D1015/D1014-1)*100,"")</f>
        <v/>
      </c>
      <c r="G1015" s="11">
        <f>IFERROR((COUNTIF($D$764:$D$1015,"&lt;"&amp;D1015)+0.5*COUNTIF($D$764:$D$1015,D1015))/COUNT($D$764:$D$1015)*100,"")</f>
        <v/>
      </c>
      <c r="H1015" s="10">
        <f>IFERROR(AVERAGE($D$764:$D$1015),"")</f>
        <v/>
      </c>
      <c r="I1015" s="10" t="n">
        <v>0.3601441448268024</v>
      </c>
      <c r="J1015" t="inlineStr"/>
      <c r="K1015" t="inlineStr"/>
    </row>
    <row r="1016">
      <c r="A1016" s="7" t="inlineStr">
        <is>
          <t>2018-04-24</t>
        </is>
      </c>
      <c r="B1016" s="8">
        <f>IFERROR(VLOOKUP($A1016,'01-原始价格'!$A:$M,2,FALSE),"")</f>
        <v/>
      </c>
      <c r="C1016" s="8">
        <f>IFERROR(VLOOKUP($A1016,'01-原始价格'!$A:$M,8,FALSE),"")</f>
        <v/>
      </c>
      <c r="D1016" s="10">
        <f>IFERROR(B1016/C1016,"")</f>
        <v/>
      </c>
      <c r="E1016" s="10">
        <f>IFERROR(C1016/B1016,"")</f>
        <v/>
      </c>
      <c r="F1016" s="11">
        <f>IFERROR((D1016/D1015-1)*100,"")</f>
        <v/>
      </c>
      <c r="G1016" s="11">
        <f>IFERROR((COUNTIF($D$765:$D$1016,"&lt;"&amp;D1016)+0.5*COUNTIF($D$765:$D$1016,D1016))/COUNT($D$765:$D$1016)*100,"")</f>
        <v/>
      </c>
      <c r="H1016" s="10">
        <f>IFERROR(AVERAGE($D$765:$D$1016),"")</f>
        <v/>
      </c>
      <c r="I1016" s="10" t="n">
        <v>0.2231491475892853</v>
      </c>
      <c r="J1016" t="inlineStr"/>
      <c r="K1016" t="inlineStr"/>
    </row>
    <row r="1017">
      <c r="A1017" s="7" t="inlineStr">
        <is>
          <t>2018-04-25</t>
        </is>
      </c>
      <c r="B1017" s="8">
        <f>IFERROR(VLOOKUP($A1017,'01-原始价格'!$A:$M,2,FALSE),"")</f>
        <v/>
      </c>
      <c r="C1017" s="8">
        <f>IFERROR(VLOOKUP($A1017,'01-原始价格'!$A:$M,8,FALSE),"")</f>
        <v/>
      </c>
      <c r="D1017" s="10">
        <f>IFERROR(B1017/C1017,"")</f>
        <v/>
      </c>
      <c r="E1017" s="10">
        <f>IFERROR(C1017/B1017,"")</f>
        <v/>
      </c>
      <c r="F1017" s="11">
        <f>IFERROR((D1017/D1016-1)*100,"")</f>
        <v/>
      </c>
      <c r="G1017" s="11">
        <f>IFERROR((COUNTIF($D$766:$D$1017,"&lt;"&amp;D1017)+0.5*COUNTIF($D$766:$D$1017,D1017))/COUNT($D$766:$D$1017)*100,"")</f>
        <v/>
      </c>
      <c r="H1017" s="10">
        <f>IFERROR(AVERAGE($D$766:$D$1017),"")</f>
        <v/>
      </c>
      <c r="I1017" s="10" t="n">
        <v>0.5062074046219078</v>
      </c>
      <c r="J1017" t="inlineStr"/>
      <c r="K1017" t="inlineStr"/>
    </row>
    <row r="1018">
      <c r="A1018" s="7" t="inlineStr">
        <is>
          <t>2018-04-26</t>
        </is>
      </c>
      <c r="B1018" s="8">
        <f>IFERROR(VLOOKUP($A1018,'01-原始价格'!$A:$M,2,FALSE),"")</f>
        <v/>
      </c>
      <c r="C1018" s="8">
        <f>IFERROR(VLOOKUP($A1018,'01-原始价格'!$A:$M,8,FALSE),"")</f>
        <v/>
      </c>
      <c r="D1018" s="10">
        <f>IFERROR(B1018/C1018,"")</f>
        <v/>
      </c>
      <c r="E1018" s="10">
        <f>IFERROR(C1018/B1018,"")</f>
        <v/>
      </c>
      <c r="F1018" s="11">
        <f>IFERROR((D1018/D1017-1)*100,"")</f>
        <v/>
      </c>
      <c r="G1018" s="11">
        <f>IFERROR((COUNTIF($D$767:$D$1018,"&lt;"&amp;D1018)+0.5*COUNTIF($D$767:$D$1018,D1018))/COUNT($D$767:$D$1018)*100,"")</f>
        <v/>
      </c>
      <c r="H1018" s="10">
        <f>IFERROR(AVERAGE($D$767:$D$1018),"")</f>
        <v/>
      </c>
      <c r="I1018" s="10" t="n">
        <v>0.5118329093805148</v>
      </c>
      <c r="J1018" t="inlineStr"/>
      <c r="K1018" t="inlineStr"/>
    </row>
    <row r="1019">
      <c r="A1019" s="7" t="inlineStr">
        <is>
          <t>2018-04-27</t>
        </is>
      </c>
      <c r="B1019" s="8">
        <f>IFERROR(VLOOKUP($A1019,'01-原始价格'!$A:$M,2,FALSE),"")</f>
        <v/>
      </c>
      <c r="C1019" s="8">
        <f>IFERROR(VLOOKUP($A1019,'01-原始价格'!$A:$M,8,FALSE),"")</f>
        <v/>
      </c>
      <c r="D1019" s="10">
        <f>IFERROR(B1019/C1019,"")</f>
        <v/>
      </c>
      <c r="E1019" s="10">
        <f>IFERROR(C1019/B1019,"")</f>
        <v/>
      </c>
      <c r="F1019" s="11">
        <f>IFERROR((D1019/D1018-1)*100,"")</f>
        <v/>
      </c>
      <c r="G1019" s="11">
        <f>IFERROR((COUNTIF($D$768:$D$1019,"&lt;"&amp;D1019)+0.5*COUNTIF($D$768:$D$1019,D1019))/COUNT($D$768:$D$1019)*100,"")</f>
        <v/>
      </c>
      <c r="H1019" s="10">
        <f>IFERROR(AVERAGE($D$768:$D$1019),"")</f>
        <v/>
      </c>
      <c r="I1019" s="10" t="n">
        <v>0.7260192586269171</v>
      </c>
      <c r="J1019" t="inlineStr"/>
      <c r="K1019" t="inlineStr"/>
    </row>
    <row r="1020">
      <c r="A1020" s="7" t="inlineStr">
        <is>
          <t>2018-05-02</t>
        </is>
      </c>
      <c r="B1020" s="8">
        <f>IFERROR(VLOOKUP($A1020,'01-原始价格'!$A:$M,2,FALSE),"")</f>
        <v/>
      </c>
      <c r="C1020" s="8">
        <f>IFERROR(VLOOKUP($A1020,'01-原始价格'!$A:$M,8,FALSE),"")</f>
        <v/>
      </c>
      <c r="D1020" s="10">
        <f>IFERROR(B1020/C1020,"")</f>
        <v/>
      </c>
      <c r="E1020" s="10">
        <f>IFERROR(C1020/B1020,"")</f>
        <v/>
      </c>
      <c r="F1020" s="11">
        <f>IFERROR((D1020/D1019-1)*100,"")</f>
        <v/>
      </c>
      <c r="G1020" s="11">
        <f>IFERROR((COUNTIF($D$769:$D$1020,"&lt;"&amp;D1020)+0.5*COUNTIF($D$769:$D$1020,D1020))/COUNT($D$769:$D$1020)*100,"")</f>
        <v/>
      </c>
      <c r="H1020" s="10">
        <f>IFERROR(AVERAGE($D$769:$D$1020),"")</f>
        <v/>
      </c>
      <c r="I1020" s="10" t="n">
        <v>1.287388881068557</v>
      </c>
      <c r="J1020" t="inlineStr"/>
      <c r="K1020" t="inlineStr"/>
    </row>
    <row r="1021">
      <c r="A1021" s="7" t="inlineStr">
        <is>
          <t>2018-05-03</t>
        </is>
      </c>
      <c r="B1021" s="8">
        <f>IFERROR(VLOOKUP($A1021,'01-原始价格'!$A:$M,2,FALSE),"")</f>
        <v/>
      </c>
      <c r="C1021" s="8">
        <f>IFERROR(VLOOKUP($A1021,'01-原始价格'!$A:$M,8,FALSE),"")</f>
        <v/>
      </c>
      <c r="D1021" s="10">
        <f>IFERROR(B1021/C1021,"")</f>
        <v/>
      </c>
      <c r="E1021" s="10">
        <f>IFERROR(C1021/B1021,"")</f>
        <v/>
      </c>
      <c r="F1021" s="11">
        <f>IFERROR((D1021/D1020-1)*100,"")</f>
        <v/>
      </c>
      <c r="G1021" s="11">
        <f>IFERROR((COUNTIF($D$770:$D$1021,"&lt;"&amp;D1021)+0.5*COUNTIF($D$770:$D$1021,D1021))/COUNT($D$770:$D$1021)*100,"")</f>
        <v/>
      </c>
      <c r="H1021" s="10">
        <f>IFERROR(AVERAGE($D$770:$D$1021),"")</f>
        <v/>
      </c>
      <c r="I1021" s="10" t="n">
        <v>0.8993688637430912</v>
      </c>
      <c r="J1021" t="inlineStr"/>
      <c r="K1021" t="inlineStr"/>
    </row>
    <row r="1022">
      <c r="A1022" s="7" t="inlineStr">
        <is>
          <t>2018-05-04</t>
        </is>
      </c>
      <c r="B1022" s="8">
        <f>IFERROR(VLOOKUP($A1022,'01-原始价格'!$A:$M,2,FALSE),"")</f>
        <v/>
      </c>
      <c r="C1022" s="8">
        <f>IFERROR(VLOOKUP($A1022,'01-原始价格'!$A:$M,8,FALSE),"")</f>
        <v/>
      </c>
      <c r="D1022" s="10">
        <f>IFERROR(B1022/C1022,"")</f>
        <v/>
      </c>
      <c r="E1022" s="10">
        <f>IFERROR(C1022/B1022,"")</f>
        <v/>
      </c>
      <c r="F1022" s="11">
        <f>IFERROR((D1022/D1021-1)*100,"")</f>
        <v/>
      </c>
      <c r="G1022" s="11">
        <f>IFERROR((COUNTIF($D$771:$D$1022,"&lt;"&amp;D1022)+0.5*COUNTIF($D$771:$D$1022,D1022))/COUNT($D$771:$D$1022)*100,"")</f>
        <v/>
      </c>
      <c r="H1022" s="10">
        <f>IFERROR(AVERAGE($D$771:$D$1022),"")</f>
        <v/>
      </c>
      <c r="I1022" s="10" t="n">
        <v>1.123432340631507</v>
      </c>
      <c r="J1022" t="inlineStr"/>
      <c r="K1022" t="inlineStr"/>
    </row>
    <row r="1023">
      <c r="A1023" s="7" t="inlineStr">
        <is>
          <t>2018-05-07</t>
        </is>
      </c>
      <c r="B1023" s="8">
        <f>IFERROR(VLOOKUP($A1023,'01-原始价格'!$A:$M,2,FALSE),"")</f>
        <v/>
      </c>
      <c r="C1023" s="8">
        <f>IFERROR(VLOOKUP($A1023,'01-原始价格'!$A:$M,8,FALSE),"")</f>
        <v/>
      </c>
      <c r="D1023" s="10">
        <f>IFERROR(B1023/C1023,"")</f>
        <v/>
      </c>
      <c r="E1023" s="10">
        <f>IFERROR(C1023/B1023,"")</f>
        <v/>
      </c>
      <c r="F1023" s="11">
        <f>IFERROR((D1023/D1022-1)*100,"")</f>
        <v/>
      </c>
      <c r="G1023" s="11">
        <f>IFERROR((COUNTIF($D$772:$D$1023,"&lt;"&amp;D1023)+0.5*COUNTIF($D$772:$D$1023,D1023))/COUNT($D$772:$D$1023)*100,"")</f>
        <v/>
      </c>
      <c r="H1023" s="10">
        <f>IFERROR(AVERAGE($D$772:$D$1023),"")</f>
        <v/>
      </c>
      <c r="I1023" s="10" t="n">
        <v>0.8247558444140981</v>
      </c>
      <c r="J1023" t="inlineStr"/>
      <c r="K1023" t="inlineStr"/>
    </row>
    <row r="1024">
      <c r="A1024" s="7" t="inlineStr">
        <is>
          <t>2018-05-08</t>
        </is>
      </c>
      <c r="B1024" s="8">
        <f>IFERROR(VLOOKUP($A1024,'01-原始价格'!$A:$M,2,FALSE),"")</f>
        <v/>
      </c>
      <c r="C1024" s="8">
        <f>IFERROR(VLOOKUP($A1024,'01-原始价格'!$A:$M,8,FALSE),"")</f>
        <v/>
      </c>
      <c r="D1024" s="10">
        <f>IFERROR(B1024/C1024,"")</f>
        <v/>
      </c>
      <c r="E1024" s="10">
        <f>IFERROR(C1024/B1024,"")</f>
        <v/>
      </c>
      <c r="F1024" s="11">
        <f>IFERROR((D1024/D1023-1)*100,"")</f>
        <v/>
      </c>
      <c r="G1024" s="11">
        <f>IFERROR((COUNTIF($D$773:$D$1024,"&lt;"&amp;D1024)+0.5*COUNTIF($D$773:$D$1024,D1024))/COUNT($D$773:$D$1024)*100,"")</f>
        <v/>
      </c>
      <c r="H1024" s="10">
        <f>IFERROR(AVERAGE($D$773:$D$1024),"")</f>
        <v/>
      </c>
      <c r="I1024" s="10" t="n">
        <v>0.8028647333583848</v>
      </c>
      <c r="J1024" t="inlineStr"/>
      <c r="K1024" t="inlineStr"/>
    </row>
    <row r="1025">
      <c r="A1025" s="7" t="inlineStr">
        <is>
          <t>2018-05-09</t>
        </is>
      </c>
      <c r="B1025" s="8">
        <f>IFERROR(VLOOKUP($A1025,'01-原始价格'!$A:$M,2,FALSE),"")</f>
        <v/>
      </c>
      <c r="C1025" s="8">
        <f>IFERROR(VLOOKUP($A1025,'01-原始价格'!$A:$M,8,FALSE),"")</f>
        <v/>
      </c>
      <c r="D1025" s="10">
        <f>IFERROR(B1025/C1025,"")</f>
        <v/>
      </c>
      <c r="E1025" s="10">
        <f>IFERROR(C1025/B1025,"")</f>
        <v/>
      </c>
      <c r="F1025" s="11">
        <f>IFERROR((D1025/D1024-1)*100,"")</f>
        <v/>
      </c>
      <c r="G1025" s="11">
        <f>IFERROR((COUNTIF($D$774:$D$1025,"&lt;"&amp;D1025)+0.5*COUNTIF($D$774:$D$1025,D1025))/COUNT($D$774:$D$1025)*100,"")</f>
        <v/>
      </c>
      <c r="H1025" s="10">
        <f>IFERROR(AVERAGE($D$774:$D$1025),"")</f>
        <v/>
      </c>
      <c r="I1025" s="10" t="n">
        <v>0.7042293436860385</v>
      </c>
      <c r="J1025" t="inlineStr"/>
      <c r="K1025" t="inlineStr"/>
    </row>
    <row r="1026">
      <c r="A1026" s="7" t="inlineStr">
        <is>
          <t>2018-05-10</t>
        </is>
      </c>
      <c r="B1026" s="8">
        <f>IFERROR(VLOOKUP($A1026,'01-原始价格'!$A:$M,2,FALSE),"")</f>
        <v/>
      </c>
      <c r="C1026" s="8">
        <f>IFERROR(VLOOKUP($A1026,'01-原始价格'!$A:$M,8,FALSE),"")</f>
        <v/>
      </c>
      <c r="D1026" s="10">
        <f>IFERROR(B1026/C1026,"")</f>
        <v/>
      </c>
      <c r="E1026" s="10">
        <f>IFERROR(C1026/B1026,"")</f>
        <v/>
      </c>
      <c r="F1026" s="11">
        <f>IFERROR((D1026/D1025-1)*100,"")</f>
        <v/>
      </c>
      <c r="G1026" s="11">
        <f>IFERROR((COUNTIF($D$775:$D$1026,"&lt;"&amp;D1026)+0.5*COUNTIF($D$775:$D$1026,D1026))/COUNT($D$775:$D$1026)*100,"")</f>
        <v/>
      </c>
      <c r="H1026" s="10">
        <f>IFERROR(AVERAGE($D$775:$D$1026),"")</f>
        <v/>
      </c>
      <c r="I1026" s="10" t="n">
        <v>1.233483243005216</v>
      </c>
      <c r="J1026" t="inlineStr"/>
      <c r="K1026" t="inlineStr"/>
    </row>
    <row r="1027">
      <c r="A1027" s="7" t="inlineStr">
        <is>
          <t>2018-05-11</t>
        </is>
      </c>
      <c r="B1027" s="8">
        <f>IFERROR(VLOOKUP($A1027,'01-原始价格'!$A:$M,2,FALSE),"")</f>
        <v/>
      </c>
      <c r="C1027" s="8">
        <f>IFERROR(VLOOKUP($A1027,'01-原始价格'!$A:$M,8,FALSE),"")</f>
        <v/>
      </c>
      <c r="D1027" s="10">
        <f>IFERROR(B1027/C1027,"")</f>
        <v/>
      </c>
      <c r="E1027" s="10">
        <f>IFERROR(C1027/B1027,"")</f>
        <v/>
      </c>
      <c r="F1027" s="11">
        <f>IFERROR((D1027/D1026-1)*100,"")</f>
        <v/>
      </c>
      <c r="G1027" s="11">
        <f>IFERROR((COUNTIF($D$776:$D$1027,"&lt;"&amp;D1027)+0.5*COUNTIF($D$776:$D$1027,D1027))/COUNT($D$776:$D$1027)*100,"")</f>
        <v/>
      </c>
      <c r="H1027" s="10">
        <f>IFERROR(AVERAGE($D$776:$D$1027),"")</f>
        <v/>
      </c>
      <c r="I1027" s="10" t="n">
        <v>1.067753731287469</v>
      </c>
      <c r="J1027" t="inlineStr"/>
      <c r="K1027" t="inlineStr"/>
    </row>
    <row r="1028">
      <c r="A1028" s="7" t="inlineStr">
        <is>
          <t>2018-05-14</t>
        </is>
      </c>
      <c r="B1028" s="8">
        <f>IFERROR(VLOOKUP($A1028,'01-原始价格'!$A:$M,2,FALSE),"")</f>
        <v/>
      </c>
      <c r="C1028" s="8">
        <f>IFERROR(VLOOKUP($A1028,'01-原始价格'!$A:$M,8,FALSE),"")</f>
        <v/>
      </c>
      <c r="D1028" s="10">
        <f>IFERROR(B1028/C1028,"")</f>
        <v/>
      </c>
      <c r="E1028" s="10">
        <f>IFERROR(C1028/B1028,"")</f>
        <v/>
      </c>
      <c r="F1028" s="11">
        <f>IFERROR((D1028/D1027-1)*100,"")</f>
        <v/>
      </c>
      <c r="G1028" s="11">
        <f>IFERROR((COUNTIF($D$777:$D$1028,"&lt;"&amp;D1028)+0.5*COUNTIF($D$777:$D$1028,D1028))/COUNT($D$777:$D$1028)*100,"")</f>
        <v/>
      </c>
      <c r="H1028" s="10">
        <f>IFERROR(AVERAGE($D$777:$D$1028),"")</f>
        <v/>
      </c>
      <c r="I1028" s="10" t="n">
        <v>1.103784321704987</v>
      </c>
      <c r="J1028" t="inlineStr"/>
      <c r="K1028" t="inlineStr"/>
    </row>
    <row r="1029">
      <c r="A1029" s="7" t="inlineStr">
        <is>
          <t>2018-05-15</t>
        </is>
      </c>
      <c r="B1029" s="8">
        <f>IFERROR(VLOOKUP($A1029,'01-原始价格'!$A:$M,2,FALSE),"")</f>
        <v/>
      </c>
      <c r="C1029" s="8">
        <f>IFERROR(VLOOKUP($A1029,'01-原始价格'!$A:$M,8,FALSE),"")</f>
        <v/>
      </c>
      <c r="D1029" s="10">
        <f>IFERROR(B1029/C1029,"")</f>
        <v/>
      </c>
      <c r="E1029" s="10">
        <f>IFERROR(C1029/B1029,"")</f>
        <v/>
      </c>
      <c r="F1029" s="11">
        <f>IFERROR((D1029/D1028-1)*100,"")</f>
        <v/>
      </c>
      <c r="G1029" s="11">
        <f>IFERROR((COUNTIF($D$778:$D$1029,"&lt;"&amp;D1029)+0.5*COUNTIF($D$778:$D$1029,D1029))/COUNT($D$778:$D$1029)*100,"")</f>
        <v/>
      </c>
      <c r="H1029" s="10">
        <f>IFERROR(AVERAGE($D$778:$D$1029),"")</f>
        <v/>
      </c>
      <c r="I1029" s="10" t="n">
        <v>1.383068287921782</v>
      </c>
      <c r="J1029" t="inlineStr"/>
      <c r="K1029" t="inlineStr"/>
    </row>
    <row r="1030">
      <c r="A1030" s="7" t="inlineStr">
        <is>
          <t>2018-05-16</t>
        </is>
      </c>
      <c r="B1030" s="8">
        <f>IFERROR(VLOOKUP($A1030,'01-原始价格'!$A:$M,2,FALSE),"")</f>
        <v/>
      </c>
      <c r="C1030" s="8">
        <f>IFERROR(VLOOKUP($A1030,'01-原始价格'!$A:$M,8,FALSE),"")</f>
        <v/>
      </c>
      <c r="D1030" s="10">
        <f>IFERROR(B1030/C1030,"")</f>
        <v/>
      </c>
      <c r="E1030" s="10">
        <f>IFERROR(C1030/B1030,"")</f>
        <v/>
      </c>
      <c r="F1030" s="11">
        <f>IFERROR((D1030/D1029-1)*100,"")</f>
        <v/>
      </c>
      <c r="G1030" s="11">
        <f>IFERROR((COUNTIF($D$779:$D$1030,"&lt;"&amp;D1030)+0.5*COUNTIF($D$779:$D$1030,D1030))/COUNT($D$779:$D$1030)*100,"")</f>
        <v/>
      </c>
      <c r="H1030" s="10">
        <f>IFERROR(AVERAGE($D$779:$D$1030),"")</f>
        <v/>
      </c>
      <c r="I1030" s="10" t="n">
        <v>1.727770974644679</v>
      </c>
      <c r="J1030" t="inlineStr"/>
      <c r="K1030" t="inlineStr"/>
    </row>
    <row r="1031">
      <c r="A1031" s="7" t="inlineStr">
        <is>
          <t>2018-05-17</t>
        </is>
      </c>
      <c r="B1031" s="8">
        <f>IFERROR(VLOOKUP($A1031,'01-原始价格'!$A:$M,2,FALSE),"")</f>
        <v/>
      </c>
      <c r="C1031" s="8">
        <f>IFERROR(VLOOKUP($A1031,'01-原始价格'!$A:$M,8,FALSE),"")</f>
        <v/>
      </c>
      <c r="D1031" s="10">
        <f>IFERROR(B1031/C1031,"")</f>
        <v/>
      </c>
      <c r="E1031" s="10">
        <f>IFERROR(C1031/B1031,"")</f>
        <v/>
      </c>
      <c r="F1031" s="11">
        <f>IFERROR((D1031/D1030-1)*100,"")</f>
        <v/>
      </c>
      <c r="G1031" s="11">
        <f>IFERROR((COUNTIF($D$780:$D$1031,"&lt;"&amp;D1031)+0.5*COUNTIF($D$780:$D$1031,D1031))/COUNT($D$780:$D$1031)*100,"")</f>
        <v/>
      </c>
      <c r="H1031" s="10">
        <f>IFERROR(AVERAGE($D$780:$D$1031),"")</f>
        <v/>
      </c>
      <c r="I1031" s="10" t="n">
        <v>2.094268282158924</v>
      </c>
      <c r="J1031" t="inlineStr"/>
      <c r="K1031" t="inlineStr"/>
    </row>
    <row r="1032">
      <c r="A1032" s="7" t="inlineStr">
        <is>
          <t>2018-05-18</t>
        </is>
      </c>
      <c r="B1032" s="8">
        <f>IFERROR(VLOOKUP($A1032,'01-原始价格'!$A:$M,2,FALSE),"")</f>
        <v/>
      </c>
      <c r="C1032" s="8">
        <f>IFERROR(VLOOKUP($A1032,'01-原始价格'!$A:$M,8,FALSE),"")</f>
        <v/>
      </c>
      <c r="D1032" s="10">
        <f>IFERROR(B1032/C1032,"")</f>
        <v/>
      </c>
      <c r="E1032" s="10">
        <f>IFERROR(C1032/B1032,"")</f>
        <v/>
      </c>
      <c r="F1032" s="11">
        <f>IFERROR((D1032/D1031-1)*100,"")</f>
        <v/>
      </c>
      <c r="G1032" s="11">
        <f>IFERROR((COUNTIF($D$781:$D$1032,"&lt;"&amp;D1032)+0.5*COUNTIF($D$781:$D$1032,D1032))/COUNT($D$781:$D$1032)*100,"")</f>
        <v/>
      </c>
      <c r="H1032" s="10">
        <f>IFERROR(AVERAGE($D$781:$D$1032),"")</f>
        <v/>
      </c>
      <c r="I1032" s="10" t="n">
        <v>2.005120765699226</v>
      </c>
      <c r="J1032" t="inlineStr"/>
      <c r="K1032" t="inlineStr"/>
    </row>
    <row r="1033">
      <c r="A1033" s="7" t="inlineStr">
        <is>
          <t>2018-05-21</t>
        </is>
      </c>
      <c r="B1033" s="8">
        <f>IFERROR(VLOOKUP($A1033,'01-原始价格'!$A:$M,2,FALSE),"")</f>
        <v/>
      </c>
      <c r="C1033" s="8">
        <f>IFERROR(VLOOKUP($A1033,'01-原始价格'!$A:$M,8,FALSE),"")</f>
        <v/>
      </c>
      <c r="D1033" s="10">
        <f>IFERROR(B1033/C1033,"")</f>
        <v/>
      </c>
      <c r="E1033" s="10">
        <f>IFERROR(C1033/B1033,"")</f>
        <v/>
      </c>
      <c r="F1033" s="11">
        <f>IFERROR((D1033/D1032-1)*100,"")</f>
        <v/>
      </c>
      <c r="G1033" s="11">
        <f>IFERROR((COUNTIF($D$782:$D$1033,"&lt;"&amp;D1033)+0.5*COUNTIF($D$782:$D$1033,D1033))/COUNT($D$782:$D$1033)*100,"")</f>
        <v/>
      </c>
      <c r="H1033" s="10">
        <f>IFERROR(AVERAGE($D$782:$D$1033),"")</f>
        <v/>
      </c>
      <c r="I1033" s="10" t="n">
        <v>2.536913298161812</v>
      </c>
      <c r="J1033" t="inlineStr"/>
      <c r="K1033" t="inlineStr"/>
    </row>
    <row r="1034">
      <c r="A1034" s="7" t="inlineStr">
        <is>
          <t>2018-05-22</t>
        </is>
      </c>
      <c r="B1034" s="8">
        <f>IFERROR(VLOOKUP($A1034,'01-原始价格'!$A:$M,2,FALSE),"")</f>
        <v/>
      </c>
      <c r="C1034" s="8">
        <f>IFERROR(VLOOKUP($A1034,'01-原始价格'!$A:$M,8,FALSE),"")</f>
        <v/>
      </c>
      <c r="D1034" s="10">
        <f>IFERROR(B1034/C1034,"")</f>
        <v/>
      </c>
      <c r="E1034" s="10">
        <f>IFERROR(C1034/B1034,"")</f>
        <v/>
      </c>
      <c r="F1034" s="11">
        <f>IFERROR((D1034/D1033-1)*100,"")</f>
        <v/>
      </c>
      <c r="G1034" s="11">
        <f>IFERROR((COUNTIF($D$783:$D$1034,"&lt;"&amp;D1034)+0.5*COUNTIF($D$783:$D$1034,D1034))/COUNT($D$783:$D$1034)*100,"")</f>
        <v/>
      </c>
      <c r="H1034" s="10">
        <f>IFERROR(AVERAGE($D$783:$D$1034),"")</f>
        <v/>
      </c>
      <c r="I1034" s="10" t="n">
        <v>3.005830550759779</v>
      </c>
      <c r="J1034" t="inlineStr"/>
      <c r="K1034" t="inlineStr"/>
    </row>
    <row r="1035">
      <c r="A1035" s="7" t="inlineStr">
        <is>
          <t>2018-05-23</t>
        </is>
      </c>
      <c r="B1035" s="8">
        <f>IFERROR(VLOOKUP($A1035,'01-原始价格'!$A:$M,2,FALSE),"")</f>
        <v/>
      </c>
      <c r="C1035" s="8">
        <f>IFERROR(VLOOKUP($A1035,'01-原始价格'!$A:$M,8,FALSE),"")</f>
        <v/>
      </c>
      <c r="D1035" s="10">
        <f>IFERROR(B1035/C1035,"")</f>
        <v/>
      </c>
      <c r="E1035" s="10">
        <f>IFERROR(C1035/B1035,"")</f>
        <v/>
      </c>
      <c r="F1035" s="11">
        <f>IFERROR((D1035/D1034-1)*100,"")</f>
        <v/>
      </c>
      <c r="G1035" s="11">
        <f>IFERROR((COUNTIF($D$784:$D$1035,"&lt;"&amp;D1035)+0.5*COUNTIF($D$784:$D$1035,D1035))/COUNT($D$784:$D$1035)*100,"")</f>
        <v/>
      </c>
      <c r="H1035" s="10">
        <f>IFERROR(AVERAGE($D$784:$D$1035),"")</f>
        <v/>
      </c>
      <c r="I1035" s="10" t="n">
        <v>2.600663115957895</v>
      </c>
      <c r="J1035" t="inlineStr"/>
      <c r="K1035" t="inlineStr"/>
    </row>
    <row r="1036">
      <c r="A1036" s="7" t="inlineStr">
        <is>
          <t>2018-05-24</t>
        </is>
      </c>
      <c r="B1036" s="8">
        <f>IFERROR(VLOOKUP($A1036,'01-原始价格'!$A:$M,2,FALSE),"")</f>
        <v/>
      </c>
      <c r="C1036" s="8">
        <f>IFERROR(VLOOKUP($A1036,'01-原始价格'!$A:$M,8,FALSE),"")</f>
        <v/>
      </c>
      <c r="D1036" s="10">
        <f>IFERROR(B1036/C1036,"")</f>
        <v/>
      </c>
      <c r="E1036" s="10">
        <f>IFERROR(C1036/B1036,"")</f>
        <v/>
      </c>
      <c r="F1036" s="11">
        <f>IFERROR((D1036/D1035-1)*100,"")</f>
        <v/>
      </c>
      <c r="G1036" s="11">
        <f>IFERROR((COUNTIF($D$785:$D$1036,"&lt;"&amp;D1036)+0.5*COUNTIF($D$785:$D$1036,D1036))/COUNT($D$785:$D$1036)*100,"")</f>
        <v/>
      </c>
      <c r="H1036" s="10">
        <f>IFERROR(AVERAGE($D$785:$D$1036),"")</f>
        <v/>
      </c>
      <c r="I1036" s="10" t="n">
        <v>3.012782027289961</v>
      </c>
      <c r="J1036" t="inlineStr"/>
      <c r="K1036" t="inlineStr"/>
    </row>
    <row r="1037">
      <c r="A1037" s="7" t="inlineStr">
        <is>
          <t>2018-05-25</t>
        </is>
      </c>
      <c r="B1037" s="8">
        <f>IFERROR(VLOOKUP($A1037,'01-原始价格'!$A:$M,2,FALSE),"")</f>
        <v/>
      </c>
      <c r="C1037" s="8">
        <f>IFERROR(VLOOKUP($A1037,'01-原始价格'!$A:$M,8,FALSE),"")</f>
        <v/>
      </c>
      <c r="D1037" s="10">
        <f>IFERROR(B1037/C1037,"")</f>
        <v/>
      </c>
      <c r="E1037" s="10">
        <f>IFERROR(C1037/B1037,"")</f>
        <v/>
      </c>
      <c r="F1037" s="11">
        <f>IFERROR((D1037/D1036-1)*100,"")</f>
        <v/>
      </c>
      <c r="G1037" s="11">
        <f>IFERROR((COUNTIF($D$786:$D$1037,"&lt;"&amp;D1037)+0.5*COUNTIF($D$786:$D$1037,D1037))/COUNT($D$786:$D$1037)*100,"")</f>
        <v/>
      </c>
      <c r="H1037" s="10">
        <f>IFERROR(AVERAGE($D$786:$D$1037),"")</f>
        <v/>
      </c>
      <c r="I1037" s="10" t="n">
        <v>2.266187404592053</v>
      </c>
      <c r="J1037" t="inlineStr"/>
      <c r="K1037" t="inlineStr"/>
    </row>
    <row r="1038">
      <c r="A1038" s="7" t="inlineStr">
        <is>
          <t>2018-05-28</t>
        </is>
      </c>
      <c r="B1038" s="8">
        <f>IFERROR(VLOOKUP($A1038,'01-原始价格'!$A:$M,2,FALSE),"")</f>
        <v/>
      </c>
      <c r="C1038" s="8">
        <f>IFERROR(VLOOKUP($A1038,'01-原始价格'!$A:$M,8,FALSE),"")</f>
        <v/>
      </c>
      <c r="D1038" s="10">
        <f>IFERROR(B1038/C1038,"")</f>
        <v/>
      </c>
      <c r="E1038" s="10">
        <f>IFERROR(C1038/B1038,"")</f>
        <v/>
      </c>
      <c r="F1038" s="11">
        <f>IFERROR((D1038/D1037-1)*100,"")</f>
        <v/>
      </c>
      <c r="G1038" s="11">
        <f>IFERROR((COUNTIF($D$787:$D$1038,"&lt;"&amp;D1038)+0.5*COUNTIF($D$787:$D$1038,D1038))/COUNT($D$787:$D$1038)*100,"")</f>
        <v/>
      </c>
      <c r="H1038" s="10">
        <f>IFERROR(AVERAGE($D$787:$D$1038),"")</f>
        <v/>
      </c>
      <c r="I1038" s="10" t="n">
        <v>2.242797656691325</v>
      </c>
      <c r="J1038" t="inlineStr"/>
      <c r="K1038" t="inlineStr"/>
    </row>
    <row r="1039">
      <c r="A1039" s="7" t="inlineStr">
        <is>
          <t>2018-05-29</t>
        </is>
      </c>
      <c r="B1039" s="8">
        <f>IFERROR(VLOOKUP($A1039,'01-原始价格'!$A:$M,2,FALSE),"")</f>
        <v/>
      </c>
      <c r="C1039" s="8">
        <f>IFERROR(VLOOKUP($A1039,'01-原始价格'!$A:$M,8,FALSE),"")</f>
        <v/>
      </c>
      <c r="D1039" s="10">
        <f>IFERROR(B1039/C1039,"")</f>
        <v/>
      </c>
      <c r="E1039" s="10">
        <f>IFERROR(C1039/B1039,"")</f>
        <v/>
      </c>
      <c r="F1039" s="11">
        <f>IFERROR((D1039/D1038-1)*100,"")</f>
        <v/>
      </c>
      <c r="G1039" s="11">
        <f>IFERROR((COUNTIF($D$788:$D$1039,"&lt;"&amp;D1039)+0.5*COUNTIF($D$788:$D$1039,D1039))/COUNT($D$788:$D$1039)*100,"")</f>
        <v/>
      </c>
      <c r="H1039" s="10">
        <f>IFERROR(AVERAGE($D$788:$D$1039),"")</f>
        <v/>
      </c>
      <c r="I1039" s="10" t="n">
        <v>2.698792342529224</v>
      </c>
      <c r="J1039" t="inlineStr"/>
      <c r="K1039" t="inlineStr"/>
    </row>
    <row r="1040">
      <c r="A1040" s="7" t="inlineStr">
        <is>
          <t>2018-05-30</t>
        </is>
      </c>
      <c r="B1040" s="8">
        <f>IFERROR(VLOOKUP($A1040,'01-原始价格'!$A:$M,2,FALSE),"")</f>
        <v/>
      </c>
      <c r="C1040" s="8">
        <f>IFERROR(VLOOKUP($A1040,'01-原始价格'!$A:$M,8,FALSE),"")</f>
        <v/>
      </c>
      <c r="D1040" s="10">
        <f>IFERROR(B1040/C1040,"")</f>
        <v/>
      </c>
      <c r="E1040" s="10">
        <f>IFERROR(C1040/B1040,"")</f>
        <v/>
      </c>
      <c r="F1040" s="11">
        <f>IFERROR((D1040/D1039-1)*100,"")</f>
        <v/>
      </c>
      <c r="G1040" s="11">
        <f>IFERROR((COUNTIF($D$789:$D$1040,"&lt;"&amp;D1040)+0.5*COUNTIF($D$789:$D$1040,D1040))/COUNT($D$789:$D$1040)*100,"")</f>
        <v/>
      </c>
      <c r="H1040" s="10">
        <f>IFERROR(AVERAGE($D$789:$D$1040),"")</f>
        <v/>
      </c>
      <c r="I1040" s="10" t="n">
        <v>2.830300506694199</v>
      </c>
      <c r="J1040" t="inlineStr"/>
      <c r="K1040" t="inlineStr"/>
    </row>
    <row r="1041">
      <c r="A1041" s="7" t="inlineStr">
        <is>
          <t>2018-05-31</t>
        </is>
      </c>
      <c r="B1041" s="8">
        <f>IFERROR(VLOOKUP($A1041,'01-原始价格'!$A:$M,2,FALSE),"")</f>
        <v/>
      </c>
      <c r="C1041" s="8">
        <f>IFERROR(VLOOKUP($A1041,'01-原始价格'!$A:$M,8,FALSE),"")</f>
        <v/>
      </c>
      <c r="D1041" s="10">
        <f>IFERROR(B1041/C1041,"")</f>
        <v/>
      </c>
      <c r="E1041" s="10">
        <f>IFERROR(C1041/B1041,"")</f>
        <v/>
      </c>
      <c r="F1041" s="11">
        <f>IFERROR((D1041/D1040-1)*100,"")</f>
        <v/>
      </c>
      <c r="G1041" s="11">
        <f>IFERROR((COUNTIF($D$790:$D$1041,"&lt;"&amp;D1041)+0.5*COUNTIF($D$790:$D$1041,D1041))/COUNT($D$790:$D$1041)*100,"")</f>
        <v/>
      </c>
      <c r="H1041" s="10">
        <f>IFERROR(AVERAGE($D$790:$D$1041),"")</f>
        <v/>
      </c>
      <c r="I1041" s="10" t="n">
        <v>3.153028890539143</v>
      </c>
      <c r="J1041" t="inlineStr"/>
      <c r="K1041" t="inlineStr"/>
    </row>
    <row r="1042">
      <c r="A1042" s="7" t="inlineStr">
        <is>
          <t>2018-06-01</t>
        </is>
      </c>
      <c r="B1042" s="8">
        <f>IFERROR(VLOOKUP($A1042,'01-原始价格'!$A:$M,2,FALSE),"")</f>
        <v/>
      </c>
      <c r="C1042" s="8">
        <f>IFERROR(VLOOKUP($A1042,'01-原始价格'!$A:$M,8,FALSE),"")</f>
        <v/>
      </c>
      <c r="D1042" s="10">
        <f>IFERROR(B1042/C1042,"")</f>
        <v/>
      </c>
      <c r="E1042" s="10">
        <f>IFERROR(C1042/B1042,"")</f>
        <v/>
      </c>
      <c r="F1042" s="11">
        <f>IFERROR((D1042/D1041-1)*100,"")</f>
        <v/>
      </c>
      <c r="G1042" s="11">
        <f>IFERROR((COUNTIF($D$791:$D$1042,"&lt;"&amp;D1042)+0.5*COUNTIF($D$791:$D$1042,D1042))/COUNT($D$791:$D$1042)*100,"")</f>
        <v/>
      </c>
      <c r="H1042" s="10">
        <f>IFERROR(AVERAGE($D$791:$D$1042),"")</f>
        <v/>
      </c>
      <c r="I1042" s="10" t="n">
        <v>2.930071614963251</v>
      </c>
      <c r="J1042" t="inlineStr"/>
      <c r="K1042" t="inlineStr"/>
    </row>
    <row r="1043">
      <c r="A1043" s="7" t="inlineStr">
        <is>
          <t>2018-06-04</t>
        </is>
      </c>
      <c r="B1043" s="8">
        <f>IFERROR(VLOOKUP($A1043,'01-原始价格'!$A:$M,2,FALSE),"")</f>
        <v/>
      </c>
      <c r="C1043" s="8">
        <f>IFERROR(VLOOKUP($A1043,'01-原始价格'!$A:$M,8,FALSE),"")</f>
        <v/>
      </c>
      <c r="D1043" s="10">
        <f>IFERROR(B1043/C1043,"")</f>
        <v/>
      </c>
      <c r="E1043" s="10">
        <f>IFERROR(C1043/B1043,"")</f>
        <v/>
      </c>
      <c r="F1043" s="11">
        <f>IFERROR((D1043/D1042-1)*100,"")</f>
        <v/>
      </c>
      <c r="G1043" s="11">
        <f>IFERROR((COUNTIF($D$792:$D$1043,"&lt;"&amp;D1043)+0.5*COUNTIF($D$792:$D$1043,D1043))/COUNT($D$792:$D$1043)*100,"")</f>
        <v/>
      </c>
      <c r="H1043" s="10">
        <f>IFERROR(AVERAGE($D$792:$D$1043),"")</f>
        <v/>
      </c>
      <c r="I1043" s="10" t="n">
        <v>2.758046118116874</v>
      </c>
      <c r="J1043" t="inlineStr"/>
      <c r="K1043" t="inlineStr"/>
    </row>
    <row r="1044">
      <c r="A1044" s="7" t="inlineStr">
        <is>
          <t>2018-06-05</t>
        </is>
      </c>
      <c r="B1044" s="8">
        <f>IFERROR(VLOOKUP($A1044,'01-原始价格'!$A:$M,2,FALSE),"")</f>
        <v/>
      </c>
      <c r="C1044" s="8">
        <f>IFERROR(VLOOKUP($A1044,'01-原始价格'!$A:$M,8,FALSE),"")</f>
        <v/>
      </c>
      <c r="D1044" s="10">
        <f>IFERROR(B1044/C1044,"")</f>
        <v/>
      </c>
      <c r="E1044" s="10">
        <f>IFERROR(C1044/B1044,"")</f>
        <v/>
      </c>
      <c r="F1044" s="11">
        <f>IFERROR((D1044/D1043-1)*100,"")</f>
        <v/>
      </c>
      <c r="G1044" s="11">
        <f>IFERROR((COUNTIF($D$793:$D$1044,"&lt;"&amp;D1044)+0.5*COUNTIF($D$793:$D$1044,D1044))/COUNT($D$793:$D$1044)*100,"")</f>
        <v/>
      </c>
      <c r="H1044" s="10">
        <f>IFERROR(AVERAGE($D$793:$D$1044),"")</f>
        <v/>
      </c>
      <c r="I1044" s="10" t="n">
        <v>2.88689230935284</v>
      </c>
      <c r="J1044" t="inlineStr"/>
      <c r="K1044" t="inlineStr"/>
    </row>
    <row r="1045">
      <c r="A1045" s="7" t="inlineStr">
        <is>
          <t>2018-06-06</t>
        </is>
      </c>
      <c r="B1045" s="8">
        <f>IFERROR(VLOOKUP($A1045,'01-原始价格'!$A:$M,2,FALSE),"")</f>
        <v/>
      </c>
      <c r="C1045" s="8">
        <f>IFERROR(VLOOKUP($A1045,'01-原始价格'!$A:$M,8,FALSE),"")</f>
        <v/>
      </c>
      <c r="D1045" s="10">
        <f>IFERROR(B1045/C1045,"")</f>
        <v/>
      </c>
      <c r="E1045" s="10">
        <f>IFERROR(C1045/B1045,"")</f>
        <v/>
      </c>
      <c r="F1045" s="11">
        <f>IFERROR((D1045/D1044-1)*100,"")</f>
        <v/>
      </c>
      <c r="G1045" s="11">
        <f>IFERROR((COUNTIF($D$794:$D$1045,"&lt;"&amp;D1045)+0.5*COUNTIF($D$794:$D$1045,D1045))/COUNT($D$794:$D$1045)*100,"")</f>
        <v/>
      </c>
      <c r="H1045" s="10">
        <f>IFERROR(AVERAGE($D$794:$D$1045),"")</f>
        <v/>
      </c>
      <c r="I1045" s="10" t="n">
        <v>2.427728830315365</v>
      </c>
      <c r="J1045" t="inlineStr"/>
      <c r="K1045" t="inlineStr"/>
    </row>
    <row r="1046">
      <c r="A1046" s="7" t="inlineStr">
        <is>
          <t>2018-06-07</t>
        </is>
      </c>
      <c r="B1046" s="8">
        <f>IFERROR(VLOOKUP($A1046,'01-原始价格'!$A:$M,2,FALSE),"")</f>
        <v/>
      </c>
      <c r="C1046" s="8">
        <f>IFERROR(VLOOKUP($A1046,'01-原始价格'!$A:$M,8,FALSE),"")</f>
        <v/>
      </c>
      <c r="D1046" s="10">
        <f>IFERROR(B1046/C1046,"")</f>
        <v/>
      </c>
      <c r="E1046" s="10">
        <f>IFERROR(C1046/B1046,"")</f>
        <v/>
      </c>
      <c r="F1046" s="11">
        <f>IFERROR((D1046/D1045-1)*100,"")</f>
        <v/>
      </c>
      <c r="G1046" s="11">
        <f>IFERROR((COUNTIF($D$795:$D$1046,"&lt;"&amp;D1046)+0.5*COUNTIF($D$795:$D$1046,D1046))/COUNT($D$795:$D$1046)*100,"")</f>
        <v/>
      </c>
      <c r="H1046" s="10">
        <f>IFERROR(AVERAGE($D$795:$D$1046),"")</f>
        <v/>
      </c>
      <c r="I1046" s="10" t="n">
        <v>2.875012057424474</v>
      </c>
      <c r="J1046" t="inlineStr"/>
      <c r="K1046" t="inlineStr"/>
    </row>
    <row r="1047">
      <c r="A1047" s="7" t="inlineStr">
        <is>
          <t>2018-06-08</t>
        </is>
      </c>
      <c r="B1047" s="8">
        <f>IFERROR(VLOOKUP($A1047,'01-原始价格'!$A:$M,2,FALSE),"")</f>
        <v/>
      </c>
      <c r="C1047" s="8">
        <f>IFERROR(VLOOKUP($A1047,'01-原始价格'!$A:$M,8,FALSE),"")</f>
        <v/>
      </c>
      <c r="D1047" s="10">
        <f>IFERROR(B1047/C1047,"")</f>
        <v/>
      </c>
      <c r="E1047" s="10">
        <f>IFERROR(C1047/B1047,"")</f>
        <v/>
      </c>
      <c r="F1047" s="11">
        <f>IFERROR((D1047/D1046-1)*100,"")</f>
        <v/>
      </c>
      <c r="G1047" s="11">
        <f>IFERROR((COUNTIF($D$796:$D$1047,"&lt;"&amp;D1047)+0.5*COUNTIF($D$796:$D$1047,D1047))/COUNT($D$796:$D$1047)*100,"")</f>
        <v/>
      </c>
      <c r="H1047" s="10">
        <f>IFERROR(AVERAGE($D$796:$D$1047),"")</f>
        <v/>
      </c>
      <c r="I1047" s="10" t="n">
        <v>2.753493946741355</v>
      </c>
      <c r="J1047" t="inlineStr"/>
      <c r="K1047" t="inlineStr"/>
    </row>
    <row r="1048">
      <c r="A1048" s="7" t="inlineStr">
        <is>
          <t>2018-06-11</t>
        </is>
      </c>
      <c r="B1048" s="8">
        <f>IFERROR(VLOOKUP($A1048,'01-原始价格'!$A:$M,2,FALSE),"")</f>
        <v/>
      </c>
      <c r="C1048" s="8">
        <f>IFERROR(VLOOKUP($A1048,'01-原始价格'!$A:$M,8,FALSE),"")</f>
        <v/>
      </c>
      <c r="D1048" s="10">
        <f>IFERROR(B1048/C1048,"")</f>
        <v/>
      </c>
      <c r="E1048" s="10">
        <f>IFERROR(C1048/B1048,"")</f>
        <v/>
      </c>
      <c r="F1048" s="11">
        <f>IFERROR((D1048/D1047-1)*100,"")</f>
        <v/>
      </c>
      <c r="G1048" s="11">
        <f>IFERROR((COUNTIF($D$797:$D$1048,"&lt;"&amp;D1048)+0.5*COUNTIF($D$797:$D$1048,D1048))/COUNT($D$797:$D$1048)*100,"")</f>
        <v/>
      </c>
      <c r="H1048" s="10">
        <f>IFERROR(AVERAGE($D$797:$D$1048),"")</f>
        <v/>
      </c>
      <c r="I1048" s="10" t="n">
        <v>3.18622952415074</v>
      </c>
      <c r="J1048" t="inlineStr"/>
      <c r="K1048" t="inlineStr"/>
    </row>
    <row r="1049">
      <c r="A1049" s="7" t="inlineStr">
        <is>
          <t>2018-06-12</t>
        </is>
      </c>
      <c r="B1049" s="8">
        <f>IFERROR(VLOOKUP($A1049,'01-原始价格'!$A:$M,2,FALSE),"")</f>
        <v/>
      </c>
      <c r="C1049" s="8">
        <f>IFERROR(VLOOKUP($A1049,'01-原始价格'!$A:$M,8,FALSE),"")</f>
        <v/>
      </c>
      <c r="D1049" s="10">
        <f>IFERROR(B1049/C1049,"")</f>
        <v/>
      </c>
      <c r="E1049" s="10">
        <f>IFERROR(C1049/B1049,"")</f>
        <v/>
      </c>
      <c r="F1049" s="11">
        <f>IFERROR((D1049/D1048-1)*100,"")</f>
        <v/>
      </c>
      <c r="G1049" s="11">
        <f>IFERROR((COUNTIF($D$798:$D$1049,"&lt;"&amp;D1049)+0.5*COUNTIF($D$798:$D$1049,D1049))/COUNT($D$798:$D$1049)*100,"")</f>
        <v/>
      </c>
      <c r="H1049" s="10">
        <f>IFERROR(AVERAGE($D$798:$D$1049),"")</f>
        <v/>
      </c>
      <c r="I1049" s="10" t="n">
        <v>2.8459966083535</v>
      </c>
      <c r="J1049" t="inlineStr"/>
      <c r="K1049" t="inlineStr"/>
    </row>
    <row r="1050">
      <c r="A1050" s="7" t="inlineStr">
        <is>
          <t>2018-06-13</t>
        </is>
      </c>
      <c r="B1050" s="8">
        <f>IFERROR(VLOOKUP($A1050,'01-原始价格'!$A:$M,2,FALSE),"")</f>
        <v/>
      </c>
      <c r="C1050" s="8">
        <f>IFERROR(VLOOKUP($A1050,'01-原始价格'!$A:$M,8,FALSE),"")</f>
        <v/>
      </c>
      <c r="D1050" s="10">
        <f>IFERROR(B1050/C1050,"")</f>
        <v/>
      </c>
      <c r="E1050" s="10">
        <f>IFERROR(C1050/B1050,"")</f>
        <v/>
      </c>
      <c r="F1050" s="11">
        <f>IFERROR((D1050/D1049-1)*100,"")</f>
        <v/>
      </c>
      <c r="G1050" s="11">
        <f>IFERROR((COUNTIF($D$799:$D$1050,"&lt;"&amp;D1050)+0.5*COUNTIF($D$799:$D$1050,D1050))/COUNT($D$799:$D$1050)*100,"")</f>
        <v/>
      </c>
      <c r="H1050" s="10">
        <f>IFERROR(AVERAGE($D$799:$D$1050),"")</f>
        <v/>
      </c>
      <c r="I1050" s="10" t="n">
        <v>2.989011472802731</v>
      </c>
      <c r="J1050" t="inlineStr"/>
      <c r="K1050" t="inlineStr"/>
    </row>
    <row r="1051">
      <c r="A1051" s="7" t="inlineStr">
        <is>
          <t>2018-06-14</t>
        </is>
      </c>
      <c r="B1051" s="8">
        <f>IFERROR(VLOOKUP($A1051,'01-原始价格'!$A:$M,2,FALSE),"")</f>
        <v/>
      </c>
      <c r="C1051" s="8">
        <f>IFERROR(VLOOKUP($A1051,'01-原始价格'!$A:$M,8,FALSE),"")</f>
        <v/>
      </c>
      <c r="D1051" s="10">
        <f>IFERROR(B1051/C1051,"")</f>
        <v/>
      </c>
      <c r="E1051" s="10">
        <f>IFERROR(C1051/B1051,"")</f>
        <v/>
      </c>
      <c r="F1051" s="11">
        <f>IFERROR((D1051/D1050-1)*100,"")</f>
        <v/>
      </c>
      <c r="G1051" s="11">
        <f>IFERROR((COUNTIF($D$800:$D$1051,"&lt;"&amp;D1051)+0.5*COUNTIF($D$800:$D$1051,D1051))/COUNT($D$800:$D$1051)*100,"")</f>
        <v/>
      </c>
      <c r="H1051" s="10">
        <f>IFERROR(AVERAGE($D$800:$D$1051),"")</f>
        <v/>
      </c>
      <c r="I1051" s="10" t="n">
        <v>2.889008050935261</v>
      </c>
      <c r="J1051" t="inlineStr"/>
      <c r="K1051" t="inlineStr"/>
    </row>
    <row r="1052">
      <c r="A1052" s="7" t="inlineStr">
        <is>
          <t>2018-06-15</t>
        </is>
      </c>
      <c r="B1052" s="8">
        <f>IFERROR(VLOOKUP($A1052,'01-原始价格'!$A:$M,2,FALSE),"")</f>
        <v/>
      </c>
      <c r="C1052" s="8">
        <f>IFERROR(VLOOKUP($A1052,'01-原始价格'!$A:$M,8,FALSE),"")</f>
        <v/>
      </c>
      <c r="D1052" s="10">
        <f>IFERROR(B1052/C1052,"")</f>
        <v/>
      </c>
      <c r="E1052" s="10">
        <f>IFERROR(C1052/B1052,"")</f>
        <v/>
      </c>
      <c r="F1052" s="11">
        <f>IFERROR((D1052/D1051-1)*100,"")</f>
        <v/>
      </c>
      <c r="G1052" s="11">
        <f>IFERROR((COUNTIF($D$801:$D$1052,"&lt;"&amp;D1052)+0.5*COUNTIF($D$801:$D$1052,D1052))/COUNT($D$801:$D$1052)*100,"")</f>
        <v/>
      </c>
      <c r="H1052" s="10">
        <f>IFERROR(AVERAGE($D$801:$D$1052),"")</f>
        <v/>
      </c>
      <c r="I1052" s="10" t="n">
        <v>2.846945749341413</v>
      </c>
      <c r="J1052" t="inlineStr"/>
      <c r="K1052" t="inlineStr"/>
    </row>
    <row r="1053">
      <c r="A1053" s="7" t="inlineStr">
        <is>
          <t>2018-06-19</t>
        </is>
      </c>
      <c r="B1053" s="8">
        <f>IFERROR(VLOOKUP($A1053,'01-原始价格'!$A:$M,2,FALSE),"")</f>
        <v/>
      </c>
      <c r="C1053" s="8">
        <f>IFERROR(VLOOKUP($A1053,'01-原始价格'!$A:$M,8,FALSE),"")</f>
        <v/>
      </c>
      <c r="D1053" s="10">
        <f>IFERROR(B1053/C1053,"")</f>
        <v/>
      </c>
      <c r="E1053" s="10">
        <f>IFERROR(C1053/B1053,"")</f>
        <v/>
      </c>
      <c r="F1053" s="11">
        <f>IFERROR((D1053/D1052-1)*100,"")</f>
        <v/>
      </c>
      <c r="G1053" s="11">
        <f>IFERROR((COUNTIF($D$802:$D$1053,"&lt;"&amp;D1053)+0.5*COUNTIF($D$802:$D$1053,D1053))/COUNT($D$802:$D$1053)*100,"")</f>
        <v/>
      </c>
      <c r="H1053" s="10">
        <f>IFERROR(AVERAGE($D$802:$D$1053),"")</f>
        <v/>
      </c>
      <c r="I1053" s="10" t="n">
        <v>2.811121428920619</v>
      </c>
      <c r="J1053" t="inlineStr"/>
      <c r="K1053" t="inlineStr"/>
    </row>
    <row r="1054">
      <c r="A1054" s="7" t="inlineStr">
        <is>
          <t>2018-06-20</t>
        </is>
      </c>
      <c r="B1054" s="8">
        <f>IFERROR(VLOOKUP($A1054,'01-原始价格'!$A:$M,2,FALSE),"")</f>
        <v/>
      </c>
      <c r="C1054" s="8">
        <f>IFERROR(VLOOKUP($A1054,'01-原始价格'!$A:$M,8,FALSE),"")</f>
        <v/>
      </c>
      <c r="D1054" s="10">
        <f>IFERROR(B1054/C1054,"")</f>
        <v/>
      </c>
      <c r="E1054" s="10">
        <f>IFERROR(C1054/B1054,"")</f>
        <v/>
      </c>
      <c r="F1054" s="11">
        <f>IFERROR((D1054/D1053-1)*100,"")</f>
        <v/>
      </c>
      <c r="G1054" s="11">
        <f>IFERROR((COUNTIF($D$803:$D$1054,"&lt;"&amp;D1054)+0.5*COUNTIF($D$803:$D$1054,D1054))/COUNT($D$803:$D$1054)*100,"")</f>
        <v/>
      </c>
      <c r="H1054" s="10">
        <f>IFERROR(AVERAGE($D$803:$D$1054),"")</f>
        <v/>
      </c>
      <c r="I1054" s="10" t="n">
        <v>2.294283857112572</v>
      </c>
      <c r="J1054" t="inlineStr"/>
      <c r="K1054" t="inlineStr"/>
    </row>
    <row r="1055">
      <c r="A1055" s="7" t="inlineStr">
        <is>
          <t>2018-06-21</t>
        </is>
      </c>
      <c r="B1055" s="8">
        <f>IFERROR(VLOOKUP($A1055,'01-原始价格'!$A:$M,2,FALSE),"")</f>
        <v/>
      </c>
      <c r="C1055" s="8">
        <f>IFERROR(VLOOKUP($A1055,'01-原始价格'!$A:$M,8,FALSE),"")</f>
        <v/>
      </c>
      <c r="D1055" s="10">
        <f>IFERROR(B1055/C1055,"")</f>
        <v/>
      </c>
      <c r="E1055" s="10">
        <f>IFERROR(C1055/B1055,"")</f>
        <v/>
      </c>
      <c r="F1055" s="11">
        <f>IFERROR((D1055/D1054-1)*100,"")</f>
        <v/>
      </c>
      <c r="G1055" s="11">
        <f>IFERROR((COUNTIF($D$804:$D$1055,"&lt;"&amp;D1055)+0.5*COUNTIF($D$804:$D$1055,D1055))/COUNT($D$804:$D$1055)*100,"")</f>
        <v/>
      </c>
      <c r="H1055" s="10">
        <f>IFERROR(AVERAGE($D$804:$D$1055),"")</f>
        <v/>
      </c>
      <c r="I1055" s="10" t="n">
        <v>2.328379438683559</v>
      </c>
      <c r="J1055" t="inlineStr"/>
      <c r="K1055" t="inlineStr"/>
    </row>
    <row r="1056">
      <c r="A1056" s="7" t="inlineStr">
        <is>
          <t>2018-06-22</t>
        </is>
      </c>
      <c r="B1056" s="8">
        <f>IFERROR(VLOOKUP($A1056,'01-原始价格'!$A:$M,2,FALSE),"")</f>
        <v/>
      </c>
      <c r="C1056" s="8">
        <f>IFERROR(VLOOKUP($A1056,'01-原始价格'!$A:$M,8,FALSE),"")</f>
        <v/>
      </c>
      <c r="D1056" s="10">
        <f>IFERROR(B1056/C1056,"")</f>
        <v/>
      </c>
      <c r="E1056" s="10">
        <f>IFERROR(C1056/B1056,"")</f>
        <v/>
      </c>
      <c r="F1056" s="11">
        <f>IFERROR((D1056/D1055-1)*100,"")</f>
        <v/>
      </c>
      <c r="G1056" s="11">
        <f>IFERROR((COUNTIF($D$805:$D$1056,"&lt;"&amp;D1056)+0.5*COUNTIF($D$805:$D$1056,D1056))/COUNT($D$805:$D$1056)*100,"")</f>
        <v/>
      </c>
      <c r="H1056" s="10">
        <f>IFERROR(AVERAGE($D$805:$D$1056),"")</f>
        <v/>
      </c>
      <c r="I1056" s="10" t="n">
        <v>2.279777304021001</v>
      </c>
      <c r="J1056" t="inlineStr"/>
      <c r="K1056" t="inlineStr"/>
    </row>
    <row r="1057">
      <c r="A1057" s="7" t="inlineStr">
        <is>
          <t>2018-06-25</t>
        </is>
      </c>
      <c r="B1057" s="8">
        <f>IFERROR(VLOOKUP($A1057,'01-原始价格'!$A:$M,2,FALSE),"")</f>
        <v/>
      </c>
      <c r="C1057" s="8">
        <f>IFERROR(VLOOKUP($A1057,'01-原始价格'!$A:$M,8,FALSE),"")</f>
        <v/>
      </c>
      <c r="D1057" s="10">
        <f>IFERROR(B1057/C1057,"")</f>
        <v/>
      </c>
      <c r="E1057" s="10">
        <f>IFERROR(C1057/B1057,"")</f>
        <v/>
      </c>
      <c r="F1057" s="11">
        <f>IFERROR((D1057/D1056-1)*100,"")</f>
        <v/>
      </c>
      <c r="G1057" s="11">
        <f>IFERROR((COUNTIF($D$806:$D$1057,"&lt;"&amp;D1057)+0.5*COUNTIF($D$806:$D$1057,D1057))/COUNT($D$806:$D$1057)*100,"")</f>
        <v/>
      </c>
      <c r="H1057" s="10">
        <f>IFERROR(AVERAGE($D$806:$D$1057),"")</f>
        <v/>
      </c>
      <c r="I1057" s="10" t="n">
        <v>2.212327443498001</v>
      </c>
      <c r="J1057" t="inlineStr"/>
      <c r="K1057" t="inlineStr"/>
    </row>
    <row r="1058">
      <c r="A1058" s="7" t="inlineStr">
        <is>
          <t>2018-06-26</t>
        </is>
      </c>
      <c r="B1058" s="8">
        <f>IFERROR(VLOOKUP($A1058,'01-原始价格'!$A:$M,2,FALSE),"")</f>
        <v/>
      </c>
      <c r="C1058" s="8">
        <f>IFERROR(VLOOKUP($A1058,'01-原始价格'!$A:$M,8,FALSE),"")</f>
        <v/>
      </c>
      <c r="D1058" s="10">
        <f>IFERROR(B1058/C1058,"")</f>
        <v/>
      </c>
      <c r="E1058" s="10">
        <f>IFERROR(C1058/B1058,"")</f>
        <v/>
      </c>
      <c r="F1058" s="11">
        <f>IFERROR((D1058/D1057-1)*100,"")</f>
        <v/>
      </c>
      <c r="G1058" s="11">
        <f>IFERROR((COUNTIF($D$807:$D$1058,"&lt;"&amp;D1058)+0.5*COUNTIF($D$807:$D$1058,D1058))/COUNT($D$807:$D$1058)*100,"")</f>
        <v/>
      </c>
      <c r="H1058" s="10">
        <f>IFERROR(AVERAGE($D$807:$D$1058),"")</f>
        <v/>
      </c>
      <c r="I1058" s="10" t="n">
        <v>1.88228279554519</v>
      </c>
      <c r="J1058" t="inlineStr"/>
      <c r="K1058" t="inlineStr"/>
    </row>
    <row r="1059">
      <c r="A1059" s="7" t="inlineStr">
        <is>
          <t>2018-06-27</t>
        </is>
      </c>
      <c r="B1059" s="8">
        <f>IFERROR(VLOOKUP($A1059,'01-原始价格'!$A:$M,2,FALSE),"")</f>
        <v/>
      </c>
      <c r="C1059" s="8">
        <f>IFERROR(VLOOKUP($A1059,'01-原始价格'!$A:$M,8,FALSE),"")</f>
        <v/>
      </c>
      <c r="D1059" s="10">
        <f>IFERROR(B1059/C1059,"")</f>
        <v/>
      </c>
      <c r="E1059" s="10">
        <f>IFERROR(C1059/B1059,"")</f>
        <v/>
      </c>
      <c r="F1059" s="11">
        <f>IFERROR((D1059/D1058-1)*100,"")</f>
        <v/>
      </c>
      <c r="G1059" s="11">
        <f>IFERROR((COUNTIF($D$808:$D$1059,"&lt;"&amp;D1059)+0.5*COUNTIF($D$808:$D$1059,D1059))/COUNT($D$808:$D$1059)*100,"")</f>
        <v/>
      </c>
      <c r="H1059" s="10">
        <f>IFERROR(AVERAGE($D$808:$D$1059),"")</f>
        <v/>
      </c>
      <c r="I1059" s="10" t="n">
        <v>1.430567134196117</v>
      </c>
      <c r="J1059" t="inlineStr"/>
      <c r="K1059" t="inlineStr"/>
    </row>
    <row r="1060">
      <c r="A1060" s="7" t="inlineStr">
        <is>
          <t>2018-06-28</t>
        </is>
      </c>
      <c r="B1060" s="8">
        <f>IFERROR(VLOOKUP($A1060,'01-原始价格'!$A:$M,2,FALSE),"")</f>
        <v/>
      </c>
      <c r="C1060" s="8">
        <f>IFERROR(VLOOKUP($A1060,'01-原始价格'!$A:$M,8,FALSE),"")</f>
        <v/>
      </c>
      <c r="D1060" s="10">
        <f>IFERROR(B1060/C1060,"")</f>
        <v/>
      </c>
      <c r="E1060" s="10">
        <f>IFERROR(C1060/B1060,"")</f>
        <v/>
      </c>
      <c r="F1060" s="11">
        <f>IFERROR((D1060/D1059-1)*100,"")</f>
        <v/>
      </c>
      <c r="G1060" s="11">
        <f>IFERROR((COUNTIF($D$809:$D$1060,"&lt;"&amp;D1060)+0.5*COUNTIF($D$809:$D$1060,D1060))/COUNT($D$809:$D$1060)*100,"")</f>
        <v/>
      </c>
      <c r="H1060" s="10">
        <f>IFERROR(AVERAGE($D$809:$D$1060),"")</f>
        <v/>
      </c>
      <c r="I1060" s="10" t="n">
        <v>1.664359693593616</v>
      </c>
      <c r="J1060" t="inlineStr"/>
      <c r="K1060" t="inlineStr"/>
    </row>
    <row r="1061">
      <c r="A1061" s="7" t="inlineStr">
        <is>
          <t>2018-06-29</t>
        </is>
      </c>
      <c r="B1061" s="8">
        <f>IFERROR(VLOOKUP($A1061,'01-原始价格'!$A:$M,2,FALSE),"")</f>
        <v/>
      </c>
      <c r="C1061" s="8">
        <f>IFERROR(VLOOKUP($A1061,'01-原始价格'!$A:$M,8,FALSE),"")</f>
        <v/>
      </c>
      <c r="D1061" s="10">
        <f>IFERROR(B1061/C1061,"")</f>
        <v/>
      </c>
      <c r="E1061" s="10">
        <f>IFERROR(C1061/B1061,"")</f>
        <v/>
      </c>
      <c r="F1061" s="11">
        <f>IFERROR((D1061/D1060-1)*100,"")</f>
        <v/>
      </c>
      <c r="G1061" s="11">
        <f>IFERROR((COUNTIF($D$810:$D$1061,"&lt;"&amp;D1061)+0.5*COUNTIF($D$810:$D$1061,D1061))/COUNT($D$810:$D$1061)*100,"")</f>
        <v/>
      </c>
      <c r="H1061" s="10">
        <f>IFERROR(AVERAGE($D$810:$D$1061),"")</f>
        <v/>
      </c>
      <c r="I1061" s="10" t="n">
        <v>1.77811934328286</v>
      </c>
      <c r="J1061" t="inlineStr"/>
      <c r="K1061" t="inlineStr"/>
    </row>
    <row r="1062">
      <c r="A1062" s="7" t="inlineStr">
        <is>
          <t>2018-07-02</t>
        </is>
      </c>
      <c r="B1062" s="8">
        <f>IFERROR(VLOOKUP($A1062,'01-原始价格'!$A:$M,2,FALSE),"")</f>
        <v/>
      </c>
      <c r="C1062" s="8">
        <f>IFERROR(VLOOKUP($A1062,'01-原始价格'!$A:$M,8,FALSE),"")</f>
        <v/>
      </c>
      <c r="D1062" s="10">
        <f>IFERROR(B1062/C1062,"")</f>
        <v/>
      </c>
      <c r="E1062" s="10">
        <f>IFERROR(C1062/B1062,"")</f>
        <v/>
      </c>
      <c r="F1062" s="11">
        <f>IFERROR((D1062/D1061-1)*100,"")</f>
        <v/>
      </c>
      <c r="G1062" s="11">
        <f>IFERROR((COUNTIF($D$811:$D$1062,"&lt;"&amp;D1062)+0.5*COUNTIF($D$811:$D$1062,D1062))/COUNT($D$811:$D$1062)*100,"")</f>
        <v/>
      </c>
      <c r="H1062" s="10">
        <f>IFERROR(AVERAGE($D$811:$D$1062),"")</f>
        <v/>
      </c>
      <c r="I1062" s="10" t="n">
        <v>1.682358226266534</v>
      </c>
      <c r="J1062" t="inlineStr"/>
      <c r="K1062" t="inlineStr"/>
    </row>
    <row r="1063">
      <c r="A1063" s="7" t="inlineStr">
        <is>
          <t>2018-07-03</t>
        </is>
      </c>
      <c r="B1063" s="8">
        <f>IFERROR(VLOOKUP($A1063,'01-原始价格'!$A:$M,2,FALSE),"")</f>
        <v/>
      </c>
      <c r="C1063" s="8">
        <f>IFERROR(VLOOKUP($A1063,'01-原始价格'!$A:$M,8,FALSE),"")</f>
        <v/>
      </c>
      <c r="D1063" s="10">
        <f>IFERROR(B1063/C1063,"")</f>
        <v/>
      </c>
      <c r="E1063" s="10">
        <f>IFERROR(C1063/B1063,"")</f>
        <v/>
      </c>
      <c r="F1063" s="11">
        <f>IFERROR((D1063/D1062-1)*100,"")</f>
        <v/>
      </c>
      <c r="G1063" s="11">
        <f>IFERROR((COUNTIF($D$812:$D$1063,"&lt;"&amp;D1063)+0.5*COUNTIF($D$812:$D$1063,D1063))/COUNT($D$812:$D$1063)*100,"")</f>
        <v/>
      </c>
      <c r="H1063" s="10">
        <f>IFERROR(AVERAGE($D$812:$D$1063),"")</f>
        <v/>
      </c>
      <c r="I1063" s="10" t="n">
        <v>1.385693381804354</v>
      </c>
      <c r="J1063" t="inlineStr"/>
      <c r="K1063" t="inlineStr"/>
    </row>
    <row r="1064">
      <c r="A1064" s="7" t="inlineStr">
        <is>
          <t>2018-07-04</t>
        </is>
      </c>
      <c r="B1064" s="8">
        <f>IFERROR(VLOOKUP($A1064,'01-原始价格'!$A:$M,2,FALSE),"")</f>
        <v/>
      </c>
      <c r="C1064" s="8">
        <f>IFERROR(VLOOKUP($A1064,'01-原始价格'!$A:$M,8,FALSE),"")</f>
        <v/>
      </c>
      <c r="D1064" s="10">
        <f>IFERROR(B1064/C1064,"")</f>
        <v/>
      </c>
      <c r="E1064" s="10">
        <f>IFERROR(C1064/B1064,"")</f>
        <v/>
      </c>
      <c r="F1064" s="11">
        <f>IFERROR((D1064/D1063-1)*100,"")</f>
        <v/>
      </c>
      <c r="G1064" s="11">
        <f>IFERROR((COUNTIF($D$813:$D$1064,"&lt;"&amp;D1064)+0.5*COUNTIF($D$813:$D$1064,D1064))/COUNT($D$813:$D$1064)*100,"")</f>
        <v/>
      </c>
      <c r="H1064" s="10">
        <f>IFERROR(AVERAGE($D$813:$D$1064),"")</f>
        <v/>
      </c>
      <c r="I1064" s="10" t="n">
        <v>1.391167584520206</v>
      </c>
      <c r="J1064" t="inlineStr"/>
      <c r="K1064" t="inlineStr"/>
    </row>
    <row r="1065">
      <c r="A1065" s="7" t="inlineStr">
        <is>
          <t>2018-07-05</t>
        </is>
      </c>
      <c r="B1065" s="8">
        <f>IFERROR(VLOOKUP($A1065,'01-原始价格'!$A:$M,2,FALSE),"")</f>
        <v/>
      </c>
      <c r="C1065" s="8">
        <f>IFERROR(VLOOKUP($A1065,'01-原始价格'!$A:$M,8,FALSE),"")</f>
        <v/>
      </c>
      <c r="D1065" s="10">
        <f>IFERROR(B1065/C1065,"")</f>
        <v/>
      </c>
      <c r="E1065" s="10">
        <f>IFERROR(C1065/B1065,"")</f>
        <v/>
      </c>
      <c r="F1065" s="11">
        <f>IFERROR((D1065/D1064-1)*100,"")</f>
        <v/>
      </c>
      <c r="G1065" s="11">
        <f>IFERROR((COUNTIF($D$814:$D$1065,"&lt;"&amp;D1065)+0.5*COUNTIF($D$814:$D$1065,D1065))/COUNT($D$814:$D$1065)*100,"")</f>
        <v/>
      </c>
      <c r="H1065" s="10">
        <f>IFERROR(AVERAGE($D$814:$D$1065),"")</f>
        <v/>
      </c>
      <c r="I1065" s="10" t="n">
        <v>1.134256087539797</v>
      </c>
      <c r="J1065" t="inlineStr"/>
      <c r="K1065" t="inlineStr"/>
    </row>
    <row r="1066">
      <c r="A1066" s="7" t="inlineStr">
        <is>
          <t>2018-07-06</t>
        </is>
      </c>
      <c r="B1066" s="8">
        <f>IFERROR(VLOOKUP($A1066,'01-原始价格'!$A:$M,2,FALSE),"")</f>
        <v/>
      </c>
      <c r="C1066" s="8">
        <f>IFERROR(VLOOKUP($A1066,'01-原始价格'!$A:$M,8,FALSE),"")</f>
        <v/>
      </c>
      <c r="D1066" s="10">
        <f>IFERROR(B1066/C1066,"")</f>
        <v/>
      </c>
      <c r="E1066" s="10">
        <f>IFERROR(C1066/B1066,"")</f>
        <v/>
      </c>
      <c r="F1066" s="11">
        <f>IFERROR((D1066/D1065-1)*100,"")</f>
        <v/>
      </c>
      <c r="G1066" s="11">
        <f>IFERROR((COUNTIF($D$815:$D$1066,"&lt;"&amp;D1066)+0.5*COUNTIF($D$815:$D$1066,D1066))/COUNT($D$815:$D$1066)*100,"")</f>
        <v/>
      </c>
      <c r="H1066" s="10">
        <f>IFERROR(AVERAGE($D$815:$D$1066),"")</f>
        <v/>
      </c>
      <c r="I1066" s="10" t="n">
        <v>1.133082676104744</v>
      </c>
      <c r="J1066" t="inlineStr"/>
      <c r="K1066" t="inlineStr"/>
    </row>
    <row r="1067">
      <c r="A1067" s="7" t="inlineStr">
        <is>
          <t>2018-07-09</t>
        </is>
      </c>
      <c r="B1067" s="8">
        <f>IFERROR(VLOOKUP($A1067,'01-原始价格'!$A:$M,2,FALSE),"")</f>
        <v/>
      </c>
      <c r="C1067" s="8">
        <f>IFERROR(VLOOKUP($A1067,'01-原始价格'!$A:$M,8,FALSE),"")</f>
        <v/>
      </c>
      <c r="D1067" s="10">
        <f>IFERROR(B1067/C1067,"")</f>
        <v/>
      </c>
      <c r="E1067" s="10">
        <f>IFERROR(C1067/B1067,"")</f>
        <v/>
      </c>
      <c r="F1067" s="11">
        <f>IFERROR((D1067/D1066-1)*100,"")</f>
        <v/>
      </c>
      <c r="G1067" s="11">
        <f>IFERROR((COUNTIF($D$816:$D$1067,"&lt;"&amp;D1067)+0.5*COUNTIF($D$816:$D$1067,D1067))/COUNT($D$816:$D$1067)*100,"")</f>
        <v/>
      </c>
      <c r="H1067" s="10">
        <f>IFERROR(AVERAGE($D$816:$D$1067),"")</f>
        <v/>
      </c>
      <c r="I1067" s="10" t="n">
        <v>1.122035090841766</v>
      </c>
      <c r="J1067" t="inlineStr"/>
      <c r="K1067" t="inlineStr"/>
    </row>
    <row r="1068">
      <c r="A1068" s="7" t="inlineStr">
        <is>
          <t>2018-07-10</t>
        </is>
      </c>
      <c r="B1068" s="8">
        <f>IFERROR(VLOOKUP($A1068,'01-原始价格'!$A:$M,2,FALSE),"")</f>
        <v/>
      </c>
      <c r="C1068" s="8">
        <f>IFERROR(VLOOKUP($A1068,'01-原始价格'!$A:$M,8,FALSE),"")</f>
        <v/>
      </c>
      <c r="D1068" s="10">
        <f>IFERROR(B1068/C1068,"")</f>
        <v/>
      </c>
      <c r="E1068" s="10">
        <f>IFERROR(C1068/B1068,"")</f>
        <v/>
      </c>
      <c r="F1068" s="11">
        <f>IFERROR((D1068/D1067-1)*100,"")</f>
        <v/>
      </c>
      <c r="G1068" s="11">
        <f>IFERROR((COUNTIF($D$817:$D$1068,"&lt;"&amp;D1068)+0.5*COUNTIF($D$817:$D$1068,D1068))/COUNT($D$817:$D$1068)*100,"")</f>
        <v/>
      </c>
      <c r="H1068" s="10">
        <f>IFERROR(AVERAGE($D$817:$D$1068),"")</f>
        <v/>
      </c>
      <c r="I1068" s="10" t="n">
        <v>1.235573144161862</v>
      </c>
      <c r="J1068" t="inlineStr"/>
      <c r="K1068" t="inlineStr"/>
    </row>
    <row r="1069">
      <c r="A1069" s="7" t="inlineStr">
        <is>
          <t>2018-07-11</t>
        </is>
      </c>
      <c r="B1069" s="8">
        <f>IFERROR(VLOOKUP($A1069,'01-原始价格'!$A:$M,2,FALSE),"")</f>
        <v/>
      </c>
      <c r="C1069" s="8">
        <f>IFERROR(VLOOKUP($A1069,'01-原始价格'!$A:$M,8,FALSE),"")</f>
        <v/>
      </c>
      <c r="D1069" s="10">
        <f>IFERROR(B1069/C1069,"")</f>
        <v/>
      </c>
      <c r="E1069" s="10">
        <f>IFERROR(C1069/B1069,"")</f>
        <v/>
      </c>
      <c r="F1069" s="11">
        <f>IFERROR((D1069/D1068-1)*100,"")</f>
        <v/>
      </c>
      <c r="G1069" s="11">
        <f>IFERROR((COUNTIF($D$818:$D$1069,"&lt;"&amp;D1069)+0.5*COUNTIF($D$818:$D$1069,D1069))/COUNT($D$818:$D$1069)*100,"")</f>
        <v/>
      </c>
      <c r="H1069" s="10">
        <f>IFERROR(AVERAGE($D$818:$D$1069),"")</f>
        <v/>
      </c>
      <c r="I1069" s="10" t="n">
        <v>1.315926502415657</v>
      </c>
      <c r="J1069" t="inlineStr"/>
      <c r="K1069" t="inlineStr"/>
    </row>
    <row r="1070">
      <c r="A1070" s="7" t="inlineStr">
        <is>
          <t>2018-07-12</t>
        </is>
      </c>
      <c r="B1070" s="8">
        <f>IFERROR(VLOOKUP($A1070,'01-原始价格'!$A:$M,2,FALSE),"")</f>
        <v/>
      </c>
      <c r="C1070" s="8">
        <f>IFERROR(VLOOKUP($A1070,'01-原始价格'!$A:$M,8,FALSE),"")</f>
        <v/>
      </c>
      <c r="D1070" s="10">
        <f>IFERROR(B1070/C1070,"")</f>
        <v/>
      </c>
      <c r="E1070" s="10">
        <f>IFERROR(C1070/B1070,"")</f>
        <v/>
      </c>
      <c r="F1070" s="11">
        <f>IFERROR((D1070/D1069-1)*100,"")</f>
        <v/>
      </c>
      <c r="G1070" s="11">
        <f>IFERROR((COUNTIF($D$819:$D$1070,"&lt;"&amp;D1070)+0.5*COUNTIF($D$819:$D$1070,D1070))/COUNT($D$819:$D$1070)*100,"")</f>
        <v/>
      </c>
      <c r="H1070" s="10">
        <f>IFERROR(AVERAGE($D$819:$D$1070),"")</f>
        <v/>
      </c>
      <c r="I1070" s="10" t="n">
        <v>1.39632270852353</v>
      </c>
      <c r="J1070" t="inlineStr"/>
      <c r="K1070" t="inlineStr"/>
    </row>
    <row r="1071">
      <c r="A1071" s="7" t="inlineStr">
        <is>
          <t>2018-07-13</t>
        </is>
      </c>
      <c r="B1071" s="8">
        <f>IFERROR(VLOOKUP($A1071,'01-原始价格'!$A:$M,2,FALSE),"")</f>
        <v/>
      </c>
      <c r="C1071" s="8">
        <f>IFERROR(VLOOKUP($A1071,'01-原始价格'!$A:$M,8,FALSE),"")</f>
        <v/>
      </c>
      <c r="D1071" s="10">
        <f>IFERROR(B1071/C1071,"")</f>
        <v/>
      </c>
      <c r="E1071" s="10">
        <f>IFERROR(C1071/B1071,"")</f>
        <v/>
      </c>
      <c r="F1071" s="11">
        <f>IFERROR((D1071/D1070-1)*100,"")</f>
        <v/>
      </c>
      <c r="G1071" s="11">
        <f>IFERROR((COUNTIF($D$820:$D$1071,"&lt;"&amp;D1071)+0.5*COUNTIF($D$820:$D$1071,D1071))/COUNT($D$820:$D$1071)*100,"")</f>
        <v/>
      </c>
      <c r="H1071" s="10">
        <f>IFERROR(AVERAGE($D$820:$D$1071),"")</f>
        <v/>
      </c>
      <c r="I1071" s="10" t="n">
        <v>1.344275605302881</v>
      </c>
      <c r="J1071" t="inlineStr"/>
      <c r="K1071" t="inlineStr"/>
    </row>
    <row r="1072">
      <c r="A1072" s="7" t="inlineStr">
        <is>
          <t>2018-07-16</t>
        </is>
      </c>
      <c r="B1072" s="8">
        <f>IFERROR(VLOOKUP($A1072,'01-原始价格'!$A:$M,2,FALSE),"")</f>
        <v/>
      </c>
      <c r="C1072" s="8">
        <f>IFERROR(VLOOKUP($A1072,'01-原始价格'!$A:$M,8,FALSE),"")</f>
        <v/>
      </c>
      <c r="D1072" s="10">
        <f>IFERROR(B1072/C1072,"")</f>
        <v/>
      </c>
      <c r="E1072" s="10">
        <f>IFERROR(C1072/B1072,"")</f>
        <v/>
      </c>
      <c r="F1072" s="11">
        <f>IFERROR((D1072/D1071-1)*100,"")</f>
        <v/>
      </c>
      <c r="G1072" s="11">
        <f>IFERROR((COUNTIF($D$821:$D$1072,"&lt;"&amp;D1072)+0.5*COUNTIF($D$821:$D$1072,D1072))/COUNT($D$821:$D$1072)*100,"")</f>
        <v/>
      </c>
      <c r="H1072" s="10">
        <f>IFERROR(AVERAGE($D$821:$D$1072),"")</f>
        <v/>
      </c>
      <c r="I1072" s="10" t="n">
        <v>1.268233982122342</v>
      </c>
      <c r="J1072" t="inlineStr"/>
      <c r="K1072" t="inlineStr"/>
    </row>
    <row r="1073">
      <c r="A1073" s="7" t="inlineStr">
        <is>
          <t>2018-07-17</t>
        </is>
      </c>
      <c r="B1073" s="8">
        <f>IFERROR(VLOOKUP($A1073,'01-原始价格'!$A:$M,2,FALSE),"")</f>
        <v/>
      </c>
      <c r="C1073" s="8">
        <f>IFERROR(VLOOKUP($A1073,'01-原始价格'!$A:$M,8,FALSE),"")</f>
        <v/>
      </c>
      <c r="D1073" s="10">
        <f>IFERROR(B1073/C1073,"")</f>
        <v/>
      </c>
      <c r="E1073" s="10">
        <f>IFERROR(C1073/B1073,"")</f>
        <v/>
      </c>
      <c r="F1073" s="11">
        <f>IFERROR((D1073/D1072-1)*100,"")</f>
        <v/>
      </c>
      <c r="G1073" s="11">
        <f>IFERROR((COUNTIF($D$822:$D$1073,"&lt;"&amp;D1073)+0.5*COUNTIF($D$822:$D$1073,D1073))/COUNT($D$822:$D$1073)*100,"")</f>
        <v/>
      </c>
      <c r="H1073" s="10">
        <f>IFERROR(AVERAGE($D$822:$D$1073),"")</f>
        <v/>
      </c>
      <c r="I1073" s="10" t="n">
        <v>1.28422738956717</v>
      </c>
      <c r="J1073" t="inlineStr"/>
      <c r="K1073" t="inlineStr"/>
    </row>
    <row r="1074">
      <c r="A1074" s="7" t="inlineStr">
        <is>
          <t>2018-07-18</t>
        </is>
      </c>
      <c r="B1074" s="8">
        <f>IFERROR(VLOOKUP($A1074,'01-原始价格'!$A:$M,2,FALSE),"")</f>
        <v/>
      </c>
      <c r="C1074" s="8">
        <f>IFERROR(VLOOKUP($A1074,'01-原始价格'!$A:$M,8,FALSE),"")</f>
        <v/>
      </c>
      <c r="D1074" s="10">
        <f>IFERROR(B1074/C1074,"")</f>
        <v/>
      </c>
      <c r="E1074" s="10">
        <f>IFERROR(C1074/B1074,"")</f>
        <v/>
      </c>
      <c r="F1074" s="11">
        <f>IFERROR((D1074/D1073-1)*100,"")</f>
        <v/>
      </c>
      <c r="G1074" s="11">
        <f>IFERROR((COUNTIF($D$823:$D$1074,"&lt;"&amp;D1074)+0.5*COUNTIF($D$823:$D$1074,D1074))/COUNT($D$823:$D$1074)*100,"")</f>
        <v/>
      </c>
      <c r="H1074" s="10">
        <f>IFERROR(AVERAGE($D$823:$D$1074),"")</f>
        <v/>
      </c>
      <c r="I1074" s="10" t="n">
        <v>1.264040824322755</v>
      </c>
      <c r="J1074" t="inlineStr"/>
      <c r="K1074" t="inlineStr"/>
    </row>
    <row r="1075">
      <c r="A1075" s="7" t="inlineStr">
        <is>
          <t>2018-07-19</t>
        </is>
      </c>
      <c r="B1075" s="8">
        <f>IFERROR(VLOOKUP($A1075,'01-原始价格'!$A:$M,2,FALSE),"")</f>
        <v/>
      </c>
      <c r="C1075" s="8">
        <f>IFERROR(VLOOKUP($A1075,'01-原始价格'!$A:$M,8,FALSE),"")</f>
        <v/>
      </c>
      <c r="D1075" s="10">
        <f>IFERROR(B1075/C1075,"")</f>
        <v/>
      </c>
      <c r="E1075" s="10">
        <f>IFERROR(C1075/B1075,"")</f>
        <v/>
      </c>
      <c r="F1075" s="11">
        <f>IFERROR((D1075/D1074-1)*100,"")</f>
        <v/>
      </c>
      <c r="G1075" s="11">
        <f>IFERROR((COUNTIF($D$824:$D$1075,"&lt;"&amp;D1075)+0.5*COUNTIF($D$824:$D$1075,D1075))/COUNT($D$824:$D$1075)*100,"")</f>
        <v/>
      </c>
      <c r="H1075" s="10">
        <f>IFERROR(AVERAGE($D$824:$D$1075),"")</f>
        <v/>
      </c>
      <c r="I1075" s="10" t="n">
        <v>1.310431894073918</v>
      </c>
      <c r="J1075" t="inlineStr"/>
      <c r="K1075" t="inlineStr"/>
    </row>
    <row r="1076">
      <c r="A1076" s="7" t="inlineStr">
        <is>
          <t>2018-07-20</t>
        </is>
      </c>
      <c r="B1076" s="8">
        <f>IFERROR(VLOOKUP($A1076,'01-原始价格'!$A:$M,2,FALSE),"")</f>
        <v/>
      </c>
      <c r="C1076" s="8">
        <f>IFERROR(VLOOKUP($A1076,'01-原始价格'!$A:$M,8,FALSE),"")</f>
        <v/>
      </c>
      <c r="D1076" s="10">
        <f>IFERROR(B1076/C1076,"")</f>
        <v/>
      </c>
      <c r="E1076" s="10">
        <f>IFERROR(C1076/B1076,"")</f>
        <v/>
      </c>
      <c r="F1076" s="11">
        <f>IFERROR((D1076/D1075-1)*100,"")</f>
        <v/>
      </c>
      <c r="G1076" s="11">
        <f>IFERROR((COUNTIF($D$825:$D$1076,"&lt;"&amp;D1076)+0.5*COUNTIF($D$825:$D$1076,D1076))/COUNT($D$825:$D$1076)*100,"")</f>
        <v/>
      </c>
      <c r="H1076" s="10">
        <f>IFERROR(AVERAGE($D$825:$D$1076),"")</f>
        <v/>
      </c>
      <c r="I1076" s="10" t="n">
        <v>1.231006856470003</v>
      </c>
      <c r="J1076" t="inlineStr"/>
      <c r="K1076" t="inlineStr"/>
    </row>
    <row r="1077">
      <c r="A1077" s="7" t="inlineStr">
        <is>
          <t>2018-07-23</t>
        </is>
      </c>
      <c r="B1077" s="8">
        <f>IFERROR(VLOOKUP($A1077,'01-原始价格'!$A:$M,2,FALSE),"")</f>
        <v/>
      </c>
      <c r="C1077" s="8">
        <f>IFERROR(VLOOKUP($A1077,'01-原始价格'!$A:$M,8,FALSE),"")</f>
        <v/>
      </c>
      <c r="D1077" s="10">
        <f>IFERROR(B1077/C1077,"")</f>
        <v/>
      </c>
      <c r="E1077" s="10">
        <f>IFERROR(C1077/B1077,"")</f>
        <v/>
      </c>
      <c r="F1077" s="11">
        <f>IFERROR((D1077/D1076-1)*100,"")</f>
        <v/>
      </c>
      <c r="G1077" s="11">
        <f>IFERROR((COUNTIF($D$826:$D$1077,"&lt;"&amp;D1077)+0.5*COUNTIF($D$826:$D$1077,D1077))/COUNT($D$826:$D$1077)*100,"")</f>
        <v/>
      </c>
      <c r="H1077" s="10">
        <f>IFERROR(AVERAGE($D$826:$D$1077),"")</f>
        <v/>
      </c>
      <c r="I1077" s="10" t="n">
        <v>1.269545267162131</v>
      </c>
      <c r="J1077" t="inlineStr"/>
      <c r="K1077" t="inlineStr"/>
    </row>
    <row r="1078">
      <c r="A1078" s="7" t="inlineStr">
        <is>
          <t>2018-07-24</t>
        </is>
      </c>
      <c r="B1078" s="8">
        <f>IFERROR(VLOOKUP($A1078,'01-原始价格'!$A:$M,2,FALSE),"")</f>
        <v/>
      </c>
      <c r="C1078" s="8">
        <f>IFERROR(VLOOKUP($A1078,'01-原始价格'!$A:$M,8,FALSE),"")</f>
        <v/>
      </c>
      <c r="D1078" s="10">
        <f>IFERROR(B1078/C1078,"")</f>
        <v/>
      </c>
      <c r="E1078" s="10">
        <f>IFERROR(C1078/B1078,"")</f>
        <v/>
      </c>
      <c r="F1078" s="11">
        <f>IFERROR((D1078/D1077-1)*100,"")</f>
        <v/>
      </c>
      <c r="G1078" s="11">
        <f>IFERROR((COUNTIF($D$827:$D$1078,"&lt;"&amp;D1078)+0.5*COUNTIF($D$827:$D$1078,D1078))/COUNT($D$827:$D$1078)*100,"")</f>
        <v/>
      </c>
      <c r="H1078" s="10">
        <f>IFERROR(AVERAGE($D$827:$D$1078),"")</f>
        <v/>
      </c>
      <c r="I1078" s="10" t="n">
        <v>1.339762447201546</v>
      </c>
      <c r="J1078" t="inlineStr"/>
      <c r="K1078" t="inlineStr"/>
    </row>
    <row r="1079">
      <c r="A1079" s="7" t="inlineStr">
        <is>
          <t>2018-07-25</t>
        </is>
      </c>
      <c r="B1079" s="8">
        <f>IFERROR(VLOOKUP($A1079,'01-原始价格'!$A:$M,2,FALSE),"")</f>
        <v/>
      </c>
      <c r="C1079" s="8">
        <f>IFERROR(VLOOKUP($A1079,'01-原始价格'!$A:$M,8,FALSE),"")</f>
        <v/>
      </c>
      <c r="D1079" s="10">
        <f>IFERROR(B1079/C1079,"")</f>
        <v/>
      </c>
      <c r="E1079" s="10">
        <f>IFERROR(C1079/B1079,"")</f>
        <v/>
      </c>
      <c r="F1079" s="11">
        <f>IFERROR((D1079/D1078-1)*100,"")</f>
        <v/>
      </c>
      <c r="G1079" s="11">
        <f>IFERROR((COUNTIF($D$828:$D$1079,"&lt;"&amp;D1079)+0.5*COUNTIF($D$828:$D$1079,D1079))/COUNT($D$828:$D$1079)*100,"")</f>
        <v/>
      </c>
      <c r="H1079" s="10">
        <f>IFERROR(AVERAGE($D$828:$D$1079),"")</f>
        <v/>
      </c>
      <c r="I1079" s="10" t="n">
        <v>1.233372389625184</v>
      </c>
      <c r="J1079" t="inlineStr"/>
      <c r="K1079" t="inlineStr"/>
    </row>
    <row r="1080">
      <c r="A1080" s="7" t="inlineStr">
        <is>
          <t>2018-07-26</t>
        </is>
      </c>
      <c r="B1080" s="8">
        <f>IFERROR(VLOOKUP($A1080,'01-原始价格'!$A:$M,2,FALSE),"")</f>
        <v/>
      </c>
      <c r="C1080" s="8">
        <f>IFERROR(VLOOKUP($A1080,'01-原始价格'!$A:$M,8,FALSE),"")</f>
        <v/>
      </c>
      <c r="D1080" s="10">
        <f>IFERROR(B1080/C1080,"")</f>
        <v/>
      </c>
      <c r="E1080" s="10">
        <f>IFERROR(C1080/B1080,"")</f>
        <v/>
      </c>
      <c r="F1080" s="11">
        <f>IFERROR((D1080/D1079-1)*100,"")</f>
        <v/>
      </c>
      <c r="G1080" s="11">
        <f>IFERROR((COUNTIF($D$829:$D$1080,"&lt;"&amp;D1080)+0.5*COUNTIF($D$829:$D$1080,D1080))/COUNT($D$829:$D$1080)*100,"")</f>
        <v/>
      </c>
      <c r="H1080" s="10">
        <f>IFERROR(AVERAGE($D$829:$D$1080),"")</f>
        <v/>
      </c>
      <c r="I1080" s="10" t="n">
        <v>1.207079717300989</v>
      </c>
      <c r="J1080" t="inlineStr"/>
      <c r="K1080" t="inlineStr"/>
    </row>
    <row r="1081">
      <c r="A1081" s="7" t="inlineStr">
        <is>
          <t>2018-07-27</t>
        </is>
      </c>
      <c r="B1081" s="8">
        <f>IFERROR(VLOOKUP($A1081,'01-原始价格'!$A:$M,2,FALSE),"")</f>
        <v/>
      </c>
      <c r="C1081" s="8">
        <f>IFERROR(VLOOKUP($A1081,'01-原始价格'!$A:$M,8,FALSE),"")</f>
        <v/>
      </c>
      <c r="D1081" s="10">
        <f>IFERROR(B1081/C1081,"")</f>
        <v/>
      </c>
      <c r="E1081" s="10">
        <f>IFERROR(C1081/B1081,"")</f>
        <v/>
      </c>
      <c r="F1081" s="11">
        <f>IFERROR((D1081/D1080-1)*100,"")</f>
        <v/>
      </c>
      <c r="G1081" s="11">
        <f>IFERROR((COUNTIF($D$830:$D$1081,"&lt;"&amp;D1081)+0.5*COUNTIF($D$830:$D$1081,D1081))/COUNT($D$830:$D$1081)*100,"")</f>
        <v/>
      </c>
      <c r="H1081" s="10">
        <f>IFERROR(AVERAGE($D$830:$D$1081),"")</f>
        <v/>
      </c>
      <c r="I1081" s="10" t="n">
        <v>1.280896015718637</v>
      </c>
      <c r="J1081" t="inlineStr"/>
      <c r="K1081" t="inlineStr"/>
    </row>
    <row r="1082">
      <c r="A1082" s="7" t="inlineStr">
        <is>
          <t>2018-07-30</t>
        </is>
      </c>
      <c r="B1082" s="8">
        <f>IFERROR(VLOOKUP($A1082,'01-原始价格'!$A:$M,2,FALSE),"")</f>
        <v/>
      </c>
      <c r="C1082" s="8">
        <f>IFERROR(VLOOKUP($A1082,'01-原始价格'!$A:$M,8,FALSE),"")</f>
        <v/>
      </c>
      <c r="D1082" s="10">
        <f>IFERROR(B1082/C1082,"")</f>
        <v/>
      </c>
      <c r="E1082" s="10">
        <f>IFERROR(C1082/B1082,"")</f>
        <v/>
      </c>
      <c r="F1082" s="11">
        <f>IFERROR((D1082/D1081-1)*100,"")</f>
        <v/>
      </c>
      <c r="G1082" s="11">
        <f>IFERROR((COUNTIF($D$831:$D$1082,"&lt;"&amp;D1082)+0.5*COUNTIF($D$831:$D$1082,D1082))/COUNT($D$831:$D$1082)*100,"")</f>
        <v/>
      </c>
      <c r="H1082" s="10">
        <f>IFERROR(AVERAGE($D$831:$D$1082),"")</f>
        <v/>
      </c>
      <c r="I1082" s="10" t="n">
        <v>1.7688411871453</v>
      </c>
      <c r="J1082" t="inlineStr"/>
      <c r="K1082" t="inlineStr"/>
    </row>
    <row r="1083">
      <c r="A1083" s="7" t="inlineStr">
        <is>
          <t>2018-07-31</t>
        </is>
      </c>
      <c r="B1083" s="8">
        <f>IFERROR(VLOOKUP($A1083,'01-原始价格'!$A:$M,2,FALSE),"")</f>
        <v/>
      </c>
      <c r="C1083" s="8">
        <f>IFERROR(VLOOKUP($A1083,'01-原始价格'!$A:$M,8,FALSE),"")</f>
        <v/>
      </c>
      <c r="D1083" s="10">
        <f>IFERROR(B1083/C1083,"")</f>
        <v/>
      </c>
      <c r="E1083" s="10">
        <f>IFERROR(C1083/B1083,"")</f>
        <v/>
      </c>
      <c r="F1083" s="11">
        <f>IFERROR((D1083/D1082-1)*100,"")</f>
        <v/>
      </c>
      <c r="G1083" s="11">
        <f>IFERROR((COUNTIF($D$832:$D$1083,"&lt;"&amp;D1083)+0.5*COUNTIF($D$832:$D$1083,D1083))/COUNT($D$832:$D$1083)*100,"")</f>
        <v/>
      </c>
      <c r="H1083" s="10">
        <f>IFERROR(AVERAGE($D$832:$D$1083),"")</f>
        <v/>
      </c>
      <c r="I1083" s="10" t="n">
        <v>1.888197670087432</v>
      </c>
      <c r="J1083" t="inlineStr"/>
      <c r="K1083" t="inlineStr"/>
    </row>
    <row r="1084">
      <c r="A1084" s="7" t="inlineStr">
        <is>
          <t>2018-08-01</t>
        </is>
      </c>
      <c r="B1084" s="8">
        <f>IFERROR(VLOOKUP($A1084,'01-原始价格'!$A:$M,2,FALSE),"")</f>
        <v/>
      </c>
      <c r="C1084" s="8">
        <f>IFERROR(VLOOKUP($A1084,'01-原始价格'!$A:$M,8,FALSE),"")</f>
        <v/>
      </c>
      <c r="D1084" s="10">
        <f>IFERROR(B1084/C1084,"")</f>
        <v/>
      </c>
      <c r="E1084" s="10">
        <f>IFERROR(C1084/B1084,"")</f>
        <v/>
      </c>
      <c r="F1084" s="11">
        <f>IFERROR((D1084/D1083-1)*100,"")</f>
        <v/>
      </c>
      <c r="G1084" s="11">
        <f>IFERROR((COUNTIF($D$833:$D$1084,"&lt;"&amp;D1084)+0.5*COUNTIF($D$833:$D$1084,D1084))/COUNT($D$833:$D$1084)*100,"")</f>
        <v/>
      </c>
      <c r="H1084" s="10">
        <f>IFERROR(AVERAGE($D$833:$D$1084),"")</f>
        <v/>
      </c>
      <c r="I1084" s="10" t="n">
        <v>1.806751054006889</v>
      </c>
      <c r="J1084" t="inlineStr"/>
      <c r="K1084" t="inlineStr"/>
    </row>
    <row r="1085">
      <c r="A1085" s="7" t="inlineStr">
        <is>
          <t>2018-08-02</t>
        </is>
      </c>
      <c r="B1085" s="8">
        <f>IFERROR(VLOOKUP($A1085,'01-原始价格'!$A:$M,2,FALSE),"")</f>
        <v/>
      </c>
      <c r="C1085" s="8">
        <f>IFERROR(VLOOKUP($A1085,'01-原始价格'!$A:$M,8,FALSE),"")</f>
        <v/>
      </c>
      <c r="D1085" s="10">
        <f>IFERROR(B1085/C1085,"")</f>
        <v/>
      </c>
      <c r="E1085" s="10">
        <f>IFERROR(C1085/B1085,"")</f>
        <v/>
      </c>
      <c r="F1085" s="11">
        <f>IFERROR((D1085/D1084-1)*100,"")</f>
        <v/>
      </c>
      <c r="G1085" s="11">
        <f>IFERROR((COUNTIF($D$834:$D$1085,"&lt;"&amp;D1085)+0.5*COUNTIF($D$834:$D$1085,D1085))/COUNT($D$834:$D$1085)*100,"")</f>
        <v/>
      </c>
      <c r="H1085" s="10">
        <f>IFERROR(AVERAGE($D$834:$D$1085),"")</f>
        <v/>
      </c>
      <c r="I1085" s="10" t="n">
        <v>1.954541939051416</v>
      </c>
      <c r="J1085" t="inlineStr"/>
      <c r="K1085" t="inlineStr"/>
    </row>
    <row r="1086">
      <c r="A1086" s="7" t="inlineStr">
        <is>
          <t>2018-08-03</t>
        </is>
      </c>
      <c r="B1086" s="8">
        <f>IFERROR(VLOOKUP($A1086,'01-原始价格'!$A:$M,2,FALSE),"")</f>
        <v/>
      </c>
      <c r="C1086" s="8">
        <f>IFERROR(VLOOKUP($A1086,'01-原始价格'!$A:$M,8,FALSE),"")</f>
        <v/>
      </c>
      <c r="D1086" s="10">
        <f>IFERROR(B1086/C1086,"")</f>
        <v/>
      </c>
      <c r="E1086" s="10">
        <f>IFERROR(C1086/B1086,"")</f>
        <v/>
      </c>
      <c r="F1086" s="11">
        <f>IFERROR((D1086/D1085-1)*100,"")</f>
        <v/>
      </c>
      <c r="G1086" s="11">
        <f>IFERROR((COUNTIF($D$835:$D$1086,"&lt;"&amp;D1086)+0.5*COUNTIF($D$835:$D$1086,D1086))/COUNT($D$835:$D$1086)*100,"")</f>
        <v/>
      </c>
      <c r="H1086" s="10">
        <f>IFERROR(AVERAGE($D$835:$D$1086),"")</f>
        <v/>
      </c>
      <c r="I1086" s="10" t="n">
        <v>2.142226692537577</v>
      </c>
      <c r="J1086" t="inlineStr"/>
      <c r="K1086" t="inlineStr"/>
    </row>
    <row r="1087">
      <c r="A1087" s="7" t="inlineStr">
        <is>
          <t>2018-08-06</t>
        </is>
      </c>
      <c r="B1087" s="8">
        <f>IFERROR(VLOOKUP($A1087,'01-原始价格'!$A:$M,2,FALSE),"")</f>
        <v/>
      </c>
      <c r="C1087" s="8">
        <f>IFERROR(VLOOKUP($A1087,'01-原始价格'!$A:$M,8,FALSE),"")</f>
        <v/>
      </c>
      <c r="D1087" s="10">
        <f>IFERROR(B1087/C1087,"")</f>
        <v/>
      </c>
      <c r="E1087" s="10">
        <f>IFERROR(C1087/B1087,"")</f>
        <v/>
      </c>
      <c r="F1087" s="11">
        <f>IFERROR((D1087/D1086-1)*100,"")</f>
        <v/>
      </c>
      <c r="G1087" s="11">
        <f>IFERROR((COUNTIF($D$836:$D$1087,"&lt;"&amp;D1087)+0.5*COUNTIF($D$836:$D$1087,D1087))/COUNT($D$836:$D$1087)*100,"")</f>
        <v/>
      </c>
      <c r="H1087" s="10">
        <f>IFERROR(AVERAGE($D$836:$D$1087),"")</f>
        <v/>
      </c>
      <c r="I1087" s="10" t="n">
        <v>2.391436481126758</v>
      </c>
      <c r="J1087" t="inlineStr"/>
      <c r="K1087" t="inlineStr"/>
    </row>
    <row r="1088">
      <c r="A1088" s="7" t="inlineStr">
        <is>
          <t>2018-08-07</t>
        </is>
      </c>
      <c r="B1088" s="8">
        <f>IFERROR(VLOOKUP($A1088,'01-原始价格'!$A:$M,2,FALSE),"")</f>
        <v/>
      </c>
      <c r="C1088" s="8">
        <f>IFERROR(VLOOKUP($A1088,'01-原始价格'!$A:$M,8,FALSE),"")</f>
        <v/>
      </c>
      <c r="D1088" s="10">
        <f>IFERROR(B1088/C1088,"")</f>
        <v/>
      </c>
      <c r="E1088" s="10">
        <f>IFERROR(C1088/B1088,"")</f>
        <v/>
      </c>
      <c r="F1088" s="11">
        <f>IFERROR((D1088/D1087-1)*100,"")</f>
        <v/>
      </c>
      <c r="G1088" s="11">
        <f>IFERROR((COUNTIF($D$837:$D$1088,"&lt;"&amp;D1088)+0.5*COUNTIF($D$837:$D$1088,D1088))/COUNT($D$837:$D$1088)*100,"")</f>
        <v/>
      </c>
      <c r="H1088" s="10">
        <f>IFERROR(AVERAGE($D$837:$D$1088),"")</f>
        <v/>
      </c>
      <c r="I1088" s="10" t="n">
        <v>2.588232299727143</v>
      </c>
      <c r="J1088" t="inlineStr"/>
      <c r="K1088" t="inlineStr"/>
    </row>
    <row r="1089">
      <c r="A1089" s="7" t="inlineStr">
        <is>
          <t>2018-08-08</t>
        </is>
      </c>
      <c r="B1089" s="8">
        <f>IFERROR(VLOOKUP($A1089,'01-原始价格'!$A:$M,2,FALSE),"")</f>
        <v/>
      </c>
      <c r="C1089" s="8">
        <f>IFERROR(VLOOKUP($A1089,'01-原始价格'!$A:$M,8,FALSE),"")</f>
        <v/>
      </c>
      <c r="D1089" s="10">
        <f>IFERROR(B1089/C1089,"")</f>
        <v/>
      </c>
      <c r="E1089" s="10">
        <f>IFERROR(C1089/B1089,"")</f>
        <v/>
      </c>
      <c r="F1089" s="11">
        <f>IFERROR((D1089/D1088-1)*100,"")</f>
        <v/>
      </c>
      <c r="G1089" s="11">
        <f>IFERROR((COUNTIF($D$838:$D$1089,"&lt;"&amp;D1089)+0.5*COUNTIF($D$838:$D$1089,D1089))/COUNT($D$838:$D$1089)*100,"")</f>
        <v/>
      </c>
      <c r="H1089" s="10">
        <f>IFERROR(AVERAGE($D$838:$D$1089),"")</f>
        <v/>
      </c>
      <c r="I1089" s="10" t="n">
        <v>2.310840417990726</v>
      </c>
      <c r="J1089" t="inlineStr"/>
      <c r="K1089" t="inlineStr"/>
    </row>
    <row r="1090">
      <c r="A1090" s="7" t="inlineStr">
        <is>
          <t>2018-08-09</t>
        </is>
      </c>
      <c r="B1090" s="8">
        <f>IFERROR(VLOOKUP($A1090,'01-原始价格'!$A:$M,2,FALSE),"")</f>
        <v/>
      </c>
      <c r="C1090" s="8">
        <f>IFERROR(VLOOKUP($A1090,'01-原始价格'!$A:$M,8,FALSE),"")</f>
        <v/>
      </c>
      <c r="D1090" s="10">
        <f>IFERROR(B1090/C1090,"")</f>
        <v/>
      </c>
      <c r="E1090" s="10">
        <f>IFERROR(C1090/B1090,"")</f>
        <v/>
      </c>
      <c r="F1090" s="11">
        <f>IFERROR((D1090/D1089-1)*100,"")</f>
        <v/>
      </c>
      <c r="G1090" s="11">
        <f>IFERROR((COUNTIF($D$839:$D$1090,"&lt;"&amp;D1090)+0.5*COUNTIF($D$839:$D$1090,D1090))/COUNT($D$839:$D$1090)*100,"")</f>
        <v/>
      </c>
      <c r="H1090" s="10">
        <f>IFERROR(AVERAGE($D$839:$D$1090),"")</f>
        <v/>
      </c>
      <c r="I1090" s="10" t="n">
        <v>2.295796107998332</v>
      </c>
      <c r="J1090" t="inlineStr"/>
      <c r="K1090" t="inlineStr"/>
    </row>
    <row r="1091">
      <c r="A1091" s="7" t="inlineStr">
        <is>
          <t>2018-08-10</t>
        </is>
      </c>
      <c r="B1091" s="8">
        <f>IFERROR(VLOOKUP($A1091,'01-原始价格'!$A:$M,2,FALSE),"")</f>
        <v/>
      </c>
      <c r="C1091" s="8">
        <f>IFERROR(VLOOKUP($A1091,'01-原始价格'!$A:$M,8,FALSE),"")</f>
        <v/>
      </c>
      <c r="D1091" s="10">
        <f>IFERROR(B1091/C1091,"")</f>
        <v/>
      </c>
      <c r="E1091" s="10">
        <f>IFERROR(C1091/B1091,"")</f>
        <v/>
      </c>
      <c r="F1091" s="11">
        <f>IFERROR((D1091/D1090-1)*100,"")</f>
        <v/>
      </c>
      <c r="G1091" s="11">
        <f>IFERROR((COUNTIF($D$840:$D$1091,"&lt;"&amp;D1091)+0.5*COUNTIF($D$840:$D$1091,D1091))/COUNT($D$840:$D$1091)*100,"")</f>
        <v/>
      </c>
      <c r="H1091" s="10">
        <f>IFERROR(AVERAGE($D$840:$D$1091),"")</f>
        <v/>
      </c>
      <c r="I1091" s="10" t="n">
        <v>2.190533641607581</v>
      </c>
      <c r="J1091" t="inlineStr"/>
      <c r="K1091" t="inlineStr"/>
    </row>
    <row r="1092">
      <c r="A1092" s="7" t="inlineStr">
        <is>
          <t>2018-08-13</t>
        </is>
      </c>
      <c r="B1092" s="8">
        <f>IFERROR(VLOOKUP($A1092,'01-原始价格'!$A:$M,2,FALSE),"")</f>
        <v/>
      </c>
      <c r="C1092" s="8">
        <f>IFERROR(VLOOKUP($A1092,'01-原始价格'!$A:$M,8,FALSE),"")</f>
        <v/>
      </c>
      <c r="D1092" s="10">
        <f>IFERROR(B1092/C1092,"")</f>
        <v/>
      </c>
      <c r="E1092" s="10">
        <f>IFERROR(C1092/B1092,"")</f>
        <v/>
      </c>
      <c r="F1092" s="11">
        <f>IFERROR((D1092/D1091-1)*100,"")</f>
        <v/>
      </c>
      <c r="G1092" s="11">
        <f>IFERROR((COUNTIF($D$841:$D$1092,"&lt;"&amp;D1092)+0.5*COUNTIF($D$841:$D$1092,D1092))/COUNT($D$841:$D$1092)*100,"")</f>
        <v/>
      </c>
      <c r="H1092" s="10">
        <f>IFERROR(AVERAGE($D$841:$D$1092),"")</f>
        <v/>
      </c>
      <c r="I1092" s="10" t="n">
        <v>2.175761935887537</v>
      </c>
      <c r="J1092" t="inlineStr"/>
      <c r="K1092" t="inlineStr"/>
    </row>
    <row r="1093">
      <c r="A1093" s="7" t="inlineStr">
        <is>
          <t>2018-08-14</t>
        </is>
      </c>
      <c r="B1093" s="8">
        <f>IFERROR(VLOOKUP($A1093,'01-原始价格'!$A:$M,2,FALSE),"")</f>
        <v/>
      </c>
      <c r="C1093" s="8">
        <f>IFERROR(VLOOKUP($A1093,'01-原始价格'!$A:$M,8,FALSE),"")</f>
        <v/>
      </c>
      <c r="D1093" s="10">
        <f>IFERROR(B1093/C1093,"")</f>
        <v/>
      </c>
      <c r="E1093" s="10">
        <f>IFERROR(C1093/B1093,"")</f>
        <v/>
      </c>
      <c r="F1093" s="11">
        <f>IFERROR((D1093/D1092-1)*100,"")</f>
        <v/>
      </c>
      <c r="G1093" s="11">
        <f>IFERROR((COUNTIF($D$842:$D$1093,"&lt;"&amp;D1093)+0.5*COUNTIF($D$842:$D$1093,D1093))/COUNT($D$842:$D$1093)*100,"")</f>
        <v/>
      </c>
      <c r="H1093" s="10">
        <f>IFERROR(AVERAGE($D$842:$D$1093),"")</f>
        <v/>
      </c>
      <c r="I1093" s="10" t="n">
        <v>2.201455339819702</v>
      </c>
      <c r="J1093" t="inlineStr"/>
      <c r="K1093" t="inlineStr"/>
    </row>
    <row r="1094">
      <c r="A1094" s="7" t="inlineStr">
        <is>
          <t>2018-08-15</t>
        </is>
      </c>
      <c r="B1094" s="8">
        <f>IFERROR(VLOOKUP($A1094,'01-原始价格'!$A:$M,2,FALSE),"")</f>
        <v/>
      </c>
      <c r="C1094" s="8">
        <f>IFERROR(VLOOKUP($A1094,'01-原始价格'!$A:$M,8,FALSE),"")</f>
        <v/>
      </c>
      <c r="D1094" s="10">
        <f>IFERROR(B1094/C1094,"")</f>
        <v/>
      </c>
      <c r="E1094" s="10">
        <f>IFERROR(C1094/B1094,"")</f>
        <v/>
      </c>
      <c r="F1094" s="11">
        <f>IFERROR((D1094/D1093-1)*100,"")</f>
        <v/>
      </c>
      <c r="G1094" s="11">
        <f>IFERROR((COUNTIF($D$843:$D$1094,"&lt;"&amp;D1094)+0.5*COUNTIF($D$843:$D$1094,D1094))/COUNT($D$843:$D$1094)*100,"")</f>
        <v/>
      </c>
      <c r="H1094" s="10">
        <f>IFERROR(AVERAGE($D$843:$D$1094),"")</f>
        <v/>
      </c>
      <c r="I1094" s="10" t="n">
        <v>2.18546461354976</v>
      </c>
      <c r="J1094" t="inlineStr"/>
      <c r="K1094" t="inlineStr"/>
    </row>
    <row r="1095">
      <c r="A1095" s="7" t="inlineStr">
        <is>
          <t>2018-08-16</t>
        </is>
      </c>
      <c r="B1095" s="8">
        <f>IFERROR(VLOOKUP($A1095,'01-原始价格'!$A:$M,2,FALSE),"")</f>
        <v/>
      </c>
      <c r="C1095" s="8">
        <f>IFERROR(VLOOKUP($A1095,'01-原始价格'!$A:$M,8,FALSE),"")</f>
        <v/>
      </c>
      <c r="D1095" s="10">
        <f>IFERROR(B1095/C1095,"")</f>
        <v/>
      </c>
      <c r="E1095" s="10">
        <f>IFERROR(C1095/B1095,"")</f>
        <v/>
      </c>
      <c r="F1095" s="11">
        <f>IFERROR((D1095/D1094-1)*100,"")</f>
        <v/>
      </c>
      <c r="G1095" s="11">
        <f>IFERROR((COUNTIF($D$844:$D$1095,"&lt;"&amp;D1095)+0.5*COUNTIF($D$844:$D$1095,D1095))/COUNT($D$844:$D$1095)*100,"")</f>
        <v/>
      </c>
      <c r="H1095" s="10">
        <f>IFERROR(AVERAGE($D$844:$D$1095),"")</f>
        <v/>
      </c>
      <c r="I1095" s="10" t="n">
        <v>1.785440598038511</v>
      </c>
      <c r="J1095" t="inlineStr"/>
      <c r="K1095" t="inlineStr"/>
    </row>
    <row r="1096">
      <c r="A1096" s="7" t="inlineStr">
        <is>
          <t>2018-08-17</t>
        </is>
      </c>
      <c r="B1096" s="8">
        <f>IFERROR(VLOOKUP($A1096,'01-原始价格'!$A:$M,2,FALSE),"")</f>
        <v/>
      </c>
      <c r="C1096" s="8">
        <f>IFERROR(VLOOKUP($A1096,'01-原始价格'!$A:$M,8,FALSE),"")</f>
        <v/>
      </c>
      <c r="D1096" s="10">
        <f>IFERROR(B1096/C1096,"")</f>
        <v/>
      </c>
      <c r="E1096" s="10">
        <f>IFERROR(C1096/B1096,"")</f>
        <v/>
      </c>
      <c r="F1096" s="11">
        <f>IFERROR((D1096/D1095-1)*100,"")</f>
        <v/>
      </c>
      <c r="G1096" s="11">
        <f>IFERROR((COUNTIF($D$845:$D$1096,"&lt;"&amp;D1096)+0.5*COUNTIF($D$845:$D$1096,D1096))/COUNT($D$845:$D$1096)*100,"")</f>
        <v/>
      </c>
      <c r="H1096" s="10">
        <f>IFERROR(AVERAGE($D$845:$D$1096),"")</f>
        <v/>
      </c>
      <c r="I1096" s="10" t="n">
        <v>1.598600677951777</v>
      </c>
      <c r="J1096" t="inlineStr"/>
      <c r="K1096" t="inlineStr"/>
    </row>
    <row r="1097">
      <c r="A1097" s="7" t="inlineStr">
        <is>
          <t>2018-08-20</t>
        </is>
      </c>
      <c r="B1097" s="8">
        <f>IFERROR(VLOOKUP($A1097,'01-原始价格'!$A:$M,2,FALSE),"")</f>
        <v/>
      </c>
      <c r="C1097" s="8">
        <f>IFERROR(VLOOKUP($A1097,'01-原始价格'!$A:$M,8,FALSE),"")</f>
        <v/>
      </c>
      <c r="D1097" s="10">
        <f>IFERROR(B1097/C1097,"")</f>
        <v/>
      </c>
      <c r="E1097" s="10">
        <f>IFERROR(C1097/B1097,"")</f>
        <v/>
      </c>
      <c r="F1097" s="11">
        <f>IFERROR((D1097/D1096-1)*100,"")</f>
        <v/>
      </c>
      <c r="G1097" s="11">
        <f>IFERROR((COUNTIF($D$846:$D$1097,"&lt;"&amp;D1097)+0.5*COUNTIF($D$846:$D$1097,D1097))/COUNT($D$846:$D$1097)*100,"")</f>
        <v/>
      </c>
      <c r="H1097" s="10">
        <f>IFERROR(AVERAGE($D$846:$D$1097),"")</f>
        <v/>
      </c>
      <c r="I1097" s="10" t="n">
        <v>1.532262762190569</v>
      </c>
      <c r="J1097" t="inlineStr"/>
      <c r="K1097" t="inlineStr"/>
    </row>
    <row r="1098">
      <c r="A1098" s="7" t="inlineStr">
        <is>
          <t>2018-08-21</t>
        </is>
      </c>
      <c r="B1098" s="8">
        <f>IFERROR(VLOOKUP($A1098,'01-原始价格'!$A:$M,2,FALSE),"")</f>
        <v/>
      </c>
      <c r="C1098" s="8">
        <f>IFERROR(VLOOKUP($A1098,'01-原始价格'!$A:$M,8,FALSE),"")</f>
        <v/>
      </c>
      <c r="D1098" s="10">
        <f>IFERROR(B1098/C1098,"")</f>
        <v/>
      </c>
      <c r="E1098" s="10">
        <f>IFERROR(C1098/B1098,"")</f>
        <v/>
      </c>
      <c r="F1098" s="11">
        <f>IFERROR((D1098/D1097-1)*100,"")</f>
        <v/>
      </c>
      <c r="G1098" s="11">
        <f>IFERROR((COUNTIF($D$847:$D$1098,"&lt;"&amp;D1098)+0.5*COUNTIF($D$847:$D$1098,D1098))/COUNT($D$847:$D$1098)*100,"")</f>
        <v/>
      </c>
      <c r="H1098" s="10">
        <f>IFERROR(AVERAGE($D$847:$D$1098),"")</f>
        <v/>
      </c>
      <c r="I1098" s="10" t="n">
        <v>1.312738541875201</v>
      </c>
      <c r="J1098" t="inlineStr"/>
      <c r="K1098" t="inlineStr"/>
    </row>
    <row r="1099">
      <c r="A1099" s="7" t="inlineStr">
        <is>
          <t>2018-08-22</t>
        </is>
      </c>
      <c r="B1099" s="8">
        <f>IFERROR(VLOOKUP($A1099,'01-原始价格'!$A:$M,2,FALSE),"")</f>
        <v/>
      </c>
      <c r="C1099" s="8">
        <f>IFERROR(VLOOKUP($A1099,'01-原始价格'!$A:$M,8,FALSE),"")</f>
        <v/>
      </c>
      <c r="D1099" s="10">
        <f>IFERROR(B1099/C1099,"")</f>
        <v/>
      </c>
      <c r="E1099" s="10">
        <f>IFERROR(C1099/B1099,"")</f>
        <v/>
      </c>
      <c r="F1099" s="11">
        <f>IFERROR((D1099/D1098-1)*100,"")</f>
        <v/>
      </c>
      <c r="G1099" s="11">
        <f>IFERROR((COUNTIF($D$848:$D$1099,"&lt;"&amp;D1099)+0.5*COUNTIF($D$848:$D$1099,D1099))/COUNT($D$848:$D$1099)*100,"")</f>
        <v/>
      </c>
      <c r="H1099" s="10">
        <f>IFERROR(AVERAGE($D$848:$D$1099),"")</f>
        <v/>
      </c>
      <c r="I1099" s="10" t="n">
        <v>1.031533742658442</v>
      </c>
      <c r="J1099" t="inlineStr"/>
      <c r="K1099" t="inlineStr"/>
    </row>
    <row r="1100">
      <c r="A1100" s="7" t="inlineStr">
        <is>
          <t>2018-08-23</t>
        </is>
      </c>
      <c r="B1100" s="8">
        <f>IFERROR(VLOOKUP($A1100,'01-原始价格'!$A:$M,2,FALSE),"")</f>
        <v/>
      </c>
      <c r="C1100" s="8">
        <f>IFERROR(VLOOKUP($A1100,'01-原始价格'!$A:$M,8,FALSE),"")</f>
        <v/>
      </c>
      <c r="D1100" s="10">
        <f>IFERROR(B1100/C1100,"")</f>
        <v/>
      </c>
      <c r="E1100" s="10">
        <f>IFERROR(C1100/B1100,"")</f>
        <v/>
      </c>
      <c r="F1100" s="11">
        <f>IFERROR((D1100/D1099-1)*100,"")</f>
        <v/>
      </c>
      <c r="G1100" s="11">
        <f>IFERROR((COUNTIF($D$849:$D$1100,"&lt;"&amp;D1100)+0.5*COUNTIF($D$849:$D$1100,D1100))/COUNT($D$849:$D$1100)*100,"")</f>
        <v/>
      </c>
      <c r="H1100" s="10">
        <f>IFERROR(AVERAGE($D$849:$D$1100),"")</f>
        <v/>
      </c>
      <c r="I1100" s="10" t="n">
        <v>0.7262769051385574</v>
      </c>
      <c r="J1100" t="inlineStr"/>
      <c r="K1100" t="inlineStr"/>
    </row>
    <row r="1101">
      <c r="A1101" s="7" t="inlineStr">
        <is>
          <t>2018-08-24</t>
        </is>
      </c>
      <c r="B1101" s="8">
        <f>IFERROR(VLOOKUP($A1101,'01-原始价格'!$A:$M,2,FALSE),"")</f>
        <v/>
      </c>
      <c r="C1101" s="8">
        <f>IFERROR(VLOOKUP($A1101,'01-原始价格'!$A:$M,8,FALSE),"")</f>
        <v/>
      </c>
      <c r="D1101" s="10">
        <f>IFERROR(B1101/C1101,"")</f>
        <v/>
      </c>
      <c r="E1101" s="10">
        <f>IFERROR(C1101/B1101,"")</f>
        <v/>
      </c>
      <c r="F1101" s="11">
        <f>IFERROR((D1101/D1100-1)*100,"")</f>
        <v/>
      </c>
      <c r="G1101" s="11">
        <f>IFERROR((COUNTIF($D$850:$D$1101,"&lt;"&amp;D1101)+0.5*COUNTIF($D$850:$D$1101,D1101))/COUNT($D$850:$D$1101)*100,"")</f>
        <v/>
      </c>
      <c r="H1101" s="10">
        <f>IFERROR(AVERAGE($D$850:$D$1101),"")</f>
        <v/>
      </c>
      <c r="I1101" s="10" t="n">
        <v>0.7151451902419819</v>
      </c>
      <c r="J1101" t="inlineStr"/>
      <c r="K1101" t="inlineStr"/>
    </row>
    <row r="1102">
      <c r="A1102" s="7" t="inlineStr">
        <is>
          <t>2018-08-27</t>
        </is>
      </c>
      <c r="B1102" s="8">
        <f>IFERROR(VLOOKUP($A1102,'01-原始价格'!$A:$M,2,FALSE),"")</f>
        <v/>
      </c>
      <c r="C1102" s="8">
        <f>IFERROR(VLOOKUP($A1102,'01-原始价格'!$A:$M,8,FALSE),"")</f>
        <v/>
      </c>
      <c r="D1102" s="10">
        <f>IFERROR(B1102/C1102,"")</f>
        <v/>
      </c>
      <c r="E1102" s="10">
        <f>IFERROR(C1102/B1102,"")</f>
        <v/>
      </c>
      <c r="F1102" s="11">
        <f>IFERROR((D1102/D1101-1)*100,"")</f>
        <v/>
      </c>
      <c r="G1102" s="11">
        <f>IFERROR((COUNTIF($D$851:$D$1102,"&lt;"&amp;D1102)+0.5*COUNTIF($D$851:$D$1102,D1102))/COUNT($D$851:$D$1102)*100,"")</f>
        <v/>
      </c>
      <c r="H1102" s="10">
        <f>IFERROR(AVERAGE($D$851:$D$1102),"")</f>
        <v/>
      </c>
      <c r="I1102" s="10" t="n">
        <v>0.7462833898005918</v>
      </c>
      <c r="J1102" t="inlineStr"/>
      <c r="K1102" t="inlineStr"/>
    </row>
    <row r="1103">
      <c r="A1103" s="7" t="inlineStr">
        <is>
          <t>2018-08-28</t>
        </is>
      </c>
      <c r="B1103" s="8">
        <f>IFERROR(VLOOKUP($A1103,'01-原始价格'!$A:$M,2,FALSE),"")</f>
        <v/>
      </c>
      <c r="C1103" s="8">
        <f>IFERROR(VLOOKUP($A1103,'01-原始价格'!$A:$M,8,FALSE),"")</f>
        <v/>
      </c>
      <c r="D1103" s="10">
        <f>IFERROR(B1103/C1103,"")</f>
        <v/>
      </c>
      <c r="E1103" s="10">
        <f>IFERROR(C1103/B1103,"")</f>
        <v/>
      </c>
      <c r="F1103" s="11">
        <f>IFERROR((D1103/D1102-1)*100,"")</f>
        <v/>
      </c>
      <c r="G1103" s="11">
        <f>IFERROR((COUNTIF($D$852:$D$1103,"&lt;"&amp;D1103)+0.5*COUNTIF($D$852:$D$1103,D1103))/COUNT($D$852:$D$1103)*100,"")</f>
        <v/>
      </c>
      <c r="H1103" s="10">
        <f>IFERROR(AVERAGE($D$852:$D$1103),"")</f>
        <v/>
      </c>
      <c r="I1103" s="10" t="n">
        <v>0.7357807065726566</v>
      </c>
      <c r="J1103" t="inlineStr"/>
      <c r="K1103" t="inlineStr"/>
    </row>
    <row r="1104">
      <c r="A1104" s="7" t="inlineStr">
        <is>
          <t>2018-08-29</t>
        </is>
      </c>
      <c r="B1104" s="8">
        <f>IFERROR(VLOOKUP($A1104,'01-原始价格'!$A:$M,2,FALSE),"")</f>
        <v/>
      </c>
      <c r="C1104" s="8">
        <f>IFERROR(VLOOKUP($A1104,'01-原始价格'!$A:$M,8,FALSE),"")</f>
        <v/>
      </c>
      <c r="D1104" s="10">
        <f>IFERROR(B1104/C1104,"")</f>
        <v/>
      </c>
      <c r="E1104" s="10">
        <f>IFERROR(C1104/B1104,"")</f>
        <v/>
      </c>
      <c r="F1104" s="11">
        <f>IFERROR((D1104/D1103-1)*100,"")</f>
        <v/>
      </c>
      <c r="G1104" s="11">
        <f>IFERROR((COUNTIF($D$853:$D$1104,"&lt;"&amp;D1104)+0.5*COUNTIF($D$853:$D$1104,D1104))/COUNT($D$853:$D$1104)*100,"")</f>
        <v/>
      </c>
      <c r="H1104" s="10">
        <f>IFERROR(AVERAGE($D$853:$D$1104),"")</f>
        <v/>
      </c>
      <c r="I1104" s="10" t="n">
        <v>1.010351427268188</v>
      </c>
      <c r="J1104" t="inlineStr"/>
      <c r="K1104" t="inlineStr"/>
    </row>
    <row r="1105">
      <c r="A1105" s="7" t="inlineStr">
        <is>
          <t>2018-08-30</t>
        </is>
      </c>
      <c r="B1105" s="8">
        <f>IFERROR(VLOOKUP($A1105,'01-原始价格'!$A:$M,2,FALSE),"")</f>
        <v/>
      </c>
      <c r="C1105" s="8">
        <f>IFERROR(VLOOKUP($A1105,'01-原始价格'!$A:$M,8,FALSE),"")</f>
        <v/>
      </c>
      <c r="D1105" s="10">
        <f>IFERROR(B1105/C1105,"")</f>
        <v/>
      </c>
      <c r="E1105" s="10">
        <f>IFERROR(C1105/B1105,"")</f>
        <v/>
      </c>
      <c r="F1105" s="11">
        <f>IFERROR((D1105/D1104-1)*100,"")</f>
        <v/>
      </c>
      <c r="G1105" s="11">
        <f>IFERROR((COUNTIF($D$854:$D$1105,"&lt;"&amp;D1105)+0.5*COUNTIF($D$854:$D$1105,D1105))/COUNT($D$854:$D$1105)*100,"")</f>
        <v/>
      </c>
      <c r="H1105" s="10">
        <f>IFERROR(AVERAGE($D$854:$D$1105),"")</f>
        <v/>
      </c>
      <c r="I1105" s="10" t="n">
        <v>0.9483686950189407</v>
      </c>
      <c r="J1105" t="inlineStr"/>
      <c r="K1105" t="inlineStr"/>
    </row>
    <row r="1106">
      <c r="A1106" s="7" t="inlineStr">
        <is>
          <t>2018-08-31</t>
        </is>
      </c>
      <c r="B1106" s="8">
        <f>IFERROR(VLOOKUP($A1106,'01-原始价格'!$A:$M,2,FALSE),"")</f>
        <v/>
      </c>
      <c r="C1106" s="8">
        <f>IFERROR(VLOOKUP($A1106,'01-原始价格'!$A:$M,8,FALSE),"")</f>
        <v/>
      </c>
      <c r="D1106" s="10">
        <f>IFERROR(B1106/C1106,"")</f>
        <v/>
      </c>
      <c r="E1106" s="10">
        <f>IFERROR(C1106/B1106,"")</f>
        <v/>
      </c>
      <c r="F1106" s="11">
        <f>IFERROR((D1106/D1105-1)*100,"")</f>
        <v/>
      </c>
      <c r="G1106" s="11">
        <f>IFERROR((COUNTIF($D$855:$D$1106,"&lt;"&amp;D1106)+0.5*COUNTIF($D$855:$D$1106,D1106))/COUNT($D$855:$D$1106)*100,"")</f>
        <v/>
      </c>
      <c r="H1106" s="10">
        <f>IFERROR(AVERAGE($D$855:$D$1106),"")</f>
        <v/>
      </c>
      <c r="I1106" s="10" t="n">
        <v>1.255382843092267</v>
      </c>
      <c r="J1106" t="inlineStr"/>
      <c r="K1106" t="inlineStr"/>
    </row>
    <row r="1107">
      <c r="A1107" s="7" t="inlineStr">
        <is>
          <t>2018-09-03</t>
        </is>
      </c>
      <c r="B1107" s="8">
        <f>IFERROR(VLOOKUP($A1107,'01-原始价格'!$A:$M,2,FALSE),"")</f>
        <v/>
      </c>
      <c r="C1107" s="8">
        <f>IFERROR(VLOOKUP($A1107,'01-原始价格'!$A:$M,8,FALSE),"")</f>
        <v/>
      </c>
      <c r="D1107" s="10">
        <f>IFERROR(B1107/C1107,"")</f>
        <v/>
      </c>
      <c r="E1107" s="10">
        <f>IFERROR(C1107/B1107,"")</f>
        <v/>
      </c>
      <c r="F1107" s="11">
        <f>IFERROR((D1107/D1106-1)*100,"")</f>
        <v/>
      </c>
      <c r="G1107" s="11">
        <f>IFERROR((COUNTIF($D$856:$D$1107,"&lt;"&amp;D1107)+0.5*COUNTIF($D$856:$D$1107,D1107))/COUNT($D$856:$D$1107)*100,"")</f>
        <v/>
      </c>
      <c r="H1107" s="10">
        <f>IFERROR(AVERAGE($D$856:$D$1107),"")</f>
        <v/>
      </c>
      <c r="I1107" s="10" t="n">
        <v>1.387421607499433</v>
      </c>
      <c r="J1107" t="inlineStr"/>
      <c r="K1107" t="inlineStr"/>
    </row>
    <row r="1108">
      <c r="A1108" s="7" t="inlineStr">
        <is>
          <t>2018-09-04</t>
        </is>
      </c>
      <c r="B1108" s="8">
        <f>IFERROR(VLOOKUP($A1108,'01-原始价格'!$A:$M,2,FALSE),"")</f>
        <v/>
      </c>
      <c r="C1108" s="8">
        <f>IFERROR(VLOOKUP($A1108,'01-原始价格'!$A:$M,8,FALSE),"")</f>
        <v/>
      </c>
      <c r="D1108" s="10">
        <f>IFERROR(B1108/C1108,"")</f>
        <v/>
      </c>
      <c r="E1108" s="10">
        <f>IFERROR(C1108/B1108,"")</f>
        <v/>
      </c>
      <c r="F1108" s="11">
        <f>IFERROR((D1108/D1107-1)*100,"")</f>
        <v/>
      </c>
      <c r="G1108" s="11">
        <f>IFERROR((COUNTIF($D$857:$D$1108,"&lt;"&amp;D1108)+0.5*COUNTIF($D$857:$D$1108,D1108))/COUNT($D$857:$D$1108)*100,"")</f>
        <v/>
      </c>
      <c r="H1108" s="10">
        <f>IFERROR(AVERAGE($D$857:$D$1108),"")</f>
        <v/>
      </c>
      <c r="I1108" s="10" t="n">
        <v>1.396895113702399</v>
      </c>
      <c r="J1108" t="inlineStr"/>
      <c r="K1108" t="inlineStr"/>
    </row>
    <row r="1109">
      <c r="A1109" s="7" t="inlineStr">
        <is>
          <t>2018-09-05</t>
        </is>
      </c>
      <c r="B1109" s="8">
        <f>IFERROR(VLOOKUP($A1109,'01-原始价格'!$A:$M,2,FALSE),"")</f>
        <v/>
      </c>
      <c r="C1109" s="8">
        <f>IFERROR(VLOOKUP($A1109,'01-原始价格'!$A:$M,8,FALSE),"")</f>
        <v/>
      </c>
      <c r="D1109" s="10">
        <f>IFERROR(B1109/C1109,"")</f>
        <v/>
      </c>
      <c r="E1109" s="10">
        <f>IFERROR(C1109/B1109,"")</f>
        <v/>
      </c>
      <c r="F1109" s="11">
        <f>IFERROR((D1109/D1108-1)*100,"")</f>
        <v/>
      </c>
      <c r="G1109" s="11">
        <f>IFERROR((COUNTIF($D$858:$D$1109,"&lt;"&amp;D1109)+0.5*COUNTIF($D$858:$D$1109,D1109))/COUNT($D$858:$D$1109)*100,"")</f>
        <v/>
      </c>
      <c r="H1109" s="10">
        <f>IFERROR(AVERAGE($D$858:$D$1109),"")</f>
        <v/>
      </c>
      <c r="I1109" s="10" t="n">
        <v>1.560844677512815</v>
      </c>
      <c r="J1109" t="inlineStr"/>
      <c r="K1109" t="inlineStr"/>
    </row>
    <row r="1110">
      <c r="A1110" s="7" t="inlineStr">
        <is>
          <t>2018-09-06</t>
        </is>
      </c>
      <c r="B1110" s="8">
        <f>IFERROR(VLOOKUP($A1110,'01-原始价格'!$A:$M,2,FALSE),"")</f>
        <v/>
      </c>
      <c r="C1110" s="8">
        <f>IFERROR(VLOOKUP($A1110,'01-原始价格'!$A:$M,8,FALSE),"")</f>
        <v/>
      </c>
      <c r="D1110" s="10">
        <f>IFERROR(B1110/C1110,"")</f>
        <v/>
      </c>
      <c r="E1110" s="10">
        <f>IFERROR(C1110/B1110,"")</f>
        <v/>
      </c>
      <c r="F1110" s="11">
        <f>IFERROR((D1110/D1109-1)*100,"")</f>
        <v/>
      </c>
      <c r="G1110" s="11">
        <f>IFERROR((COUNTIF($D$859:$D$1110,"&lt;"&amp;D1110)+0.5*COUNTIF($D$859:$D$1110,D1110))/COUNT($D$859:$D$1110)*100,"")</f>
        <v/>
      </c>
      <c r="H1110" s="10">
        <f>IFERROR(AVERAGE($D$859:$D$1110),"")</f>
        <v/>
      </c>
      <c r="I1110" s="10" t="n">
        <v>1.370428485522776</v>
      </c>
      <c r="J1110" t="inlineStr"/>
      <c r="K1110" t="inlineStr"/>
    </row>
    <row r="1111">
      <c r="A1111" s="7" t="inlineStr">
        <is>
          <t>2018-09-07</t>
        </is>
      </c>
      <c r="B1111" s="8">
        <f>IFERROR(VLOOKUP($A1111,'01-原始价格'!$A:$M,2,FALSE),"")</f>
        <v/>
      </c>
      <c r="C1111" s="8">
        <f>IFERROR(VLOOKUP($A1111,'01-原始价格'!$A:$M,8,FALSE),"")</f>
        <v/>
      </c>
      <c r="D1111" s="10">
        <f>IFERROR(B1111/C1111,"")</f>
        <v/>
      </c>
      <c r="E1111" s="10">
        <f>IFERROR(C1111/B1111,"")</f>
        <v/>
      </c>
      <c r="F1111" s="11">
        <f>IFERROR((D1111/D1110-1)*100,"")</f>
        <v/>
      </c>
      <c r="G1111" s="11">
        <f>IFERROR((COUNTIF($D$860:$D$1111,"&lt;"&amp;D1111)+0.5*COUNTIF($D$860:$D$1111,D1111))/COUNT($D$860:$D$1111)*100,"")</f>
        <v/>
      </c>
      <c r="H1111" s="10">
        <f>IFERROR(AVERAGE($D$860:$D$1111),"")</f>
        <v/>
      </c>
      <c r="I1111" s="10" t="n">
        <v>1.605228762848437</v>
      </c>
      <c r="J1111" t="inlineStr"/>
      <c r="K1111" t="inlineStr"/>
    </row>
    <row r="1112">
      <c r="A1112" s="7" t="inlineStr">
        <is>
          <t>2018-09-10</t>
        </is>
      </c>
      <c r="B1112" s="8">
        <f>IFERROR(VLOOKUP($A1112,'01-原始价格'!$A:$M,2,FALSE),"")</f>
        <v/>
      </c>
      <c r="C1112" s="8">
        <f>IFERROR(VLOOKUP($A1112,'01-原始价格'!$A:$M,8,FALSE),"")</f>
        <v/>
      </c>
      <c r="D1112" s="10">
        <f>IFERROR(B1112/C1112,"")</f>
        <v/>
      </c>
      <c r="E1112" s="10">
        <f>IFERROR(C1112/B1112,"")</f>
        <v/>
      </c>
      <c r="F1112" s="11">
        <f>IFERROR((D1112/D1111-1)*100,"")</f>
        <v/>
      </c>
      <c r="G1112" s="11">
        <f>IFERROR((COUNTIF($D$861:$D$1112,"&lt;"&amp;D1112)+0.5*COUNTIF($D$861:$D$1112,D1112))/COUNT($D$861:$D$1112)*100,"")</f>
        <v/>
      </c>
      <c r="H1112" s="10">
        <f>IFERROR(AVERAGE($D$861:$D$1112),"")</f>
        <v/>
      </c>
      <c r="I1112" s="10" t="n">
        <v>1.78394805100496</v>
      </c>
      <c r="J1112" t="inlineStr"/>
      <c r="K1112" t="inlineStr"/>
    </row>
    <row r="1113">
      <c r="A1113" s="7" t="inlineStr">
        <is>
          <t>2018-09-11</t>
        </is>
      </c>
      <c r="B1113" s="8">
        <f>IFERROR(VLOOKUP($A1113,'01-原始价格'!$A:$M,2,FALSE),"")</f>
        <v/>
      </c>
      <c r="C1113" s="8">
        <f>IFERROR(VLOOKUP($A1113,'01-原始价格'!$A:$M,8,FALSE),"")</f>
        <v/>
      </c>
      <c r="D1113" s="10">
        <f>IFERROR(B1113/C1113,"")</f>
        <v/>
      </c>
      <c r="E1113" s="10">
        <f>IFERROR(C1113/B1113,"")</f>
        <v/>
      </c>
      <c r="F1113" s="11">
        <f>IFERROR((D1113/D1112-1)*100,"")</f>
        <v/>
      </c>
      <c r="G1113" s="11">
        <f>IFERROR((COUNTIF($D$862:$D$1113,"&lt;"&amp;D1113)+0.5*COUNTIF($D$862:$D$1113,D1113))/COUNT($D$862:$D$1113)*100,"")</f>
        <v/>
      </c>
      <c r="H1113" s="10">
        <f>IFERROR(AVERAGE($D$862:$D$1113),"")</f>
        <v/>
      </c>
      <c r="I1113" s="10" t="n">
        <v>1.584998757199299</v>
      </c>
      <c r="J1113" t="inlineStr"/>
      <c r="K1113" t="inlineStr"/>
    </row>
    <row r="1114">
      <c r="A1114" s="7" t="inlineStr">
        <is>
          <t>2018-09-12</t>
        </is>
      </c>
      <c r="B1114" s="8">
        <f>IFERROR(VLOOKUP($A1114,'01-原始价格'!$A:$M,2,FALSE),"")</f>
        <v/>
      </c>
      <c r="C1114" s="8">
        <f>IFERROR(VLOOKUP($A1114,'01-原始价格'!$A:$M,8,FALSE),"")</f>
        <v/>
      </c>
      <c r="D1114" s="10">
        <f>IFERROR(B1114/C1114,"")</f>
        <v/>
      </c>
      <c r="E1114" s="10">
        <f>IFERROR(C1114/B1114,"")</f>
        <v/>
      </c>
      <c r="F1114" s="11">
        <f>IFERROR((D1114/D1113-1)*100,"")</f>
        <v/>
      </c>
      <c r="G1114" s="11">
        <f>IFERROR((COUNTIF($D$863:$D$1114,"&lt;"&amp;D1114)+0.5*COUNTIF($D$863:$D$1114,D1114))/COUNT($D$863:$D$1114)*100,"")</f>
        <v/>
      </c>
      <c r="H1114" s="10">
        <f>IFERROR(AVERAGE($D$863:$D$1114),"")</f>
        <v/>
      </c>
      <c r="I1114" s="10" t="n">
        <v>1.336875303108019</v>
      </c>
      <c r="J1114" t="inlineStr"/>
      <c r="K1114" t="inlineStr"/>
    </row>
    <row r="1115">
      <c r="A1115" s="7" t="inlineStr">
        <is>
          <t>2018-09-13</t>
        </is>
      </c>
      <c r="B1115" s="8">
        <f>IFERROR(VLOOKUP($A1115,'01-原始价格'!$A:$M,2,FALSE),"")</f>
        <v/>
      </c>
      <c r="C1115" s="8">
        <f>IFERROR(VLOOKUP($A1115,'01-原始价格'!$A:$M,8,FALSE),"")</f>
        <v/>
      </c>
      <c r="D1115" s="10">
        <f>IFERROR(B1115/C1115,"")</f>
        <v/>
      </c>
      <c r="E1115" s="10">
        <f>IFERROR(C1115/B1115,"")</f>
        <v/>
      </c>
      <c r="F1115" s="11">
        <f>IFERROR((D1115/D1114-1)*100,"")</f>
        <v/>
      </c>
      <c r="G1115" s="11">
        <f>IFERROR((COUNTIF($D$864:$D$1115,"&lt;"&amp;D1115)+0.5*COUNTIF($D$864:$D$1115,D1115))/COUNT($D$864:$D$1115)*100,"")</f>
        <v/>
      </c>
      <c r="H1115" s="10">
        <f>IFERROR(AVERAGE($D$864:$D$1115),"")</f>
        <v/>
      </c>
      <c r="I1115" s="10" t="n">
        <v>1.25264366929576</v>
      </c>
      <c r="J1115" t="inlineStr"/>
      <c r="K1115" t="inlineStr"/>
    </row>
    <row r="1116">
      <c r="A1116" s="7" t="inlineStr">
        <is>
          <t>2018-09-14</t>
        </is>
      </c>
      <c r="B1116" s="8">
        <f>IFERROR(VLOOKUP($A1116,'01-原始价格'!$A:$M,2,FALSE),"")</f>
        <v/>
      </c>
      <c r="C1116" s="8">
        <f>IFERROR(VLOOKUP($A1116,'01-原始价格'!$A:$M,8,FALSE),"")</f>
        <v/>
      </c>
      <c r="D1116" s="10">
        <f>IFERROR(B1116/C1116,"")</f>
        <v/>
      </c>
      <c r="E1116" s="10">
        <f>IFERROR(C1116/B1116,"")</f>
        <v/>
      </c>
      <c r="F1116" s="11">
        <f>IFERROR((D1116/D1115-1)*100,"")</f>
        <v/>
      </c>
      <c r="G1116" s="11">
        <f>IFERROR((COUNTIF($D$865:$D$1116,"&lt;"&amp;D1116)+0.5*COUNTIF($D$865:$D$1116,D1116))/COUNT($D$865:$D$1116)*100,"")</f>
        <v/>
      </c>
      <c r="H1116" s="10">
        <f>IFERROR(AVERAGE($D$865:$D$1116),"")</f>
        <v/>
      </c>
      <c r="I1116" s="10" t="n">
        <v>1.256797064182958</v>
      </c>
      <c r="J1116" t="inlineStr"/>
      <c r="K1116" t="inlineStr"/>
    </row>
    <row r="1117">
      <c r="A1117" s="7" t="inlineStr">
        <is>
          <t>2018-09-17</t>
        </is>
      </c>
      <c r="B1117" s="8">
        <f>IFERROR(VLOOKUP($A1117,'01-原始价格'!$A:$M,2,FALSE),"")</f>
        <v/>
      </c>
      <c r="C1117" s="8">
        <f>IFERROR(VLOOKUP($A1117,'01-原始价格'!$A:$M,8,FALSE),"")</f>
        <v/>
      </c>
      <c r="D1117" s="10">
        <f>IFERROR(B1117/C1117,"")</f>
        <v/>
      </c>
      <c r="E1117" s="10">
        <f>IFERROR(C1117/B1117,"")</f>
        <v/>
      </c>
      <c r="F1117" s="11">
        <f>IFERROR((D1117/D1116-1)*100,"")</f>
        <v/>
      </c>
      <c r="G1117" s="11">
        <f>IFERROR((COUNTIF($D$866:$D$1117,"&lt;"&amp;D1117)+0.5*COUNTIF($D$866:$D$1117,D1117))/COUNT($D$866:$D$1117)*100,"")</f>
        <v/>
      </c>
      <c r="H1117" s="10">
        <f>IFERROR(AVERAGE($D$866:$D$1117),"")</f>
        <v/>
      </c>
      <c r="I1117" s="10" t="n">
        <v>1.604922444763956</v>
      </c>
      <c r="J1117" t="inlineStr"/>
      <c r="K1117" t="inlineStr"/>
    </row>
    <row r="1118">
      <c r="A1118" s="7" t="inlineStr">
        <is>
          <t>2018-09-18</t>
        </is>
      </c>
      <c r="B1118" s="8">
        <f>IFERROR(VLOOKUP($A1118,'01-原始价格'!$A:$M,2,FALSE),"")</f>
        <v/>
      </c>
      <c r="C1118" s="8">
        <f>IFERROR(VLOOKUP($A1118,'01-原始价格'!$A:$M,8,FALSE),"")</f>
        <v/>
      </c>
      <c r="D1118" s="10">
        <f>IFERROR(B1118/C1118,"")</f>
        <v/>
      </c>
      <c r="E1118" s="10">
        <f>IFERROR(C1118/B1118,"")</f>
        <v/>
      </c>
      <c r="F1118" s="11">
        <f>IFERROR((D1118/D1117-1)*100,"")</f>
        <v/>
      </c>
      <c r="G1118" s="11">
        <f>IFERROR((COUNTIF($D$867:$D$1118,"&lt;"&amp;D1118)+0.5*COUNTIF($D$867:$D$1118,D1118))/COUNT($D$867:$D$1118)*100,"")</f>
        <v/>
      </c>
      <c r="H1118" s="10">
        <f>IFERROR(AVERAGE($D$867:$D$1118),"")</f>
        <v/>
      </c>
      <c r="I1118" s="10" t="n">
        <v>1.705473973795012</v>
      </c>
      <c r="J1118" t="inlineStr"/>
      <c r="K1118" t="inlineStr"/>
    </row>
    <row r="1119">
      <c r="A1119" s="7" t="inlineStr">
        <is>
          <t>2018-09-19</t>
        </is>
      </c>
      <c r="B1119" s="8">
        <f>IFERROR(VLOOKUP($A1119,'01-原始价格'!$A:$M,2,FALSE),"")</f>
        <v/>
      </c>
      <c r="C1119" s="8">
        <f>IFERROR(VLOOKUP($A1119,'01-原始价格'!$A:$M,8,FALSE),"")</f>
        <v/>
      </c>
      <c r="D1119" s="10">
        <f>IFERROR(B1119/C1119,"")</f>
        <v/>
      </c>
      <c r="E1119" s="10">
        <f>IFERROR(C1119/B1119,"")</f>
        <v/>
      </c>
      <c r="F1119" s="11">
        <f>IFERROR((D1119/D1118-1)*100,"")</f>
        <v/>
      </c>
      <c r="G1119" s="11">
        <f>IFERROR((COUNTIF($D$868:$D$1119,"&lt;"&amp;D1119)+0.5*COUNTIF($D$868:$D$1119,D1119))/COUNT($D$868:$D$1119)*100,"")</f>
        <v/>
      </c>
      <c r="H1119" s="10">
        <f>IFERROR(AVERAGE($D$868:$D$1119),"")</f>
        <v/>
      </c>
      <c r="I1119" s="10" t="n">
        <v>1.597611627659291</v>
      </c>
      <c r="J1119" t="inlineStr"/>
      <c r="K1119" t="inlineStr"/>
    </row>
    <row r="1120">
      <c r="A1120" s="7" t="inlineStr">
        <is>
          <t>2018-09-20</t>
        </is>
      </c>
      <c r="B1120" s="8">
        <f>IFERROR(VLOOKUP($A1120,'01-原始价格'!$A:$M,2,FALSE),"")</f>
        <v/>
      </c>
      <c r="C1120" s="8">
        <f>IFERROR(VLOOKUP($A1120,'01-原始价格'!$A:$M,8,FALSE),"")</f>
        <v/>
      </c>
      <c r="D1120" s="10">
        <f>IFERROR(B1120/C1120,"")</f>
        <v/>
      </c>
      <c r="E1120" s="10">
        <f>IFERROR(C1120/B1120,"")</f>
        <v/>
      </c>
      <c r="F1120" s="11">
        <f>IFERROR((D1120/D1119-1)*100,"")</f>
        <v/>
      </c>
      <c r="G1120" s="11">
        <f>IFERROR((COUNTIF($D$869:$D$1120,"&lt;"&amp;D1120)+0.5*COUNTIF($D$869:$D$1120,D1120))/COUNT($D$869:$D$1120)*100,"")</f>
        <v/>
      </c>
      <c r="H1120" s="10">
        <f>IFERROR(AVERAGE($D$869:$D$1120),"")</f>
        <v/>
      </c>
      <c r="I1120" s="10" t="n">
        <v>1.526194901761031</v>
      </c>
      <c r="J1120" t="inlineStr"/>
      <c r="K1120" t="inlineStr"/>
    </row>
    <row r="1121">
      <c r="A1121" s="7" t="inlineStr">
        <is>
          <t>2018-09-21</t>
        </is>
      </c>
      <c r="B1121" s="8">
        <f>IFERROR(VLOOKUP($A1121,'01-原始价格'!$A:$M,2,FALSE),"")</f>
        <v/>
      </c>
      <c r="C1121" s="8">
        <f>IFERROR(VLOOKUP($A1121,'01-原始价格'!$A:$M,8,FALSE),"")</f>
        <v/>
      </c>
      <c r="D1121" s="10">
        <f>IFERROR(B1121/C1121,"")</f>
        <v/>
      </c>
      <c r="E1121" s="10">
        <f>IFERROR(C1121/B1121,"")</f>
        <v/>
      </c>
      <c r="F1121" s="11">
        <f>IFERROR((D1121/D1120-1)*100,"")</f>
        <v/>
      </c>
      <c r="G1121" s="11">
        <f>IFERROR((COUNTIF($D$870:$D$1121,"&lt;"&amp;D1121)+0.5*COUNTIF($D$870:$D$1121,D1121))/COUNT($D$870:$D$1121)*100,"")</f>
        <v/>
      </c>
      <c r="H1121" s="10">
        <f>IFERROR(AVERAGE($D$870:$D$1121),"")</f>
        <v/>
      </c>
      <c r="I1121" s="10" t="n">
        <v>1.609492324717761</v>
      </c>
      <c r="J1121" t="inlineStr"/>
      <c r="K1121" t="inlineStr"/>
    </row>
    <row r="1122">
      <c r="A1122" s="7" t="inlineStr">
        <is>
          <t>2018-09-25</t>
        </is>
      </c>
      <c r="B1122" s="8">
        <f>IFERROR(VLOOKUP($A1122,'01-原始价格'!$A:$M,2,FALSE),"")</f>
        <v/>
      </c>
      <c r="C1122" s="8">
        <f>IFERROR(VLOOKUP($A1122,'01-原始价格'!$A:$M,8,FALSE),"")</f>
        <v/>
      </c>
      <c r="D1122" s="10">
        <f>IFERROR(B1122/C1122,"")</f>
        <v/>
      </c>
      <c r="E1122" s="10">
        <f>IFERROR(C1122/B1122,"")</f>
        <v/>
      </c>
      <c r="F1122" s="11">
        <f>IFERROR((D1122/D1121-1)*100,"")</f>
        <v/>
      </c>
      <c r="G1122" s="11">
        <f>IFERROR((COUNTIF($D$871:$D$1122,"&lt;"&amp;D1122)+0.5*COUNTIF($D$871:$D$1122,D1122))/COUNT($D$871:$D$1122)*100,"")</f>
        <v/>
      </c>
      <c r="H1122" s="10">
        <f>IFERROR(AVERAGE($D$871:$D$1122),"")</f>
        <v/>
      </c>
      <c r="I1122" s="10" t="n">
        <v>1.433001912226897</v>
      </c>
      <c r="J1122" t="inlineStr"/>
      <c r="K1122" t="inlineStr"/>
    </row>
    <row r="1123">
      <c r="A1123" s="7" t="inlineStr">
        <is>
          <t>2018-09-26</t>
        </is>
      </c>
      <c r="B1123" s="8">
        <f>IFERROR(VLOOKUP($A1123,'01-原始价格'!$A:$M,2,FALSE),"")</f>
        <v/>
      </c>
      <c r="C1123" s="8">
        <f>IFERROR(VLOOKUP($A1123,'01-原始价格'!$A:$M,8,FALSE),"")</f>
        <v/>
      </c>
      <c r="D1123" s="10">
        <f>IFERROR(B1123/C1123,"")</f>
        <v/>
      </c>
      <c r="E1123" s="10">
        <f>IFERROR(C1123/B1123,"")</f>
        <v/>
      </c>
      <c r="F1123" s="11">
        <f>IFERROR((D1123/D1122-1)*100,"")</f>
        <v/>
      </c>
      <c r="G1123" s="11">
        <f>IFERROR((COUNTIF($D$872:$D$1123,"&lt;"&amp;D1123)+0.5*COUNTIF($D$872:$D$1123,D1123))/COUNT($D$872:$D$1123)*100,"")</f>
        <v/>
      </c>
      <c r="H1123" s="10">
        <f>IFERROR(AVERAGE($D$872:$D$1123),"")</f>
        <v/>
      </c>
      <c r="I1123" s="10" t="n">
        <v>1.383652005433984</v>
      </c>
      <c r="J1123" t="inlineStr"/>
      <c r="K1123" t="inlineStr"/>
    </row>
    <row r="1124">
      <c r="A1124" s="7" t="inlineStr">
        <is>
          <t>2018-09-27</t>
        </is>
      </c>
      <c r="B1124" s="8">
        <f>IFERROR(VLOOKUP($A1124,'01-原始价格'!$A:$M,2,FALSE),"")</f>
        <v/>
      </c>
      <c r="C1124" s="8">
        <f>IFERROR(VLOOKUP($A1124,'01-原始价格'!$A:$M,8,FALSE),"")</f>
        <v/>
      </c>
      <c r="D1124" s="10">
        <f>IFERROR(B1124/C1124,"")</f>
        <v/>
      </c>
      <c r="E1124" s="10">
        <f>IFERROR(C1124/B1124,"")</f>
        <v/>
      </c>
      <c r="F1124" s="11">
        <f>IFERROR((D1124/D1123-1)*100,"")</f>
        <v/>
      </c>
      <c r="G1124" s="11">
        <f>IFERROR((COUNTIF($D$873:$D$1124,"&lt;"&amp;D1124)+0.5*COUNTIF($D$873:$D$1124,D1124))/COUNT($D$873:$D$1124)*100,"")</f>
        <v/>
      </c>
      <c r="H1124" s="10">
        <f>IFERROR(AVERAGE($D$873:$D$1124),"")</f>
        <v/>
      </c>
      <c r="I1124" s="10" t="n">
        <v>1.456033483678511</v>
      </c>
      <c r="J1124" t="inlineStr"/>
      <c r="K1124" t="inlineStr"/>
    </row>
    <row r="1125">
      <c r="A1125" s="7" t="inlineStr">
        <is>
          <t>2018-09-28</t>
        </is>
      </c>
      <c r="B1125" s="8">
        <f>IFERROR(VLOOKUP($A1125,'01-原始价格'!$A:$M,2,FALSE),"")</f>
        <v/>
      </c>
      <c r="C1125" s="8">
        <f>IFERROR(VLOOKUP($A1125,'01-原始价格'!$A:$M,8,FALSE),"")</f>
        <v/>
      </c>
      <c r="D1125" s="10">
        <f>IFERROR(B1125/C1125,"")</f>
        <v/>
      </c>
      <c r="E1125" s="10">
        <f>IFERROR(C1125/B1125,"")</f>
        <v/>
      </c>
      <c r="F1125" s="11">
        <f>IFERROR((D1125/D1124-1)*100,"")</f>
        <v/>
      </c>
      <c r="G1125" s="11">
        <f>IFERROR((COUNTIF($D$874:$D$1125,"&lt;"&amp;D1125)+0.5*COUNTIF($D$874:$D$1125,D1125))/COUNT($D$874:$D$1125)*100,"")</f>
        <v/>
      </c>
      <c r="H1125" s="10">
        <f>IFERROR(AVERAGE($D$874:$D$1125),"")</f>
        <v/>
      </c>
      <c r="I1125" s="10" t="n">
        <v>1.398602528803337</v>
      </c>
      <c r="J1125" t="inlineStr"/>
      <c r="K1125" t="inlineStr"/>
    </row>
    <row r="1126">
      <c r="A1126" s="7" t="inlineStr">
        <is>
          <t>2018-10-08</t>
        </is>
      </c>
      <c r="B1126" s="8">
        <f>IFERROR(VLOOKUP($A1126,'01-原始价格'!$A:$M,2,FALSE),"")</f>
        <v/>
      </c>
      <c r="C1126" s="8">
        <f>IFERROR(VLOOKUP($A1126,'01-原始价格'!$A:$M,8,FALSE),"")</f>
        <v/>
      </c>
      <c r="D1126" s="10">
        <f>IFERROR(B1126/C1126,"")</f>
        <v/>
      </c>
      <c r="E1126" s="10">
        <f>IFERROR(C1126/B1126,"")</f>
        <v/>
      </c>
      <c r="F1126" s="11">
        <f>IFERROR((D1126/D1125-1)*100,"")</f>
        <v/>
      </c>
      <c r="G1126" s="11">
        <f>IFERROR((COUNTIF($D$875:$D$1126,"&lt;"&amp;D1126)+0.5*COUNTIF($D$875:$D$1126,D1126))/COUNT($D$875:$D$1126)*100,"")</f>
        <v/>
      </c>
      <c r="H1126" s="10">
        <f>IFERROR(AVERAGE($D$875:$D$1126),"")</f>
        <v/>
      </c>
      <c r="I1126" s="10" t="n">
        <v>1.890633119392761</v>
      </c>
      <c r="J1126" t="inlineStr"/>
      <c r="K1126" t="inlineStr"/>
    </row>
    <row r="1127">
      <c r="A1127" s="7" t="inlineStr">
        <is>
          <t>2018-10-09</t>
        </is>
      </c>
      <c r="B1127" s="8">
        <f>IFERROR(VLOOKUP($A1127,'01-原始价格'!$A:$M,2,FALSE),"")</f>
        <v/>
      </c>
      <c r="C1127" s="8">
        <f>IFERROR(VLOOKUP($A1127,'01-原始价格'!$A:$M,8,FALSE),"")</f>
        <v/>
      </c>
      <c r="D1127" s="10">
        <f>IFERROR(B1127/C1127,"")</f>
        <v/>
      </c>
      <c r="E1127" s="10">
        <f>IFERROR(C1127/B1127,"")</f>
        <v/>
      </c>
      <c r="F1127" s="11">
        <f>IFERROR((D1127/D1126-1)*100,"")</f>
        <v/>
      </c>
      <c r="G1127" s="11">
        <f>IFERROR((COUNTIF($D$876:$D$1127,"&lt;"&amp;D1127)+0.5*COUNTIF($D$876:$D$1127,D1127))/COUNT($D$876:$D$1127)*100,"")</f>
        <v/>
      </c>
      <c r="H1127" s="10">
        <f>IFERROR(AVERAGE($D$876:$D$1127),"")</f>
        <v/>
      </c>
      <c r="I1127" s="10" t="n">
        <v>2.136720477387785</v>
      </c>
      <c r="J1127" t="inlineStr"/>
      <c r="K1127" t="inlineStr"/>
    </row>
    <row r="1128">
      <c r="A1128" s="7" t="inlineStr">
        <is>
          <t>2018-10-10</t>
        </is>
      </c>
      <c r="B1128" s="8">
        <f>IFERROR(VLOOKUP($A1128,'01-原始价格'!$A:$M,2,FALSE),"")</f>
        <v/>
      </c>
      <c r="C1128" s="8">
        <f>IFERROR(VLOOKUP($A1128,'01-原始价格'!$A:$M,8,FALSE),"")</f>
        <v/>
      </c>
      <c r="D1128" s="10">
        <f>IFERROR(B1128/C1128,"")</f>
        <v/>
      </c>
      <c r="E1128" s="10">
        <f>IFERROR(C1128/B1128,"")</f>
        <v/>
      </c>
      <c r="F1128" s="11">
        <f>IFERROR((D1128/D1127-1)*100,"")</f>
        <v/>
      </c>
      <c r="G1128" s="11">
        <f>IFERROR((COUNTIF($D$877:$D$1128,"&lt;"&amp;D1128)+0.5*COUNTIF($D$877:$D$1128,D1128))/COUNT($D$877:$D$1128)*100,"")</f>
        <v/>
      </c>
      <c r="H1128" s="10">
        <f>IFERROR(AVERAGE($D$877:$D$1128),"")</f>
        <v/>
      </c>
      <c r="I1128" s="10" t="n">
        <v>2.651211191715507</v>
      </c>
      <c r="J1128" t="inlineStr"/>
      <c r="K1128" t="inlineStr"/>
    </row>
    <row r="1129">
      <c r="A1129" s="7" t="inlineStr">
        <is>
          <t>2018-10-11</t>
        </is>
      </c>
      <c r="B1129" s="8">
        <f>IFERROR(VLOOKUP($A1129,'01-原始价格'!$A:$M,2,FALSE),"")</f>
        <v/>
      </c>
      <c r="C1129" s="8">
        <f>IFERROR(VLOOKUP($A1129,'01-原始价格'!$A:$M,8,FALSE),"")</f>
        <v/>
      </c>
      <c r="D1129" s="10">
        <f>IFERROR(B1129/C1129,"")</f>
        <v/>
      </c>
      <c r="E1129" s="10">
        <f>IFERROR(C1129/B1129,"")</f>
        <v/>
      </c>
      <c r="F1129" s="11">
        <f>IFERROR((D1129/D1128-1)*100,"")</f>
        <v/>
      </c>
      <c r="G1129" s="11">
        <f>IFERROR((COUNTIF($D$878:$D$1129,"&lt;"&amp;D1129)+0.5*COUNTIF($D$878:$D$1129,D1129))/COUNT($D$878:$D$1129)*100,"")</f>
        <v/>
      </c>
      <c r="H1129" s="10">
        <f>IFERROR(AVERAGE($D$878:$D$1129),"")</f>
        <v/>
      </c>
      <c r="I1129" s="10" t="n">
        <v>2.626139961332122</v>
      </c>
      <c r="J1129" t="inlineStr"/>
      <c r="K1129" t="inlineStr"/>
    </row>
    <row r="1130">
      <c r="A1130" s="7" t="inlineStr">
        <is>
          <t>2018-10-12</t>
        </is>
      </c>
      <c r="B1130" s="8">
        <f>IFERROR(VLOOKUP($A1130,'01-原始价格'!$A:$M,2,FALSE),"")</f>
        <v/>
      </c>
      <c r="C1130" s="8">
        <f>IFERROR(VLOOKUP($A1130,'01-原始价格'!$A:$M,8,FALSE),"")</f>
        <v/>
      </c>
      <c r="D1130" s="10">
        <f>IFERROR(B1130/C1130,"")</f>
        <v/>
      </c>
      <c r="E1130" s="10">
        <f>IFERROR(C1130/B1130,"")</f>
        <v/>
      </c>
      <c r="F1130" s="11">
        <f>IFERROR((D1130/D1129-1)*100,"")</f>
        <v/>
      </c>
      <c r="G1130" s="11">
        <f>IFERROR((COUNTIF($D$879:$D$1130,"&lt;"&amp;D1130)+0.5*COUNTIF($D$879:$D$1130,D1130))/COUNT($D$879:$D$1130)*100,"")</f>
        <v/>
      </c>
      <c r="H1130" s="10">
        <f>IFERROR(AVERAGE($D$879:$D$1130),"")</f>
        <v/>
      </c>
      <c r="I1130" s="10" t="n">
        <v>2.479798966741787</v>
      </c>
      <c r="J1130" t="inlineStr"/>
      <c r="K1130" t="inlineStr"/>
    </row>
    <row r="1131">
      <c r="A1131" s="7" t="inlineStr">
        <is>
          <t>2018-10-15</t>
        </is>
      </c>
      <c r="B1131" s="8">
        <f>IFERROR(VLOOKUP($A1131,'01-原始价格'!$A:$M,2,FALSE),"")</f>
        <v/>
      </c>
      <c r="C1131" s="8">
        <f>IFERROR(VLOOKUP($A1131,'01-原始价格'!$A:$M,8,FALSE),"")</f>
        <v/>
      </c>
      <c r="D1131" s="10">
        <f>IFERROR(B1131/C1131,"")</f>
        <v/>
      </c>
      <c r="E1131" s="10">
        <f>IFERROR(C1131/B1131,"")</f>
        <v/>
      </c>
      <c r="F1131" s="11">
        <f>IFERROR((D1131/D1130-1)*100,"")</f>
        <v/>
      </c>
      <c r="G1131" s="11">
        <f>IFERROR((COUNTIF($D$880:$D$1131,"&lt;"&amp;D1131)+0.5*COUNTIF($D$880:$D$1131,D1131))/COUNT($D$880:$D$1131)*100,"")</f>
        <v/>
      </c>
      <c r="H1131" s="10">
        <f>IFERROR(AVERAGE($D$880:$D$1131),"")</f>
        <v/>
      </c>
      <c r="I1131" s="10" t="n">
        <v>2.158927277807962</v>
      </c>
      <c r="J1131" t="inlineStr"/>
      <c r="K1131" t="inlineStr"/>
    </row>
    <row r="1132">
      <c r="A1132" s="7" t="inlineStr">
        <is>
          <t>2018-10-16</t>
        </is>
      </c>
      <c r="B1132" s="8">
        <f>IFERROR(VLOOKUP($A1132,'01-原始价格'!$A:$M,2,FALSE),"")</f>
        <v/>
      </c>
      <c r="C1132" s="8">
        <f>IFERROR(VLOOKUP($A1132,'01-原始价格'!$A:$M,8,FALSE),"")</f>
        <v/>
      </c>
      <c r="D1132" s="10">
        <f>IFERROR(B1132/C1132,"")</f>
        <v/>
      </c>
      <c r="E1132" s="10">
        <f>IFERROR(C1132/B1132,"")</f>
        <v/>
      </c>
      <c r="F1132" s="11">
        <f>IFERROR((D1132/D1131-1)*100,"")</f>
        <v/>
      </c>
      <c r="G1132" s="11">
        <f>IFERROR((COUNTIF($D$881:$D$1132,"&lt;"&amp;D1132)+0.5*COUNTIF($D$881:$D$1132,D1132))/COUNT($D$881:$D$1132)*100,"")</f>
        <v/>
      </c>
      <c r="H1132" s="10">
        <f>IFERROR(AVERAGE($D$881:$D$1132),"")</f>
        <v/>
      </c>
      <c r="I1132" s="10" t="n">
        <v>2.178058686175427</v>
      </c>
      <c r="J1132" t="inlineStr"/>
      <c r="K1132" t="inlineStr"/>
    </row>
    <row r="1133">
      <c r="A1133" s="7" t="inlineStr">
        <is>
          <t>2018-10-17</t>
        </is>
      </c>
      <c r="B1133" s="8">
        <f>IFERROR(VLOOKUP($A1133,'01-原始价格'!$A:$M,2,FALSE),"")</f>
        <v/>
      </c>
      <c r="C1133" s="8">
        <f>IFERROR(VLOOKUP($A1133,'01-原始价格'!$A:$M,8,FALSE),"")</f>
        <v/>
      </c>
      <c r="D1133" s="10">
        <f>IFERROR(B1133/C1133,"")</f>
        <v/>
      </c>
      <c r="E1133" s="10">
        <f>IFERROR(C1133/B1133,"")</f>
        <v/>
      </c>
      <c r="F1133" s="11">
        <f>IFERROR((D1133/D1132-1)*100,"")</f>
        <v/>
      </c>
      <c r="G1133" s="11">
        <f>IFERROR((COUNTIF($D$882:$D$1133,"&lt;"&amp;D1133)+0.5*COUNTIF($D$882:$D$1133,D1133))/COUNT($D$882:$D$1133)*100,"")</f>
        <v/>
      </c>
      <c r="H1133" s="10">
        <f>IFERROR(AVERAGE($D$882:$D$1133),"")</f>
        <v/>
      </c>
      <c r="I1133" s="10" t="n">
        <v>2.275884337341272</v>
      </c>
      <c r="J1133" t="inlineStr"/>
      <c r="K1133" t="inlineStr"/>
    </row>
    <row r="1134">
      <c r="A1134" s="7" t="inlineStr">
        <is>
          <t>2018-10-18</t>
        </is>
      </c>
      <c r="B1134" s="8">
        <f>IFERROR(VLOOKUP($A1134,'01-原始价格'!$A:$M,2,FALSE),"")</f>
        <v/>
      </c>
      <c r="C1134" s="8">
        <f>IFERROR(VLOOKUP($A1134,'01-原始价格'!$A:$M,8,FALSE),"")</f>
        <v/>
      </c>
      <c r="D1134" s="10">
        <f>IFERROR(B1134/C1134,"")</f>
        <v/>
      </c>
      <c r="E1134" s="10">
        <f>IFERROR(C1134/B1134,"")</f>
        <v/>
      </c>
      <c r="F1134" s="11">
        <f>IFERROR((D1134/D1133-1)*100,"")</f>
        <v/>
      </c>
      <c r="G1134" s="11">
        <f>IFERROR((COUNTIF($D$883:$D$1134,"&lt;"&amp;D1134)+0.5*COUNTIF($D$883:$D$1134,D1134))/COUNT($D$883:$D$1134)*100,"")</f>
        <v/>
      </c>
      <c r="H1134" s="10">
        <f>IFERROR(AVERAGE($D$883:$D$1134),"")</f>
        <v/>
      </c>
      <c r="I1134" s="10" t="n">
        <v>2.328794124555973</v>
      </c>
      <c r="J1134" t="inlineStr"/>
      <c r="K1134" t="inlineStr"/>
    </row>
    <row r="1135">
      <c r="A1135" s="7" t="inlineStr">
        <is>
          <t>2018-10-19</t>
        </is>
      </c>
      <c r="B1135" s="8">
        <f>IFERROR(VLOOKUP($A1135,'01-原始价格'!$A:$M,2,FALSE),"")</f>
        <v/>
      </c>
      <c r="C1135" s="8">
        <f>IFERROR(VLOOKUP($A1135,'01-原始价格'!$A:$M,8,FALSE),"")</f>
        <v/>
      </c>
      <c r="D1135" s="10">
        <f>IFERROR(B1135/C1135,"")</f>
        <v/>
      </c>
      <c r="E1135" s="10">
        <f>IFERROR(C1135/B1135,"")</f>
        <v/>
      </c>
      <c r="F1135" s="11">
        <f>IFERROR((D1135/D1134-1)*100,"")</f>
        <v/>
      </c>
      <c r="G1135" s="11">
        <f>IFERROR((COUNTIF($D$884:$D$1135,"&lt;"&amp;D1135)+0.5*COUNTIF($D$884:$D$1135,D1135))/COUNT($D$884:$D$1135)*100,"")</f>
        <v/>
      </c>
      <c r="H1135" s="10">
        <f>IFERROR(AVERAGE($D$884:$D$1135),"")</f>
        <v/>
      </c>
      <c r="I1135" s="10" t="n">
        <v>2.025368212243278</v>
      </c>
      <c r="J1135" t="inlineStr"/>
      <c r="K1135" t="inlineStr"/>
    </row>
    <row r="1136">
      <c r="A1136" s="7" t="inlineStr">
        <is>
          <t>2018-10-22</t>
        </is>
      </c>
      <c r="B1136" s="8">
        <f>IFERROR(VLOOKUP($A1136,'01-原始价格'!$A:$M,2,FALSE),"")</f>
        <v/>
      </c>
      <c r="C1136" s="8">
        <f>IFERROR(VLOOKUP($A1136,'01-原始价格'!$A:$M,8,FALSE),"")</f>
        <v/>
      </c>
      <c r="D1136" s="10">
        <f>IFERROR(B1136/C1136,"")</f>
        <v/>
      </c>
      <c r="E1136" s="10">
        <f>IFERROR(C1136/B1136,"")</f>
        <v/>
      </c>
      <c r="F1136" s="11">
        <f>IFERROR((D1136/D1135-1)*100,"")</f>
        <v/>
      </c>
      <c r="G1136" s="11">
        <f>IFERROR((COUNTIF($D$885:$D$1136,"&lt;"&amp;D1136)+0.5*COUNTIF($D$885:$D$1136,D1136))/COUNT($D$885:$D$1136)*100,"")</f>
        <v/>
      </c>
      <c r="H1136" s="10">
        <f>IFERROR(AVERAGE($D$885:$D$1136),"")</f>
        <v/>
      </c>
      <c r="I1136" s="10" t="n">
        <v>1.659618862703104</v>
      </c>
      <c r="J1136" t="inlineStr"/>
      <c r="K1136" t="inlineStr"/>
    </row>
    <row r="1137">
      <c r="A1137" s="7" t="inlineStr">
        <is>
          <t>2018-10-23</t>
        </is>
      </c>
      <c r="B1137" s="8">
        <f>IFERROR(VLOOKUP($A1137,'01-原始价格'!$A:$M,2,FALSE),"")</f>
        <v/>
      </c>
      <c r="C1137" s="8">
        <f>IFERROR(VLOOKUP($A1137,'01-原始价格'!$A:$M,8,FALSE),"")</f>
        <v/>
      </c>
      <c r="D1137" s="10">
        <f>IFERROR(B1137/C1137,"")</f>
        <v/>
      </c>
      <c r="E1137" s="10">
        <f>IFERROR(C1137/B1137,"")</f>
        <v/>
      </c>
      <c r="F1137" s="11">
        <f>IFERROR((D1137/D1136-1)*100,"")</f>
        <v/>
      </c>
      <c r="G1137" s="11">
        <f>IFERROR((COUNTIF($D$886:$D$1137,"&lt;"&amp;D1137)+0.5*COUNTIF($D$886:$D$1137,D1137))/COUNT($D$886:$D$1137)*100,"")</f>
        <v/>
      </c>
      <c r="H1137" s="10">
        <f>IFERROR(AVERAGE($D$886:$D$1137),"")</f>
        <v/>
      </c>
      <c r="I1137" s="10" t="n">
        <v>1.695121523477972</v>
      </c>
      <c r="J1137" t="inlineStr"/>
      <c r="K1137" t="inlineStr"/>
    </row>
    <row r="1138">
      <c r="A1138" s="7" t="inlineStr">
        <is>
          <t>2018-10-24</t>
        </is>
      </c>
      <c r="B1138" s="8">
        <f>IFERROR(VLOOKUP($A1138,'01-原始价格'!$A:$M,2,FALSE),"")</f>
        <v/>
      </c>
      <c r="C1138" s="8">
        <f>IFERROR(VLOOKUP($A1138,'01-原始价格'!$A:$M,8,FALSE),"")</f>
        <v/>
      </c>
      <c r="D1138" s="10">
        <f>IFERROR(B1138/C1138,"")</f>
        <v/>
      </c>
      <c r="E1138" s="10">
        <f>IFERROR(C1138/B1138,"")</f>
        <v/>
      </c>
      <c r="F1138" s="11">
        <f>IFERROR((D1138/D1137-1)*100,"")</f>
        <v/>
      </c>
      <c r="G1138" s="11">
        <f>IFERROR((COUNTIF($D$887:$D$1138,"&lt;"&amp;D1138)+0.5*COUNTIF($D$887:$D$1138,D1138))/COUNT($D$887:$D$1138)*100,"")</f>
        <v/>
      </c>
      <c r="H1138" s="10">
        <f>IFERROR(AVERAGE($D$887:$D$1138),"")</f>
        <v/>
      </c>
      <c r="I1138" s="10" t="n">
        <v>1.480654973969892</v>
      </c>
      <c r="J1138" t="inlineStr"/>
      <c r="K1138" t="inlineStr"/>
    </row>
    <row r="1139">
      <c r="A1139" s="7" t="inlineStr">
        <is>
          <t>2018-10-25</t>
        </is>
      </c>
      <c r="B1139" s="8">
        <f>IFERROR(VLOOKUP($A1139,'01-原始价格'!$A:$M,2,FALSE),"")</f>
        <v/>
      </c>
      <c r="C1139" s="8">
        <f>IFERROR(VLOOKUP($A1139,'01-原始价格'!$A:$M,8,FALSE),"")</f>
        <v/>
      </c>
      <c r="D1139" s="10">
        <f>IFERROR(B1139/C1139,"")</f>
        <v/>
      </c>
      <c r="E1139" s="10">
        <f>IFERROR(C1139/B1139,"")</f>
        <v/>
      </c>
      <c r="F1139" s="11">
        <f>IFERROR((D1139/D1138-1)*100,"")</f>
        <v/>
      </c>
      <c r="G1139" s="11">
        <f>IFERROR((COUNTIF($D$888:$D$1139,"&lt;"&amp;D1139)+0.5*COUNTIF($D$888:$D$1139,D1139))/COUNT($D$888:$D$1139)*100,"")</f>
        <v/>
      </c>
      <c r="H1139" s="10">
        <f>IFERROR(AVERAGE($D$888:$D$1139),"")</f>
        <v/>
      </c>
      <c r="I1139" s="10" t="n">
        <v>1.307093314192514</v>
      </c>
      <c r="J1139" t="inlineStr"/>
      <c r="K1139" t="inlineStr"/>
    </row>
    <row r="1140">
      <c r="A1140" s="7" t="inlineStr">
        <is>
          <t>2018-10-26</t>
        </is>
      </c>
      <c r="B1140" s="8">
        <f>IFERROR(VLOOKUP($A1140,'01-原始价格'!$A:$M,2,FALSE),"")</f>
        <v/>
      </c>
      <c r="C1140" s="8">
        <f>IFERROR(VLOOKUP($A1140,'01-原始价格'!$A:$M,8,FALSE),"")</f>
        <v/>
      </c>
      <c r="D1140" s="10">
        <f>IFERROR(B1140/C1140,"")</f>
        <v/>
      </c>
      <c r="E1140" s="10">
        <f>IFERROR(C1140/B1140,"")</f>
        <v/>
      </c>
      <c r="F1140" s="11">
        <f>IFERROR((D1140/D1139-1)*100,"")</f>
        <v/>
      </c>
      <c r="G1140" s="11">
        <f>IFERROR((COUNTIF($D$889:$D$1140,"&lt;"&amp;D1140)+0.5*COUNTIF($D$889:$D$1140,D1140))/COUNT($D$889:$D$1140)*100,"")</f>
        <v/>
      </c>
      <c r="H1140" s="10">
        <f>IFERROR(AVERAGE($D$889:$D$1140),"")</f>
        <v/>
      </c>
      <c r="I1140" s="10" t="n">
        <v>1.804625630986944</v>
      </c>
      <c r="J1140" t="inlineStr"/>
      <c r="K1140" t="inlineStr"/>
    </row>
    <row r="1141">
      <c r="A1141" s="7" t="inlineStr">
        <is>
          <t>2018-10-29</t>
        </is>
      </c>
      <c r="B1141" s="8">
        <f>IFERROR(VLOOKUP($A1141,'01-原始价格'!$A:$M,2,FALSE),"")</f>
        <v/>
      </c>
      <c r="C1141" s="8">
        <f>IFERROR(VLOOKUP($A1141,'01-原始价格'!$A:$M,8,FALSE),"")</f>
        <v/>
      </c>
      <c r="D1141" s="10">
        <f>IFERROR(B1141/C1141,"")</f>
        <v/>
      </c>
      <c r="E1141" s="10">
        <f>IFERROR(C1141/B1141,"")</f>
        <v/>
      </c>
      <c r="F1141" s="11">
        <f>IFERROR((D1141/D1140-1)*100,"")</f>
        <v/>
      </c>
      <c r="G1141" s="11">
        <f>IFERROR((COUNTIF($D$890:$D$1141,"&lt;"&amp;D1141)+0.5*COUNTIF($D$890:$D$1141,D1141))/COUNT($D$890:$D$1141)*100,"")</f>
        <v/>
      </c>
      <c r="H1141" s="10">
        <f>IFERROR(AVERAGE($D$890:$D$1141),"")</f>
        <v/>
      </c>
      <c r="I1141" s="10" t="n">
        <v>1.706273601926855</v>
      </c>
      <c r="J1141" t="inlineStr"/>
      <c r="K1141" t="inlineStr"/>
    </row>
    <row r="1142">
      <c r="A1142" s="7" t="inlineStr">
        <is>
          <t>2018-10-30</t>
        </is>
      </c>
      <c r="B1142" s="8">
        <f>IFERROR(VLOOKUP($A1142,'01-原始价格'!$A:$M,2,FALSE),"")</f>
        <v/>
      </c>
      <c r="C1142" s="8">
        <f>IFERROR(VLOOKUP($A1142,'01-原始价格'!$A:$M,8,FALSE),"")</f>
        <v/>
      </c>
      <c r="D1142" s="10">
        <f>IFERROR(B1142/C1142,"")</f>
        <v/>
      </c>
      <c r="E1142" s="10">
        <f>IFERROR(C1142/B1142,"")</f>
        <v/>
      </c>
      <c r="F1142" s="11">
        <f>IFERROR((D1142/D1141-1)*100,"")</f>
        <v/>
      </c>
      <c r="G1142" s="11">
        <f>IFERROR((COUNTIF($D$891:$D$1142,"&lt;"&amp;D1142)+0.5*COUNTIF($D$891:$D$1142,D1142))/COUNT($D$891:$D$1142)*100,"")</f>
        <v/>
      </c>
      <c r="H1142" s="10">
        <f>IFERROR(AVERAGE($D$891:$D$1142),"")</f>
        <v/>
      </c>
      <c r="I1142" s="10" t="n">
        <v>1.814220644244999</v>
      </c>
      <c r="J1142" t="inlineStr"/>
      <c r="K1142" t="inlineStr"/>
    </row>
    <row r="1143">
      <c r="A1143" s="7" t="inlineStr">
        <is>
          <t>2018-10-31</t>
        </is>
      </c>
      <c r="B1143" s="8">
        <f>IFERROR(VLOOKUP($A1143,'01-原始价格'!$A:$M,2,FALSE),"")</f>
        <v/>
      </c>
      <c r="C1143" s="8">
        <f>IFERROR(VLOOKUP($A1143,'01-原始价格'!$A:$M,8,FALSE),"")</f>
        <v/>
      </c>
      <c r="D1143" s="10">
        <f>IFERROR(B1143/C1143,"")</f>
        <v/>
      </c>
      <c r="E1143" s="10">
        <f>IFERROR(C1143/B1143,"")</f>
        <v/>
      </c>
      <c r="F1143" s="11">
        <f>IFERROR((D1143/D1142-1)*100,"")</f>
        <v/>
      </c>
      <c r="G1143" s="11">
        <f>IFERROR((COUNTIF($D$892:$D$1143,"&lt;"&amp;D1143)+0.5*COUNTIF($D$892:$D$1143,D1143))/COUNT($D$892:$D$1143)*100,"")</f>
        <v/>
      </c>
      <c r="H1143" s="10">
        <f>IFERROR(AVERAGE($D$892:$D$1143),"")</f>
        <v/>
      </c>
      <c r="I1143" s="10" t="n">
        <v>2.237542909212927</v>
      </c>
      <c r="J1143" t="inlineStr"/>
      <c r="K1143" t="inlineStr"/>
    </row>
    <row r="1144">
      <c r="A1144" s="7" t="inlineStr">
        <is>
          <t>2018-11-01</t>
        </is>
      </c>
      <c r="B1144" s="8">
        <f>IFERROR(VLOOKUP($A1144,'01-原始价格'!$A:$M,2,FALSE),"")</f>
        <v/>
      </c>
      <c r="C1144" s="8">
        <f>IFERROR(VLOOKUP($A1144,'01-原始价格'!$A:$M,8,FALSE),"")</f>
        <v/>
      </c>
      <c r="D1144" s="10">
        <f>IFERROR(B1144/C1144,"")</f>
        <v/>
      </c>
      <c r="E1144" s="10">
        <f>IFERROR(C1144/B1144,"")</f>
        <v/>
      </c>
      <c r="F1144" s="11">
        <f>IFERROR((D1144/D1143-1)*100,"")</f>
        <v/>
      </c>
      <c r="G1144" s="11">
        <f>IFERROR((COUNTIF($D$893:$D$1144,"&lt;"&amp;D1144)+0.5*COUNTIF($D$893:$D$1144,D1144))/COUNT($D$893:$D$1144)*100,"")</f>
        <v/>
      </c>
      <c r="H1144" s="10">
        <f>IFERROR(AVERAGE($D$893:$D$1144),"")</f>
        <v/>
      </c>
      <c r="I1144" s="10" t="n">
        <v>1.990941787966486</v>
      </c>
      <c r="J1144" t="inlineStr"/>
      <c r="K1144" t="inlineStr"/>
    </row>
    <row r="1145">
      <c r="A1145" s="7" t="inlineStr">
        <is>
          <t>2018-11-02</t>
        </is>
      </c>
      <c r="B1145" s="8">
        <f>IFERROR(VLOOKUP($A1145,'01-原始价格'!$A:$M,2,FALSE),"")</f>
        <v/>
      </c>
      <c r="C1145" s="8">
        <f>IFERROR(VLOOKUP($A1145,'01-原始价格'!$A:$M,8,FALSE),"")</f>
        <v/>
      </c>
      <c r="D1145" s="10">
        <f>IFERROR(B1145/C1145,"")</f>
        <v/>
      </c>
      <c r="E1145" s="10">
        <f>IFERROR(C1145/B1145,"")</f>
        <v/>
      </c>
      <c r="F1145" s="11">
        <f>IFERROR((D1145/D1144-1)*100,"")</f>
        <v/>
      </c>
      <c r="G1145" s="11">
        <f>IFERROR((COUNTIF($D$894:$D$1145,"&lt;"&amp;D1145)+0.5*COUNTIF($D$894:$D$1145,D1145))/COUNT($D$894:$D$1145)*100,"")</f>
        <v/>
      </c>
      <c r="H1145" s="10">
        <f>IFERROR(AVERAGE($D$894:$D$1145),"")</f>
        <v/>
      </c>
      <c r="I1145" s="10" t="n">
        <v>1.881572674929549</v>
      </c>
      <c r="J1145" t="inlineStr"/>
      <c r="K1145" t="inlineStr"/>
    </row>
    <row r="1146">
      <c r="A1146" s="7" t="inlineStr">
        <is>
          <t>2018-11-05</t>
        </is>
      </c>
      <c r="B1146" s="8">
        <f>IFERROR(VLOOKUP($A1146,'01-原始价格'!$A:$M,2,FALSE),"")</f>
        <v/>
      </c>
      <c r="C1146" s="8">
        <f>IFERROR(VLOOKUP($A1146,'01-原始价格'!$A:$M,8,FALSE),"")</f>
        <v/>
      </c>
      <c r="D1146" s="10">
        <f>IFERROR(B1146/C1146,"")</f>
        <v/>
      </c>
      <c r="E1146" s="10">
        <f>IFERROR(C1146/B1146,"")</f>
        <v/>
      </c>
      <c r="F1146" s="11">
        <f>IFERROR((D1146/D1145-1)*100,"")</f>
        <v/>
      </c>
      <c r="G1146" s="11">
        <f>IFERROR((COUNTIF($D$895:$D$1146,"&lt;"&amp;D1146)+0.5*COUNTIF($D$895:$D$1146,D1146))/COUNT($D$895:$D$1146)*100,"")</f>
        <v/>
      </c>
      <c r="H1146" s="10">
        <f>IFERROR(AVERAGE($D$895:$D$1146),"")</f>
        <v/>
      </c>
      <c r="I1146" s="10" t="n">
        <v>1.709693720159223</v>
      </c>
      <c r="J1146" t="inlineStr"/>
      <c r="K1146" t="inlineStr"/>
    </row>
    <row r="1147">
      <c r="A1147" s="7" t="inlineStr">
        <is>
          <t>2018-11-06</t>
        </is>
      </c>
      <c r="B1147" s="8">
        <f>IFERROR(VLOOKUP($A1147,'01-原始价格'!$A:$M,2,FALSE),"")</f>
        <v/>
      </c>
      <c r="C1147" s="8">
        <f>IFERROR(VLOOKUP($A1147,'01-原始价格'!$A:$M,8,FALSE),"")</f>
        <v/>
      </c>
      <c r="D1147" s="10">
        <f>IFERROR(B1147/C1147,"")</f>
        <v/>
      </c>
      <c r="E1147" s="10">
        <f>IFERROR(C1147/B1147,"")</f>
        <v/>
      </c>
      <c r="F1147" s="11">
        <f>IFERROR((D1147/D1146-1)*100,"")</f>
        <v/>
      </c>
      <c r="G1147" s="11">
        <f>IFERROR((COUNTIF($D$896:$D$1147,"&lt;"&amp;D1147)+0.5*COUNTIF($D$896:$D$1147,D1147))/COUNT($D$896:$D$1147)*100,"")</f>
        <v/>
      </c>
      <c r="H1147" s="10">
        <f>IFERROR(AVERAGE($D$896:$D$1147),"")</f>
        <v/>
      </c>
      <c r="I1147" s="10" t="n">
        <v>1.744616256632736</v>
      </c>
      <c r="J1147" t="inlineStr"/>
      <c r="K1147" t="inlineStr"/>
    </row>
    <row r="1148">
      <c r="A1148" s="7" t="inlineStr">
        <is>
          <t>2018-11-07</t>
        </is>
      </c>
      <c r="B1148" s="8">
        <f>IFERROR(VLOOKUP($A1148,'01-原始价格'!$A:$M,2,FALSE),"")</f>
        <v/>
      </c>
      <c r="C1148" s="8">
        <f>IFERROR(VLOOKUP($A1148,'01-原始价格'!$A:$M,8,FALSE),"")</f>
        <v/>
      </c>
      <c r="D1148" s="10">
        <f>IFERROR(B1148/C1148,"")</f>
        <v/>
      </c>
      <c r="E1148" s="10">
        <f>IFERROR(C1148/B1148,"")</f>
        <v/>
      </c>
      <c r="F1148" s="11">
        <f>IFERROR((D1148/D1147-1)*100,"")</f>
        <v/>
      </c>
      <c r="G1148" s="11">
        <f>IFERROR((COUNTIF($D$897:$D$1148,"&lt;"&amp;D1148)+0.5*COUNTIF($D$897:$D$1148,D1148))/COUNT($D$897:$D$1148)*100,"")</f>
        <v/>
      </c>
      <c r="H1148" s="10">
        <f>IFERROR(AVERAGE($D$897:$D$1148),"")</f>
        <v/>
      </c>
      <c r="I1148" s="10" t="n">
        <v>1.552641985690498</v>
      </c>
      <c r="J1148" t="inlineStr"/>
      <c r="K1148" t="inlineStr"/>
    </row>
    <row r="1149">
      <c r="A1149" s="7" t="inlineStr">
        <is>
          <t>2018-11-08</t>
        </is>
      </c>
      <c r="B1149" s="8">
        <f>IFERROR(VLOOKUP($A1149,'01-原始价格'!$A:$M,2,FALSE),"")</f>
        <v/>
      </c>
      <c r="C1149" s="8">
        <f>IFERROR(VLOOKUP($A1149,'01-原始价格'!$A:$M,8,FALSE),"")</f>
        <v/>
      </c>
      <c r="D1149" s="10">
        <f>IFERROR(B1149/C1149,"")</f>
        <v/>
      </c>
      <c r="E1149" s="10">
        <f>IFERROR(C1149/B1149,"")</f>
        <v/>
      </c>
      <c r="F1149" s="11">
        <f>IFERROR((D1149/D1148-1)*100,"")</f>
        <v/>
      </c>
      <c r="G1149" s="11">
        <f>IFERROR((COUNTIF($D$898:$D$1149,"&lt;"&amp;D1149)+0.5*COUNTIF($D$898:$D$1149,D1149))/COUNT($D$898:$D$1149)*100,"")</f>
        <v/>
      </c>
      <c r="H1149" s="10">
        <f>IFERROR(AVERAGE($D$898:$D$1149),"")</f>
        <v/>
      </c>
      <c r="I1149" s="10" t="n">
        <v>1.589845802278111</v>
      </c>
      <c r="J1149" t="inlineStr"/>
      <c r="K1149" t="inlineStr"/>
    </row>
    <row r="1150">
      <c r="A1150" s="7" t="inlineStr">
        <is>
          <t>2018-11-09</t>
        </is>
      </c>
      <c r="B1150" s="8">
        <f>IFERROR(VLOOKUP($A1150,'01-原始价格'!$A:$M,2,FALSE),"")</f>
        <v/>
      </c>
      <c r="C1150" s="8">
        <f>IFERROR(VLOOKUP($A1150,'01-原始价格'!$A:$M,8,FALSE),"")</f>
        <v/>
      </c>
      <c r="D1150" s="10">
        <f>IFERROR(B1150/C1150,"")</f>
        <v/>
      </c>
      <c r="E1150" s="10">
        <f>IFERROR(C1150/B1150,"")</f>
        <v/>
      </c>
      <c r="F1150" s="11">
        <f>IFERROR((D1150/D1149-1)*100,"")</f>
        <v/>
      </c>
      <c r="G1150" s="11">
        <f>IFERROR((COUNTIF($D$899:$D$1150,"&lt;"&amp;D1150)+0.5*COUNTIF($D$899:$D$1150,D1150))/COUNT($D$899:$D$1150)*100,"")</f>
        <v/>
      </c>
      <c r="H1150" s="10">
        <f>IFERROR(AVERAGE($D$899:$D$1150),"")</f>
        <v/>
      </c>
      <c r="I1150" s="10" t="n">
        <v>1.205493372029371</v>
      </c>
      <c r="J1150" t="inlineStr"/>
      <c r="K1150" t="inlineStr"/>
    </row>
    <row r="1151">
      <c r="A1151" s="7" t="inlineStr">
        <is>
          <t>2018-11-12</t>
        </is>
      </c>
      <c r="B1151" s="8">
        <f>IFERROR(VLOOKUP($A1151,'01-原始价格'!$A:$M,2,FALSE),"")</f>
        <v/>
      </c>
      <c r="C1151" s="8">
        <f>IFERROR(VLOOKUP($A1151,'01-原始价格'!$A:$M,8,FALSE),"")</f>
        <v/>
      </c>
      <c r="D1151" s="10">
        <f>IFERROR(B1151/C1151,"")</f>
        <v/>
      </c>
      <c r="E1151" s="10">
        <f>IFERROR(C1151/B1151,"")</f>
        <v/>
      </c>
      <c r="F1151" s="11">
        <f>IFERROR((D1151/D1150-1)*100,"")</f>
        <v/>
      </c>
      <c r="G1151" s="11">
        <f>IFERROR((COUNTIF($D$900:$D$1151,"&lt;"&amp;D1151)+0.5*COUNTIF($D$900:$D$1151,D1151))/COUNT($D$900:$D$1151)*100,"")</f>
        <v/>
      </c>
      <c r="H1151" s="10">
        <f>IFERROR(AVERAGE($D$900:$D$1151),"")</f>
        <v/>
      </c>
      <c r="I1151" s="10" t="n">
        <v>1.048743207067727</v>
      </c>
      <c r="J1151" t="inlineStr"/>
      <c r="K1151" t="inlineStr"/>
    </row>
    <row r="1152">
      <c r="A1152" s="7" t="inlineStr">
        <is>
          <t>2018-11-13</t>
        </is>
      </c>
      <c r="B1152" s="8">
        <f>IFERROR(VLOOKUP($A1152,'01-原始价格'!$A:$M,2,FALSE),"")</f>
        <v/>
      </c>
      <c r="C1152" s="8">
        <f>IFERROR(VLOOKUP($A1152,'01-原始价格'!$A:$M,8,FALSE),"")</f>
        <v/>
      </c>
      <c r="D1152" s="10">
        <f>IFERROR(B1152/C1152,"")</f>
        <v/>
      </c>
      <c r="E1152" s="10">
        <f>IFERROR(C1152/B1152,"")</f>
        <v/>
      </c>
      <c r="F1152" s="11">
        <f>IFERROR((D1152/D1151-1)*100,"")</f>
        <v/>
      </c>
      <c r="G1152" s="11">
        <f>IFERROR((COUNTIF($D$901:$D$1152,"&lt;"&amp;D1152)+0.5*COUNTIF($D$901:$D$1152,D1152))/COUNT($D$901:$D$1152)*100,"")</f>
        <v/>
      </c>
      <c r="H1152" s="10">
        <f>IFERROR(AVERAGE($D$901:$D$1152),"")</f>
        <v/>
      </c>
      <c r="I1152" s="10" t="n">
        <v>0.7227389252568867</v>
      </c>
      <c r="J1152" t="inlineStr"/>
      <c r="K1152" t="inlineStr"/>
    </row>
    <row r="1153">
      <c r="A1153" s="7" t="inlineStr">
        <is>
          <t>2018-11-14</t>
        </is>
      </c>
      <c r="B1153" s="8">
        <f>IFERROR(VLOOKUP($A1153,'01-原始价格'!$A:$M,2,FALSE),"")</f>
        <v/>
      </c>
      <c r="C1153" s="8">
        <f>IFERROR(VLOOKUP($A1153,'01-原始价格'!$A:$M,8,FALSE),"")</f>
        <v/>
      </c>
      <c r="D1153" s="10">
        <f>IFERROR(B1153/C1153,"")</f>
        <v/>
      </c>
      <c r="E1153" s="10">
        <f>IFERROR(C1153/B1153,"")</f>
        <v/>
      </c>
      <c r="F1153" s="11">
        <f>IFERROR((D1153/D1152-1)*100,"")</f>
        <v/>
      </c>
      <c r="G1153" s="11">
        <f>IFERROR((COUNTIF($D$902:$D$1153,"&lt;"&amp;D1153)+0.5*COUNTIF($D$902:$D$1153,D1153))/COUNT($D$902:$D$1153)*100,"")</f>
        <v/>
      </c>
      <c r="H1153" s="10">
        <f>IFERROR(AVERAGE($D$902:$D$1153),"")</f>
        <v/>
      </c>
      <c r="I1153" s="10" t="n">
        <v>0.2983356013714826</v>
      </c>
      <c r="J1153" t="inlineStr"/>
      <c r="K1153" t="inlineStr"/>
    </row>
    <row r="1154">
      <c r="A1154" s="7" t="inlineStr">
        <is>
          <t>2018-11-15</t>
        </is>
      </c>
      <c r="B1154" s="8">
        <f>IFERROR(VLOOKUP($A1154,'01-原始价格'!$A:$M,2,FALSE),"")</f>
        <v/>
      </c>
      <c r="C1154" s="8">
        <f>IFERROR(VLOOKUP($A1154,'01-原始价格'!$A:$M,8,FALSE),"")</f>
        <v/>
      </c>
      <c r="D1154" s="10">
        <f>IFERROR(B1154/C1154,"")</f>
        <v/>
      </c>
      <c r="E1154" s="10">
        <f>IFERROR(C1154/B1154,"")</f>
        <v/>
      </c>
      <c r="F1154" s="11">
        <f>IFERROR((D1154/D1153-1)*100,"")</f>
        <v/>
      </c>
      <c r="G1154" s="11">
        <f>IFERROR((COUNTIF($D$903:$D$1154,"&lt;"&amp;D1154)+0.5*COUNTIF($D$903:$D$1154,D1154))/COUNT($D$903:$D$1154)*100,"")</f>
        <v/>
      </c>
      <c r="H1154" s="10">
        <f>IFERROR(AVERAGE($D$903:$D$1154),"")</f>
        <v/>
      </c>
      <c r="I1154" s="10" t="n">
        <v>0.2187188019978228</v>
      </c>
      <c r="J1154" t="inlineStr"/>
      <c r="K1154" t="inlineStr"/>
    </row>
    <row r="1155">
      <c r="A1155" s="7" t="inlineStr">
        <is>
          <t>2018-11-16</t>
        </is>
      </c>
      <c r="B1155" s="8">
        <f>IFERROR(VLOOKUP($A1155,'01-原始价格'!$A:$M,2,FALSE),"")</f>
        <v/>
      </c>
      <c r="C1155" s="8">
        <f>IFERROR(VLOOKUP($A1155,'01-原始价格'!$A:$M,8,FALSE),"")</f>
        <v/>
      </c>
      <c r="D1155" s="10">
        <f>IFERROR(B1155/C1155,"")</f>
        <v/>
      </c>
      <c r="E1155" s="10">
        <f>IFERROR(C1155/B1155,"")</f>
        <v/>
      </c>
      <c r="F1155" s="11">
        <f>IFERROR((D1155/D1154-1)*100,"")</f>
        <v/>
      </c>
      <c r="G1155" s="11">
        <f>IFERROR((COUNTIF($D$904:$D$1155,"&lt;"&amp;D1155)+0.5*COUNTIF($D$904:$D$1155,D1155))/COUNT($D$904:$D$1155)*100,"")</f>
        <v/>
      </c>
      <c r="H1155" s="10">
        <f>IFERROR(AVERAGE($D$904:$D$1155),"")</f>
        <v/>
      </c>
      <c r="I1155" s="10" t="n">
        <v>1.286785855878875</v>
      </c>
      <c r="J1155" t="inlineStr"/>
      <c r="K1155" t="inlineStr"/>
    </row>
    <row r="1156">
      <c r="A1156" s="7" t="inlineStr">
        <is>
          <t>2018-11-19</t>
        </is>
      </c>
      <c r="B1156" s="8">
        <f>IFERROR(VLOOKUP($A1156,'01-原始价格'!$A:$M,2,FALSE),"")</f>
        <v/>
      </c>
      <c r="C1156" s="8">
        <f>IFERROR(VLOOKUP($A1156,'01-原始价格'!$A:$M,8,FALSE),"")</f>
        <v/>
      </c>
      <c r="D1156" s="10">
        <f>IFERROR(B1156/C1156,"")</f>
        <v/>
      </c>
      <c r="E1156" s="10">
        <f>IFERROR(C1156/B1156,"")</f>
        <v/>
      </c>
      <c r="F1156" s="11">
        <f>IFERROR((D1156/D1155-1)*100,"")</f>
        <v/>
      </c>
      <c r="G1156" s="11">
        <f>IFERROR((COUNTIF($D$905:$D$1156,"&lt;"&amp;D1156)+0.5*COUNTIF($D$905:$D$1156,D1156))/COUNT($D$905:$D$1156)*100,"")</f>
        <v/>
      </c>
      <c r="H1156" s="10">
        <f>IFERROR(AVERAGE($D$905:$D$1156),"")</f>
        <v/>
      </c>
      <c r="I1156" s="10" t="n">
        <v>0.9726050378348327</v>
      </c>
      <c r="J1156" t="inlineStr"/>
      <c r="K1156" t="inlineStr"/>
    </row>
    <row r="1157">
      <c r="A1157" s="7" t="inlineStr">
        <is>
          <t>2018-11-20</t>
        </is>
      </c>
      <c r="B1157" s="8">
        <f>IFERROR(VLOOKUP($A1157,'01-原始价格'!$A:$M,2,FALSE),"")</f>
        <v/>
      </c>
      <c r="C1157" s="8">
        <f>IFERROR(VLOOKUP($A1157,'01-原始价格'!$A:$M,8,FALSE),"")</f>
        <v/>
      </c>
      <c r="D1157" s="10">
        <f>IFERROR(B1157/C1157,"")</f>
        <v/>
      </c>
      <c r="E1157" s="10">
        <f>IFERROR(C1157/B1157,"")</f>
        <v/>
      </c>
      <c r="F1157" s="11">
        <f>IFERROR((D1157/D1156-1)*100,"")</f>
        <v/>
      </c>
      <c r="G1157" s="11">
        <f>IFERROR((COUNTIF($D$906:$D$1157,"&lt;"&amp;D1157)+0.5*COUNTIF($D$906:$D$1157,D1157))/COUNT($D$906:$D$1157)*100,"")</f>
        <v/>
      </c>
      <c r="H1157" s="10">
        <f>IFERROR(AVERAGE($D$906:$D$1157),"")</f>
        <v/>
      </c>
      <c r="I1157" s="10" t="n">
        <v>0.7790750313172627</v>
      </c>
      <c r="J1157" t="inlineStr"/>
      <c r="K1157" t="inlineStr"/>
    </row>
    <row r="1158">
      <c r="A1158" s="7" t="inlineStr">
        <is>
          <t>2018-11-21</t>
        </is>
      </c>
      <c r="B1158" s="8">
        <f>IFERROR(VLOOKUP($A1158,'01-原始价格'!$A:$M,2,FALSE),"")</f>
        <v/>
      </c>
      <c r="C1158" s="8">
        <f>IFERROR(VLOOKUP($A1158,'01-原始价格'!$A:$M,8,FALSE),"")</f>
        <v/>
      </c>
      <c r="D1158" s="10">
        <f>IFERROR(B1158/C1158,"")</f>
        <v/>
      </c>
      <c r="E1158" s="10">
        <f>IFERROR(C1158/B1158,"")</f>
        <v/>
      </c>
      <c r="F1158" s="11">
        <f>IFERROR((D1158/D1157-1)*100,"")</f>
        <v/>
      </c>
      <c r="G1158" s="11">
        <f>IFERROR((COUNTIF($D$907:$D$1158,"&lt;"&amp;D1158)+0.5*COUNTIF($D$907:$D$1158,D1158))/COUNT($D$907:$D$1158)*100,"")</f>
        <v/>
      </c>
      <c r="H1158" s="10">
        <f>IFERROR(AVERAGE($D$907:$D$1158),"")</f>
        <v/>
      </c>
      <c r="I1158" s="10" t="n">
        <v>-0.1434275693539058</v>
      </c>
      <c r="J1158" t="inlineStr"/>
      <c r="K1158" t="inlineStr"/>
    </row>
    <row r="1159">
      <c r="A1159" s="7" t="inlineStr">
        <is>
          <t>2018-11-22</t>
        </is>
      </c>
      <c r="B1159" s="8">
        <f>IFERROR(VLOOKUP($A1159,'01-原始价格'!$A:$M,2,FALSE),"")</f>
        <v/>
      </c>
      <c r="C1159" s="8">
        <f>IFERROR(VLOOKUP($A1159,'01-原始价格'!$A:$M,8,FALSE),"")</f>
        <v/>
      </c>
      <c r="D1159" s="10">
        <f>IFERROR(B1159/C1159,"")</f>
        <v/>
      </c>
      <c r="E1159" s="10">
        <f>IFERROR(C1159/B1159,"")</f>
        <v/>
      </c>
      <c r="F1159" s="11">
        <f>IFERROR((D1159/D1158-1)*100,"")</f>
        <v/>
      </c>
      <c r="G1159" s="11">
        <f>IFERROR((COUNTIF($D$908:$D$1159,"&lt;"&amp;D1159)+0.5*COUNTIF($D$908:$D$1159,D1159))/COUNT($D$908:$D$1159)*100,"")</f>
        <v/>
      </c>
      <c r="H1159" s="10">
        <f>IFERROR(AVERAGE($D$908:$D$1159),"")</f>
        <v/>
      </c>
      <c r="I1159" s="10" t="n">
        <v>0.2752658964351371</v>
      </c>
      <c r="J1159" t="inlineStr"/>
      <c r="K1159" t="inlineStr"/>
    </row>
    <row r="1160">
      <c r="A1160" s="7" t="inlineStr">
        <is>
          <t>2018-11-23</t>
        </is>
      </c>
      <c r="B1160" s="8">
        <f>IFERROR(VLOOKUP($A1160,'01-原始价格'!$A:$M,2,FALSE),"")</f>
        <v/>
      </c>
      <c r="C1160" s="8">
        <f>IFERROR(VLOOKUP($A1160,'01-原始价格'!$A:$M,8,FALSE),"")</f>
        <v/>
      </c>
      <c r="D1160" s="10">
        <f>IFERROR(B1160/C1160,"")</f>
        <v/>
      </c>
      <c r="E1160" s="10">
        <f>IFERROR(C1160/B1160,"")</f>
        <v/>
      </c>
      <c r="F1160" s="11">
        <f>IFERROR((D1160/D1159-1)*100,"")</f>
        <v/>
      </c>
      <c r="G1160" s="11">
        <f>IFERROR((COUNTIF($D$909:$D$1160,"&lt;"&amp;D1160)+0.5*COUNTIF($D$909:$D$1160,D1160))/COUNT($D$909:$D$1160)*100,"")</f>
        <v/>
      </c>
      <c r="H1160" s="10">
        <f>IFERROR(AVERAGE($D$909:$D$1160),"")</f>
        <v/>
      </c>
      <c r="I1160" s="10" t="n">
        <v>-0.2259463885918258</v>
      </c>
      <c r="J1160" t="inlineStr"/>
      <c r="K1160" t="inlineStr"/>
    </row>
    <row r="1161">
      <c r="A1161" s="7" t="inlineStr">
        <is>
          <t>2018-11-26</t>
        </is>
      </c>
      <c r="B1161" s="8">
        <f>IFERROR(VLOOKUP($A1161,'01-原始价格'!$A:$M,2,FALSE),"")</f>
        <v/>
      </c>
      <c r="C1161" s="8">
        <f>IFERROR(VLOOKUP($A1161,'01-原始价格'!$A:$M,8,FALSE),"")</f>
        <v/>
      </c>
      <c r="D1161" s="10">
        <f>IFERROR(B1161/C1161,"")</f>
        <v/>
      </c>
      <c r="E1161" s="10">
        <f>IFERROR(C1161/B1161,"")</f>
        <v/>
      </c>
      <c r="F1161" s="11">
        <f>IFERROR((D1161/D1160-1)*100,"")</f>
        <v/>
      </c>
      <c r="G1161" s="11">
        <f>IFERROR((COUNTIF($D$910:$D$1161,"&lt;"&amp;D1161)+0.5*COUNTIF($D$910:$D$1161,D1161))/COUNT($D$910:$D$1161)*100,"")</f>
        <v/>
      </c>
      <c r="H1161" s="10">
        <f>IFERROR(AVERAGE($D$910:$D$1161),"")</f>
        <v/>
      </c>
      <c r="I1161" s="10" t="n">
        <v>-0.09056687273716256</v>
      </c>
      <c r="J1161" t="inlineStr"/>
      <c r="K1161" t="inlineStr"/>
    </row>
    <row r="1162">
      <c r="A1162" s="7" t="inlineStr">
        <is>
          <t>2018-11-27</t>
        </is>
      </c>
      <c r="B1162" s="8">
        <f>IFERROR(VLOOKUP($A1162,'01-原始价格'!$A:$M,2,FALSE),"")</f>
        <v/>
      </c>
      <c r="C1162" s="8">
        <f>IFERROR(VLOOKUP($A1162,'01-原始价格'!$A:$M,8,FALSE),"")</f>
        <v/>
      </c>
      <c r="D1162" s="10">
        <f>IFERROR(B1162/C1162,"")</f>
        <v/>
      </c>
      <c r="E1162" s="10">
        <f>IFERROR(C1162/B1162,"")</f>
        <v/>
      </c>
      <c r="F1162" s="11">
        <f>IFERROR((D1162/D1161-1)*100,"")</f>
        <v/>
      </c>
      <c r="G1162" s="11">
        <f>IFERROR((COUNTIF($D$911:$D$1162,"&lt;"&amp;D1162)+0.5*COUNTIF($D$911:$D$1162,D1162))/COUNT($D$911:$D$1162)*100,"")</f>
        <v/>
      </c>
      <c r="H1162" s="10">
        <f>IFERROR(AVERAGE($D$911:$D$1162),"")</f>
        <v/>
      </c>
      <c r="I1162" s="10" t="n">
        <v>-0.02962804229687573</v>
      </c>
      <c r="J1162" t="inlineStr"/>
      <c r="K1162" t="inlineStr"/>
    </row>
    <row r="1163">
      <c r="A1163" s="7" t="inlineStr">
        <is>
          <t>2018-11-28</t>
        </is>
      </c>
      <c r="B1163" s="8">
        <f>IFERROR(VLOOKUP($A1163,'01-原始价格'!$A:$M,2,FALSE),"")</f>
        <v/>
      </c>
      <c r="C1163" s="8">
        <f>IFERROR(VLOOKUP($A1163,'01-原始价格'!$A:$M,8,FALSE),"")</f>
        <v/>
      </c>
      <c r="D1163" s="10">
        <f>IFERROR(B1163/C1163,"")</f>
        <v/>
      </c>
      <c r="E1163" s="10">
        <f>IFERROR(C1163/B1163,"")</f>
        <v/>
      </c>
      <c r="F1163" s="11">
        <f>IFERROR((D1163/D1162-1)*100,"")</f>
        <v/>
      </c>
      <c r="G1163" s="11">
        <f>IFERROR((COUNTIF($D$912:$D$1163,"&lt;"&amp;D1163)+0.5*COUNTIF($D$912:$D$1163,D1163))/COUNT($D$912:$D$1163)*100,"")</f>
        <v/>
      </c>
      <c r="H1163" s="10">
        <f>IFERROR(AVERAGE($D$912:$D$1163),"")</f>
        <v/>
      </c>
      <c r="I1163" s="10" t="n">
        <v>0.4380168647009404</v>
      </c>
      <c r="J1163" t="inlineStr"/>
      <c r="K1163" t="inlineStr"/>
    </row>
    <row r="1164">
      <c r="A1164" s="7" t="inlineStr">
        <is>
          <t>2018-11-29</t>
        </is>
      </c>
      <c r="B1164" s="8">
        <f>IFERROR(VLOOKUP($A1164,'01-原始价格'!$A:$M,2,FALSE),"")</f>
        <v/>
      </c>
      <c r="C1164" s="8">
        <f>IFERROR(VLOOKUP($A1164,'01-原始价格'!$A:$M,8,FALSE),"")</f>
        <v/>
      </c>
      <c r="D1164" s="10">
        <f>IFERROR(B1164/C1164,"")</f>
        <v/>
      </c>
      <c r="E1164" s="10">
        <f>IFERROR(C1164/B1164,"")</f>
        <v/>
      </c>
      <c r="F1164" s="11">
        <f>IFERROR((D1164/D1163-1)*100,"")</f>
        <v/>
      </c>
      <c r="G1164" s="11">
        <f>IFERROR((COUNTIF($D$913:$D$1164,"&lt;"&amp;D1164)+0.5*COUNTIF($D$913:$D$1164,D1164))/COUNT($D$913:$D$1164)*100,"")</f>
        <v/>
      </c>
      <c r="H1164" s="10">
        <f>IFERROR(AVERAGE($D$913:$D$1164),"")</f>
        <v/>
      </c>
      <c r="I1164" s="10" t="n">
        <v>0.1820567686972195</v>
      </c>
      <c r="J1164" t="inlineStr"/>
      <c r="K1164" t="inlineStr"/>
    </row>
    <row r="1165">
      <c r="A1165" s="7" t="inlineStr">
        <is>
          <t>2018-11-30</t>
        </is>
      </c>
      <c r="B1165" s="8">
        <f>IFERROR(VLOOKUP($A1165,'01-原始价格'!$A:$M,2,FALSE),"")</f>
        <v/>
      </c>
      <c r="C1165" s="8">
        <f>IFERROR(VLOOKUP($A1165,'01-原始价格'!$A:$M,8,FALSE),"")</f>
        <v/>
      </c>
      <c r="D1165" s="10">
        <f>IFERROR(B1165/C1165,"")</f>
        <v/>
      </c>
      <c r="E1165" s="10">
        <f>IFERROR(C1165/B1165,"")</f>
        <v/>
      </c>
      <c r="F1165" s="11">
        <f>IFERROR((D1165/D1164-1)*100,"")</f>
        <v/>
      </c>
      <c r="G1165" s="11">
        <f>IFERROR((COUNTIF($D$914:$D$1165,"&lt;"&amp;D1165)+0.5*COUNTIF($D$914:$D$1165,D1165))/COUNT($D$914:$D$1165)*100,"")</f>
        <v/>
      </c>
      <c r="H1165" s="10">
        <f>IFERROR(AVERAGE($D$914:$D$1165),"")</f>
        <v/>
      </c>
      <c r="I1165" s="10" t="n">
        <v>0.2984007867337559</v>
      </c>
      <c r="J1165" t="inlineStr"/>
      <c r="K1165" t="inlineStr"/>
    </row>
    <row r="1166">
      <c r="A1166" s="7" t="inlineStr">
        <is>
          <t>2018-12-03</t>
        </is>
      </c>
      <c r="B1166" s="8">
        <f>IFERROR(VLOOKUP($A1166,'01-原始价格'!$A:$M,2,FALSE),"")</f>
        <v/>
      </c>
      <c r="C1166" s="8">
        <f>IFERROR(VLOOKUP($A1166,'01-原始价格'!$A:$M,8,FALSE),"")</f>
        <v/>
      </c>
      <c r="D1166" s="10">
        <f>IFERROR(B1166/C1166,"")</f>
        <v/>
      </c>
      <c r="E1166" s="10">
        <f>IFERROR(C1166/B1166,"")</f>
        <v/>
      </c>
      <c r="F1166" s="11">
        <f>IFERROR((D1166/D1165-1)*100,"")</f>
        <v/>
      </c>
      <c r="G1166" s="11">
        <f>IFERROR((COUNTIF($D$915:$D$1166,"&lt;"&amp;D1166)+0.5*COUNTIF($D$915:$D$1166,D1166))/COUNT($D$915:$D$1166)*100,"")</f>
        <v/>
      </c>
      <c r="H1166" s="10">
        <f>IFERROR(AVERAGE($D$915:$D$1166),"")</f>
        <v/>
      </c>
      <c r="I1166" s="10" t="n">
        <v>0.8610966760951361</v>
      </c>
      <c r="J1166" t="inlineStr"/>
      <c r="K1166" t="inlineStr"/>
    </row>
    <row r="1167">
      <c r="A1167" s="7" t="inlineStr">
        <is>
          <t>2018-12-04</t>
        </is>
      </c>
      <c r="B1167" s="8">
        <f>IFERROR(VLOOKUP($A1167,'01-原始价格'!$A:$M,2,FALSE),"")</f>
        <v/>
      </c>
      <c r="C1167" s="8">
        <f>IFERROR(VLOOKUP($A1167,'01-原始价格'!$A:$M,8,FALSE),"")</f>
        <v/>
      </c>
      <c r="D1167" s="10">
        <f>IFERROR(B1167/C1167,"")</f>
        <v/>
      </c>
      <c r="E1167" s="10">
        <f>IFERROR(C1167/B1167,"")</f>
        <v/>
      </c>
      <c r="F1167" s="11">
        <f>IFERROR((D1167/D1166-1)*100,"")</f>
        <v/>
      </c>
      <c r="G1167" s="11">
        <f>IFERROR((COUNTIF($D$916:$D$1167,"&lt;"&amp;D1167)+0.5*COUNTIF($D$916:$D$1167,D1167))/COUNT($D$916:$D$1167)*100,"")</f>
        <v/>
      </c>
      <c r="H1167" s="10">
        <f>IFERROR(AVERAGE($D$916:$D$1167),"")</f>
        <v/>
      </c>
      <c r="I1167" s="10" t="n">
        <v>1.348410010600493</v>
      </c>
      <c r="J1167" t="inlineStr"/>
      <c r="K1167" t="inlineStr"/>
    </row>
    <row r="1168">
      <c r="A1168" s="7" t="inlineStr">
        <is>
          <t>2018-12-05</t>
        </is>
      </c>
      <c r="B1168" s="8">
        <f>IFERROR(VLOOKUP($A1168,'01-原始价格'!$A:$M,2,FALSE),"")</f>
        <v/>
      </c>
      <c r="C1168" s="8">
        <f>IFERROR(VLOOKUP($A1168,'01-原始价格'!$A:$M,8,FALSE),"")</f>
        <v/>
      </c>
      <c r="D1168" s="10">
        <f>IFERROR(B1168/C1168,"")</f>
        <v/>
      </c>
      <c r="E1168" s="10">
        <f>IFERROR(C1168/B1168,"")</f>
        <v/>
      </c>
      <c r="F1168" s="11">
        <f>IFERROR((D1168/D1167-1)*100,"")</f>
        <v/>
      </c>
      <c r="G1168" s="11">
        <f>IFERROR((COUNTIF($D$917:$D$1168,"&lt;"&amp;D1168)+0.5*COUNTIF($D$917:$D$1168,D1168))/COUNT($D$917:$D$1168)*100,"")</f>
        <v/>
      </c>
      <c r="H1168" s="10">
        <f>IFERROR(AVERAGE($D$917:$D$1168),"")</f>
        <v/>
      </c>
      <c r="I1168" s="10" t="n">
        <v>1.449532193462618</v>
      </c>
      <c r="J1168" t="inlineStr"/>
      <c r="K1168" t="inlineStr"/>
    </row>
    <row r="1169">
      <c r="A1169" s="7" t="inlineStr">
        <is>
          <t>2018-12-06</t>
        </is>
      </c>
      <c r="B1169" s="8">
        <f>IFERROR(VLOOKUP($A1169,'01-原始价格'!$A:$M,2,FALSE),"")</f>
        <v/>
      </c>
      <c r="C1169" s="8">
        <f>IFERROR(VLOOKUP($A1169,'01-原始价格'!$A:$M,8,FALSE),"")</f>
        <v/>
      </c>
      <c r="D1169" s="10">
        <f>IFERROR(B1169/C1169,"")</f>
        <v/>
      </c>
      <c r="E1169" s="10">
        <f>IFERROR(C1169/B1169,"")</f>
        <v/>
      </c>
      <c r="F1169" s="11">
        <f>IFERROR((D1169/D1168-1)*100,"")</f>
        <v/>
      </c>
      <c r="G1169" s="11">
        <f>IFERROR((COUNTIF($D$918:$D$1169,"&lt;"&amp;D1169)+0.5*COUNTIF($D$918:$D$1169,D1169))/COUNT($D$918:$D$1169)*100,"")</f>
        <v/>
      </c>
      <c r="H1169" s="10">
        <f>IFERROR(AVERAGE($D$918:$D$1169),"")</f>
        <v/>
      </c>
      <c r="I1169" s="10" t="n">
        <v>-0.8593962861372111</v>
      </c>
      <c r="J1169" t="inlineStr"/>
      <c r="K1169" t="inlineStr"/>
    </row>
    <row r="1170">
      <c r="A1170" s="7" t="inlineStr">
        <is>
          <t>2018-12-07</t>
        </is>
      </c>
      <c r="B1170" s="8">
        <f>IFERROR(VLOOKUP($A1170,'01-原始价格'!$A:$M,2,FALSE),"")</f>
        <v/>
      </c>
      <c r="C1170" s="8">
        <f>IFERROR(VLOOKUP($A1170,'01-原始价格'!$A:$M,8,FALSE),"")</f>
        <v/>
      </c>
      <c r="D1170" s="10">
        <f>IFERROR(B1170/C1170,"")</f>
        <v/>
      </c>
      <c r="E1170" s="10">
        <f>IFERROR(C1170/B1170,"")</f>
        <v/>
      </c>
      <c r="F1170" s="11">
        <f>IFERROR((D1170/D1169-1)*100,"")</f>
        <v/>
      </c>
      <c r="G1170" s="11">
        <f>IFERROR((COUNTIF($D$919:$D$1170,"&lt;"&amp;D1170)+0.5*COUNTIF($D$919:$D$1170,D1170))/COUNT($D$919:$D$1170)*100,"")</f>
        <v/>
      </c>
      <c r="H1170" s="10">
        <f>IFERROR(AVERAGE($D$919:$D$1170),"")</f>
        <v/>
      </c>
      <c r="I1170" s="10" t="n">
        <v>-0.7745672268566453</v>
      </c>
      <c r="J1170" t="inlineStr"/>
      <c r="K1170" t="inlineStr"/>
    </row>
    <row r="1171">
      <c r="A1171" s="7" t="inlineStr">
        <is>
          <t>2018-12-10</t>
        </is>
      </c>
      <c r="B1171" s="8">
        <f>IFERROR(VLOOKUP($A1171,'01-原始价格'!$A:$M,2,FALSE),"")</f>
        <v/>
      </c>
      <c r="C1171" s="8">
        <f>IFERROR(VLOOKUP($A1171,'01-原始价格'!$A:$M,8,FALSE),"")</f>
        <v/>
      </c>
      <c r="D1171" s="10">
        <f>IFERROR(B1171/C1171,"")</f>
        <v/>
      </c>
      <c r="E1171" s="10">
        <f>IFERROR(C1171/B1171,"")</f>
        <v/>
      </c>
      <c r="F1171" s="11">
        <f>IFERROR((D1171/D1170-1)*100,"")</f>
        <v/>
      </c>
      <c r="G1171" s="11">
        <f>IFERROR((COUNTIF($D$920:$D$1171,"&lt;"&amp;D1171)+0.5*COUNTIF($D$920:$D$1171,D1171))/COUNT($D$920:$D$1171)*100,"")</f>
        <v/>
      </c>
      <c r="H1171" s="10">
        <f>IFERROR(AVERAGE($D$920:$D$1171),"")</f>
        <v/>
      </c>
      <c r="I1171" s="10" t="n">
        <v>-1.058459565290048</v>
      </c>
      <c r="J1171" t="inlineStr"/>
      <c r="K1171" t="inlineStr"/>
    </row>
    <row r="1172">
      <c r="A1172" s="7" t="inlineStr">
        <is>
          <t>2018-12-11</t>
        </is>
      </c>
      <c r="B1172" s="8">
        <f>IFERROR(VLOOKUP($A1172,'01-原始价格'!$A:$M,2,FALSE),"")</f>
        <v/>
      </c>
      <c r="C1172" s="8">
        <f>IFERROR(VLOOKUP($A1172,'01-原始价格'!$A:$M,8,FALSE),"")</f>
        <v/>
      </c>
      <c r="D1172" s="10">
        <f>IFERROR(B1172/C1172,"")</f>
        <v/>
      </c>
      <c r="E1172" s="10">
        <f>IFERROR(C1172/B1172,"")</f>
        <v/>
      </c>
      <c r="F1172" s="11">
        <f>IFERROR((D1172/D1171-1)*100,"")</f>
        <v/>
      </c>
      <c r="G1172" s="11">
        <f>IFERROR((COUNTIF($D$921:$D$1172,"&lt;"&amp;D1172)+0.5*COUNTIF($D$921:$D$1172,D1172))/COUNT($D$921:$D$1172)*100,"")</f>
        <v/>
      </c>
      <c r="H1172" s="10">
        <f>IFERROR(AVERAGE($D$921:$D$1172),"")</f>
        <v/>
      </c>
      <c r="I1172" s="10" t="n">
        <v>-1.321531597130083</v>
      </c>
      <c r="J1172" t="inlineStr"/>
      <c r="K1172" t="inlineStr"/>
    </row>
    <row r="1173">
      <c r="A1173" s="7" t="inlineStr">
        <is>
          <t>2018-12-12</t>
        </is>
      </c>
      <c r="B1173" s="8">
        <f>IFERROR(VLOOKUP($A1173,'01-原始价格'!$A:$M,2,FALSE),"")</f>
        <v/>
      </c>
      <c r="C1173" s="8">
        <f>IFERROR(VLOOKUP($A1173,'01-原始价格'!$A:$M,8,FALSE),"")</f>
        <v/>
      </c>
      <c r="D1173" s="10">
        <f>IFERROR(B1173/C1173,"")</f>
        <v/>
      </c>
      <c r="E1173" s="10">
        <f>IFERROR(C1173/B1173,"")</f>
        <v/>
      </c>
      <c r="F1173" s="11">
        <f>IFERROR((D1173/D1172-1)*100,"")</f>
        <v/>
      </c>
      <c r="G1173" s="11">
        <f>IFERROR((COUNTIF($D$922:$D$1173,"&lt;"&amp;D1173)+0.5*COUNTIF($D$922:$D$1173,D1173))/COUNT($D$922:$D$1173)*100,"")</f>
        <v/>
      </c>
      <c r="H1173" s="10">
        <f>IFERROR(AVERAGE($D$922:$D$1173),"")</f>
        <v/>
      </c>
      <c r="I1173" s="10" t="n">
        <v>-1.364885387552345</v>
      </c>
      <c r="J1173" t="inlineStr"/>
      <c r="K1173" t="inlineStr"/>
    </row>
    <row r="1174">
      <c r="A1174" s="7" t="inlineStr">
        <is>
          <t>2018-12-13</t>
        </is>
      </c>
      <c r="B1174" s="8">
        <f>IFERROR(VLOOKUP($A1174,'01-原始价格'!$A:$M,2,FALSE),"")</f>
        <v/>
      </c>
      <c r="C1174" s="8">
        <f>IFERROR(VLOOKUP($A1174,'01-原始价格'!$A:$M,8,FALSE),"")</f>
        <v/>
      </c>
      <c r="D1174" s="10">
        <f>IFERROR(B1174/C1174,"")</f>
        <v/>
      </c>
      <c r="E1174" s="10">
        <f>IFERROR(C1174/B1174,"")</f>
        <v/>
      </c>
      <c r="F1174" s="11">
        <f>IFERROR((D1174/D1173-1)*100,"")</f>
        <v/>
      </c>
      <c r="G1174" s="11">
        <f>IFERROR((COUNTIF($D$923:$D$1174,"&lt;"&amp;D1174)+0.5*COUNTIF($D$923:$D$1174,D1174))/COUNT($D$923:$D$1174)*100,"")</f>
        <v/>
      </c>
      <c r="H1174" s="10">
        <f>IFERROR(AVERAGE($D$923:$D$1174),"")</f>
        <v/>
      </c>
      <c r="I1174" s="10" t="n">
        <v>-1.27196856263719</v>
      </c>
      <c r="J1174" t="inlineStr"/>
      <c r="K1174" t="inlineStr"/>
    </row>
    <row r="1175">
      <c r="A1175" s="7" t="inlineStr">
        <is>
          <t>2018-12-14</t>
        </is>
      </c>
      <c r="B1175" s="8">
        <f>IFERROR(VLOOKUP($A1175,'01-原始价格'!$A:$M,2,FALSE),"")</f>
        <v/>
      </c>
      <c r="C1175" s="8">
        <f>IFERROR(VLOOKUP($A1175,'01-原始价格'!$A:$M,8,FALSE),"")</f>
        <v/>
      </c>
      <c r="D1175" s="10">
        <f>IFERROR(B1175/C1175,"")</f>
        <v/>
      </c>
      <c r="E1175" s="10">
        <f>IFERROR(C1175/B1175,"")</f>
        <v/>
      </c>
      <c r="F1175" s="11">
        <f>IFERROR((D1175/D1174-1)*100,"")</f>
        <v/>
      </c>
      <c r="G1175" s="11">
        <f>IFERROR((COUNTIF($D$924:$D$1175,"&lt;"&amp;D1175)+0.5*COUNTIF($D$924:$D$1175,D1175))/COUNT($D$924:$D$1175)*100,"")</f>
        <v/>
      </c>
      <c r="H1175" s="10">
        <f>IFERROR(AVERAGE($D$924:$D$1175),"")</f>
        <v/>
      </c>
      <c r="I1175" s="10" t="n">
        <v>-1.138785041684838</v>
      </c>
      <c r="J1175" t="inlineStr"/>
      <c r="K1175" t="inlineStr"/>
    </row>
    <row r="1176">
      <c r="A1176" s="7" t="inlineStr">
        <is>
          <t>2018-12-17</t>
        </is>
      </c>
      <c r="B1176" s="8">
        <f>IFERROR(VLOOKUP($A1176,'01-原始价格'!$A:$M,2,FALSE),"")</f>
        <v/>
      </c>
      <c r="C1176" s="8">
        <f>IFERROR(VLOOKUP($A1176,'01-原始价格'!$A:$M,8,FALSE),"")</f>
        <v/>
      </c>
      <c r="D1176" s="10">
        <f>IFERROR(B1176/C1176,"")</f>
        <v/>
      </c>
      <c r="E1176" s="10">
        <f>IFERROR(C1176/B1176,"")</f>
        <v/>
      </c>
      <c r="F1176" s="11">
        <f>IFERROR((D1176/D1175-1)*100,"")</f>
        <v/>
      </c>
      <c r="G1176" s="11">
        <f>IFERROR((COUNTIF($D$925:$D$1176,"&lt;"&amp;D1176)+0.5*COUNTIF($D$925:$D$1176,D1176))/COUNT($D$925:$D$1176)*100,"")</f>
        <v/>
      </c>
      <c r="H1176" s="10">
        <f>IFERROR(AVERAGE($D$925:$D$1176),"")</f>
        <v/>
      </c>
      <c r="I1176" s="10" t="n">
        <v>-1.092668637751299</v>
      </c>
      <c r="J1176" t="inlineStr"/>
      <c r="K1176" t="inlineStr"/>
    </row>
    <row r="1177">
      <c r="A1177" s="7" t="inlineStr">
        <is>
          <t>2018-12-18</t>
        </is>
      </c>
      <c r="B1177" s="8">
        <f>IFERROR(VLOOKUP($A1177,'01-原始价格'!$A:$M,2,FALSE),"")</f>
        <v/>
      </c>
      <c r="C1177" s="8">
        <f>IFERROR(VLOOKUP($A1177,'01-原始价格'!$A:$M,8,FALSE),"")</f>
        <v/>
      </c>
      <c r="D1177" s="10">
        <f>IFERROR(B1177/C1177,"")</f>
        <v/>
      </c>
      <c r="E1177" s="10">
        <f>IFERROR(C1177/B1177,"")</f>
        <v/>
      </c>
      <c r="F1177" s="11">
        <f>IFERROR((D1177/D1176-1)*100,"")</f>
        <v/>
      </c>
      <c r="G1177" s="11">
        <f>IFERROR((COUNTIF($D$926:$D$1177,"&lt;"&amp;D1177)+0.5*COUNTIF($D$926:$D$1177,D1177))/COUNT($D$926:$D$1177)*100,"")</f>
        <v/>
      </c>
      <c r="H1177" s="10">
        <f>IFERROR(AVERAGE($D$926:$D$1177),"")</f>
        <v/>
      </c>
      <c r="I1177" s="10" t="n">
        <v>-1.241753097195702</v>
      </c>
      <c r="J1177" t="inlineStr"/>
      <c r="K1177" t="inlineStr"/>
    </row>
    <row r="1178">
      <c r="A1178" s="7" t="inlineStr">
        <is>
          <t>2018-12-19</t>
        </is>
      </c>
      <c r="B1178" s="8">
        <f>IFERROR(VLOOKUP($A1178,'01-原始价格'!$A:$M,2,FALSE),"")</f>
        <v/>
      </c>
      <c r="C1178" s="8">
        <f>IFERROR(VLOOKUP($A1178,'01-原始价格'!$A:$M,8,FALSE),"")</f>
        <v/>
      </c>
      <c r="D1178" s="10">
        <f>IFERROR(B1178/C1178,"")</f>
        <v/>
      </c>
      <c r="E1178" s="10">
        <f>IFERROR(C1178/B1178,"")</f>
        <v/>
      </c>
      <c r="F1178" s="11">
        <f>IFERROR((D1178/D1177-1)*100,"")</f>
        <v/>
      </c>
      <c r="G1178" s="11">
        <f>IFERROR((COUNTIF($D$927:$D$1178,"&lt;"&amp;D1178)+0.5*COUNTIF($D$927:$D$1178,D1178))/COUNT($D$927:$D$1178)*100,"")</f>
        <v/>
      </c>
      <c r="H1178" s="10">
        <f>IFERROR(AVERAGE($D$927:$D$1178),"")</f>
        <v/>
      </c>
      <c r="I1178" s="10" t="n">
        <v>-1.289038107949347</v>
      </c>
      <c r="J1178" t="inlineStr"/>
      <c r="K1178" t="inlineStr"/>
    </row>
    <row r="1179">
      <c r="A1179" s="7" t="inlineStr">
        <is>
          <t>2018-12-20</t>
        </is>
      </c>
      <c r="B1179" s="8">
        <f>IFERROR(VLOOKUP($A1179,'01-原始价格'!$A:$M,2,FALSE),"")</f>
        <v/>
      </c>
      <c r="C1179" s="8">
        <f>IFERROR(VLOOKUP($A1179,'01-原始价格'!$A:$M,8,FALSE),"")</f>
        <v/>
      </c>
      <c r="D1179" s="10">
        <f>IFERROR(B1179/C1179,"")</f>
        <v/>
      </c>
      <c r="E1179" s="10">
        <f>IFERROR(C1179/B1179,"")</f>
        <v/>
      </c>
      <c r="F1179" s="11">
        <f>IFERROR((D1179/D1178-1)*100,"")</f>
        <v/>
      </c>
      <c r="G1179" s="11">
        <f>IFERROR((COUNTIF($D$928:$D$1179,"&lt;"&amp;D1179)+0.5*COUNTIF($D$928:$D$1179,D1179))/COUNT($D$928:$D$1179)*100,"")</f>
        <v/>
      </c>
      <c r="H1179" s="10">
        <f>IFERROR(AVERAGE($D$928:$D$1179),"")</f>
        <v/>
      </c>
      <c r="I1179" s="10" t="n">
        <v>-1.421508860083087</v>
      </c>
      <c r="J1179" t="inlineStr"/>
      <c r="K1179" t="inlineStr"/>
    </row>
    <row r="1180">
      <c r="A1180" s="7" t="inlineStr">
        <is>
          <t>2018-12-21</t>
        </is>
      </c>
      <c r="B1180" s="8">
        <f>IFERROR(VLOOKUP($A1180,'01-原始价格'!$A:$M,2,FALSE),"")</f>
        <v/>
      </c>
      <c r="C1180" s="8">
        <f>IFERROR(VLOOKUP($A1180,'01-原始价格'!$A:$M,8,FALSE),"")</f>
        <v/>
      </c>
      <c r="D1180" s="10">
        <f>IFERROR(B1180/C1180,"")</f>
        <v/>
      </c>
      <c r="E1180" s="10">
        <f>IFERROR(C1180/B1180,"")</f>
        <v/>
      </c>
      <c r="F1180" s="11">
        <f>IFERROR((D1180/D1179-1)*100,"")</f>
        <v/>
      </c>
      <c r="G1180" s="11">
        <f>IFERROR((COUNTIF($D$929:$D$1180,"&lt;"&amp;D1180)+0.5*COUNTIF($D$929:$D$1180,D1180))/COUNT($D$929:$D$1180)*100,"")</f>
        <v/>
      </c>
      <c r="H1180" s="10">
        <f>IFERROR(AVERAGE($D$929:$D$1180),"")</f>
        <v/>
      </c>
      <c r="I1180" s="10" t="n">
        <v>-1.598919666264133</v>
      </c>
      <c r="J1180" t="inlineStr"/>
      <c r="K1180" t="inlineStr"/>
    </row>
    <row r="1181">
      <c r="A1181" s="7" t="inlineStr">
        <is>
          <t>2018-12-24</t>
        </is>
      </c>
      <c r="B1181" s="8">
        <f>IFERROR(VLOOKUP($A1181,'01-原始价格'!$A:$M,2,FALSE),"")</f>
        <v/>
      </c>
      <c r="C1181" s="8">
        <f>IFERROR(VLOOKUP($A1181,'01-原始价格'!$A:$M,8,FALSE),"")</f>
        <v/>
      </c>
      <c r="D1181" s="10">
        <f>IFERROR(B1181/C1181,"")</f>
        <v/>
      </c>
      <c r="E1181" s="10">
        <f>IFERROR(C1181/B1181,"")</f>
        <v/>
      </c>
      <c r="F1181" s="11">
        <f>IFERROR((D1181/D1180-1)*100,"")</f>
        <v/>
      </c>
      <c r="G1181" s="11">
        <f>IFERROR((COUNTIF($D$930:$D$1181,"&lt;"&amp;D1181)+0.5*COUNTIF($D$930:$D$1181,D1181))/COUNT($D$930:$D$1181)*100,"")</f>
        <v/>
      </c>
      <c r="H1181" s="10">
        <f>IFERROR(AVERAGE($D$930:$D$1181),"")</f>
        <v/>
      </c>
      <c r="I1181" s="10" t="n">
        <v>-1.435389064236267</v>
      </c>
      <c r="J1181" t="inlineStr"/>
      <c r="K1181" t="inlineStr"/>
    </row>
    <row r="1182">
      <c r="A1182" s="7" t="inlineStr">
        <is>
          <t>2018-12-25</t>
        </is>
      </c>
      <c r="B1182" s="8">
        <f>IFERROR(VLOOKUP($A1182,'01-原始价格'!$A:$M,2,FALSE),"")</f>
        <v/>
      </c>
      <c r="C1182" s="8">
        <f>IFERROR(VLOOKUP($A1182,'01-原始价格'!$A:$M,8,FALSE),"")</f>
        <v/>
      </c>
      <c r="D1182" s="10">
        <f>IFERROR(B1182/C1182,"")</f>
        <v/>
      </c>
      <c r="E1182" s="10">
        <f>IFERROR(C1182/B1182,"")</f>
        <v/>
      </c>
      <c r="F1182" s="11">
        <f>IFERROR((D1182/D1181-1)*100,"")</f>
        <v/>
      </c>
      <c r="G1182" s="11">
        <f>IFERROR((COUNTIF($D$931:$D$1182,"&lt;"&amp;D1182)+0.5*COUNTIF($D$931:$D$1182,D1182))/COUNT($D$931:$D$1182)*100,"")</f>
        <v/>
      </c>
      <c r="H1182" s="10">
        <f>IFERROR(AVERAGE($D$931:$D$1182),"")</f>
        <v/>
      </c>
      <c r="I1182" s="10" t="n">
        <v>-1.502811692470374</v>
      </c>
      <c r="J1182" t="inlineStr"/>
      <c r="K1182" t="inlineStr"/>
    </row>
    <row r="1183">
      <c r="A1183" s="7" t="inlineStr">
        <is>
          <t>2018-12-26</t>
        </is>
      </c>
      <c r="B1183" s="8">
        <f>IFERROR(VLOOKUP($A1183,'01-原始价格'!$A:$M,2,FALSE),"")</f>
        <v/>
      </c>
      <c r="C1183" s="8">
        <f>IFERROR(VLOOKUP($A1183,'01-原始价格'!$A:$M,8,FALSE),"")</f>
        <v/>
      </c>
      <c r="D1183" s="10">
        <f>IFERROR(B1183/C1183,"")</f>
        <v/>
      </c>
      <c r="E1183" s="10">
        <f>IFERROR(C1183/B1183,"")</f>
        <v/>
      </c>
      <c r="F1183" s="11">
        <f>IFERROR((D1183/D1182-1)*100,"")</f>
        <v/>
      </c>
      <c r="G1183" s="11">
        <f>IFERROR((COUNTIF($D$932:$D$1183,"&lt;"&amp;D1183)+0.5*COUNTIF($D$932:$D$1183,D1183))/COUNT($D$932:$D$1183)*100,"")</f>
        <v/>
      </c>
      <c r="H1183" s="10">
        <f>IFERROR(AVERAGE($D$932:$D$1183),"")</f>
        <v/>
      </c>
      <c r="I1183" s="10" t="n">
        <v>-1.25022435253612</v>
      </c>
      <c r="J1183" t="inlineStr"/>
      <c r="K1183" t="inlineStr"/>
    </row>
    <row r="1184">
      <c r="A1184" s="7" t="inlineStr">
        <is>
          <t>2018-12-27</t>
        </is>
      </c>
      <c r="B1184" s="8">
        <f>IFERROR(VLOOKUP($A1184,'01-原始价格'!$A:$M,2,FALSE),"")</f>
        <v/>
      </c>
      <c r="C1184" s="8">
        <f>IFERROR(VLOOKUP($A1184,'01-原始价格'!$A:$M,8,FALSE),"")</f>
        <v/>
      </c>
      <c r="D1184" s="10">
        <f>IFERROR(B1184/C1184,"")</f>
        <v/>
      </c>
      <c r="E1184" s="10">
        <f>IFERROR(C1184/B1184,"")</f>
        <v/>
      </c>
      <c r="F1184" s="11">
        <f>IFERROR((D1184/D1183-1)*100,"")</f>
        <v/>
      </c>
      <c r="G1184" s="11">
        <f>IFERROR((COUNTIF($D$933:$D$1184,"&lt;"&amp;D1184)+0.5*COUNTIF($D$933:$D$1184,D1184))/COUNT($D$933:$D$1184)*100,"")</f>
        <v/>
      </c>
      <c r="H1184" s="10">
        <f>IFERROR(AVERAGE($D$933:$D$1184),"")</f>
        <v/>
      </c>
      <c r="I1184" s="10" t="n">
        <v>-1.199824019387345</v>
      </c>
      <c r="J1184" t="inlineStr"/>
      <c r="K1184" t="inlineStr"/>
    </row>
    <row r="1185">
      <c r="A1185" s="7" t="inlineStr">
        <is>
          <t>2018-12-28</t>
        </is>
      </c>
      <c r="B1185" s="8">
        <f>IFERROR(VLOOKUP($A1185,'01-原始价格'!$A:$M,2,FALSE),"")</f>
        <v/>
      </c>
      <c r="C1185" s="8">
        <f>IFERROR(VLOOKUP($A1185,'01-原始价格'!$A:$M,8,FALSE),"")</f>
        <v/>
      </c>
      <c r="D1185" s="10">
        <f>IFERROR(B1185/C1185,"")</f>
        <v/>
      </c>
      <c r="E1185" s="10">
        <f>IFERROR(C1185/B1185,"")</f>
        <v/>
      </c>
      <c r="F1185" s="11">
        <f>IFERROR((D1185/D1184-1)*100,"")</f>
        <v/>
      </c>
      <c r="G1185" s="11">
        <f>IFERROR((COUNTIF($D$934:$D$1185,"&lt;"&amp;D1185)+0.5*COUNTIF($D$934:$D$1185,D1185))/COUNT($D$934:$D$1185)*100,"")</f>
        <v/>
      </c>
      <c r="H1185" s="10">
        <f>IFERROR(AVERAGE($D$934:$D$1185),"")</f>
        <v/>
      </c>
      <c r="I1185" s="10" t="n">
        <v>-1.09576427180328</v>
      </c>
      <c r="J1185" t="inlineStr"/>
      <c r="K1185" t="inlineStr"/>
    </row>
    <row r="1186">
      <c r="A1186" s="7" t="inlineStr">
        <is>
          <t>2019-01-02</t>
        </is>
      </c>
      <c r="B1186" s="8">
        <f>IFERROR(VLOOKUP($A1186,'01-原始价格'!$A:$M,2,FALSE),"")</f>
        <v/>
      </c>
      <c r="C1186" s="8">
        <f>IFERROR(VLOOKUP($A1186,'01-原始价格'!$A:$M,8,FALSE),"")</f>
        <v/>
      </c>
      <c r="D1186" s="10">
        <f>IFERROR(B1186/C1186,"")</f>
        <v/>
      </c>
      <c r="E1186" s="10">
        <f>IFERROR(C1186/B1186,"")</f>
        <v/>
      </c>
      <c r="F1186" s="11">
        <f>IFERROR((D1186/D1185-1)*100,"")</f>
        <v/>
      </c>
      <c r="G1186" s="11">
        <f>IFERROR((COUNTIF($D$935:$D$1186,"&lt;"&amp;D1186)+0.5*COUNTIF($D$935:$D$1186,D1186))/COUNT($D$935:$D$1186)*100,"")</f>
        <v/>
      </c>
      <c r="H1186" s="10">
        <f>IFERROR(AVERAGE($D$935:$D$1186),"")</f>
        <v/>
      </c>
      <c r="I1186" s="10" t="n">
        <v>-1.166691981691624</v>
      </c>
      <c r="J1186" t="inlineStr"/>
      <c r="K1186" t="inlineStr"/>
    </row>
    <row r="1187">
      <c r="A1187" s="7" t="inlineStr">
        <is>
          <t>2019-01-03</t>
        </is>
      </c>
      <c r="B1187" s="8">
        <f>IFERROR(VLOOKUP($A1187,'01-原始价格'!$A:$M,2,FALSE),"")</f>
        <v/>
      </c>
      <c r="C1187" s="8">
        <f>IFERROR(VLOOKUP($A1187,'01-原始价格'!$A:$M,8,FALSE),"")</f>
        <v/>
      </c>
      <c r="D1187" s="10">
        <f>IFERROR(B1187/C1187,"")</f>
        <v/>
      </c>
      <c r="E1187" s="10">
        <f>IFERROR(C1187/B1187,"")</f>
        <v/>
      </c>
      <c r="F1187" s="11">
        <f>IFERROR((D1187/D1186-1)*100,"")</f>
        <v/>
      </c>
      <c r="G1187" s="11">
        <f>IFERROR((COUNTIF($D$936:$D$1187,"&lt;"&amp;D1187)+0.5*COUNTIF($D$936:$D$1187,D1187))/COUNT($D$936:$D$1187)*100,"")</f>
        <v/>
      </c>
      <c r="H1187" s="10">
        <f>IFERROR(AVERAGE($D$936:$D$1187),"")</f>
        <v/>
      </c>
      <c r="I1187" s="10" t="n">
        <v>-1.012044565866759</v>
      </c>
      <c r="J1187" t="inlineStr"/>
      <c r="K1187" t="inlineStr"/>
    </row>
    <row r="1188">
      <c r="A1188" s="7" t="inlineStr">
        <is>
          <t>2019-01-04</t>
        </is>
      </c>
      <c r="B1188" s="8">
        <f>IFERROR(VLOOKUP($A1188,'01-原始价格'!$A:$M,2,FALSE),"")</f>
        <v/>
      </c>
      <c r="C1188" s="8">
        <f>IFERROR(VLOOKUP($A1188,'01-原始价格'!$A:$M,8,FALSE),"")</f>
        <v/>
      </c>
      <c r="D1188" s="10">
        <f>IFERROR(B1188/C1188,"")</f>
        <v/>
      </c>
      <c r="E1188" s="10">
        <f>IFERROR(C1188/B1188,"")</f>
        <v/>
      </c>
      <c r="F1188" s="11">
        <f>IFERROR((D1188/D1187-1)*100,"")</f>
        <v/>
      </c>
      <c r="G1188" s="11">
        <f>IFERROR((COUNTIF($D$937:$D$1188,"&lt;"&amp;D1188)+0.5*COUNTIF($D$937:$D$1188,D1188))/COUNT($D$937:$D$1188)*100,"")</f>
        <v/>
      </c>
      <c r="H1188" s="10">
        <f>IFERROR(AVERAGE($D$937:$D$1188),"")</f>
        <v/>
      </c>
      <c r="I1188" s="10" t="n">
        <v>-0.9197818912853474</v>
      </c>
      <c r="J1188" t="inlineStr"/>
      <c r="K1188" t="inlineStr"/>
    </row>
    <row r="1189">
      <c r="A1189" s="7" t="inlineStr">
        <is>
          <t>2019-01-07</t>
        </is>
      </c>
      <c r="B1189" s="8">
        <f>IFERROR(VLOOKUP($A1189,'01-原始价格'!$A:$M,2,FALSE),"")</f>
        <v/>
      </c>
      <c r="C1189" s="8">
        <f>IFERROR(VLOOKUP($A1189,'01-原始价格'!$A:$M,8,FALSE),"")</f>
        <v/>
      </c>
      <c r="D1189" s="10">
        <f>IFERROR(B1189/C1189,"")</f>
        <v/>
      </c>
      <c r="E1189" s="10">
        <f>IFERROR(C1189/B1189,"")</f>
        <v/>
      </c>
      <c r="F1189" s="11">
        <f>IFERROR((D1189/D1188-1)*100,"")</f>
        <v/>
      </c>
      <c r="G1189" s="11">
        <f>IFERROR((COUNTIF($D$938:$D$1189,"&lt;"&amp;D1189)+0.5*COUNTIF($D$938:$D$1189,D1189))/COUNT($D$938:$D$1189)*100,"")</f>
        <v/>
      </c>
      <c r="H1189" s="10">
        <f>IFERROR(AVERAGE($D$938:$D$1189),"")</f>
        <v/>
      </c>
      <c r="I1189" s="10" t="n">
        <v>-0.8320780699322405</v>
      </c>
      <c r="J1189" t="inlineStr"/>
      <c r="K1189" t="inlineStr"/>
    </row>
    <row r="1190">
      <c r="A1190" s="7" t="inlineStr">
        <is>
          <t>2019-01-08</t>
        </is>
      </c>
      <c r="B1190" s="8">
        <f>IFERROR(VLOOKUP($A1190,'01-原始价格'!$A:$M,2,FALSE),"")</f>
        <v/>
      </c>
      <c r="C1190" s="8">
        <f>IFERROR(VLOOKUP($A1190,'01-原始价格'!$A:$M,8,FALSE),"")</f>
        <v/>
      </c>
      <c r="D1190" s="10">
        <f>IFERROR(B1190/C1190,"")</f>
        <v/>
      </c>
      <c r="E1190" s="10">
        <f>IFERROR(C1190/B1190,"")</f>
        <v/>
      </c>
      <c r="F1190" s="11">
        <f>IFERROR((D1190/D1189-1)*100,"")</f>
        <v/>
      </c>
      <c r="G1190" s="11">
        <f>IFERROR((COUNTIF($D$939:$D$1190,"&lt;"&amp;D1190)+0.5*COUNTIF($D$939:$D$1190,D1190))/COUNT($D$939:$D$1190)*100,"")</f>
        <v/>
      </c>
      <c r="H1190" s="10">
        <f>IFERROR(AVERAGE($D$939:$D$1190),"")</f>
        <v/>
      </c>
      <c r="I1190" s="10" t="n">
        <v>-1.037751473245626</v>
      </c>
      <c r="J1190" t="inlineStr"/>
      <c r="K1190" t="inlineStr"/>
    </row>
    <row r="1191">
      <c r="A1191" s="7" t="inlineStr">
        <is>
          <t>2019-01-09</t>
        </is>
      </c>
      <c r="B1191" s="8">
        <f>IFERROR(VLOOKUP($A1191,'01-原始价格'!$A:$M,2,FALSE),"")</f>
        <v/>
      </c>
      <c r="C1191" s="8">
        <f>IFERROR(VLOOKUP($A1191,'01-原始价格'!$A:$M,8,FALSE),"")</f>
        <v/>
      </c>
      <c r="D1191" s="10">
        <f>IFERROR(B1191/C1191,"")</f>
        <v/>
      </c>
      <c r="E1191" s="10">
        <f>IFERROR(C1191/B1191,"")</f>
        <v/>
      </c>
      <c r="F1191" s="11">
        <f>IFERROR((D1191/D1190-1)*100,"")</f>
        <v/>
      </c>
      <c r="G1191" s="11">
        <f>IFERROR((COUNTIF($D$940:$D$1191,"&lt;"&amp;D1191)+0.5*COUNTIF($D$940:$D$1191,D1191))/COUNT($D$940:$D$1191)*100,"")</f>
        <v/>
      </c>
      <c r="H1191" s="10">
        <f>IFERROR(AVERAGE($D$940:$D$1191),"")</f>
        <v/>
      </c>
      <c r="I1191" s="10" t="n">
        <v>-0.7832246700914487</v>
      </c>
      <c r="J1191" t="inlineStr"/>
      <c r="K1191" t="inlineStr"/>
    </row>
    <row r="1192">
      <c r="A1192" s="7" t="inlineStr">
        <is>
          <t>2019-01-10</t>
        </is>
      </c>
      <c r="B1192" s="8">
        <f>IFERROR(VLOOKUP($A1192,'01-原始价格'!$A:$M,2,FALSE),"")</f>
        <v/>
      </c>
      <c r="C1192" s="8">
        <f>IFERROR(VLOOKUP($A1192,'01-原始价格'!$A:$M,8,FALSE),"")</f>
        <v/>
      </c>
      <c r="D1192" s="10">
        <f>IFERROR(B1192/C1192,"")</f>
        <v/>
      </c>
      <c r="E1192" s="10">
        <f>IFERROR(C1192/B1192,"")</f>
        <v/>
      </c>
      <c r="F1192" s="11">
        <f>IFERROR((D1192/D1191-1)*100,"")</f>
        <v/>
      </c>
      <c r="G1192" s="11">
        <f>IFERROR((COUNTIF($D$941:$D$1192,"&lt;"&amp;D1192)+0.5*COUNTIF($D$941:$D$1192,D1192))/COUNT($D$941:$D$1192)*100,"")</f>
        <v/>
      </c>
      <c r="H1192" s="10">
        <f>IFERROR(AVERAGE($D$941:$D$1192),"")</f>
        <v/>
      </c>
      <c r="I1192" s="10" t="n">
        <v>-0.8435710789930526</v>
      </c>
      <c r="J1192" t="inlineStr"/>
      <c r="K1192" t="inlineStr"/>
    </row>
    <row r="1193">
      <c r="A1193" s="7" t="inlineStr">
        <is>
          <t>2019-01-11</t>
        </is>
      </c>
      <c r="B1193" s="8">
        <f>IFERROR(VLOOKUP($A1193,'01-原始价格'!$A:$M,2,FALSE),"")</f>
        <v/>
      </c>
      <c r="C1193" s="8">
        <f>IFERROR(VLOOKUP($A1193,'01-原始价格'!$A:$M,8,FALSE),"")</f>
        <v/>
      </c>
      <c r="D1193" s="10">
        <f>IFERROR(B1193/C1193,"")</f>
        <v/>
      </c>
      <c r="E1193" s="10">
        <f>IFERROR(C1193/B1193,"")</f>
        <v/>
      </c>
      <c r="F1193" s="11">
        <f>IFERROR((D1193/D1192-1)*100,"")</f>
        <v/>
      </c>
      <c r="G1193" s="11">
        <f>IFERROR((COUNTIF($D$942:$D$1193,"&lt;"&amp;D1193)+0.5*COUNTIF($D$942:$D$1193,D1193))/COUNT($D$942:$D$1193)*100,"")</f>
        <v/>
      </c>
      <c r="H1193" s="10">
        <f>IFERROR(AVERAGE($D$942:$D$1193),"")</f>
        <v/>
      </c>
      <c r="I1193" s="10" t="n">
        <v>-0.7574934242366945</v>
      </c>
      <c r="J1193" t="inlineStr"/>
      <c r="K1193" t="inlineStr"/>
    </row>
    <row r="1194">
      <c r="A1194" s="7" t="inlineStr">
        <is>
          <t>2019-01-14</t>
        </is>
      </c>
      <c r="B1194" s="8">
        <f>IFERROR(VLOOKUP($A1194,'01-原始价格'!$A:$M,2,FALSE),"")</f>
        <v/>
      </c>
      <c r="C1194" s="8">
        <f>IFERROR(VLOOKUP($A1194,'01-原始价格'!$A:$M,8,FALSE),"")</f>
        <v/>
      </c>
      <c r="D1194" s="10">
        <f>IFERROR(B1194/C1194,"")</f>
        <v/>
      </c>
      <c r="E1194" s="10">
        <f>IFERROR(C1194/B1194,"")</f>
        <v/>
      </c>
      <c r="F1194" s="11">
        <f>IFERROR((D1194/D1193-1)*100,"")</f>
        <v/>
      </c>
      <c r="G1194" s="11">
        <f>IFERROR((COUNTIF($D$943:$D$1194,"&lt;"&amp;D1194)+0.5*COUNTIF($D$943:$D$1194,D1194))/COUNT($D$943:$D$1194)*100,"")</f>
        <v/>
      </c>
      <c r="H1194" s="10">
        <f>IFERROR(AVERAGE($D$943:$D$1194),"")</f>
        <v/>
      </c>
      <c r="I1194" s="10" t="n">
        <v>-1.092677553986882</v>
      </c>
      <c r="J1194" t="inlineStr"/>
      <c r="K1194" t="inlineStr"/>
    </row>
    <row r="1195">
      <c r="A1195" s="7" t="inlineStr">
        <is>
          <t>2019-01-15</t>
        </is>
      </c>
      <c r="B1195" s="8">
        <f>IFERROR(VLOOKUP($A1195,'01-原始价格'!$A:$M,2,FALSE),"")</f>
        <v/>
      </c>
      <c r="C1195" s="8">
        <f>IFERROR(VLOOKUP($A1195,'01-原始价格'!$A:$M,8,FALSE),"")</f>
        <v/>
      </c>
      <c r="D1195" s="10">
        <f>IFERROR(B1195/C1195,"")</f>
        <v/>
      </c>
      <c r="E1195" s="10">
        <f>IFERROR(C1195/B1195,"")</f>
        <v/>
      </c>
      <c r="F1195" s="11">
        <f>IFERROR((D1195/D1194-1)*100,"")</f>
        <v/>
      </c>
      <c r="G1195" s="11">
        <f>IFERROR((COUNTIF($D$944:$D$1195,"&lt;"&amp;D1195)+0.5*COUNTIF($D$944:$D$1195,D1195))/COUNT($D$944:$D$1195)*100,"")</f>
        <v/>
      </c>
      <c r="H1195" s="10">
        <f>IFERROR(AVERAGE($D$944:$D$1195),"")</f>
        <v/>
      </c>
      <c r="I1195" s="10" t="n">
        <v>-0.9243657749250771</v>
      </c>
      <c r="J1195" t="inlineStr"/>
      <c r="K1195" t="inlineStr"/>
    </row>
    <row r="1196">
      <c r="A1196" s="7" t="inlineStr">
        <is>
          <t>2019-01-16</t>
        </is>
      </c>
      <c r="B1196" s="8">
        <f>IFERROR(VLOOKUP($A1196,'01-原始价格'!$A:$M,2,FALSE),"")</f>
        <v/>
      </c>
      <c r="C1196" s="8">
        <f>IFERROR(VLOOKUP($A1196,'01-原始价格'!$A:$M,8,FALSE),"")</f>
        <v/>
      </c>
      <c r="D1196" s="10">
        <f>IFERROR(B1196/C1196,"")</f>
        <v/>
      </c>
      <c r="E1196" s="10">
        <f>IFERROR(C1196/B1196,"")</f>
        <v/>
      </c>
      <c r="F1196" s="11">
        <f>IFERROR((D1196/D1195-1)*100,"")</f>
        <v/>
      </c>
      <c r="G1196" s="11">
        <f>IFERROR((COUNTIF($D$945:$D$1196,"&lt;"&amp;D1196)+0.5*COUNTIF($D$945:$D$1196,D1196))/COUNT($D$945:$D$1196)*100,"")</f>
        <v/>
      </c>
      <c r="H1196" s="10">
        <f>IFERROR(AVERAGE($D$945:$D$1196),"")</f>
        <v/>
      </c>
      <c r="I1196" s="10" t="n">
        <v>-0.7411250496874096</v>
      </c>
      <c r="J1196" t="inlineStr"/>
      <c r="K1196" t="inlineStr"/>
    </row>
    <row r="1197">
      <c r="A1197" s="7" t="inlineStr">
        <is>
          <t>2019-01-17</t>
        </is>
      </c>
      <c r="B1197" s="8">
        <f>IFERROR(VLOOKUP($A1197,'01-原始价格'!$A:$M,2,FALSE),"")</f>
        <v/>
      </c>
      <c r="C1197" s="8">
        <f>IFERROR(VLOOKUP($A1197,'01-原始价格'!$A:$M,8,FALSE),"")</f>
        <v/>
      </c>
      <c r="D1197" s="10">
        <f>IFERROR(B1197/C1197,"")</f>
        <v/>
      </c>
      <c r="E1197" s="10">
        <f>IFERROR(C1197/B1197,"")</f>
        <v/>
      </c>
      <c r="F1197" s="11">
        <f>IFERROR((D1197/D1196-1)*100,"")</f>
        <v/>
      </c>
      <c r="G1197" s="11">
        <f>IFERROR((COUNTIF($D$946:$D$1197,"&lt;"&amp;D1197)+0.5*COUNTIF($D$946:$D$1197,D1197))/COUNT($D$946:$D$1197)*100,"")</f>
        <v/>
      </c>
      <c r="H1197" s="10">
        <f>IFERROR(AVERAGE($D$946:$D$1197),"")</f>
        <v/>
      </c>
      <c r="I1197" s="10" t="n">
        <v>-0.8510108981287496</v>
      </c>
      <c r="J1197" t="inlineStr"/>
      <c r="K1197" t="inlineStr"/>
    </row>
    <row r="1198">
      <c r="A1198" s="7" t="inlineStr">
        <is>
          <t>2019-01-18</t>
        </is>
      </c>
      <c r="B1198" s="8">
        <f>IFERROR(VLOOKUP($A1198,'01-原始价格'!$A:$M,2,FALSE),"")</f>
        <v/>
      </c>
      <c r="C1198" s="8">
        <f>IFERROR(VLOOKUP($A1198,'01-原始价格'!$A:$M,8,FALSE),"")</f>
        <v/>
      </c>
      <c r="D1198" s="10">
        <f>IFERROR(B1198/C1198,"")</f>
        <v/>
      </c>
      <c r="E1198" s="10">
        <f>IFERROR(C1198/B1198,"")</f>
        <v/>
      </c>
      <c r="F1198" s="11">
        <f>IFERROR((D1198/D1197-1)*100,"")</f>
        <v/>
      </c>
      <c r="G1198" s="11">
        <f>IFERROR((COUNTIF($D$947:$D$1198,"&lt;"&amp;D1198)+0.5*COUNTIF($D$947:$D$1198,D1198))/COUNT($D$947:$D$1198)*100,"")</f>
        <v/>
      </c>
      <c r="H1198" s="10">
        <f>IFERROR(AVERAGE($D$947:$D$1198),"")</f>
        <v/>
      </c>
      <c r="I1198" s="10" t="n">
        <v>-0.8509489224621529</v>
      </c>
      <c r="J1198" t="inlineStr"/>
      <c r="K1198" t="inlineStr"/>
    </row>
    <row r="1199">
      <c r="A1199" s="7" t="inlineStr">
        <is>
          <t>2019-01-21</t>
        </is>
      </c>
      <c r="B1199" s="8">
        <f>IFERROR(VLOOKUP($A1199,'01-原始价格'!$A:$M,2,FALSE),"")</f>
        <v/>
      </c>
      <c r="C1199" s="8">
        <f>IFERROR(VLOOKUP($A1199,'01-原始价格'!$A:$M,8,FALSE),"")</f>
        <v/>
      </c>
      <c r="D1199" s="10">
        <f>IFERROR(B1199/C1199,"")</f>
        <v/>
      </c>
      <c r="E1199" s="10">
        <f>IFERROR(C1199/B1199,"")</f>
        <v/>
      </c>
      <c r="F1199" s="11">
        <f>IFERROR((D1199/D1198-1)*100,"")</f>
        <v/>
      </c>
      <c r="G1199" s="11">
        <f>IFERROR((COUNTIF($D$948:$D$1199,"&lt;"&amp;D1199)+0.5*COUNTIF($D$948:$D$1199,D1199))/COUNT($D$948:$D$1199)*100,"")</f>
        <v/>
      </c>
      <c r="H1199" s="10">
        <f>IFERROR(AVERAGE($D$948:$D$1199),"")</f>
        <v/>
      </c>
      <c r="I1199" s="10" t="n">
        <v>-0.8124336661853858</v>
      </c>
      <c r="J1199" t="inlineStr"/>
      <c r="K1199" t="inlineStr"/>
    </row>
    <row r="1200">
      <c r="A1200" s="7" t="inlineStr">
        <is>
          <t>2019-01-22</t>
        </is>
      </c>
      <c r="B1200" s="8">
        <f>IFERROR(VLOOKUP($A1200,'01-原始价格'!$A:$M,2,FALSE),"")</f>
        <v/>
      </c>
      <c r="C1200" s="8">
        <f>IFERROR(VLOOKUP($A1200,'01-原始价格'!$A:$M,8,FALSE),"")</f>
        <v/>
      </c>
      <c r="D1200" s="10">
        <f>IFERROR(B1200/C1200,"")</f>
        <v/>
      </c>
      <c r="E1200" s="10">
        <f>IFERROR(C1200/B1200,"")</f>
        <v/>
      </c>
      <c r="F1200" s="11">
        <f>IFERROR((D1200/D1199-1)*100,"")</f>
        <v/>
      </c>
      <c r="G1200" s="11">
        <f>IFERROR((COUNTIF($D$949:$D$1200,"&lt;"&amp;D1200)+0.5*COUNTIF($D$949:$D$1200,D1200))/COUNT($D$949:$D$1200)*100,"")</f>
        <v/>
      </c>
      <c r="H1200" s="10">
        <f>IFERROR(AVERAGE($D$949:$D$1200),"")</f>
        <v/>
      </c>
      <c r="I1200" s="10" t="n">
        <v>-0.8755967452504553</v>
      </c>
      <c r="J1200" t="inlineStr"/>
      <c r="K1200" t="inlineStr"/>
    </row>
    <row r="1201">
      <c r="A1201" s="7" t="inlineStr">
        <is>
          <t>2019-01-23</t>
        </is>
      </c>
      <c r="B1201" s="8">
        <f>IFERROR(VLOOKUP($A1201,'01-原始价格'!$A:$M,2,FALSE),"")</f>
        <v/>
      </c>
      <c r="C1201" s="8">
        <f>IFERROR(VLOOKUP($A1201,'01-原始价格'!$A:$M,8,FALSE),"")</f>
        <v/>
      </c>
      <c r="D1201" s="10">
        <f>IFERROR(B1201/C1201,"")</f>
        <v/>
      </c>
      <c r="E1201" s="10">
        <f>IFERROR(C1201/B1201,"")</f>
        <v/>
      </c>
      <c r="F1201" s="11">
        <f>IFERROR((D1201/D1200-1)*100,"")</f>
        <v/>
      </c>
      <c r="G1201" s="11">
        <f>IFERROR((COUNTIF($D$950:$D$1201,"&lt;"&amp;D1201)+0.5*COUNTIF($D$950:$D$1201,D1201))/COUNT($D$950:$D$1201)*100,"")</f>
        <v/>
      </c>
      <c r="H1201" s="10">
        <f>IFERROR(AVERAGE($D$950:$D$1201),"")</f>
        <v/>
      </c>
      <c r="I1201" s="10" t="n">
        <v>-0.8222617458752539</v>
      </c>
      <c r="J1201" t="inlineStr"/>
      <c r="K1201" t="inlineStr"/>
    </row>
    <row r="1202">
      <c r="A1202" s="7" t="inlineStr">
        <is>
          <t>2019-01-24</t>
        </is>
      </c>
      <c r="B1202" s="8">
        <f>IFERROR(VLOOKUP($A1202,'01-原始价格'!$A:$M,2,FALSE),"")</f>
        <v/>
      </c>
      <c r="C1202" s="8">
        <f>IFERROR(VLOOKUP($A1202,'01-原始价格'!$A:$M,8,FALSE),"")</f>
        <v/>
      </c>
      <c r="D1202" s="10">
        <f>IFERROR(B1202/C1202,"")</f>
        <v/>
      </c>
      <c r="E1202" s="10">
        <f>IFERROR(C1202/B1202,"")</f>
        <v/>
      </c>
      <c r="F1202" s="11">
        <f>IFERROR((D1202/D1201-1)*100,"")</f>
        <v/>
      </c>
      <c r="G1202" s="11">
        <f>IFERROR((COUNTIF($D$951:$D$1202,"&lt;"&amp;D1202)+0.5*COUNTIF($D$951:$D$1202,D1202))/COUNT($D$951:$D$1202)*100,"")</f>
        <v/>
      </c>
      <c r="H1202" s="10">
        <f>IFERROR(AVERAGE($D$951:$D$1202),"")</f>
        <v/>
      </c>
      <c r="I1202" s="10" t="n">
        <v>-0.8662653047726827</v>
      </c>
      <c r="J1202" t="inlineStr"/>
      <c r="K1202" t="inlineStr"/>
    </row>
    <row r="1203">
      <c r="A1203" s="7" t="inlineStr">
        <is>
          <t>2019-01-25</t>
        </is>
      </c>
      <c r="B1203" s="8">
        <f>IFERROR(VLOOKUP($A1203,'01-原始价格'!$A:$M,2,FALSE),"")</f>
        <v/>
      </c>
      <c r="C1203" s="8">
        <f>IFERROR(VLOOKUP($A1203,'01-原始价格'!$A:$M,8,FALSE),"")</f>
        <v/>
      </c>
      <c r="D1203" s="10">
        <f>IFERROR(B1203/C1203,"")</f>
        <v/>
      </c>
      <c r="E1203" s="10">
        <f>IFERROR(C1203/B1203,"")</f>
        <v/>
      </c>
      <c r="F1203" s="11">
        <f>IFERROR((D1203/D1202-1)*100,"")</f>
        <v/>
      </c>
      <c r="G1203" s="11">
        <f>IFERROR((COUNTIF($D$952:$D$1203,"&lt;"&amp;D1203)+0.5*COUNTIF($D$952:$D$1203,D1203))/COUNT($D$952:$D$1203)*100,"")</f>
        <v/>
      </c>
      <c r="H1203" s="10">
        <f>IFERROR(AVERAGE($D$952:$D$1203),"")</f>
        <v/>
      </c>
      <c r="I1203" s="10" t="n">
        <v>-0.9939555484797408</v>
      </c>
      <c r="J1203" t="inlineStr"/>
      <c r="K1203" t="inlineStr"/>
    </row>
    <row r="1204">
      <c r="A1204" s="7" t="inlineStr">
        <is>
          <t>2019-01-28</t>
        </is>
      </c>
      <c r="B1204" s="8">
        <f>IFERROR(VLOOKUP($A1204,'01-原始价格'!$A:$M,2,FALSE),"")</f>
        <v/>
      </c>
      <c r="C1204" s="8">
        <f>IFERROR(VLOOKUP($A1204,'01-原始价格'!$A:$M,8,FALSE),"")</f>
        <v/>
      </c>
      <c r="D1204" s="10">
        <f>IFERROR(B1204/C1204,"")</f>
        <v/>
      </c>
      <c r="E1204" s="10">
        <f>IFERROR(C1204/B1204,"")</f>
        <v/>
      </c>
      <c r="F1204" s="11">
        <f>IFERROR((D1204/D1203-1)*100,"")</f>
        <v/>
      </c>
      <c r="G1204" s="11">
        <f>IFERROR((COUNTIF($D$953:$D$1204,"&lt;"&amp;D1204)+0.5*COUNTIF($D$953:$D$1204,D1204))/COUNT($D$953:$D$1204)*100,"")</f>
        <v/>
      </c>
      <c r="H1204" s="10">
        <f>IFERROR(AVERAGE($D$953:$D$1204),"")</f>
        <v/>
      </c>
      <c r="I1204" s="10" t="n">
        <v>-0.8445080359595786</v>
      </c>
      <c r="J1204" t="inlineStr"/>
      <c r="K1204" t="inlineStr"/>
    </row>
    <row r="1205">
      <c r="A1205" s="7" t="inlineStr">
        <is>
          <t>2019-01-29</t>
        </is>
      </c>
      <c r="B1205" s="8">
        <f>IFERROR(VLOOKUP($A1205,'01-原始价格'!$A:$M,2,FALSE),"")</f>
        <v/>
      </c>
      <c r="C1205" s="8">
        <f>IFERROR(VLOOKUP($A1205,'01-原始价格'!$A:$M,8,FALSE),"")</f>
        <v/>
      </c>
      <c r="D1205" s="10">
        <f>IFERROR(B1205/C1205,"")</f>
        <v/>
      </c>
      <c r="E1205" s="10">
        <f>IFERROR(C1205/B1205,"")</f>
        <v/>
      </c>
      <c r="F1205" s="11">
        <f>IFERROR((D1205/D1204-1)*100,"")</f>
        <v/>
      </c>
      <c r="G1205" s="11">
        <f>IFERROR((COUNTIF($D$954:$D$1205,"&lt;"&amp;D1205)+0.5*COUNTIF($D$954:$D$1205,D1205))/COUNT($D$954:$D$1205)*100,"")</f>
        <v/>
      </c>
      <c r="H1205" s="10">
        <f>IFERROR(AVERAGE($D$954:$D$1205),"")</f>
        <v/>
      </c>
      <c r="I1205" s="10" t="n">
        <v>-0.9750085812070725</v>
      </c>
      <c r="J1205" t="inlineStr"/>
      <c r="K1205" t="inlineStr"/>
    </row>
    <row r="1206">
      <c r="A1206" s="7" t="inlineStr">
        <is>
          <t>2019-01-30</t>
        </is>
      </c>
      <c r="B1206" s="8">
        <f>IFERROR(VLOOKUP($A1206,'01-原始价格'!$A:$M,2,FALSE),"")</f>
        <v/>
      </c>
      <c r="C1206" s="8">
        <f>IFERROR(VLOOKUP($A1206,'01-原始价格'!$A:$M,8,FALSE),"")</f>
        <v/>
      </c>
      <c r="D1206" s="10">
        <f>IFERROR(B1206/C1206,"")</f>
        <v/>
      </c>
      <c r="E1206" s="10">
        <f>IFERROR(C1206/B1206,"")</f>
        <v/>
      </c>
      <c r="F1206" s="11">
        <f>IFERROR((D1206/D1205-1)*100,"")</f>
        <v/>
      </c>
      <c r="G1206" s="11">
        <f>IFERROR((COUNTIF($D$955:$D$1206,"&lt;"&amp;D1206)+0.5*COUNTIF($D$955:$D$1206,D1206))/COUNT($D$955:$D$1206)*100,"")</f>
        <v/>
      </c>
      <c r="H1206" s="10">
        <f>IFERROR(AVERAGE($D$955:$D$1206),"")</f>
        <v/>
      </c>
      <c r="I1206" s="10" t="n">
        <v>-0.7539839758709888</v>
      </c>
      <c r="J1206" t="inlineStr"/>
      <c r="K1206" t="inlineStr"/>
    </row>
    <row r="1207">
      <c r="A1207" s="7" t="inlineStr">
        <is>
          <t>2019-01-31</t>
        </is>
      </c>
      <c r="B1207" s="8">
        <f>IFERROR(VLOOKUP($A1207,'01-原始价格'!$A:$M,2,FALSE),"")</f>
        <v/>
      </c>
      <c r="C1207" s="8">
        <f>IFERROR(VLOOKUP($A1207,'01-原始价格'!$A:$M,8,FALSE),"")</f>
        <v/>
      </c>
      <c r="D1207" s="10">
        <f>IFERROR(B1207/C1207,"")</f>
        <v/>
      </c>
      <c r="E1207" s="10">
        <f>IFERROR(C1207/B1207,"")</f>
        <v/>
      </c>
      <c r="F1207" s="11">
        <f>IFERROR((D1207/D1206-1)*100,"")</f>
        <v/>
      </c>
      <c r="G1207" s="11">
        <f>IFERROR((COUNTIF($D$956:$D$1207,"&lt;"&amp;D1207)+0.5*COUNTIF($D$956:$D$1207,D1207))/COUNT($D$956:$D$1207)*100,"")</f>
        <v/>
      </c>
      <c r="H1207" s="10">
        <f>IFERROR(AVERAGE($D$956:$D$1207),"")</f>
        <v/>
      </c>
      <c r="I1207" s="10" t="n">
        <v>-0.7716481856476164</v>
      </c>
      <c r="J1207" t="inlineStr"/>
      <c r="K1207" t="inlineStr"/>
    </row>
    <row r="1208">
      <c r="A1208" s="7" t="inlineStr">
        <is>
          <t>2019-02-01</t>
        </is>
      </c>
      <c r="B1208" s="8">
        <f>IFERROR(VLOOKUP($A1208,'01-原始价格'!$A:$M,2,FALSE),"")</f>
        <v/>
      </c>
      <c r="C1208" s="8">
        <f>IFERROR(VLOOKUP($A1208,'01-原始价格'!$A:$M,8,FALSE),"")</f>
        <v/>
      </c>
      <c r="D1208" s="10">
        <f>IFERROR(B1208/C1208,"")</f>
        <v/>
      </c>
      <c r="E1208" s="10">
        <f>IFERROR(C1208/B1208,"")</f>
        <v/>
      </c>
      <c r="F1208" s="11">
        <f>IFERROR((D1208/D1207-1)*100,"")</f>
        <v/>
      </c>
      <c r="G1208" s="11">
        <f>IFERROR((COUNTIF($D$957:$D$1208,"&lt;"&amp;D1208)+0.5*COUNTIF($D$957:$D$1208,D1208))/COUNT($D$957:$D$1208)*100,"")</f>
        <v/>
      </c>
      <c r="H1208" s="10">
        <f>IFERROR(AVERAGE($D$957:$D$1208),"")</f>
        <v/>
      </c>
      <c r="I1208" s="10" t="n">
        <v>-0.6617120556509738</v>
      </c>
      <c r="J1208" t="inlineStr"/>
      <c r="K1208" t="inlineStr"/>
    </row>
    <row r="1209">
      <c r="A1209" s="7" t="inlineStr">
        <is>
          <t>2019-02-11</t>
        </is>
      </c>
      <c r="B1209" s="8">
        <f>IFERROR(VLOOKUP($A1209,'01-原始价格'!$A:$M,2,FALSE),"")</f>
        <v/>
      </c>
      <c r="C1209" s="8">
        <f>IFERROR(VLOOKUP($A1209,'01-原始价格'!$A:$M,8,FALSE),"")</f>
        <v/>
      </c>
      <c r="D1209" s="10">
        <f>IFERROR(B1209/C1209,"")</f>
        <v/>
      </c>
      <c r="E1209" s="10">
        <f>IFERROR(C1209/B1209,"")</f>
        <v/>
      </c>
      <c r="F1209" s="11">
        <f>IFERROR((D1209/D1208-1)*100,"")</f>
        <v/>
      </c>
      <c r="G1209" s="11">
        <f>IFERROR((COUNTIF($D$958:$D$1209,"&lt;"&amp;D1209)+0.5*COUNTIF($D$958:$D$1209,D1209))/COUNT($D$958:$D$1209)*100,"")</f>
        <v/>
      </c>
      <c r="H1209" s="10">
        <f>IFERROR(AVERAGE($D$958:$D$1209),"")</f>
        <v/>
      </c>
      <c r="I1209" s="10" t="n">
        <v>-0.500963869645867</v>
      </c>
      <c r="J1209" t="inlineStr"/>
      <c r="K1209" t="inlineStr"/>
    </row>
    <row r="1210">
      <c r="A1210" s="7" t="inlineStr">
        <is>
          <t>2019-02-12</t>
        </is>
      </c>
      <c r="B1210" s="8">
        <f>IFERROR(VLOOKUP($A1210,'01-原始价格'!$A:$M,2,FALSE),"")</f>
        <v/>
      </c>
      <c r="C1210" s="8">
        <f>IFERROR(VLOOKUP($A1210,'01-原始价格'!$A:$M,8,FALSE),"")</f>
        <v/>
      </c>
      <c r="D1210" s="10">
        <f>IFERROR(B1210/C1210,"")</f>
        <v/>
      </c>
      <c r="E1210" s="10">
        <f>IFERROR(C1210/B1210,"")</f>
        <v/>
      </c>
      <c r="F1210" s="11">
        <f>IFERROR((D1210/D1209-1)*100,"")</f>
        <v/>
      </c>
      <c r="G1210" s="11">
        <f>IFERROR((COUNTIF($D$959:$D$1210,"&lt;"&amp;D1210)+0.5*COUNTIF($D$959:$D$1210,D1210))/COUNT($D$959:$D$1210)*100,"")</f>
        <v/>
      </c>
      <c r="H1210" s="10">
        <f>IFERROR(AVERAGE($D$959:$D$1210),"")</f>
        <v/>
      </c>
      <c r="I1210" s="10" t="n">
        <v>-0.5739602389757498</v>
      </c>
      <c r="J1210" t="inlineStr"/>
      <c r="K1210" t="inlineStr"/>
    </row>
    <row r="1211">
      <c r="A1211" s="7" t="inlineStr">
        <is>
          <t>2019-02-13</t>
        </is>
      </c>
      <c r="B1211" s="8">
        <f>IFERROR(VLOOKUP($A1211,'01-原始价格'!$A:$M,2,FALSE),"")</f>
        <v/>
      </c>
      <c r="C1211" s="8">
        <f>IFERROR(VLOOKUP($A1211,'01-原始价格'!$A:$M,8,FALSE),"")</f>
        <v/>
      </c>
      <c r="D1211" s="10">
        <f>IFERROR(B1211/C1211,"")</f>
        <v/>
      </c>
      <c r="E1211" s="10">
        <f>IFERROR(C1211/B1211,"")</f>
        <v/>
      </c>
      <c r="F1211" s="11">
        <f>IFERROR((D1211/D1210-1)*100,"")</f>
        <v/>
      </c>
      <c r="G1211" s="11">
        <f>IFERROR((COUNTIF($D$960:$D$1211,"&lt;"&amp;D1211)+0.5*COUNTIF($D$960:$D$1211,D1211))/COUNT($D$960:$D$1211)*100,"")</f>
        <v/>
      </c>
      <c r="H1211" s="10">
        <f>IFERROR(AVERAGE($D$960:$D$1211),"")</f>
        <v/>
      </c>
      <c r="I1211" s="10" t="n">
        <v>-0.614738867735045</v>
      </c>
      <c r="J1211" t="inlineStr"/>
      <c r="K1211" t="inlineStr"/>
    </row>
    <row r="1212">
      <c r="A1212" s="7" t="inlineStr">
        <is>
          <t>2019-02-14</t>
        </is>
      </c>
      <c r="B1212" s="8">
        <f>IFERROR(VLOOKUP($A1212,'01-原始价格'!$A:$M,2,FALSE),"")</f>
        <v/>
      </c>
      <c r="C1212" s="8">
        <f>IFERROR(VLOOKUP($A1212,'01-原始价格'!$A:$M,8,FALSE),"")</f>
        <v/>
      </c>
      <c r="D1212" s="10">
        <f>IFERROR(B1212/C1212,"")</f>
        <v/>
      </c>
      <c r="E1212" s="10">
        <f>IFERROR(C1212/B1212,"")</f>
        <v/>
      </c>
      <c r="F1212" s="11">
        <f>IFERROR((D1212/D1211-1)*100,"")</f>
        <v/>
      </c>
      <c r="G1212" s="11">
        <f>IFERROR((COUNTIF($D$961:$D$1212,"&lt;"&amp;D1212)+0.5*COUNTIF($D$961:$D$1212,D1212))/COUNT($D$961:$D$1212)*100,"")</f>
        <v/>
      </c>
      <c r="H1212" s="10">
        <f>IFERROR(AVERAGE($D$961:$D$1212),"")</f>
        <v/>
      </c>
      <c r="I1212" s="10" t="n">
        <v>-0.6683768637485273</v>
      </c>
      <c r="J1212" t="inlineStr"/>
      <c r="K1212" t="inlineStr"/>
    </row>
    <row r="1213">
      <c r="A1213" s="7" t="inlineStr">
        <is>
          <t>2019-02-15</t>
        </is>
      </c>
      <c r="B1213" s="8">
        <f>IFERROR(VLOOKUP($A1213,'01-原始价格'!$A:$M,2,FALSE),"")</f>
        <v/>
      </c>
      <c r="C1213" s="8">
        <f>IFERROR(VLOOKUP($A1213,'01-原始价格'!$A:$M,8,FALSE),"")</f>
        <v/>
      </c>
      <c r="D1213" s="10">
        <f>IFERROR(B1213/C1213,"")</f>
        <v/>
      </c>
      <c r="E1213" s="10">
        <f>IFERROR(C1213/B1213,"")</f>
        <v/>
      </c>
      <c r="F1213" s="11">
        <f>IFERROR((D1213/D1212-1)*100,"")</f>
        <v/>
      </c>
      <c r="G1213" s="11">
        <f>IFERROR((COUNTIF($D$962:$D$1213,"&lt;"&amp;D1213)+0.5*COUNTIF($D$962:$D$1213,D1213))/COUNT($D$962:$D$1213)*100,"")</f>
        <v/>
      </c>
      <c r="H1213" s="10">
        <f>IFERROR(AVERAGE($D$962:$D$1213),"")</f>
        <v/>
      </c>
      <c r="I1213" s="10" t="n">
        <v>-0.6502030221657027</v>
      </c>
      <c r="J1213" t="inlineStr"/>
      <c r="K1213" t="inlineStr"/>
    </row>
    <row r="1214">
      <c r="A1214" s="7" t="inlineStr">
        <is>
          <t>2019-02-18</t>
        </is>
      </c>
      <c r="B1214" s="8">
        <f>IFERROR(VLOOKUP($A1214,'01-原始价格'!$A:$M,2,FALSE),"")</f>
        <v/>
      </c>
      <c r="C1214" s="8">
        <f>IFERROR(VLOOKUP($A1214,'01-原始价格'!$A:$M,8,FALSE),"")</f>
        <v/>
      </c>
      <c r="D1214" s="10">
        <f>IFERROR(B1214/C1214,"")</f>
        <v/>
      </c>
      <c r="E1214" s="10">
        <f>IFERROR(C1214/B1214,"")</f>
        <v/>
      </c>
      <c r="F1214" s="11">
        <f>IFERROR((D1214/D1213-1)*100,"")</f>
        <v/>
      </c>
      <c r="G1214" s="11">
        <f>IFERROR((COUNTIF($D$963:$D$1214,"&lt;"&amp;D1214)+0.5*COUNTIF($D$963:$D$1214,D1214))/COUNT($D$963:$D$1214)*100,"")</f>
        <v/>
      </c>
      <c r="H1214" s="10">
        <f>IFERROR(AVERAGE($D$963:$D$1214),"")</f>
        <v/>
      </c>
      <c r="I1214" s="10" t="n">
        <v>-0.6260144829986936</v>
      </c>
      <c r="J1214" t="inlineStr"/>
      <c r="K1214" t="inlineStr"/>
    </row>
    <row r="1215">
      <c r="A1215" s="7" t="inlineStr">
        <is>
          <t>2019-02-19</t>
        </is>
      </c>
      <c r="B1215" s="8">
        <f>IFERROR(VLOOKUP($A1215,'01-原始价格'!$A:$M,2,FALSE),"")</f>
        <v/>
      </c>
      <c r="C1215" s="8">
        <f>IFERROR(VLOOKUP($A1215,'01-原始价格'!$A:$M,8,FALSE),"")</f>
        <v/>
      </c>
      <c r="D1215" s="10">
        <f>IFERROR(B1215/C1215,"")</f>
        <v/>
      </c>
      <c r="E1215" s="10">
        <f>IFERROR(C1215/B1215,"")</f>
        <v/>
      </c>
      <c r="F1215" s="11">
        <f>IFERROR((D1215/D1214-1)*100,"")</f>
        <v/>
      </c>
      <c r="G1215" s="11">
        <f>IFERROR((COUNTIF($D$964:$D$1215,"&lt;"&amp;D1215)+0.5*COUNTIF($D$964:$D$1215,D1215))/COUNT($D$964:$D$1215)*100,"")</f>
        <v/>
      </c>
      <c r="H1215" s="10">
        <f>IFERROR(AVERAGE($D$964:$D$1215),"")</f>
        <v/>
      </c>
      <c r="I1215" s="10" t="n">
        <v>-0.568357572515467</v>
      </c>
      <c r="J1215" t="inlineStr"/>
      <c r="K1215" t="inlineStr"/>
    </row>
    <row r="1216">
      <c r="A1216" s="7" t="inlineStr">
        <is>
          <t>2019-02-20</t>
        </is>
      </c>
      <c r="B1216" s="8">
        <f>IFERROR(VLOOKUP($A1216,'01-原始价格'!$A:$M,2,FALSE),"")</f>
        <v/>
      </c>
      <c r="C1216" s="8">
        <f>IFERROR(VLOOKUP($A1216,'01-原始价格'!$A:$M,8,FALSE),"")</f>
        <v/>
      </c>
      <c r="D1216" s="10">
        <f>IFERROR(B1216/C1216,"")</f>
        <v/>
      </c>
      <c r="E1216" s="10">
        <f>IFERROR(C1216/B1216,"")</f>
        <v/>
      </c>
      <c r="F1216" s="11">
        <f>IFERROR((D1216/D1215-1)*100,"")</f>
        <v/>
      </c>
      <c r="G1216" s="11">
        <f>IFERROR((COUNTIF($D$965:$D$1216,"&lt;"&amp;D1216)+0.5*COUNTIF($D$965:$D$1216,D1216))/COUNT($D$965:$D$1216)*100,"")</f>
        <v/>
      </c>
      <c r="H1216" s="10">
        <f>IFERROR(AVERAGE($D$965:$D$1216),"")</f>
        <v/>
      </c>
      <c r="I1216" s="10" t="n">
        <v>-0.6359200942165411</v>
      </c>
      <c r="J1216" t="inlineStr"/>
      <c r="K1216" t="inlineStr"/>
    </row>
    <row r="1217">
      <c r="A1217" s="7" t="inlineStr">
        <is>
          <t>2019-02-21</t>
        </is>
      </c>
      <c r="B1217" s="8">
        <f>IFERROR(VLOOKUP($A1217,'01-原始价格'!$A:$M,2,FALSE),"")</f>
        <v/>
      </c>
      <c r="C1217" s="8">
        <f>IFERROR(VLOOKUP($A1217,'01-原始价格'!$A:$M,8,FALSE),"")</f>
        <v/>
      </c>
      <c r="D1217" s="10">
        <f>IFERROR(B1217/C1217,"")</f>
        <v/>
      </c>
      <c r="E1217" s="10">
        <f>IFERROR(C1217/B1217,"")</f>
        <v/>
      </c>
      <c r="F1217" s="11">
        <f>IFERROR((D1217/D1216-1)*100,"")</f>
        <v/>
      </c>
      <c r="G1217" s="11">
        <f>IFERROR((COUNTIF($D$966:$D$1217,"&lt;"&amp;D1217)+0.5*COUNTIF($D$966:$D$1217,D1217))/COUNT($D$966:$D$1217)*100,"")</f>
        <v/>
      </c>
      <c r="H1217" s="10">
        <f>IFERROR(AVERAGE($D$966:$D$1217),"")</f>
        <v/>
      </c>
      <c r="I1217" s="10" t="n">
        <v>-0.5840168906598194</v>
      </c>
      <c r="J1217" t="inlineStr"/>
      <c r="K1217" t="inlineStr"/>
    </row>
    <row r="1218">
      <c r="A1218" s="7" t="inlineStr">
        <is>
          <t>2019-02-22</t>
        </is>
      </c>
      <c r="B1218" s="8">
        <f>IFERROR(VLOOKUP($A1218,'01-原始价格'!$A:$M,2,FALSE),"")</f>
        <v/>
      </c>
      <c r="C1218" s="8">
        <f>IFERROR(VLOOKUP($A1218,'01-原始价格'!$A:$M,8,FALSE),"")</f>
        <v/>
      </c>
      <c r="D1218" s="10">
        <f>IFERROR(B1218/C1218,"")</f>
        <v/>
      </c>
      <c r="E1218" s="10">
        <f>IFERROR(C1218/B1218,"")</f>
        <v/>
      </c>
      <c r="F1218" s="11">
        <f>IFERROR((D1218/D1217-1)*100,"")</f>
        <v/>
      </c>
      <c r="G1218" s="11">
        <f>IFERROR((COUNTIF($D$967:$D$1218,"&lt;"&amp;D1218)+0.5*COUNTIF($D$967:$D$1218,D1218))/COUNT($D$967:$D$1218)*100,"")</f>
        <v/>
      </c>
      <c r="H1218" s="10">
        <f>IFERROR(AVERAGE($D$967:$D$1218),"")</f>
        <v/>
      </c>
      <c r="I1218" s="10" t="n">
        <v>-0.7033174812911799</v>
      </c>
      <c r="J1218" t="inlineStr"/>
      <c r="K1218" t="inlineStr"/>
    </row>
    <row r="1219">
      <c r="A1219" s="7" t="inlineStr">
        <is>
          <t>2019-02-25</t>
        </is>
      </c>
      <c r="B1219" s="8">
        <f>IFERROR(VLOOKUP($A1219,'01-原始价格'!$A:$M,2,FALSE),"")</f>
        <v/>
      </c>
      <c r="C1219" s="8">
        <f>IFERROR(VLOOKUP($A1219,'01-原始价格'!$A:$M,8,FALSE),"")</f>
        <v/>
      </c>
      <c r="D1219" s="10">
        <f>IFERROR(B1219/C1219,"")</f>
        <v/>
      </c>
      <c r="E1219" s="10">
        <f>IFERROR(C1219/B1219,"")</f>
        <v/>
      </c>
      <c r="F1219" s="11">
        <f>IFERROR((D1219/D1218-1)*100,"")</f>
        <v/>
      </c>
      <c r="G1219" s="11">
        <f>IFERROR((COUNTIF($D$968:$D$1219,"&lt;"&amp;D1219)+0.5*COUNTIF($D$968:$D$1219,D1219))/COUNT($D$968:$D$1219)*100,"")</f>
        <v/>
      </c>
      <c r="H1219" s="10">
        <f>IFERROR(AVERAGE($D$968:$D$1219),"")</f>
        <v/>
      </c>
      <c r="I1219" s="10" t="n">
        <v>-0.7628521763974165</v>
      </c>
      <c r="J1219" t="inlineStr"/>
      <c r="K1219" t="inlineStr"/>
    </row>
    <row r="1220">
      <c r="A1220" s="7" t="inlineStr">
        <is>
          <t>2019-02-26</t>
        </is>
      </c>
      <c r="B1220" s="8">
        <f>IFERROR(VLOOKUP($A1220,'01-原始价格'!$A:$M,2,FALSE),"")</f>
        <v/>
      </c>
      <c r="C1220" s="8">
        <f>IFERROR(VLOOKUP($A1220,'01-原始价格'!$A:$M,8,FALSE),"")</f>
        <v/>
      </c>
      <c r="D1220" s="10">
        <f>IFERROR(B1220/C1220,"")</f>
        <v/>
      </c>
      <c r="E1220" s="10">
        <f>IFERROR(C1220/B1220,"")</f>
        <v/>
      </c>
      <c r="F1220" s="11">
        <f>IFERROR((D1220/D1219-1)*100,"")</f>
        <v/>
      </c>
      <c r="G1220" s="11">
        <f>IFERROR((COUNTIF($D$969:$D$1220,"&lt;"&amp;D1220)+0.5*COUNTIF($D$969:$D$1220,D1220))/COUNT($D$969:$D$1220)*100,"")</f>
        <v/>
      </c>
      <c r="H1220" s="10">
        <f>IFERROR(AVERAGE($D$969:$D$1220),"")</f>
        <v/>
      </c>
      <c r="I1220" s="10" t="n">
        <v>-0.6396459936285576</v>
      </c>
      <c r="J1220" t="inlineStr"/>
      <c r="K1220" t="inlineStr"/>
    </row>
    <row r="1221">
      <c r="A1221" s="7" t="inlineStr">
        <is>
          <t>2019-02-27</t>
        </is>
      </c>
      <c r="B1221" s="8">
        <f>IFERROR(VLOOKUP($A1221,'01-原始价格'!$A:$M,2,FALSE),"")</f>
        <v/>
      </c>
      <c r="C1221" s="8">
        <f>IFERROR(VLOOKUP($A1221,'01-原始价格'!$A:$M,8,FALSE),"")</f>
        <v/>
      </c>
      <c r="D1221" s="10">
        <f>IFERROR(B1221/C1221,"")</f>
        <v/>
      </c>
      <c r="E1221" s="10">
        <f>IFERROR(C1221/B1221,"")</f>
        <v/>
      </c>
      <c r="F1221" s="11">
        <f>IFERROR((D1221/D1220-1)*100,"")</f>
        <v/>
      </c>
      <c r="G1221" s="11">
        <f>IFERROR((COUNTIF($D$970:$D$1221,"&lt;"&amp;D1221)+0.5*COUNTIF($D$970:$D$1221,D1221))/COUNT($D$970:$D$1221)*100,"")</f>
        <v/>
      </c>
      <c r="H1221" s="10">
        <f>IFERROR(AVERAGE($D$970:$D$1221),"")</f>
        <v/>
      </c>
      <c r="I1221" s="10" t="n">
        <v>-0.7317770587398512</v>
      </c>
      <c r="J1221" t="inlineStr"/>
      <c r="K1221" t="inlineStr"/>
    </row>
    <row r="1222">
      <c r="A1222" s="7" t="inlineStr">
        <is>
          <t>2019-02-28</t>
        </is>
      </c>
      <c r="B1222" s="8">
        <f>IFERROR(VLOOKUP($A1222,'01-原始价格'!$A:$M,2,FALSE),"")</f>
        <v/>
      </c>
      <c r="C1222" s="8">
        <f>IFERROR(VLOOKUP($A1222,'01-原始价格'!$A:$M,8,FALSE),"")</f>
        <v/>
      </c>
      <c r="D1222" s="10">
        <f>IFERROR(B1222/C1222,"")</f>
        <v/>
      </c>
      <c r="E1222" s="10">
        <f>IFERROR(C1222/B1222,"")</f>
        <v/>
      </c>
      <c r="F1222" s="11">
        <f>IFERROR((D1222/D1221-1)*100,"")</f>
        <v/>
      </c>
      <c r="G1222" s="11">
        <f>IFERROR((COUNTIF($D$971:$D$1222,"&lt;"&amp;D1222)+0.5*COUNTIF($D$971:$D$1222,D1222))/COUNT($D$971:$D$1222)*100,"")</f>
        <v/>
      </c>
      <c r="H1222" s="10">
        <f>IFERROR(AVERAGE($D$971:$D$1222),"")</f>
        <v/>
      </c>
      <c r="I1222" s="10" t="n">
        <v>-0.6911701138658561</v>
      </c>
      <c r="J1222" t="inlineStr"/>
      <c r="K1222" t="inlineStr"/>
    </row>
    <row r="1223">
      <c r="A1223" s="7" t="inlineStr">
        <is>
          <t>2019-03-01</t>
        </is>
      </c>
      <c r="B1223" s="8">
        <f>IFERROR(VLOOKUP($A1223,'01-原始价格'!$A:$M,2,FALSE),"")</f>
        <v/>
      </c>
      <c r="C1223" s="8">
        <f>IFERROR(VLOOKUP($A1223,'01-原始价格'!$A:$M,8,FALSE),"")</f>
        <v/>
      </c>
      <c r="D1223" s="10">
        <f>IFERROR(B1223/C1223,"")</f>
        <v/>
      </c>
      <c r="E1223" s="10">
        <f>IFERROR(C1223/B1223,"")</f>
        <v/>
      </c>
      <c r="F1223" s="11">
        <f>IFERROR((D1223/D1222-1)*100,"")</f>
        <v/>
      </c>
      <c r="G1223" s="11">
        <f>IFERROR((COUNTIF($D$972:$D$1223,"&lt;"&amp;D1223)+0.5*COUNTIF($D$972:$D$1223,D1223))/COUNT($D$972:$D$1223)*100,"")</f>
        <v/>
      </c>
      <c r="H1223" s="10">
        <f>IFERROR(AVERAGE($D$972:$D$1223),"")</f>
        <v/>
      </c>
      <c r="I1223" s="10" t="n">
        <v>-0.567092435229438</v>
      </c>
      <c r="J1223" t="inlineStr"/>
      <c r="K1223" t="inlineStr"/>
    </row>
    <row r="1224">
      <c r="A1224" s="7" t="inlineStr">
        <is>
          <t>2019-03-04</t>
        </is>
      </c>
      <c r="B1224" s="8">
        <f>IFERROR(VLOOKUP($A1224,'01-原始价格'!$A:$M,2,FALSE),"")</f>
        <v/>
      </c>
      <c r="C1224" s="8">
        <f>IFERROR(VLOOKUP($A1224,'01-原始价格'!$A:$M,8,FALSE),"")</f>
        <v/>
      </c>
      <c r="D1224" s="10">
        <f>IFERROR(B1224/C1224,"")</f>
        <v/>
      </c>
      <c r="E1224" s="10">
        <f>IFERROR(C1224/B1224,"")</f>
        <v/>
      </c>
      <c r="F1224" s="11">
        <f>IFERROR((D1224/D1223-1)*100,"")</f>
        <v/>
      </c>
      <c r="G1224" s="11">
        <f>IFERROR((COUNTIF($D$973:$D$1224,"&lt;"&amp;D1224)+0.5*COUNTIF($D$973:$D$1224,D1224))/COUNT($D$973:$D$1224)*100,"")</f>
        <v/>
      </c>
      <c r="H1224" s="10">
        <f>IFERROR(AVERAGE($D$973:$D$1224),"")</f>
        <v/>
      </c>
      <c r="I1224" s="10" t="n">
        <v>-0.3761174918206708</v>
      </c>
      <c r="J1224" t="inlineStr"/>
      <c r="K1224" t="inlineStr"/>
    </row>
    <row r="1225">
      <c r="A1225" s="7" t="inlineStr">
        <is>
          <t>2019-03-05</t>
        </is>
      </c>
      <c r="B1225" s="8">
        <f>IFERROR(VLOOKUP($A1225,'01-原始价格'!$A:$M,2,FALSE),"")</f>
        <v/>
      </c>
      <c r="C1225" s="8">
        <f>IFERROR(VLOOKUP($A1225,'01-原始价格'!$A:$M,8,FALSE),"")</f>
        <v/>
      </c>
      <c r="D1225" s="10">
        <f>IFERROR(B1225/C1225,"")</f>
        <v/>
      </c>
      <c r="E1225" s="10">
        <f>IFERROR(C1225/B1225,"")</f>
        <v/>
      </c>
      <c r="F1225" s="11">
        <f>IFERROR((D1225/D1224-1)*100,"")</f>
        <v/>
      </c>
      <c r="G1225" s="11">
        <f>IFERROR((COUNTIF($D$974:$D$1225,"&lt;"&amp;D1225)+0.5*COUNTIF($D$974:$D$1225,D1225))/COUNT($D$974:$D$1225)*100,"")</f>
        <v/>
      </c>
      <c r="H1225" s="10">
        <f>IFERROR(AVERAGE($D$974:$D$1225),"")</f>
        <v/>
      </c>
      <c r="I1225" s="10" t="n">
        <v>-0.4058765695863564</v>
      </c>
      <c r="J1225" t="inlineStr"/>
      <c r="K1225" t="inlineStr"/>
    </row>
    <row r="1226">
      <c r="A1226" s="7" t="inlineStr">
        <is>
          <t>2019-03-06</t>
        </is>
      </c>
      <c r="B1226" s="8">
        <f>IFERROR(VLOOKUP($A1226,'01-原始价格'!$A:$M,2,FALSE),"")</f>
        <v/>
      </c>
      <c r="C1226" s="8">
        <f>IFERROR(VLOOKUP($A1226,'01-原始价格'!$A:$M,8,FALSE),"")</f>
        <v/>
      </c>
      <c r="D1226" s="10">
        <f>IFERROR(B1226/C1226,"")</f>
        <v/>
      </c>
      <c r="E1226" s="10">
        <f>IFERROR(C1226/B1226,"")</f>
        <v/>
      </c>
      <c r="F1226" s="11">
        <f>IFERROR((D1226/D1225-1)*100,"")</f>
        <v/>
      </c>
      <c r="G1226" s="11">
        <f>IFERROR((COUNTIF($D$975:$D$1226,"&lt;"&amp;D1226)+0.5*COUNTIF($D$975:$D$1226,D1226))/COUNT($D$975:$D$1226)*100,"")</f>
        <v/>
      </c>
      <c r="H1226" s="10">
        <f>IFERROR(AVERAGE($D$975:$D$1226),"")</f>
        <v/>
      </c>
      <c r="I1226" s="10" t="n">
        <v>-0.50366542659285</v>
      </c>
      <c r="J1226" t="inlineStr"/>
      <c r="K1226" t="inlineStr"/>
    </row>
    <row r="1227">
      <c r="A1227" s="7" t="inlineStr">
        <is>
          <t>2019-03-07</t>
        </is>
      </c>
      <c r="B1227" s="8">
        <f>IFERROR(VLOOKUP($A1227,'01-原始价格'!$A:$M,2,FALSE),"")</f>
        <v/>
      </c>
      <c r="C1227" s="8">
        <f>IFERROR(VLOOKUP($A1227,'01-原始价格'!$A:$M,8,FALSE),"")</f>
        <v/>
      </c>
      <c r="D1227" s="10">
        <f>IFERROR(B1227/C1227,"")</f>
        <v/>
      </c>
      <c r="E1227" s="10">
        <f>IFERROR(C1227/B1227,"")</f>
        <v/>
      </c>
      <c r="F1227" s="11">
        <f>IFERROR((D1227/D1226-1)*100,"")</f>
        <v/>
      </c>
      <c r="G1227" s="11">
        <f>IFERROR((COUNTIF($D$976:$D$1227,"&lt;"&amp;D1227)+0.5*COUNTIF($D$976:$D$1227,D1227))/COUNT($D$976:$D$1227)*100,"")</f>
        <v/>
      </c>
      <c r="H1227" s="10">
        <f>IFERROR(AVERAGE($D$976:$D$1227),"")</f>
        <v/>
      </c>
      <c r="I1227" s="10" t="n">
        <v>-0.5940225633686024</v>
      </c>
      <c r="J1227" t="inlineStr"/>
      <c r="K1227" t="inlineStr"/>
    </row>
    <row r="1228">
      <c r="A1228" s="7" t="inlineStr">
        <is>
          <t>2019-03-08</t>
        </is>
      </c>
      <c r="B1228" s="8">
        <f>IFERROR(VLOOKUP($A1228,'01-原始价格'!$A:$M,2,FALSE),"")</f>
        <v/>
      </c>
      <c r="C1228" s="8">
        <f>IFERROR(VLOOKUP($A1228,'01-原始价格'!$A:$M,8,FALSE),"")</f>
        <v/>
      </c>
      <c r="D1228" s="10">
        <f>IFERROR(B1228/C1228,"")</f>
        <v/>
      </c>
      <c r="E1228" s="10">
        <f>IFERROR(C1228/B1228,"")</f>
        <v/>
      </c>
      <c r="F1228" s="11">
        <f>IFERROR((D1228/D1227-1)*100,"")</f>
        <v/>
      </c>
      <c r="G1228" s="11">
        <f>IFERROR((COUNTIF($D$977:$D$1228,"&lt;"&amp;D1228)+0.5*COUNTIF($D$977:$D$1228,D1228))/COUNT($D$977:$D$1228)*100,"")</f>
        <v/>
      </c>
      <c r="H1228" s="10">
        <f>IFERROR(AVERAGE($D$977:$D$1228),"")</f>
        <v/>
      </c>
      <c r="I1228" s="10" t="n">
        <v>-0.5711489983631975</v>
      </c>
      <c r="J1228" t="inlineStr"/>
      <c r="K1228" t="inlineStr"/>
    </row>
    <row r="1229">
      <c r="A1229" s="7" t="inlineStr">
        <is>
          <t>2019-03-11</t>
        </is>
      </c>
      <c r="B1229" s="8">
        <f>IFERROR(VLOOKUP($A1229,'01-原始价格'!$A:$M,2,FALSE),"")</f>
        <v/>
      </c>
      <c r="C1229" s="8">
        <f>IFERROR(VLOOKUP($A1229,'01-原始价格'!$A:$M,8,FALSE),"")</f>
        <v/>
      </c>
      <c r="D1229" s="10">
        <f>IFERROR(B1229/C1229,"")</f>
        <v/>
      </c>
      <c r="E1229" s="10">
        <f>IFERROR(C1229/B1229,"")</f>
        <v/>
      </c>
      <c r="F1229" s="11">
        <f>IFERROR((D1229/D1228-1)*100,"")</f>
        <v/>
      </c>
      <c r="G1229" s="11">
        <f>IFERROR((COUNTIF($D$978:$D$1229,"&lt;"&amp;D1229)+0.5*COUNTIF($D$978:$D$1229,D1229))/COUNT($D$978:$D$1229)*100,"")</f>
        <v/>
      </c>
      <c r="H1229" s="10">
        <f>IFERROR(AVERAGE($D$978:$D$1229),"")</f>
        <v/>
      </c>
      <c r="I1229" s="10" t="n">
        <v>-0.23265502524468</v>
      </c>
      <c r="J1229" t="inlineStr"/>
      <c r="K1229" t="inlineStr"/>
    </row>
    <row r="1230">
      <c r="A1230" s="7" t="inlineStr">
        <is>
          <t>2019-03-12</t>
        </is>
      </c>
      <c r="B1230" s="8">
        <f>IFERROR(VLOOKUP($A1230,'01-原始价格'!$A:$M,2,FALSE),"")</f>
        <v/>
      </c>
      <c r="C1230" s="8">
        <f>IFERROR(VLOOKUP($A1230,'01-原始价格'!$A:$M,8,FALSE),"")</f>
        <v/>
      </c>
      <c r="D1230" s="10">
        <f>IFERROR(B1230/C1230,"")</f>
        <v/>
      </c>
      <c r="E1230" s="10">
        <f>IFERROR(C1230/B1230,"")</f>
        <v/>
      </c>
      <c r="F1230" s="11">
        <f>IFERROR((D1230/D1229-1)*100,"")</f>
        <v/>
      </c>
      <c r="G1230" s="11">
        <f>IFERROR((COUNTIF($D$979:$D$1230,"&lt;"&amp;D1230)+0.5*COUNTIF($D$979:$D$1230,D1230))/COUNT($D$979:$D$1230)*100,"")</f>
        <v/>
      </c>
      <c r="H1230" s="10">
        <f>IFERROR(AVERAGE($D$979:$D$1230),"")</f>
        <v/>
      </c>
      <c r="I1230" s="10" t="n">
        <v>-0.0786673248999173</v>
      </c>
      <c r="J1230" t="inlineStr"/>
      <c r="K1230" t="inlineStr"/>
    </row>
    <row r="1231">
      <c r="A1231" s="7" t="inlineStr">
        <is>
          <t>2019-03-13</t>
        </is>
      </c>
      <c r="B1231" s="8">
        <f>IFERROR(VLOOKUP($A1231,'01-原始价格'!$A:$M,2,FALSE),"")</f>
        <v/>
      </c>
      <c r="C1231" s="8">
        <f>IFERROR(VLOOKUP($A1231,'01-原始价格'!$A:$M,8,FALSE),"")</f>
        <v/>
      </c>
      <c r="D1231" s="10">
        <f>IFERROR(B1231/C1231,"")</f>
        <v/>
      </c>
      <c r="E1231" s="10">
        <f>IFERROR(C1231/B1231,"")</f>
        <v/>
      </c>
      <c r="F1231" s="11">
        <f>IFERROR((D1231/D1230-1)*100,"")</f>
        <v/>
      </c>
      <c r="G1231" s="11">
        <f>IFERROR((COUNTIF($D$980:$D$1231,"&lt;"&amp;D1231)+0.5*COUNTIF($D$980:$D$1231,D1231))/COUNT($D$980:$D$1231)*100,"")</f>
        <v/>
      </c>
      <c r="H1231" s="10">
        <f>IFERROR(AVERAGE($D$980:$D$1231),"")</f>
        <v/>
      </c>
      <c r="I1231" s="10" t="n">
        <v>-0.05298035364387413</v>
      </c>
      <c r="J1231" t="inlineStr"/>
      <c r="K1231" t="inlineStr"/>
    </row>
    <row r="1232">
      <c r="A1232" s="7" t="inlineStr">
        <is>
          <t>2019-03-14</t>
        </is>
      </c>
      <c r="B1232" s="8">
        <f>IFERROR(VLOOKUP($A1232,'01-原始价格'!$A:$M,2,FALSE),"")</f>
        <v/>
      </c>
      <c r="C1232" s="8">
        <f>IFERROR(VLOOKUP($A1232,'01-原始价格'!$A:$M,8,FALSE),"")</f>
        <v/>
      </c>
      <c r="D1232" s="10">
        <f>IFERROR(B1232/C1232,"")</f>
        <v/>
      </c>
      <c r="E1232" s="10">
        <f>IFERROR(C1232/B1232,"")</f>
        <v/>
      </c>
      <c r="F1232" s="11">
        <f>IFERROR((D1232/D1231-1)*100,"")</f>
        <v/>
      </c>
      <c r="G1232" s="11">
        <f>IFERROR((COUNTIF($D$981:$D$1232,"&lt;"&amp;D1232)+0.5*COUNTIF($D$981:$D$1232,D1232))/COUNT($D$981:$D$1232)*100,"")</f>
        <v/>
      </c>
      <c r="H1232" s="10">
        <f>IFERROR(AVERAGE($D$981:$D$1232),"")</f>
        <v/>
      </c>
      <c r="I1232" s="10" t="n">
        <v>-0.1294509736308323</v>
      </c>
      <c r="J1232" t="inlineStr"/>
      <c r="K1232" t="inlineStr"/>
    </row>
    <row r="1233">
      <c r="A1233" s="7" t="inlineStr">
        <is>
          <t>2019-03-15</t>
        </is>
      </c>
      <c r="B1233" s="8">
        <f>IFERROR(VLOOKUP($A1233,'01-原始价格'!$A:$M,2,FALSE),"")</f>
        <v/>
      </c>
      <c r="C1233" s="8">
        <f>IFERROR(VLOOKUP($A1233,'01-原始价格'!$A:$M,8,FALSE),"")</f>
        <v/>
      </c>
      <c r="D1233" s="10">
        <f>IFERROR(B1233/C1233,"")</f>
        <v/>
      </c>
      <c r="E1233" s="10">
        <f>IFERROR(C1233/B1233,"")</f>
        <v/>
      </c>
      <c r="F1233" s="11">
        <f>IFERROR((D1233/D1232-1)*100,"")</f>
        <v/>
      </c>
      <c r="G1233" s="11">
        <f>IFERROR((COUNTIF($D$982:$D$1233,"&lt;"&amp;D1233)+0.5*COUNTIF($D$982:$D$1233,D1233))/COUNT($D$982:$D$1233)*100,"")</f>
        <v/>
      </c>
      <c r="H1233" s="10">
        <f>IFERROR(AVERAGE($D$982:$D$1233),"")</f>
        <v/>
      </c>
      <c r="I1233" s="10" t="n">
        <v>-0.08197542557361211</v>
      </c>
      <c r="J1233" t="inlineStr"/>
      <c r="K1233" t="inlineStr"/>
    </row>
    <row r="1234">
      <c r="A1234" s="7" t="inlineStr">
        <is>
          <t>2019-03-18</t>
        </is>
      </c>
      <c r="B1234" s="8">
        <f>IFERROR(VLOOKUP($A1234,'01-原始价格'!$A:$M,2,FALSE),"")</f>
        <v/>
      </c>
      <c r="C1234" s="8">
        <f>IFERROR(VLOOKUP($A1234,'01-原始价格'!$A:$M,8,FALSE),"")</f>
        <v/>
      </c>
      <c r="D1234" s="10">
        <f>IFERROR(B1234/C1234,"")</f>
        <v/>
      </c>
      <c r="E1234" s="10">
        <f>IFERROR(C1234/B1234,"")</f>
        <v/>
      </c>
      <c r="F1234" s="11">
        <f>IFERROR((D1234/D1233-1)*100,"")</f>
        <v/>
      </c>
      <c r="G1234" s="11">
        <f>IFERROR((COUNTIF($D$983:$D$1234,"&lt;"&amp;D1234)+0.5*COUNTIF($D$983:$D$1234,D1234))/COUNT($D$983:$D$1234)*100,"")</f>
        <v/>
      </c>
      <c r="H1234" s="10">
        <f>IFERROR(AVERAGE($D$983:$D$1234),"")</f>
        <v/>
      </c>
      <c r="I1234" s="10" t="n">
        <v>-0.06130004123405201</v>
      </c>
      <c r="J1234" t="inlineStr"/>
      <c r="K1234" t="inlineStr"/>
    </row>
    <row r="1235">
      <c r="A1235" s="7" t="inlineStr">
        <is>
          <t>2019-03-19</t>
        </is>
      </c>
      <c r="B1235" s="8">
        <f>IFERROR(VLOOKUP($A1235,'01-原始价格'!$A:$M,2,FALSE),"")</f>
        <v/>
      </c>
      <c r="C1235" s="8">
        <f>IFERROR(VLOOKUP($A1235,'01-原始价格'!$A:$M,8,FALSE),"")</f>
        <v/>
      </c>
      <c r="D1235" s="10">
        <f>IFERROR(B1235/C1235,"")</f>
        <v/>
      </c>
      <c r="E1235" s="10">
        <f>IFERROR(C1235/B1235,"")</f>
        <v/>
      </c>
      <c r="F1235" s="11">
        <f>IFERROR((D1235/D1234-1)*100,"")</f>
        <v/>
      </c>
      <c r="G1235" s="11">
        <f>IFERROR((COUNTIF($D$984:$D$1235,"&lt;"&amp;D1235)+0.5*COUNTIF($D$984:$D$1235,D1235))/COUNT($D$984:$D$1235)*100,"")</f>
        <v/>
      </c>
      <c r="H1235" s="10">
        <f>IFERROR(AVERAGE($D$984:$D$1235),"")</f>
        <v/>
      </c>
      <c r="I1235" s="10" t="n">
        <v>-0.004888081599221552</v>
      </c>
      <c r="J1235" t="inlineStr"/>
      <c r="K1235" t="inlineStr"/>
    </row>
    <row r="1236">
      <c r="A1236" s="7" t="inlineStr">
        <is>
          <t>2019-03-20</t>
        </is>
      </c>
      <c r="B1236" s="8">
        <f>IFERROR(VLOOKUP($A1236,'01-原始价格'!$A:$M,2,FALSE),"")</f>
        <v/>
      </c>
      <c r="C1236" s="8">
        <f>IFERROR(VLOOKUP($A1236,'01-原始价格'!$A:$M,8,FALSE),"")</f>
        <v/>
      </c>
      <c r="D1236" s="10">
        <f>IFERROR(B1236/C1236,"")</f>
        <v/>
      </c>
      <c r="E1236" s="10">
        <f>IFERROR(C1236/B1236,"")</f>
        <v/>
      </c>
      <c r="F1236" s="11">
        <f>IFERROR((D1236/D1235-1)*100,"")</f>
        <v/>
      </c>
      <c r="G1236" s="11">
        <f>IFERROR((COUNTIF($D$985:$D$1236,"&lt;"&amp;D1236)+0.5*COUNTIF($D$985:$D$1236,D1236))/COUNT($D$985:$D$1236)*100,"")</f>
        <v/>
      </c>
      <c r="H1236" s="10">
        <f>IFERROR(AVERAGE($D$985:$D$1236),"")</f>
        <v/>
      </c>
      <c r="I1236" s="10" t="n">
        <v>0.0626262873945075</v>
      </c>
      <c r="J1236" t="inlineStr"/>
      <c r="K1236" t="inlineStr"/>
    </row>
    <row r="1237">
      <c r="A1237" s="7" t="inlineStr">
        <is>
          <t>2019-03-21</t>
        </is>
      </c>
      <c r="B1237" s="8">
        <f>IFERROR(VLOOKUP($A1237,'01-原始价格'!$A:$M,2,FALSE),"")</f>
        <v/>
      </c>
      <c r="C1237" s="8">
        <f>IFERROR(VLOOKUP($A1237,'01-原始价格'!$A:$M,8,FALSE),"")</f>
        <v/>
      </c>
      <c r="D1237" s="10">
        <f>IFERROR(B1237/C1237,"")</f>
        <v/>
      </c>
      <c r="E1237" s="10">
        <f>IFERROR(C1237/B1237,"")</f>
        <v/>
      </c>
      <c r="F1237" s="11">
        <f>IFERROR((D1237/D1236-1)*100,"")</f>
        <v/>
      </c>
      <c r="G1237" s="11">
        <f>IFERROR((COUNTIF($D$986:$D$1237,"&lt;"&amp;D1237)+0.5*COUNTIF($D$986:$D$1237,D1237))/COUNT($D$986:$D$1237)*100,"")</f>
        <v/>
      </c>
      <c r="H1237" s="10">
        <f>IFERROR(AVERAGE($D$986:$D$1237),"")</f>
        <v/>
      </c>
      <c r="I1237" s="10" t="n">
        <v>0.1640589367229257</v>
      </c>
      <c r="J1237" t="inlineStr"/>
      <c r="K1237" t="inlineStr"/>
    </row>
    <row r="1238">
      <c r="A1238" s="7" t="inlineStr">
        <is>
          <t>2019-03-22</t>
        </is>
      </c>
      <c r="B1238" s="8">
        <f>IFERROR(VLOOKUP($A1238,'01-原始价格'!$A:$M,2,FALSE),"")</f>
        <v/>
      </c>
      <c r="C1238" s="8">
        <f>IFERROR(VLOOKUP($A1238,'01-原始价格'!$A:$M,8,FALSE),"")</f>
        <v/>
      </c>
      <c r="D1238" s="10">
        <f>IFERROR(B1238/C1238,"")</f>
        <v/>
      </c>
      <c r="E1238" s="10">
        <f>IFERROR(C1238/B1238,"")</f>
        <v/>
      </c>
      <c r="F1238" s="11">
        <f>IFERROR((D1238/D1237-1)*100,"")</f>
        <v/>
      </c>
      <c r="G1238" s="11">
        <f>IFERROR((COUNTIF($D$987:$D$1238,"&lt;"&amp;D1238)+0.5*COUNTIF($D$987:$D$1238,D1238))/COUNT($D$987:$D$1238)*100,"")</f>
        <v/>
      </c>
      <c r="H1238" s="10">
        <f>IFERROR(AVERAGE($D$987:$D$1238),"")</f>
        <v/>
      </c>
      <c r="I1238" s="10" t="n">
        <v>0.1716933422503401</v>
      </c>
      <c r="J1238" t="inlineStr"/>
      <c r="K1238" t="inlineStr"/>
    </row>
    <row r="1239">
      <c r="A1239" s="7" t="inlineStr">
        <is>
          <t>2019-03-25</t>
        </is>
      </c>
      <c r="B1239" s="8">
        <f>IFERROR(VLOOKUP($A1239,'01-原始价格'!$A:$M,2,FALSE),"")</f>
        <v/>
      </c>
      <c r="C1239" s="8">
        <f>IFERROR(VLOOKUP($A1239,'01-原始价格'!$A:$M,8,FALSE),"")</f>
        <v/>
      </c>
      <c r="D1239" s="10">
        <f>IFERROR(B1239/C1239,"")</f>
        <v/>
      </c>
      <c r="E1239" s="10">
        <f>IFERROR(C1239/B1239,"")</f>
        <v/>
      </c>
      <c r="F1239" s="11">
        <f>IFERROR((D1239/D1238-1)*100,"")</f>
        <v/>
      </c>
      <c r="G1239" s="11">
        <f>IFERROR((COUNTIF($D$988:$D$1239,"&lt;"&amp;D1239)+0.5*COUNTIF($D$988:$D$1239,D1239))/COUNT($D$988:$D$1239)*100,"")</f>
        <v/>
      </c>
      <c r="H1239" s="10">
        <f>IFERROR(AVERAGE($D$988:$D$1239),"")</f>
        <v/>
      </c>
      <c r="I1239" s="10" t="n">
        <v>0.3246826684250488</v>
      </c>
      <c r="J1239" t="inlineStr"/>
      <c r="K1239" t="inlineStr"/>
    </row>
    <row r="1240">
      <c r="A1240" s="7" t="inlineStr">
        <is>
          <t>2019-03-26</t>
        </is>
      </c>
      <c r="B1240" s="8">
        <f>IFERROR(VLOOKUP($A1240,'01-原始价格'!$A:$M,2,FALSE),"")</f>
        <v/>
      </c>
      <c r="C1240" s="8">
        <f>IFERROR(VLOOKUP($A1240,'01-原始价格'!$A:$M,8,FALSE),"")</f>
        <v/>
      </c>
      <c r="D1240" s="10">
        <f>IFERROR(B1240/C1240,"")</f>
        <v/>
      </c>
      <c r="E1240" s="10">
        <f>IFERROR(C1240/B1240,"")</f>
        <v/>
      </c>
      <c r="F1240" s="11">
        <f>IFERROR((D1240/D1239-1)*100,"")</f>
        <v/>
      </c>
      <c r="G1240" s="11">
        <f>IFERROR((COUNTIF($D$989:$D$1240,"&lt;"&amp;D1240)+0.5*COUNTIF($D$989:$D$1240,D1240))/COUNT($D$989:$D$1240)*100,"")</f>
        <v/>
      </c>
      <c r="H1240" s="10">
        <f>IFERROR(AVERAGE($D$989:$D$1240),"")</f>
        <v/>
      </c>
      <c r="I1240" s="10" t="n">
        <v>0.3897661704238513</v>
      </c>
      <c r="J1240" t="inlineStr"/>
      <c r="K1240" t="inlineStr"/>
    </row>
    <row r="1241">
      <c r="A1241" s="7" t="inlineStr">
        <is>
          <t>2019-03-27</t>
        </is>
      </c>
      <c r="B1241" s="8">
        <f>IFERROR(VLOOKUP($A1241,'01-原始价格'!$A:$M,2,FALSE),"")</f>
        <v/>
      </c>
      <c r="C1241" s="8">
        <f>IFERROR(VLOOKUP($A1241,'01-原始价格'!$A:$M,8,FALSE),"")</f>
        <v/>
      </c>
      <c r="D1241" s="10">
        <f>IFERROR(B1241/C1241,"")</f>
        <v/>
      </c>
      <c r="E1241" s="10">
        <f>IFERROR(C1241/B1241,"")</f>
        <v/>
      </c>
      <c r="F1241" s="11">
        <f>IFERROR((D1241/D1240-1)*100,"")</f>
        <v/>
      </c>
      <c r="G1241" s="11">
        <f>IFERROR((COUNTIF($D$990:$D$1241,"&lt;"&amp;D1241)+0.5*COUNTIF($D$990:$D$1241,D1241))/COUNT($D$990:$D$1241)*100,"")</f>
        <v/>
      </c>
      <c r="H1241" s="10">
        <f>IFERROR(AVERAGE($D$990:$D$1241),"")</f>
        <v/>
      </c>
      <c r="I1241" s="10" t="n">
        <v>0.3120511904475335</v>
      </c>
      <c r="J1241" t="inlineStr"/>
      <c r="K1241" t="inlineStr"/>
    </row>
    <row r="1242">
      <c r="A1242" s="7" t="inlineStr">
        <is>
          <t>2019-03-28</t>
        </is>
      </c>
      <c r="B1242" s="8">
        <f>IFERROR(VLOOKUP($A1242,'01-原始价格'!$A:$M,2,FALSE),"")</f>
        <v/>
      </c>
      <c r="C1242" s="8">
        <f>IFERROR(VLOOKUP($A1242,'01-原始价格'!$A:$M,8,FALSE),"")</f>
        <v/>
      </c>
      <c r="D1242" s="10">
        <f>IFERROR(B1242/C1242,"")</f>
        <v/>
      </c>
      <c r="E1242" s="10">
        <f>IFERROR(C1242/B1242,"")</f>
        <v/>
      </c>
      <c r="F1242" s="11">
        <f>IFERROR((D1242/D1241-1)*100,"")</f>
        <v/>
      </c>
      <c r="G1242" s="11">
        <f>IFERROR((COUNTIF($D$991:$D$1242,"&lt;"&amp;D1242)+0.5*COUNTIF($D$991:$D$1242,D1242))/COUNT($D$991:$D$1242)*100,"")</f>
        <v/>
      </c>
      <c r="H1242" s="10">
        <f>IFERROR(AVERAGE($D$991:$D$1242),"")</f>
        <v/>
      </c>
      <c r="I1242" s="10" t="n">
        <v>0.4024059220675274</v>
      </c>
      <c r="J1242" t="inlineStr"/>
      <c r="K1242" t="inlineStr"/>
    </row>
    <row r="1243">
      <c r="A1243" s="7" t="inlineStr">
        <is>
          <t>2019-03-29</t>
        </is>
      </c>
      <c r="B1243" s="8">
        <f>IFERROR(VLOOKUP($A1243,'01-原始价格'!$A:$M,2,FALSE),"")</f>
        <v/>
      </c>
      <c r="C1243" s="8">
        <f>IFERROR(VLOOKUP($A1243,'01-原始价格'!$A:$M,8,FALSE),"")</f>
        <v/>
      </c>
      <c r="D1243" s="10">
        <f>IFERROR(B1243/C1243,"")</f>
        <v/>
      </c>
      <c r="E1243" s="10">
        <f>IFERROR(C1243/B1243,"")</f>
        <v/>
      </c>
      <c r="F1243" s="11">
        <f>IFERROR((D1243/D1242-1)*100,"")</f>
        <v/>
      </c>
      <c r="G1243" s="11">
        <f>IFERROR((COUNTIF($D$992:$D$1243,"&lt;"&amp;D1243)+0.5*COUNTIF($D$992:$D$1243,D1243))/COUNT($D$992:$D$1243)*100,"")</f>
        <v/>
      </c>
      <c r="H1243" s="10">
        <f>IFERROR(AVERAGE($D$992:$D$1243),"")</f>
        <v/>
      </c>
      <c r="I1243" s="10" t="n">
        <v>0.5509688472241697</v>
      </c>
      <c r="J1243" t="inlineStr"/>
      <c r="K1243" t="inlineStr"/>
    </row>
    <row r="1244">
      <c r="A1244" s="7" t="inlineStr">
        <is>
          <t>2019-04-01</t>
        </is>
      </c>
      <c r="B1244" s="8">
        <f>IFERROR(VLOOKUP($A1244,'01-原始价格'!$A:$M,2,FALSE),"")</f>
        <v/>
      </c>
      <c r="C1244" s="8">
        <f>IFERROR(VLOOKUP($A1244,'01-原始价格'!$A:$M,8,FALSE),"")</f>
        <v/>
      </c>
      <c r="D1244" s="10">
        <f>IFERROR(B1244/C1244,"")</f>
        <v/>
      </c>
      <c r="E1244" s="10">
        <f>IFERROR(C1244/B1244,"")</f>
        <v/>
      </c>
      <c r="F1244" s="11">
        <f>IFERROR((D1244/D1243-1)*100,"")</f>
        <v/>
      </c>
      <c r="G1244" s="11">
        <f>IFERROR((COUNTIF($D$993:$D$1244,"&lt;"&amp;D1244)+0.5*COUNTIF($D$993:$D$1244,D1244))/COUNT($D$993:$D$1244)*100,"")</f>
        <v/>
      </c>
      <c r="H1244" s="10">
        <f>IFERROR(AVERAGE($D$993:$D$1244),"")</f>
        <v/>
      </c>
      <c r="I1244" s="10" t="n">
        <v>1.796692595250146</v>
      </c>
      <c r="J1244" t="inlineStr"/>
      <c r="K1244" s="12" t="inlineStr">
        <is>
          <t>是</t>
        </is>
      </c>
      <c r="L1244" t="inlineStr">
        <is>
          <t>换月日</t>
        </is>
      </c>
    </row>
    <row r="1245">
      <c r="A1245" s="7" t="inlineStr">
        <is>
          <t>2019-04-02</t>
        </is>
      </c>
      <c r="B1245" s="8">
        <f>IFERROR(VLOOKUP($A1245,'01-原始价格'!$A:$M,2,FALSE),"")</f>
        <v/>
      </c>
      <c r="C1245" s="8">
        <f>IFERROR(VLOOKUP($A1245,'01-原始价格'!$A:$M,8,FALSE),"")</f>
        <v/>
      </c>
      <c r="D1245" s="10">
        <f>IFERROR(B1245/C1245,"")</f>
        <v/>
      </c>
      <c r="E1245" s="10">
        <f>IFERROR(C1245/B1245,"")</f>
        <v/>
      </c>
      <c r="F1245" s="11">
        <f>IFERROR((D1245/D1244-1)*100,"")</f>
        <v/>
      </c>
      <c r="G1245" s="11">
        <f>IFERROR((COUNTIF($D$994:$D$1245,"&lt;"&amp;D1245)+0.5*COUNTIF($D$994:$D$1245,D1245))/COUNT($D$994:$D$1245)*100,"")</f>
        <v/>
      </c>
      <c r="H1245" s="10">
        <f>IFERROR(AVERAGE($D$994:$D$1245),"")</f>
        <v/>
      </c>
      <c r="I1245" s="10" t="n">
        <v>1.518852443825343</v>
      </c>
      <c r="J1245" t="inlineStr"/>
      <c r="K1245" t="inlineStr"/>
    </row>
    <row r="1246">
      <c r="A1246" s="7" t="inlineStr">
        <is>
          <t>2019-04-03</t>
        </is>
      </c>
      <c r="B1246" s="8">
        <f>IFERROR(VLOOKUP($A1246,'01-原始价格'!$A:$M,2,FALSE),"")</f>
        <v/>
      </c>
      <c r="C1246" s="8">
        <f>IFERROR(VLOOKUP($A1246,'01-原始价格'!$A:$M,8,FALSE),"")</f>
        <v/>
      </c>
      <c r="D1246" s="10">
        <f>IFERROR(B1246/C1246,"")</f>
        <v/>
      </c>
      <c r="E1246" s="10">
        <f>IFERROR(C1246/B1246,"")</f>
        <v/>
      </c>
      <c r="F1246" s="11">
        <f>IFERROR((D1246/D1245-1)*100,"")</f>
        <v/>
      </c>
      <c r="G1246" s="11">
        <f>IFERROR((COUNTIF($D$995:$D$1246,"&lt;"&amp;D1246)+0.5*COUNTIF($D$995:$D$1246,D1246))/COUNT($D$995:$D$1246)*100,"")</f>
        <v/>
      </c>
      <c r="H1246" s="10">
        <f>IFERROR(AVERAGE($D$995:$D$1246),"")</f>
        <v/>
      </c>
      <c r="I1246" s="10" t="n">
        <v>1.765134157078948</v>
      </c>
      <c r="J1246" t="inlineStr"/>
      <c r="K1246" t="inlineStr"/>
    </row>
    <row r="1247">
      <c r="A1247" s="7" t="inlineStr">
        <is>
          <t>2019-04-04</t>
        </is>
      </c>
      <c r="B1247" s="8">
        <f>IFERROR(VLOOKUP($A1247,'01-原始价格'!$A:$M,2,FALSE),"")</f>
        <v/>
      </c>
      <c r="C1247" s="8">
        <f>IFERROR(VLOOKUP($A1247,'01-原始价格'!$A:$M,8,FALSE),"")</f>
        <v/>
      </c>
      <c r="D1247" s="10">
        <f>IFERROR(B1247/C1247,"")</f>
        <v/>
      </c>
      <c r="E1247" s="10">
        <f>IFERROR(C1247/B1247,"")</f>
        <v/>
      </c>
      <c r="F1247" s="11">
        <f>IFERROR((D1247/D1246-1)*100,"")</f>
        <v/>
      </c>
      <c r="G1247" s="11">
        <f>IFERROR((COUNTIF($D$996:$D$1247,"&lt;"&amp;D1247)+0.5*COUNTIF($D$996:$D$1247,D1247))/COUNT($D$996:$D$1247)*100,"")</f>
        <v/>
      </c>
      <c r="H1247" s="10">
        <f>IFERROR(AVERAGE($D$996:$D$1247),"")</f>
        <v/>
      </c>
      <c r="I1247" s="10" t="n">
        <v>0.06865569018729833</v>
      </c>
      <c r="J1247" t="inlineStr"/>
      <c r="K1247" s="12" t="inlineStr">
        <is>
          <t>是</t>
        </is>
      </c>
      <c r="L1247" t="inlineStr">
        <is>
          <t>换月日</t>
        </is>
      </c>
    </row>
    <row r="1248">
      <c r="A1248" s="7" t="inlineStr">
        <is>
          <t>2019-04-08</t>
        </is>
      </c>
      <c r="B1248" s="8">
        <f>IFERROR(VLOOKUP($A1248,'01-原始价格'!$A:$M,2,FALSE),"")</f>
        <v/>
      </c>
      <c r="C1248" s="8">
        <f>IFERROR(VLOOKUP($A1248,'01-原始价格'!$A:$M,8,FALSE),"")</f>
        <v/>
      </c>
      <c r="D1248" s="10">
        <f>IFERROR(B1248/C1248,"")</f>
        <v/>
      </c>
      <c r="E1248" s="10">
        <f>IFERROR(C1248/B1248,"")</f>
        <v/>
      </c>
      <c r="F1248" s="11">
        <f>IFERROR((D1248/D1247-1)*100,"")</f>
        <v/>
      </c>
      <c r="G1248" s="11">
        <f>IFERROR((COUNTIF($D$997:$D$1248,"&lt;"&amp;D1248)+0.5*COUNTIF($D$997:$D$1248,D1248))/COUNT($D$997:$D$1248)*100,"")</f>
        <v/>
      </c>
      <c r="H1248" s="10">
        <f>IFERROR(AVERAGE($D$997:$D$1248),"")</f>
        <v/>
      </c>
      <c r="I1248" s="10" t="n">
        <v>0.7593187647913473</v>
      </c>
      <c r="J1248" t="inlineStr"/>
      <c r="K1248" t="inlineStr"/>
    </row>
    <row r="1249">
      <c r="A1249" s="7" t="inlineStr">
        <is>
          <t>2019-04-09</t>
        </is>
      </c>
      <c r="B1249" s="8">
        <f>IFERROR(VLOOKUP($A1249,'01-原始价格'!$A:$M,2,FALSE),"")</f>
        <v/>
      </c>
      <c r="C1249" s="8">
        <f>IFERROR(VLOOKUP($A1249,'01-原始价格'!$A:$M,8,FALSE),"")</f>
        <v/>
      </c>
      <c r="D1249" s="10">
        <f>IFERROR(B1249/C1249,"")</f>
        <v/>
      </c>
      <c r="E1249" s="10">
        <f>IFERROR(C1249/B1249,"")</f>
        <v/>
      </c>
      <c r="F1249" s="11">
        <f>IFERROR((D1249/D1248-1)*100,"")</f>
        <v/>
      </c>
      <c r="G1249" s="11">
        <f>IFERROR((COUNTIF($D$998:$D$1249,"&lt;"&amp;D1249)+0.5*COUNTIF($D$998:$D$1249,D1249))/COUNT($D$998:$D$1249)*100,"")</f>
        <v/>
      </c>
      <c r="H1249" s="10">
        <f>IFERROR(AVERAGE($D$998:$D$1249),"")</f>
        <v/>
      </c>
      <c r="I1249" s="10" t="n">
        <v>0.623958212564003</v>
      </c>
      <c r="J1249" t="inlineStr"/>
      <c r="K1249" t="inlineStr"/>
    </row>
    <row r="1250">
      <c r="A1250" s="7" t="inlineStr">
        <is>
          <t>2019-04-10</t>
        </is>
      </c>
      <c r="B1250" s="8">
        <f>IFERROR(VLOOKUP($A1250,'01-原始价格'!$A:$M,2,FALSE),"")</f>
        <v/>
      </c>
      <c r="C1250" s="8">
        <f>IFERROR(VLOOKUP($A1250,'01-原始价格'!$A:$M,8,FALSE),"")</f>
        <v/>
      </c>
      <c r="D1250" s="10">
        <f>IFERROR(B1250/C1250,"")</f>
        <v/>
      </c>
      <c r="E1250" s="10">
        <f>IFERROR(C1250/B1250,"")</f>
        <v/>
      </c>
      <c r="F1250" s="11">
        <f>IFERROR((D1250/D1249-1)*100,"")</f>
        <v/>
      </c>
      <c r="G1250" s="11">
        <f>IFERROR((COUNTIF($D$999:$D$1250,"&lt;"&amp;D1250)+0.5*COUNTIF($D$999:$D$1250,D1250))/COUNT($D$999:$D$1250)*100,"")</f>
        <v/>
      </c>
      <c r="H1250" s="10">
        <f>IFERROR(AVERAGE($D$999:$D$1250),"")</f>
        <v/>
      </c>
      <c r="I1250" s="10" t="n">
        <v>0.6146684519839519</v>
      </c>
      <c r="J1250" t="inlineStr"/>
      <c r="K1250" t="inlineStr"/>
    </row>
    <row r="1251">
      <c r="A1251" s="7" t="inlineStr">
        <is>
          <t>2019-04-11</t>
        </is>
      </c>
      <c r="B1251" s="8">
        <f>IFERROR(VLOOKUP($A1251,'01-原始价格'!$A:$M,2,FALSE),"")</f>
        <v/>
      </c>
      <c r="C1251" s="8">
        <f>IFERROR(VLOOKUP($A1251,'01-原始价格'!$A:$M,8,FALSE),"")</f>
        <v/>
      </c>
      <c r="D1251" s="10">
        <f>IFERROR(B1251/C1251,"")</f>
        <v/>
      </c>
      <c r="E1251" s="10">
        <f>IFERROR(C1251/B1251,"")</f>
        <v/>
      </c>
      <c r="F1251" s="11">
        <f>IFERROR((D1251/D1250-1)*100,"")</f>
        <v/>
      </c>
      <c r="G1251" s="11">
        <f>IFERROR((COUNTIF($D$1000:$D$1251,"&lt;"&amp;D1251)+0.5*COUNTIF($D$1000:$D$1251,D1251))/COUNT($D$1000:$D$1251)*100,"")</f>
        <v/>
      </c>
      <c r="H1251" s="10">
        <f>IFERROR(AVERAGE($D$1000:$D$1251),"")</f>
        <v/>
      </c>
      <c r="I1251" s="10" t="n">
        <v>0.6965308405093651</v>
      </c>
      <c r="J1251" t="inlineStr"/>
      <c r="K1251" t="inlineStr"/>
    </row>
    <row r="1252">
      <c r="A1252" s="7" t="inlineStr">
        <is>
          <t>2019-04-12</t>
        </is>
      </c>
      <c r="B1252" s="8">
        <f>IFERROR(VLOOKUP($A1252,'01-原始价格'!$A:$M,2,FALSE),"")</f>
        <v/>
      </c>
      <c r="C1252" s="8">
        <f>IFERROR(VLOOKUP($A1252,'01-原始价格'!$A:$M,8,FALSE),"")</f>
        <v/>
      </c>
      <c r="D1252" s="10">
        <f>IFERROR(B1252/C1252,"")</f>
        <v/>
      </c>
      <c r="E1252" s="10">
        <f>IFERROR(C1252/B1252,"")</f>
        <v/>
      </c>
      <c r="F1252" s="11">
        <f>IFERROR((D1252/D1251-1)*100,"")</f>
        <v/>
      </c>
      <c r="G1252" s="11">
        <f>IFERROR((COUNTIF($D$1001:$D$1252,"&lt;"&amp;D1252)+0.5*COUNTIF($D$1001:$D$1252,D1252))/COUNT($D$1001:$D$1252)*100,"")</f>
        <v/>
      </c>
      <c r="H1252" s="10">
        <f>IFERROR(AVERAGE($D$1001:$D$1252),"")</f>
        <v/>
      </c>
      <c r="I1252" s="10" t="n">
        <v>0.7683690273434375</v>
      </c>
      <c r="J1252" t="inlineStr"/>
      <c r="K1252" t="inlineStr"/>
    </row>
    <row r="1253">
      <c r="A1253" s="7" t="inlineStr">
        <is>
          <t>2019-04-15</t>
        </is>
      </c>
      <c r="B1253" s="8">
        <f>IFERROR(VLOOKUP($A1253,'01-原始价格'!$A:$M,2,FALSE),"")</f>
        <v/>
      </c>
      <c r="C1253" s="8">
        <f>IFERROR(VLOOKUP($A1253,'01-原始价格'!$A:$M,8,FALSE),"")</f>
        <v/>
      </c>
      <c r="D1253" s="10">
        <f>IFERROR(B1253/C1253,"")</f>
        <v/>
      </c>
      <c r="E1253" s="10">
        <f>IFERROR(C1253/B1253,"")</f>
        <v/>
      </c>
      <c r="F1253" s="11">
        <f>IFERROR((D1253/D1252-1)*100,"")</f>
        <v/>
      </c>
      <c r="G1253" s="11">
        <f>IFERROR((COUNTIF($D$1002:$D$1253,"&lt;"&amp;D1253)+0.5*COUNTIF($D$1002:$D$1253,D1253))/COUNT($D$1002:$D$1253)*100,"")</f>
        <v/>
      </c>
      <c r="H1253" s="10">
        <f>IFERROR(AVERAGE($D$1002:$D$1253),"")</f>
        <v/>
      </c>
      <c r="I1253" s="10" t="n">
        <v>0.5449821621728944</v>
      </c>
      <c r="J1253" t="inlineStr"/>
      <c r="K1253" t="inlineStr"/>
    </row>
    <row r="1254">
      <c r="A1254" s="7" t="inlineStr">
        <is>
          <t>2019-04-16</t>
        </is>
      </c>
      <c r="B1254" s="8">
        <f>IFERROR(VLOOKUP($A1254,'01-原始价格'!$A:$M,2,FALSE),"")</f>
        <v/>
      </c>
      <c r="C1254" s="8">
        <f>IFERROR(VLOOKUP($A1254,'01-原始价格'!$A:$M,8,FALSE),"")</f>
        <v/>
      </c>
      <c r="D1254" s="10">
        <f>IFERROR(B1254/C1254,"")</f>
        <v/>
      </c>
      <c r="E1254" s="10">
        <f>IFERROR(C1254/B1254,"")</f>
        <v/>
      </c>
      <c r="F1254" s="11">
        <f>IFERROR((D1254/D1253-1)*100,"")</f>
        <v/>
      </c>
      <c r="G1254" s="11">
        <f>IFERROR((COUNTIF($D$1003:$D$1254,"&lt;"&amp;D1254)+0.5*COUNTIF($D$1003:$D$1254,D1254))/COUNT($D$1003:$D$1254)*100,"")</f>
        <v/>
      </c>
      <c r="H1254" s="10">
        <f>IFERROR(AVERAGE($D$1003:$D$1254),"")</f>
        <v/>
      </c>
      <c r="I1254" s="10" t="n">
        <v>0.5829405984573292</v>
      </c>
      <c r="J1254" t="inlineStr"/>
      <c r="K1254" t="inlineStr"/>
    </row>
    <row r="1255">
      <c r="A1255" s="7" t="inlineStr">
        <is>
          <t>2019-04-17</t>
        </is>
      </c>
      <c r="B1255" s="8">
        <f>IFERROR(VLOOKUP($A1255,'01-原始价格'!$A:$M,2,FALSE),"")</f>
        <v/>
      </c>
      <c r="C1255" s="8">
        <f>IFERROR(VLOOKUP($A1255,'01-原始价格'!$A:$M,8,FALSE),"")</f>
        <v/>
      </c>
      <c r="D1255" s="10">
        <f>IFERROR(B1255/C1255,"")</f>
        <v/>
      </c>
      <c r="E1255" s="10">
        <f>IFERROR(C1255/B1255,"")</f>
        <v/>
      </c>
      <c r="F1255" s="11">
        <f>IFERROR((D1255/D1254-1)*100,"")</f>
        <v/>
      </c>
      <c r="G1255" s="11">
        <f>IFERROR((COUNTIF($D$1004:$D$1255,"&lt;"&amp;D1255)+0.5*COUNTIF($D$1004:$D$1255,D1255))/COUNT($D$1004:$D$1255)*100,"")</f>
        <v/>
      </c>
      <c r="H1255" s="10">
        <f>IFERROR(AVERAGE($D$1004:$D$1255),"")</f>
        <v/>
      </c>
      <c r="I1255" s="10" t="n">
        <v>0.6709994496988693</v>
      </c>
      <c r="J1255" t="inlineStr"/>
      <c r="K1255" t="inlineStr"/>
    </row>
    <row r="1256">
      <c r="A1256" s="7" t="inlineStr">
        <is>
          <t>2019-04-18</t>
        </is>
      </c>
      <c r="B1256" s="8">
        <f>IFERROR(VLOOKUP($A1256,'01-原始价格'!$A:$M,2,FALSE),"")</f>
        <v/>
      </c>
      <c r="C1256" s="8">
        <f>IFERROR(VLOOKUP($A1256,'01-原始价格'!$A:$M,8,FALSE),"")</f>
        <v/>
      </c>
      <c r="D1256" s="10">
        <f>IFERROR(B1256/C1256,"")</f>
        <v/>
      </c>
      <c r="E1256" s="10">
        <f>IFERROR(C1256/B1256,"")</f>
        <v/>
      </c>
      <c r="F1256" s="11">
        <f>IFERROR((D1256/D1255-1)*100,"")</f>
        <v/>
      </c>
      <c r="G1256" s="11">
        <f>IFERROR((COUNTIF($D$1005:$D$1256,"&lt;"&amp;D1256)+0.5*COUNTIF($D$1005:$D$1256,D1256))/COUNT($D$1005:$D$1256)*100,"")</f>
        <v/>
      </c>
      <c r="H1256" s="10">
        <f>IFERROR(AVERAGE($D$1005:$D$1256),"")</f>
        <v/>
      </c>
      <c r="I1256" s="10" t="n">
        <v>1.015478685641145</v>
      </c>
      <c r="J1256" t="inlineStr"/>
      <c r="K1256" t="inlineStr"/>
    </row>
    <row r="1257">
      <c r="A1257" s="7" t="inlineStr">
        <is>
          <t>2019-04-19</t>
        </is>
      </c>
      <c r="B1257" s="8">
        <f>IFERROR(VLOOKUP($A1257,'01-原始价格'!$A:$M,2,FALSE),"")</f>
        <v/>
      </c>
      <c r="C1257" s="8">
        <f>IFERROR(VLOOKUP($A1257,'01-原始价格'!$A:$M,8,FALSE),"")</f>
        <v/>
      </c>
      <c r="D1257" s="10">
        <f>IFERROR(B1257/C1257,"")</f>
        <v/>
      </c>
      <c r="E1257" s="10">
        <f>IFERROR(C1257/B1257,"")</f>
        <v/>
      </c>
      <c r="F1257" s="11">
        <f>IFERROR((D1257/D1256-1)*100,"")</f>
        <v/>
      </c>
      <c r="G1257" s="11">
        <f>IFERROR((COUNTIF($D$1006:$D$1257,"&lt;"&amp;D1257)+0.5*COUNTIF($D$1006:$D$1257,D1257))/COUNT($D$1006:$D$1257)*100,"")</f>
        <v/>
      </c>
      <c r="H1257" s="10">
        <f>IFERROR(AVERAGE($D$1006:$D$1257),"")</f>
        <v/>
      </c>
      <c r="I1257" s="10" t="n">
        <v>1.175693404410752</v>
      </c>
      <c r="J1257" t="inlineStr"/>
      <c r="K1257" t="inlineStr"/>
    </row>
    <row r="1258">
      <c r="A1258" s="7" t="inlineStr">
        <is>
          <t>2019-04-23</t>
        </is>
      </c>
      <c r="B1258" s="8">
        <f>IFERROR(VLOOKUP($A1258,'01-原始价格'!$A:$M,2,FALSE),"")</f>
        <v/>
      </c>
      <c r="C1258" s="8">
        <f>IFERROR(VLOOKUP($A1258,'01-原始价格'!$A:$M,8,FALSE),"")</f>
        <v/>
      </c>
      <c r="D1258" s="10">
        <f>IFERROR(B1258/C1258,"")</f>
        <v/>
      </c>
      <c r="E1258" s="10">
        <f>IFERROR(C1258/B1258,"")</f>
        <v/>
      </c>
      <c r="F1258" s="11">
        <f>IFERROR((D1258/D1257-1)*100,"")</f>
        <v/>
      </c>
      <c r="G1258" s="11">
        <f>IFERROR((COUNTIF($D$1007:$D$1258,"&lt;"&amp;D1258)+0.5*COUNTIF($D$1007:$D$1258,D1258))/COUNT($D$1007:$D$1258)*100,"")</f>
        <v/>
      </c>
      <c r="H1258" s="10">
        <f>IFERROR(AVERAGE($D$1007:$D$1258),"")</f>
        <v/>
      </c>
      <c r="I1258" s="10" t="n">
        <v>1.572478362072124</v>
      </c>
      <c r="J1258" t="inlineStr"/>
      <c r="K1258" t="inlineStr"/>
    </row>
    <row r="1259">
      <c r="A1259" s="7" t="inlineStr">
        <is>
          <t>2019-04-24</t>
        </is>
      </c>
      <c r="B1259" s="8">
        <f>IFERROR(VLOOKUP($A1259,'01-原始价格'!$A:$M,2,FALSE),"")</f>
        <v/>
      </c>
      <c r="C1259" s="8">
        <f>IFERROR(VLOOKUP($A1259,'01-原始价格'!$A:$M,8,FALSE),"")</f>
        <v/>
      </c>
      <c r="D1259" s="10">
        <f>IFERROR(B1259/C1259,"")</f>
        <v/>
      </c>
      <c r="E1259" s="10">
        <f>IFERROR(C1259/B1259,"")</f>
        <v/>
      </c>
      <c r="F1259" s="11">
        <f>IFERROR((D1259/D1258-1)*100,"")</f>
        <v/>
      </c>
      <c r="G1259" s="11">
        <f>IFERROR((COUNTIF($D$1008:$D$1259,"&lt;"&amp;D1259)+0.5*COUNTIF($D$1008:$D$1259,D1259))/COUNT($D$1008:$D$1259)*100,"")</f>
        <v/>
      </c>
      <c r="H1259" s="10">
        <f>IFERROR(AVERAGE($D$1008:$D$1259),"")</f>
        <v/>
      </c>
      <c r="I1259" s="10" t="n">
        <v>1.76016212620415</v>
      </c>
      <c r="J1259" t="inlineStr"/>
      <c r="K1259" t="inlineStr"/>
    </row>
    <row r="1260">
      <c r="A1260" s="7" t="inlineStr">
        <is>
          <t>2019-04-25</t>
        </is>
      </c>
      <c r="B1260" s="8">
        <f>IFERROR(VLOOKUP($A1260,'01-原始价格'!$A:$M,2,FALSE),"")</f>
        <v/>
      </c>
      <c r="C1260" s="8">
        <f>IFERROR(VLOOKUP($A1260,'01-原始价格'!$A:$M,8,FALSE),"")</f>
        <v/>
      </c>
      <c r="D1260" s="10">
        <f>IFERROR(B1260/C1260,"")</f>
        <v/>
      </c>
      <c r="E1260" s="10">
        <f>IFERROR(C1260/B1260,"")</f>
        <v/>
      </c>
      <c r="F1260" s="11">
        <f>IFERROR((D1260/D1259-1)*100,"")</f>
        <v/>
      </c>
      <c r="G1260" s="11">
        <f>IFERROR((COUNTIF($D$1009:$D$1260,"&lt;"&amp;D1260)+0.5*COUNTIF($D$1009:$D$1260,D1260))/COUNT($D$1009:$D$1260)*100,"")</f>
        <v/>
      </c>
      <c r="H1260" s="10">
        <f>IFERROR(AVERAGE($D$1009:$D$1260),"")</f>
        <v/>
      </c>
      <c r="I1260" s="10" t="n">
        <v>1.242239973675225</v>
      </c>
      <c r="J1260" t="inlineStr"/>
      <c r="K1260" t="inlineStr"/>
    </row>
    <row r="1261">
      <c r="A1261" s="7" t="inlineStr">
        <is>
          <t>2019-04-26</t>
        </is>
      </c>
      <c r="B1261" s="8">
        <f>IFERROR(VLOOKUP($A1261,'01-原始价格'!$A:$M,2,FALSE),"")</f>
        <v/>
      </c>
      <c r="C1261" s="8">
        <f>IFERROR(VLOOKUP($A1261,'01-原始价格'!$A:$M,8,FALSE),"")</f>
        <v/>
      </c>
      <c r="D1261" s="10">
        <f>IFERROR(B1261/C1261,"")</f>
        <v/>
      </c>
      <c r="E1261" s="10">
        <f>IFERROR(C1261/B1261,"")</f>
        <v/>
      </c>
      <c r="F1261" s="11">
        <f>IFERROR((D1261/D1260-1)*100,"")</f>
        <v/>
      </c>
      <c r="G1261" s="11">
        <f>IFERROR((COUNTIF($D$1010:$D$1261,"&lt;"&amp;D1261)+0.5*COUNTIF($D$1010:$D$1261,D1261))/COUNT($D$1010:$D$1261)*100,"")</f>
        <v/>
      </c>
      <c r="H1261" s="10">
        <f>IFERROR(AVERAGE($D$1010:$D$1261),"")</f>
        <v/>
      </c>
      <c r="I1261" s="10" t="n">
        <v>0.9859326950434338</v>
      </c>
      <c r="J1261" t="inlineStr"/>
      <c r="K1261" t="inlineStr"/>
    </row>
    <row r="1262">
      <c r="A1262" s="7" t="inlineStr">
        <is>
          <t>2019-04-29</t>
        </is>
      </c>
      <c r="B1262" s="8">
        <f>IFERROR(VLOOKUP($A1262,'01-原始价格'!$A:$M,2,FALSE),"")</f>
        <v/>
      </c>
      <c r="C1262" s="8">
        <f>IFERROR(VLOOKUP($A1262,'01-原始价格'!$A:$M,8,FALSE),"")</f>
        <v/>
      </c>
      <c r="D1262" s="10">
        <f>IFERROR(B1262/C1262,"")</f>
        <v/>
      </c>
      <c r="E1262" s="10">
        <f>IFERROR(C1262/B1262,"")</f>
        <v/>
      </c>
      <c r="F1262" s="11">
        <f>IFERROR((D1262/D1261-1)*100,"")</f>
        <v/>
      </c>
      <c r="G1262" s="11">
        <f>IFERROR((COUNTIF($D$1011:$D$1262,"&lt;"&amp;D1262)+0.5*COUNTIF($D$1011:$D$1262,D1262))/COUNT($D$1011:$D$1262)*100,"")</f>
        <v/>
      </c>
      <c r="H1262" s="10">
        <f>IFERROR(AVERAGE($D$1011:$D$1262),"")</f>
        <v/>
      </c>
      <c r="I1262" s="10" t="n">
        <v>1.193240638666825</v>
      </c>
      <c r="J1262" t="inlineStr"/>
      <c r="K1262" t="inlineStr"/>
    </row>
    <row r="1263">
      <c r="A1263" s="7" t="inlineStr">
        <is>
          <t>2019-04-30</t>
        </is>
      </c>
      <c r="B1263" s="8">
        <f>IFERROR(VLOOKUP($A1263,'01-原始价格'!$A:$M,2,FALSE),"")</f>
        <v/>
      </c>
      <c r="C1263" s="8">
        <f>IFERROR(VLOOKUP($A1263,'01-原始价格'!$A:$M,8,FALSE),"")</f>
        <v/>
      </c>
      <c r="D1263" s="10">
        <f>IFERROR(B1263/C1263,"")</f>
        <v/>
      </c>
      <c r="E1263" s="10">
        <f>IFERROR(C1263/B1263,"")</f>
        <v/>
      </c>
      <c r="F1263" s="11">
        <f>IFERROR((D1263/D1262-1)*100,"")</f>
        <v/>
      </c>
      <c r="G1263" s="11">
        <f>IFERROR((COUNTIF($D$1012:$D$1263,"&lt;"&amp;D1263)+0.5*COUNTIF($D$1012:$D$1263,D1263))/COUNT($D$1012:$D$1263)*100,"")</f>
        <v/>
      </c>
      <c r="H1263" s="10">
        <f>IFERROR(AVERAGE($D$1012:$D$1263),"")</f>
        <v/>
      </c>
      <c r="I1263" s="10" t="n">
        <v>1.561092273602261</v>
      </c>
      <c r="J1263" t="inlineStr"/>
      <c r="K1263" t="inlineStr"/>
    </row>
    <row r="1264">
      <c r="A1264" s="7" t="inlineStr">
        <is>
          <t>2019-05-06</t>
        </is>
      </c>
      <c r="B1264" s="8">
        <f>IFERROR(VLOOKUP($A1264,'01-原始价格'!$A:$M,2,FALSE),"")</f>
        <v/>
      </c>
      <c r="C1264" s="8">
        <f>IFERROR(VLOOKUP($A1264,'01-原始价格'!$A:$M,8,FALSE),"")</f>
        <v/>
      </c>
      <c r="D1264" s="10">
        <f>IFERROR(B1264/C1264,"")</f>
        <v/>
      </c>
      <c r="E1264" s="10">
        <f>IFERROR(C1264/B1264,"")</f>
        <v/>
      </c>
      <c r="F1264" s="11">
        <f>IFERROR((D1264/D1263-1)*100,"")</f>
        <v/>
      </c>
      <c r="G1264" s="11">
        <f>IFERROR((COUNTIF($D$1013:$D$1264,"&lt;"&amp;D1264)+0.5*COUNTIF($D$1013:$D$1264,D1264))/COUNT($D$1013:$D$1264)*100,"")</f>
        <v/>
      </c>
      <c r="H1264" s="10">
        <f>IFERROR(AVERAGE($D$1013:$D$1264),"")</f>
        <v/>
      </c>
      <c r="I1264" s="10" t="n">
        <v>1.510438080574217</v>
      </c>
      <c r="J1264" t="inlineStr"/>
      <c r="K1264" t="inlineStr"/>
    </row>
    <row r="1265">
      <c r="A1265" s="7" t="inlineStr">
        <is>
          <t>2019-05-07</t>
        </is>
      </c>
      <c r="B1265" s="8">
        <f>IFERROR(VLOOKUP($A1265,'01-原始价格'!$A:$M,2,FALSE),"")</f>
        <v/>
      </c>
      <c r="C1265" s="8">
        <f>IFERROR(VLOOKUP($A1265,'01-原始价格'!$A:$M,8,FALSE),"")</f>
        <v/>
      </c>
      <c r="D1265" s="10">
        <f>IFERROR(B1265/C1265,"")</f>
        <v/>
      </c>
      <c r="E1265" s="10">
        <f>IFERROR(C1265/B1265,"")</f>
        <v/>
      </c>
      <c r="F1265" s="11">
        <f>IFERROR((D1265/D1264-1)*100,"")</f>
        <v/>
      </c>
      <c r="G1265" s="11">
        <f>IFERROR((COUNTIF($D$1014:$D$1265,"&lt;"&amp;D1265)+0.5*COUNTIF($D$1014:$D$1265,D1265))/COUNT($D$1014:$D$1265)*100,"")</f>
        <v/>
      </c>
      <c r="H1265" s="10">
        <f>IFERROR(AVERAGE($D$1014:$D$1265),"")</f>
        <v/>
      </c>
      <c r="I1265" s="10" t="n">
        <v>1.624523356673033</v>
      </c>
      <c r="J1265" t="inlineStr"/>
      <c r="K1265" t="inlineStr"/>
    </row>
    <row r="1266">
      <c r="A1266" s="7" t="inlineStr">
        <is>
          <t>2019-05-08</t>
        </is>
      </c>
      <c r="B1266" s="8">
        <f>IFERROR(VLOOKUP($A1266,'01-原始价格'!$A:$M,2,FALSE),"")</f>
        <v/>
      </c>
      <c r="C1266" s="8">
        <f>IFERROR(VLOOKUP($A1266,'01-原始价格'!$A:$M,8,FALSE),"")</f>
        <v/>
      </c>
      <c r="D1266" s="10">
        <f>IFERROR(B1266/C1266,"")</f>
        <v/>
      </c>
      <c r="E1266" s="10">
        <f>IFERROR(C1266/B1266,"")</f>
        <v/>
      </c>
      <c r="F1266" s="11">
        <f>IFERROR((D1266/D1265-1)*100,"")</f>
        <v/>
      </c>
      <c r="G1266" s="11">
        <f>IFERROR((COUNTIF($D$1015:$D$1266,"&lt;"&amp;D1266)+0.5*COUNTIF($D$1015:$D$1266,D1266))/COUNT($D$1015:$D$1266)*100,"")</f>
        <v/>
      </c>
      <c r="H1266" s="10">
        <f>IFERROR(AVERAGE($D$1015:$D$1266),"")</f>
        <v/>
      </c>
      <c r="I1266" s="10" t="n">
        <v>1.328153456082037</v>
      </c>
      <c r="J1266" t="inlineStr"/>
      <c r="K1266" t="inlineStr"/>
    </row>
    <row r="1267">
      <c r="A1267" s="7" t="inlineStr">
        <is>
          <t>2019-05-09</t>
        </is>
      </c>
      <c r="B1267" s="8">
        <f>IFERROR(VLOOKUP($A1267,'01-原始价格'!$A:$M,2,FALSE),"")</f>
        <v/>
      </c>
      <c r="C1267" s="8">
        <f>IFERROR(VLOOKUP($A1267,'01-原始价格'!$A:$M,8,FALSE),"")</f>
        <v/>
      </c>
      <c r="D1267" s="10">
        <f>IFERROR(B1267/C1267,"")</f>
        <v/>
      </c>
      <c r="E1267" s="10">
        <f>IFERROR(C1267/B1267,"")</f>
        <v/>
      </c>
      <c r="F1267" s="11">
        <f>IFERROR((D1267/D1266-1)*100,"")</f>
        <v/>
      </c>
      <c r="G1267" s="11">
        <f>IFERROR((COUNTIF($D$1016:$D$1267,"&lt;"&amp;D1267)+0.5*COUNTIF($D$1016:$D$1267,D1267))/COUNT($D$1016:$D$1267)*100,"")</f>
        <v/>
      </c>
      <c r="H1267" s="10">
        <f>IFERROR(AVERAGE($D$1016:$D$1267),"")</f>
        <v/>
      </c>
      <c r="I1267" s="10" t="n">
        <v>1.827222579759241</v>
      </c>
      <c r="J1267" t="inlineStr"/>
      <c r="K1267" t="inlineStr"/>
    </row>
    <row r="1268">
      <c r="A1268" s="7" t="inlineStr">
        <is>
          <t>2019-05-10</t>
        </is>
      </c>
      <c r="B1268" s="8">
        <f>IFERROR(VLOOKUP($A1268,'01-原始价格'!$A:$M,2,FALSE),"")</f>
        <v/>
      </c>
      <c r="C1268" s="8">
        <f>IFERROR(VLOOKUP($A1268,'01-原始价格'!$A:$M,8,FALSE),"")</f>
        <v/>
      </c>
      <c r="D1268" s="10">
        <f>IFERROR(B1268/C1268,"")</f>
        <v/>
      </c>
      <c r="E1268" s="10">
        <f>IFERROR(C1268/B1268,"")</f>
        <v/>
      </c>
      <c r="F1268" s="11">
        <f>IFERROR((D1268/D1267-1)*100,"")</f>
        <v/>
      </c>
      <c r="G1268" s="11">
        <f>IFERROR((COUNTIF($D$1017:$D$1268,"&lt;"&amp;D1268)+0.5*COUNTIF($D$1017:$D$1268,D1268))/COUNT($D$1017:$D$1268)*100,"")</f>
        <v/>
      </c>
      <c r="H1268" s="10">
        <f>IFERROR(AVERAGE($D$1017:$D$1268),"")</f>
        <v/>
      </c>
      <c r="I1268" s="10" t="n">
        <v>1.875274413499949</v>
      </c>
      <c r="J1268" t="inlineStr"/>
      <c r="K1268" t="inlineStr"/>
    </row>
    <row r="1269">
      <c r="A1269" s="7" t="inlineStr">
        <is>
          <t>2019-05-13</t>
        </is>
      </c>
      <c r="B1269" s="8">
        <f>IFERROR(VLOOKUP($A1269,'01-原始价格'!$A:$M,2,FALSE),"")</f>
        <v/>
      </c>
      <c r="C1269" s="8">
        <f>IFERROR(VLOOKUP($A1269,'01-原始价格'!$A:$M,8,FALSE),"")</f>
        <v/>
      </c>
      <c r="D1269" s="10">
        <f>IFERROR(B1269/C1269,"")</f>
        <v/>
      </c>
      <c r="E1269" s="10">
        <f>IFERROR(C1269/B1269,"")</f>
        <v/>
      </c>
      <c r="F1269" s="11">
        <f>IFERROR((D1269/D1268-1)*100,"")</f>
        <v/>
      </c>
      <c r="G1269" s="11">
        <f>IFERROR((COUNTIF($D$1018:$D$1269,"&lt;"&amp;D1269)+0.5*COUNTIF($D$1018:$D$1269,D1269))/COUNT($D$1018:$D$1269)*100,"")</f>
        <v/>
      </c>
      <c r="H1269" s="10">
        <f>IFERROR(AVERAGE($D$1018:$D$1269),"")</f>
        <v/>
      </c>
      <c r="I1269" s="10" t="n">
        <v>2.44106537791301</v>
      </c>
      <c r="J1269" t="inlineStr"/>
      <c r="K1269" t="inlineStr"/>
    </row>
    <row r="1270">
      <c r="A1270" s="7" t="inlineStr">
        <is>
          <t>2019-05-14</t>
        </is>
      </c>
      <c r="B1270" s="8">
        <f>IFERROR(VLOOKUP($A1270,'01-原始价格'!$A:$M,2,FALSE),"")</f>
        <v/>
      </c>
      <c r="C1270" s="8">
        <f>IFERROR(VLOOKUP($A1270,'01-原始价格'!$A:$M,8,FALSE),"")</f>
        <v/>
      </c>
      <c r="D1270" s="10">
        <f>IFERROR(B1270/C1270,"")</f>
        <v/>
      </c>
      <c r="E1270" s="10">
        <f>IFERROR(C1270/B1270,"")</f>
        <v/>
      </c>
      <c r="F1270" s="11">
        <f>IFERROR((D1270/D1269-1)*100,"")</f>
        <v/>
      </c>
      <c r="G1270" s="11">
        <f>IFERROR((COUNTIF($D$1019:$D$1270,"&lt;"&amp;D1270)+0.5*COUNTIF($D$1019:$D$1270,D1270))/COUNT($D$1019:$D$1270)*100,"")</f>
        <v/>
      </c>
      <c r="H1270" s="10">
        <f>IFERROR(AVERAGE($D$1019:$D$1270),"")</f>
        <v/>
      </c>
      <c r="I1270" s="10" t="n">
        <v>2.197698827213714</v>
      </c>
      <c r="J1270" t="inlineStr"/>
      <c r="K1270" t="inlineStr"/>
    </row>
    <row r="1271">
      <c r="A1271" s="7" t="inlineStr">
        <is>
          <t>2019-05-15</t>
        </is>
      </c>
      <c r="B1271" s="8">
        <f>IFERROR(VLOOKUP($A1271,'01-原始价格'!$A:$M,2,FALSE),"")</f>
        <v/>
      </c>
      <c r="C1271" s="8">
        <f>IFERROR(VLOOKUP($A1271,'01-原始价格'!$A:$M,8,FALSE),"")</f>
        <v/>
      </c>
      <c r="D1271" s="10">
        <f>IFERROR(B1271/C1271,"")</f>
        <v/>
      </c>
      <c r="E1271" s="10">
        <f>IFERROR(C1271/B1271,"")</f>
        <v/>
      </c>
      <c r="F1271" s="11">
        <f>IFERROR((D1271/D1270-1)*100,"")</f>
        <v/>
      </c>
      <c r="G1271" s="11">
        <f>IFERROR((COUNTIF($D$1020:$D$1271,"&lt;"&amp;D1271)+0.5*COUNTIF($D$1020:$D$1271,D1271))/COUNT($D$1020:$D$1271)*100,"")</f>
        <v/>
      </c>
      <c r="H1271" s="10">
        <f>IFERROR(AVERAGE($D$1020:$D$1271),"")</f>
        <v/>
      </c>
      <c r="I1271" s="10" t="n">
        <v>2.492411908514214</v>
      </c>
      <c r="J1271" t="inlineStr"/>
      <c r="K1271" t="inlineStr"/>
    </row>
    <row r="1272">
      <c r="A1272" s="7" t="inlineStr">
        <is>
          <t>2019-05-16</t>
        </is>
      </c>
      <c r="B1272" s="8">
        <f>IFERROR(VLOOKUP($A1272,'01-原始价格'!$A:$M,2,FALSE),"")</f>
        <v/>
      </c>
      <c r="C1272" s="8">
        <f>IFERROR(VLOOKUP($A1272,'01-原始价格'!$A:$M,8,FALSE),"")</f>
        <v/>
      </c>
      <c r="D1272" s="10">
        <f>IFERROR(B1272/C1272,"")</f>
        <v/>
      </c>
      <c r="E1272" s="10">
        <f>IFERROR(C1272/B1272,"")</f>
        <v/>
      </c>
      <c r="F1272" s="11">
        <f>IFERROR((D1272/D1271-1)*100,"")</f>
        <v/>
      </c>
      <c r="G1272" s="11">
        <f>IFERROR((COUNTIF($D$1021:$D$1272,"&lt;"&amp;D1272)+0.5*COUNTIF($D$1021:$D$1272,D1272))/COUNT($D$1021:$D$1272)*100,"")</f>
        <v/>
      </c>
      <c r="H1272" s="10">
        <f>IFERROR(AVERAGE($D$1021:$D$1272),"")</f>
        <v/>
      </c>
      <c r="I1272" s="10" t="n">
        <v>2.580751839601945</v>
      </c>
      <c r="J1272" t="inlineStr"/>
      <c r="K1272" t="inlineStr"/>
    </row>
    <row r="1273">
      <c r="A1273" s="7" t="inlineStr">
        <is>
          <t>2019-05-17</t>
        </is>
      </c>
      <c r="B1273" s="8">
        <f>IFERROR(VLOOKUP($A1273,'01-原始价格'!$A:$M,2,FALSE),"")</f>
        <v/>
      </c>
      <c r="C1273" s="8">
        <f>IFERROR(VLOOKUP($A1273,'01-原始价格'!$A:$M,8,FALSE),"")</f>
        <v/>
      </c>
      <c r="D1273" s="10">
        <f>IFERROR(B1273/C1273,"")</f>
        <v/>
      </c>
      <c r="E1273" s="10">
        <f>IFERROR(C1273/B1273,"")</f>
        <v/>
      </c>
      <c r="F1273" s="11">
        <f>IFERROR((D1273/D1272-1)*100,"")</f>
        <v/>
      </c>
      <c r="G1273" s="11">
        <f>IFERROR((COUNTIF($D$1022:$D$1273,"&lt;"&amp;D1273)+0.5*COUNTIF($D$1022:$D$1273,D1273))/COUNT($D$1022:$D$1273)*100,"")</f>
        <v/>
      </c>
      <c r="H1273" s="10">
        <f>IFERROR(AVERAGE($D$1022:$D$1273),"")</f>
        <v/>
      </c>
      <c r="I1273" s="10" t="n">
        <v>2.254750257150377</v>
      </c>
      <c r="J1273" t="inlineStr"/>
      <c r="K1273" t="inlineStr"/>
    </row>
    <row r="1274">
      <c r="A1274" s="7" t="inlineStr">
        <is>
          <t>2019-05-20</t>
        </is>
      </c>
      <c r="B1274" s="8">
        <f>IFERROR(VLOOKUP($A1274,'01-原始价格'!$A:$M,2,FALSE),"")</f>
        <v/>
      </c>
      <c r="C1274" s="8">
        <f>IFERROR(VLOOKUP($A1274,'01-原始价格'!$A:$M,8,FALSE),"")</f>
        <v/>
      </c>
      <c r="D1274" s="10">
        <f>IFERROR(B1274/C1274,"")</f>
        <v/>
      </c>
      <c r="E1274" s="10">
        <f>IFERROR(C1274/B1274,"")</f>
        <v/>
      </c>
      <c r="F1274" s="11">
        <f>IFERROR((D1274/D1273-1)*100,"")</f>
        <v/>
      </c>
      <c r="G1274" s="11">
        <f>IFERROR((COUNTIF($D$1023:$D$1274,"&lt;"&amp;D1274)+0.5*COUNTIF($D$1023:$D$1274,D1274))/COUNT($D$1023:$D$1274)*100,"")</f>
        <v/>
      </c>
      <c r="H1274" s="10">
        <f>IFERROR(AVERAGE($D$1023:$D$1274),"")</f>
        <v/>
      </c>
      <c r="I1274" s="10" t="n">
        <v>2.103082381067074</v>
      </c>
      <c r="J1274" t="inlineStr"/>
      <c r="K1274" t="inlineStr"/>
    </row>
    <row r="1275">
      <c r="A1275" s="7" t="inlineStr">
        <is>
          <t>2019-05-21</t>
        </is>
      </c>
      <c r="B1275" s="8">
        <f>IFERROR(VLOOKUP($A1275,'01-原始价格'!$A:$M,2,FALSE),"")</f>
        <v/>
      </c>
      <c r="C1275" s="8">
        <f>IFERROR(VLOOKUP($A1275,'01-原始价格'!$A:$M,8,FALSE),"")</f>
        <v/>
      </c>
      <c r="D1275" s="10">
        <f>IFERROR(B1275/C1275,"")</f>
        <v/>
      </c>
      <c r="E1275" s="10">
        <f>IFERROR(C1275/B1275,"")</f>
        <v/>
      </c>
      <c r="F1275" s="11">
        <f>IFERROR((D1275/D1274-1)*100,"")</f>
        <v/>
      </c>
      <c r="G1275" s="11">
        <f>IFERROR((COUNTIF($D$1024:$D$1275,"&lt;"&amp;D1275)+0.5*COUNTIF($D$1024:$D$1275,D1275))/COUNT($D$1024:$D$1275)*100,"")</f>
        <v/>
      </c>
      <c r="H1275" s="10">
        <f>IFERROR(AVERAGE($D$1024:$D$1275),"")</f>
        <v/>
      </c>
      <c r="I1275" s="10" t="n">
        <v>2.004576051495569</v>
      </c>
      <c r="J1275" t="inlineStr"/>
      <c r="K1275" t="inlineStr"/>
    </row>
    <row r="1276">
      <c r="A1276" s="7" t="inlineStr">
        <is>
          <t>2019-05-22</t>
        </is>
      </c>
      <c r="B1276" s="8">
        <f>IFERROR(VLOOKUP($A1276,'01-原始价格'!$A:$M,2,FALSE),"")</f>
        <v/>
      </c>
      <c r="C1276" s="8">
        <f>IFERROR(VLOOKUP($A1276,'01-原始价格'!$A:$M,8,FALSE),"")</f>
        <v/>
      </c>
      <c r="D1276" s="10">
        <f>IFERROR(B1276/C1276,"")</f>
        <v/>
      </c>
      <c r="E1276" s="10">
        <f>IFERROR(C1276/B1276,"")</f>
        <v/>
      </c>
      <c r="F1276" s="11">
        <f>IFERROR((D1276/D1275-1)*100,"")</f>
        <v/>
      </c>
      <c r="G1276" s="11">
        <f>IFERROR((COUNTIF($D$1025:$D$1276,"&lt;"&amp;D1276)+0.5*COUNTIF($D$1025:$D$1276,D1276))/COUNT($D$1025:$D$1276)*100,"")</f>
        <v/>
      </c>
      <c r="H1276" s="10">
        <f>IFERROR(AVERAGE($D$1025:$D$1276),"")</f>
        <v/>
      </c>
      <c r="I1276" s="10" t="n">
        <v>2.487662449853589</v>
      </c>
      <c r="J1276" t="inlineStr"/>
      <c r="K1276" t="inlineStr"/>
    </row>
    <row r="1277">
      <c r="A1277" s="7" t="inlineStr">
        <is>
          <t>2019-05-23</t>
        </is>
      </c>
      <c r="B1277" s="8">
        <f>IFERROR(VLOOKUP($A1277,'01-原始价格'!$A:$M,2,FALSE),"")</f>
        <v/>
      </c>
      <c r="C1277" s="8">
        <f>IFERROR(VLOOKUP($A1277,'01-原始价格'!$A:$M,8,FALSE),"")</f>
        <v/>
      </c>
      <c r="D1277" s="10">
        <f>IFERROR(B1277/C1277,"")</f>
        <v/>
      </c>
      <c r="E1277" s="10">
        <f>IFERROR(C1277/B1277,"")</f>
        <v/>
      </c>
      <c r="F1277" s="11">
        <f>IFERROR((D1277/D1276-1)*100,"")</f>
        <v/>
      </c>
      <c r="G1277" s="11">
        <f>IFERROR((COUNTIF($D$1026:$D$1277,"&lt;"&amp;D1277)+0.5*COUNTIF($D$1026:$D$1277,D1277))/COUNT($D$1026:$D$1277)*100,"")</f>
        <v/>
      </c>
      <c r="H1277" s="10">
        <f>IFERROR(AVERAGE($D$1026:$D$1277),"")</f>
        <v/>
      </c>
      <c r="I1277" s="10" t="n">
        <v>2.234571148543226</v>
      </c>
      <c r="J1277" t="inlineStr"/>
      <c r="K1277" t="inlineStr"/>
    </row>
    <row r="1278">
      <c r="A1278" s="7" t="inlineStr">
        <is>
          <t>2019-05-24</t>
        </is>
      </c>
      <c r="B1278" s="8">
        <f>IFERROR(VLOOKUP($A1278,'01-原始价格'!$A:$M,2,FALSE),"")</f>
        <v/>
      </c>
      <c r="C1278" s="8">
        <f>IFERROR(VLOOKUP($A1278,'01-原始价格'!$A:$M,8,FALSE),"")</f>
        <v/>
      </c>
      <c r="D1278" s="10">
        <f>IFERROR(B1278/C1278,"")</f>
        <v/>
      </c>
      <c r="E1278" s="10">
        <f>IFERROR(C1278/B1278,"")</f>
        <v/>
      </c>
      <c r="F1278" s="11">
        <f>IFERROR((D1278/D1277-1)*100,"")</f>
        <v/>
      </c>
      <c r="G1278" s="11">
        <f>IFERROR((COUNTIF($D$1027:$D$1278,"&lt;"&amp;D1278)+0.5*COUNTIF($D$1027:$D$1278,D1278))/COUNT($D$1027:$D$1278)*100,"")</f>
        <v/>
      </c>
      <c r="H1278" s="10">
        <f>IFERROR(AVERAGE($D$1027:$D$1278),"")</f>
        <v/>
      </c>
      <c r="I1278" s="10" t="n">
        <v>2.343997302358188</v>
      </c>
      <c r="J1278" t="inlineStr"/>
      <c r="K1278" t="inlineStr"/>
    </row>
    <row r="1279">
      <c r="A1279" s="7" t="inlineStr">
        <is>
          <t>2019-05-27</t>
        </is>
      </c>
      <c r="B1279" s="8">
        <f>IFERROR(VLOOKUP($A1279,'01-原始价格'!$A:$M,2,FALSE),"")</f>
        <v/>
      </c>
      <c r="C1279" s="8">
        <f>IFERROR(VLOOKUP($A1279,'01-原始价格'!$A:$M,8,FALSE),"")</f>
        <v/>
      </c>
      <c r="D1279" s="10">
        <f>IFERROR(B1279/C1279,"")</f>
        <v/>
      </c>
      <c r="E1279" s="10">
        <f>IFERROR(C1279/B1279,"")</f>
        <v/>
      </c>
      <c r="F1279" s="11">
        <f>IFERROR((D1279/D1278-1)*100,"")</f>
        <v/>
      </c>
      <c r="G1279" s="11">
        <f>IFERROR((COUNTIF($D$1028:$D$1279,"&lt;"&amp;D1279)+0.5*COUNTIF($D$1028:$D$1279,D1279))/COUNT($D$1028:$D$1279)*100,"")</f>
        <v/>
      </c>
      <c r="H1279" s="10">
        <f>IFERROR(AVERAGE($D$1028:$D$1279),"")</f>
        <v/>
      </c>
      <c r="I1279" s="10" t="n">
        <v>2.073807805125153</v>
      </c>
      <c r="J1279" t="inlineStr"/>
      <c r="K1279" t="inlineStr"/>
    </row>
    <row r="1280">
      <c r="A1280" s="7" t="inlineStr">
        <is>
          <t>2019-05-28</t>
        </is>
      </c>
      <c r="B1280" s="8">
        <f>IFERROR(VLOOKUP($A1280,'01-原始价格'!$A:$M,2,FALSE),"")</f>
        <v/>
      </c>
      <c r="C1280" s="8">
        <f>IFERROR(VLOOKUP($A1280,'01-原始价格'!$A:$M,8,FALSE),"")</f>
        <v/>
      </c>
      <c r="D1280" s="10">
        <f>IFERROR(B1280/C1280,"")</f>
        <v/>
      </c>
      <c r="E1280" s="10">
        <f>IFERROR(C1280/B1280,"")</f>
        <v/>
      </c>
      <c r="F1280" s="11">
        <f>IFERROR((D1280/D1279-1)*100,"")</f>
        <v/>
      </c>
      <c r="G1280" s="11">
        <f>IFERROR((COUNTIF($D$1029:$D$1280,"&lt;"&amp;D1280)+0.5*COUNTIF($D$1029:$D$1280,D1280))/COUNT($D$1029:$D$1280)*100,"")</f>
        <v/>
      </c>
      <c r="H1280" s="10">
        <f>IFERROR(AVERAGE($D$1029:$D$1280),"")</f>
        <v/>
      </c>
      <c r="I1280" s="10" t="n">
        <v>1.776849894427293</v>
      </c>
      <c r="J1280" t="inlineStr"/>
      <c r="K1280" t="inlineStr"/>
    </row>
    <row r="1281">
      <c r="A1281" s="7" t="inlineStr">
        <is>
          <t>2019-05-29</t>
        </is>
      </c>
      <c r="B1281" s="8">
        <f>IFERROR(VLOOKUP($A1281,'01-原始价格'!$A:$M,2,FALSE),"")</f>
        <v/>
      </c>
      <c r="C1281" s="8">
        <f>IFERROR(VLOOKUP($A1281,'01-原始价格'!$A:$M,8,FALSE),"")</f>
        <v/>
      </c>
      <c r="D1281" s="10">
        <f>IFERROR(B1281/C1281,"")</f>
        <v/>
      </c>
      <c r="E1281" s="10">
        <f>IFERROR(C1281/B1281,"")</f>
        <v/>
      </c>
      <c r="F1281" s="11">
        <f>IFERROR((D1281/D1280-1)*100,"")</f>
        <v/>
      </c>
      <c r="G1281" s="11">
        <f>IFERROR((COUNTIF($D$1030:$D$1281,"&lt;"&amp;D1281)+0.5*COUNTIF($D$1030:$D$1281,D1281))/COUNT($D$1030:$D$1281)*100,"")</f>
        <v/>
      </c>
      <c r="H1281" s="10">
        <f>IFERROR(AVERAGE($D$1030:$D$1281),"")</f>
        <v/>
      </c>
      <c r="I1281" s="10" t="n">
        <v>2.181316494228503</v>
      </c>
      <c r="J1281" t="inlineStr"/>
      <c r="K1281" t="inlineStr"/>
    </row>
    <row r="1282">
      <c r="A1282" s="7" t="inlineStr">
        <is>
          <t>2019-05-30</t>
        </is>
      </c>
      <c r="B1282" s="8">
        <f>IFERROR(VLOOKUP($A1282,'01-原始价格'!$A:$M,2,FALSE),"")</f>
        <v/>
      </c>
      <c r="C1282" s="8">
        <f>IFERROR(VLOOKUP($A1282,'01-原始价格'!$A:$M,8,FALSE),"")</f>
        <v/>
      </c>
      <c r="D1282" s="10">
        <f>IFERROR(B1282/C1282,"")</f>
        <v/>
      </c>
      <c r="E1282" s="10">
        <f>IFERROR(C1282/B1282,"")</f>
        <v/>
      </c>
      <c r="F1282" s="11">
        <f>IFERROR((D1282/D1281-1)*100,"")</f>
        <v/>
      </c>
      <c r="G1282" s="11">
        <f>IFERROR((COUNTIF($D$1031:$D$1282,"&lt;"&amp;D1282)+0.5*COUNTIF($D$1031:$D$1282,D1282))/COUNT($D$1031:$D$1282)*100,"")</f>
        <v/>
      </c>
      <c r="H1282" s="10">
        <f>IFERROR(AVERAGE($D$1031:$D$1282),"")</f>
        <v/>
      </c>
      <c r="I1282" s="10" t="n">
        <v>2.215512090365945</v>
      </c>
      <c r="J1282" t="inlineStr"/>
      <c r="K1282" t="inlineStr"/>
    </row>
    <row r="1283">
      <c r="A1283" s="7" t="inlineStr">
        <is>
          <t>2019-05-31</t>
        </is>
      </c>
      <c r="B1283" s="8">
        <f>IFERROR(VLOOKUP($A1283,'01-原始价格'!$A:$M,2,FALSE),"")</f>
        <v/>
      </c>
      <c r="C1283" s="8">
        <f>IFERROR(VLOOKUP($A1283,'01-原始价格'!$A:$M,8,FALSE),"")</f>
        <v/>
      </c>
      <c r="D1283" s="10">
        <f>IFERROR(B1283/C1283,"")</f>
        <v/>
      </c>
      <c r="E1283" s="10">
        <f>IFERROR(C1283/B1283,"")</f>
        <v/>
      </c>
      <c r="F1283" s="11">
        <f>IFERROR((D1283/D1282-1)*100,"")</f>
        <v/>
      </c>
      <c r="G1283" s="11">
        <f>IFERROR((COUNTIF($D$1032:$D$1283,"&lt;"&amp;D1283)+0.5*COUNTIF($D$1032:$D$1283,D1283))/COUNT($D$1032:$D$1283)*100,"")</f>
        <v/>
      </c>
      <c r="H1283" s="10">
        <f>IFERROR(AVERAGE($D$1032:$D$1283),"")</f>
        <v/>
      </c>
      <c r="I1283" s="10" t="n">
        <v>2.027169768604759</v>
      </c>
      <c r="J1283" t="inlineStr"/>
      <c r="K1283" t="inlineStr"/>
    </row>
    <row r="1284">
      <c r="A1284" s="7" t="inlineStr">
        <is>
          <t>2019-06-03</t>
        </is>
      </c>
      <c r="B1284" s="8">
        <f>IFERROR(VLOOKUP($A1284,'01-原始价格'!$A:$M,2,FALSE),"")</f>
        <v/>
      </c>
      <c r="C1284" s="8">
        <f>IFERROR(VLOOKUP($A1284,'01-原始价格'!$A:$M,8,FALSE),"")</f>
        <v/>
      </c>
      <c r="D1284" s="10">
        <f>IFERROR(B1284/C1284,"")</f>
        <v/>
      </c>
      <c r="E1284" s="10">
        <f>IFERROR(C1284/B1284,"")</f>
        <v/>
      </c>
      <c r="F1284" s="11">
        <f>IFERROR((D1284/D1283-1)*100,"")</f>
        <v/>
      </c>
      <c r="G1284" s="11">
        <f>IFERROR((COUNTIF($D$1033:$D$1284,"&lt;"&amp;D1284)+0.5*COUNTIF($D$1033:$D$1284,D1284))/COUNT($D$1033:$D$1284)*100,"")</f>
        <v/>
      </c>
      <c r="H1284" s="10">
        <f>IFERROR(AVERAGE($D$1033:$D$1284),"")</f>
        <v/>
      </c>
      <c r="I1284" s="10" t="n">
        <v>1.846318631113432</v>
      </c>
      <c r="J1284" t="inlineStr"/>
      <c r="K1284" t="inlineStr"/>
    </row>
    <row r="1285">
      <c r="A1285" s="7" t="inlineStr">
        <is>
          <t>2019-06-04</t>
        </is>
      </c>
      <c r="B1285" s="8">
        <f>IFERROR(VLOOKUP($A1285,'01-原始价格'!$A:$M,2,FALSE),"")</f>
        <v/>
      </c>
      <c r="C1285" s="8">
        <f>IFERROR(VLOOKUP($A1285,'01-原始价格'!$A:$M,8,FALSE),"")</f>
        <v/>
      </c>
      <c r="D1285" s="10">
        <f>IFERROR(B1285/C1285,"")</f>
        <v/>
      </c>
      <c r="E1285" s="10">
        <f>IFERROR(C1285/B1285,"")</f>
        <v/>
      </c>
      <c r="F1285" s="11">
        <f>IFERROR((D1285/D1284-1)*100,"")</f>
        <v/>
      </c>
      <c r="G1285" s="11">
        <f>IFERROR((COUNTIF($D$1034:$D$1285,"&lt;"&amp;D1285)+0.5*COUNTIF($D$1034:$D$1285,D1285))/COUNT($D$1034:$D$1285)*100,"")</f>
        <v/>
      </c>
      <c r="H1285" s="10">
        <f>IFERROR(AVERAGE($D$1034:$D$1285),"")</f>
        <v/>
      </c>
      <c r="I1285" s="10" t="n">
        <v>1.749513244421587</v>
      </c>
      <c r="J1285" t="inlineStr"/>
      <c r="K1285" t="inlineStr"/>
    </row>
    <row r="1286">
      <c r="A1286" s="7" t="inlineStr">
        <is>
          <t>2019-06-05</t>
        </is>
      </c>
      <c r="B1286" s="8">
        <f>IFERROR(VLOOKUP($A1286,'01-原始价格'!$A:$M,2,FALSE),"")</f>
        <v/>
      </c>
      <c r="C1286" s="8">
        <f>IFERROR(VLOOKUP($A1286,'01-原始价格'!$A:$M,8,FALSE),"")</f>
        <v/>
      </c>
      <c r="D1286" s="10">
        <f>IFERROR(B1286/C1286,"")</f>
        <v/>
      </c>
      <c r="E1286" s="10">
        <f>IFERROR(C1286/B1286,"")</f>
        <v/>
      </c>
      <c r="F1286" s="11">
        <f>IFERROR((D1286/D1285-1)*100,"")</f>
        <v/>
      </c>
      <c r="G1286" s="11">
        <f>IFERROR((COUNTIF($D$1035:$D$1286,"&lt;"&amp;D1286)+0.5*COUNTIF($D$1035:$D$1286,D1286))/COUNT($D$1035:$D$1286)*100,"")</f>
        <v/>
      </c>
      <c r="H1286" s="10">
        <f>IFERROR(AVERAGE($D$1035:$D$1286),"")</f>
        <v/>
      </c>
      <c r="I1286" s="10" t="n">
        <v>2.06436799440028</v>
      </c>
      <c r="J1286" t="inlineStr"/>
      <c r="K1286" t="inlineStr"/>
    </row>
    <row r="1287">
      <c r="A1287" s="7" t="inlineStr">
        <is>
          <t>2019-06-06</t>
        </is>
      </c>
      <c r="B1287" s="8">
        <f>IFERROR(VLOOKUP($A1287,'01-原始价格'!$A:$M,2,FALSE),"")</f>
        <v/>
      </c>
      <c r="C1287" s="8">
        <f>IFERROR(VLOOKUP($A1287,'01-原始价格'!$A:$M,8,FALSE),"")</f>
        <v/>
      </c>
      <c r="D1287" s="10">
        <f>IFERROR(B1287/C1287,"")</f>
        <v/>
      </c>
      <c r="E1287" s="10">
        <f>IFERROR(C1287/B1287,"")</f>
        <v/>
      </c>
      <c r="F1287" s="11">
        <f>IFERROR((D1287/D1286-1)*100,"")</f>
        <v/>
      </c>
      <c r="G1287" s="11">
        <f>IFERROR((COUNTIF($D$1036:$D$1287,"&lt;"&amp;D1287)+0.5*COUNTIF($D$1036:$D$1287,D1287))/COUNT($D$1036:$D$1287)*100,"")</f>
        <v/>
      </c>
      <c r="H1287" s="10">
        <f>IFERROR(AVERAGE($D$1036:$D$1287),"")</f>
        <v/>
      </c>
      <c r="I1287" s="10" t="n">
        <v>2.161089986006648</v>
      </c>
      <c r="J1287" t="inlineStr"/>
      <c r="K1287" t="inlineStr"/>
    </row>
    <row r="1288">
      <c r="A1288" s="7" t="inlineStr">
        <is>
          <t>2019-06-10</t>
        </is>
      </c>
      <c r="B1288" s="8">
        <f>IFERROR(VLOOKUP($A1288,'01-原始价格'!$A:$M,2,FALSE),"")</f>
        <v/>
      </c>
      <c r="C1288" s="8">
        <f>IFERROR(VLOOKUP($A1288,'01-原始价格'!$A:$M,8,FALSE),"")</f>
        <v/>
      </c>
      <c r="D1288" s="10">
        <f>IFERROR(B1288/C1288,"")</f>
        <v/>
      </c>
      <c r="E1288" s="10">
        <f>IFERROR(C1288/B1288,"")</f>
        <v/>
      </c>
      <c r="F1288" s="11">
        <f>IFERROR((D1288/D1287-1)*100,"")</f>
        <v/>
      </c>
      <c r="G1288" s="11">
        <f>IFERROR((COUNTIF($D$1037:$D$1288,"&lt;"&amp;D1288)+0.5*COUNTIF($D$1037:$D$1288,D1288))/COUNT($D$1037:$D$1288)*100,"")</f>
        <v/>
      </c>
      <c r="H1288" s="10">
        <f>IFERROR(AVERAGE($D$1037:$D$1288),"")</f>
        <v/>
      </c>
      <c r="I1288" s="10" t="n">
        <v>2.449049469407003</v>
      </c>
      <c r="J1288" t="inlineStr"/>
      <c r="K1288" t="inlineStr"/>
    </row>
    <row r="1289">
      <c r="A1289" s="7" t="inlineStr">
        <is>
          <t>2019-06-11</t>
        </is>
      </c>
      <c r="B1289" s="8">
        <f>IFERROR(VLOOKUP($A1289,'01-原始价格'!$A:$M,2,FALSE),"")</f>
        <v/>
      </c>
      <c r="C1289" s="8">
        <f>IFERROR(VLOOKUP($A1289,'01-原始价格'!$A:$M,8,FALSE),"")</f>
        <v/>
      </c>
      <c r="D1289" s="10">
        <f>IFERROR(B1289/C1289,"")</f>
        <v/>
      </c>
      <c r="E1289" s="10">
        <f>IFERROR(C1289/B1289,"")</f>
        <v/>
      </c>
      <c r="F1289" s="11">
        <f>IFERROR((D1289/D1288-1)*100,"")</f>
        <v/>
      </c>
      <c r="G1289" s="11">
        <f>IFERROR((COUNTIF($D$1038:$D$1289,"&lt;"&amp;D1289)+0.5*COUNTIF($D$1038:$D$1289,D1289))/COUNT($D$1038:$D$1289)*100,"")</f>
        <v/>
      </c>
      <c r="H1289" s="10">
        <f>IFERROR(AVERAGE($D$1038:$D$1289),"")</f>
        <v/>
      </c>
      <c r="I1289" s="10" t="n">
        <v>2.320238282447106</v>
      </c>
      <c r="J1289" t="inlineStr"/>
      <c r="K1289" t="inlineStr"/>
    </row>
    <row r="1290">
      <c r="A1290" s="7" t="inlineStr">
        <is>
          <t>2019-06-12</t>
        </is>
      </c>
      <c r="B1290" s="8">
        <f>IFERROR(VLOOKUP($A1290,'01-原始价格'!$A:$M,2,FALSE),"")</f>
        <v/>
      </c>
      <c r="C1290" s="8">
        <f>IFERROR(VLOOKUP($A1290,'01-原始价格'!$A:$M,8,FALSE),"")</f>
        <v/>
      </c>
      <c r="D1290" s="10">
        <f>IFERROR(B1290/C1290,"")</f>
        <v/>
      </c>
      <c r="E1290" s="10">
        <f>IFERROR(C1290/B1290,"")</f>
        <v/>
      </c>
      <c r="F1290" s="11">
        <f>IFERROR((D1290/D1289-1)*100,"")</f>
        <v/>
      </c>
      <c r="G1290" s="11">
        <f>IFERROR((COUNTIF($D$1039:$D$1290,"&lt;"&amp;D1290)+0.5*COUNTIF($D$1039:$D$1290,D1290))/COUNT($D$1039:$D$1290)*100,"")</f>
        <v/>
      </c>
      <c r="H1290" s="10">
        <f>IFERROR(AVERAGE($D$1039:$D$1290),"")</f>
        <v/>
      </c>
      <c r="I1290" s="10" t="n">
        <v>2.173248851333324</v>
      </c>
      <c r="J1290" t="inlineStr"/>
      <c r="K1290" t="inlineStr"/>
    </row>
    <row r="1291">
      <c r="A1291" s="7" t="inlineStr">
        <is>
          <t>2019-06-13</t>
        </is>
      </c>
      <c r="B1291" s="8">
        <f>IFERROR(VLOOKUP($A1291,'01-原始价格'!$A:$M,2,FALSE),"")</f>
        <v/>
      </c>
      <c r="C1291" s="8">
        <f>IFERROR(VLOOKUP($A1291,'01-原始价格'!$A:$M,8,FALSE),"")</f>
        <v/>
      </c>
      <c r="D1291" s="10">
        <f>IFERROR(B1291/C1291,"")</f>
        <v/>
      </c>
      <c r="E1291" s="10">
        <f>IFERROR(C1291/B1291,"")</f>
        <v/>
      </c>
      <c r="F1291" s="11">
        <f>IFERROR((D1291/D1290-1)*100,"")</f>
        <v/>
      </c>
      <c r="G1291" s="11">
        <f>IFERROR((COUNTIF($D$1040:$D$1291,"&lt;"&amp;D1291)+0.5*COUNTIF($D$1040:$D$1291,D1291))/COUNT($D$1040:$D$1291)*100,"")</f>
        <v/>
      </c>
      <c r="H1291" s="10">
        <f>IFERROR(AVERAGE($D$1040:$D$1291),"")</f>
        <v/>
      </c>
      <c r="I1291" s="10" t="n">
        <v>2.125771020152069</v>
      </c>
      <c r="J1291" t="inlineStr"/>
      <c r="K1291" t="inlineStr"/>
    </row>
    <row r="1292">
      <c r="A1292" s="7" t="inlineStr">
        <is>
          <t>2019-06-14</t>
        </is>
      </c>
      <c r="B1292" s="8">
        <f>IFERROR(VLOOKUP($A1292,'01-原始价格'!$A:$M,2,FALSE),"")</f>
        <v/>
      </c>
      <c r="C1292" s="8">
        <f>IFERROR(VLOOKUP($A1292,'01-原始价格'!$A:$M,8,FALSE),"")</f>
        <v/>
      </c>
      <c r="D1292" s="10">
        <f>IFERROR(B1292/C1292,"")</f>
        <v/>
      </c>
      <c r="E1292" s="10">
        <f>IFERROR(C1292/B1292,"")</f>
        <v/>
      </c>
      <c r="F1292" s="11">
        <f>IFERROR((D1292/D1291-1)*100,"")</f>
        <v/>
      </c>
      <c r="G1292" s="11">
        <f>IFERROR((COUNTIF($D$1041:$D$1292,"&lt;"&amp;D1292)+0.5*COUNTIF($D$1041:$D$1292,D1292))/COUNT($D$1041:$D$1292)*100,"")</f>
        <v/>
      </c>
      <c r="H1292" s="10">
        <f>IFERROR(AVERAGE($D$1041:$D$1292),"")</f>
        <v/>
      </c>
      <c r="I1292" s="10" t="n">
        <v>2.200255911229117</v>
      </c>
      <c r="J1292" t="inlineStr"/>
      <c r="K1292" t="inlineStr"/>
    </row>
    <row r="1293">
      <c r="A1293" s="7" t="inlineStr">
        <is>
          <t>2019-06-17</t>
        </is>
      </c>
      <c r="B1293" s="8">
        <f>IFERROR(VLOOKUP($A1293,'01-原始价格'!$A:$M,2,FALSE),"")</f>
        <v/>
      </c>
      <c r="C1293" s="8">
        <f>IFERROR(VLOOKUP($A1293,'01-原始价格'!$A:$M,8,FALSE),"")</f>
        <v/>
      </c>
      <c r="D1293" s="10">
        <f>IFERROR(B1293/C1293,"")</f>
        <v/>
      </c>
      <c r="E1293" s="10">
        <f>IFERROR(C1293/B1293,"")</f>
        <v/>
      </c>
      <c r="F1293" s="11">
        <f>IFERROR((D1293/D1292-1)*100,"")</f>
        <v/>
      </c>
      <c r="G1293" s="11">
        <f>IFERROR((COUNTIF($D$1042:$D$1293,"&lt;"&amp;D1293)+0.5*COUNTIF($D$1042:$D$1293,D1293))/COUNT($D$1042:$D$1293)*100,"")</f>
        <v/>
      </c>
      <c r="H1293" s="10">
        <f>IFERROR(AVERAGE($D$1042:$D$1293),"")</f>
        <v/>
      </c>
      <c r="I1293" s="10" t="n">
        <v>2.391567021379705</v>
      </c>
      <c r="J1293" t="inlineStr"/>
      <c r="K1293" t="inlineStr"/>
    </row>
    <row r="1294">
      <c r="A1294" s="7" t="inlineStr">
        <is>
          <t>2019-06-18</t>
        </is>
      </c>
      <c r="B1294" s="8">
        <f>IFERROR(VLOOKUP($A1294,'01-原始价格'!$A:$M,2,FALSE),"")</f>
        <v/>
      </c>
      <c r="C1294" s="8">
        <f>IFERROR(VLOOKUP($A1294,'01-原始价格'!$A:$M,8,FALSE),"")</f>
        <v/>
      </c>
      <c r="D1294" s="10">
        <f>IFERROR(B1294/C1294,"")</f>
        <v/>
      </c>
      <c r="E1294" s="10">
        <f>IFERROR(C1294/B1294,"")</f>
        <v/>
      </c>
      <c r="F1294" s="11">
        <f>IFERROR((D1294/D1293-1)*100,"")</f>
        <v/>
      </c>
      <c r="G1294" s="11">
        <f>IFERROR((COUNTIF($D$1043:$D$1294,"&lt;"&amp;D1294)+0.5*COUNTIF($D$1043:$D$1294,D1294))/COUNT($D$1043:$D$1294)*100,"")</f>
        <v/>
      </c>
      <c r="H1294" s="10">
        <f>IFERROR(AVERAGE($D$1043:$D$1294),"")</f>
        <v/>
      </c>
      <c r="I1294" s="10" t="n">
        <v>2.347647548495028</v>
      </c>
      <c r="J1294" t="inlineStr"/>
      <c r="K1294" t="inlineStr"/>
    </row>
    <row r="1295">
      <c r="A1295" s="7" t="inlineStr">
        <is>
          <t>2019-06-19</t>
        </is>
      </c>
      <c r="B1295" s="8">
        <f>IFERROR(VLOOKUP($A1295,'01-原始价格'!$A:$M,2,FALSE),"")</f>
        <v/>
      </c>
      <c r="C1295" s="8">
        <f>IFERROR(VLOOKUP($A1295,'01-原始价格'!$A:$M,8,FALSE),"")</f>
        <v/>
      </c>
      <c r="D1295" s="10">
        <f>IFERROR(B1295/C1295,"")</f>
        <v/>
      </c>
      <c r="E1295" s="10">
        <f>IFERROR(C1295/B1295,"")</f>
        <v/>
      </c>
      <c r="F1295" s="11">
        <f>IFERROR((D1295/D1294-1)*100,"")</f>
        <v/>
      </c>
      <c r="G1295" s="11">
        <f>IFERROR((COUNTIF($D$1044:$D$1295,"&lt;"&amp;D1295)+0.5*COUNTIF($D$1044:$D$1295,D1295))/COUNT($D$1044:$D$1295)*100,"")</f>
        <v/>
      </c>
      <c r="H1295" s="10">
        <f>IFERROR(AVERAGE($D$1044:$D$1295),"")</f>
        <v/>
      </c>
      <c r="I1295" s="10" t="n">
        <v>2.680363001677439</v>
      </c>
      <c r="J1295" t="inlineStr"/>
      <c r="K1295" t="inlineStr"/>
    </row>
    <row r="1296">
      <c r="A1296" s="7" t="inlineStr">
        <is>
          <t>2019-06-20</t>
        </is>
      </c>
      <c r="B1296" s="8">
        <f>IFERROR(VLOOKUP($A1296,'01-原始价格'!$A:$M,2,FALSE),"")</f>
        <v/>
      </c>
      <c r="C1296" s="8">
        <f>IFERROR(VLOOKUP($A1296,'01-原始价格'!$A:$M,8,FALSE),"")</f>
        <v/>
      </c>
      <c r="D1296" s="10">
        <f>IFERROR(B1296/C1296,"")</f>
        <v/>
      </c>
      <c r="E1296" s="10">
        <f>IFERROR(C1296/B1296,"")</f>
        <v/>
      </c>
      <c r="F1296" s="11">
        <f>IFERROR((D1296/D1295-1)*100,"")</f>
        <v/>
      </c>
      <c r="G1296" s="11">
        <f>IFERROR((COUNTIF($D$1045:$D$1296,"&lt;"&amp;D1296)+0.5*COUNTIF($D$1045:$D$1296,D1296))/COUNT($D$1045:$D$1296)*100,"")</f>
        <v/>
      </c>
      <c r="H1296" s="10">
        <f>IFERROR(AVERAGE($D$1045:$D$1296),"")</f>
        <v/>
      </c>
      <c r="I1296" s="10" t="n">
        <v>2.627176964429652</v>
      </c>
      <c r="J1296" t="inlineStr"/>
      <c r="K1296" t="inlineStr"/>
    </row>
    <row r="1297">
      <c r="A1297" s="7" t="inlineStr">
        <is>
          <t>2019-06-21</t>
        </is>
      </c>
      <c r="B1297" s="8">
        <f>IFERROR(VLOOKUP($A1297,'01-原始价格'!$A:$M,2,FALSE),"")</f>
        <v/>
      </c>
      <c r="C1297" s="8">
        <f>IFERROR(VLOOKUP($A1297,'01-原始价格'!$A:$M,8,FALSE),"")</f>
        <v/>
      </c>
      <c r="D1297" s="10">
        <f>IFERROR(B1297/C1297,"")</f>
        <v/>
      </c>
      <c r="E1297" s="10">
        <f>IFERROR(C1297/B1297,"")</f>
        <v/>
      </c>
      <c r="F1297" s="11">
        <f>IFERROR((D1297/D1296-1)*100,"")</f>
        <v/>
      </c>
      <c r="G1297" s="11">
        <f>IFERROR((COUNTIF($D$1046:$D$1297,"&lt;"&amp;D1297)+0.5*COUNTIF($D$1046:$D$1297,D1297))/COUNT($D$1046:$D$1297)*100,"")</f>
        <v/>
      </c>
      <c r="H1297" s="10">
        <f>IFERROR(AVERAGE($D$1046:$D$1297),"")</f>
        <v/>
      </c>
      <c r="I1297" s="10" t="n">
        <v>2.635869954736711</v>
      </c>
      <c r="J1297" t="inlineStr"/>
      <c r="K1297" t="inlineStr"/>
    </row>
    <row r="1298">
      <c r="A1298" s="7" t="inlineStr">
        <is>
          <t>2019-06-24</t>
        </is>
      </c>
      <c r="B1298" s="8">
        <f>IFERROR(VLOOKUP($A1298,'01-原始价格'!$A:$M,2,FALSE),"")</f>
        <v/>
      </c>
      <c r="C1298" s="8">
        <f>IFERROR(VLOOKUP($A1298,'01-原始价格'!$A:$M,8,FALSE),"")</f>
        <v/>
      </c>
      <c r="D1298" s="10">
        <f>IFERROR(B1298/C1298,"")</f>
        <v/>
      </c>
      <c r="E1298" s="10">
        <f>IFERROR(C1298/B1298,"")</f>
        <v/>
      </c>
      <c r="F1298" s="11">
        <f>IFERROR((D1298/D1297-1)*100,"")</f>
        <v/>
      </c>
      <c r="G1298" s="11">
        <f>IFERROR((COUNTIF($D$1047:$D$1298,"&lt;"&amp;D1298)+0.5*COUNTIF($D$1047:$D$1298,D1298))/COUNT($D$1047:$D$1298)*100,"")</f>
        <v/>
      </c>
      <c r="H1298" s="10">
        <f>IFERROR(AVERAGE($D$1047:$D$1298),"")</f>
        <v/>
      </c>
      <c r="I1298" s="10" t="n">
        <v>2.373071980736698</v>
      </c>
      <c r="J1298" t="inlineStr"/>
      <c r="K1298" t="inlineStr"/>
    </row>
    <row r="1299">
      <c r="A1299" s="7" t="inlineStr">
        <is>
          <t>2019-06-25</t>
        </is>
      </c>
      <c r="B1299" s="8">
        <f>IFERROR(VLOOKUP($A1299,'01-原始价格'!$A:$M,2,FALSE),"")</f>
        <v/>
      </c>
      <c r="C1299" s="8">
        <f>IFERROR(VLOOKUP($A1299,'01-原始价格'!$A:$M,8,FALSE),"")</f>
        <v/>
      </c>
      <c r="D1299" s="10">
        <f>IFERROR(B1299/C1299,"")</f>
        <v/>
      </c>
      <c r="E1299" s="10">
        <f>IFERROR(C1299/B1299,"")</f>
        <v/>
      </c>
      <c r="F1299" s="11">
        <f>IFERROR((D1299/D1298-1)*100,"")</f>
        <v/>
      </c>
      <c r="G1299" s="11">
        <f>IFERROR((COUNTIF($D$1048:$D$1299,"&lt;"&amp;D1299)+0.5*COUNTIF($D$1048:$D$1299,D1299))/COUNT($D$1048:$D$1299)*100,"")</f>
        <v/>
      </c>
      <c r="H1299" s="10">
        <f>IFERROR(AVERAGE($D$1048:$D$1299),"")</f>
        <v/>
      </c>
      <c r="I1299" s="10" t="n">
        <v>2.083339954225748</v>
      </c>
      <c r="J1299" t="inlineStr"/>
      <c r="K1299" t="inlineStr"/>
    </row>
    <row r="1300">
      <c r="A1300" s="7" t="inlineStr">
        <is>
          <t>2019-06-26</t>
        </is>
      </c>
      <c r="B1300" s="8">
        <f>IFERROR(VLOOKUP($A1300,'01-原始价格'!$A:$M,2,FALSE),"")</f>
        <v/>
      </c>
      <c r="C1300" s="8">
        <f>IFERROR(VLOOKUP($A1300,'01-原始价格'!$A:$M,8,FALSE),"")</f>
        <v/>
      </c>
      <c r="D1300" s="10">
        <f>IFERROR(B1300/C1300,"")</f>
        <v/>
      </c>
      <c r="E1300" s="10">
        <f>IFERROR(C1300/B1300,"")</f>
        <v/>
      </c>
      <c r="F1300" s="11">
        <f>IFERROR((D1300/D1299-1)*100,"")</f>
        <v/>
      </c>
      <c r="G1300" s="11">
        <f>IFERROR((COUNTIF($D$1049:$D$1300,"&lt;"&amp;D1300)+0.5*COUNTIF($D$1049:$D$1300,D1300))/COUNT($D$1049:$D$1300)*100,"")</f>
        <v/>
      </c>
      <c r="H1300" s="10">
        <f>IFERROR(AVERAGE($D$1049:$D$1300),"")</f>
        <v/>
      </c>
      <c r="I1300" s="10" t="n">
        <v>2.055368262254703</v>
      </c>
      <c r="J1300" t="inlineStr"/>
      <c r="K1300" t="inlineStr"/>
    </row>
    <row r="1301">
      <c r="A1301" s="7" t="inlineStr">
        <is>
          <t>2019-06-27</t>
        </is>
      </c>
      <c r="B1301" s="8">
        <f>IFERROR(VLOOKUP($A1301,'01-原始价格'!$A:$M,2,FALSE),"")</f>
        <v/>
      </c>
      <c r="C1301" s="8">
        <f>IFERROR(VLOOKUP($A1301,'01-原始价格'!$A:$M,8,FALSE),"")</f>
        <v/>
      </c>
      <c r="D1301" s="10">
        <f>IFERROR(B1301/C1301,"")</f>
        <v/>
      </c>
      <c r="E1301" s="10">
        <f>IFERROR(C1301/B1301,"")</f>
        <v/>
      </c>
      <c r="F1301" s="11">
        <f>IFERROR((D1301/D1300-1)*100,"")</f>
        <v/>
      </c>
      <c r="G1301" s="11">
        <f>IFERROR((COUNTIF($D$1050:$D$1301,"&lt;"&amp;D1301)+0.5*COUNTIF($D$1050:$D$1301,D1301))/COUNT($D$1050:$D$1301)*100,"")</f>
        <v/>
      </c>
      <c r="H1301" s="10">
        <f>IFERROR(AVERAGE($D$1050:$D$1301),"")</f>
        <v/>
      </c>
      <c r="I1301" s="10" t="n">
        <v>1.889218660417443</v>
      </c>
      <c r="J1301" t="inlineStr"/>
      <c r="K1301" t="inlineStr"/>
    </row>
    <row r="1302">
      <c r="A1302" s="7" t="inlineStr">
        <is>
          <t>2019-06-28</t>
        </is>
      </c>
      <c r="B1302" s="8">
        <f>IFERROR(VLOOKUP($A1302,'01-原始价格'!$A:$M,2,FALSE),"")</f>
        <v/>
      </c>
      <c r="C1302" s="8">
        <f>IFERROR(VLOOKUP($A1302,'01-原始价格'!$A:$M,8,FALSE),"")</f>
        <v/>
      </c>
      <c r="D1302" s="10">
        <f>IFERROR(B1302/C1302,"")</f>
        <v/>
      </c>
      <c r="E1302" s="10">
        <f>IFERROR(C1302/B1302,"")</f>
        <v/>
      </c>
      <c r="F1302" s="11">
        <f>IFERROR((D1302/D1301-1)*100,"")</f>
        <v/>
      </c>
      <c r="G1302" s="11">
        <f>IFERROR((COUNTIF($D$1051:$D$1302,"&lt;"&amp;D1302)+0.5*COUNTIF($D$1051:$D$1302,D1302))/COUNT($D$1051:$D$1302)*100,"")</f>
        <v/>
      </c>
      <c r="H1302" s="10">
        <f>IFERROR(AVERAGE($D$1051:$D$1302),"")</f>
        <v/>
      </c>
      <c r="I1302" s="10" t="n">
        <v>1.891554356637005</v>
      </c>
      <c r="J1302" t="inlineStr"/>
      <c r="K1302" t="inlineStr"/>
    </row>
    <row r="1303">
      <c r="A1303" s="7" t="inlineStr">
        <is>
          <t>2019-07-01</t>
        </is>
      </c>
      <c r="B1303" s="8">
        <f>IFERROR(VLOOKUP($A1303,'01-原始价格'!$A:$M,2,FALSE),"")</f>
        <v/>
      </c>
      <c r="C1303" s="8">
        <f>IFERROR(VLOOKUP($A1303,'01-原始价格'!$A:$M,8,FALSE),"")</f>
        <v/>
      </c>
      <c r="D1303" s="10">
        <f>IFERROR(B1303/C1303,"")</f>
        <v/>
      </c>
      <c r="E1303" s="10">
        <f>IFERROR(C1303/B1303,"")</f>
        <v/>
      </c>
      <c r="F1303" s="11">
        <f>IFERROR((D1303/D1302-1)*100,"")</f>
        <v/>
      </c>
      <c r="G1303" s="11">
        <f>IFERROR((COUNTIF($D$1052:$D$1303,"&lt;"&amp;D1303)+0.5*COUNTIF($D$1052:$D$1303,D1303))/COUNT($D$1052:$D$1303)*100,"")</f>
        <v/>
      </c>
      <c r="H1303" s="10">
        <f>IFERROR(AVERAGE($D$1052:$D$1303),"")</f>
        <v/>
      </c>
      <c r="I1303" s="10" t="n">
        <v>2.20247358240311</v>
      </c>
      <c r="J1303" t="inlineStr"/>
      <c r="K1303" t="inlineStr"/>
    </row>
    <row r="1304">
      <c r="A1304" s="7" t="inlineStr">
        <is>
          <t>2019-07-02</t>
        </is>
      </c>
      <c r="B1304" s="8">
        <f>IFERROR(VLOOKUP($A1304,'01-原始价格'!$A:$M,2,FALSE),"")</f>
        <v/>
      </c>
      <c r="C1304" s="8">
        <f>IFERROR(VLOOKUP($A1304,'01-原始价格'!$A:$M,8,FALSE),"")</f>
        <v/>
      </c>
      <c r="D1304" s="10">
        <f>IFERROR(B1304/C1304,"")</f>
        <v/>
      </c>
      <c r="E1304" s="10">
        <f>IFERROR(C1304/B1304,"")</f>
        <v/>
      </c>
      <c r="F1304" s="11">
        <f>IFERROR((D1304/D1303-1)*100,"")</f>
        <v/>
      </c>
      <c r="G1304" s="11">
        <f>IFERROR((COUNTIF($D$1053:$D$1304,"&lt;"&amp;D1304)+0.5*COUNTIF($D$1053:$D$1304,D1304))/COUNT($D$1053:$D$1304)*100,"")</f>
        <v/>
      </c>
      <c r="H1304" s="10">
        <f>IFERROR(AVERAGE($D$1053:$D$1304),"")</f>
        <v/>
      </c>
      <c r="I1304" s="10" t="n">
        <v>2.567377971016867</v>
      </c>
      <c r="J1304" t="inlineStr"/>
      <c r="K1304" t="inlineStr"/>
    </row>
    <row r="1305">
      <c r="A1305" s="7" t="inlineStr">
        <is>
          <t>2019-07-03</t>
        </is>
      </c>
      <c r="B1305" s="8">
        <f>IFERROR(VLOOKUP($A1305,'01-原始价格'!$A:$M,2,FALSE),"")</f>
        <v/>
      </c>
      <c r="C1305" s="8">
        <f>IFERROR(VLOOKUP($A1305,'01-原始价格'!$A:$M,8,FALSE),"")</f>
        <v/>
      </c>
      <c r="D1305" s="10">
        <f>IFERROR(B1305/C1305,"")</f>
        <v/>
      </c>
      <c r="E1305" s="10">
        <f>IFERROR(C1305/B1305,"")</f>
        <v/>
      </c>
      <c r="F1305" s="11">
        <f>IFERROR((D1305/D1304-1)*100,"")</f>
        <v/>
      </c>
      <c r="G1305" s="11">
        <f>IFERROR((COUNTIF($D$1054:$D$1305,"&lt;"&amp;D1305)+0.5*COUNTIF($D$1054:$D$1305,D1305))/COUNT($D$1054:$D$1305)*100,"")</f>
        <v/>
      </c>
      <c r="H1305" s="10">
        <f>IFERROR(AVERAGE($D$1054:$D$1305),"")</f>
        <v/>
      </c>
      <c r="I1305" s="10" t="n">
        <v>2.755000860275377</v>
      </c>
      <c r="J1305" t="inlineStr"/>
      <c r="K1305" t="inlineStr"/>
    </row>
    <row r="1306">
      <c r="A1306" s="7" t="inlineStr">
        <is>
          <t>2019-07-04</t>
        </is>
      </c>
      <c r="B1306" s="8">
        <f>IFERROR(VLOOKUP($A1306,'01-原始价格'!$A:$M,2,FALSE),"")</f>
        <v/>
      </c>
      <c r="C1306" s="8">
        <f>IFERROR(VLOOKUP($A1306,'01-原始价格'!$A:$M,8,FALSE),"")</f>
        <v/>
      </c>
      <c r="D1306" s="10">
        <f>IFERROR(B1306/C1306,"")</f>
        <v/>
      </c>
      <c r="E1306" s="10">
        <f>IFERROR(C1306/B1306,"")</f>
        <v/>
      </c>
      <c r="F1306" s="11">
        <f>IFERROR((D1306/D1305-1)*100,"")</f>
        <v/>
      </c>
      <c r="G1306" s="11">
        <f>IFERROR((COUNTIF($D$1055:$D$1306,"&lt;"&amp;D1306)+0.5*COUNTIF($D$1055:$D$1306,D1306))/COUNT($D$1055:$D$1306)*100,"")</f>
        <v/>
      </c>
      <c r="H1306" s="10">
        <f>IFERROR(AVERAGE($D$1055:$D$1306),"")</f>
        <v/>
      </c>
      <c r="I1306" s="10" t="n">
        <v>2.085383036543418</v>
      </c>
      <c r="J1306" t="inlineStr"/>
      <c r="K1306" t="inlineStr"/>
    </row>
    <row r="1307">
      <c r="A1307" s="7" t="inlineStr">
        <is>
          <t>2019-07-05</t>
        </is>
      </c>
      <c r="B1307" s="8">
        <f>IFERROR(VLOOKUP($A1307,'01-原始价格'!$A:$M,2,FALSE),"")</f>
        <v/>
      </c>
      <c r="C1307" s="8">
        <f>IFERROR(VLOOKUP($A1307,'01-原始价格'!$A:$M,8,FALSE),"")</f>
        <v/>
      </c>
      <c r="D1307" s="10">
        <f>IFERROR(B1307/C1307,"")</f>
        <v/>
      </c>
      <c r="E1307" s="10">
        <f>IFERROR(C1307/B1307,"")</f>
        <v/>
      </c>
      <c r="F1307" s="11">
        <f>IFERROR((D1307/D1306-1)*100,"")</f>
        <v/>
      </c>
      <c r="G1307" s="11">
        <f>IFERROR((COUNTIF($D$1056:$D$1307,"&lt;"&amp;D1307)+0.5*COUNTIF($D$1056:$D$1307,D1307))/COUNT($D$1056:$D$1307)*100,"")</f>
        <v/>
      </c>
      <c r="H1307" s="10">
        <f>IFERROR(AVERAGE($D$1056:$D$1307),"")</f>
        <v/>
      </c>
      <c r="I1307" s="10" t="n">
        <v>2.014113189615133</v>
      </c>
      <c r="J1307" t="inlineStr"/>
      <c r="K1307" t="inlineStr"/>
    </row>
    <row r="1308">
      <c r="A1308" s="7" t="inlineStr">
        <is>
          <t>2019-07-08</t>
        </is>
      </c>
      <c r="B1308" s="8">
        <f>IFERROR(VLOOKUP($A1308,'01-原始价格'!$A:$M,2,FALSE),"")</f>
        <v/>
      </c>
      <c r="C1308" s="8">
        <f>IFERROR(VLOOKUP($A1308,'01-原始价格'!$A:$M,8,FALSE),"")</f>
        <v/>
      </c>
      <c r="D1308" s="10">
        <f>IFERROR(B1308/C1308,"")</f>
        <v/>
      </c>
      <c r="E1308" s="10">
        <f>IFERROR(C1308/B1308,"")</f>
        <v/>
      </c>
      <c r="F1308" s="11">
        <f>IFERROR((D1308/D1307-1)*100,"")</f>
        <v/>
      </c>
      <c r="G1308" s="11">
        <f>IFERROR((COUNTIF($D$1057:$D$1308,"&lt;"&amp;D1308)+0.5*COUNTIF($D$1057:$D$1308,D1308))/COUNT($D$1057:$D$1308)*100,"")</f>
        <v/>
      </c>
      <c r="H1308" s="10">
        <f>IFERROR(AVERAGE($D$1057:$D$1308),"")</f>
        <v/>
      </c>
      <c r="I1308" s="10" t="n">
        <v>2.266102543934174</v>
      </c>
      <c r="J1308" t="inlineStr"/>
      <c r="K1308" t="inlineStr"/>
    </row>
    <row r="1309">
      <c r="A1309" s="7" t="inlineStr">
        <is>
          <t>2019-07-09</t>
        </is>
      </c>
      <c r="B1309" s="8">
        <f>IFERROR(VLOOKUP($A1309,'01-原始价格'!$A:$M,2,FALSE),"")</f>
        <v/>
      </c>
      <c r="C1309" s="8">
        <f>IFERROR(VLOOKUP($A1309,'01-原始价格'!$A:$M,8,FALSE),"")</f>
        <v/>
      </c>
      <c r="D1309" s="10">
        <f>IFERROR(B1309/C1309,"")</f>
        <v/>
      </c>
      <c r="E1309" s="10">
        <f>IFERROR(C1309/B1309,"")</f>
        <v/>
      </c>
      <c r="F1309" s="11">
        <f>IFERROR((D1309/D1308-1)*100,"")</f>
        <v/>
      </c>
      <c r="G1309" s="11">
        <f>IFERROR((COUNTIF($D$1058:$D$1309,"&lt;"&amp;D1309)+0.5*COUNTIF($D$1058:$D$1309,D1309))/COUNT($D$1058:$D$1309)*100,"")</f>
        <v/>
      </c>
      <c r="H1309" s="10">
        <f>IFERROR(AVERAGE($D$1058:$D$1309),"")</f>
        <v/>
      </c>
      <c r="I1309" s="10" t="n">
        <v>2.449326007274849</v>
      </c>
      <c r="J1309" t="inlineStr"/>
      <c r="K1309" t="inlineStr"/>
    </row>
    <row r="1310">
      <c r="A1310" s="7" t="inlineStr">
        <is>
          <t>2019-07-10</t>
        </is>
      </c>
      <c r="B1310" s="8">
        <f>IFERROR(VLOOKUP($A1310,'01-原始价格'!$A:$M,2,FALSE),"")</f>
        <v/>
      </c>
      <c r="C1310" s="8">
        <f>IFERROR(VLOOKUP($A1310,'01-原始价格'!$A:$M,8,FALSE),"")</f>
        <v/>
      </c>
      <c r="D1310" s="10">
        <f>IFERROR(B1310/C1310,"")</f>
        <v/>
      </c>
      <c r="E1310" s="10">
        <f>IFERROR(C1310/B1310,"")</f>
        <v/>
      </c>
      <c r="F1310" s="11">
        <f>IFERROR((D1310/D1309-1)*100,"")</f>
        <v/>
      </c>
      <c r="G1310" s="11">
        <f>IFERROR((COUNTIF($D$1059:$D$1310,"&lt;"&amp;D1310)+0.5*COUNTIF($D$1059:$D$1310,D1310))/COUNT($D$1059:$D$1310)*100,"")</f>
        <v/>
      </c>
      <c r="H1310" s="10">
        <f>IFERROR(AVERAGE($D$1059:$D$1310),"")</f>
        <v/>
      </c>
      <c r="I1310" s="10" t="n">
        <v>2.782076050988205</v>
      </c>
      <c r="J1310" t="inlineStr"/>
      <c r="K1310" t="inlineStr"/>
    </row>
    <row r="1311">
      <c r="A1311" s="7" t="inlineStr">
        <is>
          <t>2019-07-11</t>
        </is>
      </c>
      <c r="B1311" s="8">
        <f>IFERROR(VLOOKUP($A1311,'01-原始价格'!$A:$M,2,FALSE),"")</f>
        <v/>
      </c>
      <c r="C1311" s="8">
        <f>IFERROR(VLOOKUP($A1311,'01-原始价格'!$A:$M,8,FALSE),"")</f>
        <v/>
      </c>
      <c r="D1311" s="10">
        <f>IFERROR(B1311/C1311,"")</f>
        <v/>
      </c>
      <c r="E1311" s="10">
        <f>IFERROR(C1311/B1311,"")</f>
        <v/>
      </c>
      <c r="F1311" s="11">
        <f>IFERROR((D1311/D1310-1)*100,"")</f>
        <v/>
      </c>
      <c r="G1311" s="11">
        <f>IFERROR((COUNTIF($D$1060:$D$1311,"&lt;"&amp;D1311)+0.5*COUNTIF($D$1060:$D$1311,D1311))/COUNT($D$1060:$D$1311)*100,"")</f>
        <v/>
      </c>
      <c r="H1311" s="10">
        <f>IFERROR(AVERAGE($D$1060:$D$1311),"")</f>
        <v/>
      </c>
      <c r="I1311" s="10" t="n">
        <v>2.635547877402785</v>
      </c>
      <c r="J1311" t="inlineStr"/>
      <c r="K1311" t="inlineStr"/>
    </row>
    <row r="1312">
      <c r="A1312" s="7" t="inlineStr">
        <is>
          <t>2019-07-12</t>
        </is>
      </c>
      <c r="B1312" s="8">
        <f>IFERROR(VLOOKUP($A1312,'01-原始价格'!$A:$M,2,FALSE),"")</f>
        <v/>
      </c>
      <c r="C1312" s="8">
        <f>IFERROR(VLOOKUP($A1312,'01-原始价格'!$A:$M,8,FALSE),"")</f>
        <v/>
      </c>
      <c r="D1312" s="10">
        <f>IFERROR(B1312/C1312,"")</f>
        <v/>
      </c>
      <c r="E1312" s="10">
        <f>IFERROR(C1312/B1312,"")</f>
        <v/>
      </c>
      <c r="F1312" s="11">
        <f>IFERROR((D1312/D1311-1)*100,"")</f>
        <v/>
      </c>
      <c r="G1312" s="11">
        <f>IFERROR((COUNTIF($D$1061:$D$1312,"&lt;"&amp;D1312)+0.5*COUNTIF($D$1061:$D$1312,D1312))/COUNT($D$1061:$D$1312)*100,"")</f>
        <v/>
      </c>
      <c r="H1312" s="10">
        <f>IFERROR(AVERAGE($D$1061:$D$1312),"")</f>
        <v/>
      </c>
      <c r="I1312" s="10" t="n">
        <v>2.676540273625106</v>
      </c>
      <c r="J1312" t="inlineStr"/>
      <c r="K1312" t="inlineStr"/>
    </row>
    <row r="1313">
      <c r="A1313" s="7" t="inlineStr">
        <is>
          <t>2019-07-15</t>
        </is>
      </c>
      <c r="B1313" s="8">
        <f>IFERROR(VLOOKUP($A1313,'01-原始价格'!$A:$M,2,FALSE),"")</f>
        <v/>
      </c>
      <c r="C1313" s="8">
        <f>IFERROR(VLOOKUP($A1313,'01-原始价格'!$A:$M,8,FALSE),"")</f>
        <v/>
      </c>
      <c r="D1313" s="10">
        <f>IFERROR(B1313/C1313,"")</f>
        <v/>
      </c>
      <c r="E1313" s="10">
        <f>IFERROR(C1313/B1313,"")</f>
        <v/>
      </c>
      <c r="F1313" s="11">
        <f>IFERROR((D1313/D1312-1)*100,"")</f>
        <v/>
      </c>
      <c r="G1313" s="11">
        <f>IFERROR((COUNTIF($D$1062:$D$1313,"&lt;"&amp;D1313)+0.5*COUNTIF($D$1062:$D$1313,D1313))/COUNT($D$1062:$D$1313)*100,"")</f>
        <v/>
      </c>
      <c r="H1313" s="10">
        <f>IFERROR(AVERAGE($D$1062:$D$1313),"")</f>
        <v/>
      </c>
      <c r="I1313" s="10" t="n">
        <v>2.929521096044153</v>
      </c>
      <c r="J1313" t="inlineStr"/>
      <c r="K1313" t="inlineStr"/>
    </row>
    <row r="1314">
      <c r="A1314" s="7" t="inlineStr">
        <is>
          <t>2019-07-16</t>
        </is>
      </c>
      <c r="B1314" s="8">
        <f>IFERROR(VLOOKUP($A1314,'01-原始价格'!$A:$M,2,FALSE),"")</f>
        <v/>
      </c>
      <c r="C1314" s="8">
        <f>IFERROR(VLOOKUP($A1314,'01-原始价格'!$A:$M,8,FALSE),"")</f>
        <v/>
      </c>
      <c r="D1314" s="10">
        <f>IFERROR(B1314/C1314,"")</f>
        <v/>
      </c>
      <c r="E1314" s="10">
        <f>IFERROR(C1314/B1314,"")</f>
        <v/>
      </c>
      <c r="F1314" s="11">
        <f>IFERROR((D1314/D1313-1)*100,"")</f>
        <v/>
      </c>
      <c r="G1314" s="11">
        <f>IFERROR((COUNTIF($D$1063:$D$1314,"&lt;"&amp;D1314)+0.5*COUNTIF($D$1063:$D$1314,D1314))/COUNT($D$1063:$D$1314)*100,"")</f>
        <v/>
      </c>
      <c r="H1314" s="10">
        <f>IFERROR(AVERAGE($D$1063:$D$1314),"")</f>
        <v/>
      </c>
      <c r="I1314" s="10" t="n">
        <v>2.918505887288933</v>
      </c>
      <c r="J1314" t="inlineStr"/>
      <c r="K1314" t="inlineStr"/>
    </row>
    <row r="1315">
      <c r="A1315" s="7" t="inlineStr">
        <is>
          <t>2019-07-17</t>
        </is>
      </c>
      <c r="B1315" s="8">
        <f>IFERROR(VLOOKUP($A1315,'01-原始价格'!$A:$M,2,FALSE),"")</f>
        <v/>
      </c>
      <c r="C1315" s="8">
        <f>IFERROR(VLOOKUP($A1315,'01-原始价格'!$A:$M,8,FALSE),"")</f>
        <v/>
      </c>
      <c r="D1315" s="10">
        <f>IFERROR(B1315/C1315,"")</f>
        <v/>
      </c>
      <c r="E1315" s="10">
        <f>IFERROR(C1315/B1315,"")</f>
        <v/>
      </c>
      <c r="F1315" s="11">
        <f>IFERROR((D1315/D1314-1)*100,"")</f>
        <v/>
      </c>
      <c r="G1315" s="11">
        <f>IFERROR((COUNTIF($D$1064:$D$1315,"&lt;"&amp;D1315)+0.5*COUNTIF($D$1064:$D$1315,D1315))/COUNT($D$1064:$D$1315)*100,"")</f>
        <v/>
      </c>
      <c r="H1315" s="10">
        <f>IFERROR(AVERAGE($D$1064:$D$1315),"")</f>
        <v/>
      </c>
      <c r="I1315" s="10" t="n">
        <v>2.470515956604332</v>
      </c>
      <c r="J1315" t="inlineStr"/>
      <c r="K1315" t="inlineStr"/>
    </row>
    <row r="1316">
      <c r="A1316" s="7" t="inlineStr">
        <is>
          <t>2019-07-18</t>
        </is>
      </c>
      <c r="B1316" s="8">
        <f>IFERROR(VLOOKUP($A1316,'01-原始价格'!$A:$M,2,FALSE),"")</f>
        <v/>
      </c>
      <c r="C1316" s="8">
        <f>IFERROR(VLOOKUP($A1316,'01-原始价格'!$A:$M,8,FALSE),"")</f>
        <v/>
      </c>
      <c r="D1316" s="10">
        <f>IFERROR(B1316/C1316,"")</f>
        <v/>
      </c>
      <c r="E1316" s="10">
        <f>IFERROR(C1316/B1316,"")</f>
        <v/>
      </c>
      <c r="F1316" s="11">
        <f>IFERROR((D1316/D1315-1)*100,"")</f>
        <v/>
      </c>
      <c r="G1316" s="11">
        <f>IFERROR((COUNTIF($D$1065:$D$1316,"&lt;"&amp;D1316)+0.5*COUNTIF($D$1065:$D$1316,D1316))/COUNT($D$1065:$D$1316)*100,"")</f>
        <v/>
      </c>
      <c r="H1316" s="10">
        <f>IFERROR(AVERAGE($D$1065:$D$1316),"")</f>
        <v/>
      </c>
      <c r="I1316" s="10" t="n">
        <v>1.911875076891663</v>
      </c>
      <c r="J1316" t="inlineStr"/>
      <c r="K1316" t="inlineStr"/>
    </row>
    <row r="1317">
      <c r="A1317" s="7" t="inlineStr">
        <is>
          <t>2019-07-19</t>
        </is>
      </c>
      <c r="B1317" s="8">
        <f>IFERROR(VLOOKUP($A1317,'01-原始价格'!$A:$M,2,FALSE),"")</f>
        <v/>
      </c>
      <c r="C1317" s="8">
        <f>IFERROR(VLOOKUP($A1317,'01-原始价格'!$A:$M,8,FALSE),"")</f>
        <v/>
      </c>
      <c r="D1317" s="10">
        <f>IFERROR(B1317/C1317,"")</f>
        <v/>
      </c>
      <c r="E1317" s="10">
        <f>IFERROR(C1317/B1317,"")</f>
        <v/>
      </c>
      <c r="F1317" s="11">
        <f>IFERROR((D1317/D1316-1)*100,"")</f>
        <v/>
      </c>
      <c r="G1317" s="11">
        <f>IFERROR((COUNTIF($D$1066:$D$1317,"&lt;"&amp;D1317)+0.5*COUNTIF($D$1066:$D$1317,D1317))/COUNT($D$1066:$D$1317)*100,"")</f>
        <v/>
      </c>
      <c r="H1317" s="10">
        <f>IFERROR(AVERAGE($D$1066:$D$1317),"")</f>
        <v/>
      </c>
      <c r="I1317" s="10" t="n">
        <v>1.853115404987964</v>
      </c>
      <c r="J1317" t="inlineStr"/>
      <c r="K1317" t="inlineStr"/>
    </row>
    <row r="1318">
      <c r="A1318" s="7" t="inlineStr">
        <is>
          <t>2019-07-22</t>
        </is>
      </c>
      <c r="B1318" s="8">
        <f>IFERROR(VLOOKUP($A1318,'01-原始价格'!$A:$M,2,FALSE),"")</f>
        <v/>
      </c>
      <c r="C1318" s="8">
        <f>IFERROR(VLOOKUP($A1318,'01-原始价格'!$A:$M,8,FALSE),"")</f>
        <v/>
      </c>
      <c r="D1318" s="10">
        <f>IFERROR(B1318/C1318,"")</f>
        <v/>
      </c>
      <c r="E1318" s="10">
        <f>IFERROR(C1318/B1318,"")</f>
        <v/>
      </c>
      <c r="F1318" s="11">
        <f>IFERROR((D1318/D1317-1)*100,"")</f>
        <v/>
      </c>
      <c r="G1318" s="11">
        <f>IFERROR((COUNTIF($D$1067:$D$1318,"&lt;"&amp;D1318)+0.5*COUNTIF($D$1067:$D$1318,D1318))/COUNT($D$1067:$D$1318)*100,"")</f>
        <v/>
      </c>
      <c r="H1318" s="10">
        <f>IFERROR(AVERAGE($D$1067:$D$1318),"")</f>
        <v/>
      </c>
      <c r="I1318" s="10" t="n">
        <v>2.242566493687625</v>
      </c>
      <c r="J1318" t="inlineStr"/>
      <c r="K1318" t="inlineStr"/>
    </row>
    <row r="1319">
      <c r="A1319" s="7" t="inlineStr">
        <is>
          <t>2019-07-23</t>
        </is>
      </c>
      <c r="B1319" s="8">
        <f>IFERROR(VLOOKUP($A1319,'01-原始价格'!$A:$M,2,FALSE),"")</f>
        <v/>
      </c>
      <c r="C1319" s="8">
        <f>IFERROR(VLOOKUP($A1319,'01-原始价格'!$A:$M,8,FALSE),"")</f>
        <v/>
      </c>
      <c r="D1319" s="10">
        <f>IFERROR(B1319/C1319,"")</f>
        <v/>
      </c>
      <c r="E1319" s="10">
        <f>IFERROR(C1319/B1319,"")</f>
        <v/>
      </c>
      <c r="F1319" s="11">
        <f>IFERROR((D1319/D1318-1)*100,"")</f>
        <v/>
      </c>
      <c r="G1319" s="11">
        <f>IFERROR((COUNTIF($D$1068:$D$1319,"&lt;"&amp;D1319)+0.5*COUNTIF($D$1068:$D$1319,D1319))/COUNT($D$1068:$D$1319)*100,"")</f>
        <v/>
      </c>
      <c r="H1319" s="10">
        <f>IFERROR(AVERAGE($D$1068:$D$1319),"")</f>
        <v/>
      </c>
      <c r="I1319" s="10" t="n">
        <v>2.249109073270802</v>
      </c>
      <c r="J1319" t="inlineStr"/>
      <c r="K1319" t="inlineStr"/>
    </row>
    <row r="1320">
      <c r="A1320" s="7" t="inlineStr">
        <is>
          <t>2019-07-24</t>
        </is>
      </c>
      <c r="B1320" s="8">
        <f>IFERROR(VLOOKUP($A1320,'01-原始价格'!$A:$M,2,FALSE),"")</f>
        <v/>
      </c>
      <c r="C1320" s="8">
        <f>IFERROR(VLOOKUP($A1320,'01-原始价格'!$A:$M,8,FALSE),"")</f>
        <v/>
      </c>
      <c r="D1320" s="10">
        <f>IFERROR(B1320/C1320,"")</f>
        <v/>
      </c>
      <c r="E1320" s="10">
        <f>IFERROR(C1320/B1320,"")</f>
        <v/>
      </c>
      <c r="F1320" s="11">
        <f>IFERROR((D1320/D1319-1)*100,"")</f>
        <v/>
      </c>
      <c r="G1320" s="11">
        <f>IFERROR((COUNTIF($D$1069:$D$1320,"&lt;"&amp;D1320)+0.5*COUNTIF($D$1069:$D$1320,D1320))/COUNT($D$1069:$D$1320)*100,"")</f>
        <v/>
      </c>
      <c r="H1320" s="10">
        <f>IFERROR(AVERAGE($D$1069:$D$1320),"")</f>
        <v/>
      </c>
      <c r="I1320" s="10" t="n">
        <v>2.298154501579231</v>
      </c>
      <c r="J1320" t="inlineStr"/>
      <c r="K1320" t="inlineStr"/>
    </row>
    <row r="1321">
      <c r="A1321" s="7" t="inlineStr">
        <is>
          <t>2019-07-25</t>
        </is>
      </c>
      <c r="B1321" s="8">
        <f>IFERROR(VLOOKUP($A1321,'01-原始价格'!$A:$M,2,FALSE),"")</f>
        <v/>
      </c>
      <c r="C1321" s="8">
        <f>IFERROR(VLOOKUP($A1321,'01-原始价格'!$A:$M,8,FALSE),"")</f>
        <v/>
      </c>
      <c r="D1321" s="10">
        <f>IFERROR(B1321/C1321,"")</f>
        <v/>
      </c>
      <c r="E1321" s="10">
        <f>IFERROR(C1321/B1321,"")</f>
        <v/>
      </c>
      <c r="F1321" s="11">
        <f>IFERROR((D1321/D1320-1)*100,"")</f>
        <v/>
      </c>
      <c r="G1321" s="11">
        <f>IFERROR((COUNTIF($D$1070:$D$1321,"&lt;"&amp;D1321)+0.5*COUNTIF($D$1070:$D$1321,D1321))/COUNT($D$1070:$D$1321)*100,"")</f>
        <v/>
      </c>
      <c r="H1321" s="10">
        <f>IFERROR(AVERAGE($D$1070:$D$1321),"")</f>
        <v/>
      </c>
      <c r="I1321" s="10" t="n">
        <v>2.467688572528929</v>
      </c>
      <c r="J1321" t="inlineStr"/>
      <c r="K1321" t="inlineStr"/>
    </row>
    <row r="1322">
      <c r="A1322" s="7" t="inlineStr">
        <is>
          <t>2019-07-26</t>
        </is>
      </c>
      <c r="B1322" s="8">
        <f>IFERROR(VLOOKUP($A1322,'01-原始价格'!$A:$M,2,FALSE),"")</f>
        <v/>
      </c>
      <c r="C1322" s="8">
        <f>IFERROR(VLOOKUP($A1322,'01-原始价格'!$A:$M,8,FALSE),"")</f>
        <v/>
      </c>
      <c r="D1322" s="10">
        <f>IFERROR(B1322/C1322,"")</f>
        <v/>
      </c>
      <c r="E1322" s="10">
        <f>IFERROR(C1322/B1322,"")</f>
        <v/>
      </c>
      <c r="F1322" s="11">
        <f>IFERROR((D1322/D1321-1)*100,"")</f>
        <v/>
      </c>
      <c r="G1322" s="11">
        <f>IFERROR((COUNTIF($D$1071:$D$1322,"&lt;"&amp;D1322)+0.5*COUNTIF($D$1071:$D$1322,D1322))/COUNT($D$1071:$D$1322)*100,"")</f>
        <v/>
      </c>
      <c r="H1322" s="10">
        <f>IFERROR(AVERAGE($D$1071:$D$1322),"")</f>
        <v/>
      </c>
      <c r="I1322" s="10" t="n">
        <v>2.397363194924984</v>
      </c>
      <c r="J1322" t="inlineStr"/>
      <c r="K1322" t="inlineStr"/>
    </row>
    <row r="1323">
      <c r="A1323" s="7" t="inlineStr">
        <is>
          <t>2019-07-29</t>
        </is>
      </c>
      <c r="B1323" s="8">
        <f>IFERROR(VLOOKUP($A1323,'01-原始价格'!$A:$M,2,FALSE),"")</f>
        <v/>
      </c>
      <c r="C1323" s="8">
        <f>IFERROR(VLOOKUP($A1323,'01-原始价格'!$A:$M,8,FALSE),"")</f>
        <v/>
      </c>
      <c r="D1323" s="10">
        <f>IFERROR(B1323/C1323,"")</f>
        <v/>
      </c>
      <c r="E1323" s="10">
        <f>IFERROR(C1323/B1323,"")</f>
        <v/>
      </c>
      <c r="F1323" s="11">
        <f>IFERROR((D1323/D1322-1)*100,"")</f>
        <v/>
      </c>
      <c r="G1323" s="11">
        <f>IFERROR((COUNTIF($D$1072:$D$1323,"&lt;"&amp;D1323)+0.5*COUNTIF($D$1072:$D$1323,D1323))/COUNT($D$1072:$D$1323)*100,"")</f>
        <v/>
      </c>
      <c r="H1323" s="10">
        <f>IFERROR(AVERAGE($D$1072:$D$1323),"")</f>
        <v/>
      </c>
      <c r="I1323" s="10" t="n">
        <v>2.462317459008671</v>
      </c>
      <c r="J1323" t="inlineStr"/>
      <c r="K1323" t="inlineStr"/>
    </row>
    <row r="1324">
      <c r="A1324" s="7" t="inlineStr">
        <is>
          <t>2019-07-30</t>
        </is>
      </c>
      <c r="B1324" s="8">
        <f>IFERROR(VLOOKUP($A1324,'01-原始价格'!$A:$M,2,FALSE),"")</f>
        <v/>
      </c>
      <c r="C1324" s="8">
        <f>IFERROR(VLOOKUP($A1324,'01-原始价格'!$A:$M,8,FALSE),"")</f>
        <v/>
      </c>
      <c r="D1324" s="10">
        <f>IFERROR(B1324/C1324,"")</f>
        <v/>
      </c>
      <c r="E1324" s="10">
        <f>IFERROR(C1324/B1324,"")</f>
        <v/>
      </c>
      <c r="F1324" s="11">
        <f>IFERROR((D1324/D1323-1)*100,"")</f>
        <v/>
      </c>
      <c r="G1324" s="11">
        <f>IFERROR((COUNTIF($D$1073:$D$1324,"&lt;"&amp;D1324)+0.5*COUNTIF($D$1073:$D$1324,D1324))/COUNT($D$1073:$D$1324)*100,"")</f>
        <v/>
      </c>
      <c r="H1324" s="10">
        <f>IFERROR(AVERAGE($D$1073:$D$1324),"")</f>
        <v/>
      </c>
      <c r="I1324" s="10" t="n">
        <v>2.198309699788513</v>
      </c>
      <c r="J1324" t="inlineStr"/>
      <c r="K1324" t="inlineStr"/>
    </row>
    <row r="1325">
      <c r="A1325" s="7" t="inlineStr">
        <is>
          <t>2019-07-31</t>
        </is>
      </c>
      <c r="B1325" s="8">
        <f>IFERROR(VLOOKUP($A1325,'01-原始价格'!$A:$M,2,FALSE),"")</f>
        <v/>
      </c>
      <c r="C1325" s="8">
        <f>IFERROR(VLOOKUP($A1325,'01-原始价格'!$A:$M,8,FALSE),"")</f>
        <v/>
      </c>
      <c r="D1325" s="10">
        <f>IFERROR(B1325/C1325,"")</f>
        <v/>
      </c>
      <c r="E1325" s="10">
        <f>IFERROR(C1325/B1325,"")</f>
        <v/>
      </c>
      <c r="F1325" s="11">
        <f>IFERROR((D1325/D1324-1)*100,"")</f>
        <v/>
      </c>
      <c r="G1325" s="11">
        <f>IFERROR((COUNTIF($D$1074:$D$1325,"&lt;"&amp;D1325)+0.5*COUNTIF($D$1074:$D$1325,D1325))/COUNT($D$1074:$D$1325)*100,"")</f>
        <v/>
      </c>
      <c r="H1325" s="10">
        <f>IFERROR(AVERAGE($D$1074:$D$1325),"")</f>
        <v/>
      </c>
      <c r="I1325" s="10" t="n">
        <v>2.145135808572866</v>
      </c>
      <c r="J1325" t="inlineStr"/>
      <c r="K1325" t="inlineStr"/>
    </row>
    <row r="1326">
      <c r="A1326" s="7" t="inlineStr">
        <is>
          <t>2019-08-01</t>
        </is>
      </c>
      <c r="B1326" s="8">
        <f>IFERROR(VLOOKUP($A1326,'01-原始价格'!$A:$M,2,FALSE),"")</f>
        <v/>
      </c>
      <c r="C1326" s="8">
        <f>IFERROR(VLOOKUP($A1326,'01-原始价格'!$A:$M,8,FALSE),"")</f>
        <v/>
      </c>
      <c r="D1326" s="10">
        <f>IFERROR(B1326/C1326,"")</f>
        <v/>
      </c>
      <c r="E1326" s="10">
        <f>IFERROR(C1326/B1326,"")</f>
        <v/>
      </c>
      <c r="F1326" s="11">
        <f>IFERROR((D1326/D1325-1)*100,"")</f>
        <v/>
      </c>
      <c r="G1326" s="11">
        <f>IFERROR((COUNTIF($D$1075:$D$1326,"&lt;"&amp;D1326)+0.5*COUNTIF($D$1075:$D$1326,D1326))/COUNT($D$1075:$D$1326)*100,"")</f>
        <v/>
      </c>
      <c r="H1326" s="10">
        <f>IFERROR(AVERAGE($D$1075:$D$1326),"")</f>
        <v/>
      </c>
      <c r="I1326" s="10" t="n">
        <v>1.947909923681362</v>
      </c>
      <c r="J1326" t="inlineStr"/>
      <c r="K1326" t="inlineStr"/>
    </row>
    <row r="1327">
      <c r="A1327" s="7" t="inlineStr">
        <is>
          <t>2019-08-02</t>
        </is>
      </c>
      <c r="B1327" s="8">
        <f>IFERROR(VLOOKUP($A1327,'01-原始价格'!$A:$M,2,FALSE),"")</f>
        <v/>
      </c>
      <c r="C1327" s="8">
        <f>IFERROR(VLOOKUP($A1327,'01-原始价格'!$A:$M,8,FALSE),"")</f>
        <v/>
      </c>
      <c r="D1327" s="10">
        <f>IFERROR(B1327/C1327,"")</f>
        <v/>
      </c>
      <c r="E1327" s="10">
        <f>IFERROR(C1327/B1327,"")</f>
        <v/>
      </c>
      <c r="F1327" s="11">
        <f>IFERROR((D1327/D1326-1)*100,"")</f>
        <v/>
      </c>
      <c r="G1327" s="11">
        <f>IFERROR((COUNTIF($D$1076:$D$1327,"&lt;"&amp;D1327)+0.5*COUNTIF($D$1076:$D$1327,D1327))/COUNT($D$1076:$D$1327)*100,"")</f>
        <v/>
      </c>
      <c r="H1327" s="10">
        <f>IFERROR(AVERAGE($D$1076:$D$1327),"")</f>
        <v/>
      </c>
      <c r="I1327" s="10" t="n">
        <v>2.054390640542633</v>
      </c>
      <c r="J1327" t="inlineStr"/>
      <c r="K1327" t="inlineStr"/>
    </row>
    <row r="1328">
      <c r="A1328" s="7" t="inlineStr">
        <is>
          <t>2019-08-05</t>
        </is>
      </c>
      <c r="B1328" s="8">
        <f>IFERROR(VLOOKUP($A1328,'01-原始价格'!$A:$M,2,FALSE),"")</f>
        <v/>
      </c>
      <c r="C1328" s="8">
        <f>IFERROR(VLOOKUP($A1328,'01-原始价格'!$A:$M,8,FALSE),"")</f>
        <v/>
      </c>
      <c r="D1328" s="10">
        <f>IFERROR(B1328/C1328,"")</f>
        <v/>
      </c>
      <c r="E1328" s="10">
        <f>IFERROR(C1328/B1328,"")</f>
        <v/>
      </c>
      <c r="F1328" s="11">
        <f>IFERROR((D1328/D1327-1)*100,"")</f>
        <v/>
      </c>
      <c r="G1328" s="11">
        <f>IFERROR((COUNTIF($D$1077:$D$1328,"&lt;"&amp;D1328)+0.5*COUNTIF($D$1077:$D$1328,D1328))/COUNT($D$1077:$D$1328)*100,"")</f>
        <v/>
      </c>
      <c r="H1328" s="10">
        <f>IFERROR(AVERAGE($D$1077:$D$1328),"")</f>
        <v/>
      </c>
      <c r="I1328" s="10" t="n">
        <v>2.008289724803521</v>
      </c>
      <c r="J1328" t="inlineStr"/>
      <c r="K1328" t="inlineStr"/>
    </row>
    <row r="1329">
      <c r="A1329" s="7" t="inlineStr">
        <is>
          <t>2019-08-06</t>
        </is>
      </c>
      <c r="B1329" s="8">
        <f>IFERROR(VLOOKUP($A1329,'01-原始价格'!$A:$M,2,FALSE),"")</f>
        <v/>
      </c>
      <c r="C1329" s="8">
        <f>IFERROR(VLOOKUP($A1329,'01-原始价格'!$A:$M,8,FALSE),"")</f>
        <v/>
      </c>
      <c r="D1329" s="10">
        <f>IFERROR(B1329/C1329,"")</f>
        <v/>
      </c>
      <c r="E1329" s="10">
        <f>IFERROR(C1329/B1329,"")</f>
        <v/>
      </c>
      <c r="F1329" s="11">
        <f>IFERROR((D1329/D1328-1)*100,"")</f>
        <v/>
      </c>
      <c r="G1329" s="11">
        <f>IFERROR((COUNTIF($D$1078:$D$1329,"&lt;"&amp;D1329)+0.5*COUNTIF($D$1078:$D$1329,D1329))/COUNT($D$1078:$D$1329)*100,"")</f>
        <v/>
      </c>
      <c r="H1329" s="10">
        <f>IFERROR(AVERAGE($D$1078:$D$1329),"")</f>
        <v/>
      </c>
      <c r="I1329" s="10" t="n">
        <v>2.359770367022362</v>
      </c>
      <c r="J1329" t="inlineStr"/>
      <c r="K1329" t="inlineStr"/>
    </row>
    <row r="1330">
      <c r="A1330" s="7" t="inlineStr">
        <is>
          <t>2019-08-07</t>
        </is>
      </c>
      <c r="B1330" s="8">
        <f>IFERROR(VLOOKUP($A1330,'01-原始价格'!$A:$M,2,FALSE),"")</f>
        <v/>
      </c>
      <c r="C1330" s="8">
        <f>IFERROR(VLOOKUP($A1330,'01-原始价格'!$A:$M,8,FALSE),"")</f>
        <v/>
      </c>
      <c r="D1330" s="10">
        <f>IFERROR(B1330/C1330,"")</f>
        <v/>
      </c>
      <c r="E1330" s="10">
        <f>IFERROR(C1330/B1330,"")</f>
        <v/>
      </c>
      <c r="F1330" s="11">
        <f>IFERROR((D1330/D1329-1)*100,"")</f>
        <v/>
      </c>
      <c r="G1330" s="11">
        <f>IFERROR((COUNTIF($D$1079:$D$1330,"&lt;"&amp;D1330)+0.5*COUNTIF($D$1079:$D$1330,D1330))/COUNT($D$1079:$D$1330)*100,"")</f>
        <v/>
      </c>
      <c r="H1330" s="10">
        <f>IFERROR(AVERAGE($D$1079:$D$1330),"")</f>
        <v/>
      </c>
      <c r="I1330" s="10" t="n">
        <v>1.989352634581206</v>
      </c>
      <c r="J1330" t="inlineStr"/>
      <c r="K1330" t="inlineStr"/>
    </row>
    <row r="1331">
      <c r="A1331" s="7" t="inlineStr">
        <is>
          <t>2019-08-08</t>
        </is>
      </c>
      <c r="B1331" s="8">
        <f>IFERROR(VLOOKUP($A1331,'01-原始价格'!$A:$M,2,FALSE),"")</f>
        <v/>
      </c>
      <c r="C1331" s="8">
        <f>IFERROR(VLOOKUP($A1331,'01-原始价格'!$A:$M,8,FALSE),"")</f>
        <v/>
      </c>
      <c r="D1331" s="10">
        <f>IFERROR(B1331/C1331,"")</f>
        <v/>
      </c>
      <c r="E1331" s="10">
        <f>IFERROR(C1331/B1331,"")</f>
        <v/>
      </c>
      <c r="F1331" s="11">
        <f>IFERROR((D1331/D1330-1)*100,"")</f>
        <v/>
      </c>
      <c r="G1331" s="11">
        <f>IFERROR((COUNTIF($D$1080:$D$1331,"&lt;"&amp;D1331)+0.5*COUNTIF($D$1080:$D$1331,D1331))/COUNT($D$1080:$D$1331)*100,"")</f>
        <v/>
      </c>
      <c r="H1331" s="10">
        <f>IFERROR(AVERAGE($D$1080:$D$1331),"")</f>
        <v/>
      </c>
      <c r="I1331" s="10" t="n">
        <v>0.600477410073729</v>
      </c>
      <c r="J1331" t="inlineStr"/>
      <c r="K1331" s="12" t="inlineStr">
        <is>
          <t>是</t>
        </is>
      </c>
      <c r="L1331" t="inlineStr">
        <is>
          <t>换月日</t>
        </is>
      </c>
    </row>
    <row r="1332">
      <c r="A1332" s="7" t="inlineStr">
        <is>
          <t>2019-08-09</t>
        </is>
      </c>
      <c r="B1332" s="8">
        <f>IFERROR(VLOOKUP($A1332,'01-原始价格'!$A:$M,2,FALSE),"")</f>
        <v/>
      </c>
      <c r="C1332" s="8">
        <f>IFERROR(VLOOKUP($A1332,'01-原始价格'!$A:$M,8,FALSE),"")</f>
        <v/>
      </c>
      <c r="D1332" s="10">
        <f>IFERROR(B1332/C1332,"")</f>
        <v/>
      </c>
      <c r="E1332" s="10">
        <f>IFERROR(C1332/B1332,"")</f>
        <v/>
      </c>
      <c r="F1332" s="11">
        <f>IFERROR((D1332/D1331-1)*100,"")</f>
        <v/>
      </c>
      <c r="G1332" s="11">
        <f>IFERROR((COUNTIF($D$1081:$D$1332,"&lt;"&amp;D1332)+0.5*COUNTIF($D$1081:$D$1332,D1332))/COUNT($D$1081:$D$1332)*100,"")</f>
        <v/>
      </c>
      <c r="H1332" s="10">
        <f>IFERROR(AVERAGE($D$1081:$D$1332),"")</f>
        <v/>
      </c>
      <c r="I1332" s="10" t="n">
        <v>0.7265875358264058</v>
      </c>
      <c r="J1332" t="inlineStr"/>
      <c r="K1332" t="inlineStr"/>
    </row>
    <row r="1333">
      <c r="A1333" s="7" t="inlineStr">
        <is>
          <t>2019-08-12</t>
        </is>
      </c>
      <c r="B1333" s="8">
        <f>IFERROR(VLOOKUP($A1333,'01-原始价格'!$A:$M,2,FALSE),"")</f>
        <v/>
      </c>
      <c r="C1333" s="8">
        <f>IFERROR(VLOOKUP($A1333,'01-原始价格'!$A:$M,8,FALSE),"")</f>
        <v/>
      </c>
      <c r="D1333" s="10">
        <f>IFERROR(B1333/C1333,"")</f>
        <v/>
      </c>
      <c r="E1333" s="10">
        <f>IFERROR(C1333/B1333,"")</f>
        <v/>
      </c>
      <c r="F1333" s="11">
        <f>IFERROR((D1333/D1332-1)*100,"")</f>
        <v/>
      </c>
      <c r="G1333" s="11">
        <f>IFERROR((COUNTIF($D$1082:$D$1333,"&lt;"&amp;D1333)+0.5*COUNTIF($D$1082:$D$1333,D1333))/COUNT($D$1082:$D$1333)*100,"")</f>
        <v/>
      </c>
      <c r="H1333" s="10">
        <f>IFERROR(AVERAGE($D$1082:$D$1333),"")</f>
        <v/>
      </c>
      <c r="I1333" s="10" t="n">
        <v>0.566880750355726</v>
      </c>
      <c r="J1333" t="inlineStr"/>
      <c r="K1333" s="12" t="inlineStr">
        <is>
          <t>是</t>
        </is>
      </c>
      <c r="L1333" t="inlineStr">
        <is>
          <t>换月日</t>
        </is>
      </c>
    </row>
    <row r="1334">
      <c r="A1334" s="7" t="inlineStr">
        <is>
          <t>2019-08-13</t>
        </is>
      </c>
      <c r="B1334" s="8">
        <f>IFERROR(VLOOKUP($A1334,'01-原始价格'!$A:$M,2,FALSE),"")</f>
        <v/>
      </c>
      <c r="C1334" s="8">
        <f>IFERROR(VLOOKUP($A1334,'01-原始价格'!$A:$M,8,FALSE),"")</f>
        <v/>
      </c>
      <c r="D1334" s="10">
        <f>IFERROR(B1334/C1334,"")</f>
        <v/>
      </c>
      <c r="E1334" s="10">
        <f>IFERROR(C1334/B1334,"")</f>
        <v/>
      </c>
      <c r="F1334" s="11">
        <f>IFERROR((D1334/D1333-1)*100,"")</f>
        <v/>
      </c>
      <c r="G1334" s="11">
        <f>IFERROR((COUNTIF($D$1083:$D$1334,"&lt;"&amp;D1334)+0.5*COUNTIF($D$1083:$D$1334,D1334))/COUNT($D$1083:$D$1334)*100,"")</f>
        <v/>
      </c>
      <c r="H1334" s="10">
        <f>IFERROR(AVERAGE($D$1083:$D$1334),"")</f>
        <v/>
      </c>
      <c r="I1334" s="10" t="n">
        <v>0.4924190122687815</v>
      </c>
      <c r="J1334" t="inlineStr"/>
      <c r="K1334" t="inlineStr"/>
    </row>
    <row r="1335">
      <c r="A1335" s="7" t="inlineStr">
        <is>
          <t>2019-08-14</t>
        </is>
      </c>
      <c r="B1335" s="8">
        <f>IFERROR(VLOOKUP($A1335,'01-原始价格'!$A:$M,2,FALSE),"")</f>
        <v/>
      </c>
      <c r="C1335" s="8">
        <f>IFERROR(VLOOKUP($A1335,'01-原始价格'!$A:$M,8,FALSE),"")</f>
        <v/>
      </c>
      <c r="D1335" s="10">
        <f>IFERROR(B1335/C1335,"")</f>
        <v/>
      </c>
      <c r="E1335" s="10">
        <f>IFERROR(C1335/B1335,"")</f>
        <v/>
      </c>
      <c r="F1335" s="11">
        <f>IFERROR((D1335/D1334-1)*100,"")</f>
        <v/>
      </c>
      <c r="G1335" s="11">
        <f>IFERROR((COUNTIF($D$1084:$D$1335,"&lt;"&amp;D1335)+0.5*COUNTIF($D$1084:$D$1335,D1335))/COUNT($D$1084:$D$1335)*100,"")</f>
        <v/>
      </c>
      <c r="H1335" s="10">
        <f>IFERROR(AVERAGE($D$1084:$D$1335),"")</f>
        <v/>
      </c>
      <c r="I1335" s="10" t="n">
        <v>0.8613807456420544</v>
      </c>
      <c r="J1335" t="inlineStr"/>
      <c r="K1335" t="inlineStr"/>
    </row>
    <row r="1336">
      <c r="A1336" s="7" t="inlineStr">
        <is>
          <t>2019-08-15</t>
        </is>
      </c>
      <c r="B1336" s="8">
        <f>IFERROR(VLOOKUP($A1336,'01-原始价格'!$A:$M,2,FALSE),"")</f>
        <v/>
      </c>
      <c r="C1336" s="8">
        <f>IFERROR(VLOOKUP($A1336,'01-原始价格'!$A:$M,8,FALSE),"")</f>
        <v/>
      </c>
      <c r="D1336" s="10">
        <f>IFERROR(B1336/C1336,"")</f>
        <v/>
      </c>
      <c r="E1336" s="10">
        <f>IFERROR(C1336/B1336,"")</f>
        <v/>
      </c>
      <c r="F1336" s="11">
        <f>IFERROR((D1336/D1335-1)*100,"")</f>
        <v/>
      </c>
      <c r="G1336" s="11">
        <f>IFERROR((COUNTIF($D$1085:$D$1336,"&lt;"&amp;D1336)+0.5*COUNTIF($D$1085:$D$1336,D1336))/COUNT($D$1085:$D$1336)*100,"")</f>
        <v/>
      </c>
      <c r="H1336" s="10">
        <f>IFERROR(AVERAGE($D$1085:$D$1336),"")</f>
        <v/>
      </c>
      <c r="I1336" s="10" t="n">
        <v>0.697541540249645</v>
      </c>
      <c r="J1336" t="inlineStr"/>
      <c r="K1336" t="inlineStr"/>
    </row>
    <row r="1337">
      <c r="A1337" s="7" t="inlineStr">
        <is>
          <t>2019-08-16</t>
        </is>
      </c>
      <c r="B1337" s="8">
        <f>IFERROR(VLOOKUP($A1337,'01-原始价格'!$A:$M,2,FALSE),"")</f>
        <v/>
      </c>
      <c r="C1337" s="8">
        <f>IFERROR(VLOOKUP($A1337,'01-原始价格'!$A:$M,8,FALSE),"")</f>
        <v/>
      </c>
      <c r="D1337" s="10">
        <f>IFERROR(B1337/C1337,"")</f>
        <v/>
      </c>
      <c r="E1337" s="10">
        <f>IFERROR(C1337/B1337,"")</f>
        <v/>
      </c>
      <c r="F1337" s="11">
        <f>IFERROR((D1337/D1336-1)*100,"")</f>
        <v/>
      </c>
      <c r="G1337" s="11">
        <f>IFERROR((COUNTIF($D$1086:$D$1337,"&lt;"&amp;D1337)+0.5*COUNTIF($D$1086:$D$1337,D1337))/COUNT($D$1086:$D$1337)*100,"")</f>
        <v/>
      </c>
      <c r="H1337" s="10">
        <f>IFERROR(AVERAGE($D$1086:$D$1337),"")</f>
        <v/>
      </c>
      <c r="I1337" s="10" t="n">
        <v>0.9507005665105127</v>
      </c>
      <c r="J1337" t="inlineStr"/>
      <c r="K1337" t="inlineStr"/>
    </row>
    <row r="1338">
      <c r="A1338" s="7" t="inlineStr">
        <is>
          <t>2019-08-19</t>
        </is>
      </c>
      <c r="B1338" s="8">
        <f>IFERROR(VLOOKUP($A1338,'01-原始价格'!$A:$M,2,FALSE),"")</f>
        <v/>
      </c>
      <c r="C1338" s="8">
        <f>IFERROR(VLOOKUP($A1338,'01-原始价格'!$A:$M,8,FALSE),"")</f>
        <v/>
      </c>
      <c r="D1338" s="10">
        <f>IFERROR(B1338/C1338,"")</f>
        <v/>
      </c>
      <c r="E1338" s="10">
        <f>IFERROR(C1338/B1338,"")</f>
        <v/>
      </c>
      <c r="F1338" s="11">
        <f>IFERROR((D1338/D1337-1)*100,"")</f>
        <v/>
      </c>
      <c r="G1338" s="11">
        <f>IFERROR((COUNTIF($D$1087:$D$1338,"&lt;"&amp;D1338)+0.5*COUNTIF($D$1087:$D$1338,D1338))/COUNT($D$1087:$D$1338)*100,"")</f>
        <v/>
      </c>
      <c r="H1338" s="10">
        <f>IFERROR(AVERAGE($D$1087:$D$1338),"")</f>
        <v/>
      </c>
      <c r="I1338" s="10" t="n">
        <v>0.792071885838731</v>
      </c>
      <c r="J1338" t="inlineStr"/>
      <c r="K1338" t="inlineStr"/>
    </row>
    <row r="1339">
      <c r="A1339" s="7" t="inlineStr">
        <is>
          <t>2019-08-20</t>
        </is>
      </c>
      <c r="B1339" s="8">
        <f>IFERROR(VLOOKUP($A1339,'01-原始价格'!$A:$M,2,FALSE),"")</f>
        <v/>
      </c>
      <c r="C1339" s="8">
        <f>IFERROR(VLOOKUP($A1339,'01-原始价格'!$A:$M,8,FALSE),"")</f>
        <v/>
      </c>
      <c r="D1339" s="10">
        <f>IFERROR(B1339/C1339,"")</f>
        <v/>
      </c>
      <c r="E1339" s="10">
        <f>IFERROR(C1339/B1339,"")</f>
        <v/>
      </c>
      <c r="F1339" s="11">
        <f>IFERROR((D1339/D1338-1)*100,"")</f>
        <v/>
      </c>
      <c r="G1339" s="11">
        <f>IFERROR((COUNTIF($D$1088:$D$1339,"&lt;"&amp;D1339)+0.5*COUNTIF($D$1088:$D$1339,D1339))/COUNT($D$1088:$D$1339)*100,"")</f>
        <v/>
      </c>
      <c r="H1339" s="10">
        <f>IFERROR(AVERAGE($D$1088:$D$1339),"")</f>
        <v/>
      </c>
      <c r="I1339" s="10" t="n">
        <v>0.9421297342005119</v>
      </c>
      <c r="J1339" t="inlineStr"/>
      <c r="K1339" t="inlineStr"/>
    </row>
    <row r="1340">
      <c r="A1340" s="7" t="inlineStr">
        <is>
          <t>2019-08-21</t>
        </is>
      </c>
      <c r="B1340" s="8">
        <f>IFERROR(VLOOKUP($A1340,'01-原始价格'!$A:$M,2,FALSE),"")</f>
        <v/>
      </c>
      <c r="C1340" s="8">
        <f>IFERROR(VLOOKUP($A1340,'01-原始价格'!$A:$M,8,FALSE),"")</f>
        <v/>
      </c>
      <c r="D1340" s="10">
        <f>IFERROR(B1340/C1340,"")</f>
        <v/>
      </c>
      <c r="E1340" s="10">
        <f>IFERROR(C1340/B1340,"")</f>
        <v/>
      </c>
      <c r="F1340" s="11">
        <f>IFERROR((D1340/D1339-1)*100,"")</f>
        <v/>
      </c>
      <c r="G1340" s="11">
        <f>IFERROR((COUNTIF($D$1089:$D$1340,"&lt;"&amp;D1340)+0.5*COUNTIF($D$1089:$D$1340,D1340))/COUNT($D$1089:$D$1340)*100,"")</f>
        <v/>
      </c>
      <c r="H1340" s="10">
        <f>IFERROR(AVERAGE($D$1089:$D$1340),"")</f>
        <v/>
      </c>
      <c r="I1340" s="10" t="n">
        <v>0.9317685907427883</v>
      </c>
      <c r="J1340" t="inlineStr"/>
      <c r="K1340" t="inlineStr"/>
    </row>
    <row r="1341">
      <c r="A1341" s="7" t="inlineStr">
        <is>
          <t>2019-08-22</t>
        </is>
      </c>
      <c r="B1341" s="8">
        <f>IFERROR(VLOOKUP($A1341,'01-原始价格'!$A:$M,2,FALSE),"")</f>
        <v/>
      </c>
      <c r="C1341" s="8">
        <f>IFERROR(VLOOKUP($A1341,'01-原始价格'!$A:$M,8,FALSE),"")</f>
        <v/>
      </c>
      <c r="D1341" s="10">
        <f>IFERROR(B1341/C1341,"")</f>
        <v/>
      </c>
      <c r="E1341" s="10">
        <f>IFERROR(C1341/B1341,"")</f>
        <v/>
      </c>
      <c r="F1341" s="11">
        <f>IFERROR((D1341/D1340-1)*100,"")</f>
        <v/>
      </c>
      <c r="G1341" s="11">
        <f>IFERROR((COUNTIF($D$1090:$D$1341,"&lt;"&amp;D1341)+0.5*COUNTIF($D$1090:$D$1341,D1341))/COUNT($D$1090:$D$1341)*100,"")</f>
        <v/>
      </c>
      <c r="H1341" s="10">
        <f>IFERROR(AVERAGE($D$1090:$D$1341),"")</f>
        <v/>
      </c>
      <c r="I1341" s="10" t="n">
        <v>0.9107847282035501</v>
      </c>
      <c r="J1341" t="inlineStr"/>
      <c r="K1341" t="inlineStr"/>
    </row>
    <row r="1342">
      <c r="A1342" s="7" t="inlineStr">
        <is>
          <t>2019-08-23</t>
        </is>
      </c>
      <c r="B1342" s="8">
        <f>IFERROR(VLOOKUP($A1342,'01-原始价格'!$A:$M,2,FALSE),"")</f>
        <v/>
      </c>
      <c r="C1342" s="8">
        <f>IFERROR(VLOOKUP($A1342,'01-原始价格'!$A:$M,8,FALSE),"")</f>
        <v/>
      </c>
      <c r="D1342" s="10">
        <f>IFERROR(B1342/C1342,"")</f>
        <v/>
      </c>
      <c r="E1342" s="10">
        <f>IFERROR(C1342/B1342,"")</f>
        <v/>
      </c>
      <c r="F1342" s="11">
        <f>IFERROR((D1342/D1341-1)*100,"")</f>
        <v/>
      </c>
      <c r="G1342" s="11">
        <f>IFERROR((COUNTIF($D$1091:$D$1342,"&lt;"&amp;D1342)+0.5*COUNTIF($D$1091:$D$1342,D1342))/COUNT($D$1091:$D$1342)*100,"")</f>
        <v/>
      </c>
      <c r="H1342" s="10">
        <f>IFERROR(AVERAGE($D$1091:$D$1342),"")</f>
        <v/>
      </c>
      <c r="I1342" s="10" t="n">
        <v>0.7177935203631868</v>
      </c>
      <c r="J1342" t="inlineStr"/>
      <c r="K1342" t="inlineStr"/>
    </row>
    <row r="1343">
      <c r="A1343" s="7" t="inlineStr">
        <is>
          <t>2019-08-26</t>
        </is>
      </c>
      <c r="B1343" s="8">
        <f>IFERROR(VLOOKUP($A1343,'01-原始价格'!$A:$M,2,FALSE),"")</f>
        <v/>
      </c>
      <c r="C1343" s="8">
        <f>IFERROR(VLOOKUP($A1343,'01-原始价格'!$A:$M,8,FALSE),"")</f>
        <v/>
      </c>
      <c r="D1343" s="10">
        <f>IFERROR(B1343/C1343,"")</f>
        <v/>
      </c>
      <c r="E1343" s="10">
        <f>IFERROR(C1343/B1343,"")</f>
        <v/>
      </c>
      <c r="F1343" s="11">
        <f>IFERROR((D1343/D1342-1)*100,"")</f>
        <v/>
      </c>
      <c r="G1343" s="11">
        <f>IFERROR((COUNTIF($D$1092:$D$1343,"&lt;"&amp;D1343)+0.5*COUNTIF($D$1092:$D$1343,D1343))/COUNT($D$1092:$D$1343)*100,"")</f>
        <v/>
      </c>
      <c r="H1343" s="10">
        <f>IFERROR(AVERAGE($D$1092:$D$1343),"")</f>
        <v/>
      </c>
      <c r="I1343" s="10" t="n">
        <v>0.616011358207322</v>
      </c>
      <c r="J1343" t="inlineStr"/>
      <c r="K1343" t="inlineStr"/>
    </row>
    <row r="1344">
      <c r="A1344" s="7" t="inlineStr">
        <is>
          <t>2019-08-27</t>
        </is>
      </c>
      <c r="B1344" s="8">
        <f>IFERROR(VLOOKUP($A1344,'01-原始价格'!$A:$M,2,FALSE),"")</f>
        <v/>
      </c>
      <c r="C1344" s="8">
        <f>IFERROR(VLOOKUP($A1344,'01-原始价格'!$A:$M,8,FALSE),"")</f>
        <v/>
      </c>
      <c r="D1344" s="10">
        <f>IFERROR(B1344/C1344,"")</f>
        <v/>
      </c>
      <c r="E1344" s="10">
        <f>IFERROR(C1344/B1344,"")</f>
        <v/>
      </c>
      <c r="F1344" s="11">
        <f>IFERROR((D1344/D1343-1)*100,"")</f>
        <v/>
      </c>
      <c r="G1344" s="11">
        <f>IFERROR((COUNTIF($D$1093:$D$1344,"&lt;"&amp;D1344)+0.5*COUNTIF($D$1093:$D$1344,D1344))/COUNT($D$1093:$D$1344)*100,"")</f>
        <v/>
      </c>
      <c r="H1344" s="10">
        <f>IFERROR(AVERAGE($D$1093:$D$1344),"")</f>
        <v/>
      </c>
      <c r="I1344" s="10" t="n">
        <v>0.7242646783366773</v>
      </c>
      <c r="J1344" t="inlineStr"/>
      <c r="K1344" t="inlineStr"/>
    </row>
    <row r="1345">
      <c r="A1345" s="7" t="inlineStr">
        <is>
          <t>2019-08-28</t>
        </is>
      </c>
      <c r="B1345" s="8">
        <f>IFERROR(VLOOKUP($A1345,'01-原始价格'!$A:$M,2,FALSE),"")</f>
        <v/>
      </c>
      <c r="C1345" s="8">
        <f>IFERROR(VLOOKUP($A1345,'01-原始价格'!$A:$M,8,FALSE),"")</f>
        <v/>
      </c>
      <c r="D1345" s="10">
        <f>IFERROR(B1345/C1345,"")</f>
        <v/>
      </c>
      <c r="E1345" s="10">
        <f>IFERROR(C1345/B1345,"")</f>
        <v/>
      </c>
      <c r="F1345" s="11">
        <f>IFERROR((D1345/D1344-1)*100,"")</f>
        <v/>
      </c>
      <c r="G1345" s="11">
        <f>IFERROR((COUNTIF($D$1094:$D$1345,"&lt;"&amp;D1345)+0.5*COUNTIF($D$1094:$D$1345,D1345))/COUNT($D$1094:$D$1345)*100,"")</f>
        <v/>
      </c>
      <c r="H1345" s="10">
        <f>IFERROR(AVERAGE($D$1094:$D$1345),"")</f>
        <v/>
      </c>
      <c r="I1345" s="10" t="n">
        <v>0.7072601322362227</v>
      </c>
      <c r="J1345" t="inlineStr"/>
      <c r="K1345" t="inlineStr"/>
    </row>
    <row r="1346">
      <c r="A1346" s="7" t="inlineStr">
        <is>
          <t>2019-08-29</t>
        </is>
      </c>
      <c r="B1346" s="8">
        <f>IFERROR(VLOOKUP($A1346,'01-原始价格'!$A:$M,2,FALSE),"")</f>
        <v/>
      </c>
      <c r="C1346" s="8">
        <f>IFERROR(VLOOKUP($A1346,'01-原始价格'!$A:$M,8,FALSE),"")</f>
        <v/>
      </c>
      <c r="D1346" s="10">
        <f>IFERROR(B1346/C1346,"")</f>
        <v/>
      </c>
      <c r="E1346" s="10">
        <f>IFERROR(C1346/B1346,"")</f>
        <v/>
      </c>
      <c r="F1346" s="11">
        <f>IFERROR((D1346/D1345-1)*100,"")</f>
        <v/>
      </c>
      <c r="G1346" s="11">
        <f>IFERROR((COUNTIF($D$1095:$D$1346,"&lt;"&amp;D1346)+0.5*COUNTIF($D$1095:$D$1346,D1346))/COUNT($D$1095:$D$1346)*100,"")</f>
        <v/>
      </c>
      <c r="H1346" s="10">
        <f>IFERROR(AVERAGE($D$1095:$D$1346),"")</f>
        <v/>
      </c>
      <c r="I1346" s="10" t="n">
        <v>1.046468724950538</v>
      </c>
      <c r="J1346" t="inlineStr"/>
      <c r="K1346" t="inlineStr"/>
    </row>
    <row r="1347">
      <c r="A1347" s="7" t="inlineStr">
        <is>
          <t>2019-08-30</t>
        </is>
      </c>
      <c r="B1347" s="8">
        <f>IFERROR(VLOOKUP($A1347,'01-原始价格'!$A:$M,2,FALSE),"")</f>
        <v/>
      </c>
      <c r="C1347" s="8">
        <f>IFERROR(VLOOKUP($A1347,'01-原始价格'!$A:$M,8,FALSE),"")</f>
        <v/>
      </c>
      <c r="D1347" s="10">
        <f>IFERROR(B1347/C1347,"")</f>
        <v/>
      </c>
      <c r="E1347" s="10">
        <f>IFERROR(C1347/B1347,"")</f>
        <v/>
      </c>
      <c r="F1347" s="11">
        <f>IFERROR((D1347/D1346-1)*100,"")</f>
        <v/>
      </c>
      <c r="G1347" s="11">
        <f>IFERROR((COUNTIF($D$1096:$D$1347,"&lt;"&amp;D1347)+0.5*COUNTIF($D$1096:$D$1347,D1347))/COUNT($D$1096:$D$1347)*100,"")</f>
        <v/>
      </c>
      <c r="H1347" s="10">
        <f>IFERROR(AVERAGE($D$1096:$D$1347),"")</f>
        <v/>
      </c>
      <c r="I1347" s="10" t="n">
        <v>1.272591896261225</v>
      </c>
      <c r="J1347" t="inlineStr"/>
      <c r="K1347" t="inlineStr"/>
    </row>
    <row r="1348">
      <c r="A1348" s="7" t="inlineStr">
        <is>
          <t>2019-09-02</t>
        </is>
      </c>
      <c r="B1348" s="8">
        <f>IFERROR(VLOOKUP($A1348,'01-原始价格'!$A:$M,2,FALSE),"")</f>
        <v/>
      </c>
      <c r="C1348" s="8">
        <f>IFERROR(VLOOKUP($A1348,'01-原始价格'!$A:$M,8,FALSE),"")</f>
        <v/>
      </c>
      <c r="D1348" s="10">
        <f>IFERROR(B1348/C1348,"")</f>
        <v/>
      </c>
      <c r="E1348" s="10">
        <f>IFERROR(C1348/B1348,"")</f>
        <v/>
      </c>
      <c r="F1348" s="11">
        <f>IFERROR((D1348/D1347-1)*100,"")</f>
        <v/>
      </c>
      <c r="G1348" s="11">
        <f>IFERROR((COUNTIF($D$1097:$D$1348,"&lt;"&amp;D1348)+0.5*COUNTIF($D$1097:$D$1348,D1348))/COUNT($D$1097:$D$1348)*100,"")</f>
        <v/>
      </c>
      <c r="H1348" s="10">
        <f>IFERROR(AVERAGE($D$1097:$D$1348),"")</f>
        <v/>
      </c>
      <c r="I1348" s="10" t="n">
        <v>1.274269159647279</v>
      </c>
      <c r="J1348" t="inlineStr"/>
      <c r="K1348" t="inlineStr"/>
    </row>
    <row r="1349">
      <c r="A1349" s="7" t="inlineStr">
        <is>
          <t>2019-09-03</t>
        </is>
      </c>
      <c r="B1349" s="8">
        <f>IFERROR(VLOOKUP($A1349,'01-原始价格'!$A:$M,2,FALSE),"")</f>
        <v/>
      </c>
      <c r="C1349" s="8">
        <f>IFERROR(VLOOKUP($A1349,'01-原始价格'!$A:$M,8,FALSE),"")</f>
        <v/>
      </c>
      <c r="D1349" s="10">
        <f>IFERROR(B1349/C1349,"")</f>
        <v/>
      </c>
      <c r="E1349" s="10">
        <f>IFERROR(C1349/B1349,"")</f>
        <v/>
      </c>
      <c r="F1349" s="11">
        <f>IFERROR((D1349/D1348-1)*100,"")</f>
        <v/>
      </c>
      <c r="G1349" s="11">
        <f>IFERROR((COUNTIF($D$1098:$D$1349,"&lt;"&amp;D1349)+0.5*COUNTIF($D$1098:$D$1349,D1349))/COUNT($D$1098:$D$1349)*100,"")</f>
        <v/>
      </c>
      <c r="H1349" s="10">
        <f>IFERROR(AVERAGE($D$1098:$D$1349),"")</f>
        <v/>
      </c>
      <c r="I1349" s="10" t="n">
        <v>1.271150930890184</v>
      </c>
      <c r="J1349" t="inlineStr"/>
      <c r="K1349" t="inlineStr"/>
    </row>
    <row r="1350">
      <c r="A1350" s="7" t="inlineStr">
        <is>
          <t>2019-09-04</t>
        </is>
      </c>
      <c r="B1350" s="8">
        <f>IFERROR(VLOOKUP($A1350,'01-原始价格'!$A:$M,2,FALSE),"")</f>
        <v/>
      </c>
      <c r="C1350" s="8">
        <f>IFERROR(VLOOKUP($A1350,'01-原始价格'!$A:$M,8,FALSE),"")</f>
        <v/>
      </c>
      <c r="D1350" s="10">
        <f>IFERROR(B1350/C1350,"")</f>
        <v/>
      </c>
      <c r="E1350" s="10">
        <f>IFERROR(C1350/B1350,"")</f>
        <v/>
      </c>
      <c r="F1350" s="11">
        <f>IFERROR((D1350/D1349-1)*100,"")</f>
        <v/>
      </c>
      <c r="G1350" s="11">
        <f>IFERROR((COUNTIF($D$1099:$D$1350,"&lt;"&amp;D1350)+0.5*COUNTIF($D$1099:$D$1350,D1350))/COUNT($D$1099:$D$1350)*100,"")</f>
        <v/>
      </c>
      <c r="H1350" s="10">
        <f>IFERROR(AVERAGE($D$1099:$D$1350),"")</f>
        <v/>
      </c>
      <c r="I1350" s="10" t="n">
        <v>1.281114329972979</v>
      </c>
      <c r="J1350" t="inlineStr"/>
      <c r="K1350" t="inlineStr"/>
    </row>
    <row r="1351">
      <c r="A1351" s="7" t="inlineStr">
        <is>
          <t>2019-09-05</t>
        </is>
      </c>
      <c r="B1351" s="8">
        <f>IFERROR(VLOOKUP($A1351,'01-原始价格'!$A:$M,2,FALSE),"")</f>
        <v/>
      </c>
      <c r="C1351" s="8">
        <f>IFERROR(VLOOKUP($A1351,'01-原始价格'!$A:$M,8,FALSE),"")</f>
        <v/>
      </c>
      <c r="D1351" s="10">
        <f>IFERROR(B1351/C1351,"")</f>
        <v/>
      </c>
      <c r="E1351" s="10">
        <f>IFERROR(C1351/B1351,"")</f>
        <v/>
      </c>
      <c r="F1351" s="11">
        <f>IFERROR((D1351/D1350-1)*100,"")</f>
        <v/>
      </c>
      <c r="G1351" s="11">
        <f>IFERROR((COUNTIF($D$1100:$D$1351,"&lt;"&amp;D1351)+0.5*COUNTIF($D$1100:$D$1351,D1351))/COUNT($D$1100:$D$1351)*100,"")</f>
        <v/>
      </c>
      <c r="H1351" s="10">
        <f>IFERROR(AVERAGE($D$1100:$D$1351),"")</f>
        <v/>
      </c>
      <c r="I1351" s="10" t="n">
        <v>1.354094312093662</v>
      </c>
      <c r="J1351" t="inlineStr"/>
      <c r="K1351" t="inlineStr"/>
    </row>
    <row r="1352">
      <c r="A1352" s="7" t="inlineStr">
        <is>
          <t>2019-09-06</t>
        </is>
      </c>
      <c r="B1352" s="8">
        <f>IFERROR(VLOOKUP($A1352,'01-原始价格'!$A:$M,2,FALSE),"")</f>
        <v/>
      </c>
      <c r="C1352" s="8">
        <f>IFERROR(VLOOKUP($A1352,'01-原始价格'!$A:$M,8,FALSE),"")</f>
        <v/>
      </c>
      <c r="D1352" s="10">
        <f>IFERROR(B1352/C1352,"")</f>
        <v/>
      </c>
      <c r="E1352" s="10">
        <f>IFERROR(C1352/B1352,"")</f>
        <v/>
      </c>
      <c r="F1352" s="11">
        <f>IFERROR((D1352/D1351-1)*100,"")</f>
        <v/>
      </c>
      <c r="G1352" s="11">
        <f>IFERROR((COUNTIF($D$1101:$D$1352,"&lt;"&amp;D1352)+0.5*COUNTIF($D$1101:$D$1352,D1352))/COUNT($D$1101:$D$1352)*100,"")</f>
        <v/>
      </c>
      <c r="H1352" s="10">
        <f>IFERROR(AVERAGE($D$1101:$D$1352),"")</f>
        <v/>
      </c>
      <c r="I1352" s="10" t="n">
        <v>1.510204839679569</v>
      </c>
      <c r="J1352" t="inlineStr"/>
      <c r="K1352" t="inlineStr"/>
    </row>
    <row r="1353">
      <c r="A1353" s="7" t="inlineStr">
        <is>
          <t>2019-09-09</t>
        </is>
      </c>
      <c r="B1353" s="8">
        <f>IFERROR(VLOOKUP($A1353,'01-原始价格'!$A:$M,2,FALSE),"")</f>
        <v/>
      </c>
      <c r="C1353" s="8">
        <f>IFERROR(VLOOKUP($A1353,'01-原始价格'!$A:$M,8,FALSE),"")</f>
        <v/>
      </c>
      <c r="D1353" s="10">
        <f>IFERROR(B1353/C1353,"")</f>
        <v/>
      </c>
      <c r="E1353" s="10">
        <f>IFERROR(C1353/B1353,"")</f>
        <v/>
      </c>
      <c r="F1353" s="11">
        <f>IFERROR((D1353/D1352-1)*100,"")</f>
        <v/>
      </c>
      <c r="G1353" s="11">
        <f>IFERROR((COUNTIF($D$1102:$D$1353,"&lt;"&amp;D1353)+0.5*COUNTIF($D$1102:$D$1353,D1353))/COUNT($D$1102:$D$1353)*100,"")</f>
        <v/>
      </c>
      <c r="H1353" s="10">
        <f>IFERROR(AVERAGE($D$1102:$D$1353),"")</f>
        <v/>
      </c>
      <c r="I1353" s="10" t="n">
        <v>1.266800750512912</v>
      </c>
      <c r="J1353" t="inlineStr"/>
      <c r="K1353" t="inlineStr"/>
    </row>
    <row r="1354">
      <c r="A1354" s="7" t="inlineStr">
        <is>
          <t>2019-09-10</t>
        </is>
      </c>
      <c r="B1354" s="8">
        <f>IFERROR(VLOOKUP($A1354,'01-原始价格'!$A:$M,2,FALSE),"")</f>
        <v/>
      </c>
      <c r="C1354" s="8">
        <f>IFERROR(VLOOKUP($A1354,'01-原始价格'!$A:$M,8,FALSE),"")</f>
        <v/>
      </c>
      <c r="D1354" s="10">
        <f>IFERROR(B1354/C1354,"")</f>
        <v/>
      </c>
      <c r="E1354" s="10">
        <f>IFERROR(C1354/B1354,"")</f>
        <v/>
      </c>
      <c r="F1354" s="11">
        <f>IFERROR((D1354/D1353-1)*100,"")</f>
        <v/>
      </c>
      <c r="G1354" s="11">
        <f>IFERROR((COUNTIF($D$1103:$D$1354,"&lt;"&amp;D1354)+0.5*COUNTIF($D$1103:$D$1354,D1354))/COUNT($D$1103:$D$1354)*100,"")</f>
        <v/>
      </c>
      <c r="H1354" s="10">
        <f>IFERROR(AVERAGE($D$1103:$D$1354),"")</f>
        <v/>
      </c>
      <c r="I1354" s="10" t="n">
        <v>1.210853090132583</v>
      </c>
      <c r="J1354" t="inlineStr"/>
      <c r="K1354" t="inlineStr"/>
    </row>
    <row r="1355">
      <c r="A1355" s="7" t="inlineStr">
        <is>
          <t>2019-09-11</t>
        </is>
      </c>
      <c r="B1355" s="8">
        <f>IFERROR(VLOOKUP($A1355,'01-原始价格'!$A:$M,2,FALSE),"")</f>
        <v/>
      </c>
      <c r="C1355" s="8">
        <f>IFERROR(VLOOKUP($A1355,'01-原始价格'!$A:$M,8,FALSE),"")</f>
        <v/>
      </c>
      <c r="D1355" s="10">
        <f>IFERROR(B1355/C1355,"")</f>
        <v/>
      </c>
      <c r="E1355" s="10">
        <f>IFERROR(C1355/B1355,"")</f>
        <v/>
      </c>
      <c r="F1355" s="11">
        <f>IFERROR((D1355/D1354-1)*100,"")</f>
        <v/>
      </c>
      <c r="G1355" s="11">
        <f>IFERROR((COUNTIF($D$1104:$D$1355,"&lt;"&amp;D1355)+0.5*COUNTIF($D$1104:$D$1355,D1355))/COUNT($D$1104:$D$1355)*100,"")</f>
        <v/>
      </c>
      <c r="H1355" s="10">
        <f>IFERROR(AVERAGE($D$1104:$D$1355),"")</f>
        <v/>
      </c>
      <c r="I1355" s="10" t="n">
        <v>1.125310577299107</v>
      </c>
      <c r="J1355" t="inlineStr"/>
      <c r="K1355" t="inlineStr"/>
    </row>
    <row r="1356">
      <c r="A1356" s="7" t="inlineStr">
        <is>
          <t>2019-09-12</t>
        </is>
      </c>
      <c r="B1356" s="8">
        <f>IFERROR(VLOOKUP($A1356,'01-原始价格'!$A:$M,2,FALSE),"")</f>
        <v/>
      </c>
      <c r="C1356" s="8">
        <f>IFERROR(VLOOKUP($A1356,'01-原始价格'!$A:$M,8,FALSE),"")</f>
        <v/>
      </c>
      <c r="D1356" s="10">
        <f>IFERROR(B1356/C1356,"")</f>
        <v/>
      </c>
      <c r="E1356" s="10">
        <f>IFERROR(C1356/B1356,"")</f>
        <v/>
      </c>
      <c r="F1356" s="11">
        <f>IFERROR((D1356/D1355-1)*100,"")</f>
        <v/>
      </c>
      <c r="G1356" s="11">
        <f>IFERROR((COUNTIF($D$1105:$D$1356,"&lt;"&amp;D1356)+0.5*COUNTIF($D$1105:$D$1356,D1356))/COUNT($D$1105:$D$1356)*100,"")</f>
        <v/>
      </c>
      <c r="H1356" s="10">
        <f>IFERROR(AVERAGE($D$1105:$D$1356),"")</f>
        <v/>
      </c>
      <c r="I1356" s="10" t="n">
        <v>1.053283616764298</v>
      </c>
      <c r="J1356" t="inlineStr"/>
      <c r="K1356" t="inlineStr"/>
    </row>
    <row r="1357">
      <c r="A1357" s="7" t="inlineStr">
        <is>
          <t>2019-09-16</t>
        </is>
      </c>
      <c r="B1357" s="8">
        <f>IFERROR(VLOOKUP($A1357,'01-原始价格'!$A:$M,2,FALSE),"")</f>
        <v/>
      </c>
      <c r="C1357" s="8">
        <f>IFERROR(VLOOKUP($A1357,'01-原始价格'!$A:$M,8,FALSE),"")</f>
        <v/>
      </c>
      <c r="D1357" s="10">
        <f>IFERROR(B1357/C1357,"")</f>
        <v/>
      </c>
      <c r="E1357" s="10">
        <f>IFERROR(C1357/B1357,"")</f>
        <v/>
      </c>
      <c r="F1357" s="11">
        <f>IFERROR((D1357/D1356-1)*100,"")</f>
        <v/>
      </c>
      <c r="G1357" s="11">
        <f>IFERROR((COUNTIF($D$1106:$D$1357,"&lt;"&amp;D1357)+0.5*COUNTIF($D$1106:$D$1357,D1357))/COUNT($D$1106:$D$1357)*100,"")</f>
        <v/>
      </c>
      <c r="H1357" s="10">
        <f>IFERROR(AVERAGE($D$1106:$D$1357),"")</f>
        <v/>
      </c>
      <c r="I1357" s="10" t="n">
        <v>0.6890516261063274</v>
      </c>
      <c r="J1357" t="inlineStr"/>
      <c r="K1357" t="inlineStr"/>
    </row>
    <row r="1358">
      <c r="A1358" s="7" t="inlineStr">
        <is>
          <t>2019-09-17</t>
        </is>
      </c>
      <c r="B1358" s="8">
        <f>IFERROR(VLOOKUP($A1358,'01-原始价格'!$A:$M,2,FALSE),"")</f>
        <v/>
      </c>
      <c r="C1358" s="8">
        <f>IFERROR(VLOOKUP($A1358,'01-原始价格'!$A:$M,8,FALSE),"")</f>
        <v/>
      </c>
      <c r="D1358" s="10">
        <f>IFERROR(B1358/C1358,"")</f>
        <v/>
      </c>
      <c r="E1358" s="10">
        <f>IFERROR(C1358/B1358,"")</f>
        <v/>
      </c>
      <c r="F1358" s="11">
        <f>IFERROR((D1358/D1357-1)*100,"")</f>
        <v/>
      </c>
      <c r="G1358" s="11">
        <f>IFERROR((COUNTIF($D$1107:$D$1358,"&lt;"&amp;D1358)+0.5*COUNTIF($D$1107:$D$1358,D1358))/COUNT($D$1107:$D$1358)*100,"")</f>
        <v/>
      </c>
      <c r="H1358" s="10">
        <f>IFERROR(AVERAGE($D$1107:$D$1358),"")</f>
        <v/>
      </c>
      <c r="I1358" s="10" t="n">
        <v>0.2021906268180025</v>
      </c>
      <c r="J1358" t="inlineStr"/>
      <c r="K1358" t="inlineStr"/>
    </row>
    <row r="1359">
      <c r="A1359" s="7" t="inlineStr">
        <is>
          <t>2019-09-18</t>
        </is>
      </c>
      <c r="B1359" s="8">
        <f>IFERROR(VLOOKUP($A1359,'01-原始价格'!$A:$M,2,FALSE),"")</f>
        <v/>
      </c>
      <c r="C1359" s="8">
        <f>IFERROR(VLOOKUP($A1359,'01-原始价格'!$A:$M,8,FALSE),"")</f>
        <v/>
      </c>
      <c r="D1359" s="10">
        <f>IFERROR(B1359/C1359,"")</f>
        <v/>
      </c>
      <c r="E1359" s="10">
        <f>IFERROR(C1359/B1359,"")</f>
        <v/>
      </c>
      <c r="F1359" s="11">
        <f>IFERROR((D1359/D1358-1)*100,"")</f>
        <v/>
      </c>
      <c r="G1359" s="11">
        <f>IFERROR((COUNTIF($D$1108:$D$1359,"&lt;"&amp;D1359)+0.5*COUNTIF($D$1108:$D$1359,D1359))/COUNT($D$1108:$D$1359)*100,"")</f>
        <v/>
      </c>
      <c r="H1359" s="10">
        <f>IFERROR(AVERAGE($D$1108:$D$1359),"")</f>
        <v/>
      </c>
      <c r="I1359" s="10" t="n">
        <v>0.3089036735347599</v>
      </c>
      <c r="J1359" t="inlineStr"/>
      <c r="K1359" t="inlineStr"/>
    </row>
    <row r="1360">
      <c r="A1360" s="7" t="inlineStr">
        <is>
          <t>2019-09-19</t>
        </is>
      </c>
      <c r="B1360" s="8">
        <f>IFERROR(VLOOKUP($A1360,'01-原始价格'!$A:$M,2,FALSE),"")</f>
        <v/>
      </c>
      <c r="C1360" s="8">
        <f>IFERROR(VLOOKUP($A1360,'01-原始价格'!$A:$M,8,FALSE),"")</f>
        <v/>
      </c>
      <c r="D1360" s="10">
        <f>IFERROR(B1360/C1360,"")</f>
        <v/>
      </c>
      <c r="E1360" s="10">
        <f>IFERROR(C1360/B1360,"")</f>
        <v/>
      </c>
      <c r="F1360" s="11">
        <f>IFERROR((D1360/D1359-1)*100,"")</f>
        <v/>
      </c>
      <c r="G1360" s="11">
        <f>IFERROR((COUNTIF($D$1109:$D$1360,"&lt;"&amp;D1360)+0.5*COUNTIF($D$1109:$D$1360,D1360))/COUNT($D$1109:$D$1360)*100,"")</f>
        <v/>
      </c>
      <c r="H1360" s="10">
        <f>IFERROR(AVERAGE($D$1109:$D$1360),"")</f>
        <v/>
      </c>
      <c r="I1360" s="10" t="n">
        <v>-0.1443362593435208</v>
      </c>
      <c r="J1360" t="inlineStr"/>
      <c r="K1360" t="inlineStr"/>
    </row>
    <row r="1361">
      <c r="A1361" s="7" t="inlineStr">
        <is>
          <t>2019-09-20</t>
        </is>
      </c>
      <c r="B1361" s="8">
        <f>IFERROR(VLOOKUP($A1361,'01-原始价格'!$A:$M,2,FALSE),"")</f>
        <v/>
      </c>
      <c r="C1361" s="8">
        <f>IFERROR(VLOOKUP($A1361,'01-原始价格'!$A:$M,8,FALSE),"")</f>
        <v/>
      </c>
      <c r="D1361" s="10">
        <f>IFERROR(B1361/C1361,"")</f>
        <v/>
      </c>
      <c r="E1361" s="10">
        <f>IFERROR(C1361/B1361,"")</f>
        <v/>
      </c>
      <c r="F1361" s="11">
        <f>IFERROR((D1361/D1360-1)*100,"")</f>
        <v/>
      </c>
      <c r="G1361" s="11">
        <f>IFERROR((COUNTIF($D$1110:$D$1361,"&lt;"&amp;D1361)+0.5*COUNTIF($D$1110:$D$1361,D1361))/COUNT($D$1110:$D$1361)*100,"")</f>
        <v/>
      </c>
      <c r="H1361" s="10">
        <f>IFERROR(AVERAGE($D$1110:$D$1361),"")</f>
        <v/>
      </c>
      <c r="I1361" s="10" t="n">
        <v>0.1504259188070424</v>
      </c>
      <c r="J1361" t="inlineStr"/>
      <c r="K1361" t="inlineStr"/>
    </row>
    <row r="1362">
      <c r="A1362" s="7" t="inlineStr">
        <is>
          <t>2019-09-23</t>
        </is>
      </c>
      <c r="B1362" s="8">
        <f>IFERROR(VLOOKUP($A1362,'01-原始价格'!$A:$M,2,FALSE),"")</f>
        <v/>
      </c>
      <c r="C1362" s="8">
        <f>IFERROR(VLOOKUP($A1362,'01-原始价格'!$A:$M,8,FALSE),"")</f>
        <v/>
      </c>
      <c r="D1362" s="10">
        <f>IFERROR(B1362/C1362,"")</f>
        <v/>
      </c>
      <c r="E1362" s="10">
        <f>IFERROR(C1362/B1362,"")</f>
        <v/>
      </c>
      <c r="F1362" s="11">
        <f>IFERROR((D1362/D1361-1)*100,"")</f>
        <v/>
      </c>
      <c r="G1362" s="11">
        <f>IFERROR((COUNTIF($D$1111:$D$1362,"&lt;"&amp;D1362)+0.5*COUNTIF($D$1111:$D$1362,D1362))/COUNT($D$1111:$D$1362)*100,"")</f>
        <v/>
      </c>
      <c r="H1362" s="10">
        <f>IFERROR(AVERAGE($D$1111:$D$1362),"")</f>
        <v/>
      </c>
      <c r="I1362" s="10" t="n">
        <v>0.3276630287777783</v>
      </c>
      <c r="J1362" t="inlineStr"/>
      <c r="K1362" t="inlineStr"/>
    </row>
    <row r="1363">
      <c r="A1363" s="7" t="inlineStr">
        <is>
          <t>2019-09-24</t>
        </is>
      </c>
      <c r="B1363" s="8">
        <f>IFERROR(VLOOKUP($A1363,'01-原始价格'!$A:$M,2,FALSE),"")</f>
        <v/>
      </c>
      <c r="C1363" s="8">
        <f>IFERROR(VLOOKUP($A1363,'01-原始价格'!$A:$M,8,FALSE),"")</f>
        <v/>
      </c>
      <c r="D1363" s="10">
        <f>IFERROR(B1363/C1363,"")</f>
        <v/>
      </c>
      <c r="E1363" s="10">
        <f>IFERROR(C1363/B1363,"")</f>
        <v/>
      </c>
      <c r="F1363" s="11">
        <f>IFERROR((D1363/D1362-1)*100,"")</f>
        <v/>
      </c>
      <c r="G1363" s="11">
        <f>IFERROR((COUNTIF($D$1112:$D$1363,"&lt;"&amp;D1363)+0.5*COUNTIF($D$1112:$D$1363,D1363))/COUNT($D$1112:$D$1363)*100,"")</f>
        <v/>
      </c>
      <c r="H1363" s="10">
        <f>IFERROR(AVERAGE($D$1112:$D$1363),"")</f>
        <v/>
      </c>
      <c r="I1363" s="10" t="n">
        <v>0.3499173050011997</v>
      </c>
      <c r="J1363" t="inlineStr"/>
      <c r="K1363" t="inlineStr"/>
    </row>
    <row r="1364">
      <c r="A1364" s="7" t="inlineStr">
        <is>
          <t>2019-09-25</t>
        </is>
      </c>
      <c r="B1364" s="8">
        <f>IFERROR(VLOOKUP($A1364,'01-原始价格'!$A:$M,2,FALSE),"")</f>
        <v/>
      </c>
      <c r="C1364" s="8">
        <f>IFERROR(VLOOKUP($A1364,'01-原始价格'!$A:$M,8,FALSE),"")</f>
        <v/>
      </c>
      <c r="D1364" s="10">
        <f>IFERROR(B1364/C1364,"")</f>
        <v/>
      </c>
      <c r="E1364" s="10">
        <f>IFERROR(C1364/B1364,"")</f>
        <v/>
      </c>
      <c r="F1364" s="11">
        <f>IFERROR((D1364/D1363-1)*100,"")</f>
        <v/>
      </c>
      <c r="G1364" s="11">
        <f>IFERROR((COUNTIF($D$1113:$D$1364,"&lt;"&amp;D1364)+0.5*COUNTIF($D$1113:$D$1364,D1364))/COUNT($D$1113:$D$1364)*100,"")</f>
        <v/>
      </c>
      <c r="H1364" s="10">
        <f>IFERROR(AVERAGE($D$1113:$D$1364),"")</f>
        <v/>
      </c>
      <c r="I1364" s="10" t="n">
        <v>0.509817274803485</v>
      </c>
      <c r="J1364" t="inlineStr"/>
      <c r="K1364" t="inlineStr"/>
    </row>
    <row r="1365">
      <c r="A1365" s="7" t="inlineStr">
        <is>
          <t>2019-09-26</t>
        </is>
      </c>
      <c r="B1365" s="8">
        <f>IFERROR(VLOOKUP($A1365,'01-原始价格'!$A:$M,2,FALSE),"")</f>
        <v/>
      </c>
      <c r="C1365" s="8">
        <f>IFERROR(VLOOKUP($A1365,'01-原始价格'!$A:$M,8,FALSE),"")</f>
        <v/>
      </c>
      <c r="D1365" s="10">
        <f>IFERROR(B1365/C1365,"")</f>
        <v/>
      </c>
      <c r="E1365" s="10">
        <f>IFERROR(C1365/B1365,"")</f>
        <v/>
      </c>
      <c r="F1365" s="11">
        <f>IFERROR((D1365/D1364-1)*100,"")</f>
        <v/>
      </c>
      <c r="G1365" s="11">
        <f>IFERROR((COUNTIF($D$1114:$D$1365,"&lt;"&amp;D1365)+0.5*COUNTIF($D$1114:$D$1365,D1365))/COUNT($D$1114:$D$1365)*100,"")</f>
        <v/>
      </c>
      <c r="H1365" s="10">
        <f>IFERROR(AVERAGE($D$1114:$D$1365),"")</f>
        <v/>
      </c>
      <c r="I1365" s="10" t="n">
        <v>0.5628911898341258</v>
      </c>
      <c r="J1365" t="inlineStr"/>
      <c r="K1365" t="inlineStr"/>
    </row>
    <row r="1366">
      <c r="A1366" s="7" t="inlineStr">
        <is>
          <t>2019-09-27</t>
        </is>
      </c>
      <c r="B1366" s="8">
        <f>IFERROR(VLOOKUP($A1366,'01-原始价格'!$A:$M,2,FALSE),"")</f>
        <v/>
      </c>
      <c r="C1366" s="8">
        <f>IFERROR(VLOOKUP($A1366,'01-原始价格'!$A:$M,8,FALSE),"")</f>
        <v/>
      </c>
      <c r="D1366" s="10">
        <f>IFERROR(B1366/C1366,"")</f>
        <v/>
      </c>
      <c r="E1366" s="10">
        <f>IFERROR(C1366/B1366,"")</f>
        <v/>
      </c>
      <c r="F1366" s="11">
        <f>IFERROR((D1366/D1365-1)*100,"")</f>
        <v/>
      </c>
      <c r="G1366" s="11">
        <f>IFERROR((COUNTIF($D$1115:$D$1366,"&lt;"&amp;D1366)+0.5*COUNTIF($D$1115:$D$1366,D1366))/COUNT($D$1115:$D$1366)*100,"")</f>
        <v/>
      </c>
      <c r="H1366" s="10">
        <f>IFERROR(AVERAGE($D$1115:$D$1366),"")</f>
        <v/>
      </c>
      <c r="I1366" s="10" t="n">
        <v>0.4295419251114409</v>
      </c>
      <c r="J1366" t="inlineStr"/>
      <c r="K1366" t="inlineStr"/>
    </row>
    <row r="1367">
      <c r="A1367" s="7" t="inlineStr">
        <is>
          <t>2019-09-30</t>
        </is>
      </c>
      <c r="B1367" s="8">
        <f>IFERROR(VLOOKUP($A1367,'01-原始价格'!$A:$M,2,FALSE),"")</f>
        <v/>
      </c>
      <c r="C1367" s="8">
        <f>IFERROR(VLOOKUP($A1367,'01-原始价格'!$A:$M,8,FALSE),"")</f>
        <v/>
      </c>
      <c r="D1367" s="10">
        <f>IFERROR(B1367/C1367,"")</f>
        <v/>
      </c>
      <c r="E1367" s="10">
        <f>IFERROR(C1367/B1367,"")</f>
        <v/>
      </c>
      <c r="F1367" s="11">
        <f>IFERROR((D1367/D1366-1)*100,"")</f>
        <v/>
      </c>
      <c r="G1367" s="11">
        <f>IFERROR((COUNTIF($D$1116:$D$1367,"&lt;"&amp;D1367)+0.5*COUNTIF($D$1116:$D$1367,D1367))/COUNT($D$1116:$D$1367)*100,"")</f>
        <v/>
      </c>
      <c r="H1367" s="10">
        <f>IFERROR(AVERAGE($D$1116:$D$1367),"")</f>
        <v/>
      </c>
      <c r="I1367" s="10" t="n">
        <v>0.2652428236213701</v>
      </c>
      <c r="J1367" t="inlineStr"/>
      <c r="K1367" t="inlineStr"/>
    </row>
    <row r="1368">
      <c r="A1368" s="7" t="inlineStr">
        <is>
          <t>2019-10-08</t>
        </is>
      </c>
      <c r="B1368" s="8">
        <f>IFERROR(VLOOKUP($A1368,'01-原始价格'!$A:$M,2,FALSE),"")</f>
        <v/>
      </c>
      <c r="C1368" s="8">
        <f>IFERROR(VLOOKUP($A1368,'01-原始价格'!$A:$M,8,FALSE),"")</f>
        <v/>
      </c>
      <c r="D1368" s="10">
        <f>IFERROR(B1368/C1368,"")</f>
        <v/>
      </c>
      <c r="E1368" s="10">
        <f>IFERROR(C1368/B1368,"")</f>
        <v/>
      </c>
      <c r="F1368" s="11">
        <f>IFERROR((D1368/D1367-1)*100,"")</f>
        <v/>
      </c>
      <c r="G1368" s="11">
        <f>IFERROR((COUNTIF($D$1117:$D$1368,"&lt;"&amp;D1368)+0.5*COUNTIF($D$1117:$D$1368,D1368))/COUNT($D$1117:$D$1368)*100,"")</f>
        <v/>
      </c>
      <c r="H1368" s="10">
        <f>IFERROR(AVERAGE($D$1117:$D$1368),"")</f>
        <v/>
      </c>
      <c r="I1368" s="10" t="n">
        <v>0.5298396209160858</v>
      </c>
      <c r="J1368" t="inlineStr"/>
      <c r="K1368" t="inlineStr"/>
    </row>
    <row r="1369">
      <c r="A1369" s="7" t="inlineStr">
        <is>
          <t>2019-10-09</t>
        </is>
      </c>
      <c r="B1369" s="8">
        <f>IFERROR(VLOOKUP($A1369,'01-原始价格'!$A:$M,2,FALSE),"")</f>
        <v/>
      </c>
      <c r="C1369" s="8">
        <f>IFERROR(VLOOKUP($A1369,'01-原始价格'!$A:$M,8,FALSE),"")</f>
        <v/>
      </c>
      <c r="D1369" s="10">
        <f>IFERROR(B1369/C1369,"")</f>
        <v/>
      </c>
      <c r="E1369" s="10">
        <f>IFERROR(C1369/B1369,"")</f>
        <v/>
      </c>
      <c r="F1369" s="11">
        <f>IFERROR((D1369/D1368-1)*100,"")</f>
        <v/>
      </c>
      <c r="G1369" s="11">
        <f>IFERROR((COUNTIF($D$1118:$D$1369,"&lt;"&amp;D1369)+0.5*COUNTIF($D$1118:$D$1369,D1369))/COUNT($D$1118:$D$1369)*100,"")</f>
        <v/>
      </c>
      <c r="H1369" s="10">
        <f>IFERROR(AVERAGE($D$1118:$D$1369),"")</f>
        <v/>
      </c>
      <c r="I1369" s="10" t="n">
        <v>0.6188306932569438</v>
      </c>
      <c r="J1369" t="inlineStr"/>
      <c r="K1369" t="inlineStr"/>
    </row>
    <row r="1370">
      <c r="A1370" s="7" t="inlineStr">
        <is>
          <t>2019-10-10</t>
        </is>
      </c>
      <c r="B1370" s="8">
        <f>IFERROR(VLOOKUP($A1370,'01-原始价格'!$A:$M,2,FALSE),"")</f>
        <v/>
      </c>
      <c r="C1370" s="8">
        <f>IFERROR(VLOOKUP($A1370,'01-原始价格'!$A:$M,8,FALSE),"")</f>
        <v/>
      </c>
      <c r="D1370" s="10">
        <f>IFERROR(B1370/C1370,"")</f>
        <v/>
      </c>
      <c r="E1370" s="10">
        <f>IFERROR(C1370/B1370,"")</f>
        <v/>
      </c>
      <c r="F1370" s="11">
        <f>IFERROR((D1370/D1369-1)*100,"")</f>
        <v/>
      </c>
      <c r="G1370" s="11">
        <f>IFERROR((COUNTIF($D$1119:$D$1370,"&lt;"&amp;D1370)+0.5*COUNTIF($D$1119:$D$1370,D1370))/COUNT($D$1119:$D$1370)*100,"")</f>
        <v/>
      </c>
      <c r="H1370" s="10">
        <f>IFERROR(AVERAGE($D$1119:$D$1370),"")</f>
        <v/>
      </c>
      <c r="I1370" s="10" t="n">
        <v>0.5498922358997361</v>
      </c>
      <c r="J1370" t="inlineStr"/>
      <c r="K1370" t="inlineStr"/>
    </row>
    <row r="1371">
      <c r="A1371" s="7" t="inlineStr">
        <is>
          <t>2019-10-11</t>
        </is>
      </c>
      <c r="B1371" s="8">
        <f>IFERROR(VLOOKUP($A1371,'01-原始价格'!$A:$M,2,FALSE),"")</f>
        <v/>
      </c>
      <c r="C1371" s="8">
        <f>IFERROR(VLOOKUP($A1371,'01-原始价格'!$A:$M,8,FALSE),"")</f>
        <v/>
      </c>
      <c r="D1371" s="10">
        <f>IFERROR(B1371/C1371,"")</f>
        <v/>
      </c>
      <c r="E1371" s="10">
        <f>IFERROR(C1371/B1371,"")</f>
        <v/>
      </c>
      <c r="F1371" s="11">
        <f>IFERROR((D1371/D1370-1)*100,"")</f>
        <v/>
      </c>
      <c r="G1371" s="11">
        <f>IFERROR((COUNTIF($D$1120:$D$1371,"&lt;"&amp;D1371)+0.5*COUNTIF($D$1120:$D$1371,D1371))/COUNT($D$1120:$D$1371)*100,"")</f>
        <v/>
      </c>
      <c r="H1371" s="10">
        <f>IFERROR(AVERAGE($D$1120:$D$1371),"")</f>
        <v/>
      </c>
      <c r="I1371" s="10" t="n">
        <v>0.4704655049431442</v>
      </c>
      <c r="J1371" t="inlineStr"/>
      <c r="K1371" t="inlineStr"/>
    </row>
    <row r="1372">
      <c r="A1372" s="7" t="inlineStr">
        <is>
          <t>2019-10-14</t>
        </is>
      </c>
      <c r="B1372" s="8">
        <f>IFERROR(VLOOKUP($A1372,'01-原始价格'!$A:$M,2,FALSE),"")</f>
        <v/>
      </c>
      <c r="C1372" s="8">
        <f>IFERROR(VLOOKUP($A1372,'01-原始价格'!$A:$M,8,FALSE),"")</f>
        <v/>
      </c>
      <c r="D1372" s="10">
        <f>IFERROR(B1372/C1372,"")</f>
        <v/>
      </c>
      <c r="E1372" s="10">
        <f>IFERROR(C1372/B1372,"")</f>
        <v/>
      </c>
      <c r="F1372" s="11">
        <f>IFERROR((D1372/D1371-1)*100,"")</f>
        <v/>
      </c>
      <c r="G1372" s="11">
        <f>IFERROR((COUNTIF($D$1121:$D$1372,"&lt;"&amp;D1372)+0.5*COUNTIF($D$1121:$D$1372,D1372))/COUNT($D$1121:$D$1372)*100,"")</f>
        <v/>
      </c>
      <c r="H1372" s="10">
        <f>IFERROR(AVERAGE($D$1121:$D$1372),"")</f>
        <v/>
      </c>
      <c r="I1372" s="10" t="n">
        <v>0.4369931641543528</v>
      </c>
      <c r="J1372" t="inlineStr"/>
      <c r="K1372" t="inlineStr"/>
    </row>
    <row r="1373">
      <c r="A1373" s="7" t="inlineStr">
        <is>
          <t>2019-10-15</t>
        </is>
      </c>
      <c r="B1373" s="8">
        <f>IFERROR(VLOOKUP($A1373,'01-原始价格'!$A:$M,2,FALSE),"")</f>
        <v/>
      </c>
      <c r="C1373" s="8">
        <f>IFERROR(VLOOKUP($A1373,'01-原始价格'!$A:$M,8,FALSE),"")</f>
        <v/>
      </c>
      <c r="D1373" s="10">
        <f>IFERROR(B1373/C1373,"")</f>
        <v/>
      </c>
      <c r="E1373" s="10">
        <f>IFERROR(C1373/B1373,"")</f>
        <v/>
      </c>
      <c r="F1373" s="11">
        <f>IFERROR((D1373/D1372-1)*100,"")</f>
        <v/>
      </c>
      <c r="G1373" s="11">
        <f>IFERROR((COUNTIF($D$1122:$D$1373,"&lt;"&amp;D1373)+0.5*COUNTIF($D$1122:$D$1373,D1373))/COUNT($D$1122:$D$1373)*100,"")</f>
        <v/>
      </c>
      <c r="H1373" s="10">
        <f>IFERROR(AVERAGE($D$1122:$D$1373),"")</f>
        <v/>
      </c>
      <c r="I1373" s="10" t="n">
        <v>0.4703098037794048</v>
      </c>
      <c r="J1373" t="inlineStr"/>
      <c r="K1373" t="inlineStr"/>
    </row>
    <row r="1374">
      <c r="A1374" s="7" t="inlineStr">
        <is>
          <t>2019-10-16</t>
        </is>
      </c>
      <c r="B1374" s="8">
        <f>IFERROR(VLOOKUP($A1374,'01-原始价格'!$A:$M,2,FALSE),"")</f>
        <v/>
      </c>
      <c r="C1374" s="8">
        <f>IFERROR(VLOOKUP($A1374,'01-原始价格'!$A:$M,8,FALSE),"")</f>
        <v/>
      </c>
      <c r="D1374" s="10">
        <f>IFERROR(B1374/C1374,"")</f>
        <v/>
      </c>
      <c r="E1374" s="10">
        <f>IFERROR(C1374/B1374,"")</f>
        <v/>
      </c>
      <c r="F1374" s="11">
        <f>IFERROR((D1374/D1373-1)*100,"")</f>
        <v/>
      </c>
      <c r="G1374" s="11">
        <f>IFERROR((COUNTIF($D$1123:$D$1374,"&lt;"&amp;D1374)+0.5*COUNTIF($D$1123:$D$1374,D1374))/COUNT($D$1123:$D$1374)*100,"")</f>
        <v/>
      </c>
      <c r="H1374" s="10">
        <f>IFERROR(AVERAGE($D$1123:$D$1374),"")</f>
        <v/>
      </c>
      <c r="I1374" s="10" t="n">
        <v>0.6943679221910489</v>
      </c>
      <c r="J1374" t="inlineStr"/>
      <c r="K1374" t="inlineStr"/>
    </row>
    <row r="1375">
      <c r="A1375" s="7" t="inlineStr">
        <is>
          <t>2019-10-17</t>
        </is>
      </c>
      <c r="B1375" s="8">
        <f>IFERROR(VLOOKUP($A1375,'01-原始价格'!$A:$M,2,FALSE),"")</f>
        <v/>
      </c>
      <c r="C1375" s="8">
        <f>IFERROR(VLOOKUP($A1375,'01-原始价格'!$A:$M,8,FALSE),"")</f>
        <v/>
      </c>
      <c r="D1375" s="10">
        <f>IFERROR(B1375/C1375,"")</f>
        <v/>
      </c>
      <c r="E1375" s="10">
        <f>IFERROR(C1375/B1375,"")</f>
        <v/>
      </c>
      <c r="F1375" s="11">
        <f>IFERROR((D1375/D1374-1)*100,"")</f>
        <v/>
      </c>
      <c r="G1375" s="11">
        <f>IFERROR((COUNTIF($D$1124:$D$1375,"&lt;"&amp;D1375)+0.5*COUNTIF($D$1124:$D$1375,D1375))/COUNT($D$1124:$D$1375)*100,"")</f>
        <v/>
      </c>
      <c r="H1375" s="10">
        <f>IFERROR(AVERAGE($D$1124:$D$1375),"")</f>
        <v/>
      </c>
      <c r="I1375" s="10" t="n">
        <v>0.6280521604889422</v>
      </c>
      <c r="J1375" t="inlineStr"/>
      <c r="K1375" t="inlineStr"/>
    </row>
    <row r="1376">
      <c r="A1376" s="7" t="inlineStr">
        <is>
          <t>2019-10-18</t>
        </is>
      </c>
      <c r="B1376" s="8">
        <f>IFERROR(VLOOKUP($A1376,'01-原始价格'!$A:$M,2,FALSE),"")</f>
        <v/>
      </c>
      <c r="C1376" s="8">
        <f>IFERROR(VLOOKUP($A1376,'01-原始价格'!$A:$M,8,FALSE),"")</f>
        <v/>
      </c>
      <c r="D1376" s="10">
        <f>IFERROR(B1376/C1376,"")</f>
        <v/>
      </c>
      <c r="E1376" s="10">
        <f>IFERROR(C1376/B1376,"")</f>
        <v/>
      </c>
      <c r="F1376" s="11">
        <f>IFERROR((D1376/D1375-1)*100,"")</f>
        <v/>
      </c>
      <c r="G1376" s="11">
        <f>IFERROR((COUNTIF($D$1125:$D$1376,"&lt;"&amp;D1376)+0.5*COUNTIF($D$1125:$D$1376,D1376))/COUNT($D$1125:$D$1376)*100,"")</f>
        <v/>
      </c>
      <c r="H1376" s="10">
        <f>IFERROR(AVERAGE($D$1125:$D$1376),"")</f>
        <v/>
      </c>
      <c r="I1376" s="10" t="n">
        <v>0.572513568318747</v>
      </c>
      <c r="J1376" t="inlineStr"/>
      <c r="K1376" t="inlineStr"/>
    </row>
    <row r="1377">
      <c r="A1377" s="7" t="inlineStr">
        <is>
          <t>2019-10-21</t>
        </is>
      </c>
      <c r="B1377" s="8">
        <f>IFERROR(VLOOKUP($A1377,'01-原始价格'!$A:$M,2,FALSE),"")</f>
        <v/>
      </c>
      <c r="C1377" s="8">
        <f>IFERROR(VLOOKUP($A1377,'01-原始价格'!$A:$M,8,FALSE),"")</f>
        <v/>
      </c>
      <c r="D1377" s="10">
        <f>IFERROR(B1377/C1377,"")</f>
        <v/>
      </c>
      <c r="E1377" s="10">
        <f>IFERROR(C1377/B1377,"")</f>
        <v/>
      </c>
      <c r="F1377" s="11">
        <f>IFERROR((D1377/D1376-1)*100,"")</f>
        <v/>
      </c>
      <c r="G1377" s="11">
        <f>IFERROR((COUNTIF($D$1126:$D$1377,"&lt;"&amp;D1377)+0.5*COUNTIF($D$1126:$D$1377,D1377))/COUNT($D$1126:$D$1377)*100,"")</f>
        <v/>
      </c>
      <c r="H1377" s="10">
        <f>IFERROR(AVERAGE($D$1126:$D$1377),"")</f>
        <v/>
      </c>
      <c r="I1377" s="10" t="n">
        <v>0.6038465989786339</v>
      </c>
      <c r="J1377" t="inlineStr"/>
      <c r="K1377" t="inlineStr"/>
    </row>
    <row r="1378">
      <c r="A1378" s="7" t="inlineStr">
        <is>
          <t>2019-10-22</t>
        </is>
      </c>
      <c r="B1378" s="8">
        <f>IFERROR(VLOOKUP($A1378,'01-原始价格'!$A:$M,2,FALSE),"")</f>
        <v/>
      </c>
      <c r="C1378" s="8">
        <f>IFERROR(VLOOKUP($A1378,'01-原始价格'!$A:$M,8,FALSE),"")</f>
        <v/>
      </c>
      <c r="D1378" s="10">
        <f>IFERROR(B1378/C1378,"")</f>
        <v/>
      </c>
      <c r="E1378" s="10">
        <f>IFERROR(C1378/B1378,"")</f>
        <v/>
      </c>
      <c r="F1378" s="11">
        <f>IFERROR((D1378/D1377-1)*100,"")</f>
        <v/>
      </c>
      <c r="G1378" s="11">
        <f>IFERROR((COUNTIF($D$1127:$D$1378,"&lt;"&amp;D1378)+0.5*COUNTIF($D$1127:$D$1378,D1378))/COUNT($D$1127:$D$1378)*100,"")</f>
        <v/>
      </c>
      <c r="H1378" s="10">
        <f>IFERROR(AVERAGE($D$1127:$D$1378),"")</f>
        <v/>
      </c>
      <c r="I1378" s="10" t="n">
        <v>0.6421208874319572</v>
      </c>
      <c r="J1378" t="inlineStr"/>
      <c r="K1378" t="inlineStr"/>
    </row>
    <row r="1379">
      <c r="A1379" s="7" t="inlineStr">
        <is>
          <t>2019-10-23</t>
        </is>
      </c>
      <c r="B1379" s="8">
        <f>IFERROR(VLOOKUP($A1379,'01-原始价格'!$A:$M,2,FALSE),"")</f>
        <v/>
      </c>
      <c r="C1379" s="8">
        <f>IFERROR(VLOOKUP($A1379,'01-原始价格'!$A:$M,8,FALSE),"")</f>
        <v/>
      </c>
      <c r="D1379" s="10">
        <f>IFERROR(B1379/C1379,"")</f>
        <v/>
      </c>
      <c r="E1379" s="10">
        <f>IFERROR(C1379/B1379,"")</f>
        <v/>
      </c>
      <c r="F1379" s="11">
        <f>IFERROR((D1379/D1378-1)*100,"")</f>
        <v/>
      </c>
      <c r="G1379" s="11">
        <f>IFERROR((COUNTIF($D$1128:$D$1379,"&lt;"&amp;D1379)+0.5*COUNTIF($D$1128:$D$1379,D1379))/COUNT($D$1128:$D$1379)*100,"")</f>
        <v/>
      </c>
      <c r="H1379" s="10">
        <f>IFERROR(AVERAGE($D$1128:$D$1379),"")</f>
        <v/>
      </c>
      <c r="I1379" s="10" t="n">
        <v>0.4192896828907748</v>
      </c>
      <c r="J1379" t="inlineStr"/>
      <c r="K1379" t="inlineStr"/>
    </row>
    <row r="1380">
      <c r="A1380" s="7" t="inlineStr">
        <is>
          <t>2019-10-24</t>
        </is>
      </c>
      <c r="B1380" s="8">
        <f>IFERROR(VLOOKUP($A1380,'01-原始价格'!$A:$M,2,FALSE),"")</f>
        <v/>
      </c>
      <c r="C1380" s="8">
        <f>IFERROR(VLOOKUP($A1380,'01-原始价格'!$A:$M,8,FALSE),"")</f>
        <v/>
      </c>
      <c r="D1380" s="10">
        <f>IFERROR(B1380/C1380,"")</f>
        <v/>
      </c>
      <c r="E1380" s="10">
        <f>IFERROR(C1380/B1380,"")</f>
        <v/>
      </c>
      <c r="F1380" s="11">
        <f>IFERROR((D1380/D1379-1)*100,"")</f>
        <v/>
      </c>
      <c r="G1380" s="11">
        <f>IFERROR((COUNTIF($D$1129:$D$1380,"&lt;"&amp;D1380)+0.5*COUNTIF($D$1129:$D$1380,D1380))/COUNT($D$1129:$D$1380)*100,"")</f>
        <v/>
      </c>
      <c r="H1380" s="10">
        <f>IFERROR(AVERAGE($D$1129:$D$1380),"")</f>
        <v/>
      </c>
      <c r="I1380" s="10" t="n">
        <v>0.4755914023260225</v>
      </c>
      <c r="J1380" t="inlineStr"/>
      <c r="K1380" t="inlineStr"/>
    </row>
    <row r="1381">
      <c r="A1381" s="7" t="inlineStr">
        <is>
          <t>2019-10-25</t>
        </is>
      </c>
      <c r="B1381" s="8">
        <f>IFERROR(VLOOKUP($A1381,'01-原始价格'!$A:$M,2,FALSE),"")</f>
        <v/>
      </c>
      <c r="C1381" s="8">
        <f>IFERROR(VLOOKUP($A1381,'01-原始价格'!$A:$M,8,FALSE),"")</f>
        <v/>
      </c>
      <c r="D1381" s="10">
        <f>IFERROR(B1381/C1381,"")</f>
        <v/>
      </c>
      <c r="E1381" s="10">
        <f>IFERROR(C1381/B1381,"")</f>
        <v/>
      </c>
      <c r="F1381" s="11">
        <f>IFERROR((D1381/D1380-1)*100,"")</f>
        <v/>
      </c>
      <c r="G1381" s="11">
        <f>IFERROR((COUNTIF($D$1130:$D$1381,"&lt;"&amp;D1381)+0.5*COUNTIF($D$1130:$D$1381,D1381))/COUNT($D$1130:$D$1381)*100,"")</f>
        <v/>
      </c>
      <c r="H1381" s="10">
        <f>IFERROR(AVERAGE($D$1130:$D$1381),"")</f>
        <v/>
      </c>
      <c r="I1381" s="10" t="n">
        <v>0.5269769295357919</v>
      </c>
      <c r="J1381" t="inlineStr"/>
      <c r="K1381" t="inlineStr"/>
    </row>
    <row r="1382">
      <c r="A1382" s="7" t="inlineStr">
        <is>
          <t>2019-10-28</t>
        </is>
      </c>
      <c r="B1382" s="8">
        <f>IFERROR(VLOOKUP($A1382,'01-原始价格'!$A:$M,2,FALSE),"")</f>
        <v/>
      </c>
      <c r="C1382" s="8">
        <f>IFERROR(VLOOKUP($A1382,'01-原始价格'!$A:$M,8,FALSE),"")</f>
        <v/>
      </c>
      <c r="D1382" s="10">
        <f>IFERROR(B1382/C1382,"")</f>
        <v/>
      </c>
      <c r="E1382" s="10">
        <f>IFERROR(C1382/B1382,"")</f>
        <v/>
      </c>
      <c r="F1382" s="11">
        <f>IFERROR((D1382/D1381-1)*100,"")</f>
        <v/>
      </c>
      <c r="G1382" s="11">
        <f>IFERROR((COUNTIF($D$1131:$D$1382,"&lt;"&amp;D1382)+0.5*COUNTIF($D$1131:$D$1382,D1382))/COUNT($D$1131:$D$1382)*100,"")</f>
        <v/>
      </c>
      <c r="H1382" s="10">
        <f>IFERROR(AVERAGE($D$1131:$D$1382),"")</f>
        <v/>
      </c>
      <c r="I1382" s="10" t="n">
        <v>0.2980982955423251</v>
      </c>
      <c r="J1382" t="inlineStr"/>
      <c r="K1382" t="inlineStr"/>
    </row>
    <row r="1383">
      <c r="A1383" s="7" t="inlineStr">
        <is>
          <t>2019-10-29</t>
        </is>
      </c>
      <c r="B1383" s="8">
        <f>IFERROR(VLOOKUP($A1383,'01-原始价格'!$A:$M,2,FALSE),"")</f>
        <v/>
      </c>
      <c r="C1383" s="8">
        <f>IFERROR(VLOOKUP($A1383,'01-原始价格'!$A:$M,8,FALSE),"")</f>
        <v/>
      </c>
      <c r="D1383" s="10">
        <f>IFERROR(B1383/C1383,"")</f>
        <v/>
      </c>
      <c r="E1383" s="10">
        <f>IFERROR(C1383/B1383,"")</f>
        <v/>
      </c>
      <c r="F1383" s="11">
        <f>IFERROR((D1383/D1382-1)*100,"")</f>
        <v/>
      </c>
      <c r="G1383" s="11">
        <f>IFERROR((COUNTIF($D$1132:$D$1383,"&lt;"&amp;D1383)+0.5*COUNTIF($D$1132:$D$1383,D1383))/COUNT($D$1132:$D$1383)*100,"")</f>
        <v/>
      </c>
      <c r="H1383" s="10">
        <f>IFERROR(AVERAGE($D$1132:$D$1383),"")</f>
        <v/>
      </c>
      <c r="I1383" s="10" t="n">
        <v>0.2101738357231735</v>
      </c>
      <c r="J1383" t="inlineStr"/>
      <c r="K1383" t="inlineStr"/>
    </row>
    <row r="1384">
      <c r="A1384" s="7" t="inlineStr">
        <is>
          <t>2019-10-30</t>
        </is>
      </c>
      <c r="B1384" s="8">
        <f>IFERROR(VLOOKUP($A1384,'01-原始价格'!$A:$M,2,FALSE),"")</f>
        <v/>
      </c>
      <c r="C1384" s="8">
        <f>IFERROR(VLOOKUP($A1384,'01-原始价格'!$A:$M,8,FALSE),"")</f>
        <v/>
      </c>
      <c r="D1384" s="10">
        <f>IFERROR(B1384/C1384,"")</f>
        <v/>
      </c>
      <c r="E1384" s="10">
        <f>IFERROR(C1384/B1384,"")</f>
        <v/>
      </c>
      <c r="F1384" s="11">
        <f>IFERROR((D1384/D1383-1)*100,"")</f>
        <v/>
      </c>
      <c r="G1384" s="11">
        <f>IFERROR((COUNTIF($D$1133:$D$1384,"&lt;"&amp;D1384)+0.5*COUNTIF($D$1133:$D$1384,D1384))/COUNT($D$1133:$D$1384)*100,"")</f>
        <v/>
      </c>
      <c r="H1384" s="10">
        <f>IFERROR(AVERAGE($D$1133:$D$1384),"")</f>
        <v/>
      </c>
      <c r="I1384" s="10" t="n">
        <v>0.2062391639213103</v>
      </c>
      <c r="J1384" t="inlineStr"/>
      <c r="K1384" t="inlineStr"/>
    </row>
    <row r="1385">
      <c r="A1385" s="7" t="inlineStr">
        <is>
          <t>2019-10-31</t>
        </is>
      </c>
      <c r="B1385" s="8">
        <f>IFERROR(VLOOKUP($A1385,'01-原始价格'!$A:$M,2,FALSE),"")</f>
        <v/>
      </c>
      <c r="C1385" s="8">
        <f>IFERROR(VLOOKUP($A1385,'01-原始价格'!$A:$M,8,FALSE),"")</f>
        <v/>
      </c>
      <c r="D1385" s="10">
        <f>IFERROR(B1385/C1385,"")</f>
        <v/>
      </c>
      <c r="E1385" s="10">
        <f>IFERROR(C1385/B1385,"")</f>
        <v/>
      </c>
      <c r="F1385" s="11">
        <f>IFERROR((D1385/D1384-1)*100,"")</f>
        <v/>
      </c>
      <c r="G1385" s="11">
        <f>IFERROR((COUNTIF($D$1134:$D$1385,"&lt;"&amp;D1385)+0.5*COUNTIF($D$1134:$D$1385,D1385))/COUNT($D$1134:$D$1385)*100,"")</f>
        <v/>
      </c>
      <c r="H1385" s="10">
        <f>IFERROR(AVERAGE($D$1134:$D$1385),"")</f>
        <v/>
      </c>
      <c r="I1385" s="10" t="n">
        <v>-0.04536379855949337</v>
      </c>
      <c r="J1385" t="inlineStr"/>
      <c r="K1385" t="inlineStr"/>
    </row>
    <row r="1386">
      <c r="A1386" s="7" t="inlineStr">
        <is>
          <t>2019-11-01</t>
        </is>
      </c>
      <c r="B1386" s="8">
        <f>IFERROR(VLOOKUP($A1386,'01-原始价格'!$A:$M,2,FALSE),"")</f>
        <v/>
      </c>
      <c r="C1386" s="8">
        <f>IFERROR(VLOOKUP($A1386,'01-原始价格'!$A:$M,8,FALSE),"")</f>
        <v/>
      </c>
      <c r="D1386" s="10">
        <f>IFERROR(B1386/C1386,"")</f>
        <v/>
      </c>
      <c r="E1386" s="10">
        <f>IFERROR(C1386/B1386,"")</f>
        <v/>
      </c>
      <c r="F1386" s="11">
        <f>IFERROR((D1386/D1385-1)*100,"")</f>
        <v/>
      </c>
      <c r="G1386" s="11">
        <f>IFERROR((COUNTIF($D$1135:$D$1386,"&lt;"&amp;D1386)+0.5*COUNTIF($D$1135:$D$1386,D1386))/COUNT($D$1135:$D$1386)*100,"")</f>
        <v/>
      </c>
      <c r="H1386" s="10">
        <f>IFERROR(AVERAGE($D$1135:$D$1386),"")</f>
        <v/>
      </c>
      <c r="I1386" s="10" t="n">
        <v>0.2211687077814173</v>
      </c>
      <c r="J1386" t="inlineStr"/>
      <c r="K1386" t="inlineStr"/>
    </row>
    <row r="1387">
      <c r="A1387" s="7" t="inlineStr">
        <is>
          <t>2019-11-04</t>
        </is>
      </c>
      <c r="B1387" s="8">
        <f>IFERROR(VLOOKUP($A1387,'01-原始价格'!$A:$M,2,FALSE),"")</f>
        <v/>
      </c>
      <c r="C1387" s="8">
        <f>IFERROR(VLOOKUP($A1387,'01-原始价格'!$A:$M,8,FALSE),"")</f>
        <v/>
      </c>
      <c r="D1387" s="10">
        <f>IFERROR(B1387/C1387,"")</f>
        <v/>
      </c>
      <c r="E1387" s="10">
        <f>IFERROR(C1387/B1387,"")</f>
        <v/>
      </c>
      <c r="F1387" s="11">
        <f>IFERROR((D1387/D1386-1)*100,"")</f>
        <v/>
      </c>
      <c r="G1387" s="11">
        <f>IFERROR((COUNTIF($D$1136:$D$1387,"&lt;"&amp;D1387)+0.5*COUNTIF($D$1136:$D$1387,D1387))/COUNT($D$1136:$D$1387)*100,"")</f>
        <v/>
      </c>
      <c r="H1387" s="10">
        <f>IFERROR(AVERAGE($D$1136:$D$1387),"")</f>
        <v/>
      </c>
      <c r="I1387" s="10" t="n">
        <v>0.1903822030676811</v>
      </c>
      <c r="J1387" t="inlineStr"/>
      <c r="K1387" t="inlineStr"/>
    </row>
    <row r="1388">
      <c r="A1388" s="7" t="inlineStr">
        <is>
          <t>2019-11-05</t>
        </is>
      </c>
      <c r="B1388" s="8">
        <f>IFERROR(VLOOKUP($A1388,'01-原始价格'!$A:$M,2,FALSE),"")</f>
        <v/>
      </c>
      <c r="C1388" s="8">
        <f>IFERROR(VLOOKUP($A1388,'01-原始价格'!$A:$M,8,FALSE),"")</f>
        <v/>
      </c>
      <c r="D1388" s="10">
        <f>IFERROR(B1388/C1388,"")</f>
        <v/>
      </c>
      <c r="E1388" s="10">
        <f>IFERROR(C1388/B1388,"")</f>
        <v/>
      </c>
      <c r="F1388" s="11">
        <f>IFERROR((D1388/D1387-1)*100,"")</f>
        <v/>
      </c>
      <c r="G1388" s="11">
        <f>IFERROR((COUNTIF($D$1137:$D$1388,"&lt;"&amp;D1388)+0.5*COUNTIF($D$1137:$D$1388,D1388))/COUNT($D$1137:$D$1388)*100,"")</f>
        <v/>
      </c>
      <c r="H1388" s="10">
        <f>IFERROR(AVERAGE($D$1137:$D$1388),"")</f>
        <v/>
      </c>
      <c r="I1388" s="10" t="n">
        <v>0.4013735202845058</v>
      </c>
      <c r="J1388" t="inlineStr"/>
      <c r="K1388" t="inlineStr"/>
    </row>
    <row r="1389">
      <c r="A1389" s="7" t="inlineStr">
        <is>
          <t>2019-11-06</t>
        </is>
      </c>
      <c r="B1389" s="8">
        <f>IFERROR(VLOOKUP($A1389,'01-原始价格'!$A:$M,2,FALSE),"")</f>
        <v/>
      </c>
      <c r="C1389" s="8">
        <f>IFERROR(VLOOKUP($A1389,'01-原始价格'!$A:$M,8,FALSE),"")</f>
        <v/>
      </c>
      <c r="D1389" s="10">
        <f>IFERROR(B1389/C1389,"")</f>
        <v/>
      </c>
      <c r="E1389" s="10">
        <f>IFERROR(C1389/B1389,"")</f>
        <v/>
      </c>
      <c r="F1389" s="11">
        <f>IFERROR((D1389/D1388-1)*100,"")</f>
        <v/>
      </c>
      <c r="G1389" s="11">
        <f>IFERROR((COUNTIF($D$1138:$D$1389,"&lt;"&amp;D1389)+0.5*COUNTIF($D$1138:$D$1389,D1389))/COUNT($D$1138:$D$1389)*100,"")</f>
        <v/>
      </c>
      <c r="H1389" s="10">
        <f>IFERROR(AVERAGE($D$1138:$D$1389),"")</f>
        <v/>
      </c>
      <c r="I1389" s="10" t="n">
        <v>0.4681831924759715</v>
      </c>
      <c r="J1389" t="inlineStr"/>
      <c r="K1389" t="inlineStr"/>
    </row>
    <row r="1390">
      <c r="A1390" s="7" t="inlineStr">
        <is>
          <t>2019-11-07</t>
        </is>
      </c>
      <c r="B1390" s="8">
        <f>IFERROR(VLOOKUP($A1390,'01-原始价格'!$A:$M,2,FALSE),"")</f>
        <v/>
      </c>
      <c r="C1390" s="8">
        <f>IFERROR(VLOOKUP($A1390,'01-原始价格'!$A:$M,8,FALSE),"")</f>
        <v/>
      </c>
      <c r="D1390" s="10">
        <f>IFERROR(B1390/C1390,"")</f>
        <v/>
      </c>
      <c r="E1390" s="10">
        <f>IFERROR(C1390/B1390,"")</f>
        <v/>
      </c>
      <c r="F1390" s="11">
        <f>IFERROR((D1390/D1389-1)*100,"")</f>
        <v/>
      </c>
      <c r="G1390" s="11">
        <f>IFERROR((COUNTIF($D$1139:$D$1390,"&lt;"&amp;D1390)+0.5*COUNTIF($D$1139:$D$1390,D1390))/COUNT($D$1139:$D$1390)*100,"")</f>
        <v/>
      </c>
      <c r="H1390" s="10">
        <f>IFERROR(AVERAGE($D$1139:$D$1390),"")</f>
        <v/>
      </c>
      <c r="I1390" s="10" t="n">
        <v>0.2436993445337018</v>
      </c>
      <c r="J1390" t="inlineStr"/>
      <c r="K1390" t="inlineStr"/>
    </row>
    <row r="1391">
      <c r="A1391" s="7" t="inlineStr">
        <is>
          <t>2019-11-08</t>
        </is>
      </c>
      <c r="B1391" s="8">
        <f>IFERROR(VLOOKUP($A1391,'01-原始价格'!$A:$M,2,FALSE),"")</f>
        <v/>
      </c>
      <c r="C1391" s="8">
        <f>IFERROR(VLOOKUP($A1391,'01-原始价格'!$A:$M,8,FALSE),"")</f>
        <v/>
      </c>
      <c r="D1391" s="10">
        <f>IFERROR(B1391/C1391,"")</f>
        <v/>
      </c>
      <c r="E1391" s="10">
        <f>IFERROR(C1391/B1391,"")</f>
        <v/>
      </c>
      <c r="F1391" s="11">
        <f>IFERROR((D1391/D1390-1)*100,"")</f>
        <v/>
      </c>
      <c r="G1391" s="11">
        <f>IFERROR((COUNTIF($D$1140:$D$1391,"&lt;"&amp;D1391)+0.5*COUNTIF($D$1140:$D$1391,D1391))/COUNT($D$1140:$D$1391)*100,"")</f>
        <v/>
      </c>
      <c r="H1391" s="10">
        <f>IFERROR(AVERAGE($D$1140:$D$1391),"")</f>
        <v/>
      </c>
      <c r="I1391" s="10" t="n">
        <v>0.5282874075686411</v>
      </c>
      <c r="J1391" t="inlineStr"/>
      <c r="K1391" t="inlineStr"/>
    </row>
    <row r="1392">
      <c r="A1392" s="7" t="inlineStr">
        <is>
          <t>2019-11-11</t>
        </is>
      </c>
      <c r="B1392" s="8">
        <f>IFERROR(VLOOKUP($A1392,'01-原始价格'!$A:$M,2,FALSE),"")</f>
        <v/>
      </c>
      <c r="C1392" s="8">
        <f>IFERROR(VLOOKUP($A1392,'01-原始价格'!$A:$M,8,FALSE),"")</f>
        <v/>
      </c>
      <c r="D1392" s="10">
        <f>IFERROR(B1392/C1392,"")</f>
        <v/>
      </c>
      <c r="E1392" s="10">
        <f>IFERROR(C1392/B1392,"")</f>
        <v/>
      </c>
      <c r="F1392" s="11">
        <f>IFERROR((D1392/D1391-1)*100,"")</f>
        <v/>
      </c>
      <c r="G1392" s="11">
        <f>IFERROR((COUNTIF($D$1141:$D$1392,"&lt;"&amp;D1392)+0.5*COUNTIF($D$1141:$D$1392,D1392))/COUNT($D$1141:$D$1392)*100,"")</f>
        <v/>
      </c>
      <c r="H1392" s="10">
        <f>IFERROR(AVERAGE($D$1141:$D$1392),"")</f>
        <v/>
      </c>
      <c r="I1392" s="10" t="n">
        <v>0.357529577929634</v>
      </c>
      <c r="J1392" t="inlineStr"/>
      <c r="K1392" t="inlineStr"/>
    </row>
    <row r="1393">
      <c r="A1393" s="7" t="inlineStr">
        <is>
          <t>2019-11-12</t>
        </is>
      </c>
      <c r="B1393" s="8">
        <f>IFERROR(VLOOKUP($A1393,'01-原始价格'!$A:$M,2,FALSE),"")</f>
        <v/>
      </c>
      <c r="C1393" s="8">
        <f>IFERROR(VLOOKUP($A1393,'01-原始价格'!$A:$M,8,FALSE),"")</f>
        <v/>
      </c>
      <c r="D1393" s="10">
        <f>IFERROR(B1393/C1393,"")</f>
        <v/>
      </c>
      <c r="E1393" s="10">
        <f>IFERROR(C1393/B1393,"")</f>
        <v/>
      </c>
      <c r="F1393" s="11">
        <f>IFERROR((D1393/D1392-1)*100,"")</f>
        <v/>
      </c>
      <c r="G1393" s="11">
        <f>IFERROR((COUNTIF($D$1142:$D$1393,"&lt;"&amp;D1393)+0.5*COUNTIF($D$1142:$D$1393,D1393))/COUNT($D$1142:$D$1393)*100,"")</f>
        <v/>
      </c>
      <c r="H1393" s="10">
        <f>IFERROR(AVERAGE($D$1142:$D$1393),"")</f>
        <v/>
      </c>
      <c r="I1393" s="10" t="n">
        <v>0.8853195026412071</v>
      </c>
      <c r="J1393" t="inlineStr"/>
      <c r="K1393" t="inlineStr"/>
    </row>
    <row r="1394">
      <c r="A1394" s="7" t="inlineStr">
        <is>
          <t>2019-11-13</t>
        </is>
      </c>
      <c r="B1394" s="8">
        <f>IFERROR(VLOOKUP($A1394,'01-原始价格'!$A:$M,2,FALSE),"")</f>
        <v/>
      </c>
      <c r="C1394" s="8">
        <f>IFERROR(VLOOKUP($A1394,'01-原始价格'!$A:$M,8,FALSE),"")</f>
        <v/>
      </c>
      <c r="D1394" s="10">
        <f>IFERROR(B1394/C1394,"")</f>
        <v/>
      </c>
      <c r="E1394" s="10">
        <f>IFERROR(C1394/B1394,"")</f>
        <v/>
      </c>
      <c r="F1394" s="11">
        <f>IFERROR((D1394/D1393-1)*100,"")</f>
        <v/>
      </c>
      <c r="G1394" s="11">
        <f>IFERROR((COUNTIF($D$1143:$D$1394,"&lt;"&amp;D1394)+0.5*COUNTIF($D$1143:$D$1394,D1394))/COUNT($D$1143:$D$1394)*100,"")</f>
        <v/>
      </c>
      <c r="H1394" s="10">
        <f>IFERROR(AVERAGE($D$1143:$D$1394),"")</f>
        <v/>
      </c>
      <c r="I1394" s="10" t="n">
        <v>0.7421567403324781</v>
      </c>
      <c r="J1394" t="inlineStr"/>
      <c r="K1394" t="inlineStr"/>
    </row>
    <row r="1395">
      <c r="A1395" s="7" t="inlineStr">
        <is>
          <t>2019-11-14</t>
        </is>
      </c>
      <c r="B1395" s="8">
        <f>IFERROR(VLOOKUP($A1395,'01-原始价格'!$A:$M,2,FALSE),"")</f>
        <v/>
      </c>
      <c r="C1395" s="8">
        <f>IFERROR(VLOOKUP($A1395,'01-原始价格'!$A:$M,8,FALSE),"")</f>
        <v/>
      </c>
      <c r="D1395" s="10">
        <f>IFERROR(B1395/C1395,"")</f>
        <v/>
      </c>
      <c r="E1395" s="10">
        <f>IFERROR(C1395/B1395,"")</f>
        <v/>
      </c>
      <c r="F1395" s="11">
        <f>IFERROR((D1395/D1394-1)*100,"")</f>
        <v/>
      </c>
      <c r="G1395" s="11">
        <f>IFERROR((COUNTIF($D$1144:$D$1395,"&lt;"&amp;D1395)+0.5*COUNTIF($D$1144:$D$1395,D1395))/COUNT($D$1144:$D$1395)*100,"")</f>
        <v/>
      </c>
      <c r="H1395" s="10">
        <f>IFERROR(AVERAGE($D$1144:$D$1395),"")</f>
        <v/>
      </c>
      <c r="I1395" s="10" t="n">
        <v>1.095663866285083</v>
      </c>
      <c r="J1395" t="inlineStr"/>
      <c r="K1395" t="inlineStr"/>
    </row>
    <row r="1396">
      <c r="A1396" s="7" t="inlineStr">
        <is>
          <t>2019-11-15</t>
        </is>
      </c>
      <c r="B1396" s="8">
        <f>IFERROR(VLOOKUP($A1396,'01-原始价格'!$A:$M,2,FALSE),"")</f>
        <v/>
      </c>
      <c r="C1396" s="8">
        <f>IFERROR(VLOOKUP($A1396,'01-原始价格'!$A:$M,8,FALSE),"")</f>
        <v/>
      </c>
      <c r="D1396" s="10">
        <f>IFERROR(B1396/C1396,"")</f>
        <v/>
      </c>
      <c r="E1396" s="10">
        <f>IFERROR(C1396/B1396,"")</f>
        <v/>
      </c>
      <c r="F1396" s="11">
        <f>IFERROR((D1396/D1395-1)*100,"")</f>
        <v/>
      </c>
      <c r="G1396" s="11">
        <f>IFERROR((COUNTIF($D$1145:$D$1396,"&lt;"&amp;D1396)+0.5*COUNTIF($D$1145:$D$1396,D1396))/COUNT($D$1145:$D$1396)*100,"")</f>
        <v/>
      </c>
      <c r="H1396" s="10">
        <f>IFERROR(AVERAGE($D$1145:$D$1396),"")</f>
        <v/>
      </c>
      <c r="I1396" s="10" t="n">
        <v>0.6005898636865612</v>
      </c>
      <c r="J1396" t="inlineStr"/>
      <c r="K1396" t="inlineStr"/>
    </row>
    <row r="1397">
      <c r="A1397" s="7" t="inlineStr">
        <is>
          <t>2019-11-18</t>
        </is>
      </c>
      <c r="B1397" s="8">
        <f>IFERROR(VLOOKUP($A1397,'01-原始价格'!$A:$M,2,FALSE),"")</f>
        <v/>
      </c>
      <c r="C1397" s="8">
        <f>IFERROR(VLOOKUP($A1397,'01-原始价格'!$A:$M,8,FALSE),"")</f>
        <v/>
      </c>
      <c r="D1397" s="10">
        <f>IFERROR(B1397/C1397,"")</f>
        <v/>
      </c>
      <c r="E1397" s="10">
        <f>IFERROR(C1397/B1397,"")</f>
        <v/>
      </c>
      <c r="F1397" s="11">
        <f>IFERROR((D1397/D1396-1)*100,"")</f>
        <v/>
      </c>
      <c r="G1397" s="11">
        <f>IFERROR((COUNTIF($D$1146:$D$1397,"&lt;"&amp;D1397)+0.5*COUNTIF($D$1146:$D$1397,D1397))/COUNT($D$1146:$D$1397)*100,"")</f>
        <v/>
      </c>
      <c r="H1397" s="10">
        <f>IFERROR(AVERAGE($D$1146:$D$1397),"")</f>
        <v/>
      </c>
      <c r="I1397" s="10" t="n">
        <v>0.6148797387981519</v>
      </c>
      <c r="J1397" t="inlineStr"/>
      <c r="K1397" t="inlineStr"/>
    </row>
    <row r="1398">
      <c r="A1398" s="7" t="inlineStr">
        <is>
          <t>2019-11-19</t>
        </is>
      </c>
      <c r="B1398" s="8">
        <f>IFERROR(VLOOKUP($A1398,'01-原始价格'!$A:$M,2,FALSE),"")</f>
        <v/>
      </c>
      <c r="C1398" s="8">
        <f>IFERROR(VLOOKUP($A1398,'01-原始价格'!$A:$M,8,FALSE),"")</f>
        <v/>
      </c>
      <c r="D1398" s="10">
        <f>IFERROR(B1398/C1398,"")</f>
        <v/>
      </c>
      <c r="E1398" s="10">
        <f>IFERROR(C1398/B1398,"")</f>
        <v/>
      </c>
      <c r="F1398" s="11">
        <f>IFERROR((D1398/D1397-1)*100,"")</f>
        <v/>
      </c>
      <c r="G1398" s="11">
        <f>IFERROR((COUNTIF($D$1147:$D$1398,"&lt;"&amp;D1398)+0.5*COUNTIF($D$1147:$D$1398,D1398))/COUNT($D$1147:$D$1398)*100,"")</f>
        <v/>
      </c>
      <c r="H1398" s="10">
        <f>IFERROR(AVERAGE($D$1147:$D$1398),"")</f>
        <v/>
      </c>
      <c r="I1398" s="10" t="n">
        <v>0.5469006366837514</v>
      </c>
      <c r="J1398" t="inlineStr"/>
      <c r="K1398" t="inlineStr"/>
    </row>
    <row r="1399">
      <c r="A1399" s="7" t="inlineStr">
        <is>
          <t>2019-11-20</t>
        </is>
      </c>
      <c r="B1399" s="8">
        <f>IFERROR(VLOOKUP($A1399,'01-原始价格'!$A:$M,2,FALSE),"")</f>
        <v/>
      </c>
      <c r="C1399" s="8">
        <f>IFERROR(VLOOKUP($A1399,'01-原始价格'!$A:$M,8,FALSE),"")</f>
        <v/>
      </c>
      <c r="D1399" s="10">
        <f>IFERROR(B1399/C1399,"")</f>
        <v/>
      </c>
      <c r="E1399" s="10">
        <f>IFERROR(C1399/B1399,"")</f>
        <v/>
      </c>
      <c r="F1399" s="11">
        <f>IFERROR((D1399/D1398-1)*100,"")</f>
        <v/>
      </c>
      <c r="G1399" s="11">
        <f>IFERROR((COUNTIF($D$1148:$D$1399,"&lt;"&amp;D1399)+0.5*COUNTIF($D$1148:$D$1399,D1399))/COUNT($D$1148:$D$1399)*100,"")</f>
        <v/>
      </c>
      <c r="H1399" s="10">
        <f>IFERROR(AVERAGE($D$1148:$D$1399),"")</f>
        <v/>
      </c>
      <c r="I1399" s="10" t="n">
        <v>0.596493843405427</v>
      </c>
      <c r="J1399" t="inlineStr"/>
      <c r="K1399" t="inlineStr"/>
    </row>
    <row r="1400">
      <c r="A1400" s="7" t="inlineStr">
        <is>
          <t>2019-11-21</t>
        </is>
      </c>
      <c r="B1400" s="8">
        <f>IFERROR(VLOOKUP($A1400,'01-原始价格'!$A:$M,2,FALSE),"")</f>
        <v/>
      </c>
      <c r="C1400" s="8">
        <f>IFERROR(VLOOKUP($A1400,'01-原始价格'!$A:$M,8,FALSE),"")</f>
        <v/>
      </c>
      <c r="D1400" s="10">
        <f>IFERROR(B1400/C1400,"")</f>
        <v/>
      </c>
      <c r="E1400" s="10">
        <f>IFERROR(C1400/B1400,"")</f>
        <v/>
      </c>
      <c r="F1400" s="11">
        <f>IFERROR((D1400/D1399-1)*100,"")</f>
        <v/>
      </c>
      <c r="G1400" s="11">
        <f>IFERROR((COUNTIF($D$1149:$D$1400,"&lt;"&amp;D1400)+0.5*COUNTIF($D$1149:$D$1400,D1400))/COUNT($D$1149:$D$1400)*100,"")</f>
        <v/>
      </c>
      <c r="H1400" s="10">
        <f>IFERROR(AVERAGE($D$1149:$D$1400),"")</f>
        <v/>
      </c>
      <c r="I1400" s="10" t="n">
        <v>0.3604621557061159</v>
      </c>
      <c r="J1400" t="inlineStr"/>
      <c r="K1400" t="inlineStr"/>
    </row>
    <row r="1401">
      <c r="A1401" s="7" t="inlineStr">
        <is>
          <t>2019-11-22</t>
        </is>
      </c>
      <c r="B1401" s="8">
        <f>IFERROR(VLOOKUP($A1401,'01-原始价格'!$A:$M,2,FALSE),"")</f>
        <v/>
      </c>
      <c r="C1401" s="8">
        <f>IFERROR(VLOOKUP($A1401,'01-原始价格'!$A:$M,8,FALSE),"")</f>
        <v/>
      </c>
      <c r="D1401" s="10">
        <f>IFERROR(B1401/C1401,"")</f>
        <v/>
      </c>
      <c r="E1401" s="10">
        <f>IFERROR(C1401/B1401,"")</f>
        <v/>
      </c>
      <c r="F1401" s="11">
        <f>IFERROR((D1401/D1400-1)*100,"")</f>
        <v/>
      </c>
      <c r="G1401" s="11">
        <f>IFERROR((COUNTIF($D$1150:$D$1401,"&lt;"&amp;D1401)+0.5*COUNTIF($D$1150:$D$1401,D1401))/COUNT($D$1150:$D$1401)*100,"")</f>
        <v/>
      </c>
      <c r="H1401" s="10">
        <f>IFERROR(AVERAGE($D$1150:$D$1401),"")</f>
        <v/>
      </c>
      <c r="I1401" s="10" t="n">
        <v>0.5278343542920612</v>
      </c>
      <c r="J1401" t="inlineStr"/>
      <c r="K1401" t="inlineStr"/>
    </row>
    <row r="1402">
      <c r="A1402" s="7" t="inlineStr">
        <is>
          <t>2019-11-25</t>
        </is>
      </c>
      <c r="B1402" s="8">
        <f>IFERROR(VLOOKUP($A1402,'01-原始价格'!$A:$M,2,FALSE),"")</f>
        <v/>
      </c>
      <c r="C1402" s="8">
        <f>IFERROR(VLOOKUP($A1402,'01-原始价格'!$A:$M,8,FALSE),"")</f>
        <v/>
      </c>
      <c r="D1402" s="10">
        <f>IFERROR(B1402/C1402,"")</f>
        <v/>
      </c>
      <c r="E1402" s="10">
        <f>IFERROR(C1402/B1402,"")</f>
        <v/>
      </c>
      <c r="F1402" s="11">
        <f>IFERROR((D1402/D1401-1)*100,"")</f>
        <v/>
      </c>
      <c r="G1402" s="11">
        <f>IFERROR((COUNTIF($D$1151:$D$1402,"&lt;"&amp;D1402)+0.5*COUNTIF($D$1151:$D$1402,D1402))/COUNT($D$1151:$D$1402)*100,"")</f>
        <v/>
      </c>
      <c r="H1402" s="10">
        <f>IFERROR(AVERAGE($D$1151:$D$1402),"")</f>
        <v/>
      </c>
      <c r="I1402" s="10" t="n">
        <v>0.6434755157516764</v>
      </c>
      <c r="J1402" t="inlineStr"/>
      <c r="K1402" t="inlineStr"/>
    </row>
    <row r="1403">
      <c r="A1403" s="7" t="inlineStr">
        <is>
          <t>2019-11-26</t>
        </is>
      </c>
      <c r="B1403" s="8">
        <f>IFERROR(VLOOKUP($A1403,'01-原始价格'!$A:$M,2,FALSE),"")</f>
        <v/>
      </c>
      <c r="C1403" s="8">
        <f>IFERROR(VLOOKUP($A1403,'01-原始价格'!$A:$M,8,FALSE),"")</f>
        <v/>
      </c>
      <c r="D1403" s="10">
        <f>IFERROR(B1403/C1403,"")</f>
        <v/>
      </c>
      <c r="E1403" s="10">
        <f>IFERROR(C1403/B1403,"")</f>
        <v/>
      </c>
      <c r="F1403" s="11">
        <f>IFERROR((D1403/D1402-1)*100,"")</f>
        <v/>
      </c>
      <c r="G1403" s="11">
        <f>IFERROR((COUNTIF($D$1152:$D$1403,"&lt;"&amp;D1403)+0.5*COUNTIF($D$1152:$D$1403,D1403))/COUNT($D$1152:$D$1403)*100,"")</f>
        <v/>
      </c>
      <c r="H1403" s="10">
        <f>IFERROR(AVERAGE($D$1152:$D$1403),"")</f>
        <v/>
      </c>
      <c r="I1403" s="10" t="n">
        <v>0.4689092592315982</v>
      </c>
      <c r="J1403" t="inlineStr"/>
      <c r="K1403" t="inlineStr"/>
    </row>
    <row r="1404">
      <c r="A1404" s="7" t="inlineStr">
        <is>
          <t>2019-11-27</t>
        </is>
      </c>
      <c r="B1404" s="8">
        <f>IFERROR(VLOOKUP($A1404,'01-原始价格'!$A:$M,2,FALSE),"")</f>
        <v/>
      </c>
      <c r="C1404" s="8">
        <f>IFERROR(VLOOKUP($A1404,'01-原始价格'!$A:$M,8,FALSE),"")</f>
        <v/>
      </c>
      <c r="D1404" s="10">
        <f>IFERROR(B1404/C1404,"")</f>
        <v/>
      </c>
      <c r="E1404" s="10">
        <f>IFERROR(C1404/B1404,"")</f>
        <v/>
      </c>
      <c r="F1404" s="11">
        <f>IFERROR((D1404/D1403-1)*100,"")</f>
        <v/>
      </c>
      <c r="G1404" s="11">
        <f>IFERROR((COUNTIF($D$1153:$D$1404,"&lt;"&amp;D1404)+0.5*COUNTIF($D$1153:$D$1404,D1404))/COUNT($D$1153:$D$1404)*100,"")</f>
        <v/>
      </c>
      <c r="H1404" s="10">
        <f>IFERROR(AVERAGE($D$1153:$D$1404),"")</f>
        <v/>
      </c>
      <c r="I1404" s="10" t="n">
        <v>0.7826078615392933</v>
      </c>
      <c r="J1404" t="inlineStr"/>
      <c r="K1404" t="inlineStr"/>
    </row>
    <row r="1405">
      <c r="A1405" s="7" t="inlineStr">
        <is>
          <t>2019-11-28</t>
        </is>
      </c>
      <c r="B1405" s="8">
        <f>IFERROR(VLOOKUP($A1405,'01-原始价格'!$A:$M,2,FALSE),"")</f>
        <v/>
      </c>
      <c r="C1405" s="8">
        <f>IFERROR(VLOOKUP($A1405,'01-原始价格'!$A:$M,8,FALSE),"")</f>
        <v/>
      </c>
      <c r="D1405" s="10">
        <f>IFERROR(B1405/C1405,"")</f>
        <v/>
      </c>
      <c r="E1405" s="10">
        <f>IFERROR(C1405/B1405,"")</f>
        <v/>
      </c>
      <c r="F1405" s="11">
        <f>IFERROR((D1405/D1404-1)*100,"")</f>
        <v/>
      </c>
      <c r="G1405" s="11">
        <f>IFERROR((COUNTIF($D$1154:$D$1405,"&lt;"&amp;D1405)+0.5*COUNTIF($D$1154:$D$1405,D1405))/COUNT($D$1154:$D$1405)*100,"")</f>
        <v/>
      </c>
      <c r="H1405" s="10">
        <f>IFERROR(AVERAGE($D$1154:$D$1405),"")</f>
        <v/>
      </c>
      <c r="I1405" s="10" t="n">
        <v>0.5638293048644206</v>
      </c>
      <c r="J1405" t="inlineStr"/>
      <c r="K1405" t="inlineStr"/>
    </row>
    <row r="1406">
      <c r="A1406" s="7" t="inlineStr">
        <is>
          <t>2019-11-29</t>
        </is>
      </c>
      <c r="B1406" s="8">
        <f>IFERROR(VLOOKUP($A1406,'01-原始价格'!$A:$M,2,FALSE),"")</f>
        <v/>
      </c>
      <c r="C1406" s="8">
        <f>IFERROR(VLOOKUP($A1406,'01-原始价格'!$A:$M,8,FALSE),"")</f>
        <v/>
      </c>
      <c r="D1406" s="10">
        <f>IFERROR(B1406/C1406,"")</f>
        <v/>
      </c>
      <c r="E1406" s="10">
        <f>IFERROR(C1406/B1406,"")</f>
        <v/>
      </c>
      <c r="F1406" s="11">
        <f>IFERROR((D1406/D1405-1)*100,"")</f>
        <v/>
      </c>
      <c r="G1406" s="11">
        <f>IFERROR((COUNTIF($D$1155:$D$1406,"&lt;"&amp;D1406)+0.5*COUNTIF($D$1155:$D$1406,D1406))/COUNT($D$1155:$D$1406)*100,"")</f>
        <v/>
      </c>
      <c r="H1406" s="10">
        <f>IFERROR(AVERAGE($D$1155:$D$1406),"")</f>
        <v/>
      </c>
      <c r="I1406" s="10" t="n">
        <v>0.2656057334204979</v>
      </c>
      <c r="J1406" t="inlineStr"/>
      <c r="K1406" t="inlineStr"/>
    </row>
    <row r="1407">
      <c r="A1407" s="7" t="inlineStr">
        <is>
          <t>2019-12-02</t>
        </is>
      </c>
      <c r="B1407" s="8">
        <f>IFERROR(VLOOKUP($A1407,'01-原始价格'!$A:$M,2,FALSE),"")</f>
        <v/>
      </c>
      <c r="C1407" s="8">
        <f>IFERROR(VLOOKUP($A1407,'01-原始价格'!$A:$M,8,FALSE),"")</f>
        <v/>
      </c>
      <c r="D1407" s="10">
        <f>IFERROR(B1407/C1407,"")</f>
        <v/>
      </c>
      <c r="E1407" s="10">
        <f>IFERROR(C1407/B1407,"")</f>
        <v/>
      </c>
      <c r="F1407" s="11">
        <f>IFERROR((D1407/D1406-1)*100,"")</f>
        <v/>
      </c>
      <c r="G1407" s="11">
        <f>IFERROR((COUNTIF($D$1156:$D$1407,"&lt;"&amp;D1407)+0.5*COUNTIF($D$1156:$D$1407,D1407))/COUNT($D$1156:$D$1407)*100,"")</f>
        <v/>
      </c>
      <c r="H1407" s="10">
        <f>IFERROR(AVERAGE($D$1156:$D$1407),"")</f>
        <v/>
      </c>
      <c r="I1407" s="10" t="n">
        <v>0.4083866053619484</v>
      </c>
      <c r="J1407" t="inlineStr"/>
      <c r="K1407" t="inlineStr"/>
    </row>
    <row r="1408">
      <c r="A1408" s="7" t="inlineStr">
        <is>
          <t>2019-12-03</t>
        </is>
      </c>
      <c r="B1408" s="8">
        <f>IFERROR(VLOOKUP($A1408,'01-原始价格'!$A:$M,2,FALSE),"")</f>
        <v/>
      </c>
      <c r="C1408" s="8">
        <f>IFERROR(VLOOKUP($A1408,'01-原始价格'!$A:$M,8,FALSE),"")</f>
        <v/>
      </c>
      <c r="D1408" s="10">
        <f>IFERROR(B1408/C1408,"")</f>
        <v/>
      </c>
      <c r="E1408" s="10">
        <f>IFERROR(C1408/B1408,"")</f>
        <v/>
      </c>
      <c r="F1408" s="11">
        <f>IFERROR((D1408/D1407-1)*100,"")</f>
        <v/>
      </c>
      <c r="G1408" s="11">
        <f>IFERROR((COUNTIF($D$1157:$D$1408,"&lt;"&amp;D1408)+0.5*COUNTIF($D$1157:$D$1408,D1408))/COUNT($D$1157:$D$1408)*100,"")</f>
        <v/>
      </c>
      <c r="H1408" s="10">
        <f>IFERROR(AVERAGE($D$1157:$D$1408),"")</f>
        <v/>
      </c>
      <c r="I1408" s="10" t="n">
        <v>0.9484659704304935</v>
      </c>
      <c r="J1408" t="inlineStr"/>
      <c r="K1408" t="inlineStr"/>
    </row>
    <row r="1409">
      <c r="A1409" s="7" t="inlineStr">
        <is>
          <t>2019-12-04</t>
        </is>
      </c>
      <c r="B1409" s="8">
        <f>IFERROR(VLOOKUP($A1409,'01-原始价格'!$A:$M,2,FALSE),"")</f>
        <v/>
      </c>
      <c r="C1409" s="8">
        <f>IFERROR(VLOOKUP($A1409,'01-原始价格'!$A:$M,8,FALSE),"")</f>
        <v/>
      </c>
      <c r="D1409" s="10">
        <f>IFERROR(B1409/C1409,"")</f>
        <v/>
      </c>
      <c r="E1409" s="10">
        <f>IFERROR(C1409/B1409,"")</f>
        <v/>
      </c>
      <c r="F1409" s="11">
        <f>IFERROR((D1409/D1408-1)*100,"")</f>
        <v/>
      </c>
      <c r="G1409" s="11">
        <f>IFERROR((COUNTIF($D$1158:$D$1409,"&lt;"&amp;D1409)+0.5*COUNTIF($D$1158:$D$1409,D1409))/COUNT($D$1158:$D$1409)*100,"")</f>
        <v/>
      </c>
      <c r="H1409" s="10">
        <f>IFERROR(AVERAGE($D$1158:$D$1409),"")</f>
        <v/>
      </c>
      <c r="I1409" s="10" t="n">
        <v>0.7921762158005035</v>
      </c>
      <c r="J1409" t="inlineStr"/>
      <c r="K1409" t="inlineStr"/>
    </row>
    <row r="1410">
      <c r="A1410" s="7" t="inlineStr">
        <is>
          <t>2019-12-05</t>
        </is>
      </c>
      <c r="B1410" s="8">
        <f>IFERROR(VLOOKUP($A1410,'01-原始价格'!$A:$M,2,FALSE),"")</f>
        <v/>
      </c>
      <c r="C1410" s="8">
        <f>IFERROR(VLOOKUP($A1410,'01-原始价格'!$A:$M,8,FALSE),"")</f>
        <v/>
      </c>
      <c r="D1410" s="10">
        <f>IFERROR(B1410/C1410,"")</f>
        <v/>
      </c>
      <c r="E1410" s="10">
        <f>IFERROR(C1410/B1410,"")</f>
        <v/>
      </c>
      <c r="F1410" s="11">
        <f>IFERROR((D1410/D1409-1)*100,"")</f>
        <v/>
      </c>
      <c r="G1410" s="11">
        <f>IFERROR((COUNTIF($D$1159:$D$1410,"&lt;"&amp;D1410)+0.5*COUNTIF($D$1159:$D$1410,D1410))/COUNT($D$1159:$D$1410)*100,"")</f>
        <v/>
      </c>
      <c r="H1410" s="10">
        <f>IFERROR(AVERAGE($D$1159:$D$1410),"")</f>
        <v/>
      </c>
      <c r="I1410" s="10" t="n">
        <v>0.6918068148224479</v>
      </c>
      <c r="J1410" t="inlineStr"/>
      <c r="K1410" t="inlineStr"/>
    </row>
    <row r="1411">
      <c r="A1411" s="7" t="inlineStr">
        <is>
          <t>2019-12-06</t>
        </is>
      </c>
      <c r="B1411" s="8">
        <f>IFERROR(VLOOKUP($A1411,'01-原始价格'!$A:$M,2,FALSE),"")</f>
        <v/>
      </c>
      <c r="C1411" s="8">
        <f>IFERROR(VLOOKUP($A1411,'01-原始价格'!$A:$M,8,FALSE),"")</f>
        <v/>
      </c>
      <c r="D1411" s="10">
        <f>IFERROR(B1411/C1411,"")</f>
        <v/>
      </c>
      <c r="E1411" s="10">
        <f>IFERROR(C1411/B1411,"")</f>
        <v/>
      </c>
      <c r="F1411" s="11">
        <f>IFERROR((D1411/D1410-1)*100,"")</f>
        <v/>
      </c>
      <c r="G1411" s="11">
        <f>IFERROR((COUNTIF($D$1160:$D$1411,"&lt;"&amp;D1411)+0.5*COUNTIF($D$1160:$D$1411,D1411))/COUNT($D$1160:$D$1411)*100,"")</f>
        <v/>
      </c>
      <c r="H1411" s="10">
        <f>IFERROR(AVERAGE($D$1160:$D$1411),"")</f>
        <v/>
      </c>
      <c r="I1411" s="10" t="n">
        <v>0.191065251759724</v>
      </c>
      <c r="J1411" t="inlineStr"/>
      <c r="K1411" t="inlineStr"/>
    </row>
    <row r="1412">
      <c r="A1412" s="7" t="inlineStr">
        <is>
          <t>2019-12-09</t>
        </is>
      </c>
      <c r="B1412" s="8">
        <f>IFERROR(VLOOKUP($A1412,'01-原始价格'!$A:$M,2,FALSE),"")</f>
        <v/>
      </c>
      <c r="C1412" s="8">
        <f>IFERROR(VLOOKUP($A1412,'01-原始价格'!$A:$M,8,FALSE),"")</f>
        <v/>
      </c>
      <c r="D1412" s="10">
        <f>IFERROR(B1412/C1412,"")</f>
        <v/>
      </c>
      <c r="E1412" s="10">
        <f>IFERROR(C1412/B1412,"")</f>
        <v/>
      </c>
      <c r="F1412" s="11">
        <f>IFERROR((D1412/D1411-1)*100,"")</f>
        <v/>
      </c>
      <c r="G1412" s="11">
        <f>IFERROR((COUNTIF($D$1161:$D$1412,"&lt;"&amp;D1412)+0.5*COUNTIF($D$1161:$D$1412,D1412))/COUNT($D$1161:$D$1412)*100,"")</f>
        <v/>
      </c>
      <c r="H1412" s="10">
        <f>IFERROR(AVERAGE($D$1161:$D$1412),"")</f>
        <v/>
      </c>
      <c r="I1412" s="10" t="n">
        <v>-0.5712820172385642</v>
      </c>
      <c r="J1412" t="inlineStr"/>
      <c r="K1412" s="12" t="inlineStr">
        <is>
          <t>是</t>
        </is>
      </c>
      <c r="L1412" t="inlineStr">
        <is>
          <t>换月日</t>
        </is>
      </c>
    </row>
    <row r="1413">
      <c r="A1413" s="7" t="inlineStr">
        <is>
          <t>2019-12-10</t>
        </is>
      </c>
      <c r="B1413" s="8">
        <f>IFERROR(VLOOKUP($A1413,'01-原始价格'!$A:$M,2,FALSE),"")</f>
        <v/>
      </c>
      <c r="C1413" s="8">
        <f>IFERROR(VLOOKUP($A1413,'01-原始价格'!$A:$M,8,FALSE),"")</f>
        <v/>
      </c>
      <c r="D1413" s="10">
        <f>IFERROR(B1413/C1413,"")</f>
        <v/>
      </c>
      <c r="E1413" s="10">
        <f>IFERROR(C1413/B1413,"")</f>
        <v/>
      </c>
      <c r="F1413" s="11">
        <f>IFERROR((D1413/D1412-1)*100,"")</f>
        <v/>
      </c>
      <c r="G1413" s="11">
        <f>IFERROR((COUNTIF($D$1162:$D$1413,"&lt;"&amp;D1413)+0.5*COUNTIF($D$1162:$D$1413,D1413))/COUNT($D$1162:$D$1413)*100,"")</f>
        <v/>
      </c>
      <c r="H1413" s="10">
        <f>IFERROR(AVERAGE($D$1162:$D$1413),"")</f>
        <v/>
      </c>
      <c r="I1413" s="10" t="n">
        <v>-0.5533411510056527</v>
      </c>
      <c r="J1413" t="inlineStr"/>
      <c r="K1413" t="inlineStr"/>
    </row>
    <row r="1414">
      <c r="A1414" s="7" t="inlineStr">
        <is>
          <t>2019-12-11</t>
        </is>
      </c>
      <c r="B1414" s="8">
        <f>IFERROR(VLOOKUP($A1414,'01-原始价格'!$A:$M,2,FALSE),"")</f>
        <v/>
      </c>
      <c r="C1414" s="8">
        <f>IFERROR(VLOOKUP($A1414,'01-原始价格'!$A:$M,8,FALSE),"")</f>
        <v/>
      </c>
      <c r="D1414" s="10">
        <f>IFERROR(B1414/C1414,"")</f>
        <v/>
      </c>
      <c r="E1414" s="10">
        <f>IFERROR(C1414/B1414,"")</f>
        <v/>
      </c>
      <c r="F1414" s="11">
        <f>IFERROR((D1414/D1413-1)*100,"")</f>
        <v/>
      </c>
      <c r="G1414" s="11">
        <f>IFERROR((COUNTIF($D$1163:$D$1414,"&lt;"&amp;D1414)+0.5*COUNTIF($D$1163:$D$1414,D1414))/COUNT($D$1163:$D$1414)*100,"")</f>
        <v/>
      </c>
      <c r="H1414" s="10">
        <f>IFERROR(AVERAGE($D$1163:$D$1414),"")</f>
        <v/>
      </c>
      <c r="I1414" s="10" t="n">
        <v>-0.6881639784652561</v>
      </c>
      <c r="J1414" t="inlineStr"/>
      <c r="K1414" t="inlineStr"/>
    </row>
    <row r="1415">
      <c r="A1415" s="7" t="inlineStr">
        <is>
          <t>2019-12-12</t>
        </is>
      </c>
      <c r="B1415" s="8">
        <f>IFERROR(VLOOKUP($A1415,'01-原始价格'!$A:$M,2,FALSE),"")</f>
        <v/>
      </c>
      <c r="C1415" s="8">
        <f>IFERROR(VLOOKUP($A1415,'01-原始价格'!$A:$M,8,FALSE),"")</f>
        <v/>
      </c>
      <c r="D1415" s="10">
        <f>IFERROR(B1415/C1415,"")</f>
        <v/>
      </c>
      <c r="E1415" s="10">
        <f>IFERROR(C1415/B1415,"")</f>
        <v/>
      </c>
      <c r="F1415" s="11">
        <f>IFERROR((D1415/D1414-1)*100,"")</f>
        <v/>
      </c>
      <c r="G1415" s="11">
        <f>IFERROR((COUNTIF($D$1164:$D$1415,"&lt;"&amp;D1415)+0.5*COUNTIF($D$1164:$D$1415,D1415))/COUNT($D$1164:$D$1415)*100,"")</f>
        <v/>
      </c>
      <c r="H1415" s="10">
        <f>IFERROR(AVERAGE($D$1164:$D$1415),"")</f>
        <v/>
      </c>
      <c r="I1415" s="10" t="n">
        <v>-3.768281519100225</v>
      </c>
      <c r="J1415" s="9" t="inlineStr">
        <is>
          <t>是</t>
        </is>
      </c>
      <c r="K1415" s="12" t="inlineStr">
        <is>
          <t>是</t>
        </is>
      </c>
      <c r="L1415" t="inlineStr">
        <is>
          <t>异常且换月：多为换月跳空，非产业驱动</t>
        </is>
      </c>
    </row>
    <row r="1416">
      <c r="A1416" s="7" t="inlineStr">
        <is>
          <t>2019-12-13</t>
        </is>
      </c>
      <c r="B1416" s="8">
        <f>IFERROR(VLOOKUP($A1416,'01-原始价格'!$A:$M,2,FALSE),"")</f>
        <v/>
      </c>
      <c r="C1416" s="8">
        <f>IFERROR(VLOOKUP($A1416,'01-原始价格'!$A:$M,8,FALSE),"")</f>
        <v/>
      </c>
      <c r="D1416" s="10">
        <f>IFERROR(B1416/C1416,"")</f>
        <v/>
      </c>
      <c r="E1416" s="10">
        <f>IFERROR(C1416/B1416,"")</f>
        <v/>
      </c>
      <c r="F1416" s="11">
        <f>IFERROR((D1416/D1415-1)*100,"")</f>
        <v/>
      </c>
      <c r="G1416" s="11">
        <f>IFERROR((COUNTIF($D$1165:$D$1416,"&lt;"&amp;D1416)+0.5*COUNTIF($D$1165:$D$1416,D1416))/COUNT($D$1165:$D$1416)*100,"")</f>
        <v/>
      </c>
      <c r="H1416" s="10">
        <f>IFERROR(AVERAGE($D$1165:$D$1416),"")</f>
        <v/>
      </c>
      <c r="I1416" s="10" t="n">
        <v>-4.396265348918294</v>
      </c>
      <c r="J1416" s="9" t="inlineStr">
        <is>
          <t>是</t>
        </is>
      </c>
      <c r="K1416" t="inlineStr"/>
      <c r="L1416" t="inlineStr">
        <is>
          <t>统计异常</t>
        </is>
      </c>
    </row>
    <row r="1417">
      <c r="A1417" s="7" t="inlineStr">
        <is>
          <t>2019-12-16</t>
        </is>
      </c>
      <c r="B1417" s="8">
        <f>IFERROR(VLOOKUP($A1417,'01-原始价格'!$A:$M,2,FALSE),"")</f>
        <v/>
      </c>
      <c r="C1417" s="8">
        <f>IFERROR(VLOOKUP($A1417,'01-原始价格'!$A:$M,8,FALSE),"")</f>
        <v/>
      </c>
      <c r="D1417" s="10">
        <f>IFERROR(B1417/C1417,"")</f>
        <v/>
      </c>
      <c r="E1417" s="10">
        <f>IFERROR(C1417/B1417,"")</f>
        <v/>
      </c>
      <c r="F1417" s="11">
        <f>IFERROR((D1417/D1416-1)*100,"")</f>
        <v/>
      </c>
      <c r="G1417" s="11">
        <f>IFERROR((COUNTIF($D$1166:$D$1417,"&lt;"&amp;D1417)+0.5*COUNTIF($D$1166:$D$1417,D1417))/COUNT($D$1166:$D$1417)*100,"")</f>
        <v/>
      </c>
      <c r="H1417" s="10">
        <f>IFERROR(AVERAGE($D$1166:$D$1417),"")</f>
        <v/>
      </c>
      <c r="I1417" s="10" t="n">
        <v>-4.130921718542461</v>
      </c>
      <c r="J1417" s="9" t="inlineStr">
        <is>
          <t>是</t>
        </is>
      </c>
      <c r="K1417" t="inlineStr"/>
      <c r="L1417" t="inlineStr">
        <is>
          <t>统计异常</t>
        </is>
      </c>
    </row>
    <row r="1418">
      <c r="A1418" s="7" t="inlineStr">
        <is>
          <t>2019-12-17</t>
        </is>
      </c>
      <c r="B1418" s="8">
        <f>IFERROR(VLOOKUP($A1418,'01-原始价格'!$A:$M,2,FALSE),"")</f>
        <v/>
      </c>
      <c r="C1418" s="8">
        <f>IFERROR(VLOOKUP($A1418,'01-原始价格'!$A:$M,8,FALSE),"")</f>
        <v/>
      </c>
      <c r="D1418" s="10">
        <f>IFERROR(B1418/C1418,"")</f>
        <v/>
      </c>
      <c r="E1418" s="10">
        <f>IFERROR(C1418/B1418,"")</f>
        <v/>
      </c>
      <c r="F1418" s="11">
        <f>IFERROR((D1418/D1417-1)*100,"")</f>
        <v/>
      </c>
      <c r="G1418" s="11">
        <f>IFERROR((COUNTIF($D$1167:$D$1418,"&lt;"&amp;D1418)+0.5*COUNTIF($D$1167:$D$1418,D1418))/COUNT($D$1167:$D$1418)*100,"")</f>
        <v/>
      </c>
      <c r="H1418" s="10">
        <f>IFERROR(AVERAGE($D$1167:$D$1418),"")</f>
        <v/>
      </c>
      <c r="I1418" s="10" t="n">
        <v>-4.695664909217558</v>
      </c>
      <c r="J1418" s="9" t="inlineStr">
        <is>
          <t>是</t>
        </is>
      </c>
      <c r="K1418" t="inlineStr"/>
      <c r="L1418" t="inlineStr">
        <is>
          <t>统计异常</t>
        </is>
      </c>
    </row>
    <row r="1419">
      <c r="A1419" s="7" t="inlineStr">
        <is>
          <t>2019-12-18</t>
        </is>
      </c>
      <c r="B1419" s="8">
        <f>IFERROR(VLOOKUP($A1419,'01-原始价格'!$A:$M,2,FALSE),"")</f>
        <v/>
      </c>
      <c r="C1419" s="8">
        <f>IFERROR(VLOOKUP($A1419,'01-原始价格'!$A:$M,8,FALSE),"")</f>
        <v/>
      </c>
      <c r="D1419" s="10">
        <f>IFERROR(B1419/C1419,"")</f>
        <v/>
      </c>
      <c r="E1419" s="10">
        <f>IFERROR(C1419/B1419,"")</f>
        <v/>
      </c>
      <c r="F1419" s="11">
        <f>IFERROR((D1419/D1418-1)*100,"")</f>
        <v/>
      </c>
      <c r="G1419" s="11">
        <f>IFERROR((COUNTIF($D$1168:$D$1419,"&lt;"&amp;D1419)+0.5*COUNTIF($D$1168:$D$1419,D1419))/COUNT($D$1168:$D$1419)*100,"")</f>
        <v/>
      </c>
      <c r="H1419" s="10">
        <f>IFERROR(AVERAGE($D$1168:$D$1419),"")</f>
        <v/>
      </c>
      <c r="I1419" s="10" t="n">
        <v>-4.977223696028512</v>
      </c>
      <c r="J1419" s="9" t="inlineStr">
        <is>
          <t>是</t>
        </is>
      </c>
      <c r="K1419" t="inlineStr"/>
      <c r="L1419" t="inlineStr">
        <is>
          <t>统计异常</t>
        </is>
      </c>
    </row>
    <row r="1420">
      <c r="A1420" s="7" t="inlineStr">
        <is>
          <t>2019-12-19</t>
        </is>
      </c>
      <c r="B1420" s="8">
        <f>IFERROR(VLOOKUP($A1420,'01-原始价格'!$A:$M,2,FALSE),"")</f>
        <v/>
      </c>
      <c r="C1420" s="8">
        <f>IFERROR(VLOOKUP($A1420,'01-原始价格'!$A:$M,8,FALSE),"")</f>
        <v/>
      </c>
      <c r="D1420" s="10">
        <f>IFERROR(B1420/C1420,"")</f>
        <v/>
      </c>
      <c r="E1420" s="10">
        <f>IFERROR(C1420/B1420,"")</f>
        <v/>
      </c>
      <c r="F1420" s="11">
        <f>IFERROR((D1420/D1419-1)*100,"")</f>
        <v/>
      </c>
      <c r="G1420" s="11">
        <f>IFERROR((COUNTIF($D$1169:$D$1420,"&lt;"&amp;D1420)+0.5*COUNTIF($D$1169:$D$1420,D1420))/COUNT($D$1169:$D$1420)*100,"")</f>
        <v/>
      </c>
      <c r="H1420" s="10">
        <f>IFERROR(AVERAGE($D$1169:$D$1420),"")</f>
        <v/>
      </c>
      <c r="I1420" s="10" t="n">
        <v>-4.750232229354643</v>
      </c>
      <c r="J1420" s="9" t="inlineStr">
        <is>
          <t>是</t>
        </is>
      </c>
      <c r="K1420" t="inlineStr"/>
      <c r="L1420" t="inlineStr">
        <is>
          <t>统计异常</t>
        </is>
      </c>
    </row>
    <row r="1421">
      <c r="A1421" s="7" t="inlineStr">
        <is>
          <t>2019-12-20</t>
        </is>
      </c>
      <c r="B1421" s="8">
        <f>IFERROR(VLOOKUP($A1421,'01-原始价格'!$A:$M,2,FALSE),"")</f>
        <v/>
      </c>
      <c r="C1421" s="8">
        <f>IFERROR(VLOOKUP($A1421,'01-原始价格'!$A:$M,8,FALSE),"")</f>
        <v/>
      </c>
      <c r="D1421" s="10">
        <f>IFERROR(B1421/C1421,"")</f>
        <v/>
      </c>
      <c r="E1421" s="10">
        <f>IFERROR(C1421/B1421,"")</f>
        <v/>
      </c>
      <c r="F1421" s="11">
        <f>IFERROR((D1421/D1420-1)*100,"")</f>
        <v/>
      </c>
      <c r="G1421" s="11">
        <f>IFERROR((COUNTIF($D$1170:$D$1421,"&lt;"&amp;D1421)+0.5*COUNTIF($D$1170:$D$1421,D1421))/COUNT($D$1170:$D$1421)*100,"")</f>
        <v/>
      </c>
      <c r="H1421" s="10">
        <f>IFERROR(AVERAGE($D$1170:$D$1421),"")</f>
        <v/>
      </c>
      <c r="I1421" s="10" t="n">
        <v>-5.261091751916955</v>
      </c>
      <c r="J1421" s="9" t="inlineStr">
        <is>
          <t>是</t>
        </is>
      </c>
      <c r="K1421" t="inlineStr"/>
      <c r="L1421" t="inlineStr">
        <is>
          <t>统计异常</t>
        </is>
      </c>
    </row>
    <row r="1422">
      <c r="A1422" s="7" t="inlineStr">
        <is>
          <t>2019-12-23</t>
        </is>
      </c>
      <c r="B1422" s="8">
        <f>IFERROR(VLOOKUP($A1422,'01-原始价格'!$A:$M,2,FALSE),"")</f>
        <v/>
      </c>
      <c r="C1422" s="8">
        <f>IFERROR(VLOOKUP($A1422,'01-原始价格'!$A:$M,8,FALSE),"")</f>
        <v/>
      </c>
      <c r="D1422" s="10">
        <f>IFERROR(B1422/C1422,"")</f>
        <v/>
      </c>
      <c r="E1422" s="10">
        <f>IFERROR(C1422/B1422,"")</f>
        <v/>
      </c>
      <c r="F1422" s="11">
        <f>IFERROR((D1422/D1421-1)*100,"")</f>
        <v/>
      </c>
      <c r="G1422" s="11">
        <f>IFERROR((COUNTIF($D$1171:$D$1422,"&lt;"&amp;D1422)+0.5*COUNTIF($D$1171:$D$1422,D1422))/COUNT($D$1171:$D$1422)*100,"")</f>
        <v/>
      </c>
      <c r="H1422" s="10">
        <f>IFERROR(AVERAGE($D$1171:$D$1422),"")</f>
        <v/>
      </c>
      <c r="I1422" s="10" t="n">
        <v>-5.206622556060103</v>
      </c>
      <c r="J1422" s="9" t="inlineStr">
        <is>
          <t>是</t>
        </is>
      </c>
      <c r="K1422" t="inlineStr"/>
      <c r="L1422" t="inlineStr">
        <is>
          <t>统计异常</t>
        </is>
      </c>
    </row>
    <row r="1423">
      <c r="A1423" s="7" t="inlineStr">
        <is>
          <t>2019-12-24</t>
        </is>
      </c>
      <c r="B1423" s="8">
        <f>IFERROR(VLOOKUP($A1423,'01-原始价格'!$A:$M,2,FALSE),"")</f>
        <v/>
      </c>
      <c r="C1423" s="8">
        <f>IFERROR(VLOOKUP($A1423,'01-原始价格'!$A:$M,8,FALSE),"")</f>
        <v/>
      </c>
      <c r="D1423" s="10">
        <f>IFERROR(B1423/C1423,"")</f>
        <v/>
      </c>
      <c r="E1423" s="10">
        <f>IFERROR(C1423/B1423,"")</f>
        <v/>
      </c>
      <c r="F1423" s="11">
        <f>IFERROR((D1423/D1422-1)*100,"")</f>
        <v/>
      </c>
      <c r="G1423" s="11">
        <f>IFERROR((COUNTIF($D$1172:$D$1423,"&lt;"&amp;D1423)+0.5*COUNTIF($D$1172:$D$1423,D1423))/COUNT($D$1172:$D$1423)*100,"")</f>
        <v/>
      </c>
      <c r="H1423" s="10">
        <f>IFERROR(AVERAGE($D$1172:$D$1423),"")</f>
        <v/>
      </c>
      <c r="I1423" s="10" t="n">
        <v>-5.207181880602148</v>
      </c>
      <c r="J1423" s="9" t="inlineStr">
        <is>
          <t>是</t>
        </is>
      </c>
      <c r="K1423" t="inlineStr"/>
      <c r="L1423" t="inlineStr">
        <is>
          <t>统计异常</t>
        </is>
      </c>
    </row>
    <row r="1424">
      <c r="A1424" s="7" t="inlineStr">
        <is>
          <t>2019-12-25</t>
        </is>
      </c>
      <c r="B1424" s="8">
        <f>IFERROR(VLOOKUP($A1424,'01-原始价格'!$A:$M,2,FALSE),"")</f>
        <v/>
      </c>
      <c r="C1424" s="8">
        <f>IFERROR(VLOOKUP($A1424,'01-原始价格'!$A:$M,8,FALSE),"")</f>
        <v/>
      </c>
      <c r="D1424" s="10">
        <f>IFERROR(B1424/C1424,"")</f>
        <v/>
      </c>
      <c r="E1424" s="10">
        <f>IFERROR(C1424/B1424,"")</f>
        <v/>
      </c>
      <c r="F1424" s="11">
        <f>IFERROR((D1424/D1423-1)*100,"")</f>
        <v/>
      </c>
      <c r="G1424" s="11">
        <f>IFERROR((COUNTIF($D$1173:$D$1424,"&lt;"&amp;D1424)+0.5*COUNTIF($D$1173:$D$1424,D1424))/COUNT($D$1173:$D$1424)*100,"")</f>
        <v/>
      </c>
      <c r="H1424" s="10">
        <f>IFERROR(AVERAGE($D$1173:$D$1424),"")</f>
        <v/>
      </c>
      <c r="I1424" s="10" t="n">
        <v>-5.478915544643335</v>
      </c>
      <c r="J1424" s="9" t="inlineStr">
        <is>
          <t>是</t>
        </is>
      </c>
      <c r="K1424" t="inlineStr"/>
      <c r="L1424" t="inlineStr">
        <is>
          <t>统计异常</t>
        </is>
      </c>
    </row>
    <row r="1425">
      <c r="A1425" s="7" t="inlineStr">
        <is>
          <t>2019-12-26</t>
        </is>
      </c>
      <c r="B1425" s="8">
        <f>IFERROR(VLOOKUP($A1425,'01-原始价格'!$A:$M,2,FALSE),"")</f>
        <v/>
      </c>
      <c r="C1425" s="8">
        <f>IFERROR(VLOOKUP($A1425,'01-原始价格'!$A:$M,8,FALSE),"")</f>
        <v/>
      </c>
      <c r="D1425" s="10">
        <f>IFERROR(B1425/C1425,"")</f>
        <v/>
      </c>
      <c r="E1425" s="10">
        <f>IFERROR(C1425/B1425,"")</f>
        <v/>
      </c>
      <c r="F1425" s="11">
        <f>IFERROR((D1425/D1424-1)*100,"")</f>
        <v/>
      </c>
      <c r="G1425" s="11">
        <f>IFERROR((COUNTIF($D$1174:$D$1425,"&lt;"&amp;D1425)+0.5*COUNTIF($D$1174:$D$1425,D1425))/COUNT($D$1174:$D$1425)*100,"")</f>
        <v/>
      </c>
      <c r="H1425" s="10">
        <f>IFERROR(AVERAGE($D$1174:$D$1425),"")</f>
        <v/>
      </c>
      <c r="I1425" s="10" t="n">
        <v>-5.115802217690312</v>
      </c>
      <c r="J1425" s="9" t="inlineStr">
        <is>
          <t>是</t>
        </is>
      </c>
      <c r="K1425" t="inlineStr"/>
      <c r="L1425" t="inlineStr">
        <is>
          <t>统计异常</t>
        </is>
      </c>
    </row>
    <row r="1426">
      <c r="A1426" s="7" t="inlineStr">
        <is>
          <t>2019-12-27</t>
        </is>
      </c>
      <c r="B1426" s="8">
        <f>IFERROR(VLOOKUP($A1426,'01-原始价格'!$A:$M,2,FALSE),"")</f>
        <v/>
      </c>
      <c r="C1426" s="8">
        <f>IFERROR(VLOOKUP($A1426,'01-原始价格'!$A:$M,8,FALSE),"")</f>
        <v/>
      </c>
      <c r="D1426" s="10">
        <f>IFERROR(B1426/C1426,"")</f>
        <v/>
      </c>
      <c r="E1426" s="10">
        <f>IFERROR(C1426/B1426,"")</f>
        <v/>
      </c>
      <c r="F1426" s="11">
        <f>IFERROR((D1426/D1425-1)*100,"")</f>
        <v/>
      </c>
      <c r="G1426" s="11">
        <f>IFERROR((COUNTIF($D$1175:$D$1426,"&lt;"&amp;D1426)+0.5*COUNTIF($D$1175:$D$1426,D1426))/COUNT($D$1175:$D$1426)*100,"")</f>
        <v/>
      </c>
      <c r="H1426" s="10">
        <f>IFERROR(AVERAGE($D$1175:$D$1426),"")</f>
        <v/>
      </c>
      <c r="I1426" s="10" t="n">
        <v>-4.67034005096303</v>
      </c>
      <c r="J1426" s="9" t="inlineStr">
        <is>
          <t>是</t>
        </is>
      </c>
      <c r="K1426" t="inlineStr"/>
      <c r="L1426" t="inlineStr">
        <is>
          <t>统计异常</t>
        </is>
      </c>
    </row>
    <row r="1427">
      <c r="A1427" s="7" t="inlineStr">
        <is>
          <t>2019-12-30</t>
        </is>
      </c>
      <c r="B1427" s="8">
        <f>IFERROR(VLOOKUP($A1427,'01-原始价格'!$A:$M,2,FALSE),"")</f>
        <v/>
      </c>
      <c r="C1427" s="8">
        <f>IFERROR(VLOOKUP($A1427,'01-原始价格'!$A:$M,8,FALSE),"")</f>
        <v/>
      </c>
      <c r="D1427" s="10">
        <f>IFERROR(B1427/C1427,"")</f>
        <v/>
      </c>
      <c r="E1427" s="10">
        <f>IFERROR(C1427/B1427,"")</f>
        <v/>
      </c>
      <c r="F1427" s="11">
        <f>IFERROR((D1427/D1426-1)*100,"")</f>
        <v/>
      </c>
      <c r="G1427" s="11">
        <f>IFERROR((COUNTIF($D$1176:$D$1427,"&lt;"&amp;D1427)+0.5*COUNTIF($D$1176:$D$1427,D1427))/COUNT($D$1176:$D$1427)*100,"")</f>
        <v/>
      </c>
      <c r="H1427" s="10">
        <f>IFERROR(AVERAGE($D$1176:$D$1427),"")</f>
        <v/>
      </c>
      <c r="I1427" s="10" t="n">
        <v>-4.76810759837366</v>
      </c>
      <c r="J1427" s="9" t="inlineStr">
        <is>
          <t>是</t>
        </is>
      </c>
      <c r="K1427" t="inlineStr"/>
      <c r="L1427" t="inlineStr">
        <is>
          <t>统计异常</t>
        </is>
      </c>
    </row>
    <row r="1428">
      <c r="A1428" s="7" t="inlineStr">
        <is>
          <t>2019-12-31</t>
        </is>
      </c>
      <c r="B1428" s="8">
        <f>IFERROR(VLOOKUP($A1428,'01-原始价格'!$A:$M,2,FALSE),"")</f>
        <v/>
      </c>
      <c r="C1428" s="8">
        <f>IFERROR(VLOOKUP($A1428,'01-原始价格'!$A:$M,8,FALSE),"")</f>
        <v/>
      </c>
      <c r="D1428" s="10">
        <f>IFERROR(B1428/C1428,"")</f>
        <v/>
      </c>
      <c r="E1428" s="10">
        <f>IFERROR(C1428/B1428,"")</f>
        <v/>
      </c>
      <c r="F1428" s="11">
        <f>IFERROR((D1428/D1427-1)*100,"")</f>
        <v/>
      </c>
      <c r="G1428" s="11">
        <f>IFERROR((COUNTIF($D$1177:$D$1428,"&lt;"&amp;D1428)+0.5*COUNTIF($D$1177:$D$1428,D1428))/COUNT($D$1177:$D$1428)*100,"")</f>
        <v/>
      </c>
      <c r="H1428" s="10">
        <f>IFERROR(AVERAGE($D$1177:$D$1428),"")</f>
        <v/>
      </c>
      <c r="I1428" s="10" t="n">
        <v>-4.36252050714697</v>
      </c>
      <c r="J1428" s="9" t="inlineStr">
        <is>
          <t>是</t>
        </is>
      </c>
      <c r="K1428" t="inlineStr"/>
      <c r="L1428" t="inlineStr">
        <is>
          <t>统计异常</t>
        </is>
      </c>
    </row>
    <row r="1429">
      <c r="A1429" s="7" t="inlineStr">
        <is>
          <t>2020-01-02</t>
        </is>
      </c>
      <c r="B1429" s="8">
        <f>IFERROR(VLOOKUP($A1429,'01-原始价格'!$A:$M,2,FALSE),"")</f>
        <v/>
      </c>
      <c r="C1429" s="8">
        <f>IFERROR(VLOOKUP($A1429,'01-原始价格'!$A:$M,8,FALSE),"")</f>
        <v/>
      </c>
      <c r="D1429" s="10">
        <f>IFERROR(B1429/C1429,"")</f>
        <v/>
      </c>
      <c r="E1429" s="10">
        <f>IFERROR(C1429/B1429,"")</f>
        <v/>
      </c>
      <c r="F1429" s="11">
        <f>IFERROR((D1429/D1428-1)*100,"")</f>
        <v/>
      </c>
      <c r="G1429" s="11">
        <f>IFERROR((COUNTIF($D$1178:$D$1429,"&lt;"&amp;D1429)+0.5*COUNTIF($D$1178:$D$1429,D1429))/COUNT($D$1178:$D$1429)*100,"")</f>
        <v/>
      </c>
      <c r="H1429" s="10">
        <f>IFERROR(AVERAGE($D$1178:$D$1429),"")</f>
        <v/>
      </c>
      <c r="I1429" s="10" t="n">
        <v>-4.386153117553025</v>
      </c>
      <c r="J1429" s="9" t="inlineStr">
        <is>
          <t>是</t>
        </is>
      </c>
      <c r="K1429" t="inlineStr"/>
      <c r="L1429" t="inlineStr">
        <is>
          <t>统计异常</t>
        </is>
      </c>
    </row>
    <row r="1430">
      <c r="A1430" s="7" t="inlineStr">
        <is>
          <t>2020-01-03</t>
        </is>
      </c>
      <c r="B1430" s="8">
        <f>IFERROR(VLOOKUP($A1430,'01-原始价格'!$A:$M,2,FALSE),"")</f>
        <v/>
      </c>
      <c r="C1430" s="8">
        <f>IFERROR(VLOOKUP($A1430,'01-原始价格'!$A:$M,8,FALSE),"")</f>
        <v/>
      </c>
      <c r="D1430" s="10">
        <f>IFERROR(B1430/C1430,"")</f>
        <v/>
      </c>
      <c r="E1430" s="10">
        <f>IFERROR(C1430/B1430,"")</f>
        <v/>
      </c>
      <c r="F1430" s="11">
        <f>IFERROR((D1430/D1429-1)*100,"")</f>
        <v/>
      </c>
      <c r="G1430" s="11">
        <f>IFERROR((COUNTIF($D$1179:$D$1430,"&lt;"&amp;D1430)+0.5*COUNTIF($D$1179:$D$1430,D1430))/COUNT($D$1179:$D$1430)*100,"")</f>
        <v/>
      </c>
      <c r="H1430" s="10">
        <f>IFERROR(AVERAGE($D$1179:$D$1430),"")</f>
        <v/>
      </c>
      <c r="I1430" s="10" t="n">
        <v>-4.960575961567447</v>
      </c>
      <c r="J1430" s="9" t="inlineStr">
        <is>
          <t>是</t>
        </is>
      </c>
      <c r="K1430" t="inlineStr"/>
      <c r="L1430" t="inlineStr">
        <is>
          <t>统计异常</t>
        </is>
      </c>
    </row>
    <row r="1431">
      <c r="A1431" s="7" t="inlineStr">
        <is>
          <t>2020-01-06</t>
        </is>
      </c>
      <c r="B1431" s="8">
        <f>IFERROR(VLOOKUP($A1431,'01-原始价格'!$A:$M,2,FALSE),"")</f>
        <v/>
      </c>
      <c r="C1431" s="8">
        <f>IFERROR(VLOOKUP($A1431,'01-原始价格'!$A:$M,8,FALSE),"")</f>
        <v/>
      </c>
      <c r="D1431" s="10">
        <f>IFERROR(B1431/C1431,"")</f>
        <v/>
      </c>
      <c r="E1431" s="10">
        <f>IFERROR(C1431/B1431,"")</f>
        <v/>
      </c>
      <c r="F1431" s="11">
        <f>IFERROR((D1431/D1430-1)*100,"")</f>
        <v/>
      </c>
      <c r="G1431" s="11">
        <f>IFERROR((COUNTIF($D$1180:$D$1431,"&lt;"&amp;D1431)+0.5*COUNTIF($D$1180:$D$1431,D1431))/COUNT($D$1180:$D$1431)*100,"")</f>
        <v/>
      </c>
      <c r="H1431" s="10">
        <f>IFERROR(AVERAGE($D$1180:$D$1431),"")</f>
        <v/>
      </c>
      <c r="I1431" s="10" t="n">
        <v>-4.530234070867638</v>
      </c>
      <c r="J1431" s="9" t="inlineStr">
        <is>
          <t>是</t>
        </is>
      </c>
      <c r="K1431" t="inlineStr"/>
      <c r="L1431" t="inlineStr">
        <is>
          <t>统计异常</t>
        </is>
      </c>
    </row>
    <row r="1432">
      <c r="A1432" s="7" t="inlineStr">
        <is>
          <t>2020-01-07</t>
        </is>
      </c>
      <c r="B1432" s="8">
        <f>IFERROR(VLOOKUP($A1432,'01-原始价格'!$A:$M,2,FALSE),"")</f>
        <v/>
      </c>
      <c r="C1432" s="8">
        <f>IFERROR(VLOOKUP($A1432,'01-原始价格'!$A:$M,8,FALSE),"")</f>
        <v/>
      </c>
      <c r="D1432" s="10">
        <f>IFERROR(B1432/C1432,"")</f>
        <v/>
      </c>
      <c r="E1432" s="10">
        <f>IFERROR(C1432/B1432,"")</f>
        <v/>
      </c>
      <c r="F1432" s="11">
        <f>IFERROR((D1432/D1431-1)*100,"")</f>
        <v/>
      </c>
      <c r="G1432" s="11">
        <f>IFERROR((COUNTIF($D$1181:$D$1432,"&lt;"&amp;D1432)+0.5*COUNTIF($D$1181:$D$1432,D1432))/COUNT($D$1181:$D$1432)*100,"")</f>
        <v/>
      </c>
      <c r="H1432" s="10">
        <f>IFERROR(AVERAGE($D$1181:$D$1432),"")</f>
        <v/>
      </c>
      <c r="I1432" s="10" t="n">
        <v>-4.645651663385271</v>
      </c>
      <c r="J1432" s="9" t="inlineStr">
        <is>
          <t>是</t>
        </is>
      </c>
      <c r="K1432" t="inlineStr"/>
      <c r="L1432" t="inlineStr">
        <is>
          <t>统计异常</t>
        </is>
      </c>
    </row>
    <row r="1433">
      <c r="A1433" s="7" t="inlineStr">
        <is>
          <t>2020-01-08</t>
        </is>
      </c>
      <c r="B1433" s="8">
        <f>IFERROR(VLOOKUP($A1433,'01-原始价格'!$A:$M,2,FALSE),"")</f>
        <v/>
      </c>
      <c r="C1433" s="8">
        <f>IFERROR(VLOOKUP($A1433,'01-原始价格'!$A:$M,8,FALSE),"")</f>
        <v/>
      </c>
      <c r="D1433" s="10">
        <f>IFERROR(B1433/C1433,"")</f>
        <v/>
      </c>
      <c r="E1433" s="10">
        <f>IFERROR(C1433/B1433,"")</f>
        <v/>
      </c>
      <c r="F1433" s="11">
        <f>IFERROR((D1433/D1432-1)*100,"")</f>
        <v/>
      </c>
      <c r="G1433" s="11">
        <f>IFERROR((COUNTIF($D$1182:$D$1433,"&lt;"&amp;D1433)+0.5*COUNTIF($D$1182:$D$1433,D1433))/COUNT($D$1182:$D$1433)*100,"")</f>
        <v/>
      </c>
      <c r="H1433" s="10">
        <f>IFERROR(AVERAGE($D$1182:$D$1433),"")</f>
        <v/>
      </c>
      <c r="I1433" s="10" t="n">
        <v>-4.651402091232238</v>
      </c>
      <c r="J1433" s="9" t="inlineStr">
        <is>
          <t>是</t>
        </is>
      </c>
      <c r="K1433" t="inlineStr"/>
      <c r="L1433" t="inlineStr">
        <is>
          <t>统计异常</t>
        </is>
      </c>
    </row>
    <row r="1434">
      <c r="A1434" s="7" t="inlineStr">
        <is>
          <t>2020-01-09</t>
        </is>
      </c>
      <c r="B1434" s="8">
        <f>IFERROR(VLOOKUP($A1434,'01-原始价格'!$A:$M,2,FALSE),"")</f>
        <v/>
      </c>
      <c r="C1434" s="8">
        <f>IFERROR(VLOOKUP($A1434,'01-原始价格'!$A:$M,8,FALSE),"")</f>
        <v/>
      </c>
      <c r="D1434" s="10">
        <f>IFERROR(B1434/C1434,"")</f>
        <v/>
      </c>
      <c r="E1434" s="10">
        <f>IFERROR(C1434/B1434,"")</f>
        <v/>
      </c>
      <c r="F1434" s="11">
        <f>IFERROR((D1434/D1433-1)*100,"")</f>
        <v/>
      </c>
      <c r="G1434" s="11">
        <f>IFERROR((COUNTIF($D$1183:$D$1434,"&lt;"&amp;D1434)+0.5*COUNTIF($D$1183:$D$1434,D1434))/COUNT($D$1183:$D$1434)*100,"")</f>
        <v/>
      </c>
      <c r="H1434" s="10">
        <f>IFERROR(AVERAGE($D$1183:$D$1434),"")</f>
        <v/>
      </c>
      <c r="I1434" s="10" t="n">
        <v>-3.783928368177058</v>
      </c>
      <c r="J1434" s="9" t="inlineStr">
        <is>
          <t>是</t>
        </is>
      </c>
      <c r="K1434" t="inlineStr"/>
      <c r="L1434" t="inlineStr">
        <is>
          <t>统计异常</t>
        </is>
      </c>
    </row>
    <row r="1435">
      <c r="A1435" s="7" t="inlineStr">
        <is>
          <t>2020-01-10</t>
        </is>
      </c>
      <c r="B1435" s="8">
        <f>IFERROR(VLOOKUP($A1435,'01-原始价格'!$A:$M,2,FALSE),"")</f>
        <v/>
      </c>
      <c r="C1435" s="8">
        <f>IFERROR(VLOOKUP($A1435,'01-原始价格'!$A:$M,8,FALSE),"")</f>
        <v/>
      </c>
      <c r="D1435" s="10">
        <f>IFERROR(B1435/C1435,"")</f>
        <v/>
      </c>
      <c r="E1435" s="10">
        <f>IFERROR(C1435/B1435,"")</f>
        <v/>
      </c>
      <c r="F1435" s="11">
        <f>IFERROR((D1435/D1434-1)*100,"")</f>
        <v/>
      </c>
      <c r="G1435" s="11">
        <f>IFERROR((COUNTIF($D$1184:$D$1435,"&lt;"&amp;D1435)+0.5*COUNTIF($D$1184:$D$1435,D1435))/COUNT($D$1184:$D$1435)*100,"")</f>
        <v/>
      </c>
      <c r="H1435" s="10">
        <f>IFERROR(AVERAGE($D$1184:$D$1435),"")</f>
        <v/>
      </c>
      <c r="I1435" s="10" t="n">
        <v>-3.539493543349117</v>
      </c>
      <c r="J1435" s="9" t="inlineStr">
        <is>
          <t>是</t>
        </is>
      </c>
      <c r="K1435" t="inlineStr"/>
      <c r="L1435" t="inlineStr">
        <is>
          <t>统计异常</t>
        </is>
      </c>
    </row>
    <row r="1436">
      <c r="A1436" s="7" t="inlineStr">
        <is>
          <t>2020-01-13</t>
        </is>
      </c>
      <c r="B1436" s="8">
        <f>IFERROR(VLOOKUP($A1436,'01-原始价格'!$A:$M,2,FALSE),"")</f>
        <v/>
      </c>
      <c r="C1436" s="8">
        <f>IFERROR(VLOOKUP($A1436,'01-原始价格'!$A:$M,8,FALSE),"")</f>
        <v/>
      </c>
      <c r="D1436" s="10">
        <f>IFERROR(B1436/C1436,"")</f>
        <v/>
      </c>
      <c r="E1436" s="10">
        <f>IFERROR(C1436/B1436,"")</f>
        <v/>
      </c>
      <c r="F1436" s="11">
        <f>IFERROR((D1436/D1435-1)*100,"")</f>
        <v/>
      </c>
      <c r="G1436" s="11">
        <f>IFERROR((COUNTIF($D$1185:$D$1436,"&lt;"&amp;D1436)+0.5*COUNTIF($D$1185:$D$1436,D1436))/COUNT($D$1185:$D$1436)*100,"")</f>
        <v/>
      </c>
      <c r="H1436" s="10">
        <f>IFERROR(AVERAGE($D$1185:$D$1436),"")</f>
        <v/>
      </c>
      <c r="I1436" s="10" t="n">
        <v>-3.37278671154941</v>
      </c>
      <c r="J1436" t="inlineStr"/>
      <c r="K1436" t="inlineStr"/>
    </row>
    <row r="1437">
      <c r="A1437" s="7" t="inlineStr">
        <is>
          <t>2020-01-14</t>
        </is>
      </c>
      <c r="B1437" s="8">
        <f>IFERROR(VLOOKUP($A1437,'01-原始价格'!$A:$M,2,FALSE),"")</f>
        <v/>
      </c>
      <c r="C1437" s="8">
        <f>IFERROR(VLOOKUP($A1437,'01-原始价格'!$A:$M,8,FALSE),"")</f>
        <v/>
      </c>
      <c r="D1437" s="10">
        <f>IFERROR(B1437/C1437,"")</f>
        <v/>
      </c>
      <c r="E1437" s="10">
        <f>IFERROR(C1437/B1437,"")</f>
        <v/>
      </c>
      <c r="F1437" s="11">
        <f>IFERROR((D1437/D1436-1)*100,"")</f>
        <v/>
      </c>
      <c r="G1437" s="11">
        <f>IFERROR((COUNTIF($D$1186:$D$1437,"&lt;"&amp;D1437)+0.5*COUNTIF($D$1186:$D$1437,D1437))/COUNT($D$1186:$D$1437)*100,"")</f>
        <v/>
      </c>
      <c r="H1437" s="10">
        <f>IFERROR(AVERAGE($D$1186:$D$1437),"")</f>
        <v/>
      </c>
      <c r="I1437" s="10" t="n">
        <v>-3.364957239855695</v>
      </c>
      <c r="J1437" t="inlineStr"/>
      <c r="K1437" t="inlineStr"/>
    </row>
    <row r="1438">
      <c r="A1438" s="7" t="inlineStr">
        <is>
          <t>2020-01-15</t>
        </is>
      </c>
      <c r="B1438" s="8">
        <f>IFERROR(VLOOKUP($A1438,'01-原始价格'!$A:$M,2,FALSE),"")</f>
        <v/>
      </c>
      <c r="C1438" s="8">
        <f>IFERROR(VLOOKUP($A1438,'01-原始价格'!$A:$M,8,FALSE),"")</f>
        <v/>
      </c>
      <c r="D1438" s="10">
        <f>IFERROR(B1438/C1438,"")</f>
        <v/>
      </c>
      <c r="E1438" s="10">
        <f>IFERROR(C1438/B1438,"")</f>
        <v/>
      </c>
      <c r="F1438" s="11">
        <f>IFERROR((D1438/D1437-1)*100,"")</f>
        <v/>
      </c>
      <c r="G1438" s="11">
        <f>IFERROR((COUNTIF($D$1187:$D$1438,"&lt;"&amp;D1438)+0.5*COUNTIF($D$1187:$D$1438,D1438))/COUNT($D$1187:$D$1438)*100,"")</f>
        <v/>
      </c>
      <c r="H1438" s="10">
        <f>IFERROR(AVERAGE($D$1187:$D$1438),"")</f>
        <v/>
      </c>
      <c r="I1438" s="10" t="n">
        <v>-3.479516605047188</v>
      </c>
      <c r="J1438" t="inlineStr"/>
      <c r="K1438" t="inlineStr"/>
    </row>
    <row r="1439">
      <c r="A1439" s="7" t="inlineStr">
        <is>
          <t>2020-01-16</t>
        </is>
      </c>
      <c r="B1439" s="8">
        <f>IFERROR(VLOOKUP($A1439,'01-原始价格'!$A:$M,2,FALSE),"")</f>
        <v/>
      </c>
      <c r="C1439" s="8">
        <f>IFERROR(VLOOKUP($A1439,'01-原始价格'!$A:$M,8,FALSE),"")</f>
        <v/>
      </c>
      <c r="D1439" s="10">
        <f>IFERROR(B1439/C1439,"")</f>
        <v/>
      </c>
      <c r="E1439" s="10">
        <f>IFERROR(C1439/B1439,"")</f>
        <v/>
      </c>
      <c r="F1439" s="11">
        <f>IFERROR((D1439/D1438-1)*100,"")</f>
        <v/>
      </c>
      <c r="G1439" s="11">
        <f>IFERROR((COUNTIF($D$1188:$D$1439,"&lt;"&amp;D1439)+0.5*COUNTIF($D$1188:$D$1439,D1439))/COUNT($D$1188:$D$1439)*100,"")</f>
        <v/>
      </c>
      <c r="H1439" s="10">
        <f>IFERROR(AVERAGE($D$1188:$D$1439),"")</f>
        <v/>
      </c>
      <c r="I1439" s="10" t="n">
        <v>-3.111431110090439</v>
      </c>
      <c r="J1439" t="inlineStr"/>
      <c r="K1439" t="inlineStr"/>
    </row>
    <row r="1440">
      <c r="A1440" s="7" t="inlineStr">
        <is>
          <t>2020-01-17</t>
        </is>
      </c>
      <c r="B1440" s="8">
        <f>IFERROR(VLOOKUP($A1440,'01-原始价格'!$A:$M,2,FALSE),"")</f>
        <v/>
      </c>
      <c r="C1440" s="8">
        <f>IFERROR(VLOOKUP($A1440,'01-原始价格'!$A:$M,8,FALSE),"")</f>
        <v/>
      </c>
      <c r="D1440" s="10">
        <f>IFERROR(B1440/C1440,"")</f>
        <v/>
      </c>
      <c r="E1440" s="10">
        <f>IFERROR(C1440/B1440,"")</f>
        <v/>
      </c>
      <c r="F1440" s="11">
        <f>IFERROR((D1440/D1439-1)*100,"")</f>
        <v/>
      </c>
      <c r="G1440" s="11">
        <f>IFERROR((COUNTIF($D$1189:$D$1440,"&lt;"&amp;D1440)+0.5*COUNTIF($D$1189:$D$1440,D1440))/COUNT($D$1189:$D$1440)*100,"")</f>
        <v/>
      </c>
      <c r="H1440" s="10">
        <f>IFERROR(AVERAGE($D$1189:$D$1440),"")</f>
        <v/>
      </c>
      <c r="I1440" s="10" t="n">
        <v>-3.283727568225447</v>
      </c>
      <c r="J1440" t="inlineStr"/>
      <c r="K1440" t="inlineStr"/>
    </row>
    <row r="1441">
      <c r="A1441" s="7" t="inlineStr">
        <is>
          <t>2020-01-20</t>
        </is>
      </c>
      <c r="B1441" s="8">
        <f>IFERROR(VLOOKUP($A1441,'01-原始价格'!$A:$M,2,FALSE),"")</f>
        <v/>
      </c>
      <c r="C1441" s="8">
        <f>IFERROR(VLOOKUP($A1441,'01-原始价格'!$A:$M,8,FALSE),"")</f>
        <v/>
      </c>
      <c r="D1441" s="10">
        <f>IFERROR(B1441/C1441,"")</f>
        <v/>
      </c>
      <c r="E1441" s="10">
        <f>IFERROR(C1441/B1441,"")</f>
        <v/>
      </c>
      <c r="F1441" s="11">
        <f>IFERROR((D1441/D1440-1)*100,"")</f>
        <v/>
      </c>
      <c r="G1441" s="11">
        <f>IFERROR((COUNTIF($D$1190:$D$1441,"&lt;"&amp;D1441)+0.5*COUNTIF($D$1190:$D$1441,D1441))/COUNT($D$1190:$D$1441)*100,"")</f>
        <v/>
      </c>
      <c r="H1441" s="10">
        <f>IFERROR(AVERAGE($D$1190:$D$1441),"")</f>
        <v/>
      </c>
      <c r="I1441" s="10" t="n">
        <v>-2.905072173697845</v>
      </c>
      <c r="J1441" t="inlineStr"/>
      <c r="K1441" t="inlineStr"/>
    </row>
    <row r="1442">
      <c r="A1442" s="7" t="inlineStr">
        <is>
          <t>2020-01-21</t>
        </is>
      </c>
      <c r="B1442" s="8">
        <f>IFERROR(VLOOKUP($A1442,'01-原始价格'!$A:$M,2,FALSE),"")</f>
        <v/>
      </c>
      <c r="C1442" s="8">
        <f>IFERROR(VLOOKUP($A1442,'01-原始价格'!$A:$M,8,FALSE),"")</f>
        <v/>
      </c>
      <c r="D1442" s="10">
        <f>IFERROR(B1442/C1442,"")</f>
        <v/>
      </c>
      <c r="E1442" s="10">
        <f>IFERROR(C1442/B1442,"")</f>
        <v/>
      </c>
      <c r="F1442" s="11">
        <f>IFERROR((D1442/D1441-1)*100,"")</f>
        <v/>
      </c>
      <c r="G1442" s="11">
        <f>IFERROR((COUNTIF($D$1191:$D$1442,"&lt;"&amp;D1442)+0.5*COUNTIF($D$1191:$D$1442,D1442))/COUNT($D$1191:$D$1442)*100,"")</f>
        <v/>
      </c>
      <c r="H1442" s="10">
        <f>IFERROR(AVERAGE($D$1191:$D$1442),"")</f>
        <v/>
      </c>
      <c r="I1442" s="10" t="n">
        <v>-3.154506329475549</v>
      </c>
      <c r="J1442" t="inlineStr"/>
      <c r="K1442" t="inlineStr"/>
    </row>
    <row r="1443">
      <c r="A1443" s="7" t="inlineStr">
        <is>
          <t>2020-01-22</t>
        </is>
      </c>
      <c r="B1443" s="8">
        <f>IFERROR(VLOOKUP($A1443,'01-原始价格'!$A:$M,2,FALSE),"")</f>
        <v/>
      </c>
      <c r="C1443" s="8">
        <f>IFERROR(VLOOKUP($A1443,'01-原始价格'!$A:$M,8,FALSE),"")</f>
        <v/>
      </c>
      <c r="D1443" s="10">
        <f>IFERROR(B1443/C1443,"")</f>
        <v/>
      </c>
      <c r="E1443" s="10">
        <f>IFERROR(C1443/B1443,"")</f>
        <v/>
      </c>
      <c r="F1443" s="11">
        <f>IFERROR((D1443/D1442-1)*100,"")</f>
        <v/>
      </c>
      <c r="G1443" s="11">
        <f>IFERROR((COUNTIF($D$1192:$D$1443,"&lt;"&amp;D1443)+0.5*COUNTIF($D$1192:$D$1443,D1443))/COUNT($D$1192:$D$1443)*100,"")</f>
        <v/>
      </c>
      <c r="H1443" s="10">
        <f>IFERROR(AVERAGE($D$1192:$D$1443),"")</f>
        <v/>
      </c>
      <c r="I1443" s="10" t="n">
        <v>-3.592946619936237</v>
      </c>
      <c r="J1443" s="9" t="inlineStr">
        <is>
          <t>是</t>
        </is>
      </c>
      <c r="K1443" t="inlineStr"/>
      <c r="L1443" t="inlineStr">
        <is>
          <t>统计异常</t>
        </is>
      </c>
    </row>
    <row r="1444">
      <c r="A1444" s="7" t="inlineStr">
        <is>
          <t>2020-01-23</t>
        </is>
      </c>
      <c r="B1444" s="8">
        <f>IFERROR(VLOOKUP($A1444,'01-原始价格'!$A:$M,2,FALSE),"")</f>
        <v/>
      </c>
      <c r="C1444" s="8">
        <f>IFERROR(VLOOKUP($A1444,'01-原始价格'!$A:$M,8,FALSE),"")</f>
        <v/>
      </c>
      <c r="D1444" s="10">
        <f>IFERROR(B1444/C1444,"")</f>
        <v/>
      </c>
      <c r="E1444" s="10">
        <f>IFERROR(C1444/B1444,"")</f>
        <v/>
      </c>
      <c r="F1444" s="11">
        <f>IFERROR((D1444/D1443-1)*100,"")</f>
        <v/>
      </c>
      <c r="G1444" s="11">
        <f>IFERROR((COUNTIF($D$1193:$D$1444,"&lt;"&amp;D1444)+0.5*COUNTIF($D$1193:$D$1444,D1444))/COUNT($D$1193:$D$1444)*100,"")</f>
        <v/>
      </c>
      <c r="H1444" s="10">
        <f>IFERROR(AVERAGE($D$1193:$D$1444),"")</f>
        <v/>
      </c>
      <c r="I1444" s="10" t="n">
        <v>-3.418116692536355</v>
      </c>
      <c r="J1444" t="inlineStr"/>
      <c r="K1444" t="inlineStr"/>
    </row>
    <row r="1445">
      <c r="A1445" s="7" t="inlineStr">
        <is>
          <t>2020-02-03</t>
        </is>
      </c>
      <c r="B1445" s="8">
        <f>IFERROR(VLOOKUP($A1445,'01-原始价格'!$A:$M,2,FALSE),"")</f>
        <v/>
      </c>
      <c r="C1445" s="8">
        <f>IFERROR(VLOOKUP($A1445,'01-原始价格'!$A:$M,8,FALSE),"")</f>
        <v/>
      </c>
      <c r="D1445" s="10">
        <f>IFERROR(B1445/C1445,"")</f>
        <v/>
      </c>
      <c r="E1445" s="10">
        <f>IFERROR(C1445/B1445,"")</f>
        <v/>
      </c>
      <c r="F1445" s="11">
        <f>IFERROR((D1445/D1444-1)*100,"")</f>
        <v/>
      </c>
      <c r="G1445" s="11">
        <f>IFERROR((COUNTIF($D$1194:$D$1445,"&lt;"&amp;D1445)+0.5*COUNTIF($D$1194:$D$1445,D1445))/COUNT($D$1194:$D$1445)*100,"")</f>
        <v/>
      </c>
      <c r="H1445" s="10">
        <f>IFERROR(AVERAGE($D$1194:$D$1445),"")</f>
        <v/>
      </c>
      <c r="I1445" s="10" t="n">
        <v>-3.353457500874474</v>
      </c>
      <c r="J1445" t="inlineStr"/>
      <c r="K1445" t="inlineStr"/>
    </row>
    <row r="1446">
      <c r="A1446" s="7" t="inlineStr">
        <is>
          <t>2020-02-04</t>
        </is>
      </c>
      <c r="B1446" s="8">
        <f>IFERROR(VLOOKUP($A1446,'01-原始价格'!$A:$M,2,FALSE),"")</f>
        <v/>
      </c>
      <c r="C1446" s="8">
        <f>IFERROR(VLOOKUP($A1446,'01-原始价格'!$A:$M,8,FALSE),"")</f>
        <v/>
      </c>
      <c r="D1446" s="10">
        <f>IFERROR(B1446/C1446,"")</f>
        <v/>
      </c>
      <c r="E1446" s="10">
        <f>IFERROR(C1446/B1446,"")</f>
        <v/>
      </c>
      <c r="F1446" s="11">
        <f>IFERROR((D1446/D1445-1)*100,"")</f>
        <v/>
      </c>
      <c r="G1446" s="11">
        <f>IFERROR((COUNTIF($D$1195:$D$1446,"&lt;"&amp;D1446)+0.5*COUNTIF($D$1195:$D$1446,D1446))/COUNT($D$1195:$D$1446)*100,"")</f>
        <v/>
      </c>
      <c r="H1446" s="10">
        <f>IFERROR(AVERAGE($D$1195:$D$1446),"")</f>
        <v/>
      </c>
      <c r="I1446" s="10" t="n">
        <v>-3.566094288440248</v>
      </c>
      <c r="J1446" s="9" t="inlineStr">
        <is>
          <t>是</t>
        </is>
      </c>
      <c r="K1446" t="inlineStr"/>
      <c r="L1446" t="inlineStr">
        <is>
          <t>统计异常</t>
        </is>
      </c>
    </row>
    <row r="1447">
      <c r="A1447" s="7" t="inlineStr">
        <is>
          <t>2020-02-05</t>
        </is>
      </c>
      <c r="B1447" s="8">
        <f>IFERROR(VLOOKUP($A1447,'01-原始价格'!$A:$M,2,FALSE),"")</f>
        <v/>
      </c>
      <c r="C1447" s="8">
        <f>IFERROR(VLOOKUP($A1447,'01-原始价格'!$A:$M,8,FALSE),"")</f>
        <v/>
      </c>
      <c r="D1447" s="10">
        <f>IFERROR(B1447/C1447,"")</f>
        <v/>
      </c>
      <c r="E1447" s="10">
        <f>IFERROR(C1447/B1447,"")</f>
        <v/>
      </c>
      <c r="F1447" s="11">
        <f>IFERROR((D1447/D1446-1)*100,"")</f>
        <v/>
      </c>
      <c r="G1447" s="11">
        <f>IFERROR((COUNTIF($D$1196:$D$1447,"&lt;"&amp;D1447)+0.5*COUNTIF($D$1196:$D$1447,D1447))/COUNT($D$1196:$D$1447)*100,"")</f>
        <v/>
      </c>
      <c r="H1447" s="10">
        <f>IFERROR(AVERAGE($D$1196:$D$1447),"")</f>
        <v/>
      </c>
      <c r="I1447" s="10" t="n">
        <v>-3.805995124280139</v>
      </c>
      <c r="J1447" s="9" t="inlineStr">
        <is>
          <t>是</t>
        </is>
      </c>
      <c r="K1447" t="inlineStr"/>
      <c r="L1447" t="inlineStr">
        <is>
          <t>统计异常</t>
        </is>
      </c>
    </row>
    <row r="1448">
      <c r="A1448" s="7" t="inlineStr">
        <is>
          <t>2020-02-06</t>
        </is>
      </c>
      <c r="B1448" s="8">
        <f>IFERROR(VLOOKUP($A1448,'01-原始价格'!$A:$M,2,FALSE),"")</f>
        <v/>
      </c>
      <c r="C1448" s="8">
        <f>IFERROR(VLOOKUP($A1448,'01-原始价格'!$A:$M,8,FALSE),"")</f>
        <v/>
      </c>
      <c r="D1448" s="10">
        <f>IFERROR(B1448/C1448,"")</f>
        <v/>
      </c>
      <c r="E1448" s="10">
        <f>IFERROR(C1448/B1448,"")</f>
        <v/>
      </c>
      <c r="F1448" s="11">
        <f>IFERROR((D1448/D1447-1)*100,"")</f>
        <v/>
      </c>
      <c r="G1448" s="11">
        <f>IFERROR((COUNTIF($D$1197:$D$1448,"&lt;"&amp;D1448)+0.5*COUNTIF($D$1197:$D$1448,D1448))/COUNT($D$1197:$D$1448)*100,"")</f>
        <v/>
      </c>
      <c r="H1448" s="10">
        <f>IFERROR(AVERAGE($D$1197:$D$1448),"")</f>
        <v/>
      </c>
      <c r="I1448" s="10" t="n">
        <v>-3.591860048285517</v>
      </c>
      <c r="J1448" s="9" t="inlineStr">
        <is>
          <t>是</t>
        </is>
      </c>
      <c r="K1448" t="inlineStr"/>
      <c r="L1448" t="inlineStr">
        <is>
          <t>统计异常</t>
        </is>
      </c>
    </row>
    <row r="1449">
      <c r="A1449" s="7" t="inlineStr">
        <is>
          <t>2020-02-07</t>
        </is>
      </c>
      <c r="B1449" s="8">
        <f>IFERROR(VLOOKUP($A1449,'01-原始价格'!$A:$M,2,FALSE),"")</f>
        <v/>
      </c>
      <c r="C1449" s="8">
        <f>IFERROR(VLOOKUP($A1449,'01-原始价格'!$A:$M,8,FALSE),"")</f>
        <v/>
      </c>
      <c r="D1449" s="10">
        <f>IFERROR(B1449/C1449,"")</f>
        <v/>
      </c>
      <c r="E1449" s="10">
        <f>IFERROR(C1449/B1449,"")</f>
        <v/>
      </c>
      <c r="F1449" s="11">
        <f>IFERROR((D1449/D1448-1)*100,"")</f>
        <v/>
      </c>
      <c r="G1449" s="11">
        <f>IFERROR((COUNTIF($D$1198:$D$1449,"&lt;"&amp;D1449)+0.5*COUNTIF($D$1198:$D$1449,D1449))/COUNT($D$1198:$D$1449)*100,"")</f>
        <v/>
      </c>
      <c r="H1449" s="10">
        <f>IFERROR(AVERAGE($D$1198:$D$1449),"")</f>
        <v/>
      </c>
      <c r="I1449" s="10" t="n">
        <v>-3.578407603945482</v>
      </c>
      <c r="J1449" s="9" t="inlineStr">
        <is>
          <t>是</t>
        </is>
      </c>
      <c r="K1449" t="inlineStr"/>
      <c r="L1449" t="inlineStr">
        <is>
          <t>统计异常</t>
        </is>
      </c>
    </row>
    <row r="1450">
      <c r="A1450" s="7" t="inlineStr">
        <is>
          <t>2020-02-10</t>
        </is>
      </c>
      <c r="B1450" s="8">
        <f>IFERROR(VLOOKUP($A1450,'01-原始价格'!$A:$M,2,FALSE),"")</f>
        <v/>
      </c>
      <c r="C1450" s="8">
        <f>IFERROR(VLOOKUP($A1450,'01-原始价格'!$A:$M,8,FALSE),"")</f>
        <v/>
      </c>
      <c r="D1450" s="10">
        <f>IFERROR(B1450/C1450,"")</f>
        <v/>
      </c>
      <c r="E1450" s="10">
        <f>IFERROR(C1450/B1450,"")</f>
        <v/>
      </c>
      <c r="F1450" s="11">
        <f>IFERROR((D1450/D1449-1)*100,"")</f>
        <v/>
      </c>
      <c r="G1450" s="11">
        <f>IFERROR((COUNTIF($D$1199:$D$1450,"&lt;"&amp;D1450)+0.5*COUNTIF($D$1199:$D$1450,D1450))/COUNT($D$1199:$D$1450)*100,"")</f>
        <v/>
      </c>
      <c r="H1450" s="10">
        <f>IFERROR(AVERAGE($D$1199:$D$1450),"")</f>
        <v/>
      </c>
      <c r="I1450" s="10" t="n">
        <v>-3.863850047955202</v>
      </c>
      <c r="J1450" s="9" t="inlineStr">
        <is>
          <t>是</t>
        </is>
      </c>
      <c r="K1450" t="inlineStr"/>
      <c r="L1450" t="inlineStr">
        <is>
          <t>统计异常</t>
        </is>
      </c>
    </row>
    <row r="1451">
      <c r="A1451" s="7" t="inlineStr">
        <is>
          <t>2020-02-11</t>
        </is>
      </c>
      <c r="B1451" s="8">
        <f>IFERROR(VLOOKUP($A1451,'01-原始价格'!$A:$M,2,FALSE),"")</f>
        <v/>
      </c>
      <c r="C1451" s="8">
        <f>IFERROR(VLOOKUP($A1451,'01-原始价格'!$A:$M,8,FALSE),"")</f>
        <v/>
      </c>
      <c r="D1451" s="10">
        <f>IFERROR(B1451/C1451,"")</f>
        <v/>
      </c>
      <c r="E1451" s="10">
        <f>IFERROR(C1451/B1451,"")</f>
        <v/>
      </c>
      <c r="F1451" s="11">
        <f>IFERROR((D1451/D1450-1)*100,"")</f>
        <v/>
      </c>
      <c r="G1451" s="11">
        <f>IFERROR((COUNTIF($D$1200:$D$1451,"&lt;"&amp;D1451)+0.5*COUNTIF($D$1200:$D$1451,D1451))/COUNT($D$1200:$D$1451)*100,"")</f>
        <v/>
      </c>
      <c r="H1451" s="10">
        <f>IFERROR(AVERAGE($D$1200:$D$1451),"")</f>
        <v/>
      </c>
      <c r="I1451" s="10" t="n">
        <v>-3.672184002874048</v>
      </c>
      <c r="J1451" s="9" t="inlineStr">
        <is>
          <t>是</t>
        </is>
      </c>
      <c r="K1451" t="inlineStr"/>
      <c r="L1451" t="inlineStr">
        <is>
          <t>统计异常</t>
        </is>
      </c>
    </row>
    <row r="1452">
      <c r="A1452" s="7" t="inlineStr">
        <is>
          <t>2020-02-12</t>
        </is>
      </c>
      <c r="B1452" s="8">
        <f>IFERROR(VLOOKUP($A1452,'01-原始价格'!$A:$M,2,FALSE),"")</f>
        <v/>
      </c>
      <c r="C1452" s="8">
        <f>IFERROR(VLOOKUP($A1452,'01-原始价格'!$A:$M,8,FALSE),"")</f>
        <v/>
      </c>
      <c r="D1452" s="10">
        <f>IFERROR(B1452/C1452,"")</f>
        <v/>
      </c>
      <c r="E1452" s="10">
        <f>IFERROR(C1452/B1452,"")</f>
        <v/>
      </c>
      <c r="F1452" s="11">
        <f>IFERROR((D1452/D1451-1)*100,"")</f>
        <v/>
      </c>
      <c r="G1452" s="11">
        <f>IFERROR((COUNTIF($D$1201:$D$1452,"&lt;"&amp;D1452)+0.5*COUNTIF($D$1201:$D$1452,D1452))/COUNT($D$1201:$D$1452)*100,"")</f>
        <v/>
      </c>
      <c r="H1452" s="10">
        <f>IFERROR(AVERAGE($D$1201:$D$1452),"")</f>
        <v/>
      </c>
      <c r="I1452" s="10" t="n">
        <v>-3.629641271850068</v>
      </c>
      <c r="J1452" s="9" t="inlineStr">
        <is>
          <t>是</t>
        </is>
      </c>
      <c r="K1452" t="inlineStr"/>
      <c r="L1452" t="inlineStr">
        <is>
          <t>统计异常</t>
        </is>
      </c>
    </row>
    <row r="1453">
      <c r="A1453" s="7" t="inlineStr">
        <is>
          <t>2020-02-13</t>
        </is>
      </c>
      <c r="B1453" s="8">
        <f>IFERROR(VLOOKUP($A1453,'01-原始价格'!$A:$M,2,FALSE),"")</f>
        <v/>
      </c>
      <c r="C1453" s="8">
        <f>IFERROR(VLOOKUP($A1453,'01-原始价格'!$A:$M,8,FALSE),"")</f>
        <v/>
      </c>
      <c r="D1453" s="10">
        <f>IFERROR(B1453/C1453,"")</f>
        <v/>
      </c>
      <c r="E1453" s="10">
        <f>IFERROR(C1453/B1453,"")</f>
        <v/>
      </c>
      <c r="F1453" s="11">
        <f>IFERROR((D1453/D1452-1)*100,"")</f>
        <v/>
      </c>
      <c r="G1453" s="11">
        <f>IFERROR((COUNTIF($D$1202:$D$1453,"&lt;"&amp;D1453)+0.5*COUNTIF($D$1202:$D$1453,D1453))/COUNT($D$1202:$D$1453)*100,"")</f>
        <v/>
      </c>
      <c r="H1453" s="10">
        <f>IFERROR(AVERAGE($D$1202:$D$1453),"")</f>
        <v/>
      </c>
      <c r="I1453" s="10" t="n">
        <v>-3.755095435678505</v>
      </c>
      <c r="J1453" s="9" t="inlineStr">
        <is>
          <t>是</t>
        </is>
      </c>
      <c r="K1453" t="inlineStr"/>
      <c r="L1453" t="inlineStr">
        <is>
          <t>统计异常</t>
        </is>
      </c>
    </row>
    <row r="1454">
      <c r="A1454" s="7" t="inlineStr">
        <is>
          <t>2020-02-14</t>
        </is>
      </c>
      <c r="B1454" s="8">
        <f>IFERROR(VLOOKUP($A1454,'01-原始价格'!$A:$M,2,FALSE),"")</f>
        <v/>
      </c>
      <c r="C1454" s="8">
        <f>IFERROR(VLOOKUP($A1454,'01-原始价格'!$A:$M,8,FALSE),"")</f>
        <v/>
      </c>
      <c r="D1454" s="10">
        <f>IFERROR(B1454/C1454,"")</f>
        <v/>
      </c>
      <c r="E1454" s="10">
        <f>IFERROR(C1454/B1454,"")</f>
        <v/>
      </c>
      <c r="F1454" s="11">
        <f>IFERROR((D1454/D1453-1)*100,"")</f>
        <v/>
      </c>
      <c r="G1454" s="11">
        <f>IFERROR((COUNTIF($D$1203:$D$1454,"&lt;"&amp;D1454)+0.5*COUNTIF($D$1203:$D$1454,D1454))/COUNT($D$1203:$D$1454)*100,"")</f>
        <v/>
      </c>
      <c r="H1454" s="10">
        <f>IFERROR(AVERAGE($D$1203:$D$1454),"")</f>
        <v/>
      </c>
      <c r="I1454" s="10" t="n">
        <v>-3.613322216834956</v>
      </c>
      <c r="J1454" s="9" t="inlineStr">
        <is>
          <t>是</t>
        </is>
      </c>
      <c r="K1454" t="inlineStr"/>
      <c r="L1454" t="inlineStr">
        <is>
          <t>统计异常</t>
        </is>
      </c>
    </row>
    <row r="1455">
      <c r="A1455" s="7" t="inlineStr">
        <is>
          <t>2020-02-17</t>
        </is>
      </c>
      <c r="B1455" s="8">
        <f>IFERROR(VLOOKUP($A1455,'01-原始价格'!$A:$M,2,FALSE),"")</f>
        <v/>
      </c>
      <c r="C1455" s="8">
        <f>IFERROR(VLOOKUP($A1455,'01-原始价格'!$A:$M,8,FALSE),"")</f>
        <v/>
      </c>
      <c r="D1455" s="10">
        <f>IFERROR(B1455/C1455,"")</f>
        <v/>
      </c>
      <c r="E1455" s="10">
        <f>IFERROR(C1455/B1455,"")</f>
        <v/>
      </c>
      <c r="F1455" s="11">
        <f>IFERROR((D1455/D1454-1)*100,"")</f>
        <v/>
      </c>
      <c r="G1455" s="11">
        <f>IFERROR((COUNTIF($D$1204:$D$1455,"&lt;"&amp;D1455)+0.5*COUNTIF($D$1204:$D$1455,D1455))/COUNT($D$1204:$D$1455)*100,"")</f>
        <v/>
      </c>
      <c r="H1455" s="10">
        <f>IFERROR(AVERAGE($D$1204:$D$1455),"")</f>
        <v/>
      </c>
      <c r="I1455" s="10" t="n">
        <v>-3.579396623257541</v>
      </c>
      <c r="J1455" s="9" t="inlineStr">
        <is>
          <t>是</t>
        </is>
      </c>
      <c r="K1455" t="inlineStr"/>
      <c r="L1455" t="inlineStr">
        <is>
          <t>统计异常</t>
        </is>
      </c>
    </row>
    <row r="1456">
      <c r="A1456" s="7" t="inlineStr">
        <is>
          <t>2020-02-18</t>
        </is>
      </c>
      <c r="B1456" s="8">
        <f>IFERROR(VLOOKUP($A1456,'01-原始价格'!$A:$M,2,FALSE),"")</f>
        <v/>
      </c>
      <c r="C1456" s="8">
        <f>IFERROR(VLOOKUP($A1456,'01-原始价格'!$A:$M,8,FALSE),"")</f>
        <v/>
      </c>
      <c r="D1456" s="10">
        <f>IFERROR(B1456/C1456,"")</f>
        <v/>
      </c>
      <c r="E1456" s="10">
        <f>IFERROR(C1456/B1456,"")</f>
        <v/>
      </c>
      <c r="F1456" s="11">
        <f>IFERROR((D1456/D1455-1)*100,"")</f>
        <v/>
      </c>
      <c r="G1456" s="11">
        <f>IFERROR((COUNTIF($D$1205:$D$1456,"&lt;"&amp;D1456)+0.5*COUNTIF($D$1205:$D$1456,D1456))/COUNT($D$1205:$D$1456)*100,"")</f>
        <v/>
      </c>
      <c r="H1456" s="10">
        <f>IFERROR(AVERAGE($D$1205:$D$1456),"")</f>
        <v/>
      </c>
      <c r="I1456" s="10" t="n">
        <v>-3.352907763354216</v>
      </c>
      <c r="J1456" t="inlineStr"/>
      <c r="K1456" t="inlineStr"/>
    </row>
    <row r="1457">
      <c r="A1457" s="7" t="inlineStr">
        <is>
          <t>2020-02-19</t>
        </is>
      </c>
      <c r="B1457" s="8">
        <f>IFERROR(VLOOKUP($A1457,'01-原始价格'!$A:$M,2,FALSE),"")</f>
        <v/>
      </c>
      <c r="C1457" s="8">
        <f>IFERROR(VLOOKUP($A1457,'01-原始价格'!$A:$M,8,FALSE),"")</f>
        <v/>
      </c>
      <c r="D1457" s="10">
        <f>IFERROR(B1457/C1457,"")</f>
        <v/>
      </c>
      <c r="E1457" s="10">
        <f>IFERROR(C1457/B1457,"")</f>
        <v/>
      </c>
      <c r="F1457" s="11">
        <f>IFERROR((D1457/D1456-1)*100,"")</f>
        <v/>
      </c>
      <c r="G1457" s="11">
        <f>IFERROR((COUNTIF($D$1206:$D$1457,"&lt;"&amp;D1457)+0.5*COUNTIF($D$1206:$D$1457,D1457))/COUNT($D$1206:$D$1457)*100,"")</f>
        <v/>
      </c>
      <c r="H1457" s="10">
        <f>IFERROR(AVERAGE($D$1206:$D$1457),"")</f>
        <v/>
      </c>
      <c r="I1457" s="10" t="n">
        <v>-3.136656003903224</v>
      </c>
      <c r="J1457" t="inlineStr"/>
      <c r="K1457" t="inlineStr"/>
    </row>
    <row r="1458">
      <c r="A1458" s="7" t="inlineStr">
        <is>
          <t>2020-02-20</t>
        </is>
      </c>
      <c r="B1458" s="8">
        <f>IFERROR(VLOOKUP($A1458,'01-原始价格'!$A:$M,2,FALSE),"")</f>
        <v/>
      </c>
      <c r="C1458" s="8">
        <f>IFERROR(VLOOKUP($A1458,'01-原始价格'!$A:$M,8,FALSE),"")</f>
        <v/>
      </c>
      <c r="D1458" s="10">
        <f>IFERROR(B1458/C1458,"")</f>
        <v/>
      </c>
      <c r="E1458" s="10">
        <f>IFERROR(C1458/B1458,"")</f>
        <v/>
      </c>
      <c r="F1458" s="11">
        <f>IFERROR((D1458/D1457-1)*100,"")</f>
        <v/>
      </c>
      <c r="G1458" s="11">
        <f>IFERROR((COUNTIF($D$1207:$D$1458,"&lt;"&amp;D1458)+0.5*COUNTIF($D$1207:$D$1458,D1458))/COUNT($D$1207:$D$1458)*100,"")</f>
        <v/>
      </c>
      <c r="H1458" s="10">
        <f>IFERROR(AVERAGE($D$1207:$D$1458),"")</f>
        <v/>
      </c>
      <c r="I1458" s="10" t="n">
        <v>-3.022542085763865</v>
      </c>
      <c r="J1458" t="inlineStr"/>
      <c r="K1458" t="inlineStr"/>
    </row>
    <row r="1459">
      <c r="A1459" s="7" t="inlineStr">
        <is>
          <t>2020-02-21</t>
        </is>
      </c>
      <c r="B1459" s="8">
        <f>IFERROR(VLOOKUP($A1459,'01-原始价格'!$A:$M,2,FALSE),"")</f>
        <v/>
      </c>
      <c r="C1459" s="8">
        <f>IFERROR(VLOOKUP($A1459,'01-原始价格'!$A:$M,8,FALSE),"")</f>
        <v/>
      </c>
      <c r="D1459" s="10">
        <f>IFERROR(B1459/C1459,"")</f>
        <v/>
      </c>
      <c r="E1459" s="10">
        <f>IFERROR(C1459/B1459,"")</f>
        <v/>
      </c>
      <c r="F1459" s="11">
        <f>IFERROR((D1459/D1458-1)*100,"")</f>
        <v/>
      </c>
      <c r="G1459" s="11">
        <f>IFERROR((COUNTIF($D$1208:$D$1459,"&lt;"&amp;D1459)+0.5*COUNTIF($D$1208:$D$1459,D1459))/COUNT($D$1208:$D$1459)*100,"")</f>
        <v/>
      </c>
      <c r="H1459" s="10">
        <f>IFERROR(AVERAGE($D$1208:$D$1459),"")</f>
        <v/>
      </c>
      <c r="I1459" s="10" t="n">
        <v>-2.960570424713091</v>
      </c>
      <c r="J1459" t="inlineStr"/>
      <c r="K1459" t="inlineStr"/>
    </row>
    <row r="1460">
      <c r="A1460" s="7" t="inlineStr">
        <is>
          <t>2020-02-24</t>
        </is>
      </c>
      <c r="B1460" s="8">
        <f>IFERROR(VLOOKUP($A1460,'01-原始价格'!$A:$M,2,FALSE),"")</f>
        <v/>
      </c>
      <c r="C1460" s="8">
        <f>IFERROR(VLOOKUP($A1460,'01-原始价格'!$A:$M,8,FALSE),"")</f>
        <v/>
      </c>
      <c r="D1460" s="10">
        <f>IFERROR(B1460/C1460,"")</f>
        <v/>
      </c>
      <c r="E1460" s="10">
        <f>IFERROR(C1460/B1460,"")</f>
        <v/>
      </c>
      <c r="F1460" s="11">
        <f>IFERROR((D1460/D1459-1)*100,"")</f>
        <v/>
      </c>
      <c r="G1460" s="11">
        <f>IFERROR((COUNTIF($D$1209:$D$1460,"&lt;"&amp;D1460)+0.5*COUNTIF($D$1209:$D$1460,D1460))/COUNT($D$1209:$D$1460)*100,"")</f>
        <v/>
      </c>
      <c r="H1460" s="10">
        <f>IFERROR(AVERAGE($D$1209:$D$1460),"")</f>
        <v/>
      </c>
      <c r="I1460" s="10" t="n">
        <v>-2.640947927932689</v>
      </c>
      <c r="J1460" t="inlineStr"/>
      <c r="K1460" t="inlineStr"/>
    </row>
    <row r="1461">
      <c r="A1461" s="7" t="inlineStr">
        <is>
          <t>2020-02-25</t>
        </is>
      </c>
      <c r="B1461" s="8">
        <f>IFERROR(VLOOKUP($A1461,'01-原始价格'!$A:$M,2,FALSE),"")</f>
        <v/>
      </c>
      <c r="C1461" s="8">
        <f>IFERROR(VLOOKUP($A1461,'01-原始价格'!$A:$M,8,FALSE),"")</f>
        <v/>
      </c>
      <c r="D1461" s="10">
        <f>IFERROR(B1461/C1461,"")</f>
        <v/>
      </c>
      <c r="E1461" s="10">
        <f>IFERROR(C1461/B1461,"")</f>
        <v/>
      </c>
      <c r="F1461" s="11">
        <f>IFERROR((D1461/D1460-1)*100,"")</f>
        <v/>
      </c>
      <c r="G1461" s="11">
        <f>IFERROR((COUNTIF($D$1210:$D$1461,"&lt;"&amp;D1461)+0.5*COUNTIF($D$1210:$D$1461,D1461))/COUNT($D$1210:$D$1461)*100,"")</f>
        <v/>
      </c>
      <c r="H1461" s="10">
        <f>IFERROR(AVERAGE($D$1210:$D$1461),"")</f>
        <v/>
      </c>
      <c r="I1461" s="10" t="n">
        <v>-2.474134293577945</v>
      </c>
      <c r="J1461" t="inlineStr"/>
      <c r="K1461" t="inlineStr"/>
    </row>
    <row r="1462">
      <c r="A1462" s="7" t="inlineStr">
        <is>
          <t>2020-02-26</t>
        </is>
      </c>
      <c r="B1462" s="8">
        <f>IFERROR(VLOOKUP($A1462,'01-原始价格'!$A:$M,2,FALSE),"")</f>
        <v/>
      </c>
      <c r="C1462" s="8">
        <f>IFERROR(VLOOKUP($A1462,'01-原始价格'!$A:$M,8,FALSE),"")</f>
        <v/>
      </c>
      <c r="D1462" s="10">
        <f>IFERROR(B1462/C1462,"")</f>
        <v/>
      </c>
      <c r="E1462" s="10">
        <f>IFERROR(C1462/B1462,"")</f>
        <v/>
      </c>
      <c r="F1462" s="11">
        <f>IFERROR((D1462/D1461-1)*100,"")</f>
        <v/>
      </c>
      <c r="G1462" s="11">
        <f>IFERROR((COUNTIF($D$1211:$D$1462,"&lt;"&amp;D1462)+0.5*COUNTIF($D$1211:$D$1462,D1462))/COUNT($D$1211:$D$1462)*100,"")</f>
        <v/>
      </c>
      <c r="H1462" s="10">
        <f>IFERROR(AVERAGE($D$1211:$D$1462),"")</f>
        <v/>
      </c>
      <c r="I1462" s="10" t="n">
        <v>-2.274413977735884</v>
      </c>
      <c r="J1462" t="inlineStr"/>
      <c r="K1462" t="inlineStr"/>
    </row>
    <row r="1463">
      <c r="A1463" s="7" t="inlineStr">
        <is>
          <t>2020-02-27</t>
        </is>
      </c>
      <c r="B1463" s="8">
        <f>IFERROR(VLOOKUP($A1463,'01-原始价格'!$A:$M,2,FALSE),"")</f>
        <v/>
      </c>
      <c r="C1463" s="8">
        <f>IFERROR(VLOOKUP($A1463,'01-原始价格'!$A:$M,8,FALSE),"")</f>
        <v/>
      </c>
      <c r="D1463" s="10">
        <f>IFERROR(B1463/C1463,"")</f>
        <v/>
      </c>
      <c r="E1463" s="10">
        <f>IFERROR(C1463/B1463,"")</f>
        <v/>
      </c>
      <c r="F1463" s="11">
        <f>IFERROR((D1463/D1462-1)*100,"")</f>
        <v/>
      </c>
      <c r="G1463" s="11">
        <f>IFERROR((COUNTIF($D$1212:$D$1463,"&lt;"&amp;D1463)+0.5*COUNTIF($D$1212:$D$1463,D1463))/COUNT($D$1212:$D$1463)*100,"")</f>
        <v/>
      </c>
      <c r="H1463" s="10">
        <f>IFERROR(AVERAGE($D$1212:$D$1463),"")</f>
        <v/>
      </c>
      <c r="I1463" s="10" t="n">
        <v>-2.264205861476532</v>
      </c>
      <c r="J1463" t="inlineStr"/>
      <c r="K1463" t="inlineStr"/>
    </row>
    <row r="1464">
      <c r="A1464" s="7" t="inlineStr">
        <is>
          <t>2020-02-28</t>
        </is>
      </c>
      <c r="B1464" s="8">
        <f>IFERROR(VLOOKUP($A1464,'01-原始价格'!$A:$M,2,FALSE),"")</f>
        <v/>
      </c>
      <c r="C1464" s="8">
        <f>IFERROR(VLOOKUP($A1464,'01-原始价格'!$A:$M,8,FALSE),"")</f>
        <v/>
      </c>
      <c r="D1464" s="10">
        <f>IFERROR(B1464/C1464,"")</f>
        <v/>
      </c>
      <c r="E1464" s="10">
        <f>IFERROR(C1464/B1464,"")</f>
        <v/>
      </c>
      <c r="F1464" s="11">
        <f>IFERROR((D1464/D1463-1)*100,"")</f>
        <v/>
      </c>
      <c r="G1464" s="11">
        <f>IFERROR((COUNTIF($D$1213:$D$1464,"&lt;"&amp;D1464)+0.5*COUNTIF($D$1213:$D$1464,D1464))/COUNT($D$1213:$D$1464)*100,"")</f>
        <v/>
      </c>
      <c r="H1464" s="10">
        <f>IFERROR(AVERAGE($D$1213:$D$1464),"")</f>
        <v/>
      </c>
      <c r="I1464" s="10" t="n">
        <v>-2.305834017970585</v>
      </c>
      <c r="J1464" t="inlineStr"/>
      <c r="K1464" t="inlineStr"/>
    </row>
    <row r="1465">
      <c r="A1465" s="7" t="inlineStr">
        <is>
          <t>2020-03-02</t>
        </is>
      </c>
      <c r="B1465" s="8">
        <f>IFERROR(VLOOKUP($A1465,'01-原始价格'!$A:$M,2,FALSE),"")</f>
        <v/>
      </c>
      <c r="C1465" s="8">
        <f>IFERROR(VLOOKUP($A1465,'01-原始价格'!$A:$M,8,FALSE),"")</f>
        <v/>
      </c>
      <c r="D1465" s="10">
        <f>IFERROR(B1465/C1465,"")</f>
        <v/>
      </c>
      <c r="E1465" s="10">
        <f>IFERROR(C1465/B1465,"")</f>
        <v/>
      </c>
      <c r="F1465" s="11">
        <f>IFERROR((D1465/D1464-1)*100,"")</f>
        <v/>
      </c>
      <c r="G1465" s="11">
        <f>IFERROR((COUNTIF($D$1214:$D$1465,"&lt;"&amp;D1465)+0.5*COUNTIF($D$1214:$D$1465,D1465))/COUNT($D$1214:$D$1465)*100,"")</f>
        <v/>
      </c>
      <c r="H1465" s="10">
        <f>IFERROR(AVERAGE($D$1214:$D$1465),"")</f>
        <v/>
      </c>
      <c r="I1465" s="10" t="n">
        <v>-2.290154896097727</v>
      </c>
      <c r="J1465" t="inlineStr"/>
      <c r="K1465" t="inlineStr"/>
    </row>
    <row r="1466">
      <c r="A1466" s="7" t="inlineStr">
        <is>
          <t>2020-03-03</t>
        </is>
      </c>
      <c r="B1466" s="8">
        <f>IFERROR(VLOOKUP($A1466,'01-原始价格'!$A:$M,2,FALSE),"")</f>
        <v/>
      </c>
      <c r="C1466" s="8">
        <f>IFERROR(VLOOKUP($A1466,'01-原始价格'!$A:$M,8,FALSE),"")</f>
        <v/>
      </c>
      <c r="D1466" s="10">
        <f>IFERROR(B1466/C1466,"")</f>
        <v/>
      </c>
      <c r="E1466" s="10">
        <f>IFERROR(C1466/B1466,"")</f>
        <v/>
      </c>
      <c r="F1466" s="11">
        <f>IFERROR((D1466/D1465-1)*100,"")</f>
        <v/>
      </c>
      <c r="G1466" s="11">
        <f>IFERROR((COUNTIF($D$1215:$D$1466,"&lt;"&amp;D1466)+0.5*COUNTIF($D$1215:$D$1466,D1466))/COUNT($D$1215:$D$1466)*100,"")</f>
        <v/>
      </c>
      <c r="H1466" s="10">
        <f>IFERROR(AVERAGE($D$1215:$D$1466),"")</f>
        <v/>
      </c>
      <c r="I1466" s="10" t="n">
        <v>-2.149569117245629</v>
      </c>
      <c r="J1466" t="inlineStr"/>
      <c r="K1466" t="inlineStr"/>
    </row>
    <row r="1467">
      <c r="A1467" s="7" t="inlineStr">
        <is>
          <t>2020-03-04</t>
        </is>
      </c>
      <c r="B1467" s="8">
        <f>IFERROR(VLOOKUP($A1467,'01-原始价格'!$A:$M,2,FALSE),"")</f>
        <v/>
      </c>
      <c r="C1467" s="8">
        <f>IFERROR(VLOOKUP($A1467,'01-原始价格'!$A:$M,8,FALSE),"")</f>
        <v/>
      </c>
      <c r="D1467" s="10">
        <f>IFERROR(B1467/C1467,"")</f>
        <v/>
      </c>
      <c r="E1467" s="10">
        <f>IFERROR(C1467/B1467,"")</f>
        <v/>
      </c>
      <c r="F1467" s="11">
        <f>IFERROR((D1467/D1466-1)*100,"")</f>
        <v/>
      </c>
      <c r="G1467" s="11">
        <f>IFERROR((COUNTIF($D$1216:$D$1467,"&lt;"&amp;D1467)+0.5*COUNTIF($D$1216:$D$1467,D1467))/COUNT($D$1216:$D$1467)*100,"")</f>
        <v/>
      </c>
      <c r="H1467" s="10">
        <f>IFERROR(AVERAGE($D$1216:$D$1467),"")</f>
        <v/>
      </c>
      <c r="I1467" s="10" t="n">
        <v>-1.809703651246799</v>
      </c>
      <c r="J1467" t="inlineStr"/>
      <c r="K1467" t="inlineStr"/>
    </row>
    <row r="1468">
      <c r="A1468" s="7" t="inlineStr">
        <is>
          <t>2020-03-05</t>
        </is>
      </c>
      <c r="B1468" s="8">
        <f>IFERROR(VLOOKUP($A1468,'01-原始价格'!$A:$M,2,FALSE),"")</f>
        <v/>
      </c>
      <c r="C1468" s="8">
        <f>IFERROR(VLOOKUP($A1468,'01-原始价格'!$A:$M,8,FALSE),"")</f>
        <v/>
      </c>
      <c r="D1468" s="10">
        <f>IFERROR(B1468/C1468,"")</f>
        <v/>
      </c>
      <c r="E1468" s="10">
        <f>IFERROR(C1468/B1468,"")</f>
        <v/>
      </c>
      <c r="F1468" s="11">
        <f>IFERROR((D1468/D1467-1)*100,"")</f>
        <v/>
      </c>
      <c r="G1468" s="11">
        <f>IFERROR((COUNTIF($D$1217:$D$1468,"&lt;"&amp;D1468)+0.5*COUNTIF($D$1217:$D$1468,D1468))/COUNT($D$1217:$D$1468)*100,"")</f>
        <v/>
      </c>
      <c r="H1468" s="10">
        <f>IFERROR(AVERAGE($D$1217:$D$1468),"")</f>
        <v/>
      </c>
      <c r="I1468" s="10" t="n">
        <v>-1.460006678864923</v>
      </c>
      <c r="J1468" t="inlineStr"/>
      <c r="K1468" t="inlineStr"/>
    </row>
    <row r="1469">
      <c r="A1469" s="7" t="inlineStr">
        <is>
          <t>2020-03-06</t>
        </is>
      </c>
      <c r="B1469" s="8">
        <f>IFERROR(VLOOKUP($A1469,'01-原始价格'!$A:$M,2,FALSE),"")</f>
        <v/>
      </c>
      <c r="C1469" s="8">
        <f>IFERROR(VLOOKUP($A1469,'01-原始价格'!$A:$M,8,FALSE),"")</f>
        <v/>
      </c>
      <c r="D1469" s="10">
        <f>IFERROR(B1469/C1469,"")</f>
        <v/>
      </c>
      <c r="E1469" s="10">
        <f>IFERROR(C1469/B1469,"")</f>
        <v/>
      </c>
      <c r="F1469" s="11">
        <f>IFERROR((D1469/D1468-1)*100,"")</f>
        <v/>
      </c>
      <c r="G1469" s="11">
        <f>IFERROR((COUNTIF($D$1218:$D$1469,"&lt;"&amp;D1469)+0.5*COUNTIF($D$1218:$D$1469,D1469))/COUNT($D$1218:$D$1469)*100,"")</f>
        <v/>
      </c>
      <c r="H1469" s="10">
        <f>IFERROR(AVERAGE($D$1218:$D$1469),"")</f>
        <v/>
      </c>
      <c r="I1469" s="10" t="n">
        <v>-1.148188346952574</v>
      </c>
      <c r="J1469" t="inlineStr"/>
      <c r="K1469" t="inlineStr"/>
    </row>
    <row r="1470">
      <c r="A1470" s="7" t="inlineStr">
        <is>
          <t>2020-03-09</t>
        </is>
      </c>
      <c r="B1470" s="8">
        <f>IFERROR(VLOOKUP($A1470,'01-原始价格'!$A:$M,2,FALSE),"")</f>
        <v/>
      </c>
      <c r="C1470" s="8">
        <f>IFERROR(VLOOKUP($A1470,'01-原始价格'!$A:$M,8,FALSE),"")</f>
        <v/>
      </c>
      <c r="D1470" s="10">
        <f>IFERROR(B1470/C1470,"")</f>
        <v/>
      </c>
      <c r="E1470" s="10">
        <f>IFERROR(C1470/B1470,"")</f>
        <v/>
      </c>
      <c r="F1470" s="11">
        <f>IFERROR((D1470/D1469-1)*100,"")</f>
        <v/>
      </c>
      <c r="G1470" s="11">
        <f>IFERROR((COUNTIF($D$1219:$D$1470,"&lt;"&amp;D1470)+0.5*COUNTIF($D$1219:$D$1470,D1470))/COUNT($D$1219:$D$1470)*100,"")</f>
        <v/>
      </c>
      <c r="H1470" s="10">
        <f>IFERROR(AVERAGE($D$1219:$D$1470),"")</f>
        <v/>
      </c>
      <c r="I1470" s="10" t="n">
        <v>-1.068044694999402</v>
      </c>
      <c r="J1470" t="inlineStr"/>
      <c r="K1470" t="inlineStr"/>
    </row>
    <row r="1471">
      <c r="A1471" s="7" t="inlineStr">
        <is>
          <t>2020-03-10</t>
        </is>
      </c>
      <c r="B1471" s="8">
        <f>IFERROR(VLOOKUP($A1471,'01-原始价格'!$A:$M,2,FALSE),"")</f>
        <v/>
      </c>
      <c r="C1471" s="8">
        <f>IFERROR(VLOOKUP($A1471,'01-原始价格'!$A:$M,8,FALSE),"")</f>
        <v/>
      </c>
      <c r="D1471" s="10">
        <f>IFERROR(B1471/C1471,"")</f>
        <v/>
      </c>
      <c r="E1471" s="10">
        <f>IFERROR(C1471/B1471,"")</f>
        <v/>
      </c>
      <c r="F1471" s="11">
        <f>IFERROR((D1471/D1470-1)*100,"")</f>
        <v/>
      </c>
      <c r="G1471" s="11">
        <f>IFERROR((COUNTIF($D$1220:$D$1471,"&lt;"&amp;D1471)+0.5*COUNTIF($D$1220:$D$1471,D1471))/COUNT($D$1220:$D$1471)*100,"")</f>
        <v/>
      </c>
      <c r="H1471" s="10">
        <f>IFERROR(AVERAGE($D$1220:$D$1471),"")</f>
        <v/>
      </c>
      <c r="I1471" s="10" t="n">
        <v>-0.9507496408589798</v>
      </c>
      <c r="J1471" t="inlineStr"/>
      <c r="K1471" t="inlineStr"/>
    </row>
    <row r="1472">
      <c r="A1472" s="7" t="inlineStr">
        <is>
          <t>2020-03-11</t>
        </is>
      </c>
      <c r="B1472" s="8">
        <f>IFERROR(VLOOKUP($A1472,'01-原始价格'!$A:$M,2,FALSE),"")</f>
        <v/>
      </c>
      <c r="C1472" s="8">
        <f>IFERROR(VLOOKUP($A1472,'01-原始价格'!$A:$M,8,FALSE),"")</f>
        <v/>
      </c>
      <c r="D1472" s="10">
        <f>IFERROR(B1472/C1472,"")</f>
        <v/>
      </c>
      <c r="E1472" s="10">
        <f>IFERROR(C1472/B1472,"")</f>
        <v/>
      </c>
      <c r="F1472" s="11">
        <f>IFERROR((D1472/D1471-1)*100,"")</f>
        <v/>
      </c>
      <c r="G1472" s="11">
        <f>IFERROR((COUNTIF($D$1221:$D$1472,"&lt;"&amp;D1472)+0.5*COUNTIF($D$1221:$D$1472,D1472))/COUNT($D$1221:$D$1472)*100,"")</f>
        <v/>
      </c>
      <c r="H1472" s="10">
        <f>IFERROR(AVERAGE($D$1221:$D$1472),"")</f>
        <v/>
      </c>
      <c r="I1472" s="10" t="n">
        <v>-0.8394671196435881</v>
      </c>
      <c r="J1472" t="inlineStr"/>
      <c r="K1472" t="inlineStr"/>
    </row>
    <row r="1473">
      <c r="A1473" s="7" t="inlineStr">
        <is>
          <t>2020-03-12</t>
        </is>
      </c>
      <c r="B1473" s="8">
        <f>IFERROR(VLOOKUP($A1473,'01-原始价格'!$A:$M,2,FALSE),"")</f>
        <v/>
      </c>
      <c r="C1473" s="8">
        <f>IFERROR(VLOOKUP($A1473,'01-原始价格'!$A:$M,8,FALSE),"")</f>
        <v/>
      </c>
      <c r="D1473" s="10">
        <f>IFERROR(B1473/C1473,"")</f>
        <v/>
      </c>
      <c r="E1473" s="10">
        <f>IFERROR(C1473/B1473,"")</f>
        <v/>
      </c>
      <c r="F1473" s="11">
        <f>IFERROR((D1473/D1472-1)*100,"")</f>
        <v/>
      </c>
      <c r="G1473" s="11">
        <f>IFERROR((COUNTIF($D$1222:$D$1473,"&lt;"&amp;D1473)+0.5*COUNTIF($D$1222:$D$1473,D1473))/COUNT($D$1222:$D$1473)*100,"")</f>
        <v/>
      </c>
      <c r="H1473" s="10">
        <f>IFERROR(AVERAGE($D$1222:$D$1473),"")</f>
        <v/>
      </c>
      <c r="I1473" s="10" t="n">
        <v>-0.9023635212804644</v>
      </c>
      <c r="J1473" t="inlineStr"/>
      <c r="K1473" t="inlineStr"/>
    </row>
    <row r="1474">
      <c r="A1474" s="7" t="inlineStr">
        <is>
          <t>2020-03-13</t>
        </is>
      </c>
      <c r="B1474" s="8">
        <f>IFERROR(VLOOKUP($A1474,'01-原始价格'!$A:$M,2,FALSE),"")</f>
        <v/>
      </c>
      <c r="C1474" s="8">
        <f>IFERROR(VLOOKUP($A1474,'01-原始价格'!$A:$M,8,FALSE),"")</f>
        <v/>
      </c>
      <c r="D1474" s="10">
        <f>IFERROR(B1474/C1474,"")</f>
        <v/>
      </c>
      <c r="E1474" s="10">
        <f>IFERROR(C1474/B1474,"")</f>
        <v/>
      </c>
      <c r="F1474" s="11">
        <f>IFERROR((D1474/D1473-1)*100,"")</f>
        <v/>
      </c>
      <c r="G1474" s="11">
        <f>IFERROR((COUNTIF($D$1223:$D$1474,"&lt;"&amp;D1474)+0.5*COUNTIF($D$1223:$D$1474,D1474))/COUNT($D$1223:$D$1474)*100,"")</f>
        <v/>
      </c>
      <c r="H1474" s="10">
        <f>IFERROR(AVERAGE($D$1223:$D$1474),"")</f>
        <v/>
      </c>
      <c r="I1474" s="10" t="n">
        <v>-0.8065442250390055</v>
      </c>
      <c r="J1474" t="inlineStr"/>
      <c r="K1474" t="inlineStr"/>
    </row>
    <row r="1475">
      <c r="A1475" s="7" t="inlineStr">
        <is>
          <t>2020-03-16</t>
        </is>
      </c>
      <c r="B1475" s="8">
        <f>IFERROR(VLOOKUP($A1475,'01-原始价格'!$A:$M,2,FALSE),"")</f>
        <v/>
      </c>
      <c r="C1475" s="8">
        <f>IFERROR(VLOOKUP($A1475,'01-原始价格'!$A:$M,8,FALSE),"")</f>
        <v/>
      </c>
      <c r="D1475" s="10">
        <f>IFERROR(B1475/C1475,"")</f>
        <v/>
      </c>
      <c r="E1475" s="10">
        <f>IFERROR(C1475/B1475,"")</f>
        <v/>
      </c>
      <c r="F1475" s="11">
        <f>IFERROR((D1475/D1474-1)*100,"")</f>
        <v/>
      </c>
      <c r="G1475" s="11">
        <f>IFERROR((COUNTIF($D$1224:$D$1475,"&lt;"&amp;D1475)+0.5*COUNTIF($D$1224:$D$1475,D1475))/COUNT($D$1224:$D$1475)*100,"")</f>
        <v/>
      </c>
      <c r="H1475" s="10">
        <f>IFERROR(AVERAGE($D$1224:$D$1475),"")</f>
        <v/>
      </c>
      <c r="I1475" s="10" t="n">
        <v>-0.6564857753436535</v>
      </c>
      <c r="J1475" t="inlineStr"/>
      <c r="K1475" t="inlineStr"/>
    </row>
    <row r="1476">
      <c r="A1476" s="7" t="inlineStr">
        <is>
          <t>2020-03-17</t>
        </is>
      </c>
      <c r="B1476" s="8">
        <f>IFERROR(VLOOKUP($A1476,'01-原始价格'!$A:$M,2,FALSE),"")</f>
        <v/>
      </c>
      <c r="C1476" s="8">
        <f>IFERROR(VLOOKUP($A1476,'01-原始价格'!$A:$M,8,FALSE),"")</f>
        <v/>
      </c>
      <c r="D1476" s="10">
        <f>IFERROR(B1476/C1476,"")</f>
        <v/>
      </c>
      <c r="E1476" s="10">
        <f>IFERROR(C1476/B1476,"")</f>
        <v/>
      </c>
      <c r="F1476" s="11">
        <f>IFERROR((D1476/D1475-1)*100,"")</f>
        <v/>
      </c>
      <c r="G1476" s="11">
        <f>IFERROR((COUNTIF($D$1225:$D$1476,"&lt;"&amp;D1476)+0.5*COUNTIF($D$1225:$D$1476,D1476))/COUNT($D$1225:$D$1476)*100,"")</f>
        <v/>
      </c>
      <c r="H1476" s="10">
        <f>IFERROR(AVERAGE($D$1225:$D$1476),"")</f>
        <v/>
      </c>
      <c r="I1476" s="10" t="n">
        <v>-0.3213188347359398</v>
      </c>
      <c r="J1476" t="inlineStr"/>
      <c r="K1476" t="inlineStr"/>
    </row>
    <row r="1477">
      <c r="A1477" s="7" t="inlineStr">
        <is>
          <t>2020-03-18</t>
        </is>
      </c>
      <c r="B1477" s="8">
        <f>IFERROR(VLOOKUP($A1477,'01-原始价格'!$A:$M,2,FALSE),"")</f>
        <v/>
      </c>
      <c r="C1477" s="8">
        <f>IFERROR(VLOOKUP($A1477,'01-原始价格'!$A:$M,8,FALSE),"")</f>
        <v/>
      </c>
      <c r="D1477" s="10">
        <f>IFERROR(B1477/C1477,"")</f>
        <v/>
      </c>
      <c r="E1477" s="10">
        <f>IFERROR(C1477/B1477,"")</f>
        <v/>
      </c>
      <c r="F1477" s="11">
        <f>IFERROR((D1477/D1476-1)*100,"")</f>
        <v/>
      </c>
      <c r="G1477" s="11">
        <f>IFERROR((COUNTIF($D$1226:$D$1477,"&lt;"&amp;D1477)+0.5*COUNTIF($D$1226:$D$1477,D1477))/COUNT($D$1226:$D$1477)*100,"")</f>
        <v/>
      </c>
      <c r="H1477" s="10">
        <f>IFERROR(AVERAGE($D$1226:$D$1477),"")</f>
        <v/>
      </c>
      <c r="I1477" s="10" t="n">
        <v>-0.4096963086243977</v>
      </c>
      <c r="J1477" t="inlineStr"/>
      <c r="K1477" t="inlineStr"/>
    </row>
    <row r="1478">
      <c r="A1478" s="7" t="inlineStr">
        <is>
          <t>2020-03-19</t>
        </is>
      </c>
      <c r="B1478" s="8">
        <f>IFERROR(VLOOKUP($A1478,'01-原始价格'!$A:$M,2,FALSE),"")</f>
        <v/>
      </c>
      <c r="C1478" s="8">
        <f>IFERROR(VLOOKUP($A1478,'01-原始价格'!$A:$M,8,FALSE),"")</f>
        <v/>
      </c>
      <c r="D1478" s="10">
        <f>IFERROR(B1478/C1478,"")</f>
        <v/>
      </c>
      <c r="E1478" s="10">
        <f>IFERROR(C1478/B1478,"")</f>
        <v/>
      </c>
      <c r="F1478" s="11">
        <f>IFERROR((D1478/D1477-1)*100,"")</f>
        <v/>
      </c>
      <c r="G1478" s="11">
        <f>IFERROR((COUNTIF($D$1227:$D$1478,"&lt;"&amp;D1478)+0.5*COUNTIF($D$1227:$D$1478,D1478))/COUNT($D$1227:$D$1478)*100,"")</f>
        <v/>
      </c>
      <c r="H1478" s="10">
        <f>IFERROR(AVERAGE($D$1227:$D$1478),"")</f>
        <v/>
      </c>
      <c r="I1478" s="10" t="n">
        <v>-0.4382632318683007</v>
      </c>
      <c r="J1478" t="inlineStr"/>
      <c r="K1478" t="inlineStr"/>
    </row>
    <row r="1479">
      <c r="A1479" s="7" t="inlineStr">
        <is>
          <t>2020-03-20</t>
        </is>
      </c>
      <c r="B1479" s="8">
        <f>IFERROR(VLOOKUP($A1479,'01-原始价格'!$A:$M,2,FALSE),"")</f>
        <v/>
      </c>
      <c r="C1479" s="8">
        <f>IFERROR(VLOOKUP($A1479,'01-原始价格'!$A:$M,8,FALSE),"")</f>
        <v/>
      </c>
      <c r="D1479" s="10">
        <f>IFERROR(B1479/C1479,"")</f>
        <v/>
      </c>
      <c r="E1479" s="10">
        <f>IFERROR(C1479/B1479,"")</f>
        <v/>
      </c>
      <c r="F1479" s="11">
        <f>IFERROR((D1479/D1478-1)*100,"")</f>
        <v/>
      </c>
      <c r="G1479" s="11">
        <f>IFERROR((COUNTIF($D$1228:$D$1479,"&lt;"&amp;D1479)+0.5*COUNTIF($D$1228:$D$1479,D1479))/COUNT($D$1228:$D$1479)*100,"")</f>
        <v/>
      </c>
      <c r="H1479" s="10">
        <f>IFERROR(AVERAGE($D$1228:$D$1479),"")</f>
        <v/>
      </c>
      <c r="I1479" s="10" t="n">
        <v>-0.2399779624585478</v>
      </c>
      <c r="J1479" t="inlineStr"/>
      <c r="K1479" t="inlineStr"/>
    </row>
    <row r="1480">
      <c r="A1480" s="7" t="inlineStr">
        <is>
          <t>2020-03-23</t>
        </is>
      </c>
      <c r="B1480" s="8">
        <f>IFERROR(VLOOKUP($A1480,'01-原始价格'!$A:$M,2,FALSE),"")</f>
        <v/>
      </c>
      <c r="C1480" s="8">
        <f>IFERROR(VLOOKUP($A1480,'01-原始价格'!$A:$M,8,FALSE),"")</f>
        <v/>
      </c>
      <c r="D1480" s="10">
        <f>IFERROR(B1480/C1480,"")</f>
        <v/>
      </c>
      <c r="E1480" s="10">
        <f>IFERROR(C1480/B1480,"")</f>
        <v/>
      </c>
      <c r="F1480" s="11">
        <f>IFERROR((D1480/D1479-1)*100,"")</f>
        <v/>
      </c>
      <c r="G1480" s="11">
        <f>IFERROR((COUNTIF($D$1229:$D$1480,"&lt;"&amp;D1480)+0.5*COUNTIF($D$1229:$D$1480,D1480))/COUNT($D$1229:$D$1480)*100,"")</f>
        <v/>
      </c>
      <c r="H1480" s="10">
        <f>IFERROR(AVERAGE($D$1229:$D$1480),"")</f>
        <v/>
      </c>
      <c r="I1480" s="10" t="n">
        <v>-0.4344895894661562</v>
      </c>
      <c r="J1480" t="inlineStr"/>
      <c r="K1480" t="inlineStr"/>
    </row>
    <row r="1481">
      <c r="A1481" s="7" t="inlineStr">
        <is>
          <t>2020-03-24</t>
        </is>
      </c>
      <c r="B1481" s="8">
        <f>IFERROR(VLOOKUP($A1481,'01-原始价格'!$A:$M,2,FALSE),"")</f>
        <v/>
      </c>
      <c r="C1481" s="8">
        <f>IFERROR(VLOOKUP($A1481,'01-原始价格'!$A:$M,8,FALSE),"")</f>
        <v/>
      </c>
      <c r="D1481" s="10">
        <f>IFERROR(B1481/C1481,"")</f>
        <v/>
      </c>
      <c r="E1481" s="10">
        <f>IFERROR(C1481/B1481,"")</f>
        <v/>
      </c>
      <c r="F1481" s="11">
        <f>IFERROR((D1481/D1480-1)*100,"")</f>
        <v/>
      </c>
      <c r="G1481" s="11">
        <f>IFERROR((COUNTIF($D$1230:$D$1481,"&lt;"&amp;D1481)+0.5*COUNTIF($D$1230:$D$1481,D1481))/COUNT($D$1230:$D$1481)*100,"")</f>
        <v/>
      </c>
      <c r="H1481" s="10">
        <f>IFERROR(AVERAGE($D$1230:$D$1481),"")</f>
        <v/>
      </c>
      <c r="I1481" s="10" t="n">
        <v>-0.1528954760609044</v>
      </c>
      <c r="J1481" t="inlineStr"/>
      <c r="K1481" t="inlineStr"/>
    </row>
    <row r="1482">
      <c r="A1482" s="7" t="inlineStr">
        <is>
          <t>2020-03-25</t>
        </is>
      </c>
      <c r="B1482" s="8">
        <f>IFERROR(VLOOKUP($A1482,'01-原始价格'!$A:$M,2,FALSE),"")</f>
        <v/>
      </c>
      <c r="C1482" s="8">
        <f>IFERROR(VLOOKUP($A1482,'01-原始价格'!$A:$M,8,FALSE),"")</f>
        <v/>
      </c>
      <c r="D1482" s="10">
        <f>IFERROR(B1482/C1482,"")</f>
        <v/>
      </c>
      <c r="E1482" s="10">
        <f>IFERROR(C1482/B1482,"")</f>
        <v/>
      </c>
      <c r="F1482" s="11">
        <f>IFERROR((D1482/D1481-1)*100,"")</f>
        <v/>
      </c>
      <c r="G1482" s="11">
        <f>IFERROR((COUNTIF($D$1231:$D$1482,"&lt;"&amp;D1482)+0.5*COUNTIF($D$1231:$D$1482,D1482))/COUNT($D$1231:$D$1482)*100,"")</f>
        <v/>
      </c>
      <c r="H1482" s="10">
        <f>IFERROR(AVERAGE($D$1231:$D$1482),"")</f>
        <v/>
      </c>
      <c r="I1482" s="10" t="n">
        <v>0.2218348081586201</v>
      </c>
      <c r="J1482" t="inlineStr"/>
      <c r="K1482" t="inlineStr"/>
    </row>
    <row r="1483">
      <c r="A1483" s="7" t="inlineStr">
        <is>
          <t>2020-03-26</t>
        </is>
      </c>
      <c r="B1483" s="8">
        <f>IFERROR(VLOOKUP($A1483,'01-原始价格'!$A:$M,2,FALSE),"")</f>
        <v/>
      </c>
      <c r="C1483" s="8">
        <f>IFERROR(VLOOKUP($A1483,'01-原始价格'!$A:$M,8,FALSE),"")</f>
        <v/>
      </c>
      <c r="D1483" s="10">
        <f>IFERROR(B1483/C1483,"")</f>
        <v/>
      </c>
      <c r="E1483" s="10">
        <f>IFERROR(C1483/B1483,"")</f>
        <v/>
      </c>
      <c r="F1483" s="11">
        <f>IFERROR((D1483/D1482-1)*100,"")</f>
        <v/>
      </c>
      <c r="G1483" s="11">
        <f>IFERROR((COUNTIF($D$1232:$D$1483,"&lt;"&amp;D1483)+0.5*COUNTIF($D$1232:$D$1483,D1483))/COUNT($D$1232:$D$1483)*100,"")</f>
        <v/>
      </c>
      <c r="H1483" s="10">
        <f>IFERROR(AVERAGE($D$1232:$D$1483),"")</f>
        <v/>
      </c>
      <c r="I1483" s="10" t="n">
        <v>0.5871343412004933</v>
      </c>
      <c r="J1483" t="inlineStr"/>
      <c r="K1483" t="inlineStr"/>
    </row>
    <row r="1484">
      <c r="A1484" s="7" t="inlineStr">
        <is>
          <t>2020-03-27</t>
        </is>
      </c>
      <c r="B1484" s="8">
        <f>IFERROR(VLOOKUP($A1484,'01-原始价格'!$A:$M,2,FALSE),"")</f>
        <v/>
      </c>
      <c r="C1484" s="8">
        <f>IFERROR(VLOOKUP($A1484,'01-原始价格'!$A:$M,8,FALSE),"")</f>
        <v/>
      </c>
      <c r="D1484" s="10">
        <f>IFERROR(B1484/C1484,"")</f>
        <v/>
      </c>
      <c r="E1484" s="10">
        <f>IFERROR(C1484/B1484,"")</f>
        <v/>
      </c>
      <c r="F1484" s="11">
        <f>IFERROR((D1484/D1483-1)*100,"")</f>
        <v/>
      </c>
      <c r="G1484" s="11">
        <f>IFERROR((COUNTIF($D$1233:$D$1484,"&lt;"&amp;D1484)+0.5*COUNTIF($D$1233:$D$1484,D1484))/COUNT($D$1233:$D$1484)*100,"")</f>
        <v/>
      </c>
      <c r="H1484" s="10">
        <f>IFERROR(AVERAGE($D$1233:$D$1484),"")</f>
        <v/>
      </c>
      <c r="I1484" s="10" t="n">
        <v>0.299707715985086</v>
      </c>
      <c r="J1484" t="inlineStr"/>
      <c r="K1484" t="inlineStr"/>
    </row>
    <row r="1485">
      <c r="A1485" s="7" t="inlineStr">
        <is>
          <t>2020-03-30</t>
        </is>
      </c>
      <c r="B1485" s="8">
        <f>IFERROR(VLOOKUP($A1485,'01-原始价格'!$A:$M,2,FALSE),"")</f>
        <v/>
      </c>
      <c r="C1485" s="8">
        <f>IFERROR(VLOOKUP($A1485,'01-原始价格'!$A:$M,8,FALSE),"")</f>
        <v/>
      </c>
      <c r="D1485" s="10">
        <f>IFERROR(B1485/C1485,"")</f>
        <v/>
      </c>
      <c r="E1485" s="10">
        <f>IFERROR(C1485/B1485,"")</f>
        <v/>
      </c>
      <c r="F1485" s="11">
        <f>IFERROR((D1485/D1484-1)*100,"")</f>
        <v/>
      </c>
      <c r="G1485" s="11">
        <f>IFERROR((COUNTIF($D$1234:$D$1485,"&lt;"&amp;D1485)+0.5*COUNTIF($D$1234:$D$1485,D1485))/COUNT($D$1234:$D$1485)*100,"")</f>
        <v/>
      </c>
      <c r="H1485" s="10">
        <f>IFERROR(AVERAGE($D$1234:$D$1485),"")</f>
        <v/>
      </c>
      <c r="I1485" s="10" t="n">
        <v>0.8446361753381441</v>
      </c>
      <c r="J1485" t="inlineStr"/>
      <c r="K1485" t="inlineStr"/>
    </row>
    <row r="1486">
      <c r="A1486" s="7" t="inlineStr">
        <is>
          <t>2020-03-31</t>
        </is>
      </c>
      <c r="B1486" s="8">
        <f>IFERROR(VLOOKUP($A1486,'01-原始价格'!$A:$M,2,FALSE),"")</f>
        <v/>
      </c>
      <c r="C1486" s="8">
        <f>IFERROR(VLOOKUP($A1486,'01-原始价格'!$A:$M,8,FALSE),"")</f>
        <v/>
      </c>
      <c r="D1486" s="10">
        <f>IFERROR(B1486/C1486,"")</f>
        <v/>
      </c>
      <c r="E1486" s="10">
        <f>IFERROR(C1486/B1486,"")</f>
        <v/>
      </c>
      <c r="F1486" s="11">
        <f>IFERROR((D1486/D1485-1)*100,"")</f>
        <v/>
      </c>
      <c r="G1486" s="11">
        <f>IFERROR((COUNTIF($D$1235:$D$1486,"&lt;"&amp;D1486)+0.5*COUNTIF($D$1235:$D$1486,D1486))/COUNT($D$1235:$D$1486)*100,"")</f>
        <v/>
      </c>
      <c r="H1486" s="10">
        <f>IFERROR(AVERAGE($D$1235:$D$1486),"")</f>
        <v/>
      </c>
      <c r="I1486" s="10" t="n">
        <v>0.8106340482466198</v>
      </c>
      <c r="J1486" t="inlineStr"/>
      <c r="K1486" t="inlineStr"/>
    </row>
    <row r="1487">
      <c r="A1487" s="7" t="inlineStr">
        <is>
          <t>2020-04-01</t>
        </is>
      </c>
      <c r="B1487" s="8">
        <f>IFERROR(VLOOKUP($A1487,'01-原始价格'!$A:$M,2,FALSE),"")</f>
        <v/>
      </c>
      <c r="C1487" s="8">
        <f>IFERROR(VLOOKUP($A1487,'01-原始价格'!$A:$M,8,FALSE),"")</f>
        <v/>
      </c>
      <c r="D1487" s="10">
        <f>IFERROR(B1487/C1487,"")</f>
        <v/>
      </c>
      <c r="E1487" s="10">
        <f>IFERROR(C1487/B1487,"")</f>
        <v/>
      </c>
      <c r="F1487" s="11">
        <f>IFERROR((D1487/D1486-1)*100,"")</f>
        <v/>
      </c>
      <c r="G1487" s="11">
        <f>IFERROR((COUNTIF($D$1236:$D$1487,"&lt;"&amp;D1487)+0.5*COUNTIF($D$1236:$D$1487,D1487))/COUNT($D$1236:$D$1487)*100,"")</f>
        <v/>
      </c>
      <c r="H1487" s="10">
        <f>IFERROR(AVERAGE($D$1236:$D$1487),"")</f>
        <v/>
      </c>
      <c r="I1487" s="10" t="n">
        <v>1.002414973391275</v>
      </c>
      <c r="J1487" t="inlineStr"/>
      <c r="K1487" s="12" t="inlineStr">
        <is>
          <t>是</t>
        </is>
      </c>
      <c r="L1487" t="inlineStr">
        <is>
          <t>换月日</t>
        </is>
      </c>
    </row>
    <row r="1488">
      <c r="A1488" s="7" t="inlineStr">
        <is>
          <t>2020-04-02</t>
        </is>
      </c>
      <c r="B1488" s="8">
        <f>IFERROR(VLOOKUP($A1488,'01-原始价格'!$A:$M,2,FALSE),"")</f>
        <v/>
      </c>
      <c r="C1488" s="8">
        <f>IFERROR(VLOOKUP($A1488,'01-原始价格'!$A:$M,8,FALSE),"")</f>
        <v/>
      </c>
      <c r="D1488" s="10">
        <f>IFERROR(B1488/C1488,"")</f>
        <v/>
      </c>
      <c r="E1488" s="10">
        <f>IFERROR(C1488/B1488,"")</f>
        <v/>
      </c>
      <c r="F1488" s="11">
        <f>IFERROR((D1488/D1487-1)*100,"")</f>
        <v/>
      </c>
      <c r="G1488" s="11">
        <f>IFERROR((COUNTIF($D$1237:$D$1488,"&lt;"&amp;D1488)+0.5*COUNTIF($D$1237:$D$1488,D1488))/COUNT($D$1237:$D$1488)*100,"")</f>
        <v/>
      </c>
      <c r="H1488" s="10">
        <f>IFERROR(AVERAGE($D$1237:$D$1488),"")</f>
        <v/>
      </c>
      <c r="I1488" s="10" t="n">
        <v>1.311298994301485</v>
      </c>
      <c r="J1488" t="inlineStr"/>
      <c r="K1488" t="inlineStr"/>
    </row>
    <row r="1489">
      <c r="A1489" s="7" t="inlineStr">
        <is>
          <t>2020-04-03</t>
        </is>
      </c>
      <c r="B1489" s="8">
        <f>IFERROR(VLOOKUP($A1489,'01-原始价格'!$A:$M,2,FALSE),"")</f>
        <v/>
      </c>
      <c r="C1489" s="8">
        <f>IFERROR(VLOOKUP($A1489,'01-原始价格'!$A:$M,8,FALSE),"")</f>
        <v/>
      </c>
      <c r="D1489" s="10">
        <f>IFERROR(B1489/C1489,"")</f>
        <v/>
      </c>
      <c r="E1489" s="10">
        <f>IFERROR(C1489/B1489,"")</f>
        <v/>
      </c>
      <c r="F1489" s="11">
        <f>IFERROR((D1489/D1488-1)*100,"")</f>
        <v/>
      </c>
      <c r="G1489" s="11">
        <f>IFERROR((COUNTIF($D$1238:$D$1489,"&lt;"&amp;D1489)+0.5*COUNTIF($D$1238:$D$1489,D1489))/COUNT($D$1238:$D$1489)*100,"")</f>
        <v/>
      </c>
      <c r="H1489" s="10">
        <f>IFERROR(AVERAGE($D$1238:$D$1489),"")</f>
        <v/>
      </c>
      <c r="I1489" s="10" t="n">
        <v>1.075715378735167</v>
      </c>
      <c r="J1489" t="inlineStr"/>
      <c r="K1489" s="12" t="inlineStr">
        <is>
          <t>是</t>
        </is>
      </c>
      <c r="L1489" t="inlineStr">
        <is>
          <t>换月日</t>
        </is>
      </c>
    </row>
    <row r="1490">
      <c r="A1490" s="7" t="inlineStr">
        <is>
          <t>2020-04-07</t>
        </is>
      </c>
      <c r="B1490" s="8">
        <f>IFERROR(VLOOKUP($A1490,'01-原始价格'!$A:$M,2,FALSE),"")</f>
        <v/>
      </c>
      <c r="C1490" s="8">
        <f>IFERROR(VLOOKUP($A1490,'01-原始价格'!$A:$M,8,FALSE),"")</f>
        <v/>
      </c>
      <c r="D1490" s="10">
        <f>IFERROR(B1490/C1490,"")</f>
        <v/>
      </c>
      <c r="E1490" s="10">
        <f>IFERROR(C1490/B1490,"")</f>
        <v/>
      </c>
      <c r="F1490" s="11">
        <f>IFERROR((D1490/D1489-1)*100,"")</f>
        <v/>
      </c>
      <c r="G1490" s="11">
        <f>IFERROR((COUNTIF($D$1239:$D$1490,"&lt;"&amp;D1490)+0.5*COUNTIF($D$1239:$D$1490,D1490))/COUNT($D$1239:$D$1490)*100,"")</f>
        <v/>
      </c>
      <c r="H1490" s="10">
        <f>IFERROR(AVERAGE($D$1239:$D$1490),"")</f>
        <v/>
      </c>
      <c r="I1490" s="10" t="n">
        <v>1.502483692147121</v>
      </c>
      <c r="J1490" t="inlineStr"/>
      <c r="K1490" t="inlineStr"/>
    </row>
    <row r="1491">
      <c r="A1491" s="7" t="inlineStr">
        <is>
          <t>2020-04-08</t>
        </is>
      </c>
      <c r="B1491" s="8">
        <f>IFERROR(VLOOKUP($A1491,'01-原始价格'!$A:$M,2,FALSE),"")</f>
        <v/>
      </c>
      <c r="C1491" s="8">
        <f>IFERROR(VLOOKUP($A1491,'01-原始价格'!$A:$M,8,FALSE),"")</f>
        <v/>
      </c>
      <c r="D1491" s="10">
        <f>IFERROR(B1491/C1491,"")</f>
        <v/>
      </c>
      <c r="E1491" s="10">
        <f>IFERROR(C1491/B1491,"")</f>
        <v/>
      </c>
      <c r="F1491" s="11">
        <f>IFERROR((D1491/D1490-1)*100,"")</f>
        <v/>
      </c>
      <c r="G1491" s="11">
        <f>IFERROR((COUNTIF($D$1240:$D$1491,"&lt;"&amp;D1491)+0.5*COUNTIF($D$1240:$D$1491,D1491))/COUNT($D$1240:$D$1491)*100,"")</f>
        <v/>
      </c>
      <c r="H1491" s="10">
        <f>IFERROR(AVERAGE($D$1240:$D$1491),"")</f>
        <v/>
      </c>
      <c r="I1491" s="10" t="n">
        <v>2.096957450311331</v>
      </c>
      <c r="J1491" t="inlineStr"/>
      <c r="K1491" t="inlineStr"/>
    </row>
    <row r="1492">
      <c r="A1492" s="7" t="inlineStr">
        <is>
          <t>2020-04-09</t>
        </is>
      </c>
      <c r="B1492" s="8">
        <f>IFERROR(VLOOKUP($A1492,'01-原始价格'!$A:$M,2,FALSE),"")</f>
        <v/>
      </c>
      <c r="C1492" s="8">
        <f>IFERROR(VLOOKUP($A1492,'01-原始价格'!$A:$M,8,FALSE),"")</f>
        <v/>
      </c>
      <c r="D1492" s="10">
        <f>IFERROR(B1492/C1492,"")</f>
        <v/>
      </c>
      <c r="E1492" s="10">
        <f>IFERROR(C1492/B1492,"")</f>
        <v/>
      </c>
      <c r="F1492" s="11">
        <f>IFERROR((D1492/D1491-1)*100,"")</f>
        <v/>
      </c>
      <c r="G1492" s="11">
        <f>IFERROR((COUNTIF($D$1241:$D$1492,"&lt;"&amp;D1492)+0.5*COUNTIF($D$1241:$D$1492,D1492))/COUNT($D$1241:$D$1492)*100,"")</f>
        <v/>
      </c>
      <c r="H1492" s="10">
        <f>IFERROR(AVERAGE($D$1241:$D$1492),"")</f>
        <v/>
      </c>
      <c r="I1492" s="10" t="n">
        <v>2.385238987621872</v>
      </c>
      <c r="J1492" t="inlineStr"/>
      <c r="K1492" t="inlineStr"/>
    </row>
    <row r="1493">
      <c r="A1493" s="7" t="inlineStr">
        <is>
          <t>2020-04-10</t>
        </is>
      </c>
      <c r="B1493" s="8">
        <f>IFERROR(VLOOKUP($A1493,'01-原始价格'!$A:$M,2,FALSE),"")</f>
        <v/>
      </c>
      <c r="C1493" s="8">
        <f>IFERROR(VLOOKUP($A1493,'01-原始价格'!$A:$M,8,FALSE),"")</f>
        <v/>
      </c>
      <c r="D1493" s="10">
        <f>IFERROR(B1493/C1493,"")</f>
        <v/>
      </c>
      <c r="E1493" s="10">
        <f>IFERROR(C1493/B1493,"")</f>
        <v/>
      </c>
      <c r="F1493" s="11">
        <f>IFERROR((D1493/D1492-1)*100,"")</f>
        <v/>
      </c>
      <c r="G1493" s="11">
        <f>IFERROR((COUNTIF($D$1242:$D$1493,"&lt;"&amp;D1493)+0.5*COUNTIF($D$1242:$D$1493,D1493))/COUNT($D$1242:$D$1493)*100,"")</f>
        <v/>
      </c>
      <c r="H1493" s="10">
        <f>IFERROR(AVERAGE($D$1242:$D$1493),"")</f>
        <v/>
      </c>
      <c r="I1493" s="10" t="n">
        <v>2.390801305282505</v>
      </c>
      <c r="J1493" t="inlineStr"/>
      <c r="K1493" t="inlineStr"/>
    </row>
    <row r="1494">
      <c r="A1494" s="7" t="inlineStr">
        <is>
          <t>2020-04-13</t>
        </is>
      </c>
      <c r="B1494" s="8">
        <f>IFERROR(VLOOKUP($A1494,'01-原始价格'!$A:$M,2,FALSE),"")</f>
        <v/>
      </c>
      <c r="C1494" s="8">
        <f>IFERROR(VLOOKUP($A1494,'01-原始价格'!$A:$M,8,FALSE),"")</f>
        <v/>
      </c>
      <c r="D1494" s="10">
        <f>IFERROR(B1494/C1494,"")</f>
        <v/>
      </c>
      <c r="E1494" s="10">
        <f>IFERROR(C1494/B1494,"")</f>
        <v/>
      </c>
      <c r="F1494" s="11">
        <f>IFERROR((D1494/D1493-1)*100,"")</f>
        <v/>
      </c>
      <c r="G1494" s="11">
        <f>IFERROR((COUNTIF($D$1243:$D$1494,"&lt;"&amp;D1494)+0.5*COUNTIF($D$1243:$D$1494,D1494))/COUNT($D$1243:$D$1494)*100,"")</f>
        <v/>
      </c>
      <c r="H1494" s="10">
        <f>IFERROR(AVERAGE($D$1243:$D$1494),"")</f>
        <v/>
      </c>
      <c r="I1494" s="10" t="n">
        <v>3.120968055251909</v>
      </c>
      <c r="J1494" t="inlineStr"/>
      <c r="K1494" t="inlineStr"/>
    </row>
    <row r="1495">
      <c r="A1495" s="7" t="inlineStr">
        <is>
          <t>2020-04-14</t>
        </is>
      </c>
      <c r="B1495" s="8">
        <f>IFERROR(VLOOKUP($A1495,'01-原始价格'!$A:$M,2,FALSE),"")</f>
        <v/>
      </c>
      <c r="C1495" s="8">
        <f>IFERROR(VLOOKUP($A1495,'01-原始价格'!$A:$M,8,FALSE),"")</f>
        <v/>
      </c>
      <c r="D1495" s="10">
        <f>IFERROR(B1495/C1495,"")</f>
        <v/>
      </c>
      <c r="E1495" s="10">
        <f>IFERROR(C1495/B1495,"")</f>
        <v/>
      </c>
      <c r="F1495" s="11">
        <f>IFERROR((D1495/D1494-1)*100,"")</f>
        <v/>
      </c>
      <c r="G1495" s="11">
        <f>IFERROR((COUNTIF($D$1244:$D$1495,"&lt;"&amp;D1495)+0.5*COUNTIF($D$1244:$D$1495,D1495))/COUNT($D$1244:$D$1495)*100,"")</f>
        <v/>
      </c>
      <c r="H1495" s="10">
        <f>IFERROR(AVERAGE($D$1244:$D$1495),"")</f>
        <v/>
      </c>
      <c r="I1495" s="10" t="n">
        <v>1.667648592380108</v>
      </c>
      <c r="J1495" t="inlineStr"/>
      <c r="K1495" t="inlineStr"/>
    </row>
    <row r="1496">
      <c r="A1496" s="7" t="inlineStr">
        <is>
          <t>2020-04-15</t>
        </is>
      </c>
      <c r="B1496" s="8">
        <f>IFERROR(VLOOKUP($A1496,'01-原始价格'!$A:$M,2,FALSE),"")</f>
        <v/>
      </c>
      <c r="C1496" s="8">
        <f>IFERROR(VLOOKUP($A1496,'01-原始价格'!$A:$M,8,FALSE),"")</f>
        <v/>
      </c>
      <c r="D1496" s="10">
        <f>IFERROR(B1496/C1496,"")</f>
        <v/>
      </c>
      <c r="E1496" s="10">
        <f>IFERROR(C1496/B1496,"")</f>
        <v/>
      </c>
      <c r="F1496" s="11">
        <f>IFERROR((D1496/D1495-1)*100,"")</f>
        <v/>
      </c>
      <c r="G1496" s="11">
        <f>IFERROR((COUNTIF($D$1245:$D$1496,"&lt;"&amp;D1496)+0.5*COUNTIF($D$1245:$D$1496,D1496))/COUNT($D$1245:$D$1496)*100,"")</f>
        <v/>
      </c>
      <c r="H1496" s="10">
        <f>IFERROR(AVERAGE($D$1245:$D$1496),"")</f>
        <v/>
      </c>
      <c r="I1496" s="10" t="n">
        <v>1.217191923605322</v>
      </c>
      <c r="J1496" t="inlineStr"/>
      <c r="K1496" t="inlineStr"/>
    </row>
    <row r="1497">
      <c r="A1497" s="7" t="inlineStr">
        <is>
          <t>2020-04-16</t>
        </is>
      </c>
      <c r="B1497" s="8">
        <f>IFERROR(VLOOKUP($A1497,'01-原始价格'!$A:$M,2,FALSE),"")</f>
        <v/>
      </c>
      <c r="C1497" s="8">
        <f>IFERROR(VLOOKUP($A1497,'01-原始价格'!$A:$M,8,FALSE),"")</f>
        <v/>
      </c>
      <c r="D1497" s="10">
        <f>IFERROR(B1497/C1497,"")</f>
        <v/>
      </c>
      <c r="E1497" s="10">
        <f>IFERROR(C1497/B1497,"")</f>
        <v/>
      </c>
      <c r="F1497" s="11">
        <f>IFERROR((D1497/D1496-1)*100,"")</f>
        <v/>
      </c>
      <c r="G1497" s="11">
        <f>IFERROR((COUNTIF($D$1246:$D$1497,"&lt;"&amp;D1497)+0.5*COUNTIF($D$1246:$D$1497,D1497))/COUNT($D$1246:$D$1497)*100,"")</f>
        <v/>
      </c>
      <c r="H1497" s="10">
        <f>IFERROR(AVERAGE($D$1246:$D$1497),"")</f>
        <v/>
      </c>
      <c r="I1497" s="10" t="n">
        <v>1.495692457362751</v>
      </c>
      <c r="J1497" t="inlineStr"/>
      <c r="K1497" t="inlineStr"/>
    </row>
    <row r="1498">
      <c r="A1498" s="7" t="inlineStr">
        <is>
          <t>2020-04-17</t>
        </is>
      </c>
      <c r="B1498" s="8">
        <f>IFERROR(VLOOKUP($A1498,'01-原始价格'!$A:$M,2,FALSE),"")</f>
        <v/>
      </c>
      <c r="C1498" s="8">
        <f>IFERROR(VLOOKUP($A1498,'01-原始价格'!$A:$M,8,FALSE),"")</f>
        <v/>
      </c>
      <c r="D1498" s="10">
        <f>IFERROR(B1498/C1498,"")</f>
        <v/>
      </c>
      <c r="E1498" s="10">
        <f>IFERROR(C1498/B1498,"")</f>
        <v/>
      </c>
      <c r="F1498" s="11">
        <f>IFERROR((D1498/D1497-1)*100,"")</f>
        <v/>
      </c>
      <c r="G1498" s="11">
        <f>IFERROR((COUNTIF($D$1247:$D$1498,"&lt;"&amp;D1498)+0.5*COUNTIF($D$1247:$D$1498,D1498))/COUNT($D$1247:$D$1498)*100,"")</f>
        <v/>
      </c>
      <c r="H1498" s="10">
        <f>IFERROR(AVERAGE($D$1247:$D$1498),"")</f>
        <v/>
      </c>
      <c r="I1498" s="10" t="n">
        <v>2.456948555052438</v>
      </c>
      <c r="J1498" t="inlineStr"/>
      <c r="K1498" t="inlineStr"/>
    </row>
    <row r="1499">
      <c r="A1499" s="7" t="inlineStr">
        <is>
          <t>2020-04-20</t>
        </is>
      </c>
      <c r="B1499" s="8">
        <f>IFERROR(VLOOKUP($A1499,'01-原始价格'!$A:$M,2,FALSE),"")</f>
        <v/>
      </c>
      <c r="C1499" s="8">
        <f>IFERROR(VLOOKUP($A1499,'01-原始价格'!$A:$M,8,FALSE),"")</f>
        <v/>
      </c>
      <c r="D1499" s="10">
        <f>IFERROR(B1499/C1499,"")</f>
        <v/>
      </c>
      <c r="E1499" s="10">
        <f>IFERROR(C1499/B1499,"")</f>
        <v/>
      </c>
      <c r="F1499" s="11">
        <f>IFERROR((D1499/D1498-1)*100,"")</f>
        <v/>
      </c>
      <c r="G1499" s="11">
        <f>IFERROR((COUNTIF($D$1248:$D$1499,"&lt;"&amp;D1499)+0.5*COUNTIF($D$1248:$D$1499,D1499))/COUNT($D$1248:$D$1499)*100,"")</f>
        <v/>
      </c>
      <c r="H1499" s="10">
        <f>IFERROR(AVERAGE($D$1248:$D$1499),"")</f>
        <v/>
      </c>
      <c r="I1499" s="10" t="n">
        <v>2.585765703208768</v>
      </c>
      <c r="J1499" t="inlineStr"/>
      <c r="K1499" t="inlineStr"/>
    </row>
    <row r="1500">
      <c r="A1500" s="7" t="inlineStr">
        <is>
          <t>2020-04-21</t>
        </is>
      </c>
      <c r="B1500" s="8">
        <f>IFERROR(VLOOKUP($A1500,'01-原始价格'!$A:$M,2,FALSE),"")</f>
        <v/>
      </c>
      <c r="C1500" s="8">
        <f>IFERROR(VLOOKUP($A1500,'01-原始价格'!$A:$M,8,FALSE),"")</f>
        <v/>
      </c>
      <c r="D1500" s="10">
        <f>IFERROR(B1500/C1500,"")</f>
        <v/>
      </c>
      <c r="E1500" s="10">
        <f>IFERROR(C1500/B1500,"")</f>
        <v/>
      </c>
      <c r="F1500" s="11">
        <f>IFERROR((D1500/D1499-1)*100,"")</f>
        <v/>
      </c>
      <c r="G1500" s="11">
        <f>IFERROR((COUNTIF($D$1249:$D$1500,"&lt;"&amp;D1500)+0.5*COUNTIF($D$1249:$D$1500,D1500))/COUNT($D$1249:$D$1500)*100,"")</f>
        <v/>
      </c>
      <c r="H1500" s="10">
        <f>IFERROR(AVERAGE($D$1249:$D$1500),"")</f>
        <v/>
      </c>
      <c r="I1500" s="10" t="n">
        <v>2.707652045660038</v>
      </c>
      <c r="J1500" t="inlineStr"/>
      <c r="K1500" t="inlineStr"/>
    </row>
    <row r="1501">
      <c r="A1501" s="7" t="inlineStr">
        <is>
          <t>2020-04-22</t>
        </is>
      </c>
      <c r="B1501" s="8">
        <f>IFERROR(VLOOKUP($A1501,'01-原始价格'!$A:$M,2,FALSE),"")</f>
        <v/>
      </c>
      <c r="C1501" s="8">
        <f>IFERROR(VLOOKUP($A1501,'01-原始价格'!$A:$M,8,FALSE),"")</f>
        <v/>
      </c>
      <c r="D1501" s="10">
        <f>IFERROR(B1501/C1501,"")</f>
        <v/>
      </c>
      <c r="E1501" s="10">
        <f>IFERROR(C1501/B1501,"")</f>
        <v/>
      </c>
      <c r="F1501" s="11">
        <f>IFERROR((D1501/D1500-1)*100,"")</f>
        <v/>
      </c>
      <c r="G1501" s="11">
        <f>IFERROR((COUNTIF($D$1250:$D$1501,"&lt;"&amp;D1501)+0.5*COUNTIF($D$1250:$D$1501,D1501))/COUNT($D$1250:$D$1501)*100,"")</f>
        <v/>
      </c>
      <c r="H1501" s="10">
        <f>IFERROR(AVERAGE($D$1250:$D$1501),"")</f>
        <v/>
      </c>
      <c r="I1501" s="10" t="n">
        <v>2.899375440436224</v>
      </c>
      <c r="J1501" t="inlineStr"/>
      <c r="K1501" t="inlineStr"/>
    </row>
    <row r="1502">
      <c r="A1502" s="7" t="inlineStr">
        <is>
          <t>2020-04-23</t>
        </is>
      </c>
      <c r="B1502" s="8">
        <f>IFERROR(VLOOKUP($A1502,'01-原始价格'!$A:$M,2,FALSE),"")</f>
        <v/>
      </c>
      <c r="C1502" s="8">
        <f>IFERROR(VLOOKUP($A1502,'01-原始价格'!$A:$M,8,FALSE),"")</f>
        <v/>
      </c>
      <c r="D1502" s="10">
        <f>IFERROR(B1502/C1502,"")</f>
        <v/>
      </c>
      <c r="E1502" s="10">
        <f>IFERROR(C1502/B1502,"")</f>
        <v/>
      </c>
      <c r="F1502" s="11">
        <f>IFERROR((D1502/D1501-1)*100,"")</f>
        <v/>
      </c>
      <c r="G1502" s="11">
        <f>IFERROR((COUNTIF($D$1251:$D$1502,"&lt;"&amp;D1502)+0.5*COUNTIF($D$1251:$D$1502,D1502))/COUNT($D$1251:$D$1502)*100,"")</f>
        <v/>
      </c>
      <c r="H1502" s="10">
        <f>IFERROR(AVERAGE($D$1251:$D$1502),"")</f>
        <v/>
      </c>
      <c r="I1502" s="10" t="n">
        <v>2.864676748773077</v>
      </c>
      <c r="J1502" t="inlineStr"/>
      <c r="K1502" t="inlineStr"/>
    </row>
    <row r="1503">
      <c r="A1503" s="7" t="inlineStr">
        <is>
          <t>2020-04-24</t>
        </is>
      </c>
      <c r="B1503" s="8">
        <f>IFERROR(VLOOKUP($A1503,'01-原始价格'!$A:$M,2,FALSE),"")</f>
        <v/>
      </c>
      <c r="C1503" s="8">
        <f>IFERROR(VLOOKUP($A1503,'01-原始价格'!$A:$M,8,FALSE),"")</f>
        <v/>
      </c>
      <c r="D1503" s="10">
        <f>IFERROR(B1503/C1503,"")</f>
        <v/>
      </c>
      <c r="E1503" s="10">
        <f>IFERROR(C1503/B1503,"")</f>
        <v/>
      </c>
      <c r="F1503" s="11">
        <f>IFERROR((D1503/D1502-1)*100,"")</f>
        <v/>
      </c>
      <c r="G1503" s="11">
        <f>IFERROR((COUNTIF($D$1252:$D$1503,"&lt;"&amp;D1503)+0.5*COUNTIF($D$1252:$D$1503,D1503))/COUNT($D$1252:$D$1503)*100,"")</f>
        <v/>
      </c>
      <c r="H1503" s="10">
        <f>IFERROR(AVERAGE($D$1252:$D$1503),"")</f>
        <v/>
      </c>
      <c r="I1503" s="10" t="n">
        <v>2.795212636152455</v>
      </c>
      <c r="J1503" t="inlineStr"/>
      <c r="K1503" t="inlineStr"/>
    </row>
    <row r="1504">
      <c r="A1504" s="7" t="inlineStr">
        <is>
          <t>2020-04-27</t>
        </is>
      </c>
      <c r="B1504" s="8">
        <f>IFERROR(VLOOKUP($A1504,'01-原始价格'!$A:$M,2,FALSE),"")</f>
        <v/>
      </c>
      <c r="C1504" s="8">
        <f>IFERROR(VLOOKUP($A1504,'01-原始价格'!$A:$M,8,FALSE),"")</f>
        <v/>
      </c>
      <c r="D1504" s="10">
        <f>IFERROR(B1504/C1504,"")</f>
        <v/>
      </c>
      <c r="E1504" s="10">
        <f>IFERROR(C1504/B1504,"")</f>
        <v/>
      </c>
      <c r="F1504" s="11">
        <f>IFERROR((D1504/D1503-1)*100,"")</f>
        <v/>
      </c>
      <c r="G1504" s="11">
        <f>IFERROR((COUNTIF($D$1253:$D$1504,"&lt;"&amp;D1504)+0.5*COUNTIF($D$1253:$D$1504,D1504))/COUNT($D$1253:$D$1504)*100,"")</f>
        <v/>
      </c>
      <c r="H1504" s="10">
        <f>IFERROR(AVERAGE($D$1253:$D$1504),"")</f>
        <v/>
      </c>
      <c r="I1504" s="10" t="n">
        <v>2.276731186245048</v>
      </c>
      <c r="J1504" t="inlineStr"/>
      <c r="K1504" t="inlineStr"/>
    </row>
    <row r="1505">
      <c r="A1505" s="7" t="inlineStr">
        <is>
          <t>2020-04-28</t>
        </is>
      </c>
      <c r="B1505" s="8">
        <f>IFERROR(VLOOKUP($A1505,'01-原始价格'!$A:$M,2,FALSE),"")</f>
        <v/>
      </c>
      <c r="C1505" s="8">
        <f>IFERROR(VLOOKUP($A1505,'01-原始价格'!$A:$M,8,FALSE),"")</f>
        <v/>
      </c>
      <c r="D1505" s="10">
        <f>IFERROR(B1505/C1505,"")</f>
        <v/>
      </c>
      <c r="E1505" s="10">
        <f>IFERROR(C1505/B1505,"")</f>
        <v/>
      </c>
      <c r="F1505" s="11">
        <f>IFERROR((D1505/D1504-1)*100,"")</f>
        <v/>
      </c>
      <c r="G1505" s="11">
        <f>IFERROR((COUNTIF($D$1254:$D$1505,"&lt;"&amp;D1505)+0.5*COUNTIF($D$1254:$D$1505,D1505))/COUNT($D$1254:$D$1505)*100,"")</f>
        <v/>
      </c>
      <c r="H1505" s="10">
        <f>IFERROR(AVERAGE($D$1254:$D$1505),"")</f>
        <v/>
      </c>
      <c r="I1505" s="10" t="n">
        <v>2.691364960626038</v>
      </c>
      <c r="J1505" t="inlineStr"/>
      <c r="K1505" t="inlineStr"/>
    </row>
    <row r="1506">
      <c r="A1506" s="7" t="inlineStr">
        <is>
          <t>2020-04-29</t>
        </is>
      </c>
      <c r="B1506" s="8">
        <f>IFERROR(VLOOKUP($A1506,'01-原始价格'!$A:$M,2,FALSE),"")</f>
        <v/>
      </c>
      <c r="C1506" s="8">
        <f>IFERROR(VLOOKUP($A1506,'01-原始价格'!$A:$M,8,FALSE),"")</f>
        <v/>
      </c>
      <c r="D1506" s="10">
        <f>IFERROR(B1506/C1506,"")</f>
        <v/>
      </c>
      <c r="E1506" s="10">
        <f>IFERROR(C1506/B1506,"")</f>
        <v/>
      </c>
      <c r="F1506" s="11">
        <f>IFERROR((D1506/D1505-1)*100,"")</f>
        <v/>
      </c>
      <c r="G1506" s="11">
        <f>IFERROR((COUNTIF($D$1255:$D$1506,"&lt;"&amp;D1506)+0.5*COUNTIF($D$1255:$D$1506,D1506))/COUNT($D$1255:$D$1506)*100,"")</f>
        <v/>
      </c>
      <c r="H1506" s="10">
        <f>IFERROR(AVERAGE($D$1255:$D$1506),"")</f>
        <v/>
      </c>
      <c r="I1506" s="10" t="n">
        <v>2.652024846761994</v>
      </c>
      <c r="J1506" t="inlineStr"/>
      <c r="K1506" t="inlineStr"/>
    </row>
    <row r="1507">
      <c r="A1507" s="7" t="inlineStr">
        <is>
          <t>2020-04-30</t>
        </is>
      </c>
      <c r="B1507" s="8">
        <f>IFERROR(VLOOKUP($A1507,'01-原始价格'!$A:$M,2,FALSE),"")</f>
        <v/>
      </c>
      <c r="C1507" s="8">
        <f>IFERROR(VLOOKUP($A1507,'01-原始价格'!$A:$M,8,FALSE),"")</f>
        <v/>
      </c>
      <c r="D1507" s="10">
        <f>IFERROR(B1507/C1507,"")</f>
        <v/>
      </c>
      <c r="E1507" s="10">
        <f>IFERROR(C1507/B1507,"")</f>
        <v/>
      </c>
      <c r="F1507" s="11">
        <f>IFERROR((D1507/D1506-1)*100,"")</f>
        <v/>
      </c>
      <c r="G1507" s="11">
        <f>IFERROR((COUNTIF($D$1256:$D$1507,"&lt;"&amp;D1507)+0.5*COUNTIF($D$1256:$D$1507,D1507))/COUNT($D$1256:$D$1507)*100,"")</f>
        <v/>
      </c>
      <c r="H1507" s="10">
        <f>IFERROR(AVERAGE($D$1256:$D$1507),"")</f>
        <v/>
      </c>
      <c r="I1507" s="10" t="n">
        <v>2.895708540231988</v>
      </c>
      <c r="J1507" t="inlineStr"/>
      <c r="K1507" t="inlineStr"/>
    </row>
    <row r="1508">
      <c r="A1508" s="7" t="inlineStr">
        <is>
          <t>2020-05-06</t>
        </is>
      </c>
      <c r="B1508" s="8">
        <f>IFERROR(VLOOKUP($A1508,'01-原始价格'!$A:$M,2,FALSE),"")</f>
        <v/>
      </c>
      <c r="C1508" s="8">
        <f>IFERROR(VLOOKUP($A1508,'01-原始价格'!$A:$M,8,FALSE),"")</f>
        <v/>
      </c>
      <c r="D1508" s="10">
        <f>IFERROR(B1508/C1508,"")</f>
        <v/>
      </c>
      <c r="E1508" s="10">
        <f>IFERROR(C1508/B1508,"")</f>
        <v/>
      </c>
      <c r="F1508" s="11">
        <f>IFERROR((D1508/D1507-1)*100,"")</f>
        <v/>
      </c>
      <c r="G1508" s="11">
        <f>IFERROR((COUNTIF($D$1257:$D$1508,"&lt;"&amp;D1508)+0.5*COUNTIF($D$1257:$D$1508,D1508))/COUNT($D$1257:$D$1508)*100,"")</f>
        <v/>
      </c>
      <c r="H1508" s="10">
        <f>IFERROR(AVERAGE($D$1257:$D$1508),"")</f>
        <v/>
      </c>
      <c r="I1508" s="10" t="n">
        <v>2.188681584789938</v>
      </c>
      <c r="J1508" t="inlineStr"/>
      <c r="K1508" t="inlineStr"/>
    </row>
    <row r="1509">
      <c r="A1509" s="7" t="inlineStr">
        <is>
          <t>2020-05-07</t>
        </is>
      </c>
      <c r="B1509" s="8">
        <f>IFERROR(VLOOKUP($A1509,'01-原始价格'!$A:$M,2,FALSE),"")</f>
        <v/>
      </c>
      <c r="C1509" s="8">
        <f>IFERROR(VLOOKUP($A1509,'01-原始价格'!$A:$M,8,FALSE),"")</f>
        <v/>
      </c>
      <c r="D1509" s="10">
        <f>IFERROR(B1509/C1509,"")</f>
        <v/>
      </c>
      <c r="E1509" s="10">
        <f>IFERROR(C1509/B1509,"")</f>
        <v/>
      </c>
      <c r="F1509" s="11">
        <f>IFERROR((D1509/D1508-1)*100,"")</f>
        <v/>
      </c>
      <c r="G1509" s="11">
        <f>IFERROR((COUNTIF($D$1258:$D$1509,"&lt;"&amp;D1509)+0.5*COUNTIF($D$1258:$D$1509,D1509))/COUNT($D$1258:$D$1509)*100,"")</f>
        <v/>
      </c>
      <c r="H1509" s="10">
        <f>IFERROR(AVERAGE($D$1258:$D$1509),"")</f>
        <v/>
      </c>
      <c r="I1509" s="10" t="n">
        <v>2.151142718635374</v>
      </c>
      <c r="J1509" t="inlineStr"/>
      <c r="K1509" t="inlineStr"/>
    </row>
    <row r="1510">
      <c r="A1510" s="7" t="inlineStr">
        <is>
          <t>2020-05-08</t>
        </is>
      </c>
      <c r="B1510" s="8">
        <f>IFERROR(VLOOKUP($A1510,'01-原始价格'!$A:$M,2,FALSE),"")</f>
        <v/>
      </c>
      <c r="C1510" s="8">
        <f>IFERROR(VLOOKUP($A1510,'01-原始价格'!$A:$M,8,FALSE),"")</f>
        <v/>
      </c>
      <c r="D1510" s="10">
        <f>IFERROR(B1510/C1510,"")</f>
        <v/>
      </c>
      <c r="E1510" s="10">
        <f>IFERROR(C1510/B1510,"")</f>
        <v/>
      </c>
      <c r="F1510" s="11">
        <f>IFERROR((D1510/D1509-1)*100,"")</f>
        <v/>
      </c>
      <c r="G1510" s="11">
        <f>IFERROR((COUNTIF($D$1259:$D$1510,"&lt;"&amp;D1510)+0.5*COUNTIF($D$1259:$D$1510,D1510))/COUNT($D$1259:$D$1510)*100,"")</f>
        <v/>
      </c>
      <c r="H1510" s="10">
        <f>IFERROR(AVERAGE($D$1259:$D$1510),"")</f>
        <v/>
      </c>
      <c r="I1510" s="10" t="n">
        <v>2.047887377825698</v>
      </c>
      <c r="J1510" t="inlineStr"/>
      <c r="K1510" t="inlineStr"/>
    </row>
    <row r="1511">
      <c r="A1511" s="7" t="inlineStr">
        <is>
          <t>2020-05-11</t>
        </is>
      </c>
      <c r="B1511" s="8">
        <f>IFERROR(VLOOKUP($A1511,'01-原始价格'!$A:$M,2,FALSE),"")</f>
        <v/>
      </c>
      <c r="C1511" s="8">
        <f>IFERROR(VLOOKUP($A1511,'01-原始价格'!$A:$M,8,FALSE),"")</f>
        <v/>
      </c>
      <c r="D1511" s="10">
        <f>IFERROR(B1511/C1511,"")</f>
        <v/>
      </c>
      <c r="E1511" s="10">
        <f>IFERROR(C1511/B1511,"")</f>
        <v/>
      </c>
      <c r="F1511" s="11">
        <f>IFERROR((D1511/D1510-1)*100,"")</f>
        <v/>
      </c>
      <c r="G1511" s="11">
        <f>IFERROR((COUNTIF($D$1260:$D$1511,"&lt;"&amp;D1511)+0.5*COUNTIF($D$1260:$D$1511,D1511))/COUNT($D$1260:$D$1511)*100,"")</f>
        <v/>
      </c>
      <c r="H1511" s="10">
        <f>IFERROR(AVERAGE($D$1260:$D$1511),"")</f>
        <v/>
      </c>
      <c r="I1511" s="10" t="n">
        <v>1.565617770390611</v>
      </c>
      <c r="J1511" t="inlineStr"/>
      <c r="K1511" t="inlineStr"/>
    </row>
    <row r="1512">
      <c r="A1512" s="7" t="inlineStr">
        <is>
          <t>2020-05-12</t>
        </is>
      </c>
      <c r="B1512" s="8">
        <f>IFERROR(VLOOKUP($A1512,'01-原始价格'!$A:$M,2,FALSE),"")</f>
        <v/>
      </c>
      <c r="C1512" s="8">
        <f>IFERROR(VLOOKUP($A1512,'01-原始价格'!$A:$M,8,FALSE),"")</f>
        <v/>
      </c>
      <c r="D1512" s="10">
        <f>IFERROR(B1512/C1512,"")</f>
        <v/>
      </c>
      <c r="E1512" s="10">
        <f>IFERROR(C1512/B1512,"")</f>
        <v/>
      </c>
      <c r="F1512" s="11">
        <f>IFERROR((D1512/D1511-1)*100,"")</f>
        <v/>
      </c>
      <c r="G1512" s="11">
        <f>IFERROR((COUNTIF($D$1261:$D$1512,"&lt;"&amp;D1512)+0.5*COUNTIF($D$1261:$D$1512,D1512))/COUNT($D$1261:$D$1512)*100,"")</f>
        <v/>
      </c>
      <c r="H1512" s="10">
        <f>IFERROR(AVERAGE($D$1261:$D$1512),"")</f>
        <v/>
      </c>
      <c r="I1512" s="10" t="n">
        <v>1.784391041172777</v>
      </c>
      <c r="J1512" t="inlineStr"/>
      <c r="K1512" t="inlineStr"/>
    </row>
    <row r="1513">
      <c r="A1513" s="7" t="inlineStr">
        <is>
          <t>2020-05-13</t>
        </is>
      </c>
      <c r="B1513" s="8">
        <f>IFERROR(VLOOKUP($A1513,'01-原始价格'!$A:$M,2,FALSE),"")</f>
        <v/>
      </c>
      <c r="C1513" s="8">
        <f>IFERROR(VLOOKUP($A1513,'01-原始价格'!$A:$M,8,FALSE),"")</f>
        <v/>
      </c>
      <c r="D1513" s="10">
        <f>IFERROR(B1513/C1513,"")</f>
        <v/>
      </c>
      <c r="E1513" s="10">
        <f>IFERROR(C1513/B1513,"")</f>
        <v/>
      </c>
      <c r="F1513" s="11">
        <f>IFERROR((D1513/D1512-1)*100,"")</f>
        <v/>
      </c>
      <c r="G1513" s="11">
        <f>IFERROR((COUNTIF($D$1262:$D$1513,"&lt;"&amp;D1513)+0.5*COUNTIF($D$1262:$D$1513,D1513))/COUNT($D$1262:$D$1513)*100,"")</f>
        <v/>
      </c>
      <c r="H1513" s="10">
        <f>IFERROR(AVERAGE($D$1262:$D$1513),"")</f>
        <v/>
      </c>
      <c r="I1513" s="10" t="n">
        <v>1.750087237360388</v>
      </c>
      <c r="J1513" t="inlineStr"/>
      <c r="K1513" t="inlineStr"/>
    </row>
    <row r="1514">
      <c r="A1514" s="7" t="inlineStr">
        <is>
          <t>2020-05-14</t>
        </is>
      </c>
      <c r="B1514" s="8">
        <f>IFERROR(VLOOKUP($A1514,'01-原始价格'!$A:$M,2,FALSE),"")</f>
        <v/>
      </c>
      <c r="C1514" s="8">
        <f>IFERROR(VLOOKUP($A1514,'01-原始价格'!$A:$M,8,FALSE),"")</f>
        <v/>
      </c>
      <c r="D1514" s="10">
        <f>IFERROR(B1514/C1514,"")</f>
        <v/>
      </c>
      <c r="E1514" s="10">
        <f>IFERROR(C1514/B1514,"")</f>
        <v/>
      </c>
      <c r="F1514" s="11">
        <f>IFERROR((D1514/D1513-1)*100,"")</f>
        <v/>
      </c>
      <c r="G1514" s="11">
        <f>IFERROR((COUNTIF($D$1263:$D$1514,"&lt;"&amp;D1514)+0.5*COUNTIF($D$1263:$D$1514,D1514))/COUNT($D$1263:$D$1514)*100,"")</f>
        <v/>
      </c>
      <c r="H1514" s="10">
        <f>IFERROR(AVERAGE($D$1263:$D$1514),"")</f>
        <v/>
      </c>
      <c r="I1514" s="10" t="n">
        <v>1.738163809228771</v>
      </c>
      <c r="J1514" t="inlineStr"/>
      <c r="K1514" t="inlineStr"/>
    </row>
    <row r="1515">
      <c r="A1515" s="7" t="inlineStr">
        <is>
          <t>2020-05-15</t>
        </is>
      </c>
      <c r="B1515" s="8">
        <f>IFERROR(VLOOKUP($A1515,'01-原始价格'!$A:$M,2,FALSE),"")</f>
        <v/>
      </c>
      <c r="C1515" s="8">
        <f>IFERROR(VLOOKUP($A1515,'01-原始价格'!$A:$M,8,FALSE),"")</f>
        <v/>
      </c>
      <c r="D1515" s="10">
        <f>IFERROR(B1515/C1515,"")</f>
        <v/>
      </c>
      <c r="E1515" s="10">
        <f>IFERROR(C1515/B1515,"")</f>
        <v/>
      </c>
      <c r="F1515" s="11">
        <f>IFERROR((D1515/D1514-1)*100,"")</f>
        <v/>
      </c>
      <c r="G1515" s="11">
        <f>IFERROR((COUNTIF($D$1264:$D$1515,"&lt;"&amp;D1515)+0.5*COUNTIF($D$1264:$D$1515,D1515))/COUNT($D$1264:$D$1515)*100,"")</f>
        <v/>
      </c>
      <c r="H1515" s="10">
        <f>IFERROR(AVERAGE($D$1264:$D$1515),"")</f>
        <v/>
      </c>
      <c r="I1515" s="10" t="n">
        <v>1.409797410747363</v>
      </c>
      <c r="J1515" t="inlineStr"/>
      <c r="K1515" t="inlineStr"/>
    </row>
    <row r="1516">
      <c r="A1516" s="7" t="inlineStr">
        <is>
          <t>2020-05-18</t>
        </is>
      </c>
      <c r="B1516" s="8">
        <f>IFERROR(VLOOKUP($A1516,'01-原始价格'!$A:$M,2,FALSE),"")</f>
        <v/>
      </c>
      <c r="C1516" s="8">
        <f>IFERROR(VLOOKUP($A1516,'01-原始价格'!$A:$M,8,FALSE),"")</f>
        <v/>
      </c>
      <c r="D1516" s="10">
        <f>IFERROR(B1516/C1516,"")</f>
        <v/>
      </c>
      <c r="E1516" s="10">
        <f>IFERROR(C1516/B1516,"")</f>
        <v/>
      </c>
      <c r="F1516" s="11">
        <f>IFERROR((D1516/D1515-1)*100,"")</f>
        <v/>
      </c>
      <c r="G1516" s="11">
        <f>IFERROR((COUNTIF($D$1265:$D$1516,"&lt;"&amp;D1516)+0.5*COUNTIF($D$1265:$D$1516,D1516))/COUNT($D$1265:$D$1516)*100,"")</f>
        <v/>
      </c>
      <c r="H1516" s="10">
        <f>IFERROR(AVERAGE($D$1265:$D$1516),"")</f>
        <v/>
      </c>
      <c r="I1516" s="10" t="n">
        <v>1.498522253653304</v>
      </c>
      <c r="J1516" t="inlineStr"/>
      <c r="K1516" t="inlineStr"/>
    </row>
    <row r="1517">
      <c r="A1517" s="7" t="inlineStr">
        <is>
          <t>2020-05-19</t>
        </is>
      </c>
      <c r="B1517" s="8">
        <f>IFERROR(VLOOKUP($A1517,'01-原始价格'!$A:$M,2,FALSE),"")</f>
        <v/>
      </c>
      <c r="C1517" s="8">
        <f>IFERROR(VLOOKUP($A1517,'01-原始价格'!$A:$M,8,FALSE),"")</f>
        <v/>
      </c>
      <c r="D1517" s="10">
        <f>IFERROR(B1517/C1517,"")</f>
        <v/>
      </c>
      <c r="E1517" s="10">
        <f>IFERROR(C1517/B1517,"")</f>
        <v/>
      </c>
      <c r="F1517" s="11">
        <f>IFERROR((D1517/D1516-1)*100,"")</f>
        <v/>
      </c>
      <c r="G1517" s="11">
        <f>IFERROR((COUNTIF($D$1266:$D$1517,"&lt;"&amp;D1517)+0.5*COUNTIF($D$1266:$D$1517,D1517))/COUNT($D$1266:$D$1517)*100,"")</f>
        <v/>
      </c>
      <c r="H1517" s="10">
        <f>IFERROR(AVERAGE($D$1266:$D$1517),"")</f>
        <v/>
      </c>
      <c r="I1517" s="10" t="n">
        <v>1.835867723100196</v>
      </c>
      <c r="J1517" t="inlineStr"/>
      <c r="K1517" t="inlineStr"/>
    </row>
    <row r="1518">
      <c r="A1518" s="7" t="inlineStr">
        <is>
          <t>2020-05-20</t>
        </is>
      </c>
      <c r="B1518" s="8">
        <f>IFERROR(VLOOKUP($A1518,'01-原始价格'!$A:$M,2,FALSE),"")</f>
        <v/>
      </c>
      <c r="C1518" s="8">
        <f>IFERROR(VLOOKUP($A1518,'01-原始价格'!$A:$M,8,FALSE),"")</f>
        <v/>
      </c>
      <c r="D1518" s="10">
        <f>IFERROR(B1518/C1518,"")</f>
        <v/>
      </c>
      <c r="E1518" s="10">
        <f>IFERROR(C1518/B1518,"")</f>
        <v/>
      </c>
      <c r="F1518" s="11">
        <f>IFERROR((D1518/D1517-1)*100,"")</f>
        <v/>
      </c>
      <c r="G1518" s="11">
        <f>IFERROR((COUNTIF($D$1267:$D$1518,"&lt;"&amp;D1518)+0.5*COUNTIF($D$1267:$D$1518,D1518))/COUNT($D$1267:$D$1518)*100,"")</f>
        <v/>
      </c>
      <c r="H1518" s="10">
        <f>IFERROR(AVERAGE($D$1267:$D$1518),"")</f>
        <v/>
      </c>
      <c r="I1518" s="10" t="n">
        <v>1.935828430520287</v>
      </c>
      <c r="J1518" t="inlineStr"/>
      <c r="K1518" t="inlineStr"/>
    </row>
    <row r="1519">
      <c r="A1519" s="7" t="inlineStr">
        <is>
          <t>2020-05-21</t>
        </is>
      </c>
      <c r="B1519" s="8">
        <f>IFERROR(VLOOKUP($A1519,'01-原始价格'!$A:$M,2,FALSE),"")</f>
        <v/>
      </c>
      <c r="C1519" s="8">
        <f>IFERROR(VLOOKUP($A1519,'01-原始价格'!$A:$M,8,FALSE),"")</f>
        <v/>
      </c>
      <c r="D1519" s="10">
        <f>IFERROR(B1519/C1519,"")</f>
        <v/>
      </c>
      <c r="E1519" s="10">
        <f>IFERROR(C1519/B1519,"")</f>
        <v/>
      </c>
      <c r="F1519" s="11">
        <f>IFERROR((D1519/D1518-1)*100,"")</f>
        <v/>
      </c>
      <c r="G1519" s="11">
        <f>IFERROR((COUNTIF($D$1268:$D$1519,"&lt;"&amp;D1519)+0.5*COUNTIF($D$1268:$D$1519,D1519))/COUNT($D$1268:$D$1519)*100,"")</f>
        <v/>
      </c>
      <c r="H1519" s="10">
        <f>IFERROR(AVERAGE($D$1268:$D$1519),"")</f>
        <v/>
      </c>
      <c r="I1519" s="10" t="n">
        <v>1.892564166818207</v>
      </c>
      <c r="J1519" t="inlineStr"/>
      <c r="K1519" t="inlineStr"/>
    </row>
    <row r="1520">
      <c r="A1520" s="7" t="inlineStr">
        <is>
          <t>2020-05-22</t>
        </is>
      </c>
      <c r="B1520" s="8">
        <f>IFERROR(VLOOKUP($A1520,'01-原始价格'!$A:$M,2,FALSE),"")</f>
        <v/>
      </c>
      <c r="C1520" s="8">
        <f>IFERROR(VLOOKUP($A1520,'01-原始价格'!$A:$M,8,FALSE),"")</f>
        <v/>
      </c>
      <c r="D1520" s="10">
        <f>IFERROR(B1520/C1520,"")</f>
        <v/>
      </c>
      <c r="E1520" s="10">
        <f>IFERROR(C1520/B1520,"")</f>
        <v/>
      </c>
      <c r="F1520" s="11">
        <f>IFERROR((D1520/D1519-1)*100,"")</f>
        <v/>
      </c>
      <c r="G1520" s="11">
        <f>IFERROR((COUNTIF($D$1269:$D$1520,"&lt;"&amp;D1520)+0.5*COUNTIF($D$1269:$D$1520,D1520))/COUNT($D$1269:$D$1520)*100,"")</f>
        <v/>
      </c>
      <c r="H1520" s="10">
        <f>IFERROR(AVERAGE($D$1269:$D$1520),"")</f>
        <v/>
      </c>
      <c r="I1520" s="10" t="n">
        <v>1.855061141173612</v>
      </c>
      <c r="J1520" t="inlineStr"/>
      <c r="K1520" t="inlineStr"/>
    </row>
    <row r="1521">
      <c r="A1521" s="7" t="inlineStr">
        <is>
          <t>2020-05-25</t>
        </is>
      </c>
      <c r="B1521" s="8">
        <f>IFERROR(VLOOKUP($A1521,'01-原始价格'!$A:$M,2,FALSE),"")</f>
        <v/>
      </c>
      <c r="C1521" s="8">
        <f>IFERROR(VLOOKUP($A1521,'01-原始价格'!$A:$M,8,FALSE),"")</f>
        <v/>
      </c>
      <c r="D1521" s="10">
        <f>IFERROR(B1521/C1521,"")</f>
        <v/>
      </c>
      <c r="E1521" s="10">
        <f>IFERROR(C1521/B1521,"")</f>
        <v/>
      </c>
      <c r="F1521" s="11">
        <f>IFERROR((D1521/D1520-1)*100,"")</f>
        <v/>
      </c>
      <c r="G1521" s="11">
        <f>IFERROR((COUNTIF($D$1270:$D$1521,"&lt;"&amp;D1521)+0.5*COUNTIF($D$1270:$D$1521,D1521))/COUNT($D$1270:$D$1521)*100,"")</f>
        <v/>
      </c>
      <c r="H1521" s="10">
        <f>IFERROR(AVERAGE($D$1270:$D$1521),"")</f>
        <v/>
      </c>
      <c r="I1521" s="10" t="n">
        <v>1.940396401965375</v>
      </c>
      <c r="J1521" t="inlineStr"/>
      <c r="K1521" t="inlineStr"/>
    </row>
    <row r="1522">
      <c r="A1522" s="7" t="inlineStr">
        <is>
          <t>2020-05-26</t>
        </is>
      </c>
      <c r="B1522" s="8">
        <f>IFERROR(VLOOKUP($A1522,'01-原始价格'!$A:$M,2,FALSE),"")</f>
        <v/>
      </c>
      <c r="C1522" s="8">
        <f>IFERROR(VLOOKUP($A1522,'01-原始价格'!$A:$M,8,FALSE),"")</f>
        <v/>
      </c>
      <c r="D1522" s="10">
        <f>IFERROR(B1522/C1522,"")</f>
        <v/>
      </c>
      <c r="E1522" s="10">
        <f>IFERROR(C1522/B1522,"")</f>
        <v/>
      </c>
      <c r="F1522" s="11">
        <f>IFERROR((D1522/D1521-1)*100,"")</f>
        <v/>
      </c>
      <c r="G1522" s="11">
        <f>IFERROR((COUNTIF($D$1271:$D$1522,"&lt;"&amp;D1522)+0.5*COUNTIF($D$1271:$D$1522,D1522))/COUNT($D$1271:$D$1522)*100,"")</f>
        <v/>
      </c>
      <c r="H1522" s="10">
        <f>IFERROR(AVERAGE($D$1271:$D$1522),"")</f>
        <v/>
      </c>
      <c r="I1522" s="10" t="n">
        <v>1.794221315722606</v>
      </c>
      <c r="J1522" t="inlineStr"/>
      <c r="K1522" t="inlineStr"/>
    </row>
    <row r="1523">
      <c r="A1523" s="7" t="inlineStr">
        <is>
          <t>2020-05-27</t>
        </is>
      </c>
      <c r="B1523" s="8">
        <f>IFERROR(VLOOKUP($A1523,'01-原始价格'!$A:$M,2,FALSE),"")</f>
        <v/>
      </c>
      <c r="C1523" s="8">
        <f>IFERROR(VLOOKUP($A1523,'01-原始价格'!$A:$M,8,FALSE),"")</f>
        <v/>
      </c>
      <c r="D1523" s="10">
        <f>IFERROR(B1523/C1523,"")</f>
        <v/>
      </c>
      <c r="E1523" s="10">
        <f>IFERROR(C1523/B1523,"")</f>
        <v/>
      </c>
      <c r="F1523" s="11">
        <f>IFERROR((D1523/D1522-1)*100,"")</f>
        <v/>
      </c>
      <c r="G1523" s="11">
        <f>IFERROR((COUNTIF($D$1272:$D$1523,"&lt;"&amp;D1523)+0.5*COUNTIF($D$1272:$D$1523,D1523))/COUNT($D$1272:$D$1523)*100,"")</f>
        <v/>
      </c>
      <c r="H1523" s="10">
        <f>IFERROR(AVERAGE($D$1272:$D$1523),"")</f>
        <v/>
      </c>
      <c r="I1523" s="10" t="n">
        <v>1.926692487630118</v>
      </c>
      <c r="J1523" t="inlineStr"/>
      <c r="K1523" t="inlineStr"/>
    </row>
    <row r="1524">
      <c r="A1524" s="7" t="inlineStr">
        <is>
          <t>2020-05-28</t>
        </is>
      </c>
      <c r="B1524" s="8">
        <f>IFERROR(VLOOKUP($A1524,'01-原始价格'!$A:$M,2,FALSE),"")</f>
        <v/>
      </c>
      <c r="C1524" s="8">
        <f>IFERROR(VLOOKUP($A1524,'01-原始价格'!$A:$M,8,FALSE),"")</f>
        <v/>
      </c>
      <c r="D1524" s="10">
        <f>IFERROR(B1524/C1524,"")</f>
        <v/>
      </c>
      <c r="E1524" s="10">
        <f>IFERROR(C1524/B1524,"")</f>
        <v/>
      </c>
      <c r="F1524" s="11">
        <f>IFERROR((D1524/D1523-1)*100,"")</f>
        <v/>
      </c>
      <c r="G1524" s="11">
        <f>IFERROR((COUNTIF($D$1273:$D$1524,"&lt;"&amp;D1524)+0.5*COUNTIF($D$1273:$D$1524,D1524))/COUNT($D$1273:$D$1524)*100,"")</f>
        <v/>
      </c>
      <c r="H1524" s="10">
        <f>IFERROR(AVERAGE($D$1273:$D$1524),"")</f>
        <v/>
      </c>
      <c r="I1524" s="10" t="n">
        <v>1.718808006652046</v>
      </c>
      <c r="J1524" t="inlineStr"/>
      <c r="K1524" t="inlineStr"/>
    </row>
    <row r="1525">
      <c r="A1525" s="7" t="inlineStr">
        <is>
          <t>2020-05-29</t>
        </is>
      </c>
      <c r="B1525" s="8">
        <f>IFERROR(VLOOKUP($A1525,'01-原始价格'!$A:$M,2,FALSE),"")</f>
        <v/>
      </c>
      <c r="C1525" s="8">
        <f>IFERROR(VLOOKUP($A1525,'01-原始价格'!$A:$M,8,FALSE),"")</f>
        <v/>
      </c>
      <c r="D1525" s="10">
        <f>IFERROR(B1525/C1525,"")</f>
        <v/>
      </c>
      <c r="E1525" s="10">
        <f>IFERROR(C1525/B1525,"")</f>
        <v/>
      </c>
      <c r="F1525" s="11">
        <f>IFERROR((D1525/D1524-1)*100,"")</f>
        <v/>
      </c>
      <c r="G1525" s="11">
        <f>IFERROR((COUNTIF($D$1274:$D$1525,"&lt;"&amp;D1525)+0.5*COUNTIF($D$1274:$D$1525,D1525))/COUNT($D$1274:$D$1525)*100,"")</f>
        <v/>
      </c>
      <c r="H1525" s="10">
        <f>IFERROR(AVERAGE($D$1274:$D$1525),"")</f>
        <v/>
      </c>
      <c r="I1525" s="10" t="n">
        <v>2.083682763364895</v>
      </c>
      <c r="J1525" t="inlineStr"/>
      <c r="K1525" t="inlineStr"/>
    </row>
    <row r="1526">
      <c r="A1526" s="7" t="inlineStr">
        <is>
          <t>2020-06-01</t>
        </is>
      </c>
      <c r="B1526" s="8">
        <f>IFERROR(VLOOKUP($A1526,'01-原始价格'!$A:$M,2,FALSE),"")</f>
        <v/>
      </c>
      <c r="C1526" s="8">
        <f>IFERROR(VLOOKUP($A1526,'01-原始价格'!$A:$M,8,FALSE),"")</f>
        <v/>
      </c>
      <c r="D1526" s="10">
        <f>IFERROR(B1526/C1526,"")</f>
        <v/>
      </c>
      <c r="E1526" s="10">
        <f>IFERROR(C1526/B1526,"")</f>
        <v/>
      </c>
      <c r="F1526" s="11">
        <f>IFERROR((D1526/D1525-1)*100,"")</f>
        <v/>
      </c>
      <c r="G1526" s="11">
        <f>IFERROR((COUNTIF($D$1275:$D$1526,"&lt;"&amp;D1526)+0.5*COUNTIF($D$1275:$D$1526,D1526))/COUNT($D$1275:$D$1526)*100,"")</f>
        <v/>
      </c>
      <c r="H1526" s="10">
        <f>IFERROR(AVERAGE($D$1275:$D$1526),"")</f>
        <v/>
      </c>
      <c r="I1526" s="10" t="n">
        <v>2.381251770286461</v>
      </c>
      <c r="J1526" t="inlineStr"/>
      <c r="K1526" t="inlineStr"/>
    </row>
    <row r="1527">
      <c r="A1527" s="7" t="inlineStr">
        <is>
          <t>2020-06-02</t>
        </is>
      </c>
      <c r="B1527" s="8">
        <f>IFERROR(VLOOKUP($A1527,'01-原始价格'!$A:$M,2,FALSE),"")</f>
        <v/>
      </c>
      <c r="C1527" s="8">
        <f>IFERROR(VLOOKUP($A1527,'01-原始价格'!$A:$M,8,FALSE),"")</f>
        <v/>
      </c>
      <c r="D1527" s="10">
        <f>IFERROR(B1527/C1527,"")</f>
        <v/>
      </c>
      <c r="E1527" s="10">
        <f>IFERROR(C1527/B1527,"")</f>
        <v/>
      </c>
      <c r="F1527" s="11">
        <f>IFERROR((D1527/D1526-1)*100,"")</f>
        <v/>
      </c>
      <c r="G1527" s="11">
        <f>IFERROR((COUNTIF($D$1276:$D$1527,"&lt;"&amp;D1527)+0.5*COUNTIF($D$1276:$D$1527,D1527))/COUNT($D$1276:$D$1527)*100,"")</f>
        <v/>
      </c>
      <c r="H1527" s="10">
        <f>IFERROR(AVERAGE($D$1276:$D$1527),"")</f>
        <v/>
      </c>
      <c r="I1527" s="10" t="n">
        <v>2.609129668572743</v>
      </c>
      <c r="J1527" t="inlineStr"/>
      <c r="K1527" t="inlineStr"/>
    </row>
    <row r="1528">
      <c r="A1528" s="7" t="inlineStr">
        <is>
          <t>2020-06-03</t>
        </is>
      </c>
      <c r="B1528" s="8">
        <f>IFERROR(VLOOKUP($A1528,'01-原始价格'!$A:$M,2,FALSE),"")</f>
        <v/>
      </c>
      <c r="C1528" s="8">
        <f>IFERROR(VLOOKUP($A1528,'01-原始价格'!$A:$M,8,FALSE),"")</f>
        <v/>
      </c>
      <c r="D1528" s="10">
        <f>IFERROR(B1528/C1528,"")</f>
        <v/>
      </c>
      <c r="E1528" s="10">
        <f>IFERROR(C1528/B1528,"")</f>
        <v/>
      </c>
      <c r="F1528" s="11">
        <f>IFERROR((D1528/D1527-1)*100,"")</f>
        <v/>
      </c>
      <c r="G1528" s="11">
        <f>IFERROR((COUNTIF($D$1277:$D$1528,"&lt;"&amp;D1528)+0.5*COUNTIF($D$1277:$D$1528,D1528))/COUNT($D$1277:$D$1528)*100,"")</f>
        <v/>
      </c>
      <c r="H1528" s="10">
        <f>IFERROR(AVERAGE($D$1277:$D$1528),"")</f>
        <v/>
      </c>
      <c r="I1528" s="10" t="n">
        <v>2.396181460607388</v>
      </c>
      <c r="J1528" t="inlineStr"/>
      <c r="K1528" t="inlineStr"/>
    </row>
    <row r="1529">
      <c r="A1529" s="7" t="inlineStr">
        <is>
          <t>2020-06-04</t>
        </is>
      </c>
      <c r="B1529" s="8">
        <f>IFERROR(VLOOKUP($A1529,'01-原始价格'!$A:$M,2,FALSE),"")</f>
        <v/>
      </c>
      <c r="C1529" s="8">
        <f>IFERROR(VLOOKUP($A1529,'01-原始价格'!$A:$M,8,FALSE),"")</f>
        <v/>
      </c>
      <c r="D1529" s="10">
        <f>IFERROR(B1529/C1529,"")</f>
        <v/>
      </c>
      <c r="E1529" s="10">
        <f>IFERROR(C1529/B1529,"")</f>
        <v/>
      </c>
      <c r="F1529" s="11">
        <f>IFERROR((D1529/D1528-1)*100,"")</f>
        <v/>
      </c>
      <c r="G1529" s="11">
        <f>IFERROR((COUNTIF($D$1278:$D$1529,"&lt;"&amp;D1529)+0.5*COUNTIF($D$1278:$D$1529,D1529))/COUNT($D$1278:$D$1529)*100,"")</f>
        <v/>
      </c>
      <c r="H1529" s="10">
        <f>IFERROR(AVERAGE($D$1278:$D$1529),"")</f>
        <v/>
      </c>
      <c r="I1529" s="10" t="n">
        <v>2.445612653237474</v>
      </c>
      <c r="J1529" t="inlineStr"/>
      <c r="K1529" t="inlineStr"/>
    </row>
    <row r="1530">
      <c r="A1530" s="7" t="inlineStr">
        <is>
          <t>2020-06-05</t>
        </is>
      </c>
      <c r="B1530" s="8">
        <f>IFERROR(VLOOKUP($A1530,'01-原始价格'!$A:$M,2,FALSE),"")</f>
        <v/>
      </c>
      <c r="C1530" s="8">
        <f>IFERROR(VLOOKUP($A1530,'01-原始价格'!$A:$M,8,FALSE),"")</f>
        <v/>
      </c>
      <c r="D1530" s="10">
        <f>IFERROR(B1530/C1530,"")</f>
        <v/>
      </c>
      <c r="E1530" s="10">
        <f>IFERROR(C1530/B1530,"")</f>
        <v/>
      </c>
      <c r="F1530" s="11">
        <f>IFERROR((D1530/D1529-1)*100,"")</f>
        <v/>
      </c>
      <c r="G1530" s="11">
        <f>IFERROR((COUNTIF($D$1279:$D$1530,"&lt;"&amp;D1530)+0.5*COUNTIF($D$1279:$D$1530,D1530))/COUNT($D$1279:$D$1530)*100,"")</f>
        <v/>
      </c>
      <c r="H1530" s="10">
        <f>IFERROR(AVERAGE($D$1279:$D$1530),"")</f>
        <v/>
      </c>
      <c r="I1530" s="10" t="n">
        <v>2.320185677934464</v>
      </c>
      <c r="J1530" t="inlineStr"/>
      <c r="K1530" t="inlineStr"/>
    </row>
    <row r="1531">
      <c r="A1531" s="7" t="inlineStr">
        <is>
          <t>2020-06-08</t>
        </is>
      </c>
      <c r="B1531" s="8">
        <f>IFERROR(VLOOKUP($A1531,'01-原始价格'!$A:$M,2,FALSE),"")</f>
        <v/>
      </c>
      <c r="C1531" s="8">
        <f>IFERROR(VLOOKUP($A1531,'01-原始价格'!$A:$M,8,FALSE),"")</f>
        <v/>
      </c>
      <c r="D1531" s="10">
        <f>IFERROR(B1531/C1531,"")</f>
        <v/>
      </c>
      <c r="E1531" s="10">
        <f>IFERROR(C1531/B1531,"")</f>
        <v/>
      </c>
      <c r="F1531" s="11">
        <f>IFERROR((D1531/D1530-1)*100,"")</f>
        <v/>
      </c>
      <c r="G1531" s="11">
        <f>IFERROR((COUNTIF($D$1280:$D$1531,"&lt;"&amp;D1531)+0.5*COUNTIF($D$1280:$D$1531,D1531))/COUNT($D$1280:$D$1531)*100,"")</f>
        <v/>
      </c>
      <c r="H1531" s="10">
        <f>IFERROR(AVERAGE($D$1280:$D$1531),"")</f>
        <v/>
      </c>
      <c r="I1531" s="10" t="n">
        <v>2.325861320670423</v>
      </c>
      <c r="J1531" t="inlineStr"/>
      <c r="K1531" t="inlineStr"/>
    </row>
    <row r="1532">
      <c r="A1532" s="7" t="inlineStr">
        <is>
          <t>2020-06-09</t>
        </is>
      </c>
      <c r="B1532" s="8">
        <f>IFERROR(VLOOKUP($A1532,'01-原始价格'!$A:$M,2,FALSE),"")</f>
        <v/>
      </c>
      <c r="C1532" s="8">
        <f>IFERROR(VLOOKUP($A1532,'01-原始价格'!$A:$M,8,FALSE),"")</f>
        <v/>
      </c>
      <c r="D1532" s="10">
        <f>IFERROR(B1532/C1532,"")</f>
        <v/>
      </c>
      <c r="E1532" s="10">
        <f>IFERROR(C1532/B1532,"")</f>
        <v/>
      </c>
      <c r="F1532" s="11">
        <f>IFERROR((D1532/D1531-1)*100,"")</f>
        <v/>
      </c>
      <c r="G1532" s="11">
        <f>IFERROR((COUNTIF($D$1281:$D$1532,"&lt;"&amp;D1532)+0.5*COUNTIF($D$1281:$D$1532,D1532))/COUNT($D$1281:$D$1532)*100,"")</f>
        <v/>
      </c>
      <c r="H1532" s="10">
        <f>IFERROR(AVERAGE($D$1281:$D$1532),"")</f>
        <v/>
      </c>
      <c r="I1532" s="10" t="n">
        <v>2.509822163740947</v>
      </c>
      <c r="J1532" t="inlineStr"/>
      <c r="K1532" t="inlineStr"/>
    </row>
    <row r="1533">
      <c r="A1533" s="7" t="inlineStr">
        <is>
          <t>2020-06-10</t>
        </is>
      </c>
      <c r="B1533" s="8">
        <f>IFERROR(VLOOKUP($A1533,'01-原始价格'!$A:$M,2,FALSE),"")</f>
        <v/>
      </c>
      <c r="C1533" s="8">
        <f>IFERROR(VLOOKUP($A1533,'01-原始价格'!$A:$M,8,FALSE),"")</f>
        <v/>
      </c>
      <c r="D1533" s="10">
        <f>IFERROR(B1533/C1533,"")</f>
        <v/>
      </c>
      <c r="E1533" s="10">
        <f>IFERROR(C1533/B1533,"")</f>
        <v/>
      </c>
      <c r="F1533" s="11">
        <f>IFERROR((D1533/D1532-1)*100,"")</f>
        <v/>
      </c>
      <c r="G1533" s="11">
        <f>IFERROR((COUNTIF($D$1282:$D$1533,"&lt;"&amp;D1533)+0.5*COUNTIF($D$1282:$D$1533,D1533))/COUNT($D$1282:$D$1533)*100,"")</f>
        <v/>
      </c>
      <c r="H1533" s="10">
        <f>IFERROR(AVERAGE($D$1282:$D$1533),"")</f>
        <v/>
      </c>
      <c r="I1533" s="10" t="n">
        <v>2.16742801735117</v>
      </c>
      <c r="J1533" t="inlineStr"/>
      <c r="K1533" t="inlineStr"/>
    </row>
    <row r="1534">
      <c r="A1534" s="7" t="inlineStr">
        <is>
          <t>2020-06-11</t>
        </is>
      </c>
      <c r="B1534" s="8">
        <f>IFERROR(VLOOKUP($A1534,'01-原始价格'!$A:$M,2,FALSE),"")</f>
        <v/>
      </c>
      <c r="C1534" s="8">
        <f>IFERROR(VLOOKUP($A1534,'01-原始价格'!$A:$M,8,FALSE),"")</f>
        <v/>
      </c>
      <c r="D1534" s="10">
        <f>IFERROR(B1534/C1534,"")</f>
        <v/>
      </c>
      <c r="E1534" s="10">
        <f>IFERROR(C1534/B1534,"")</f>
        <v/>
      </c>
      <c r="F1534" s="11">
        <f>IFERROR((D1534/D1533-1)*100,"")</f>
        <v/>
      </c>
      <c r="G1534" s="11">
        <f>IFERROR((COUNTIF($D$1283:$D$1534,"&lt;"&amp;D1534)+0.5*COUNTIF($D$1283:$D$1534,D1534))/COUNT($D$1283:$D$1534)*100,"")</f>
        <v/>
      </c>
      <c r="H1534" s="10">
        <f>IFERROR(AVERAGE($D$1283:$D$1534),"")</f>
        <v/>
      </c>
      <c r="I1534" s="10" t="n">
        <v>2.000305914597322</v>
      </c>
      <c r="J1534" t="inlineStr"/>
      <c r="K1534" t="inlineStr"/>
    </row>
    <row r="1535">
      <c r="A1535" s="7" t="inlineStr">
        <is>
          <t>2020-06-12</t>
        </is>
      </c>
      <c r="B1535" s="8">
        <f>IFERROR(VLOOKUP($A1535,'01-原始价格'!$A:$M,2,FALSE),"")</f>
        <v/>
      </c>
      <c r="C1535" s="8">
        <f>IFERROR(VLOOKUP($A1535,'01-原始价格'!$A:$M,8,FALSE),"")</f>
        <v/>
      </c>
      <c r="D1535" s="10">
        <f>IFERROR(B1535/C1535,"")</f>
        <v/>
      </c>
      <c r="E1535" s="10">
        <f>IFERROR(C1535/B1535,"")</f>
        <v/>
      </c>
      <c r="F1535" s="11">
        <f>IFERROR((D1535/D1534-1)*100,"")</f>
        <v/>
      </c>
      <c r="G1535" s="11">
        <f>IFERROR((COUNTIF($D$1284:$D$1535,"&lt;"&amp;D1535)+0.5*COUNTIF($D$1284:$D$1535,D1535))/COUNT($D$1284:$D$1535)*100,"")</f>
        <v/>
      </c>
      <c r="H1535" s="10">
        <f>IFERROR(AVERAGE($D$1284:$D$1535),"")</f>
        <v/>
      </c>
      <c r="I1535" s="10" t="n">
        <v>1.79375017965428</v>
      </c>
      <c r="J1535" t="inlineStr"/>
      <c r="K1535" t="inlineStr"/>
    </row>
    <row r="1536">
      <c r="A1536" s="7" t="inlineStr">
        <is>
          <t>2020-06-15</t>
        </is>
      </c>
      <c r="B1536" s="8">
        <f>IFERROR(VLOOKUP($A1536,'01-原始价格'!$A:$M,2,FALSE),"")</f>
        <v/>
      </c>
      <c r="C1536" s="8">
        <f>IFERROR(VLOOKUP($A1536,'01-原始价格'!$A:$M,8,FALSE),"")</f>
        <v/>
      </c>
      <c r="D1536" s="10">
        <f>IFERROR(B1536/C1536,"")</f>
        <v/>
      </c>
      <c r="E1536" s="10">
        <f>IFERROR(C1536/B1536,"")</f>
        <v/>
      </c>
      <c r="F1536" s="11">
        <f>IFERROR((D1536/D1535-1)*100,"")</f>
        <v/>
      </c>
      <c r="G1536" s="11">
        <f>IFERROR((COUNTIF($D$1285:$D$1536,"&lt;"&amp;D1536)+0.5*COUNTIF($D$1285:$D$1536,D1536))/COUNT($D$1285:$D$1536)*100,"")</f>
        <v/>
      </c>
      <c r="H1536" s="10">
        <f>IFERROR(AVERAGE($D$1285:$D$1536),"")</f>
        <v/>
      </c>
      <c r="I1536" s="10" t="n">
        <v>1.771382207536638</v>
      </c>
      <c r="J1536" t="inlineStr"/>
      <c r="K1536" t="inlineStr"/>
    </row>
    <row r="1537">
      <c r="A1537" s="7" t="inlineStr">
        <is>
          <t>2020-06-16</t>
        </is>
      </c>
      <c r="B1537" s="8">
        <f>IFERROR(VLOOKUP($A1537,'01-原始价格'!$A:$M,2,FALSE),"")</f>
        <v/>
      </c>
      <c r="C1537" s="8">
        <f>IFERROR(VLOOKUP($A1537,'01-原始价格'!$A:$M,8,FALSE),"")</f>
        <v/>
      </c>
      <c r="D1537" s="10">
        <f>IFERROR(B1537/C1537,"")</f>
        <v/>
      </c>
      <c r="E1537" s="10">
        <f>IFERROR(C1537/B1537,"")</f>
        <v/>
      </c>
      <c r="F1537" s="11">
        <f>IFERROR((D1537/D1536-1)*100,"")</f>
        <v/>
      </c>
      <c r="G1537" s="11">
        <f>IFERROR((COUNTIF($D$1286:$D$1537,"&lt;"&amp;D1537)+0.5*COUNTIF($D$1286:$D$1537,D1537))/COUNT($D$1286:$D$1537)*100,"")</f>
        <v/>
      </c>
      <c r="H1537" s="10">
        <f>IFERROR(AVERAGE($D$1286:$D$1537),"")</f>
        <v/>
      </c>
      <c r="I1537" s="10" t="n">
        <v>1.373858390487882</v>
      </c>
      <c r="J1537" t="inlineStr"/>
      <c r="K1537" t="inlineStr"/>
    </row>
    <row r="1538">
      <c r="A1538" s="7" t="inlineStr">
        <is>
          <t>2020-06-17</t>
        </is>
      </c>
      <c r="B1538" s="8">
        <f>IFERROR(VLOOKUP($A1538,'01-原始价格'!$A:$M,2,FALSE),"")</f>
        <v/>
      </c>
      <c r="C1538" s="8">
        <f>IFERROR(VLOOKUP($A1538,'01-原始价格'!$A:$M,8,FALSE),"")</f>
        <v/>
      </c>
      <c r="D1538" s="10">
        <f>IFERROR(B1538/C1538,"")</f>
        <v/>
      </c>
      <c r="E1538" s="10">
        <f>IFERROR(C1538/B1538,"")</f>
        <v/>
      </c>
      <c r="F1538" s="11">
        <f>IFERROR((D1538/D1537-1)*100,"")</f>
        <v/>
      </c>
      <c r="G1538" s="11">
        <f>IFERROR((COUNTIF($D$1287:$D$1538,"&lt;"&amp;D1538)+0.5*COUNTIF($D$1287:$D$1538,D1538))/COUNT($D$1287:$D$1538)*100,"")</f>
        <v/>
      </c>
      <c r="H1538" s="10">
        <f>IFERROR(AVERAGE($D$1287:$D$1538),"")</f>
        <v/>
      </c>
      <c r="I1538" s="10" t="n">
        <v>1.712138745942048</v>
      </c>
      <c r="J1538" t="inlineStr"/>
      <c r="K1538" t="inlineStr"/>
    </row>
    <row r="1539">
      <c r="A1539" s="7" t="inlineStr">
        <is>
          <t>2020-06-18</t>
        </is>
      </c>
      <c r="B1539" s="8">
        <f>IFERROR(VLOOKUP($A1539,'01-原始价格'!$A:$M,2,FALSE),"")</f>
        <v/>
      </c>
      <c r="C1539" s="8">
        <f>IFERROR(VLOOKUP($A1539,'01-原始价格'!$A:$M,8,FALSE),"")</f>
        <v/>
      </c>
      <c r="D1539" s="10">
        <f>IFERROR(B1539/C1539,"")</f>
        <v/>
      </c>
      <c r="E1539" s="10">
        <f>IFERROR(C1539/B1539,"")</f>
        <v/>
      </c>
      <c r="F1539" s="11">
        <f>IFERROR((D1539/D1538-1)*100,"")</f>
        <v/>
      </c>
      <c r="G1539" s="11">
        <f>IFERROR((COUNTIF($D$1288:$D$1539,"&lt;"&amp;D1539)+0.5*COUNTIF($D$1288:$D$1539,D1539))/COUNT($D$1288:$D$1539)*100,"")</f>
        <v/>
      </c>
      <c r="H1539" s="10">
        <f>IFERROR(AVERAGE($D$1288:$D$1539),"")</f>
        <v/>
      </c>
      <c r="I1539" s="10" t="n">
        <v>1.419450398664037</v>
      </c>
      <c r="J1539" t="inlineStr"/>
      <c r="K1539" t="inlineStr"/>
    </row>
    <row r="1540">
      <c r="A1540" s="7" t="inlineStr">
        <is>
          <t>2020-06-19</t>
        </is>
      </c>
      <c r="B1540" s="8">
        <f>IFERROR(VLOOKUP($A1540,'01-原始价格'!$A:$M,2,FALSE),"")</f>
        <v/>
      </c>
      <c r="C1540" s="8">
        <f>IFERROR(VLOOKUP($A1540,'01-原始价格'!$A:$M,8,FALSE),"")</f>
        <v/>
      </c>
      <c r="D1540" s="10">
        <f>IFERROR(B1540/C1540,"")</f>
        <v/>
      </c>
      <c r="E1540" s="10">
        <f>IFERROR(C1540/B1540,"")</f>
        <v/>
      </c>
      <c r="F1540" s="11">
        <f>IFERROR((D1540/D1539-1)*100,"")</f>
        <v/>
      </c>
      <c r="G1540" s="11">
        <f>IFERROR((COUNTIF($D$1289:$D$1540,"&lt;"&amp;D1540)+0.5*COUNTIF($D$1289:$D$1540,D1540))/COUNT($D$1289:$D$1540)*100,"")</f>
        <v/>
      </c>
      <c r="H1540" s="10">
        <f>IFERROR(AVERAGE($D$1289:$D$1540),"")</f>
        <v/>
      </c>
      <c r="I1540" s="10" t="n">
        <v>1.580348997896612</v>
      </c>
      <c r="J1540" t="inlineStr"/>
      <c r="K1540" t="inlineStr"/>
    </row>
    <row r="1541">
      <c r="A1541" s="7" t="inlineStr">
        <is>
          <t>2020-06-22</t>
        </is>
      </c>
      <c r="B1541" s="8">
        <f>IFERROR(VLOOKUP($A1541,'01-原始价格'!$A:$M,2,FALSE),"")</f>
        <v/>
      </c>
      <c r="C1541" s="8">
        <f>IFERROR(VLOOKUP($A1541,'01-原始价格'!$A:$M,8,FALSE),"")</f>
        <v/>
      </c>
      <c r="D1541" s="10">
        <f>IFERROR(B1541/C1541,"")</f>
        <v/>
      </c>
      <c r="E1541" s="10">
        <f>IFERROR(C1541/B1541,"")</f>
        <v/>
      </c>
      <c r="F1541" s="11">
        <f>IFERROR((D1541/D1540-1)*100,"")</f>
        <v/>
      </c>
      <c r="G1541" s="11">
        <f>IFERROR((COUNTIF($D$1290:$D$1541,"&lt;"&amp;D1541)+0.5*COUNTIF($D$1290:$D$1541,D1541))/COUNT($D$1290:$D$1541)*100,"")</f>
        <v/>
      </c>
      <c r="H1541" s="10">
        <f>IFERROR(AVERAGE($D$1290:$D$1541),"")</f>
        <v/>
      </c>
      <c r="I1541" s="10" t="n">
        <v>1.468064663904972</v>
      </c>
      <c r="J1541" t="inlineStr"/>
      <c r="K1541" t="inlineStr"/>
    </row>
    <row r="1542">
      <c r="A1542" s="7" t="inlineStr">
        <is>
          <t>2020-06-23</t>
        </is>
      </c>
      <c r="B1542" s="8">
        <f>IFERROR(VLOOKUP($A1542,'01-原始价格'!$A:$M,2,FALSE),"")</f>
        <v/>
      </c>
      <c r="C1542" s="8">
        <f>IFERROR(VLOOKUP($A1542,'01-原始价格'!$A:$M,8,FALSE),"")</f>
        <v/>
      </c>
      <c r="D1542" s="10">
        <f>IFERROR(B1542/C1542,"")</f>
        <v/>
      </c>
      <c r="E1542" s="10">
        <f>IFERROR(C1542/B1542,"")</f>
        <v/>
      </c>
      <c r="F1542" s="11">
        <f>IFERROR((D1542/D1541-1)*100,"")</f>
        <v/>
      </c>
      <c r="G1542" s="11">
        <f>IFERROR((COUNTIF($D$1291:$D$1542,"&lt;"&amp;D1542)+0.5*COUNTIF($D$1291:$D$1542,D1542))/COUNT($D$1291:$D$1542)*100,"")</f>
        <v/>
      </c>
      <c r="H1542" s="10">
        <f>IFERROR(AVERAGE($D$1291:$D$1542),"")</f>
        <v/>
      </c>
      <c r="I1542" s="10" t="n">
        <v>1.204269153086324</v>
      </c>
      <c r="J1542" t="inlineStr"/>
      <c r="K1542" t="inlineStr"/>
    </row>
    <row r="1543">
      <c r="A1543" s="7" t="inlineStr">
        <is>
          <t>2020-06-24</t>
        </is>
      </c>
      <c r="B1543" s="8">
        <f>IFERROR(VLOOKUP($A1543,'01-原始价格'!$A:$M,2,FALSE),"")</f>
        <v/>
      </c>
      <c r="C1543" s="8">
        <f>IFERROR(VLOOKUP($A1543,'01-原始价格'!$A:$M,8,FALSE),"")</f>
        <v/>
      </c>
      <c r="D1543" s="10">
        <f>IFERROR(B1543/C1543,"")</f>
        <v/>
      </c>
      <c r="E1543" s="10">
        <f>IFERROR(C1543/B1543,"")</f>
        <v/>
      </c>
      <c r="F1543" s="11">
        <f>IFERROR((D1543/D1542-1)*100,"")</f>
        <v/>
      </c>
      <c r="G1543" s="11">
        <f>IFERROR((COUNTIF($D$1292:$D$1543,"&lt;"&amp;D1543)+0.5*COUNTIF($D$1292:$D$1543,D1543))/COUNT($D$1292:$D$1543)*100,"")</f>
        <v/>
      </c>
      <c r="H1543" s="10">
        <f>IFERROR(AVERAGE($D$1292:$D$1543),"")</f>
        <v/>
      </c>
      <c r="I1543" s="10" t="n">
        <v>0.8180844224902903</v>
      </c>
      <c r="J1543" t="inlineStr"/>
      <c r="K1543" t="inlineStr"/>
    </row>
    <row r="1544">
      <c r="A1544" s="7" t="inlineStr">
        <is>
          <t>2020-06-29</t>
        </is>
      </c>
      <c r="B1544" s="8">
        <f>IFERROR(VLOOKUP($A1544,'01-原始价格'!$A:$M,2,FALSE),"")</f>
        <v/>
      </c>
      <c r="C1544" s="8">
        <f>IFERROR(VLOOKUP($A1544,'01-原始价格'!$A:$M,8,FALSE),"")</f>
        <v/>
      </c>
      <c r="D1544" s="10">
        <f>IFERROR(B1544/C1544,"")</f>
        <v/>
      </c>
      <c r="E1544" s="10">
        <f>IFERROR(C1544/B1544,"")</f>
        <v/>
      </c>
      <c r="F1544" s="11">
        <f>IFERROR((D1544/D1543-1)*100,"")</f>
        <v/>
      </c>
      <c r="G1544" s="11">
        <f>IFERROR((COUNTIF($D$1293:$D$1544,"&lt;"&amp;D1544)+0.5*COUNTIF($D$1293:$D$1544,D1544))/COUNT($D$1293:$D$1544)*100,"")</f>
        <v/>
      </c>
      <c r="H1544" s="10">
        <f>IFERROR(AVERAGE($D$1293:$D$1544),"")</f>
        <v/>
      </c>
      <c r="I1544" s="10" t="n">
        <v>0.6602740031464349</v>
      </c>
      <c r="J1544" t="inlineStr"/>
      <c r="K1544" t="inlineStr"/>
    </row>
    <row r="1545">
      <c r="A1545" s="7" t="inlineStr">
        <is>
          <t>2020-06-30</t>
        </is>
      </c>
      <c r="B1545" s="8">
        <f>IFERROR(VLOOKUP($A1545,'01-原始价格'!$A:$M,2,FALSE),"")</f>
        <v/>
      </c>
      <c r="C1545" s="8">
        <f>IFERROR(VLOOKUP($A1545,'01-原始价格'!$A:$M,8,FALSE),"")</f>
        <v/>
      </c>
      <c r="D1545" s="10">
        <f>IFERROR(B1545/C1545,"")</f>
        <v/>
      </c>
      <c r="E1545" s="10">
        <f>IFERROR(C1545/B1545,"")</f>
        <v/>
      </c>
      <c r="F1545" s="11">
        <f>IFERROR((D1545/D1544-1)*100,"")</f>
        <v/>
      </c>
      <c r="G1545" s="11">
        <f>IFERROR((COUNTIF($D$1294:$D$1545,"&lt;"&amp;D1545)+0.5*COUNTIF($D$1294:$D$1545,D1545))/COUNT($D$1294:$D$1545)*100,"")</f>
        <v/>
      </c>
      <c r="H1545" s="10">
        <f>IFERROR(AVERAGE($D$1294:$D$1545),"")</f>
        <v/>
      </c>
      <c r="I1545" s="10" t="n">
        <v>0.2617857689267952</v>
      </c>
      <c r="J1545" t="inlineStr"/>
      <c r="K1545" t="inlineStr"/>
    </row>
    <row r="1546">
      <c r="A1546" s="7" t="inlineStr">
        <is>
          <t>2020-07-01</t>
        </is>
      </c>
      <c r="B1546" s="8">
        <f>IFERROR(VLOOKUP($A1546,'01-原始价格'!$A:$M,2,FALSE),"")</f>
        <v/>
      </c>
      <c r="C1546" s="8">
        <f>IFERROR(VLOOKUP($A1546,'01-原始价格'!$A:$M,8,FALSE),"")</f>
        <v/>
      </c>
      <c r="D1546" s="10">
        <f>IFERROR(B1546/C1546,"")</f>
        <v/>
      </c>
      <c r="E1546" s="10">
        <f>IFERROR(C1546/B1546,"")</f>
        <v/>
      </c>
      <c r="F1546" s="11">
        <f>IFERROR((D1546/D1545-1)*100,"")</f>
        <v/>
      </c>
      <c r="G1546" s="11">
        <f>IFERROR((COUNTIF($D$1295:$D$1546,"&lt;"&amp;D1546)+0.5*COUNTIF($D$1295:$D$1546,D1546))/COUNT($D$1295:$D$1546)*100,"")</f>
        <v/>
      </c>
      <c r="H1546" s="10">
        <f>IFERROR(AVERAGE($D$1295:$D$1546),"")</f>
        <v/>
      </c>
      <c r="I1546" s="10" t="n">
        <v>0.3087560567539708</v>
      </c>
      <c r="J1546" t="inlineStr"/>
      <c r="K1546" t="inlineStr"/>
    </row>
    <row r="1547">
      <c r="A1547" s="7" t="inlineStr">
        <is>
          <t>2020-07-02</t>
        </is>
      </c>
      <c r="B1547" s="8">
        <f>IFERROR(VLOOKUP($A1547,'01-原始价格'!$A:$M,2,FALSE),"")</f>
        <v/>
      </c>
      <c r="C1547" s="8">
        <f>IFERROR(VLOOKUP($A1547,'01-原始价格'!$A:$M,8,FALSE),"")</f>
        <v/>
      </c>
      <c r="D1547" s="10">
        <f>IFERROR(B1547/C1547,"")</f>
        <v/>
      </c>
      <c r="E1547" s="10">
        <f>IFERROR(C1547/B1547,"")</f>
        <v/>
      </c>
      <c r="F1547" s="11">
        <f>IFERROR((D1547/D1546-1)*100,"")</f>
        <v/>
      </c>
      <c r="G1547" s="11">
        <f>IFERROR((COUNTIF($D$1296:$D$1547,"&lt;"&amp;D1547)+0.5*COUNTIF($D$1296:$D$1547,D1547))/COUNT($D$1296:$D$1547)*100,"")</f>
        <v/>
      </c>
      <c r="H1547" s="10">
        <f>IFERROR(AVERAGE($D$1296:$D$1547),"")</f>
        <v/>
      </c>
      <c r="I1547" s="10" t="n">
        <v>0.3385778472069114</v>
      </c>
      <c r="J1547" t="inlineStr"/>
      <c r="K1547" t="inlineStr"/>
    </row>
    <row r="1548">
      <c r="A1548" s="7" t="inlineStr">
        <is>
          <t>2020-07-03</t>
        </is>
      </c>
      <c r="B1548" s="8">
        <f>IFERROR(VLOOKUP($A1548,'01-原始价格'!$A:$M,2,FALSE),"")</f>
        <v/>
      </c>
      <c r="C1548" s="8">
        <f>IFERROR(VLOOKUP($A1548,'01-原始价格'!$A:$M,8,FALSE),"")</f>
        <v/>
      </c>
      <c r="D1548" s="10">
        <f>IFERROR(B1548/C1548,"")</f>
        <v/>
      </c>
      <c r="E1548" s="10">
        <f>IFERROR(C1548/B1548,"")</f>
        <v/>
      </c>
      <c r="F1548" s="11">
        <f>IFERROR((D1548/D1547-1)*100,"")</f>
        <v/>
      </c>
      <c r="G1548" s="11">
        <f>IFERROR((COUNTIF($D$1297:$D$1548,"&lt;"&amp;D1548)+0.5*COUNTIF($D$1297:$D$1548,D1548))/COUNT($D$1297:$D$1548)*100,"")</f>
        <v/>
      </c>
      <c r="H1548" s="10">
        <f>IFERROR(AVERAGE($D$1297:$D$1548),"")</f>
        <v/>
      </c>
      <c r="I1548" s="10" t="n">
        <v>0.1889663302660682</v>
      </c>
      <c r="J1548" t="inlineStr"/>
      <c r="K1548" t="inlineStr"/>
    </row>
    <row r="1549">
      <c r="A1549" s="7" t="inlineStr">
        <is>
          <t>2020-07-06</t>
        </is>
      </c>
      <c r="B1549" s="8">
        <f>IFERROR(VLOOKUP($A1549,'01-原始价格'!$A:$M,2,FALSE),"")</f>
        <v/>
      </c>
      <c r="C1549" s="8">
        <f>IFERROR(VLOOKUP($A1549,'01-原始价格'!$A:$M,8,FALSE),"")</f>
        <v/>
      </c>
      <c r="D1549" s="10">
        <f>IFERROR(B1549/C1549,"")</f>
        <v/>
      </c>
      <c r="E1549" s="10">
        <f>IFERROR(C1549/B1549,"")</f>
        <v/>
      </c>
      <c r="F1549" s="11">
        <f>IFERROR((D1549/D1548-1)*100,"")</f>
        <v/>
      </c>
      <c r="G1549" s="11">
        <f>IFERROR((COUNTIF($D$1298:$D$1549,"&lt;"&amp;D1549)+0.5*COUNTIF($D$1298:$D$1549,D1549))/COUNT($D$1298:$D$1549)*100,"")</f>
        <v/>
      </c>
      <c r="H1549" s="10">
        <f>IFERROR(AVERAGE($D$1298:$D$1549),"")</f>
        <v/>
      </c>
      <c r="I1549" s="10" t="n">
        <v>0.06007866842868163</v>
      </c>
      <c r="J1549" t="inlineStr"/>
      <c r="K1549" t="inlineStr"/>
    </row>
    <row r="1550">
      <c r="A1550" s="7" t="inlineStr">
        <is>
          <t>2020-07-07</t>
        </is>
      </c>
      <c r="B1550" s="8">
        <f>IFERROR(VLOOKUP($A1550,'01-原始价格'!$A:$M,2,FALSE),"")</f>
        <v/>
      </c>
      <c r="C1550" s="8">
        <f>IFERROR(VLOOKUP($A1550,'01-原始价格'!$A:$M,8,FALSE),"")</f>
        <v/>
      </c>
      <c r="D1550" s="10">
        <f>IFERROR(B1550/C1550,"")</f>
        <v/>
      </c>
      <c r="E1550" s="10">
        <f>IFERROR(C1550/B1550,"")</f>
        <v/>
      </c>
      <c r="F1550" s="11">
        <f>IFERROR((D1550/D1549-1)*100,"")</f>
        <v/>
      </c>
      <c r="G1550" s="11">
        <f>IFERROR((COUNTIF($D$1299:$D$1550,"&lt;"&amp;D1550)+0.5*COUNTIF($D$1299:$D$1550,D1550))/COUNT($D$1299:$D$1550)*100,"")</f>
        <v/>
      </c>
      <c r="H1550" s="10">
        <f>IFERROR(AVERAGE($D$1299:$D$1550),"")</f>
        <v/>
      </c>
      <c r="I1550" s="10" t="n">
        <v>-0.2383227719254689</v>
      </c>
      <c r="J1550" t="inlineStr"/>
      <c r="K1550" t="inlineStr"/>
    </row>
    <row r="1551">
      <c r="A1551" s="7" t="inlineStr">
        <is>
          <t>2020-07-08</t>
        </is>
      </c>
      <c r="B1551" s="8">
        <f>IFERROR(VLOOKUP($A1551,'01-原始价格'!$A:$M,2,FALSE),"")</f>
        <v/>
      </c>
      <c r="C1551" s="8">
        <f>IFERROR(VLOOKUP($A1551,'01-原始价格'!$A:$M,8,FALSE),"")</f>
        <v/>
      </c>
      <c r="D1551" s="10">
        <f>IFERROR(B1551/C1551,"")</f>
        <v/>
      </c>
      <c r="E1551" s="10">
        <f>IFERROR(C1551/B1551,"")</f>
        <v/>
      </c>
      <c r="F1551" s="11">
        <f>IFERROR((D1551/D1550-1)*100,"")</f>
        <v/>
      </c>
      <c r="G1551" s="11">
        <f>IFERROR((COUNTIF($D$1300:$D$1551,"&lt;"&amp;D1551)+0.5*COUNTIF($D$1300:$D$1551,D1551))/COUNT($D$1300:$D$1551)*100,"")</f>
        <v/>
      </c>
      <c r="H1551" s="10">
        <f>IFERROR(AVERAGE($D$1300:$D$1551),"")</f>
        <v/>
      </c>
      <c r="I1551" s="10" t="n">
        <v>-0.466284982060313</v>
      </c>
      <c r="J1551" t="inlineStr"/>
      <c r="K1551" t="inlineStr"/>
    </row>
    <row r="1552">
      <c r="A1552" s="7" t="inlineStr">
        <is>
          <t>2020-07-09</t>
        </is>
      </c>
      <c r="B1552" s="8">
        <f>IFERROR(VLOOKUP($A1552,'01-原始价格'!$A:$M,2,FALSE),"")</f>
        <v/>
      </c>
      <c r="C1552" s="8">
        <f>IFERROR(VLOOKUP($A1552,'01-原始价格'!$A:$M,8,FALSE),"")</f>
        <v/>
      </c>
      <c r="D1552" s="10">
        <f>IFERROR(B1552/C1552,"")</f>
        <v/>
      </c>
      <c r="E1552" s="10">
        <f>IFERROR(C1552/B1552,"")</f>
        <v/>
      </c>
      <c r="F1552" s="11">
        <f>IFERROR((D1552/D1551-1)*100,"")</f>
        <v/>
      </c>
      <c r="G1552" s="11">
        <f>IFERROR((COUNTIF($D$1301:$D$1552,"&lt;"&amp;D1552)+0.5*COUNTIF($D$1301:$D$1552,D1552))/COUNT($D$1301:$D$1552)*100,"")</f>
        <v/>
      </c>
      <c r="H1552" s="10">
        <f>IFERROR(AVERAGE($D$1301:$D$1552),"")</f>
        <v/>
      </c>
      <c r="I1552" s="10" t="n">
        <v>-0.2732758826697738</v>
      </c>
      <c r="J1552" t="inlineStr"/>
      <c r="K1552" t="inlineStr"/>
    </row>
    <row r="1553">
      <c r="A1553" s="7" t="inlineStr">
        <is>
          <t>2020-07-10</t>
        </is>
      </c>
      <c r="B1553" s="8">
        <f>IFERROR(VLOOKUP($A1553,'01-原始价格'!$A:$M,2,FALSE),"")</f>
        <v/>
      </c>
      <c r="C1553" s="8">
        <f>IFERROR(VLOOKUP($A1553,'01-原始价格'!$A:$M,8,FALSE),"")</f>
        <v/>
      </c>
      <c r="D1553" s="10">
        <f>IFERROR(B1553/C1553,"")</f>
        <v/>
      </c>
      <c r="E1553" s="10">
        <f>IFERROR(C1553/B1553,"")</f>
        <v/>
      </c>
      <c r="F1553" s="11">
        <f>IFERROR((D1553/D1552-1)*100,"")</f>
        <v/>
      </c>
      <c r="G1553" s="11">
        <f>IFERROR((COUNTIF($D$1302:$D$1553,"&lt;"&amp;D1553)+0.5*COUNTIF($D$1302:$D$1553,D1553))/COUNT($D$1302:$D$1553)*100,"")</f>
        <v/>
      </c>
      <c r="H1553" s="10">
        <f>IFERROR(AVERAGE($D$1302:$D$1553),"")</f>
        <v/>
      </c>
      <c r="I1553" s="10" t="n">
        <v>-0.3319442460795329</v>
      </c>
      <c r="J1553" t="inlineStr"/>
      <c r="K1553" t="inlineStr"/>
    </row>
    <row r="1554">
      <c r="A1554" s="7" t="inlineStr">
        <is>
          <t>2020-07-13</t>
        </is>
      </c>
      <c r="B1554" s="8">
        <f>IFERROR(VLOOKUP($A1554,'01-原始价格'!$A:$M,2,FALSE),"")</f>
        <v/>
      </c>
      <c r="C1554" s="8">
        <f>IFERROR(VLOOKUP($A1554,'01-原始价格'!$A:$M,8,FALSE),"")</f>
        <v/>
      </c>
      <c r="D1554" s="10">
        <f>IFERROR(B1554/C1554,"")</f>
        <v/>
      </c>
      <c r="E1554" s="10">
        <f>IFERROR(C1554/B1554,"")</f>
        <v/>
      </c>
      <c r="F1554" s="11">
        <f>IFERROR((D1554/D1553-1)*100,"")</f>
        <v/>
      </c>
      <c r="G1554" s="11">
        <f>IFERROR((COUNTIF($D$1303:$D$1554,"&lt;"&amp;D1554)+0.5*COUNTIF($D$1303:$D$1554,D1554))/COUNT($D$1303:$D$1554)*100,"")</f>
        <v/>
      </c>
      <c r="H1554" s="10">
        <f>IFERROR(AVERAGE($D$1303:$D$1554),"")</f>
        <v/>
      </c>
      <c r="I1554" s="10" t="n">
        <v>-0.3617863273581291</v>
      </c>
      <c r="J1554" t="inlineStr"/>
      <c r="K1554" t="inlineStr"/>
    </row>
    <row r="1555">
      <c r="A1555" s="7" t="inlineStr">
        <is>
          <t>2020-07-14</t>
        </is>
      </c>
      <c r="B1555" s="8">
        <f>IFERROR(VLOOKUP($A1555,'01-原始价格'!$A:$M,2,FALSE),"")</f>
        <v/>
      </c>
      <c r="C1555" s="8">
        <f>IFERROR(VLOOKUP($A1555,'01-原始价格'!$A:$M,8,FALSE),"")</f>
        <v/>
      </c>
      <c r="D1555" s="10">
        <f>IFERROR(B1555/C1555,"")</f>
        <v/>
      </c>
      <c r="E1555" s="10">
        <f>IFERROR(C1555/B1555,"")</f>
        <v/>
      </c>
      <c r="F1555" s="11">
        <f>IFERROR((D1555/D1554-1)*100,"")</f>
        <v/>
      </c>
      <c r="G1555" s="11">
        <f>IFERROR((COUNTIF($D$1304:$D$1555,"&lt;"&amp;D1555)+0.5*COUNTIF($D$1304:$D$1555,D1555))/COUNT($D$1304:$D$1555)*100,"")</f>
        <v/>
      </c>
      <c r="H1555" s="10">
        <f>IFERROR(AVERAGE($D$1304:$D$1555),"")</f>
        <v/>
      </c>
      <c r="I1555" s="10" t="n">
        <v>-0.4366494226544001</v>
      </c>
      <c r="J1555" t="inlineStr"/>
      <c r="K1555" t="inlineStr"/>
    </row>
    <row r="1556">
      <c r="A1556" s="7" t="inlineStr">
        <is>
          <t>2020-07-15</t>
        </is>
      </c>
      <c r="B1556" s="8">
        <f>IFERROR(VLOOKUP($A1556,'01-原始价格'!$A:$M,2,FALSE),"")</f>
        <v/>
      </c>
      <c r="C1556" s="8">
        <f>IFERROR(VLOOKUP($A1556,'01-原始价格'!$A:$M,8,FALSE),"")</f>
        <v/>
      </c>
      <c r="D1556" s="10">
        <f>IFERROR(B1556/C1556,"")</f>
        <v/>
      </c>
      <c r="E1556" s="10">
        <f>IFERROR(C1556/B1556,"")</f>
        <v/>
      </c>
      <c r="F1556" s="11">
        <f>IFERROR((D1556/D1555-1)*100,"")</f>
        <v/>
      </c>
      <c r="G1556" s="11">
        <f>IFERROR((COUNTIF($D$1305:$D$1556,"&lt;"&amp;D1556)+0.5*COUNTIF($D$1305:$D$1556,D1556))/COUNT($D$1305:$D$1556)*100,"")</f>
        <v/>
      </c>
      <c r="H1556" s="10">
        <f>IFERROR(AVERAGE($D$1305:$D$1556),"")</f>
        <v/>
      </c>
      <c r="I1556" s="10" t="n">
        <v>-0.492545048178131</v>
      </c>
      <c r="J1556" t="inlineStr"/>
      <c r="K1556" t="inlineStr"/>
    </row>
    <row r="1557">
      <c r="A1557" s="7" t="inlineStr">
        <is>
          <t>2020-07-16</t>
        </is>
      </c>
      <c r="B1557" s="8">
        <f>IFERROR(VLOOKUP($A1557,'01-原始价格'!$A:$M,2,FALSE),"")</f>
        <v/>
      </c>
      <c r="C1557" s="8">
        <f>IFERROR(VLOOKUP($A1557,'01-原始价格'!$A:$M,8,FALSE),"")</f>
        <v/>
      </c>
      <c r="D1557" s="10">
        <f>IFERROR(B1557/C1557,"")</f>
        <v/>
      </c>
      <c r="E1557" s="10">
        <f>IFERROR(C1557/B1557,"")</f>
        <v/>
      </c>
      <c r="F1557" s="11">
        <f>IFERROR((D1557/D1556-1)*100,"")</f>
        <v/>
      </c>
      <c r="G1557" s="11">
        <f>IFERROR((COUNTIF($D$1306:$D$1557,"&lt;"&amp;D1557)+0.5*COUNTIF($D$1306:$D$1557,D1557))/COUNT($D$1306:$D$1557)*100,"")</f>
        <v/>
      </c>
      <c r="H1557" s="10">
        <f>IFERROR(AVERAGE($D$1306:$D$1557),"")</f>
        <v/>
      </c>
      <c r="I1557" s="10" t="n">
        <v>-0.4476231994729223</v>
      </c>
      <c r="J1557" t="inlineStr"/>
      <c r="K1557" t="inlineStr"/>
    </row>
    <row r="1558">
      <c r="A1558" s="7" t="inlineStr">
        <is>
          <t>2020-07-17</t>
        </is>
      </c>
      <c r="B1558" s="8">
        <f>IFERROR(VLOOKUP($A1558,'01-原始价格'!$A:$M,2,FALSE),"")</f>
        <v/>
      </c>
      <c r="C1558" s="8">
        <f>IFERROR(VLOOKUP($A1558,'01-原始价格'!$A:$M,8,FALSE),"")</f>
        <v/>
      </c>
      <c r="D1558" s="10">
        <f>IFERROR(B1558/C1558,"")</f>
        <v/>
      </c>
      <c r="E1558" s="10">
        <f>IFERROR(C1558/B1558,"")</f>
        <v/>
      </c>
      <c r="F1558" s="11">
        <f>IFERROR((D1558/D1557-1)*100,"")</f>
        <v/>
      </c>
      <c r="G1558" s="11">
        <f>IFERROR((COUNTIF($D$1307:$D$1558,"&lt;"&amp;D1558)+0.5*COUNTIF($D$1307:$D$1558,D1558))/COUNT($D$1307:$D$1558)*100,"")</f>
        <v/>
      </c>
      <c r="H1558" s="10">
        <f>IFERROR(AVERAGE($D$1307:$D$1558),"")</f>
        <v/>
      </c>
      <c r="I1558" s="10" t="n">
        <v>-0.3141091812302553</v>
      </c>
      <c r="J1558" t="inlineStr"/>
      <c r="K1558" t="inlineStr"/>
    </row>
    <row r="1559">
      <c r="A1559" s="7" t="inlineStr">
        <is>
          <t>2020-07-20</t>
        </is>
      </c>
      <c r="B1559" s="8">
        <f>IFERROR(VLOOKUP($A1559,'01-原始价格'!$A:$M,2,FALSE),"")</f>
        <v/>
      </c>
      <c r="C1559" s="8">
        <f>IFERROR(VLOOKUP($A1559,'01-原始价格'!$A:$M,8,FALSE),"")</f>
        <v/>
      </c>
      <c r="D1559" s="10">
        <f>IFERROR(B1559/C1559,"")</f>
        <v/>
      </c>
      <c r="E1559" s="10">
        <f>IFERROR(C1559/B1559,"")</f>
        <v/>
      </c>
      <c r="F1559" s="11">
        <f>IFERROR((D1559/D1558-1)*100,"")</f>
        <v/>
      </c>
      <c r="G1559" s="11">
        <f>IFERROR((COUNTIF($D$1308:$D$1559,"&lt;"&amp;D1559)+0.5*COUNTIF($D$1308:$D$1559,D1559))/COUNT($D$1308:$D$1559)*100,"")</f>
        <v/>
      </c>
      <c r="H1559" s="10">
        <f>IFERROR(AVERAGE($D$1308:$D$1559),"")</f>
        <v/>
      </c>
      <c r="I1559" s="10" t="n">
        <v>-0.3842317585549541</v>
      </c>
      <c r="J1559" t="inlineStr"/>
      <c r="K1559" t="inlineStr"/>
    </row>
    <row r="1560">
      <c r="A1560" s="7" t="inlineStr">
        <is>
          <t>2020-07-21</t>
        </is>
      </c>
      <c r="B1560" s="8">
        <f>IFERROR(VLOOKUP($A1560,'01-原始价格'!$A:$M,2,FALSE),"")</f>
        <v/>
      </c>
      <c r="C1560" s="8">
        <f>IFERROR(VLOOKUP($A1560,'01-原始价格'!$A:$M,8,FALSE),"")</f>
        <v/>
      </c>
      <c r="D1560" s="10">
        <f>IFERROR(B1560/C1560,"")</f>
        <v/>
      </c>
      <c r="E1560" s="10">
        <f>IFERROR(C1560/B1560,"")</f>
        <v/>
      </c>
      <c r="F1560" s="11">
        <f>IFERROR((D1560/D1559-1)*100,"")</f>
        <v/>
      </c>
      <c r="G1560" s="11">
        <f>IFERROR((COUNTIF($D$1309:$D$1560,"&lt;"&amp;D1560)+0.5*COUNTIF($D$1309:$D$1560,D1560))/COUNT($D$1309:$D$1560)*100,"")</f>
        <v/>
      </c>
      <c r="H1560" s="10">
        <f>IFERROR(AVERAGE($D$1309:$D$1560),"")</f>
        <v/>
      </c>
      <c r="I1560" s="10" t="n">
        <v>-0.3380777319856892</v>
      </c>
      <c r="J1560" t="inlineStr"/>
      <c r="K1560" t="inlineStr"/>
    </row>
    <row r="1561">
      <c r="A1561" s="7" t="inlineStr">
        <is>
          <t>2020-07-22</t>
        </is>
      </c>
      <c r="B1561" s="8">
        <f>IFERROR(VLOOKUP($A1561,'01-原始价格'!$A:$M,2,FALSE),"")</f>
        <v/>
      </c>
      <c r="C1561" s="8">
        <f>IFERROR(VLOOKUP($A1561,'01-原始价格'!$A:$M,8,FALSE),"")</f>
        <v/>
      </c>
      <c r="D1561" s="10">
        <f>IFERROR(B1561/C1561,"")</f>
        <v/>
      </c>
      <c r="E1561" s="10">
        <f>IFERROR(C1561/B1561,"")</f>
        <v/>
      </c>
      <c r="F1561" s="11">
        <f>IFERROR((D1561/D1560-1)*100,"")</f>
        <v/>
      </c>
      <c r="G1561" s="11">
        <f>IFERROR((COUNTIF($D$1310:$D$1561,"&lt;"&amp;D1561)+0.5*COUNTIF($D$1310:$D$1561,D1561))/COUNT($D$1310:$D$1561)*100,"")</f>
        <v/>
      </c>
      <c r="H1561" s="10">
        <f>IFERROR(AVERAGE($D$1310:$D$1561),"")</f>
        <v/>
      </c>
      <c r="I1561" s="10" t="n">
        <v>-0.1330344289000993</v>
      </c>
      <c r="J1561" t="inlineStr"/>
      <c r="K1561" t="inlineStr"/>
    </row>
    <row r="1562">
      <c r="A1562" s="7" t="inlineStr">
        <is>
          <t>2020-07-23</t>
        </is>
      </c>
      <c r="B1562" s="8">
        <f>IFERROR(VLOOKUP($A1562,'01-原始价格'!$A:$M,2,FALSE),"")</f>
        <v/>
      </c>
      <c r="C1562" s="8">
        <f>IFERROR(VLOOKUP($A1562,'01-原始价格'!$A:$M,8,FALSE),"")</f>
        <v/>
      </c>
      <c r="D1562" s="10">
        <f>IFERROR(B1562/C1562,"")</f>
        <v/>
      </c>
      <c r="E1562" s="10">
        <f>IFERROR(C1562/B1562,"")</f>
        <v/>
      </c>
      <c r="F1562" s="11">
        <f>IFERROR((D1562/D1561-1)*100,"")</f>
        <v/>
      </c>
      <c r="G1562" s="11">
        <f>IFERROR((COUNTIF($D$1311:$D$1562,"&lt;"&amp;D1562)+0.5*COUNTIF($D$1311:$D$1562,D1562))/COUNT($D$1311:$D$1562)*100,"")</f>
        <v/>
      </c>
      <c r="H1562" s="10">
        <f>IFERROR(AVERAGE($D$1311:$D$1562),"")</f>
        <v/>
      </c>
      <c r="I1562" s="10" t="n">
        <v>-0.1774752445626543</v>
      </c>
      <c r="J1562" t="inlineStr"/>
      <c r="K1562" t="inlineStr"/>
    </row>
    <row r="1563">
      <c r="A1563" s="7" t="inlineStr">
        <is>
          <t>2020-07-24</t>
        </is>
      </c>
      <c r="B1563" s="8">
        <f>IFERROR(VLOOKUP($A1563,'01-原始价格'!$A:$M,2,FALSE),"")</f>
        <v/>
      </c>
      <c r="C1563" s="8">
        <f>IFERROR(VLOOKUP($A1563,'01-原始价格'!$A:$M,8,FALSE),"")</f>
        <v/>
      </c>
      <c r="D1563" s="10">
        <f>IFERROR(B1563/C1563,"")</f>
        <v/>
      </c>
      <c r="E1563" s="10">
        <f>IFERROR(C1563/B1563,"")</f>
        <v/>
      </c>
      <c r="F1563" s="11">
        <f>IFERROR((D1563/D1562-1)*100,"")</f>
        <v/>
      </c>
      <c r="G1563" s="11">
        <f>IFERROR((COUNTIF($D$1312:$D$1563,"&lt;"&amp;D1563)+0.5*COUNTIF($D$1312:$D$1563,D1563))/COUNT($D$1312:$D$1563)*100,"")</f>
        <v/>
      </c>
      <c r="H1563" s="10">
        <f>IFERROR(AVERAGE($D$1312:$D$1563),"")</f>
        <v/>
      </c>
      <c r="I1563" s="10" t="n">
        <v>-0.2827595376435377</v>
      </c>
      <c r="J1563" t="inlineStr"/>
      <c r="K1563" t="inlineStr"/>
    </row>
    <row r="1564">
      <c r="A1564" s="7" t="inlineStr">
        <is>
          <t>2020-07-27</t>
        </is>
      </c>
      <c r="B1564" s="8">
        <f>IFERROR(VLOOKUP($A1564,'01-原始价格'!$A:$M,2,FALSE),"")</f>
        <v/>
      </c>
      <c r="C1564" s="8">
        <f>IFERROR(VLOOKUP($A1564,'01-原始价格'!$A:$M,8,FALSE),"")</f>
        <v/>
      </c>
      <c r="D1564" s="10">
        <f>IFERROR(B1564/C1564,"")</f>
        <v/>
      </c>
      <c r="E1564" s="10">
        <f>IFERROR(C1564/B1564,"")</f>
        <v/>
      </c>
      <c r="F1564" s="11">
        <f>IFERROR((D1564/D1563-1)*100,"")</f>
        <v/>
      </c>
      <c r="G1564" s="11">
        <f>IFERROR((COUNTIF($D$1313:$D$1564,"&lt;"&amp;D1564)+0.5*COUNTIF($D$1313:$D$1564,D1564))/COUNT($D$1313:$D$1564)*100,"")</f>
        <v/>
      </c>
      <c r="H1564" s="10">
        <f>IFERROR(AVERAGE($D$1313:$D$1564),"")</f>
        <v/>
      </c>
      <c r="I1564" s="10" t="n">
        <v>-0.1604760107208558</v>
      </c>
      <c r="J1564" t="inlineStr"/>
      <c r="K1564" t="inlineStr"/>
    </row>
    <row r="1565">
      <c r="A1565" s="7" t="inlineStr">
        <is>
          <t>2020-07-28</t>
        </is>
      </c>
      <c r="B1565" s="8">
        <f>IFERROR(VLOOKUP($A1565,'01-原始价格'!$A:$M,2,FALSE),"")</f>
        <v/>
      </c>
      <c r="C1565" s="8">
        <f>IFERROR(VLOOKUP($A1565,'01-原始价格'!$A:$M,8,FALSE),"")</f>
        <v/>
      </c>
      <c r="D1565" s="10">
        <f>IFERROR(B1565/C1565,"")</f>
        <v/>
      </c>
      <c r="E1565" s="10">
        <f>IFERROR(C1565/B1565,"")</f>
        <v/>
      </c>
      <c r="F1565" s="11">
        <f>IFERROR((D1565/D1564-1)*100,"")</f>
        <v/>
      </c>
      <c r="G1565" s="11">
        <f>IFERROR((COUNTIF($D$1314:$D$1565,"&lt;"&amp;D1565)+0.5*COUNTIF($D$1314:$D$1565,D1565))/COUNT($D$1314:$D$1565)*100,"")</f>
        <v/>
      </c>
      <c r="H1565" s="10">
        <f>IFERROR(AVERAGE($D$1314:$D$1565),"")</f>
        <v/>
      </c>
      <c r="I1565" s="10" t="n">
        <v>0.01544266797330741</v>
      </c>
      <c r="J1565" t="inlineStr"/>
      <c r="K1565" t="inlineStr"/>
    </row>
    <row r="1566">
      <c r="A1566" s="7" t="inlineStr">
        <is>
          <t>2020-07-29</t>
        </is>
      </c>
      <c r="B1566" s="8">
        <f>IFERROR(VLOOKUP($A1566,'01-原始价格'!$A:$M,2,FALSE),"")</f>
        <v/>
      </c>
      <c r="C1566" s="8">
        <f>IFERROR(VLOOKUP($A1566,'01-原始价格'!$A:$M,8,FALSE),"")</f>
        <v/>
      </c>
      <c r="D1566" s="10">
        <f>IFERROR(B1566/C1566,"")</f>
        <v/>
      </c>
      <c r="E1566" s="10">
        <f>IFERROR(C1566/B1566,"")</f>
        <v/>
      </c>
      <c r="F1566" s="11">
        <f>IFERROR((D1566/D1565-1)*100,"")</f>
        <v/>
      </c>
      <c r="G1566" s="11">
        <f>IFERROR((COUNTIF($D$1315:$D$1566,"&lt;"&amp;D1566)+0.5*COUNTIF($D$1315:$D$1566,D1566))/COUNT($D$1315:$D$1566)*100,"")</f>
        <v/>
      </c>
      <c r="H1566" s="10">
        <f>IFERROR(AVERAGE($D$1315:$D$1566),"")</f>
        <v/>
      </c>
      <c r="I1566" s="10" t="n">
        <v>-0.03781837202715996</v>
      </c>
      <c r="J1566" t="inlineStr"/>
      <c r="K1566" t="inlineStr"/>
    </row>
    <row r="1567">
      <c r="A1567" s="7" t="inlineStr">
        <is>
          <t>2020-07-30</t>
        </is>
      </c>
      <c r="B1567" s="8">
        <f>IFERROR(VLOOKUP($A1567,'01-原始价格'!$A:$M,2,FALSE),"")</f>
        <v/>
      </c>
      <c r="C1567" s="8">
        <f>IFERROR(VLOOKUP($A1567,'01-原始价格'!$A:$M,8,FALSE),"")</f>
        <v/>
      </c>
      <c r="D1567" s="10">
        <f>IFERROR(B1567/C1567,"")</f>
        <v/>
      </c>
      <c r="E1567" s="10">
        <f>IFERROR(C1567/B1567,"")</f>
        <v/>
      </c>
      <c r="F1567" s="11">
        <f>IFERROR((D1567/D1566-1)*100,"")</f>
        <v/>
      </c>
      <c r="G1567" s="11">
        <f>IFERROR((COUNTIF($D$1316:$D$1567,"&lt;"&amp;D1567)+0.5*COUNTIF($D$1316:$D$1567,D1567))/COUNT($D$1316:$D$1567)*100,"")</f>
        <v/>
      </c>
      <c r="H1567" s="10">
        <f>IFERROR(AVERAGE($D$1316:$D$1567),"")</f>
        <v/>
      </c>
      <c r="I1567" s="10" t="n">
        <v>0.1353771853022508</v>
      </c>
      <c r="J1567" t="inlineStr"/>
      <c r="K1567" t="inlineStr"/>
    </row>
    <row r="1568">
      <c r="A1568" s="7" t="inlineStr">
        <is>
          <t>2020-07-31</t>
        </is>
      </c>
      <c r="B1568" s="8">
        <f>IFERROR(VLOOKUP($A1568,'01-原始价格'!$A:$M,2,FALSE),"")</f>
        <v/>
      </c>
      <c r="C1568" s="8">
        <f>IFERROR(VLOOKUP($A1568,'01-原始价格'!$A:$M,8,FALSE),"")</f>
        <v/>
      </c>
      <c r="D1568" s="10">
        <f>IFERROR(B1568/C1568,"")</f>
        <v/>
      </c>
      <c r="E1568" s="10">
        <f>IFERROR(C1568/B1568,"")</f>
        <v/>
      </c>
      <c r="F1568" s="11">
        <f>IFERROR((D1568/D1567-1)*100,"")</f>
        <v/>
      </c>
      <c r="G1568" s="11">
        <f>IFERROR((COUNTIF($D$1317:$D$1568,"&lt;"&amp;D1568)+0.5*COUNTIF($D$1317:$D$1568,D1568))/COUNT($D$1317:$D$1568)*100,"")</f>
        <v/>
      </c>
      <c r="H1568" s="10">
        <f>IFERROR(AVERAGE($D$1317:$D$1568),"")</f>
        <v/>
      </c>
      <c r="I1568" s="10" t="n">
        <v>0.3745468800793021</v>
      </c>
      <c r="J1568" t="inlineStr"/>
      <c r="K1568" t="inlineStr"/>
    </row>
    <row r="1569">
      <c r="A1569" s="7" t="inlineStr">
        <is>
          <t>2020-08-03</t>
        </is>
      </c>
      <c r="B1569" s="8">
        <f>IFERROR(VLOOKUP($A1569,'01-原始价格'!$A:$M,2,FALSE),"")</f>
        <v/>
      </c>
      <c r="C1569" s="8">
        <f>IFERROR(VLOOKUP($A1569,'01-原始价格'!$A:$M,8,FALSE),"")</f>
        <v/>
      </c>
      <c r="D1569" s="10">
        <f>IFERROR(B1569/C1569,"")</f>
        <v/>
      </c>
      <c r="E1569" s="10">
        <f>IFERROR(C1569/B1569,"")</f>
        <v/>
      </c>
      <c r="F1569" s="11">
        <f>IFERROR((D1569/D1568-1)*100,"")</f>
        <v/>
      </c>
      <c r="G1569" s="11">
        <f>IFERROR((COUNTIF($D$1318:$D$1569,"&lt;"&amp;D1569)+0.5*COUNTIF($D$1318:$D$1569,D1569))/COUNT($D$1318:$D$1569)*100,"")</f>
        <v/>
      </c>
      <c r="H1569" s="10">
        <f>IFERROR(AVERAGE($D$1318:$D$1569),"")</f>
        <v/>
      </c>
      <c r="I1569" s="10" t="n">
        <v>0.01765785529299582</v>
      </c>
      <c r="J1569" t="inlineStr"/>
      <c r="K1569" t="inlineStr"/>
    </row>
    <row r="1570">
      <c r="A1570" s="7" t="inlineStr">
        <is>
          <t>2020-08-04</t>
        </is>
      </c>
      <c r="B1570" s="8">
        <f>IFERROR(VLOOKUP($A1570,'01-原始价格'!$A:$M,2,FALSE),"")</f>
        <v/>
      </c>
      <c r="C1570" s="8">
        <f>IFERROR(VLOOKUP($A1570,'01-原始价格'!$A:$M,8,FALSE),"")</f>
        <v/>
      </c>
      <c r="D1570" s="10">
        <f>IFERROR(B1570/C1570,"")</f>
        <v/>
      </c>
      <c r="E1570" s="10">
        <f>IFERROR(C1570/B1570,"")</f>
        <v/>
      </c>
      <c r="F1570" s="11">
        <f>IFERROR((D1570/D1569-1)*100,"")</f>
        <v/>
      </c>
      <c r="G1570" s="11">
        <f>IFERROR((COUNTIF($D$1319:$D$1570,"&lt;"&amp;D1570)+0.5*COUNTIF($D$1319:$D$1570,D1570))/COUNT($D$1319:$D$1570)*100,"")</f>
        <v/>
      </c>
      <c r="H1570" s="10">
        <f>IFERROR(AVERAGE($D$1319:$D$1570),"")</f>
        <v/>
      </c>
      <c r="I1570" s="10" t="n">
        <v>0.01622863446051908</v>
      </c>
      <c r="J1570" t="inlineStr"/>
      <c r="K1570" t="inlineStr"/>
    </row>
    <row r="1571">
      <c r="A1571" s="7" t="inlineStr">
        <is>
          <t>2020-08-05</t>
        </is>
      </c>
      <c r="B1571" s="8">
        <f>IFERROR(VLOOKUP($A1571,'01-原始价格'!$A:$M,2,FALSE),"")</f>
        <v/>
      </c>
      <c r="C1571" s="8">
        <f>IFERROR(VLOOKUP($A1571,'01-原始价格'!$A:$M,8,FALSE),"")</f>
        <v/>
      </c>
      <c r="D1571" s="10">
        <f>IFERROR(B1571/C1571,"")</f>
        <v/>
      </c>
      <c r="E1571" s="10">
        <f>IFERROR(C1571/B1571,"")</f>
        <v/>
      </c>
      <c r="F1571" s="11">
        <f>IFERROR((D1571/D1570-1)*100,"")</f>
        <v/>
      </c>
      <c r="G1571" s="11">
        <f>IFERROR((COUNTIF($D$1320:$D$1571,"&lt;"&amp;D1571)+0.5*COUNTIF($D$1320:$D$1571,D1571))/COUNT($D$1320:$D$1571)*100,"")</f>
        <v/>
      </c>
      <c r="H1571" s="10">
        <f>IFERROR(AVERAGE($D$1320:$D$1571),"")</f>
        <v/>
      </c>
      <c r="I1571" s="10" t="n">
        <v>-0.07638646498326364</v>
      </c>
      <c r="J1571" t="inlineStr"/>
      <c r="K1571" t="inlineStr"/>
    </row>
    <row r="1572">
      <c r="A1572" s="7" t="inlineStr">
        <is>
          <t>2020-08-06</t>
        </is>
      </c>
      <c r="B1572" s="8">
        <f>IFERROR(VLOOKUP($A1572,'01-原始价格'!$A:$M,2,FALSE),"")</f>
        <v/>
      </c>
      <c r="C1572" s="8">
        <f>IFERROR(VLOOKUP($A1572,'01-原始价格'!$A:$M,8,FALSE),"")</f>
        <v/>
      </c>
      <c r="D1572" s="10">
        <f>IFERROR(B1572/C1572,"")</f>
        <v/>
      </c>
      <c r="E1572" s="10">
        <f>IFERROR(C1572/B1572,"")</f>
        <v/>
      </c>
      <c r="F1572" s="11">
        <f>IFERROR((D1572/D1571-1)*100,"")</f>
        <v/>
      </c>
      <c r="G1572" s="11">
        <f>IFERROR((COUNTIF($D$1321:$D$1572,"&lt;"&amp;D1572)+0.5*COUNTIF($D$1321:$D$1572,D1572))/COUNT($D$1321:$D$1572)*100,"")</f>
        <v/>
      </c>
      <c r="H1572" s="10">
        <f>IFERROR(AVERAGE($D$1321:$D$1572),"")</f>
        <v/>
      </c>
      <c r="I1572" s="10" t="n">
        <v>-0.08460869110035948</v>
      </c>
      <c r="J1572" t="inlineStr"/>
      <c r="K1572" t="inlineStr"/>
    </row>
    <row r="1573">
      <c r="A1573" s="7" t="inlineStr">
        <is>
          <t>2020-08-07</t>
        </is>
      </c>
      <c r="B1573" s="8">
        <f>IFERROR(VLOOKUP($A1573,'01-原始价格'!$A:$M,2,FALSE),"")</f>
        <v/>
      </c>
      <c r="C1573" s="8">
        <f>IFERROR(VLOOKUP($A1573,'01-原始价格'!$A:$M,8,FALSE),"")</f>
        <v/>
      </c>
      <c r="D1573" s="10">
        <f>IFERROR(B1573/C1573,"")</f>
        <v/>
      </c>
      <c r="E1573" s="10">
        <f>IFERROR(C1573/B1573,"")</f>
        <v/>
      </c>
      <c r="F1573" s="11">
        <f>IFERROR((D1573/D1572-1)*100,"")</f>
        <v/>
      </c>
      <c r="G1573" s="11">
        <f>IFERROR((COUNTIF($D$1322:$D$1573,"&lt;"&amp;D1573)+0.5*COUNTIF($D$1322:$D$1573,D1573))/COUNT($D$1322:$D$1573)*100,"")</f>
        <v/>
      </c>
      <c r="H1573" s="10">
        <f>IFERROR(AVERAGE($D$1322:$D$1573),"")</f>
        <v/>
      </c>
      <c r="I1573" s="10" t="n">
        <v>-0.07671580551671896</v>
      </c>
      <c r="J1573" t="inlineStr"/>
      <c r="K1573" t="inlineStr"/>
    </row>
    <row r="1574">
      <c r="A1574" s="7" t="inlineStr">
        <is>
          <t>2020-08-10</t>
        </is>
      </c>
      <c r="B1574" s="8">
        <f>IFERROR(VLOOKUP($A1574,'01-原始价格'!$A:$M,2,FALSE),"")</f>
        <v/>
      </c>
      <c r="C1574" s="8">
        <f>IFERROR(VLOOKUP($A1574,'01-原始价格'!$A:$M,8,FALSE),"")</f>
        <v/>
      </c>
      <c r="D1574" s="10">
        <f>IFERROR(B1574/C1574,"")</f>
        <v/>
      </c>
      <c r="E1574" s="10">
        <f>IFERROR(C1574/B1574,"")</f>
        <v/>
      </c>
      <c r="F1574" s="11">
        <f>IFERROR((D1574/D1573-1)*100,"")</f>
        <v/>
      </c>
      <c r="G1574" s="11">
        <f>IFERROR((COUNTIF($D$1323:$D$1574,"&lt;"&amp;D1574)+0.5*COUNTIF($D$1323:$D$1574,D1574))/COUNT($D$1323:$D$1574)*100,"")</f>
        <v/>
      </c>
      <c r="H1574" s="10">
        <f>IFERROR(AVERAGE($D$1323:$D$1574),"")</f>
        <v/>
      </c>
      <c r="I1574" s="10" t="n">
        <v>0.1157070506950021</v>
      </c>
      <c r="J1574" t="inlineStr"/>
      <c r="K1574" t="inlineStr"/>
    </row>
    <row r="1575">
      <c r="A1575" s="7" t="inlineStr">
        <is>
          <t>2020-08-11</t>
        </is>
      </c>
      <c r="B1575" s="8">
        <f>IFERROR(VLOOKUP($A1575,'01-原始价格'!$A:$M,2,FALSE),"")</f>
        <v/>
      </c>
      <c r="C1575" s="8">
        <f>IFERROR(VLOOKUP($A1575,'01-原始价格'!$A:$M,8,FALSE),"")</f>
        <v/>
      </c>
      <c r="D1575" s="10">
        <f>IFERROR(B1575/C1575,"")</f>
        <v/>
      </c>
      <c r="E1575" s="10">
        <f>IFERROR(C1575/B1575,"")</f>
        <v/>
      </c>
      <c r="F1575" s="11">
        <f>IFERROR((D1575/D1574-1)*100,"")</f>
        <v/>
      </c>
      <c r="G1575" s="11">
        <f>IFERROR((COUNTIF($D$1324:$D$1575,"&lt;"&amp;D1575)+0.5*COUNTIF($D$1324:$D$1575,D1575))/COUNT($D$1324:$D$1575)*100,"")</f>
        <v/>
      </c>
      <c r="H1575" s="10">
        <f>IFERROR(AVERAGE($D$1324:$D$1575),"")</f>
        <v/>
      </c>
      <c r="I1575" s="10" t="n">
        <v>0.2070095880922652</v>
      </c>
      <c r="J1575" t="inlineStr"/>
      <c r="K1575" t="inlineStr"/>
    </row>
    <row r="1576">
      <c r="A1576" s="7" t="inlineStr">
        <is>
          <t>2020-08-12</t>
        </is>
      </c>
      <c r="B1576" s="8">
        <f>IFERROR(VLOOKUP($A1576,'01-原始价格'!$A:$M,2,FALSE),"")</f>
        <v/>
      </c>
      <c r="C1576" s="8">
        <f>IFERROR(VLOOKUP($A1576,'01-原始价格'!$A:$M,8,FALSE),"")</f>
        <v/>
      </c>
      <c r="D1576" s="10">
        <f>IFERROR(B1576/C1576,"")</f>
        <v/>
      </c>
      <c r="E1576" s="10">
        <f>IFERROR(C1576/B1576,"")</f>
        <v/>
      </c>
      <c r="F1576" s="11">
        <f>IFERROR((D1576/D1575-1)*100,"")</f>
        <v/>
      </c>
      <c r="G1576" s="11">
        <f>IFERROR((COUNTIF($D$1325:$D$1576,"&lt;"&amp;D1576)+0.5*COUNTIF($D$1325:$D$1576,D1576))/COUNT($D$1325:$D$1576)*100,"")</f>
        <v/>
      </c>
      <c r="H1576" s="10">
        <f>IFERROR(AVERAGE($D$1325:$D$1576),"")</f>
        <v/>
      </c>
      <c r="I1576" s="10" t="n">
        <v>0.01993710548419325</v>
      </c>
      <c r="J1576" t="inlineStr"/>
      <c r="K1576" t="inlineStr"/>
    </row>
    <row r="1577">
      <c r="A1577" s="7" t="inlineStr">
        <is>
          <t>2020-08-13</t>
        </is>
      </c>
      <c r="B1577" s="8">
        <f>IFERROR(VLOOKUP($A1577,'01-原始价格'!$A:$M,2,FALSE),"")</f>
        <v/>
      </c>
      <c r="C1577" s="8">
        <f>IFERROR(VLOOKUP($A1577,'01-原始价格'!$A:$M,8,FALSE),"")</f>
        <v/>
      </c>
      <c r="D1577" s="10">
        <f>IFERROR(B1577/C1577,"")</f>
        <v/>
      </c>
      <c r="E1577" s="10">
        <f>IFERROR(C1577/B1577,"")</f>
        <v/>
      </c>
      <c r="F1577" s="11">
        <f>IFERROR((D1577/D1576-1)*100,"")</f>
        <v/>
      </c>
      <c r="G1577" s="11">
        <f>IFERROR((COUNTIF($D$1326:$D$1577,"&lt;"&amp;D1577)+0.5*COUNTIF($D$1326:$D$1577,D1577))/COUNT($D$1326:$D$1577)*100,"")</f>
        <v/>
      </c>
      <c r="H1577" s="10">
        <f>IFERROR(AVERAGE($D$1326:$D$1577),"")</f>
        <v/>
      </c>
      <c r="I1577" s="10" t="n">
        <v>0.001325785001187794</v>
      </c>
      <c r="J1577" t="inlineStr"/>
      <c r="K1577" t="inlineStr"/>
    </row>
    <row r="1578">
      <c r="A1578" s="7" t="inlineStr">
        <is>
          <t>2020-08-14</t>
        </is>
      </c>
      <c r="B1578" s="8">
        <f>IFERROR(VLOOKUP($A1578,'01-原始价格'!$A:$M,2,FALSE),"")</f>
        <v/>
      </c>
      <c r="C1578" s="8">
        <f>IFERROR(VLOOKUP($A1578,'01-原始价格'!$A:$M,8,FALSE),"")</f>
        <v/>
      </c>
      <c r="D1578" s="10">
        <f>IFERROR(B1578/C1578,"")</f>
        <v/>
      </c>
      <c r="E1578" s="10">
        <f>IFERROR(C1578/B1578,"")</f>
        <v/>
      </c>
      <c r="F1578" s="11">
        <f>IFERROR((D1578/D1577-1)*100,"")</f>
        <v/>
      </c>
      <c r="G1578" s="11">
        <f>IFERROR((COUNTIF($D$1327:$D$1578,"&lt;"&amp;D1578)+0.5*COUNTIF($D$1327:$D$1578,D1578))/COUNT($D$1327:$D$1578)*100,"")</f>
        <v/>
      </c>
      <c r="H1578" s="10">
        <f>IFERROR(AVERAGE($D$1327:$D$1578),"")</f>
        <v/>
      </c>
      <c r="I1578" s="10" t="n">
        <v>-0.006971981390935366</v>
      </c>
      <c r="J1578" t="inlineStr"/>
      <c r="K1578" t="inlineStr"/>
    </row>
    <row r="1579">
      <c r="A1579" s="7" t="inlineStr">
        <is>
          <t>2020-08-17</t>
        </is>
      </c>
      <c r="B1579" s="8">
        <f>IFERROR(VLOOKUP($A1579,'01-原始价格'!$A:$M,2,FALSE),"")</f>
        <v/>
      </c>
      <c r="C1579" s="8">
        <f>IFERROR(VLOOKUP($A1579,'01-原始价格'!$A:$M,8,FALSE),"")</f>
        <v/>
      </c>
      <c r="D1579" s="10">
        <f>IFERROR(B1579/C1579,"")</f>
        <v/>
      </c>
      <c r="E1579" s="10">
        <f>IFERROR(C1579/B1579,"")</f>
        <v/>
      </c>
      <c r="F1579" s="11">
        <f>IFERROR((D1579/D1578-1)*100,"")</f>
        <v/>
      </c>
      <c r="G1579" s="11">
        <f>IFERROR((COUNTIF($D$1328:$D$1579,"&lt;"&amp;D1579)+0.5*COUNTIF($D$1328:$D$1579,D1579))/COUNT($D$1328:$D$1579)*100,"")</f>
        <v/>
      </c>
      <c r="H1579" s="10">
        <f>IFERROR(AVERAGE($D$1328:$D$1579),"")</f>
        <v/>
      </c>
      <c r="I1579" s="10" t="n">
        <v>-0.1143812623737898</v>
      </c>
      <c r="J1579" t="inlineStr"/>
      <c r="K1579" t="inlineStr"/>
    </row>
    <row r="1580">
      <c r="A1580" s="7" t="inlineStr">
        <is>
          <t>2020-08-18</t>
        </is>
      </c>
      <c r="B1580" s="8">
        <f>IFERROR(VLOOKUP($A1580,'01-原始价格'!$A:$M,2,FALSE),"")</f>
        <v/>
      </c>
      <c r="C1580" s="8">
        <f>IFERROR(VLOOKUP($A1580,'01-原始价格'!$A:$M,8,FALSE),"")</f>
        <v/>
      </c>
      <c r="D1580" s="10">
        <f>IFERROR(B1580/C1580,"")</f>
        <v/>
      </c>
      <c r="E1580" s="10">
        <f>IFERROR(C1580/B1580,"")</f>
        <v/>
      </c>
      <c r="F1580" s="11">
        <f>IFERROR((D1580/D1579-1)*100,"")</f>
        <v/>
      </c>
      <c r="G1580" s="11">
        <f>IFERROR((COUNTIF($D$1329:$D$1580,"&lt;"&amp;D1580)+0.5*COUNTIF($D$1329:$D$1580,D1580))/COUNT($D$1329:$D$1580)*100,"")</f>
        <v/>
      </c>
      <c r="H1580" s="10">
        <f>IFERROR(AVERAGE($D$1329:$D$1580),"")</f>
        <v/>
      </c>
      <c r="I1580" s="10" t="n">
        <v>-0.08403911536558471</v>
      </c>
      <c r="J1580" t="inlineStr"/>
      <c r="K1580" t="inlineStr"/>
    </row>
    <row r="1581">
      <c r="A1581" s="7" t="inlineStr">
        <is>
          <t>2020-08-19</t>
        </is>
      </c>
      <c r="B1581" s="8">
        <f>IFERROR(VLOOKUP($A1581,'01-原始价格'!$A:$M,2,FALSE),"")</f>
        <v/>
      </c>
      <c r="C1581" s="8">
        <f>IFERROR(VLOOKUP($A1581,'01-原始价格'!$A:$M,8,FALSE),"")</f>
        <v/>
      </c>
      <c r="D1581" s="10">
        <f>IFERROR(B1581/C1581,"")</f>
        <v/>
      </c>
      <c r="E1581" s="10">
        <f>IFERROR(C1581/B1581,"")</f>
        <v/>
      </c>
      <c r="F1581" s="11">
        <f>IFERROR((D1581/D1580-1)*100,"")</f>
        <v/>
      </c>
      <c r="G1581" s="11">
        <f>IFERROR((COUNTIF($D$1330:$D$1581,"&lt;"&amp;D1581)+0.5*COUNTIF($D$1330:$D$1581,D1581))/COUNT($D$1330:$D$1581)*100,"")</f>
        <v/>
      </c>
      <c r="H1581" s="10">
        <f>IFERROR(AVERAGE($D$1330:$D$1581),"")</f>
        <v/>
      </c>
      <c r="I1581" s="10" t="n">
        <v>-0.1317495765615964</v>
      </c>
      <c r="J1581" t="inlineStr"/>
      <c r="K1581" s="12" t="inlineStr">
        <is>
          <t>是</t>
        </is>
      </c>
      <c r="L1581" t="inlineStr">
        <is>
          <t>换月日</t>
        </is>
      </c>
    </row>
    <row r="1582">
      <c r="A1582" s="7" t="inlineStr">
        <is>
          <t>2020-08-20</t>
        </is>
      </c>
      <c r="B1582" s="8">
        <f>IFERROR(VLOOKUP($A1582,'01-原始价格'!$A:$M,2,FALSE),"")</f>
        <v/>
      </c>
      <c r="C1582" s="8">
        <f>IFERROR(VLOOKUP($A1582,'01-原始价格'!$A:$M,8,FALSE),"")</f>
        <v/>
      </c>
      <c r="D1582" s="10">
        <f>IFERROR(B1582/C1582,"")</f>
        <v/>
      </c>
      <c r="E1582" s="10">
        <f>IFERROR(C1582/B1582,"")</f>
        <v/>
      </c>
      <c r="F1582" s="11">
        <f>IFERROR((D1582/D1581-1)*100,"")</f>
        <v/>
      </c>
      <c r="G1582" s="11">
        <f>IFERROR((COUNTIF($D$1331:$D$1582,"&lt;"&amp;D1582)+0.5*COUNTIF($D$1331:$D$1582,D1582))/COUNT($D$1331:$D$1582)*100,"")</f>
        <v/>
      </c>
      <c r="H1582" s="10">
        <f>IFERROR(AVERAGE($D$1331:$D$1582),"")</f>
        <v/>
      </c>
      <c r="I1582" s="10" t="n">
        <v>-0.5867341881335291</v>
      </c>
      <c r="J1582" t="inlineStr"/>
      <c r="K1582" s="12" t="inlineStr">
        <is>
          <t>是</t>
        </is>
      </c>
      <c r="L1582" t="inlineStr">
        <is>
          <t>换月日</t>
        </is>
      </c>
    </row>
    <row r="1583">
      <c r="A1583" s="7" t="inlineStr">
        <is>
          <t>2020-08-21</t>
        </is>
      </c>
      <c r="B1583" s="8">
        <f>IFERROR(VLOOKUP($A1583,'01-原始价格'!$A:$M,2,FALSE),"")</f>
        <v/>
      </c>
      <c r="C1583" s="8">
        <f>IFERROR(VLOOKUP($A1583,'01-原始价格'!$A:$M,8,FALSE),"")</f>
        <v/>
      </c>
      <c r="D1583" s="10">
        <f>IFERROR(B1583/C1583,"")</f>
        <v/>
      </c>
      <c r="E1583" s="10">
        <f>IFERROR(C1583/B1583,"")</f>
        <v/>
      </c>
      <c r="F1583" s="11">
        <f>IFERROR((D1583/D1582-1)*100,"")</f>
        <v/>
      </c>
      <c r="G1583" s="11">
        <f>IFERROR((COUNTIF($D$1332:$D$1583,"&lt;"&amp;D1583)+0.5*COUNTIF($D$1332:$D$1583,D1583))/COUNT($D$1332:$D$1583)*100,"")</f>
        <v/>
      </c>
      <c r="H1583" s="10">
        <f>IFERROR(AVERAGE($D$1332:$D$1583),"")</f>
        <v/>
      </c>
      <c r="I1583" s="10" t="n">
        <v>-0.6295641828534163</v>
      </c>
      <c r="J1583" t="inlineStr"/>
      <c r="K1583" t="inlineStr"/>
    </row>
    <row r="1584">
      <c r="A1584" s="7" t="inlineStr">
        <is>
          <t>2020-08-24</t>
        </is>
      </c>
      <c r="B1584" s="8">
        <f>IFERROR(VLOOKUP($A1584,'01-原始价格'!$A:$M,2,FALSE),"")</f>
        <v/>
      </c>
      <c r="C1584" s="8">
        <f>IFERROR(VLOOKUP($A1584,'01-原始价格'!$A:$M,8,FALSE),"")</f>
        <v/>
      </c>
      <c r="D1584" s="10">
        <f>IFERROR(B1584/C1584,"")</f>
        <v/>
      </c>
      <c r="E1584" s="10">
        <f>IFERROR(C1584/B1584,"")</f>
        <v/>
      </c>
      <c r="F1584" s="11">
        <f>IFERROR((D1584/D1583-1)*100,"")</f>
        <v/>
      </c>
      <c r="G1584" s="11">
        <f>IFERROR((COUNTIF($D$1333:$D$1584,"&lt;"&amp;D1584)+0.5*COUNTIF($D$1333:$D$1584,D1584))/COUNT($D$1333:$D$1584)*100,"")</f>
        <v/>
      </c>
      <c r="H1584" s="10">
        <f>IFERROR(AVERAGE($D$1333:$D$1584),"")</f>
        <v/>
      </c>
      <c r="I1584" s="10" t="n">
        <v>-0.3843070115587318</v>
      </c>
      <c r="J1584" t="inlineStr"/>
      <c r="K1584" t="inlineStr"/>
    </row>
    <row r="1585">
      <c r="A1585" s="7" t="inlineStr">
        <is>
          <t>2020-08-25</t>
        </is>
      </c>
      <c r="B1585" s="8">
        <f>IFERROR(VLOOKUP($A1585,'01-原始价格'!$A:$M,2,FALSE),"")</f>
        <v/>
      </c>
      <c r="C1585" s="8">
        <f>IFERROR(VLOOKUP($A1585,'01-原始价格'!$A:$M,8,FALSE),"")</f>
        <v/>
      </c>
      <c r="D1585" s="10">
        <f>IFERROR(B1585/C1585,"")</f>
        <v/>
      </c>
      <c r="E1585" s="10">
        <f>IFERROR(C1585/B1585,"")</f>
        <v/>
      </c>
      <c r="F1585" s="11">
        <f>IFERROR((D1585/D1584-1)*100,"")</f>
        <v/>
      </c>
      <c r="G1585" s="11">
        <f>IFERROR((COUNTIF($D$1334:$D$1585,"&lt;"&amp;D1585)+0.5*COUNTIF($D$1334:$D$1585,D1585))/COUNT($D$1334:$D$1585)*100,"")</f>
        <v/>
      </c>
      <c r="H1585" s="10">
        <f>IFERROR(AVERAGE($D$1334:$D$1585),"")</f>
        <v/>
      </c>
      <c r="I1585" s="10" t="n">
        <v>-0.4498554275271032</v>
      </c>
      <c r="J1585" t="inlineStr"/>
      <c r="K1585" t="inlineStr"/>
    </row>
    <row r="1586">
      <c r="A1586" s="7" t="inlineStr">
        <is>
          <t>2020-08-26</t>
        </is>
      </c>
      <c r="B1586" s="8">
        <f>IFERROR(VLOOKUP($A1586,'01-原始价格'!$A:$M,2,FALSE),"")</f>
        <v/>
      </c>
      <c r="C1586" s="8">
        <f>IFERROR(VLOOKUP($A1586,'01-原始价格'!$A:$M,8,FALSE),"")</f>
        <v/>
      </c>
      <c r="D1586" s="10">
        <f>IFERROR(B1586/C1586,"")</f>
        <v/>
      </c>
      <c r="E1586" s="10">
        <f>IFERROR(C1586/B1586,"")</f>
        <v/>
      </c>
      <c r="F1586" s="11">
        <f>IFERROR((D1586/D1585-1)*100,"")</f>
        <v/>
      </c>
      <c r="G1586" s="11">
        <f>IFERROR((COUNTIF($D$1335:$D$1586,"&lt;"&amp;D1586)+0.5*COUNTIF($D$1335:$D$1586,D1586))/COUNT($D$1335:$D$1586)*100,"")</f>
        <v/>
      </c>
      <c r="H1586" s="10">
        <f>IFERROR(AVERAGE($D$1335:$D$1586),"")</f>
        <v/>
      </c>
      <c r="I1586" s="10" t="n">
        <v>-0.4989226327375357</v>
      </c>
      <c r="J1586" t="inlineStr"/>
      <c r="K1586" t="inlineStr"/>
    </row>
    <row r="1587">
      <c r="A1587" s="7" t="inlineStr">
        <is>
          <t>2020-08-27</t>
        </is>
      </c>
      <c r="B1587" s="8">
        <f>IFERROR(VLOOKUP($A1587,'01-原始价格'!$A:$M,2,FALSE),"")</f>
        <v/>
      </c>
      <c r="C1587" s="8">
        <f>IFERROR(VLOOKUP($A1587,'01-原始价格'!$A:$M,8,FALSE),"")</f>
        <v/>
      </c>
      <c r="D1587" s="10">
        <f>IFERROR(B1587/C1587,"")</f>
        <v/>
      </c>
      <c r="E1587" s="10">
        <f>IFERROR(C1587/B1587,"")</f>
        <v/>
      </c>
      <c r="F1587" s="11">
        <f>IFERROR((D1587/D1586-1)*100,"")</f>
        <v/>
      </c>
      <c r="G1587" s="11">
        <f>IFERROR((COUNTIF($D$1336:$D$1587,"&lt;"&amp;D1587)+0.5*COUNTIF($D$1336:$D$1587,D1587))/COUNT($D$1336:$D$1587)*100,"")</f>
        <v/>
      </c>
      <c r="H1587" s="10">
        <f>IFERROR(AVERAGE($D$1336:$D$1587),"")</f>
        <v/>
      </c>
      <c r="I1587" s="10" t="n">
        <v>-0.7242393782313924</v>
      </c>
      <c r="J1587" t="inlineStr"/>
      <c r="K1587" t="inlineStr"/>
    </row>
    <row r="1588">
      <c r="A1588" s="7" t="inlineStr">
        <is>
          <t>2020-08-28</t>
        </is>
      </c>
      <c r="B1588" s="8">
        <f>IFERROR(VLOOKUP($A1588,'01-原始价格'!$A:$M,2,FALSE),"")</f>
        <v/>
      </c>
      <c r="C1588" s="8">
        <f>IFERROR(VLOOKUP($A1588,'01-原始价格'!$A:$M,8,FALSE),"")</f>
        <v/>
      </c>
      <c r="D1588" s="10">
        <f>IFERROR(B1588/C1588,"")</f>
        <v/>
      </c>
      <c r="E1588" s="10">
        <f>IFERROR(C1588/B1588,"")</f>
        <v/>
      </c>
      <c r="F1588" s="11">
        <f>IFERROR((D1588/D1587-1)*100,"")</f>
        <v/>
      </c>
      <c r="G1588" s="11">
        <f>IFERROR((COUNTIF($D$1337:$D$1588,"&lt;"&amp;D1588)+0.5*COUNTIF($D$1337:$D$1588,D1588))/COUNT($D$1337:$D$1588)*100,"")</f>
        <v/>
      </c>
      <c r="H1588" s="10">
        <f>IFERROR(AVERAGE($D$1337:$D$1588),"")</f>
        <v/>
      </c>
      <c r="I1588" s="10" t="n">
        <v>-0.6035521645046483</v>
      </c>
      <c r="J1588" t="inlineStr"/>
      <c r="K1588" t="inlineStr"/>
    </row>
    <row r="1589">
      <c r="A1589" s="7" t="inlineStr">
        <is>
          <t>2020-08-31</t>
        </is>
      </c>
      <c r="B1589" s="8">
        <f>IFERROR(VLOOKUP($A1589,'01-原始价格'!$A:$M,2,FALSE),"")</f>
        <v/>
      </c>
      <c r="C1589" s="8">
        <f>IFERROR(VLOOKUP($A1589,'01-原始价格'!$A:$M,8,FALSE),"")</f>
        <v/>
      </c>
      <c r="D1589" s="10">
        <f>IFERROR(B1589/C1589,"")</f>
        <v/>
      </c>
      <c r="E1589" s="10">
        <f>IFERROR(C1589/B1589,"")</f>
        <v/>
      </c>
      <c r="F1589" s="11">
        <f>IFERROR((D1589/D1588-1)*100,"")</f>
        <v/>
      </c>
      <c r="G1589" s="11">
        <f>IFERROR((COUNTIF($D$1338:$D$1589,"&lt;"&amp;D1589)+0.5*COUNTIF($D$1338:$D$1589,D1589))/COUNT($D$1338:$D$1589)*100,"")</f>
        <v/>
      </c>
      <c r="H1589" s="10">
        <f>IFERROR(AVERAGE($D$1338:$D$1589),"")</f>
        <v/>
      </c>
      <c r="I1589" s="10" t="n">
        <v>-0.6937700025271293</v>
      </c>
      <c r="J1589" t="inlineStr"/>
      <c r="K1589" t="inlineStr"/>
    </row>
    <row r="1590">
      <c r="A1590" s="7" t="inlineStr">
        <is>
          <t>2020-09-01</t>
        </is>
      </c>
      <c r="B1590" s="8">
        <f>IFERROR(VLOOKUP($A1590,'01-原始价格'!$A:$M,2,FALSE),"")</f>
        <v/>
      </c>
      <c r="C1590" s="8">
        <f>IFERROR(VLOOKUP($A1590,'01-原始价格'!$A:$M,8,FALSE),"")</f>
        <v/>
      </c>
      <c r="D1590" s="10">
        <f>IFERROR(B1590/C1590,"")</f>
        <v/>
      </c>
      <c r="E1590" s="10">
        <f>IFERROR(C1590/B1590,"")</f>
        <v/>
      </c>
      <c r="F1590" s="11">
        <f>IFERROR((D1590/D1589-1)*100,"")</f>
        <v/>
      </c>
      <c r="G1590" s="11">
        <f>IFERROR((COUNTIF($D$1339:$D$1590,"&lt;"&amp;D1590)+0.5*COUNTIF($D$1339:$D$1590,D1590))/COUNT($D$1339:$D$1590)*100,"")</f>
        <v/>
      </c>
      <c r="H1590" s="10">
        <f>IFERROR(AVERAGE($D$1339:$D$1590),"")</f>
        <v/>
      </c>
      <c r="I1590" s="10" t="n">
        <v>-0.7890714276602041</v>
      </c>
      <c r="J1590" t="inlineStr"/>
      <c r="K1590" t="inlineStr"/>
    </row>
    <row r="1591">
      <c r="A1591" s="7" t="inlineStr">
        <is>
          <t>2020-09-02</t>
        </is>
      </c>
      <c r="B1591" s="8">
        <f>IFERROR(VLOOKUP($A1591,'01-原始价格'!$A:$M,2,FALSE),"")</f>
        <v/>
      </c>
      <c r="C1591" s="8">
        <f>IFERROR(VLOOKUP($A1591,'01-原始价格'!$A:$M,8,FALSE),"")</f>
        <v/>
      </c>
      <c r="D1591" s="10">
        <f>IFERROR(B1591/C1591,"")</f>
        <v/>
      </c>
      <c r="E1591" s="10">
        <f>IFERROR(C1591/B1591,"")</f>
        <v/>
      </c>
      <c r="F1591" s="11">
        <f>IFERROR((D1591/D1590-1)*100,"")</f>
        <v/>
      </c>
      <c r="G1591" s="11">
        <f>IFERROR((COUNTIF($D$1340:$D$1591,"&lt;"&amp;D1591)+0.5*COUNTIF($D$1340:$D$1591,D1591))/COUNT($D$1340:$D$1591)*100,"")</f>
        <v/>
      </c>
      <c r="H1591" s="10">
        <f>IFERROR(AVERAGE($D$1340:$D$1591),"")</f>
        <v/>
      </c>
      <c r="I1591" s="10" t="n">
        <v>-0.9999773945061045</v>
      </c>
      <c r="J1591" t="inlineStr"/>
      <c r="K1591" t="inlineStr"/>
    </row>
    <row r="1592">
      <c r="A1592" s="7" t="inlineStr">
        <is>
          <t>2020-09-03</t>
        </is>
      </c>
      <c r="B1592" s="8">
        <f>IFERROR(VLOOKUP($A1592,'01-原始价格'!$A:$M,2,FALSE),"")</f>
        <v/>
      </c>
      <c r="C1592" s="8">
        <f>IFERROR(VLOOKUP($A1592,'01-原始价格'!$A:$M,8,FALSE),"")</f>
        <v/>
      </c>
      <c r="D1592" s="10">
        <f>IFERROR(B1592/C1592,"")</f>
        <v/>
      </c>
      <c r="E1592" s="10">
        <f>IFERROR(C1592/B1592,"")</f>
        <v/>
      </c>
      <c r="F1592" s="11">
        <f>IFERROR((D1592/D1591-1)*100,"")</f>
        <v/>
      </c>
      <c r="G1592" s="11">
        <f>IFERROR((COUNTIF($D$1341:$D$1592,"&lt;"&amp;D1592)+0.5*COUNTIF($D$1341:$D$1592,D1592))/COUNT($D$1341:$D$1592)*100,"")</f>
        <v/>
      </c>
      <c r="H1592" s="10">
        <f>IFERROR(AVERAGE($D$1341:$D$1592),"")</f>
        <v/>
      </c>
      <c r="I1592" s="10" t="n">
        <v>-1.081728593650664</v>
      </c>
      <c r="J1592" t="inlineStr"/>
      <c r="K1592" t="inlineStr"/>
    </row>
    <row r="1593">
      <c r="A1593" s="7" t="inlineStr">
        <is>
          <t>2020-09-04</t>
        </is>
      </c>
      <c r="B1593" s="8">
        <f>IFERROR(VLOOKUP($A1593,'01-原始价格'!$A:$M,2,FALSE),"")</f>
        <v/>
      </c>
      <c r="C1593" s="8">
        <f>IFERROR(VLOOKUP($A1593,'01-原始价格'!$A:$M,8,FALSE),"")</f>
        <v/>
      </c>
      <c r="D1593" s="10">
        <f>IFERROR(B1593/C1593,"")</f>
        <v/>
      </c>
      <c r="E1593" s="10">
        <f>IFERROR(C1593/B1593,"")</f>
        <v/>
      </c>
      <c r="F1593" s="11">
        <f>IFERROR((D1593/D1592-1)*100,"")</f>
        <v/>
      </c>
      <c r="G1593" s="11">
        <f>IFERROR((COUNTIF($D$1342:$D$1593,"&lt;"&amp;D1593)+0.5*COUNTIF($D$1342:$D$1593,D1593))/COUNT($D$1342:$D$1593)*100,"")</f>
        <v/>
      </c>
      <c r="H1593" s="10">
        <f>IFERROR(AVERAGE($D$1342:$D$1593),"")</f>
        <v/>
      </c>
      <c r="I1593" s="10" t="n">
        <v>-1.454407548612359</v>
      </c>
      <c r="J1593" t="inlineStr"/>
      <c r="K1593" t="inlineStr"/>
    </row>
    <row r="1594">
      <c r="A1594" s="7" t="inlineStr">
        <is>
          <t>2020-09-07</t>
        </is>
      </c>
      <c r="B1594" s="8">
        <f>IFERROR(VLOOKUP($A1594,'01-原始价格'!$A:$M,2,FALSE),"")</f>
        <v/>
      </c>
      <c r="C1594" s="8">
        <f>IFERROR(VLOOKUP($A1594,'01-原始价格'!$A:$M,8,FALSE),"")</f>
        <v/>
      </c>
      <c r="D1594" s="10">
        <f>IFERROR(B1594/C1594,"")</f>
        <v/>
      </c>
      <c r="E1594" s="10">
        <f>IFERROR(C1594/B1594,"")</f>
        <v/>
      </c>
      <c r="F1594" s="11">
        <f>IFERROR((D1594/D1593-1)*100,"")</f>
        <v/>
      </c>
      <c r="G1594" s="11">
        <f>IFERROR((COUNTIF($D$1343:$D$1594,"&lt;"&amp;D1594)+0.5*COUNTIF($D$1343:$D$1594,D1594))/COUNT($D$1343:$D$1594)*100,"")</f>
        <v/>
      </c>
      <c r="H1594" s="10">
        <f>IFERROR(AVERAGE($D$1343:$D$1594),"")</f>
        <v/>
      </c>
      <c r="I1594" s="10" t="n">
        <v>-1.554971214610501</v>
      </c>
      <c r="J1594" t="inlineStr"/>
      <c r="K1594" t="inlineStr"/>
    </row>
    <row r="1595">
      <c r="A1595" s="7" t="inlineStr">
        <is>
          <t>2020-09-08</t>
        </is>
      </c>
      <c r="B1595" s="8">
        <f>IFERROR(VLOOKUP($A1595,'01-原始价格'!$A:$M,2,FALSE),"")</f>
        <v/>
      </c>
      <c r="C1595" s="8">
        <f>IFERROR(VLOOKUP($A1595,'01-原始价格'!$A:$M,8,FALSE),"")</f>
        <v/>
      </c>
      <c r="D1595" s="10">
        <f>IFERROR(B1595/C1595,"")</f>
        <v/>
      </c>
      <c r="E1595" s="10">
        <f>IFERROR(C1595/B1595,"")</f>
        <v/>
      </c>
      <c r="F1595" s="11">
        <f>IFERROR((D1595/D1594-1)*100,"")</f>
        <v/>
      </c>
      <c r="G1595" s="11">
        <f>IFERROR((COUNTIF($D$1344:$D$1595,"&lt;"&amp;D1595)+0.5*COUNTIF($D$1344:$D$1595,D1595))/COUNT($D$1344:$D$1595)*100,"")</f>
        <v/>
      </c>
      <c r="H1595" s="10">
        <f>IFERROR(AVERAGE($D$1344:$D$1595),"")</f>
        <v/>
      </c>
      <c r="I1595" s="10" t="n">
        <v>-1.559926080943151</v>
      </c>
      <c r="J1595" t="inlineStr"/>
      <c r="K1595" t="inlineStr"/>
    </row>
    <row r="1596">
      <c r="A1596" s="7" t="inlineStr">
        <is>
          <t>2020-09-09</t>
        </is>
      </c>
      <c r="B1596" s="8">
        <f>IFERROR(VLOOKUP($A1596,'01-原始价格'!$A:$M,2,FALSE),"")</f>
        <v/>
      </c>
      <c r="C1596" s="8">
        <f>IFERROR(VLOOKUP($A1596,'01-原始价格'!$A:$M,8,FALSE),"")</f>
        <v/>
      </c>
      <c r="D1596" s="10">
        <f>IFERROR(B1596/C1596,"")</f>
        <v/>
      </c>
      <c r="E1596" s="10">
        <f>IFERROR(C1596/B1596,"")</f>
        <v/>
      </c>
      <c r="F1596" s="11">
        <f>IFERROR((D1596/D1595-1)*100,"")</f>
        <v/>
      </c>
      <c r="G1596" s="11">
        <f>IFERROR((COUNTIF($D$1345:$D$1596,"&lt;"&amp;D1596)+0.5*COUNTIF($D$1345:$D$1596,D1596))/COUNT($D$1345:$D$1596)*100,"")</f>
        <v/>
      </c>
      <c r="H1596" s="10">
        <f>IFERROR(AVERAGE($D$1345:$D$1596),"")</f>
        <v/>
      </c>
      <c r="I1596" s="10" t="n">
        <v>-1.721426658939183</v>
      </c>
      <c r="J1596" t="inlineStr"/>
      <c r="K1596" t="inlineStr"/>
    </row>
    <row r="1597">
      <c r="A1597" s="7" t="inlineStr">
        <is>
          <t>2020-09-10</t>
        </is>
      </c>
      <c r="B1597" s="8">
        <f>IFERROR(VLOOKUP($A1597,'01-原始价格'!$A:$M,2,FALSE),"")</f>
        <v/>
      </c>
      <c r="C1597" s="8">
        <f>IFERROR(VLOOKUP($A1597,'01-原始价格'!$A:$M,8,FALSE),"")</f>
        <v/>
      </c>
      <c r="D1597" s="10">
        <f>IFERROR(B1597/C1597,"")</f>
        <v/>
      </c>
      <c r="E1597" s="10">
        <f>IFERROR(C1597/B1597,"")</f>
        <v/>
      </c>
      <c r="F1597" s="11">
        <f>IFERROR((D1597/D1596-1)*100,"")</f>
        <v/>
      </c>
      <c r="G1597" s="11">
        <f>IFERROR((COUNTIF($D$1346:$D$1597,"&lt;"&amp;D1597)+0.5*COUNTIF($D$1346:$D$1597,D1597))/COUNT($D$1346:$D$1597)*100,"")</f>
        <v/>
      </c>
      <c r="H1597" s="10">
        <f>IFERROR(AVERAGE($D$1346:$D$1597),"")</f>
        <v/>
      </c>
      <c r="I1597" s="10" t="n">
        <v>-1.53139245105576</v>
      </c>
      <c r="J1597" t="inlineStr"/>
      <c r="K1597" t="inlineStr"/>
    </row>
    <row r="1598">
      <c r="A1598" s="7" t="inlineStr">
        <is>
          <t>2020-09-11</t>
        </is>
      </c>
      <c r="B1598" s="8">
        <f>IFERROR(VLOOKUP($A1598,'01-原始价格'!$A:$M,2,FALSE),"")</f>
        <v/>
      </c>
      <c r="C1598" s="8">
        <f>IFERROR(VLOOKUP($A1598,'01-原始价格'!$A:$M,8,FALSE),"")</f>
        <v/>
      </c>
      <c r="D1598" s="10">
        <f>IFERROR(B1598/C1598,"")</f>
        <v/>
      </c>
      <c r="E1598" s="10">
        <f>IFERROR(C1598/B1598,"")</f>
        <v/>
      </c>
      <c r="F1598" s="11">
        <f>IFERROR((D1598/D1597-1)*100,"")</f>
        <v/>
      </c>
      <c r="G1598" s="11">
        <f>IFERROR((COUNTIF($D$1347:$D$1598,"&lt;"&amp;D1598)+0.5*COUNTIF($D$1347:$D$1598,D1598))/COUNT($D$1347:$D$1598)*100,"")</f>
        <v/>
      </c>
      <c r="H1598" s="10">
        <f>IFERROR(AVERAGE($D$1347:$D$1598),"")</f>
        <v/>
      </c>
      <c r="I1598" s="10" t="n">
        <v>-1.421546450911032</v>
      </c>
      <c r="J1598" t="inlineStr"/>
      <c r="K1598" t="inlineStr"/>
    </row>
    <row r="1599">
      <c r="A1599" s="7" t="inlineStr">
        <is>
          <t>2020-09-14</t>
        </is>
      </c>
      <c r="B1599" s="8">
        <f>IFERROR(VLOOKUP($A1599,'01-原始价格'!$A:$M,2,FALSE),"")</f>
        <v/>
      </c>
      <c r="C1599" s="8">
        <f>IFERROR(VLOOKUP($A1599,'01-原始价格'!$A:$M,8,FALSE),"")</f>
        <v/>
      </c>
      <c r="D1599" s="10">
        <f>IFERROR(B1599/C1599,"")</f>
        <v/>
      </c>
      <c r="E1599" s="10">
        <f>IFERROR(C1599/B1599,"")</f>
        <v/>
      </c>
      <c r="F1599" s="11">
        <f>IFERROR((D1599/D1598-1)*100,"")</f>
        <v/>
      </c>
      <c r="G1599" s="11">
        <f>IFERROR((COUNTIF($D$1348:$D$1599,"&lt;"&amp;D1599)+0.5*COUNTIF($D$1348:$D$1599,D1599))/COUNT($D$1348:$D$1599)*100,"")</f>
        <v/>
      </c>
      <c r="H1599" s="10">
        <f>IFERROR(AVERAGE($D$1348:$D$1599),"")</f>
        <v/>
      </c>
      <c r="I1599" s="10" t="n">
        <v>-1.50163168386761</v>
      </c>
      <c r="J1599" t="inlineStr"/>
      <c r="K1599" t="inlineStr"/>
    </row>
    <row r="1600">
      <c r="A1600" s="7" t="inlineStr">
        <is>
          <t>2020-09-15</t>
        </is>
      </c>
      <c r="B1600" s="8">
        <f>IFERROR(VLOOKUP($A1600,'01-原始价格'!$A:$M,2,FALSE),"")</f>
        <v/>
      </c>
      <c r="C1600" s="8">
        <f>IFERROR(VLOOKUP($A1600,'01-原始价格'!$A:$M,8,FALSE),"")</f>
        <v/>
      </c>
      <c r="D1600" s="10">
        <f>IFERROR(B1600/C1600,"")</f>
        <v/>
      </c>
      <c r="E1600" s="10">
        <f>IFERROR(C1600/B1600,"")</f>
        <v/>
      </c>
      <c r="F1600" s="11">
        <f>IFERROR((D1600/D1599-1)*100,"")</f>
        <v/>
      </c>
      <c r="G1600" s="11">
        <f>IFERROR((COUNTIF($D$1349:$D$1600,"&lt;"&amp;D1600)+0.5*COUNTIF($D$1349:$D$1600,D1600))/COUNT($D$1349:$D$1600)*100,"")</f>
        <v/>
      </c>
      <c r="H1600" s="10">
        <f>IFERROR(AVERAGE($D$1349:$D$1600),"")</f>
        <v/>
      </c>
      <c r="I1600" s="10" t="n">
        <v>-1.429810037538305</v>
      </c>
      <c r="J1600" t="inlineStr"/>
      <c r="K1600" t="inlineStr"/>
    </row>
    <row r="1601">
      <c r="A1601" s="7" t="inlineStr">
        <is>
          <t>2020-09-16</t>
        </is>
      </c>
      <c r="B1601" s="8">
        <f>IFERROR(VLOOKUP($A1601,'01-原始价格'!$A:$M,2,FALSE),"")</f>
        <v/>
      </c>
      <c r="C1601" s="8">
        <f>IFERROR(VLOOKUP($A1601,'01-原始价格'!$A:$M,8,FALSE),"")</f>
        <v/>
      </c>
      <c r="D1601" s="10">
        <f>IFERROR(B1601/C1601,"")</f>
        <v/>
      </c>
      <c r="E1601" s="10">
        <f>IFERROR(C1601/B1601,"")</f>
        <v/>
      </c>
      <c r="F1601" s="11">
        <f>IFERROR((D1601/D1600-1)*100,"")</f>
        <v/>
      </c>
      <c r="G1601" s="11">
        <f>IFERROR((COUNTIF($D$1350:$D$1601,"&lt;"&amp;D1601)+0.5*COUNTIF($D$1350:$D$1601,D1601))/COUNT($D$1350:$D$1601)*100,"")</f>
        <v/>
      </c>
      <c r="H1601" s="10">
        <f>IFERROR(AVERAGE($D$1350:$D$1601),"")</f>
        <v/>
      </c>
      <c r="I1601" s="10" t="n">
        <v>-1.265722158858129</v>
      </c>
      <c r="J1601" t="inlineStr"/>
      <c r="K1601" t="inlineStr"/>
    </row>
    <row r="1602">
      <c r="A1602" s="7" t="inlineStr">
        <is>
          <t>2020-09-17</t>
        </is>
      </c>
      <c r="B1602" s="8">
        <f>IFERROR(VLOOKUP($A1602,'01-原始价格'!$A:$M,2,FALSE),"")</f>
        <v/>
      </c>
      <c r="C1602" s="8">
        <f>IFERROR(VLOOKUP($A1602,'01-原始价格'!$A:$M,8,FALSE),"")</f>
        <v/>
      </c>
      <c r="D1602" s="10">
        <f>IFERROR(B1602/C1602,"")</f>
        <v/>
      </c>
      <c r="E1602" s="10">
        <f>IFERROR(C1602/B1602,"")</f>
        <v/>
      </c>
      <c r="F1602" s="11">
        <f>IFERROR((D1602/D1601-1)*100,"")</f>
        <v/>
      </c>
      <c r="G1602" s="11">
        <f>IFERROR((COUNTIF($D$1351:$D$1602,"&lt;"&amp;D1602)+0.5*COUNTIF($D$1351:$D$1602,D1602))/COUNT($D$1351:$D$1602)*100,"")</f>
        <v/>
      </c>
      <c r="H1602" s="10">
        <f>IFERROR(AVERAGE($D$1351:$D$1602),"")</f>
        <v/>
      </c>
      <c r="I1602" s="10" t="n">
        <v>-1.178721507714</v>
      </c>
      <c r="J1602" t="inlineStr"/>
      <c r="K1602" t="inlineStr"/>
    </row>
    <row r="1603">
      <c r="A1603" s="7" t="inlineStr">
        <is>
          <t>2020-09-18</t>
        </is>
      </c>
      <c r="B1603" s="8">
        <f>IFERROR(VLOOKUP($A1603,'01-原始价格'!$A:$M,2,FALSE),"")</f>
        <v/>
      </c>
      <c r="C1603" s="8">
        <f>IFERROR(VLOOKUP($A1603,'01-原始价格'!$A:$M,8,FALSE),"")</f>
        <v/>
      </c>
      <c r="D1603" s="10">
        <f>IFERROR(B1603/C1603,"")</f>
        <v/>
      </c>
      <c r="E1603" s="10">
        <f>IFERROR(C1603/B1603,"")</f>
        <v/>
      </c>
      <c r="F1603" s="11">
        <f>IFERROR((D1603/D1602-1)*100,"")</f>
        <v/>
      </c>
      <c r="G1603" s="11">
        <f>IFERROR((COUNTIF($D$1352:$D$1603,"&lt;"&amp;D1603)+0.5*COUNTIF($D$1352:$D$1603,D1603))/COUNT($D$1352:$D$1603)*100,"")</f>
        <v/>
      </c>
      <c r="H1603" s="10">
        <f>IFERROR(AVERAGE($D$1352:$D$1603),"")</f>
        <v/>
      </c>
      <c r="I1603" s="10" t="n">
        <v>-1.163649652762073</v>
      </c>
      <c r="J1603" t="inlineStr"/>
      <c r="K1603" t="inlineStr"/>
    </row>
    <row r="1604">
      <c r="A1604" s="7" t="inlineStr">
        <is>
          <t>2020-09-21</t>
        </is>
      </c>
      <c r="B1604" s="8">
        <f>IFERROR(VLOOKUP($A1604,'01-原始价格'!$A:$M,2,FALSE),"")</f>
        <v/>
      </c>
      <c r="C1604" s="8">
        <f>IFERROR(VLOOKUP($A1604,'01-原始价格'!$A:$M,8,FALSE),"")</f>
        <v/>
      </c>
      <c r="D1604" s="10">
        <f>IFERROR(B1604/C1604,"")</f>
        <v/>
      </c>
      <c r="E1604" s="10">
        <f>IFERROR(C1604/B1604,"")</f>
        <v/>
      </c>
      <c r="F1604" s="11">
        <f>IFERROR((D1604/D1603-1)*100,"")</f>
        <v/>
      </c>
      <c r="G1604" s="11">
        <f>IFERROR((COUNTIF($D$1353:$D$1604,"&lt;"&amp;D1604)+0.5*COUNTIF($D$1353:$D$1604,D1604))/COUNT($D$1353:$D$1604)*100,"")</f>
        <v/>
      </c>
      <c r="H1604" s="10">
        <f>IFERROR(AVERAGE($D$1353:$D$1604),"")</f>
        <v/>
      </c>
      <c r="I1604" s="10" t="n">
        <v>-1.100843925753312</v>
      </c>
      <c r="J1604" t="inlineStr"/>
      <c r="K1604" t="inlineStr"/>
    </row>
    <row r="1605">
      <c r="A1605" s="7" t="inlineStr">
        <is>
          <t>2020-09-22</t>
        </is>
      </c>
      <c r="B1605" s="8">
        <f>IFERROR(VLOOKUP($A1605,'01-原始价格'!$A:$M,2,FALSE),"")</f>
        <v/>
      </c>
      <c r="C1605" s="8">
        <f>IFERROR(VLOOKUP($A1605,'01-原始价格'!$A:$M,8,FALSE),"")</f>
        <v/>
      </c>
      <c r="D1605" s="10">
        <f>IFERROR(B1605/C1605,"")</f>
        <v/>
      </c>
      <c r="E1605" s="10">
        <f>IFERROR(C1605/B1605,"")</f>
        <v/>
      </c>
      <c r="F1605" s="11">
        <f>IFERROR((D1605/D1604-1)*100,"")</f>
        <v/>
      </c>
      <c r="G1605" s="11">
        <f>IFERROR((COUNTIF($D$1354:$D$1605,"&lt;"&amp;D1605)+0.5*COUNTIF($D$1354:$D$1605,D1605))/COUNT($D$1354:$D$1605)*100,"")</f>
        <v/>
      </c>
      <c r="H1605" s="10">
        <f>IFERROR(AVERAGE($D$1354:$D$1605),"")</f>
        <v/>
      </c>
      <c r="I1605" s="10" t="n">
        <v>-0.9111912568008222</v>
      </c>
      <c r="J1605" t="inlineStr"/>
      <c r="K1605" t="inlineStr"/>
    </row>
    <row r="1606">
      <c r="A1606" s="7" t="inlineStr">
        <is>
          <t>2020-09-23</t>
        </is>
      </c>
      <c r="B1606" s="8">
        <f>IFERROR(VLOOKUP($A1606,'01-原始价格'!$A:$M,2,FALSE),"")</f>
        <v/>
      </c>
      <c r="C1606" s="8">
        <f>IFERROR(VLOOKUP($A1606,'01-原始价格'!$A:$M,8,FALSE),"")</f>
        <v/>
      </c>
      <c r="D1606" s="10">
        <f>IFERROR(B1606/C1606,"")</f>
        <v/>
      </c>
      <c r="E1606" s="10">
        <f>IFERROR(C1606/B1606,"")</f>
        <v/>
      </c>
      <c r="F1606" s="11">
        <f>IFERROR((D1606/D1605-1)*100,"")</f>
        <v/>
      </c>
      <c r="G1606" s="11">
        <f>IFERROR((COUNTIF($D$1355:$D$1606,"&lt;"&amp;D1606)+0.5*COUNTIF($D$1355:$D$1606,D1606))/COUNT($D$1355:$D$1606)*100,"")</f>
        <v/>
      </c>
      <c r="H1606" s="10">
        <f>IFERROR(AVERAGE($D$1355:$D$1606),"")</f>
        <v/>
      </c>
      <c r="I1606" s="10" t="n">
        <v>-0.8328123722185776</v>
      </c>
      <c r="J1606" t="inlineStr"/>
      <c r="K1606" t="inlineStr"/>
    </row>
    <row r="1607">
      <c r="A1607" s="7" t="inlineStr">
        <is>
          <t>2020-09-24</t>
        </is>
      </c>
      <c r="B1607" s="8">
        <f>IFERROR(VLOOKUP($A1607,'01-原始价格'!$A:$M,2,FALSE),"")</f>
        <v/>
      </c>
      <c r="C1607" s="8">
        <f>IFERROR(VLOOKUP($A1607,'01-原始价格'!$A:$M,8,FALSE),"")</f>
        <v/>
      </c>
      <c r="D1607" s="10">
        <f>IFERROR(B1607/C1607,"")</f>
        <v/>
      </c>
      <c r="E1607" s="10">
        <f>IFERROR(C1607/B1607,"")</f>
        <v/>
      </c>
      <c r="F1607" s="11">
        <f>IFERROR((D1607/D1606-1)*100,"")</f>
        <v/>
      </c>
      <c r="G1607" s="11">
        <f>IFERROR((COUNTIF($D$1356:$D$1607,"&lt;"&amp;D1607)+0.5*COUNTIF($D$1356:$D$1607,D1607))/COUNT($D$1356:$D$1607)*100,"")</f>
        <v/>
      </c>
      <c r="H1607" s="10">
        <f>IFERROR(AVERAGE($D$1356:$D$1607),"")</f>
        <v/>
      </c>
      <c r="I1607" s="10" t="n">
        <v>-0.6714110565606695</v>
      </c>
      <c r="J1607" t="inlineStr"/>
      <c r="K1607" t="inlineStr"/>
    </row>
    <row r="1608">
      <c r="A1608" s="7" t="inlineStr">
        <is>
          <t>2020-09-25</t>
        </is>
      </c>
      <c r="B1608" s="8">
        <f>IFERROR(VLOOKUP($A1608,'01-原始价格'!$A:$M,2,FALSE),"")</f>
        <v/>
      </c>
      <c r="C1608" s="8">
        <f>IFERROR(VLOOKUP($A1608,'01-原始价格'!$A:$M,8,FALSE),"")</f>
        <v/>
      </c>
      <c r="D1608" s="10">
        <f>IFERROR(B1608/C1608,"")</f>
        <v/>
      </c>
      <c r="E1608" s="10">
        <f>IFERROR(C1608/B1608,"")</f>
        <v/>
      </c>
      <c r="F1608" s="11">
        <f>IFERROR((D1608/D1607-1)*100,"")</f>
        <v/>
      </c>
      <c r="G1608" s="11">
        <f>IFERROR((COUNTIF($D$1357:$D$1608,"&lt;"&amp;D1608)+0.5*COUNTIF($D$1357:$D$1608,D1608))/COUNT($D$1357:$D$1608)*100,"")</f>
        <v/>
      </c>
      <c r="H1608" s="10">
        <f>IFERROR(AVERAGE($D$1357:$D$1608),"")</f>
        <v/>
      </c>
      <c r="I1608" s="10" t="n">
        <v>-0.5762656155924488</v>
      </c>
      <c r="J1608" t="inlineStr"/>
      <c r="K1608" t="inlineStr"/>
    </row>
    <row r="1609">
      <c r="A1609" s="7" t="inlineStr">
        <is>
          <t>2020-09-28</t>
        </is>
      </c>
      <c r="B1609" s="8">
        <f>IFERROR(VLOOKUP($A1609,'01-原始价格'!$A:$M,2,FALSE),"")</f>
        <v/>
      </c>
      <c r="C1609" s="8">
        <f>IFERROR(VLOOKUP($A1609,'01-原始价格'!$A:$M,8,FALSE),"")</f>
        <v/>
      </c>
      <c r="D1609" s="10">
        <f>IFERROR(B1609/C1609,"")</f>
        <v/>
      </c>
      <c r="E1609" s="10">
        <f>IFERROR(C1609/B1609,"")</f>
        <v/>
      </c>
      <c r="F1609" s="11">
        <f>IFERROR((D1609/D1608-1)*100,"")</f>
        <v/>
      </c>
      <c r="G1609" s="11">
        <f>IFERROR((COUNTIF($D$1358:$D$1609,"&lt;"&amp;D1609)+0.5*COUNTIF($D$1358:$D$1609,D1609))/COUNT($D$1358:$D$1609)*100,"")</f>
        <v/>
      </c>
      <c r="H1609" s="10">
        <f>IFERROR(AVERAGE($D$1358:$D$1609),"")</f>
        <v/>
      </c>
      <c r="I1609" s="10" t="n">
        <v>-0.4128402843530628</v>
      </c>
      <c r="J1609" t="inlineStr"/>
      <c r="K1609" t="inlineStr"/>
    </row>
    <row r="1610">
      <c r="A1610" s="7" t="inlineStr">
        <is>
          <t>2020-09-29</t>
        </is>
      </c>
      <c r="B1610" s="8">
        <f>IFERROR(VLOOKUP($A1610,'01-原始价格'!$A:$M,2,FALSE),"")</f>
        <v/>
      </c>
      <c r="C1610" s="8">
        <f>IFERROR(VLOOKUP($A1610,'01-原始价格'!$A:$M,8,FALSE),"")</f>
        <v/>
      </c>
      <c r="D1610" s="10">
        <f>IFERROR(B1610/C1610,"")</f>
        <v/>
      </c>
      <c r="E1610" s="10">
        <f>IFERROR(C1610/B1610,"")</f>
        <v/>
      </c>
      <c r="F1610" s="11">
        <f>IFERROR((D1610/D1609-1)*100,"")</f>
        <v/>
      </c>
      <c r="G1610" s="11">
        <f>IFERROR((COUNTIF($D$1359:$D$1610,"&lt;"&amp;D1610)+0.5*COUNTIF($D$1359:$D$1610,D1610))/COUNT($D$1359:$D$1610)*100,"")</f>
        <v/>
      </c>
      <c r="H1610" s="10">
        <f>IFERROR(AVERAGE($D$1359:$D$1610),"")</f>
        <v/>
      </c>
      <c r="I1610" s="10" t="n">
        <v>-0.3556849844250017</v>
      </c>
      <c r="J1610" t="inlineStr"/>
      <c r="K1610" t="inlineStr"/>
    </row>
    <row r="1611">
      <c r="A1611" s="7" t="inlineStr">
        <is>
          <t>2020-09-30</t>
        </is>
      </c>
      <c r="B1611" s="8">
        <f>IFERROR(VLOOKUP($A1611,'01-原始价格'!$A:$M,2,FALSE),"")</f>
        <v/>
      </c>
      <c r="C1611" s="8">
        <f>IFERROR(VLOOKUP($A1611,'01-原始价格'!$A:$M,8,FALSE),"")</f>
        <v/>
      </c>
      <c r="D1611" s="10">
        <f>IFERROR(B1611/C1611,"")</f>
        <v/>
      </c>
      <c r="E1611" s="10">
        <f>IFERROR(C1611/B1611,"")</f>
        <v/>
      </c>
      <c r="F1611" s="11">
        <f>IFERROR((D1611/D1610-1)*100,"")</f>
        <v/>
      </c>
      <c r="G1611" s="11">
        <f>IFERROR((COUNTIF($D$1360:$D$1611,"&lt;"&amp;D1611)+0.5*COUNTIF($D$1360:$D$1611,D1611))/COUNT($D$1360:$D$1611)*100,"")</f>
        <v/>
      </c>
      <c r="H1611" s="10">
        <f>IFERROR(AVERAGE($D$1360:$D$1611),"")</f>
        <v/>
      </c>
      <c r="I1611" s="10" t="n">
        <v>-0.4632217935487283</v>
      </c>
      <c r="J1611" t="inlineStr"/>
      <c r="K1611" t="inlineStr"/>
    </row>
    <row r="1612">
      <c r="A1612" s="7" t="inlineStr">
        <is>
          <t>2020-10-09</t>
        </is>
      </c>
      <c r="B1612" s="8">
        <f>IFERROR(VLOOKUP($A1612,'01-原始价格'!$A:$M,2,FALSE),"")</f>
        <v/>
      </c>
      <c r="C1612" s="8">
        <f>IFERROR(VLOOKUP($A1612,'01-原始价格'!$A:$M,8,FALSE),"")</f>
        <v/>
      </c>
      <c r="D1612" s="10">
        <f>IFERROR(B1612/C1612,"")</f>
        <v/>
      </c>
      <c r="E1612" s="10">
        <f>IFERROR(C1612/B1612,"")</f>
        <v/>
      </c>
      <c r="F1612" s="11">
        <f>IFERROR((D1612/D1611-1)*100,"")</f>
        <v/>
      </c>
      <c r="G1612" s="11">
        <f>IFERROR((COUNTIF($D$1361:$D$1612,"&lt;"&amp;D1612)+0.5*COUNTIF($D$1361:$D$1612,D1612))/COUNT($D$1361:$D$1612)*100,"")</f>
        <v/>
      </c>
      <c r="H1612" s="10">
        <f>IFERROR(AVERAGE($D$1361:$D$1612),"")</f>
        <v/>
      </c>
      <c r="I1612" s="10" t="n">
        <v>-0.6451915781983447</v>
      </c>
      <c r="J1612" t="inlineStr"/>
      <c r="K1612" t="inlineStr"/>
    </row>
    <row r="1613">
      <c r="A1613" s="7" t="inlineStr">
        <is>
          <t>2020-10-12</t>
        </is>
      </c>
      <c r="B1613" s="8">
        <f>IFERROR(VLOOKUP($A1613,'01-原始价格'!$A:$M,2,FALSE),"")</f>
        <v/>
      </c>
      <c r="C1613" s="8">
        <f>IFERROR(VLOOKUP($A1613,'01-原始价格'!$A:$M,8,FALSE),"")</f>
        <v/>
      </c>
      <c r="D1613" s="10">
        <f>IFERROR(B1613/C1613,"")</f>
        <v/>
      </c>
      <c r="E1613" s="10">
        <f>IFERROR(C1613/B1613,"")</f>
        <v/>
      </c>
      <c r="F1613" s="11">
        <f>IFERROR((D1613/D1612-1)*100,"")</f>
        <v/>
      </c>
      <c r="G1613" s="11">
        <f>IFERROR((COUNTIF($D$1362:$D$1613,"&lt;"&amp;D1613)+0.5*COUNTIF($D$1362:$D$1613,D1613))/COUNT($D$1362:$D$1613)*100,"")</f>
        <v/>
      </c>
      <c r="H1613" s="10">
        <f>IFERROR(AVERAGE($D$1362:$D$1613),"")</f>
        <v/>
      </c>
      <c r="I1613" s="10" t="n">
        <v>-0.6976470108339958</v>
      </c>
      <c r="J1613" t="inlineStr"/>
      <c r="K1613" t="inlineStr"/>
    </row>
    <row r="1614">
      <c r="A1614" s="7" t="inlineStr">
        <is>
          <t>2020-10-13</t>
        </is>
      </c>
      <c r="B1614" s="8">
        <f>IFERROR(VLOOKUP($A1614,'01-原始价格'!$A:$M,2,FALSE),"")</f>
        <v/>
      </c>
      <c r="C1614" s="8">
        <f>IFERROR(VLOOKUP($A1614,'01-原始价格'!$A:$M,8,FALSE),"")</f>
        <v/>
      </c>
      <c r="D1614" s="10">
        <f>IFERROR(B1614/C1614,"")</f>
        <v/>
      </c>
      <c r="E1614" s="10">
        <f>IFERROR(C1614/B1614,"")</f>
        <v/>
      </c>
      <c r="F1614" s="11">
        <f>IFERROR((D1614/D1613-1)*100,"")</f>
        <v/>
      </c>
      <c r="G1614" s="11">
        <f>IFERROR((COUNTIF($D$1363:$D$1614,"&lt;"&amp;D1614)+0.5*COUNTIF($D$1363:$D$1614,D1614))/COUNT($D$1363:$D$1614)*100,"")</f>
        <v/>
      </c>
      <c r="H1614" s="10">
        <f>IFERROR(AVERAGE($D$1363:$D$1614),"")</f>
        <v/>
      </c>
      <c r="I1614" s="10" t="n">
        <v>-0.5812021189326898</v>
      </c>
      <c r="J1614" t="inlineStr"/>
      <c r="K1614" t="inlineStr"/>
    </row>
    <row r="1615">
      <c r="A1615" s="7" t="inlineStr">
        <is>
          <t>2020-10-14</t>
        </is>
      </c>
      <c r="B1615" s="8">
        <f>IFERROR(VLOOKUP($A1615,'01-原始价格'!$A:$M,2,FALSE),"")</f>
        <v/>
      </c>
      <c r="C1615" s="8">
        <f>IFERROR(VLOOKUP($A1615,'01-原始价格'!$A:$M,8,FALSE),"")</f>
        <v/>
      </c>
      <c r="D1615" s="10">
        <f>IFERROR(B1615/C1615,"")</f>
        <v/>
      </c>
      <c r="E1615" s="10">
        <f>IFERROR(C1615/B1615,"")</f>
        <v/>
      </c>
      <c r="F1615" s="11">
        <f>IFERROR((D1615/D1614-1)*100,"")</f>
        <v/>
      </c>
      <c r="G1615" s="11">
        <f>IFERROR((COUNTIF($D$1364:$D$1615,"&lt;"&amp;D1615)+0.5*COUNTIF($D$1364:$D$1615,D1615))/COUNT($D$1364:$D$1615)*100,"")</f>
        <v/>
      </c>
      <c r="H1615" s="10">
        <f>IFERROR(AVERAGE($D$1364:$D$1615),"")</f>
        <v/>
      </c>
      <c r="I1615" s="10" t="n">
        <v>-0.3832634848117705</v>
      </c>
      <c r="J1615" t="inlineStr"/>
      <c r="K1615" t="inlineStr"/>
    </row>
    <row r="1616">
      <c r="A1616" s="7" t="inlineStr">
        <is>
          <t>2020-10-15</t>
        </is>
      </c>
      <c r="B1616" s="8">
        <f>IFERROR(VLOOKUP($A1616,'01-原始价格'!$A:$M,2,FALSE),"")</f>
        <v/>
      </c>
      <c r="C1616" s="8">
        <f>IFERROR(VLOOKUP($A1616,'01-原始价格'!$A:$M,8,FALSE),"")</f>
        <v/>
      </c>
      <c r="D1616" s="10">
        <f>IFERROR(B1616/C1616,"")</f>
        <v/>
      </c>
      <c r="E1616" s="10">
        <f>IFERROR(C1616/B1616,"")</f>
        <v/>
      </c>
      <c r="F1616" s="11">
        <f>IFERROR((D1616/D1615-1)*100,"")</f>
        <v/>
      </c>
      <c r="G1616" s="11">
        <f>IFERROR((COUNTIF($D$1365:$D$1616,"&lt;"&amp;D1616)+0.5*COUNTIF($D$1365:$D$1616,D1616))/COUNT($D$1365:$D$1616)*100,"")</f>
        <v/>
      </c>
      <c r="H1616" s="10">
        <f>IFERROR(AVERAGE($D$1365:$D$1616),"")</f>
        <v/>
      </c>
      <c r="I1616" s="10" t="n">
        <v>0.1171899750055672</v>
      </c>
      <c r="J1616" t="inlineStr"/>
      <c r="K1616" t="inlineStr"/>
    </row>
    <row r="1617">
      <c r="A1617" s="7" t="inlineStr">
        <is>
          <t>2020-10-16</t>
        </is>
      </c>
      <c r="B1617" s="8">
        <f>IFERROR(VLOOKUP($A1617,'01-原始价格'!$A:$M,2,FALSE),"")</f>
        <v/>
      </c>
      <c r="C1617" s="8">
        <f>IFERROR(VLOOKUP($A1617,'01-原始价格'!$A:$M,8,FALSE),"")</f>
        <v/>
      </c>
      <c r="D1617" s="10">
        <f>IFERROR(B1617/C1617,"")</f>
        <v/>
      </c>
      <c r="E1617" s="10">
        <f>IFERROR(C1617/B1617,"")</f>
        <v/>
      </c>
      <c r="F1617" s="11">
        <f>IFERROR((D1617/D1616-1)*100,"")</f>
        <v/>
      </c>
      <c r="G1617" s="11">
        <f>IFERROR((COUNTIF($D$1366:$D$1617,"&lt;"&amp;D1617)+0.5*COUNTIF($D$1366:$D$1617,D1617))/COUNT($D$1366:$D$1617)*100,"")</f>
        <v/>
      </c>
      <c r="H1617" s="10">
        <f>IFERROR(AVERAGE($D$1366:$D$1617),"")</f>
        <v/>
      </c>
      <c r="I1617" s="10" t="n">
        <v>0.02446706475248238</v>
      </c>
      <c r="J1617" t="inlineStr"/>
      <c r="K1617" t="inlineStr"/>
    </row>
    <row r="1618">
      <c r="A1618" s="7" t="inlineStr">
        <is>
          <t>2020-10-19</t>
        </is>
      </c>
      <c r="B1618" s="8">
        <f>IFERROR(VLOOKUP($A1618,'01-原始价格'!$A:$M,2,FALSE),"")</f>
        <v/>
      </c>
      <c r="C1618" s="8">
        <f>IFERROR(VLOOKUP($A1618,'01-原始价格'!$A:$M,8,FALSE),"")</f>
        <v/>
      </c>
      <c r="D1618" s="10">
        <f>IFERROR(B1618/C1618,"")</f>
        <v/>
      </c>
      <c r="E1618" s="10">
        <f>IFERROR(C1618/B1618,"")</f>
        <v/>
      </c>
      <c r="F1618" s="11">
        <f>IFERROR((D1618/D1617-1)*100,"")</f>
        <v/>
      </c>
      <c r="G1618" s="11">
        <f>IFERROR((COUNTIF($D$1367:$D$1618,"&lt;"&amp;D1618)+0.5*COUNTIF($D$1367:$D$1618,D1618))/COUNT($D$1367:$D$1618)*100,"")</f>
        <v/>
      </c>
      <c r="H1618" s="10">
        <f>IFERROR(AVERAGE($D$1367:$D$1618),"")</f>
        <v/>
      </c>
      <c r="I1618" s="10" t="n">
        <v>-0.1950475832073387</v>
      </c>
      <c r="J1618" t="inlineStr"/>
      <c r="K1618" t="inlineStr"/>
    </row>
    <row r="1619">
      <c r="A1619" s="7" t="inlineStr">
        <is>
          <t>2020-10-20</t>
        </is>
      </c>
      <c r="B1619" s="8">
        <f>IFERROR(VLOOKUP($A1619,'01-原始价格'!$A:$M,2,FALSE),"")</f>
        <v/>
      </c>
      <c r="C1619" s="8">
        <f>IFERROR(VLOOKUP($A1619,'01-原始价格'!$A:$M,8,FALSE),"")</f>
        <v/>
      </c>
      <c r="D1619" s="10">
        <f>IFERROR(B1619/C1619,"")</f>
        <v/>
      </c>
      <c r="E1619" s="10">
        <f>IFERROR(C1619/B1619,"")</f>
        <v/>
      </c>
      <c r="F1619" s="11">
        <f>IFERROR((D1619/D1618-1)*100,"")</f>
        <v/>
      </c>
      <c r="G1619" s="11">
        <f>IFERROR((COUNTIF($D$1368:$D$1619,"&lt;"&amp;D1619)+0.5*COUNTIF($D$1368:$D$1619,D1619))/COUNT($D$1368:$D$1619)*100,"")</f>
        <v/>
      </c>
      <c r="H1619" s="10">
        <f>IFERROR(AVERAGE($D$1368:$D$1619),"")</f>
        <v/>
      </c>
      <c r="I1619" s="10" t="n">
        <v>-0.4031833387576101</v>
      </c>
      <c r="J1619" t="inlineStr"/>
      <c r="K1619" t="inlineStr"/>
    </row>
    <row r="1620">
      <c r="A1620" s="7" t="inlineStr">
        <is>
          <t>2020-10-21</t>
        </is>
      </c>
      <c r="B1620" s="8">
        <f>IFERROR(VLOOKUP($A1620,'01-原始价格'!$A:$M,2,FALSE),"")</f>
        <v/>
      </c>
      <c r="C1620" s="8">
        <f>IFERROR(VLOOKUP($A1620,'01-原始价格'!$A:$M,8,FALSE),"")</f>
        <v/>
      </c>
      <c r="D1620" s="10">
        <f>IFERROR(B1620/C1620,"")</f>
        <v/>
      </c>
      <c r="E1620" s="10">
        <f>IFERROR(C1620/B1620,"")</f>
        <v/>
      </c>
      <c r="F1620" s="11">
        <f>IFERROR((D1620/D1619-1)*100,"")</f>
        <v/>
      </c>
      <c r="G1620" s="11">
        <f>IFERROR((COUNTIF($D$1369:$D$1620,"&lt;"&amp;D1620)+0.5*COUNTIF($D$1369:$D$1620,D1620))/COUNT($D$1369:$D$1620)*100,"")</f>
        <v/>
      </c>
      <c r="H1620" s="10">
        <f>IFERROR(AVERAGE($D$1369:$D$1620),"")</f>
        <v/>
      </c>
      <c r="I1620" s="10" t="n">
        <v>-0.2697810087991926</v>
      </c>
      <c r="J1620" t="inlineStr"/>
      <c r="K1620" t="inlineStr"/>
    </row>
    <row r="1621">
      <c r="A1621" s="7" t="inlineStr">
        <is>
          <t>2020-10-22</t>
        </is>
      </c>
      <c r="B1621" s="8">
        <f>IFERROR(VLOOKUP($A1621,'01-原始价格'!$A:$M,2,FALSE),"")</f>
        <v/>
      </c>
      <c r="C1621" s="8">
        <f>IFERROR(VLOOKUP($A1621,'01-原始价格'!$A:$M,8,FALSE),"")</f>
        <v/>
      </c>
      <c r="D1621" s="10">
        <f>IFERROR(B1621/C1621,"")</f>
        <v/>
      </c>
      <c r="E1621" s="10">
        <f>IFERROR(C1621/B1621,"")</f>
        <v/>
      </c>
      <c r="F1621" s="11">
        <f>IFERROR((D1621/D1620-1)*100,"")</f>
        <v/>
      </c>
      <c r="G1621" s="11">
        <f>IFERROR((COUNTIF($D$1370:$D$1621,"&lt;"&amp;D1621)+0.5*COUNTIF($D$1370:$D$1621,D1621))/COUNT($D$1370:$D$1621)*100,"")</f>
        <v/>
      </c>
      <c r="H1621" s="10">
        <f>IFERROR(AVERAGE($D$1370:$D$1621),"")</f>
        <v/>
      </c>
      <c r="I1621" s="10" t="n">
        <v>-0.1701678368759483</v>
      </c>
      <c r="J1621" t="inlineStr"/>
      <c r="K1621" t="inlineStr"/>
    </row>
    <row r="1622">
      <c r="A1622" s="7" t="inlineStr">
        <is>
          <t>2020-10-23</t>
        </is>
      </c>
      <c r="B1622" s="8">
        <f>IFERROR(VLOOKUP($A1622,'01-原始价格'!$A:$M,2,FALSE),"")</f>
        <v/>
      </c>
      <c r="C1622" s="8">
        <f>IFERROR(VLOOKUP($A1622,'01-原始价格'!$A:$M,8,FALSE),"")</f>
        <v/>
      </c>
      <c r="D1622" s="10">
        <f>IFERROR(B1622/C1622,"")</f>
        <v/>
      </c>
      <c r="E1622" s="10">
        <f>IFERROR(C1622/B1622,"")</f>
        <v/>
      </c>
      <c r="F1622" s="11">
        <f>IFERROR((D1622/D1621-1)*100,"")</f>
        <v/>
      </c>
      <c r="G1622" s="11">
        <f>IFERROR((COUNTIF($D$1371:$D$1622,"&lt;"&amp;D1622)+0.5*COUNTIF($D$1371:$D$1622,D1622))/COUNT($D$1371:$D$1622)*100,"")</f>
        <v/>
      </c>
      <c r="H1622" s="10">
        <f>IFERROR(AVERAGE($D$1371:$D$1622),"")</f>
        <v/>
      </c>
      <c r="I1622" s="10" t="n">
        <v>-0.03365316436467014</v>
      </c>
      <c r="J1622" t="inlineStr"/>
      <c r="K1622" t="inlineStr"/>
    </row>
    <row r="1623">
      <c r="A1623" s="7" t="inlineStr">
        <is>
          <t>2020-10-26</t>
        </is>
      </c>
      <c r="B1623" s="8">
        <f>IFERROR(VLOOKUP($A1623,'01-原始价格'!$A:$M,2,FALSE),"")</f>
        <v/>
      </c>
      <c r="C1623" s="8">
        <f>IFERROR(VLOOKUP($A1623,'01-原始价格'!$A:$M,8,FALSE),"")</f>
        <v/>
      </c>
      <c r="D1623" s="10">
        <f>IFERROR(B1623/C1623,"")</f>
        <v/>
      </c>
      <c r="E1623" s="10">
        <f>IFERROR(C1623/B1623,"")</f>
        <v/>
      </c>
      <c r="F1623" s="11">
        <f>IFERROR((D1623/D1622-1)*100,"")</f>
        <v/>
      </c>
      <c r="G1623" s="11">
        <f>IFERROR((COUNTIF($D$1372:$D$1623,"&lt;"&amp;D1623)+0.5*COUNTIF($D$1372:$D$1623,D1623))/COUNT($D$1372:$D$1623)*100,"")</f>
        <v/>
      </c>
      <c r="H1623" s="10">
        <f>IFERROR(AVERAGE($D$1372:$D$1623),"")</f>
        <v/>
      </c>
      <c r="I1623" s="10" t="n">
        <v>-0.2498388587015588</v>
      </c>
      <c r="J1623" t="inlineStr"/>
      <c r="K1623" t="inlineStr"/>
    </row>
    <row r="1624">
      <c r="A1624" s="7" t="inlineStr">
        <is>
          <t>2020-10-27</t>
        </is>
      </c>
      <c r="B1624" s="8">
        <f>IFERROR(VLOOKUP($A1624,'01-原始价格'!$A:$M,2,FALSE),"")</f>
        <v/>
      </c>
      <c r="C1624" s="8">
        <f>IFERROR(VLOOKUP($A1624,'01-原始价格'!$A:$M,8,FALSE),"")</f>
        <v/>
      </c>
      <c r="D1624" s="10">
        <f>IFERROR(B1624/C1624,"")</f>
        <v/>
      </c>
      <c r="E1624" s="10">
        <f>IFERROR(C1624/B1624,"")</f>
        <v/>
      </c>
      <c r="F1624" s="11">
        <f>IFERROR((D1624/D1623-1)*100,"")</f>
        <v/>
      </c>
      <c r="G1624" s="11">
        <f>IFERROR((COUNTIF($D$1373:$D$1624,"&lt;"&amp;D1624)+0.5*COUNTIF($D$1373:$D$1624,D1624))/COUNT($D$1373:$D$1624)*100,"")</f>
        <v/>
      </c>
      <c r="H1624" s="10">
        <f>IFERROR(AVERAGE($D$1373:$D$1624),"")</f>
        <v/>
      </c>
      <c r="I1624" s="10" t="n">
        <v>-0.00366358399233002</v>
      </c>
      <c r="J1624" t="inlineStr"/>
      <c r="K1624" t="inlineStr"/>
    </row>
    <row r="1625">
      <c r="A1625" s="7" t="inlineStr">
        <is>
          <t>2020-10-28</t>
        </is>
      </c>
      <c r="B1625" s="8">
        <f>IFERROR(VLOOKUP($A1625,'01-原始价格'!$A:$M,2,FALSE),"")</f>
        <v/>
      </c>
      <c r="C1625" s="8">
        <f>IFERROR(VLOOKUP($A1625,'01-原始价格'!$A:$M,8,FALSE),"")</f>
        <v/>
      </c>
      <c r="D1625" s="10">
        <f>IFERROR(B1625/C1625,"")</f>
        <v/>
      </c>
      <c r="E1625" s="10">
        <f>IFERROR(C1625/B1625,"")</f>
        <v/>
      </c>
      <c r="F1625" s="11">
        <f>IFERROR((D1625/D1624-1)*100,"")</f>
        <v/>
      </c>
      <c r="G1625" s="11">
        <f>IFERROR((COUNTIF($D$1374:$D$1625,"&lt;"&amp;D1625)+0.5*COUNTIF($D$1374:$D$1625,D1625))/COUNT($D$1374:$D$1625)*100,"")</f>
        <v/>
      </c>
      <c r="H1625" s="10">
        <f>IFERROR(AVERAGE($D$1374:$D$1625),"")</f>
        <v/>
      </c>
      <c r="I1625" s="10" t="n">
        <v>-0.03617863346532346</v>
      </c>
      <c r="J1625" t="inlineStr"/>
      <c r="K1625" t="inlineStr"/>
    </row>
    <row r="1626">
      <c r="A1626" s="7" t="inlineStr">
        <is>
          <t>2020-10-29</t>
        </is>
      </c>
      <c r="B1626" s="8">
        <f>IFERROR(VLOOKUP($A1626,'01-原始价格'!$A:$M,2,FALSE),"")</f>
        <v/>
      </c>
      <c r="C1626" s="8">
        <f>IFERROR(VLOOKUP($A1626,'01-原始价格'!$A:$M,8,FALSE),"")</f>
        <v/>
      </c>
      <c r="D1626" s="10">
        <f>IFERROR(B1626/C1626,"")</f>
        <v/>
      </c>
      <c r="E1626" s="10">
        <f>IFERROR(C1626/B1626,"")</f>
        <v/>
      </c>
      <c r="F1626" s="11">
        <f>IFERROR((D1626/D1625-1)*100,"")</f>
        <v/>
      </c>
      <c r="G1626" s="11">
        <f>IFERROR((COUNTIF($D$1375:$D$1626,"&lt;"&amp;D1626)+0.5*COUNTIF($D$1375:$D$1626,D1626))/COUNT($D$1375:$D$1626)*100,"")</f>
        <v/>
      </c>
      <c r="H1626" s="10">
        <f>IFERROR(AVERAGE($D$1375:$D$1626),"")</f>
        <v/>
      </c>
      <c r="I1626" s="10" t="n">
        <v>0.3179630146533567</v>
      </c>
      <c r="J1626" t="inlineStr"/>
      <c r="K1626" t="inlineStr"/>
    </row>
    <row r="1627">
      <c r="A1627" s="7" t="inlineStr">
        <is>
          <t>2020-10-30</t>
        </is>
      </c>
      <c r="B1627" s="8">
        <f>IFERROR(VLOOKUP($A1627,'01-原始价格'!$A:$M,2,FALSE),"")</f>
        <v/>
      </c>
      <c r="C1627" s="8">
        <f>IFERROR(VLOOKUP($A1627,'01-原始价格'!$A:$M,8,FALSE),"")</f>
        <v/>
      </c>
      <c r="D1627" s="10">
        <f>IFERROR(B1627/C1627,"")</f>
        <v/>
      </c>
      <c r="E1627" s="10">
        <f>IFERROR(C1627/B1627,"")</f>
        <v/>
      </c>
      <c r="F1627" s="11">
        <f>IFERROR((D1627/D1626-1)*100,"")</f>
        <v/>
      </c>
      <c r="G1627" s="11">
        <f>IFERROR((COUNTIF($D$1376:$D$1627,"&lt;"&amp;D1627)+0.5*COUNTIF($D$1376:$D$1627,D1627))/COUNT($D$1376:$D$1627)*100,"")</f>
        <v/>
      </c>
      <c r="H1627" s="10">
        <f>IFERROR(AVERAGE($D$1376:$D$1627),"")</f>
        <v/>
      </c>
      <c r="I1627" s="10" t="n">
        <v>-0.001728501952787367</v>
      </c>
      <c r="J1627" t="inlineStr"/>
      <c r="K1627" t="inlineStr"/>
    </row>
    <row r="1628">
      <c r="A1628" s="7" t="inlineStr">
        <is>
          <t>2020-11-02</t>
        </is>
      </c>
      <c r="B1628" s="8">
        <f>IFERROR(VLOOKUP($A1628,'01-原始价格'!$A:$M,2,FALSE),"")</f>
        <v/>
      </c>
      <c r="C1628" s="8">
        <f>IFERROR(VLOOKUP($A1628,'01-原始价格'!$A:$M,8,FALSE),"")</f>
        <v/>
      </c>
      <c r="D1628" s="10">
        <f>IFERROR(B1628/C1628,"")</f>
        <v/>
      </c>
      <c r="E1628" s="10">
        <f>IFERROR(C1628/B1628,"")</f>
        <v/>
      </c>
      <c r="F1628" s="11">
        <f>IFERROR((D1628/D1627-1)*100,"")</f>
        <v/>
      </c>
      <c r="G1628" s="11">
        <f>IFERROR((COUNTIF($D$1377:$D$1628,"&lt;"&amp;D1628)+0.5*COUNTIF($D$1377:$D$1628,D1628))/COUNT($D$1377:$D$1628)*100,"")</f>
        <v/>
      </c>
      <c r="H1628" s="10">
        <f>IFERROR(AVERAGE($D$1377:$D$1628),"")</f>
        <v/>
      </c>
      <c r="I1628" s="10" t="n">
        <v>0.5043073222638762</v>
      </c>
      <c r="J1628" t="inlineStr"/>
      <c r="K1628" t="inlineStr"/>
    </row>
    <row r="1629">
      <c r="A1629" s="7" t="inlineStr">
        <is>
          <t>2020-11-03</t>
        </is>
      </c>
      <c r="B1629" s="8">
        <f>IFERROR(VLOOKUP($A1629,'01-原始价格'!$A:$M,2,FALSE),"")</f>
        <v/>
      </c>
      <c r="C1629" s="8">
        <f>IFERROR(VLOOKUP($A1629,'01-原始价格'!$A:$M,8,FALSE),"")</f>
        <v/>
      </c>
      <c r="D1629" s="10">
        <f>IFERROR(B1629/C1629,"")</f>
        <v/>
      </c>
      <c r="E1629" s="10">
        <f>IFERROR(C1629/B1629,"")</f>
        <v/>
      </c>
      <c r="F1629" s="11">
        <f>IFERROR((D1629/D1628-1)*100,"")</f>
        <v/>
      </c>
      <c r="G1629" s="11">
        <f>IFERROR((COUNTIF($D$1378:$D$1629,"&lt;"&amp;D1629)+0.5*COUNTIF($D$1378:$D$1629,D1629))/COUNT($D$1378:$D$1629)*100,"")</f>
        <v/>
      </c>
      <c r="H1629" s="10">
        <f>IFERROR(AVERAGE($D$1378:$D$1629),"")</f>
        <v/>
      </c>
      <c r="I1629" s="10" t="n">
        <v>0.1899113546416832</v>
      </c>
      <c r="J1629" t="inlineStr"/>
      <c r="K1629" t="inlineStr"/>
    </row>
    <row r="1630">
      <c r="A1630" s="7" t="inlineStr">
        <is>
          <t>2020-11-04</t>
        </is>
      </c>
      <c r="B1630" s="8">
        <f>IFERROR(VLOOKUP($A1630,'01-原始价格'!$A:$M,2,FALSE),"")</f>
        <v/>
      </c>
      <c r="C1630" s="8">
        <f>IFERROR(VLOOKUP($A1630,'01-原始价格'!$A:$M,8,FALSE),"")</f>
        <v/>
      </c>
      <c r="D1630" s="10">
        <f>IFERROR(B1630/C1630,"")</f>
        <v/>
      </c>
      <c r="E1630" s="10">
        <f>IFERROR(C1630/B1630,"")</f>
        <v/>
      </c>
      <c r="F1630" s="11">
        <f>IFERROR((D1630/D1629-1)*100,"")</f>
        <v/>
      </c>
      <c r="G1630" s="11">
        <f>IFERROR((COUNTIF($D$1379:$D$1630,"&lt;"&amp;D1630)+0.5*COUNTIF($D$1379:$D$1630,D1630))/COUNT($D$1379:$D$1630)*100,"")</f>
        <v/>
      </c>
      <c r="H1630" s="10">
        <f>IFERROR(AVERAGE($D$1379:$D$1630),"")</f>
        <v/>
      </c>
      <c r="I1630" s="10" t="n">
        <v>0.2685023560426278</v>
      </c>
      <c r="J1630" t="inlineStr"/>
      <c r="K1630" t="inlineStr"/>
    </row>
    <row r="1631">
      <c r="A1631" s="7" t="inlineStr">
        <is>
          <t>2020-11-05</t>
        </is>
      </c>
      <c r="B1631" s="8">
        <f>IFERROR(VLOOKUP($A1631,'01-原始价格'!$A:$M,2,FALSE),"")</f>
        <v/>
      </c>
      <c r="C1631" s="8">
        <f>IFERROR(VLOOKUP($A1631,'01-原始价格'!$A:$M,8,FALSE),"")</f>
        <v/>
      </c>
      <c r="D1631" s="10">
        <f>IFERROR(B1631/C1631,"")</f>
        <v/>
      </c>
      <c r="E1631" s="10">
        <f>IFERROR(C1631/B1631,"")</f>
        <v/>
      </c>
      <c r="F1631" s="11">
        <f>IFERROR((D1631/D1630-1)*100,"")</f>
        <v/>
      </c>
      <c r="G1631" s="11">
        <f>IFERROR((COUNTIF($D$1380:$D$1631,"&lt;"&amp;D1631)+0.5*COUNTIF($D$1380:$D$1631,D1631))/COUNT($D$1380:$D$1631)*100,"")</f>
        <v/>
      </c>
      <c r="H1631" s="10">
        <f>IFERROR(AVERAGE($D$1380:$D$1631),"")</f>
        <v/>
      </c>
      <c r="I1631" s="10" t="n">
        <v>0.04425380359325587</v>
      </c>
      <c r="J1631" t="inlineStr"/>
      <c r="K1631" t="inlineStr"/>
    </row>
    <row r="1632">
      <c r="A1632" s="7" t="inlineStr">
        <is>
          <t>2020-11-06</t>
        </is>
      </c>
      <c r="B1632" s="8">
        <f>IFERROR(VLOOKUP($A1632,'01-原始价格'!$A:$M,2,FALSE),"")</f>
        <v/>
      </c>
      <c r="C1632" s="8">
        <f>IFERROR(VLOOKUP($A1632,'01-原始价格'!$A:$M,8,FALSE),"")</f>
        <v/>
      </c>
      <c r="D1632" s="10">
        <f>IFERROR(B1632/C1632,"")</f>
        <v/>
      </c>
      <c r="E1632" s="10">
        <f>IFERROR(C1632/B1632,"")</f>
        <v/>
      </c>
      <c r="F1632" s="11">
        <f>IFERROR((D1632/D1631-1)*100,"")</f>
        <v/>
      </c>
      <c r="G1632" s="11">
        <f>IFERROR((COUNTIF($D$1381:$D$1632,"&lt;"&amp;D1632)+0.5*COUNTIF($D$1381:$D$1632,D1632))/COUNT($D$1381:$D$1632)*100,"")</f>
        <v/>
      </c>
      <c r="H1632" s="10">
        <f>IFERROR(AVERAGE($D$1381:$D$1632),"")</f>
        <v/>
      </c>
      <c r="I1632" s="10" t="n">
        <v>-0.0346399300246514</v>
      </c>
      <c r="J1632" t="inlineStr"/>
      <c r="K1632" t="inlineStr"/>
    </row>
    <row r="1633">
      <c r="A1633" s="7" t="inlineStr">
        <is>
          <t>2020-11-09</t>
        </is>
      </c>
      <c r="B1633" s="8">
        <f>IFERROR(VLOOKUP($A1633,'01-原始价格'!$A:$M,2,FALSE),"")</f>
        <v/>
      </c>
      <c r="C1633" s="8">
        <f>IFERROR(VLOOKUP($A1633,'01-原始价格'!$A:$M,8,FALSE),"")</f>
        <v/>
      </c>
      <c r="D1633" s="10">
        <f>IFERROR(B1633/C1633,"")</f>
        <v/>
      </c>
      <c r="E1633" s="10">
        <f>IFERROR(C1633/B1633,"")</f>
        <v/>
      </c>
      <c r="F1633" s="11">
        <f>IFERROR((D1633/D1632-1)*100,"")</f>
        <v/>
      </c>
      <c r="G1633" s="11">
        <f>IFERROR((COUNTIF($D$1382:$D$1633,"&lt;"&amp;D1633)+0.5*COUNTIF($D$1382:$D$1633,D1633))/COUNT($D$1382:$D$1633)*100,"")</f>
        <v/>
      </c>
      <c r="H1633" s="10">
        <f>IFERROR(AVERAGE($D$1382:$D$1633),"")</f>
        <v/>
      </c>
      <c r="I1633" s="10" t="n">
        <v>0.5407038389100831</v>
      </c>
      <c r="J1633" t="inlineStr"/>
      <c r="K1633" t="inlineStr"/>
    </row>
    <row r="1634">
      <c r="A1634" s="7" t="inlineStr">
        <is>
          <t>2020-11-10</t>
        </is>
      </c>
      <c r="B1634" s="8">
        <f>IFERROR(VLOOKUP($A1634,'01-原始价格'!$A:$M,2,FALSE),"")</f>
        <v/>
      </c>
      <c r="C1634" s="8">
        <f>IFERROR(VLOOKUP($A1634,'01-原始价格'!$A:$M,8,FALSE),"")</f>
        <v/>
      </c>
      <c r="D1634" s="10">
        <f>IFERROR(B1634/C1634,"")</f>
        <v/>
      </c>
      <c r="E1634" s="10">
        <f>IFERROR(C1634/B1634,"")</f>
        <v/>
      </c>
      <c r="F1634" s="11">
        <f>IFERROR((D1634/D1633-1)*100,"")</f>
        <v/>
      </c>
      <c r="G1634" s="11">
        <f>IFERROR((COUNTIF($D$1383:$D$1634,"&lt;"&amp;D1634)+0.5*COUNTIF($D$1383:$D$1634,D1634))/COUNT($D$1383:$D$1634)*100,"")</f>
        <v/>
      </c>
      <c r="H1634" s="10">
        <f>IFERROR(AVERAGE($D$1383:$D$1634),"")</f>
        <v/>
      </c>
      <c r="I1634" s="10" t="n">
        <v>0.5173442861883923</v>
      </c>
      <c r="J1634" t="inlineStr"/>
      <c r="K1634" t="inlineStr"/>
    </row>
    <row r="1635">
      <c r="A1635" s="7" t="inlineStr">
        <is>
          <t>2020-11-11</t>
        </is>
      </c>
      <c r="B1635" s="8">
        <f>IFERROR(VLOOKUP($A1635,'01-原始价格'!$A:$M,2,FALSE),"")</f>
        <v/>
      </c>
      <c r="C1635" s="8">
        <f>IFERROR(VLOOKUP($A1635,'01-原始价格'!$A:$M,8,FALSE),"")</f>
        <v/>
      </c>
      <c r="D1635" s="10">
        <f>IFERROR(B1635/C1635,"")</f>
        <v/>
      </c>
      <c r="E1635" s="10">
        <f>IFERROR(C1635/B1635,"")</f>
        <v/>
      </c>
      <c r="F1635" s="11">
        <f>IFERROR((D1635/D1634-1)*100,"")</f>
        <v/>
      </c>
      <c r="G1635" s="11">
        <f>IFERROR((COUNTIF($D$1384:$D$1635,"&lt;"&amp;D1635)+0.5*COUNTIF($D$1384:$D$1635,D1635))/COUNT($D$1384:$D$1635)*100,"")</f>
        <v/>
      </c>
      <c r="H1635" s="10">
        <f>IFERROR(AVERAGE($D$1384:$D$1635),"")</f>
        <v/>
      </c>
      <c r="I1635" s="10" t="n">
        <v>0.7159075645262222</v>
      </c>
      <c r="J1635" t="inlineStr"/>
      <c r="K1635" t="inlineStr"/>
    </row>
    <row r="1636">
      <c r="A1636" s="7" t="inlineStr">
        <is>
          <t>2020-11-12</t>
        </is>
      </c>
      <c r="B1636" s="8">
        <f>IFERROR(VLOOKUP($A1636,'01-原始价格'!$A:$M,2,FALSE),"")</f>
        <v/>
      </c>
      <c r="C1636" s="8">
        <f>IFERROR(VLOOKUP($A1636,'01-原始价格'!$A:$M,8,FALSE),"")</f>
        <v/>
      </c>
      <c r="D1636" s="10">
        <f>IFERROR(B1636/C1636,"")</f>
        <v/>
      </c>
      <c r="E1636" s="10">
        <f>IFERROR(C1636/B1636,"")</f>
        <v/>
      </c>
      <c r="F1636" s="11">
        <f>IFERROR((D1636/D1635-1)*100,"")</f>
        <v/>
      </c>
      <c r="G1636" s="11">
        <f>IFERROR((COUNTIF($D$1385:$D$1636,"&lt;"&amp;D1636)+0.5*COUNTIF($D$1385:$D$1636,D1636))/COUNT($D$1385:$D$1636)*100,"")</f>
        <v/>
      </c>
      <c r="H1636" s="10">
        <f>IFERROR(AVERAGE($D$1385:$D$1636),"")</f>
        <v/>
      </c>
      <c r="I1636" s="10" t="n">
        <v>0.6480754181627466</v>
      </c>
      <c r="J1636" t="inlineStr"/>
      <c r="K1636" t="inlineStr"/>
    </row>
    <row r="1637">
      <c r="A1637" s="7" t="inlineStr">
        <is>
          <t>2020-11-13</t>
        </is>
      </c>
      <c r="B1637" s="8">
        <f>IFERROR(VLOOKUP($A1637,'01-原始价格'!$A:$M,2,FALSE),"")</f>
        <v/>
      </c>
      <c r="C1637" s="8">
        <f>IFERROR(VLOOKUP($A1637,'01-原始价格'!$A:$M,8,FALSE),"")</f>
        <v/>
      </c>
      <c r="D1637" s="10">
        <f>IFERROR(B1637/C1637,"")</f>
        <v/>
      </c>
      <c r="E1637" s="10">
        <f>IFERROR(C1637/B1637,"")</f>
        <v/>
      </c>
      <c r="F1637" s="11">
        <f>IFERROR((D1637/D1636-1)*100,"")</f>
        <v/>
      </c>
      <c r="G1637" s="11">
        <f>IFERROR((COUNTIF($D$1386:$D$1637,"&lt;"&amp;D1637)+0.5*COUNTIF($D$1386:$D$1637,D1637))/COUNT($D$1386:$D$1637)*100,"")</f>
        <v/>
      </c>
      <c r="H1637" s="10">
        <f>IFERROR(AVERAGE($D$1386:$D$1637),"")</f>
        <v/>
      </c>
      <c r="I1637" s="10" t="n">
        <v>0.2779891344718537</v>
      </c>
      <c r="J1637" t="inlineStr"/>
      <c r="K1637" t="inlineStr"/>
    </row>
    <row r="1638">
      <c r="A1638" s="7" t="inlineStr">
        <is>
          <t>2020-11-16</t>
        </is>
      </c>
      <c r="B1638" s="8">
        <f>IFERROR(VLOOKUP($A1638,'01-原始价格'!$A:$M,2,FALSE),"")</f>
        <v/>
      </c>
      <c r="C1638" s="8">
        <f>IFERROR(VLOOKUP($A1638,'01-原始价格'!$A:$M,8,FALSE),"")</f>
        <v/>
      </c>
      <c r="D1638" s="10">
        <f>IFERROR(B1638/C1638,"")</f>
        <v/>
      </c>
      <c r="E1638" s="10">
        <f>IFERROR(C1638/B1638,"")</f>
        <v/>
      </c>
      <c r="F1638" s="11">
        <f>IFERROR((D1638/D1637-1)*100,"")</f>
        <v/>
      </c>
      <c r="G1638" s="11">
        <f>IFERROR((COUNTIF($D$1387:$D$1638,"&lt;"&amp;D1638)+0.5*COUNTIF($D$1387:$D$1638,D1638))/COUNT($D$1387:$D$1638)*100,"")</f>
        <v/>
      </c>
      <c r="H1638" s="10">
        <f>IFERROR(AVERAGE($D$1387:$D$1638),"")</f>
        <v/>
      </c>
      <c r="I1638" s="10" t="n">
        <v>0.7290459977574105</v>
      </c>
      <c r="J1638" t="inlineStr"/>
      <c r="K1638" t="inlineStr"/>
    </row>
    <row r="1639">
      <c r="A1639" s="7" t="inlineStr">
        <is>
          <t>2020-11-17</t>
        </is>
      </c>
      <c r="B1639" s="8">
        <f>IFERROR(VLOOKUP($A1639,'01-原始价格'!$A:$M,2,FALSE),"")</f>
        <v/>
      </c>
      <c r="C1639" s="8">
        <f>IFERROR(VLOOKUP($A1639,'01-原始价格'!$A:$M,8,FALSE),"")</f>
        <v/>
      </c>
      <c r="D1639" s="10">
        <f>IFERROR(B1639/C1639,"")</f>
        <v/>
      </c>
      <c r="E1639" s="10">
        <f>IFERROR(C1639/B1639,"")</f>
        <v/>
      </c>
      <c r="F1639" s="11">
        <f>IFERROR((D1639/D1638-1)*100,"")</f>
        <v/>
      </c>
      <c r="G1639" s="11">
        <f>IFERROR((COUNTIF($D$1388:$D$1639,"&lt;"&amp;D1639)+0.5*COUNTIF($D$1388:$D$1639,D1639))/COUNT($D$1388:$D$1639)*100,"")</f>
        <v/>
      </c>
      <c r="H1639" s="10">
        <f>IFERROR(AVERAGE($D$1388:$D$1639),"")</f>
        <v/>
      </c>
      <c r="I1639" s="10" t="n">
        <v>0.3599902463302188</v>
      </c>
      <c r="J1639" t="inlineStr"/>
      <c r="K1639" t="inlineStr"/>
    </row>
    <row r="1640">
      <c r="A1640" s="7" t="inlineStr">
        <is>
          <t>2020-11-18</t>
        </is>
      </c>
      <c r="B1640" s="8">
        <f>IFERROR(VLOOKUP($A1640,'01-原始价格'!$A:$M,2,FALSE),"")</f>
        <v/>
      </c>
      <c r="C1640" s="8">
        <f>IFERROR(VLOOKUP($A1640,'01-原始价格'!$A:$M,8,FALSE),"")</f>
        <v/>
      </c>
      <c r="D1640" s="10">
        <f>IFERROR(B1640/C1640,"")</f>
        <v/>
      </c>
      <c r="E1640" s="10">
        <f>IFERROR(C1640/B1640,"")</f>
        <v/>
      </c>
      <c r="F1640" s="11">
        <f>IFERROR((D1640/D1639-1)*100,"")</f>
        <v/>
      </c>
      <c r="G1640" s="11">
        <f>IFERROR((COUNTIF($D$1389:$D$1640,"&lt;"&amp;D1640)+0.5*COUNTIF($D$1389:$D$1640,D1640))/COUNT($D$1389:$D$1640)*100,"")</f>
        <v/>
      </c>
      <c r="H1640" s="10">
        <f>IFERROR(AVERAGE($D$1389:$D$1640),"")</f>
        <v/>
      </c>
      <c r="I1640" s="10" t="n">
        <v>0.8673443350030615</v>
      </c>
      <c r="J1640" t="inlineStr"/>
      <c r="K1640" t="inlineStr"/>
    </row>
    <row r="1641">
      <c r="A1641" s="7" t="inlineStr">
        <is>
          <t>2020-11-19</t>
        </is>
      </c>
      <c r="B1641" s="8">
        <f>IFERROR(VLOOKUP($A1641,'01-原始价格'!$A:$M,2,FALSE),"")</f>
        <v/>
      </c>
      <c r="C1641" s="8">
        <f>IFERROR(VLOOKUP($A1641,'01-原始价格'!$A:$M,8,FALSE),"")</f>
        <v/>
      </c>
      <c r="D1641" s="10">
        <f>IFERROR(B1641/C1641,"")</f>
        <v/>
      </c>
      <c r="E1641" s="10">
        <f>IFERROR(C1641/B1641,"")</f>
        <v/>
      </c>
      <c r="F1641" s="11">
        <f>IFERROR((D1641/D1640-1)*100,"")</f>
        <v/>
      </c>
      <c r="G1641" s="11">
        <f>IFERROR((COUNTIF($D$1390:$D$1641,"&lt;"&amp;D1641)+0.5*COUNTIF($D$1390:$D$1641,D1641))/COUNT($D$1390:$D$1641)*100,"")</f>
        <v/>
      </c>
      <c r="H1641" s="10">
        <f>IFERROR(AVERAGE($D$1390:$D$1641),"")</f>
        <v/>
      </c>
      <c r="I1641" s="10" t="n">
        <v>0.6683261553895736</v>
      </c>
      <c r="J1641" t="inlineStr"/>
      <c r="K1641" t="inlineStr"/>
    </row>
    <row r="1642">
      <c r="A1642" s="7" t="inlineStr">
        <is>
          <t>2020-11-20</t>
        </is>
      </c>
      <c r="B1642" s="8">
        <f>IFERROR(VLOOKUP($A1642,'01-原始价格'!$A:$M,2,FALSE),"")</f>
        <v/>
      </c>
      <c r="C1642" s="8">
        <f>IFERROR(VLOOKUP($A1642,'01-原始价格'!$A:$M,8,FALSE),"")</f>
        <v/>
      </c>
      <c r="D1642" s="10">
        <f>IFERROR(B1642/C1642,"")</f>
        <v/>
      </c>
      <c r="E1642" s="10">
        <f>IFERROR(C1642/B1642,"")</f>
        <v/>
      </c>
      <c r="F1642" s="11">
        <f>IFERROR((D1642/D1641-1)*100,"")</f>
        <v/>
      </c>
      <c r="G1642" s="11">
        <f>IFERROR((COUNTIF($D$1391:$D$1642,"&lt;"&amp;D1642)+0.5*COUNTIF($D$1391:$D$1642,D1642))/COUNT($D$1391:$D$1642)*100,"")</f>
        <v/>
      </c>
      <c r="H1642" s="10">
        <f>IFERROR(AVERAGE($D$1391:$D$1642),"")</f>
        <v/>
      </c>
      <c r="I1642" s="10" t="n">
        <v>1.274662373521487</v>
      </c>
      <c r="J1642" t="inlineStr"/>
      <c r="K1642" t="inlineStr"/>
    </row>
    <row r="1643">
      <c r="A1643" s="7" t="inlineStr">
        <is>
          <t>2020-11-23</t>
        </is>
      </c>
      <c r="B1643" s="8">
        <f>IFERROR(VLOOKUP($A1643,'01-原始价格'!$A:$M,2,FALSE),"")</f>
        <v/>
      </c>
      <c r="C1643" s="8">
        <f>IFERROR(VLOOKUP($A1643,'01-原始价格'!$A:$M,8,FALSE),"")</f>
        <v/>
      </c>
      <c r="D1643" s="10">
        <f>IFERROR(B1643/C1643,"")</f>
        <v/>
      </c>
      <c r="E1643" s="10">
        <f>IFERROR(C1643/B1643,"")</f>
        <v/>
      </c>
      <c r="F1643" s="11">
        <f>IFERROR((D1643/D1642-1)*100,"")</f>
        <v/>
      </c>
      <c r="G1643" s="11">
        <f>IFERROR((COUNTIF($D$1392:$D$1643,"&lt;"&amp;D1643)+0.5*COUNTIF($D$1392:$D$1643,D1643))/COUNT($D$1392:$D$1643)*100,"")</f>
        <v/>
      </c>
      <c r="H1643" s="10">
        <f>IFERROR(AVERAGE($D$1392:$D$1643),"")</f>
        <v/>
      </c>
      <c r="I1643" s="10" t="n">
        <v>1.682981184430425</v>
      </c>
      <c r="J1643" t="inlineStr"/>
      <c r="K1643" t="inlineStr"/>
    </row>
    <row r="1644">
      <c r="A1644" s="7" t="inlineStr">
        <is>
          <t>2020-11-24</t>
        </is>
      </c>
      <c r="B1644" s="8">
        <f>IFERROR(VLOOKUP($A1644,'01-原始价格'!$A:$M,2,FALSE),"")</f>
        <v/>
      </c>
      <c r="C1644" s="8">
        <f>IFERROR(VLOOKUP($A1644,'01-原始价格'!$A:$M,8,FALSE),"")</f>
        <v/>
      </c>
      <c r="D1644" s="10">
        <f>IFERROR(B1644/C1644,"")</f>
        <v/>
      </c>
      <c r="E1644" s="10">
        <f>IFERROR(C1644/B1644,"")</f>
        <v/>
      </c>
      <c r="F1644" s="11">
        <f>IFERROR((D1644/D1643-1)*100,"")</f>
        <v/>
      </c>
      <c r="G1644" s="11">
        <f>IFERROR((COUNTIF($D$1393:$D$1644,"&lt;"&amp;D1644)+0.5*COUNTIF($D$1393:$D$1644,D1644))/COUNT($D$1393:$D$1644)*100,"")</f>
        <v/>
      </c>
      <c r="H1644" s="10">
        <f>IFERROR(AVERAGE($D$1393:$D$1644),"")</f>
        <v/>
      </c>
      <c r="I1644" s="10" t="n">
        <v>1.111224043510456</v>
      </c>
      <c r="J1644" t="inlineStr"/>
      <c r="K1644" t="inlineStr"/>
    </row>
    <row r="1645">
      <c r="A1645" s="7" t="inlineStr">
        <is>
          <t>2020-11-25</t>
        </is>
      </c>
      <c r="B1645" s="8">
        <f>IFERROR(VLOOKUP($A1645,'01-原始价格'!$A:$M,2,FALSE),"")</f>
        <v/>
      </c>
      <c r="C1645" s="8">
        <f>IFERROR(VLOOKUP($A1645,'01-原始价格'!$A:$M,8,FALSE),"")</f>
        <v/>
      </c>
      <c r="D1645" s="10">
        <f>IFERROR(B1645/C1645,"")</f>
        <v/>
      </c>
      <c r="E1645" s="10">
        <f>IFERROR(C1645/B1645,"")</f>
        <v/>
      </c>
      <c r="F1645" s="11">
        <f>IFERROR((D1645/D1644-1)*100,"")</f>
        <v/>
      </c>
      <c r="G1645" s="11">
        <f>IFERROR((COUNTIF($D$1394:$D$1645,"&lt;"&amp;D1645)+0.5*COUNTIF($D$1394:$D$1645,D1645))/COUNT($D$1394:$D$1645)*100,"")</f>
        <v/>
      </c>
      <c r="H1645" s="10">
        <f>IFERROR(AVERAGE($D$1394:$D$1645),"")</f>
        <v/>
      </c>
      <c r="I1645" s="10" t="n">
        <v>1.704296496038912</v>
      </c>
      <c r="J1645" t="inlineStr"/>
      <c r="K1645" t="inlineStr"/>
    </row>
    <row r="1646">
      <c r="A1646" s="7" t="inlineStr">
        <is>
          <t>2020-11-26</t>
        </is>
      </c>
      <c r="B1646" s="8">
        <f>IFERROR(VLOOKUP($A1646,'01-原始价格'!$A:$M,2,FALSE),"")</f>
        <v/>
      </c>
      <c r="C1646" s="8">
        <f>IFERROR(VLOOKUP($A1646,'01-原始价格'!$A:$M,8,FALSE),"")</f>
        <v/>
      </c>
      <c r="D1646" s="10">
        <f>IFERROR(B1646/C1646,"")</f>
        <v/>
      </c>
      <c r="E1646" s="10">
        <f>IFERROR(C1646/B1646,"")</f>
        <v/>
      </c>
      <c r="F1646" s="11">
        <f>IFERROR((D1646/D1645-1)*100,"")</f>
        <v/>
      </c>
      <c r="G1646" s="11">
        <f>IFERROR((COUNTIF($D$1395:$D$1646,"&lt;"&amp;D1646)+0.5*COUNTIF($D$1395:$D$1646,D1646))/COUNT($D$1395:$D$1646)*100,"")</f>
        <v/>
      </c>
      <c r="H1646" s="10">
        <f>IFERROR(AVERAGE($D$1395:$D$1646),"")</f>
        <v/>
      </c>
      <c r="I1646" s="10" t="n">
        <v>1.390369636817652</v>
      </c>
      <c r="J1646" t="inlineStr"/>
      <c r="K1646" t="inlineStr"/>
    </row>
    <row r="1647">
      <c r="A1647" s="7" t="inlineStr">
        <is>
          <t>2020-11-27</t>
        </is>
      </c>
      <c r="B1647" s="8">
        <f>IFERROR(VLOOKUP($A1647,'01-原始价格'!$A:$M,2,FALSE),"")</f>
        <v/>
      </c>
      <c r="C1647" s="8">
        <f>IFERROR(VLOOKUP($A1647,'01-原始价格'!$A:$M,8,FALSE),"")</f>
        <v/>
      </c>
      <c r="D1647" s="10">
        <f>IFERROR(B1647/C1647,"")</f>
        <v/>
      </c>
      <c r="E1647" s="10">
        <f>IFERROR(C1647/B1647,"")</f>
        <v/>
      </c>
      <c r="F1647" s="11">
        <f>IFERROR((D1647/D1646-1)*100,"")</f>
        <v/>
      </c>
      <c r="G1647" s="11">
        <f>IFERROR((COUNTIF($D$1396:$D$1647,"&lt;"&amp;D1647)+0.5*COUNTIF($D$1396:$D$1647,D1647))/COUNT($D$1396:$D$1647)*100,"")</f>
        <v/>
      </c>
      <c r="H1647" s="10">
        <f>IFERROR(AVERAGE($D$1396:$D$1647),"")</f>
        <v/>
      </c>
      <c r="I1647" s="10" t="n">
        <v>1.005376957859721</v>
      </c>
      <c r="J1647" t="inlineStr"/>
      <c r="K1647" t="inlineStr"/>
    </row>
    <row r="1648">
      <c r="A1648" s="7" t="inlineStr">
        <is>
          <t>2020-11-30</t>
        </is>
      </c>
      <c r="B1648" s="8">
        <f>IFERROR(VLOOKUP($A1648,'01-原始价格'!$A:$M,2,FALSE),"")</f>
        <v/>
      </c>
      <c r="C1648" s="8">
        <f>IFERROR(VLOOKUP($A1648,'01-原始价格'!$A:$M,8,FALSE),"")</f>
        <v/>
      </c>
      <c r="D1648" s="10">
        <f>IFERROR(B1648/C1648,"")</f>
        <v/>
      </c>
      <c r="E1648" s="10">
        <f>IFERROR(C1648/B1648,"")</f>
        <v/>
      </c>
      <c r="F1648" s="11">
        <f>IFERROR((D1648/D1647-1)*100,"")</f>
        <v/>
      </c>
      <c r="G1648" s="11">
        <f>IFERROR((COUNTIF($D$1397:$D$1648,"&lt;"&amp;D1648)+0.5*COUNTIF($D$1397:$D$1648,D1648))/COUNT($D$1397:$D$1648)*100,"")</f>
        <v/>
      </c>
      <c r="H1648" s="10">
        <f>IFERROR(AVERAGE($D$1397:$D$1648),"")</f>
        <v/>
      </c>
      <c r="I1648" s="10" t="n">
        <v>1.040993811590861</v>
      </c>
      <c r="J1648" t="inlineStr"/>
      <c r="K1648" t="inlineStr"/>
    </row>
    <row r="1649">
      <c r="A1649" s="7" t="inlineStr">
        <is>
          <t>2020-12-01</t>
        </is>
      </c>
      <c r="B1649" s="8">
        <f>IFERROR(VLOOKUP($A1649,'01-原始价格'!$A:$M,2,FALSE),"")</f>
        <v/>
      </c>
      <c r="C1649" s="8">
        <f>IFERROR(VLOOKUP($A1649,'01-原始价格'!$A:$M,8,FALSE),"")</f>
        <v/>
      </c>
      <c r="D1649" s="10">
        <f>IFERROR(B1649/C1649,"")</f>
        <v/>
      </c>
      <c r="E1649" s="10">
        <f>IFERROR(C1649/B1649,"")</f>
        <v/>
      </c>
      <c r="F1649" s="11">
        <f>IFERROR((D1649/D1648-1)*100,"")</f>
        <v/>
      </c>
      <c r="G1649" s="11">
        <f>IFERROR((COUNTIF($D$1398:$D$1649,"&lt;"&amp;D1649)+0.5*COUNTIF($D$1398:$D$1649,D1649))/COUNT($D$1398:$D$1649)*100,"")</f>
        <v/>
      </c>
      <c r="H1649" s="10">
        <f>IFERROR(AVERAGE($D$1398:$D$1649),"")</f>
        <v/>
      </c>
      <c r="I1649" s="10" t="n">
        <v>0.4035485036956046</v>
      </c>
      <c r="J1649" t="inlineStr"/>
      <c r="K1649" t="inlineStr"/>
    </row>
    <row r="1650">
      <c r="A1650" s="7" t="inlineStr">
        <is>
          <t>2020-12-02</t>
        </is>
      </c>
      <c r="B1650" s="8">
        <f>IFERROR(VLOOKUP($A1650,'01-原始价格'!$A:$M,2,FALSE),"")</f>
        <v/>
      </c>
      <c r="C1650" s="8">
        <f>IFERROR(VLOOKUP($A1650,'01-原始价格'!$A:$M,8,FALSE),"")</f>
        <v/>
      </c>
      <c r="D1650" s="10">
        <f>IFERROR(B1650/C1650,"")</f>
        <v/>
      </c>
      <c r="E1650" s="10">
        <f>IFERROR(C1650/B1650,"")</f>
        <v/>
      </c>
      <c r="F1650" s="11">
        <f>IFERROR((D1650/D1649-1)*100,"")</f>
        <v/>
      </c>
      <c r="G1650" s="11">
        <f>IFERROR((COUNTIF($D$1399:$D$1650,"&lt;"&amp;D1650)+0.5*COUNTIF($D$1399:$D$1650,D1650))/COUNT($D$1399:$D$1650)*100,"")</f>
        <v/>
      </c>
      <c r="H1650" s="10">
        <f>IFERROR(AVERAGE($D$1399:$D$1650),"")</f>
        <v/>
      </c>
      <c r="I1650" s="10" t="n">
        <v>0.7274272194184279</v>
      </c>
      <c r="J1650" t="inlineStr"/>
      <c r="K1650" t="inlineStr"/>
    </row>
    <row r="1651">
      <c r="A1651" s="7" t="inlineStr">
        <is>
          <t>2020-12-03</t>
        </is>
      </c>
      <c r="B1651" s="8">
        <f>IFERROR(VLOOKUP($A1651,'01-原始价格'!$A:$M,2,FALSE),"")</f>
        <v/>
      </c>
      <c r="C1651" s="8">
        <f>IFERROR(VLOOKUP($A1651,'01-原始价格'!$A:$M,8,FALSE),"")</f>
        <v/>
      </c>
      <c r="D1651" s="10">
        <f>IFERROR(B1651/C1651,"")</f>
        <v/>
      </c>
      <c r="E1651" s="10">
        <f>IFERROR(C1651/B1651,"")</f>
        <v/>
      </c>
      <c r="F1651" s="11">
        <f>IFERROR((D1651/D1650-1)*100,"")</f>
        <v/>
      </c>
      <c r="G1651" s="11">
        <f>IFERROR((COUNTIF($D$1400:$D$1651,"&lt;"&amp;D1651)+0.5*COUNTIF($D$1400:$D$1651,D1651))/COUNT($D$1400:$D$1651)*100,"")</f>
        <v/>
      </c>
      <c r="H1651" s="10">
        <f>IFERROR(AVERAGE($D$1400:$D$1651),"")</f>
        <v/>
      </c>
      <c r="I1651" s="10" t="n">
        <v>0.4282747588276268</v>
      </c>
      <c r="J1651" t="inlineStr"/>
      <c r="K1651" t="inlineStr"/>
    </row>
    <row r="1652">
      <c r="A1652" s="7" t="inlineStr">
        <is>
          <t>2020-12-04</t>
        </is>
      </c>
      <c r="B1652" s="8">
        <f>IFERROR(VLOOKUP($A1652,'01-原始价格'!$A:$M,2,FALSE),"")</f>
        <v/>
      </c>
      <c r="C1652" s="8">
        <f>IFERROR(VLOOKUP($A1652,'01-原始价格'!$A:$M,8,FALSE),"")</f>
        <v/>
      </c>
      <c r="D1652" s="10">
        <f>IFERROR(B1652/C1652,"")</f>
        <v/>
      </c>
      <c r="E1652" s="10">
        <f>IFERROR(C1652/B1652,"")</f>
        <v/>
      </c>
      <c r="F1652" s="11">
        <f>IFERROR((D1652/D1651-1)*100,"")</f>
        <v/>
      </c>
      <c r="G1652" s="11">
        <f>IFERROR((COUNTIF($D$1401:$D$1652,"&lt;"&amp;D1652)+0.5*COUNTIF($D$1401:$D$1652,D1652))/COUNT($D$1401:$D$1652)*100,"")</f>
        <v/>
      </c>
      <c r="H1652" s="10">
        <f>IFERROR(AVERAGE($D$1401:$D$1652),"")</f>
        <v/>
      </c>
      <c r="I1652" s="10" t="n">
        <v>-0.03143253854989543</v>
      </c>
      <c r="J1652" t="inlineStr"/>
      <c r="K1652" t="inlineStr"/>
    </row>
    <row r="1653">
      <c r="A1653" s="7" t="inlineStr">
        <is>
          <t>2020-12-07</t>
        </is>
      </c>
      <c r="B1653" s="8">
        <f>IFERROR(VLOOKUP($A1653,'01-原始价格'!$A:$M,2,FALSE),"")</f>
        <v/>
      </c>
      <c r="C1653" s="8">
        <f>IFERROR(VLOOKUP($A1653,'01-原始价格'!$A:$M,8,FALSE),"")</f>
        <v/>
      </c>
      <c r="D1653" s="10">
        <f>IFERROR(B1653/C1653,"")</f>
        <v/>
      </c>
      <c r="E1653" s="10">
        <f>IFERROR(C1653/B1653,"")</f>
        <v/>
      </c>
      <c r="F1653" s="11">
        <f>IFERROR((D1653/D1652-1)*100,"")</f>
        <v/>
      </c>
      <c r="G1653" s="11">
        <f>IFERROR((COUNTIF($D$1402:$D$1653,"&lt;"&amp;D1653)+0.5*COUNTIF($D$1402:$D$1653,D1653))/COUNT($D$1402:$D$1653)*100,"")</f>
        <v/>
      </c>
      <c r="H1653" s="10">
        <f>IFERROR(AVERAGE($D$1402:$D$1653),"")</f>
        <v/>
      </c>
      <c r="I1653" s="10" t="n">
        <v>-0.2619340156257021</v>
      </c>
      <c r="J1653" t="inlineStr"/>
      <c r="K1653" t="inlineStr"/>
    </row>
    <row r="1654">
      <c r="A1654" s="7" t="inlineStr">
        <is>
          <t>2020-12-08</t>
        </is>
      </c>
      <c r="B1654" s="8">
        <f>IFERROR(VLOOKUP($A1654,'01-原始价格'!$A:$M,2,FALSE),"")</f>
        <v/>
      </c>
      <c r="C1654" s="8">
        <f>IFERROR(VLOOKUP($A1654,'01-原始价格'!$A:$M,8,FALSE),"")</f>
        <v/>
      </c>
      <c r="D1654" s="10">
        <f>IFERROR(B1654/C1654,"")</f>
        <v/>
      </c>
      <c r="E1654" s="10">
        <f>IFERROR(C1654/B1654,"")</f>
        <v/>
      </c>
      <c r="F1654" s="11">
        <f>IFERROR((D1654/D1653-1)*100,"")</f>
        <v/>
      </c>
      <c r="G1654" s="11">
        <f>IFERROR((COUNTIF($D$1403:$D$1654,"&lt;"&amp;D1654)+0.5*COUNTIF($D$1403:$D$1654,D1654))/COUNT($D$1403:$D$1654)*100,"")</f>
        <v/>
      </c>
      <c r="H1654" s="10">
        <f>IFERROR(AVERAGE($D$1403:$D$1654),"")</f>
        <v/>
      </c>
      <c r="I1654" s="10" t="n">
        <v>-0.2449440612202534</v>
      </c>
      <c r="J1654" t="inlineStr"/>
      <c r="K1654" t="inlineStr"/>
    </row>
    <row r="1655">
      <c r="A1655" s="7" t="inlineStr">
        <is>
          <t>2020-12-09</t>
        </is>
      </c>
      <c r="B1655" s="8">
        <f>IFERROR(VLOOKUP($A1655,'01-原始价格'!$A:$M,2,FALSE),"")</f>
        <v/>
      </c>
      <c r="C1655" s="8">
        <f>IFERROR(VLOOKUP($A1655,'01-原始价格'!$A:$M,8,FALSE),"")</f>
        <v/>
      </c>
      <c r="D1655" s="10">
        <f>IFERROR(B1655/C1655,"")</f>
        <v/>
      </c>
      <c r="E1655" s="10">
        <f>IFERROR(C1655/B1655,"")</f>
        <v/>
      </c>
      <c r="F1655" s="11">
        <f>IFERROR((D1655/D1654-1)*100,"")</f>
        <v/>
      </c>
      <c r="G1655" s="11">
        <f>IFERROR((COUNTIF($D$1404:$D$1655,"&lt;"&amp;D1655)+0.5*COUNTIF($D$1404:$D$1655,D1655))/COUNT($D$1404:$D$1655)*100,"")</f>
        <v/>
      </c>
      <c r="H1655" s="10">
        <f>IFERROR(AVERAGE($D$1404:$D$1655),"")</f>
        <v/>
      </c>
      <c r="I1655" s="10" t="n">
        <v>-0.02028241002878241</v>
      </c>
      <c r="J1655" t="inlineStr"/>
      <c r="K1655" t="inlineStr"/>
    </row>
    <row r="1656">
      <c r="A1656" s="7" t="inlineStr">
        <is>
          <t>2020-12-10</t>
        </is>
      </c>
      <c r="B1656" s="8">
        <f>IFERROR(VLOOKUP($A1656,'01-原始价格'!$A:$M,2,FALSE),"")</f>
        <v/>
      </c>
      <c r="C1656" s="8">
        <f>IFERROR(VLOOKUP($A1656,'01-原始价格'!$A:$M,8,FALSE),"")</f>
        <v/>
      </c>
      <c r="D1656" s="10">
        <f>IFERROR(B1656/C1656,"")</f>
        <v/>
      </c>
      <c r="E1656" s="10">
        <f>IFERROR(C1656/B1656,"")</f>
        <v/>
      </c>
      <c r="F1656" s="11">
        <f>IFERROR((D1656/D1655-1)*100,"")</f>
        <v/>
      </c>
      <c r="G1656" s="11">
        <f>IFERROR((COUNTIF($D$1405:$D$1656,"&lt;"&amp;D1656)+0.5*COUNTIF($D$1405:$D$1656,D1656))/COUNT($D$1405:$D$1656)*100,"")</f>
        <v/>
      </c>
      <c r="H1656" s="10">
        <f>IFERROR(AVERAGE($D$1405:$D$1656),"")</f>
        <v/>
      </c>
      <c r="I1656" s="10" t="n">
        <v>-0.01207012784540653</v>
      </c>
      <c r="J1656" t="inlineStr"/>
      <c r="K1656" t="inlineStr"/>
    </row>
    <row r="1657">
      <c r="A1657" s="7" t="inlineStr">
        <is>
          <t>2020-12-11</t>
        </is>
      </c>
      <c r="B1657" s="8">
        <f>IFERROR(VLOOKUP($A1657,'01-原始价格'!$A:$M,2,FALSE),"")</f>
        <v/>
      </c>
      <c r="C1657" s="8">
        <f>IFERROR(VLOOKUP($A1657,'01-原始价格'!$A:$M,8,FALSE),"")</f>
        <v/>
      </c>
      <c r="D1657" s="10">
        <f>IFERROR(B1657/C1657,"")</f>
        <v/>
      </c>
      <c r="E1657" s="10">
        <f>IFERROR(C1657/B1657,"")</f>
        <v/>
      </c>
      <c r="F1657" s="11">
        <f>IFERROR((D1657/D1656-1)*100,"")</f>
        <v/>
      </c>
      <c r="G1657" s="11">
        <f>IFERROR((COUNTIF($D$1406:$D$1657,"&lt;"&amp;D1657)+0.5*COUNTIF($D$1406:$D$1657,D1657))/COUNT($D$1406:$D$1657)*100,"")</f>
        <v/>
      </c>
      <c r="H1657" s="10">
        <f>IFERROR(AVERAGE($D$1406:$D$1657),"")</f>
        <v/>
      </c>
      <c r="I1657" s="10" t="n">
        <v>0.6373812427699811</v>
      </c>
      <c r="J1657" t="inlineStr"/>
      <c r="K1657" t="inlineStr"/>
    </row>
    <row r="1658">
      <c r="A1658" s="7" t="inlineStr">
        <is>
          <t>2020-12-14</t>
        </is>
      </c>
      <c r="B1658" s="8">
        <f>IFERROR(VLOOKUP($A1658,'01-原始价格'!$A:$M,2,FALSE),"")</f>
        <v/>
      </c>
      <c r="C1658" s="8">
        <f>IFERROR(VLOOKUP($A1658,'01-原始价格'!$A:$M,8,FALSE),"")</f>
        <v/>
      </c>
      <c r="D1658" s="10">
        <f>IFERROR(B1658/C1658,"")</f>
        <v/>
      </c>
      <c r="E1658" s="10">
        <f>IFERROR(C1658/B1658,"")</f>
        <v/>
      </c>
      <c r="F1658" s="11">
        <f>IFERROR((D1658/D1657-1)*100,"")</f>
        <v/>
      </c>
      <c r="G1658" s="11">
        <f>IFERROR((COUNTIF($D$1407:$D$1658,"&lt;"&amp;D1658)+0.5*COUNTIF($D$1407:$D$1658,D1658))/COUNT($D$1407:$D$1658)*100,"")</f>
        <v/>
      </c>
      <c r="H1658" s="10">
        <f>IFERROR(AVERAGE($D$1407:$D$1658),"")</f>
        <v/>
      </c>
      <c r="I1658" s="10" t="n">
        <v>-0.6983995213295949</v>
      </c>
      <c r="J1658" t="inlineStr"/>
      <c r="K1658" t="inlineStr"/>
    </row>
    <row r="1659">
      <c r="A1659" s="7" t="inlineStr">
        <is>
          <t>2020-12-15</t>
        </is>
      </c>
      <c r="B1659" s="8">
        <f>IFERROR(VLOOKUP($A1659,'01-原始价格'!$A:$M,2,FALSE),"")</f>
        <v/>
      </c>
      <c r="C1659" s="8">
        <f>IFERROR(VLOOKUP($A1659,'01-原始价格'!$A:$M,8,FALSE),"")</f>
        <v/>
      </c>
      <c r="D1659" s="10">
        <f>IFERROR(B1659/C1659,"")</f>
        <v/>
      </c>
      <c r="E1659" s="10">
        <f>IFERROR(C1659/B1659,"")</f>
        <v/>
      </c>
      <c r="F1659" s="11">
        <f>IFERROR((D1659/D1658-1)*100,"")</f>
        <v/>
      </c>
      <c r="G1659" s="11">
        <f>IFERROR((COUNTIF($D$1408:$D$1659,"&lt;"&amp;D1659)+0.5*COUNTIF($D$1408:$D$1659,D1659))/COUNT($D$1408:$D$1659)*100,"")</f>
        <v/>
      </c>
      <c r="H1659" s="10">
        <f>IFERROR(AVERAGE($D$1408:$D$1659),"")</f>
        <v/>
      </c>
      <c r="I1659" s="10" t="n">
        <v>-0.5073198283760731</v>
      </c>
      <c r="J1659" t="inlineStr"/>
      <c r="K1659" t="inlineStr"/>
    </row>
    <row r="1660">
      <c r="A1660" s="7" t="inlineStr">
        <is>
          <t>2020-12-16</t>
        </is>
      </c>
      <c r="B1660" s="8">
        <f>IFERROR(VLOOKUP($A1660,'01-原始价格'!$A:$M,2,FALSE),"")</f>
        <v/>
      </c>
      <c r="C1660" s="8">
        <f>IFERROR(VLOOKUP($A1660,'01-原始价格'!$A:$M,8,FALSE),"")</f>
        <v/>
      </c>
      <c r="D1660" s="10">
        <f>IFERROR(B1660/C1660,"")</f>
        <v/>
      </c>
      <c r="E1660" s="10">
        <f>IFERROR(C1660/B1660,"")</f>
        <v/>
      </c>
      <c r="F1660" s="11">
        <f>IFERROR((D1660/D1659-1)*100,"")</f>
        <v/>
      </c>
      <c r="G1660" s="11">
        <f>IFERROR((COUNTIF($D$1409:$D$1660,"&lt;"&amp;D1660)+0.5*COUNTIF($D$1409:$D$1660,D1660))/COUNT($D$1409:$D$1660)*100,"")</f>
        <v/>
      </c>
      <c r="H1660" s="10">
        <f>IFERROR(AVERAGE($D$1409:$D$1660),"")</f>
        <v/>
      </c>
      <c r="I1660" s="10" t="n">
        <v>-1.160397233731053</v>
      </c>
      <c r="J1660" t="inlineStr"/>
      <c r="K1660" s="12" t="inlineStr">
        <is>
          <t>是</t>
        </is>
      </c>
      <c r="L1660" t="inlineStr">
        <is>
          <t>换月日</t>
        </is>
      </c>
    </row>
    <row r="1661">
      <c r="A1661" s="7" t="inlineStr">
        <is>
          <t>2020-12-17</t>
        </is>
      </c>
      <c r="B1661" s="8">
        <f>IFERROR(VLOOKUP($A1661,'01-原始价格'!$A:$M,2,FALSE),"")</f>
        <v/>
      </c>
      <c r="C1661" s="8">
        <f>IFERROR(VLOOKUP($A1661,'01-原始价格'!$A:$M,8,FALSE),"")</f>
        <v/>
      </c>
      <c r="D1661" s="10">
        <f>IFERROR(B1661/C1661,"")</f>
        <v/>
      </c>
      <c r="E1661" s="10">
        <f>IFERROR(C1661/B1661,"")</f>
        <v/>
      </c>
      <c r="F1661" s="11">
        <f>IFERROR((D1661/D1660-1)*100,"")</f>
        <v/>
      </c>
      <c r="G1661" s="11">
        <f>IFERROR((COUNTIF($D$1410:$D$1661,"&lt;"&amp;D1661)+0.5*COUNTIF($D$1410:$D$1661,D1661))/COUNT($D$1410:$D$1661)*100,"")</f>
        <v/>
      </c>
      <c r="H1661" s="10">
        <f>IFERROR(AVERAGE($D$1410:$D$1661),"")</f>
        <v/>
      </c>
      <c r="I1661" s="10" t="n">
        <v>-1.223342529246938</v>
      </c>
      <c r="J1661" t="inlineStr"/>
      <c r="K1661" t="inlineStr"/>
    </row>
    <row r="1662">
      <c r="A1662" s="7" t="inlineStr">
        <is>
          <t>2020-12-18</t>
        </is>
      </c>
      <c r="B1662" s="8">
        <f>IFERROR(VLOOKUP($A1662,'01-原始价格'!$A:$M,2,FALSE),"")</f>
        <v/>
      </c>
      <c r="C1662" s="8">
        <f>IFERROR(VLOOKUP($A1662,'01-原始价格'!$A:$M,8,FALSE),"")</f>
        <v/>
      </c>
      <c r="D1662" s="10">
        <f>IFERROR(B1662/C1662,"")</f>
        <v/>
      </c>
      <c r="E1662" s="10">
        <f>IFERROR(C1662/B1662,"")</f>
        <v/>
      </c>
      <c r="F1662" s="11">
        <f>IFERROR((D1662/D1661-1)*100,"")</f>
        <v/>
      </c>
      <c r="G1662" s="11">
        <f>IFERROR((COUNTIF($D$1411:$D$1662,"&lt;"&amp;D1662)+0.5*COUNTIF($D$1411:$D$1662,D1662))/COUNT($D$1411:$D$1662)*100,"")</f>
        <v/>
      </c>
      <c r="H1662" s="10">
        <f>IFERROR(AVERAGE($D$1411:$D$1662),"")</f>
        <v/>
      </c>
      <c r="I1662" s="10" t="n">
        <v>-1.272445034165579</v>
      </c>
      <c r="J1662" t="inlineStr"/>
      <c r="K1662" t="inlineStr"/>
    </row>
    <row r="1663">
      <c r="A1663" s="7" t="inlineStr">
        <is>
          <t>2020-12-21</t>
        </is>
      </c>
      <c r="B1663" s="8">
        <f>IFERROR(VLOOKUP($A1663,'01-原始价格'!$A:$M,2,FALSE),"")</f>
        <v/>
      </c>
      <c r="C1663" s="8">
        <f>IFERROR(VLOOKUP($A1663,'01-原始价格'!$A:$M,8,FALSE),"")</f>
        <v/>
      </c>
      <c r="D1663" s="10">
        <f>IFERROR(B1663/C1663,"")</f>
        <v/>
      </c>
      <c r="E1663" s="10">
        <f>IFERROR(C1663/B1663,"")</f>
        <v/>
      </c>
      <c r="F1663" s="11">
        <f>IFERROR((D1663/D1662-1)*100,"")</f>
        <v/>
      </c>
      <c r="G1663" s="11">
        <f>IFERROR((COUNTIF($D$1412:$D$1663,"&lt;"&amp;D1663)+0.5*COUNTIF($D$1412:$D$1663,D1663))/COUNT($D$1412:$D$1663)*100,"")</f>
        <v/>
      </c>
      <c r="H1663" s="10">
        <f>IFERROR(AVERAGE($D$1412:$D$1663),"")</f>
        <v/>
      </c>
      <c r="I1663" s="10" t="n">
        <v>-0.4879116818524642</v>
      </c>
      <c r="J1663" t="inlineStr"/>
      <c r="K1663" t="inlineStr"/>
    </row>
    <row r="1664">
      <c r="A1664" s="7" t="inlineStr">
        <is>
          <t>2020-12-22</t>
        </is>
      </c>
      <c r="B1664" s="8">
        <f>IFERROR(VLOOKUP($A1664,'01-原始价格'!$A:$M,2,FALSE),"")</f>
        <v/>
      </c>
      <c r="C1664" s="8">
        <f>IFERROR(VLOOKUP($A1664,'01-原始价格'!$A:$M,8,FALSE),"")</f>
        <v/>
      </c>
      <c r="D1664" s="10">
        <f>IFERROR(B1664/C1664,"")</f>
        <v/>
      </c>
      <c r="E1664" s="10">
        <f>IFERROR(C1664/B1664,"")</f>
        <v/>
      </c>
      <c r="F1664" s="11">
        <f>IFERROR((D1664/D1663-1)*100,"")</f>
        <v/>
      </c>
      <c r="G1664" s="11">
        <f>IFERROR((COUNTIF($D$1413:$D$1664,"&lt;"&amp;D1664)+0.5*COUNTIF($D$1413:$D$1664,D1664))/COUNT($D$1413:$D$1664)*100,"")</f>
        <v/>
      </c>
      <c r="H1664" s="10">
        <f>IFERROR(AVERAGE($D$1413:$D$1664),"")</f>
        <v/>
      </c>
      <c r="I1664" s="10" t="n">
        <v>-0.8458029740283017</v>
      </c>
      <c r="J1664" t="inlineStr"/>
      <c r="K1664" t="inlineStr"/>
    </row>
    <row r="1665">
      <c r="A1665" s="7" t="inlineStr">
        <is>
          <t>2020-12-23</t>
        </is>
      </c>
      <c r="B1665" s="8">
        <f>IFERROR(VLOOKUP($A1665,'01-原始价格'!$A:$M,2,FALSE),"")</f>
        <v/>
      </c>
      <c r="C1665" s="8">
        <f>IFERROR(VLOOKUP($A1665,'01-原始价格'!$A:$M,8,FALSE),"")</f>
        <v/>
      </c>
      <c r="D1665" s="10">
        <f>IFERROR(B1665/C1665,"")</f>
        <v/>
      </c>
      <c r="E1665" s="10">
        <f>IFERROR(C1665/B1665,"")</f>
        <v/>
      </c>
      <c r="F1665" s="11">
        <f>IFERROR((D1665/D1664-1)*100,"")</f>
        <v/>
      </c>
      <c r="G1665" s="11">
        <f>IFERROR((COUNTIF($D$1414:$D$1665,"&lt;"&amp;D1665)+0.5*COUNTIF($D$1414:$D$1665,D1665))/COUNT($D$1414:$D$1665)*100,"")</f>
        <v/>
      </c>
      <c r="H1665" s="10">
        <f>IFERROR(AVERAGE($D$1414:$D$1665),"")</f>
        <v/>
      </c>
      <c r="I1665" s="10" t="n">
        <v>-1.180249065520823</v>
      </c>
      <c r="J1665" t="inlineStr"/>
      <c r="K1665" t="inlineStr"/>
    </row>
    <row r="1666">
      <c r="A1666" s="7" t="inlineStr">
        <is>
          <t>2020-12-24</t>
        </is>
      </c>
      <c r="B1666" s="8">
        <f>IFERROR(VLOOKUP($A1666,'01-原始价格'!$A:$M,2,FALSE),"")</f>
        <v/>
      </c>
      <c r="C1666" s="8">
        <f>IFERROR(VLOOKUP($A1666,'01-原始价格'!$A:$M,8,FALSE),"")</f>
        <v/>
      </c>
      <c r="D1666" s="10">
        <f>IFERROR(B1666/C1666,"")</f>
        <v/>
      </c>
      <c r="E1666" s="10">
        <f>IFERROR(C1666/B1666,"")</f>
        <v/>
      </c>
      <c r="F1666" s="11">
        <f>IFERROR((D1666/D1665-1)*100,"")</f>
        <v/>
      </c>
      <c r="G1666" s="11">
        <f>IFERROR((COUNTIF($D$1415:$D$1666,"&lt;"&amp;D1666)+0.5*COUNTIF($D$1415:$D$1666,D1666))/COUNT($D$1415:$D$1666)*100,"")</f>
        <v/>
      </c>
      <c r="H1666" s="10">
        <f>IFERROR(AVERAGE($D$1415:$D$1666),"")</f>
        <v/>
      </c>
      <c r="I1666" s="10" t="n">
        <v>-1.662968773706989</v>
      </c>
      <c r="J1666" t="inlineStr"/>
      <c r="K1666" t="inlineStr"/>
    </row>
    <row r="1667">
      <c r="A1667" s="7" t="inlineStr">
        <is>
          <t>2020-12-25</t>
        </is>
      </c>
      <c r="B1667" s="8">
        <f>IFERROR(VLOOKUP($A1667,'01-原始价格'!$A:$M,2,FALSE),"")</f>
        <v/>
      </c>
      <c r="C1667" s="8">
        <f>IFERROR(VLOOKUP($A1667,'01-原始价格'!$A:$M,8,FALSE),"")</f>
        <v/>
      </c>
      <c r="D1667" s="10">
        <f>IFERROR(B1667/C1667,"")</f>
        <v/>
      </c>
      <c r="E1667" s="10">
        <f>IFERROR(C1667/B1667,"")</f>
        <v/>
      </c>
      <c r="F1667" s="11">
        <f>IFERROR((D1667/D1666-1)*100,"")</f>
        <v/>
      </c>
      <c r="G1667" s="11">
        <f>IFERROR((COUNTIF($D$1416:$D$1667,"&lt;"&amp;D1667)+0.5*COUNTIF($D$1416:$D$1667,D1667))/COUNT($D$1416:$D$1667)*100,"")</f>
        <v/>
      </c>
      <c r="H1667" s="10">
        <f>IFERROR(AVERAGE($D$1416:$D$1667),"")</f>
        <v/>
      </c>
      <c r="I1667" s="10" t="n">
        <v>-0.8526814643624642</v>
      </c>
      <c r="J1667" t="inlineStr"/>
      <c r="K1667" t="inlineStr"/>
    </row>
    <row r="1668">
      <c r="A1668" s="7" t="inlineStr">
        <is>
          <t>2020-12-28</t>
        </is>
      </c>
      <c r="B1668" s="8">
        <f>IFERROR(VLOOKUP($A1668,'01-原始价格'!$A:$M,2,FALSE),"")</f>
        <v/>
      </c>
      <c r="C1668" s="8">
        <f>IFERROR(VLOOKUP($A1668,'01-原始价格'!$A:$M,8,FALSE),"")</f>
        <v/>
      </c>
      <c r="D1668" s="10">
        <f>IFERROR(B1668/C1668,"")</f>
        <v/>
      </c>
      <c r="E1668" s="10">
        <f>IFERROR(C1668/B1668,"")</f>
        <v/>
      </c>
      <c r="F1668" s="11">
        <f>IFERROR((D1668/D1667-1)*100,"")</f>
        <v/>
      </c>
      <c r="G1668" s="11">
        <f>IFERROR((COUNTIF($D$1417:$D$1668,"&lt;"&amp;D1668)+0.5*COUNTIF($D$1417:$D$1668,D1668))/COUNT($D$1417:$D$1668)*100,"")</f>
        <v/>
      </c>
      <c r="H1668" s="10">
        <f>IFERROR(AVERAGE($D$1417:$D$1668),"")</f>
        <v/>
      </c>
      <c r="I1668" s="10" t="n">
        <v>-1.171199313347332</v>
      </c>
      <c r="J1668" t="inlineStr"/>
      <c r="K1668" t="inlineStr"/>
    </row>
    <row r="1669">
      <c r="A1669" s="7" t="inlineStr">
        <is>
          <t>2020-12-29</t>
        </is>
      </c>
      <c r="B1669" s="8">
        <f>IFERROR(VLOOKUP($A1669,'01-原始价格'!$A:$M,2,FALSE),"")</f>
        <v/>
      </c>
      <c r="C1669" s="8">
        <f>IFERROR(VLOOKUP($A1669,'01-原始价格'!$A:$M,8,FALSE),"")</f>
        <v/>
      </c>
      <c r="D1669" s="10">
        <f>IFERROR(B1669/C1669,"")</f>
        <v/>
      </c>
      <c r="E1669" s="10">
        <f>IFERROR(C1669/B1669,"")</f>
        <v/>
      </c>
      <c r="F1669" s="11">
        <f>IFERROR((D1669/D1668-1)*100,"")</f>
        <v/>
      </c>
      <c r="G1669" s="11">
        <f>IFERROR((COUNTIF($D$1418:$D$1669,"&lt;"&amp;D1669)+0.5*COUNTIF($D$1418:$D$1669,D1669))/COUNT($D$1418:$D$1669)*100,"")</f>
        <v/>
      </c>
      <c r="H1669" s="10">
        <f>IFERROR(AVERAGE($D$1418:$D$1669),"")</f>
        <v/>
      </c>
      <c r="I1669" s="10" t="n">
        <v>-1.157101150986084</v>
      </c>
      <c r="J1669" t="inlineStr"/>
      <c r="K1669" t="inlineStr"/>
    </row>
    <row r="1670">
      <c r="A1670" s="7" t="inlineStr">
        <is>
          <t>2020-12-30</t>
        </is>
      </c>
      <c r="B1670" s="8">
        <f>IFERROR(VLOOKUP($A1670,'01-原始价格'!$A:$M,2,FALSE),"")</f>
        <v/>
      </c>
      <c r="C1670" s="8">
        <f>IFERROR(VLOOKUP($A1670,'01-原始价格'!$A:$M,8,FALSE),"")</f>
        <v/>
      </c>
      <c r="D1670" s="10">
        <f>IFERROR(B1670/C1670,"")</f>
        <v/>
      </c>
      <c r="E1670" s="10">
        <f>IFERROR(C1670/B1670,"")</f>
        <v/>
      </c>
      <c r="F1670" s="11">
        <f>IFERROR((D1670/D1669-1)*100,"")</f>
        <v/>
      </c>
      <c r="G1670" s="11">
        <f>IFERROR((COUNTIF($D$1419:$D$1670,"&lt;"&amp;D1670)+0.5*COUNTIF($D$1419:$D$1670,D1670))/COUNT($D$1419:$D$1670)*100,"")</f>
        <v/>
      </c>
      <c r="H1670" s="10">
        <f>IFERROR(AVERAGE($D$1419:$D$1670),"")</f>
        <v/>
      </c>
      <c r="I1670" s="10" t="n">
        <v>-1.07148277096499</v>
      </c>
      <c r="J1670" t="inlineStr"/>
      <c r="K1670" t="inlineStr"/>
    </row>
    <row r="1671">
      <c r="A1671" s="7" t="inlineStr">
        <is>
          <t>2020-12-31</t>
        </is>
      </c>
      <c r="B1671" s="8">
        <f>IFERROR(VLOOKUP($A1671,'01-原始价格'!$A:$M,2,FALSE),"")</f>
        <v/>
      </c>
      <c r="C1671" s="8">
        <f>IFERROR(VLOOKUP($A1671,'01-原始价格'!$A:$M,8,FALSE),"")</f>
        <v/>
      </c>
      <c r="D1671" s="10">
        <f>IFERROR(B1671/C1671,"")</f>
        <v/>
      </c>
      <c r="E1671" s="10">
        <f>IFERROR(C1671/B1671,"")</f>
        <v/>
      </c>
      <c r="F1671" s="11">
        <f>IFERROR((D1671/D1670-1)*100,"")</f>
        <v/>
      </c>
      <c r="G1671" s="11">
        <f>IFERROR((COUNTIF($D$1420:$D$1671,"&lt;"&amp;D1671)+0.5*COUNTIF($D$1420:$D$1671,D1671))/COUNT($D$1420:$D$1671)*100,"")</f>
        <v/>
      </c>
      <c r="H1671" s="10">
        <f>IFERROR(AVERAGE($D$1420:$D$1671),"")</f>
        <v/>
      </c>
      <c r="I1671" s="10" t="n">
        <v>-1.507718942779418</v>
      </c>
      <c r="J1671" t="inlineStr"/>
      <c r="K1671" t="inlineStr"/>
    </row>
    <row r="1672">
      <c r="A1672" s="7" t="inlineStr">
        <is>
          <t>2021-01-04</t>
        </is>
      </c>
      <c r="B1672" s="8">
        <f>IFERROR(VLOOKUP($A1672,'01-原始价格'!$A:$M,2,FALSE),"")</f>
        <v/>
      </c>
      <c r="C1672" s="8">
        <f>IFERROR(VLOOKUP($A1672,'01-原始价格'!$A:$M,8,FALSE),"")</f>
        <v/>
      </c>
      <c r="D1672" s="10">
        <f>IFERROR(B1672/C1672,"")</f>
        <v/>
      </c>
      <c r="E1672" s="10">
        <f>IFERROR(C1672/B1672,"")</f>
        <v/>
      </c>
      <c r="F1672" s="11">
        <f>IFERROR((D1672/D1671-1)*100,"")</f>
        <v/>
      </c>
      <c r="G1672" s="11">
        <f>IFERROR((COUNTIF($D$1421:$D$1672,"&lt;"&amp;D1672)+0.5*COUNTIF($D$1421:$D$1672,D1672))/COUNT($D$1421:$D$1672)*100,"")</f>
        <v/>
      </c>
      <c r="H1672" s="10">
        <f>IFERROR(AVERAGE($D$1421:$D$1672),"")</f>
        <v/>
      </c>
      <c r="I1672" s="10" t="n">
        <v>-1.997361996330201</v>
      </c>
      <c r="J1672" t="inlineStr"/>
      <c r="K1672" t="inlineStr"/>
    </row>
    <row r="1673">
      <c r="A1673" s="7" t="inlineStr">
        <is>
          <t>2021-01-05</t>
        </is>
      </c>
      <c r="B1673" s="8">
        <f>IFERROR(VLOOKUP($A1673,'01-原始价格'!$A:$M,2,FALSE),"")</f>
        <v/>
      </c>
      <c r="C1673" s="8">
        <f>IFERROR(VLOOKUP($A1673,'01-原始价格'!$A:$M,8,FALSE),"")</f>
        <v/>
      </c>
      <c r="D1673" s="10">
        <f>IFERROR(B1673/C1673,"")</f>
        <v/>
      </c>
      <c r="E1673" s="10">
        <f>IFERROR(C1673/B1673,"")</f>
        <v/>
      </c>
      <c r="F1673" s="11">
        <f>IFERROR((D1673/D1672-1)*100,"")</f>
        <v/>
      </c>
      <c r="G1673" s="11">
        <f>IFERROR((COUNTIF($D$1422:$D$1673,"&lt;"&amp;D1673)+0.5*COUNTIF($D$1422:$D$1673,D1673))/COUNT($D$1422:$D$1673)*100,"")</f>
        <v/>
      </c>
      <c r="H1673" s="10">
        <f>IFERROR(AVERAGE($D$1422:$D$1673),"")</f>
        <v/>
      </c>
      <c r="I1673" s="10" t="n">
        <v>-1.831252402005061</v>
      </c>
      <c r="J1673" t="inlineStr"/>
      <c r="K1673" t="inlineStr"/>
    </row>
    <row r="1674">
      <c r="A1674" s="7" t="inlineStr">
        <is>
          <t>2021-01-06</t>
        </is>
      </c>
      <c r="B1674" s="8">
        <f>IFERROR(VLOOKUP($A1674,'01-原始价格'!$A:$M,2,FALSE),"")</f>
        <v/>
      </c>
      <c r="C1674" s="8">
        <f>IFERROR(VLOOKUP($A1674,'01-原始价格'!$A:$M,8,FALSE),"")</f>
        <v/>
      </c>
      <c r="D1674" s="10">
        <f>IFERROR(B1674/C1674,"")</f>
        <v/>
      </c>
      <c r="E1674" s="10">
        <f>IFERROR(C1674/B1674,"")</f>
        <v/>
      </c>
      <c r="F1674" s="11">
        <f>IFERROR((D1674/D1673-1)*100,"")</f>
        <v/>
      </c>
      <c r="G1674" s="11">
        <f>IFERROR((COUNTIF($D$1423:$D$1674,"&lt;"&amp;D1674)+0.5*COUNTIF($D$1423:$D$1674,D1674))/COUNT($D$1423:$D$1674)*100,"")</f>
        <v/>
      </c>
      <c r="H1674" s="10">
        <f>IFERROR(AVERAGE($D$1423:$D$1674),"")</f>
        <v/>
      </c>
      <c r="I1674" s="10" t="n">
        <v>-1.75420867754481</v>
      </c>
      <c r="J1674" t="inlineStr"/>
      <c r="K1674" t="inlineStr"/>
    </row>
    <row r="1675">
      <c r="A1675" s="7" t="inlineStr">
        <is>
          <t>2021-01-07</t>
        </is>
      </c>
      <c r="B1675" s="8">
        <f>IFERROR(VLOOKUP($A1675,'01-原始价格'!$A:$M,2,FALSE),"")</f>
        <v/>
      </c>
      <c r="C1675" s="8">
        <f>IFERROR(VLOOKUP($A1675,'01-原始价格'!$A:$M,8,FALSE),"")</f>
        <v/>
      </c>
      <c r="D1675" s="10">
        <f>IFERROR(B1675/C1675,"")</f>
        <v/>
      </c>
      <c r="E1675" s="10">
        <f>IFERROR(C1675/B1675,"")</f>
        <v/>
      </c>
      <c r="F1675" s="11">
        <f>IFERROR((D1675/D1674-1)*100,"")</f>
        <v/>
      </c>
      <c r="G1675" s="11">
        <f>IFERROR((COUNTIF($D$1424:$D$1675,"&lt;"&amp;D1675)+0.5*COUNTIF($D$1424:$D$1675,D1675))/COUNT($D$1424:$D$1675)*100,"")</f>
        <v/>
      </c>
      <c r="H1675" s="10">
        <f>IFERROR(AVERAGE($D$1424:$D$1675),"")</f>
        <v/>
      </c>
      <c r="I1675" s="10" t="n">
        <v>-1.582272072637255</v>
      </c>
      <c r="J1675" t="inlineStr"/>
      <c r="K1675" t="inlineStr"/>
    </row>
    <row r="1676">
      <c r="A1676" s="7" t="inlineStr">
        <is>
          <t>2021-01-08</t>
        </is>
      </c>
      <c r="B1676" s="8">
        <f>IFERROR(VLOOKUP($A1676,'01-原始价格'!$A:$M,2,FALSE),"")</f>
        <v/>
      </c>
      <c r="C1676" s="8">
        <f>IFERROR(VLOOKUP($A1676,'01-原始价格'!$A:$M,8,FALSE),"")</f>
        <v/>
      </c>
      <c r="D1676" s="10">
        <f>IFERROR(B1676/C1676,"")</f>
        <v/>
      </c>
      <c r="E1676" s="10">
        <f>IFERROR(C1676/B1676,"")</f>
        <v/>
      </c>
      <c r="F1676" s="11">
        <f>IFERROR((D1676/D1675-1)*100,"")</f>
        <v/>
      </c>
      <c r="G1676" s="11">
        <f>IFERROR((COUNTIF($D$1425:$D$1676,"&lt;"&amp;D1676)+0.5*COUNTIF($D$1425:$D$1676,D1676))/COUNT($D$1425:$D$1676)*100,"")</f>
        <v/>
      </c>
      <c r="H1676" s="10">
        <f>IFERROR(AVERAGE($D$1425:$D$1676),"")</f>
        <v/>
      </c>
      <c r="I1676" s="10" t="n">
        <v>-1.533390925341733</v>
      </c>
      <c r="J1676" t="inlineStr"/>
      <c r="K1676" t="inlineStr"/>
    </row>
    <row r="1677">
      <c r="A1677" s="7" t="inlineStr">
        <is>
          <t>2021-01-11</t>
        </is>
      </c>
      <c r="B1677" s="8">
        <f>IFERROR(VLOOKUP($A1677,'01-原始价格'!$A:$M,2,FALSE),"")</f>
        <v/>
      </c>
      <c r="C1677" s="8">
        <f>IFERROR(VLOOKUP($A1677,'01-原始价格'!$A:$M,8,FALSE),"")</f>
        <v/>
      </c>
      <c r="D1677" s="10">
        <f>IFERROR(B1677/C1677,"")</f>
        <v/>
      </c>
      <c r="E1677" s="10">
        <f>IFERROR(C1677/B1677,"")</f>
        <v/>
      </c>
      <c r="F1677" s="11">
        <f>IFERROR((D1677/D1676-1)*100,"")</f>
        <v/>
      </c>
      <c r="G1677" s="11">
        <f>IFERROR((COUNTIF($D$1426:$D$1677,"&lt;"&amp;D1677)+0.5*COUNTIF($D$1426:$D$1677,D1677))/COUNT($D$1426:$D$1677)*100,"")</f>
        <v/>
      </c>
      <c r="H1677" s="10">
        <f>IFERROR(AVERAGE($D$1426:$D$1677),"")</f>
        <v/>
      </c>
      <c r="I1677" s="10" t="n">
        <v>-1.544692784757176</v>
      </c>
      <c r="J1677" t="inlineStr"/>
      <c r="K1677" t="inlineStr"/>
    </row>
    <row r="1678">
      <c r="A1678" s="7" t="inlineStr">
        <is>
          <t>2021-01-12</t>
        </is>
      </c>
      <c r="B1678" s="8">
        <f>IFERROR(VLOOKUP($A1678,'01-原始价格'!$A:$M,2,FALSE),"")</f>
        <v/>
      </c>
      <c r="C1678" s="8">
        <f>IFERROR(VLOOKUP($A1678,'01-原始价格'!$A:$M,8,FALSE),"")</f>
        <v/>
      </c>
      <c r="D1678" s="10">
        <f>IFERROR(B1678/C1678,"")</f>
        <v/>
      </c>
      <c r="E1678" s="10">
        <f>IFERROR(C1678/B1678,"")</f>
        <v/>
      </c>
      <c r="F1678" s="11">
        <f>IFERROR((D1678/D1677-1)*100,"")</f>
        <v/>
      </c>
      <c r="G1678" s="11">
        <f>IFERROR((COUNTIF($D$1427:$D$1678,"&lt;"&amp;D1678)+0.5*COUNTIF($D$1427:$D$1678,D1678))/COUNT($D$1427:$D$1678)*100,"")</f>
        <v/>
      </c>
      <c r="H1678" s="10">
        <f>IFERROR(AVERAGE($D$1427:$D$1678),"")</f>
        <v/>
      </c>
      <c r="I1678" s="10" t="n">
        <v>-1.7384048892224</v>
      </c>
      <c r="J1678" t="inlineStr"/>
      <c r="K1678" t="inlineStr"/>
    </row>
    <row r="1679">
      <c r="A1679" s="7" t="inlineStr">
        <is>
          <t>2021-01-13</t>
        </is>
      </c>
      <c r="B1679" s="8">
        <f>IFERROR(VLOOKUP($A1679,'01-原始价格'!$A:$M,2,FALSE),"")</f>
        <v/>
      </c>
      <c r="C1679" s="8">
        <f>IFERROR(VLOOKUP($A1679,'01-原始价格'!$A:$M,8,FALSE),"")</f>
        <v/>
      </c>
      <c r="D1679" s="10">
        <f>IFERROR(B1679/C1679,"")</f>
        <v/>
      </c>
      <c r="E1679" s="10">
        <f>IFERROR(C1679/B1679,"")</f>
        <v/>
      </c>
      <c r="F1679" s="11">
        <f>IFERROR((D1679/D1678-1)*100,"")</f>
        <v/>
      </c>
      <c r="G1679" s="11">
        <f>IFERROR((COUNTIF($D$1428:$D$1679,"&lt;"&amp;D1679)+0.5*COUNTIF($D$1428:$D$1679,D1679))/COUNT($D$1428:$D$1679)*100,"")</f>
        <v/>
      </c>
      <c r="H1679" s="10">
        <f>IFERROR(AVERAGE($D$1428:$D$1679),"")</f>
        <v/>
      </c>
      <c r="I1679" s="10" t="n">
        <v>-1.479711950253429</v>
      </c>
      <c r="J1679" t="inlineStr"/>
      <c r="K1679" t="inlineStr"/>
    </row>
    <row r="1680">
      <c r="A1680" s="7" t="inlineStr">
        <is>
          <t>2021-01-14</t>
        </is>
      </c>
      <c r="B1680" s="8">
        <f>IFERROR(VLOOKUP($A1680,'01-原始价格'!$A:$M,2,FALSE),"")</f>
        <v/>
      </c>
      <c r="C1680" s="8">
        <f>IFERROR(VLOOKUP($A1680,'01-原始价格'!$A:$M,8,FALSE),"")</f>
        <v/>
      </c>
      <c r="D1680" s="10">
        <f>IFERROR(B1680/C1680,"")</f>
        <v/>
      </c>
      <c r="E1680" s="10">
        <f>IFERROR(C1680/B1680,"")</f>
        <v/>
      </c>
      <c r="F1680" s="11">
        <f>IFERROR((D1680/D1679-1)*100,"")</f>
        <v/>
      </c>
      <c r="G1680" s="11">
        <f>IFERROR((COUNTIF($D$1429:$D$1680,"&lt;"&amp;D1680)+0.5*COUNTIF($D$1429:$D$1680,D1680))/COUNT($D$1429:$D$1680)*100,"")</f>
        <v/>
      </c>
      <c r="H1680" s="10">
        <f>IFERROR(AVERAGE($D$1429:$D$1680),"")</f>
        <v/>
      </c>
      <c r="I1680" s="10" t="n">
        <v>-1.231591055317704</v>
      </c>
      <c r="J1680" t="inlineStr"/>
      <c r="K1680" t="inlineStr"/>
    </row>
    <row r="1681">
      <c r="A1681" s="7" t="inlineStr">
        <is>
          <t>2021-01-15</t>
        </is>
      </c>
      <c r="B1681" s="8">
        <f>IFERROR(VLOOKUP($A1681,'01-原始价格'!$A:$M,2,FALSE),"")</f>
        <v/>
      </c>
      <c r="C1681" s="8">
        <f>IFERROR(VLOOKUP($A1681,'01-原始价格'!$A:$M,8,FALSE),"")</f>
        <v/>
      </c>
      <c r="D1681" s="10">
        <f>IFERROR(B1681/C1681,"")</f>
        <v/>
      </c>
      <c r="E1681" s="10">
        <f>IFERROR(C1681/B1681,"")</f>
        <v/>
      </c>
      <c r="F1681" s="11">
        <f>IFERROR((D1681/D1680-1)*100,"")</f>
        <v/>
      </c>
      <c r="G1681" s="11">
        <f>IFERROR((COUNTIF($D$1430:$D$1681,"&lt;"&amp;D1681)+0.5*COUNTIF($D$1430:$D$1681,D1681))/COUNT($D$1430:$D$1681)*100,"")</f>
        <v/>
      </c>
      <c r="H1681" s="10">
        <f>IFERROR(AVERAGE($D$1430:$D$1681),"")</f>
        <v/>
      </c>
      <c r="I1681" s="10" t="n">
        <v>-1.195824781449216</v>
      </c>
      <c r="J1681" t="inlineStr"/>
      <c r="K1681" t="inlineStr"/>
    </row>
    <row r="1682">
      <c r="A1682" s="7" t="inlineStr">
        <is>
          <t>2021-01-18</t>
        </is>
      </c>
      <c r="B1682" s="8">
        <f>IFERROR(VLOOKUP($A1682,'01-原始价格'!$A:$M,2,FALSE),"")</f>
        <v/>
      </c>
      <c r="C1682" s="8">
        <f>IFERROR(VLOOKUP($A1682,'01-原始价格'!$A:$M,8,FALSE),"")</f>
        <v/>
      </c>
      <c r="D1682" s="10">
        <f>IFERROR(B1682/C1682,"")</f>
        <v/>
      </c>
      <c r="E1682" s="10">
        <f>IFERROR(C1682/B1682,"")</f>
        <v/>
      </c>
      <c r="F1682" s="11">
        <f>IFERROR((D1682/D1681-1)*100,"")</f>
        <v/>
      </c>
      <c r="G1682" s="11">
        <f>IFERROR((COUNTIF($D$1431:$D$1682,"&lt;"&amp;D1682)+0.5*COUNTIF($D$1431:$D$1682,D1682))/COUNT($D$1431:$D$1682)*100,"")</f>
        <v/>
      </c>
      <c r="H1682" s="10">
        <f>IFERROR(AVERAGE($D$1431:$D$1682),"")</f>
        <v/>
      </c>
      <c r="I1682" s="10" t="n">
        <v>-0.6455406294756307</v>
      </c>
      <c r="J1682" t="inlineStr"/>
      <c r="K1682" t="inlineStr"/>
    </row>
    <row r="1683">
      <c r="A1683" s="7" t="inlineStr">
        <is>
          <t>2021-01-19</t>
        </is>
      </c>
      <c r="B1683" s="8">
        <f>IFERROR(VLOOKUP($A1683,'01-原始价格'!$A:$M,2,FALSE),"")</f>
        <v/>
      </c>
      <c r="C1683" s="8">
        <f>IFERROR(VLOOKUP($A1683,'01-原始价格'!$A:$M,8,FALSE),"")</f>
        <v/>
      </c>
      <c r="D1683" s="10">
        <f>IFERROR(B1683/C1683,"")</f>
        <v/>
      </c>
      <c r="E1683" s="10">
        <f>IFERROR(C1683/B1683,"")</f>
        <v/>
      </c>
      <c r="F1683" s="11">
        <f>IFERROR((D1683/D1682-1)*100,"")</f>
        <v/>
      </c>
      <c r="G1683" s="11">
        <f>IFERROR((COUNTIF($D$1432:$D$1683,"&lt;"&amp;D1683)+0.5*COUNTIF($D$1432:$D$1683,D1683))/COUNT($D$1432:$D$1683)*100,"")</f>
        <v/>
      </c>
      <c r="H1683" s="10">
        <f>IFERROR(AVERAGE($D$1432:$D$1683),"")</f>
        <v/>
      </c>
      <c r="I1683" s="10" t="n">
        <v>-1.108278568289411</v>
      </c>
      <c r="J1683" t="inlineStr"/>
      <c r="K1683" t="inlineStr"/>
    </row>
    <row r="1684">
      <c r="A1684" s="7" t="inlineStr">
        <is>
          <t>2021-01-20</t>
        </is>
      </c>
      <c r="B1684" s="8">
        <f>IFERROR(VLOOKUP($A1684,'01-原始价格'!$A:$M,2,FALSE),"")</f>
        <v/>
      </c>
      <c r="C1684" s="8">
        <f>IFERROR(VLOOKUP($A1684,'01-原始价格'!$A:$M,8,FALSE),"")</f>
        <v/>
      </c>
      <c r="D1684" s="10">
        <f>IFERROR(B1684/C1684,"")</f>
        <v/>
      </c>
      <c r="E1684" s="10">
        <f>IFERROR(C1684/B1684,"")</f>
        <v/>
      </c>
      <c r="F1684" s="11">
        <f>IFERROR((D1684/D1683-1)*100,"")</f>
        <v/>
      </c>
      <c r="G1684" s="11">
        <f>IFERROR((COUNTIF($D$1433:$D$1684,"&lt;"&amp;D1684)+0.5*COUNTIF($D$1433:$D$1684,D1684))/COUNT($D$1433:$D$1684)*100,"")</f>
        <v/>
      </c>
      <c r="H1684" s="10">
        <f>IFERROR(AVERAGE($D$1433:$D$1684),"")</f>
        <v/>
      </c>
      <c r="I1684" s="10" t="n">
        <v>-1.344234991572276</v>
      </c>
      <c r="J1684" t="inlineStr"/>
      <c r="K1684" t="inlineStr"/>
    </row>
    <row r="1685">
      <c r="A1685" s="7" t="inlineStr">
        <is>
          <t>2021-01-21</t>
        </is>
      </c>
      <c r="B1685" s="8">
        <f>IFERROR(VLOOKUP($A1685,'01-原始价格'!$A:$M,2,FALSE),"")</f>
        <v/>
      </c>
      <c r="C1685" s="8">
        <f>IFERROR(VLOOKUP($A1685,'01-原始价格'!$A:$M,8,FALSE),"")</f>
        <v/>
      </c>
      <c r="D1685" s="10">
        <f>IFERROR(B1685/C1685,"")</f>
        <v/>
      </c>
      <c r="E1685" s="10">
        <f>IFERROR(C1685/B1685,"")</f>
        <v/>
      </c>
      <c r="F1685" s="11">
        <f>IFERROR((D1685/D1684-1)*100,"")</f>
        <v/>
      </c>
      <c r="G1685" s="11">
        <f>IFERROR((COUNTIF($D$1434:$D$1685,"&lt;"&amp;D1685)+0.5*COUNTIF($D$1434:$D$1685,D1685))/COUNT($D$1434:$D$1685)*100,"")</f>
        <v/>
      </c>
      <c r="H1685" s="10">
        <f>IFERROR(AVERAGE($D$1434:$D$1685),"")</f>
        <v/>
      </c>
      <c r="I1685" s="10" t="n">
        <v>-1.75745174323049</v>
      </c>
      <c r="J1685" t="inlineStr"/>
      <c r="K1685" t="inlineStr"/>
    </row>
    <row r="1686">
      <c r="A1686" s="7" t="inlineStr">
        <is>
          <t>2021-01-22</t>
        </is>
      </c>
      <c r="B1686" s="8">
        <f>IFERROR(VLOOKUP($A1686,'01-原始价格'!$A:$M,2,FALSE),"")</f>
        <v/>
      </c>
      <c r="C1686" s="8">
        <f>IFERROR(VLOOKUP($A1686,'01-原始价格'!$A:$M,8,FALSE),"")</f>
        <v/>
      </c>
      <c r="D1686" s="10">
        <f>IFERROR(B1686/C1686,"")</f>
        <v/>
      </c>
      <c r="E1686" s="10">
        <f>IFERROR(C1686/B1686,"")</f>
        <v/>
      </c>
      <c r="F1686" s="11">
        <f>IFERROR((D1686/D1685-1)*100,"")</f>
        <v/>
      </c>
      <c r="G1686" s="11">
        <f>IFERROR((COUNTIF($D$1435:$D$1686,"&lt;"&amp;D1686)+0.5*COUNTIF($D$1435:$D$1686,D1686))/COUNT($D$1435:$D$1686)*100,"")</f>
        <v/>
      </c>
      <c r="H1686" s="10">
        <f>IFERROR(AVERAGE($D$1435:$D$1686),"")</f>
        <v/>
      </c>
      <c r="I1686" s="10" t="n">
        <v>-1.61646168707074</v>
      </c>
      <c r="J1686" t="inlineStr"/>
      <c r="K1686" t="inlineStr"/>
    </row>
    <row r="1687">
      <c r="A1687" s="7" t="inlineStr">
        <is>
          <t>2021-01-25</t>
        </is>
      </c>
      <c r="B1687" s="8">
        <f>IFERROR(VLOOKUP($A1687,'01-原始价格'!$A:$M,2,FALSE),"")</f>
        <v/>
      </c>
      <c r="C1687" s="8">
        <f>IFERROR(VLOOKUP($A1687,'01-原始价格'!$A:$M,8,FALSE),"")</f>
        <v/>
      </c>
      <c r="D1687" s="10">
        <f>IFERROR(B1687/C1687,"")</f>
        <v/>
      </c>
      <c r="E1687" s="10">
        <f>IFERROR(C1687/B1687,"")</f>
        <v/>
      </c>
      <c r="F1687" s="11">
        <f>IFERROR((D1687/D1686-1)*100,"")</f>
        <v/>
      </c>
      <c r="G1687" s="11">
        <f>IFERROR((COUNTIF($D$1436:$D$1687,"&lt;"&amp;D1687)+0.5*COUNTIF($D$1436:$D$1687,D1687))/COUNT($D$1436:$D$1687)*100,"")</f>
        <v/>
      </c>
      <c r="H1687" s="10">
        <f>IFERROR(AVERAGE($D$1436:$D$1687),"")</f>
        <v/>
      </c>
      <c r="I1687" s="10" t="n">
        <v>-1.355557739272856</v>
      </c>
      <c r="J1687" t="inlineStr"/>
      <c r="K1687" t="inlineStr"/>
    </row>
    <row r="1688">
      <c r="A1688" s="7" t="inlineStr">
        <is>
          <t>2021-01-26</t>
        </is>
      </c>
      <c r="B1688" s="8">
        <f>IFERROR(VLOOKUP($A1688,'01-原始价格'!$A:$M,2,FALSE),"")</f>
        <v/>
      </c>
      <c r="C1688" s="8">
        <f>IFERROR(VLOOKUP($A1688,'01-原始价格'!$A:$M,8,FALSE),"")</f>
        <v/>
      </c>
      <c r="D1688" s="10">
        <f>IFERROR(B1688/C1688,"")</f>
        <v/>
      </c>
      <c r="E1688" s="10">
        <f>IFERROR(C1688/B1688,"")</f>
        <v/>
      </c>
      <c r="F1688" s="11">
        <f>IFERROR((D1688/D1687-1)*100,"")</f>
        <v/>
      </c>
      <c r="G1688" s="11">
        <f>IFERROR((COUNTIF($D$1437:$D$1688,"&lt;"&amp;D1688)+0.5*COUNTIF($D$1437:$D$1688,D1688))/COUNT($D$1437:$D$1688)*100,"")</f>
        <v/>
      </c>
      <c r="H1688" s="10">
        <f>IFERROR(AVERAGE($D$1437:$D$1688),"")</f>
        <v/>
      </c>
      <c r="I1688" s="10" t="n">
        <v>-1.263390070627554</v>
      </c>
      <c r="J1688" t="inlineStr"/>
      <c r="K1688" t="inlineStr"/>
    </row>
    <row r="1689">
      <c r="A1689" s="7" t="inlineStr">
        <is>
          <t>2021-01-27</t>
        </is>
      </c>
      <c r="B1689" s="8">
        <f>IFERROR(VLOOKUP($A1689,'01-原始价格'!$A:$M,2,FALSE),"")</f>
        <v/>
      </c>
      <c r="C1689" s="8">
        <f>IFERROR(VLOOKUP($A1689,'01-原始价格'!$A:$M,8,FALSE),"")</f>
        <v/>
      </c>
      <c r="D1689" s="10">
        <f>IFERROR(B1689/C1689,"")</f>
        <v/>
      </c>
      <c r="E1689" s="10">
        <f>IFERROR(C1689/B1689,"")</f>
        <v/>
      </c>
      <c r="F1689" s="11">
        <f>IFERROR((D1689/D1688-1)*100,"")</f>
        <v/>
      </c>
      <c r="G1689" s="11">
        <f>IFERROR((COUNTIF($D$1438:$D$1689,"&lt;"&amp;D1689)+0.5*COUNTIF($D$1438:$D$1689,D1689))/COUNT($D$1438:$D$1689)*100,"")</f>
        <v/>
      </c>
      <c r="H1689" s="10">
        <f>IFERROR(AVERAGE($D$1438:$D$1689),"")</f>
        <v/>
      </c>
      <c r="I1689" s="10" t="n">
        <v>-1.269624675889085</v>
      </c>
      <c r="J1689" t="inlineStr"/>
      <c r="K1689" t="inlineStr"/>
    </row>
    <row r="1690">
      <c r="A1690" s="7" t="inlineStr">
        <is>
          <t>2021-01-28</t>
        </is>
      </c>
      <c r="B1690" s="8">
        <f>IFERROR(VLOOKUP($A1690,'01-原始价格'!$A:$M,2,FALSE),"")</f>
        <v/>
      </c>
      <c r="C1690" s="8">
        <f>IFERROR(VLOOKUP($A1690,'01-原始价格'!$A:$M,8,FALSE),"")</f>
        <v/>
      </c>
      <c r="D1690" s="10">
        <f>IFERROR(B1690/C1690,"")</f>
        <v/>
      </c>
      <c r="E1690" s="10">
        <f>IFERROR(C1690/B1690,"")</f>
        <v/>
      </c>
      <c r="F1690" s="11">
        <f>IFERROR((D1690/D1689-1)*100,"")</f>
        <v/>
      </c>
      <c r="G1690" s="11">
        <f>IFERROR((COUNTIF($D$1439:$D$1690,"&lt;"&amp;D1690)+0.5*COUNTIF($D$1439:$D$1690,D1690))/COUNT($D$1439:$D$1690)*100,"")</f>
        <v/>
      </c>
      <c r="H1690" s="10">
        <f>IFERROR(AVERAGE($D$1439:$D$1690),"")</f>
        <v/>
      </c>
      <c r="I1690" s="10" t="n">
        <v>-1.350758561503083</v>
      </c>
      <c r="J1690" t="inlineStr"/>
      <c r="K1690" t="inlineStr"/>
    </row>
    <row r="1691">
      <c r="A1691" s="7" t="inlineStr">
        <is>
          <t>2021-01-29</t>
        </is>
      </c>
      <c r="B1691" s="8">
        <f>IFERROR(VLOOKUP($A1691,'01-原始价格'!$A:$M,2,FALSE),"")</f>
        <v/>
      </c>
      <c r="C1691" s="8">
        <f>IFERROR(VLOOKUP($A1691,'01-原始价格'!$A:$M,8,FALSE),"")</f>
        <v/>
      </c>
      <c r="D1691" s="10">
        <f>IFERROR(B1691/C1691,"")</f>
        <v/>
      </c>
      <c r="E1691" s="10">
        <f>IFERROR(C1691/B1691,"")</f>
        <v/>
      </c>
      <c r="F1691" s="11">
        <f>IFERROR((D1691/D1690-1)*100,"")</f>
        <v/>
      </c>
      <c r="G1691" s="11">
        <f>IFERROR((COUNTIF($D$1440:$D$1691,"&lt;"&amp;D1691)+0.5*COUNTIF($D$1440:$D$1691,D1691))/COUNT($D$1440:$D$1691)*100,"")</f>
        <v/>
      </c>
      <c r="H1691" s="10">
        <f>IFERROR(AVERAGE($D$1440:$D$1691),"")</f>
        <v/>
      </c>
      <c r="I1691" s="10" t="n">
        <v>-1.298127951819916</v>
      </c>
      <c r="J1691" t="inlineStr"/>
      <c r="K1691" t="inlineStr"/>
    </row>
    <row r="1692">
      <c r="A1692" s="7" t="inlineStr">
        <is>
          <t>2021-02-01</t>
        </is>
      </c>
      <c r="B1692" s="8">
        <f>IFERROR(VLOOKUP($A1692,'01-原始价格'!$A:$M,2,FALSE),"")</f>
        <v/>
      </c>
      <c r="C1692" s="8">
        <f>IFERROR(VLOOKUP($A1692,'01-原始价格'!$A:$M,8,FALSE),"")</f>
        <v/>
      </c>
      <c r="D1692" s="10">
        <f>IFERROR(B1692/C1692,"")</f>
        <v/>
      </c>
      <c r="E1692" s="10">
        <f>IFERROR(C1692/B1692,"")</f>
        <v/>
      </c>
      <c r="F1692" s="11">
        <f>IFERROR((D1692/D1691-1)*100,"")</f>
        <v/>
      </c>
      <c r="G1692" s="11">
        <f>IFERROR((COUNTIF($D$1441:$D$1692,"&lt;"&amp;D1692)+0.5*COUNTIF($D$1441:$D$1692,D1692))/COUNT($D$1441:$D$1692)*100,"")</f>
        <v/>
      </c>
      <c r="H1692" s="10">
        <f>IFERROR(AVERAGE($D$1441:$D$1692),"")</f>
        <v/>
      </c>
      <c r="I1692" s="10" t="n">
        <v>-1.239165169053113</v>
      </c>
      <c r="J1692" t="inlineStr"/>
      <c r="K1692" t="inlineStr"/>
    </row>
    <row r="1693">
      <c r="A1693" s="7" t="inlineStr">
        <is>
          <t>2021-02-02</t>
        </is>
      </c>
      <c r="B1693" s="8">
        <f>IFERROR(VLOOKUP($A1693,'01-原始价格'!$A:$M,2,FALSE),"")</f>
        <v/>
      </c>
      <c r="C1693" s="8">
        <f>IFERROR(VLOOKUP($A1693,'01-原始价格'!$A:$M,8,FALSE),"")</f>
        <v/>
      </c>
      <c r="D1693" s="10">
        <f>IFERROR(B1693/C1693,"")</f>
        <v/>
      </c>
      <c r="E1693" s="10">
        <f>IFERROR(C1693/B1693,"")</f>
        <v/>
      </c>
      <c r="F1693" s="11">
        <f>IFERROR((D1693/D1692-1)*100,"")</f>
        <v/>
      </c>
      <c r="G1693" s="11">
        <f>IFERROR((COUNTIF($D$1442:$D$1693,"&lt;"&amp;D1693)+0.5*COUNTIF($D$1442:$D$1693,D1693))/COUNT($D$1442:$D$1693)*100,"")</f>
        <v/>
      </c>
      <c r="H1693" s="10">
        <f>IFERROR(AVERAGE($D$1442:$D$1693),"")</f>
        <v/>
      </c>
      <c r="I1693" s="10" t="n">
        <v>-1.134195767007906</v>
      </c>
      <c r="J1693" t="inlineStr"/>
      <c r="K1693" t="inlineStr"/>
    </row>
    <row r="1694">
      <c r="A1694" s="7" t="inlineStr">
        <is>
          <t>2021-02-03</t>
        </is>
      </c>
      <c r="B1694" s="8">
        <f>IFERROR(VLOOKUP($A1694,'01-原始价格'!$A:$M,2,FALSE),"")</f>
        <v/>
      </c>
      <c r="C1694" s="8">
        <f>IFERROR(VLOOKUP($A1694,'01-原始价格'!$A:$M,8,FALSE),"")</f>
        <v/>
      </c>
      <c r="D1694" s="10">
        <f>IFERROR(B1694/C1694,"")</f>
        <v/>
      </c>
      <c r="E1694" s="10">
        <f>IFERROR(C1694/B1694,"")</f>
        <v/>
      </c>
      <c r="F1694" s="11">
        <f>IFERROR((D1694/D1693-1)*100,"")</f>
        <v/>
      </c>
      <c r="G1694" s="11">
        <f>IFERROR((COUNTIF($D$1443:$D$1694,"&lt;"&amp;D1694)+0.5*COUNTIF($D$1443:$D$1694,D1694))/COUNT($D$1443:$D$1694)*100,"")</f>
        <v/>
      </c>
      <c r="H1694" s="10">
        <f>IFERROR(AVERAGE($D$1443:$D$1694),"")</f>
        <v/>
      </c>
      <c r="I1694" s="10" t="n">
        <v>-1.345049424669907</v>
      </c>
      <c r="J1694" t="inlineStr"/>
      <c r="K1694" t="inlineStr"/>
    </row>
    <row r="1695">
      <c r="A1695" s="7" t="inlineStr">
        <is>
          <t>2021-02-04</t>
        </is>
      </c>
      <c r="B1695" s="8">
        <f>IFERROR(VLOOKUP($A1695,'01-原始价格'!$A:$M,2,FALSE),"")</f>
        <v/>
      </c>
      <c r="C1695" s="8">
        <f>IFERROR(VLOOKUP($A1695,'01-原始价格'!$A:$M,8,FALSE),"")</f>
        <v/>
      </c>
      <c r="D1695" s="10">
        <f>IFERROR(B1695/C1695,"")</f>
        <v/>
      </c>
      <c r="E1695" s="10">
        <f>IFERROR(C1695/B1695,"")</f>
        <v/>
      </c>
      <c r="F1695" s="11">
        <f>IFERROR((D1695/D1694-1)*100,"")</f>
        <v/>
      </c>
      <c r="G1695" s="11">
        <f>IFERROR((COUNTIF($D$1444:$D$1695,"&lt;"&amp;D1695)+0.5*COUNTIF($D$1444:$D$1695,D1695))/COUNT($D$1444:$D$1695)*100,"")</f>
        <v/>
      </c>
      <c r="H1695" s="10">
        <f>IFERROR(AVERAGE($D$1444:$D$1695),"")</f>
        <v/>
      </c>
      <c r="I1695" s="10" t="n">
        <v>-1.417581178008986</v>
      </c>
      <c r="J1695" t="inlineStr"/>
      <c r="K1695" t="inlineStr"/>
    </row>
    <row r="1696">
      <c r="A1696" s="7" t="inlineStr">
        <is>
          <t>2021-02-05</t>
        </is>
      </c>
      <c r="B1696" s="8">
        <f>IFERROR(VLOOKUP($A1696,'01-原始价格'!$A:$M,2,FALSE),"")</f>
        <v/>
      </c>
      <c r="C1696" s="8">
        <f>IFERROR(VLOOKUP($A1696,'01-原始价格'!$A:$M,8,FALSE),"")</f>
        <v/>
      </c>
      <c r="D1696" s="10">
        <f>IFERROR(B1696/C1696,"")</f>
        <v/>
      </c>
      <c r="E1696" s="10">
        <f>IFERROR(C1696/B1696,"")</f>
        <v/>
      </c>
      <c r="F1696" s="11">
        <f>IFERROR((D1696/D1695-1)*100,"")</f>
        <v/>
      </c>
      <c r="G1696" s="11">
        <f>IFERROR((COUNTIF($D$1445:$D$1696,"&lt;"&amp;D1696)+0.5*COUNTIF($D$1445:$D$1696,D1696))/COUNT($D$1445:$D$1696)*100,"")</f>
        <v/>
      </c>
      <c r="H1696" s="10">
        <f>IFERROR(AVERAGE($D$1445:$D$1696),"")</f>
        <v/>
      </c>
      <c r="I1696" s="10" t="n">
        <v>-1.136658413096432</v>
      </c>
      <c r="J1696" t="inlineStr"/>
      <c r="K1696" t="inlineStr"/>
    </row>
    <row r="1697">
      <c r="A1697" s="7" t="inlineStr">
        <is>
          <t>2021-02-08</t>
        </is>
      </c>
      <c r="B1697" s="8">
        <f>IFERROR(VLOOKUP($A1697,'01-原始价格'!$A:$M,2,FALSE),"")</f>
        <v/>
      </c>
      <c r="C1697" s="8">
        <f>IFERROR(VLOOKUP($A1697,'01-原始价格'!$A:$M,8,FALSE),"")</f>
        <v/>
      </c>
      <c r="D1697" s="10">
        <f>IFERROR(B1697/C1697,"")</f>
        <v/>
      </c>
      <c r="E1697" s="10">
        <f>IFERROR(C1697/B1697,"")</f>
        <v/>
      </c>
      <c r="F1697" s="11">
        <f>IFERROR((D1697/D1696-1)*100,"")</f>
        <v/>
      </c>
      <c r="G1697" s="11">
        <f>IFERROR((COUNTIF($D$1446:$D$1697,"&lt;"&amp;D1697)+0.5*COUNTIF($D$1446:$D$1697,D1697))/COUNT($D$1446:$D$1697)*100,"")</f>
        <v/>
      </c>
      <c r="H1697" s="10">
        <f>IFERROR(AVERAGE($D$1446:$D$1697),"")</f>
        <v/>
      </c>
      <c r="I1697" s="10" t="n">
        <v>-1.100618274443885</v>
      </c>
      <c r="J1697" t="inlineStr"/>
      <c r="K1697" t="inlineStr"/>
    </row>
    <row r="1698">
      <c r="A1698" s="7" t="inlineStr">
        <is>
          <t>2021-02-09</t>
        </is>
      </c>
      <c r="B1698" s="8">
        <f>IFERROR(VLOOKUP($A1698,'01-原始价格'!$A:$M,2,FALSE),"")</f>
        <v/>
      </c>
      <c r="C1698" s="8">
        <f>IFERROR(VLOOKUP($A1698,'01-原始价格'!$A:$M,8,FALSE),"")</f>
        <v/>
      </c>
      <c r="D1698" s="10">
        <f>IFERROR(B1698/C1698,"")</f>
        <v/>
      </c>
      <c r="E1698" s="10">
        <f>IFERROR(C1698/B1698,"")</f>
        <v/>
      </c>
      <c r="F1698" s="11">
        <f>IFERROR((D1698/D1697-1)*100,"")</f>
        <v/>
      </c>
      <c r="G1698" s="11">
        <f>IFERROR((COUNTIF($D$1447:$D$1698,"&lt;"&amp;D1698)+0.5*COUNTIF($D$1447:$D$1698,D1698))/COUNT($D$1447:$D$1698)*100,"")</f>
        <v/>
      </c>
      <c r="H1698" s="10">
        <f>IFERROR(AVERAGE($D$1447:$D$1698),"")</f>
        <v/>
      </c>
      <c r="I1698" s="10" t="n">
        <v>-1.323594448628139</v>
      </c>
      <c r="J1698" t="inlineStr"/>
      <c r="K1698" t="inlineStr"/>
    </row>
    <row r="1699">
      <c r="A1699" s="7" t="inlineStr">
        <is>
          <t>2021-02-10</t>
        </is>
      </c>
      <c r="B1699" s="8">
        <f>IFERROR(VLOOKUP($A1699,'01-原始价格'!$A:$M,2,FALSE),"")</f>
        <v/>
      </c>
      <c r="C1699" s="8">
        <f>IFERROR(VLOOKUP($A1699,'01-原始价格'!$A:$M,8,FALSE),"")</f>
        <v/>
      </c>
      <c r="D1699" s="10">
        <f>IFERROR(B1699/C1699,"")</f>
        <v/>
      </c>
      <c r="E1699" s="10">
        <f>IFERROR(C1699/B1699,"")</f>
        <v/>
      </c>
      <c r="F1699" s="11">
        <f>IFERROR((D1699/D1698-1)*100,"")</f>
        <v/>
      </c>
      <c r="G1699" s="11">
        <f>IFERROR((COUNTIF($D$1448:$D$1699,"&lt;"&amp;D1699)+0.5*COUNTIF($D$1448:$D$1699,D1699))/COUNT($D$1448:$D$1699)*100,"")</f>
        <v/>
      </c>
      <c r="H1699" s="10">
        <f>IFERROR(AVERAGE($D$1448:$D$1699),"")</f>
        <v/>
      </c>
      <c r="I1699" s="10" t="n">
        <v>-1.316424506355981</v>
      </c>
      <c r="J1699" t="inlineStr"/>
      <c r="K1699" t="inlineStr"/>
    </row>
    <row r="1700">
      <c r="A1700" s="7" t="inlineStr">
        <is>
          <t>2021-02-18</t>
        </is>
      </c>
      <c r="B1700" s="8">
        <f>IFERROR(VLOOKUP($A1700,'01-原始价格'!$A:$M,2,FALSE),"")</f>
        <v/>
      </c>
      <c r="C1700" s="8">
        <f>IFERROR(VLOOKUP($A1700,'01-原始价格'!$A:$M,8,FALSE),"")</f>
        <v/>
      </c>
      <c r="D1700" s="10">
        <f>IFERROR(B1700/C1700,"")</f>
        <v/>
      </c>
      <c r="E1700" s="10">
        <f>IFERROR(C1700/B1700,"")</f>
        <v/>
      </c>
      <c r="F1700" s="11">
        <f>IFERROR((D1700/D1699-1)*100,"")</f>
        <v/>
      </c>
      <c r="G1700" s="11">
        <f>IFERROR((COUNTIF($D$1449:$D$1700,"&lt;"&amp;D1700)+0.5*COUNTIF($D$1449:$D$1700,D1700))/COUNT($D$1449:$D$1700)*100,"")</f>
        <v/>
      </c>
      <c r="H1700" s="10">
        <f>IFERROR(AVERAGE($D$1449:$D$1700),"")</f>
        <v/>
      </c>
      <c r="I1700" s="10" t="n">
        <v>-1.661020030290884</v>
      </c>
      <c r="J1700" t="inlineStr"/>
      <c r="K1700" t="inlineStr"/>
    </row>
    <row r="1701">
      <c r="A1701" s="7" t="inlineStr">
        <is>
          <t>2021-02-19</t>
        </is>
      </c>
      <c r="B1701" s="8">
        <f>IFERROR(VLOOKUP($A1701,'01-原始价格'!$A:$M,2,FALSE),"")</f>
        <v/>
      </c>
      <c r="C1701" s="8">
        <f>IFERROR(VLOOKUP($A1701,'01-原始价格'!$A:$M,8,FALSE),"")</f>
        <v/>
      </c>
      <c r="D1701" s="10">
        <f>IFERROR(B1701/C1701,"")</f>
        <v/>
      </c>
      <c r="E1701" s="10">
        <f>IFERROR(C1701/B1701,"")</f>
        <v/>
      </c>
      <c r="F1701" s="11">
        <f>IFERROR((D1701/D1700-1)*100,"")</f>
        <v/>
      </c>
      <c r="G1701" s="11">
        <f>IFERROR((COUNTIF($D$1450:$D$1701,"&lt;"&amp;D1701)+0.5*COUNTIF($D$1450:$D$1701,D1701))/COUNT($D$1450:$D$1701)*100,"")</f>
        <v/>
      </c>
      <c r="H1701" s="10">
        <f>IFERROR(AVERAGE($D$1450:$D$1701),"")</f>
        <v/>
      </c>
      <c r="I1701" s="10" t="n">
        <v>-2.025921004612454</v>
      </c>
      <c r="J1701" t="inlineStr"/>
      <c r="K1701" t="inlineStr"/>
    </row>
    <row r="1702">
      <c r="A1702" s="7" t="inlineStr">
        <is>
          <t>2021-02-22</t>
        </is>
      </c>
      <c r="B1702" s="8">
        <f>IFERROR(VLOOKUP($A1702,'01-原始价格'!$A:$M,2,FALSE),"")</f>
        <v/>
      </c>
      <c r="C1702" s="8">
        <f>IFERROR(VLOOKUP($A1702,'01-原始价格'!$A:$M,8,FALSE),"")</f>
        <v/>
      </c>
      <c r="D1702" s="10">
        <f>IFERROR(B1702/C1702,"")</f>
        <v/>
      </c>
      <c r="E1702" s="10">
        <f>IFERROR(C1702/B1702,"")</f>
        <v/>
      </c>
      <c r="F1702" s="11">
        <f>IFERROR((D1702/D1701-1)*100,"")</f>
        <v/>
      </c>
      <c r="G1702" s="11">
        <f>IFERROR((COUNTIF($D$1451:$D$1702,"&lt;"&amp;D1702)+0.5*COUNTIF($D$1451:$D$1702,D1702))/COUNT($D$1451:$D$1702)*100,"")</f>
        <v/>
      </c>
      <c r="H1702" s="10">
        <f>IFERROR(AVERAGE($D$1451:$D$1702),"")</f>
        <v/>
      </c>
      <c r="I1702" s="10" t="n">
        <v>-0.9417476322314593</v>
      </c>
      <c r="J1702" t="inlineStr"/>
      <c r="K1702" t="inlineStr"/>
    </row>
    <row r="1703">
      <c r="A1703" s="7" t="inlineStr">
        <is>
          <t>2021-02-23</t>
        </is>
      </c>
      <c r="B1703" s="8">
        <f>IFERROR(VLOOKUP($A1703,'01-原始价格'!$A:$M,2,FALSE),"")</f>
        <v/>
      </c>
      <c r="C1703" s="8">
        <f>IFERROR(VLOOKUP($A1703,'01-原始价格'!$A:$M,8,FALSE),"")</f>
        <v/>
      </c>
      <c r="D1703" s="10">
        <f>IFERROR(B1703/C1703,"")</f>
        <v/>
      </c>
      <c r="E1703" s="10">
        <f>IFERROR(C1703/B1703,"")</f>
        <v/>
      </c>
      <c r="F1703" s="11">
        <f>IFERROR((D1703/D1702-1)*100,"")</f>
        <v/>
      </c>
      <c r="G1703" s="11">
        <f>IFERROR((COUNTIF($D$1452:$D$1703,"&lt;"&amp;D1703)+0.5*COUNTIF($D$1452:$D$1703,D1703))/COUNT($D$1452:$D$1703)*100,"")</f>
        <v/>
      </c>
      <c r="H1703" s="10">
        <f>IFERROR(AVERAGE($D$1452:$D$1703),"")</f>
        <v/>
      </c>
      <c r="I1703" s="10" t="n">
        <v>-0.8500481974022347</v>
      </c>
      <c r="J1703" t="inlineStr"/>
      <c r="K1703" t="inlineStr"/>
    </row>
    <row r="1704">
      <c r="A1704" s="7" t="inlineStr">
        <is>
          <t>2021-02-24</t>
        </is>
      </c>
      <c r="B1704" s="8">
        <f>IFERROR(VLOOKUP($A1704,'01-原始价格'!$A:$M,2,FALSE),"")</f>
        <v/>
      </c>
      <c r="C1704" s="8">
        <f>IFERROR(VLOOKUP($A1704,'01-原始价格'!$A:$M,8,FALSE),"")</f>
        <v/>
      </c>
      <c r="D1704" s="10">
        <f>IFERROR(B1704/C1704,"")</f>
        <v/>
      </c>
      <c r="E1704" s="10">
        <f>IFERROR(C1704/B1704,"")</f>
        <v/>
      </c>
      <c r="F1704" s="11">
        <f>IFERROR((D1704/D1703-1)*100,"")</f>
        <v/>
      </c>
      <c r="G1704" s="11">
        <f>IFERROR((COUNTIF($D$1453:$D$1704,"&lt;"&amp;D1704)+0.5*COUNTIF($D$1453:$D$1704,D1704))/COUNT($D$1453:$D$1704)*100,"")</f>
        <v/>
      </c>
      <c r="H1704" s="10">
        <f>IFERROR(AVERAGE($D$1453:$D$1704),"")</f>
        <v/>
      </c>
      <c r="I1704" s="10" t="n">
        <v>-0.4105999632322711</v>
      </c>
      <c r="J1704" t="inlineStr"/>
      <c r="K1704" t="inlineStr"/>
    </row>
    <row r="1705">
      <c r="A1705" s="7" t="inlineStr">
        <is>
          <t>2021-02-25</t>
        </is>
      </c>
      <c r="B1705" s="8">
        <f>IFERROR(VLOOKUP($A1705,'01-原始价格'!$A:$M,2,FALSE),"")</f>
        <v/>
      </c>
      <c r="C1705" s="8">
        <f>IFERROR(VLOOKUP($A1705,'01-原始价格'!$A:$M,8,FALSE),"")</f>
        <v/>
      </c>
      <c r="D1705" s="10">
        <f>IFERROR(B1705/C1705,"")</f>
        <v/>
      </c>
      <c r="E1705" s="10">
        <f>IFERROR(C1705/B1705,"")</f>
        <v/>
      </c>
      <c r="F1705" s="11">
        <f>IFERROR((D1705/D1704-1)*100,"")</f>
        <v/>
      </c>
      <c r="G1705" s="11">
        <f>IFERROR((COUNTIF($D$1454:$D$1705,"&lt;"&amp;D1705)+0.5*COUNTIF($D$1454:$D$1705,D1705))/COUNT($D$1454:$D$1705)*100,"")</f>
        <v/>
      </c>
      <c r="H1705" s="10">
        <f>IFERROR(AVERAGE($D$1454:$D$1705),"")</f>
        <v/>
      </c>
      <c r="I1705" s="10" t="n">
        <v>-0.3774159427972034</v>
      </c>
      <c r="J1705" t="inlineStr"/>
      <c r="K1705" t="inlineStr"/>
    </row>
    <row r="1706">
      <c r="A1706" s="7" t="inlineStr">
        <is>
          <t>2021-02-26</t>
        </is>
      </c>
      <c r="B1706" s="8">
        <f>IFERROR(VLOOKUP($A1706,'01-原始价格'!$A:$M,2,FALSE),"")</f>
        <v/>
      </c>
      <c r="C1706" s="8">
        <f>IFERROR(VLOOKUP($A1706,'01-原始价格'!$A:$M,8,FALSE),"")</f>
        <v/>
      </c>
      <c r="D1706" s="10">
        <f>IFERROR(B1706/C1706,"")</f>
        <v/>
      </c>
      <c r="E1706" s="10">
        <f>IFERROR(C1706/B1706,"")</f>
        <v/>
      </c>
      <c r="F1706" s="11">
        <f>IFERROR((D1706/D1705-1)*100,"")</f>
        <v/>
      </c>
      <c r="G1706" s="11">
        <f>IFERROR((COUNTIF($D$1455:$D$1706,"&lt;"&amp;D1706)+0.5*COUNTIF($D$1455:$D$1706,D1706))/COUNT($D$1455:$D$1706)*100,"")</f>
        <v/>
      </c>
      <c r="H1706" s="10">
        <f>IFERROR(AVERAGE($D$1455:$D$1706),"")</f>
        <v/>
      </c>
      <c r="I1706" s="10" t="n">
        <v>-0.27321857252123</v>
      </c>
      <c r="J1706" t="inlineStr"/>
      <c r="K1706" t="inlineStr"/>
    </row>
    <row r="1707">
      <c r="A1707" s="7" t="inlineStr">
        <is>
          <t>2021-03-01</t>
        </is>
      </c>
      <c r="B1707" s="8">
        <f>IFERROR(VLOOKUP($A1707,'01-原始价格'!$A:$M,2,FALSE),"")</f>
        <v/>
      </c>
      <c r="C1707" s="8">
        <f>IFERROR(VLOOKUP($A1707,'01-原始价格'!$A:$M,8,FALSE),"")</f>
        <v/>
      </c>
      <c r="D1707" s="10">
        <f>IFERROR(B1707/C1707,"")</f>
        <v/>
      </c>
      <c r="E1707" s="10">
        <f>IFERROR(C1707/B1707,"")</f>
        <v/>
      </c>
      <c r="F1707" s="11">
        <f>IFERROR((D1707/D1706-1)*100,"")</f>
        <v/>
      </c>
      <c r="G1707" s="11">
        <f>IFERROR((COUNTIF($D$1456:$D$1707,"&lt;"&amp;D1707)+0.5*COUNTIF($D$1456:$D$1707,D1707))/COUNT($D$1456:$D$1707)*100,"")</f>
        <v/>
      </c>
      <c r="H1707" s="10">
        <f>IFERROR(AVERAGE($D$1456:$D$1707),"")</f>
        <v/>
      </c>
      <c r="I1707" s="10" t="n">
        <v>-0.08410415919223628</v>
      </c>
      <c r="J1707" t="inlineStr"/>
      <c r="K1707" t="inlineStr"/>
    </row>
    <row r="1708">
      <c r="A1708" s="7" t="inlineStr">
        <is>
          <t>2021-03-02</t>
        </is>
      </c>
      <c r="B1708" s="8">
        <f>IFERROR(VLOOKUP($A1708,'01-原始价格'!$A:$M,2,FALSE),"")</f>
        <v/>
      </c>
      <c r="C1708" s="8">
        <f>IFERROR(VLOOKUP($A1708,'01-原始价格'!$A:$M,8,FALSE),"")</f>
        <v/>
      </c>
      <c r="D1708" s="10">
        <f>IFERROR(B1708/C1708,"")</f>
        <v/>
      </c>
      <c r="E1708" s="10">
        <f>IFERROR(C1708/B1708,"")</f>
        <v/>
      </c>
      <c r="F1708" s="11">
        <f>IFERROR((D1708/D1707-1)*100,"")</f>
        <v/>
      </c>
      <c r="G1708" s="11">
        <f>IFERROR((COUNTIF($D$1457:$D$1708,"&lt;"&amp;D1708)+0.5*COUNTIF($D$1457:$D$1708,D1708))/COUNT($D$1457:$D$1708)*100,"")</f>
        <v/>
      </c>
      <c r="H1708" s="10">
        <f>IFERROR(AVERAGE($D$1457:$D$1708),"")</f>
        <v/>
      </c>
      <c r="I1708" s="10" t="n">
        <v>-0.5637362641444812</v>
      </c>
      <c r="J1708" t="inlineStr"/>
      <c r="K1708" t="inlineStr"/>
    </row>
    <row r="1709">
      <c r="A1709" s="7" t="inlineStr">
        <is>
          <t>2021-03-03</t>
        </is>
      </c>
      <c r="B1709" s="8">
        <f>IFERROR(VLOOKUP($A1709,'01-原始价格'!$A:$M,2,FALSE),"")</f>
        <v/>
      </c>
      <c r="C1709" s="8">
        <f>IFERROR(VLOOKUP($A1709,'01-原始价格'!$A:$M,8,FALSE),"")</f>
        <v/>
      </c>
      <c r="D1709" s="10">
        <f>IFERROR(B1709/C1709,"")</f>
        <v/>
      </c>
      <c r="E1709" s="10">
        <f>IFERROR(C1709/B1709,"")</f>
        <v/>
      </c>
      <c r="F1709" s="11">
        <f>IFERROR((D1709/D1708-1)*100,"")</f>
        <v/>
      </c>
      <c r="G1709" s="11">
        <f>IFERROR((COUNTIF($D$1458:$D$1709,"&lt;"&amp;D1709)+0.5*COUNTIF($D$1458:$D$1709,D1709))/COUNT($D$1458:$D$1709)*100,"")</f>
        <v/>
      </c>
      <c r="H1709" s="10">
        <f>IFERROR(AVERAGE($D$1458:$D$1709),"")</f>
        <v/>
      </c>
      <c r="I1709" s="10" t="n">
        <v>-0.7861547618633069</v>
      </c>
      <c r="J1709" t="inlineStr"/>
      <c r="K1709" t="inlineStr"/>
    </row>
    <row r="1710">
      <c r="A1710" s="7" t="inlineStr">
        <is>
          <t>2021-03-04</t>
        </is>
      </c>
      <c r="B1710" s="8">
        <f>IFERROR(VLOOKUP($A1710,'01-原始价格'!$A:$M,2,FALSE),"")</f>
        <v/>
      </c>
      <c r="C1710" s="8">
        <f>IFERROR(VLOOKUP($A1710,'01-原始价格'!$A:$M,8,FALSE),"")</f>
        <v/>
      </c>
      <c r="D1710" s="10">
        <f>IFERROR(B1710/C1710,"")</f>
        <v/>
      </c>
      <c r="E1710" s="10">
        <f>IFERROR(C1710/B1710,"")</f>
        <v/>
      </c>
      <c r="F1710" s="11">
        <f>IFERROR((D1710/D1709-1)*100,"")</f>
        <v/>
      </c>
      <c r="G1710" s="11">
        <f>IFERROR((COUNTIF($D$1459:$D$1710,"&lt;"&amp;D1710)+0.5*COUNTIF($D$1459:$D$1710,D1710))/COUNT($D$1459:$D$1710)*100,"")</f>
        <v/>
      </c>
      <c r="H1710" s="10">
        <f>IFERROR(AVERAGE($D$1459:$D$1710),"")</f>
        <v/>
      </c>
      <c r="I1710" s="10" t="n">
        <v>-0.6569647772456707</v>
      </c>
      <c r="J1710" t="inlineStr"/>
      <c r="K1710" t="inlineStr"/>
    </row>
    <row r="1711">
      <c r="A1711" s="7" t="inlineStr">
        <is>
          <t>2021-03-05</t>
        </is>
      </c>
      <c r="B1711" s="8">
        <f>IFERROR(VLOOKUP($A1711,'01-原始价格'!$A:$M,2,FALSE),"")</f>
        <v/>
      </c>
      <c r="C1711" s="8">
        <f>IFERROR(VLOOKUP($A1711,'01-原始价格'!$A:$M,8,FALSE),"")</f>
        <v/>
      </c>
      <c r="D1711" s="10">
        <f>IFERROR(B1711/C1711,"")</f>
        <v/>
      </c>
      <c r="E1711" s="10">
        <f>IFERROR(C1711/B1711,"")</f>
        <v/>
      </c>
      <c r="F1711" s="11">
        <f>IFERROR((D1711/D1710-1)*100,"")</f>
        <v/>
      </c>
      <c r="G1711" s="11">
        <f>IFERROR((COUNTIF($D$1460:$D$1711,"&lt;"&amp;D1711)+0.5*COUNTIF($D$1460:$D$1711,D1711))/COUNT($D$1460:$D$1711)*100,"")</f>
        <v/>
      </c>
      <c r="H1711" s="10">
        <f>IFERROR(AVERAGE($D$1460:$D$1711),"")</f>
        <v/>
      </c>
      <c r="I1711" s="10" t="n">
        <v>-0.4420117197840409</v>
      </c>
      <c r="J1711" t="inlineStr"/>
      <c r="K1711" t="inlineStr"/>
    </row>
    <row r="1712">
      <c r="A1712" s="7" t="inlineStr">
        <is>
          <t>2021-03-08</t>
        </is>
      </c>
      <c r="B1712" s="8">
        <f>IFERROR(VLOOKUP($A1712,'01-原始价格'!$A:$M,2,FALSE),"")</f>
        <v/>
      </c>
      <c r="C1712" s="8">
        <f>IFERROR(VLOOKUP($A1712,'01-原始价格'!$A:$M,8,FALSE),"")</f>
        <v/>
      </c>
      <c r="D1712" s="10">
        <f>IFERROR(B1712/C1712,"")</f>
        <v/>
      </c>
      <c r="E1712" s="10">
        <f>IFERROR(C1712/B1712,"")</f>
        <v/>
      </c>
      <c r="F1712" s="11">
        <f>IFERROR((D1712/D1711-1)*100,"")</f>
        <v/>
      </c>
      <c r="G1712" s="11">
        <f>IFERROR((COUNTIF($D$1461:$D$1712,"&lt;"&amp;D1712)+0.5*COUNTIF($D$1461:$D$1712,D1712))/COUNT($D$1461:$D$1712)*100,"")</f>
        <v/>
      </c>
      <c r="H1712" s="10">
        <f>IFERROR(AVERAGE($D$1461:$D$1712),"")</f>
        <v/>
      </c>
      <c r="I1712" s="10" t="n">
        <v>-0.3241240909022148</v>
      </c>
      <c r="J1712" t="inlineStr"/>
      <c r="K1712" t="inlineStr"/>
    </row>
    <row r="1713">
      <c r="A1713" s="7" t="inlineStr">
        <is>
          <t>2021-03-09</t>
        </is>
      </c>
      <c r="B1713" s="8">
        <f>IFERROR(VLOOKUP($A1713,'01-原始价格'!$A:$M,2,FALSE),"")</f>
        <v/>
      </c>
      <c r="C1713" s="8">
        <f>IFERROR(VLOOKUP($A1713,'01-原始价格'!$A:$M,8,FALSE),"")</f>
        <v/>
      </c>
      <c r="D1713" s="10">
        <f>IFERROR(B1713/C1713,"")</f>
        <v/>
      </c>
      <c r="E1713" s="10">
        <f>IFERROR(C1713/B1713,"")</f>
        <v/>
      </c>
      <c r="F1713" s="11">
        <f>IFERROR((D1713/D1712-1)*100,"")</f>
        <v/>
      </c>
      <c r="G1713" s="11">
        <f>IFERROR((COUNTIF($D$1462:$D$1713,"&lt;"&amp;D1713)+0.5*COUNTIF($D$1462:$D$1713,D1713))/COUNT($D$1462:$D$1713)*100,"")</f>
        <v/>
      </c>
      <c r="H1713" s="10">
        <f>IFERROR(AVERAGE($D$1462:$D$1713),"")</f>
        <v/>
      </c>
      <c r="I1713" s="10" t="n">
        <v>-0.836099592976787</v>
      </c>
      <c r="J1713" t="inlineStr"/>
      <c r="K1713" t="inlineStr"/>
    </row>
    <row r="1714">
      <c r="A1714" s="7" t="inlineStr">
        <is>
          <t>2021-03-10</t>
        </is>
      </c>
      <c r="B1714" s="8">
        <f>IFERROR(VLOOKUP($A1714,'01-原始价格'!$A:$M,2,FALSE),"")</f>
        <v/>
      </c>
      <c r="C1714" s="8">
        <f>IFERROR(VLOOKUP($A1714,'01-原始价格'!$A:$M,8,FALSE),"")</f>
        <v/>
      </c>
      <c r="D1714" s="10">
        <f>IFERROR(B1714/C1714,"")</f>
        <v/>
      </c>
      <c r="E1714" s="10">
        <f>IFERROR(C1714/B1714,"")</f>
        <v/>
      </c>
      <c r="F1714" s="11">
        <f>IFERROR((D1714/D1713-1)*100,"")</f>
        <v/>
      </c>
      <c r="G1714" s="11">
        <f>IFERROR((COUNTIF($D$1463:$D$1714,"&lt;"&amp;D1714)+0.5*COUNTIF($D$1463:$D$1714,D1714))/COUNT($D$1463:$D$1714)*100,"")</f>
        <v/>
      </c>
      <c r="H1714" s="10">
        <f>IFERROR(AVERAGE($D$1463:$D$1714),"")</f>
        <v/>
      </c>
      <c r="I1714" s="10" t="n">
        <v>-0.3302352885098479</v>
      </c>
      <c r="J1714" t="inlineStr"/>
      <c r="K1714" t="inlineStr"/>
    </row>
    <row r="1715">
      <c r="A1715" s="7" t="inlineStr">
        <is>
          <t>2021-03-11</t>
        </is>
      </c>
      <c r="B1715" s="8">
        <f>IFERROR(VLOOKUP($A1715,'01-原始价格'!$A:$M,2,FALSE),"")</f>
        <v/>
      </c>
      <c r="C1715" s="8">
        <f>IFERROR(VLOOKUP($A1715,'01-原始价格'!$A:$M,8,FALSE),"")</f>
        <v/>
      </c>
      <c r="D1715" s="10">
        <f>IFERROR(B1715/C1715,"")</f>
        <v/>
      </c>
      <c r="E1715" s="10">
        <f>IFERROR(C1715/B1715,"")</f>
        <v/>
      </c>
      <c r="F1715" s="11">
        <f>IFERROR((D1715/D1714-1)*100,"")</f>
        <v/>
      </c>
      <c r="G1715" s="11">
        <f>IFERROR((COUNTIF($D$1464:$D$1715,"&lt;"&amp;D1715)+0.5*COUNTIF($D$1464:$D$1715,D1715))/COUNT($D$1464:$D$1715)*100,"")</f>
        <v/>
      </c>
      <c r="H1715" s="10">
        <f>IFERROR(AVERAGE($D$1464:$D$1715),"")</f>
        <v/>
      </c>
      <c r="I1715" s="10" t="n">
        <v>-0.7703859443154218</v>
      </c>
      <c r="J1715" t="inlineStr"/>
      <c r="K1715" t="inlineStr"/>
    </row>
    <row r="1716">
      <c r="A1716" s="7" t="inlineStr">
        <is>
          <t>2021-03-12</t>
        </is>
      </c>
      <c r="B1716" s="8">
        <f>IFERROR(VLOOKUP($A1716,'01-原始价格'!$A:$M,2,FALSE),"")</f>
        <v/>
      </c>
      <c r="C1716" s="8">
        <f>IFERROR(VLOOKUP($A1716,'01-原始价格'!$A:$M,8,FALSE),"")</f>
        <v/>
      </c>
      <c r="D1716" s="10">
        <f>IFERROR(B1716/C1716,"")</f>
        <v/>
      </c>
      <c r="E1716" s="10">
        <f>IFERROR(C1716/B1716,"")</f>
        <v/>
      </c>
      <c r="F1716" s="11">
        <f>IFERROR((D1716/D1715-1)*100,"")</f>
        <v/>
      </c>
      <c r="G1716" s="11">
        <f>IFERROR((COUNTIF($D$1465:$D$1716,"&lt;"&amp;D1716)+0.5*COUNTIF($D$1465:$D$1716,D1716))/COUNT($D$1465:$D$1716)*100,"")</f>
        <v/>
      </c>
      <c r="H1716" s="10">
        <f>IFERROR(AVERAGE($D$1465:$D$1716),"")</f>
        <v/>
      </c>
      <c r="I1716" s="10" t="n">
        <v>-0.4668927731496209</v>
      </c>
      <c r="J1716" t="inlineStr"/>
      <c r="K1716" t="inlineStr"/>
    </row>
    <row r="1717">
      <c r="A1717" s="7" t="inlineStr">
        <is>
          <t>2021-03-15</t>
        </is>
      </c>
      <c r="B1717" s="8">
        <f>IFERROR(VLOOKUP($A1717,'01-原始价格'!$A:$M,2,FALSE),"")</f>
        <v/>
      </c>
      <c r="C1717" s="8">
        <f>IFERROR(VLOOKUP($A1717,'01-原始价格'!$A:$M,8,FALSE),"")</f>
        <v/>
      </c>
      <c r="D1717" s="10">
        <f>IFERROR(B1717/C1717,"")</f>
        <v/>
      </c>
      <c r="E1717" s="10">
        <f>IFERROR(C1717/B1717,"")</f>
        <v/>
      </c>
      <c r="F1717" s="11">
        <f>IFERROR((D1717/D1716-1)*100,"")</f>
        <v/>
      </c>
      <c r="G1717" s="11">
        <f>IFERROR((COUNTIF($D$1466:$D$1717,"&lt;"&amp;D1717)+0.5*COUNTIF($D$1466:$D$1717,D1717))/COUNT($D$1466:$D$1717)*100,"")</f>
        <v/>
      </c>
      <c r="H1717" s="10">
        <f>IFERROR(AVERAGE($D$1466:$D$1717),"")</f>
        <v/>
      </c>
      <c r="I1717" s="10" t="n">
        <v>-0.5776389246420799</v>
      </c>
      <c r="J1717" t="inlineStr"/>
      <c r="K1717" t="inlineStr"/>
    </row>
    <row r="1718">
      <c r="A1718" s="7" t="inlineStr">
        <is>
          <t>2021-03-16</t>
        </is>
      </c>
      <c r="B1718" s="8">
        <f>IFERROR(VLOOKUP($A1718,'01-原始价格'!$A:$M,2,FALSE),"")</f>
        <v/>
      </c>
      <c r="C1718" s="8">
        <f>IFERROR(VLOOKUP($A1718,'01-原始价格'!$A:$M,8,FALSE),"")</f>
        <v/>
      </c>
      <c r="D1718" s="10">
        <f>IFERROR(B1718/C1718,"")</f>
        <v/>
      </c>
      <c r="E1718" s="10">
        <f>IFERROR(C1718/B1718,"")</f>
        <v/>
      </c>
      <c r="F1718" s="11">
        <f>IFERROR((D1718/D1717-1)*100,"")</f>
        <v/>
      </c>
      <c r="G1718" s="11">
        <f>IFERROR((COUNTIF($D$1467:$D$1718,"&lt;"&amp;D1718)+0.5*COUNTIF($D$1467:$D$1718,D1718))/COUNT($D$1467:$D$1718)*100,"")</f>
        <v/>
      </c>
      <c r="H1718" s="10">
        <f>IFERROR(AVERAGE($D$1467:$D$1718),"")</f>
        <v/>
      </c>
      <c r="I1718" s="10" t="n">
        <v>-0.3240915230112807</v>
      </c>
      <c r="J1718" t="inlineStr"/>
      <c r="K1718" t="inlineStr"/>
    </row>
    <row r="1719">
      <c r="A1719" s="7" t="inlineStr">
        <is>
          <t>2021-03-17</t>
        </is>
      </c>
      <c r="B1719" s="8">
        <f>IFERROR(VLOOKUP($A1719,'01-原始价格'!$A:$M,2,FALSE),"")</f>
        <v/>
      </c>
      <c r="C1719" s="8">
        <f>IFERROR(VLOOKUP($A1719,'01-原始价格'!$A:$M,8,FALSE),"")</f>
        <v/>
      </c>
      <c r="D1719" s="10">
        <f>IFERROR(B1719/C1719,"")</f>
        <v/>
      </c>
      <c r="E1719" s="10">
        <f>IFERROR(C1719/B1719,"")</f>
        <v/>
      </c>
      <c r="F1719" s="11">
        <f>IFERROR((D1719/D1718-1)*100,"")</f>
        <v/>
      </c>
      <c r="G1719" s="11">
        <f>IFERROR((COUNTIF($D$1468:$D$1719,"&lt;"&amp;D1719)+0.5*COUNTIF($D$1468:$D$1719,D1719))/COUNT($D$1468:$D$1719)*100,"")</f>
        <v/>
      </c>
      <c r="H1719" s="10">
        <f>IFERROR(AVERAGE($D$1468:$D$1719),"")</f>
        <v/>
      </c>
      <c r="I1719" s="10" t="n">
        <v>-0.3261946184362056</v>
      </c>
      <c r="J1719" t="inlineStr"/>
      <c r="K1719" t="inlineStr"/>
    </row>
    <row r="1720">
      <c r="A1720" s="7" t="inlineStr">
        <is>
          <t>2021-03-18</t>
        </is>
      </c>
      <c r="B1720" s="8">
        <f>IFERROR(VLOOKUP($A1720,'01-原始价格'!$A:$M,2,FALSE),"")</f>
        <v/>
      </c>
      <c r="C1720" s="8">
        <f>IFERROR(VLOOKUP($A1720,'01-原始价格'!$A:$M,8,FALSE),"")</f>
        <v/>
      </c>
      <c r="D1720" s="10">
        <f>IFERROR(B1720/C1720,"")</f>
        <v/>
      </c>
      <c r="E1720" s="10">
        <f>IFERROR(C1720/B1720,"")</f>
        <v/>
      </c>
      <c r="F1720" s="11">
        <f>IFERROR((D1720/D1719-1)*100,"")</f>
        <v/>
      </c>
      <c r="G1720" s="11">
        <f>IFERROR((COUNTIF($D$1469:$D$1720,"&lt;"&amp;D1720)+0.5*COUNTIF($D$1469:$D$1720,D1720))/COUNT($D$1469:$D$1720)*100,"")</f>
        <v/>
      </c>
      <c r="H1720" s="10">
        <f>IFERROR(AVERAGE($D$1469:$D$1720),"")</f>
        <v/>
      </c>
      <c r="I1720" s="10" t="n">
        <v>-0.3935073366168649</v>
      </c>
      <c r="J1720" t="inlineStr"/>
      <c r="K1720" t="inlineStr"/>
    </row>
    <row r="1721">
      <c r="A1721" s="7" t="inlineStr">
        <is>
          <t>2021-03-19</t>
        </is>
      </c>
      <c r="B1721" s="8">
        <f>IFERROR(VLOOKUP($A1721,'01-原始价格'!$A:$M,2,FALSE),"")</f>
        <v/>
      </c>
      <c r="C1721" s="8">
        <f>IFERROR(VLOOKUP($A1721,'01-原始价格'!$A:$M,8,FALSE),"")</f>
        <v/>
      </c>
      <c r="D1721" s="10">
        <f>IFERROR(B1721/C1721,"")</f>
        <v/>
      </c>
      <c r="E1721" s="10">
        <f>IFERROR(C1721/B1721,"")</f>
        <v/>
      </c>
      <c r="F1721" s="11">
        <f>IFERROR((D1721/D1720-1)*100,"")</f>
        <v/>
      </c>
      <c r="G1721" s="11">
        <f>IFERROR((COUNTIF($D$1470:$D$1721,"&lt;"&amp;D1721)+0.5*COUNTIF($D$1470:$D$1721,D1721))/COUNT($D$1470:$D$1721)*100,"")</f>
        <v/>
      </c>
      <c r="H1721" s="10">
        <f>IFERROR(AVERAGE($D$1470:$D$1721),"")</f>
        <v/>
      </c>
      <c r="I1721" s="10" t="n">
        <v>-0.4504571588982679</v>
      </c>
      <c r="J1721" t="inlineStr"/>
      <c r="K1721" t="inlineStr"/>
    </row>
    <row r="1722">
      <c r="A1722" s="7" t="inlineStr">
        <is>
          <t>2021-03-22</t>
        </is>
      </c>
      <c r="B1722" s="8">
        <f>IFERROR(VLOOKUP($A1722,'01-原始价格'!$A:$M,2,FALSE),"")</f>
        <v/>
      </c>
      <c r="C1722" s="8">
        <f>IFERROR(VLOOKUP($A1722,'01-原始价格'!$A:$M,8,FALSE),"")</f>
        <v/>
      </c>
      <c r="D1722" s="10">
        <f>IFERROR(B1722/C1722,"")</f>
        <v/>
      </c>
      <c r="E1722" s="10">
        <f>IFERROR(C1722/B1722,"")</f>
        <v/>
      </c>
      <c r="F1722" s="11">
        <f>IFERROR((D1722/D1721-1)*100,"")</f>
        <v/>
      </c>
      <c r="G1722" s="11">
        <f>IFERROR((COUNTIF($D$1471:$D$1722,"&lt;"&amp;D1722)+0.5*COUNTIF($D$1471:$D$1722,D1722))/COUNT($D$1471:$D$1722)*100,"")</f>
        <v/>
      </c>
      <c r="H1722" s="10">
        <f>IFERROR(AVERAGE($D$1471:$D$1722),"")</f>
        <v/>
      </c>
      <c r="I1722" s="10" t="n">
        <v>-0.5374362023866348</v>
      </c>
      <c r="J1722" t="inlineStr"/>
      <c r="K1722" t="inlineStr"/>
    </row>
    <row r="1723">
      <c r="A1723" s="7" t="inlineStr">
        <is>
          <t>2021-03-23</t>
        </is>
      </c>
      <c r="B1723" s="8">
        <f>IFERROR(VLOOKUP($A1723,'01-原始价格'!$A:$M,2,FALSE),"")</f>
        <v/>
      </c>
      <c r="C1723" s="8">
        <f>IFERROR(VLOOKUP($A1723,'01-原始价格'!$A:$M,8,FALSE),"")</f>
        <v/>
      </c>
      <c r="D1723" s="10">
        <f>IFERROR(B1723/C1723,"")</f>
        <v/>
      </c>
      <c r="E1723" s="10">
        <f>IFERROR(C1723/B1723,"")</f>
        <v/>
      </c>
      <c r="F1723" s="11">
        <f>IFERROR((D1723/D1722-1)*100,"")</f>
        <v/>
      </c>
      <c r="G1723" s="11">
        <f>IFERROR((COUNTIF($D$1472:$D$1723,"&lt;"&amp;D1723)+0.5*COUNTIF($D$1472:$D$1723,D1723))/COUNT($D$1472:$D$1723)*100,"")</f>
        <v/>
      </c>
      <c r="H1723" s="10">
        <f>IFERROR(AVERAGE($D$1472:$D$1723),"")</f>
        <v/>
      </c>
      <c r="I1723" s="10" t="n">
        <v>-0.7177939624930399</v>
      </c>
      <c r="J1723" t="inlineStr"/>
      <c r="K1723" t="inlineStr"/>
    </row>
    <row r="1724">
      <c r="A1724" s="7" t="inlineStr">
        <is>
          <t>2021-03-24</t>
        </is>
      </c>
      <c r="B1724" s="8">
        <f>IFERROR(VLOOKUP($A1724,'01-原始价格'!$A:$M,2,FALSE),"")</f>
        <v/>
      </c>
      <c r="C1724" s="8">
        <f>IFERROR(VLOOKUP($A1724,'01-原始价格'!$A:$M,8,FALSE),"")</f>
        <v/>
      </c>
      <c r="D1724" s="10">
        <f>IFERROR(B1724/C1724,"")</f>
        <v/>
      </c>
      <c r="E1724" s="10">
        <f>IFERROR(C1724/B1724,"")</f>
        <v/>
      </c>
      <c r="F1724" s="11">
        <f>IFERROR((D1724/D1723-1)*100,"")</f>
        <v/>
      </c>
      <c r="G1724" s="11">
        <f>IFERROR((COUNTIF($D$1473:$D$1724,"&lt;"&amp;D1724)+0.5*COUNTIF($D$1473:$D$1724,D1724))/COUNT($D$1473:$D$1724)*100,"")</f>
        <v/>
      </c>
      <c r="H1724" s="10">
        <f>IFERROR(AVERAGE($D$1473:$D$1724),"")</f>
        <v/>
      </c>
      <c r="I1724" s="10" t="n">
        <v>-0.6081979425957317</v>
      </c>
      <c r="J1724" t="inlineStr"/>
      <c r="K1724" t="inlineStr"/>
    </row>
    <row r="1725">
      <c r="A1725" s="7" t="inlineStr">
        <is>
          <t>2021-03-25</t>
        </is>
      </c>
      <c r="B1725" s="8">
        <f>IFERROR(VLOOKUP($A1725,'01-原始价格'!$A:$M,2,FALSE),"")</f>
        <v/>
      </c>
      <c r="C1725" s="8">
        <f>IFERROR(VLOOKUP($A1725,'01-原始价格'!$A:$M,8,FALSE),"")</f>
        <v/>
      </c>
      <c r="D1725" s="10">
        <f>IFERROR(B1725/C1725,"")</f>
        <v/>
      </c>
      <c r="E1725" s="10">
        <f>IFERROR(C1725/B1725,"")</f>
        <v/>
      </c>
      <c r="F1725" s="11">
        <f>IFERROR((D1725/D1724-1)*100,"")</f>
        <v/>
      </c>
      <c r="G1725" s="11">
        <f>IFERROR((COUNTIF($D$1474:$D$1725,"&lt;"&amp;D1725)+0.5*COUNTIF($D$1474:$D$1725,D1725))/COUNT($D$1474:$D$1725)*100,"")</f>
        <v/>
      </c>
      <c r="H1725" s="10">
        <f>IFERROR(AVERAGE($D$1474:$D$1725),"")</f>
        <v/>
      </c>
      <c r="I1725" s="10" t="n">
        <v>-0.7133567613110089</v>
      </c>
      <c r="J1725" t="inlineStr"/>
      <c r="K1725" t="inlineStr"/>
    </row>
    <row r="1726">
      <c r="A1726" s="7" t="inlineStr">
        <is>
          <t>2021-03-26</t>
        </is>
      </c>
      <c r="B1726" s="8">
        <f>IFERROR(VLOOKUP($A1726,'01-原始价格'!$A:$M,2,FALSE),"")</f>
        <v/>
      </c>
      <c r="C1726" s="8">
        <f>IFERROR(VLOOKUP($A1726,'01-原始价格'!$A:$M,8,FALSE),"")</f>
        <v/>
      </c>
      <c r="D1726" s="10">
        <f>IFERROR(B1726/C1726,"")</f>
        <v/>
      </c>
      <c r="E1726" s="10">
        <f>IFERROR(C1726/B1726,"")</f>
        <v/>
      </c>
      <c r="F1726" s="11">
        <f>IFERROR((D1726/D1725-1)*100,"")</f>
        <v/>
      </c>
      <c r="G1726" s="11">
        <f>IFERROR((COUNTIF($D$1475:$D$1726,"&lt;"&amp;D1726)+0.5*COUNTIF($D$1475:$D$1726,D1726))/COUNT($D$1475:$D$1726)*100,"")</f>
        <v/>
      </c>
      <c r="H1726" s="10">
        <f>IFERROR(AVERAGE($D$1475:$D$1726),"")</f>
        <v/>
      </c>
      <c r="I1726" s="10" t="n">
        <v>-0.7882705586924329</v>
      </c>
      <c r="J1726" t="inlineStr"/>
      <c r="K1726" t="inlineStr"/>
    </row>
    <row r="1727">
      <c r="A1727" s="7" t="inlineStr">
        <is>
          <t>2021-03-29</t>
        </is>
      </c>
      <c r="B1727" s="8">
        <f>IFERROR(VLOOKUP($A1727,'01-原始价格'!$A:$M,2,FALSE),"")</f>
        <v/>
      </c>
      <c r="C1727" s="8">
        <f>IFERROR(VLOOKUP($A1727,'01-原始价格'!$A:$M,8,FALSE),"")</f>
        <v/>
      </c>
      <c r="D1727" s="10">
        <f>IFERROR(B1727/C1727,"")</f>
        <v/>
      </c>
      <c r="E1727" s="10">
        <f>IFERROR(C1727/B1727,"")</f>
        <v/>
      </c>
      <c r="F1727" s="11">
        <f>IFERROR((D1727/D1726-1)*100,"")</f>
        <v/>
      </c>
      <c r="G1727" s="11">
        <f>IFERROR((COUNTIF($D$1476:$D$1727,"&lt;"&amp;D1727)+0.5*COUNTIF($D$1476:$D$1727,D1727))/COUNT($D$1476:$D$1727)*100,"")</f>
        <v/>
      </c>
      <c r="H1727" s="10">
        <f>IFERROR(AVERAGE($D$1476:$D$1727),"")</f>
        <v/>
      </c>
      <c r="I1727" s="10" t="n">
        <v>-1.003997880113294</v>
      </c>
      <c r="J1727" t="inlineStr"/>
      <c r="K1727" t="inlineStr"/>
    </row>
    <row r="1728">
      <c r="A1728" s="7" t="inlineStr">
        <is>
          <t>2021-03-30</t>
        </is>
      </c>
      <c r="B1728" s="8">
        <f>IFERROR(VLOOKUP($A1728,'01-原始价格'!$A:$M,2,FALSE),"")</f>
        <v/>
      </c>
      <c r="C1728" s="8">
        <f>IFERROR(VLOOKUP($A1728,'01-原始价格'!$A:$M,8,FALSE),"")</f>
        <v/>
      </c>
      <c r="D1728" s="10">
        <f>IFERROR(B1728/C1728,"")</f>
        <v/>
      </c>
      <c r="E1728" s="10">
        <f>IFERROR(C1728/B1728,"")</f>
        <v/>
      </c>
      <c r="F1728" s="11">
        <f>IFERROR((D1728/D1727-1)*100,"")</f>
        <v/>
      </c>
      <c r="G1728" s="11">
        <f>IFERROR((COUNTIF($D$1477:$D$1728,"&lt;"&amp;D1728)+0.5*COUNTIF($D$1477:$D$1728,D1728))/COUNT($D$1477:$D$1728)*100,"")</f>
        <v/>
      </c>
      <c r="H1728" s="10">
        <f>IFERROR(AVERAGE($D$1477:$D$1728),"")</f>
        <v/>
      </c>
      <c r="I1728" s="10" t="n">
        <v>-0.888600721802011</v>
      </c>
      <c r="J1728" t="inlineStr"/>
      <c r="K1728" t="inlineStr"/>
    </row>
    <row r="1729">
      <c r="A1729" s="7" t="inlineStr">
        <is>
          <t>2021-03-31</t>
        </is>
      </c>
      <c r="B1729" s="8">
        <f>IFERROR(VLOOKUP($A1729,'01-原始价格'!$A:$M,2,FALSE),"")</f>
        <v/>
      </c>
      <c r="C1729" s="8">
        <f>IFERROR(VLOOKUP($A1729,'01-原始价格'!$A:$M,8,FALSE),"")</f>
        <v/>
      </c>
      <c r="D1729" s="10">
        <f>IFERROR(B1729/C1729,"")</f>
        <v/>
      </c>
      <c r="E1729" s="10">
        <f>IFERROR(C1729/B1729,"")</f>
        <v/>
      </c>
      <c r="F1729" s="11">
        <f>IFERROR((D1729/D1728-1)*100,"")</f>
        <v/>
      </c>
      <c r="G1729" s="11">
        <f>IFERROR((COUNTIF($D$1478:$D$1729,"&lt;"&amp;D1729)+0.5*COUNTIF($D$1478:$D$1729,D1729))/COUNT($D$1478:$D$1729)*100,"")</f>
        <v/>
      </c>
      <c r="H1729" s="10">
        <f>IFERROR(AVERAGE($D$1478:$D$1729),"")</f>
        <v/>
      </c>
      <c r="I1729" s="10" t="n">
        <v>-0.9615023206926714</v>
      </c>
      <c r="J1729" t="inlineStr"/>
      <c r="K1729" t="inlineStr"/>
    </row>
    <row r="1730">
      <c r="A1730" s="7" t="inlineStr">
        <is>
          <t>2021-04-01</t>
        </is>
      </c>
      <c r="B1730" s="8">
        <f>IFERROR(VLOOKUP($A1730,'01-原始价格'!$A:$M,2,FALSE),"")</f>
        <v/>
      </c>
      <c r="C1730" s="8">
        <f>IFERROR(VLOOKUP($A1730,'01-原始价格'!$A:$M,8,FALSE),"")</f>
        <v/>
      </c>
      <c r="D1730" s="10">
        <f>IFERROR(B1730/C1730,"")</f>
        <v/>
      </c>
      <c r="E1730" s="10">
        <f>IFERROR(C1730/B1730,"")</f>
        <v/>
      </c>
      <c r="F1730" s="11">
        <f>IFERROR((D1730/D1729-1)*100,"")</f>
        <v/>
      </c>
      <c r="G1730" s="11">
        <f>IFERROR((COUNTIF($D$1479:$D$1730,"&lt;"&amp;D1730)+0.5*COUNTIF($D$1479:$D$1730,D1730))/COUNT($D$1479:$D$1730)*100,"")</f>
        <v/>
      </c>
      <c r="H1730" s="10">
        <f>IFERROR(AVERAGE($D$1479:$D$1730),"")</f>
        <v/>
      </c>
      <c r="I1730" s="10" t="n">
        <v>-0.8636498861247075</v>
      </c>
      <c r="J1730" t="inlineStr"/>
      <c r="K1730" t="inlineStr"/>
    </row>
    <row r="1731">
      <c r="A1731" s="7" t="inlineStr">
        <is>
          <t>2021-04-02</t>
        </is>
      </c>
      <c r="B1731" s="8">
        <f>IFERROR(VLOOKUP($A1731,'01-原始价格'!$A:$M,2,FALSE),"")</f>
        <v/>
      </c>
      <c r="C1731" s="8">
        <f>IFERROR(VLOOKUP($A1731,'01-原始价格'!$A:$M,8,FALSE),"")</f>
        <v/>
      </c>
      <c r="D1731" s="10">
        <f>IFERROR(B1731/C1731,"")</f>
        <v/>
      </c>
      <c r="E1731" s="10">
        <f>IFERROR(C1731/B1731,"")</f>
        <v/>
      </c>
      <c r="F1731" s="11">
        <f>IFERROR((D1731/D1730-1)*100,"")</f>
        <v/>
      </c>
      <c r="G1731" s="11">
        <f>IFERROR((COUNTIF($D$1480:$D$1731,"&lt;"&amp;D1731)+0.5*COUNTIF($D$1480:$D$1731,D1731))/COUNT($D$1480:$D$1731)*100,"")</f>
        <v/>
      </c>
      <c r="H1731" s="10">
        <f>IFERROR(AVERAGE($D$1480:$D$1731),"")</f>
        <v/>
      </c>
      <c r="I1731" s="10" t="n">
        <v>-1.119382513005617</v>
      </c>
      <c r="J1731" t="inlineStr"/>
      <c r="K1731" t="inlineStr"/>
    </row>
    <row r="1732">
      <c r="A1732" s="7" t="inlineStr">
        <is>
          <t>2021-04-06</t>
        </is>
      </c>
      <c r="B1732" s="8">
        <f>IFERROR(VLOOKUP($A1732,'01-原始价格'!$A:$M,2,FALSE),"")</f>
        <v/>
      </c>
      <c r="C1732" s="8">
        <f>IFERROR(VLOOKUP($A1732,'01-原始价格'!$A:$M,8,FALSE),"")</f>
        <v/>
      </c>
      <c r="D1732" s="10">
        <f>IFERROR(B1732/C1732,"")</f>
        <v/>
      </c>
      <c r="E1732" s="10">
        <f>IFERROR(C1732/B1732,"")</f>
        <v/>
      </c>
      <c r="F1732" s="11">
        <f>IFERROR((D1732/D1731-1)*100,"")</f>
        <v/>
      </c>
      <c r="G1732" s="11">
        <f>IFERROR((COUNTIF($D$1481:$D$1732,"&lt;"&amp;D1732)+0.5*COUNTIF($D$1481:$D$1732,D1732))/COUNT($D$1481:$D$1732)*100,"")</f>
        <v/>
      </c>
      <c r="H1732" s="10">
        <f>IFERROR(AVERAGE($D$1481:$D$1732),"")</f>
        <v/>
      </c>
      <c r="I1732" s="10" t="n">
        <v>-1.195018793265104</v>
      </c>
      <c r="J1732" t="inlineStr"/>
      <c r="K1732" t="inlineStr"/>
    </row>
    <row r="1733">
      <c r="A1733" s="7" t="inlineStr">
        <is>
          <t>2021-04-07</t>
        </is>
      </c>
      <c r="B1733" s="8">
        <f>IFERROR(VLOOKUP($A1733,'01-原始价格'!$A:$M,2,FALSE),"")</f>
        <v/>
      </c>
      <c r="C1733" s="8">
        <f>IFERROR(VLOOKUP($A1733,'01-原始价格'!$A:$M,8,FALSE),"")</f>
        <v/>
      </c>
      <c r="D1733" s="10">
        <f>IFERROR(B1733/C1733,"")</f>
        <v/>
      </c>
      <c r="E1733" s="10">
        <f>IFERROR(C1733/B1733,"")</f>
        <v/>
      </c>
      <c r="F1733" s="11">
        <f>IFERROR((D1733/D1732-1)*100,"")</f>
        <v/>
      </c>
      <c r="G1733" s="11">
        <f>IFERROR((COUNTIF($D$1482:$D$1733,"&lt;"&amp;D1733)+0.5*COUNTIF($D$1482:$D$1733,D1733))/COUNT($D$1482:$D$1733)*100,"")</f>
        <v/>
      </c>
      <c r="H1733" s="10">
        <f>IFERROR(AVERAGE($D$1482:$D$1733),"")</f>
        <v/>
      </c>
      <c r="I1733" s="10" t="n">
        <v>-1.197290737986512</v>
      </c>
      <c r="J1733" t="inlineStr"/>
      <c r="K1733" t="inlineStr"/>
    </row>
    <row r="1734">
      <c r="A1734" s="7" t="inlineStr">
        <is>
          <t>2021-04-08</t>
        </is>
      </c>
      <c r="B1734" s="8">
        <f>IFERROR(VLOOKUP($A1734,'01-原始价格'!$A:$M,2,FALSE),"")</f>
        <v/>
      </c>
      <c r="C1734" s="8">
        <f>IFERROR(VLOOKUP($A1734,'01-原始价格'!$A:$M,8,FALSE),"")</f>
        <v/>
      </c>
      <c r="D1734" s="10">
        <f>IFERROR(B1734/C1734,"")</f>
        <v/>
      </c>
      <c r="E1734" s="10">
        <f>IFERROR(C1734/B1734,"")</f>
        <v/>
      </c>
      <c r="F1734" s="11">
        <f>IFERROR((D1734/D1733-1)*100,"")</f>
        <v/>
      </c>
      <c r="G1734" s="11">
        <f>IFERROR((COUNTIF($D$1483:$D$1734,"&lt;"&amp;D1734)+0.5*COUNTIF($D$1483:$D$1734,D1734))/COUNT($D$1483:$D$1734)*100,"")</f>
        <v/>
      </c>
      <c r="H1734" s="10">
        <f>IFERROR(AVERAGE($D$1483:$D$1734),"")</f>
        <v/>
      </c>
      <c r="I1734" s="10" t="n">
        <v>-1.155344285176895</v>
      </c>
      <c r="J1734" t="inlineStr"/>
      <c r="K1734" t="inlineStr"/>
    </row>
    <row r="1735">
      <c r="A1735" s="7" t="inlineStr">
        <is>
          <t>2021-04-09</t>
        </is>
      </c>
      <c r="B1735" s="8">
        <f>IFERROR(VLOOKUP($A1735,'01-原始价格'!$A:$M,2,FALSE),"")</f>
        <v/>
      </c>
      <c r="C1735" s="8">
        <f>IFERROR(VLOOKUP($A1735,'01-原始价格'!$A:$M,8,FALSE),"")</f>
        <v/>
      </c>
      <c r="D1735" s="10">
        <f>IFERROR(B1735/C1735,"")</f>
        <v/>
      </c>
      <c r="E1735" s="10">
        <f>IFERROR(C1735/B1735,"")</f>
        <v/>
      </c>
      <c r="F1735" s="11">
        <f>IFERROR((D1735/D1734-1)*100,"")</f>
        <v/>
      </c>
      <c r="G1735" s="11">
        <f>IFERROR((COUNTIF($D$1484:$D$1735,"&lt;"&amp;D1735)+0.5*COUNTIF($D$1484:$D$1735,D1735))/COUNT($D$1484:$D$1735)*100,"")</f>
        <v/>
      </c>
      <c r="H1735" s="10">
        <f>IFERROR(AVERAGE($D$1484:$D$1735),"")</f>
        <v/>
      </c>
      <c r="I1735" s="10" t="n">
        <v>-0.8177426633017717</v>
      </c>
      <c r="J1735" t="inlineStr"/>
      <c r="K1735" t="inlineStr"/>
    </row>
    <row r="1736">
      <c r="A1736" s="7" t="inlineStr">
        <is>
          <t>2021-04-12</t>
        </is>
      </c>
      <c r="B1736" s="8">
        <f>IFERROR(VLOOKUP($A1736,'01-原始价格'!$A:$M,2,FALSE),"")</f>
        <v/>
      </c>
      <c r="C1736" s="8">
        <f>IFERROR(VLOOKUP($A1736,'01-原始价格'!$A:$M,8,FALSE),"")</f>
        <v/>
      </c>
      <c r="D1736" s="10">
        <f>IFERROR(B1736/C1736,"")</f>
        <v/>
      </c>
      <c r="E1736" s="10">
        <f>IFERROR(C1736/B1736,"")</f>
        <v/>
      </c>
      <c r="F1736" s="11">
        <f>IFERROR((D1736/D1735-1)*100,"")</f>
        <v/>
      </c>
      <c r="G1736" s="11">
        <f>IFERROR((COUNTIF($D$1485:$D$1736,"&lt;"&amp;D1736)+0.5*COUNTIF($D$1485:$D$1736,D1736))/COUNT($D$1485:$D$1736)*100,"")</f>
        <v/>
      </c>
      <c r="H1736" s="10">
        <f>IFERROR(AVERAGE($D$1485:$D$1736),"")</f>
        <v/>
      </c>
      <c r="I1736" s="10" t="n">
        <v>-0.3162532814606734</v>
      </c>
      <c r="J1736" t="inlineStr"/>
      <c r="K1736" t="inlineStr"/>
    </row>
    <row r="1737">
      <c r="A1737" s="7" t="inlineStr">
        <is>
          <t>2021-04-13</t>
        </is>
      </c>
      <c r="B1737" s="8">
        <f>IFERROR(VLOOKUP($A1737,'01-原始价格'!$A:$M,2,FALSE),"")</f>
        <v/>
      </c>
      <c r="C1737" s="8">
        <f>IFERROR(VLOOKUP($A1737,'01-原始价格'!$A:$M,8,FALSE),"")</f>
        <v/>
      </c>
      <c r="D1737" s="10">
        <f>IFERROR(B1737/C1737,"")</f>
        <v/>
      </c>
      <c r="E1737" s="10">
        <f>IFERROR(C1737/B1737,"")</f>
        <v/>
      </c>
      <c r="F1737" s="11">
        <f>IFERROR((D1737/D1736-1)*100,"")</f>
        <v/>
      </c>
      <c r="G1737" s="11">
        <f>IFERROR((COUNTIF($D$1486:$D$1737,"&lt;"&amp;D1737)+0.5*COUNTIF($D$1486:$D$1737,D1737))/COUNT($D$1486:$D$1737)*100,"")</f>
        <v/>
      </c>
      <c r="H1737" s="10">
        <f>IFERROR(AVERAGE($D$1486:$D$1737),"")</f>
        <v/>
      </c>
      <c r="I1737" s="10" t="n">
        <v>0.06579152751418918</v>
      </c>
      <c r="J1737" t="inlineStr"/>
      <c r="K1737" t="inlineStr"/>
    </row>
    <row r="1738">
      <c r="A1738" s="7" t="inlineStr">
        <is>
          <t>2021-04-14</t>
        </is>
      </c>
      <c r="B1738" s="8">
        <f>IFERROR(VLOOKUP($A1738,'01-原始价格'!$A:$M,2,FALSE),"")</f>
        <v/>
      </c>
      <c r="C1738" s="8">
        <f>IFERROR(VLOOKUP($A1738,'01-原始价格'!$A:$M,8,FALSE),"")</f>
        <v/>
      </c>
      <c r="D1738" s="10">
        <f>IFERROR(B1738/C1738,"")</f>
        <v/>
      </c>
      <c r="E1738" s="10">
        <f>IFERROR(C1738/B1738,"")</f>
        <v/>
      </c>
      <c r="F1738" s="11">
        <f>IFERROR((D1738/D1737-1)*100,"")</f>
        <v/>
      </c>
      <c r="G1738" s="11">
        <f>IFERROR((COUNTIF($D$1487:$D$1738,"&lt;"&amp;D1738)+0.5*COUNTIF($D$1487:$D$1738,D1738))/COUNT($D$1487:$D$1738)*100,"")</f>
        <v/>
      </c>
      <c r="H1738" s="10">
        <f>IFERROR(AVERAGE($D$1487:$D$1738),"")</f>
        <v/>
      </c>
      <c r="I1738" s="10" t="n">
        <v>-0.3190002549133189</v>
      </c>
      <c r="J1738" t="inlineStr"/>
      <c r="K1738" s="12" t="inlineStr">
        <is>
          <t>是</t>
        </is>
      </c>
      <c r="L1738" t="inlineStr">
        <is>
          <t>换月日</t>
        </is>
      </c>
    </row>
    <row r="1739">
      <c r="A1739" s="7" t="inlineStr">
        <is>
          <t>2021-04-15</t>
        </is>
      </c>
      <c r="B1739" s="8">
        <f>IFERROR(VLOOKUP($A1739,'01-原始价格'!$A:$M,2,FALSE),"")</f>
        <v/>
      </c>
      <c r="C1739" s="8">
        <f>IFERROR(VLOOKUP($A1739,'01-原始价格'!$A:$M,8,FALSE),"")</f>
        <v/>
      </c>
      <c r="D1739" s="10">
        <f>IFERROR(B1739/C1739,"")</f>
        <v/>
      </c>
      <c r="E1739" s="10">
        <f>IFERROR(C1739/B1739,"")</f>
        <v/>
      </c>
      <c r="F1739" s="11">
        <f>IFERROR((D1739/D1738-1)*100,"")</f>
        <v/>
      </c>
      <c r="G1739" s="11">
        <f>IFERROR((COUNTIF($D$1488:$D$1739,"&lt;"&amp;D1739)+0.5*COUNTIF($D$1488:$D$1739,D1739))/COUNT($D$1488:$D$1739)*100,"")</f>
        <v/>
      </c>
      <c r="H1739" s="10">
        <f>IFERROR(AVERAGE($D$1488:$D$1739),"")</f>
        <v/>
      </c>
      <c r="I1739" s="10" t="n">
        <v>-0.1190301024397974</v>
      </c>
      <c r="J1739" t="inlineStr"/>
      <c r="K1739" s="12" t="inlineStr">
        <is>
          <t>是</t>
        </is>
      </c>
      <c r="L1739" t="inlineStr">
        <is>
          <t>换月日</t>
        </is>
      </c>
    </row>
    <row r="1740">
      <c r="A1740" s="7" t="inlineStr">
        <is>
          <t>2021-04-16</t>
        </is>
      </c>
      <c r="B1740" s="8">
        <f>IFERROR(VLOOKUP($A1740,'01-原始价格'!$A:$M,2,FALSE),"")</f>
        <v/>
      </c>
      <c r="C1740" s="8">
        <f>IFERROR(VLOOKUP($A1740,'01-原始价格'!$A:$M,8,FALSE),"")</f>
        <v/>
      </c>
      <c r="D1740" s="10">
        <f>IFERROR(B1740/C1740,"")</f>
        <v/>
      </c>
      <c r="E1740" s="10">
        <f>IFERROR(C1740/B1740,"")</f>
        <v/>
      </c>
      <c r="F1740" s="11">
        <f>IFERROR((D1740/D1739-1)*100,"")</f>
        <v/>
      </c>
      <c r="G1740" s="11">
        <f>IFERROR((COUNTIF($D$1489:$D$1740,"&lt;"&amp;D1740)+0.5*COUNTIF($D$1489:$D$1740,D1740))/COUNT($D$1489:$D$1740)*100,"")</f>
        <v/>
      </c>
      <c r="H1740" s="10">
        <f>IFERROR(AVERAGE($D$1489:$D$1740),"")</f>
        <v/>
      </c>
      <c r="I1740" s="10" t="n">
        <v>-0.1426680815691957</v>
      </c>
      <c r="J1740" t="inlineStr"/>
      <c r="K1740" t="inlineStr"/>
    </row>
    <row r="1741">
      <c r="A1741" s="7" t="inlineStr">
        <is>
          <t>2021-04-19</t>
        </is>
      </c>
      <c r="B1741" s="8">
        <f>IFERROR(VLOOKUP($A1741,'01-原始价格'!$A:$M,2,FALSE),"")</f>
        <v/>
      </c>
      <c r="C1741" s="8">
        <f>IFERROR(VLOOKUP($A1741,'01-原始价格'!$A:$M,8,FALSE),"")</f>
        <v/>
      </c>
      <c r="D1741" s="10">
        <f>IFERROR(B1741/C1741,"")</f>
        <v/>
      </c>
      <c r="E1741" s="10">
        <f>IFERROR(C1741/B1741,"")</f>
        <v/>
      </c>
      <c r="F1741" s="11">
        <f>IFERROR((D1741/D1740-1)*100,"")</f>
        <v/>
      </c>
      <c r="G1741" s="11">
        <f>IFERROR((COUNTIF($D$1490:$D$1741,"&lt;"&amp;D1741)+0.5*COUNTIF($D$1490:$D$1741,D1741))/COUNT($D$1490:$D$1741)*100,"")</f>
        <v/>
      </c>
      <c r="H1741" s="10">
        <f>IFERROR(AVERAGE($D$1490:$D$1741),"")</f>
        <v/>
      </c>
      <c r="I1741" s="10" t="n">
        <v>-0.8238495158964603</v>
      </c>
      <c r="J1741" t="inlineStr"/>
      <c r="K1741" s="12" t="inlineStr">
        <is>
          <t>是</t>
        </is>
      </c>
      <c r="L1741" t="inlineStr">
        <is>
          <t>换月日</t>
        </is>
      </c>
    </row>
    <row r="1742">
      <c r="A1742" s="7" t="inlineStr">
        <is>
          <t>2021-04-20</t>
        </is>
      </c>
      <c r="B1742" s="8">
        <f>IFERROR(VLOOKUP($A1742,'01-原始价格'!$A:$M,2,FALSE),"")</f>
        <v/>
      </c>
      <c r="C1742" s="8">
        <f>IFERROR(VLOOKUP($A1742,'01-原始价格'!$A:$M,8,FALSE),"")</f>
        <v/>
      </c>
      <c r="D1742" s="10">
        <f>IFERROR(B1742/C1742,"")</f>
        <v/>
      </c>
      <c r="E1742" s="10">
        <f>IFERROR(C1742/B1742,"")</f>
        <v/>
      </c>
      <c r="F1742" s="11">
        <f>IFERROR((D1742/D1741-1)*100,"")</f>
        <v/>
      </c>
      <c r="G1742" s="11">
        <f>IFERROR((COUNTIF($D$1491:$D$1742,"&lt;"&amp;D1742)+0.5*COUNTIF($D$1491:$D$1742,D1742))/COUNT($D$1491:$D$1742)*100,"")</f>
        <v/>
      </c>
      <c r="H1742" s="10">
        <f>IFERROR(AVERAGE($D$1491:$D$1742),"")</f>
        <v/>
      </c>
      <c r="I1742" s="10" t="n">
        <v>-0.01377935988173661</v>
      </c>
      <c r="J1742" t="inlineStr"/>
      <c r="K1742" t="inlineStr"/>
    </row>
    <row r="1743">
      <c r="A1743" s="7" t="inlineStr">
        <is>
          <t>2021-04-21</t>
        </is>
      </c>
      <c r="B1743" s="8">
        <f>IFERROR(VLOOKUP($A1743,'01-原始价格'!$A:$M,2,FALSE),"")</f>
        <v/>
      </c>
      <c r="C1743" s="8">
        <f>IFERROR(VLOOKUP($A1743,'01-原始价格'!$A:$M,8,FALSE),"")</f>
        <v/>
      </c>
      <c r="D1743" s="10">
        <f>IFERROR(B1743/C1743,"")</f>
        <v/>
      </c>
      <c r="E1743" s="10">
        <f>IFERROR(C1743/B1743,"")</f>
        <v/>
      </c>
      <c r="F1743" s="11">
        <f>IFERROR((D1743/D1742-1)*100,"")</f>
        <v/>
      </c>
      <c r="G1743" s="11">
        <f>IFERROR((COUNTIF($D$1492:$D$1743,"&lt;"&amp;D1743)+0.5*COUNTIF($D$1492:$D$1743,D1743))/COUNT($D$1492:$D$1743)*100,"")</f>
        <v/>
      </c>
      <c r="H1743" s="10">
        <f>IFERROR(AVERAGE($D$1492:$D$1743),"")</f>
        <v/>
      </c>
      <c r="I1743" s="10" t="n">
        <v>0.3503210614941007</v>
      </c>
      <c r="J1743" t="inlineStr"/>
      <c r="K1743" t="inlineStr"/>
    </row>
    <row r="1744">
      <c r="A1744" s="7" t="inlineStr">
        <is>
          <t>2021-04-22</t>
        </is>
      </c>
      <c r="B1744" s="8">
        <f>IFERROR(VLOOKUP($A1744,'01-原始价格'!$A:$M,2,FALSE),"")</f>
        <v/>
      </c>
      <c r="C1744" s="8">
        <f>IFERROR(VLOOKUP($A1744,'01-原始价格'!$A:$M,8,FALSE),"")</f>
        <v/>
      </c>
      <c r="D1744" s="10">
        <f>IFERROR(B1744/C1744,"")</f>
        <v/>
      </c>
      <c r="E1744" s="10">
        <f>IFERROR(C1744/B1744,"")</f>
        <v/>
      </c>
      <c r="F1744" s="11">
        <f>IFERROR((D1744/D1743-1)*100,"")</f>
        <v/>
      </c>
      <c r="G1744" s="11">
        <f>IFERROR((COUNTIF($D$1493:$D$1744,"&lt;"&amp;D1744)+0.5*COUNTIF($D$1493:$D$1744,D1744))/COUNT($D$1493:$D$1744)*100,"")</f>
        <v/>
      </c>
      <c r="H1744" s="10">
        <f>IFERROR(AVERAGE($D$1493:$D$1744),"")</f>
        <v/>
      </c>
      <c r="I1744" s="10" t="n">
        <v>-1.080710735417682</v>
      </c>
      <c r="J1744" t="inlineStr"/>
      <c r="K1744" s="12" t="inlineStr">
        <is>
          <t>是</t>
        </is>
      </c>
      <c r="L1744" t="inlineStr">
        <is>
          <t>换月日</t>
        </is>
      </c>
    </row>
    <row r="1745">
      <c r="A1745" s="7" t="inlineStr">
        <is>
          <t>2021-04-23</t>
        </is>
      </c>
      <c r="B1745" s="8">
        <f>IFERROR(VLOOKUP($A1745,'01-原始价格'!$A:$M,2,FALSE),"")</f>
        <v/>
      </c>
      <c r="C1745" s="8">
        <f>IFERROR(VLOOKUP($A1745,'01-原始价格'!$A:$M,8,FALSE),"")</f>
        <v/>
      </c>
      <c r="D1745" s="10">
        <f>IFERROR(B1745/C1745,"")</f>
        <v/>
      </c>
      <c r="E1745" s="10">
        <f>IFERROR(C1745/B1745,"")</f>
        <v/>
      </c>
      <c r="F1745" s="11">
        <f>IFERROR((D1745/D1744-1)*100,"")</f>
        <v/>
      </c>
      <c r="G1745" s="11">
        <f>IFERROR((COUNTIF($D$1494:$D$1745,"&lt;"&amp;D1745)+0.5*COUNTIF($D$1494:$D$1745,D1745))/COUNT($D$1494:$D$1745)*100,"")</f>
        <v/>
      </c>
      <c r="H1745" s="10">
        <f>IFERROR(AVERAGE($D$1494:$D$1745),"")</f>
        <v/>
      </c>
      <c r="I1745" s="10" t="n">
        <v>-0.6779358063405189</v>
      </c>
      <c r="J1745" t="inlineStr"/>
      <c r="K1745" t="inlineStr"/>
    </row>
    <row r="1746">
      <c r="A1746" s="7" t="inlineStr">
        <is>
          <t>2021-04-26</t>
        </is>
      </c>
      <c r="B1746" s="8">
        <f>IFERROR(VLOOKUP($A1746,'01-原始价格'!$A:$M,2,FALSE),"")</f>
        <v/>
      </c>
      <c r="C1746" s="8">
        <f>IFERROR(VLOOKUP($A1746,'01-原始价格'!$A:$M,8,FALSE),"")</f>
        <v/>
      </c>
      <c r="D1746" s="10">
        <f>IFERROR(B1746/C1746,"")</f>
        <v/>
      </c>
      <c r="E1746" s="10">
        <f>IFERROR(C1746/B1746,"")</f>
        <v/>
      </c>
      <c r="F1746" s="11">
        <f>IFERROR((D1746/D1745-1)*100,"")</f>
        <v/>
      </c>
      <c r="G1746" s="11">
        <f>IFERROR((COUNTIF($D$1495:$D$1746,"&lt;"&amp;D1746)+0.5*COUNTIF($D$1495:$D$1746,D1746))/COUNT($D$1495:$D$1746)*100,"")</f>
        <v/>
      </c>
      <c r="H1746" s="10">
        <f>IFERROR(AVERAGE($D$1495:$D$1746),"")</f>
        <v/>
      </c>
      <c r="I1746" s="10" t="n">
        <v>-0.6191172967214131</v>
      </c>
      <c r="J1746" t="inlineStr"/>
      <c r="K1746" t="inlineStr"/>
    </row>
    <row r="1747">
      <c r="A1747" s="7" t="inlineStr">
        <is>
          <t>2021-04-27</t>
        </is>
      </c>
      <c r="B1747" s="8">
        <f>IFERROR(VLOOKUP($A1747,'01-原始价格'!$A:$M,2,FALSE),"")</f>
        <v/>
      </c>
      <c r="C1747" s="8">
        <f>IFERROR(VLOOKUP($A1747,'01-原始价格'!$A:$M,8,FALSE),"")</f>
        <v/>
      </c>
      <c r="D1747" s="10">
        <f>IFERROR(B1747/C1747,"")</f>
        <v/>
      </c>
      <c r="E1747" s="10">
        <f>IFERROR(C1747/B1747,"")</f>
        <v/>
      </c>
      <c r="F1747" s="11">
        <f>IFERROR((D1747/D1746-1)*100,"")</f>
        <v/>
      </c>
      <c r="G1747" s="11">
        <f>IFERROR((COUNTIF($D$1496:$D$1747,"&lt;"&amp;D1747)+0.5*COUNTIF($D$1496:$D$1747,D1747))/COUNT($D$1496:$D$1747)*100,"")</f>
        <v/>
      </c>
      <c r="H1747" s="10">
        <f>IFERROR(AVERAGE($D$1496:$D$1747),"")</f>
        <v/>
      </c>
      <c r="I1747" s="10" t="n">
        <v>0.04208644818109653</v>
      </c>
      <c r="J1747" t="inlineStr"/>
      <c r="K1747" t="inlineStr"/>
    </row>
    <row r="1748">
      <c r="A1748" s="7" t="inlineStr">
        <is>
          <t>2021-04-28</t>
        </is>
      </c>
      <c r="B1748" s="8">
        <f>IFERROR(VLOOKUP($A1748,'01-原始价格'!$A:$M,2,FALSE),"")</f>
        <v/>
      </c>
      <c r="C1748" s="8">
        <f>IFERROR(VLOOKUP($A1748,'01-原始价格'!$A:$M,8,FALSE),"")</f>
        <v/>
      </c>
      <c r="D1748" s="10">
        <f>IFERROR(B1748/C1748,"")</f>
        <v/>
      </c>
      <c r="E1748" s="10">
        <f>IFERROR(C1748/B1748,"")</f>
        <v/>
      </c>
      <c r="F1748" s="11">
        <f>IFERROR((D1748/D1747-1)*100,"")</f>
        <v/>
      </c>
      <c r="G1748" s="11">
        <f>IFERROR((COUNTIF($D$1497:$D$1748,"&lt;"&amp;D1748)+0.5*COUNTIF($D$1497:$D$1748,D1748))/COUNT($D$1497:$D$1748)*100,"")</f>
        <v/>
      </c>
      <c r="H1748" s="10">
        <f>IFERROR(AVERAGE($D$1497:$D$1748),"")</f>
        <v/>
      </c>
      <c r="I1748" s="10" t="n">
        <v>0.1303539646786224</v>
      </c>
      <c r="J1748" t="inlineStr"/>
      <c r="K1748" t="inlineStr"/>
    </row>
    <row r="1749">
      <c r="A1749" s="7" t="inlineStr">
        <is>
          <t>2021-04-29</t>
        </is>
      </c>
      <c r="B1749" s="8">
        <f>IFERROR(VLOOKUP($A1749,'01-原始价格'!$A:$M,2,FALSE),"")</f>
        <v/>
      </c>
      <c r="C1749" s="8">
        <f>IFERROR(VLOOKUP($A1749,'01-原始价格'!$A:$M,8,FALSE),"")</f>
        <v/>
      </c>
      <c r="D1749" s="10">
        <f>IFERROR(B1749/C1749,"")</f>
        <v/>
      </c>
      <c r="E1749" s="10">
        <f>IFERROR(C1749/B1749,"")</f>
        <v/>
      </c>
      <c r="F1749" s="11">
        <f>IFERROR((D1749/D1748-1)*100,"")</f>
        <v/>
      </c>
      <c r="G1749" s="11">
        <f>IFERROR((COUNTIF($D$1498:$D$1749,"&lt;"&amp;D1749)+0.5*COUNTIF($D$1498:$D$1749,D1749))/COUNT($D$1498:$D$1749)*100,"")</f>
        <v/>
      </c>
      <c r="H1749" s="10">
        <f>IFERROR(AVERAGE($D$1498:$D$1749),"")</f>
        <v/>
      </c>
      <c r="I1749" s="10" t="n">
        <v>0.3331625685656661</v>
      </c>
      <c r="J1749" t="inlineStr"/>
      <c r="K1749" t="inlineStr"/>
    </row>
    <row r="1750">
      <c r="A1750" s="7" t="inlineStr">
        <is>
          <t>2021-04-30</t>
        </is>
      </c>
      <c r="B1750" s="8">
        <f>IFERROR(VLOOKUP($A1750,'01-原始价格'!$A:$M,2,FALSE),"")</f>
        <v/>
      </c>
      <c r="C1750" s="8">
        <f>IFERROR(VLOOKUP($A1750,'01-原始价格'!$A:$M,8,FALSE),"")</f>
        <v/>
      </c>
      <c r="D1750" s="10">
        <f>IFERROR(B1750/C1750,"")</f>
        <v/>
      </c>
      <c r="E1750" s="10">
        <f>IFERROR(C1750/B1750,"")</f>
        <v/>
      </c>
      <c r="F1750" s="11">
        <f>IFERROR((D1750/D1749-1)*100,"")</f>
        <v/>
      </c>
      <c r="G1750" s="11">
        <f>IFERROR((COUNTIF($D$1499:$D$1750,"&lt;"&amp;D1750)+0.5*COUNTIF($D$1499:$D$1750,D1750))/COUNT($D$1499:$D$1750)*100,"")</f>
        <v/>
      </c>
      <c r="H1750" s="10">
        <f>IFERROR(AVERAGE($D$1499:$D$1750),"")</f>
        <v/>
      </c>
      <c r="I1750" s="10" t="n">
        <v>0.5172447833565864</v>
      </c>
      <c r="J1750" t="inlineStr"/>
      <c r="K1750" t="inlineStr"/>
    </row>
    <row r="1751">
      <c r="A1751" s="7" t="inlineStr">
        <is>
          <t>2021-05-06</t>
        </is>
      </c>
      <c r="B1751" s="8">
        <f>IFERROR(VLOOKUP($A1751,'01-原始价格'!$A:$M,2,FALSE),"")</f>
        <v/>
      </c>
      <c r="C1751" s="8">
        <f>IFERROR(VLOOKUP($A1751,'01-原始价格'!$A:$M,8,FALSE),"")</f>
        <v/>
      </c>
      <c r="D1751" s="10">
        <f>IFERROR(B1751/C1751,"")</f>
        <v/>
      </c>
      <c r="E1751" s="10">
        <f>IFERROR(C1751/B1751,"")</f>
        <v/>
      </c>
      <c r="F1751" s="11">
        <f>IFERROR((D1751/D1750-1)*100,"")</f>
        <v/>
      </c>
      <c r="G1751" s="11">
        <f>IFERROR((COUNTIF($D$1500:$D$1751,"&lt;"&amp;D1751)+0.5*COUNTIF($D$1500:$D$1751,D1751))/COUNT($D$1500:$D$1751)*100,"")</f>
        <v/>
      </c>
      <c r="H1751" s="10">
        <f>IFERROR(AVERAGE($D$1500:$D$1751),"")</f>
        <v/>
      </c>
      <c r="I1751" s="10" t="n">
        <v>1.036331183100701</v>
      </c>
      <c r="J1751" t="inlineStr"/>
      <c r="K1751" t="inlineStr"/>
    </row>
    <row r="1752">
      <c r="A1752" s="7" t="inlineStr">
        <is>
          <t>2021-05-07</t>
        </is>
      </c>
      <c r="B1752" s="8">
        <f>IFERROR(VLOOKUP($A1752,'01-原始价格'!$A:$M,2,FALSE),"")</f>
        <v/>
      </c>
      <c r="C1752" s="8">
        <f>IFERROR(VLOOKUP($A1752,'01-原始价格'!$A:$M,8,FALSE),"")</f>
        <v/>
      </c>
      <c r="D1752" s="10">
        <f>IFERROR(B1752/C1752,"")</f>
        <v/>
      </c>
      <c r="E1752" s="10">
        <f>IFERROR(C1752/B1752,"")</f>
        <v/>
      </c>
      <c r="F1752" s="11">
        <f>IFERROR((D1752/D1751-1)*100,"")</f>
        <v/>
      </c>
      <c r="G1752" s="11">
        <f>IFERROR((COUNTIF($D$1501:$D$1752,"&lt;"&amp;D1752)+0.5*COUNTIF($D$1501:$D$1752,D1752))/COUNT($D$1501:$D$1752)*100,"")</f>
        <v/>
      </c>
      <c r="H1752" s="10">
        <f>IFERROR(AVERAGE($D$1501:$D$1752),"")</f>
        <v/>
      </c>
      <c r="I1752" s="10" t="n">
        <v>0.09278060445706243</v>
      </c>
      <c r="J1752" t="inlineStr"/>
      <c r="K1752" t="inlineStr"/>
    </row>
    <row r="1753">
      <c r="A1753" s="7" t="inlineStr">
        <is>
          <t>2021-05-10</t>
        </is>
      </c>
      <c r="B1753" s="8">
        <f>IFERROR(VLOOKUP($A1753,'01-原始价格'!$A:$M,2,FALSE),"")</f>
        <v/>
      </c>
      <c r="C1753" s="8">
        <f>IFERROR(VLOOKUP($A1753,'01-原始价格'!$A:$M,8,FALSE),"")</f>
        <v/>
      </c>
      <c r="D1753" s="10">
        <f>IFERROR(B1753/C1753,"")</f>
        <v/>
      </c>
      <c r="E1753" s="10">
        <f>IFERROR(C1753/B1753,"")</f>
        <v/>
      </c>
      <c r="F1753" s="11">
        <f>IFERROR((D1753/D1752-1)*100,"")</f>
        <v/>
      </c>
      <c r="G1753" s="11">
        <f>IFERROR((COUNTIF($D$1502:$D$1753,"&lt;"&amp;D1753)+0.5*COUNTIF($D$1502:$D$1753,D1753))/COUNT($D$1502:$D$1753)*100,"")</f>
        <v/>
      </c>
      <c r="H1753" s="10">
        <f>IFERROR(AVERAGE($D$1502:$D$1753),"")</f>
        <v/>
      </c>
      <c r="I1753" s="10" t="n">
        <v>0.3127292384245347</v>
      </c>
      <c r="J1753" t="inlineStr"/>
      <c r="K1753" t="inlineStr"/>
    </row>
    <row r="1754">
      <c r="A1754" s="7" t="inlineStr">
        <is>
          <t>2021-05-11</t>
        </is>
      </c>
      <c r="B1754" s="8">
        <f>IFERROR(VLOOKUP($A1754,'01-原始价格'!$A:$M,2,FALSE),"")</f>
        <v/>
      </c>
      <c r="C1754" s="8">
        <f>IFERROR(VLOOKUP($A1754,'01-原始价格'!$A:$M,8,FALSE),"")</f>
        <v/>
      </c>
      <c r="D1754" s="10">
        <f>IFERROR(B1754/C1754,"")</f>
        <v/>
      </c>
      <c r="E1754" s="10">
        <f>IFERROR(C1754/B1754,"")</f>
        <v/>
      </c>
      <c r="F1754" s="11">
        <f>IFERROR((D1754/D1753-1)*100,"")</f>
        <v/>
      </c>
      <c r="G1754" s="11">
        <f>IFERROR((COUNTIF($D$1503:$D$1754,"&lt;"&amp;D1754)+0.5*COUNTIF($D$1503:$D$1754,D1754))/COUNT($D$1503:$D$1754)*100,"")</f>
        <v/>
      </c>
      <c r="H1754" s="10">
        <f>IFERROR(AVERAGE($D$1503:$D$1754),"")</f>
        <v/>
      </c>
      <c r="I1754" s="10" t="n">
        <v>1.01552388856021</v>
      </c>
      <c r="J1754" t="inlineStr"/>
      <c r="K1754" t="inlineStr"/>
    </row>
    <row r="1755">
      <c r="A1755" s="7" t="inlineStr">
        <is>
          <t>2021-05-12</t>
        </is>
      </c>
      <c r="B1755" s="8">
        <f>IFERROR(VLOOKUP($A1755,'01-原始价格'!$A:$M,2,FALSE),"")</f>
        <v/>
      </c>
      <c r="C1755" s="8">
        <f>IFERROR(VLOOKUP($A1755,'01-原始价格'!$A:$M,8,FALSE),"")</f>
        <v/>
      </c>
      <c r="D1755" s="10">
        <f>IFERROR(B1755/C1755,"")</f>
        <v/>
      </c>
      <c r="E1755" s="10">
        <f>IFERROR(C1755/B1755,"")</f>
        <v/>
      </c>
      <c r="F1755" s="11">
        <f>IFERROR((D1755/D1754-1)*100,"")</f>
        <v/>
      </c>
      <c r="G1755" s="11">
        <f>IFERROR((COUNTIF($D$1504:$D$1755,"&lt;"&amp;D1755)+0.5*COUNTIF($D$1504:$D$1755,D1755))/COUNT($D$1504:$D$1755)*100,"")</f>
        <v/>
      </c>
      <c r="H1755" s="10">
        <f>IFERROR(AVERAGE($D$1504:$D$1755),"")</f>
        <v/>
      </c>
      <c r="I1755" s="10" t="n">
        <v>2.182393665300296</v>
      </c>
      <c r="J1755" t="inlineStr"/>
      <c r="K1755" t="inlineStr"/>
    </row>
    <row r="1756">
      <c r="A1756" s="7" t="inlineStr">
        <is>
          <t>2021-05-13</t>
        </is>
      </c>
      <c r="B1756" s="8">
        <f>IFERROR(VLOOKUP($A1756,'01-原始价格'!$A:$M,2,FALSE),"")</f>
        <v/>
      </c>
      <c r="C1756" s="8">
        <f>IFERROR(VLOOKUP($A1756,'01-原始价格'!$A:$M,8,FALSE),"")</f>
        <v/>
      </c>
      <c r="D1756" s="10">
        <f>IFERROR(B1756/C1756,"")</f>
        <v/>
      </c>
      <c r="E1756" s="10">
        <f>IFERROR(C1756/B1756,"")</f>
        <v/>
      </c>
      <c r="F1756" s="11">
        <f>IFERROR((D1756/D1755-1)*100,"")</f>
        <v/>
      </c>
      <c r="G1756" s="11">
        <f>IFERROR((COUNTIF($D$1505:$D$1756,"&lt;"&amp;D1756)+0.5*COUNTIF($D$1505:$D$1756,D1756))/COUNT($D$1505:$D$1756)*100,"")</f>
        <v/>
      </c>
      <c r="H1756" s="10">
        <f>IFERROR(AVERAGE($D$1505:$D$1756),"")</f>
        <v/>
      </c>
      <c r="I1756" s="10" t="n">
        <v>2.837544047533091</v>
      </c>
      <c r="J1756" t="inlineStr"/>
      <c r="K1756" t="inlineStr"/>
    </row>
    <row r="1757">
      <c r="A1757" s="7" t="inlineStr">
        <is>
          <t>2021-05-14</t>
        </is>
      </c>
      <c r="B1757" s="8">
        <f>IFERROR(VLOOKUP($A1757,'01-原始价格'!$A:$M,2,FALSE),"")</f>
        <v/>
      </c>
      <c r="C1757" s="8">
        <f>IFERROR(VLOOKUP($A1757,'01-原始价格'!$A:$M,8,FALSE),"")</f>
        <v/>
      </c>
      <c r="D1757" s="10">
        <f>IFERROR(B1757/C1757,"")</f>
        <v/>
      </c>
      <c r="E1757" s="10">
        <f>IFERROR(C1757/B1757,"")</f>
        <v/>
      </c>
      <c r="F1757" s="11">
        <f>IFERROR((D1757/D1756-1)*100,"")</f>
        <v/>
      </c>
      <c r="G1757" s="11">
        <f>IFERROR((COUNTIF($D$1506:$D$1757,"&lt;"&amp;D1757)+0.5*COUNTIF($D$1506:$D$1757,D1757))/COUNT($D$1506:$D$1757)*100,"")</f>
        <v/>
      </c>
      <c r="H1757" s="10">
        <f>IFERROR(AVERAGE($D$1506:$D$1757),"")</f>
        <v/>
      </c>
      <c r="I1757" s="10" t="n">
        <v>2.779984071062001</v>
      </c>
      <c r="J1757" t="inlineStr"/>
      <c r="K1757" t="inlineStr"/>
    </row>
    <row r="1758">
      <c r="A1758" s="7" t="inlineStr">
        <is>
          <t>2021-05-17</t>
        </is>
      </c>
      <c r="B1758" s="8">
        <f>IFERROR(VLOOKUP($A1758,'01-原始价格'!$A:$M,2,FALSE),"")</f>
        <v/>
      </c>
      <c r="C1758" s="8">
        <f>IFERROR(VLOOKUP($A1758,'01-原始价格'!$A:$M,8,FALSE),"")</f>
        <v/>
      </c>
      <c r="D1758" s="10">
        <f>IFERROR(B1758/C1758,"")</f>
        <v/>
      </c>
      <c r="E1758" s="10">
        <f>IFERROR(C1758/B1758,"")</f>
        <v/>
      </c>
      <c r="F1758" s="11">
        <f>IFERROR((D1758/D1757-1)*100,"")</f>
        <v/>
      </c>
      <c r="G1758" s="11">
        <f>IFERROR((COUNTIF($D$1507:$D$1758,"&lt;"&amp;D1758)+0.5*COUNTIF($D$1507:$D$1758,D1758))/COUNT($D$1507:$D$1758)*100,"")</f>
        <v/>
      </c>
      <c r="H1758" s="10">
        <f>IFERROR(AVERAGE($D$1507:$D$1758),"")</f>
        <v/>
      </c>
      <c r="I1758" s="10" t="n">
        <v>2.81968821523707</v>
      </c>
      <c r="J1758" t="inlineStr"/>
      <c r="K1758" t="inlineStr"/>
    </row>
    <row r="1759">
      <c r="A1759" s="7" t="inlineStr">
        <is>
          <t>2021-05-18</t>
        </is>
      </c>
      <c r="B1759" s="8">
        <f>IFERROR(VLOOKUP($A1759,'01-原始价格'!$A:$M,2,FALSE),"")</f>
        <v/>
      </c>
      <c r="C1759" s="8">
        <f>IFERROR(VLOOKUP($A1759,'01-原始价格'!$A:$M,8,FALSE),"")</f>
        <v/>
      </c>
      <c r="D1759" s="10">
        <f>IFERROR(B1759/C1759,"")</f>
        <v/>
      </c>
      <c r="E1759" s="10">
        <f>IFERROR(C1759/B1759,"")</f>
        <v/>
      </c>
      <c r="F1759" s="11">
        <f>IFERROR((D1759/D1758-1)*100,"")</f>
        <v/>
      </c>
      <c r="G1759" s="11">
        <f>IFERROR((COUNTIF($D$1508:$D$1759,"&lt;"&amp;D1759)+0.5*COUNTIF($D$1508:$D$1759,D1759))/COUNT($D$1508:$D$1759)*100,"")</f>
        <v/>
      </c>
      <c r="H1759" s="10">
        <f>IFERROR(AVERAGE($D$1508:$D$1759),"")</f>
        <v/>
      </c>
      <c r="I1759" s="10" t="n">
        <v>3.178050840760506</v>
      </c>
      <c r="J1759" t="inlineStr"/>
      <c r="K1759" t="inlineStr"/>
    </row>
    <row r="1760">
      <c r="A1760" s="7" t="inlineStr">
        <is>
          <t>2021-05-19</t>
        </is>
      </c>
      <c r="B1760" s="8">
        <f>IFERROR(VLOOKUP($A1760,'01-原始价格'!$A:$M,2,FALSE),"")</f>
        <v/>
      </c>
      <c r="C1760" s="8">
        <f>IFERROR(VLOOKUP($A1760,'01-原始价格'!$A:$M,8,FALSE),"")</f>
        <v/>
      </c>
      <c r="D1760" s="10">
        <f>IFERROR(B1760/C1760,"")</f>
        <v/>
      </c>
      <c r="E1760" s="10">
        <f>IFERROR(C1760/B1760,"")</f>
        <v/>
      </c>
      <c r="F1760" s="11">
        <f>IFERROR((D1760/D1759-1)*100,"")</f>
        <v/>
      </c>
      <c r="G1760" s="11">
        <f>IFERROR((COUNTIF($D$1509:$D$1760,"&lt;"&amp;D1760)+0.5*COUNTIF($D$1509:$D$1760,D1760))/COUNT($D$1509:$D$1760)*100,"")</f>
        <v/>
      </c>
      <c r="H1760" s="10">
        <f>IFERROR(AVERAGE($D$1509:$D$1760),"")</f>
        <v/>
      </c>
      <c r="I1760" s="10" t="n">
        <v>3.444455600775629</v>
      </c>
      <c r="J1760" t="inlineStr"/>
      <c r="K1760" t="inlineStr"/>
    </row>
    <row r="1761">
      <c r="A1761" s="7" t="inlineStr">
        <is>
          <t>2021-05-20</t>
        </is>
      </c>
      <c r="B1761" s="8">
        <f>IFERROR(VLOOKUP($A1761,'01-原始价格'!$A:$M,2,FALSE),"")</f>
        <v/>
      </c>
      <c r="C1761" s="8">
        <f>IFERROR(VLOOKUP($A1761,'01-原始价格'!$A:$M,8,FALSE),"")</f>
        <v/>
      </c>
      <c r="D1761" s="10">
        <f>IFERROR(B1761/C1761,"")</f>
        <v/>
      </c>
      <c r="E1761" s="10">
        <f>IFERROR(C1761/B1761,"")</f>
        <v/>
      </c>
      <c r="F1761" s="11">
        <f>IFERROR((D1761/D1760-1)*100,"")</f>
        <v/>
      </c>
      <c r="G1761" s="11">
        <f>IFERROR((COUNTIF($D$1510:$D$1761,"&lt;"&amp;D1761)+0.5*COUNTIF($D$1510:$D$1761,D1761))/COUNT($D$1510:$D$1761)*100,"")</f>
        <v/>
      </c>
      <c r="H1761" s="10">
        <f>IFERROR(AVERAGE($D$1510:$D$1761),"")</f>
        <v/>
      </c>
      <c r="I1761" s="10" t="n">
        <v>2.594826867051689</v>
      </c>
      <c r="J1761" t="inlineStr"/>
      <c r="K1761" t="inlineStr"/>
    </row>
    <row r="1762">
      <c r="A1762" s="7" t="inlineStr">
        <is>
          <t>2021-05-21</t>
        </is>
      </c>
      <c r="B1762" s="8">
        <f>IFERROR(VLOOKUP($A1762,'01-原始价格'!$A:$M,2,FALSE),"")</f>
        <v/>
      </c>
      <c r="C1762" s="8">
        <f>IFERROR(VLOOKUP($A1762,'01-原始价格'!$A:$M,8,FALSE),"")</f>
        <v/>
      </c>
      <c r="D1762" s="10">
        <f>IFERROR(B1762/C1762,"")</f>
        <v/>
      </c>
      <c r="E1762" s="10">
        <f>IFERROR(C1762/B1762,"")</f>
        <v/>
      </c>
      <c r="F1762" s="11">
        <f>IFERROR((D1762/D1761-1)*100,"")</f>
        <v/>
      </c>
      <c r="G1762" s="11">
        <f>IFERROR((COUNTIF($D$1511:$D$1762,"&lt;"&amp;D1762)+0.5*COUNTIF($D$1511:$D$1762,D1762))/COUNT($D$1511:$D$1762)*100,"")</f>
        <v/>
      </c>
      <c r="H1762" s="10">
        <f>IFERROR(AVERAGE($D$1511:$D$1762),"")</f>
        <v/>
      </c>
      <c r="I1762" s="10" t="n">
        <v>1.940542028452372</v>
      </c>
      <c r="J1762" t="inlineStr"/>
      <c r="K1762" t="inlineStr"/>
    </row>
    <row r="1763">
      <c r="A1763" s="7" t="inlineStr">
        <is>
          <t>2021-05-24</t>
        </is>
      </c>
      <c r="B1763" s="8">
        <f>IFERROR(VLOOKUP($A1763,'01-原始价格'!$A:$M,2,FALSE),"")</f>
        <v/>
      </c>
      <c r="C1763" s="8">
        <f>IFERROR(VLOOKUP($A1763,'01-原始价格'!$A:$M,8,FALSE),"")</f>
        <v/>
      </c>
      <c r="D1763" s="10">
        <f>IFERROR(B1763/C1763,"")</f>
        <v/>
      </c>
      <c r="E1763" s="10">
        <f>IFERROR(C1763/B1763,"")</f>
        <v/>
      </c>
      <c r="F1763" s="11">
        <f>IFERROR((D1763/D1762-1)*100,"")</f>
        <v/>
      </c>
      <c r="G1763" s="11">
        <f>IFERROR((COUNTIF($D$1512:$D$1763,"&lt;"&amp;D1763)+0.5*COUNTIF($D$1512:$D$1763,D1763))/COUNT($D$1512:$D$1763)*100,"")</f>
        <v/>
      </c>
      <c r="H1763" s="10">
        <f>IFERROR(AVERAGE($D$1512:$D$1763),"")</f>
        <v/>
      </c>
      <c r="I1763" s="10" t="n">
        <v>2.24062370653856</v>
      </c>
      <c r="J1763" t="inlineStr"/>
      <c r="K1763" t="inlineStr"/>
    </row>
    <row r="1764">
      <c r="A1764" s="7" t="inlineStr">
        <is>
          <t>2021-05-25</t>
        </is>
      </c>
      <c r="B1764" s="8">
        <f>IFERROR(VLOOKUP($A1764,'01-原始价格'!$A:$M,2,FALSE),"")</f>
        <v/>
      </c>
      <c r="C1764" s="8">
        <f>IFERROR(VLOOKUP($A1764,'01-原始价格'!$A:$M,8,FALSE),"")</f>
        <v/>
      </c>
      <c r="D1764" s="10">
        <f>IFERROR(B1764/C1764,"")</f>
        <v/>
      </c>
      <c r="E1764" s="10">
        <f>IFERROR(C1764/B1764,"")</f>
        <v/>
      </c>
      <c r="F1764" s="11">
        <f>IFERROR((D1764/D1763-1)*100,"")</f>
        <v/>
      </c>
      <c r="G1764" s="11">
        <f>IFERROR((COUNTIF($D$1513:$D$1764,"&lt;"&amp;D1764)+0.5*COUNTIF($D$1513:$D$1764,D1764))/COUNT($D$1513:$D$1764)*100,"")</f>
        <v/>
      </c>
      <c r="H1764" s="10">
        <f>IFERROR(AVERAGE($D$1513:$D$1764),"")</f>
        <v/>
      </c>
      <c r="I1764" s="10" t="n">
        <v>1.916023382753473</v>
      </c>
      <c r="J1764" t="inlineStr"/>
      <c r="K1764" t="inlineStr"/>
    </row>
    <row r="1765">
      <c r="A1765" s="7" t="inlineStr">
        <is>
          <t>2021-05-26</t>
        </is>
      </c>
      <c r="B1765" s="8">
        <f>IFERROR(VLOOKUP($A1765,'01-原始价格'!$A:$M,2,FALSE),"")</f>
        <v/>
      </c>
      <c r="C1765" s="8">
        <f>IFERROR(VLOOKUP($A1765,'01-原始价格'!$A:$M,8,FALSE),"")</f>
        <v/>
      </c>
      <c r="D1765" s="10">
        <f>IFERROR(B1765/C1765,"")</f>
        <v/>
      </c>
      <c r="E1765" s="10">
        <f>IFERROR(C1765/B1765,"")</f>
        <v/>
      </c>
      <c r="F1765" s="11">
        <f>IFERROR((D1765/D1764-1)*100,"")</f>
        <v/>
      </c>
      <c r="G1765" s="11">
        <f>IFERROR((COUNTIF($D$1514:$D$1765,"&lt;"&amp;D1765)+0.5*COUNTIF($D$1514:$D$1765,D1765))/COUNT($D$1514:$D$1765)*100,"")</f>
        <v/>
      </c>
      <c r="H1765" s="10">
        <f>IFERROR(AVERAGE($D$1514:$D$1765),"")</f>
        <v/>
      </c>
      <c r="I1765" s="10" t="n">
        <v>2.318552150942125</v>
      </c>
      <c r="J1765" t="inlineStr"/>
      <c r="K1765" t="inlineStr"/>
    </row>
    <row r="1766">
      <c r="A1766" s="7" t="inlineStr">
        <is>
          <t>2021-05-27</t>
        </is>
      </c>
      <c r="B1766" s="8">
        <f>IFERROR(VLOOKUP($A1766,'01-原始价格'!$A:$M,2,FALSE),"")</f>
        <v/>
      </c>
      <c r="C1766" s="8">
        <f>IFERROR(VLOOKUP($A1766,'01-原始价格'!$A:$M,8,FALSE),"")</f>
        <v/>
      </c>
      <c r="D1766" s="10">
        <f>IFERROR(B1766/C1766,"")</f>
        <v/>
      </c>
      <c r="E1766" s="10">
        <f>IFERROR(C1766/B1766,"")</f>
        <v/>
      </c>
      <c r="F1766" s="11">
        <f>IFERROR((D1766/D1765-1)*100,"")</f>
        <v/>
      </c>
      <c r="G1766" s="11">
        <f>IFERROR((COUNTIF($D$1515:$D$1766,"&lt;"&amp;D1766)+0.5*COUNTIF($D$1515:$D$1766,D1766))/COUNT($D$1515:$D$1766)*100,"")</f>
        <v/>
      </c>
      <c r="H1766" s="10">
        <f>IFERROR(AVERAGE($D$1515:$D$1766),"")</f>
        <v/>
      </c>
      <c r="I1766" s="10" t="n">
        <v>2.0963656857337</v>
      </c>
      <c r="J1766" t="inlineStr"/>
      <c r="K1766" t="inlineStr"/>
    </row>
    <row r="1767">
      <c r="A1767" s="7" t="inlineStr">
        <is>
          <t>2021-05-28</t>
        </is>
      </c>
      <c r="B1767" s="8">
        <f>IFERROR(VLOOKUP($A1767,'01-原始价格'!$A:$M,2,FALSE),"")</f>
        <v/>
      </c>
      <c r="C1767" s="8">
        <f>IFERROR(VLOOKUP($A1767,'01-原始价格'!$A:$M,8,FALSE),"")</f>
        <v/>
      </c>
      <c r="D1767" s="10">
        <f>IFERROR(B1767/C1767,"")</f>
        <v/>
      </c>
      <c r="E1767" s="10">
        <f>IFERROR(C1767/B1767,"")</f>
        <v/>
      </c>
      <c r="F1767" s="11">
        <f>IFERROR((D1767/D1766-1)*100,"")</f>
        <v/>
      </c>
      <c r="G1767" s="11">
        <f>IFERROR((COUNTIF($D$1516:$D$1767,"&lt;"&amp;D1767)+0.5*COUNTIF($D$1516:$D$1767,D1767))/COUNT($D$1516:$D$1767)*100,"")</f>
        <v/>
      </c>
      <c r="H1767" s="10">
        <f>IFERROR(AVERAGE($D$1516:$D$1767),"")</f>
        <v/>
      </c>
      <c r="I1767" s="10" t="n">
        <v>3.004416077643505</v>
      </c>
      <c r="J1767" t="inlineStr"/>
      <c r="K1767" t="inlineStr"/>
    </row>
    <row r="1768">
      <c r="A1768" s="7" t="inlineStr">
        <is>
          <t>2021-05-31</t>
        </is>
      </c>
      <c r="B1768" s="8">
        <f>IFERROR(VLOOKUP($A1768,'01-原始价格'!$A:$M,2,FALSE),"")</f>
        <v/>
      </c>
      <c r="C1768" s="8">
        <f>IFERROR(VLOOKUP($A1768,'01-原始价格'!$A:$M,8,FALSE),"")</f>
        <v/>
      </c>
      <c r="D1768" s="10">
        <f>IFERROR(B1768/C1768,"")</f>
        <v/>
      </c>
      <c r="E1768" s="10">
        <f>IFERROR(C1768/B1768,"")</f>
        <v/>
      </c>
      <c r="F1768" s="11">
        <f>IFERROR((D1768/D1767-1)*100,"")</f>
        <v/>
      </c>
      <c r="G1768" s="11">
        <f>IFERROR((COUNTIF($D$1517:$D$1768,"&lt;"&amp;D1768)+0.5*COUNTIF($D$1517:$D$1768,D1768))/COUNT($D$1517:$D$1768)*100,"")</f>
        <v/>
      </c>
      <c r="H1768" s="10">
        <f>IFERROR(AVERAGE($D$1517:$D$1768),"")</f>
        <v/>
      </c>
      <c r="I1768" s="10" t="n">
        <v>2.268434111571831</v>
      </c>
      <c r="J1768" t="inlineStr"/>
      <c r="K1768" t="inlineStr"/>
    </row>
    <row r="1769">
      <c r="A1769" s="7" t="inlineStr">
        <is>
          <t>2021-06-01</t>
        </is>
      </c>
      <c r="B1769" s="8">
        <f>IFERROR(VLOOKUP($A1769,'01-原始价格'!$A:$M,2,FALSE),"")</f>
        <v/>
      </c>
      <c r="C1769" s="8">
        <f>IFERROR(VLOOKUP($A1769,'01-原始价格'!$A:$M,8,FALSE),"")</f>
        <v/>
      </c>
      <c r="D1769" s="10">
        <f>IFERROR(B1769/C1769,"")</f>
        <v/>
      </c>
      <c r="E1769" s="10">
        <f>IFERROR(C1769/B1769,"")</f>
        <v/>
      </c>
      <c r="F1769" s="11">
        <f>IFERROR((D1769/D1768-1)*100,"")</f>
        <v/>
      </c>
      <c r="G1769" s="11">
        <f>IFERROR((COUNTIF($D$1518:$D$1769,"&lt;"&amp;D1769)+0.5*COUNTIF($D$1518:$D$1769,D1769))/COUNT($D$1518:$D$1769)*100,"")</f>
        <v/>
      </c>
      <c r="H1769" s="10">
        <f>IFERROR(AVERAGE($D$1518:$D$1769),"")</f>
        <v/>
      </c>
      <c r="I1769" s="10" t="n">
        <v>2.11437715234123</v>
      </c>
      <c r="J1769" t="inlineStr"/>
      <c r="K1769" t="inlineStr"/>
    </row>
    <row r="1770">
      <c r="A1770" s="7" t="inlineStr">
        <is>
          <t>2021-06-02</t>
        </is>
      </c>
      <c r="B1770" s="8">
        <f>IFERROR(VLOOKUP($A1770,'01-原始价格'!$A:$M,2,FALSE),"")</f>
        <v/>
      </c>
      <c r="C1770" s="8">
        <f>IFERROR(VLOOKUP($A1770,'01-原始价格'!$A:$M,8,FALSE),"")</f>
        <v/>
      </c>
      <c r="D1770" s="10">
        <f>IFERROR(B1770/C1770,"")</f>
        <v/>
      </c>
      <c r="E1770" s="10">
        <f>IFERROR(C1770/B1770,"")</f>
        <v/>
      </c>
      <c r="F1770" s="11">
        <f>IFERROR((D1770/D1769-1)*100,"")</f>
        <v/>
      </c>
      <c r="G1770" s="11">
        <f>IFERROR((COUNTIF($D$1519:$D$1770,"&lt;"&amp;D1770)+0.5*COUNTIF($D$1519:$D$1770,D1770))/COUNT($D$1519:$D$1770)*100,"")</f>
        <v/>
      </c>
      <c r="H1770" s="10">
        <f>IFERROR(AVERAGE($D$1519:$D$1770),"")</f>
        <v/>
      </c>
      <c r="I1770" s="10" t="n">
        <v>2.182008933763001</v>
      </c>
      <c r="J1770" t="inlineStr"/>
      <c r="K1770" t="inlineStr"/>
    </row>
    <row r="1771">
      <c r="A1771" s="7" t="inlineStr">
        <is>
          <t>2021-06-03</t>
        </is>
      </c>
      <c r="B1771" s="8">
        <f>IFERROR(VLOOKUP($A1771,'01-原始价格'!$A:$M,2,FALSE),"")</f>
        <v/>
      </c>
      <c r="C1771" s="8">
        <f>IFERROR(VLOOKUP($A1771,'01-原始价格'!$A:$M,8,FALSE),"")</f>
        <v/>
      </c>
      <c r="D1771" s="10">
        <f>IFERROR(B1771/C1771,"")</f>
        <v/>
      </c>
      <c r="E1771" s="10">
        <f>IFERROR(C1771/B1771,"")</f>
        <v/>
      </c>
      <c r="F1771" s="11">
        <f>IFERROR((D1771/D1770-1)*100,"")</f>
        <v/>
      </c>
      <c r="G1771" s="11">
        <f>IFERROR((COUNTIF($D$1520:$D$1771,"&lt;"&amp;D1771)+0.5*COUNTIF($D$1520:$D$1771,D1771))/COUNT($D$1520:$D$1771)*100,"")</f>
        <v/>
      </c>
      <c r="H1771" s="10">
        <f>IFERROR(AVERAGE($D$1520:$D$1771),"")</f>
        <v/>
      </c>
      <c r="I1771" s="10" t="n">
        <v>2.049270446547924</v>
      </c>
      <c r="J1771" t="inlineStr"/>
      <c r="K1771" t="inlineStr"/>
    </row>
    <row r="1772">
      <c r="A1772" s="7" t="inlineStr">
        <is>
          <t>2021-06-04</t>
        </is>
      </c>
      <c r="B1772" s="8">
        <f>IFERROR(VLOOKUP($A1772,'01-原始价格'!$A:$M,2,FALSE),"")</f>
        <v/>
      </c>
      <c r="C1772" s="8">
        <f>IFERROR(VLOOKUP($A1772,'01-原始价格'!$A:$M,8,FALSE),"")</f>
        <v/>
      </c>
      <c r="D1772" s="10">
        <f>IFERROR(B1772/C1772,"")</f>
        <v/>
      </c>
      <c r="E1772" s="10">
        <f>IFERROR(C1772/B1772,"")</f>
        <v/>
      </c>
      <c r="F1772" s="11">
        <f>IFERROR((D1772/D1771-1)*100,"")</f>
        <v/>
      </c>
      <c r="G1772" s="11">
        <f>IFERROR((COUNTIF($D$1521:$D$1772,"&lt;"&amp;D1772)+0.5*COUNTIF($D$1521:$D$1772,D1772))/COUNT($D$1521:$D$1772)*100,"")</f>
        <v/>
      </c>
      <c r="H1772" s="10">
        <f>IFERROR(AVERAGE($D$1521:$D$1772),"")</f>
        <v/>
      </c>
      <c r="I1772" s="10" t="n">
        <v>1.940284118807635</v>
      </c>
      <c r="J1772" t="inlineStr"/>
      <c r="K1772" t="inlineStr"/>
    </row>
    <row r="1773">
      <c r="A1773" s="7" t="inlineStr">
        <is>
          <t>2021-06-07</t>
        </is>
      </c>
      <c r="B1773" s="8">
        <f>IFERROR(VLOOKUP($A1773,'01-原始价格'!$A:$M,2,FALSE),"")</f>
        <v/>
      </c>
      <c r="C1773" s="8">
        <f>IFERROR(VLOOKUP($A1773,'01-原始价格'!$A:$M,8,FALSE),"")</f>
        <v/>
      </c>
      <c r="D1773" s="10">
        <f>IFERROR(B1773/C1773,"")</f>
        <v/>
      </c>
      <c r="E1773" s="10">
        <f>IFERROR(C1773/B1773,"")</f>
        <v/>
      </c>
      <c r="F1773" s="11">
        <f>IFERROR((D1773/D1772-1)*100,"")</f>
        <v/>
      </c>
      <c r="G1773" s="11">
        <f>IFERROR((COUNTIF($D$1522:$D$1773,"&lt;"&amp;D1773)+0.5*COUNTIF($D$1522:$D$1773,D1773))/COUNT($D$1522:$D$1773)*100,"")</f>
        <v/>
      </c>
      <c r="H1773" s="10">
        <f>IFERROR(AVERAGE($D$1522:$D$1773),"")</f>
        <v/>
      </c>
      <c r="I1773" s="10" t="n">
        <v>2.172115885588943</v>
      </c>
      <c r="J1773" t="inlineStr"/>
      <c r="K1773" t="inlineStr"/>
    </row>
    <row r="1774">
      <c r="A1774" s="7" t="inlineStr">
        <is>
          <t>2021-06-08</t>
        </is>
      </c>
      <c r="B1774" s="8">
        <f>IFERROR(VLOOKUP($A1774,'01-原始价格'!$A:$M,2,FALSE),"")</f>
        <v/>
      </c>
      <c r="C1774" s="8">
        <f>IFERROR(VLOOKUP($A1774,'01-原始价格'!$A:$M,8,FALSE),"")</f>
        <v/>
      </c>
      <c r="D1774" s="10">
        <f>IFERROR(B1774/C1774,"")</f>
        <v/>
      </c>
      <c r="E1774" s="10">
        <f>IFERROR(C1774/B1774,"")</f>
        <v/>
      </c>
      <c r="F1774" s="11">
        <f>IFERROR((D1774/D1773-1)*100,"")</f>
        <v/>
      </c>
      <c r="G1774" s="11">
        <f>IFERROR((COUNTIF($D$1523:$D$1774,"&lt;"&amp;D1774)+0.5*COUNTIF($D$1523:$D$1774,D1774))/COUNT($D$1523:$D$1774)*100,"")</f>
        <v/>
      </c>
      <c r="H1774" s="10">
        <f>IFERROR(AVERAGE($D$1523:$D$1774),"")</f>
        <v/>
      </c>
      <c r="I1774" s="10" t="n">
        <v>2.419071892743446</v>
      </c>
      <c r="J1774" t="inlineStr"/>
      <c r="K1774" t="inlineStr"/>
    </row>
    <row r="1775">
      <c r="A1775" s="7" t="inlineStr">
        <is>
          <t>2021-06-09</t>
        </is>
      </c>
      <c r="B1775" s="8">
        <f>IFERROR(VLOOKUP($A1775,'01-原始价格'!$A:$M,2,FALSE),"")</f>
        <v/>
      </c>
      <c r="C1775" s="8">
        <f>IFERROR(VLOOKUP($A1775,'01-原始价格'!$A:$M,8,FALSE),"")</f>
        <v/>
      </c>
      <c r="D1775" s="10">
        <f>IFERROR(B1775/C1775,"")</f>
        <v/>
      </c>
      <c r="E1775" s="10">
        <f>IFERROR(C1775/B1775,"")</f>
        <v/>
      </c>
      <c r="F1775" s="11">
        <f>IFERROR((D1775/D1774-1)*100,"")</f>
        <v/>
      </c>
      <c r="G1775" s="11">
        <f>IFERROR((COUNTIF($D$1524:$D$1775,"&lt;"&amp;D1775)+0.5*COUNTIF($D$1524:$D$1775,D1775))/COUNT($D$1524:$D$1775)*100,"")</f>
        <v/>
      </c>
      <c r="H1775" s="10">
        <f>IFERROR(AVERAGE($D$1524:$D$1775),"")</f>
        <v/>
      </c>
      <c r="I1775" s="10" t="n">
        <v>2.268899981647727</v>
      </c>
      <c r="J1775" t="inlineStr"/>
      <c r="K1775" t="inlineStr"/>
    </row>
    <row r="1776">
      <c r="A1776" s="7" t="inlineStr">
        <is>
          <t>2021-06-10</t>
        </is>
      </c>
      <c r="B1776" s="8">
        <f>IFERROR(VLOOKUP($A1776,'01-原始价格'!$A:$M,2,FALSE),"")</f>
        <v/>
      </c>
      <c r="C1776" s="8">
        <f>IFERROR(VLOOKUP($A1776,'01-原始价格'!$A:$M,8,FALSE),"")</f>
        <v/>
      </c>
      <c r="D1776" s="10">
        <f>IFERROR(B1776/C1776,"")</f>
        <v/>
      </c>
      <c r="E1776" s="10">
        <f>IFERROR(C1776/B1776,"")</f>
        <v/>
      </c>
      <c r="F1776" s="11">
        <f>IFERROR((D1776/D1775-1)*100,"")</f>
        <v/>
      </c>
      <c r="G1776" s="11">
        <f>IFERROR((COUNTIF($D$1525:$D$1776,"&lt;"&amp;D1776)+0.5*COUNTIF($D$1525:$D$1776,D1776))/COUNT($D$1525:$D$1776)*100,"")</f>
        <v/>
      </c>
      <c r="H1776" s="10">
        <f>IFERROR(AVERAGE($D$1525:$D$1776),"")</f>
        <v/>
      </c>
      <c r="I1776" s="10" t="n">
        <v>2.2623197746312</v>
      </c>
      <c r="J1776" t="inlineStr"/>
      <c r="K1776" t="inlineStr"/>
    </row>
    <row r="1777">
      <c r="A1777" s="7" t="inlineStr">
        <is>
          <t>2021-06-11</t>
        </is>
      </c>
      <c r="B1777" s="8">
        <f>IFERROR(VLOOKUP($A1777,'01-原始价格'!$A:$M,2,FALSE),"")</f>
        <v/>
      </c>
      <c r="C1777" s="8">
        <f>IFERROR(VLOOKUP($A1777,'01-原始价格'!$A:$M,8,FALSE),"")</f>
        <v/>
      </c>
      <c r="D1777" s="10">
        <f>IFERROR(B1777/C1777,"")</f>
        <v/>
      </c>
      <c r="E1777" s="10">
        <f>IFERROR(C1777/B1777,"")</f>
        <v/>
      </c>
      <c r="F1777" s="11">
        <f>IFERROR((D1777/D1776-1)*100,"")</f>
        <v/>
      </c>
      <c r="G1777" s="11">
        <f>IFERROR((COUNTIF($D$1526:$D$1777,"&lt;"&amp;D1777)+0.5*COUNTIF($D$1526:$D$1777,D1777))/COUNT($D$1526:$D$1777)*100,"")</f>
        <v/>
      </c>
      <c r="H1777" s="10">
        <f>IFERROR(AVERAGE($D$1526:$D$1777),"")</f>
        <v/>
      </c>
      <c r="I1777" s="10" t="n">
        <v>1.990908644526979</v>
      </c>
      <c r="J1777" t="inlineStr"/>
      <c r="K1777" t="inlineStr"/>
    </row>
    <row r="1778">
      <c r="A1778" s="7" t="inlineStr">
        <is>
          <t>2021-06-15</t>
        </is>
      </c>
      <c r="B1778" s="8">
        <f>IFERROR(VLOOKUP($A1778,'01-原始价格'!$A:$M,2,FALSE),"")</f>
        <v/>
      </c>
      <c r="C1778" s="8">
        <f>IFERROR(VLOOKUP($A1778,'01-原始价格'!$A:$M,8,FALSE),"")</f>
        <v/>
      </c>
      <c r="D1778" s="10">
        <f>IFERROR(B1778/C1778,"")</f>
        <v/>
      </c>
      <c r="E1778" s="10">
        <f>IFERROR(C1778/B1778,"")</f>
        <v/>
      </c>
      <c r="F1778" s="11">
        <f>IFERROR((D1778/D1777-1)*100,"")</f>
        <v/>
      </c>
      <c r="G1778" s="11">
        <f>IFERROR((COUNTIF($D$1527:$D$1778,"&lt;"&amp;D1778)+0.5*COUNTIF($D$1527:$D$1778,D1778))/COUNT($D$1527:$D$1778)*100,"")</f>
        <v/>
      </c>
      <c r="H1778" s="10">
        <f>IFERROR(AVERAGE($D$1527:$D$1778),"")</f>
        <v/>
      </c>
      <c r="I1778" s="10" t="n">
        <v>2.219789680600464</v>
      </c>
      <c r="J1778" t="inlineStr"/>
      <c r="K1778" t="inlineStr"/>
    </row>
    <row r="1779">
      <c r="A1779" s="7" t="inlineStr">
        <is>
          <t>2021-06-16</t>
        </is>
      </c>
      <c r="B1779" s="8">
        <f>IFERROR(VLOOKUP($A1779,'01-原始价格'!$A:$M,2,FALSE),"")</f>
        <v/>
      </c>
      <c r="C1779" s="8">
        <f>IFERROR(VLOOKUP($A1779,'01-原始价格'!$A:$M,8,FALSE),"")</f>
        <v/>
      </c>
      <c r="D1779" s="10">
        <f>IFERROR(B1779/C1779,"")</f>
        <v/>
      </c>
      <c r="E1779" s="10">
        <f>IFERROR(C1779/B1779,"")</f>
        <v/>
      </c>
      <c r="F1779" s="11">
        <f>IFERROR((D1779/D1778-1)*100,"")</f>
        <v/>
      </c>
      <c r="G1779" s="11">
        <f>IFERROR((COUNTIF($D$1528:$D$1779,"&lt;"&amp;D1779)+0.5*COUNTIF($D$1528:$D$1779,D1779))/COUNT($D$1528:$D$1779)*100,"")</f>
        <v/>
      </c>
      <c r="H1779" s="10">
        <f>IFERROR(AVERAGE($D$1528:$D$1779),"")</f>
        <v/>
      </c>
      <c r="I1779" s="10" t="n">
        <v>2.20232442961418</v>
      </c>
      <c r="J1779" t="inlineStr"/>
      <c r="K1779" t="inlineStr"/>
    </row>
    <row r="1780">
      <c r="A1780" s="7" t="inlineStr">
        <is>
          <t>2021-06-17</t>
        </is>
      </c>
      <c r="B1780" s="8">
        <f>IFERROR(VLOOKUP($A1780,'01-原始价格'!$A:$M,2,FALSE),"")</f>
        <v/>
      </c>
      <c r="C1780" s="8">
        <f>IFERROR(VLOOKUP($A1780,'01-原始价格'!$A:$M,8,FALSE),"")</f>
        <v/>
      </c>
      <c r="D1780" s="10">
        <f>IFERROR(B1780/C1780,"")</f>
        <v/>
      </c>
      <c r="E1780" s="10">
        <f>IFERROR(C1780/B1780,"")</f>
        <v/>
      </c>
      <c r="F1780" s="11">
        <f>IFERROR((D1780/D1779-1)*100,"")</f>
        <v/>
      </c>
      <c r="G1780" s="11">
        <f>IFERROR((COUNTIF($D$1529:$D$1780,"&lt;"&amp;D1780)+0.5*COUNTIF($D$1529:$D$1780,D1780))/COUNT($D$1529:$D$1780)*100,"")</f>
        <v/>
      </c>
      <c r="H1780" s="10">
        <f>IFERROR(AVERAGE($D$1529:$D$1780),"")</f>
        <v/>
      </c>
      <c r="I1780" s="10" t="n">
        <v>2.022921014209037</v>
      </c>
      <c r="J1780" t="inlineStr"/>
      <c r="K1780" t="inlineStr"/>
    </row>
    <row r="1781">
      <c r="A1781" s="7" t="inlineStr">
        <is>
          <t>2021-06-18</t>
        </is>
      </c>
      <c r="B1781" s="8">
        <f>IFERROR(VLOOKUP($A1781,'01-原始价格'!$A:$M,2,FALSE),"")</f>
        <v/>
      </c>
      <c r="C1781" s="8">
        <f>IFERROR(VLOOKUP($A1781,'01-原始价格'!$A:$M,8,FALSE),"")</f>
        <v/>
      </c>
      <c r="D1781" s="10">
        <f>IFERROR(B1781/C1781,"")</f>
        <v/>
      </c>
      <c r="E1781" s="10">
        <f>IFERROR(C1781/B1781,"")</f>
        <v/>
      </c>
      <c r="F1781" s="11">
        <f>IFERROR((D1781/D1780-1)*100,"")</f>
        <v/>
      </c>
      <c r="G1781" s="11">
        <f>IFERROR((COUNTIF($D$1530:$D$1781,"&lt;"&amp;D1781)+0.5*COUNTIF($D$1530:$D$1781,D1781))/COUNT($D$1530:$D$1781)*100,"")</f>
        <v/>
      </c>
      <c r="H1781" s="10">
        <f>IFERROR(AVERAGE($D$1530:$D$1781),"")</f>
        <v/>
      </c>
      <c r="I1781" s="10" t="n">
        <v>0.9613312823506579</v>
      </c>
      <c r="J1781" t="inlineStr"/>
      <c r="K1781" t="inlineStr"/>
    </row>
    <row r="1782">
      <c r="A1782" s="7" t="inlineStr">
        <is>
          <t>2021-06-21</t>
        </is>
      </c>
      <c r="B1782" s="8">
        <f>IFERROR(VLOOKUP($A1782,'01-原始价格'!$A:$M,2,FALSE),"")</f>
        <v/>
      </c>
      <c r="C1782" s="8">
        <f>IFERROR(VLOOKUP($A1782,'01-原始价格'!$A:$M,8,FALSE),"")</f>
        <v/>
      </c>
      <c r="D1782" s="10">
        <f>IFERROR(B1782/C1782,"")</f>
        <v/>
      </c>
      <c r="E1782" s="10">
        <f>IFERROR(C1782/B1782,"")</f>
        <v/>
      </c>
      <c r="F1782" s="11">
        <f>IFERROR((D1782/D1781-1)*100,"")</f>
        <v/>
      </c>
      <c r="G1782" s="11">
        <f>IFERROR((COUNTIF($D$1531:$D$1782,"&lt;"&amp;D1782)+0.5*COUNTIF($D$1531:$D$1782,D1782))/COUNT($D$1531:$D$1782)*100,"")</f>
        <v/>
      </c>
      <c r="H1782" s="10">
        <f>IFERROR(AVERAGE($D$1531:$D$1782),"")</f>
        <v/>
      </c>
      <c r="I1782" s="10" t="n">
        <v>0.2659741857546145</v>
      </c>
      <c r="J1782" t="inlineStr"/>
      <c r="K1782" t="inlineStr"/>
    </row>
    <row r="1783">
      <c r="A1783" s="7" t="inlineStr">
        <is>
          <t>2021-06-22</t>
        </is>
      </c>
      <c r="B1783" s="8">
        <f>IFERROR(VLOOKUP($A1783,'01-原始价格'!$A:$M,2,FALSE),"")</f>
        <v/>
      </c>
      <c r="C1783" s="8">
        <f>IFERROR(VLOOKUP($A1783,'01-原始价格'!$A:$M,8,FALSE),"")</f>
        <v/>
      </c>
      <c r="D1783" s="10">
        <f>IFERROR(B1783/C1783,"")</f>
        <v/>
      </c>
      <c r="E1783" s="10">
        <f>IFERROR(C1783/B1783,"")</f>
        <v/>
      </c>
      <c r="F1783" s="11">
        <f>IFERROR((D1783/D1782-1)*100,"")</f>
        <v/>
      </c>
      <c r="G1783" s="11">
        <f>IFERROR((COUNTIF($D$1532:$D$1783,"&lt;"&amp;D1783)+0.5*COUNTIF($D$1532:$D$1783,D1783))/COUNT($D$1532:$D$1783)*100,"")</f>
        <v/>
      </c>
      <c r="H1783" s="10">
        <f>IFERROR(AVERAGE($D$1532:$D$1783),"")</f>
        <v/>
      </c>
      <c r="I1783" s="10" t="n">
        <v>0.7460938252100657</v>
      </c>
      <c r="J1783" t="inlineStr"/>
      <c r="K1783" t="inlineStr"/>
    </row>
    <row r="1784">
      <c r="A1784" s="7" t="inlineStr">
        <is>
          <t>2021-06-23</t>
        </is>
      </c>
      <c r="B1784" s="8">
        <f>IFERROR(VLOOKUP($A1784,'01-原始价格'!$A:$M,2,FALSE),"")</f>
        <v/>
      </c>
      <c r="C1784" s="8">
        <f>IFERROR(VLOOKUP($A1784,'01-原始价格'!$A:$M,8,FALSE),"")</f>
        <v/>
      </c>
      <c r="D1784" s="10">
        <f>IFERROR(B1784/C1784,"")</f>
        <v/>
      </c>
      <c r="E1784" s="10">
        <f>IFERROR(C1784/B1784,"")</f>
        <v/>
      </c>
      <c r="F1784" s="11">
        <f>IFERROR((D1784/D1783-1)*100,"")</f>
        <v/>
      </c>
      <c r="G1784" s="11">
        <f>IFERROR((COUNTIF($D$1533:$D$1784,"&lt;"&amp;D1784)+0.5*COUNTIF($D$1533:$D$1784,D1784))/COUNT($D$1533:$D$1784)*100,"")</f>
        <v/>
      </c>
      <c r="H1784" s="10">
        <f>IFERROR(AVERAGE($D$1533:$D$1784),"")</f>
        <v/>
      </c>
      <c r="I1784" s="10" t="n">
        <v>1.719411533921868</v>
      </c>
      <c r="J1784" t="inlineStr"/>
      <c r="K1784" t="inlineStr"/>
    </row>
    <row r="1785">
      <c r="A1785" s="7" t="inlineStr">
        <is>
          <t>2021-06-24</t>
        </is>
      </c>
      <c r="B1785" s="8">
        <f>IFERROR(VLOOKUP($A1785,'01-原始价格'!$A:$M,2,FALSE),"")</f>
        <v/>
      </c>
      <c r="C1785" s="8">
        <f>IFERROR(VLOOKUP($A1785,'01-原始价格'!$A:$M,8,FALSE),"")</f>
        <v/>
      </c>
      <c r="D1785" s="10">
        <f>IFERROR(B1785/C1785,"")</f>
        <v/>
      </c>
      <c r="E1785" s="10">
        <f>IFERROR(C1785/B1785,"")</f>
        <v/>
      </c>
      <c r="F1785" s="11">
        <f>IFERROR((D1785/D1784-1)*100,"")</f>
        <v/>
      </c>
      <c r="G1785" s="11">
        <f>IFERROR((COUNTIF($D$1534:$D$1785,"&lt;"&amp;D1785)+0.5*COUNTIF($D$1534:$D$1785,D1785))/COUNT($D$1534:$D$1785)*100,"")</f>
        <v/>
      </c>
      <c r="H1785" s="10">
        <f>IFERROR(AVERAGE($D$1534:$D$1785),"")</f>
        <v/>
      </c>
      <c r="I1785" s="10" t="n">
        <v>1.58508899734701</v>
      </c>
      <c r="J1785" t="inlineStr"/>
      <c r="K1785" t="inlineStr"/>
    </row>
    <row r="1786">
      <c r="A1786" s="7" t="inlineStr">
        <is>
          <t>2021-06-25</t>
        </is>
      </c>
      <c r="B1786" s="8">
        <f>IFERROR(VLOOKUP($A1786,'01-原始价格'!$A:$M,2,FALSE),"")</f>
        <v/>
      </c>
      <c r="C1786" s="8">
        <f>IFERROR(VLOOKUP($A1786,'01-原始价格'!$A:$M,8,FALSE),"")</f>
        <v/>
      </c>
      <c r="D1786" s="10">
        <f>IFERROR(B1786/C1786,"")</f>
        <v/>
      </c>
      <c r="E1786" s="10">
        <f>IFERROR(C1786/B1786,"")</f>
        <v/>
      </c>
      <c r="F1786" s="11">
        <f>IFERROR((D1786/D1785-1)*100,"")</f>
        <v/>
      </c>
      <c r="G1786" s="11">
        <f>IFERROR((COUNTIF($D$1535:$D$1786,"&lt;"&amp;D1786)+0.5*COUNTIF($D$1535:$D$1786,D1786))/COUNT($D$1535:$D$1786)*100,"")</f>
        <v/>
      </c>
      <c r="H1786" s="10">
        <f>IFERROR(AVERAGE($D$1535:$D$1786),"")</f>
        <v/>
      </c>
      <c r="I1786" s="10" t="n">
        <v>1.210671768855784</v>
      </c>
      <c r="J1786" t="inlineStr"/>
      <c r="K1786" t="inlineStr"/>
    </row>
    <row r="1787">
      <c r="A1787" s="7" t="inlineStr">
        <is>
          <t>2021-06-28</t>
        </is>
      </c>
      <c r="B1787" s="8">
        <f>IFERROR(VLOOKUP($A1787,'01-原始价格'!$A:$M,2,FALSE),"")</f>
        <v/>
      </c>
      <c r="C1787" s="8">
        <f>IFERROR(VLOOKUP($A1787,'01-原始价格'!$A:$M,8,FALSE),"")</f>
        <v/>
      </c>
      <c r="D1787" s="10">
        <f>IFERROR(B1787/C1787,"")</f>
        <v/>
      </c>
      <c r="E1787" s="10">
        <f>IFERROR(C1787/B1787,"")</f>
        <v/>
      </c>
      <c r="F1787" s="11">
        <f>IFERROR((D1787/D1786-1)*100,"")</f>
        <v/>
      </c>
      <c r="G1787" s="11">
        <f>IFERROR((COUNTIF($D$1536:$D$1787,"&lt;"&amp;D1787)+0.5*COUNTIF($D$1536:$D$1787,D1787))/COUNT($D$1536:$D$1787)*100,"")</f>
        <v/>
      </c>
      <c r="H1787" s="10">
        <f>IFERROR(AVERAGE($D$1536:$D$1787),"")</f>
        <v/>
      </c>
      <c r="I1787" s="10" t="n">
        <v>0.1272124793220795</v>
      </c>
      <c r="J1787" t="inlineStr"/>
      <c r="K1787" t="inlineStr"/>
    </row>
    <row r="1788">
      <c r="A1788" s="7" t="inlineStr">
        <is>
          <t>2021-06-29</t>
        </is>
      </c>
      <c r="B1788" s="8">
        <f>IFERROR(VLOOKUP($A1788,'01-原始价格'!$A:$M,2,FALSE),"")</f>
        <v/>
      </c>
      <c r="C1788" s="8">
        <f>IFERROR(VLOOKUP($A1788,'01-原始价格'!$A:$M,8,FALSE),"")</f>
        <v/>
      </c>
      <c r="D1788" s="10">
        <f>IFERROR(B1788/C1788,"")</f>
        <v/>
      </c>
      <c r="E1788" s="10">
        <f>IFERROR(C1788/B1788,"")</f>
        <v/>
      </c>
      <c r="F1788" s="11">
        <f>IFERROR((D1788/D1787-1)*100,"")</f>
        <v/>
      </c>
      <c r="G1788" s="11">
        <f>IFERROR((COUNTIF($D$1537:$D$1788,"&lt;"&amp;D1788)+0.5*COUNTIF($D$1537:$D$1788,D1788))/COUNT($D$1537:$D$1788)*100,"")</f>
        <v/>
      </c>
      <c r="H1788" s="10">
        <f>IFERROR(AVERAGE($D$1537:$D$1788),"")</f>
        <v/>
      </c>
      <c r="I1788" s="10" t="n">
        <v>-0.4279986302012866</v>
      </c>
      <c r="J1788" t="inlineStr"/>
      <c r="K1788" t="inlineStr"/>
    </row>
    <row r="1789">
      <c r="A1789" s="7" t="inlineStr">
        <is>
          <t>2021-06-30</t>
        </is>
      </c>
      <c r="B1789" s="8">
        <f>IFERROR(VLOOKUP($A1789,'01-原始价格'!$A:$M,2,FALSE),"")</f>
        <v/>
      </c>
      <c r="C1789" s="8">
        <f>IFERROR(VLOOKUP($A1789,'01-原始价格'!$A:$M,8,FALSE),"")</f>
        <v/>
      </c>
      <c r="D1789" s="10">
        <f>IFERROR(B1789/C1789,"")</f>
        <v/>
      </c>
      <c r="E1789" s="10">
        <f>IFERROR(C1789/B1789,"")</f>
        <v/>
      </c>
      <c r="F1789" s="11">
        <f>IFERROR((D1789/D1788-1)*100,"")</f>
        <v/>
      </c>
      <c r="G1789" s="11">
        <f>IFERROR((COUNTIF($D$1538:$D$1789,"&lt;"&amp;D1789)+0.5*COUNTIF($D$1538:$D$1789,D1789))/COUNT($D$1538:$D$1789)*100,"")</f>
        <v/>
      </c>
      <c r="H1789" s="10">
        <f>IFERROR(AVERAGE($D$1538:$D$1789),"")</f>
        <v/>
      </c>
      <c r="I1789" s="10" t="n">
        <v>-0.5652284020848843</v>
      </c>
      <c r="J1789" t="inlineStr"/>
      <c r="K1789" t="inlineStr"/>
    </row>
    <row r="1790">
      <c r="A1790" s="7" t="inlineStr">
        <is>
          <t>2021-07-01</t>
        </is>
      </c>
      <c r="B1790" s="8">
        <f>IFERROR(VLOOKUP($A1790,'01-原始价格'!$A:$M,2,FALSE),"")</f>
        <v/>
      </c>
      <c r="C1790" s="8">
        <f>IFERROR(VLOOKUP($A1790,'01-原始价格'!$A:$M,8,FALSE),"")</f>
        <v/>
      </c>
      <c r="D1790" s="10">
        <f>IFERROR(B1790/C1790,"")</f>
        <v/>
      </c>
      <c r="E1790" s="10">
        <f>IFERROR(C1790/B1790,"")</f>
        <v/>
      </c>
      <c r="F1790" s="11">
        <f>IFERROR((D1790/D1789-1)*100,"")</f>
        <v/>
      </c>
      <c r="G1790" s="11">
        <f>IFERROR((COUNTIF($D$1539:$D$1790,"&lt;"&amp;D1790)+0.5*COUNTIF($D$1539:$D$1790,D1790))/COUNT($D$1539:$D$1790)*100,"")</f>
        <v/>
      </c>
      <c r="H1790" s="10">
        <f>IFERROR(AVERAGE($D$1539:$D$1790),"")</f>
        <v/>
      </c>
      <c r="I1790" s="10" t="n">
        <v>-0.1380801747696906</v>
      </c>
      <c r="J1790" t="inlineStr"/>
      <c r="K1790" t="inlineStr"/>
    </row>
    <row r="1791">
      <c r="A1791" s="7" t="inlineStr">
        <is>
          <t>2021-07-02</t>
        </is>
      </c>
      <c r="B1791" s="8">
        <f>IFERROR(VLOOKUP($A1791,'01-原始价格'!$A:$M,2,FALSE),"")</f>
        <v/>
      </c>
      <c r="C1791" s="8">
        <f>IFERROR(VLOOKUP($A1791,'01-原始价格'!$A:$M,8,FALSE),"")</f>
        <v/>
      </c>
      <c r="D1791" s="10">
        <f>IFERROR(B1791/C1791,"")</f>
        <v/>
      </c>
      <c r="E1791" s="10">
        <f>IFERROR(C1791/B1791,"")</f>
        <v/>
      </c>
      <c r="F1791" s="11">
        <f>IFERROR((D1791/D1790-1)*100,"")</f>
        <v/>
      </c>
      <c r="G1791" s="11">
        <f>IFERROR((COUNTIF($D$1540:$D$1791,"&lt;"&amp;D1791)+0.5*COUNTIF($D$1540:$D$1791,D1791))/COUNT($D$1540:$D$1791)*100,"")</f>
        <v/>
      </c>
      <c r="H1791" s="10">
        <f>IFERROR(AVERAGE($D$1540:$D$1791),"")</f>
        <v/>
      </c>
      <c r="I1791" s="10" t="n">
        <v>-0.2271895115882946</v>
      </c>
      <c r="J1791" t="inlineStr"/>
      <c r="K1791" t="inlineStr"/>
    </row>
    <row r="1792">
      <c r="A1792" s="7" t="inlineStr">
        <is>
          <t>2021-07-05</t>
        </is>
      </c>
      <c r="B1792" s="8">
        <f>IFERROR(VLOOKUP($A1792,'01-原始价格'!$A:$M,2,FALSE),"")</f>
        <v/>
      </c>
      <c r="C1792" s="8">
        <f>IFERROR(VLOOKUP($A1792,'01-原始价格'!$A:$M,8,FALSE),"")</f>
        <v/>
      </c>
      <c r="D1792" s="10">
        <f>IFERROR(B1792/C1792,"")</f>
        <v/>
      </c>
      <c r="E1792" s="10">
        <f>IFERROR(C1792/B1792,"")</f>
        <v/>
      </c>
      <c r="F1792" s="11">
        <f>IFERROR((D1792/D1791-1)*100,"")</f>
        <v/>
      </c>
      <c r="G1792" s="11">
        <f>IFERROR((COUNTIF($D$1541:$D$1792,"&lt;"&amp;D1792)+0.5*COUNTIF($D$1541:$D$1792,D1792))/COUNT($D$1541:$D$1792)*100,"")</f>
        <v/>
      </c>
      <c r="H1792" s="10">
        <f>IFERROR(AVERAGE($D$1541:$D$1792),"")</f>
        <v/>
      </c>
      <c r="I1792" s="10" t="n">
        <v>-0.1428089159302581</v>
      </c>
      <c r="J1792" t="inlineStr"/>
      <c r="K1792" t="inlineStr"/>
    </row>
    <row r="1793">
      <c r="A1793" s="7" t="inlineStr">
        <is>
          <t>2021-07-06</t>
        </is>
      </c>
      <c r="B1793" s="8">
        <f>IFERROR(VLOOKUP($A1793,'01-原始价格'!$A:$M,2,FALSE),"")</f>
        <v/>
      </c>
      <c r="C1793" s="8">
        <f>IFERROR(VLOOKUP($A1793,'01-原始价格'!$A:$M,8,FALSE),"")</f>
        <v/>
      </c>
      <c r="D1793" s="10">
        <f>IFERROR(B1793/C1793,"")</f>
        <v/>
      </c>
      <c r="E1793" s="10">
        <f>IFERROR(C1793/B1793,"")</f>
        <v/>
      </c>
      <c r="F1793" s="11">
        <f>IFERROR((D1793/D1792-1)*100,"")</f>
        <v/>
      </c>
      <c r="G1793" s="11">
        <f>IFERROR((COUNTIF($D$1542:$D$1793,"&lt;"&amp;D1793)+0.5*COUNTIF($D$1542:$D$1793,D1793))/COUNT($D$1542:$D$1793)*100,"")</f>
        <v/>
      </c>
      <c r="H1793" s="10">
        <f>IFERROR(AVERAGE($D$1542:$D$1793),"")</f>
        <v/>
      </c>
      <c r="I1793" s="10" t="n">
        <v>-0.3369580431465157</v>
      </c>
      <c r="J1793" t="inlineStr"/>
      <c r="K1793" t="inlineStr"/>
    </row>
    <row r="1794">
      <c r="A1794" s="7" t="inlineStr">
        <is>
          <t>2021-07-07</t>
        </is>
      </c>
      <c r="B1794" s="8">
        <f>IFERROR(VLOOKUP($A1794,'01-原始价格'!$A:$M,2,FALSE),"")</f>
        <v/>
      </c>
      <c r="C1794" s="8">
        <f>IFERROR(VLOOKUP($A1794,'01-原始价格'!$A:$M,8,FALSE),"")</f>
        <v/>
      </c>
      <c r="D1794" s="10">
        <f>IFERROR(B1794/C1794,"")</f>
        <v/>
      </c>
      <c r="E1794" s="10">
        <f>IFERROR(C1794/B1794,"")</f>
        <v/>
      </c>
      <c r="F1794" s="11">
        <f>IFERROR((D1794/D1793-1)*100,"")</f>
        <v/>
      </c>
      <c r="G1794" s="11">
        <f>IFERROR((COUNTIF($D$1543:$D$1794,"&lt;"&amp;D1794)+0.5*COUNTIF($D$1543:$D$1794,D1794))/COUNT($D$1543:$D$1794)*100,"")</f>
        <v/>
      </c>
      <c r="H1794" s="10">
        <f>IFERROR(AVERAGE($D$1543:$D$1794),"")</f>
        <v/>
      </c>
      <c r="I1794" s="10" t="n">
        <v>-0.0365272922409727</v>
      </c>
      <c r="J1794" t="inlineStr"/>
      <c r="K1794" t="inlineStr"/>
    </row>
    <row r="1795">
      <c r="A1795" s="7" t="inlineStr">
        <is>
          <t>2021-07-08</t>
        </is>
      </c>
      <c r="B1795" s="8">
        <f>IFERROR(VLOOKUP($A1795,'01-原始价格'!$A:$M,2,FALSE),"")</f>
        <v/>
      </c>
      <c r="C1795" s="8">
        <f>IFERROR(VLOOKUP($A1795,'01-原始价格'!$A:$M,8,FALSE),"")</f>
        <v/>
      </c>
      <c r="D1795" s="10">
        <f>IFERROR(B1795/C1795,"")</f>
        <v/>
      </c>
      <c r="E1795" s="10">
        <f>IFERROR(C1795/B1795,"")</f>
        <v/>
      </c>
      <c r="F1795" s="11">
        <f>IFERROR((D1795/D1794-1)*100,"")</f>
        <v/>
      </c>
      <c r="G1795" s="11">
        <f>IFERROR((COUNTIF($D$1544:$D$1795,"&lt;"&amp;D1795)+0.5*COUNTIF($D$1544:$D$1795,D1795))/COUNT($D$1544:$D$1795)*100,"")</f>
        <v/>
      </c>
      <c r="H1795" s="10">
        <f>IFERROR(AVERAGE($D$1544:$D$1795),"")</f>
        <v/>
      </c>
      <c r="I1795" s="10" t="n">
        <v>-0.8798784152746689</v>
      </c>
      <c r="J1795" t="inlineStr"/>
      <c r="K1795" t="inlineStr"/>
    </row>
    <row r="1796">
      <c r="A1796" s="7" t="inlineStr">
        <is>
          <t>2021-07-09</t>
        </is>
      </c>
      <c r="B1796" s="8">
        <f>IFERROR(VLOOKUP($A1796,'01-原始价格'!$A:$M,2,FALSE),"")</f>
        <v/>
      </c>
      <c r="C1796" s="8">
        <f>IFERROR(VLOOKUP($A1796,'01-原始价格'!$A:$M,8,FALSE),"")</f>
        <v/>
      </c>
      <c r="D1796" s="10">
        <f>IFERROR(B1796/C1796,"")</f>
        <v/>
      </c>
      <c r="E1796" s="10">
        <f>IFERROR(C1796/B1796,"")</f>
        <v/>
      </c>
      <c r="F1796" s="11">
        <f>IFERROR((D1796/D1795-1)*100,"")</f>
        <v/>
      </c>
      <c r="G1796" s="11">
        <f>IFERROR((COUNTIF($D$1545:$D$1796,"&lt;"&amp;D1796)+0.5*COUNTIF($D$1545:$D$1796,D1796))/COUNT($D$1545:$D$1796)*100,"")</f>
        <v/>
      </c>
      <c r="H1796" s="10">
        <f>IFERROR(AVERAGE($D$1545:$D$1796),"")</f>
        <v/>
      </c>
      <c r="I1796" s="10" t="n">
        <v>-1.068025703167249</v>
      </c>
      <c r="J1796" t="inlineStr"/>
      <c r="K1796" t="inlineStr"/>
    </row>
    <row r="1797">
      <c r="A1797" s="7" t="inlineStr">
        <is>
          <t>2021-07-12</t>
        </is>
      </c>
      <c r="B1797" s="8">
        <f>IFERROR(VLOOKUP($A1797,'01-原始价格'!$A:$M,2,FALSE),"")</f>
        <v/>
      </c>
      <c r="C1797" s="8">
        <f>IFERROR(VLOOKUP($A1797,'01-原始价格'!$A:$M,8,FALSE),"")</f>
        <v/>
      </c>
      <c r="D1797" s="10">
        <f>IFERROR(B1797/C1797,"")</f>
        <v/>
      </c>
      <c r="E1797" s="10">
        <f>IFERROR(C1797/B1797,"")</f>
        <v/>
      </c>
      <c r="F1797" s="11">
        <f>IFERROR((D1797/D1796-1)*100,"")</f>
        <v/>
      </c>
      <c r="G1797" s="11">
        <f>IFERROR((COUNTIF($D$1546:$D$1797,"&lt;"&amp;D1797)+0.5*COUNTIF($D$1546:$D$1797,D1797))/COUNT($D$1546:$D$1797)*100,"")</f>
        <v/>
      </c>
      <c r="H1797" s="10">
        <f>IFERROR(AVERAGE($D$1546:$D$1797),"")</f>
        <v/>
      </c>
      <c r="I1797" s="10" t="n">
        <v>-1.616463587593771</v>
      </c>
      <c r="J1797" t="inlineStr"/>
      <c r="K1797" t="inlineStr"/>
    </row>
    <row r="1798">
      <c r="A1798" s="7" t="inlineStr">
        <is>
          <t>2021-07-13</t>
        </is>
      </c>
      <c r="B1798" s="8">
        <f>IFERROR(VLOOKUP($A1798,'01-原始价格'!$A:$M,2,FALSE),"")</f>
        <v/>
      </c>
      <c r="C1798" s="8">
        <f>IFERROR(VLOOKUP($A1798,'01-原始价格'!$A:$M,8,FALSE),"")</f>
        <v/>
      </c>
      <c r="D1798" s="10">
        <f>IFERROR(B1798/C1798,"")</f>
        <v/>
      </c>
      <c r="E1798" s="10">
        <f>IFERROR(C1798/B1798,"")</f>
        <v/>
      </c>
      <c r="F1798" s="11">
        <f>IFERROR((D1798/D1797-1)*100,"")</f>
        <v/>
      </c>
      <c r="G1798" s="11">
        <f>IFERROR((COUNTIF($D$1547:$D$1798,"&lt;"&amp;D1798)+0.5*COUNTIF($D$1547:$D$1798,D1798))/COUNT($D$1547:$D$1798)*100,"")</f>
        <v/>
      </c>
      <c r="H1798" s="10">
        <f>IFERROR(AVERAGE($D$1547:$D$1798),"")</f>
        <v/>
      </c>
      <c r="I1798" s="10" t="n">
        <v>-1.774233599926377</v>
      </c>
      <c r="J1798" t="inlineStr"/>
      <c r="K1798" t="inlineStr"/>
    </row>
    <row r="1799">
      <c r="A1799" s="7" t="inlineStr">
        <is>
          <t>2021-07-14</t>
        </is>
      </c>
      <c r="B1799" s="8">
        <f>IFERROR(VLOOKUP($A1799,'01-原始价格'!$A:$M,2,FALSE),"")</f>
        <v/>
      </c>
      <c r="C1799" s="8">
        <f>IFERROR(VLOOKUP($A1799,'01-原始价格'!$A:$M,8,FALSE),"")</f>
        <v/>
      </c>
      <c r="D1799" s="10">
        <f>IFERROR(B1799/C1799,"")</f>
        <v/>
      </c>
      <c r="E1799" s="10">
        <f>IFERROR(C1799/B1799,"")</f>
        <v/>
      </c>
      <c r="F1799" s="11">
        <f>IFERROR((D1799/D1798-1)*100,"")</f>
        <v/>
      </c>
      <c r="G1799" s="11">
        <f>IFERROR((COUNTIF($D$1548:$D$1799,"&lt;"&amp;D1799)+0.5*COUNTIF($D$1548:$D$1799,D1799))/COUNT($D$1548:$D$1799)*100,"")</f>
        <v/>
      </c>
      <c r="H1799" s="10">
        <f>IFERROR(AVERAGE($D$1548:$D$1799),"")</f>
        <v/>
      </c>
      <c r="I1799" s="10" t="n">
        <v>-1.799918744517477</v>
      </c>
      <c r="J1799" t="inlineStr"/>
      <c r="K1799" t="inlineStr"/>
    </row>
    <row r="1800">
      <c r="A1800" s="7" t="inlineStr">
        <is>
          <t>2021-07-15</t>
        </is>
      </c>
      <c r="B1800" s="8">
        <f>IFERROR(VLOOKUP($A1800,'01-原始价格'!$A:$M,2,FALSE),"")</f>
        <v/>
      </c>
      <c r="C1800" s="8">
        <f>IFERROR(VLOOKUP($A1800,'01-原始价格'!$A:$M,8,FALSE),"")</f>
        <v/>
      </c>
      <c r="D1800" s="10">
        <f>IFERROR(B1800/C1800,"")</f>
        <v/>
      </c>
      <c r="E1800" s="10">
        <f>IFERROR(C1800/B1800,"")</f>
        <v/>
      </c>
      <c r="F1800" s="11">
        <f>IFERROR((D1800/D1799-1)*100,"")</f>
        <v/>
      </c>
      <c r="G1800" s="11">
        <f>IFERROR((COUNTIF($D$1549:$D$1800,"&lt;"&amp;D1800)+0.5*COUNTIF($D$1549:$D$1800,D1800))/COUNT($D$1549:$D$1800)*100,"")</f>
        <v/>
      </c>
      <c r="H1800" s="10">
        <f>IFERROR(AVERAGE($D$1549:$D$1800),"")</f>
        <v/>
      </c>
      <c r="I1800" s="10" t="n">
        <v>-2.233600386775902</v>
      </c>
      <c r="J1800" t="inlineStr"/>
      <c r="K1800" t="inlineStr"/>
    </row>
    <row r="1801">
      <c r="A1801" s="7" t="inlineStr">
        <is>
          <t>2021-07-16</t>
        </is>
      </c>
      <c r="B1801" s="8">
        <f>IFERROR(VLOOKUP($A1801,'01-原始价格'!$A:$M,2,FALSE),"")</f>
        <v/>
      </c>
      <c r="C1801" s="8">
        <f>IFERROR(VLOOKUP($A1801,'01-原始价格'!$A:$M,8,FALSE),"")</f>
        <v/>
      </c>
      <c r="D1801" s="10">
        <f>IFERROR(B1801/C1801,"")</f>
        <v/>
      </c>
      <c r="E1801" s="10">
        <f>IFERROR(C1801/B1801,"")</f>
        <v/>
      </c>
      <c r="F1801" s="11">
        <f>IFERROR((D1801/D1800-1)*100,"")</f>
        <v/>
      </c>
      <c r="G1801" s="11">
        <f>IFERROR((COUNTIF($D$1550:$D$1801,"&lt;"&amp;D1801)+0.5*COUNTIF($D$1550:$D$1801,D1801))/COUNT($D$1550:$D$1801)*100,"")</f>
        <v/>
      </c>
      <c r="H1801" s="10">
        <f>IFERROR(AVERAGE($D$1550:$D$1801),"")</f>
        <v/>
      </c>
      <c r="I1801" s="10" t="n">
        <v>-2.758942393524931</v>
      </c>
      <c r="J1801" t="inlineStr"/>
      <c r="K1801" t="inlineStr"/>
    </row>
    <row r="1802">
      <c r="A1802" s="7" t="inlineStr">
        <is>
          <t>2021-07-19</t>
        </is>
      </c>
      <c r="B1802" s="8">
        <f>IFERROR(VLOOKUP($A1802,'01-原始价格'!$A:$M,2,FALSE),"")</f>
        <v/>
      </c>
      <c r="C1802" s="8">
        <f>IFERROR(VLOOKUP($A1802,'01-原始价格'!$A:$M,8,FALSE),"")</f>
        <v/>
      </c>
      <c r="D1802" s="10">
        <f>IFERROR(B1802/C1802,"")</f>
        <v/>
      </c>
      <c r="E1802" s="10">
        <f>IFERROR(C1802/B1802,"")</f>
        <v/>
      </c>
      <c r="F1802" s="11">
        <f>IFERROR((D1802/D1801-1)*100,"")</f>
        <v/>
      </c>
      <c r="G1802" s="11">
        <f>IFERROR((COUNTIF($D$1551:$D$1802,"&lt;"&amp;D1802)+0.5*COUNTIF($D$1551:$D$1802,D1802))/COUNT($D$1551:$D$1802)*100,"")</f>
        <v/>
      </c>
      <c r="H1802" s="10">
        <f>IFERROR(AVERAGE($D$1551:$D$1802),"")</f>
        <v/>
      </c>
      <c r="I1802" s="10" t="n">
        <v>-2.061347482742473</v>
      </c>
      <c r="J1802" t="inlineStr"/>
      <c r="K1802" t="inlineStr"/>
    </row>
    <row r="1803">
      <c r="A1803" s="7" t="inlineStr">
        <is>
          <t>2021-07-20</t>
        </is>
      </c>
      <c r="B1803" s="8">
        <f>IFERROR(VLOOKUP($A1803,'01-原始价格'!$A:$M,2,FALSE),"")</f>
        <v/>
      </c>
      <c r="C1803" s="8">
        <f>IFERROR(VLOOKUP($A1803,'01-原始价格'!$A:$M,8,FALSE),"")</f>
        <v/>
      </c>
      <c r="D1803" s="10">
        <f>IFERROR(B1803/C1803,"")</f>
        <v/>
      </c>
      <c r="E1803" s="10">
        <f>IFERROR(C1803/B1803,"")</f>
        <v/>
      </c>
      <c r="F1803" s="11">
        <f>IFERROR((D1803/D1802-1)*100,"")</f>
        <v/>
      </c>
      <c r="G1803" s="11">
        <f>IFERROR((COUNTIF($D$1552:$D$1803,"&lt;"&amp;D1803)+0.5*COUNTIF($D$1552:$D$1803,D1803))/COUNT($D$1552:$D$1803)*100,"")</f>
        <v/>
      </c>
      <c r="H1803" s="10">
        <f>IFERROR(AVERAGE($D$1552:$D$1803),"")</f>
        <v/>
      </c>
      <c r="I1803" s="10" t="n">
        <v>-1.788927465547637</v>
      </c>
      <c r="J1803" t="inlineStr"/>
      <c r="K1803" t="inlineStr"/>
    </row>
    <row r="1804">
      <c r="A1804" s="7" t="inlineStr">
        <is>
          <t>2021-07-21</t>
        </is>
      </c>
      <c r="B1804" s="8">
        <f>IFERROR(VLOOKUP($A1804,'01-原始价格'!$A:$M,2,FALSE),"")</f>
        <v/>
      </c>
      <c r="C1804" s="8">
        <f>IFERROR(VLOOKUP($A1804,'01-原始价格'!$A:$M,8,FALSE),"")</f>
        <v/>
      </c>
      <c r="D1804" s="10">
        <f>IFERROR(B1804/C1804,"")</f>
        <v/>
      </c>
      <c r="E1804" s="10">
        <f>IFERROR(C1804/B1804,"")</f>
        <v/>
      </c>
      <c r="F1804" s="11">
        <f>IFERROR((D1804/D1803-1)*100,"")</f>
        <v/>
      </c>
      <c r="G1804" s="11">
        <f>IFERROR((COUNTIF($D$1553:$D$1804,"&lt;"&amp;D1804)+0.5*COUNTIF($D$1553:$D$1804,D1804))/COUNT($D$1553:$D$1804)*100,"")</f>
        <v/>
      </c>
      <c r="H1804" s="10">
        <f>IFERROR(AVERAGE($D$1553:$D$1804),"")</f>
        <v/>
      </c>
      <c r="I1804" s="10" t="n">
        <v>-0.9276937080805073</v>
      </c>
      <c r="J1804" t="inlineStr"/>
      <c r="K1804" t="inlineStr"/>
    </row>
    <row r="1805">
      <c r="A1805" s="7" t="inlineStr">
        <is>
          <t>2021-07-22</t>
        </is>
      </c>
      <c r="B1805" s="8">
        <f>IFERROR(VLOOKUP($A1805,'01-原始价格'!$A:$M,2,FALSE),"")</f>
        <v/>
      </c>
      <c r="C1805" s="8">
        <f>IFERROR(VLOOKUP($A1805,'01-原始价格'!$A:$M,8,FALSE),"")</f>
        <v/>
      </c>
      <c r="D1805" s="10">
        <f>IFERROR(B1805/C1805,"")</f>
        <v/>
      </c>
      <c r="E1805" s="10">
        <f>IFERROR(C1805/B1805,"")</f>
        <v/>
      </c>
      <c r="F1805" s="11">
        <f>IFERROR((D1805/D1804-1)*100,"")</f>
        <v/>
      </c>
      <c r="G1805" s="11">
        <f>IFERROR((COUNTIF($D$1554:$D$1805,"&lt;"&amp;D1805)+0.5*COUNTIF($D$1554:$D$1805,D1805))/COUNT($D$1554:$D$1805)*100,"")</f>
        <v/>
      </c>
      <c r="H1805" s="10">
        <f>IFERROR(AVERAGE($D$1554:$D$1805),"")</f>
        <v/>
      </c>
      <c r="I1805" s="10" t="n">
        <v>-1.030304017378778</v>
      </c>
      <c r="J1805" t="inlineStr"/>
      <c r="K1805" t="inlineStr"/>
    </row>
    <row r="1806">
      <c r="A1806" s="7" t="inlineStr">
        <is>
          <t>2021-07-23</t>
        </is>
      </c>
      <c r="B1806" s="8">
        <f>IFERROR(VLOOKUP($A1806,'01-原始价格'!$A:$M,2,FALSE),"")</f>
        <v/>
      </c>
      <c r="C1806" s="8">
        <f>IFERROR(VLOOKUP($A1806,'01-原始价格'!$A:$M,8,FALSE),"")</f>
        <v/>
      </c>
      <c r="D1806" s="10">
        <f>IFERROR(B1806/C1806,"")</f>
        <v/>
      </c>
      <c r="E1806" s="10">
        <f>IFERROR(C1806/B1806,"")</f>
        <v/>
      </c>
      <c r="F1806" s="11">
        <f>IFERROR((D1806/D1805-1)*100,"")</f>
        <v/>
      </c>
      <c r="G1806" s="11">
        <f>IFERROR((COUNTIF($D$1555:$D$1806,"&lt;"&amp;D1806)+0.5*COUNTIF($D$1555:$D$1806,D1806))/COUNT($D$1555:$D$1806)*100,"")</f>
        <v/>
      </c>
      <c r="H1806" s="10">
        <f>IFERROR(AVERAGE($D$1555:$D$1806),"")</f>
        <v/>
      </c>
      <c r="I1806" s="10" t="n">
        <v>-0.6651353343770251</v>
      </c>
      <c r="J1806" t="inlineStr"/>
      <c r="K1806" t="inlineStr"/>
    </row>
    <row r="1807">
      <c r="A1807" s="7" t="inlineStr">
        <is>
          <t>2021-07-26</t>
        </is>
      </c>
      <c r="B1807" s="8">
        <f>IFERROR(VLOOKUP($A1807,'01-原始价格'!$A:$M,2,FALSE),"")</f>
        <v/>
      </c>
      <c r="C1807" s="8">
        <f>IFERROR(VLOOKUP($A1807,'01-原始价格'!$A:$M,8,FALSE),"")</f>
        <v/>
      </c>
      <c r="D1807" s="10">
        <f>IFERROR(B1807/C1807,"")</f>
        <v/>
      </c>
      <c r="E1807" s="10">
        <f>IFERROR(C1807/B1807,"")</f>
        <v/>
      </c>
      <c r="F1807" s="11">
        <f>IFERROR((D1807/D1806-1)*100,"")</f>
        <v/>
      </c>
      <c r="G1807" s="11">
        <f>IFERROR((COUNTIF($D$1556:$D$1807,"&lt;"&amp;D1807)+0.5*COUNTIF($D$1556:$D$1807,D1807))/COUNT($D$1556:$D$1807)*100,"")</f>
        <v/>
      </c>
      <c r="H1807" s="10">
        <f>IFERROR(AVERAGE($D$1556:$D$1807),"")</f>
        <v/>
      </c>
      <c r="I1807" s="10" t="n">
        <v>-0.727442841586469</v>
      </c>
      <c r="J1807" t="inlineStr"/>
      <c r="K1807" t="inlineStr"/>
    </row>
    <row r="1808">
      <c r="A1808" s="7" t="inlineStr">
        <is>
          <t>2021-07-27</t>
        </is>
      </c>
      <c r="B1808" s="8">
        <f>IFERROR(VLOOKUP($A1808,'01-原始价格'!$A:$M,2,FALSE),"")</f>
        <v/>
      </c>
      <c r="C1808" s="8">
        <f>IFERROR(VLOOKUP($A1808,'01-原始价格'!$A:$M,8,FALSE),"")</f>
        <v/>
      </c>
      <c r="D1808" s="10">
        <f>IFERROR(B1808/C1808,"")</f>
        <v/>
      </c>
      <c r="E1808" s="10">
        <f>IFERROR(C1808/B1808,"")</f>
        <v/>
      </c>
      <c r="F1808" s="11">
        <f>IFERROR((D1808/D1807-1)*100,"")</f>
        <v/>
      </c>
      <c r="G1808" s="11">
        <f>IFERROR((COUNTIF($D$1557:$D$1808,"&lt;"&amp;D1808)+0.5*COUNTIF($D$1557:$D$1808,D1808))/COUNT($D$1557:$D$1808)*100,"")</f>
        <v/>
      </c>
      <c r="H1808" s="10">
        <f>IFERROR(AVERAGE($D$1557:$D$1808),"")</f>
        <v/>
      </c>
      <c r="I1808" s="10" t="n">
        <v>-0.9045926493355194</v>
      </c>
      <c r="J1808" t="inlineStr"/>
      <c r="K1808" t="inlineStr"/>
    </row>
    <row r="1809">
      <c r="A1809" s="7" t="inlineStr">
        <is>
          <t>2021-07-28</t>
        </is>
      </c>
      <c r="B1809" s="8">
        <f>IFERROR(VLOOKUP($A1809,'01-原始价格'!$A:$M,2,FALSE),"")</f>
        <v/>
      </c>
      <c r="C1809" s="8">
        <f>IFERROR(VLOOKUP($A1809,'01-原始价格'!$A:$M,8,FALSE),"")</f>
        <v/>
      </c>
      <c r="D1809" s="10">
        <f>IFERROR(B1809/C1809,"")</f>
        <v/>
      </c>
      <c r="E1809" s="10">
        <f>IFERROR(C1809/B1809,"")</f>
        <v/>
      </c>
      <c r="F1809" s="11">
        <f>IFERROR((D1809/D1808-1)*100,"")</f>
        <v/>
      </c>
      <c r="G1809" s="11">
        <f>IFERROR((COUNTIF($D$1558:$D$1809,"&lt;"&amp;D1809)+0.5*COUNTIF($D$1558:$D$1809,D1809))/COUNT($D$1558:$D$1809)*100,"")</f>
        <v/>
      </c>
      <c r="H1809" s="10">
        <f>IFERROR(AVERAGE($D$1558:$D$1809),"")</f>
        <v/>
      </c>
      <c r="I1809" s="10" t="n">
        <v>-1.041103489740109</v>
      </c>
      <c r="J1809" t="inlineStr"/>
      <c r="K1809" t="inlineStr"/>
    </row>
    <row r="1810">
      <c r="A1810" s="7" t="inlineStr">
        <is>
          <t>2021-07-29</t>
        </is>
      </c>
      <c r="B1810" s="8">
        <f>IFERROR(VLOOKUP($A1810,'01-原始价格'!$A:$M,2,FALSE),"")</f>
        <v/>
      </c>
      <c r="C1810" s="8">
        <f>IFERROR(VLOOKUP($A1810,'01-原始价格'!$A:$M,8,FALSE),"")</f>
        <v/>
      </c>
      <c r="D1810" s="10">
        <f>IFERROR(B1810/C1810,"")</f>
        <v/>
      </c>
      <c r="E1810" s="10">
        <f>IFERROR(C1810/B1810,"")</f>
        <v/>
      </c>
      <c r="F1810" s="11">
        <f>IFERROR((D1810/D1809-1)*100,"")</f>
        <v/>
      </c>
      <c r="G1810" s="11">
        <f>IFERROR((COUNTIF($D$1559:$D$1810,"&lt;"&amp;D1810)+0.5*COUNTIF($D$1559:$D$1810,D1810))/COUNT($D$1559:$D$1810)*100,"")</f>
        <v/>
      </c>
      <c r="H1810" s="10">
        <f>IFERROR(AVERAGE($D$1559:$D$1810),"")</f>
        <v/>
      </c>
      <c r="I1810" s="10" t="n">
        <v>-0.6642869488072597</v>
      </c>
      <c r="J1810" t="inlineStr"/>
      <c r="K1810" t="inlineStr"/>
    </row>
    <row r="1811">
      <c r="A1811" s="7" t="inlineStr">
        <is>
          <t>2021-07-30</t>
        </is>
      </c>
      <c r="B1811" s="8">
        <f>IFERROR(VLOOKUP($A1811,'01-原始价格'!$A:$M,2,FALSE),"")</f>
        <v/>
      </c>
      <c r="C1811" s="8">
        <f>IFERROR(VLOOKUP($A1811,'01-原始价格'!$A:$M,8,FALSE),"")</f>
        <v/>
      </c>
      <c r="D1811" s="10">
        <f>IFERROR(B1811/C1811,"")</f>
        <v/>
      </c>
      <c r="E1811" s="10">
        <f>IFERROR(C1811/B1811,"")</f>
        <v/>
      </c>
      <c r="F1811" s="11">
        <f>IFERROR((D1811/D1810-1)*100,"")</f>
        <v/>
      </c>
      <c r="G1811" s="11">
        <f>IFERROR((COUNTIF($D$1560:$D$1811,"&lt;"&amp;D1811)+0.5*COUNTIF($D$1560:$D$1811,D1811))/COUNT($D$1560:$D$1811)*100,"")</f>
        <v/>
      </c>
      <c r="H1811" s="10">
        <f>IFERROR(AVERAGE($D$1560:$D$1811),"")</f>
        <v/>
      </c>
      <c r="I1811" s="10" t="n">
        <v>-0.5163457680634972</v>
      </c>
      <c r="J1811" t="inlineStr"/>
      <c r="K1811" t="inlineStr"/>
    </row>
    <row r="1812">
      <c r="A1812" s="7" t="inlineStr">
        <is>
          <t>2021-08-02</t>
        </is>
      </c>
      <c r="B1812" s="8">
        <f>IFERROR(VLOOKUP($A1812,'01-原始价格'!$A:$M,2,FALSE),"")</f>
        <v/>
      </c>
      <c r="C1812" s="8">
        <f>IFERROR(VLOOKUP($A1812,'01-原始价格'!$A:$M,8,FALSE),"")</f>
        <v/>
      </c>
      <c r="D1812" s="10">
        <f>IFERROR(B1812/C1812,"")</f>
        <v/>
      </c>
      <c r="E1812" s="10">
        <f>IFERROR(C1812/B1812,"")</f>
        <v/>
      </c>
      <c r="F1812" s="11">
        <f>IFERROR((D1812/D1811-1)*100,"")</f>
        <v/>
      </c>
      <c r="G1812" s="11">
        <f>IFERROR((COUNTIF($D$1561:$D$1812,"&lt;"&amp;D1812)+0.5*COUNTIF($D$1561:$D$1812,D1812))/COUNT($D$1561:$D$1812)*100,"")</f>
        <v/>
      </c>
      <c r="H1812" s="10">
        <f>IFERROR(AVERAGE($D$1561:$D$1812),"")</f>
        <v/>
      </c>
      <c r="I1812" s="10" t="n">
        <v>-0.7725179892662449</v>
      </c>
      <c r="J1812" t="inlineStr"/>
      <c r="K1812" t="inlineStr"/>
    </row>
    <row r="1813">
      <c r="A1813" s="7" t="inlineStr">
        <is>
          <t>2021-08-03</t>
        </is>
      </c>
      <c r="B1813" s="8">
        <f>IFERROR(VLOOKUP($A1813,'01-原始价格'!$A:$M,2,FALSE),"")</f>
        <v/>
      </c>
      <c r="C1813" s="8">
        <f>IFERROR(VLOOKUP($A1813,'01-原始价格'!$A:$M,8,FALSE),"")</f>
        <v/>
      </c>
      <c r="D1813" s="10">
        <f>IFERROR(B1813/C1813,"")</f>
        <v/>
      </c>
      <c r="E1813" s="10">
        <f>IFERROR(C1813/B1813,"")</f>
        <v/>
      </c>
      <c r="F1813" s="11">
        <f>IFERROR((D1813/D1812-1)*100,"")</f>
        <v/>
      </c>
      <c r="G1813" s="11">
        <f>IFERROR((COUNTIF($D$1562:$D$1813,"&lt;"&amp;D1813)+0.5*COUNTIF($D$1562:$D$1813,D1813))/COUNT($D$1562:$D$1813)*100,"")</f>
        <v/>
      </c>
      <c r="H1813" s="10">
        <f>IFERROR(AVERAGE($D$1562:$D$1813),"")</f>
        <v/>
      </c>
      <c r="I1813" s="10" t="n">
        <v>-0.7450031564990121</v>
      </c>
      <c r="J1813" t="inlineStr"/>
      <c r="K1813" t="inlineStr"/>
    </row>
    <row r="1814">
      <c r="A1814" s="7" t="inlineStr">
        <is>
          <t>2021-08-04</t>
        </is>
      </c>
      <c r="B1814" s="8">
        <f>IFERROR(VLOOKUP($A1814,'01-原始价格'!$A:$M,2,FALSE),"")</f>
        <v/>
      </c>
      <c r="C1814" s="8">
        <f>IFERROR(VLOOKUP($A1814,'01-原始价格'!$A:$M,8,FALSE),"")</f>
        <v/>
      </c>
      <c r="D1814" s="10">
        <f>IFERROR(B1814/C1814,"")</f>
        <v/>
      </c>
      <c r="E1814" s="10">
        <f>IFERROR(C1814/B1814,"")</f>
        <v/>
      </c>
      <c r="F1814" s="11">
        <f>IFERROR((D1814/D1813-1)*100,"")</f>
        <v/>
      </c>
      <c r="G1814" s="11">
        <f>IFERROR((COUNTIF($D$1563:$D$1814,"&lt;"&amp;D1814)+0.5*COUNTIF($D$1563:$D$1814,D1814))/COUNT($D$1563:$D$1814)*100,"")</f>
        <v/>
      </c>
      <c r="H1814" s="10">
        <f>IFERROR(AVERAGE($D$1563:$D$1814),"")</f>
        <v/>
      </c>
      <c r="I1814" s="10" t="n">
        <v>-0.5158673498142123</v>
      </c>
      <c r="J1814" t="inlineStr"/>
      <c r="K1814" t="inlineStr"/>
    </row>
    <row r="1815">
      <c r="A1815" s="7" t="inlineStr">
        <is>
          <t>2021-08-05</t>
        </is>
      </c>
      <c r="B1815" s="8">
        <f>IFERROR(VLOOKUP($A1815,'01-原始价格'!$A:$M,2,FALSE),"")</f>
        <v/>
      </c>
      <c r="C1815" s="8">
        <f>IFERROR(VLOOKUP($A1815,'01-原始价格'!$A:$M,8,FALSE),"")</f>
        <v/>
      </c>
      <c r="D1815" s="10">
        <f>IFERROR(B1815/C1815,"")</f>
        <v/>
      </c>
      <c r="E1815" s="10">
        <f>IFERROR(C1815/B1815,"")</f>
        <v/>
      </c>
      <c r="F1815" s="11">
        <f>IFERROR((D1815/D1814-1)*100,"")</f>
        <v/>
      </c>
      <c r="G1815" s="11">
        <f>IFERROR((COUNTIF($D$1564:$D$1815,"&lt;"&amp;D1815)+0.5*COUNTIF($D$1564:$D$1815,D1815))/COUNT($D$1564:$D$1815)*100,"")</f>
        <v/>
      </c>
      <c r="H1815" s="10">
        <f>IFERROR(AVERAGE($D$1564:$D$1815),"")</f>
        <v/>
      </c>
      <c r="I1815" s="10" t="n">
        <v>-0.7285580231870371</v>
      </c>
      <c r="J1815" t="inlineStr"/>
      <c r="K1815" t="inlineStr"/>
    </row>
    <row r="1816">
      <c r="A1816" s="7" t="inlineStr">
        <is>
          <t>2021-08-06</t>
        </is>
      </c>
      <c r="B1816" s="8">
        <f>IFERROR(VLOOKUP($A1816,'01-原始价格'!$A:$M,2,FALSE),"")</f>
        <v/>
      </c>
      <c r="C1816" s="8">
        <f>IFERROR(VLOOKUP($A1816,'01-原始价格'!$A:$M,8,FALSE),"")</f>
        <v/>
      </c>
      <c r="D1816" s="10">
        <f>IFERROR(B1816/C1816,"")</f>
        <v/>
      </c>
      <c r="E1816" s="10">
        <f>IFERROR(C1816/B1816,"")</f>
        <v/>
      </c>
      <c r="F1816" s="11">
        <f>IFERROR((D1816/D1815-1)*100,"")</f>
        <v/>
      </c>
      <c r="G1816" s="11">
        <f>IFERROR((COUNTIF($D$1565:$D$1816,"&lt;"&amp;D1816)+0.5*COUNTIF($D$1565:$D$1816,D1816))/COUNT($D$1565:$D$1816)*100,"")</f>
        <v/>
      </c>
      <c r="H1816" s="10">
        <f>IFERROR(AVERAGE($D$1565:$D$1816),"")</f>
        <v/>
      </c>
      <c r="I1816" s="10" t="n">
        <v>-0.5027291901855405</v>
      </c>
      <c r="J1816" t="inlineStr"/>
      <c r="K1816" t="inlineStr"/>
    </row>
    <row r="1817">
      <c r="A1817" s="7" t="inlineStr">
        <is>
          <t>2021-08-09</t>
        </is>
      </c>
      <c r="B1817" s="8">
        <f>IFERROR(VLOOKUP($A1817,'01-原始价格'!$A:$M,2,FALSE),"")</f>
        <v/>
      </c>
      <c r="C1817" s="8">
        <f>IFERROR(VLOOKUP($A1817,'01-原始价格'!$A:$M,8,FALSE),"")</f>
        <v/>
      </c>
      <c r="D1817" s="10">
        <f>IFERROR(B1817/C1817,"")</f>
        <v/>
      </c>
      <c r="E1817" s="10">
        <f>IFERROR(C1817/B1817,"")</f>
        <v/>
      </c>
      <c r="F1817" s="11">
        <f>IFERROR((D1817/D1816-1)*100,"")</f>
        <v/>
      </c>
      <c r="G1817" s="11">
        <f>IFERROR((COUNTIF($D$1566:$D$1817,"&lt;"&amp;D1817)+0.5*COUNTIF($D$1566:$D$1817,D1817))/COUNT($D$1566:$D$1817)*100,"")</f>
        <v/>
      </c>
      <c r="H1817" s="10">
        <f>IFERROR(AVERAGE($D$1566:$D$1817),"")</f>
        <v/>
      </c>
      <c r="I1817" s="10" t="n">
        <v>-0.8319438833509032</v>
      </c>
      <c r="J1817" t="inlineStr"/>
      <c r="K1817" t="inlineStr"/>
    </row>
    <row r="1818">
      <c r="A1818" s="7" t="inlineStr">
        <is>
          <t>2021-08-10</t>
        </is>
      </c>
      <c r="B1818" s="8">
        <f>IFERROR(VLOOKUP($A1818,'01-原始价格'!$A:$M,2,FALSE),"")</f>
        <v/>
      </c>
      <c r="C1818" s="8">
        <f>IFERROR(VLOOKUP($A1818,'01-原始价格'!$A:$M,8,FALSE),"")</f>
        <v/>
      </c>
      <c r="D1818" s="10">
        <f>IFERROR(B1818/C1818,"")</f>
        <v/>
      </c>
      <c r="E1818" s="10">
        <f>IFERROR(C1818/B1818,"")</f>
        <v/>
      </c>
      <c r="F1818" s="11">
        <f>IFERROR((D1818/D1817-1)*100,"")</f>
        <v/>
      </c>
      <c r="G1818" s="11">
        <f>IFERROR((COUNTIF($D$1567:$D$1818,"&lt;"&amp;D1818)+0.5*COUNTIF($D$1567:$D$1818,D1818))/COUNT($D$1567:$D$1818)*100,"")</f>
        <v/>
      </c>
      <c r="H1818" s="10">
        <f>IFERROR(AVERAGE($D$1567:$D$1818),"")</f>
        <v/>
      </c>
      <c r="I1818" s="10" t="n">
        <v>-1.027607018096129</v>
      </c>
      <c r="J1818" t="inlineStr"/>
      <c r="K1818" t="inlineStr"/>
    </row>
    <row r="1819">
      <c r="A1819" s="7" t="inlineStr">
        <is>
          <t>2021-08-11</t>
        </is>
      </c>
      <c r="B1819" s="8">
        <f>IFERROR(VLOOKUP($A1819,'01-原始价格'!$A:$M,2,FALSE),"")</f>
        <v/>
      </c>
      <c r="C1819" s="8">
        <f>IFERROR(VLOOKUP($A1819,'01-原始价格'!$A:$M,8,FALSE),"")</f>
        <v/>
      </c>
      <c r="D1819" s="10">
        <f>IFERROR(B1819/C1819,"")</f>
        <v/>
      </c>
      <c r="E1819" s="10">
        <f>IFERROR(C1819/B1819,"")</f>
        <v/>
      </c>
      <c r="F1819" s="11">
        <f>IFERROR((D1819/D1818-1)*100,"")</f>
        <v/>
      </c>
      <c r="G1819" s="11">
        <f>IFERROR((COUNTIF($D$1568:$D$1819,"&lt;"&amp;D1819)+0.5*COUNTIF($D$1568:$D$1819,D1819))/COUNT($D$1568:$D$1819)*100,"")</f>
        <v/>
      </c>
      <c r="H1819" s="10">
        <f>IFERROR(AVERAGE($D$1568:$D$1819),"")</f>
        <v/>
      </c>
      <c r="I1819" s="10" t="n">
        <v>-0.8097946810878063</v>
      </c>
      <c r="J1819" t="inlineStr"/>
      <c r="K1819" t="inlineStr"/>
    </row>
    <row r="1820">
      <c r="A1820" s="7" t="inlineStr">
        <is>
          <t>2021-08-12</t>
        </is>
      </c>
      <c r="B1820" s="8">
        <f>IFERROR(VLOOKUP($A1820,'01-原始价格'!$A:$M,2,FALSE),"")</f>
        <v/>
      </c>
      <c r="C1820" s="8">
        <f>IFERROR(VLOOKUP($A1820,'01-原始价格'!$A:$M,8,FALSE),"")</f>
        <v/>
      </c>
      <c r="D1820" s="10">
        <f>IFERROR(B1820/C1820,"")</f>
        <v/>
      </c>
      <c r="E1820" s="10">
        <f>IFERROR(C1820/B1820,"")</f>
        <v/>
      </c>
      <c r="F1820" s="11">
        <f>IFERROR((D1820/D1819-1)*100,"")</f>
        <v/>
      </c>
      <c r="G1820" s="11">
        <f>IFERROR((COUNTIF($D$1569:$D$1820,"&lt;"&amp;D1820)+0.5*COUNTIF($D$1569:$D$1820,D1820))/COUNT($D$1569:$D$1820)*100,"")</f>
        <v/>
      </c>
      <c r="H1820" s="10">
        <f>IFERROR(AVERAGE($D$1569:$D$1820),"")</f>
        <v/>
      </c>
      <c r="I1820" s="10" t="n">
        <v>-0.7326163935123148</v>
      </c>
      <c r="J1820" t="inlineStr"/>
      <c r="K1820" t="inlineStr"/>
    </row>
    <row r="1821">
      <c r="A1821" s="7" t="inlineStr">
        <is>
          <t>2021-08-13</t>
        </is>
      </c>
      <c r="B1821" s="8">
        <f>IFERROR(VLOOKUP($A1821,'01-原始价格'!$A:$M,2,FALSE),"")</f>
        <v/>
      </c>
      <c r="C1821" s="8">
        <f>IFERROR(VLOOKUP($A1821,'01-原始价格'!$A:$M,8,FALSE),"")</f>
        <v/>
      </c>
      <c r="D1821" s="10">
        <f>IFERROR(B1821/C1821,"")</f>
        <v/>
      </c>
      <c r="E1821" s="10">
        <f>IFERROR(C1821/B1821,"")</f>
        <v/>
      </c>
      <c r="F1821" s="11">
        <f>IFERROR((D1821/D1820-1)*100,"")</f>
        <v/>
      </c>
      <c r="G1821" s="11">
        <f>IFERROR((COUNTIF($D$1570:$D$1821,"&lt;"&amp;D1821)+0.5*COUNTIF($D$1570:$D$1821,D1821))/COUNT($D$1570:$D$1821)*100,"")</f>
        <v/>
      </c>
      <c r="H1821" s="10">
        <f>IFERROR(AVERAGE($D$1570:$D$1821),"")</f>
        <v/>
      </c>
      <c r="I1821" s="10" t="n">
        <v>-1.235692091067535</v>
      </c>
      <c r="J1821" t="inlineStr"/>
      <c r="K1821" t="inlineStr"/>
    </row>
    <row r="1822">
      <c r="A1822" s="7" t="inlineStr">
        <is>
          <t>2021-08-16</t>
        </is>
      </c>
      <c r="B1822" s="8">
        <f>IFERROR(VLOOKUP($A1822,'01-原始价格'!$A:$M,2,FALSE),"")</f>
        <v/>
      </c>
      <c r="C1822" s="8">
        <f>IFERROR(VLOOKUP($A1822,'01-原始价格'!$A:$M,8,FALSE),"")</f>
        <v/>
      </c>
      <c r="D1822" s="10">
        <f>IFERROR(B1822/C1822,"")</f>
        <v/>
      </c>
      <c r="E1822" s="10">
        <f>IFERROR(C1822/B1822,"")</f>
        <v/>
      </c>
      <c r="F1822" s="11">
        <f>IFERROR((D1822/D1821-1)*100,"")</f>
        <v/>
      </c>
      <c r="G1822" s="11">
        <f>IFERROR((COUNTIF($D$1571:$D$1822,"&lt;"&amp;D1822)+0.5*COUNTIF($D$1571:$D$1822,D1822))/COUNT($D$1571:$D$1822)*100,"")</f>
        <v/>
      </c>
      <c r="H1822" s="10">
        <f>IFERROR(AVERAGE($D$1571:$D$1822),"")</f>
        <v/>
      </c>
      <c r="I1822" s="10" t="n">
        <v>-1.177141208295384</v>
      </c>
      <c r="J1822" t="inlineStr"/>
      <c r="K1822" t="inlineStr"/>
    </row>
    <row r="1823">
      <c r="A1823" s="7" t="inlineStr">
        <is>
          <t>2021-08-17</t>
        </is>
      </c>
      <c r="B1823" s="8">
        <f>IFERROR(VLOOKUP($A1823,'01-原始价格'!$A:$M,2,FALSE),"")</f>
        <v/>
      </c>
      <c r="C1823" s="8">
        <f>IFERROR(VLOOKUP($A1823,'01-原始价格'!$A:$M,8,FALSE),"")</f>
        <v/>
      </c>
      <c r="D1823" s="10">
        <f>IFERROR(B1823/C1823,"")</f>
        <v/>
      </c>
      <c r="E1823" s="10">
        <f>IFERROR(C1823/B1823,"")</f>
        <v/>
      </c>
      <c r="F1823" s="11">
        <f>IFERROR((D1823/D1822-1)*100,"")</f>
        <v/>
      </c>
      <c r="G1823" s="11">
        <f>IFERROR((COUNTIF($D$1572:$D$1823,"&lt;"&amp;D1823)+0.5*COUNTIF($D$1572:$D$1823,D1823))/COUNT($D$1572:$D$1823)*100,"")</f>
        <v/>
      </c>
      <c r="H1823" s="10">
        <f>IFERROR(AVERAGE($D$1572:$D$1823),"")</f>
        <v/>
      </c>
      <c r="I1823" s="10" t="n">
        <v>-1.420684443288094</v>
      </c>
      <c r="J1823" t="inlineStr"/>
      <c r="K1823" t="inlineStr"/>
    </row>
    <row r="1824">
      <c r="A1824" s="7" t="inlineStr">
        <is>
          <t>2021-08-18</t>
        </is>
      </c>
      <c r="B1824" s="8">
        <f>IFERROR(VLOOKUP($A1824,'01-原始价格'!$A:$M,2,FALSE),"")</f>
        <v/>
      </c>
      <c r="C1824" s="8">
        <f>IFERROR(VLOOKUP($A1824,'01-原始价格'!$A:$M,8,FALSE),"")</f>
        <v/>
      </c>
      <c r="D1824" s="10">
        <f>IFERROR(B1824/C1824,"")</f>
        <v/>
      </c>
      <c r="E1824" s="10">
        <f>IFERROR(C1824/B1824,"")</f>
        <v/>
      </c>
      <c r="F1824" s="11">
        <f>IFERROR((D1824/D1823-1)*100,"")</f>
        <v/>
      </c>
      <c r="G1824" s="11">
        <f>IFERROR((COUNTIF($D$1573:$D$1824,"&lt;"&amp;D1824)+0.5*COUNTIF($D$1573:$D$1824,D1824))/COUNT($D$1573:$D$1824)*100,"")</f>
        <v/>
      </c>
      <c r="H1824" s="10">
        <f>IFERROR(AVERAGE($D$1573:$D$1824),"")</f>
        <v/>
      </c>
      <c r="I1824" s="10" t="n">
        <v>-1.245071203889212</v>
      </c>
      <c r="J1824" t="inlineStr"/>
      <c r="K1824" s="12" t="inlineStr">
        <is>
          <t>是</t>
        </is>
      </c>
      <c r="L1824" t="inlineStr">
        <is>
          <t>换月日</t>
        </is>
      </c>
    </row>
    <row r="1825">
      <c r="A1825" s="7" t="inlineStr">
        <is>
          <t>2021-08-19</t>
        </is>
      </c>
      <c r="B1825" s="8">
        <f>IFERROR(VLOOKUP($A1825,'01-原始价格'!$A:$M,2,FALSE),"")</f>
        <v/>
      </c>
      <c r="C1825" s="8">
        <f>IFERROR(VLOOKUP($A1825,'01-原始价格'!$A:$M,8,FALSE),"")</f>
        <v/>
      </c>
      <c r="D1825" s="10">
        <f>IFERROR(B1825/C1825,"")</f>
        <v/>
      </c>
      <c r="E1825" s="10">
        <f>IFERROR(C1825/B1825,"")</f>
        <v/>
      </c>
      <c r="F1825" s="11">
        <f>IFERROR((D1825/D1824-1)*100,"")</f>
        <v/>
      </c>
      <c r="G1825" s="11">
        <f>IFERROR((COUNTIF($D$1574:$D$1825,"&lt;"&amp;D1825)+0.5*COUNTIF($D$1574:$D$1825,D1825))/COUNT($D$1574:$D$1825)*100,"")</f>
        <v/>
      </c>
      <c r="H1825" s="10">
        <f>IFERROR(AVERAGE($D$1574:$D$1825),"")</f>
        <v/>
      </c>
      <c r="I1825" s="10" t="n">
        <v>-0.606469943101794</v>
      </c>
      <c r="J1825" t="inlineStr"/>
      <c r="K1825" t="inlineStr"/>
    </row>
    <row r="1826">
      <c r="A1826" s="7" t="inlineStr">
        <is>
          <t>2021-08-20</t>
        </is>
      </c>
      <c r="B1826" s="8">
        <f>IFERROR(VLOOKUP($A1826,'01-原始价格'!$A:$M,2,FALSE),"")</f>
        <v/>
      </c>
      <c r="C1826" s="8">
        <f>IFERROR(VLOOKUP($A1826,'01-原始价格'!$A:$M,8,FALSE),"")</f>
        <v/>
      </c>
      <c r="D1826" s="10">
        <f>IFERROR(B1826/C1826,"")</f>
        <v/>
      </c>
      <c r="E1826" s="10">
        <f>IFERROR(C1826/B1826,"")</f>
        <v/>
      </c>
      <c r="F1826" s="11">
        <f>IFERROR((D1826/D1825-1)*100,"")</f>
        <v/>
      </c>
      <c r="G1826" s="11">
        <f>IFERROR((COUNTIF($D$1575:$D$1826,"&lt;"&amp;D1826)+0.5*COUNTIF($D$1575:$D$1826,D1826))/COUNT($D$1575:$D$1826)*100,"")</f>
        <v/>
      </c>
      <c r="H1826" s="10">
        <f>IFERROR(AVERAGE($D$1575:$D$1826),"")</f>
        <v/>
      </c>
      <c r="I1826" s="10" t="n">
        <v>-1.587185505521096</v>
      </c>
      <c r="J1826" t="inlineStr"/>
      <c r="K1826" s="12" t="inlineStr">
        <is>
          <t>是</t>
        </is>
      </c>
      <c r="L1826" t="inlineStr">
        <is>
          <t>换月日</t>
        </is>
      </c>
    </row>
    <row r="1827">
      <c r="A1827" s="7" t="inlineStr">
        <is>
          <t>2021-08-23</t>
        </is>
      </c>
      <c r="B1827" s="8">
        <f>IFERROR(VLOOKUP($A1827,'01-原始价格'!$A:$M,2,FALSE),"")</f>
        <v/>
      </c>
      <c r="C1827" s="8">
        <f>IFERROR(VLOOKUP($A1827,'01-原始价格'!$A:$M,8,FALSE),"")</f>
        <v/>
      </c>
      <c r="D1827" s="10">
        <f>IFERROR(B1827/C1827,"")</f>
        <v/>
      </c>
      <c r="E1827" s="10">
        <f>IFERROR(C1827/B1827,"")</f>
        <v/>
      </c>
      <c r="F1827" s="11">
        <f>IFERROR((D1827/D1826-1)*100,"")</f>
        <v/>
      </c>
      <c r="G1827" s="11">
        <f>IFERROR((COUNTIF($D$1576:$D$1827,"&lt;"&amp;D1827)+0.5*COUNTIF($D$1576:$D$1827,D1827))/COUNT($D$1576:$D$1827)*100,"")</f>
        <v/>
      </c>
      <c r="H1827" s="10">
        <f>IFERROR(AVERAGE($D$1576:$D$1827),"")</f>
        <v/>
      </c>
      <c r="I1827" s="10" t="n">
        <v>-1.470354829384365</v>
      </c>
      <c r="J1827" t="inlineStr"/>
      <c r="K1827" t="inlineStr"/>
    </row>
    <row r="1828">
      <c r="A1828" s="7" t="inlineStr">
        <is>
          <t>2021-08-24</t>
        </is>
      </c>
      <c r="B1828" s="8">
        <f>IFERROR(VLOOKUP($A1828,'01-原始价格'!$A:$M,2,FALSE),"")</f>
        <v/>
      </c>
      <c r="C1828" s="8">
        <f>IFERROR(VLOOKUP($A1828,'01-原始价格'!$A:$M,8,FALSE),"")</f>
        <v/>
      </c>
      <c r="D1828" s="10">
        <f>IFERROR(B1828/C1828,"")</f>
        <v/>
      </c>
      <c r="E1828" s="10">
        <f>IFERROR(C1828/B1828,"")</f>
        <v/>
      </c>
      <c r="F1828" s="11">
        <f>IFERROR((D1828/D1827-1)*100,"")</f>
        <v/>
      </c>
      <c r="G1828" s="11">
        <f>IFERROR((COUNTIF($D$1577:$D$1828,"&lt;"&amp;D1828)+0.5*COUNTIF($D$1577:$D$1828,D1828))/COUNT($D$1577:$D$1828)*100,"")</f>
        <v/>
      </c>
      <c r="H1828" s="10">
        <f>IFERROR(AVERAGE($D$1577:$D$1828),"")</f>
        <v/>
      </c>
      <c r="I1828" s="10" t="n">
        <v>-1.774486683152135</v>
      </c>
      <c r="J1828" t="inlineStr"/>
      <c r="K1828" t="inlineStr"/>
    </row>
    <row r="1829">
      <c r="A1829" s="7" t="inlineStr">
        <is>
          <t>2021-08-25</t>
        </is>
      </c>
      <c r="B1829" s="8">
        <f>IFERROR(VLOOKUP($A1829,'01-原始价格'!$A:$M,2,FALSE),"")</f>
        <v/>
      </c>
      <c r="C1829" s="8">
        <f>IFERROR(VLOOKUP($A1829,'01-原始价格'!$A:$M,8,FALSE),"")</f>
        <v/>
      </c>
      <c r="D1829" s="10">
        <f>IFERROR(B1829/C1829,"")</f>
        <v/>
      </c>
      <c r="E1829" s="10">
        <f>IFERROR(C1829/B1829,"")</f>
        <v/>
      </c>
      <c r="F1829" s="11">
        <f>IFERROR((D1829/D1828-1)*100,"")</f>
        <v/>
      </c>
      <c r="G1829" s="11">
        <f>IFERROR((COUNTIF($D$1578:$D$1829,"&lt;"&amp;D1829)+0.5*COUNTIF($D$1578:$D$1829,D1829))/COUNT($D$1578:$D$1829)*100,"")</f>
        <v/>
      </c>
      <c r="H1829" s="10">
        <f>IFERROR(AVERAGE($D$1578:$D$1829),"")</f>
        <v/>
      </c>
      <c r="I1829" s="10" t="n">
        <v>-1.865176022341005</v>
      </c>
      <c r="J1829" t="inlineStr"/>
      <c r="K1829" t="inlineStr"/>
    </row>
    <row r="1830">
      <c r="A1830" s="7" t="inlineStr">
        <is>
          <t>2021-08-26</t>
        </is>
      </c>
      <c r="B1830" s="8">
        <f>IFERROR(VLOOKUP($A1830,'01-原始价格'!$A:$M,2,FALSE),"")</f>
        <v/>
      </c>
      <c r="C1830" s="8">
        <f>IFERROR(VLOOKUP($A1830,'01-原始价格'!$A:$M,8,FALSE),"")</f>
        <v/>
      </c>
      <c r="D1830" s="10">
        <f>IFERROR(B1830/C1830,"")</f>
        <v/>
      </c>
      <c r="E1830" s="10">
        <f>IFERROR(C1830/B1830,"")</f>
        <v/>
      </c>
      <c r="F1830" s="11">
        <f>IFERROR((D1830/D1829-1)*100,"")</f>
        <v/>
      </c>
      <c r="G1830" s="11">
        <f>IFERROR((COUNTIF($D$1579:$D$1830,"&lt;"&amp;D1830)+0.5*COUNTIF($D$1579:$D$1830,D1830))/COUNT($D$1579:$D$1830)*100,"")</f>
        <v/>
      </c>
      <c r="H1830" s="10">
        <f>IFERROR(AVERAGE($D$1579:$D$1830),"")</f>
        <v/>
      </c>
      <c r="I1830" s="10" t="n">
        <v>-2.187902925285187</v>
      </c>
      <c r="J1830" t="inlineStr"/>
      <c r="K1830" t="inlineStr"/>
    </row>
    <row r="1831">
      <c r="A1831" s="7" t="inlineStr">
        <is>
          <t>2021-08-27</t>
        </is>
      </c>
      <c r="B1831" s="8">
        <f>IFERROR(VLOOKUP($A1831,'01-原始价格'!$A:$M,2,FALSE),"")</f>
        <v/>
      </c>
      <c r="C1831" s="8">
        <f>IFERROR(VLOOKUP($A1831,'01-原始价格'!$A:$M,8,FALSE),"")</f>
        <v/>
      </c>
      <c r="D1831" s="10">
        <f>IFERROR(B1831/C1831,"")</f>
        <v/>
      </c>
      <c r="E1831" s="10">
        <f>IFERROR(C1831/B1831,"")</f>
        <v/>
      </c>
      <c r="F1831" s="11">
        <f>IFERROR((D1831/D1830-1)*100,"")</f>
        <v/>
      </c>
      <c r="G1831" s="11">
        <f>IFERROR((COUNTIF($D$1580:$D$1831,"&lt;"&amp;D1831)+0.5*COUNTIF($D$1580:$D$1831,D1831))/COUNT($D$1580:$D$1831)*100,"")</f>
        <v/>
      </c>
      <c r="H1831" s="10">
        <f>IFERROR(AVERAGE($D$1580:$D$1831),"")</f>
        <v/>
      </c>
      <c r="I1831" s="10" t="n">
        <v>-2.028727876702354</v>
      </c>
      <c r="J1831" t="inlineStr"/>
      <c r="K1831" t="inlineStr"/>
    </row>
    <row r="1832">
      <c r="A1832" s="7" t="inlineStr">
        <is>
          <t>2021-08-30</t>
        </is>
      </c>
      <c r="B1832" s="8">
        <f>IFERROR(VLOOKUP($A1832,'01-原始价格'!$A:$M,2,FALSE),"")</f>
        <v/>
      </c>
      <c r="C1832" s="8">
        <f>IFERROR(VLOOKUP($A1832,'01-原始价格'!$A:$M,8,FALSE),"")</f>
        <v/>
      </c>
      <c r="D1832" s="10">
        <f>IFERROR(B1832/C1832,"")</f>
        <v/>
      </c>
      <c r="E1832" s="10">
        <f>IFERROR(C1832/B1832,"")</f>
        <v/>
      </c>
      <c r="F1832" s="11">
        <f>IFERROR((D1832/D1831-1)*100,"")</f>
        <v/>
      </c>
      <c r="G1832" s="11">
        <f>IFERROR((COUNTIF($D$1581:$D$1832,"&lt;"&amp;D1832)+0.5*COUNTIF($D$1581:$D$1832,D1832))/COUNT($D$1581:$D$1832)*100,"")</f>
        <v/>
      </c>
      <c r="H1832" s="10">
        <f>IFERROR(AVERAGE($D$1581:$D$1832),"")</f>
        <v/>
      </c>
      <c r="I1832" s="10" t="n">
        <v>-2.34647908605942</v>
      </c>
      <c r="J1832" t="inlineStr"/>
      <c r="K1832" t="inlineStr"/>
    </row>
    <row r="1833">
      <c r="A1833" s="7" t="inlineStr">
        <is>
          <t>2021-08-31</t>
        </is>
      </c>
      <c r="B1833" s="8">
        <f>IFERROR(VLOOKUP($A1833,'01-原始价格'!$A:$M,2,FALSE),"")</f>
        <v/>
      </c>
      <c r="C1833" s="8">
        <f>IFERROR(VLOOKUP($A1833,'01-原始价格'!$A:$M,8,FALSE),"")</f>
        <v/>
      </c>
      <c r="D1833" s="10">
        <f>IFERROR(B1833/C1833,"")</f>
        <v/>
      </c>
      <c r="E1833" s="10">
        <f>IFERROR(C1833/B1833,"")</f>
        <v/>
      </c>
      <c r="F1833" s="11">
        <f>IFERROR((D1833/D1832-1)*100,"")</f>
        <v/>
      </c>
      <c r="G1833" s="11">
        <f>IFERROR((COUNTIF($D$1582:$D$1833,"&lt;"&amp;D1833)+0.5*COUNTIF($D$1582:$D$1833,D1833))/COUNT($D$1582:$D$1833)*100,"")</f>
        <v/>
      </c>
      <c r="H1833" s="10">
        <f>IFERROR(AVERAGE($D$1582:$D$1833),"")</f>
        <v/>
      </c>
      <c r="I1833" s="10" t="n">
        <v>-1.665424724063903</v>
      </c>
      <c r="J1833" t="inlineStr"/>
      <c r="K1833" t="inlineStr"/>
    </row>
    <row r="1834">
      <c r="A1834" s="7" t="inlineStr">
        <is>
          <t>2021-09-01</t>
        </is>
      </c>
      <c r="B1834" s="8">
        <f>IFERROR(VLOOKUP($A1834,'01-原始价格'!$A:$M,2,FALSE),"")</f>
        <v/>
      </c>
      <c r="C1834" s="8">
        <f>IFERROR(VLOOKUP($A1834,'01-原始价格'!$A:$M,8,FALSE),"")</f>
        <v/>
      </c>
      <c r="D1834" s="10">
        <f>IFERROR(B1834/C1834,"")</f>
        <v/>
      </c>
      <c r="E1834" s="10">
        <f>IFERROR(C1834/B1834,"")</f>
        <v/>
      </c>
      <c r="F1834" s="11">
        <f>IFERROR((D1834/D1833-1)*100,"")</f>
        <v/>
      </c>
      <c r="G1834" s="11">
        <f>IFERROR((COUNTIF($D$1583:$D$1834,"&lt;"&amp;D1834)+0.5*COUNTIF($D$1583:$D$1834,D1834))/COUNT($D$1583:$D$1834)*100,"")</f>
        <v/>
      </c>
      <c r="H1834" s="10">
        <f>IFERROR(AVERAGE($D$1583:$D$1834),"")</f>
        <v/>
      </c>
      <c r="I1834" s="10" t="n">
        <v>-1.585523905057453</v>
      </c>
      <c r="J1834" t="inlineStr"/>
      <c r="K1834" t="inlineStr"/>
    </row>
    <row r="1835">
      <c r="A1835" s="7" t="inlineStr">
        <is>
          <t>2021-09-02</t>
        </is>
      </c>
      <c r="B1835" s="8">
        <f>IFERROR(VLOOKUP($A1835,'01-原始价格'!$A:$M,2,FALSE),"")</f>
        <v/>
      </c>
      <c r="C1835" s="8">
        <f>IFERROR(VLOOKUP($A1835,'01-原始价格'!$A:$M,8,FALSE),"")</f>
        <v/>
      </c>
      <c r="D1835" s="10">
        <f>IFERROR(B1835/C1835,"")</f>
        <v/>
      </c>
      <c r="E1835" s="10">
        <f>IFERROR(C1835/B1835,"")</f>
        <v/>
      </c>
      <c r="F1835" s="11">
        <f>IFERROR((D1835/D1834-1)*100,"")</f>
        <v/>
      </c>
      <c r="G1835" s="11">
        <f>IFERROR((COUNTIF($D$1584:$D$1835,"&lt;"&amp;D1835)+0.5*COUNTIF($D$1584:$D$1835,D1835))/COUNT($D$1584:$D$1835)*100,"")</f>
        <v/>
      </c>
      <c r="H1835" s="10">
        <f>IFERROR(AVERAGE($D$1584:$D$1835),"")</f>
        <v/>
      </c>
      <c r="I1835" s="10" t="n">
        <v>-1.870410669931593</v>
      </c>
      <c r="J1835" t="inlineStr"/>
      <c r="K1835" t="inlineStr"/>
    </row>
    <row r="1836">
      <c r="A1836" s="7" t="inlineStr">
        <is>
          <t>2021-09-03</t>
        </is>
      </c>
      <c r="B1836" s="8">
        <f>IFERROR(VLOOKUP($A1836,'01-原始价格'!$A:$M,2,FALSE),"")</f>
        <v/>
      </c>
      <c r="C1836" s="8">
        <f>IFERROR(VLOOKUP($A1836,'01-原始价格'!$A:$M,8,FALSE),"")</f>
        <v/>
      </c>
      <c r="D1836" s="10">
        <f>IFERROR(B1836/C1836,"")</f>
        <v/>
      </c>
      <c r="E1836" s="10">
        <f>IFERROR(C1836/B1836,"")</f>
        <v/>
      </c>
      <c r="F1836" s="11">
        <f>IFERROR((D1836/D1835-1)*100,"")</f>
        <v/>
      </c>
      <c r="G1836" s="11">
        <f>IFERROR((COUNTIF($D$1585:$D$1836,"&lt;"&amp;D1836)+0.5*COUNTIF($D$1585:$D$1836,D1836))/COUNT($D$1585:$D$1836)*100,"")</f>
        <v/>
      </c>
      <c r="H1836" s="10">
        <f>IFERROR(AVERAGE($D$1585:$D$1836),"")</f>
        <v/>
      </c>
      <c r="I1836" s="10" t="n">
        <v>-2.028572185170633</v>
      </c>
      <c r="J1836" t="inlineStr"/>
      <c r="K1836" t="inlineStr"/>
    </row>
    <row r="1837">
      <c r="A1837" s="7" t="inlineStr">
        <is>
          <t>2021-09-06</t>
        </is>
      </c>
      <c r="B1837" s="8">
        <f>IFERROR(VLOOKUP($A1837,'01-原始价格'!$A:$M,2,FALSE),"")</f>
        <v/>
      </c>
      <c r="C1837" s="8">
        <f>IFERROR(VLOOKUP($A1837,'01-原始价格'!$A:$M,8,FALSE),"")</f>
        <v/>
      </c>
      <c r="D1837" s="10">
        <f>IFERROR(B1837/C1837,"")</f>
        <v/>
      </c>
      <c r="E1837" s="10">
        <f>IFERROR(C1837/B1837,"")</f>
        <v/>
      </c>
      <c r="F1837" s="11">
        <f>IFERROR((D1837/D1836-1)*100,"")</f>
        <v/>
      </c>
      <c r="G1837" s="11">
        <f>IFERROR((COUNTIF($D$1586:$D$1837,"&lt;"&amp;D1837)+0.5*COUNTIF($D$1586:$D$1837,D1837))/COUNT($D$1586:$D$1837)*100,"")</f>
        <v/>
      </c>
      <c r="H1837" s="10">
        <f>IFERROR(AVERAGE($D$1586:$D$1837),"")</f>
        <v/>
      </c>
      <c r="I1837" s="10" t="n">
        <v>-1.854976134334343</v>
      </c>
      <c r="J1837" t="inlineStr"/>
      <c r="K1837" t="inlineStr"/>
    </row>
    <row r="1838">
      <c r="A1838" s="7" t="inlineStr">
        <is>
          <t>2021-09-07</t>
        </is>
      </c>
      <c r="B1838" s="8">
        <f>IFERROR(VLOOKUP($A1838,'01-原始价格'!$A:$M,2,FALSE),"")</f>
        <v/>
      </c>
      <c r="C1838" s="8">
        <f>IFERROR(VLOOKUP($A1838,'01-原始价格'!$A:$M,8,FALSE),"")</f>
        <v/>
      </c>
      <c r="D1838" s="10">
        <f>IFERROR(B1838/C1838,"")</f>
        <v/>
      </c>
      <c r="E1838" s="10">
        <f>IFERROR(C1838/B1838,"")</f>
        <v/>
      </c>
      <c r="F1838" s="11">
        <f>IFERROR((D1838/D1837-1)*100,"")</f>
        <v/>
      </c>
      <c r="G1838" s="11">
        <f>IFERROR((COUNTIF($D$1587:$D$1838,"&lt;"&amp;D1838)+0.5*COUNTIF($D$1587:$D$1838,D1838))/COUNT($D$1587:$D$1838)*100,"")</f>
        <v/>
      </c>
      <c r="H1838" s="10">
        <f>IFERROR(AVERAGE($D$1587:$D$1838),"")</f>
        <v/>
      </c>
      <c r="I1838" s="10" t="n">
        <v>-1.742348211520396</v>
      </c>
      <c r="J1838" t="inlineStr"/>
      <c r="K1838" t="inlineStr"/>
    </row>
    <row r="1839">
      <c r="A1839" s="7" t="inlineStr">
        <is>
          <t>2021-09-08</t>
        </is>
      </c>
      <c r="B1839" s="8">
        <f>IFERROR(VLOOKUP($A1839,'01-原始价格'!$A:$M,2,FALSE),"")</f>
        <v/>
      </c>
      <c r="C1839" s="8">
        <f>IFERROR(VLOOKUP($A1839,'01-原始价格'!$A:$M,8,FALSE),"")</f>
        <v/>
      </c>
      <c r="D1839" s="10">
        <f>IFERROR(B1839/C1839,"")</f>
        <v/>
      </c>
      <c r="E1839" s="10">
        <f>IFERROR(C1839/B1839,"")</f>
        <v/>
      </c>
      <c r="F1839" s="11">
        <f>IFERROR((D1839/D1838-1)*100,"")</f>
        <v/>
      </c>
      <c r="G1839" s="11">
        <f>IFERROR((COUNTIF($D$1588:$D$1839,"&lt;"&amp;D1839)+0.5*COUNTIF($D$1588:$D$1839,D1839))/COUNT($D$1588:$D$1839)*100,"")</f>
        <v/>
      </c>
      <c r="H1839" s="10">
        <f>IFERROR(AVERAGE($D$1588:$D$1839),"")</f>
        <v/>
      </c>
      <c r="I1839" s="10" t="n">
        <v>-1.891529076630317</v>
      </c>
      <c r="J1839" t="inlineStr"/>
      <c r="K1839" t="inlineStr"/>
    </row>
    <row r="1840">
      <c r="A1840" s="7" t="inlineStr">
        <is>
          <t>2021-09-09</t>
        </is>
      </c>
      <c r="B1840" s="8">
        <f>IFERROR(VLOOKUP($A1840,'01-原始价格'!$A:$M,2,FALSE),"")</f>
        <v/>
      </c>
      <c r="C1840" s="8">
        <f>IFERROR(VLOOKUP($A1840,'01-原始价格'!$A:$M,8,FALSE),"")</f>
        <v/>
      </c>
      <c r="D1840" s="10">
        <f>IFERROR(B1840/C1840,"")</f>
        <v/>
      </c>
      <c r="E1840" s="10">
        <f>IFERROR(C1840/B1840,"")</f>
        <v/>
      </c>
      <c r="F1840" s="11">
        <f>IFERROR((D1840/D1839-1)*100,"")</f>
        <v/>
      </c>
      <c r="G1840" s="11">
        <f>IFERROR((COUNTIF($D$1589:$D$1840,"&lt;"&amp;D1840)+0.5*COUNTIF($D$1589:$D$1840,D1840))/COUNT($D$1589:$D$1840)*100,"")</f>
        <v/>
      </c>
      <c r="H1840" s="10">
        <f>IFERROR(AVERAGE($D$1589:$D$1840),"")</f>
        <v/>
      </c>
      <c r="I1840" s="10" t="n">
        <v>-1.76387093233956</v>
      </c>
      <c r="J1840" t="inlineStr"/>
      <c r="K1840" t="inlineStr"/>
    </row>
    <row r="1841">
      <c r="A1841" s="7" t="inlineStr">
        <is>
          <t>2021-09-10</t>
        </is>
      </c>
      <c r="B1841" s="8">
        <f>IFERROR(VLOOKUP($A1841,'01-原始价格'!$A:$M,2,FALSE),"")</f>
        <v/>
      </c>
      <c r="C1841" s="8">
        <f>IFERROR(VLOOKUP($A1841,'01-原始价格'!$A:$M,8,FALSE),"")</f>
        <v/>
      </c>
      <c r="D1841" s="10">
        <f>IFERROR(B1841/C1841,"")</f>
        <v/>
      </c>
      <c r="E1841" s="10">
        <f>IFERROR(C1841/B1841,"")</f>
        <v/>
      </c>
      <c r="F1841" s="11">
        <f>IFERROR((D1841/D1840-1)*100,"")</f>
        <v/>
      </c>
      <c r="G1841" s="11">
        <f>IFERROR((COUNTIF($D$1590:$D$1841,"&lt;"&amp;D1841)+0.5*COUNTIF($D$1590:$D$1841,D1841))/COUNT($D$1590:$D$1841)*100,"")</f>
        <v/>
      </c>
      <c r="H1841" s="10">
        <f>IFERROR(AVERAGE($D$1590:$D$1841),"")</f>
        <v/>
      </c>
      <c r="I1841" s="10" t="n">
        <v>-1.841342131803089</v>
      </c>
      <c r="J1841" t="inlineStr"/>
      <c r="K1841" t="inlineStr"/>
    </row>
    <row r="1842">
      <c r="A1842" s="7" t="inlineStr">
        <is>
          <t>2021-09-13</t>
        </is>
      </c>
      <c r="B1842" s="8">
        <f>IFERROR(VLOOKUP($A1842,'01-原始价格'!$A:$M,2,FALSE),"")</f>
        <v/>
      </c>
      <c r="C1842" s="8">
        <f>IFERROR(VLOOKUP($A1842,'01-原始价格'!$A:$M,8,FALSE),"")</f>
        <v/>
      </c>
      <c r="D1842" s="10">
        <f>IFERROR(B1842/C1842,"")</f>
        <v/>
      </c>
      <c r="E1842" s="10">
        <f>IFERROR(C1842/B1842,"")</f>
        <v/>
      </c>
      <c r="F1842" s="11">
        <f>IFERROR((D1842/D1841-1)*100,"")</f>
        <v/>
      </c>
      <c r="G1842" s="11">
        <f>IFERROR((COUNTIF($D$1591:$D$1842,"&lt;"&amp;D1842)+0.5*COUNTIF($D$1591:$D$1842,D1842))/COUNT($D$1591:$D$1842)*100,"")</f>
        <v/>
      </c>
      <c r="H1842" s="10">
        <f>IFERROR(AVERAGE($D$1591:$D$1842),"")</f>
        <v/>
      </c>
      <c r="I1842" s="10" t="n">
        <v>-1.639308183848922</v>
      </c>
      <c r="J1842" t="inlineStr"/>
      <c r="K1842" t="inlineStr"/>
    </row>
    <row r="1843">
      <c r="A1843" s="7" t="inlineStr">
        <is>
          <t>2021-09-14</t>
        </is>
      </c>
      <c r="B1843" s="8">
        <f>IFERROR(VLOOKUP($A1843,'01-原始价格'!$A:$M,2,FALSE),"")</f>
        <v/>
      </c>
      <c r="C1843" s="8">
        <f>IFERROR(VLOOKUP($A1843,'01-原始价格'!$A:$M,8,FALSE),"")</f>
        <v/>
      </c>
      <c r="D1843" s="10">
        <f>IFERROR(B1843/C1843,"")</f>
        <v/>
      </c>
      <c r="E1843" s="10">
        <f>IFERROR(C1843/B1843,"")</f>
        <v/>
      </c>
      <c r="F1843" s="11">
        <f>IFERROR((D1843/D1842-1)*100,"")</f>
        <v/>
      </c>
      <c r="G1843" s="11">
        <f>IFERROR((COUNTIF($D$1592:$D$1843,"&lt;"&amp;D1843)+0.5*COUNTIF($D$1592:$D$1843,D1843))/COUNT($D$1592:$D$1843)*100,"")</f>
        <v/>
      </c>
      <c r="H1843" s="10">
        <f>IFERROR(AVERAGE($D$1592:$D$1843),"")</f>
        <v/>
      </c>
      <c r="I1843" s="10" t="n">
        <v>-1.550881003331563</v>
      </c>
      <c r="J1843" t="inlineStr"/>
      <c r="K1843" t="inlineStr"/>
    </row>
    <row r="1844">
      <c r="A1844" s="7" t="inlineStr">
        <is>
          <t>2021-09-15</t>
        </is>
      </c>
      <c r="B1844" s="8">
        <f>IFERROR(VLOOKUP($A1844,'01-原始价格'!$A:$M,2,FALSE),"")</f>
        <v/>
      </c>
      <c r="C1844" s="8">
        <f>IFERROR(VLOOKUP($A1844,'01-原始价格'!$A:$M,8,FALSE),"")</f>
        <v/>
      </c>
      <c r="D1844" s="10">
        <f>IFERROR(B1844/C1844,"")</f>
        <v/>
      </c>
      <c r="E1844" s="10">
        <f>IFERROR(C1844/B1844,"")</f>
        <v/>
      </c>
      <c r="F1844" s="11">
        <f>IFERROR((D1844/D1843-1)*100,"")</f>
        <v/>
      </c>
      <c r="G1844" s="11">
        <f>IFERROR((COUNTIF($D$1593:$D$1844,"&lt;"&amp;D1844)+0.5*COUNTIF($D$1593:$D$1844,D1844))/COUNT($D$1593:$D$1844)*100,"")</f>
        <v/>
      </c>
      <c r="H1844" s="10">
        <f>IFERROR(AVERAGE($D$1593:$D$1844),"")</f>
        <v/>
      </c>
      <c r="I1844" s="10" t="n">
        <v>-1.354638291272873</v>
      </c>
      <c r="J1844" t="inlineStr"/>
      <c r="K1844" t="inlineStr"/>
    </row>
    <row r="1845">
      <c r="A1845" s="7" t="inlineStr">
        <is>
          <t>2021-09-16</t>
        </is>
      </c>
      <c r="B1845" s="8">
        <f>IFERROR(VLOOKUP($A1845,'01-原始价格'!$A:$M,2,FALSE),"")</f>
        <v/>
      </c>
      <c r="C1845" s="8">
        <f>IFERROR(VLOOKUP($A1845,'01-原始价格'!$A:$M,8,FALSE),"")</f>
        <v/>
      </c>
      <c r="D1845" s="10">
        <f>IFERROR(B1845/C1845,"")</f>
        <v/>
      </c>
      <c r="E1845" s="10">
        <f>IFERROR(C1845/B1845,"")</f>
        <v/>
      </c>
      <c r="F1845" s="11">
        <f>IFERROR((D1845/D1844-1)*100,"")</f>
        <v/>
      </c>
      <c r="G1845" s="11">
        <f>IFERROR((COUNTIF($D$1594:$D$1845,"&lt;"&amp;D1845)+0.5*COUNTIF($D$1594:$D$1845,D1845))/COUNT($D$1594:$D$1845)*100,"")</f>
        <v/>
      </c>
      <c r="H1845" s="10">
        <f>IFERROR(AVERAGE($D$1594:$D$1845),"")</f>
        <v/>
      </c>
      <c r="I1845" s="10" t="n">
        <v>-1.233515812906593</v>
      </c>
      <c r="J1845" t="inlineStr"/>
      <c r="K1845" t="inlineStr"/>
    </row>
    <row r="1846">
      <c r="A1846" s="7" t="inlineStr">
        <is>
          <t>2021-09-17</t>
        </is>
      </c>
      <c r="B1846" s="8">
        <f>IFERROR(VLOOKUP($A1846,'01-原始价格'!$A:$M,2,FALSE),"")</f>
        <v/>
      </c>
      <c r="C1846" s="8">
        <f>IFERROR(VLOOKUP($A1846,'01-原始价格'!$A:$M,8,FALSE),"")</f>
        <v/>
      </c>
      <c r="D1846" s="10">
        <f>IFERROR(B1846/C1846,"")</f>
        <v/>
      </c>
      <c r="E1846" s="10">
        <f>IFERROR(C1846/B1846,"")</f>
        <v/>
      </c>
      <c r="F1846" s="11">
        <f>IFERROR((D1846/D1845-1)*100,"")</f>
        <v/>
      </c>
      <c r="G1846" s="11">
        <f>IFERROR((COUNTIF($D$1595:$D$1846,"&lt;"&amp;D1846)+0.5*COUNTIF($D$1595:$D$1846,D1846))/COUNT($D$1595:$D$1846)*100,"")</f>
        <v/>
      </c>
      <c r="H1846" s="10">
        <f>IFERROR(AVERAGE($D$1595:$D$1846),"")</f>
        <v/>
      </c>
      <c r="I1846" s="10" t="n">
        <v>-0.9495144650161373</v>
      </c>
      <c r="J1846" t="inlineStr"/>
      <c r="K1846" t="inlineStr"/>
    </row>
    <row r="1847">
      <c r="A1847" s="7" t="inlineStr">
        <is>
          <t>2021-09-22</t>
        </is>
      </c>
      <c r="B1847" s="8">
        <f>IFERROR(VLOOKUP($A1847,'01-原始价格'!$A:$M,2,FALSE),"")</f>
        <v/>
      </c>
      <c r="C1847" s="8">
        <f>IFERROR(VLOOKUP($A1847,'01-原始价格'!$A:$M,8,FALSE),"")</f>
        <v/>
      </c>
      <c r="D1847" s="10">
        <f>IFERROR(B1847/C1847,"")</f>
        <v/>
      </c>
      <c r="E1847" s="10">
        <f>IFERROR(C1847/B1847,"")</f>
        <v/>
      </c>
      <c r="F1847" s="11">
        <f>IFERROR((D1847/D1846-1)*100,"")</f>
        <v/>
      </c>
      <c r="G1847" s="11">
        <f>IFERROR((COUNTIF($D$1596:$D$1847,"&lt;"&amp;D1847)+0.5*COUNTIF($D$1596:$D$1847,D1847))/COUNT($D$1596:$D$1847)*100,"")</f>
        <v/>
      </c>
      <c r="H1847" s="10">
        <f>IFERROR(AVERAGE($D$1596:$D$1847),"")</f>
        <v/>
      </c>
      <c r="I1847" s="10" t="n">
        <v>-0.3344152607981443</v>
      </c>
      <c r="J1847" t="inlineStr"/>
      <c r="K1847" t="inlineStr"/>
    </row>
    <row r="1848">
      <c r="A1848" s="7" t="inlineStr">
        <is>
          <t>2021-09-23</t>
        </is>
      </c>
      <c r="B1848" s="8">
        <f>IFERROR(VLOOKUP($A1848,'01-原始价格'!$A:$M,2,FALSE),"")</f>
        <v/>
      </c>
      <c r="C1848" s="8">
        <f>IFERROR(VLOOKUP($A1848,'01-原始价格'!$A:$M,8,FALSE),"")</f>
        <v/>
      </c>
      <c r="D1848" s="10">
        <f>IFERROR(B1848/C1848,"")</f>
        <v/>
      </c>
      <c r="E1848" s="10">
        <f>IFERROR(C1848/B1848,"")</f>
        <v/>
      </c>
      <c r="F1848" s="11">
        <f>IFERROR((D1848/D1847-1)*100,"")</f>
        <v/>
      </c>
      <c r="G1848" s="11">
        <f>IFERROR((COUNTIF($D$1597:$D$1848,"&lt;"&amp;D1848)+0.5*COUNTIF($D$1597:$D$1848,D1848))/COUNT($D$1597:$D$1848)*100,"")</f>
        <v/>
      </c>
      <c r="H1848" s="10">
        <f>IFERROR(AVERAGE($D$1597:$D$1848),"")</f>
        <v/>
      </c>
      <c r="I1848" s="10" t="n">
        <v>0.5643241133645189</v>
      </c>
      <c r="J1848" t="inlineStr"/>
      <c r="K1848" t="inlineStr"/>
    </row>
    <row r="1849">
      <c r="A1849" s="7" t="inlineStr">
        <is>
          <t>2021-09-24</t>
        </is>
      </c>
      <c r="B1849" s="8">
        <f>IFERROR(VLOOKUP($A1849,'01-原始价格'!$A:$M,2,FALSE),"")</f>
        <v/>
      </c>
      <c r="C1849" s="8">
        <f>IFERROR(VLOOKUP($A1849,'01-原始价格'!$A:$M,8,FALSE),"")</f>
        <v/>
      </c>
      <c r="D1849" s="10">
        <f>IFERROR(B1849/C1849,"")</f>
        <v/>
      </c>
      <c r="E1849" s="10">
        <f>IFERROR(C1849/B1849,"")</f>
        <v/>
      </c>
      <c r="F1849" s="11">
        <f>IFERROR((D1849/D1848-1)*100,"")</f>
        <v/>
      </c>
      <c r="G1849" s="11">
        <f>IFERROR((COUNTIF($D$1598:$D$1849,"&lt;"&amp;D1849)+0.5*COUNTIF($D$1598:$D$1849,D1849))/COUNT($D$1598:$D$1849)*100,"")</f>
        <v/>
      </c>
      <c r="H1849" s="10">
        <f>IFERROR(AVERAGE($D$1598:$D$1849),"")</f>
        <v/>
      </c>
      <c r="I1849" s="10" t="n">
        <v>-0.2230812059871969</v>
      </c>
      <c r="J1849" t="inlineStr"/>
      <c r="K1849" t="inlineStr"/>
    </row>
    <row r="1850">
      <c r="A1850" s="7" t="inlineStr">
        <is>
          <t>2021-09-27</t>
        </is>
      </c>
      <c r="B1850" s="8">
        <f>IFERROR(VLOOKUP($A1850,'01-原始价格'!$A:$M,2,FALSE),"")</f>
        <v/>
      </c>
      <c r="C1850" s="8">
        <f>IFERROR(VLOOKUP($A1850,'01-原始价格'!$A:$M,8,FALSE),"")</f>
        <v/>
      </c>
      <c r="D1850" s="10">
        <f>IFERROR(B1850/C1850,"")</f>
        <v/>
      </c>
      <c r="E1850" s="10">
        <f>IFERROR(C1850/B1850,"")</f>
        <v/>
      </c>
      <c r="F1850" s="11">
        <f>IFERROR((D1850/D1849-1)*100,"")</f>
        <v/>
      </c>
      <c r="G1850" s="11">
        <f>IFERROR((COUNTIF($D$1599:$D$1850,"&lt;"&amp;D1850)+0.5*COUNTIF($D$1599:$D$1850,D1850))/COUNT($D$1599:$D$1850)*100,"")</f>
        <v/>
      </c>
      <c r="H1850" s="10">
        <f>IFERROR(AVERAGE($D$1599:$D$1850),"")</f>
        <v/>
      </c>
      <c r="I1850" s="10" t="n">
        <v>-0.2274451743206962</v>
      </c>
      <c r="J1850" t="inlineStr"/>
      <c r="K1850" t="inlineStr"/>
    </row>
    <row r="1851">
      <c r="A1851" s="7" t="inlineStr">
        <is>
          <t>2021-09-28</t>
        </is>
      </c>
      <c r="B1851" s="8">
        <f>IFERROR(VLOOKUP($A1851,'01-原始价格'!$A:$M,2,FALSE),"")</f>
        <v/>
      </c>
      <c r="C1851" s="8">
        <f>IFERROR(VLOOKUP($A1851,'01-原始价格'!$A:$M,8,FALSE),"")</f>
        <v/>
      </c>
      <c r="D1851" s="10">
        <f>IFERROR(B1851/C1851,"")</f>
        <v/>
      </c>
      <c r="E1851" s="10">
        <f>IFERROR(C1851/B1851,"")</f>
        <v/>
      </c>
      <c r="F1851" s="11">
        <f>IFERROR((D1851/D1850-1)*100,"")</f>
        <v/>
      </c>
      <c r="G1851" s="11">
        <f>IFERROR((COUNTIF($D$1600:$D$1851,"&lt;"&amp;D1851)+0.5*COUNTIF($D$1600:$D$1851,D1851))/COUNT($D$1600:$D$1851)*100,"")</f>
        <v/>
      </c>
      <c r="H1851" s="10">
        <f>IFERROR(AVERAGE($D$1600:$D$1851),"")</f>
        <v/>
      </c>
      <c r="I1851" s="10" t="n">
        <v>0.09644536107202771</v>
      </c>
      <c r="J1851" t="inlineStr"/>
      <c r="K1851" t="inlineStr"/>
    </row>
    <row r="1852">
      <c r="A1852" s="7" t="inlineStr">
        <is>
          <t>2021-09-29</t>
        </is>
      </c>
      <c r="B1852" s="8">
        <f>IFERROR(VLOOKUP($A1852,'01-原始价格'!$A:$M,2,FALSE),"")</f>
        <v/>
      </c>
      <c r="C1852" s="8">
        <f>IFERROR(VLOOKUP($A1852,'01-原始价格'!$A:$M,8,FALSE),"")</f>
        <v/>
      </c>
      <c r="D1852" s="10">
        <f>IFERROR(B1852/C1852,"")</f>
        <v/>
      </c>
      <c r="E1852" s="10">
        <f>IFERROR(C1852/B1852,"")</f>
        <v/>
      </c>
      <c r="F1852" s="11">
        <f>IFERROR((D1852/D1851-1)*100,"")</f>
        <v/>
      </c>
      <c r="G1852" s="11">
        <f>IFERROR((COUNTIF($D$1601:$D$1852,"&lt;"&amp;D1852)+0.5*COUNTIF($D$1601:$D$1852,D1852))/COUNT($D$1601:$D$1852)*100,"")</f>
        <v/>
      </c>
      <c r="H1852" s="10">
        <f>IFERROR(AVERAGE($D$1601:$D$1852),"")</f>
        <v/>
      </c>
      <c r="I1852" s="10" t="n">
        <v>0.06167581478506133</v>
      </c>
      <c r="J1852" t="inlineStr"/>
      <c r="K1852" t="inlineStr"/>
    </row>
    <row r="1853">
      <c r="A1853" s="7" t="inlineStr">
        <is>
          <t>2021-09-30</t>
        </is>
      </c>
      <c r="B1853" s="8">
        <f>IFERROR(VLOOKUP($A1853,'01-原始价格'!$A:$M,2,FALSE),"")</f>
        <v/>
      </c>
      <c r="C1853" s="8">
        <f>IFERROR(VLOOKUP($A1853,'01-原始价格'!$A:$M,8,FALSE),"")</f>
        <v/>
      </c>
      <c r="D1853" s="10">
        <f>IFERROR(B1853/C1853,"")</f>
        <v/>
      </c>
      <c r="E1853" s="10">
        <f>IFERROR(C1853/B1853,"")</f>
        <v/>
      </c>
      <c r="F1853" s="11">
        <f>IFERROR((D1853/D1852-1)*100,"")</f>
        <v/>
      </c>
      <c r="G1853" s="11">
        <f>IFERROR((COUNTIF($D$1602:$D$1853,"&lt;"&amp;D1853)+0.5*COUNTIF($D$1602:$D$1853,D1853))/COUNT($D$1602:$D$1853)*100,"")</f>
        <v/>
      </c>
      <c r="H1853" s="10">
        <f>IFERROR(AVERAGE($D$1602:$D$1853),"")</f>
        <v/>
      </c>
      <c r="I1853" s="10" t="n">
        <v>-0.479326638367513</v>
      </c>
      <c r="J1853" t="inlineStr"/>
      <c r="K1853" t="inlineStr"/>
    </row>
    <row r="1854">
      <c r="A1854" s="7" t="inlineStr">
        <is>
          <t>2021-10-08</t>
        </is>
      </c>
      <c r="B1854" s="8">
        <f>IFERROR(VLOOKUP($A1854,'01-原始价格'!$A:$M,2,FALSE),"")</f>
        <v/>
      </c>
      <c r="C1854" s="8">
        <f>IFERROR(VLOOKUP($A1854,'01-原始价格'!$A:$M,8,FALSE),"")</f>
        <v/>
      </c>
      <c r="D1854" s="10">
        <f>IFERROR(B1854/C1854,"")</f>
        <v/>
      </c>
      <c r="E1854" s="10">
        <f>IFERROR(C1854/B1854,"")</f>
        <v/>
      </c>
      <c r="F1854" s="11">
        <f>IFERROR((D1854/D1853-1)*100,"")</f>
        <v/>
      </c>
      <c r="G1854" s="11">
        <f>IFERROR((COUNTIF($D$1603:$D$1854,"&lt;"&amp;D1854)+0.5*COUNTIF($D$1603:$D$1854,D1854))/COUNT($D$1603:$D$1854)*100,"")</f>
        <v/>
      </c>
      <c r="H1854" s="10">
        <f>IFERROR(AVERAGE($D$1603:$D$1854),"")</f>
        <v/>
      </c>
      <c r="I1854" s="10" t="n">
        <v>-0.4084539322216125</v>
      </c>
      <c r="J1854" t="inlineStr"/>
      <c r="K1854" t="inlineStr"/>
    </row>
    <row r="1855">
      <c r="A1855" s="7" t="inlineStr">
        <is>
          <t>2021-10-11</t>
        </is>
      </c>
      <c r="B1855" s="8">
        <f>IFERROR(VLOOKUP($A1855,'01-原始价格'!$A:$M,2,FALSE),"")</f>
        <v/>
      </c>
      <c r="C1855" s="8">
        <f>IFERROR(VLOOKUP($A1855,'01-原始价格'!$A:$M,8,FALSE),"")</f>
        <v/>
      </c>
      <c r="D1855" s="10">
        <f>IFERROR(B1855/C1855,"")</f>
        <v/>
      </c>
      <c r="E1855" s="10">
        <f>IFERROR(C1855/B1855,"")</f>
        <v/>
      </c>
      <c r="F1855" s="11">
        <f>IFERROR((D1855/D1854-1)*100,"")</f>
        <v/>
      </c>
      <c r="G1855" s="11">
        <f>IFERROR((COUNTIF($D$1604:$D$1855,"&lt;"&amp;D1855)+0.5*COUNTIF($D$1604:$D$1855,D1855))/COUNT($D$1604:$D$1855)*100,"")</f>
        <v/>
      </c>
      <c r="H1855" s="10">
        <f>IFERROR(AVERAGE($D$1604:$D$1855),"")</f>
        <v/>
      </c>
      <c r="I1855" s="10" t="n">
        <v>-0.2428906446794734</v>
      </c>
      <c r="J1855" t="inlineStr"/>
      <c r="K1855" t="inlineStr"/>
    </row>
    <row r="1856">
      <c r="A1856" s="7" t="inlineStr">
        <is>
          <t>2021-10-12</t>
        </is>
      </c>
      <c r="B1856" s="8">
        <f>IFERROR(VLOOKUP($A1856,'01-原始价格'!$A:$M,2,FALSE),"")</f>
        <v/>
      </c>
      <c r="C1856" s="8">
        <f>IFERROR(VLOOKUP($A1856,'01-原始价格'!$A:$M,8,FALSE),"")</f>
        <v/>
      </c>
      <c r="D1856" s="10">
        <f>IFERROR(B1856/C1856,"")</f>
        <v/>
      </c>
      <c r="E1856" s="10">
        <f>IFERROR(C1856/B1856,"")</f>
        <v/>
      </c>
      <c r="F1856" s="11">
        <f>IFERROR((D1856/D1855-1)*100,"")</f>
        <v/>
      </c>
      <c r="G1856" s="11">
        <f>IFERROR((COUNTIF($D$1605:$D$1856,"&lt;"&amp;D1856)+0.5*COUNTIF($D$1605:$D$1856,D1856))/COUNT($D$1605:$D$1856)*100,"")</f>
        <v/>
      </c>
      <c r="H1856" s="10">
        <f>IFERROR(AVERAGE($D$1605:$D$1856),"")</f>
        <v/>
      </c>
      <c r="I1856" s="10" t="n">
        <v>-0.7251971281397992</v>
      </c>
      <c r="J1856" t="inlineStr"/>
      <c r="K1856" t="inlineStr"/>
    </row>
    <row r="1857">
      <c r="A1857" s="7" t="inlineStr">
        <is>
          <t>2021-10-13</t>
        </is>
      </c>
      <c r="B1857" s="8">
        <f>IFERROR(VLOOKUP($A1857,'01-原始价格'!$A:$M,2,FALSE),"")</f>
        <v/>
      </c>
      <c r="C1857" s="8">
        <f>IFERROR(VLOOKUP($A1857,'01-原始价格'!$A:$M,8,FALSE),"")</f>
        <v/>
      </c>
      <c r="D1857" s="10">
        <f>IFERROR(B1857/C1857,"")</f>
        <v/>
      </c>
      <c r="E1857" s="10">
        <f>IFERROR(C1857/B1857,"")</f>
        <v/>
      </c>
      <c r="F1857" s="11">
        <f>IFERROR((D1857/D1856-1)*100,"")</f>
        <v/>
      </c>
      <c r="G1857" s="11">
        <f>IFERROR((COUNTIF($D$1606:$D$1857,"&lt;"&amp;D1857)+0.5*COUNTIF($D$1606:$D$1857,D1857))/COUNT($D$1606:$D$1857)*100,"")</f>
        <v/>
      </c>
      <c r="H1857" s="10">
        <f>IFERROR(AVERAGE($D$1606:$D$1857),"")</f>
        <v/>
      </c>
      <c r="I1857" s="10" t="n">
        <v>-0.6015938106396844</v>
      </c>
      <c r="J1857" t="inlineStr"/>
      <c r="K1857" t="inlineStr"/>
    </row>
    <row r="1858">
      <c r="A1858" s="7" t="inlineStr">
        <is>
          <t>2021-10-14</t>
        </is>
      </c>
      <c r="B1858" s="8">
        <f>IFERROR(VLOOKUP($A1858,'01-原始价格'!$A:$M,2,FALSE),"")</f>
        <v/>
      </c>
      <c r="C1858" s="8">
        <f>IFERROR(VLOOKUP($A1858,'01-原始价格'!$A:$M,8,FALSE),"")</f>
        <v/>
      </c>
      <c r="D1858" s="10">
        <f>IFERROR(B1858/C1858,"")</f>
        <v/>
      </c>
      <c r="E1858" s="10">
        <f>IFERROR(C1858/B1858,"")</f>
        <v/>
      </c>
      <c r="F1858" s="11">
        <f>IFERROR((D1858/D1857-1)*100,"")</f>
        <v/>
      </c>
      <c r="G1858" s="11">
        <f>IFERROR((COUNTIF($D$1607:$D$1858,"&lt;"&amp;D1858)+0.5*COUNTIF($D$1607:$D$1858,D1858))/COUNT($D$1607:$D$1858)*100,"")</f>
        <v/>
      </c>
      <c r="H1858" s="10">
        <f>IFERROR(AVERAGE($D$1607:$D$1858),"")</f>
        <v/>
      </c>
      <c r="I1858" s="10" t="n">
        <v>-0.6979446915132966</v>
      </c>
      <c r="J1858" t="inlineStr"/>
      <c r="K1858" t="inlineStr"/>
    </row>
    <row r="1859">
      <c r="A1859" s="7" t="inlineStr">
        <is>
          <t>2021-10-15</t>
        </is>
      </c>
      <c r="B1859" s="8">
        <f>IFERROR(VLOOKUP($A1859,'01-原始价格'!$A:$M,2,FALSE),"")</f>
        <v/>
      </c>
      <c r="C1859" s="8">
        <f>IFERROR(VLOOKUP($A1859,'01-原始价格'!$A:$M,8,FALSE),"")</f>
        <v/>
      </c>
      <c r="D1859" s="10">
        <f>IFERROR(B1859/C1859,"")</f>
        <v/>
      </c>
      <c r="E1859" s="10">
        <f>IFERROR(C1859/B1859,"")</f>
        <v/>
      </c>
      <c r="F1859" s="11">
        <f>IFERROR((D1859/D1858-1)*100,"")</f>
        <v/>
      </c>
      <c r="G1859" s="11">
        <f>IFERROR((COUNTIF($D$1608:$D$1859,"&lt;"&amp;D1859)+0.5*COUNTIF($D$1608:$D$1859,D1859))/COUNT($D$1608:$D$1859)*100,"")</f>
        <v/>
      </c>
      <c r="H1859" s="10">
        <f>IFERROR(AVERAGE($D$1608:$D$1859),"")</f>
        <v/>
      </c>
      <c r="I1859" s="10" t="n">
        <v>-0.6065818339170396</v>
      </c>
      <c r="J1859" t="inlineStr"/>
      <c r="K1859" t="inlineStr"/>
    </row>
    <row r="1860">
      <c r="A1860" s="7" t="inlineStr">
        <is>
          <t>2021-10-18</t>
        </is>
      </c>
      <c r="B1860" s="8">
        <f>IFERROR(VLOOKUP($A1860,'01-原始价格'!$A:$M,2,FALSE),"")</f>
        <v/>
      </c>
      <c r="C1860" s="8">
        <f>IFERROR(VLOOKUP($A1860,'01-原始价格'!$A:$M,8,FALSE),"")</f>
        <v/>
      </c>
      <c r="D1860" s="10">
        <f>IFERROR(B1860/C1860,"")</f>
        <v/>
      </c>
      <c r="E1860" s="10">
        <f>IFERROR(C1860/B1860,"")</f>
        <v/>
      </c>
      <c r="F1860" s="11">
        <f>IFERROR((D1860/D1859-1)*100,"")</f>
        <v/>
      </c>
      <c r="G1860" s="11">
        <f>IFERROR((COUNTIF($D$1609:$D$1860,"&lt;"&amp;D1860)+0.5*COUNTIF($D$1609:$D$1860,D1860))/COUNT($D$1609:$D$1860)*100,"")</f>
        <v/>
      </c>
      <c r="H1860" s="10">
        <f>IFERROR(AVERAGE($D$1609:$D$1860),"")</f>
        <v/>
      </c>
      <c r="I1860" s="10" t="n">
        <v>-1.144265129118144</v>
      </c>
      <c r="J1860" t="inlineStr"/>
      <c r="K1860" t="inlineStr"/>
    </row>
    <row r="1861">
      <c r="A1861" s="7" t="inlineStr">
        <is>
          <t>2021-10-19</t>
        </is>
      </c>
      <c r="B1861" s="8">
        <f>IFERROR(VLOOKUP($A1861,'01-原始价格'!$A:$M,2,FALSE),"")</f>
        <v/>
      </c>
      <c r="C1861" s="8">
        <f>IFERROR(VLOOKUP($A1861,'01-原始价格'!$A:$M,8,FALSE),"")</f>
        <v/>
      </c>
      <c r="D1861" s="10">
        <f>IFERROR(B1861/C1861,"")</f>
        <v/>
      </c>
      <c r="E1861" s="10">
        <f>IFERROR(C1861/B1861,"")</f>
        <v/>
      </c>
      <c r="F1861" s="11">
        <f>IFERROR((D1861/D1860-1)*100,"")</f>
        <v/>
      </c>
      <c r="G1861" s="11">
        <f>IFERROR((COUNTIF($D$1610:$D$1861,"&lt;"&amp;D1861)+0.5*COUNTIF($D$1610:$D$1861,D1861))/COUNT($D$1610:$D$1861)*100,"")</f>
        <v/>
      </c>
      <c r="H1861" s="10">
        <f>IFERROR(AVERAGE($D$1610:$D$1861),"")</f>
        <v/>
      </c>
      <c r="I1861" s="10" t="n">
        <v>-1.143375522345158</v>
      </c>
      <c r="J1861" t="inlineStr"/>
      <c r="K1861" t="inlineStr"/>
    </row>
    <row r="1862">
      <c r="A1862" s="7" t="inlineStr">
        <is>
          <t>2021-10-20</t>
        </is>
      </c>
      <c r="B1862" s="8">
        <f>IFERROR(VLOOKUP($A1862,'01-原始价格'!$A:$M,2,FALSE),"")</f>
        <v/>
      </c>
      <c r="C1862" s="8">
        <f>IFERROR(VLOOKUP($A1862,'01-原始价格'!$A:$M,8,FALSE),"")</f>
        <v/>
      </c>
      <c r="D1862" s="10">
        <f>IFERROR(B1862/C1862,"")</f>
        <v/>
      </c>
      <c r="E1862" s="10">
        <f>IFERROR(C1862/B1862,"")</f>
        <v/>
      </c>
      <c r="F1862" s="11">
        <f>IFERROR((D1862/D1861-1)*100,"")</f>
        <v/>
      </c>
      <c r="G1862" s="11">
        <f>IFERROR((COUNTIF($D$1611:$D$1862,"&lt;"&amp;D1862)+0.5*COUNTIF($D$1611:$D$1862,D1862))/COUNT($D$1611:$D$1862)*100,"")</f>
        <v/>
      </c>
      <c r="H1862" s="10">
        <f>IFERROR(AVERAGE($D$1611:$D$1862),"")</f>
        <v/>
      </c>
      <c r="I1862" s="10" t="n">
        <v>-1.361185762946813</v>
      </c>
      <c r="J1862" t="inlineStr"/>
      <c r="K1862" t="inlineStr"/>
    </row>
    <row r="1863">
      <c r="A1863" s="7" t="inlineStr">
        <is>
          <t>2021-10-21</t>
        </is>
      </c>
      <c r="B1863" s="8">
        <f>IFERROR(VLOOKUP($A1863,'01-原始价格'!$A:$M,2,FALSE),"")</f>
        <v/>
      </c>
      <c r="C1863" s="8">
        <f>IFERROR(VLOOKUP($A1863,'01-原始价格'!$A:$M,8,FALSE),"")</f>
        <v/>
      </c>
      <c r="D1863" s="10">
        <f>IFERROR(B1863/C1863,"")</f>
        <v/>
      </c>
      <c r="E1863" s="10">
        <f>IFERROR(C1863/B1863,"")</f>
        <v/>
      </c>
      <c r="F1863" s="11">
        <f>IFERROR((D1863/D1862-1)*100,"")</f>
        <v/>
      </c>
      <c r="G1863" s="11">
        <f>IFERROR((COUNTIF($D$1612:$D$1863,"&lt;"&amp;D1863)+0.5*COUNTIF($D$1612:$D$1863,D1863))/COUNT($D$1612:$D$1863)*100,"")</f>
        <v/>
      </c>
      <c r="H1863" s="10">
        <f>IFERROR(AVERAGE($D$1612:$D$1863),"")</f>
        <v/>
      </c>
      <c r="I1863" s="10" t="n">
        <v>-1.418349543807747</v>
      </c>
      <c r="J1863" t="inlineStr"/>
      <c r="K1863" t="inlineStr"/>
    </row>
    <row r="1864">
      <c r="A1864" s="7" t="inlineStr">
        <is>
          <t>2021-10-22</t>
        </is>
      </c>
      <c r="B1864" s="8">
        <f>IFERROR(VLOOKUP($A1864,'01-原始价格'!$A:$M,2,FALSE),"")</f>
        <v/>
      </c>
      <c r="C1864" s="8">
        <f>IFERROR(VLOOKUP($A1864,'01-原始价格'!$A:$M,8,FALSE),"")</f>
        <v/>
      </c>
      <c r="D1864" s="10">
        <f>IFERROR(B1864/C1864,"")</f>
        <v/>
      </c>
      <c r="E1864" s="10">
        <f>IFERROR(C1864/B1864,"")</f>
        <v/>
      </c>
      <c r="F1864" s="11">
        <f>IFERROR((D1864/D1863-1)*100,"")</f>
        <v/>
      </c>
      <c r="G1864" s="11">
        <f>IFERROR((COUNTIF($D$1613:$D$1864,"&lt;"&amp;D1864)+0.5*COUNTIF($D$1613:$D$1864,D1864))/COUNT($D$1613:$D$1864)*100,"")</f>
        <v/>
      </c>
      <c r="H1864" s="10">
        <f>IFERROR(AVERAGE($D$1613:$D$1864),"")</f>
        <v/>
      </c>
      <c r="I1864" s="10" t="n">
        <v>-1.760008414381861</v>
      </c>
      <c r="J1864" t="inlineStr"/>
      <c r="K1864" t="inlineStr"/>
    </row>
    <row r="1865">
      <c r="A1865" s="7" t="inlineStr">
        <is>
          <t>2021-10-25</t>
        </is>
      </c>
      <c r="B1865" s="8">
        <f>IFERROR(VLOOKUP($A1865,'01-原始价格'!$A:$M,2,FALSE),"")</f>
        <v/>
      </c>
      <c r="C1865" s="8">
        <f>IFERROR(VLOOKUP($A1865,'01-原始价格'!$A:$M,8,FALSE),"")</f>
        <v/>
      </c>
      <c r="D1865" s="10">
        <f>IFERROR(B1865/C1865,"")</f>
        <v/>
      </c>
      <c r="E1865" s="10">
        <f>IFERROR(C1865/B1865,"")</f>
        <v/>
      </c>
      <c r="F1865" s="11">
        <f>IFERROR((D1865/D1864-1)*100,"")</f>
        <v/>
      </c>
      <c r="G1865" s="11">
        <f>IFERROR((COUNTIF($D$1614:$D$1865,"&lt;"&amp;D1865)+0.5*COUNTIF($D$1614:$D$1865,D1865))/COUNT($D$1614:$D$1865)*100,"")</f>
        <v/>
      </c>
      <c r="H1865" s="10">
        <f>IFERROR(AVERAGE($D$1614:$D$1865),"")</f>
        <v/>
      </c>
      <c r="I1865" s="10" t="n">
        <v>-2.122402390743604</v>
      </c>
      <c r="J1865" t="inlineStr"/>
      <c r="K1865" t="inlineStr"/>
    </row>
    <row r="1866">
      <c r="A1866" s="7" t="inlineStr">
        <is>
          <t>2021-10-26</t>
        </is>
      </c>
      <c r="B1866" s="8">
        <f>IFERROR(VLOOKUP($A1866,'01-原始价格'!$A:$M,2,FALSE),"")</f>
        <v/>
      </c>
      <c r="C1866" s="8">
        <f>IFERROR(VLOOKUP($A1866,'01-原始价格'!$A:$M,8,FALSE),"")</f>
        <v/>
      </c>
      <c r="D1866" s="10">
        <f>IFERROR(B1866/C1866,"")</f>
        <v/>
      </c>
      <c r="E1866" s="10">
        <f>IFERROR(C1866/B1866,"")</f>
        <v/>
      </c>
      <c r="F1866" s="11">
        <f>IFERROR((D1866/D1865-1)*100,"")</f>
        <v/>
      </c>
      <c r="G1866" s="11">
        <f>IFERROR((COUNTIF($D$1615:$D$1866,"&lt;"&amp;D1866)+0.5*COUNTIF($D$1615:$D$1866,D1866))/COUNT($D$1615:$D$1866)*100,"")</f>
        <v/>
      </c>
      <c r="H1866" s="10">
        <f>IFERROR(AVERAGE($D$1615:$D$1866),"")</f>
        <v/>
      </c>
      <c r="I1866" s="10" t="n">
        <v>-1.883934642780192</v>
      </c>
      <c r="J1866" t="inlineStr"/>
      <c r="K1866" t="inlineStr"/>
    </row>
    <row r="1867">
      <c r="A1867" s="7" t="inlineStr">
        <is>
          <t>2021-10-27</t>
        </is>
      </c>
      <c r="B1867" s="8">
        <f>IFERROR(VLOOKUP($A1867,'01-原始价格'!$A:$M,2,FALSE),"")</f>
        <v/>
      </c>
      <c r="C1867" s="8">
        <f>IFERROR(VLOOKUP($A1867,'01-原始价格'!$A:$M,8,FALSE),"")</f>
        <v/>
      </c>
      <c r="D1867" s="10">
        <f>IFERROR(B1867/C1867,"")</f>
        <v/>
      </c>
      <c r="E1867" s="10">
        <f>IFERROR(C1867/B1867,"")</f>
        <v/>
      </c>
      <c r="F1867" s="11">
        <f>IFERROR((D1867/D1866-1)*100,"")</f>
        <v/>
      </c>
      <c r="G1867" s="11">
        <f>IFERROR((COUNTIF($D$1616:$D$1867,"&lt;"&amp;D1867)+0.5*COUNTIF($D$1616:$D$1867,D1867))/COUNT($D$1616:$D$1867)*100,"")</f>
        <v/>
      </c>
      <c r="H1867" s="10">
        <f>IFERROR(AVERAGE($D$1616:$D$1867),"")</f>
        <v/>
      </c>
      <c r="I1867" s="10" t="n">
        <v>-1.795166301791597</v>
      </c>
      <c r="J1867" t="inlineStr"/>
      <c r="K1867" t="inlineStr"/>
    </row>
    <row r="1868">
      <c r="A1868" s="7" t="inlineStr">
        <is>
          <t>2021-10-28</t>
        </is>
      </c>
      <c r="B1868" s="8">
        <f>IFERROR(VLOOKUP($A1868,'01-原始价格'!$A:$M,2,FALSE),"")</f>
        <v/>
      </c>
      <c r="C1868" s="8">
        <f>IFERROR(VLOOKUP($A1868,'01-原始价格'!$A:$M,8,FALSE),"")</f>
        <v/>
      </c>
      <c r="D1868" s="10">
        <f>IFERROR(B1868/C1868,"")</f>
        <v/>
      </c>
      <c r="E1868" s="10">
        <f>IFERROR(C1868/B1868,"")</f>
        <v/>
      </c>
      <c r="F1868" s="11">
        <f>IFERROR((D1868/D1867-1)*100,"")</f>
        <v/>
      </c>
      <c r="G1868" s="11">
        <f>IFERROR((COUNTIF($D$1617:$D$1868,"&lt;"&amp;D1868)+0.5*COUNTIF($D$1617:$D$1868,D1868))/COUNT($D$1617:$D$1868)*100,"")</f>
        <v/>
      </c>
      <c r="H1868" s="10">
        <f>IFERROR(AVERAGE($D$1617:$D$1868),"")</f>
        <v/>
      </c>
      <c r="I1868" s="10" t="n">
        <v>-1.523315356437356</v>
      </c>
      <c r="J1868" t="inlineStr"/>
      <c r="K1868" t="inlineStr"/>
    </row>
    <row r="1869">
      <c r="A1869" s="7" t="inlineStr">
        <is>
          <t>2021-10-29</t>
        </is>
      </c>
      <c r="B1869" s="8">
        <f>IFERROR(VLOOKUP($A1869,'01-原始价格'!$A:$M,2,FALSE),"")</f>
        <v/>
      </c>
      <c r="C1869" s="8">
        <f>IFERROR(VLOOKUP($A1869,'01-原始价格'!$A:$M,8,FALSE),"")</f>
        <v/>
      </c>
      <c r="D1869" s="10">
        <f>IFERROR(B1869/C1869,"")</f>
        <v/>
      </c>
      <c r="E1869" s="10">
        <f>IFERROR(C1869/B1869,"")</f>
        <v/>
      </c>
      <c r="F1869" s="11">
        <f>IFERROR((D1869/D1868-1)*100,"")</f>
        <v/>
      </c>
      <c r="G1869" s="11">
        <f>IFERROR((COUNTIF($D$1618:$D$1869,"&lt;"&amp;D1869)+0.5*COUNTIF($D$1618:$D$1869,D1869))/COUNT($D$1618:$D$1869)*100,"")</f>
        <v/>
      </c>
      <c r="H1869" s="10">
        <f>IFERROR(AVERAGE($D$1618:$D$1869),"")</f>
        <v/>
      </c>
      <c r="I1869" s="10" t="n">
        <v>-1.443801523053812</v>
      </c>
      <c r="J1869" t="inlineStr"/>
      <c r="K1869" t="inlineStr"/>
    </row>
    <row r="1870">
      <c r="A1870" s="7" t="inlineStr">
        <is>
          <t>2021-11-01</t>
        </is>
      </c>
      <c r="B1870" s="8">
        <f>IFERROR(VLOOKUP($A1870,'01-原始价格'!$A:$M,2,FALSE),"")</f>
        <v/>
      </c>
      <c r="C1870" s="8">
        <f>IFERROR(VLOOKUP($A1870,'01-原始价格'!$A:$M,8,FALSE),"")</f>
        <v/>
      </c>
      <c r="D1870" s="10">
        <f>IFERROR(B1870/C1870,"")</f>
        <v/>
      </c>
      <c r="E1870" s="10">
        <f>IFERROR(C1870/B1870,"")</f>
        <v/>
      </c>
      <c r="F1870" s="11">
        <f>IFERROR((D1870/D1869-1)*100,"")</f>
        <v/>
      </c>
      <c r="G1870" s="11">
        <f>IFERROR((COUNTIF($D$1619:$D$1870,"&lt;"&amp;D1870)+0.5*COUNTIF($D$1619:$D$1870,D1870))/COUNT($D$1619:$D$1870)*100,"")</f>
        <v/>
      </c>
      <c r="H1870" s="10">
        <f>IFERROR(AVERAGE($D$1619:$D$1870),"")</f>
        <v/>
      </c>
      <c r="I1870" s="10" t="n">
        <v>-1.647861590555151</v>
      </c>
      <c r="J1870" t="inlineStr"/>
      <c r="K1870" t="inlineStr"/>
    </row>
    <row r="1871">
      <c r="A1871" s="7" t="inlineStr">
        <is>
          <t>2021-11-02</t>
        </is>
      </c>
      <c r="B1871" s="8">
        <f>IFERROR(VLOOKUP($A1871,'01-原始价格'!$A:$M,2,FALSE),"")</f>
        <v/>
      </c>
      <c r="C1871" s="8">
        <f>IFERROR(VLOOKUP($A1871,'01-原始价格'!$A:$M,8,FALSE),"")</f>
        <v/>
      </c>
      <c r="D1871" s="10">
        <f>IFERROR(B1871/C1871,"")</f>
        <v/>
      </c>
      <c r="E1871" s="10">
        <f>IFERROR(C1871/B1871,"")</f>
        <v/>
      </c>
      <c r="F1871" s="11">
        <f>IFERROR((D1871/D1870-1)*100,"")</f>
        <v/>
      </c>
      <c r="G1871" s="11">
        <f>IFERROR((COUNTIF($D$1620:$D$1871,"&lt;"&amp;D1871)+0.5*COUNTIF($D$1620:$D$1871,D1871))/COUNT($D$1620:$D$1871)*100,"")</f>
        <v/>
      </c>
      <c r="H1871" s="10">
        <f>IFERROR(AVERAGE($D$1620:$D$1871),"")</f>
        <v/>
      </c>
      <c r="I1871" s="10" t="n">
        <v>-1.507332657773368</v>
      </c>
      <c r="J1871" t="inlineStr"/>
      <c r="K1871" t="inlineStr"/>
    </row>
    <row r="1872">
      <c r="A1872" s="7" t="inlineStr">
        <is>
          <t>2021-11-03</t>
        </is>
      </c>
      <c r="B1872" s="8">
        <f>IFERROR(VLOOKUP($A1872,'01-原始价格'!$A:$M,2,FALSE),"")</f>
        <v/>
      </c>
      <c r="C1872" s="8">
        <f>IFERROR(VLOOKUP($A1872,'01-原始价格'!$A:$M,8,FALSE),"")</f>
        <v/>
      </c>
      <c r="D1872" s="10">
        <f>IFERROR(B1872/C1872,"")</f>
        <v/>
      </c>
      <c r="E1872" s="10">
        <f>IFERROR(C1872/B1872,"")</f>
        <v/>
      </c>
      <c r="F1872" s="11">
        <f>IFERROR((D1872/D1871-1)*100,"")</f>
        <v/>
      </c>
      <c r="G1872" s="11">
        <f>IFERROR((COUNTIF($D$1621:$D$1872,"&lt;"&amp;D1872)+0.5*COUNTIF($D$1621:$D$1872,D1872))/COUNT($D$1621:$D$1872)*100,"")</f>
        <v/>
      </c>
      <c r="H1872" s="10">
        <f>IFERROR(AVERAGE($D$1621:$D$1872),"")</f>
        <v/>
      </c>
      <c r="I1872" s="10" t="n">
        <v>-1.352192061171499</v>
      </c>
      <c r="J1872" t="inlineStr"/>
      <c r="K1872" t="inlineStr"/>
    </row>
    <row r="1873">
      <c r="A1873" s="7" t="inlineStr">
        <is>
          <t>2021-11-04</t>
        </is>
      </c>
      <c r="B1873" s="8">
        <f>IFERROR(VLOOKUP($A1873,'01-原始价格'!$A:$M,2,FALSE),"")</f>
        <v/>
      </c>
      <c r="C1873" s="8">
        <f>IFERROR(VLOOKUP($A1873,'01-原始价格'!$A:$M,8,FALSE),"")</f>
        <v/>
      </c>
      <c r="D1873" s="10">
        <f>IFERROR(B1873/C1873,"")</f>
        <v/>
      </c>
      <c r="E1873" s="10">
        <f>IFERROR(C1873/B1873,"")</f>
        <v/>
      </c>
      <c r="F1873" s="11">
        <f>IFERROR((D1873/D1872-1)*100,"")</f>
        <v/>
      </c>
      <c r="G1873" s="11">
        <f>IFERROR((COUNTIF($D$1622:$D$1873,"&lt;"&amp;D1873)+0.5*COUNTIF($D$1622:$D$1873,D1873))/COUNT($D$1622:$D$1873)*100,"")</f>
        <v/>
      </c>
      <c r="H1873" s="10">
        <f>IFERROR(AVERAGE($D$1622:$D$1873),"")</f>
        <v/>
      </c>
      <c r="I1873" s="10" t="n">
        <v>-1.689228552299171</v>
      </c>
      <c r="J1873" t="inlineStr"/>
      <c r="K1873" t="inlineStr"/>
    </row>
    <row r="1874">
      <c r="A1874" s="7" t="inlineStr">
        <is>
          <t>2021-11-05</t>
        </is>
      </c>
      <c r="B1874" s="8">
        <f>IFERROR(VLOOKUP($A1874,'01-原始价格'!$A:$M,2,FALSE),"")</f>
        <v/>
      </c>
      <c r="C1874" s="8">
        <f>IFERROR(VLOOKUP($A1874,'01-原始价格'!$A:$M,8,FALSE),"")</f>
        <v/>
      </c>
      <c r="D1874" s="10">
        <f>IFERROR(B1874/C1874,"")</f>
        <v/>
      </c>
      <c r="E1874" s="10">
        <f>IFERROR(C1874/B1874,"")</f>
        <v/>
      </c>
      <c r="F1874" s="11">
        <f>IFERROR((D1874/D1873-1)*100,"")</f>
        <v/>
      </c>
      <c r="G1874" s="11">
        <f>IFERROR((COUNTIF($D$1623:$D$1874,"&lt;"&amp;D1874)+0.5*COUNTIF($D$1623:$D$1874,D1874))/COUNT($D$1623:$D$1874)*100,"")</f>
        <v/>
      </c>
      <c r="H1874" s="10">
        <f>IFERROR(AVERAGE($D$1623:$D$1874),"")</f>
        <v/>
      </c>
      <c r="I1874" s="10" t="n">
        <v>-2.086753563643335</v>
      </c>
      <c r="J1874" t="inlineStr"/>
      <c r="K1874" t="inlineStr"/>
    </row>
    <row r="1875">
      <c r="A1875" s="7" t="inlineStr">
        <is>
          <t>2021-11-08</t>
        </is>
      </c>
      <c r="B1875" s="8">
        <f>IFERROR(VLOOKUP($A1875,'01-原始价格'!$A:$M,2,FALSE),"")</f>
        <v/>
      </c>
      <c r="C1875" s="8">
        <f>IFERROR(VLOOKUP($A1875,'01-原始价格'!$A:$M,8,FALSE),"")</f>
        <v/>
      </c>
      <c r="D1875" s="10">
        <f>IFERROR(B1875/C1875,"")</f>
        <v/>
      </c>
      <c r="E1875" s="10">
        <f>IFERROR(C1875/B1875,"")</f>
        <v/>
      </c>
      <c r="F1875" s="11">
        <f>IFERROR((D1875/D1874-1)*100,"")</f>
        <v/>
      </c>
      <c r="G1875" s="11">
        <f>IFERROR((COUNTIF($D$1624:$D$1875,"&lt;"&amp;D1875)+0.5*COUNTIF($D$1624:$D$1875,D1875))/COUNT($D$1624:$D$1875)*100,"")</f>
        <v/>
      </c>
      <c r="H1875" s="10">
        <f>IFERROR(AVERAGE($D$1624:$D$1875),"")</f>
        <v/>
      </c>
      <c r="I1875" s="10" t="n">
        <v>-2.139497477017563</v>
      </c>
      <c r="J1875" t="inlineStr"/>
      <c r="K1875" t="inlineStr"/>
    </row>
    <row r="1876">
      <c r="A1876" s="7" t="inlineStr">
        <is>
          <t>2021-11-09</t>
        </is>
      </c>
      <c r="B1876" s="8">
        <f>IFERROR(VLOOKUP($A1876,'01-原始价格'!$A:$M,2,FALSE),"")</f>
        <v/>
      </c>
      <c r="C1876" s="8">
        <f>IFERROR(VLOOKUP($A1876,'01-原始价格'!$A:$M,8,FALSE),"")</f>
        <v/>
      </c>
      <c r="D1876" s="10">
        <f>IFERROR(B1876/C1876,"")</f>
        <v/>
      </c>
      <c r="E1876" s="10">
        <f>IFERROR(C1876/B1876,"")</f>
        <v/>
      </c>
      <c r="F1876" s="11">
        <f>IFERROR((D1876/D1875-1)*100,"")</f>
        <v/>
      </c>
      <c r="G1876" s="11">
        <f>IFERROR((COUNTIF($D$1625:$D$1876,"&lt;"&amp;D1876)+0.5*COUNTIF($D$1625:$D$1876,D1876))/COUNT($D$1625:$D$1876)*100,"")</f>
        <v/>
      </c>
      <c r="H1876" s="10">
        <f>IFERROR(AVERAGE($D$1625:$D$1876),"")</f>
        <v/>
      </c>
      <c r="I1876" s="10" t="n">
        <v>-1.966493498269424</v>
      </c>
      <c r="J1876" t="inlineStr"/>
      <c r="K1876" t="inlineStr"/>
    </row>
    <row r="1877">
      <c r="A1877" s="7" t="inlineStr">
        <is>
          <t>2021-11-10</t>
        </is>
      </c>
      <c r="B1877" s="8">
        <f>IFERROR(VLOOKUP($A1877,'01-原始价格'!$A:$M,2,FALSE),"")</f>
        <v/>
      </c>
      <c r="C1877" s="8">
        <f>IFERROR(VLOOKUP($A1877,'01-原始价格'!$A:$M,8,FALSE),"")</f>
        <v/>
      </c>
      <c r="D1877" s="10">
        <f>IFERROR(B1877/C1877,"")</f>
        <v/>
      </c>
      <c r="E1877" s="10">
        <f>IFERROR(C1877/B1877,"")</f>
        <v/>
      </c>
      <c r="F1877" s="11">
        <f>IFERROR((D1877/D1876-1)*100,"")</f>
        <v/>
      </c>
      <c r="G1877" s="11">
        <f>IFERROR((COUNTIF($D$1626:$D$1877,"&lt;"&amp;D1877)+0.5*COUNTIF($D$1626:$D$1877,D1877))/COUNT($D$1626:$D$1877)*100,"")</f>
        <v/>
      </c>
      <c r="H1877" s="10">
        <f>IFERROR(AVERAGE($D$1626:$D$1877),"")</f>
        <v/>
      </c>
      <c r="I1877" s="10" t="n">
        <v>-2.172312104379214</v>
      </c>
      <c r="J1877" t="inlineStr"/>
      <c r="K1877" t="inlineStr"/>
    </row>
    <row r="1878">
      <c r="A1878" s="7" t="inlineStr">
        <is>
          <t>2021-11-11</t>
        </is>
      </c>
      <c r="B1878" s="8">
        <f>IFERROR(VLOOKUP($A1878,'01-原始价格'!$A:$M,2,FALSE),"")</f>
        <v/>
      </c>
      <c r="C1878" s="8">
        <f>IFERROR(VLOOKUP($A1878,'01-原始价格'!$A:$M,8,FALSE),"")</f>
        <v/>
      </c>
      <c r="D1878" s="10">
        <f>IFERROR(B1878/C1878,"")</f>
        <v/>
      </c>
      <c r="E1878" s="10">
        <f>IFERROR(C1878/B1878,"")</f>
        <v/>
      </c>
      <c r="F1878" s="11">
        <f>IFERROR((D1878/D1877-1)*100,"")</f>
        <v/>
      </c>
      <c r="G1878" s="11">
        <f>IFERROR((COUNTIF($D$1627:$D$1878,"&lt;"&amp;D1878)+0.5*COUNTIF($D$1627:$D$1878,D1878))/COUNT($D$1627:$D$1878)*100,"")</f>
        <v/>
      </c>
      <c r="H1878" s="10">
        <f>IFERROR(AVERAGE($D$1627:$D$1878),"")</f>
        <v/>
      </c>
      <c r="I1878" s="10" t="n">
        <v>-1.97716422097151</v>
      </c>
      <c r="J1878" t="inlineStr"/>
      <c r="K1878" t="inlineStr"/>
    </row>
    <row r="1879">
      <c r="A1879" s="7" t="inlineStr">
        <is>
          <t>2021-11-12</t>
        </is>
      </c>
      <c r="B1879" s="8">
        <f>IFERROR(VLOOKUP($A1879,'01-原始价格'!$A:$M,2,FALSE),"")</f>
        <v/>
      </c>
      <c r="C1879" s="8">
        <f>IFERROR(VLOOKUP($A1879,'01-原始价格'!$A:$M,8,FALSE),"")</f>
        <v/>
      </c>
      <c r="D1879" s="10">
        <f>IFERROR(B1879/C1879,"")</f>
        <v/>
      </c>
      <c r="E1879" s="10">
        <f>IFERROR(C1879/B1879,"")</f>
        <v/>
      </c>
      <c r="F1879" s="11">
        <f>IFERROR((D1879/D1878-1)*100,"")</f>
        <v/>
      </c>
      <c r="G1879" s="11">
        <f>IFERROR((COUNTIF($D$1628:$D$1879,"&lt;"&amp;D1879)+0.5*COUNTIF($D$1628:$D$1879,D1879))/COUNT($D$1628:$D$1879)*100,"")</f>
        <v/>
      </c>
      <c r="H1879" s="10">
        <f>IFERROR(AVERAGE($D$1628:$D$1879),"")</f>
        <v/>
      </c>
      <c r="I1879" s="10" t="n">
        <v>-2.198907618957212</v>
      </c>
      <c r="J1879" t="inlineStr"/>
      <c r="K1879" t="inlineStr"/>
    </row>
    <row r="1880">
      <c r="A1880" s="7" t="inlineStr">
        <is>
          <t>2021-11-15</t>
        </is>
      </c>
      <c r="B1880" s="8">
        <f>IFERROR(VLOOKUP($A1880,'01-原始价格'!$A:$M,2,FALSE),"")</f>
        <v/>
      </c>
      <c r="C1880" s="8">
        <f>IFERROR(VLOOKUP($A1880,'01-原始价格'!$A:$M,8,FALSE),"")</f>
        <v/>
      </c>
      <c r="D1880" s="10">
        <f>IFERROR(B1880/C1880,"")</f>
        <v/>
      </c>
      <c r="E1880" s="10">
        <f>IFERROR(C1880/B1880,"")</f>
        <v/>
      </c>
      <c r="F1880" s="11">
        <f>IFERROR((D1880/D1879-1)*100,"")</f>
        <v/>
      </c>
      <c r="G1880" s="11">
        <f>IFERROR((COUNTIF($D$1629:$D$1880,"&lt;"&amp;D1880)+0.5*COUNTIF($D$1629:$D$1880,D1880))/COUNT($D$1629:$D$1880)*100,"")</f>
        <v/>
      </c>
      <c r="H1880" s="10">
        <f>IFERROR(AVERAGE($D$1629:$D$1880),"")</f>
        <v/>
      </c>
      <c r="I1880" s="10" t="n">
        <v>-2.289444170554638</v>
      </c>
      <c r="J1880" t="inlineStr"/>
      <c r="K1880" t="inlineStr"/>
    </row>
    <row r="1881">
      <c r="A1881" s="7" t="inlineStr">
        <is>
          <t>2021-11-16</t>
        </is>
      </c>
      <c r="B1881" s="8">
        <f>IFERROR(VLOOKUP($A1881,'01-原始价格'!$A:$M,2,FALSE),"")</f>
        <v/>
      </c>
      <c r="C1881" s="8">
        <f>IFERROR(VLOOKUP($A1881,'01-原始价格'!$A:$M,8,FALSE),"")</f>
        <v/>
      </c>
      <c r="D1881" s="10">
        <f>IFERROR(B1881/C1881,"")</f>
        <v/>
      </c>
      <c r="E1881" s="10">
        <f>IFERROR(C1881/B1881,"")</f>
        <v/>
      </c>
      <c r="F1881" s="11">
        <f>IFERROR((D1881/D1880-1)*100,"")</f>
        <v/>
      </c>
      <c r="G1881" s="11">
        <f>IFERROR((COUNTIF($D$1630:$D$1881,"&lt;"&amp;D1881)+0.5*COUNTIF($D$1630:$D$1881,D1881))/COUNT($D$1630:$D$1881)*100,"")</f>
        <v/>
      </c>
      <c r="H1881" s="10">
        <f>IFERROR(AVERAGE($D$1630:$D$1881),"")</f>
        <v/>
      </c>
      <c r="I1881" s="10" t="n">
        <v>-2.538935218485074</v>
      </c>
      <c r="J1881" t="inlineStr"/>
      <c r="K1881" t="inlineStr"/>
    </row>
    <row r="1882">
      <c r="A1882" s="7" t="inlineStr">
        <is>
          <t>2021-11-17</t>
        </is>
      </c>
      <c r="B1882" s="8">
        <f>IFERROR(VLOOKUP($A1882,'01-原始价格'!$A:$M,2,FALSE),"")</f>
        <v/>
      </c>
      <c r="C1882" s="8">
        <f>IFERROR(VLOOKUP($A1882,'01-原始价格'!$A:$M,8,FALSE),"")</f>
        <v/>
      </c>
      <c r="D1882" s="10">
        <f>IFERROR(B1882/C1882,"")</f>
        <v/>
      </c>
      <c r="E1882" s="10">
        <f>IFERROR(C1882/B1882,"")</f>
        <v/>
      </c>
      <c r="F1882" s="11">
        <f>IFERROR((D1882/D1881-1)*100,"")</f>
        <v/>
      </c>
      <c r="G1882" s="11">
        <f>IFERROR((COUNTIF($D$1631:$D$1882,"&lt;"&amp;D1882)+0.5*COUNTIF($D$1631:$D$1882,D1882))/COUNT($D$1631:$D$1882)*100,"")</f>
        <v/>
      </c>
      <c r="H1882" s="10">
        <f>IFERROR(AVERAGE($D$1631:$D$1882),"")</f>
        <v/>
      </c>
      <c r="I1882" s="10" t="n">
        <v>-2.387730216208005</v>
      </c>
      <c r="J1882" t="inlineStr"/>
      <c r="K1882" t="inlineStr"/>
    </row>
    <row r="1883">
      <c r="A1883" s="7" t="inlineStr">
        <is>
          <t>2021-11-18</t>
        </is>
      </c>
      <c r="B1883" s="8">
        <f>IFERROR(VLOOKUP($A1883,'01-原始价格'!$A:$M,2,FALSE),"")</f>
        <v/>
      </c>
      <c r="C1883" s="8">
        <f>IFERROR(VLOOKUP($A1883,'01-原始价格'!$A:$M,8,FALSE),"")</f>
        <v/>
      </c>
      <c r="D1883" s="10">
        <f>IFERROR(B1883/C1883,"")</f>
        <v/>
      </c>
      <c r="E1883" s="10">
        <f>IFERROR(C1883/B1883,"")</f>
        <v/>
      </c>
      <c r="F1883" s="11">
        <f>IFERROR((D1883/D1882-1)*100,"")</f>
        <v/>
      </c>
      <c r="G1883" s="11">
        <f>IFERROR((COUNTIF($D$1632:$D$1883,"&lt;"&amp;D1883)+0.5*COUNTIF($D$1632:$D$1883,D1883))/COUNT($D$1632:$D$1883)*100,"")</f>
        <v/>
      </c>
      <c r="H1883" s="10">
        <f>IFERROR(AVERAGE($D$1632:$D$1883),"")</f>
        <v/>
      </c>
      <c r="I1883" s="10" t="n">
        <v>-2.342194747236163</v>
      </c>
      <c r="J1883" t="inlineStr"/>
      <c r="K1883" t="inlineStr"/>
    </row>
    <row r="1884">
      <c r="A1884" s="7" t="inlineStr">
        <is>
          <t>2021-11-19</t>
        </is>
      </c>
      <c r="B1884" s="8">
        <f>IFERROR(VLOOKUP($A1884,'01-原始价格'!$A:$M,2,FALSE),"")</f>
        <v/>
      </c>
      <c r="C1884" s="8">
        <f>IFERROR(VLOOKUP($A1884,'01-原始价格'!$A:$M,8,FALSE),"")</f>
        <v/>
      </c>
      <c r="D1884" s="10">
        <f>IFERROR(B1884/C1884,"")</f>
        <v/>
      </c>
      <c r="E1884" s="10">
        <f>IFERROR(C1884/B1884,"")</f>
        <v/>
      </c>
      <c r="F1884" s="11">
        <f>IFERROR((D1884/D1883-1)*100,"")</f>
        <v/>
      </c>
      <c r="G1884" s="11">
        <f>IFERROR((COUNTIF($D$1633:$D$1884,"&lt;"&amp;D1884)+0.5*COUNTIF($D$1633:$D$1884,D1884))/COUNT($D$1633:$D$1884)*100,"")</f>
        <v/>
      </c>
      <c r="H1884" s="10">
        <f>IFERROR(AVERAGE($D$1633:$D$1884),"")</f>
        <v/>
      </c>
      <c r="I1884" s="10" t="n">
        <v>-2.75236007322474</v>
      </c>
      <c r="J1884" t="inlineStr"/>
      <c r="K1884" t="inlineStr"/>
    </row>
    <row r="1885">
      <c r="A1885" s="7" t="inlineStr">
        <is>
          <t>2021-11-22</t>
        </is>
      </c>
      <c r="B1885" s="8">
        <f>IFERROR(VLOOKUP($A1885,'01-原始价格'!$A:$M,2,FALSE),"")</f>
        <v/>
      </c>
      <c r="C1885" s="8">
        <f>IFERROR(VLOOKUP($A1885,'01-原始价格'!$A:$M,8,FALSE),"")</f>
        <v/>
      </c>
      <c r="D1885" s="10">
        <f>IFERROR(B1885/C1885,"")</f>
        <v/>
      </c>
      <c r="E1885" s="10">
        <f>IFERROR(C1885/B1885,"")</f>
        <v/>
      </c>
      <c r="F1885" s="11">
        <f>IFERROR((D1885/D1884-1)*100,"")</f>
        <v/>
      </c>
      <c r="G1885" s="11">
        <f>IFERROR((COUNTIF($D$1634:$D$1885,"&lt;"&amp;D1885)+0.5*COUNTIF($D$1634:$D$1885,D1885))/COUNT($D$1634:$D$1885)*100,"")</f>
        <v/>
      </c>
      <c r="H1885" s="10">
        <f>IFERROR(AVERAGE($D$1634:$D$1885),"")</f>
        <v/>
      </c>
      <c r="I1885" s="10" t="n">
        <v>-2.787727274345325</v>
      </c>
      <c r="J1885" t="inlineStr"/>
      <c r="K1885" t="inlineStr"/>
    </row>
    <row r="1886">
      <c r="A1886" s="7" t="inlineStr">
        <is>
          <t>2021-11-23</t>
        </is>
      </c>
      <c r="B1886" s="8">
        <f>IFERROR(VLOOKUP($A1886,'01-原始价格'!$A:$M,2,FALSE),"")</f>
        <v/>
      </c>
      <c r="C1886" s="8">
        <f>IFERROR(VLOOKUP($A1886,'01-原始价格'!$A:$M,8,FALSE),"")</f>
        <v/>
      </c>
      <c r="D1886" s="10">
        <f>IFERROR(B1886/C1886,"")</f>
        <v/>
      </c>
      <c r="E1886" s="10">
        <f>IFERROR(C1886/B1886,"")</f>
        <v/>
      </c>
      <c r="F1886" s="11">
        <f>IFERROR((D1886/D1885-1)*100,"")</f>
        <v/>
      </c>
      <c r="G1886" s="11">
        <f>IFERROR((COUNTIF($D$1635:$D$1886,"&lt;"&amp;D1886)+0.5*COUNTIF($D$1635:$D$1886,D1886))/COUNT($D$1635:$D$1886)*100,"")</f>
        <v/>
      </c>
      <c r="H1886" s="10">
        <f>IFERROR(AVERAGE($D$1635:$D$1886),"")</f>
        <v/>
      </c>
      <c r="I1886" s="10" t="n">
        <v>-3.262734859280546</v>
      </c>
      <c r="J1886" t="inlineStr"/>
      <c r="K1886" t="inlineStr"/>
    </row>
    <row r="1887">
      <c r="A1887" s="7" t="inlineStr">
        <is>
          <t>2021-11-24</t>
        </is>
      </c>
      <c r="B1887" s="8">
        <f>IFERROR(VLOOKUP($A1887,'01-原始价格'!$A:$M,2,FALSE),"")</f>
        <v/>
      </c>
      <c r="C1887" s="8">
        <f>IFERROR(VLOOKUP($A1887,'01-原始价格'!$A:$M,8,FALSE),"")</f>
        <v/>
      </c>
      <c r="D1887" s="10">
        <f>IFERROR(B1887/C1887,"")</f>
        <v/>
      </c>
      <c r="E1887" s="10">
        <f>IFERROR(C1887/B1887,"")</f>
        <v/>
      </c>
      <c r="F1887" s="11">
        <f>IFERROR((D1887/D1886-1)*100,"")</f>
        <v/>
      </c>
      <c r="G1887" s="11">
        <f>IFERROR((COUNTIF($D$1636:$D$1887,"&lt;"&amp;D1887)+0.5*COUNTIF($D$1636:$D$1887,D1887))/COUNT($D$1636:$D$1887)*100,"")</f>
        <v/>
      </c>
      <c r="H1887" s="10">
        <f>IFERROR(AVERAGE($D$1636:$D$1887),"")</f>
        <v/>
      </c>
      <c r="I1887" s="10" t="n">
        <v>-2.797808348498425</v>
      </c>
      <c r="J1887" t="inlineStr"/>
      <c r="K1887" t="inlineStr"/>
    </row>
    <row r="1888">
      <c r="A1888" s="7" t="inlineStr">
        <is>
          <t>2021-11-25</t>
        </is>
      </c>
      <c r="B1888" s="8">
        <f>IFERROR(VLOOKUP($A1888,'01-原始价格'!$A:$M,2,FALSE),"")</f>
        <v/>
      </c>
      <c r="C1888" s="8">
        <f>IFERROR(VLOOKUP($A1888,'01-原始价格'!$A:$M,8,FALSE),"")</f>
        <v/>
      </c>
      <c r="D1888" s="10">
        <f>IFERROR(B1888/C1888,"")</f>
        <v/>
      </c>
      <c r="E1888" s="10">
        <f>IFERROR(C1888/B1888,"")</f>
        <v/>
      </c>
      <c r="F1888" s="11">
        <f>IFERROR((D1888/D1887-1)*100,"")</f>
        <v/>
      </c>
      <c r="G1888" s="11">
        <f>IFERROR((COUNTIF($D$1637:$D$1888,"&lt;"&amp;D1888)+0.5*COUNTIF($D$1637:$D$1888,D1888))/COUNT($D$1637:$D$1888)*100,"")</f>
        <v/>
      </c>
      <c r="H1888" s="10">
        <f>IFERROR(AVERAGE($D$1637:$D$1888),"")</f>
        <v/>
      </c>
      <c r="I1888" s="10" t="n">
        <v>-3.224357978326219</v>
      </c>
      <c r="J1888" t="inlineStr"/>
      <c r="K1888" t="inlineStr"/>
    </row>
    <row r="1889">
      <c r="A1889" s="7" t="inlineStr">
        <is>
          <t>2021-11-26</t>
        </is>
      </c>
      <c r="B1889" s="8">
        <f>IFERROR(VLOOKUP($A1889,'01-原始价格'!$A:$M,2,FALSE),"")</f>
        <v/>
      </c>
      <c r="C1889" s="8">
        <f>IFERROR(VLOOKUP($A1889,'01-原始价格'!$A:$M,8,FALSE),"")</f>
        <v/>
      </c>
      <c r="D1889" s="10">
        <f>IFERROR(B1889/C1889,"")</f>
        <v/>
      </c>
      <c r="E1889" s="10">
        <f>IFERROR(C1889/B1889,"")</f>
        <v/>
      </c>
      <c r="F1889" s="11">
        <f>IFERROR((D1889/D1888-1)*100,"")</f>
        <v/>
      </c>
      <c r="G1889" s="11">
        <f>IFERROR((COUNTIF($D$1638:$D$1889,"&lt;"&amp;D1889)+0.5*COUNTIF($D$1638:$D$1889,D1889))/COUNT($D$1638:$D$1889)*100,"")</f>
        <v/>
      </c>
      <c r="H1889" s="10">
        <f>IFERROR(AVERAGE($D$1638:$D$1889),"")</f>
        <v/>
      </c>
      <c r="I1889" s="10" t="n">
        <v>-2.840540771788741</v>
      </c>
      <c r="J1889" t="inlineStr"/>
      <c r="K1889" t="inlineStr"/>
    </row>
    <row r="1890">
      <c r="A1890" s="7" t="inlineStr">
        <is>
          <t>2021-11-29</t>
        </is>
      </c>
      <c r="B1890" s="8">
        <f>IFERROR(VLOOKUP($A1890,'01-原始价格'!$A:$M,2,FALSE),"")</f>
        <v/>
      </c>
      <c r="C1890" s="8">
        <f>IFERROR(VLOOKUP($A1890,'01-原始价格'!$A:$M,8,FALSE),"")</f>
        <v/>
      </c>
      <c r="D1890" s="10">
        <f>IFERROR(B1890/C1890,"")</f>
        <v/>
      </c>
      <c r="E1890" s="10">
        <f>IFERROR(C1890/B1890,"")</f>
        <v/>
      </c>
      <c r="F1890" s="11">
        <f>IFERROR((D1890/D1889-1)*100,"")</f>
        <v/>
      </c>
      <c r="G1890" s="11">
        <f>IFERROR((COUNTIF($D$1639:$D$1890,"&lt;"&amp;D1890)+0.5*COUNTIF($D$1639:$D$1890,D1890))/COUNT($D$1639:$D$1890)*100,"")</f>
        <v/>
      </c>
      <c r="H1890" s="10">
        <f>IFERROR(AVERAGE($D$1639:$D$1890),"")</f>
        <v/>
      </c>
      <c r="I1890" s="10" t="n">
        <v>-2.920025684018367</v>
      </c>
      <c r="J1890" t="inlineStr"/>
      <c r="K1890" t="inlineStr"/>
    </row>
    <row r="1891">
      <c r="A1891" s="7" t="inlineStr">
        <is>
          <t>2021-11-30</t>
        </is>
      </c>
      <c r="B1891" s="8">
        <f>IFERROR(VLOOKUP($A1891,'01-原始价格'!$A:$M,2,FALSE),"")</f>
        <v/>
      </c>
      <c r="C1891" s="8">
        <f>IFERROR(VLOOKUP($A1891,'01-原始价格'!$A:$M,8,FALSE),"")</f>
        <v/>
      </c>
      <c r="D1891" s="10">
        <f>IFERROR(B1891/C1891,"")</f>
        <v/>
      </c>
      <c r="E1891" s="10">
        <f>IFERROR(C1891/B1891,"")</f>
        <v/>
      </c>
      <c r="F1891" s="11">
        <f>IFERROR((D1891/D1890-1)*100,"")</f>
        <v/>
      </c>
      <c r="G1891" s="11">
        <f>IFERROR((COUNTIF($D$1640:$D$1891,"&lt;"&amp;D1891)+0.5*COUNTIF($D$1640:$D$1891,D1891))/COUNT($D$1640:$D$1891)*100,"")</f>
        <v/>
      </c>
      <c r="H1891" s="10">
        <f>IFERROR(AVERAGE($D$1640:$D$1891),"")</f>
        <v/>
      </c>
      <c r="I1891" s="10" t="n">
        <v>-3.036754937816011</v>
      </c>
      <c r="J1891" t="inlineStr"/>
      <c r="K1891" t="inlineStr"/>
    </row>
    <row r="1892">
      <c r="A1892" s="7" t="inlineStr">
        <is>
          <t>2021-12-01</t>
        </is>
      </c>
      <c r="B1892" s="8">
        <f>IFERROR(VLOOKUP($A1892,'01-原始价格'!$A:$M,2,FALSE),"")</f>
        <v/>
      </c>
      <c r="C1892" s="8">
        <f>IFERROR(VLOOKUP($A1892,'01-原始价格'!$A:$M,8,FALSE),"")</f>
        <v/>
      </c>
      <c r="D1892" s="10">
        <f>IFERROR(B1892/C1892,"")</f>
        <v/>
      </c>
      <c r="E1892" s="10">
        <f>IFERROR(C1892/B1892,"")</f>
        <v/>
      </c>
      <c r="F1892" s="11">
        <f>IFERROR((D1892/D1891-1)*100,"")</f>
        <v/>
      </c>
      <c r="G1892" s="11">
        <f>IFERROR((COUNTIF($D$1641:$D$1892,"&lt;"&amp;D1892)+0.5*COUNTIF($D$1641:$D$1892,D1892))/COUNT($D$1641:$D$1892)*100,"")</f>
        <v/>
      </c>
      <c r="H1892" s="10">
        <f>IFERROR(AVERAGE($D$1641:$D$1892),"")</f>
        <v/>
      </c>
      <c r="I1892" s="10" t="n">
        <v>-2.694871875656898</v>
      </c>
      <c r="J1892" t="inlineStr"/>
      <c r="K1892" t="inlineStr"/>
    </row>
    <row r="1893">
      <c r="A1893" s="7" t="inlineStr">
        <is>
          <t>2021-12-02</t>
        </is>
      </c>
      <c r="B1893" s="8">
        <f>IFERROR(VLOOKUP($A1893,'01-原始价格'!$A:$M,2,FALSE),"")</f>
        <v/>
      </c>
      <c r="C1893" s="8">
        <f>IFERROR(VLOOKUP($A1893,'01-原始价格'!$A:$M,8,FALSE),"")</f>
        <v/>
      </c>
      <c r="D1893" s="10">
        <f>IFERROR(B1893/C1893,"")</f>
        <v/>
      </c>
      <c r="E1893" s="10">
        <f>IFERROR(C1893/B1893,"")</f>
        <v/>
      </c>
      <c r="F1893" s="11">
        <f>IFERROR((D1893/D1892-1)*100,"")</f>
        <v/>
      </c>
      <c r="G1893" s="11">
        <f>IFERROR((COUNTIF($D$1642:$D$1893,"&lt;"&amp;D1893)+0.5*COUNTIF($D$1642:$D$1893,D1893))/COUNT($D$1642:$D$1893)*100,"")</f>
        <v/>
      </c>
      <c r="H1893" s="10">
        <f>IFERROR(AVERAGE($D$1642:$D$1893),"")</f>
        <v/>
      </c>
      <c r="I1893" s="10" t="n">
        <v>-2.594008266304816</v>
      </c>
      <c r="J1893" t="inlineStr"/>
      <c r="K1893" t="inlineStr"/>
    </row>
    <row r="1894">
      <c r="A1894" s="7" t="inlineStr">
        <is>
          <t>2021-12-03</t>
        </is>
      </c>
      <c r="B1894" s="8">
        <f>IFERROR(VLOOKUP($A1894,'01-原始价格'!$A:$M,2,FALSE),"")</f>
        <v/>
      </c>
      <c r="C1894" s="8">
        <f>IFERROR(VLOOKUP($A1894,'01-原始价格'!$A:$M,8,FALSE),"")</f>
        <v/>
      </c>
      <c r="D1894" s="10">
        <f>IFERROR(B1894/C1894,"")</f>
        <v/>
      </c>
      <c r="E1894" s="10">
        <f>IFERROR(C1894/B1894,"")</f>
        <v/>
      </c>
      <c r="F1894" s="11">
        <f>IFERROR((D1894/D1893-1)*100,"")</f>
        <v/>
      </c>
      <c r="G1894" s="11">
        <f>IFERROR((COUNTIF($D$1643:$D$1894,"&lt;"&amp;D1894)+0.5*COUNTIF($D$1643:$D$1894,D1894))/COUNT($D$1643:$D$1894)*100,"")</f>
        <v/>
      </c>
      <c r="H1894" s="10">
        <f>IFERROR(AVERAGE($D$1643:$D$1894),"")</f>
        <v/>
      </c>
      <c r="I1894" s="10" t="n">
        <v>-3.373438410178117</v>
      </c>
      <c r="J1894" t="inlineStr"/>
      <c r="K1894" t="inlineStr"/>
    </row>
    <row r="1895">
      <c r="A1895" s="7" t="inlineStr">
        <is>
          <t>2021-12-06</t>
        </is>
      </c>
      <c r="B1895" s="8">
        <f>IFERROR(VLOOKUP($A1895,'01-原始价格'!$A:$M,2,FALSE),"")</f>
        <v/>
      </c>
      <c r="C1895" s="8">
        <f>IFERROR(VLOOKUP($A1895,'01-原始价格'!$A:$M,8,FALSE),"")</f>
        <v/>
      </c>
      <c r="D1895" s="10">
        <f>IFERROR(B1895/C1895,"")</f>
        <v/>
      </c>
      <c r="E1895" s="10">
        <f>IFERROR(C1895/B1895,"")</f>
        <v/>
      </c>
      <c r="F1895" s="11">
        <f>IFERROR((D1895/D1894-1)*100,"")</f>
        <v/>
      </c>
      <c r="G1895" s="11">
        <f>IFERROR((COUNTIF($D$1644:$D$1895,"&lt;"&amp;D1895)+0.5*COUNTIF($D$1644:$D$1895,D1895))/COUNT($D$1644:$D$1895)*100,"")</f>
        <v/>
      </c>
      <c r="H1895" s="10">
        <f>IFERROR(AVERAGE($D$1644:$D$1895),"")</f>
        <v/>
      </c>
      <c r="I1895" s="10" t="n">
        <v>-3.263371477958158</v>
      </c>
      <c r="J1895" t="inlineStr"/>
      <c r="K1895" t="inlineStr"/>
    </row>
    <row r="1896">
      <c r="A1896" s="7" t="inlineStr">
        <is>
          <t>2021-12-07</t>
        </is>
      </c>
      <c r="B1896" s="8">
        <f>IFERROR(VLOOKUP($A1896,'01-原始价格'!$A:$M,2,FALSE),"")</f>
        <v/>
      </c>
      <c r="C1896" s="8">
        <f>IFERROR(VLOOKUP($A1896,'01-原始价格'!$A:$M,8,FALSE),"")</f>
        <v/>
      </c>
      <c r="D1896" s="10">
        <f>IFERROR(B1896/C1896,"")</f>
        <v/>
      </c>
      <c r="E1896" s="10">
        <f>IFERROR(C1896/B1896,"")</f>
        <v/>
      </c>
      <c r="F1896" s="11">
        <f>IFERROR((D1896/D1895-1)*100,"")</f>
        <v/>
      </c>
      <c r="G1896" s="11">
        <f>IFERROR((COUNTIF($D$1645:$D$1896,"&lt;"&amp;D1896)+0.5*COUNTIF($D$1645:$D$1896,D1896))/COUNT($D$1645:$D$1896)*100,"")</f>
        <v/>
      </c>
      <c r="H1896" s="10">
        <f>IFERROR(AVERAGE($D$1645:$D$1896),"")</f>
        <v/>
      </c>
      <c r="I1896" s="10" t="n">
        <v>-2.768829968020401</v>
      </c>
      <c r="J1896" t="inlineStr"/>
      <c r="K1896" t="inlineStr"/>
    </row>
    <row r="1897">
      <c r="A1897" s="7" t="inlineStr">
        <is>
          <t>2021-12-08</t>
        </is>
      </c>
      <c r="B1897" s="8">
        <f>IFERROR(VLOOKUP($A1897,'01-原始价格'!$A:$M,2,FALSE),"")</f>
        <v/>
      </c>
      <c r="C1897" s="8">
        <f>IFERROR(VLOOKUP($A1897,'01-原始价格'!$A:$M,8,FALSE),"")</f>
        <v/>
      </c>
      <c r="D1897" s="10">
        <f>IFERROR(B1897/C1897,"")</f>
        <v/>
      </c>
      <c r="E1897" s="10">
        <f>IFERROR(C1897/B1897,"")</f>
        <v/>
      </c>
      <c r="F1897" s="11">
        <f>IFERROR((D1897/D1896-1)*100,"")</f>
        <v/>
      </c>
      <c r="G1897" s="11">
        <f>IFERROR((COUNTIF($D$1646:$D$1897,"&lt;"&amp;D1897)+0.5*COUNTIF($D$1646:$D$1897,D1897))/COUNT($D$1646:$D$1897)*100,"")</f>
        <v/>
      </c>
      <c r="H1897" s="10">
        <f>IFERROR(AVERAGE($D$1646:$D$1897),"")</f>
        <v/>
      </c>
      <c r="I1897" s="10" t="n">
        <v>-2.75001911488601</v>
      </c>
      <c r="J1897" t="inlineStr"/>
      <c r="K1897" t="inlineStr"/>
    </row>
    <row r="1898">
      <c r="A1898" s="7" t="inlineStr">
        <is>
          <t>2021-12-09</t>
        </is>
      </c>
      <c r="B1898" s="8">
        <f>IFERROR(VLOOKUP($A1898,'01-原始价格'!$A:$M,2,FALSE),"")</f>
        <v/>
      </c>
      <c r="C1898" s="8">
        <f>IFERROR(VLOOKUP($A1898,'01-原始价格'!$A:$M,8,FALSE),"")</f>
        <v/>
      </c>
      <c r="D1898" s="10">
        <f>IFERROR(B1898/C1898,"")</f>
        <v/>
      </c>
      <c r="E1898" s="10">
        <f>IFERROR(C1898/B1898,"")</f>
        <v/>
      </c>
      <c r="F1898" s="11">
        <f>IFERROR((D1898/D1897-1)*100,"")</f>
        <v/>
      </c>
      <c r="G1898" s="11">
        <f>IFERROR((COUNTIF($D$1647:$D$1898,"&lt;"&amp;D1898)+0.5*COUNTIF($D$1647:$D$1898,D1898))/COUNT($D$1647:$D$1898)*100,"")</f>
        <v/>
      </c>
      <c r="H1898" s="10">
        <f>IFERROR(AVERAGE($D$1647:$D$1898),"")</f>
        <v/>
      </c>
      <c r="I1898" s="10" t="n">
        <v>-2.712228143552876</v>
      </c>
      <c r="J1898" t="inlineStr"/>
      <c r="K1898" t="inlineStr"/>
    </row>
    <row r="1899">
      <c r="A1899" s="7" t="inlineStr">
        <is>
          <t>2021-12-10</t>
        </is>
      </c>
      <c r="B1899" s="8">
        <f>IFERROR(VLOOKUP($A1899,'01-原始价格'!$A:$M,2,FALSE),"")</f>
        <v/>
      </c>
      <c r="C1899" s="8">
        <f>IFERROR(VLOOKUP($A1899,'01-原始价格'!$A:$M,8,FALSE),"")</f>
        <v/>
      </c>
      <c r="D1899" s="10">
        <f>IFERROR(B1899/C1899,"")</f>
        <v/>
      </c>
      <c r="E1899" s="10">
        <f>IFERROR(C1899/B1899,"")</f>
        <v/>
      </c>
      <c r="F1899" s="11">
        <f>IFERROR((D1899/D1898-1)*100,"")</f>
        <v/>
      </c>
      <c r="G1899" s="11">
        <f>IFERROR((COUNTIF($D$1648:$D$1899,"&lt;"&amp;D1899)+0.5*COUNTIF($D$1648:$D$1899,D1899))/COUNT($D$1648:$D$1899)*100,"")</f>
        <v/>
      </c>
      <c r="H1899" s="10">
        <f>IFERROR(AVERAGE($D$1648:$D$1899),"")</f>
        <v/>
      </c>
      <c r="I1899" s="10" t="n">
        <v>-2.264384960796507</v>
      </c>
      <c r="J1899" t="inlineStr"/>
      <c r="K1899" t="inlineStr"/>
    </row>
    <row r="1900">
      <c r="A1900" s="7" t="inlineStr">
        <is>
          <t>2021-12-13</t>
        </is>
      </c>
      <c r="B1900" s="8">
        <f>IFERROR(VLOOKUP($A1900,'01-原始价格'!$A:$M,2,FALSE),"")</f>
        <v/>
      </c>
      <c r="C1900" s="8">
        <f>IFERROR(VLOOKUP($A1900,'01-原始价格'!$A:$M,8,FALSE),"")</f>
        <v/>
      </c>
      <c r="D1900" s="10">
        <f>IFERROR(B1900/C1900,"")</f>
        <v/>
      </c>
      <c r="E1900" s="10">
        <f>IFERROR(C1900/B1900,"")</f>
        <v/>
      </c>
      <c r="F1900" s="11">
        <f>IFERROR((D1900/D1899-1)*100,"")</f>
        <v/>
      </c>
      <c r="G1900" s="11">
        <f>IFERROR((COUNTIF($D$1649:$D$1900,"&lt;"&amp;D1900)+0.5*COUNTIF($D$1649:$D$1900,D1900))/COUNT($D$1649:$D$1900)*100,"")</f>
        <v/>
      </c>
      <c r="H1900" s="10">
        <f>IFERROR(AVERAGE($D$1649:$D$1900),"")</f>
        <v/>
      </c>
      <c r="I1900" s="10" t="n">
        <v>-1.898824170897881</v>
      </c>
      <c r="J1900" t="inlineStr"/>
      <c r="K1900" t="inlineStr"/>
    </row>
    <row r="1901">
      <c r="A1901" s="7" t="inlineStr">
        <is>
          <t>2021-12-14</t>
        </is>
      </c>
      <c r="B1901" s="8">
        <f>IFERROR(VLOOKUP($A1901,'01-原始价格'!$A:$M,2,FALSE),"")</f>
        <v/>
      </c>
      <c r="C1901" s="8">
        <f>IFERROR(VLOOKUP($A1901,'01-原始价格'!$A:$M,8,FALSE),"")</f>
        <v/>
      </c>
      <c r="D1901" s="10">
        <f>IFERROR(B1901/C1901,"")</f>
        <v/>
      </c>
      <c r="E1901" s="10">
        <f>IFERROR(C1901/B1901,"")</f>
        <v/>
      </c>
      <c r="F1901" s="11">
        <f>IFERROR((D1901/D1900-1)*100,"")</f>
        <v/>
      </c>
      <c r="G1901" s="11">
        <f>IFERROR((COUNTIF($D$1650:$D$1901,"&lt;"&amp;D1901)+0.5*COUNTIF($D$1650:$D$1901,D1901))/COUNT($D$1650:$D$1901)*100,"")</f>
        <v/>
      </c>
      <c r="H1901" s="10">
        <f>IFERROR(AVERAGE($D$1650:$D$1901),"")</f>
        <v/>
      </c>
      <c r="I1901" s="10" t="n">
        <v>-2.14594813589926</v>
      </c>
      <c r="J1901" t="inlineStr"/>
      <c r="K1901" t="inlineStr"/>
    </row>
    <row r="1902">
      <c r="A1902" s="7" t="inlineStr">
        <is>
          <t>2021-12-15</t>
        </is>
      </c>
      <c r="B1902" s="8">
        <f>IFERROR(VLOOKUP($A1902,'01-原始价格'!$A:$M,2,FALSE),"")</f>
        <v/>
      </c>
      <c r="C1902" s="8">
        <f>IFERROR(VLOOKUP($A1902,'01-原始价格'!$A:$M,8,FALSE),"")</f>
        <v/>
      </c>
      <c r="D1902" s="10">
        <f>IFERROR(B1902/C1902,"")</f>
        <v/>
      </c>
      <c r="E1902" s="10">
        <f>IFERROR(C1902/B1902,"")</f>
        <v/>
      </c>
      <c r="F1902" s="11">
        <f>IFERROR((D1902/D1901-1)*100,"")</f>
        <v/>
      </c>
      <c r="G1902" s="11">
        <f>IFERROR((COUNTIF($D$1651:$D$1902,"&lt;"&amp;D1902)+0.5*COUNTIF($D$1651:$D$1902,D1902))/COUNT($D$1651:$D$1902)*100,"")</f>
        <v/>
      </c>
      <c r="H1902" s="10">
        <f>IFERROR(AVERAGE($D$1651:$D$1902),"")</f>
        <v/>
      </c>
      <c r="I1902" s="10" t="n">
        <v>-1.84298821796451</v>
      </c>
      <c r="J1902" t="inlineStr"/>
      <c r="K1902" t="inlineStr"/>
    </row>
    <row r="1903">
      <c r="A1903" s="7" t="inlineStr">
        <is>
          <t>2021-12-16</t>
        </is>
      </c>
      <c r="B1903" s="8">
        <f>IFERROR(VLOOKUP($A1903,'01-原始价格'!$A:$M,2,FALSE),"")</f>
        <v/>
      </c>
      <c r="C1903" s="8">
        <f>IFERROR(VLOOKUP($A1903,'01-原始价格'!$A:$M,8,FALSE),"")</f>
        <v/>
      </c>
      <c r="D1903" s="10">
        <f>IFERROR(B1903/C1903,"")</f>
        <v/>
      </c>
      <c r="E1903" s="10">
        <f>IFERROR(C1903/B1903,"")</f>
        <v/>
      </c>
      <c r="F1903" s="11">
        <f>IFERROR((D1903/D1902-1)*100,"")</f>
        <v/>
      </c>
      <c r="G1903" s="11">
        <f>IFERROR((COUNTIF($D$1652:$D$1903,"&lt;"&amp;D1903)+0.5*COUNTIF($D$1652:$D$1903,D1903))/COUNT($D$1652:$D$1903)*100,"")</f>
        <v/>
      </c>
      <c r="H1903" s="10">
        <f>IFERROR(AVERAGE($D$1652:$D$1903),"")</f>
        <v/>
      </c>
      <c r="I1903" s="10" t="n">
        <v>-1.562085465218117</v>
      </c>
      <c r="J1903" t="inlineStr"/>
      <c r="K1903" t="inlineStr"/>
    </row>
    <row r="1904">
      <c r="A1904" s="7" t="inlineStr">
        <is>
          <t>2021-12-17</t>
        </is>
      </c>
      <c r="B1904" s="8">
        <f>IFERROR(VLOOKUP($A1904,'01-原始价格'!$A:$M,2,FALSE),"")</f>
        <v/>
      </c>
      <c r="C1904" s="8">
        <f>IFERROR(VLOOKUP($A1904,'01-原始价格'!$A:$M,8,FALSE),"")</f>
        <v/>
      </c>
      <c r="D1904" s="10">
        <f>IFERROR(B1904/C1904,"")</f>
        <v/>
      </c>
      <c r="E1904" s="10">
        <f>IFERROR(C1904/B1904,"")</f>
        <v/>
      </c>
      <c r="F1904" s="11">
        <f>IFERROR((D1904/D1903-1)*100,"")</f>
        <v/>
      </c>
      <c r="G1904" s="11">
        <f>IFERROR((COUNTIF($D$1653:$D$1904,"&lt;"&amp;D1904)+0.5*COUNTIF($D$1653:$D$1904,D1904))/COUNT($D$1653:$D$1904)*100,"")</f>
        <v/>
      </c>
      <c r="H1904" s="10">
        <f>IFERROR(AVERAGE($D$1653:$D$1904),"")</f>
        <v/>
      </c>
      <c r="I1904" s="10" t="n">
        <v>-1.783023447249657</v>
      </c>
      <c r="J1904" t="inlineStr"/>
      <c r="K1904" s="12" t="inlineStr">
        <is>
          <t>是</t>
        </is>
      </c>
      <c r="L1904" t="inlineStr">
        <is>
          <t>换月日</t>
        </is>
      </c>
    </row>
    <row r="1905">
      <c r="A1905" s="7" t="inlineStr">
        <is>
          <t>2021-12-20</t>
        </is>
      </c>
      <c r="B1905" s="8">
        <f>IFERROR(VLOOKUP($A1905,'01-原始价格'!$A:$M,2,FALSE),"")</f>
        <v/>
      </c>
      <c r="C1905" s="8">
        <f>IFERROR(VLOOKUP($A1905,'01-原始价格'!$A:$M,8,FALSE),"")</f>
        <v/>
      </c>
      <c r="D1905" s="10">
        <f>IFERROR(B1905/C1905,"")</f>
        <v/>
      </c>
      <c r="E1905" s="10">
        <f>IFERROR(C1905/B1905,"")</f>
        <v/>
      </c>
      <c r="F1905" s="11">
        <f>IFERROR((D1905/D1904-1)*100,"")</f>
        <v/>
      </c>
      <c r="G1905" s="11">
        <f>IFERROR((COUNTIF($D$1654:$D$1905,"&lt;"&amp;D1905)+0.5*COUNTIF($D$1654:$D$1905,D1905))/COUNT($D$1654:$D$1905)*100,"")</f>
        <v/>
      </c>
      <c r="H1905" s="10">
        <f>IFERROR(AVERAGE($D$1654:$D$1905),"")</f>
        <v/>
      </c>
      <c r="I1905" s="10" t="n">
        <v>-1.558022369537633</v>
      </c>
      <c r="J1905" t="inlineStr"/>
      <c r="K1905" s="12" t="inlineStr">
        <is>
          <t>是</t>
        </is>
      </c>
      <c r="L1905" t="inlineStr">
        <is>
          <t>换月日</t>
        </is>
      </c>
    </row>
    <row r="1906">
      <c r="A1906" s="7" t="inlineStr">
        <is>
          <t>2021-12-21</t>
        </is>
      </c>
      <c r="B1906" s="8">
        <f>IFERROR(VLOOKUP($A1906,'01-原始价格'!$A:$M,2,FALSE),"")</f>
        <v/>
      </c>
      <c r="C1906" s="8">
        <f>IFERROR(VLOOKUP($A1906,'01-原始价格'!$A:$M,8,FALSE),"")</f>
        <v/>
      </c>
      <c r="D1906" s="10">
        <f>IFERROR(B1906/C1906,"")</f>
        <v/>
      </c>
      <c r="E1906" s="10">
        <f>IFERROR(C1906/B1906,"")</f>
        <v/>
      </c>
      <c r="F1906" s="11">
        <f>IFERROR((D1906/D1905-1)*100,"")</f>
        <v/>
      </c>
      <c r="G1906" s="11">
        <f>IFERROR((COUNTIF($D$1655:$D$1906,"&lt;"&amp;D1906)+0.5*COUNTIF($D$1655:$D$1906,D1906))/COUNT($D$1655:$D$1906)*100,"")</f>
        <v/>
      </c>
      <c r="H1906" s="10">
        <f>IFERROR(AVERAGE($D$1655:$D$1906),"")</f>
        <v/>
      </c>
      <c r="I1906" s="10" t="n">
        <v>-1.66213036435596</v>
      </c>
      <c r="J1906" t="inlineStr"/>
      <c r="K1906" t="inlineStr"/>
    </row>
    <row r="1907">
      <c r="A1907" s="7" t="inlineStr">
        <is>
          <t>2021-12-22</t>
        </is>
      </c>
      <c r="B1907" s="8">
        <f>IFERROR(VLOOKUP($A1907,'01-原始价格'!$A:$M,2,FALSE),"")</f>
        <v/>
      </c>
      <c r="C1907" s="8">
        <f>IFERROR(VLOOKUP($A1907,'01-原始价格'!$A:$M,8,FALSE),"")</f>
        <v/>
      </c>
      <c r="D1907" s="10">
        <f>IFERROR(B1907/C1907,"")</f>
        <v/>
      </c>
      <c r="E1907" s="10">
        <f>IFERROR(C1907/B1907,"")</f>
        <v/>
      </c>
      <c r="F1907" s="11">
        <f>IFERROR((D1907/D1906-1)*100,"")</f>
        <v/>
      </c>
      <c r="G1907" s="11">
        <f>IFERROR((COUNTIF($D$1656:$D$1907,"&lt;"&amp;D1907)+0.5*COUNTIF($D$1656:$D$1907,D1907))/COUNT($D$1656:$D$1907)*100,"")</f>
        <v/>
      </c>
      <c r="H1907" s="10">
        <f>IFERROR(AVERAGE($D$1656:$D$1907),"")</f>
        <v/>
      </c>
      <c r="I1907" s="10" t="n">
        <v>-1.68933534726194</v>
      </c>
      <c r="J1907" t="inlineStr"/>
      <c r="K1907" t="inlineStr"/>
    </row>
    <row r="1908">
      <c r="A1908" s="7" t="inlineStr">
        <is>
          <t>2021-12-23</t>
        </is>
      </c>
      <c r="B1908" s="8">
        <f>IFERROR(VLOOKUP($A1908,'01-原始价格'!$A:$M,2,FALSE),"")</f>
        <v/>
      </c>
      <c r="C1908" s="8">
        <f>IFERROR(VLOOKUP($A1908,'01-原始价格'!$A:$M,8,FALSE),"")</f>
        <v/>
      </c>
      <c r="D1908" s="10">
        <f>IFERROR(B1908/C1908,"")</f>
        <v/>
      </c>
      <c r="E1908" s="10">
        <f>IFERROR(C1908/B1908,"")</f>
        <v/>
      </c>
      <c r="F1908" s="11">
        <f>IFERROR((D1908/D1907-1)*100,"")</f>
        <v/>
      </c>
      <c r="G1908" s="11">
        <f>IFERROR((COUNTIF($D$1657:$D$1908,"&lt;"&amp;D1908)+0.5*COUNTIF($D$1657:$D$1908,D1908))/COUNT($D$1657:$D$1908)*100,"")</f>
        <v/>
      </c>
      <c r="H1908" s="10">
        <f>IFERROR(AVERAGE($D$1657:$D$1908),"")</f>
        <v/>
      </c>
      <c r="I1908" s="10" t="n">
        <v>-1.385952217693954</v>
      </c>
      <c r="J1908" t="inlineStr"/>
      <c r="K1908" t="inlineStr"/>
    </row>
    <row r="1909">
      <c r="A1909" s="7" t="inlineStr">
        <is>
          <t>2021-12-24</t>
        </is>
      </c>
      <c r="B1909" s="8">
        <f>IFERROR(VLOOKUP($A1909,'01-原始价格'!$A:$M,2,FALSE),"")</f>
        <v/>
      </c>
      <c r="C1909" s="8">
        <f>IFERROR(VLOOKUP($A1909,'01-原始价格'!$A:$M,8,FALSE),"")</f>
        <v/>
      </c>
      <c r="D1909" s="10">
        <f>IFERROR(B1909/C1909,"")</f>
        <v/>
      </c>
      <c r="E1909" s="10">
        <f>IFERROR(C1909/B1909,"")</f>
        <v/>
      </c>
      <c r="F1909" s="11">
        <f>IFERROR((D1909/D1908-1)*100,"")</f>
        <v/>
      </c>
      <c r="G1909" s="11">
        <f>IFERROR((COUNTIF($D$1658:$D$1909,"&lt;"&amp;D1909)+0.5*COUNTIF($D$1658:$D$1909,D1909))/COUNT($D$1658:$D$1909)*100,"")</f>
        <v/>
      </c>
      <c r="H1909" s="10">
        <f>IFERROR(AVERAGE($D$1658:$D$1909),"")</f>
        <v/>
      </c>
      <c r="I1909" s="10" t="n">
        <v>-1.3531958419939</v>
      </c>
      <c r="J1909" t="inlineStr"/>
      <c r="K1909" t="inlineStr"/>
    </row>
    <row r="1910">
      <c r="A1910" s="7" t="inlineStr">
        <is>
          <t>2021-12-27</t>
        </is>
      </c>
      <c r="B1910" s="8">
        <f>IFERROR(VLOOKUP($A1910,'01-原始价格'!$A:$M,2,FALSE),"")</f>
        <v/>
      </c>
      <c r="C1910" s="8">
        <f>IFERROR(VLOOKUP($A1910,'01-原始价格'!$A:$M,8,FALSE),"")</f>
        <v/>
      </c>
      <c r="D1910" s="10">
        <f>IFERROR(B1910/C1910,"")</f>
        <v/>
      </c>
      <c r="E1910" s="10">
        <f>IFERROR(C1910/B1910,"")</f>
        <v/>
      </c>
      <c r="F1910" s="11">
        <f>IFERROR((D1910/D1909-1)*100,"")</f>
        <v/>
      </c>
      <c r="G1910" s="11">
        <f>IFERROR((COUNTIF($D$1659:$D$1910,"&lt;"&amp;D1910)+0.5*COUNTIF($D$1659:$D$1910,D1910))/COUNT($D$1659:$D$1910)*100,"")</f>
        <v/>
      </c>
      <c r="H1910" s="10">
        <f>IFERROR(AVERAGE($D$1659:$D$1910),"")</f>
        <v/>
      </c>
      <c r="I1910" s="10" t="n">
        <v>-1.562449737323588</v>
      </c>
      <c r="J1910" t="inlineStr"/>
      <c r="K1910" t="inlineStr"/>
    </row>
    <row r="1911">
      <c r="A1911" s="7" t="inlineStr">
        <is>
          <t>2021-12-28</t>
        </is>
      </c>
      <c r="B1911" s="8">
        <f>IFERROR(VLOOKUP($A1911,'01-原始价格'!$A:$M,2,FALSE),"")</f>
        <v/>
      </c>
      <c r="C1911" s="8">
        <f>IFERROR(VLOOKUP($A1911,'01-原始价格'!$A:$M,8,FALSE),"")</f>
        <v/>
      </c>
      <c r="D1911" s="10">
        <f>IFERROR(B1911/C1911,"")</f>
        <v/>
      </c>
      <c r="E1911" s="10">
        <f>IFERROR(C1911/B1911,"")</f>
        <v/>
      </c>
      <c r="F1911" s="11">
        <f>IFERROR((D1911/D1910-1)*100,"")</f>
        <v/>
      </c>
      <c r="G1911" s="11">
        <f>IFERROR((COUNTIF($D$1660:$D$1911,"&lt;"&amp;D1911)+0.5*COUNTIF($D$1660:$D$1911,D1911))/COUNT($D$1660:$D$1911)*100,"")</f>
        <v/>
      </c>
      <c r="H1911" s="10">
        <f>IFERROR(AVERAGE($D$1660:$D$1911),"")</f>
        <v/>
      </c>
      <c r="I1911" s="10" t="n">
        <v>-1.806399780645151</v>
      </c>
      <c r="J1911" t="inlineStr"/>
      <c r="K1911" t="inlineStr"/>
    </row>
    <row r="1912">
      <c r="A1912" s="7" t="inlineStr">
        <is>
          <t>2021-12-29</t>
        </is>
      </c>
      <c r="B1912" s="8">
        <f>IFERROR(VLOOKUP($A1912,'01-原始价格'!$A:$M,2,FALSE),"")</f>
        <v/>
      </c>
      <c r="C1912" s="8">
        <f>IFERROR(VLOOKUP($A1912,'01-原始价格'!$A:$M,8,FALSE),"")</f>
        <v/>
      </c>
      <c r="D1912" s="10">
        <f>IFERROR(B1912/C1912,"")</f>
        <v/>
      </c>
      <c r="E1912" s="10">
        <f>IFERROR(C1912/B1912,"")</f>
        <v/>
      </c>
      <c r="F1912" s="11">
        <f>IFERROR((D1912/D1911-1)*100,"")</f>
        <v/>
      </c>
      <c r="G1912" s="11">
        <f>IFERROR((COUNTIF($D$1661:$D$1912,"&lt;"&amp;D1912)+0.5*COUNTIF($D$1661:$D$1912,D1912))/COUNT($D$1661:$D$1912)*100,"")</f>
        <v/>
      </c>
      <c r="H1912" s="10">
        <f>IFERROR(AVERAGE($D$1661:$D$1912),"")</f>
        <v/>
      </c>
      <c r="I1912" s="10" t="n">
        <v>-1.558289573521045</v>
      </c>
      <c r="J1912" t="inlineStr"/>
      <c r="K1912" t="inlineStr"/>
    </row>
    <row r="1913">
      <c r="A1913" s="7" t="inlineStr">
        <is>
          <t>2021-12-30</t>
        </is>
      </c>
      <c r="B1913" s="8">
        <f>IFERROR(VLOOKUP($A1913,'01-原始价格'!$A:$M,2,FALSE),"")</f>
        <v/>
      </c>
      <c r="C1913" s="8">
        <f>IFERROR(VLOOKUP($A1913,'01-原始价格'!$A:$M,8,FALSE),"")</f>
        <v/>
      </c>
      <c r="D1913" s="10">
        <f>IFERROR(B1913/C1913,"")</f>
        <v/>
      </c>
      <c r="E1913" s="10">
        <f>IFERROR(C1913/B1913,"")</f>
        <v/>
      </c>
      <c r="F1913" s="11">
        <f>IFERROR((D1913/D1912-1)*100,"")</f>
        <v/>
      </c>
      <c r="G1913" s="11">
        <f>IFERROR((COUNTIF($D$1662:$D$1913,"&lt;"&amp;D1913)+0.5*COUNTIF($D$1662:$D$1913,D1913))/COUNT($D$1662:$D$1913)*100,"")</f>
        <v/>
      </c>
      <c r="H1913" s="10">
        <f>IFERROR(AVERAGE($D$1662:$D$1913),"")</f>
        <v/>
      </c>
      <c r="I1913" s="10" t="n">
        <v>-1.459909312892222</v>
      </c>
      <c r="J1913" t="inlineStr"/>
      <c r="K1913" t="inlineStr"/>
    </row>
    <row r="1914">
      <c r="A1914" s="7" t="inlineStr">
        <is>
          <t>2021-12-31</t>
        </is>
      </c>
      <c r="B1914" s="8">
        <f>IFERROR(VLOOKUP($A1914,'01-原始价格'!$A:$M,2,FALSE),"")</f>
        <v/>
      </c>
      <c r="C1914" s="8">
        <f>IFERROR(VLOOKUP($A1914,'01-原始价格'!$A:$M,8,FALSE),"")</f>
        <v/>
      </c>
      <c r="D1914" s="10">
        <f>IFERROR(B1914/C1914,"")</f>
        <v/>
      </c>
      <c r="E1914" s="10">
        <f>IFERROR(C1914/B1914,"")</f>
        <v/>
      </c>
      <c r="F1914" s="11">
        <f>IFERROR((D1914/D1913-1)*100,"")</f>
        <v/>
      </c>
      <c r="G1914" s="11">
        <f>IFERROR((COUNTIF($D$1663:$D$1914,"&lt;"&amp;D1914)+0.5*COUNTIF($D$1663:$D$1914,D1914))/COUNT($D$1663:$D$1914)*100,"")</f>
        <v/>
      </c>
      <c r="H1914" s="10">
        <f>IFERROR(AVERAGE($D$1663:$D$1914),"")</f>
        <v/>
      </c>
      <c r="I1914" s="10" t="n">
        <v>-1.26163311863424</v>
      </c>
      <c r="J1914" t="inlineStr"/>
      <c r="K1914" t="inlineStr"/>
    </row>
    <row r="1915">
      <c r="A1915" s="7" t="inlineStr">
        <is>
          <t>2022-01-04</t>
        </is>
      </c>
      <c r="B1915" s="8">
        <f>IFERROR(VLOOKUP($A1915,'01-原始价格'!$A:$M,2,FALSE),"")</f>
        <v/>
      </c>
      <c r="C1915" s="8">
        <f>IFERROR(VLOOKUP($A1915,'01-原始价格'!$A:$M,8,FALSE),"")</f>
        <v/>
      </c>
      <c r="D1915" s="10">
        <f>IFERROR(B1915/C1915,"")</f>
        <v/>
      </c>
      <c r="E1915" s="10">
        <f>IFERROR(C1915/B1915,"")</f>
        <v/>
      </c>
      <c r="F1915" s="11">
        <f>IFERROR((D1915/D1914-1)*100,"")</f>
        <v/>
      </c>
      <c r="G1915" s="11">
        <f>IFERROR((COUNTIF($D$1664:$D$1915,"&lt;"&amp;D1915)+0.5*COUNTIF($D$1664:$D$1915,D1915))/COUNT($D$1664:$D$1915)*100,"")</f>
        <v/>
      </c>
      <c r="H1915" s="10">
        <f>IFERROR(AVERAGE($D$1664:$D$1915),"")</f>
        <v/>
      </c>
      <c r="I1915" s="10" t="n">
        <v>-1.409750013889028</v>
      </c>
      <c r="J1915" t="inlineStr"/>
      <c r="K1915" t="inlineStr"/>
    </row>
    <row r="1916">
      <c r="A1916" s="7" t="inlineStr">
        <is>
          <t>2022-01-05</t>
        </is>
      </c>
      <c r="B1916" s="8">
        <f>IFERROR(VLOOKUP($A1916,'01-原始价格'!$A:$M,2,FALSE),"")</f>
        <v/>
      </c>
      <c r="C1916" s="8">
        <f>IFERROR(VLOOKUP($A1916,'01-原始价格'!$A:$M,8,FALSE),"")</f>
        <v/>
      </c>
      <c r="D1916" s="10">
        <f>IFERROR(B1916/C1916,"")</f>
        <v/>
      </c>
      <c r="E1916" s="10">
        <f>IFERROR(C1916/B1916,"")</f>
        <v/>
      </c>
      <c r="F1916" s="11">
        <f>IFERROR((D1916/D1915-1)*100,"")</f>
        <v/>
      </c>
      <c r="G1916" s="11">
        <f>IFERROR((COUNTIF($D$1665:$D$1916,"&lt;"&amp;D1916)+0.5*COUNTIF($D$1665:$D$1916,D1916))/COUNT($D$1665:$D$1916)*100,"")</f>
        <v/>
      </c>
      <c r="H1916" s="10">
        <f>IFERROR(AVERAGE($D$1665:$D$1916),"")</f>
        <v/>
      </c>
      <c r="I1916" s="10" t="n">
        <v>-1.171654241036311</v>
      </c>
      <c r="J1916" t="inlineStr"/>
      <c r="K1916" t="inlineStr"/>
    </row>
    <row r="1917">
      <c r="A1917" s="7" t="inlineStr">
        <is>
          <t>2022-01-06</t>
        </is>
      </c>
      <c r="B1917" s="8">
        <f>IFERROR(VLOOKUP($A1917,'01-原始价格'!$A:$M,2,FALSE),"")</f>
        <v/>
      </c>
      <c r="C1917" s="8">
        <f>IFERROR(VLOOKUP($A1917,'01-原始价格'!$A:$M,8,FALSE),"")</f>
        <v/>
      </c>
      <c r="D1917" s="10">
        <f>IFERROR(B1917/C1917,"")</f>
        <v/>
      </c>
      <c r="E1917" s="10">
        <f>IFERROR(C1917/B1917,"")</f>
        <v/>
      </c>
      <c r="F1917" s="11">
        <f>IFERROR((D1917/D1916-1)*100,"")</f>
        <v/>
      </c>
      <c r="G1917" s="11">
        <f>IFERROR((COUNTIF($D$1666:$D$1917,"&lt;"&amp;D1917)+0.5*COUNTIF($D$1666:$D$1917,D1917))/COUNT($D$1666:$D$1917)*100,"")</f>
        <v/>
      </c>
      <c r="H1917" s="10">
        <f>IFERROR(AVERAGE($D$1666:$D$1917),"")</f>
        <v/>
      </c>
      <c r="I1917" s="10" t="n">
        <v>-1.266495545503906</v>
      </c>
      <c r="J1917" t="inlineStr"/>
      <c r="K1917" t="inlineStr"/>
    </row>
    <row r="1918">
      <c r="A1918" s="7" t="inlineStr">
        <is>
          <t>2022-01-07</t>
        </is>
      </c>
      <c r="B1918" s="8">
        <f>IFERROR(VLOOKUP($A1918,'01-原始价格'!$A:$M,2,FALSE),"")</f>
        <v/>
      </c>
      <c r="C1918" s="8">
        <f>IFERROR(VLOOKUP($A1918,'01-原始价格'!$A:$M,8,FALSE),"")</f>
        <v/>
      </c>
      <c r="D1918" s="10">
        <f>IFERROR(B1918/C1918,"")</f>
        <v/>
      </c>
      <c r="E1918" s="10">
        <f>IFERROR(C1918/B1918,"")</f>
        <v/>
      </c>
      <c r="F1918" s="11">
        <f>IFERROR((D1918/D1917-1)*100,"")</f>
        <v/>
      </c>
      <c r="G1918" s="11">
        <f>IFERROR((COUNTIF($D$1667:$D$1918,"&lt;"&amp;D1918)+0.5*COUNTIF($D$1667:$D$1918,D1918))/COUNT($D$1667:$D$1918)*100,"")</f>
        <v/>
      </c>
      <c r="H1918" s="10">
        <f>IFERROR(AVERAGE($D$1667:$D$1918),"")</f>
        <v/>
      </c>
      <c r="I1918" s="10" t="n">
        <v>-1.166351365208496</v>
      </c>
      <c r="J1918" t="inlineStr"/>
      <c r="K1918" t="inlineStr"/>
    </row>
    <row r="1919">
      <c r="A1919" s="7" t="inlineStr">
        <is>
          <t>2022-01-10</t>
        </is>
      </c>
      <c r="B1919" s="8">
        <f>IFERROR(VLOOKUP($A1919,'01-原始价格'!$A:$M,2,FALSE),"")</f>
        <v/>
      </c>
      <c r="C1919" s="8">
        <f>IFERROR(VLOOKUP($A1919,'01-原始价格'!$A:$M,8,FALSE),"")</f>
        <v/>
      </c>
      <c r="D1919" s="10">
        <f>IFERROR(B1919/C1919,"")</f>
        <v/>
      </c>
      <c r="E1919" s="10">
        <f>IFERROR(C1919/B1919,"")</f>
        <v/>
      </c>
      <c r="F1919" s="11">
        <f>IFERROR((D1919/D1918-1)*100,"")</f>
        <v/>
      </c>
      <c r="G1919" s="11">
        <f>IFERROR((COUNTIF($D$1668:$D$1919,"&lt;"&amp;D1919)+0.5*COUNTIF($D$1668:$D$1919,D1919))/COUNT($D$1668:$D$1919)*100,"")</f>
        <v/>
      </c>
      <c r="H1919" s="10">
        <f>IFERROR(AVERAGE($D$1668:$D$1919),"")</f>
        <v/>
      </c>
      <c r="I1919" s="10" t="n">
        <v>-1.051361888376003</v>
      </c>
      <c r="J1919" t="inlineStr"/>
      <c r="K1919" t="inlineStr"/>
    </row>
    <row r="1920">
      <c r="A1920" s="7" t="inlineStr">
        <is>
          <t>2022-01-11</t>
        </is>
      </c>
      <c r="B1920" s="8">
        <f>IFERROR(VLOOKUP($A1920,'01-原始价格'!$A:$M,2,FALSE),"")</f>
        <v/>
      </c>
      <c r="C1920" s="8">
        <f>IFERROR(VLOOKUP($A1920,'01-原始价格'!$A:$M,8,FALSE),"")</f>
        <v/>
      </c>
      <c r="D1920" s="10">
        <f>IFERROR(B1920/C1920,"")</f>
        <v/>
      </c>
      <c r="E1920" s="10">
        <f>IFERROR(C1920/B1920,"")</f>
        <v/>
      </c>
      <c r="F1920" s="11">
        <f>IFERROR((D1920/D1919-1)*100,"")</f>
        <v/>
      </c>
      <c r="G1920" s="11">
        <f>IFERROR((COUNTIF($D$1669:$D$1920,"&lt;"&amp;D1920)+0.5*COUNTIF($D$1669:$D$1920,D1920))/COUNT($D$1669:$D$1920)*100,"")</f>
        <v/>
      </c>
      <c r="H1920" s="10">
        <f>IFERROR(AVERAGE($D$1669:$D$1920),"")</f>
        <v/>
      </c>
      <c r="I1920" s="10" t="n">
        <v>-1.096736285725677</v>
      </c>
      <c r="J1920" t="inlineStr"/>
      <c r="K1920" t="inlineStr"/>
    </row>
    <row r="1921">
      <c r="A1921" s="7" t="inlineStr">
        <is>
          <t>2022-01-12</t>
        </is>
      </c>
      <c r="B1921" s="8">
        <f>IFERROR(VLOOKUP($A1921,'01-原始价格'!$A:$M,2,FALSE),"")</f>
        <v/>
      </c>
      <c r="C1921" s="8">
        <f>IFERROR(VLOOKUP($A1921,'01-原始价格'!$A:$M,8,FALSE),"")</f>
        <v/>
      </c>
      <c r="D1921" s="10">
        <f>IFERROR(B1921/C1921,"")</f>
        <v/>
      </c>
      <c r="E1921" s="10">
        <f>IFERROR(C1921/B1921,"")</f>
        <v/>
      </c>
      <c r="F1921" s="11">
        <f>IFERROR((D1921/D1920-1)*100,"")</f>
        <v/>
      </c>
      <c r="G1921" s="11">
        <f>IFERROR((COUNTIF($D$1670:$D$1921,"&lt;"&amp;D1921)+0.5*COUNTIF($D$1670:$D$1921,D1921))/COUNT($D$1670:$D$1921)*100,"")</f>
        <v/>
      </c>
      <c r="H1921" s="10">
        <f>IFERROR(AVERAGE($D$1670:$D$1921),"")</f>
        <v/>
      </c>
      <c r="I1921" s="10" t="n">
        <v>-1.162452926448693</v>
      </c>
      <c r="J1921" t="inlineStr"/>
      <c r="K1921" t="inlineStr"/>
    </row>
    <row r="1922">
      <c r="A1922" s="7" t="inlineStr">
        <is>
          <t>2022-01-13</t>
        </is>
      </c>
      <c r="B1922" s="8">
        <f>IFERROR(VLOOKUP($A1922,'01-原始价格'!$A:$M,2,FALSE),"")</f>
        <v/>
      </c>
      <c r="C1922" s="8">
        <f>IFERROR(VLOOKUP($A1922,'01-原始价格'!$A:$M,8,FALSE),"")</f>
        <v/>
      </c>
      <c r="D1922" s="10">
        <f>IFERROR(B1922/C1922,"")</f>
        <v/>
      </c>
      <c r="E1922" s="10">
        <f>IFERROR(C1922/B1922,"")</f>
        <v/>
      </c>
      <c r="F1922" s="11">
        <f>IFERROR((D1922/D1921-1)*100,"")</f>
        <v/>
      </c>
      <c r="G1922" s="11">
        <f>IFERROR((COUNTIF($D$1671:$D$1922,"&lt;"&amp;D1922)+0.5*COUNTIF($D$1671:$D$1922,D1922))/COUNT($D$1671:$D$1922)*100,"")</f>
        <v/>
      </c>
      <c r="H1922" s="10">
        <f>IFERROR(AVERAGE($D$1671:$D$1922),"")</f>
        <v/>
      </c>
      <c r="I1922" s="10" t="n">
        <v>-1.021991901819477</v>
      </c>
      <c r="J1922" t="inlineStr"/>
      <c r="K1922" t="inlineStr"/>
    </row>
    <row r="1923">
      <c r="A1923" s="7" t="inlineStr">
        <is>
          <t>2022-01-14</t>
        </is>
      </c>
      <c r="B1923" s="8">
        <f>IFERROR(VLOOKUP($A1923,'01-原始价格'!$A:$M,2,FALSE),"")</f>
        <v/>
      </c>
      <c r="C1923" s="8">
        <f>IFERROR(VLOOKUP($A1923,'01-原始价格'!$A:$M,8,FALSE),"")</f>
        <v/>
      </c>
      <c r="D1923" s="10">
        <f>IFERROR(B1923/C1923,"")</f>
        <v/>
      </c>
      <c r="E1923" s="10">
        <f>IFERROR(C1923/B1923,"")</f>
        <v/>
      </c>
      <c r="F1923" s="11">
        <f>IFERROR((D1923/D1922-1)*100,"")</f>
        <v/>
      </c>
      <c r="G1923" s="11">
        <f>IFERROR((COUNTIF($D$1672:$D$1923,"&lt;"&amp;D1923)+0.5*COUNTIF($D$1672:$D$1923,D1923))/COUNT($D$1672:$D$1923)*100,"")</f>
        <v/>
      </c>
      <c r="H1923" s="10">
        <f>IFERROR(AVERAGE($D$1672:$D$1923),"")</f>
        <v/>
      </c>
      <c r="I1923" s="10" t="n">
        <v>-0.8941510848647877</v>
      </c>
      <c r="J1923" t="inlineStr"/>
      <c r="K1923" t="inlineStr"/>
    </row>
    <row r="1924">
      <c r="A1924" s="7" t="inlineStr">
        <is>
          <t>2022-01-17</t>
        </is>
      </c>
      <c r="B1924" s="8">
        <f>IFERROR(VLOOKUP($A1924,'01-原始价格'!$A:$M,2,FALSE),"")</f>
        <v/>
      </c>
      <c r="C1924" s="8">
        <f>IFERROR(VLOOKUP($A1924,'01-原始价格'!$A:$M,8,FALSE),"")</f>
        <v/>
      </c>
      <c r="D1924" s="10">
        <f>IFERROR(B1924/C1924,"")</f>
        <v/>
      </c>
      <c r="E1924" s="10">
        <f>IFERROR(C1924/B1924,"")</f>
        <v/>
      </c>
      <c r="F1924" s="11">
        <f>IFERROR((D1924/D1923-1)*100,"")</f>
        <v/>
      </c>
      <c r="G1924" s="11">
        <f>IFERROR((COUNTIF($D$1673:$D$1924,"&lt;"&amp;D1924)+0.5*COUNTIF($D$1673:$D$1924,D1924))/COUNT($D$1673:$D$1924)*100,"")</f>
        <v/>
      </c>
      <c r="H1924" s="10">
        <f>IFERROR(AVERAGE($D$1673:$D$1924),"")</f>
        <v/>
      </c>
      <c r="I1924" s="10" t="n">
        <v>-0.8166451710978633</v>
      </c>
      <c r="J1924" t="inlineStr"/>
      <c r="K1924" t="inlineStr"/>
    </row>
    <row r="1925">
      <c r="A1925" s="7" t="inlineStr">
        <is>
          <t>2022-01-18</t>
        </is>
      </c>
      <c r="B1925" s="8">
        <f>IFERROR(VLOOKUP($A1925,'01-原始价格'!$A:$M,2,FALSE),"")</f>
        <v/>
      </c>
      <c r="C1925" s="8">
        <f>IFERROR(VLOOKUP($A1925,'01-原始价格'!$A:$M,8,FALSE),"")</f>
        <v/>
      </c>
      <c r="D1925" s="10">
        <f>IFERROR(B1925/C1925,"")</f>
        <v/>
      </c>
      <c r="E1925" s="10">
        <f>IFERROR(C1925/B1925,"")</f>
        <v/>
      </c>
      <c r="F1925" s="11">
        <f>IFERROR((D1925/D1924-1)*100,"")</f>
        <v/>
      </c>
      <c r="G1925" s="11">
        <f>IFERROR((COUNTIF($D$1674:$D$1925,"&lt;"&amp;D1925)+0.5*COUNTIF($D$1674:$D$1925,D1925))/COUNT($D$1674:$D$1925)*100,"")</f>
        <v/>
      </c>
      <c r="H1925" s="10">
        <f>IFERROR(AVERAGE($D$1674:$D$1925),"")</f>
        <v/>
      </c>
      <c r="I1925" s="10" t="n">
        <v>-0.7933309240427818</v>
      </c>
      <c r="J1925" t="inlineStr"/>
      <c r="K1925" t="inlineStr"/>
    </row>
    <row r="1926">
      <c r="A1926" s="7" t="inlineStr">
        <is>
          <t>2022-01-19</t>
        </is>
      </c>
      <c r="B1926" s="8">
        <f>IFERROR(VLOOKUP($A1926,'01-原始价格'!$A:$M,2,FALSE),"")</f>
        <v/>
      </c>
      <c r="C1926" s="8">
        <f>IFERROR(VLOOKUP($A1926,'01-原始价格'!$A:$M,8,FALSE),"")</f>
        <v/>
      </c>
      <c r="D1926" s="10">
        <f>IFERROR(B1926/C1926,"")</f>
        <v/>
      </c>
      <c r="E1926" s="10">
        <f>IFERROR(C1926/B1926,"")</f>
        <v/>
      </c>
      <c r="F1926" s="11">
        <f>IFERROR((D1926/D1925-1)*100,"")</f>
        <v/>
      </c>
      <c r="G1926" s="11">
        <f>IFERROR((COUNTIF($D$1675:$D$1926,"&lt;"&amp;D1926)+0.5*COUNTIF($D$1675:$D$1926,D1926))/COUNT($D$1675:$D$1926)*100,"")</f>
        <v/>
      </c>
      <c r="H1926" s="10">
        <f>IFERROR(AVERAGE($D$1675:$D$1926),"")</f>
        <v/>
      </c>
      <c r="I1926" s="10" t="n">
        <v>-0.7240859191223513</v>
      </c>
      <c r="J1926" t="inlineStr"/>
      <c r="K1926" t="inlineStr"/>
    </row>
    <row r="1927">
      <c r="A1927" s="7" t="inlineStr">
        <is>
          <t>2022-01-20</t>
        </is>
      </c>
      <c r="B1927" s="8">
        <f>IFERROR(VLOOKUP($A1927,'01-原始价格'!$A:$M,2,FALSE),"")</f>
        <v/>
      </c>
      <c r="C1927" s="8">
        <f>IFERROR(VLOOKUP($A1927,'01-原始价格'!$A:$M,8,FALSE),"")</f>
        <v/>
      </c>
      <c r="D1927" s="10">
        <f>IFERROR(B1927/C1927,"")</f>
        <v/>
      </c>
      <c r="E1927" s="10">
        <f>IFERROR(C1927/B1927,"")</f>
        <v/>
      </c>
      <c r="F1927" s="11">
        <f>IFERROR((D1927/D1926-1)*100,"")</f>
        <v/>
      </c>
      <c r="G1927" s="11">
        <f>IFERROR((COUNTIF($D$1676:$D$1927,"&lt;"&amp;D1927)+0.5*COUNTIF($D$1676:$D$1927,D1927))/COUNT($D$1676:$D$1927)*100,"")</f>
        <v/>
      </c>
      <c r="H1927" s="10">
        <f>IFERROR(AVERAGE($D$1676:$D$1927),"")</f>
        <v/>
      </c>
      <c r="I1927" s="10" t="n">
        <v>-0.6923036222173518</v>
      </c>
      <c r="J1927" t="inlineStr"/>
      <c r="K1927" t="inlineStr"/>
    </row>
    <row r="1928">
      <c r="A1928" s="7" t="inlineStr">
        <is>
          <t>2022-01-21</t>
        </is>
      </c>
      <c r="B1928" s="8">
        <f>IFERROR(VLOOKUP($A1928,'01-原始价格'!$A:$M,2,FALSE),"")</f>
        <v/>
      </c>
      <c r="C1928" s="8">
        <f>IFERROR(VLOOKUP($A1928,'01-原始价格'!$A:$M,8,FALSE),"")</f>
        <v/>
      </c>
      <c r="D1928" s="10">
        <f>IFERROR(B1928/C1928,"")</f>
        <v/>
      </c>
      <c r="E1928" s="10">
        <f>IFERROR(C1928/B1928,"")</f>
        <v/>
      </c>
      <c r="F1928" s="11">
        <f>IFERROR((D1928/D1927-1)*100,"")</f>
        <v/>
      </c>
      <c r="G1928" s="11">
        <f>IFERROR((COUNTIF($D$1677:$D$1928,"&lt;"&amp;D1928)+0.5*COUNTIF($D$1677:$D$1928,D1928))/COUNT($D$1677:$D$1928)*100,"")</f>
        <v/>
      </c>
      <c r="H1928" s="10">
        <f>IFERROR(AVERAGE($D$1677:$D$1928),"")</f>
        <v/>
      </c>
      <c r="I1928" s="10" t="n">
        <v>-0.7262081508501099</v>
      </c>
      <c r="J1928" t="inlineStr"/>
      <c r="K1928" t="inlineStr"/>
    </row>
    <row r="1929">
      <c r="A1929" s="7" t="inlineStr">
        <is>
          <t>2022-01-24</t>
        </is>
      </c>
      <c r="B1929" s="8">
        <f>IFERROR(VLOOKUP($A1929,'01-原始价格'!$A:$M,2,FALSE),"")</f>
        <v/>
      </c>
      <c r="C1929" s="8">
        <f>IFERROR(VLOOKUP($A1929,'01-原始价格'!$A:$M,8,FALSE),"")</f>
        <v/>
      </c>
      <c r="D1929" s="10">
        <f>IFERROR(B1929/C1929,"")</f>
        <v/>
      </c>
      <c r="E1929" s="10">
        <f>IFERROR(C1929/B1929,"")</f>
        <v/>
      </c>
      <c r="F1929" s="11">
        <f>IFERROR((D1929/D1928-1)*100,"")</f>
        <v/>
      </c>
      <c r="G1929" s="11">
        <f>IFERROR((COUNTIF($D$1678:$D$1929,"&lt;"&amp;D1929)+0.5*COUNTIF($D$1678:$D$1929,D1929))/COUNT($D$1678:$D$1929)*100,"")</f>
        <v/>
      </c>
      <c r="H1929" s="10">
        <f>IFERROR(AVERAGE($D$1678:$D$1929),"")</f>
        <v/>
      </c>
      <c r="I1929" s="10" t="n">
        <v>-0.7013392810233345</v>
      </c>
      <c r="J1929" t="inlineStr"/>
      <c r="K1929" t="inlineStr"/>
    </row>
    <row r="1930">
      <c r="A1930" s="7" t="inlineStr">
        <is>
          <t>2022-01-25</t>
        </is>
      </c>
      <c r="B1930" s="8">
        <f>IFERROR(VLOOKUP($A1930,'01-原始价格'!$A:$M,2,FALSE),"")</f>
        <v/>
      </c>
      <c r="C1930" s="8">
        <f>IFERROR(VLOOKUP($A1930,'01-原始价格'!$A:$M,8,FALSE),"")</f>
        <v/>
      </c>
      <c r="D1930" s="10">
        <f>IFERROR(B1930/C1930,"")</f>
        <v/>
      </c>
      <c r="E1930" s="10">
        <f>IFERROR(C1930/B1930,"")</f>
        <v/>
      </c>
      <c r="F1930" s="11">
        <f>IFERROR((D1930/D1929-1)*100,"")</f>
        <v/>
      </c>
      <c r="G1930" s="11">
        <f>IFERROR((COUNTIF($D$1679:$D$1930,"&lt;"&amp;D1930)+0.5*COUNTIF($D$1679:$D$1930,D1930))/COUNT($D$1679:$D$1930)*100,"")</f>
        <v/>
      </c>
      <c r="H1930" s="10">
        <f>IFERROR(AVERAGE($D$1679:$D$1930),"")</f>
        <v/>
      </c>
      <c r="I1930" s="10" t="n">
        <v>-0.6853348764575758</v>
      </c>
      <c r="J1930" t="inlineStr"/>
      <c r="K1930" t="inlineStr"/>
    </row>
    <row r="1931">
      <c r="A1931" s="7" t="inlineStr">
        <is>
          <t>2022-01-26</t>
        </is>
      </c>
      <c r="B1931" s="8">
        <f>IFERROR(VLOOKUP($A1931,'01-原始价格'!$A:$M,2,FALSE),"")</f>
        <v/>
      </c>
      <c r="C1931" s="8">
        <f>IFERROR(VLOOKUP($A1931,'01-原始价格'!$A:$M,8,FALSE),"")</f>
        <v/>
      </c>
      <c r="D1931" s="10">
        <f>IFERROR(B1931/C1931,"")</f>
        <v/>
      </c>
      <c r="E1931" s="10">
        <f>IFERROR(C1931/B1931,"")</f>
        <v/>
      </c>
      <c r="F1931" s="11">
        <f>IFERROR((D1931/D1930-1)*100,"")</f>
        <v/>
      </c>
      <c r="G1931" s="11">
        <f>IFERROR((COUNTIF($D$1680:$D$1931,"&lt;"&amp;D1931)+0.5*COUNTIF($D$1680:$D$1931,D1931))/COUNT($D$1680:$D$1931)*100,"")</f>
        <v/>
      </c>
      <c r="H1931" s="10">
        <f>IFERROR(AVERAGE($D$1680:$D$1931),"")</f>
        <v/>
      </c>
      <c r="I1931" s="10" t="n">
        <v>-0.6422074670181138</v>
      </c>
      <c r="J1931" t="inlineStr"/>
      <c r="K1931" t="inlineStr"/>
    </row>
    <row r="1932">
      <c r="A1932" s="7" t="inlineStr">
        <is>
          <t>2022-01-27</t>
        </is>
      </c>
      <c r="B1932" s="8">
        <f>IFERROR(VLOOKUP($A1932,'01-原始价格'!$A:$M,2,FALSE),"")</f>
        <v/>
      </c>
      <c r="C1932" s="8">
        <f>IFERROR(VLOOKUP($A1932,'01-原始价格'!$A:$M,8,FALSE),"")</f>
        <v/>
      </c>
      <c r="D1932" s="10">
        <f>IFERROR(B1932/C1932,"")</f>
        <v/>
      </c>
      <c r="E1932" s="10">
        <f>IFERROR(C1932/B1932,"")</f>
        <v/>
      </c>
      <c r="F1932" s="11">
        <f>IFERROR((D1932/D1931-1)*100,"")</f>
        <v/>
      </c>
      <c r="G1932" s="11">
        <f>IFERROR((COUNTIF($D$1681:$D$1932,"&lt;"&amp;D1932)+0.5*COUNTIF($D$1681:$D$1932,D1932))/COUNT($D$1681:$D$1932)*100,"")</f>
        <v/>
      </c>
      <c r="H1932" s="10">
        <f>IFERROR(AVERAGE($D$1681:$D$1932),"")</f>
        <v/>
      </c>
      <c r="I1932" s="10" t="n">
        <v>-0.6757259650532744</v>
      </c>
      <c r="J1932" t="inlineStr"/>
      <c r="K1932" t="inlineStr"/>
    </row>
    <row r="1933">
      <c r="A1933" s="7" t="inlineStr">
        <is>
          <t>2022-01-28</t>
        </is>
      </c>
      <c r="B1933" s="8">
        <f>IFERROR(VLOOKUP($A1933,'01-原始价格'!$A:$M,2,FALSE),"")</f>
        <v/>
      </c>
      <c r="C1933" s="8">
        <f>IFERROR(VLOOKUP($A1933,'01-原始价格'!$A:$M,8,FALSE),"")</f>
        <v/>
      </c>
      <c r="D1933" s="10">
        <f>IFERROR(B1933/C1933,"")</f>
        <v/>
      </c>
      <c r="E1933" s="10">
        <f>IFERROR(C1933/B1933,"")</f>
        <v/>
      </c>
      <c r="F1933" s="11">
        <f>IFERROR((D1933/D1932-1)*100,"")</f>
        <v/>
      </c>
      <c r="G1933" s="11">
        <f>IFERROR((COUNTIF($D$1682:$D$1933,"&lt;"&amp;D1933)+0.5*COUNTIF($D$1682:$D$1933,D1933))/COUNT($D$1682:$D$1933)*100,"")</f>
        <v/>
      </c>
      <c r="H1933" s="10">
        <f>IFERROR(AVERAGE($D$1682:$D$1933),"")</f>
        <v/>
      </c>
      <c r="I1933" s="10" t="n">
        <v>-0.6242802775183941</v>
      </c>
      <c r="J1933" t="inlineStr"/>
      <c r="K1933" t="inlineStr"/>
    </row>
    <row r="1934">
      <c r="A1934" s="7" t="inlineStr">
        <is>
          <t>2022-02-07</t>
        </is>
      </c>
      <c r="B1934" s="8">
        <f>IFERROR(VLOOKUP($A1934,'01-原始价格'!$A:$M,2,FALSE),"")</f>
        <v/>
      </c>
      <c r="C1934" s="8">
        <f>IFERROR(VLOOKUP($A1934,'01-原始价格'!$A:$M,8,FALSE),"")</f>
        <v/>
      </c>
      <c r="D1934" s="10">
        <f>IFERROR(B1934/C1934,"")</f>
        <v/>
      </c>
      <c r="E1934" s="10">
        <f>IFERROR(C1934/B1934,"")</f>
        <v/>
      </c>
      <c r="F1934" s="11">
        <f>IFERROR((D1934/D1933-1)*100,"")</f>
        <v/>
      </c>
      <c r="G1934" s="11">
        <f>IFERROR((COUNTIF($D$1683:$D$1934,"&lt;"&amp;D1934)+0.5*COUNTIF($D$1683:$D$1934,D1934))/COUNT($D$1683:$D$1934)*100,"")</f>
        <v/>
      </c>
      <c r="H1934" s="10">
        <f>IFERROR(AVERAGE($D$1683:$D$1934),"")</f>
        <v/>
      </c>
      <c r="I1934" s="10" t="n">
        <v>-0.6452843199748741</v>
      </c>
      <c r="J1934" t="inlineStr"/>
      <c r="K1934" t="inlineStr"/>
    </row>
    <row r="1935">
      <c r="A1935" s="7" t="inlineStr">
        <is>
          <t>2022-02-08</t>
        </is>
      </c>
      <c r="B1935" s="8">
        <f>IFERROR(VLOOKUP($A1935,'01-原始价格'!$A:$M,2,FALSE),"")</f>
        <v/>
      </c>
      <c r="C1935" s="8">
        <f>IFERROR(VLOOKUP($A1935,'01-原始价格'!$A:$M,8,FALSE),"")</f>
        <v/>
      </c>
      <c r="D1935" s="10">
        <f>IFERROR(B1935/C1935,"")</f>
        <v/>
      </c>
      <c r="E1935" s="10">
        <f>IFERROR(C1935/B1935,"")</f>
        <v/>
      </c>
      <c r="F1935" s="11">
        <f>IFERROR((D1935/D1934-1)*100,"")</f>
        <v/>
      </c>
      <c r="G1935" s="11">
        <f>IFERROR((COUNTIF($D$1684:$D$1935,"&lt;"&amp;D1935)+0.5*COUNTIF($D$1684:$D$1935,D1935))/COUNT($D$1684:$D$1935)*100,"")</f>
        <v/>
      </c>
      <c r="H1935" s="10">
        <f>IFERROR(AVERAGE($D$1684:$D$1935),"")</f>
        <v/>
      </c>
      <c r="I1935" s="10" t="n">
        <v>-0.6485892887536601</v>
      </c>
      <c r="J1935" t="inlineStr"/>
      <c r="K1935" t="inlineStr"/>
    </row>
    <row r="1936">
      <c r="A1936" s="7" t="inlineStr">
        <is>
          <t>2022-02-09</t>
        </is>
      </c>
      <c r="B1936" s="8">
        <f>IFERROR(VLOOKUP($A1936,'01-原始价格'!$A:$M,2,FALSE),"")</f>
        <v/>
      </c>
      <c r="C1936" s="8">
        <f>IFERROR(VLOOKUP($A1936,'01-原始价格'!$A:$M,8,FALSE),"")</f>
        <v/>
      </c>
      <c r="D1936" s="10">
        <f>IFERROR(B1936/C1936,"")</f>
        <v/>
      </c>
      <c r="E1936" s="10">
        <f>IFERROR(C1936/B1936,"")</f>
        <v/>
      </c>
      <c r="F1936" s="11">
        <f>IFERROR((D1936/D1935-1)*100,"")</f>
        <v/>
      </c>
      <c r="G1936" s="11">
        <f>IFERROR((COUNTIF($D$1685:$D$1936,"&lt;"&amp;D1936)+0.5*COUNTIF($D$1685:$D$1936,D1936))/COUNT($D$1685:$D$1936)*100,"")</f>
        <v/>
      </c>
      <c r="H1936" s="10">
        <f>IFERROR(AVERAGE($D$1685:$D$1936),"")</f>
        <v/>
      </c>
      <c r="I1936" s="10" t="n">
        <v>-0.5330132209542359</v>
      </c>
      <c r="J1936" t="inlineStr"/>
      <c r="K1936" t="inlineStr"/>
    </row>
    <row r="1937">
      <c r="A1937" s="7" t="inlineStr">
        <is>
          <t>2022-02-10</t>
        </is>
      </c>
      <c r="B1937" s="8">
        <f>IFERROR(VLOOKUP($A1937,'01-原始价格'!$A:$M,2,FALSE),"")</f>
        <v/>
      </c>
      <c r="C1937" s="8">
        <f>IFERROR(VLOOKUP($A1937,'01-原始价格'!$A:$M,8,FALSE),"")</f>
        <v/>
      </c>
      <c r="D1937" s="10">
        <f>IFERROR(B1937/C1937,"")</f>
        <v/>
      </c>
      <c r="E1937" s="10">
        <f>IFERROR(C1937/B1937,"")</f>
        <v/>
      </c>
      <c r="F1937" s="11">
        <f>IFERROR((D1937/D1936-1)*100,"")</f>
        <v/>
      </c>
      <c r="G1937" s="11">
        <f>IFERROR((COUNTIF($D$1686:$D$1937,"&lt;"&amp;D1937)+0.5*COUNTIF($D$1686:$D$1937,D1937))/COUNT($D$1686:$D$1937)*100,"")</f>
        <v/>
      </c>
      <c r="H1937" s="10">
        <f>IFERROR(AVERAGE($D$1686:$D$1937),"")</f>
        <v/>
      </c>
      <c r="I1937" s="10" t="n">
        <v>-0.5523622482428793</v>
      </c>
      <c r="J1937" t="inlineStr"/>
      <c r="K1937" t="inlineStr"/>
    </row>
    <row r="1938">
      <c r="A1938" s="7" t="inlineStr">
        <is>
          <t>2022-02-11</t>
        </is>
      </c>
      <c r="B1938" s="8">
        <f>IFERROR(VLOOKUP($A1938,'01-原始价格'!$A:$M,2,FALSE),"")</f>
        <v/>
      </c>
      <c r="C1938" s="8">
        <f>IFERROR(VLOOKUP($A1938,'01-原始价格'!$A:$M,8,FALSE),"")</f>
        <v/>
      </c>
      <c r="D1938" s="10">
        <f>IFERROR(B1938/C1938,"")</f>
        <v/>
      </c>
      <c r="E1938" s="10">
        <f>IFERROR(C1938/B1938,"")</f>
        <v/>
      </c>
      <c r="F1938" s="11">
        <f>IFERROR((D1938/D1937-1)*100,"")</f>
        <v/>
      </c>
      <c r="G1938" s="11">
        <f>IFERROR((COUNTIF($D$1687:$D$1938,"&lt;"&amp;D1938)+0.5*COUNTIF($D$1687:$D$1938,D1938))/COUNT($D$1687:$D$1938)*100,"")</f>
        <v/>
      </c>
      <c r="H1938" s="10">
        <f>IFERROR(AVERAGE($D$1687:$D$1938),"")</f>
        <v/>
      </c>
      <c r="I1938" s="10" t="n">
        <v>-0.718744362639928</v>
      </c>
      <c r="J1938" t="inlineStr"/>
      <c r="K1938" t="inlineStr"/>
    </row>
    <row r="1939">
      <c r="A1939" s="7" t="inlineStr">
        <is>
          <t>2022-02-14</t>
        </is>
      </c>
      <c r="B1939" s="8">
        <f>IFERROR(VLOOKUP($A1939,'01-原始价格'!$A:$M,2,FALSE),"")</f>
        <v/>
      </c>
      <c r="C1939" s="8">
        <f>IFERROR(VLOOKUP($A1939,'01-原始价格'!$A:$M,8,FALSE),"")</f>
        <v/>
      </c>
      <c r="D1939" s="10">
        <f>IFERROR(B1939/C1939,"")</f>
        <v/>
      </c>
      <c r="E1939" s="10">
        <f>IFERROR(C1939/B1939,"")</f>
        <v/>
      </c>
      <c r="F1939" s="11">
        <f>IFERROR((D1939/D1938-1)*100,"")</f>
        <v/>
      </c>
      <c r="G1939" s="11">
        <f>IFERROR((COUNTIF($D$1688:$D$1939,"&lt;"&amp;D1939)+0.5*COUNTIF($D$1688:$D$1939,D1939))/COUNT($D$1688:$D$1939)*100,"")</f>
        <v/>
      </c>
      <c r="H1939" s="10">
        <f>IFERROR(AVERAGE($D$1688:$D$1939),"")</f>
        <v/>
      </c>
      <c r="I1939" s="10" t="n">
        <v>-0.4610500497071429</v>
      </c>
      <c r="J1939" t="inlineStr"/>
      <c r="K1939" t="inlineStr"/>
    </row>
    <row r="1940">
      <c r="A1940" s="7" t="inlineStr">
        <is>
          <t>2022-02-15</t>
        </is>
      </c>
      <c r="B1940" s="8">
        <f>IFERROR(VLOOKUP($A1940,'01-原始价格'!$A:$M,2,FALSE),"")</f>
        <v/>
      </c>
      <c r="C1940" s="8">
        <f>IFERROR(VLOOKUP($A1940,'01-原始价格'!$A:$M,8,FALSE),"")</f>
        <v/>
      </c>
      <c r="D1940" s="10">
        <f>IFERROR(B1940/C1940,"")</f>
        <v/>
      </c>
      <c r="E1940" s="10">
        <f>IFERROR(C1940/B1940,"")</f>
        <v/>
      </c>
      <c r="F1940" s="11">
        <f>IFERROR((D1940/D1939-1)*100,"")</f>
        <v/>
      </c>
      <c r="G1940" s="11">
        <f>IFERROR((COUNTIF($D$1689:$D$1940,"&lt;"&amp;D1940)+0.5*COUNTIF($D$1689:$D$1940,D1940))/COUNT($D$1689:$D$1940)*100,"")</f>
        <v/>
      </c>
      <c r="H1940" s="10">
        <f>IFERROR(AVERAGE($D$1689:$D$1940),"")</f>
        <v/>
      </c>
      <c r="I1940" s="10" t="n">
        <v>-0.414988741525638</v>
      </c>
      <c r="J1940" t="inlineStr"/>
      <c r="K1940" t="inlineStr"/>
    </row>
    <row r="1941">
      <c r="A1941" s="7" t="inlineStr">
        <is>
          <t>2022-02-16</t>
        </is>
      </c>
      <c r="B1941" s="8">
        <f>IFERROR(VLOOKUP($A1941,'01-原始价格'!$A:$M,2,FALSE),"")</f>
        <v/>
      </c>
      <c r="C1941" s="8">
        <f>IFERROR(VLOOKUP($A1941,'01-原始价格'!$A:$M,8,FALSE),"")</f>
        <v/>
      </c>
      <c r="D1941" s="10">
        <f>IFERROR(B1941/C1941,"")</f>
        <v/>
      </c>
      <c r="E1941" s="10">
        <f>IFERROR(C1941/B1941,"")</f>
        <v/>
      </c>
      <c r="F1941" s="11">
        <f>IFERROR((D1941/D1940-1)*100,"")</f>
        <v/>
      </c>
      <c r="G1941" s="11">
        <f>IFERROR((COUNTIF($D$1690:$D$1941,"&lt;"&amp;D1941)+0.5*COUNTIF($D$1690:$D$1941,D1941))/COUNT($D$1690:$D$1941)*100,"")</f>
        <v/>
      </c>
      <c r="H1941" s="10">
        <f>IFERROR(AVERAGE($D$1690:$D$1941),"")</f>
        <v/>
      </c>
      <c r="I1941" s="10" t="n">
        <v>-0.3130172632153545</v>
      </c>
      <c r="J1941" t="inlineStr"/>
      <c r="K1941" t="inlineStr"/>
    </row>
    <row r="1942">
      <c r="A1942" s="7" t="inlineStr">
        <is>
          <t>2022-02-17</t>
        </is>
      </c>
      <c r="B1942" s="8">
        <f>IFERROR(VLOOKUP($A1942,'01-原始价格'!$A:$M,2,FALSE),"")</f>
        <v/>
      </c>
      <c r="C1942" s="8">
        <f>IFERROR(VLOOKUP($A1942,'01-原始价格'!$A:$M,8,FALSE),"")</f>
        <v/>
      </c>
      <c r="D1942" s="10">
        <f>IFERROR(B1942/C1942,"")</f>
        <v/>
      </c>
      <c r="E1942" s="10">
        <f>IFERROR(C1942/B1942,"")</f>
        <v/>
      </c>
      <c r="F1942" s="11">
        <f>IFERROR((D1942/D1941-1)*100,"")</f>
        <v/>
      </c>
      <c r="G1942" s="11">
        <f>IFERROR((COUNTIF($D$1691:$D$1942,"&lt;"&amp;D1942)+0.5*COUNTIF($D$1691:$D$1942,D1942))/COUNT($D$1691:$D$1942)*100,"")</f>
        <v/>
      </c>
      <c r="H1942" s="10">
        <f>IFERROR(AVERAGE($D$1691:$D$1942),"")</f>
        <v/>
      </c>
      <c r="I1942" s="10" t="n">
        <v>-0.02010527876528346</v>
      </c>
      <c r="J1942" t="inlineStr"/>
      <c r="K1942" t="inlineStr"/>
    </row>
    <row r="1943">
      <c r="A1943" s="7" t="inlineStr">
        <is>
          <t>2022-02-18</t>
        </is>
      </c>
      <c r="B1943" s="8">
        <f>IFERROR(VLOOKUP($A1943,'01-原始价格'!$A:$M,2,FALSE),"")</f>
        <v/>
      </c>
      <c r="C1943" s="8">
        <f>IFERROR(VLOOKUP($A1943,'01-原始价格'!$A:$M,8,FALSE),"")</f>
        <v/>
      </c>
      <c r="D1943" s="10">
        <f>IFERROR(B1943/C1943,"")</f>
        <v/>
      </c>
      <c r="E1943" s="10">
        <f>IFERROR(C1943/B1943,"")</f>
        <v/>
      </c>
      <c r="F1943" s="11">
        <f>IFERROR((D1943/D1942-1)*100,"")</f>
        <v/>
      </c>
      <c r="G1943" s="11">
        <f>IFERROR((COUNTIF($D$1692:$D$1943,"&lt;"&amp;D1943)+0.5*COUNTIF($D$1692:$D$1943,D1943))/COUNT($D$1692:$D$1943)*100,"")</f>
        <v/>
      </c>
      <c r="H1943" s="10">
        <f>IFERROR(AVERAGE($D$1692:$D$1943),"")</f>
        <v/>
      </c>
      <c r="I1943" s="10" t="n">
        <v>-0.09239401116689551</v>
      </c>
      <c r="J1943" t="inlineStr"/>
      <c r="K1943" t="inlineStr"/>
    </row>
    <row r="1944">
      <c r="A1944" s="7" t="inlineStr">
        <is>
          <t>2022-02-21</t>
        </is>
      </c>
      <c r="B1944" s="8">
        <f>IFERROR(VLOOKUP($A1944,'01-原始价格'!$A:$M,2,FALSE),"")</f>
        <v/>
      </c>
      <c r="C1944" s="8">
        <f>IFERROR(VLOOKUP($A1944,'01-原始价格'!$A:$M,8,FALSE),"")</f>
        <v/>
      </c>
      <c r="D1944" s="10">
        <f>IFERROR(B1944/C1944,"")</f>
        <v/>
      </c>
      <c r="E1944" s="10">
        <f>IFERROR(C1944/B1944,"")</f>
        <v/>
      </c>
      <c r="F1944" s="11">
        <f>IFERROR((D1944/D1943-1)*100,"")</f>
        <v/>
      </c>
      <c r="G1944" s="11">
        <f>IFERROR((COUNTIF($D$1693:$D$1944,"&lt;"&amp;D1944)+0.5*COUNTIF($D$1693:$D$1944,D1944))/COUNT($D$1693:$D$1944)*100,"")</f>
        <v/>
      </c>
      <c r="H1944" s="10">
        <f>IFERROR(AVERAGE($D$1693:$D$1944),"")</f>
        <v/>
      </c>
      <c r="I1944" s="10" t="n">
        <v>0.06513900887910776</v>
      </c>
      <c r="J1944" t="inlineStr"/>
      <c r="K1944" t="inlineStr"/>
    </row>
    <row r="1945">
      <c r="A1945" s="7" t="inlineStr">
        <is>
          <t>2022-02-22</t>
        </is>
      </c>
      <c r="B1945" s="8">
        <f>IFERROR(VLOOKUP($A1945,'01-原始价格'!$A:$M,2,FALSE),"")</f>
        <v/>
      </c>
      <c r="C1945" s="8">
        <f>IFERROR(VLOOKUP($A1945,'01-原始价格'!$A:$M,8,FALSE),"")</f>
        <v/>
      </c>
      <c r="D1945" s="10">
        <f>IFERROR(B1945/C1945,"")</f>
        <v/>
      </c>
      <c r="E1945" s="10">
        <f>IFERROR(C1945/B1945,"")</f>
        <v/>
      </c>
      <c r="F1945" s="11">
        <f>IFERROR((D1945/D1944-1)*100,"")</f>
        <v/>
      </c>
      <c r="G1945" s="11">
        <f>IFERROR((COUNTIF($D$1694:$D$1945,"&lt;"&amp;D1945)+0.5*COUNTIF($D$1694:$D$1945,D1945))/COUNT($D$1694:$D$1945)*100,"")</f>
        <v/>
      </c>
      <c r="H1945" s="10">
        <f>IFERROR(AVERAGE($D$1694:$D$1945),"")</f>
        <v/>
      </c>
      <c r="I1945" s="10" t="n">
        <v>0.1786994427687698</v>
      </c>
      <c r="J1945" t="inlineStr"/>
      <c r="K1945" t="inlineStr"/>
    </row>
    <row r="1946">
      <c r="A1946" s="7" t="inlineStr">
        <is>
          <t>2022-02-23</t>
        </is>
      </c>
      <c r="B1946" s="8">
        <f>IFERROR(VLOOKUP($A1946,'01-原始价格'!$A:$M,2,FALSE),"")</f>
        <v/>
      </c>
      <c r="C1946" s="8">
        <f>IFERROR(VLOOKUP($A1946,'01-原始价格'!$A:$M,8,FALSE),"")</f>
        <v/>
      </c>
      <c r="D1946" s="10">
        <f>IFERROR(B1946/C1946,"")</f>
        <v/>
      </c>
      <c r="E1946" s="10">
        <f>IFERROR(C1946/B1946,"")</f>
        <v/>
      </c>
      <c r="F1946" s="11">
        <f>IFERROR((D1946/D1945-1)*100,"")</f>
        <v/>
      </c>
      <c r="G1946" s="11">
        <f>IFERROR((COUNTIF($D$1695:$D$1946,"&lt;"&amp;D1946)+0.5*COUNTIF($D$1695:$D$1946,D1946))/COUNT($D$1695:$D$1946)*100,"")</f>
        <v/>
      </c>
      <c r="H1946" s="10">
        <f>IFERROR(AVERAGE($D$1695:$D$1946),"")</f>
        <v/>
      </c>
      <c r="I1946" s="10" t="n">
        <v>-0.06490404708310961</v>
      </c>
      <c r="J1946" t="inlineStr"/>
      <c r="K1946" t="inlineStr"/>
    </row>
    <row r="1947">
      <c r="A1947" s="7" t="inlineStr">
        <is>
          <t>2022-02-24</t>
        </is>
      </c>
      <c r="B1947" s="8">
        <f>IFERROR(VLOOKUP($A1947,'01-原始价格'!$A:$M,2,FALSE),"")</f>
        <v/>
      </c>
      <c r="C1947" s="8">
        <f>IFERROR(VLOOKUP($A1947,'01-原始价格'!$A:$M,8,FALSE),"")</f>
        <v/>
      </c>
      <c r="D1947" s="10">
        <f>IFERROR(B1947/C1947,"")</f>
        <v/>
      </c>
      <c r="E1947" s="10">
        <f>IFERROR(C1947/B1947,"")</f>
        <v/>
      </c>
      <c r="F1947" s="11">
        <f>IFERROR((D1947/D1946-1)*100,"")</f>
        <v/>
      </c>
      <c r="G1947" s="11">
        <f>IFERROR((COUNTIF($D$1696:$D$1947,"&lt;"&amp;D1947)+0.5*COUNTIF($D$1696:$D$1947,D1947))/COUNT($D$1696:$D$1947)*100,"")</f>
        <v/>
      </c>
      <c r="H1947" s="10">
        <f>IFERROR(AVERAGE($D$1696:$D$1947),"")</f>
        <v/>
      </c>
      <c r="I1947" s="10" t="n">
        <v>0.1984813716047882</v>
      </c>
      <c r="J1947" t="inlineStr"/>
      <c r="K1947" t="inlineStr"/>
    </row>
    <row r="1948">
      <c r="A1948" s="7" t="inlineStr">
        <is>
          <t>2022-02-25</t>
        </is>
      </c>
      <c r="B1948" s="8">
        <f>IFERROR(VLOOKUP($A1948,'01-原始价格'!$A:$M,2,FALSE),"")</f>
        <v/>
      </c>
      <c r="C1948" s="8">
        <f>IFERROR(VLOOKUP($A1948,'01-原始价格'!$A:$M,8,FALSE),"")</f>
        <v/>
      </c>
      <c r="D1948" s="10">
        <f>IFERROR(B1948/C1948,"")</f>
        <v/>
      </c>
      <c r="E1948" s="10">
        <f>IFERROR(C1948/B1948,"")</f>
        <v/>
      </c>
      <c r="F1948" s="11">
        <f>IFERROR((D1948/D1947-1)*100,"")</f>
        <v/>
      </c>
      <c r="G1948" s="11">
        <f>IFERROR((COUNTIF($D$1697:$D$1948,"&lt;"&amp;D1948)+0.5*COUNTIF($D$1697:$D$1948,D1948))/COUNT($D$1697:$D$1948)*100,"")</f>
        <v/>
      </c>
      <c r="H1948" s="10">
        <f>IFERROR(AVERAGE($D$1697:$D$1948),"")</f>
        <v/>
      </c>
      <c r="I1948" s="10" t="n">
        <v>0.6390227921428087</v>
      </c>
      <c r="J1948" t="inlineStr"/>
      <c r="K1948" t="inlineStr"/>
    </row>
    <row r="1949">
      <c r="A1949" s="7" t="inlineStr">
        <is>
          <t>2022-02-28</t>
        </is>
      </c>
      <c r="B1949" s="8">
        <f>IFERROR(VLOOKUP($A1949,'01-原始价格'!$A:$M,2,FALSE),"")</f>
        <v/>
      </c>
      <c r="C1949" s="8">
        <f>IFERROR(VLOOKUP($A1949,'01-原始价格'!$A:$M,8,FALSE),"")</f>
        <v/>
      </c>
      <c r="D1949" s="10">
        <f>IFERROR(B1949/C1949,"")</f>
        <v/>
      </c>
      <c r="E1949" s="10">
        <f>IFERROR(C1949/B1949,"")</f>
        <v/>
      </c>
      <c r="F1949" s="11">
        <f>IFERROR((D1949/D1948-1)*100,"")</f>
        <v/>
      </c>
      <c r="G1949" s="11">
        <f>IFERROR((COUNTIF($D$1698:$D$1949,"&lt;"&amp;D1949)+0.5*COUNTIF($D$1698:$D$1949,D1949))/COUNT($D$1698:$D$1949)*100,"")</f>
        <v/>
      </c>
      <c r="H1949" s="10">
        <f>IFERROR(AVERAGE($D$1698:$D$1949),"")</f>
        <v/>
      </c>
      <c r="I1949" s="10" t="n">
        <v>1.318188307437039</v>
      </c>
      <c r="J1949" t="inlineStr"/>
      <c r="K1949" t="inlineStr"/>
    </row>
    <row r="1950">
      <c r="A1950" s="7" t="inlineStr">
        <is>
          <t>2022-03-01</t>
        </is>
      </c>
      <c r="B1950" s="8">
        <f>IFERROR(VLOOKUP($A1950,'01-原始价格'!$A:$M,2,FALSE),"")</f>
        <v/>
      </c>
      <c r="C1950" s="8">
        <f>IFERROR(VLOOKUP($A1950,'01-原始价格'!$A:$M,8,FALSE),"")</f>
        <v/>
      </c>
      <c r="D1950" s="10">
        <f>IFERROR(B1950/C1950,"")</f>
        <v/>
      </c>
      <c r="E1950" s="10">
        <f>IFERROR(C1950/B1950,"")</f>
        <v/>
      </c>
      <c r="F1950" s="11">
        <f>IFERROR((D1950/D1949-1)*100,"")</f>
        <v/>
      </c>
      <c r="G1950" s="11">
        <f>IFERROR((COUNTIF($D$1699:$D$1950,"&lt;"&amp;D1950)+0.5*COUNTIF($D$1699:$D$1950,D1950))/COUNT($D$1699:$D$1950)*100,"")</f>
        <v/>
      </c>
      <c r="H1950" s="10">
        <f>IFERROR(AVERAGE($D$1699:$D$1950),"")</f>
        <v/>
      </c>
      <c r="I1950" s="10" t="n">
        <v>0.9049682812164493</v>
      </c>
      <c r="J1950" t="inlineStr"/>
      <c r="K1950" t="inlineStr"/>
    </row>
    <row r="1951">
      <c r="A1951" s="7" t="inlineStr">
        <is>
          <t>2022-03-02</t>
        </is>
      </c>
      <c r="B1951" s="8">
        <f>IFERROR(VLOOKUP($A1951,'01-原始价格'!$A:$M,2,FALSE),"")</f>
        <v/>
      </c>
      <c r="C1951" s="8">
        <f>IFERROR(VLOOKUP($A1951,'01-原始价格'!$A:$M,8,FALSE),"")</f>
        <v/>
      </c>
      <c r="D1951" s="10">
        <f>IFERROR(B1951/C1951,"")</f>
        <v/>
      </c>
      <c r="E1951" s="10">
        <f>IFERROR(C1951/B1951,"")</f>
        <v/>
      </c>
      <c r="F1951" s="11">
        <f>IFERROR((D1951/D1950-1)*100,"")</f>
        <v/>
      </c>
      <c r="G1951" s="11">
        <f>IFERROR((COUNTIF($D$1700:$D$1951,"&lt;"&amp;D1951)+0.5*COUNTIF($D$1700:$D$1951,D1951))/COUNT($D$1700:$D$1951)*100,"")</f>
        <v/>
      </c>
      <c r="H1951" s="10">
        <f>IFERROR(AVERAGE($D$1700:$D$1951),"")</f>
        <v/>
      </c>
      <c r="I1951" s="10" t="n">
        <v>1.047565711971782</v>
      </c>
      <c r="J1951" t="inlineStr"/>
      <c r="K1951" t="inlineStr"/>
    </row>
    <row r="1952">
      <c r="A1952" s="7" t="inlineStr">
        <is>
          <t>2022-03-03</t>
        </is>
      </c>
      <c r="B1952" s="8">
        <f>IFERROR(VLOOKUP($A1952,'01-原始价格'!$A:$M,2,FALSE),"")</f>
        <v/>
      </c>
      <c r="C1952" s="8">
        <f>IFERROR(VLOOKUP($A1952,'01-原始价格'!$A:$M,8,FALSE),"")</f>
        <v/>
      </c>
      <c r="D1952" s="10">
        <f>IFERROR(B1952/C1952,"")</f>
        <v/>
      </c>
      <c r="E1952" s="10">
        <f>IFERROR(C1952/B1952,"")</f>
        <v/>
      </c>
      <c r="F1952" s="11">
        <f>IFERROR((D1952/D1951-1)*100,"")</f>
        <v/>
      </c>
      <c r="G1952" s="11">
        <f>IFERROR((COUNTIF($D$1701:$D$1952,"&lt;"&amp;D1952)+0.5*COUNTIF($D$1701:$D$1952,D1952))/COUNT($D$1701:$D$1952)*100,"")</f>
        <v/>
      </c>
      <c r="H1952" s="10">
        <f>IFERROR(AVERAGE($D$1701:$D$1952),"")</f>
        <v/>
      </c>
      <c r="I1952" s="10" t="n">
        <v>1.430806058386788</v>
      </c>
      <c r="J1952" t="inlineStr"/>
      <c r="K1952" t="inlineStr"/>
    </row>
    <row r="1953">
      <c r="A1953" s="7" t="inlineStr">
        <is>
          <t>2022-03-04</t>
        </is>
      </c>
      <c r="B1953" s="8">
        <f>IFERROR(VLOOKUP($A1953,'01-原始价格'!$A:$M,2,FALSE),"")</f>
        <v/>
      </c>
      <c r="C1953" s="8">
        <f>IFERROR(VLOOKUP($A1953,'01-原始价格'!$A:$M,8,FALSE),"")</f>
        <v/>
      </c>
      <c r="D1953" s="10">
        <f>IFERROR(B1953/C1953,"")</f>
        <v/>
      </c>
      <c r="E1953" s="10">
        <f>IFERROR(C1953/B1953,"")</f>
        <v/>
      </c>
      <c r="F1953" s="11">
        <f>IFERROR((D1953/D1952-1)*100,"")</f>
        <v/>
      </c>
      <c r="G1953" s="11">
        <f>IFERROR((COUNTIF($D$1702:$D$1953,"&lt;"&amp;D1953)+0.5*COUNTIF($D$1702:$D$1953,D1953))/COUNT($D$1702:$D$1953)*100,"")</f>
        <v/>
      </c>
      <c r="H1953" s="10">
        <f>IFERROR(AVERAGE($D$1702:$D$1953),"")</f>
        <v/>
      </c>
      <c r="I1953" s="10" t="n">
        <v>1.220249347589131</v>
      </c>
      <c r="J1953" t="inlineStr"/>
      <c r="K1953" t="inlineStr"/>
    </row>
    <row r="1954">
      <c r="A1954" s="7" t="inlineStr">
        <is>
          <t>2022-03-07</t>
        </is>
      </c>
      <c r="B1954" s="8">
        <f>IFERROR(VLOOKUP($A1954,'01-原始价格'!$A:$M,2,FALSE),"")</f>
        <v/>
      </c>
      <c r="C1954" s="8">
        <f>IFERROR(VLOOKUP($A1954,'01-原始价格'!$A:$M,8,FALSE),"")</f>
        <v/>
      </c>
      <c r="D1954" s="10">
        <f>IFERROR(B1954/C1954,"")</f>
        <v/>
      </c>
      <c r="E1954" s="10">
        <f>IFERROR(C1954/B1954,"")</f>
        <v/>
      </c>
      <c r="F1954" s="11">
        <f>IFERROR((D1954/D1953-1)*100,"")</f>
        <v/>
      </c>
      <c r="G1954" s="11">
        <f>IFERROR((COUNTIF($D$1703:$D$1954,"&lt;"&amp;D1954)+0.5*COUNTIF($D$1703:$D$1954,D1954))/COUNT($D$1703:$D$1954)*100,"")</f>
        <v/>
      </c>
      <c r="H1954" s="10">
        <f>IFERROR(AVERAGE($D$1703:$D$1954),"")</f>
        <v/>
      </c>
      <c r="I1954" s="10" t="n">
        <v>2.364892234067448</v>
      </c>
      <c r="J1954" t="inlineStr"/>
      <c r="K1954" t="inlineStr"/>
    </row>
    <row r="1955">
      <c r="A1955" s="7" t="inlineStr">
        <is>
          <t>2022-03-08</t>
        </is>
      </c>
      <c r="B1955" s="8">
        <f>IFERROR(VLOOKUP($A1955,'01-原始价格'!$A:$M,2,FALSE),"")</f>
        <v/>
      </c>
      <c r="C1955" s="8">
        <f>IFERROR(VLOOKUP($A1955,'01-原始价格'!$A:$M,8,FALSE),"")</f>
        <v/>
      </c>
      <c r="D1955" s="10">
        <f>IFERROR(B1955/C1955,"")</f>
        <v/>
      </c>
      <c r="E1955" s="10">
        <f>IFERROR(C1955/B1955,"")</f>
        <v/>
      </c>
      <c r="F1955" s="11">
        <f>IFERROR((D1955/D1954-1)*100,"")</f>
        <v/>
      </c>
      <c r="G1955" s="11">
        <f>IFERROR((COUNTIF($D$1704:$D$1955,"&lt;"&amp;D1955)+0.5*COUNTIF($D$1704:$D$1955,D1955))/COUNT($D$1704:$D$1955)*100,"")</f>
        <v/>
      </c>
      <c r="H1955" s="10">
        <f>IFERROR(AVERAGE($D$1704:$D$1955),"")</f>
        <v/>
      </c>
      <c r="I1955" s="10" t="n">
        <v>2.253711202586207</v>
      </c>
      <c r="J1955" t="inlineStr"/>
      <c r="K1955" t="inlineStr"/>
    </row>
    <row r="1956">
      <c r="A1956" s="7" t="inlineStr">
        <is>
          <t>2022-03-09</t>
        </is>
      </c>
      <c r="B1956" s="8">
        <f>IFERROR(VLOOKUP($A1956,'01-原始价格'!$A:$M,2,FALSE),"")</f>
        <v/>
      </c>
      <c r="C1956" s="8">
        <f>IFERROR(VLOOKUP($A1956,'01-原始价格'!$A:$M,8,FALSE),"")</f>
        <v/>
      </c>
      <c r="D1956" s="10">
        <f>IFERROR(B1956/C1956,"")</f>
        <v/>
      </c>
      <c r="E1956" s="10">
        <f>IFERROR(C1956/B1956,"")</f>
        <v/>
      </c>
      <c r="F1956" s="11">
        <f>IFERROR((D1956/D1955-1)*100,"")</f>
        <v/>
      </c>
      <c r="G1956" s="11">
        <f>IFERROR((COUNTIF($D$1705:$D$1956,"&lt;"&amp;D1956)+0.5*COUNTIF($D$1705:$D$1956,D1956))/COUNT($D$1705:$D$1956)*100,"")</f>
        <v/>
      </c>
      <c r="H1956" s="10">
        <f>IFERROR(AVERAGE($D$1705:$D$1956),"")</f>
        <v/>
      </c>
      <c r="I1956" s="10" t="n">
        <v>2.306262174059535</v>
      </c>
      <c r="J1956" t="inlineStr"/>
      <c r="K1956" t="inlineStr"/>
    </row>
    <row r="1957">
      <c r="A1957" s="7" t="inlineStr">
        <is>
          <t>2022-03-10</t>
        </is>
      </c>
      <c r="B1957" s="8">
        <f>IFERROR(VLOOKUP($A1957,'01-原始价格'!$A:$M,2,FALSE),"")</f>
        <v/>
      </c>
      <c r="C1957" s="8">
        <f>IFERROR(VLOOKUP($A1957,'01-原始价格'!$A:$M,8,FALSE),"")</f>
        <v/>
      </c>
      <c r="D1957" s="10">
        <f>IFERROR(B1957/C1957,"")</f>
        <v/>
      </c>
      <c r="E1957" s="10">
        <f>IFERROR(C1957/B1957,"")</f>
        <v/>
      </c>
      <c r="F1957" s="11">
        <f>IFERROR((D1957/D1956-1)*100,"")</f>
        <v/>
      </c>
      <c r="G1957" s="11">
        <f>IFERROR((COUNTIF($D$1706:$D$1957,"&lt;"&amp;D1957)+0.5*COUNTIF($D$1706:$D$1957,D1957))/COUNT($D$1706:$D$1957)*100,"")</f>
        <v/>
      </c>
      <c r="H1957" s="10">
        <f>IFERROR(AVERAGE($D$1706:$D$1957),"")</f>
        <v/>
      </c>
      <c r="I1957" s="10" t="n">
        <v>1.869095043757937</v>
      </c>
      <c r="J1957" t="inlineStr"/>
      <c r="K1957" t="inlineStr"/>
    </row>
    <row r="1958">
      <c r="A1958" s="7" t="inlineStr">
        <is>
          <t>2022-03-11</t>
        </is>
      </c>
      <c r="B1958" s="8">
        <f>IFERROR(VLOOKUP($A1958,'01-原始价格'!$A:$M,2,FALSE),"")</f>
        <v/>
      </c>
      <c r="C1958" s="8">
        <f>IFERROR(VLOOKUP($A1958,'01-原始价格'!$A:$M,8,FALSE),"")</f>
        <v/>
      </c>
      <c r="D1958" s="10">
        <f>IFERROR(B1958/C1958,"")</f>
        <v/>
      </c>
      <c r="E1958" s="10">
        <f>IFERROR(C1958/B1958,"")</f>
        <v/>
      </c>
      <c r="F1958" s="11">
        <f>IFERROR((D1958/D1957-1)*100,"")</f>
        <v/>
      </c>
      <c r="G1958" s="11">
        <f>IFERROR((COUNTIF($D$1707:$D$1958,"&lt;"&amp;D1958)+0.5*COUNTIF($D$1707:$D$1958,D1958))/COUNT($D$1707:$D$1958)*100,"")</f>
        <v/>
      </c>
      <c r="H1958" s="10">
        <f>IFERROR(AVERAGE($D$1707:$D$1958),"")</f>
        <v/>
      </c>
      <c r="I1958" s="10" t="n">
        <v>1.864334289554796</v>
      </c>
      <c r="J1958" t="inlineStr"/>
      <c r="K1958" t="inlineStr"/>
    </row>
    <row r="1959">
      <c r="A1959" s="7" t="inlineStr">
        <is>
          <t>2022-03-14</t>
        </is>
      </c>
      <c r="B1959" s="8">
        <f>IFERROR(VLOOKUP($A1959,'01-原始价格'!$A:$M,2,FALSE),"")</f>
        <v/>
      </c>
      <c r="C1959" s="8">
        <f>IFERROR(VLOOKUP($A1959,'01-原始价格'!$A:$M,8,FALSE),"")</f>
        <v/>
      </c>
      <c r="D1959" s="10">
        <f>IFERROR(B1959/C1959,"")</f>
        <v/>
      </c>
      <c r="E1959" s="10">
        <f>IFERROR(C1959/B1959,"")</f>
        <v/>
      </c>
      <c r="F1959" s="11">
        <f>IFERROR((D1959/D1958-1)*100,"")</f>
        <v/>
      </c>
      <c r="G1959" s="11">
        <f>IFERROR((COUNTIF($D$1708:$D$1959,"&lt;"&amp;D1959)+0.5*COUNTIF($D$1708:$D$1959,D1959))/COUNT($D$1708:$D$1959)*100,"")</f>
        <v/>
      </c>
      <c r="H1959" s="10">
        <f>IFERROR(AVERAGE($D$1708:$D$1959),"")</f>
        <v/>
      </c>
      <c r="I1959" s="10" t="n">
        <v>1.389617468019324</v>
      </c>
      <c r="J1959" t="inlineStr"/>
      <c r="K1959" t="inlineStr"/>
    </row>
    <row r="1960">
      <c r="A1960" s="7" t="inlineStr">
        <is>
          <t>2022-03-15</t>
        </is>
      </c>
      <c r="B1960" s="8">
        <f>IFERROR(VLOOKUP($A1960,'01-原始价格'!$A:$M,2,FALSE),"")</f>
        <v/>
      </c>
      <c r="C1960" s="8">
        <f>IFERROR(VLOOKUP($A1960,'01-原始价格'!$A:$M,8,FALSE),"")</f>
        <v/>
      </c>
      <c r="D1960" s="10">
        <f>IFERROR(B1960/C1960,"")</f>
        <v/>
      </c>
      <c r="E1960" s="10">
        <f>IFERROR(C1960/B1960,"")</f>
        <v/>
      </c>
      <c r="F1960" s="11">
        <f>IFERROR((D1960/D1959-1)*100,"")</f>
        <v/>
      </c>
      <c r="G1960" s="11">
        <f>IFERROR((COUNTIF($D$1709:$D$1960,"&lt;"&amp;D1960)+0.5*COUNTIF($D$1709:$D$1960,D1960))/COUNT($D$1709:$D$1960)*100,"")</f>
        <v/>
      </c>
      <c r="H1960" s="10">
        <f>IFERROR(AVERAGE($D$1709:$D$1960),"")</f>
        <v/>
      </c>
      <c r="I1960" s="10" t="n">
        <v>1.561046305519141</v>
      </c>
      <c r="J1960" t="inlineStr"/>
      <c r="K1960" t="inlineStr"/>
    </row>
    <row r="1961">
      <c r="A1961" s="7" t="inlineStr">
        <is>
          <t>2022-03-16</t>
        </is>
      </c>
      <c r="B1961" s="8">
        <f>IFERROR(VLOOKUP($A1961,'01-原始价格'!$A:$M,2,FALSE),"")</f>
        <v/>
      </c>
      <c r="C1961" s="8">
        <f>IFERROR(VLOOKUP($A1961,'01-原始价格'!$A:$M,8,FALSE),"")</f>
        <v/>
      </c>
      <c r="D1961" s="10">
        <f>IFERROR(B1961/C1961,"")</f>
        <v/>
      </c>
      <c r="E1961" s="10">
        <f>IFERROR(C1961/B1961,"")</f>
        <v/>
      </c>
      <c r="F1961" s="11">
        <f>IFERROR((D1961/D1960-1)*100,"")</f>
        <v/>
      </c>
      <c r="G1961" s="11">
        <f>IFERROR((COUNTIF($D$1710:$D$1961,"&lt;"&amp;D1961)+0.5*COUNTIF($D$1710:$D$1961,D1961))/COUNT($D$1710:$D$1961)*100,"")</f>
        <v/>
      </c>
      <c r="H1961" s="10">
        <f>IFERROR(AVERAGE($D$1710:$D$1961),"")</f>
        <v/>
      </c>
      <c r="I1961" s="10" t="n">
        <v>1.668647282878968</v>
      </c>
      <c r="J1961" t="inlineStr"/>
      <c r="K1961" t="inlineStr"/>
    </row>
    <row r="1962">
      <c r="A1962" s="7" t="inlineStr">
        <is>
          <t>2022-03-17</t>
        </is>
      </c>
      <c r="B1962" s="8">
        <f>IFERROR(VLOOKUP($A1962,'01-原始价格'!$A:$M,2,FALSE),"")</f>
        <v/>
      </c>
      <c r="C1962" s="8">
        <f>IFERROR(VLOOKUP($A1962,'01-原始价格'!$A:$M,8,FALSE),"")</f>
        <v/>
      </c>
      <c r="D1962" s="10">
        <f>IFERROR(B1962/C1962,"")</f>
        <v/>
      </c>
      <c r="E1962" s="10">
        <f>IFERROR(C1962/B1962,"")</f>
        <v/>
      </c>
      <c r="F1962" s="11">
        <f>IFERROR((D1962/D1961-1)*100,"")</f>
        <v/>
      </c>
      <c r="G1962" s="11">
        <f>IFERROR((COUNTIF($D$1711:$D$1962,"&lt;"&amp;D1962)+0.5*COUNTIF($D$1711:$D$1962,D1962))/COUNT($D$1711:$D$1962)*100,"")</f>
        <v/>
      </c>
      <c r="H1962" s="10">
        <f>IFERROR(AVERAGE($D$1711:$D$1962),"")</f>
        <v/>
      </c>
      <c r="I1962" s="10" t="n">
        <v>1.29243384529323</v>
      </c>
      <c r="J1962" t="inlineStr"/>
      <c r="K1962" t="inlineStr"/>
    </row>
    <row r="1963">
      <c r="A1963" s="7" t="inlineStr">
        <is>
          <t>2022-03-18</t>
        </is>
      </c>
      <c r="B1963" s="8">
        <f>IFERROR(VLOOKUP($A1963,'01-原始价格'!$A:$M,2,FALSE),"")</f>
        <v/>
      </c>
      <c r="C1963" s="8">
        <f>IFERROR(VLOOKUP($A1963,'01-原始价格'!$A:$M,8,FALSE),"")</f>
        <v/>
      </c>
      <c r="D1963" s="10">
        <f>IFERROR(B1963/C1963,"")</f>
        <v/>
      </c>
      <c r="E1963" s="10">
        <f>IFERROR(C1963/B1963,"")</f>
        <v/>
      </c>
      <c r="F1963" s="11">
        <f>IFERROR((D1963/D1962-1)*100,"")</f>
        <v/>
      </c>
      <c r="G1963" s="11">
        <f>IFERROR((COUNTIF($D$1712:$D$1963,"&lt;"&amp;D1963)+0.5*COUNTIF($D$1712:$D$1963,D1963))/COUNT($D$1712:$D$1963)*100,"")</f>
        <v/>
      </c>
      <c r="H1963" s="10">
        <f>IFERROR(AVERAGE($D$1712:$D$1963),"")</f>
        <v/>
      </c>
      <c r="I1963" s="10" t="n">
        <v>1.292065966599432</v>
      </c>
      <c r="J1963" t="inlineStr"/>
      <c r="K1963" t="inlineStr"/>
    </row>
    <row r="1964">
      <c r="A1964" s="7" t="inlineStr">
        <is>
          <t>2022-03-21</t>
        </is>
      </c>
      <c r="B1964" s="8">
        <f>IFERROR(VLOOKUP($A1964,'01-原始价格'!$A:$M,2,FALSE),"")</f>
        <v/>
      </c>
      <c r="C1964" s="8">
        <f>IFERROR(VLOOKUP($A1964,'01-原始价格'!$A:$M,8,FALSE),"")</f>
        <v/>
      </c>
      <c r="D1964" s="10">
        <f>IFERROR(B1964/C1964,"")</f>
        <v/>
      </c>
      <c r="E1964" s="10">
        <f>IFERROR(C1964/B1964,"")</f>
        <v/>
      </c>
      <c r="F1964" s="11">
        <f>IFERROR((D1964/D1963-1)*100,"")</f>
        <v/>
      </c>
      <c r="G1964" s="11">
        <f>IFERROR((COUNTIF($D$1713:$D$1964,"&lt;"&amp;D1964)+0.5*COUNTIF($D$1713:$D$1964,D1964))/COUNT($D$1713:$D$1964)*100,"")</f>
        <v/>
      </c>
      <c r="H1964" s="10">
        <f>IFERROR(AVERAGE($D$1713:$D$1964),"")</f>
        <v/>
      </c>
      <c r="I1964" s="10" t="n">
        <v>1.670999849776273</v>
      </c>
      <c r="J1964" t="inlineStr"/>
      <c r="K1964" t="inlineStr"/>
    </row>
    <row r="1965">
      <c r="A1965" s="7" t="inlineStr">
        <is>
          <t>2022-03-22</t>
        </is>
      </c>
      <c r="B1965" s="8">
        <f>IFERROR(VLOOKUP($A1965,'01-原始价格'!$A:$M,2,FALSE),"")</f>
        <v/>
      </c>
      <c r="C1965" s="8">
        <f>IFERROR(VLOOKUP($A1965,'01-原始价格'!$A:$M,8,FALSE),"")</f>
        <v/>
      </c>
      <c r="D1965" s="10">
        <f>IFERROR(B1965/C1965,"")</f>
        <v/>
      </c>
      <c r="E1965" s="10">
        <f>IFERROR(C1965/B1965,"")</f>
        <v/>
      </c>
      <c r="F1965" s="11">
        <f>IFERROR((D1965/D1964-1)*100,"")</f>
        <v/>
      </c>
      <c r="G1965" s="11">
        <f>IFERROR((COUNTIF($D$1714:$D$1965,"&lt;"&amp;D1965)+0.5*COUNTIF($D$1714:$D$1965,D1965))/COUNT($D$1714:$D$1965)*100,"")</f>
        <v/>
      </c>
      <c r="H1965" s="10">
        <f>IFERROR(AVERAGE($D$1714:$D$1965),"")</f>
        <v/>
      </c>
      <c r="I1965" s="10" t="n">
        <v>1.746956775905461</v>
      </c>
      <c r="J1965" t="inlineStr"/>
      <c r="K1965" t="inlineStr"/>
    </row>
    <row r="1966">
      <c r="A1966" s="7" t="inlineStr">
        <is>
          <t>2022-03-23</t>
        </is>
      </c>
      <c r="B1966" s="8">
        <f>IFERROR(VLOOKUP($A1966,'01-原始价格'!$A:$M,2,FALSE),"")</f>
        <v/>
      </c>
      <c r="C1966" s="8">
        <f>IFERROR(VLOOKUP($A1966,'01-原始价格'!$A:$M,8,FALSE),"")</f>
        <v/>
      </c>
      <c r="D1966" s="10">
        <f>IFERROR(B1966/C1966,"")</f>
        <v/>
      </c>
      <c r="E1966" s="10">
        <f>IFERROR(C1966/B1966,"")</f>
        <v/>
      </c>
      <c r="F1966" s="11">
        <f>IFERROR((D1966/D1965-1)*100,"")</f>
        <v/>
      </c>
      <c r="G1966" s="11">
        <f>IFERROR((COUNTIF($D$1715:$D$1966,"&lt;"&amp;D1966)+0.5*COUNTIF($D$1715:$D$1966,D1966))/COUNT($D$1715:$D$1966)*100,"")</f>
        <v/>
      </c>
      <c r="H1966" s="10">
        <f>IFERROR(AVERAGE($D$1715:$D$1966),"")</f>
        <v/>
      </c>
      <c r="I1966" s="10" t="n">
        <v>1.712424651577793</v>
      </c>
      <c r="J1966" t="inlineStr"/>
      <c r="K1966" t="inlineStr"/>
    </row>
    <row r="1967">
      <c r="A1967" s="7" t="inlineStr">
        <is>
          <t>2022-03-24</t>
        </is>
      </c>
      <c r="B1967" s="8">
        <f>IFERROR(VLOOKUP($A1967,'01-原始价格'!$A:$M,2,FALSE),"")</f>
        <v/>
      </c>
      <c r="C1967" s="8">
        <f>IFERROR(VLOOKUP($A1967,'01-原始价格'!$A:$M,8,FALSE),"")</f>
        <v/>
      </c>
      <c r="D1967" s="10">
        <f>IFERROR(B1967/C1967,"")</f>
        <v/>
      </c>
      <c r="E1967" s="10">
        <f>IFERROR(C1967/B1967,"")</f>
        <v/>
      </c>
      <c r="F1967" s="11">
        <f>IFERROR((D1967/D1966-1)*100,"")</f>
        <v/>
      </c>
      <c r="G1967" s="11">
        <f>IFERROR((COUNTIF($D$1716:$D$1967,"&lt;"&amp;D1967)+0.5*COUNTIF($D$1716:$D$1967,D1967))/COUNT($D$1716:$D$1967)*100,"")</f>
        <v/>
      </c>
      <c r="H1967" s="10">
        <f>IFERROR(AVERAGE($D$1716:$D$1967),"")</f>
        <v/>
      </c>
      <c r="I1967" s="10" t="n">
        <v>1.817765037786065</v>
      </c>
      <c r="J1967" t="inlineStr"/>
      <c r="K1967" t="inlineStr"/>
    </row>
    <row r="1968">
      <c r="A1968" s="7" t="inlineStr">
        <is>
          <t>2022-03-25</t>
        </is>
      </c>
      <c r="B1968" s="8">
        <f>IFERROR(VLOOKUP($A1968,'01-原始价格'!$A:$M,2,FALSE),"")</f>
        <v/>
      </c>
      <c r="C1968" s="8">
        <f>IFERROR(VLOOKUP($A1968,'01-原始价格'!$A:$M,8,FALSE),"")</f>
        <v/>
      </c>
      <c r="D1968" s="10">
        <f>IFERROR(B1968/C1968,"")</f>
        <v/>
      </c>
      <c r="E1968" s="10">
        <f>IFERROR(C1968/B1968,"")</f>
        <v/>
      </c>
      <c r="F1968" s="11">
        <f>IFERROR((D1968/D1967-1)*100,"")</f>
        <v/>
      </c>
      <c r="G1968" s="11">
        <f>IFERROR((COUNTIF($D$1717:$D$1968,"&lt;"&amp;D1968)+0.5*COUNTIF($D$1717:$D$1968,D1968))/COUNT($D$1717:$D$1968)*100,"")</f>
        <v/>
      </c>
      <c r="H1968" s="10">
        <f>IFERROR(AVERAGE($D$1717:$D$1968),"")</f>
        <v/>
      </c>
      <c r="I1968" s="10" t="n">
        <v>1.804922141387138</v>
      </c>
      <c r="J1968" t="inlineStr"/>
      <c r="K1968" t="inlineStr"/>
    </row>
    <row r="1969">
      <c r="A1969" s="7" t="inlineStr">
        <is>
          <t>2022-03-28</t>
        </is>
      </c>
      <c r="B1969" s="8">
        <f>IFERROR(VLOOKUP($A1969,'01-原始价格'!$A:$M,2,FALSE),"")</f>
        <v/>
      </c>
      <c r="C1969" s="8">
        <f>IFERROR(VLOOKUP($A1969,'01-原始价格'!$A:$M,8,FALSE),"")</f>
        <v/>
      </c>
      <c r="D1969" s="10">
        <f>IFERROR(B1969/C1969,"")</f>
        <v/>
      </c>
      <c r="E1969" s="10">
        <f>IFERROR(C1969/B1969,"")</f>
        <v/>
      </c>
      <c r="F1969" s="11">
        <f>IFERROR((D1969/D1968-1)*100,"")</f>
        <v/>
      </c>
      <c r="G1969" s="11">
        <f>IFERROR((COUNTIF($D$1718:$D$1969,"&lt;"&amp;D1969)+0.5*COUNTIF($D$1718:$D$1969,D1969))/COUNT($D$1718:$D$1969)*100,"")</f>
        <v/>
      </c>
      <c r="H1969" s="10">
        <f>IFERROR(AVERAGE($D$1718:$D$1969),"")</f>
        <v/>
      </c>
      <c r="I1969" s="10" t="n">
        <v>1.791411395632473</v>
      </c>
      <c r="J1969" t="inlineStr"/>
      <c r="K1969" t="inlineStr"/>
    </row>
    <row r="1970">
      <c r="A1970" s="7" t="inlineStr">
        <is>
          <t>2022-03-29</t>
        </is>
      </c>
      <c r="B1970" s="8">
        <f>IFERROR(VLOOKUP($A1970,'01-原始价格'!$A:$M,2,FALSE),"")</f>
        <v/>
      </c>
      <c r="C1970" s="8">
        <f>IFERROR(VLOOKUP($A1970,'01-原始价格'!$A:$M,8,FALSE),"")</f>
        <v/>
      </c>
      <c r="D1970" s="10">
        <f>IFERROR(B1970/C1970,"")</f>
        <v/>
      </c>
      <c r="E1970" s="10">
        <f>IFERROR(C1970/B1970,"")</f>
        <v/>
      </c>
      <c r="F1970" s="11">
        <f>IFERROR((D1970/D1969-1)*100,"")</f>
        <v/>
      </c>
      <c r="G1970" s="11">
        <f>IFERROR((COUNTIF($D$1719:$D$1970,"&lt;"&amp;D1970)+0.5*COUNTIF($D$1719:$D$1970,D1970))/COUNT($D$1719:$D$1970)*100,"")</f>
        <v/>
      </c>
      <c r="H1970" s="10">
        <f>IFERROR(AVERAGE($D$1719:$D$1970),"")</f>
        <v/>
      </c>
      <c r="I1970" s="10" t="n">
        <v>1.404940959954762</v>
      </c>
      <c r="J1970" t="inlineStr"/>
      <c r="K1970" t="inlineStr"/>
    </row>
    <row r="1971">
      <c r="A1971" s="7" t="inlineStr">
        <is>
          <t>2022-03-30</t>
        </is>
      </c>
      <c r="B1971" s="8">
        <f>IFERROR(VLOOKUP($A1971,'01-原始价格'!$A:$M,2,FALSE),"")</f>
        <v/>
      </c>
      <c r="C1971" s="8">
        <f>IFERROR(VLOOKUP($A1971,'01-原始价格'!$A:$M,8,FALSE),"")</f>
        <v/>
      </c>
      <c r="D1971" s="10">
        <f>IFERROR(B1971/C1971,"")</f>
        <v/>
      </c>
      <c r="E1971" s="10">
        <f>IFERROR(C1971/B1971,"")</f>
        <v/>
      </c>
      <c r="F1971" s="11">
        <f>IFERROR((D1971/D1970-1)*100,"")</f>
        <v/>
      </c>
      <c r="G1971" s="11">
        <f>IFERROR((COUNTIF($D$1720:$D$1971,"&lt;"&amp;D1971)+0.5*COUNTIF($D$1720:$D$1971,D1971))/COUNT($D$1720:$D$1971)*100,"")</f>
        <v/>
      </c>
      <c r="H1971" s="10">
        <f>IFERROR(AVERAGE($D$1720:$D$1971),"")</f>
        <v/>
      </c>
      <c r="I1971" s="10" t="n">
        <v>1.084504193402568</v>
      </c>
      <c r="J1971" t="inlineStr"/>
      <c r="K1971" t="inlineStr"/>
    </row>
    <row r="1972">
      <c r="A1972" s="7" t="inlineStr">
        <is>
          <t>2022-03-31</t>
        </is>
      </c>
      <c r="B1972" s="8">
        <f>IFERROR(VLOOKUP($A1972,'01-原始价格'!$A:$M,2,FALSE),"")</f>
        <v/>
      </c>
      <c r="C1972" s="8">
        <f>IFERROR(VLOOKUP($A1972,'01-原始价格'!$A:$M,8,FALSE),"")</f>
        <v/>
      </c>
      <c r="D1972" s="10">
        <f>IFERROR(B1972/C1972,"")</f>
        <v/>
      </c>
      <c r="E1972" s="10">
        <f>IFERROR(C1972/B1972,"")</f>
        <v/>
      </c>
      <c r="F1972" s="11">
        <f>IFERROR((D1972/D1971-1)*100,"")</f>
        <v/>
      </c>
      <c r="G1972" s="11">
        <f>IFERROR((COUNTIF($D$1721:$D$1972,"&lt;"&amp;D1972)+0.5*COUNTIF($D$1721:$D$1972,D1972))/COUNT($D$1721:$D$1972)*100,"")</f>
        <v/>
      </c>
      <c r="H1972" s="10">
        <f>IFERROR(AVERAGE($D$1721:$D$1972),"")</f>
        <v/>
      </c>
      <c r="I1972" s="10" t="n">
        <v>0.8328352776708015</v>
      </c>
      <c r="J1972" t="inlineStr"/>
      <c r="K1972" t="inlineStr"/>
    </row>
    <row r="1973">
      <c r="A1973" s="7" t="inlineStr">
        <is>
          <t>2022-04-01</t>
        </is>
      </c>
      <c r="B1973" s="8">
        <f>IFERROR(VLOOKUP($A1973,'01-原始价格'!$A:$M,2,FALSE),"")</f>
        <v/>
      </c>
      <c r="C1973" s="8">
        <f>IFERROR(VLOOKUP($A1973,'01-原始价格'!$A:$M,8,FALSE),"")</f>
        <v/>
      </c>
      <c r="D1973" s="10">
        <f>IFERROR(B1973/C1973,"")</f>
        <v/>
      </c>
      <c r="E1973" s="10">
        <f>IFERROR(C1973/B1973,"")</f>
        <v/>
      </c>
      <c r="F1973" s="11">
        <f>IFERROR((D1973/D1972-1)*100,"")</f>
        <v/>
      </c>
      <c r="G1973" s="11">
        <f>IFERROR((COUNTIF($D$1722:$D$1973,"&lt;"&amp;D1973)+0.5*COUNTIF($D$1722:$D$1973,D1973))/COUNT($D$1722:$D$1973)*100,"")</f>
        <v/>
      </c>
      <c r="H1973" s="10">
        <f>IFERROR(AVERAGE($D$1722:$D$1973),"")</f>
        <v/>
      </c>
      <c r="I1973" s="10" t="n">
        <v>0.8190591261157234</v>
      </c>
      <c r="J1973" t="inlineStr"/>
      <c r="K1973" t="inlineStr"/>
    </row>
    <row r="1974">
      <c r="A1974" s="7" t="inlineStr">
        <is>
          <t>2022-04-06</t>
        </is>
      </c>
      <c r="B1974" s="8">
        <f>IFERROR(VLOOKUP($A1974,'01-原始价格'!$A:$M,2,FALSE),"")</f>
        <v/>
      </c>
      <c r="C1974" s="8">
        <f>IFERROR(VLOOKUP($A1974,'01-原始价格'!$A:$M,8,FALSE),"")</f>
        <v/>
      </c>
      <c r="D1974" s="10">
        <f>IFERROR(B1974/C1974,"")</f>
        <v/>
      </c>
      <c r="E1974" s="10">
        <f>IFERROR(C1974/B1974,"")</f>
        <v/>
      </c>
      <c r="F1974" s="11">
        <f>IFERROR((D1974/D1973-1)*100,"")</f>
        <v/>
      </c>
      <c r="G1974" s="11">
        <f>IFERROR((COUNTIF($D$1723:$D$1974,"&lt;"&amp;D1974)+0.5*COUNTIF($D$1723:$D$1974,D1974))/COUNT($D$1723:$D$1974)*100,"")</f>
        <v/>
      </c>
      <c r="H1974" s="10">
        <f>IFERROR(AVERAGE($D$1723:$D$1974),"")</f>
        <v/>
      </c>
      <c r="I1974" s="10" t="n">
        <v>0.763938780921352</v>
      </c>
      <c r="J1974" t="inlineStr"/>
      <c r="K1974" t="inlineStr"/>
    </row>
    <row r="1975">
      <c r="A1975" s="7" t="inlineStr">
        <is>
          <t>2022-04-07</t>
        </is>
      </c>
      <c r="B1975" s="8">
        <f>IFERROR(VLOOKUP($A1975,'01-原始价格'!$A:$M,2,FALSE),"")</f>
        <v/>
      </c>
      <c r="C1975" s="8">
        <f>IFERROR(VLOOKUP($A1975,'01-原始价格'!$A:$M,8,FALSE),"")</f>
        <v/>
      </c>
      <c r="D1975" s="10">
        <f>IFERROR(B1975/C1975,"")</f>
        <v/>
      </c>
      <c r="E1975" s="10">
        <f>IFERROR(C1975/B1975,"")</f>
        <v/>
      </c>
      <c r="F1975" s="11">
        <f>IFERROR((D1975/D1974-1)*100,"")</f>
        <v/>
      </c>
      <c r="G1975" s="11">
        <f>IFERROR((COUNTIF($D$1724:$D$1975,"&lt;"&amp;D1975)+0.5*COUNTIF($D$1724:$D$1975,D1975))/COUNT($D$1724:$D$1975)*100,"")</f>
        <v/>
      </c>
      <c r="H1975" s="10">
        <f>IFERROR(AVERAGE($D$1724:$D$1975),"")</f>
        <v/>
      </c>
      <c r="I1975" s="10" t="n">
        <v>0.7540759037735271</v>
      </c>
      <c r="J1975" t="inlineStr"/>
      <c r="K1975" t="inlineStr"/>
    </row>
    <row r="1976">
      <c r="A1976" s="7" t="inlineStr">
        <is>
          <t>2022-04-08</t>
        </is>
      </c>
      <c r="B1976" s="8">
        <f>IFERROR(VLOOKUP($A1976,'01-原始价格'!$A:$M,2,FALSE),"")</f>
        <v/>
      </c>
      <c r="C1976" s="8">
        <f>IFERROR(VLOOKUP($A1976,'01-原始价格'!$A:$M,8,FALSE),"")</f>
        <v/>
      </c>
      <c r="D1976" s="10">
        <f>IFERROR(B1976/C1976,"")</f>
        <v/>
      </c>
      <c r="E1976" s="10">
        <f>IFERROR(C1976/B1976,"")</f>
        <v/>
      </c>
      <c r="F1976" s="11">
        <f>IFERROR((D1976/D1975-1)*100,"")</f>
        <v/>
      </c>
      <c r="G1976" s="11">
        <f>IFERROR((COUNTIF($D$1725:$D$1976,"&lt;"&amp;D1976)+0.5*COUNTIF($D$1725:$D$1976,D1976))/COUNT($D$1725:$D$1976)*100,"")</f>
        <v/>
      </c>
      <c r="H1976" s="10">
        <f>IFERROR(AVERAGE($D$1725:$D$1976),"")</f>
        <v/>
      </c>
      <c r="I1976" s="10" t="n">
        <v>0.8965692673666449</v>
      </c>
      <c r="J1976" t="inlineStr"/>
      <c r="K1976" t="inlineStr"/>
    </row>
    <row r="1977">
      <c r="A1977" s="7" t="inlineStr">
        <is>
          <t>2022-04-11</t>
        </is>
      </c>
      <c r="B1977" s="8">
        <f>IFERROR(VLOOKUP($A1977,'01-原始价格'!$A:$M,2,FALSE),"")</f>
        <v/>
      </c>
      <c r="C1977" s="8">
        <f>IFERROR(VLOOKUP($A1977,'01-原始价格'!$A:$M,8,FALSE),"")</f>
        <v/>
      </c>
      <c r="D1977" s="10">
        <f>IFERROR(B1977/C1977,"")</f>
        <v/>
      </c>
      <c r="E1977" s="10">
        <f>IFERROR(C1977/B1977,"")</f>
        <v/>
      </c>
      <c r="F1977" s="11">
        <f>IFERROR((D1977/D1976-1)*100,"")</f>
        <v/>
      </c>
      <c r="G1977" s="11">
        <f>IFERROR((COUNTIF($D$1726:$D$1977,"&lt;"&amp;D1977)+0.5*COUNTIF($D$1726:$D$1977,D1977))/COUNT($D$1726:$D$1977)*100,"")</f>
        <v/>
      </c>
      <c r="H1977" s="10">
        <f>IFERROR(AVERAGE($D$1726:$D$1977),"")</f>
        <v/>
      </c>
      <c r="I1977" s="10" t="n">
        <v>0.5588660314591202</v>
      </c>
      <c r="J1977" t="inlineStr"/>
      <c r="K1977" t="inlineStr"/>
    </row>
    <row r="1978">
      <c r="A1978" s="7" t="inlineStr">
        <is>
          <t>2022-04-12</t>
        </is>
      </c>
      <c r="B1978" s="8">
        <f>IFERROR(VLOOKUP($A1978,'01-原始价格'!$A:$M,2,FALSE),"")</f>
        <v/>
      </c>
      <c r="C1978" s="8">
        <f>IFERROR(VLOOKUP($A1978,'01-原始价格'!$A:$M,8,FALSE),"")</f>
        <v/>
      </c>
      <c r="D1978" s="10">
        <f>IFERROR(B1978/C1978,"")</f>
        <v/>
      </c>
      <c r="E1978" s="10">
        <f>IFERROR(C1978/B1978,"")</f>
        <v/>
      </c>
      <c r="F1978" s="11">
        <f>IFERROR((D1978/D1977-1)*100,"")</f>
        <v/>
      </c>
      <c r="G1978" s="11">
        <f>IFERROR((COUNTIF($D$1727:$D$1978,"&lt;"&amp;D1978)+0.5*COUNTIF($D$1727:$D$1978,D1978))/COUNT($D$1727:$D$1978)*100,"")</f>
        <v/>
      </c>
      <c r="H1978" s="10">
        <f>IFERROR(AVERAGE($D$1727:$D$1978),"")</f>
        <v/>
      </c>
      <c r="I1978" s="10" t="n">
        <v>1.259312637850751</v>
      </c>
      <c r="J1978" t="inlineStr"/>
      <c r="K1978" t="inlineStr"/>
    </row>
    <row r="1979">
      <c r="A1979" s="7" t="inlineStr">
        <is>
          <t>2022-04-13</t>
        </is>
      </c>
      <c r="B1979" s="8">
        <f>IFERROR(VLOOKUP($A1979,'01-原始价格'!$A:$M,2,FALSE),"")</f>
        <v/>
      </c>
      <c r="C1979" s="8">
        <f>IFERROR(VLOOKUP($A1979,'01-原始价格'!$A:$M,8,FALSE),"")</f>
        <v/>
      </c>
      <c r="D1979" s="10">
        <f>IFERROR(B1979/C1979,"")</f>
        <v/>
      </c>
      <c r="E1979" s="10">
        <f>IFERROR(C1979/B1979,"")</f>
        <v/>
      </c>
      <c r="F1979" s="11">
        <f>IFERROR((D1979/D1978-1)*100,"")</f>
        <v/>
      </c>
      <c r="G1979" s="11">
        <f>IFERROR((COUNTIF($D$1728:$D$1979,"&lt;"&amp;D1979)+0.5*COUNTIF($D$1728:$D$1979,D1979))/COUNT($D$1728:$D$1979)*100,"")</f>
        <v/>
      </c>
      <c r="H1979" s="10">
        <f>IFERROR(AVERAGE($D$1728:$D$1979),"")</f>
        <v/>
      </c>
      <c r="I1979" s="10" t="n">
        <v>1.29321150575335</v>
      </c>
      <c r="J1979" t="inlineStr"/>
      <c r="K1979" t="inlineStr"/>
    </row>
    <row r="1980">
      <c r="A1980" s="7" t="inlineStr">
        <is>
          <t>2022-04-14</t>
        </is>
      </c>
      <c r="B1980" s="8">
        <f>IFERROR(VLOOKUP($A1980,'01-原始价格'!$A:$M,2,FALSE),"")</f>
        <v/>
      </c>
      <c r="C1980" s="8">
        <f>IFERROR(VLOOKUP($A1980,'01-原始价格'!$A:$M,8,FALSE),"")</f>
        <v/>
      </c>
      <c r="D1980" s="10">
        <f>IFERROR(B1980/C1980,"")</f>
        <v/>
      </c>
      <c r="E1980" s="10">
        <f>IFERROR(C1980/B1980,"")</f>
        <v/>
      </c>
      <c r="F1980" s="11">
        <f>IFERROR((D1980/D1979-1)*100,"")</f>
        <v/>
      </c>
      <c r="G1980" s="11">
        <f>IFERROR((COUNTIF($D$1729:$D$1980,"&lt;"&amp;D1980)+0.5*COUNTIF($D$1729:$D$1980,D1980))/COUNT($D$1729:$D$1980)*100,"")</f>
        <v/>
      </c>
      <c r="H1980" s="10">
        <f>IFERROR(AVERAGE($D$1729:$D$1980),"")</f>
        <v/>
      </c>
      <c r="I1980" s="10" t="n">
        <v>1.320553356605616</v>
      </c>
      <c r="J1980" t="inlineStr"/>
      <c r="K1980" t="inlineStr"/>
    </row>
    <row r="1981">
      <c r="A1981" s="7" t="inlineStr">
        <is>
          <t>2022-04-15</t>
        </is>
      </c>
      <c r="B1981" s="8">
        <f>IFERROR(VLOOKUP($A1981,'01-原始价格'!$A:$M,2,FALSE),"")</f>
        <v/>
      </c>
      <c r="C1981" s="8">
        <f>IFERROR(VLOOKUP($A1981,'01-原始价格'!$A:$M,8,FALSE),"")</f>
        <v/>
      </c>
      <c r="D1981" s="10">
        <f>IFERROR(B1981/C1981,"")</f>
        <v/>
      </c>
      <c r="E1981" s="10">
        <f>IFERROR(C1981/B1981,"")</f>
        <v/>
      </c>
      <c r="F1981" s="11">
        <f>IFERROR((D1981/D1980-1)*100,"")</f>
        <v/>
      </c>
      <c r="G1981" s="11">
        <f>IFERROR((COUNTIF($D$1730:$D$1981,"&lt;"&amp;D1981)+0.5*COUNTIF($D$1730:$D$1981,D1981))/COUNT($D$1730:$D$1981)*100,"")</f>
        <v/>
      </c>
      <c r="H1981" s="10">
        <f>IFERROR(AVERAGE($D$1730:$D$1981),"")</f>
        <v/>
      </c>
      <c r="I1981" s="10" t="n">
        <v>1.426522493359742</v>
      </c>
      <c r="J1981" t="inlineStr"/>
      <c r="K1981" t="inlineStr"/>
    </row>
    <row r="1982">
      <c r="A1982" s="7" t="inlineStr">
        <is>
          <t>2022-04-18</t>
        </is>
      </c>
      <c r="B1982" s="8">
        <f>IFERROR(VLOOKUP($A1982,'01-原始价格'!$A:$M,2,FALSE),"")</f>
        <v/>
      </c>
      <c r="C1982" s="8">
        <f>IFERROR(VLOOKUP($A1982,'01-原始价格'!$A:$M,8,FALSE),"")</f>
        <v/>
      </c>
      <c r="D1982" s="10">
        <f>IFERROR(B1982/C1982,"")</f>
        <v/>
      </c>
      <c r="E1982" s="10">
        <f>IFERROR(C1982/B1982,"")</f>
        <v/>
      </c>
      <c r="F1982" s="11">
        <f>IFERROR((D1982/D1981-1)*100,"")</f>
        <v/>
      </c>
      <c r="G1982" s="11">
        <f>IFERROR((COUNTIF($D$1731:$D$1982,"&lt;"&amp;D1982)+0.5*COUNTIF($D$1731:$D$1982,D1982))/COUNT($D$1731:$D$1982)*100,"")</f>
        <v/>
      </c>
      <c r="H1982" s="10">
        <f>IFERROR(AVERAGE($D$1731:$D$1982),"")</f>
        <v/>
      </c>
      <c r="I1982" s="10" t="n">
        <v>1.187597252509507</v>
      </c>
      <c r="J1982" t="inlineStr"/>
      <c r="K1982" t="inlineStr"/>
    </row>
    <row r="1983">
      <c r="A1983" s="7" t="inlineStr">
        <is>
          <t>2022-04-19</t>
        </is>
      </c>
      <c r="B1983" s="8">
        <f>IFERROR(VLOOKUP($A1983,'01-原始价格'!$A:$M,2,FALSE),"")</f>
        <v/>
      </c>
      <c r="C1983" s="8">
        <f>IFERROR(VLOOKUP($A1983,'01-原始价格'!$A:$M,8,FALSE),"")</f>
        <v/>
      </c>
      <c r="D1983" s="10">
        <f>IFERROR(B1983/C1983,"")</f>
        <v/>
      </c>
      <c r="E1983" s="10">
        <f>IFERROR(C1983/B1983,"")</f>
        <v/>
      </c>
      <c r="F1983" s="11">
        <f>IFERROR((D1983/D1982-1)*100,"")</f>
        <v/>
      </c>
      <c r="G1983" s="11">
        <f>IFERROR((COUNTIF($D$1732:$D$1983,"&lt;"&amp;D1983)+0.5*COUNTIF($D$1732:$D$1983,D1983))/COUNT($D$1732:$D$1983)*100,"")</f>
        <v/>
      </c>
      <c r="H1983" s="10">
        <f>IFERROR(AVERAGE($D$1732:$D$1983),"")</f>
        <v/>
      </c>
      <c r="I1983" s="10" t="n">
        <v>1.451737126814626</v>
      </c>
      <c r="J1983" t="inlineStr"/>
      <c r="K1983" t="inlineStr"/>
    </row>
    <row r="1984">
      <c r="A1984" s="7" t="inlineStr">
        <is>
          <t>2022-04-20</t>
        </is>
      </c>
      <c r="B1984" s="8">
        <f>IFERROR(VLOOKUP($A1984,'01-原始价格'!$A:$M,2,FALSE),"")</f>
        <v/>
      </c>
      <c r="C1984" s="8">
        <f>IFERROR(VLOOKUP($A1984,'01-原始价格'!$A:$M,8,FALSE),"")</f>
        <v/>
      </c>
      <c r="D1984" s="10">
        <f>IFERROR(B1984/C1984,"")</f>
        <v/>
      </c>
      <c r="E1984" s="10">
        <f>IFERROR(C1984/B1984,"")</f>
        <v/>
      </c>
      <c r="F1984" s="11">
        <f>IFERROR((D1984/D1983-1)*100,"")</f>
        <v/>
      </c>
      <c r="G1984" s="11">
        <f>IFERROR((COUNTIF($D$1733:$D$1984,"&lt;"&amp;D1984)+0.5*COUNTIF($D$1733:$D$1984,D1984))/COUNT($D$1733:$D$1984)*100,"")</f>
        <v/>
      </c>
      <c r="H1984" s="10">
        <f>IFERROR(AVERAGE($D$1733:$D$1984),"")</f>
        <v/>
      </c>
      <c r="I1984" s="10" t="n">
        <v>1.581600368117812</v>
      </c>
      <c r="J1984" t="inlineStr"/>
      <c r="K1984" s="12" t="inlineStr">
        <is>
          <t>是</t>
        </is>
      </c>
      <c r="L1984" t="inlineStr">
        <is>
          <t>换月日</t>
        </is>
      </c>
    </row>
    <row r="1985">
      <c r="A1985" s="7" t="inlineStr">
        <is>
          <t>2022-04-21</t>
        </is>
      </c>
      <c r="B1985" s="8">
        <f>IFERROR(VLOOKUP($A1985,'01-原始价格'!$A:$M,2,FALSE),"")</f>
        <v/>
      </c>
      <c r="C1985" s="8">
        <f>IFERROR(VLOOKUP($A1985,'01-原始价格'!$A:$M,8,FALSE),"")</f>
        <v/>
      </c>
      <c r="D1985" s="10">
        <f>IFERROR(B1985/C1985,"")</f>
        <v/>
      </c>
      <c r="E1985" s="10">
        <f>IFERROR(C1985/B1985,"")</f>
        <v/>
      </c>
      <c r="F1985" s="11">
        <f>IFERROR((D1985/D1984-1)*100,"")</f>
        <v/>
      </c>
      <c r="G1985" s="11">
        <f>IFERROR((COUNTIF($D$1734:$D$1985,"&lt;"&amp;D1985)+0.5*COUNTIF($D$1734:$D$1985,D1985))/COUNT($D$1734:$D$1985)*100,"")</f>
        <v/>
      </c>
      <c r="H1985" s="10">
        <f>IFERROR(AVERAGE($D$1734:$D$1985),"")</f>
        <v/>
      </c>
      <c r="I1985" s="10" t="n">
        <v>1.838108153825125</v>
      </c>
      <c r="J1985" t="inlineStr"/>
      <c r="K1985" s="12" t="inlineStr">
        <is>
          <t>是</t>
        </is>
      </c>
      <c r="L1985" t="inlineStr">
        <is>
          <t>换月日</t>
        </is>
      </c>
    </row>
    <row r="1986">
      <c r="A1986" s="7" t="inlineStr">
        <is>
          <t>2022-04-22</t>
        </is>
      </c>
      <c r="B1986" s="8">
        <f>IFERROR(VLOOKUP($A1986,'01-原始价格'!$A:$M,2,FALSE),"")</f>
        <v/>
      </c>
      <c r="C1986" s="8">
        <f>IFERROR(VLOOKUP($A1986,'01-原始价格'!$A:$M,8,FALSE),"")</f>
        <v/>
      </c>
      <c r="D1986" s="10">
        <f>IFERROR(B1986/C1986,"")</f>
        <v/>
      </c>
      <c r="E1986" s="10">
        <f>IFERROR(C1986/B1986,"")</f>
        <v/>
      </c>
      <c r="F1986" s="11">
        <f>IFERROR((D1986/D1985-1)*100,"")</f>
        <v/>
      </c>
      <c r="G1986" s="11">
        <f>IFERROR((COUNTIF($D$1735:$D$1986,"&lt;"&amp;D1986)+0.5*COUNTIF($D$1735:$D$1986,D1986))/COUNT($D$1735:$D$1986)*100,"")</f>
        <v/>
      </c>
      <c r="H1986" s="10">
        <f>IFERROR(AVERAGE($D$1735:$D$1986),"")</f>
        <v/>
      </c>
      <c r="I1986" s="10" t="n">
        <v>1.671986175534291</v>
      </c>
      <c r="J1986" t="inlineStr"/>
      <c r="K1986" t="inlineStr"/>
    </row>
    <row r="1987">
      <c r="A1987" s="7" t="inlineStr">
        <is>
          <t>2022-04-25</t>
        </is>
      </c>
      <c r="B1987" s="8">
        <f>IFERROR(VLOOKUP($A1987,'01-原始价格'!$A:$M,2,FALSE),"")</f>
        <v/>
      </c>
      <c r="C1987" s="8">
        <f>IFERROR(VLOOKUP($A1987,'01-原始价格'!$A:$M,8,FALSE),"")</f>
        <v/>
      </c>
      <c r="D1987" s="10">
        <f>IFERROR(B1987/C1987,"")</f>
        <v/>
      </c>
      <c r="E1987" s="10">
        <f>IFERROR(C1987/B1987,"")</f>
        <v/>
      </c>
      <c r="F1987" s="11">
        <f>IFERROR((D1987/D1986-1)*100,"")</f>
        <v/>
      </c>
      <c r="G1987" s="11">
        <f>IFERROR((COUNTIF($D$1736:$D$1987,"&lt;"&amp;D1987)+0.5*COUNTIF($D$1736:$D$1987,D1987))/COUNT($D$1736:$D$1987)*100,"")</f>
        <v/>
      </c>
      <c r="H1987" s="10">
        <f>IFERROR(AVERAGE($D$1736:$D$1987),"")</f>
        <v/>
      </c>
      <c r="I1987" s="10" t="n">
        <v>1.418111767531223</v>
      </c>
      <c r="J1987" t="inlineStr"/>
      <c r="K1987" t="inlineStr"/>
    </row>
    <row r="1988">
      <c r="A1988" s="7" t="inlineStr">
        <is>
          <t>2022-04-26</t>
        </is>
      </c>
      <c r="B1988" s="8">
        <f>IFERROR(VLOOKUP($A1988,'01-原始价格'!$A:$M,2,FALSE),"")</f>
        <v/>
      </c>
      <c r="C1988" s="8">
        <f>IFERROR(VLOOKUP($A1988,'01-原始价格'!$A:$M,8,FALSE),"")</f>
        <v/>
      </c>
      <c r="D1988" s="10">
        <f>IFERROR(B1988/C1988,"")</f>
        <v/>
      </c>
      <c r="E1988" s="10">
        <f>IFERROR(C1988/B1988,"")</f>
        <v/>
      </c>
      <c r="F1988" s="11">
        <f>IFERROR((D1988/D1987-1)*100,"")</f>
        <v/>
      </c>
      <c r="G1988" s="11">
        <f>IFERROR((COUNTIF($D$1737:$D$1988,"&lt;"&amp;D1988)+0.5*COUNTIF($D$1737:$D$1988,D1988))/COUNT($D$1737:$D$1988)*100,"")</f>
        <v/>
      </c>
      <c r="H1988" s="10">
        <f>IFERROR(AVERAGE($D$1737:$D$1988),"")</f>
        <v/>
      </c>
      <c r="I1988" s="10" t="n">
        <v>1.793696960423968</v>
      </c>
      <c r="J1988" t="inlineStr"/>
      <c r="K1988" t="inlineStr"/>
    </row>
    <row r="1989">
      <c r="A1989" s="7" t="inlineStr">
        <is>
          <t>2022-04-27</t>
        </is>
      </c>
      <c r="B1989" s="8">
        <f>IFERROR(VLOOKUP($A1989,'01-原始价格'!$A:$M,2,FALSE),"")</f>
        <v/>
      </c>
      <c r="C1989" s="8">
        <f>IFERROR(VLOOKUP($A1989,'01-原始价格'!$A:$M,8,FALSE),"")</f>
        <v/>
      </c>
      <c r="D1989" s="10">
        <f>IFERROR(B1989/C1989,"")</f>
        <v/>
      </c>
      <c r="E1989" s="10">
        <f>IFERROR(C1989/B1989,"")</f>
        <v/>
      </c>
      <c r="F1989" s="11">
        <f>IFERROR((D1989/D1988-1)*100,"")</f>
        <v/>
      </c>
      <c r="G1989" s="11">
        <f>IFERROR((COUNTIF($D$1738:$D$1989,"&lt;"&amp;D1989)+0.5*COUNTIF($D$1738:$D$1989,D1989))/COUNT($D$1738:$D$1989)*100,"")</f>
        <v/>
      </c>
      <c r="H1989" s="10">
        <f>IFERROR(AVERAGE($D$1738:$D$1989),"")</f>
        <v/>
      </c>
      <c r="I1989" s="10" t="n">
        <v>1.770691157699088</v>
      </c>
      <c r="J1989" t="inlineStr"/>
      <c r="K1989" t="inlineStr"/>
    </row>
    <row r="1990">
      <c r="A1990" s="7" t="inlineStr">
        <is>
          <t>2022-04-28</t>
        </is>
      </c>
      <c r="B1990" s="8">
        <f>IFERROR(VLOOKUP($A1990,'01-原始价格'!$A:$M,2,FALSE),"")</f>
        <v/>
      </c>
      <c r="C1990" s="8">
        <f>IFERROR(VLOOKUP($A1990,'01-原始价格'!$A:$M,8,FALSE),"")</f>
        <v/>
      </c>
      <c r="D1990" s="10">
        <f>IFERROR(B1990/C1990,"")</f>
        <v/>
      </c>
      <c r="E1990" s="10">
        <f>IFERROR(C1990/B1990,"")</f>
        <v/>
      </c>
      <c r="F1990" s="11">
        <f>IFERROR((D1990/D1989-1)*100,"")</f>
        <v/>
      </c>
      <c r="G1990" s="11">
        <f>IFERROR((COUNTIF($D$1739:$D$1990,"&lt;"&amp;D1990)+0.5*COUNTIF($D$1739:$D$1990,D1990))/COUNT($D$1739:$D$1990)*100,"")</f>
        <v/>
      </c>
      <c r="H1990" s="10">
        <f>IFERROR(AVERAGE($D$1739:$D$1990),"")</f>
        <v/>
      </c>
      <c r="I1990" s="10" t="n">
        <v>1.8798440981697</v>
      </c>
      <c r="J1990" t="inlineStr"/>
      <c r="K1990" t="inlineStr"/>
    </row>
    <row r="1991">
      <c r="A1991" s="7" t="inlineStr">
        <is>
          <t>2022-04-29</t>
        </is>
      </c>
      <c r="B1991" s="8">
        <f>IFERROR(VLOOKUP($A1991,'01-原始价格'!$A:$M,2,FALSE),"")</f>
        <v/>
      </c>
      <c r="C1991" s="8">
        <f>IFERROR(VLOOKUP($A1991,'01-原始价格'!$A:$M,8,FALSE),"")</f>
        <v/>
      </c>
      <c r="D1991" s="10">
        <f>IFERROR(B1991/C1991,"")</f>
        <v/>
      </c>
      <c r="E1991" s="10">
        <f>IFERROR(C1991/B1991,"")</f>
        <v/>
      </c>
      <c r="F1991" s="11">
        <f>IFERROR((D1991/D1990-1)*100,"")</f>
        <v/>
      </c>
      <c r="G1991" s="11">
        <f>IFERROR((COUNTIF($D$1740:$D$1991,"&lt;"&amp;D1991)+0.5*COUNTIF($D$1740:$D$1991,D1991))/COUNT($D$1740:$D$1991)*100,"")</f>
        <v/>
      </c>
      <c r="H1991" s="10">
        <f>IFERROR(AVERAGE($D$1740:$D$1991),"")</f>
        <v/>
      </c>
      <c r="I1991" s="10" t="n">
        <v>2.169425934654572</v>
      </c>
      <c r="J1991" t="inlineStr"/>
      <c r="K1991" t="inlineStr"/>
    </row>
    <row r="1992">
      <c r="A1992" s="7" t="inlineStr">
        <is>
          <t>2022-05-05</t>
        </is>
      </c>
      <c r="B1992" s="8">
        <f>IFERROR(VLOOKUP($A1992,'01-原始价格'!$A:$M,2,FALSE),"")</f>
        <v/>
      </c>
      <c r="C1992" s="8">
        <f>IFERROR(VLOOKUP($A1992,'01-原始价格'!$A:$M,8,FALSE),"")</f>
        <v/>
      </c>
      <c r="D1992" s="10">
        <f>IFERROR(B1992/C1992,"")</f>
        <v/>
      </c>
      <c r="E1992" s="10">
        <f>IFERROR(C1992/B1992,"")</f>
        <v/>
      </c>
      <c r="F1992" s="11">
        <f>IFERROR((D1992/D1991-1)*100,"")</f>
        <v/>
      </c>
      <c r="G1992" s="11">
        <f>IFERROR((COUNTIF($D$1741:$D$1992,"&lt;"&amp;D1992)+0.5*COUNTIF($D$1741:$D$1992,D1992))/COUNT($D$1741:$D$1992)*100,"")</f>
        <v/>
      </c>
      <c r="H1992" s="10">
        <f>IFERROR(AVERAGE($D$1741:$D$1992),"")</f>
        <v/>
      </c>
      <c r="I1992" s="10" t="n">
        <v>2.081725428762289</v>
      </c>
      <c r="J1992" t="inlineStr"/>
      <c r="K1992" t="inlineStr"/>
    </row>
    <row r="1993">
      <c r="A1993" s="7" t="inlineStr">
        <is>
          <t>2022-05-06</t>
        </is>
      </c>
      <c r="B1993" s="8">
        <f>IFERROR(VLOOKUP($A1993,'01-原始价格'!$A:$M,2,FALSE),"")</f>
        <v/>
      </c>
      <c r="C1993" s="8">
        <f>IFERROR(VLOOKUP($A1993,'01-原始价格'!$A:$M,8,FALSE),"")</f>
        <v/>
      </c>
      <c r="D1993" s="10">
        <f>IFERROR(B1993/C1993,"")</f>
        <v/>
      </c>
      <c r="E1993" s="10">
        <f>IFERROR(C1993/B1993,"")</f>
        <v/>
      </c>
      <c r="F1993" s="11">
        <f>IFERROR((D1993/D1992-1)*100,"")</f>
        <v/>
      </c>
      <c r="G1993" s="11">
        <f>IFERROR((COUNTIF($D$1742:$D$1993,"&lt;"&amp;D1993)+0.5*COUNTIF($D$1742:$D$1993,D1993))/COUNT($D$1742:$D$1993)*100,"")</f>
        <v/>
      </c>
      <c r="H1993" s="10">
        <f>IFERROR(AVERAGE($D$1742:$D$1993),"")</f>
        <v/>
      </c>
      <c r="I1993" s="10" t="n">
        <v>2.352703447410191</v>
      </c>
      <c r="J1993" t="inlineStr"/>
      <c r="K1993" t="inlineStr"/>
    </row>
    <row r="1994">
      <c r="A1994" s="7" t="inlineStr">
        <is>
          <t>2022-05-09</t>
        </is>
      </c>
      <c r="B1994" s="8">
        <f>IFERROR(VLOOKUP($A1994,'01-原始价格'!$A:$M,2,FALSE),"")</f>
        <v/>
      </c>
      <c r="C1994" s="8">
        <f>IFERROR(VLOOKUP($A1994,'01-原始价格'!$A:$M,8,FALSE),"")</f>
        <v/>
      </c>
      <c r="D1994" s="10">
        <f>IFERROR(B1994/C1994,"")</f>
        <v/>
      </c>
      <c r="E1994" s="10">
        <f>IFERROR(C1994/B1994,"")</f>
        <v/>
      </c>
      <c r="F1994" s="11">
        <f>IFERROR((D1994/D1993-1)*100,"")</f>
        <v/>
      </c>
      <c r="G1994" s="11">
        <f>IFERROR((COUNTIF($D$1743:$D$1994,"&lt;"&amp;D1994)+0.5*COUNTIF($D$1743:$D$1994,D1994))/COUNT($D$1743:$D$1994)*100,"")</f>
        <v/>
      </c>
      <c r="H1994" s="10">
        <f>IFERROR(AVERAGE($D$1743:$D$1994),"")</f>
        <v/>
      </c>
      <c r="I1994" s="10" t="n">
        <v>2.310360695038017</v>
      </c>
      <c r="J1994" t="inlineStr"/>
      <c r="K1994" t="inlineStr"/>
    </row>
    <row r="1995">
      <c r="A1995" s="7" t="inlineStr">
        <is>
          <t>2022-05-10</t>
        </is>
      </c>
      <c r="B1995" s="8">
        <f>IFERROR(VLOOKUP($A1995,'01-原始价格'!$A:$M,2,FALSE),"")</f>
        <v/>
      </c>
      <c r="C1995" s="8">
        <f>IFERROR(VLOOKUP($A1995,'01-原始价格'!$A:$M,8,FALSE),"")</f>
        <v/>
      </c>
      <c r="D1995" s="10">
        <f>IFERROR(B1995/C1995,"")</f>
        <v/>
      </c>
      <c r="E1995" s="10">
        <f>IFERROR(C1995/B1995,"")</f>
        <v/>
      </c>
      <c r="F1995" s="11">
        <f>IFERROR((D1995/D1994-1)*100,"")</f>
        <v/>
      </c>
      <c r="G1995" s="11">
        <f>IFERROR((COUNTIF($D$1744:$D$1995,"&lt;"&amp;D1995)+0.5*COUNTIF($D$1744:$D$1995,D1995))/COUNT($D$1744:$D$1995)*100,"")</f>
        <v/>
      </c>
      <c r="H1995" s="10">
        <f>IFERROR(AVERAGE($D$1744:$D$1995),"")</f>
        <v/>
      </c>
      <c r="I1995" s="10" t="n">
        <v>2.206498849419035</v>
      </c>
      <c r="J1995" t="inlineStr"/>
      <c r="K1995" t="inlineStr"/>
    </row>
    <row r="1996">
      <c r="A1996" s="7" t="inlineStr">
        <is>
          <t>2022-05-11</t>
        </is>
      </c>
      <c r="B1996" s="8">
        <f>IFERROR(VLOOKUP($A1996,'01-原始价格'!$A:$M,2,FALSE),"")</f>
        <v/>
      </c>
      <c r="C1996" s="8">
        <f>IFERROR(VLOOKUP($A1996,'01-原始价格'!$A:$M,8,FALSE),"")</f>
        <v/>
      </c>
      <c r="D1996" s="10">
        <f>IFERROR(B1996/C1996,"")</f>
        <v/>
      </c>
      <c r="E1996" s="10">
        <f>IFERROR(C1996/B1996,"")</f>
        <v/>
      </c>
      <c r="F1996" s="11">
        <f>IFERROR((D1996/D1995-1)*100,"")</f>
        <v/>
      </c>
      <c r="G1996" s="11">
        <f>IFERROR((COUNTIF($D$1745:$D$1996,"&lt;"&amp;D1996)+0.5*COUNTIF($D$1745:$D$1996,D1996))/COUNT($D$1745:$D$1996)*100,"")</f>
        <v/>
      </c>
      <c r="H1996" s="10">
        <f>IFERROR(AVERAGE($D$1745:$D$1996),"")</f>
        <v/>
      </c>
      <c r="I1996" s="10" t="n">
        <v>2.250679872214768</v>
      </c>
      <c r="J1996" t="inlineStr"/>
      <c r="K1996" t="inlineStr"/>
    </row>
    <row r="1997">
      <c r="A1997" s="7" t="inlineStr">
        <is>
          <t>2022-05-12</t>
        </is>
      </c>
      <c r="B1997" s="8">
        <f>IFERROR(VLOOKUP($A1997,'01-原始价格'!$A:$M,2,FALSE),"")</f>
        <v/>
      </c>
      <c r="C1997" s="8">
        <f>IFERROR(VLOOKUP($A1997,'01-原始价格'!$A:$M,8,FALSE),"")</f>
        <v/>
      </c>
      <c r="D1997" s="10">
        <f>IFERROR(B1997/C1997,"")</f>
        <v/>
      </c>
      <c r="E1997" s="10">
        <f>IFERROR(C1997/B1997,"")</f>
        <v/>
      </c>
      <c r="F1997" s="11">
        <f>IFERROR((D1997/D1996-1)*100,"")</f>
        <v/>
      </c>
      <c r="G1997" s="11">
        <f>IFERROR((COUNTIF($D$1746:$D$1997,"&lt;"&amp;D1997)+0.5*COUNTIF($D$1746:$D$1997,D1997))/COUNT($D$1746:$D$1997)*100,"")</f>
        <v/>
      </c>
      <c r="H1997" s="10">
        <f>IFERROR(AVERAGE($D$1746:$D$1997),"")</f>
        <v/>
      </c>
      <c r="I1997" s="10" t="n">
        <v>2.109350915722719</v>
      </c>
      <c r="J1997" t="inlineStr"/>
      <c r="K1997" t="inlineStr"/>
    </row>
    <row r="1998">
      <c r="A1998" s="7" t="inlineStr">
        <is>
          <t>2022-05-13</t>
        </is>
      </c>
      <c r="B1998" s="8">
        <f>IFERROR(VLOOKUP($A1998,'01-原始价格'!$A:$M,2,FALSE),"")</f>
        <v/>
      </c>
      <c r="C1998" s="8">
        <f>IFERROR(VLOOKUP($A1998,'01-原始价格'!$A:$M,8,FALSE),"")</f>
        <v/>
      </c>
      <c r="D1998" s="10">
        <f>IFERROR(B1998/C1998,"")</f>
        <v/>
      </c>
      <c r="E1998" s="10">
        <f>IFERROR(C1998/B1998,"")</f>
        <v/>
      </c>
      <c r="F1998" s="11">
        <f>IFERROR((D1998/D1997-1)*100,"")</f>
        <v/>
      </c>
      <c r="G1998" s="11">
        <f>IFERROR((COUNTIF($D$1747:$D$1998,"&lt;"&amp;D1998)+0.5*COUNTIF($D$1747:$D$1998,D1998))/COUNT($D$1747:$D$1998)*100,"")</f>
        <v/>
      </c>
      <c r="H1998" s="10">
        <f>IFERROR(AVERAGE($D$1747:$D$1998),"")</f>
        <v/>
      </c>
      <c r="I1998" s="10" t="n">
        <v>1.875231810581247</v>
      </c>
      <c r="J1998" t="inlineStr"/>
      <c r="K1998" t="inlineStr"/>
    </row>
    <row r="1999">
      <c r="A1999" s="7" t="inlineStr">
        <is>
          <t>2022-05-16</t>
        </is>
      </c>
      <c r="B1999" s="8">
        <f>IFERROR(VLOOKUP($A1999,'01-原始价格'!$A:$M,2,FALSE),"")</f>
        <v/>
      </c>
      <c r="C1999" s="8">
        <f>IFERROR(VLOOKUP($A1999,'01-原始价格'!$A:$M,8,FALSE),"")</f>
        <v/>
      </c>
      <c r="D1999" s="10">
        <f>IFERROR(B1999/C1999,"")</f>
        <v/>
      </c>
      <c r="E1999" s="10">
        <f>IFERROR(C1999/B1999,"")</f>
        <v/>
      </c>
      <c r="F1999" s="11">
        <f>IFERROR((D1999/D1998-1)*100,"")</f>
        <v/>
      </c>
      <c r="G1999" s="11">
        <f>IFERROR((COUNTIF($D$1748:$D$1999,"&lt;"&amp;D1999)+0.5*COUNTIF($D$1748:$D$1999,D1999))/COUNT($D$1748:$D$1999)*100,"")</f>
        <v/>
      </c>
      <c r="H1999" s="10">
        <f>IFERROR(AVERAGE($D$1748:$D$1999),"")</f>
        <v/>
      </c>
      <c r="I1999" s="10" t="n">
        <v>1.854164070458714</v>
      </c>
      <c r="J1999" t="inlineStr"/>
      <c r="K1999" t="inlineStr"/>
    </row>
    <row r="2000">
      <c r="A2000" s="7" t="inlineStr">
        <is>
          <t>2022-05-17</t>
        </is>
      </c>
      <c r="B2000" s="8">
        <f>IFERROR(VLOOKUP($A2000,'01-原始价格'!$A:$M,2,FALSE),"")</f>
        <v/>
      </c>
      <c r="C2000" s="8">
        <f>IFERROR(VLOOKUP($A2000,'01-原始价格'!$A:$M,8,FALSE),"")</f>
        <v/>
      </c>
      <c r="D2000" s="10">
        <f>IFERROR(B2000/C2000,"")</f>
        <v/>
      </c>
      <c r="E2000" s="10">
        <f>IFERROR(C2000/B2000,"")</f>
        <v/>
      </c>
      <c r="F2000" s="11">
        <f>IFERROR((D2000/D1999-1)*100,"")</f>
        <v/>
      </c>
      <c r="G2000" s="11">
        <f>IFERROR((COUNTIF($D$1749:$D$2000,"&lt;"&amp;D2000)+0.5*COUNTIF($D$1749:$D$2000,D2000))/COUNT($D$1749:$D$2000)*100,"")</f>
        <v/>
      </c>
      <c r="H2000" s="10">
        <f>IFERROR(AVERAGE($D$1749:$D$2000),"")</f>
        <v/>
      </c>
      <c r="I2000" s="10" t="n">
        <v>1.721400259123088</v>
      </c>
      <c r="J2000" t="inlineStr"/>
      <c r="K2000" t="inlineStr"/>
    </row>
    <row r="2001">
      <c r="A2001" s="7" t="inlineStr">
        <is>
          <t>2022-05-18</t>
        </is>
      </c>
      <c r="B2001" s="8">
        <f>IFERROR(VLOOKUP($A2001,'01-原始价格'!$A:$M,2,FALSE),"")</f>
        <v/>
      </c>
      <c r="C2001" s="8">
        <f>IFERROR(VLOOKUP($A2001,'01-原始价格'!$A:$M,8,FALSE),"")</f>
        <v/>
      </c>
      <c r="D2001" s="10">
        <f>IFERROR(B2001/C2001,"")</f>
        <v/>
      </c>
      <c r="E2001" s="10">
        <f>IFERROR(C2001/B2001,"")</f>
        <v/>
      </c>
      <c r="F2001" s="11">
        <f>IFERROR((D2001/D2000-1)*100,"")</f>
        <v/>
      </c>
      <c r="G2001" s="11">
        <f>IFERROR((COUNTIF($D$1750:$D$2001,"&lt;"&amp;D2001)+0.5*COUNTIF($D$1750:$D$2001,D2001))/COUNT($D$1750:$D$2001)*100,"")</f>
        <v/>
      </c>
      <c r="H2001" s="10">
        <f>IFERROR(AVERAGE($D$1750:$D$2001),"")</f>
        <v/>
      </c>
      <c r="I2001" s="10" t="n">
        <v>1.504230730531373</v>
      </c>
      <c r="J2001" t="inlineStr"/>
      <c r="K2001" t="inlineStr"/>
    </row>
    <row r="2002">
      <c r="A2002" s="7" t="inlineStr">
        <is>
          <t>2022-05-19</t>
        </is>
      </c>
      <c r="B2002" s="8">
        <f>IFERROR(VLOOKUP($A2002,'01-原始价格'!$A:$M,2,FALSE),"")</f>
        <v/>
      </c>
      <c r="C2002" s="8">
        <f>IFERROR(VLOOKUP($A2002,'01-原始价格'!$A:$M,8,FALSE),"")</f>
        <v/>
      </c>
      <c r="D2002" s="10">
        <f>IFERROR(B2002/C2002,"")</f>
        <v/>
      </c>
      <c r="E2002" s="10">
        <f>IFERROR(C2002/B2002,"")</f>
        <v/>
      </c>
      <c r="F2002" s="11">
        <f>IFERROR((D2002/D2001-1)*100,"")</f>
        <v/>
      </c>
      <c r="G2002" s="11">
        <f>IFERROR((COUNTIF($D$1751:$D$2002,"&lt;"&amp;D2002)+0.5*COUNTIF($D$1751:$D$2002,D2002))/COUNT($D$1751:$D$2002)*100,"")</f>
        <v/>
      </c>
      <c r="H2002" s="10">
        <f>IFERROR(AVERAGE($D$1751:$D$2002),"")</f>
        <v/>
      </c>
      <c r="I2002" s="10" t="n">
        <v>1.516916595983609</v>
      </c>
      <c r="J2002" t="inlineStr"/>
      <c r="K2002" t="inlineStr"/>
    </row>
    <row r="2003">
      <c r="A2003" s="7" t="inlineStr">
        <is>
          <t>2022-05-20</t>
        </is>
      </c>
      <c r="B2003" s="8">
        <f>IFERROR(VLOOKUP($A2003,'01-原始价格'!$A:$M,2,FALSE),"")</f>
        <v/>
      </c>
      <c r="C2003" s="8">
        <f>IFERROR(VLOOKUP($A2003,'01-原始价格'!$A:$M,8,FALSE),"")</f>
        <v/>
      </c>
      <c r="D2003" s="10">
        <f>IFERROR(B2003/C2003,"")</f>
        <v/>
      </c>
      <c r="E2003" s="10">
        <f>IFERROR(C2003/B2003,"")</f>
        <v/>
      </c>
      <c r="F2003" s="11">
        <f>IFERROR((D2003/D2002-1)*100,"")</f>
        <v/>
      </c>
      <c r="G2003" s="11">
        <f>IFERROR((COUNTIF($D$1752:$D$2003,"&lt;"&amp;D2003)+0.5*COUNTIF($D$1752:$D$2003,D2003))/COUNT($D$1752:$D$2003)*100,"")</f>
        <v/>
      </c>
      <c r="H2003" s="10">
        <f>IFERROR(AVERAGE($D$1752:$D$2003),"")</f>
        <v/>
      </c>
      <c r="I2003" s="10" t="n">
        <v>1.758390209416069</v>
      </c>
      <c r="J2003" t="inlineStr"/>
      <c r="K2003" t="inlineStr"/>
    </row>
    <row r="2004">
      <c r="A2004" s="7" t="inlineStr">
        <is>
          <t>2022-05-23</t>
        </is>
      </c>
      <c r="B2004" s="8">
        <f>IFERROR(VLOOKUP($A2004,'01-原始价格'!$A:$M,2,FALSE),"")</f>
        <v/>
      </c>
      <c r="C2004" s="8">
        <f>IFERROR(VLOOKUP($A2004,'01-原始价格'!$A:$M,8,FALSE),"")</f>
        <v/>
      </c>
      <c r="D2004" s="10">
        <f>IFERROR(B2004/C2004,"")</f>
        <v/>
      </c>
      <c r="E2004" s="10">
        <f>IFERROR(C2004/B2004,"")</f>
        <v/>
      </c>
      <c r="F2004" s="11">
        <f>IFERROR((D2004/D2003-1)*100,"")</f>
        <v/>
      </c>
      <c r="G2004" s="11">
        <f>IFERROR((COUNTIF($D$1753:$D$2004,"&lt;"&amp;D2004)+0.5*COUNTIF($D$1753:$D$2004,D2004))/COUNT($D$1753:$D$2004)*100,"")</f>
        <v/>
      </c>
      <c r="H2004" s="10">
        <f>IFERROR(AVERAGE($D$1753:$D$2004),"")</f>
        <v/>
      </c>
      <c r="I2004" s="10" t="n">
        <v>1.453318768576218</v>
      </c>
      <c r="J2004" t="inlineStr"/>
      <c r="K2004" t="inlineStr"/>
    </row>
    <row r="2005">
      <c r="A2005" s="7" t="inlineStr">
        <is>
          <t>2022-05-24</t>
        </is>
      </c>
      <c r="B2005" s="8">
        <f>IFERROR(VLOOKUP($A2005,'01-原始价格'!$A:$M,2,FALSE),"")</f>
        <v/>
      </c>
      <c r="C2005" s="8">
        <f>IFERROR(VLOOKUP($A2005,'01-原始价格'!$A:$M,8,FALSE),"")</f>
        <v/>
      </c>
      <c r="D2005" s="10">
        <f>IFERROR(B2005/C2005,"")</f>
        <v/>
      </c>
      <c r="E2005" s="10">
        <f>IFERROR(C2005/B2005,"")</f>
        <v/>
      </c>
      <c r="F2005" s="11">
        <f>IFERROR((D2005/D2004-1)*100,"")</f>
        <v/>
      </c>
      <c r="G2005" s="11">
        <f>IFERROR((COUNTIF($D$1754:$D$2005,"&lt;"&amp;D2005)+0.5*COUNTIF($D$1754:$D$2005,D2005))/COUNT($D$1754:$D$2005)*100,"")</f>
        <v/>
      </c>
      <c r="H2005" s="10">
        <f>IFERROR(AVERAGE($D$1754:$D$2005),"")</f>
        <v/>
      </c>
      <c r="I2005" s="10" t="n">
        <v>1.319591941896458</v>
      </c>
      <c r="J2005" t="inlineStr"/>
      <c r="K2005" t="inlineStr"/>
    </row>
    <row r="2006">
      <c r="A2006" s="7" t="inlineStr">
        <is>
          <t>2022-05-25</t>
        </is>
      </c>
      <c r="B2006" s="8">
        <f>IFERROR(VLOOKUP($A2006,'01-原始价格'!$A:$M,2,FALSE),"")</f>
        <v/>
      </c>
      <c r="C2006" s="8">
        <f>IFERROR(VLOOKUP($A2006,'01-原始价格'!$A:$M,8,FALSE),"")</f>
        <v/>
      </c>
      <c r="D2006" s="10">
        <f>IFERROR(B2006/C2006,"")</f>
        <v/>
      </c>
      <c r="E2006" s="10">
        <f>IFERROR(C2006/B2006,"")</f>
        <v/>
      </c>
      <c r="F2006" s="11">
        <f>IFERROR((D2006/D2005-1)*100,"")</f>
        <v/>
      </c>
      <c r="G2006" s="11">
        <f>IFERROR((COUNTIF($D$1755:$D$2006,"&lt;"&amp;D2006)+0.5*COUNTIF($D$1755:$D$2006,D2006))/COUNT($D$1755:$D$2006)*100,"")</f>
        <v/>
      </c>
      <c r="H2006" s="10">
        <f>IFERROR(AVERAGE($D$1755:$D$2006),"")</f>
        <v/>
      </c>
      <c r="I2006" s="10" t="n">
        <v>1.444603483198756</v>
      </c>
      <c r="J2006" t="inlineStr"/>
      <c r="K2006" t="inlineStr"/>
    </row>
    <row r="2007">
      <c r="A2007" s="7" t="inlineStr">
        <is>
          <t>2022-05-26</t>
        </is>
      </c>
      <c r="B2007" s="8">
        <f>IFERROR(VLOOKUP($A2007,'01-原始价格'!$A:$M,2,FALSE),"")</f>
        <v/>
      </c>
      <c r="C2007" s="8">
        <f>IFERROR(VLOOKUP($A2007,'01-原始价格'!$A:$M,8,FALSE),"")</f>
        <v/>
      </c>
      <c r="D2007" s="10">
        <f>IFERROR(B2007/C2007,"")</f>
        <v/>
      </c>
      <c r="E2007" s="10">
        <f>IFERROR(C2007/B2007,"")</f>
        <v/>
      </c>
      <c r="F2007" s="11">
        <f>IFERROR((D2007/D2006-1)*100,"")</f>
        <v/>
      </c>
      <c r="G2007" s="11">
        <f>IFERROR((COUNTIF($D$1756:$D$2007,"&lt;"&amp;D2007)+0.5*COUNTIF($D$1756:$D$2007,D2007))/COUNT($D$1756:$D$2007)*100,"")</f>
        <v/>
      </c>
      <c r="H2007" s="10">
        <f>IFERROR(AVERAGE($D$1756:$D$2007),"")</f>
        <v/>
      </c>
      <c r="I2007" s="10" t="n">
        <v>1.474188097997502</v>
      </c>
      <c r="J2007" t="inlineStr"/>
      <c r="K2007" t="inlineStr"/>
    </row>
    <row r="2008">
      <c r="A2008" s="7" t="inlineStr">
        <is>
          <t>2022-05-27</t>
        </is>
      </c>
      <c r="B2008" s="8">
        <f>IFERROR(VLOOKUP($A2008,'01-原始价格'!$A:$M,2,FALSE),"")</f>
        <v/>
      </c>
      <c r="C2008" s="8">
        <f>IFERROR(VLOOKUP($A2008,'01-原始价格'!$A:$M,8,FALSE),"")</f>
        <v/>
      </c>
      <c r="D2008" s="10">
        <f>IFERROR(B2008/C2008,"")</f>
        <v/>
      </c>
      <c r="E2008" s="10">
        <f>IFERROR(C2008/B2008,"")</f>
        <v/>
      </c>
      <c r="F2008" s="11">
        <f>IFERROR((D2008/D2007-1)*100,"")</f>
        <v/>
      </c>
      <c r="G2008" s="11">
        <f>IFERROR((COUNTIF($D$1757:$D$2008,"&lt;"&amp;D2008)+0.5*COUNTIF($D$1757:$D$2008,D2008))/COUNT($D$1757:$D$2008)*100,"")</f>
        <v/>
      </c>
      <c r="H2008" s="10">
        <f>IFERROR(AVERAGE($D$1757:$D$2008),"")</f>
        <v/>
      </c>
      <c r="I2008" s="10" t="n">
        <v>1.073134180083476</v>
      </c>
      <c r="J2008" t="inlineStr"/>
      <c r="K2008" t="inlineStr"/>
    </row>
    <row r="2009">
      <c r="A2009" s="7" t="inlineStr">
        <is>
          <t>2022-05-30</t>
        </is>
      </c>
      <c r="B2009" s="8">
        <f>IFERROR(VLOOKUP($A2009,'01-原始价格'!$A:$M,2,FALSE),"")</f>
        <v/>
      </c>
      <c r="C2009" s="8">
        <f>IFERROR(VLOOKUP($A2009,'01-原始价格'!$A:$M,8,FALSE),"")</f>
        <v/>
      </c>
      <c r="D2009" s="10">
        <f>IFERROR(B2009/C2009,"")</f>
        <v/>
      </c>
      <c r="E2009" s="10">
        <f>IFERROR(C2009/B2009,"")</f>
        <v/>
      </c>
      <c r="F2009" s="11">
        <f>IFERROR((D2009/D2008-1)*100,"")</f>
        <v/>
      </c>
      <c r="G2009" s="11">
        <f>IFERROR((COUNTIF($D$1758:$D$2009,"&lt;"&amp;D2009)+0.5*COUNTIF($D$1758:$D$2009,D2009))/COUNT($D$1758:$D$2009)*100,"")</f>
        <v/>
      </c>
      <c r="H2009" s="10">
        <f>IFERROR(AVERAGE($D$1758:$D$2009),"")</f>
        <v/>
      </c>
      <c r="I2009" s="10" t="n">
        <v>0.9020826281976382</v>
      </c>
      <c r="J2009" t="inlineStr"/>
      <c r="K2009" t="inlineStr"/>
    </row>
    <row r="2010">
      <c r="A2010" s="7" t="inlineStr">
        <is>
          <t>2022-05-31</t>
        </is>
      </c>
      <c r="B2010" s="8">
        <f>IFERROR(VLOOKUP($A2010,'01-原始价格'!$A:$M,2,FALSE),"")</f>
        <v/>
      </c>
      <c r="C2010" s="8">
        <f>IFERROR(VLOOKUP($A2010,'01-原始价格'!$A:$M,8,FALSE),"")</f>
        <v/>
      </c>
      <c r="D2010" s="10">
        <f>IFERROR(B2010/C2010,"")</f>
        <v/>
      </c>
      <c r="E2010" s="10">
        <f>IFERROR(C2010/B2010,"")</f>
        <v/>
      </c>
      <c r="F2010" s="11">
        <f>IFERROR((D2010/D2009-1)*100,"")</f>
        <v/>
      </c>
      <c r="G2010" s="11">
        <f>IFERROR((COUNTIF($D$1759:$D$2010,"&lt;"&amp;D2010)+0.5*COUNTIF($D$1759:$D$2010,D2010))/COUNT($D$1759:$D$2010)*100,"")</f>
        <v/>
      </c>
      <c r="H2010" s="10">
        <f>IFERROR(AVERAGE($D$1759:$D$2010),"")</f>
        <v/>
      </c>
      <c r="I2010" s="10" t="n">
        <v>0.7162522847084891</v>
      </c>
      <c r="J2010" t="inlineStr"/>
      <c r="K2010" t="inlineStr"/>
    </row>
    <row r="2011">
      <c r="A2011" s="7" t="inlineStr">
        <is>
          <t>2022-06-01</t>
        </is>
      </c>
      <c r="B2011" s="8">
        <f>IFERROR(VLOOKUP($A2011,'01-原始价格'!$A:$M,2,FALSE),"")</f>
        <v/>
      </c>
      <c r="C2011" s="8">
        <f>IFERROR(VLOOKUP($A2011,'01-原始价格'!$A:$M,8,FALSE),"")</f>
        <v/>
      </c>
      <c r="D2011" s="10">
        <f>IFERROR(B2011/C2011,"")</f>
        <v/>
      </c>
      <c r="E2011" s="10">
        <f>IFERROR(C2011/B2011,"")</f>
        <v/>
      </c>
      <c r="F2011" s="11">
        <f>IFERROR((D2011/D2010-1)*100,"")</f>
        <v/>
      </c>
      <c r="G2011" s="11">
        <f>IFERROR((COUNTIF($D$1760:$D$2011,"&lt;"&amp;D2011)+0.5*COUNTIF($D$1760:$D$2011,D2011))/COUNT($D$1760:$D$2011)*100,"")</f>
        <v/>
      </c>
      <c r="H2011" s="10">
        <f>IFERROR(AVERAGE($D$1760:$D$2011),"")</f>
        <v/>
      </c>
      <c r="I2011" s="10" t="n">
        <v>0.6182245782542608</v>
      </c>
      <c r="J2011" t="inlineStr"/>
      <c r="K2011" t="inlineStr"/>
    </row>
    <row r="2012">
      <c r="A2012" s="7" t="inlineStr">
        <is>
          <t>2022-06-02</t>
        </is>
      </c>
      <c r="B2012" s="8">
        <f>IFERROR(VLOOKUP($A2012,'01-原始价格'!$A:$M,2,FALSE),"")</f>
        <v/>
      </c>
      <c r="C2012" s="8">
        <f>IFERROR(VLOOKUP($A2012,'01-原始价格'!$A:$M,8,FALSE),"")</f>
        <v/>
      </c>
      <c r="D2012" s="10">
        <f>IFERROR(B2012/C2012,"")</f>
        <v/>
      </c>
      <c r="E2012" s="10">
        <f>IFERROR(C2012/B2012,"")</f>
        <v/>
      </c>
      <c r="F2012" s="11">
        <f>IFERROR((D2012/D2011-1)*100,"")</f>
        <v/>
      </c>
      <c r="G2012" s="11">
        <f>IFERROR((COUNTIF($D$1761:$D$2012,"&lt;"&amp;D2012)+0.5*COUNTIF($D$1761:$D$2012,D2012))/COUNT($D$1761:$D$2012)*100,"")</f>
        <v/>
      </c>
      <c r="H2012" s="10">
        <f>IFERROR(AVERAGE($D$1761:$D$2012),"")</f>
        <v/>
      </c>
      <c r="I2012" s="10" t="n">
        <v>0.3947368958611063</v>
      </c>
      <c r="J2012" t="inlineStr"/>
      <c r="K2012" t="inlineStr"/>
    </row>
    <row r="2013">
      <c r="A2013" s="7" t="inlineStr">
        <is>
          <t>2022-06-06</t>
        </is>
      </c>
      <c r="B2013" s="8">
        <f>IFERROR(VLOOKUP($A2013,'01-原始价格'!$A:$M,2,FALSE),"")</f>
        <v/>
      </c>
      <c r="C2013" s="8">
        <f>IFERROR(VLOOKUP($A2013,'01-原始价格'!$A:$M,8,FALSE),"")</f>
        <v/>
      </c>
      <c r="D2013" s="10">
        <f>IFERROR(B2013/C2013,"")</f>
        <v/>
      </c>
      <c r="E2013" s="10">
        <f>IFERROR(C2013/B2013,"")</f>
        <v/>
      </c>
      <c r="F2013" s="11">
        <f>IFERROR((D2013/D2012-1)*100,"")</f>
        <v/>
      </c>
      <c r="G2013" s="11">
        <f>IFERROR((COUNTIF($D$1762:$D$2013,"&lt;"&amp;D2013)+0.5*COUNTIF($D$1762:$D$2013,D2013))/COUNT($D$1762:$D$2013)*100,"")</f>
        <v/>
      </c>
      <c r="H2013" s="10">
        <f>IFERROR(AVERAGE($D$1762:$D$2013),"")</f>
        <v/>
      </c>
      <c r="I2013" s="10" t="n">
        <v>0.6427951951749264</v>
      </c>
      <c r="J2013" t="inlineStr"/>
      <c r="K2013" t="inlineStr"/>
    </row>
    <row r="2014">
      <c r="A2014" s="7" t="inlineStr">
        <is>
          <t>2022-06-07</t>
        </is>
      </c>
      <c r="B2014" s="8">
        <f>IFERROR(VLOOKUP($A2014,'01-原始价格'!$A:$M,2,FALSE),"")</f>
        <v/>
      </c>
      <c r="C2014" s="8">
        <f>IFERROR(VLOOKUP($A2014,'01-原始价格'!$A:$M,8,FALSE),"")</f>
        <v/>
      </c>
      <c r="D2014" s="10">
        <f>IFERROR(B2014/C2014,"")</f>
        <v/>
      </c>
      <c r="E2014" s="10">
        <f>IFERROR(C2014/B2014,"")</f>
        <v/>
      </c>
      <c r="F2014" s="11">
        <f>IFERROR((D2014/D2013-1)*100,"")</f>
        <v/>
      </c>
      <c r="G2014" s="11">
        <f>IFERROR((COUNTIF($D$1763:$D$2014,"&lt;"&amp;D2014)+0.5*COUNTIF($D$1763:$D$2014,D2014))/COUNT($D$1763:$D$2014)*100,"")</f>
        <v/>
      </c>
      <c r="H2014" s="10">
        <f>IFERROR(AVERAGE($D$1763:$D$2014),"")</f>
        <v/>
      </c>
      <c r="I2014" s="10" t="n">
        <v>0.4521824605708484</v>
      </c>
      <c r="J2014" t="inlineStr"/>
      <c r="K2014" t="inlineStr"/>
    </row>
    <row r="2015">
      <c r="A2015" s="7" t="inlineStr">
        <is>
          <t>2022-06-08</t>
        </is>
      </c>
      <c r="B2015" s="8">
        <f>IFERROR(VLOOKUP($A2015,'01-原始价格'!$A:$M,2,FALSE),"")</f>
        <v/>
      </c>
      <c r="C2015" s="8">
        <f>IFERROR(VLOOKUP($A2015,'01-原始价格'!$A:$M,8,FALSE),"")</f>
        <v/>
      </c>
      <c r="D2015" s="10">
        <f>IFERROR(B2015/C2015,"")</f>
        <v/>
      </c>
      <c r="E2015" s="10">
        <f>IFERROR(C2015/B2015,"")</f>
        <v/>
      </c>
      <c r="F2015" s="11">
        <f>IFERROR((D2015/D2014-1)*100,"")</f>
        <v/>
      </c>
      <c r="G2015" s="11">
        <f>IFERROR((COUNTIF($D$1764:$D$2015,"&lt;"&amp;D2015)+0.5*COUNTIF($D$1764:$D$2015,D2015))/COUNT($D$1764:$D$2015)*100,"")</f>
        <v/>
      </c>
      <c r="H2015" s="10">
        <f>IFERROR(AVERAGE($D$1764:$D$2015),"")</f>
        <v/>
      </c>
      <c r="I2015" s="10" t="n">
        <v>0.4367831771471694</v>
      </c>
      <c r="J2015" t="inlineStr"/>
      <c r="K2015" t="inlineStr"/>
    </row>
    <row r="2016">
      <c r="A2016" s="7" t="inlineStr">
        <is>
          <t>2022-06-09</t>
        </is>
      </c>
      <c r="B2016" s="8">
        <f>IFERROR(VLOOKUP($A2016,'01-原始价格'!$A:$M,2,FALSE),"")</f>
        <v/>
      </c>
      <c r="C2016" s="8">
        <f>IFERROR(VLOOKUP($A2016,'01-原始价格'!$A:$M,8,FALSE),"")</f>
        <v/>
      </c>
      <c r="D2016" s="10">
        <f>IFERROR(B2016/C2016,"")</f>
        <v/>
      </c>
      <c r="E2016" s="10">
        <f>IFERROR(C2016/B2016,"")</f>
        <v/>
      </c>
      <c r="F2016" s="11">
        <f>IFERROR((D2016/D2015-1)*100,"")</f>
        <v/>
      </c>
      <c r="G2016" s="11">
        <f>IFERROR((COUNTIF($D$1765:$D$2016,"&lt;"&amp;D2016)+0.5*COUNTIF($D$1765:$D$2016,D2016))/COUNT($D$1765:$D$2016)*100,"")</f>
        <v/>
      </c>
      <c r="H2016" s="10">
        <f>IFERROR(AVERAGE($D$1765:$D$2016),"")</f>
        <v/>
      </c>
      <c r="I2016" s="10" t="n">
        <v>0.3417352945730442</v>
      </c>
      <c r="J2016" t="inlineStr"/>
      <c r="K2016" t="inlineStr"/>
    </row>
    <row r="2017">
      <c r="A2017" s="7" t="inlineStr">
        <is>
          <t>2022-06-10</t>
        </is>
      </c>
      <c r="B2017" s="8">
        <f>IFERROR(VLOOKUP($A2017,'01-原始价格'!$A:$M,2,FALSE),"")</f>
        <v/>
      </c>
      <c r="C2017" s="8">
        <f>IFERROR(VLOOKUP($A2017,'01-原始价格'!$A:$M,8,FALSE),"")</f>
        <v/>
      </c>
      <c r="D2017" s="10">
        <f>IFERROR(B2017/C2017,"")</f>
        <v/>
      </c>
      <c r="E2017" s="10">
        <f>IFERROR(C2017/B2017,"")</f>
        <v/>
      </c>
      <c r="F2017" s="11">
        <f>IFERROR((D2017/D2016-1)*100,"")</f>
        <v/>
      </c>
      <c r="G2017" s="11">
        <f>IFERROR((COUNTIF($D$1766:$D$2017,"&lt;"&amp;D2017)+0.5*COUNTIF($D$1766:$D$2017,D2017))/COUNT($D$1766:$D$2017)*100,"")</f>
        <v/>
      </c>
      <c r="H2017" s="10">
        <f>IFERROR(AVERAGE($D$1766:$D$2017),"")</f>
        <v/>
      </c>
      <c r="I2017" s="10" t="n">
        <v>0.1299987605195726</v>
      </c>
      <c r="J2017" t="inlineStr"/>
      <c r="K2017" t="inlineStr"/>
    </row>
    <row r="2018">
      <c r="A2018" s="7" t="inlineStr">
        <is>
          <t>2022-06-13</t>
        </is>
      </c>
      <c r="B2018" s="8">
        <f>IFERROR(VLOOKUP($A2018,'01-原始价格'!$A:$M,2,FALSE),"")</f>
        <v/>
      </c>
      <c r="C2018" s="8">
        <f>IFERROR(VLOOKUP($A2018,'01-原始价格'!$A:$M,8,FALSE),"")</f>
        <v/>
      </c>
      <c r="D2018" s="10">
        <f>IFERROR(B2018/C2018,"")</f>
        <v/>
      </c>
      <c r="E2018" s="10">
        <f>IFERROR(C2018/B2018,"")</f>
        <v/>
      </c>
      <c r="F2018" s="11">
        <f>IFERROR((D2018/D2017-1)*100,"")</f>
        <v/>
      </c>
      <c r="G2018" s="11">
        <f>IFERROR((COUNTIF($D$1767:$D$2018,"&lt;"&amp;D2018)+0.5*COUNTIF($D$1767:$D$2018,D2018))/COUNT($D$1767:$D$2018)*100,"")</f>
        <v/>
      </c>
      <c r="H2018" s="10">
        <f>IFERROR(AVERAGE($D$1767:$D$2018),"")</f>
        <v/>
      </c>
      <c r="I2018" s="10" t="n">
        <v>0.128439690046713</v>
      </c>
      <c r="J2018" t="inlineStr"/>
      <c r="K2018" t="inlineStr"/>
    </row>
    <row r="2019">
      <c r="A2019" s="7" t="inlineStr">
        <is>
          <t>2022-06-14</t>
        </is>
      </c>
      <c r="B2019" s="8">
        <f>IFERROR(VLOOKUP($A2019,'01-原始价格'!$A:$M,2,FALSE),"")</f>
        <v/>
      </c>
      <c r="C2019" s="8">
        <f>IFERROR(VLOOKUP($A2019,'01-原始价格'!$A:$M,8,FALSE),"")</f>
        <v/>
      </c>
      <c r="D2019" s="10">
        <f>IFERROR(B2019/C2019,"")</f>
        <v/>
      </c>
      <c r="E2019" s="10">
        <f>IFERROR(C2019/B2019,"")</f>
        <v/>
      </c>
      <c r="F2019" s="11">
        <f>IFERROR((D2019/D2018-1)*100,"")</f>
        <v/>
      </c>
      <c r="G2019" s="11">
        <f>IFERROR((COUNTIF($D$1768:$D$2019,"&lt;"&amp;D2019)+0.5*COUNTIF($D$1768:$D$2019,D2019))/COUNT($D$1768:$D$2019)*100,"")</f>
        <v/>
      </c>
      <c r="H2019" s="10">
        <f>IFERROR(AVERAGE($D$1768:$D$2019),"")</f>
        <v/>
      </c>
      <c r="I2019" s="10" t="n">
        <v>0.1666009755109261</v>
      </c>
      <c r="J2019" t="inlineStr"/>
      <c r="K2019" t="inlineStr"/>
    </row>
    <row r="2020">
      <c r="A2020" s="7" t="inlineStr">
        <is>
          <t>2022-06-15</t>
        </is>
      </c>
      <c r="B2020" s="8">
        <f>IFERROR(VLOOKUP($A2020,'01-原始价格'!$A:$M,2,FALSE),"")</f>
        <v/>
      </c>
      <c r="C2020" s="8">
        <f>IFERROR(VLOOKUP($A2020,'01-原始价格'!$A:$M,8,FALSE),"")</f>
        <v/>
      </c>
      <c r="D2020" s="10">
        <f>IFERROR(B2020/C2020,"")</f>
        <v/>
      </c>
      <c r="E2020" s="10">
        <f>IFERROR(C2020/B2020,"")</f>
        <v/>
      </c>
      <c r="F2020" s="11">
        <f>IFERROR((D2020/D2019-1)*100,"")</f>
        <v/>
      </c>
      <c r="G2020" s="11">
        <f>IFERROR((COUNTIF($D$1769:$D$2020,"&lt;"&amp;D2020)+0.5*COUNTIF($D$1769:$D$2020,D2020))/COUNT($D$1769:$D$2020)*100,"")</f>
        <v/>
      </c>
      <c r="H2020" s="10">
        <f>IFERROR(AVERAGE($D$1769:$D$2020),"")</f>
        <v/>
      </c>
      <c r="I2020" s="10" t="n">
        <v>0.03742944657458668</v>
      </c>
      <c r="J2020" t="inlineStr"/>
      <c r="K2020" t="inlineStr"/>
    </row>
    <row r="2021">
      <c r="A2021" s="7" t="inlineStr">
        <is>
          <t>2022-06-16</t>
        </is>
      </c>
      <c r="B2021" s="8">
        <f>IFERROR(VLOOKUP($A2021,'01-原始价格'!$A:$M,2,FALSE),"")</f>
        <v/>
      </c>
      <c r="C2021" s="8">
        <f>IFERROR(VLOOKUP($A2021,'01-原始价格'!$A:$M,8,FALSE),"")</f>
        <v/>
      </c>
      <c r="D2021" s="10">
        <f>IFERROR(B2021/C2021,"")</f>
        <v/>
      </c>
      <c r="E2021" s="10">
        <f>IFERROR(C2021/B2021,"")</f>
        <v/>
      </c>
      <c r="F2021" s="11">
        <f>IFERROR((D2021/D2020-1)*100,"")</f>
        <v/>
      </c>
      <c r="G2021" s="11">
        <f>IFERROR((COUNTIF($D$1770:$D$2021,"&lt;"&amp;D2021)+0.5*COUNTIF($D$1770:$D$2021,D2021))/COUNT($D$1770:$D$2021)*100,"")</f>
        <v/>
      </c>
      <c r="H2021" s="10">
        <f>IFERROR(AVERAGE($D$1770:$D$2021),"")</f>
        <v/>
      </c>
      <c r="I2021" s="10" t="n">
        <v>0.2532977523942032</v>
      </c>
      <c r="J2021" t="inlineStr"/>
      <c r="K2021" t="inlineStr"/>
    </row>
    <row r="2022">
      <c r="A2022" s="7" t="inlineStr">
        <is>
          <t>2022-06-17</t>
        </is>
      </c>
      <c r="B2022" s="8">
        <f>IFERROR(VLOOKUP($A2022,'01-原始价格'!$A:$M,2,FALSE),"")</f>
        <v/>
      </c>
      <c r="C2022" s="8">
        <f>IFERROR(VLOOKUP($A2022,'01-原始价格'!$A:$M,8,FALSE),"")</f>
        <v/>
      </c>
      <c r="D2022" s="10">
        <f>IFERROR(B2022/C2022,"")</f>
        <v/>
      </c>
      <c r="E2022" s="10">
        <f>IFERROR(C2022/B2022,"")</f>
        <v/>
      </c>
      <c r="F2022" s="11">
        <f>IFERROR((D2022/D2021-1)*100,"")</f>
        <v/>
      </c>
      <c r="G2022" s="11">
        <f>IFERROR((COUNTIF($D$1771:$D$2022,"&lt;"&amp;D2022)+0.5*COUNTIF($D$1771:$D$2022,D2022))/COUNT($D$1771:$D$2022)*100,"")</f>
        <v/>
      </c>
      <c r="H2022" s="10">
        <f>IFERROR(AVERAGE($D$1771:$D$2022),"")</f>
        <v/>
      </c>
      <c r="I2022" s="10" t="n">
        <v>0.1567390854236576</v>
      </c>
      <c r="J2022" t="inlineStr"/>
      <c r="K2022" t="inlineStr"/>
    </row>
    <row r="2023">
      <c r="A2023" s="7" t="inlineStr">
        <is>
          <t>2022-06-20</t>
        </is>
      </c>
      <c r="B2023" s="8">
        <f>IFERROR(VLOOKUP($A2023,'01-原始价格'!$A:$M,2,FALSE),"")</f>
        <v/>
      </c>
      <c r="C2023" s="8">
        <f>IFERROR(VLOOKUP($A2023,'01-原始价格'!$A:$M,8,FALSE),"")</f>
        <v/>
      </c>
      <c r="D2023" s="10">
        <f>IFERROR(B2023/C2023,"")</f>
        <v/>
      </c>
      <c r="E2023" s="10">
        <f>IFERROR(C2023/B2023,"")</f>
        <v/>
      </c>
      <c r="F2023" s="11">
        <f>IFERROR((D2023/D2022-1)*100,"")</f>
        <v/>
      </c>
      <c r="G2023" s="11">
        <f>IFERROR((COUNTIF($D$1772:$D$2023,"&lt;"&amp;D2023)+0.5*COUNTIF($D$1772:$D$2023,D2023))/COUNT($D$1772:$D$2023)*100,"")</f>
        <v/>
      </c>
      <c r="H2023" s="10">
        <f>IFERROR(AVERAGE($D$1772:$D$2023),"")</f>
        <v/>
      </c>
      <c r="I2023" s="10" t="n">
        <v>0.5748349133804973</v>
      </c>
      <c r="J2023" t="inlineStr"/>
      <c r="K2023" t="inlineStr"/>
    </row>
    <row r="2024">
      <c r="A2024" s="7" t="inlineStr">
        <is>
          <t>2022-06-21</t>
        </is>
      </c>
      <c r="B2024" s="8">
        <f>IFERROR(VLOOKUP($A2024,'01-原始价格'!$A:$M,2,FALSE),"")</f>
        <v/>
      </c>
      <c r="C2024" s="8">
        <f>IFERROR(VLOOKUP($A2024,'01-原始价格'!$A:$M,8,FALSE),"")</f>
        <v/>
      </c>
      <c r="D2024" s="10">
        <f>IFERROR(B2024/C2024,"")</f>
        <v/>
      </c>
      <c r="E2024" s="10">
        <f>IFERROR(C2024/B2024,"")</f>
        <v/>
      </c>
      <c r="F2024" s="11">
        <f>IFERROR((D2024/D2023-1)*100,"")</f>
        <v/>
      </c>
      <c r="G2024" s="11">
        <f>IFERROR((COUNTIF($D$1773:$D$2024,"&lt;"&amp;D2024)+0.5*COUNTIF($D$1773:$D$2024,D2024))/COUNT($D$1773:$D$2024)*100,"")</f>
        <v/>
      </c>
      <c r="H2024" s="10">
        <f>IFERROR(AVERAGE($D$1773:$D$2024),"")</f>
        <v/>
      </c>
      <c r="I2024" s="10" t="n">
        <v>0.7564447435206646</v>
      </c>
      <c r="J2024" t="inlineStr"/>
      <c r="K2024" t="inlineStr"/>
    </row>
    <row r="2025">
      <c r="A2025" s="7" t="inlineStr">
        <is>
          <t>2022-06-22</t>
        </is>
      </c>
      <c r="B2025" s="8">
        <f>IFERROR(VLOOKUP($A2025,'01-原始价格'!$A:$M,2,FALSE),"")</f>
        <v/>
      </c>
      <c r="C2025" s="8">
        <f>IFERROR(VLOOKUP($A2025,'01-原始价格'!$A:$M,8,FALSE),"")</f>
        <v/>
      </c>
      <c r="D2025" s="10">
        <f>IFERROR(B2025/C2025,"")</f>
        <v/>
      </c>
      <c r="E2025" s="10">
        <f>IFERROR(C2025/B2025,"")</f>
        <v/>
      </c>
      <c r="F2025" s="11">
        <f>IFERROR((D2025/D2024-1)*100,"")</f>
        <v/>
      </c>
      <c r="G2025" s="11">
        <f>IFERROR((COUNTIF($D$1774:$D$2025,"&lt;"&amp;D2025)+0.5*COUNTIF($D$1774:$D$2025,D2025))/COUNT($D$1774:$D$2025)*100,"")</f>
        <v/>
      </c>
      <c r="H2025" s="10">
        <f>IFERROR(AVERAGE($D$1774:$D$2025),"")</f>
        <v/>
      </c>
      <c r="I2025" s="10" t="n">
        <v>0.8689567789244315</v>
      </c>
      <c r="J2025" t="inlineStr"/>
      <c r="K2025" t="inlineStr"/>
    </row>
    <row r="2026">
      <c r="A2026" s="7" t="inlineStr">
        <is>
          <t>2022-06-23</t>
        </is>
      </c>
      <c r="B2026" s="8">
        <f>IFERROR(VLOOKUP($A2026,'01-原始价格'!$A:$M,2,FALSE),"")</f>
        <v/>
      </c>
      <c r="C2026" s="8">
        <f>IFERROR(VLOOKUP($A2026,'01-原始价格'!$A:$M,8,FALSE),"")</f>
        <v/>
      </c>
      <c r="D2026" s="10">
        <f>IFERROR(B2026/C2026,"")</f>
        <v/>
      </c>
      <c r="E2026" s="10">
        <f>IFERROR(C2026/B2026,"")</f>
        <v/>
      </c>
      <c r="F2026" s="11">
        <f>IFERROR((D2026/D2025-1)*100,"")</f>
        <v/>
      </c>
      <c r="G2026" s="11">
        <f>IFERROR((COUNTIF($D$1775:$D$2026,"&lt;"&amp;D2026)+0.5*COUNTIF($D$1775:$D$2026,D2026))/COUNT($D$1775:$D$2026)*100,"")</f>
        <v/>
      </c>
      <c r="H2026" s="10">
        <f>IFERROR(AVERAGE($D$1775:$D$2026),"")</f>
        <v/>
      </c>
      <c r="I2026" s="10" t="n">
        <v>0.7672471923893486</v>
      </c>
      <c r="J2026" t="inlineStr"/>
      <c r="K2026" t="inlineStr"/>
    </row>
    <row r="2027">
      <c r="A2027" s="7" t="inlineStr">
        <is>
          <t>2022-06-24</t>
        </is>
      </c>
      <c r="B2027" s="8">
        <f>IFERROR(VLOOKUP($A2027,'01-原始价格'!$A:$M,2,FALSE),"")</f>
        <v/>
      </c>
      <c r="C2027" s="8">
        <f>IFERROR(VLOOKUP($A2027,'01-原始价格'!$A:$M,8,FALSE),"")</f>
        <v/>
      </c>
      <c r="D2027" s="10">
        <f>IFERROR(B2027/C2027,"")</f>
        <v/>
      </c>
      <c r="E2027" s="10">
        <f>IFERROR(C2027/B2027,"")</f>
        <v/>
      </c>
      <c r="F2027" s="11">
        <f>IFERROR((D2027/D2026-1)*100,"")</f>
        <v/>
      </c>
      <c r="G2027" s="11">
        <f>IFERROR((COUNTIF($D$1776:$D$2027,"&lt;"&amp;D2027)+0.5*COUNTIF($D$1776:$D$2027,D2027))/COUNT($D$1776:$D$2027)*100,"")</f>
        <v/>
      </c>
      <c r="H2027" s="10">
        <f>IFERROR(AVERAGE($D$1776:$D$2027),"")</f>
        <v/>
      </c>
      <c r="I2027" s="10" t="n">
        <v>0.9901357449988001</v>
      </c>
      <c r="J2027" t="inlineStr"/>
      <c r="K2027" t="inlineStr"/>
    </row>
    <row r="2028">
      <c r="A2028" s="7" t="inlineStr">
        <is>
          <t>2022-06-27</t>
        </is>
      </c>
      <c r="B2028" s="8">
        <f>IFERROR(VLOOKUP($A2028,'01-原始价格'!$A:$M,2,FALSE),"")</f>
        <v/>
      </c>
      <c r="C2028" s="8">
        <f>IFERROR(VLOOKUP($A2028,'01-原始价格'!$A:$M,8,FALSE),"")</f>
        <v/>
      </c>
      <c r="D2028" s="10">
        <f>IFERROR(B2028/C2028,"")</f>
        <v/>
      </c>
      <c r="E2028" s="10">
        <f>IFERROR(C2028/B2028,"")</f>
        <v/>
      </c>
      <c r="F2028" s="11">
        <f>IFERROR((D2028/D2027-1)*100,"")</f>
        <v/>
      </c>
      <c r="G2028" s="11">
        <f>IFERROR((COUNTIF($D$1777:$D$2028,"&lt;"&amp;D2028)+0.5*COUNTIF($D$1777:$D$2028,D2028))/COUNT($D$1777:$D$2028)*100,"")</f>
        <v/>
      </c>
      <c r="H2028" s="10">
        <f>IFERROR(AVERAGE($D$1777:$D$2028),"")</f>
        <v/>
      </c>
      <c r="I2028" s="10" t="n">
        <v>1.122747067237626</v>
      </c>
      <c r="J2028" t="inlineStr"/>
      <c r="K2028" t="inlineStr"/>
    </row>
    <row r="2029">
      <c r="A2029" s="7" t="inlineStr">
        <is>
          <t>2022-06-28</t>
        </is>
      </c>
      <c r="B2029" s="8">
        <f>IFERROR(VLOOKUP($A2029,'01-原始价格'!$A:$M,2,FALSE),"")</f>
        <v/>
      </c>
      <c r="C2029" s="8">
        <f>IFERROR(VLOOKUP($A2029,'01-原始价格'!$A:$M,8,FALSE),"")</f>
        <v/>
      </c>
      <c r="D2029" s="10">
        <f>IFERROR(B2029/C2029,"")</f>
        <v/>
      </c>
      <c r="E2029" s="10">
        <f>IFERROR(C2029/B2029,"")</f>
        <v/>
      </c>
      <c r="F2029" s="11">
        <f>IFERROR((D2029/D2028-1)*100,"")</f>
        <v/>
      </c>
      <c r="G2029" s="11">
        <f>IFERROR((COUNTIF($D$1778:$D$2029,"&lt;"&amp;D2029)+0.5*COUNTIF($D$1778:$D$2029,D2029))/COUNT($D$1778:$D$2029)*100,"")</f>
        <v/>
      </c>
      <c r="H2029" s="10">
        <f>IFERROR(AVERAGE($D$1778:$D$2029),"")</f>
        <v/>
      </c>
      <c r="I2029" s="10" t="n">
        <v>1.002142660518512</v>
      </c>
      <c r="J2029" t="inlineStr"/>
      <c r="K2029" t="inlineStr"/>
    </row>
    <row r="2030">
      <c r="A2030" s="7" t="inlineStr">
        <is>
          <t>2022-06-29</t>
        </is>
      </c>
      <c r="B2030" s="8">
        <f>IFERROR(VLOOKUP($A2030,'01-原始价格'!$A:$M,2,FALSE),"")</f>
        <v/>
      </c>
      <c r="C2030" s="8">
        <f>IFERROR(VLOOKUP($A2030,'01-原始价格'!$A:$M,8,FALSE),"")</f>
        <v/>
      </c>
      <c r="D2030" s="10">
        <f>IFERROR(B2030/C2030,"")</f>
        <v/>
      </c>
      <c r="E2030" s="10">
        <f>IFERROR(C2030/B2030,"")</f>
        <v/>
      </c>
      <c r="F2030" s="11">
        <f>IFERROR((D2030/D2029-1)*100,"")</f>
        <v/>
      </c>
      <c r="G2030" s="11">
        <f>IFERROR((COUNTIF($D$1779:$D$2030,"&lt;"&amp;D2030)+0.5*COUNTIF($D$1779:$D$2030,D2030))/COUNT($D$1779:$D$2030)*100,"")</f>
        <v/>
      </c>
      <c r="H2030" s="10">
        <f>IFERROR(AVERAGE($D$1779:$D$2030),"")</f>
        <v/>
      </c>
      <c r="I2030" s="10" t="n">
        <v>0.981866110478021</v>
      </c>
      <c r="J2030" t="inlineStr"/>
      <c r="K2030" t="inlineStr"/>
    </row>
    <row r="2031">
      <c r="A2031" s="7" t="inlineStr">
        <is>
          <t>2022-06-30</t>
        </is>
      </c>
      <c r="B2031" s="8">
        <f>IFERROR(VLOOKUP($A2031,'01-原始价格'!$A:$M,2,FALSE),"")</f>
        <v/>
      </c>
      <c r="C2031" s="8">
        <f>IFERROR(VLOOKUP($A2031,'01-原始价格'!$A:$M,8,FALSE),"")</f>
        <v/>
      </c>
      <c r="D2031" s="10">
        <f>IFERROR(B2031/C2031,"")</f>
        <v/>
      </c>
      <c r="E2031" s="10">
        <f>IFERROR(C2031/B2031,"")</f>
        <v/>
      </c>
      <c r="F2031" s="11">
        <f>IFERROR((D2031/D2030-1)*100,"")</f>
        <v/>
      </c>
      <c r="G2031" s="11">
        <f>IFERROR((COUNTIF($D$1780:$D$2031,"&lt;"&amp;D2031)+0.5*COUNTIF($D$1780:$D$2031,D2031))/COUNT($D$1780:$D$2031)*100,"")</f>
        <v/>
      </c>
      <c r="H2031" s="10">
        <f>IFERROR(AVERAGE($D$1780:$D$2031),"")</f>
        <v/>
      </c>
      <c r="I2031" s="10" t="n">
        <v>1.103515137948063</v>
      </c>
      <c r="J2031" t="inlineStr"/>
      <c r="K2031" t="inlineStr"/>
    </row>
    <row r="2032">
      <c r="A2032" s="7" t="inlineStr">
        <is>
          <t>2022-07-01</t>
        </is>
      </c>
      <c r="B2032" s="8">
        <f>IFERROR(VLOOKUP($A2032,'01-原始价格'!$A:$M,2,FALSE),"")</f>
        <v/>
      </c>
      <c r="C2032" s="8">
        <f>IFERROR(VLOOKUP($A2032,'01-原始价格'!$A:$M,8,FALSE),"")</f>
        <v/>
      </c>
      <c r="D2032" s="10">
        <f>IFERROR(B2032/C2032,"")</f>
        <v/>
      </c>
      <c r="E2032" s="10">
        <f>IFERROR(C2032/B2032,"")</f>
        <v/>
      </c>
      <c r="F2032" s="11">
        <f>IFERROR((D2032/D2031-1)*100,"")</f>
        <v/>
      </c>
      <c r="G2032" s="11">
        <f>IFERROR((COUNTIF($D$1781:$D$2032,"&lt;"&amp;D2032)+0.5*COUNTIF($D$1781:$D$2032,D2032))/COUNT($D$1781:$D$2032)*100,"")</f>
        <v/>
      </c>
      <c r="H2032" s="10">
        <f>IFERROR(AVERAGE($D$1781:$D$2032),"")</f>
        <v/>
      </c>
      <c r="I2032" s="10" t="n">
        <v>1.07238661309421</v>
      </c>
      <c r="J2032" t="inlineStr"/>
      <c r="K2032" t="inlineStr"/>
    </row>
    <row r="2033">
      <c r="A2033" s="7" t="inlineStr">
        <is>
          <t>2022-07-04</t>
        </is>
      </c>
      <c r="B2033" s="8">
        <f>IFERROR(VLOOKUP($A2033,'01-原始价格'!$A:$M,2,FALSE),"")</f>
        <v/>
      </c>
      <c r="C2033" s="8">
        <f>IFERROR(VLOOKUP($A2033,'01-原始价格'!$A:$M,8,FALSE),"")</f>
        <v/>
      </c>
      <c r="D2033" s="10">
        <f>IFERROR(B2033/C2033,"")</f>
        <v/>
      </c>
      <c r="E2033" s="10">
        <f>IFERROR(C2033/B2033,"")</f>
        <v/>
      </c>
      <c r="F2033" s="11">
        <f>IFERROR((D2033/D2032-1)*100,"")</f>
        <v/>
      </c>
      <c r="G2033" s="11">
        <f>IFERROR((COUNTIF($D$1782:$D$2033,"&lt;"&amp;D2033)+0.5*COUNTIF($D$1782:$D$2033,D2033))/COUNT($D$1782:$D$2033)*100,"")</f>
        <v/>
      </c>
      <c r="H2033" s="10">
        <f>IFERROR(AVERAGE($D$1782:$D$2033),"")</f>
        <v/>
      </c>
      <c r="I2033" s="10" t="n">
        <v>0.7137789237061146</v>
      </c>
      <c r="J2033" t="inlineStr"/>
      <c r="K2033" t="inlineStr"/>
    </row>
    <row r="2034">
      <c r="A2034" s="7" t="inlineStr">
        <is>
          <t>2022-07-05</t>
        </is>
      </c>
      <c r="B2034" s="8">
        <f>IFERROR(VLOOKUP($A2034,'01-原始价格'!$A:$M,2,FALSE),"")</f>
        <v/>
      </c>
      <c r="C2034" s="8">
        <f>IFERROR(VLOOKUP($A2034,'01-原始价格'!$A:$M,8,FALSE),"")</f>
        <v/>
      </c>
      <c r="D2034" s="10">
        <f>IFERROR(B2034/C2034,"")</f>
        <v/>
      </c>
      <c r="E2034" s="10">
        <f>IFERROR(C2034/B2034,"")</f>
        <v/>
      </c>
      <c r="F2034" s="11">
        <f>IFERROR((D2034/D2033-1)*100,"")</f>
        <v/>
      </c>
      <c r="G2034" s="11">
        <f>IFERROR((COUNTIF($D$1783:$D$2034,"&lt;"&amp;D2034)+0.5*COUNTIF($D$1783:$D$2034,D2034))/COUNT($D$1783:$D$2034)*100,"")</f>
        <v/>
      </c>
      <c r="H2034" s="10">
        <f>IFERROR(AVERAGE($D$1783:$D$2034),"")</f>
        <v/>
      </c>
      <c r="I2034" s="10" t="n">
        <v>0.5390617816475731</v>
      </c>
      <c r="J2034" t="inlineStr"/>
      <c r="K2034" t="inlineStr"/>
    </row>
    <row r="2035">
      <c r="A2035" s="7" t="inlineStr">
        <is>
          <t>2022-07-06</t>
        </is>
      </c>
      <c r="B2035" s="8">
        <f>IFERROR(VLOOKUP($A2035,'01-原始价格'!$A:$M,2,FALSE),"")</f>
        <v/>
      </c>
      <c r="C2035" s="8">
        <f>IFERROR(VLOOKUP($A2035,'01-原始价格'!$A:$M,8,FALSE),"")</f>
        <v/>
      </c>
      <c r="D2035" s="10">
        <f>IFERROR(B2035/C2035,"")</f>
        <v/>
      </c>
      <c r="E2035" s="10">
        <f>IFERROR(C2035/B2035,"")</f>
        <v/>
      </c>
      <c r="F2035" s="11">
        <f>IFERROR((D2035/D2034-1)*100,"")</f>
        <v/>
      </c>
      <c r="G2035" s="11">
        <f>IFERROR((COUNTIF($D$1784:$D$2035,"&lt;"&amp;D2035)+0.5*COUNTIF($D$1784:$D$2035,D2035))/COUNT($D$1784:$D$2035)*100,"")</f>
        <v/>
      </c>
      <c r="H2035" s="10">
        <f>IFERROR(AVERAGE($D$1784:$D$2035),"")</f>
        <v/>
      </c>
      <c r="I2035" s="10" t="n">
        <v>0.9581732212336493</v>
      </c>
      <c r="J2035" t="inlineStr"/>
      <c r="K2035" t="inlineStr"/>
    </row>
    <row r="2036">
      <c r="A2036" s="7" t="inlineStr">
        <is>
          <t>2022-07-07</t>
        </is>
      </c>
      <c r="B2036" s="8">
        <f>IFERROR(VLOOKUP($A2036,'01-原始价格'!$A:$M,2,FALSE),"")</f>
        <v/>
      </c>
      <c r="C2036" s="8">
        <f>IFERROR(VLOOKUP($A2036,'01-原始价格'!$A:$M,8,FALSE),"")</f>
        <v/>
      </c>
      <c r="D2036" s="10">
        <f>IFERROR(B2036/C2036,"")</f>
        <v/>
      </c>
      <c r="E2036" s="10">
        <f>IFERROR(C2036/B2036,"")</f>
        <v/>
      </c>
      <c r="F2036" s="11">
        <f>IFERROR((D2036/D2035-1)*100,"")</f>
        <v/>
      </c>
      <c r="G2036" s="11">
        <f>IFERROR((COUNTIF($D$1785:$D$2036,"&lt;"&amp;D2036)+0.5*COUNTIF($D$1785:$D$2036,D2036))/COUNT($D$1785:$D$2036)*100,"")</f>
        <v/>
      </c>
      <c r="H2036" s="10">
        <f>IFERROR(AVERAGE($D$1785:$D$2036),"")</f>
        <v/>
      </c>
      <c r="I2036" s="10" t="n">
        <v>1.120253605683142</v>
      </c>
      <c r="J2036" t="inlineStr"/>
      <c r="K2036" t="inlineStr"/>
    </row>
    <row r="2037">
      <c r="A2037" s="7" t="inlineStr">
        <is>
          <t>2022-07-08</t>
        </is>
      </c>
      <c r="B2037" s="8">
        <f>IFERROR(VLOOKUP($A2037,'01-原始价格'!$A:$M,2,FALSE),"")</f>
        <v/>
      </c>
      <c r="C2037" s="8">
        <f>IFERROR(VLOOKUP($A2037,'01-原始价格'!$A:$M,8,FALSE),"")</f>
        <v/>
      </c>
      <c r="D2037" s="10">
        <f>IFERROR(B2037/C2037,"")</f>
        <v/>
      </c>
      <c r="E2037" s="10">
        <f>IFERROR(C2037/B2037,"")</f>
        <v/>
      </c>
      <c r="F2037" s="11">
        <f>IFERROR((D2037/D2036-1)*100,"")</f>
        <v/>
      </c>
      <c r="G2037" s="11">
        <f>IFERROR((COUNTIF($D$1786:$D$2037,"&lt;"&amp;D2037)+0.5*COUNTIF($D$1786:$D$2037,D2037))/COUNT($D$1786:$D$2037)*100,"")</f>
        <v/>
      </c>
      <c r="H2037" s="10">
        <f>IFERROR(AVERAGE($D$1786:$D$2037),"")</f>
        <v/>
      </c>
      <c r="I2037" s="10" t="n">
        <v>0.8606856529337461</v>
      </c>
      <c r="J2037" t="inlineStr"/>
      <c r="K2037" t="inlineStr"/>
    </row>
    <row r="2038">
      <c r="A2038" s="7" t="inlineStr">
        <is>
          <t>2022-07-11</t>
        </is>
      </c>
      <c r="B2038" s="8">
        <f>IFERROR(VLOOKUP($A2038,'01-原始价格'!$A:$M,2,FALSE),"")</f>
        <v/>
      </c>
      <c r="C2038" s="8">
        <f>IFERROR(VLOOKUP($A2038,'01-原始价格'!$A:$M,8,FALSE),"")</f>
        <v/>
      </c>
      <c r="D2038" s="10">
        <f>IFERROR(B2038/C2038,"")</f>
        <v/>
      </c>
      <c r="E2038" s="10">
        <f>IFERROR(C2038/B2038,"")</f>
        <v/>
      </c>
      <c r="F2038" s="11">
        <f>IFERROR((D2038/D2037-1)*100,"")</f>
        <v/>
      </c>
      <c r="G2038" s="11">
        <f>IFERROR((COUNTIF($D$1787:$D$2038,"&lt;"&amp;D2038)+0.5*COUNTIF($D$1787:$D$2038,D2038))/COUNT($D$1787:$D$2038)*100,"")</f>
        <v/>
      </c>
      <c r="H2038" s="10">
        <f>IFERROR(AVERAGE($D$1787:$D$2038),"")</f>
        <v/>
      </c>
      <c r="I2038" s="10" t="n">
        <v>0.917789709873121</v>
      </c>
      <c r="J2038" t="inlineStr"/>
      <c r="K2038" t="inlineStr"/>
    </row>
    <row r="2039">
      <c r="A2039" s="7" t="inlineStr">
        <is>
          <t>2022-07-12</t>
        </is>
      </c>
      <c r="B2039" s="8">
        <f>IFERROR(VLOOKUP($A2039,'01-原始价格'!$A:$M,2,FALSE),"")</f>
        <v/>
      </c>
      <c r="C2039" s="8">
        <f>IFERROR(VLOOKUP($A2039,'01-原始价格'!$A:$M,8,FALSE),"")</f>
        <v/>
      </c>
      <c r="D2039" s="10">
        <f>IFERROR(B2039/C2039,"")</f>
        <v/>
      </c>
      <c r="E2039" s="10">
        <f>IFERROR(C2039/B2039,"")</f>
        <v/>
      </c>
      <c r="F2039" s="11">
        <f>IFERROR((D2039/D2038-1)*100,"")</f>
        <v/>
      </c>
      <c r="G2039" s="11">
        <f>IFERROR((COUNTIF($D$1788:$D$2039,"&lt;"&amp;D2039)+0.5*COUNTIF($D$1788:$D$2039,D2039))/COUNT($D$1788:$D$2039)*100,"")</f>
        <v/>
      </c>
      <c r="H2039" s="10">
        <f>IFERROR(AVERAGE($D$1788:$D$2039),"")</f>
        <v/>
      </c>
      <c r="I2039" s="10" t="n">
        <v>1.152519682870242</v>
      </c>
      <c r="J2039" t="inlineStr"/>
      <c r="K2039" t="inlineStr"/>
    </row>
    <row r="2040">
      <c r="A2040" s="7" t="inlineStr">
        <is>
          <t>2022-07-13</t>
        </is>
      </c>
      <c r="B2040" s="8">
        <f>IFERROR(VLOOKUP($A2040,'01-原始价格'!$A:$M,2,FALSE),"")</f>
        <v/>
      </c>
      <c r="C2040" s="8">
        <f>IFERROR(VLOOKUP($A2040,'01-原始价格'!$A:$M,8,FALSE),"")</f>
        <v/>
      </c>
      <c r="D2040" s="10">
        <f>IFERROR(B2040/C2040,"")</f>
        <v/>
      </c>
      <c r="E2040" s="10">
        <f>IFERROR(C2040/B2040,"")</f>
        <v/>
      </c>
      <c r="F2040" s="11">
        <f>IFERROR((D2040/D2039-1)*100,"")</f>
        <v/>
      </c>
      <c r="G2040" s="11">
        <f>IFERROR((COUNTIF($D$1789:$D$2040,"&lt;"&amp;D2040)+0.5*COUNTIF($D$1789:$D$2040,D2040))/COUNT($D$1789:$D$2040)*100,"")</f>
        <v/>
      </c>
      <c r="H2040" s="10">
        <f>IFERROR(AVERAGE($D$1789:$D$2040),"")</f>
        <v/>
      </c>
      <c r="I2040" s="10" t="n">
        <v>1.395107990103609</v>
      </c>
      <c r="J2040" t="inlineStr"/>
      <c r="K2040" t="inlineStr"/>
    </row>
    <row r="2041">
      <c r="A2041" s="7" t="inlineStr">
        <is>
          <t>2022-07-14</t>
        </is>
      </c>
      <c r="B2041" s="8">
        <f>IFERROR(VLOOKUP($A2041,'01-原始价格'!$A:$M,2,FALSE),"")</f>
        <v/>
      </c>
      <c r="C2041" s="8">
        <f>IFERROR(VLOOKUP($A2041,'01-原始价格'!$A:$M,8,FALSE),"")</f>
        <v/>
      </c>
      <c r="D2041" s="10">
        <f>IFERROR(B2041/C2041,"")</f>
        <v/>
      </c>
      <c r="E2041" s="10">
        <f>IFERROR(C2041/B2041,"")</f>
        <v/>
      </c>
      <c r="F2041" s="11">
        <f>IFERROR((D2041/D2040-1)*100,"")</f>
        <v/>
      </c>
      <c r="G2041" s="11">
        <f>IFERROR((COUNTIF($D$1790:$D$2041,"&lt;"&amp;D2041)+0.5*COUNTIF($D$1790:$D$2041,D2041))/COUNT($D$1790:$D$2041)*100,"")</f>
        <v/>
      </c>
      <c r="H2041" s="10">
        <f>IFERROR(AVERAGE($D$1790:$D$2041),"")</f>
        <v/>
      </c>
      <c r="I2041" s="10" t="n">
        <v>1.464043234788745</v>
      </c>
      <c r="J2041" t="inlineStr"/>
      <c r="K2041" t="inlineStr"/>
    </row>
    <row r="2042">
      <c r="A2042" s="7" t="inlineStr">
        <is>
          <t>2022-07-15</t>
        </is>
      </c>
      <c r="B2042" s="8">
        <f>IFERROR(VLOOKUP($A2042,'01-原始价格'!$A:$M,2,FALSE),"")</f>
        <v/>
      </c>
      <c r="C2042" s="8">
        <f>IFERROR(VLOOKUP($A2042,'01-原始价格'!$A:$M,8,FALSE),"")</f>
        <v/>
      </c>
      <c r="D2042" s="10">
        <f>IFERROR(B2042/C2042,"")</f>
        <v/>
      </c>
      <c r="E2042" s="10">
        <f>IFERROR(C2042/B2042,"")</f>
        <v/>
      </c>
      <c r="F2042" s="11">
        <f>IFERROR((D2042/D2041-1)*100,"")</f>
        <v/>
      </c>
      <c r="G2042" s="11">
        <f>IFERROR((COUNTIF($D$1791:$D$2042,"&lt;"&amp;D2042)+0.5*COUNTIF($D$1791:$D$2042,D2042))/COUNT($D$1791:$D$2042)*100,"")</f>
        <v/>
      </c>
      <c r="H2042" s="10">
        <f>IFERROR(AVERAGE($D$1791:$D$2042),"")</f>
        <v/>
      </c>
      <c r="I2042" s="10" t="n">
        <v>2.098152291546242</v>
      </c>
      <c r="J2042" t="inlineStr"/>
      <c r="K2042" t="inlineStr"/>
    </row>
    <row r="2043">
      <c r="A2043" s="7" t="inlineStr">
        <is>
          <t>2022-07-18</t>
        </is>
      </c>
      <c r="B2043" s="8">
        <f>IFERROR(VLOOKUP($A2043,'01-原始价格'!$A:$M,2,FALSE),"")</f>
        <v/>
      </c>
      <c r="C2043" s="8">
        <f>IFERROR(VLOOKUP($A2043,'01-原始价格'!$A:$M,8,FALSE),"")</f>
        <v/>
      </c>
      <c r="D2043" s="10">
        <f>IFERROR(B2043/C2043,"")</f>
        <v/>
      </c>
      <c r="E2043" s="10">
        <f>IFERROR(C2043/B2043,"")</f>
        <v/>
      </c>
      <c r="F2043" s="11">
        <f>IFERROR((D2043/D2042-1)*100,"")</f>
        <v/>
      </c>
      <c r="G2043" s="11">
        <f>IFERROR((COUNTIF($D$1792:$D$2043,"&lt;"&amp;D2043)+0.5*COUNTIF($D$1792:$D$2043,D2043))/COUNT($D$1792:$D$2043)*100,"")</f>
        <v/>
      </c>
      <c r="H2043" s="10">
        <f>IFERROR(AVERAGE($D$1792:$D$2043),"")</f>
        <v/>
      </c>
      <c r="I2043" s="10" t="n">
        <v>1.909480119239973</v>
      </c>
      <c r="J2043" t="inlineStr"/>
      <c r="K2043" t="inlineStr"/>
    </row>
    <row r="2044">
      <c r="A2044" s="7" t="inlineStr">
        <is>
          <t>2022-07-19</t>
        </is>
      </c>
      <c r="B2044" s="8">
        <f>IFERROR(VLOOKUP($A2044,'01-原始价格'!$A:$M,2,FALSE),"")</f>
        <v/>
      </c>
      <c r="C2044" s="8">
        <f>IFERROR(VLOOKUP($A2044,'01-原始价格'!$A:$M,8,FALSE),"")</f>
        <v/>
      </c>
      <c r="D2044" s="10">
        <f>IFERROR(B2044/C2044,"")</f>
        <v/>
      </c>
      <c r="E2044" s="10">
        <f>IFERROR(C2044/B2044,"")</f>
        <v/>
      </c>
      <c r="F2044" s="11">
        <f>IFERROR((D2044/D2043-1)*100,"")</f>
        <v/>
      </c>
      <c r="G2044" s="11">
        <f>IFERROR((COUNTIF($D$1793:$D$2044,"&lt;"&amp;D2044)+0.5*COUNTIF($D$1793:$D$2044,D2044))/COUNT($D$1793:$D$2044)*100,"")</f>
        <v/>
      </c>
      <c r="H2044" s="10">
        <f>IFERROR(AVERAGE($D$1793:$D$2044),"")</f>
        <v/>
      </c>
      <c r="I2044" s="10" t="n">
        <v>1.801414534018901</v>
      </c>
      <c r="J2044" t="inlineStr"/>
      <c r="K2044" t="inlineStr"/>
    </row>
    <row r="2045">
      <c r="A2045" s="7" t="inlineStr">
        <is>
          <t>2022-07-20</t>
        </is>
      </c>
      <c r="B2045" s="8">
        <f>IFERROR(VLOOKUP($A2045,'01-原始价格'!$A:$M,2,FALSE),"")</f>
        <v/>
      </c>
      <c r="C2045" s="8">
        <f>IFERROR(VLOOKUP($A2045,'01-原始价格'!$A:$M,8,FALSE),"")</f>
        <v/>
      </c>
      <c r="D2045" s="10">
        <f>IFERROR(B2045/C2045,"")</f>
        <v/>
      </c>
      <c r="E2045" s="10">
        <f>IFERROR(C2045/B2045,"")</f>
        <v/>
      </c>
      <c r="F2045" s="11">
        <f>IFERROR((D2045/D2044-1)*100,"")</f>
        <v/>
      </c>
      <c r="G2045" s="11">
        <f>IFERROR((COUNTIF($D$1794:$D$2045,"&lt;"&amp;D2045)+0.5*COUNTIF($D$1794:$D$2045,D2045))/COUNT($D$1794:$D$2045)*100,"")</f>
        <v/>
      </c>
      <c r="H2045" s="10">
        <f>IFERROR(AVERAGE($D$1794:$D$2045),"")</f>
        <v/>
      </c>
      <c r="I2045" s="10" t="n">
        <v>1.452756233515812</v>
      </c>
      <c r="J2045" t="inlineStr"/>
      <c r="K2045" t="inlineStr"/>
    </row>
    <row r="2046">
      <c r="A2046" s="7" t="inlineStr">
        <is>
          <t>2022-07-21</t>
        </is>
      </c>
      <c r="B2046" s="8">
        <f>IFERROR(VLOOKUP($A2046,'01-原始价格'!$A:$M,2,FALSE),"")</f>
        <v/>
      </c>
      <c r="C2046" s="8">
        <f>IFERROR(VLOOKUP($A2046,'01-原始价格'!$A:$M,8,FALSE),"")</f>
        <v/>
      </c>
      <c r="D2046" s="10">
        <f>IFERROR(B2046/C2046,"")</f>
        <v/>
      </c>
      <c r="E2046" s="10">
        <f>IFERROR(C2046/B2046,"")</f>
        <v/>
      </c>
      <c r="F2046" s="11">
        <f>IFERROR((D2046/D2045-1)*100,"")</f>
        <v/>
      </c>
      <c r="G2046" s="11">
        <f>IFERROR((COUNTIF($D$1795:$D$2046,"&lt;"&amp;D2046)+0.5*COUNTIF($D$1795:$D$2046,D2046))/COUNT($D$1795:$D$2046)*100,"")</f>
        <v/>
      </c>
      <c r="H2046" s="10">
        <f>IFERROR(AVERAGE($D$1795:$D$2046),"")</f>
        <v/>
      </c>
      <c r="I2046" s="10" t="n">
        <v>1.301138810985732</v>
      </c>
      <c r="J2046" t="inlineStr"/>
      <c r="K2046" t="inlineStr"/>
    </row>
    <row r="2047">
      <c r="A2047" s="7" t="inlineStr">
        <is>
          <t>2022-07-22</t>
        </is>
      </c>
      <c r="B2047" s="8">
        <f>IFERROR(VLOOKUP($A2047,'01-原始价格'!$A:$M,2,FALSE),"")</f>
        <v/>
      </c>
      <c r="C2047" s="8">
        <f>IFERROR(VLOOKUP($A2047,'01-原始价格'!$A:$M,8,FALSE),"")</f>
        <v/>
      </c>
      <c r="D2047" s="10">
        <f>IFERROR(B2047/C2047,"")</f>
        <v/>
      </c>
      <c r="E2047" s="10">
        <f>IFERROR(C2047/B2047,"")</f>
        <v/>
      </c>
      <c r="F2047" s="11">
        <f>IFERROR((D2047/D2046-1)*100,"")</f>
        <v/>
      </c>
      <c r="G2047" s="11">
        <f>IFERROR((COUNTIF($D$1796:$D$2047,"&lt;"&amp;D2047)+0.5*COUNTIF($D$1796:$D$2047,D2047))/COUNT($D$1796:$D$2047)*100,"")</f>
        <v/>
      </c>
      <c r="H2047" s="10">
        <f>IFERROR(AVERAGE($D$1796:$D$2047),"")</f>
        <v/>
      </c>
      <c r="I2047" s="10" t="n">
        <v>1.230112719563631</v>
      </c>
      <c r="J2047" t="inlineStr"/>
      <c r="K2047" t="inlineStr"/>
    </row>
    <row r="2048">
      <c r="A2048" s="7" t="inlineStr">
        <is>
          <t>2022-07-25</t>
        </is>
      </c>
      <c r="B2048" s="8">
        <f>IFERROR(VLOOKUP($A2048,'01-原始价格'!$A:$M,2,FALSE),"")</f>
        <v/>
      </c>
      <c r="C2048" s="8">
        <f>IFERROR(VLOOKUP($A2048,'01-原始价格'!$A:$M,8,FALSE),"")</f>
        <v/>
      </c>
      <c r="D2048" s="10">
        <f>IFERROR(B2048/C2048,"")</f>
        <v/>
      </c>
      <c r="E2048" s="10">
        <f>IFERROR(C2048/B2048,"")</f>
        <v/>
      </c>
      <c r="F2048" s="11">
        <f>IFERROR((D2048/D2047-1)*100,"")</f>
        <v/>
      </c>
      <c r="G2048" s="11">
        <f>IFERROR((COUNTIF($D$1797:$D$2048,"&lt;"&amp;D2048)+0.5*COUNTIF($D$1797:$D$2048,D2048))/COUNT($D$1797:$D$2048)*100,"")</f>
        <v/>
      </c>
      <c r="H2048" s="10">
        <f>IFERROR(AVERAGE($D$1797:$D$2048),"")</f>
        <v/>
      </c>
      <c r="I2048" s="10" t="n">
        <v>0.8651670417440274</v>
      </c>
      <c r="J2048" t="inlineStr"/>
      <c r="K2048" t="inlineStr"/>
    </row>
    <row r="2049">
      <c r="A2049" s="7" t="inlineStr">
        <is>
          <t>2022-07-26</t>
        </is>
      </c>
      <c r="B2049" s="8">
        <f>IFERROR(VLOOKUP($A2049,'01-原始价格'!$A:$M,2,FALSE),"")</f>
        <v/>
      </c>
      <c r="C2049" s="8">
        <f>IFERROR(VLOOKUP($A2049,'01-原始价格'!$A:$M,8,FALSE),"")</f>
        <v/>
      </c>
      <c r="D2049" s="10">
        <f>IFERROR(B2049/C2049,"")</f>
        <v/>
      </c>
      <c r="E2049" s="10">
        <f>IFERROR(C2049/B2049,"")</f>
        <v/>
      </c>
      <c r="F2049" s="11">
        <f>IFERROR((D2049/D2048-1)*100,"")</f>
        <v/>
      </c>
      <c r="G2049" s="11">
        <f>IFERROR((COUNTIF($D$1798:$D$2049,"&lt;"&amp;D2049)+0.5*COUNTIF($D$1798:$D$2049,D2049))/COUNT($D$1798:$D$2049)*100,"")</f>
        <v/>
      </c>
      <c r="H2049" s="10">
        <f>IFERROR(AVERAGE($D$1798:$D$2049),"")</f>
        <v/>
      </c>
      <c r="I2049" s="10" t="n">
        <v>1.267367868158531</v>
      </c>
      <c r="J2049" t="inlineStr"/>
      <c r="K2049" t="inlineStr"/>
    </row>
    <row r="2050">
      <c r="A2050" s="7" t="inlineStr">
        <is>
          <t>2022-07-27</t>
        </is>
      </c>
      <c r="B2050" s="8">
        <f>IFERROR(VLOOKUP($A2050,'01-原始价格'!$A:$M,2,FALSE),"")</f>
        <v/>
      </c>
      <c r="C2050" s="8">
        <f>IFERROR(VLOOKUP($A2050,'01-原始价格'!$A:$M,8,FALSE),"")</f>
        <v/>
      </c>
      <c r="D2050" s="10">
        <f>IFERROR(B2050/C2050,"")</f>
        <v/>
      </c>
      <c r="E2050" s="10">
        <f>IFERROR(C2050/B2050,"")</f>
        <v/>
      </c>
      <c r="F2050" s="11">
        <f>IFERROR((D2050/D2049-1)*100,"")</f>
        <v/>
      </c>
      <c r="G2050" s="11">
        <f>IFERROR((COUNTIF($D$1799:$D$2050,"&lt;"&amp;D2050)+0.5*COUNTIF($D$1799:$D$2050,D2050))/COUNT($D$1799:$D$2050)*100,"")</f>
        <v/>
      </c>
      <c r="H2050" s="10">
        <f>IFERROR(AVERAGE($D$1799:$D$2050),"")</f>
        <v/>
      </c>
      <c r="I2050" s="10" t="n">
        <v>1.136180132780647</v>
      </c>
      <c r="J2050" t="inlineStr"/>
      <c r="K2050" t="inlineStr"/>
    </row>
    <row r="2051">
      <c r="A2051" s="7" t="inlineStr">
        <is>
          <t>2022-07-28</t>
        </is>
      </c>
      <c r="B2051" s="8">
        <f>IFERROR(VLOOKUP($A2051,'01-原始价格'!$A:$M,2,FALSE),"")</f>
        <v/>
      </c>
      <c r="C2051" s="8">
        <f>IFERROR(VLOOKUP($A2051,'01-原始价格'!$A:$M,8,FALSE),"")</f>
        <v/>
      </c>
      <c r="D2051" s="10">
        <f>IFERROR(B2051/C2051,"")</f>
        <v/>
      </c>
      <c r="E2051" s="10">
        <f>IFERROR(C2051/B2051,"")</f>
        <v/>
      </c>
      <c r="F2051" s="11">
        <f>IFERROR((D2051/D2050-1)*100,"")</f>
        <v/>
      </c>
      <c r="G2051" s="11">
        <f>IFERROR((COUNTIF($D$1800:$D$2051,"&lt;"&amp;D2051)+0.5*COUNTIF($D$1800:$D$2051,D2051))/COUNT($D$1800:$D$2051)*100,"")</f>
        <v/>
      </c>
      <c r="H2051" s="10">
        <f>IFERROR(AVERAGE($D$1800:$D$2051),"")</f>
        <v/>
      </c>
      <c r="I2051" s="10" t="n">
        <v>1.348599514865639</v>
      </c>
      <c r="J2051" t="inlineStr"/>
      <c r="K2051" t="inlineStr"/>
    </row>
    <row r="2052">
      <c r="A2052" s="7" t="inlineStr">
        <is>
          <t>2022-07-29</t>
        </is>
      </c>
      <c r="B2052" s="8">
        <f>IFERROR(VLOOKUP($A2052,'01-原始价格'!$A:$M,2,FALSE),"")</f>
        <v/>
      </c>
      <c r="C2052" s="8">
        <f>IFERROR(VLOOKUP($A2052,'01-原始价格'!$A:$M,8,FALSE),"")</f>
        <v/>
      </c>
      <c r="D2052" s="10">
        <f>IFERROR(B2052/C2052,"")</f>
        <v/>
      </c>
      <c r="E2052" s="10">
        <f>IFERROR(C2052/B2052,"")</f>
        <v/>
      </c>
      <c r="F2052" s="11">
        <f>IFERROR((D2052/D2051-1)*100,"")</f>
        <v/>
      </c>
      <c r="G2052" s="11">
        <f>IFERROR((COUNTIF($D$1801:$D$2052,"&lt;"&amp;D2052)+0.5*COUNTIF($D$1801:$D$2052,D2052))/COUNT($D$1801:$D$2052)*100,"")</f>
        <v/>
      </c>
      <c r="H2052" s="10">
        <f>IFERROR(AVERAGE($D$1801:$D$2052),"")</f>
        <v/>
      </c>
      <c r="I2052" s="10" t="n">
        <v>1.279157032986159</v>
      </c>
      <c r="J2052" t="inlineStr"/>
      <c r="K2052" t="inlineStr"/>
    </row>
    <row r="2053">
      <c r="A2053" s="7" t="inlineStr">
        <is>
          <t>2022-08-01</t>
        </is>
      </c>
      <c r="B2053" s="8">
        <f>IFERROR(VLOOKUP($A2053,'01-原始价格'!$A:$M,2,FALSE),"")</f>
        <v/>
      </c>
      <c r="C2053" s="8">
        <f>IFERROR(VLOOKUP($A2053,'01-原始价格'!$A:$M,8,FALSE),"")</f>
        <v/>
      </c>
      <c r="D2053" s="10">
        <f>IFERROR(B2053/C2053,"")</f>
        <v/>
      </c>
      <c r="E2053" s="10">
        <f>IFERROR(C2053/B2053,"")</f>
        <v/>
      </c>
      <c r="F2053" s="11">
        <f>IFERROR((D2053/D2052-1)*100,"")</f>
        <v/>
      </c>
      <c r="G2053" s="11">
        <f>IFERROR((COUNTIF($D$1802:$D$2053,"&lt;"&amp;D2053)+0.5*COUNTIF($D$1802:$D$2053,D2053))/COUNT($D$1802:$D$2053)*100,"")</f>
        <v/>
      </c>
      <c r="H2053" s="10">
        <f>IFERROR(AVERAGE($D$1802:$D$2053),"")</f>
        <v/>
      </c>
      <c r="I2053" s="10" t="n">
        <v>0.9025045309377475</v>
      </c>
      <c r="J2053" t="inlineStr"/>
      <c r="K2053" t="inlineStr"/>
    </row>
    <row r="2054">
      <c r="A2054" s="7" t="inlineStr">
        <is>
          <t>2022-08-02</t>
        </is>
      </c>
      <c r="B2054" s="8">
        <f>IFERROR(VLOOKUP($A2054,'01-原始价格'!$A:$M,2,FALSE),"")</f>
        <v/>
      </c>
      <c r="C2054" s="8">
        <f>IFERROR(VLOOKUP($A2054,'01-原始价格'!$A:$M,8,FALSE),"")</f>
        <v/>
      </c>
      <c r="D2054" s="10">
        <f>IFERROR(B2054/C2054,"")</f>
        <v/>
      </c>
      <c r="E2054" s="10">
        <f>IFERROR(C2054/B2054,"")</f>
        <v/>
      </c>
      <c r="F2054" s="11">
        <f>IFERROR((D2054/D2053-1)*100,"")</f>
        <v/>
      </c>
      <c r="G2054" s="11">
        <f>IFERROR((COUNTIF($D$1803:$D$2054,"&lt;"&amp;D2054)+0.5*COUNTIF($D$1803:$D$2054,D2054))/COUNT($D$1803:$D$2054)*100,"")</f>
        <v/>
      </c>
      <c r="H2054" s="10">
        <f>IFERROR(AVERAGE($D$1803:$D$2054),"")</f>
        <v/>
      </c>
      <c r="I2054" s="10" t="n">
        <v>1.2571738813244</v>
      </c>
      <c r="J2054" t="inlineStr"/>
      <c r="K2054" t="inlineStr"/>
    </row>
    <row r="2055">
      <c r="A2055" s="7" t="inlineStr">
        <is>
          <t>2022-08-03</t>
        </is>
      </c>
      <c r="B2055" s="8">
        <f>IFERROR(VLOOKUP($A2055,'01-原始价格'!$A:$M,2,FALSE),"")</f>
        <v/>
      </c>
      <c r="C2055" s="8">
        <f>IFERROR(VLOOKUP($A2055,'01-原始价格'!$A:$M,8,FALSE),"")</f>
        <v/>
      </c>
      <c r="D2055" s="10">
        <f>IFERROR(B2055/C2055,"")</f>
        <v/>
      </c>
      <c r="E2055" s="10">
        <f>IFERROR(C2055/B2055,"")</f>
        <v/>
      </c>
      <c r="F2055" s="11">
        <f>IFERROR((D2055/D2054-1)*100,"")</f>
        <v/>
      </c>
      <c r="G2055" s="11">
        <f>IFERROR((COUNTIF($D$1804:$D$2055,"&lt;"&amp;D2055)+0.5*COUNTIF($D$1804:$D$2055,D2055))/COUNT($D$1804:$D$2055)*100,"")</f>
        <v/>
      </c>
      <c r="H2055" s="10">
        <f>IFERROR(AVERAGE($D$1804:$D$2055),"")</f>
        <v/>
      </c>
      <c r="I2055" s="10" t="n">
        <v>1.369899355041653</v>
      </c>
      <c r="J2055" t="inlineStr"/>
      <c r="K2055" t="inlineStr"/>
    </row>
    <row r="2056">
      <c r="A2056" s="7" t="inlineStr">
        <is>
          <t>2022-08-04</t>
        </is>
      </c>
      <c r="B2056" s="8">
        <f>IFERROR(VLOOKUP($A2056,'01-原始价格'!$A:$M,2,FALSE),"")</f>
        <v/>
      </c>
      <c r="C2056" s="8">
        <f>IFERROR(VLOOKUP($A2056,'01-原始价格'!$A:$M,8,FALSE),"")</f>
        <v/>
      </c>
      <c r="D2056" s="10">
        <f>IFERROR(B2056/C2056,"")</f>
        <v/>
      </c>
      <c r="E2056" s="10">
        <f>IFERROR(C2056/B2056,"")</f>
        <v/>
      </c>
      <c r="F2056" s="11">
        <f>IFERROR((D2056/D2055-1)*100,"")</f>
        <v/>
      </c>
      <c r="G2056" s="11">
        <f>IFERROR((COUNTIF($D$1805:$D$2056,"&lt;"&amp;D2056)+0.5*COUNTIF($D$1805:$D$2056,D2056))/COUNT($D$1805:$D$2056)*100,"")</f>
        <v/>
      </c>
      <c r="H2056" s="10">
        <f>IFERROR(AVERAGE($D$1805:$D$2056),"")</f>
        <v/>
      </c>
      <c r="I2056" s="10" t="n">
        <v>1.687621338849763</v>
      </c>
      <c r="J2056" t="inlineStr"/>
      <c r="K2056" t="inlineStr"/>
    </row>
    <row r="2057">
      <c r="A2057" s="7" t="inlineStr">
        <is>
          <t>2022-08-05</t>
        </is>
      </c>
      <c r="B2057" s="8">
        <f>IFERROR(VLOOKUP($A2057,'01-原始价格'!$A:$M,2,FALSE),"")</f>
        <v/>
      </c>
      <c r="C2057" s="8">
        <f>IFERROR(VLOOKUP($A2057,'01-原始价格'!$A:$M,8,FALSE),"")</f>
        <v/>
      </c>
      <c r="D2057" s="10">
        <f>IFERROR(B2057/C2057,"")</f>
        <v/>
      </c>
      <c r="E2057" s="10">
        <f>IFERROR(C2057/B2057,"")</f>
        <v/>
      </c>
      <c r="F2057" s="11">
        <f>IFERROR((D2057/D2056-1)*100,"")</f>
        <v/>
      </c>
      <c r="G2057" s="11">
        <f>IFERROR((COUNTIF($D$1806:$D$2057,"&lt;"&amp;D2057)+0.5*COUNTIF($D$1806:$D$2057,D2057))/COUNT($D$1806:$D$2057)*100,"")</f>
        <v/>
      </c>
      <c r="H2057" s="10">
        <f>IFERROR(AVERAGE($D$1806:$D$2057),"")</f>
        <v/>
      </c>
      <c r="I2057" s="10" t="n">
        <v>1.832547575770662</v>
      </c>
      <c r="J2057" t="inlineStr"/>
      <c r="K2057" t="inlineStr"/>
    </row>
    <row r="2058">
      <c r="A2058" s="7" t="inlineStr">
        <is>
          <t>2022-08-08</t>
        </is>
      </c>
      <c r="B2058" s="8">
        <f>IFERROR(VLOOKUP($A2058,'01-原始价格'!$A:$M,2,FALSE),"")</f>
        <v/>
      </c>
      <c r="C2058" s="8">
        <f>IFERROR(VLOOKUP($A2058,'01-原始价格'!$A:$M,8,FALSE),"")</f>
        <v/>
      </c>
      <c r="D2058" s="10">
        <f>IFERROR(B2058/C2058,"")</f>
        <v/>
      </c>
      <c r="E2058" s="10">
        <f>IFERROR(C2058/B2058,"")</f>
        <v/>
      </c>
      <c r="F2058" s="11">
        <f>IFERROR((D2058/D2057-1)*100,"")</f>
        <v/>
      </c>
      <c r="G2058" s="11">
        <f>IFERROR((COUNTIF($D$1807:$D$2058,"&lt;"&amp;D2058)+0.5*COUNTIF($D$1807:$D$2058,D2058))/COUNT($D$1807:$D$2058)*100,"")</f>
        <v/>
      </c>
      <c r="H2058" s="10">
        <f>IFERROR(AVERAGE($D$1807:$D$2058),"")</f>
        <v/>
      </c>
      <c r="I2058" s="10" t="n">
        <v>1.474600540364727</v>
      </c>
      <c r="J2058" t="inlineStr"/>
      <c r="K2058" t="inlineStr"/>
    </row>
    <row r="2059">
      <c r="A2059" s="7" t="inlineStr">
        <is>
          <t>2022-08-09</t>
        </is>
      </c>
      <c r="B2059" s="8">
        <f>IFERROR(VLOOKUP($A2059,'01-原始价格'!$A:$M,2,FALSE),"")</f>
        <v/>
      </c>
      <c r="C2059" s="8">
        <f>IFERROR(VLOOKUP($A2059,'01-原始价格'!$A:$M,8,FALSE),"")</f>
        <v/>
      </c>
      <c r="D2059" s="10">
        <f>IFERROR(B2059/C2059,"")</f>
        <v/>
      </c>
      <c r="E2059" s="10">
        <f>IFERROR(C2059/B2059,"")</f>
        <v/>
      </c>
      <c r="F2059" s="11">
        <f>IFERROR((D2059/D2058-1)*100,"")</f>
        <v/>
      </c>
      <c r="G2059" s="11">
        <f>IFERROR((COUNTIF($D$1808:$D$2059,"&lt;"&amp;D2059)+0.5*COUNTIF($D$1808:$D$2059,D2059))/COUNT($D$1808:$D$2059)*100,"")</f>
        <v/>
      </c>
      <c r="H2059" s="10">
        <f>IFERROR(AVERAGE($D$1808:$D$2059),"")</f>
        <v/>
      </c>
      <c r="I2059" s="10" t="n">
        <v>1.49147617366568</v>
      </c>
      <c r="J2059" t="inlineStr"/>
      <c r="K2059" t="inlineStr"/>
    </row>
    <row r="2060">
      <c r="A2060" s="7" t="inlineStr">
        <is>
          <t>2022-08-10</t>
        </is>
      </c>
      <c r="B2060" s="8">
        <f>IFERROR(VLOOKUP($A2060,'01-原始价格'!$A:$M,2,FALSE),"")</f>
        <v/>
      </c>
      <c r="C2060" s="8">
        <f>IFERROR(VLOOKUP($A2060,'01-原始价格'!$A:$M,8,FALSE),"")</f>
        <v/>
      </c>
      <c r="D2060" s="10">
        <f>IFERROR(B2060/C2060,"")</f>
        <v/>
      </c>
      <c r="E2060" s="10">
        <f>IFERROR(C2060/B2060,"")</f>
        <v/>
      </c>
      <c r="F2060" s="11">
        <f>IFERROR((D2060/D2059-1)*100,"")</f>
        <v/>
      </c>
      <c r="G2060" s="11">
        <f>IFERROR((COUNTIF($D$1809:$D$2060,"&lt;"&amp;D2060)+0.5*COUNTIF($D$1809:$D$2060,D2060))/COUNT($D$1809:$D$2060)*100,"")</f>
        <v/>
      </c>
      <c r="H2060" s="10">
        <f>IFERROR(AVERAGE($D$1809:$D$2060),"")</f>
        <v/>
      </c>
      <c r="I2060" s="10" t="n">
        <v>1.660741717122791</v>
      </c>
      <c r="J2060" t="inlineStr"/>
      <c r="K2060" t="inlineStr"/>
    </row>
    <row r="2061">
      <c r="A2061" s="7" t="inlineStr">
        <is>
          <t>2022-08-11</t>
        </is>
      </c>
      <c r="B2061" s="8">
        <f>IFERROR(VLOOKUP($A2061,'01-原始价格'!$A:$M,2,FALSE),"")</f>
        <v/>
      </c>
      <c r="C2061" s="8">
        <f>IFERROR(VLOOKUP($A2061,'01-原始价格'!$A:$M,8,FALSE),"")</f>
        <v/>
      </c>
      <c r="D2061" s="10">
        <f>IFERROR(B2061/C2061,"")</f>
        <v/>
      </c>
      <c r="E2061" s="10">
        <f>IFERROR(C2061/B2061,"")</f>
        <v/>
      </c>
      <c r="F2061" s="11">
        <f>IFERROR((D2061/D2060-1)*100,"")</f>
        <v/>
      </c>
      <c r="G2061" s="11">
        <f>IFERROR((COUNTIF($D$1810:$D$2061,"&lt;"&amp;D2061)+0.5*COUNTIF($D$1810:$D$2061,D2061))/COUNT($D$1810:$D$2061)*100,"")</f>
        <v/>
      </c>
      <c r="H2061" s="10">
        <f>IFERROR(AVERAGE($D$1810:$D$2061),"")</f>
        <v/>
      </c>
      <c r="I2061" s="10" t="n">
        <v>1.470705540626098</v>
      </c>
      <c r="J2061" t="inlineStr"/>
      <c r="K2061" t="inlineStr"/>
    </row>
    <row r="2062">
      <c r="A2062" s="7" t="inlineStr">
        <is>
          <t>2022-08-12</t>
        </is>
      </c>
      <c r="B2062" s="8">
        <f>IFERROR(VLOOKUP($A2062,'01-原始价格'!$A:$M,2,FALSE),"")</f>
        <v/>
      </c>
      <c r="C2062" s="8">
        <f>IFERROR(VLOOKUP($A2062,'01-原始价格'!$A:$M,8,FALSE),"")</f>
        <v/>
      </c>
      <c r="D2062" s="10">
        <f>IFERROR(B2062/C2062,"")</f>
        <v/>
      </c>
      <c r="E2062" s="10">
        <f>IFERROR(C2062/B2062,"")</f>
        <v/>
      </c>
      <c r="F2062" s="11">
        <f>IFERROR((D2062/D2061-1)*100,"")</f>
        <v/>
      </c>
      <c r="G2062" s="11">
        <f>IFERROR((COUNTIF($D$1811:$D$2062,"&lt;"&amp;D2062)+0.5*COUNTIF($D$1811:$D$2062,D2062))/COUNT($D$1811:$D$2062)*100,"")</f>
        <v/>
      </c>
      <c r="H2062" s="10">
        <f>IFERROR(AVERAGE($D$1811:$D$2062),"")</f>
        <v/>
      </c>
      <c r="I2062" s="10" t="n">
        <v>1.637870663987584</v>
      </c>
      <c r="J2062" t="inlineStr"/>
      <c r="K2062" t="inlineStr"/>
    </row>
    <row r="2063">
      <c r="A2063" s="7" t="inlineStr">
        <is>
          <t>2022-08-15</t>
        </is>
      </c>
      <c r="B2063" s="8">
        <f>IFERROR(VLOOKUP($A2063,'01-原始价格'!$A:$M,2,FALSE),"")</f>
        <v/>
      </c>
      <c r="C2063" s="8">
        <f>IFERROR(VLOOKUP($A2063,'01-原始价格'!$A:$M,8,FALSE),"")</f>
        <v/>
      </c>
      <c r="D2063" s="10">
        <f>IFERROR(B2063/C2063,"")</f>
        <v/>
      </c>
      <c r="E2063" s="10">
        <f>IFERROR(C2063/B2063,"")</f>
        <v/>
      </c>
      <c r="F2063" s="11">
        <f>IFERROR((D2063/D2062-1)*100,"")</f>
        <v/>
      </c>
      <c r="G2063" s="11">
        <f>IFERROR((COUNTIF($D$1812:$D$2063,"&lt;"&amp;D2063)+0.5*COUNTIF($D$1812:$D$2063,D2063))/COUNT($D$1812:$D$2063)*100,"")</f>
        <v/>
      </c>
      <c r="H2063" s="10">
        <f>IFERROR(AVERAGE($D$1812:$D$2063),"")</f>
        <v/>
      </c>
      <c r="I2063" s="10" t="n">
        <v>1.834993851385048</v>
      </c>
      <c r="J2063" t="inlineStr"/>
      <c r="K2063" t="inlineStr"/>
    </row>
    <row r="2064">
      <c r="A2064" s="7" t="inlineStr">
        <is>
          <t>2022-08-16</t>
        </is>
      </c>
      <c r="B2064" s="8">
        <f>IFERROR(VLOOKUP($A2064,'01-原始价格'!$A:$M,2,FALSE),"")</f>
        <v/>
      </c>
      <c r="C2064" s="8">
        <f>IFERROR(VLOOKUP($A2064,'01-原始价格'!$A:$M,8,FALSE),"")</f>
        <v/>
      </c>
      <c r="D2064" s="10">
        <f>IFERROR(B2064/C2064,"")</f>
        <v/>
      </c>
      <c r="E2064" s="10">
        <f>IFERROR(C2064/B2064,"")</f>
        <v/>
      </c>
      <c r="F2064" s="11">
        <f>IFERROR((D2064/D2063-1)*100,"")</f>
        <v/>
      </c>
      <c r="G2064" s="11">
        <f>IFERROR((COUNTIF($D$1813:$D$2064,"&lt;"&amp;D2064)+0.5*COUNTIF($D$1813:$D$2064,D2064))/COUNT($D$1813:$D$2064)*100,"")</f>
        <v/>
      </c>
      <c r="H2064" s="10">
        <f>IFERROR(AVERAGE($D$1813:$D$2064),"")</f>
        <v/>
      </c>
      <c r="I2064" s="10" t="n">
        <v>2.148549223366123</v>
      </c>
      <c r="J2064" t="inlineStr"/>
      <c r="K2064" t="inlineStr"/>
    </row>
    <row r="2065">
      <c r="A2065" s="7" t="inlineStr">
        <is>
          <t>2022-08-17</t>
        </is>
      </c>
      <c r="B2065" s="8">
        <f>IFERROR(VLOOKUP($A2065,'01-原始价格'!$A:$M,2,FALSE),"")</f>
        <v/>
      </c>
      <c r="C2065" s="8">
        <f>IFERROR(VLOOKUP($A2065,'01-原始价格'!$A:$M,8,FALSE),"")</f>
        <v/>
      </c>
      <c r="D2065" s="10">
        <f>IFERROR(B2065/C2065,"")</f>
        <v/>
      </c>
      <c r="E2065" s="10">
        <f>IFERROR(C2065/B2065,"")</f>
        <v/>
      </c>
      <c r="F2065" s="11">
        <f>IFERROR((D2065/D2064-1)*100,"")</f>
        <v/>
      </c>
      <c r="G2065" s="11">
        <f>IFERROR((COUNTIF($D$1814:$D$2065,"&lt;"&amp;D2065)+0.5*COUNTIF($D$1814:$D$2065,D2065))/COUNT($D$1814:$D$2065)*100,"")</f>
        <v/>
      </c>
      <c r="H2065" s="10">
        <f>IFERROR(AVERAGE($D$1814:$D$2065),"")</f>
        <v/>
      </c>
      <c r="I2065" s="10" t="n">
        <v>1.973870446255614</v>
      </c>
      <c r="J2065" t="inlineStr"/>
      <c r="K2065" t="inlineStr"/>
    </row>
    <row r="2066">
      <c r="A2066" s="7" t="inlineStr">
        <is>
          <t>2022-08-18</t>
        </is>
      </c>
      <c r="B2066" s="8">
        <f>IFERROR(VLOOKUP($A2066,'01-原始价格'!$A:$M,2,FALSE),"")</f>
        <v/>
      </c>
      <c r="C2066" s="8">
        <f>IFERROR(VLOOKUP($A2066,'01-原始价格'!$A:$M,8,FALSE),"")</f>
        <v/>
      </c>
      <c r="D2066" s="10">
        <f>IFERROR(B2066/C2066,"")</f>
        <v/>
      </c>
      <c r="E2066" s="10">
        <f>IFERROR(C2066/B2066,"")</f>
        <v/>
      </c>
      <c r="F2066" s="11">
        <f>IFERROR((D2066/D2065-1)*100,"")</f>
        <v/>
      </c>
      <c r="G2066" s="11">
        <f>IFERROR((COUNTIF($D$1815:$D$2066,"&lt;"&amp;D2066)+0.5*COUNTIF($D$1815:$D$2066,D2066))/COUNT($D$1815:$D$2066)*100,"")</f>
        <v/>
      </c>
      <c r="H2066" s="10">
        <f>IFERROR(AVERAGE($D$1815:$D$2066),"")</f>
        <v/>
      </c>
      <c r="I2066" s="10" t="n">
        <v>2.241160691258462</v>
      </c>
      <c r="J2066" t="inlineStr"/>
      <c r="K2066" t="inlineStr"/>
    </row>
    <row r="2067">
      <c r="A2067" s="7" t="inlineStr">
        <is>
          <t>2022-08-19</t>
        </is>
      </c>
      <c r="B2067" s="8">
        <f>IFERROR(VLOOKUP($A2067,'01-原始价格'!$A:$M,2,FALSE),"")</f>
        <v/>
      </c>
      <c r="C2067" s="8">
        <f>IFERROR(VLOOKUP($A2067,'01-原始价格'!$A:$M,8,FALSE),"")</f>
        <v/>
      </c>
      <c r="D2067" s="10">
        <f>IFERROR(B2067/C2067,"")</f>
        <v/>
      </c>
      <c r="E2067" s="10">
        <f>IFERROR(C2067/B2067,"")</f>
        <v/>
      </c>
      <c r="F2067" s="11">
        <f>IFERROR((D2067/D2066-1)*100,"")</f>
        <v/>
      </c>
      <c r="G2067" s="11">
        <f>IFERROR((COUNTIF($D$1816:$D$2067,"&lt;"&amp;D2067)+0.5*COUNTIF($D$1816:$D$2067,D2067))/COUNT($D$1816:$D$2067)*100,"")</f>
        <v/>
      </c>
      <c r="H2067" s="10">
        <f>IFERROR(AVERAGE($D$1816:$D$2067),"")</f>
        <v/>
      </c>
      <c r="I2067" s="10" t="n">
        <v>4.36228243063014</v>
      </c>
      <c r="J2067" s="9" t="inlineStr">
        <is>
          <t>是</t>
        </is>
      </c>
      <c r="K2067" s="12" t="inlineStr">
        <is>
          <t>是</t>
        </is>
      </c>
      <c r="L2067" t="inlineStr">
        <is>
          <t>异常且换月：多为换月跳空，非产业驱动</t>
        </is>
      </c>
    </row>
    <row r="2068">
      <c r="A2068" s="7" t="inlineStr">
        <is>
          <t>2022-08-22</t>
        </is>
      </c>
      <c r="B2068" s="8">
        <f>IFERROR(VLOOKUP($A2068,'01-原始价格'!$A:$M,2,FALSE),"")</f>
        <v/>
      </c>
      <c r="C2068" s="8">
        <f>IFERROR(VLOOKUP($A2068,'01-原始价格'!$A:$M,8,FALSE),"")</f>
        <v/>
      </c>
      <c r="D2068" s="10">
        <f>IFERROR(B2068/C2068,"")</f>
        <v/>
      </c>
      <c r="E2068" s="10">
        <f>IFERROR(C2068/B2068,"")</f>
        <v/>
      </c>
      <c r="F2068" s="11">
        <f>IFERROR((D2068/D2067-1)*100,"")</f>
        <v/>
      </c>
      <c r="G2068" s="11">
        <f>IFERROR((COUNTIF($D$1817:$D$2068,"&lt;"&amp;D2068)+0.5*COUNTIF($D$1817:$D$2068,D2068))/COUNT($D$1817:$D$2068)*100,"")</f>
        <v/>
      </c>
      <c r="H2068" s="10">
        <f>IFERROR(AVERAGE($D$1817:$D$2068),"")</f>
        <v/>
      </c>
      <c r="I2068" s="10" t="n">
        <v>1.724543970565729</v>
      </c>
      <c r="J2068" t="inlineStr"/>
      <c r="K2068" s="12" t="inlineStr">
        <is>
          <t>是</t>
        </is>
      </c>
      <c r="L2068" t="inlineStr">
        <is>
          <t>换月日</t>
        </is>
      </c>
    </row>
    <row r="2069">
      <c r="A2069" s="7" t="inlineStr">
        <is>
          <t>2022-08-23</t>
        </is>
      </c>
      <c r="B2069" s="8">
        <f>IFERROR(VLOOKUP($A2069,'01-原始价格'!$A:$M,2,FALSE),"")</f>
        <v/>
      </c>
      <c r="C2069" s="8">
        <f>IFERROR(VLOOKUP($A2069,'01-原始价格'!$A:$M,8,FALSE),"")</f>
        <v/>
      </c>
      <c r="D2069" s="10">
        <f>IFERROR(B2069/C2069,"")</f>
        <v/>
      </c>
      <c r="E2069" s="10">
        <f>IFERROR(C2069/B2069,"")</f>
        <v/>
      </c>
      <c r="F2069" s="11">
        <f>IFERROR((D2069/D2068-1)*100,"")</f>
        <v/>
      </c>
      <c r="G2069" s="11">
        <f>IFERROR((COUNTIF($D$1818:$D$2069,"&lt;"&amp;D2069)+0.5*COUNTIF($D$1818:$D$2069,D2069))/COUNT($D$1818:$D$2069)*100,"")</f>
        <v/>
      </c>
      <c r="H2069" s="10">
        <f>IFERROR(AVERAGE($D$1818:$D$2069),"")</f>
        <v/>
      </c>
      <c r="I2069" s="10" t="n">
        <v>1.612632912819039</v>
      </c>
      <c r="J2069" t="inlineStr"/>
      <c r="K2069" t="inlineStr"/>
    </row>
    <row r="2070">
      <c r="A2070" s="7" t="inlineStr">
        <is>
          <t>2022-08-24</t>
        </is>
      </c>
      <c r="B2070" s="8">
        <f>IFERROR(VLOOKUP($A2070,'01-原始价格'!$A:$M,2,FALSE),"")</f>
        <v/>
      </c>
      <c r="C2070" s="8">
        <f>IFERROR(VLOOKUP($A2070,'01-原始价格'!$A:$M,8,FALSE),"")</f>
        <v/>
      </c>
      <c r="D2070" s="10">
        <f>IFERROR(B2070/C2070,"")</f>
        <v/>
      </c>
      <c r="E2070" s="10">
        <f>IFERROR(C2070/B2070,"")</f>
        <v/>
      </c>
      <c r="F2070" s="11">
        <f>IFERROR((D2070/D2069-1)*100,"")</f>
        <v/>
      </c>
      <c r="G2070" s="11">
        <f>IFERROR((COUNTIF($D$1819:$D$2070,"&lt;"&amp;D2070)+0.5*COUNTIF($D$1819:$D$2070,D2070))/COUNT($D$1819:$D$2070)*100,"")</f>
        <v/>
      </c>
      <c r="H2070" s="10">
        <f>IFERROR(AVERAGE($D$1819:$D$2070),"")</f>
        <v/>
      </c>
      <c r="I2070" s="10" t="n">
        <v>1.443521519212535</v>
      </c>
      <c r="J2070" t="inlineStr"/>
      <c r="K2070" t="inlineStr"/>
    </row>
    <row r="2071">
      <c r="A2071" s="7" t="inlineStr">
        <is>
          <t>2022-08-25</t>
        </is>
      </c>
      <c r="B2071" s="8">
        <f>IFERROR(VLOOKUP($A2071,'01-原始价格'!$A:$M,2,FALSE),"")</f>
        <v/>
      </c>
      <c r="C2071" s="8">
        <f>IFERROR(VLOOKUP($A2071,'01-原始价格'!$A:$M,8,FALSE),"")</f>
        <v/>
      </c>
      <c r="D2071" s="10">
        <f>IFERROR(B2071/C2071,"")</f>
        <v/>
      </c>
      <c r="E2071" s="10">
        <f>IFERROR(C2071/B2071,"")</f>
        <v/>
      </c>
      <c r="F2071" s="11">
        <f>IFERROR((D2071/D2070-1)*100,"")</f>
        <v/>
      </c>
      <c r="G2071" s="11">
        <f>IFERROR((COUNTIF($D$1820:$D$2071,"&lt;"&amp;D2071)+0.5*COUNTIF($D$1820:$D$2071,D2071))/COUNT($D$1820:$D$2071)*100,"")</f>
        <v/>
      </c>
      <c r="H2071" s="10">
        <f>IFERROR(AVERAGE($D$1820:$D$2071),"")</f>
        <v/>
      </c>
      <c r="I2071" s="10" t="n">
        <v>1.711522843617881</v>
      </c>
      <c r="J2071" t="inlineStr"/>
      <c r="K2071" t="inlineStr"/>
    </row>
    <row r="2072">
      <c r="A2072" s="7" t="inlineStr">
        <is>
          <t>2022-08-26</t>
        </is>
      </c>
      <c r="B2072" s="8">
        <f>IFERROR(VLOOKUP($A2072,'01-原始价格'!$A:$M,2,FALSE),"")</f>
        <v/>
      </c>
      <c r="C2072" s="8">
        <f>IFERROR(VLOOKUP($A2072,'01-原始价格'!$A:$M,8,FALSE),"")</f>
        <v/>
      </c>
      <c r="D2072" s="10">
        <f>IFERROR(B2072/C2072,"")</f>
        <v/>
      </c>
      <c r="E2072" s="10">
        <f>IFERROR(C2072/B2072,"")</f>
        <v/>
      </c>
      <c r="F2072" s="11">
        <f>IFERROR((D2072/D2071-1)*100,"")</f>
        <v/>
      </c>
      <c r="G2072" s="11">
        <f>IFERROR((COUNTIF($D$1821:$D$2072,"&lt;"&amp;D2072)+0.5*COUNTIF($D$1821:$D$2072,D2072))/COUNT($D$1821:$D$2072)*100,"")</f>
        <v/>
      </c>
      <c r="H2072" s="10">
        <f>IFERROR(AVERAGE($D$1821:$D$2072),"")</f>
        <v/>
      </c>
      <c r="I2072" s="10" t="n">
        <v>1.643675090739997</v>
      </c>
      <c r="J2072" t="inlineStr"/>
      <c r="K2072" t="inlineStr"/>
    </row>
    <row r="2073">
      <c r="A2073" s="7" t="inlineStr">
        <is>
          <t>2022-08-29</t>
        </is>
      </c>
      <c r="B2073" s="8">
        <f>IFERROR(VLOOKUP($A2073,'01-原始价格'!$A:$M,2,FALSE),"")</f>
        <v/>
      </c>
      <c r="C2073" s="8">
        <f>IFERROR(VLOOKUP($A2073,'01-原始价格'!$A:$M,8,FALSE),"")</f>
        <v/>
      </c>
      <c r="D2073" s="10">
        <f>IFERROR(B2073/C2073,"")</f>
        <v/>
      </c>
      <c r="E2073" s="10">
        <f>IFERROR(C2073/B2073,"")</f>
        <v/>
      </c>
      <c r="F2073" s="11">
        <f>IFERROR((D2073/D2072-1)*100,"")</f>
        <v/>
      </c>
      <c r="G2073" s="11">
        <f>IFERROR((COUNTIF($D$1822:$D$2073,"&lt;"&amp;D2073)+0.5*COUNTIF($D$1822:$D$2073,D2073))/COUNT($D$1822:$D$2073)*100,"")</f>
        <v/>
      </c>
      <c r="H2073" s="10">
        <f>IFERROR(AVERAGE($D$1822:$D$2073),"")</f>
        <v/>
      </c>
      <c r="I2073" s="10" t="n">
        <v>1.517290081949118</v>
      </c>
      <c r="J2073" t="inlineStr"/>
      <c r="K2073" t="inlineStr"/>
    </row>
    <row r="2074">
      <c r="A2074" s="7" t="inlineStr">
        <is>
          <t>2022-08-30</t>
        </is>
      </c>
      <c r="B2074" s="8">
        <f>IFERROR(VLOOKUP($A2074,'01-原始价格'!$A:$M,2,FALSE),"")</f>
        <v/>
      </c>
      <c r="C2074" s="8">
        <f>IFERROR(VLOOKUP($A2074,'01-原始价格'!$A:$M,8,FALSE),"")</f>
        <v/>
      </c>
      <c r="D2074" s="10">
        <f>IFERROR(B2074/C2074,"")</f>
        <v/>
      </c>
      <c r="E2074" s="10">
        <f>IFERROR(C2074/B2074,"")</f>
        <v/>
      </c>
      <c r="F2074" s="11">
        <f>IFERROR((D2074/D2073-1)*100,"")</f>
        <v/>
      </c>
      <c r="G2074" s="11">
        <f>IFERROR((COUNTIF($D$1823:$D$2074,"&lt;"&amp;D2074)+0.5*COUNTIF($D$1823:$D$2074,D2074))/COUNT($D$1823:$D$2074)*100,"")</f>
        <v/>
      </c>
      <c r="H2074" s="10">
        <f>IFERROR(AVERAGE($D$1823:$D$2074),"")</f>
        <v/>
      </c>
      <c r="I2074" s="10" t="n">
        <v>1.715351096741126</v>
      </c>
      <c r="J2074" t="inlineStr"/>
      <c r="K2074" t="inlineStr"/>
    </row>
    <row r="2075">
      <c r="A2075" s="7" t="inlineStr">
        <is>
          <t>2022-08-31</t>
        </is>
      </c>
      <c r="B2075" s="8">
        <f>IFERROR(VLOOKUP($A2075,'01-原始价格'!$A:$M,2,FALSE),"")</f>
        <v/>
      </c>
      <c r="C2075" s="8">
        <f>IFERROR(VLOOKUP($A2075,'01-原始价格'!$A:$M,8,FALSE),"")</f>
        <v/>
      </c>
      <c r="D2075" s="10">
        <f>IFERROR(B2075/C2075,"")</f>
        <v/>
      </c>
      <c r="E2075" s="10">
        <f>IFERROR(C2075/B2075,"")</f>
        <v/>
      </c>
      <c r="F2075" s="11">
        <f>IFERROR((D2075/D2074-1)*100,"")</f>
        <v/>
      </c>
      <c r="G2075" s="11">
        <f>IFERROR((COUNTIF($D$1824:$D$2075,"&lt;"&amp;D2075)+0.5*COUNTIF($D$1824:$D$2075,D2075))/COUNT($D$1824:$D$2075)*100,"")</f>
        <v/>
      </c>
      <c r="H2075" s="10">
        <f>IFERROR(AVERAGE($D$1824:$D$2075),"")</f>
        <v/>
      </c>
      <c r="I2075" s="10" t="n">
        <v>1.644358657848396</v>
      </c>
      <c r="J2075" t="inlineStr"/>
      <c r="K2075" t="inlineStr"/>
    </row>
    <row r="2076">
      <c r="A2076" s="7" t="inlineStr">
        <is>
          <t>2022-09-01</t>
        </is>
      </c>
      <c r="B2076" s="8">
        <f>IFERROR(VLOOKUP($A2076,'01-原始价格'!$A:$M,2,FALSE),"")</f>
        <v/>
      </c>
      <c r="C2076" s="8">
        <f>IFERROR(VLOOKUP($A2076,'01-原始价格'!$A:$M,8,FALSE),"")</f>
        <v/>
      </c>
      <c r="D2076" s="10">
        <f>IFERROR(B2076/C2076,"")</f>
        <v/>
      </c>
      <c r="E2076" s="10">
        <f>IFERROR(C2076/B2076,"")</f>
        <v/>
      </c>
      <c r="F2076" s="11">
        <f>IFERROR((D2076/D2075-1)*100,"")</f>
        <v/>
      </c>
      <c r="G2076" s="11">
        <f>IFERROR((COUNTIF($D$1825:$D$2076,"&lt;"&amp;D2076)+0.5*COUNTIF($D$1825:$D$2076,D2076))/COUNT($D$1825:$D$2076)*100,"")</f>
        <v/>
      </c>
      <c r="H2076" s="10">
        <f>IFERROR(AVERAGE($D$1825:$D$2076),"")</f>
        <v/>
      </c>
      <c r="I2076" s="10" t="n">
        <v>0.8599750304645879</v>
      </c>
      <c r="J2076" t="inlineStr"/>
      <c r="K2076" t="inlineStr"/>
    </row>
    <row r="2077">
      <c r="A2077" s="7" t="inlineStr">
        <is>
          <t>2022-09-02</t>
        </is>
      </c>
      <c r="B2077" s="8">
        <f>IFERROR(VLOOKUP($A2077,'01-原始价格'!$A:$M,2,FALSE),"")</f>
        <v/>
      </c>
      <c r="C2077" s="8">
        <f>IFERROR(VLOOKUP($A2077,'01-原始价格'!$A:$M,8,FALSE),"")</f>
        <v/>
      </c>
      <c r="D2077" s="10">
        <f>IFERROR(B2077/C2077,"")</f>
        <v/>
      </c>
      <c r="E2077" s="10">
        <f>IFERROR(C2077/B2077,"")</f>
        <v/>
      </c>
      <c r="F2077" s="11">
        <f>IFERROR((D2077/D2076-1)*100,"")</f>
        <v/>
      </c>
      <c r="G2077" s="11">
        <f>IFERROR((COUNTIF($D$1826:$D$2077,"&lt;"&amp;D2077)+0.5*COUNTIF($D$1826:$D$2077,D2077))/COUNT($D$1826:$D$2077)*100,"")</f>
        <v/>
      </c>
      <c r="H2077" s="10">
        <f>IFERROR(AVERAGE($D$1826:$D$2077),"")</f>
        <v/>
      </c>
      <c r="I2077" s="10" t="n">
        <v>0.4634010205932161</v>
      </c>
      <c r="J2077" t="inlineStr"/>
      <c r="K2077" t="inlineStr"/>
    </row>
    <row r="2078">
      <c r="A2078" s="7" t="inlineStr">
        <is>
          <t>2022-09-05</t>
        </is>
      </c>
      <c r="B2078" s="8">
        <f>IFERROR(VLOOKUP($A2078,'01-原始价格'!$A:$M,2,FALSE),"")</f>
        <v/>
      </c>
      <c r="C2078" s="8">
        <f>IFERROR(VLOOKUP($A2078,'01-原始价格'!$A:$M,8,FALSE),"")</f>
        <v/>
      </c>
      <c r="D2078" s="10">
        <f>IFERROR(B2078/C2078,"")</f>
        <v/>
      </c>
      <c r="E2078" s="10">
        <f>IFERROR(C2078/B2078,"")</f>
        <v/>
      </c>
      <c r="F2078" s="11">
        <f>IFERROR((D2078/D2077-1)*100,"")</f>
        <v/>
      </c>
      <c r="G2078" s="11">
        <f>IFERROR((COUNTIF($D$1827:$D$2078,"&lt;"&amp;D2078)+0.5*COUNTIF($D$1827:$D$2078,D2078))/COUNT($D$1827:$D$2078)*100,"")</f>
        <v/>
      </c>
      <c r="H2078" s="10">
        <f>IFERROR(AVERAGE($D$1827:$D$2078),"")</f>
        <v/>
      </c>
      <c r="I2078" s="10" t="n">
        <v>0.3611603100968784</v>
      </c>
      <c r="J2078" t="inlineStr"/>
      <c r="K2078" t="inlineStr"/>
    </row>
    <row r="2079">
      <c r="A2079" s="7" t="inlineStr">
        <is>
          <t>2022-09-06</t>
        </is>
      </c>
      <c r="B2079" s="8">
        <f>IFERROR(VLOOKUP($A2079,'01-原始价格'!$A:$M,2,FALSE),"")</f>
        <v/>
      </c>
      <c r="C2079" s="8">
        <f>IFERROR(VLOOKUP($A2079,'01-原始价格'!$A:$M,8,FALSE),"")</f>
        <v/>
      </c>
      <c r="D2079" s="10">
        <f>IFERROR(B2079/C2079,"")</f>
        <v/>
      </c>
      <c r="E2079" s="10">
        <f>IFERROR(C2079/B2079,"")</f>
        <v/>
      </c>
      <c r="F2079" s="11">
        <f>IFERROR((D2079/D2078-1)*100,"")</f>
        <v/>
      </c>
      <c r="G2079" s="11">
        <f>IFERROR((COUNTIF($D$1828:$D$2079,"&lt;"&amp;D2079)+0.5*COUNTIF($D$1828:$D$2079,D2079))/COUNT($D$1828:$D$2079)*100,"")</f>
        <v/>
      </c>
      <c r="H2079" s="10">
        <f>IFERROR(AVERAGE($D$1828:$D$2079),"")</f>
        <v/>
      </c>
      <c r="I2079" s="10" t="n">
        <v>0.09883965715112199</v>
      </c>
      <c r="J2079" t="inlineStr"/>
      <c r="K2079" t="inlineStr"/>
    </row>
    <row r="2080">
      <c r="A2080" s="7" t="inlineStr">
        <is>
          <t>2022-09-07</t>
        </is>
      </c>
      <c r="B2080" s="8">
        <f>IFERROR(VLOOKUP($A2080,'01-原始价格'!$A:$M,2,FALSE),"")</f>
        <v/>
      </c>
      <c r="C2080" s="8">
        <f>IFERROR(VLOOKUP($A2080,'01-原始价格'!$A:$M,8,FALSE),"")</f>
        <v/>
      </c>
      <c r="D2080" s="10">
        <f>IFERROR(B2080/C2080,"")</f>
        <v/>
      </c>
      <c r="E2080" s="10">
        <f>IFERROR(C2080/B2080,"")</f>
        <v/>
      </c>
      <c r="F2080" s="11">
        <f>IFERROR((D2080/D2079-1)*100,"")</f>
        <v/>
      </c>
      <c r="G2080" s="11">
        <f>IFERROR((COUNTIF($D$1829:$D$2080,"&lt;"&amp;D2080)+0.5*COUNTIF($D$1829:$D$2080,D2080))/COUNT($D$1829:$D$2080)*100,"")</f>
        <v/>
      </c>
      <c r="H2080" s="10">
        <f>IFERROR(AVERAGE($D$1829:$D$2080),"")</f>
        <v/>
      </c>
      <c r="I2080" s="10" t="n">
        <v>-0.5999430632391551</v>
      </c>
      <c r="J2080" t="inlineStr"/>
      <c r="K2080" t="inlineStr"/>
    </row>
    <row r="2081">
      <c r="A2081" s="7" t="inlineStr">
        <is>
          <t>2022-09-08</t>
        </is>
      </c>
      <c r="B2081" s="8">
        <f>IFERROR(VLOOKUP($A2081,'01-原始价格'!$A:$M,2,FALSE),"")</f>
        <v/>
      </c>
      <c r="C2081" s="8">
        <f>IFERROR(VLOOKUP($A2081,'01-原始价格'!$A:$M,8,FALSE),"")</f>
        <v/>
      </c>
      <c r="D2081" s="10">
        <f>IFERROR(B2081/C2081,"")</f>
        <v/>
      </c>
      <c r="E2081" s="10">
        <f>IFERROR(C2081/B2081,"")</f>
        <v/>
      </c>
      <c r="F2081" s="11">
        <f>IFERROR((D2081/D2080-1)*100,"")</f>
        <v/>
      </c>
      <c r="G2081" s="11">
        <f>IFERROR((COUNTIF($D$1830:$D$2081,"&lt;"&amp;D2081)+0.5*COUNTIF($D$1830:$D$2081,D2081))/COUNT($D$1830:$D$2081)*100,"")</f>
        <v/>
      </c>
      <c r="H2081" s="10">
        <f>IFERROR(AVERAGE($D$1830:$D$2081),"")</f>
        <v/>
      </c>
      <c r="I2081" s="10" t="n">
        <v>-0.6623182519641204</v>
      </c>
      <c r="J2081" t="inlineStr"/>
      <c r="K2081" t="inlineStr"/>
    </row>
    <row r="2082">
      <c r="A2082" s="7" t="inlineStr">
        <is>
          <t>2022-09-09</t>
        </is>
      </c>
      <c r="B2082" s="8">
        <f>IFERROR(VLOOKUP($A2082,'01-原始价格'!$A:$M,2,FALSE),"")</f>
        <v/>
      </c>
      <c r="C2082" s="8">
        <f>IFERROR(VLOOKUP($A2082,'01-原始价格'!$A:$M,8,FALSE),"")</f>
        <v/>
      </c>
      <c r="D2082" s="10">
        <f>IFERROR(B2082/C2082,"")</f>
        <v/>
      </c>
      <c r="E2082" s="10">
        <f>IFERROR(C2082/B2082,"")</f>
        <v/>
      </c>
      <c r="F2082" s="11">
        <f>IFERROR((D2082/D2081-1)*100,"")</f>
        <v/>
      </c>
      <c r="G2082" s="11">
        <f>IFERROR((COUNTIF($D$1831:$D$2082,"&lt;"&amp;D2082)+0.5*COUNTIF($D$1831:$D$2082,D2082))/COUNT($D$1831:$D$2082)*100,"")</f>
        <v/>
      </c>
      <c r="H2082" s="10">
        <f>IFERROR(AVERAGE($D$1831:$D$2082),"")</f>
        <v/>
      </c>
      <c r="I2082" s="10" t="n">
        <v>-0.3194190006646981</v>
      </c>
      <c r="J2082" t="inlineStr"/>
      <c r="K2082" t="inlineStr"/>
    </row>
    <row r="2083">
      <c r="A2083" s="7" t="inlineStr">
        <is>
          <t>2022-09-13</t>
        </is>
      </c>
      <c r="B2083" s="8">
        <f>IFERROR(VLOOKUP($A2083,'01-原始价格'!$A:$M,2,FALSE),"")</f>
        <v/>
      </c>
      <c r="C2083" s="8">
        <f>IFERROR(VLOOKUP($A2083,'01-原始价格'!$A:$M,8,FALSE),"")</f>
        <v/>
      </c>
      <c r="D2083" s="10">
        <f>IFERROR(B2083/C2083,"")</f>
        <v/>
      </c>
      <c r="E2083" s="10">
        <f>IFERROR(C2083/B2083,"")</f>
        <v/>
      </c>
      <c r="F2083" s="11">
        <f>IFERROR((D2083/D2082-1)*100,"")</f>
        <v/>
      </c>
      <c r="G2083" s="11">
        <f>IFERROR((COUNTIF($D$1832:$D$2083,"&lt;"&amp;D2083)+0.5*COUNTIF($D$1832:$D$2083,D2083))/COUNT($D$1832:$D$2083)*100,"")</f>
        <v/>
      </c>
      <c r="H2083" s="10">
        <f>IFERROR(AVERAGE($D$1832:$D$2083),"")</f>
        <v/>
      </c>
      <c r="I2083" s="10" t="n">
        <v>-0.3258179322967468</v>
      </c>
      <c r="J2083" t="inlineStr"/>
      <c r="K2083" t="inlineStr"/>
    </row>
    <row r="2084">
      <c r="A2084" s="7" t="inlineStr">
        <is>
          <t>2022-09-14</t>
        </is>
      </c>
      <c r="B2084" s="8">
        <f>IFERROR(VLOOKUP($A2084,'01-原始价格'!$A:$M,2,FALSE),"")</f>
        <v/>
      </c>
      <c r="C2084" s="8">
        <f>IFERROR(VLOOKUP($A2084,'01-原始价格'!$A:$M,8,FALSE),"")</f>
        <v/>
      </c>
      <c r="D2084" s="10">
        <f>IFERROR(B2084/C2084,"")</f>
        <v/>
      </c>
      <c r="E2084" s="10">
        <f>IFERROR(C2084/B2084,"")</f>
        <v/>
      </c>
      <c r="F2084" s="11">
        <f>IFERROR((D2084/D2083-1)*100,"")</f>
        <v/>
      </c>
      <c r="G2084" s="11">
        <f>IFERROR((COUNTIF($D$1833:$D$2084,"&lt;"&amp;D2084)+0.5*COUNTIF($D$1833:$D$2084,D2084))/COUNT($D$1833:$D$2084)*100,"")</f>
        <v/>
      </c>
      <c r="H2084" s="10">
        <f>IFERROR(AVERAGE($D$1833:$D$2084),"")</f>
        <v/>
      </c>
      <c r="I2084" s="10" t="n">
        <v>-0.4531792026934934</v>
      </c>
      <c r="J2084" t="inlineStr"/>
      <c r="K2084" t="inlineStr"/>
    </row>
    <row r="2085">
      <c r="A2085" s="7" t="inlineStr">
        <is>
          <t>2022-09-15</t>
        </is>
      </c>
      <c r="B2085" s="8">
        <f>IFERROR(VLOOKUP($A2085,'01-原始价格'!$A:$M,2,FALSE),"")</f>
        <v/>
      </c>
      <c r="C2085" s="8">
        <f>IFERROR(VLOOKUP($A2085,'01-原始价格'!$A:$M,8,FALSE),"")</f>
        <v/>
      </c>
      <c r="D2085" s="10">
        <f>IFERROR(B2085/C2085,"")</f>
        <v/>
      </c>
      <c r="E2085" s="10">
        <f>IFERROR(C2085/B2085,"")</f>
        <v/>
      </c>
      <c r="F2085" s="11">
        <f>IFERROR((D2085/D2084-1)*100,"")</f>
        <v/>
      </c>
      <c r="G2085" s="11">
        <f>IFERROR((COUNTIF($D$1834:$D$2085,"&lt;"&amp;D2085)+0.5*COUNTIF($D$1834:$D$2085,D2085))/COUNT($D$1834:$D$2085)*100,"")</f>
        <v/>
      </c>
      <c r="H2085" s="10">
        <f>IFERROR(AVERAGE($D$1834:$D$2085),"")</f>
        <v/>
      </c>
      <c r="I2085" s="10" t="n">
        <v>-0.6888575692743382</v>
      </c>
      <c r="J2085" t="inlineStr"/>
      <c r="K2085" t="inlineStr"/>
    </row>
    <row r="2086">
      <c r="A2086" s="7" t="inlineStr">
        <is>
          <t>2022-09-16</t>
        </is>
      </c>
      <c r="B2086" s="8">
        <f>IFERROR(VLOOKUP($A2086,'01-原始价格'!$A:$M,2,FALSE),"")</f>
        <v/>
      </c>
      <c r="C2086" s="8">
        <f>IFERROR(VLOOKUP($A2086,'01-原始价格'!$A:$M,8,FALSE),"")</f>
        <v/>
      </c>
      <c r="D2086" s="10">
        <f>IFERROR(B2086/C2086,"")</f>
        <v/>
      </c>
      <c r="E2086" s="10">
        <f>IFERROR(C2086/B2086,"")</f>
        <v/>
      </c>
      <c r="F2086" s="11">
        <f>IFERROR((D2086/D2085-1)*100,"")</f>
        <v/>
      </c>
      <c r="G2086" s="11">
        <f>IFERROR((COUNTIF($D$1835:$D$2086,"&lt;"&amp;D2086)+0.5*COUNTIF($D$1835:$D$2086,D2086))/COUNT($D$1835:$D$2086)*100,"")</f>
        <v/>
      </c>
      <c r="H2086" s="10">
        <f>IFERROR(AVERAGE($D$1835:$D$2086),"")</f>
        <v/>
      </c>
      <c r="I2086" s="10" t="n">
        <v>-1.063908281705554</v>
      </c>
      <c r="J2086" t="inlineStr"/>
      <c r="K2086" t="inlineStr"/>
    </row>
    <row r="2087">
      <c r="A2087" s="7" t="inlineStr">
        <is>
          <t>2022-09-19</t>
        </is>
      </c>
      <c r="B2087" s="8">
        <f>IFERROR(VLOOKUP($A2087,'01-原始价格'!$A:$M,2,FALSE),"")</f>
        <v/>
      </c>
      <c r="C2087" s="8">
        <f>IFERROR(VLOOKUP($A2087,'01-原始价格'!$A:$M,8,FALSE),"")</f>
        <v/>
      </c>
      <c r="D2087" s="10">
        <f>IFERROR(B2087/C2087,"")</f>
        <v/>
      </c>
      <c r="E2087" s="10">
        <f>IFERROR(C2087/B2087,"")</f>
        <v/>
      </c>
      <c r="F2087" s="11">
        <f>IFERROR((D2087/D2086-1)*100,"")</f>
        <v/>
      </c>
      <c r="G2087" s="11">
        <f>IFERROR((COUNTIF($D$1836:$D$2087,"&lt;"&amp;D2087)+0.5*COUNTIF($D$1836:$D$2087,D2087))/COUNT($D$1836:$D$2087)*100,"")</f>
        <v/>
      </c>
      <c r="H2087" s="10">
        <f>IFERROR(AVERAGE($D$1836:$D$2087),"")</f>
        <v/>
      </c>
      <c r="I2087" s="10" t="n">
        <v>-0.9347583304689547</v>
      </c>
      <c r="J2087" t="inlineStr"/>
      <c r="K2087" t="inlineStr"/>
    </row>
    <row r="2088">
      <c r="A2088" s="7" t="inlineStr">
        <is>
          <t>2022-09-20</t>
        </is>
      </c>
      <c r="B2088" s="8">
        <f>IFERROR(VLOOKUP($A2088,'01-原始价格'!$A:$M,2,FALSE),"")</f>
        <v/>
      </c>
      <c r="C2088" s="8">
        <f>IFERROR(VLOOKUP($A2088,'01-原始价格'!$A:$M,8,FALSE),"")</f>
        <v/>
      </c>
      <c r="D2088" s="10">
        <f>IFERROR(B2088/C2088,"")</f>
        <v/>
      </c>
      <c r="E2088" s="10">
        <f>IFERROR(C2088/B2088,"")</f>
        <v/>
      </c>
      <c r="F2088" s="11">
        <f>IFERROR((D2088/D2087-1)*100,"")</f>
        <v/>
      </c>
      <c r="G2088" s="11">
        <f>IFERROR((COUNTIF($D$1837:$D$2088,"&lt;"&amp;D2088)+0.5*COUNTIF($D$1837:$D$2088,D2088))/COUNT($D$1837:$D$2088)*100,"")</f>
        <v/>
      </c>
      <c r="H2088" s="10">
        <f>IFERROR(AVERAGE($D$1837:$D$2088),"")</f>
        <v/>
      </c>
      <c r="I2088" s="10" t="n">
        <v>-1.091618277339855</v>
      </c>
      <c r="J2088" t="inlineStr"/>
      <c r="K2088" t="inlineStr"/>
    </row>
    <row r="2089">
      <c r="A2089" s="7" t="inlineStr">
        <is>
          <t>2022-09-21</t>
        </is>
      </c>
      <c r="B2089" s="8">
        <f>IFERROR(VLOOKUP($A2089,'01-原始价格'!$A:$M,2,FALSE),"")</f>
        <v/>
      </c>
      <c r="C2089" s="8">
        <f>IFERROR(VLOOKUP($A2089,'01-原始价格'!$A:$M,8,FALSE),"")</f>
        <v/>
      </c>
      <c r="D2089" s="10">
        <f>IFERROR(B2089/C2089,"")</f>
        <v/>
      </c>
      <c r="E2089" s="10">
        <f>IFERROR(C2089/B2089,"")</f>
        <v/>
      </c>
      <c r="F2089" s="11">
        <f>IFERROR((D2089/D2088-1)*100,"")</f>
        <v/>
      </c>
      <c r="G2089" s="11">
        <f>IFERROR((COUNTIF($D$1838:$D$2089,"&lt;"&amp;D2089)+0.5*COUNTIF($D$1838:$D$2089,D2089))/COUNT($D$1838:$D$2089)*100,"")</f>
        <v/>
      </c>
      <c r="H2089" s="10">
        <f>IFERROR(AVERAGE($D$1838:$D$2089),"")</f>
        <v/>
      </c>
      <c r="I2089" s="10" t="n">
        <v>-1.165892990921553</v>
      </c>
      <c r="J2089" t="inlineStr"/>
      <c r="K2089" t="inlineStr"/>
    </row>
    <row r="2090">
      <c r="A2090" s="7" t="inlineStr">
        <is>
          <t>2022-09-22</t>
        </is>
      </c>
      <c r="B2090" s="8">
        <f>IFERROR(VLOOKUP($A2090,'01-原始价格'!$A:$M,2,FALSE),"")</f>
        <v/>
      </c>
      <c r="C2090" s="8">
        <f>IFERROR(VLOOKUP($A2090,'01-原始价格'!$A:$M,8,FALSE),"")</f>
        <v/>
      </c>
      <c r="D2090" s="10">
        <f>IFERROR(B2090/C2090,"")</f>
        <v/>
      </c>
      <c r="E2090" s="10">
        <f>IFERROR(C2090/B2090,"")</f>
        <v/>
      </c>
      <c r="F2090" s="11">
        <f>IFERROR((D2090/D2089-1)*100,"")</f>
        <v/>
      </c>
      <c r="G2090" s="11">
        <f>IFERROR((COUNTIF($D$1839:$D$2090,"&lt;"&amp;D2090)+0.5*COUNTIF($D$1839:$D$2090,D2090))/COUNT($D$1839:$D$2090)*100,"")</f>
        <v/>
      </c>
      <c r="H2090" s="10">
        <f>IFERROR(AVERAGE($D$1839:$D$2090),"")</f>
        <v/>
      </c>
      <c r="I2090" s="10" t="n">
        <v>-1.054647162147405</v>
      </c>
      <c r="J2090" t="inlineStr"/>
      <c r="K2090" t="inlineStr"/>
    </row>
    <row r="2091">
      <c r="A2091" s="7" t="inlineStr">
        <is>
          <t>2022-09-23</t>
        </is>
      </c>
      <c r="B2091" s="8">
        <f>IFERROR(VLOOKUP($A2091,'01-原始价格'!$A:$M,2,FALSE),"")</f>
        <v/>
      </c>
      <c r="C2091" s="8">
        <f>IFERROR(VLOOKUP($A2091,'01-原始价格'!$A:$M,8,FALSE),"")</f>
        <v/>
      </c>
      <c r="D2091" s="10">
        <f>IFERROR(B2091/C2091,"")</f>
        <v/>
      </c>
      <c r="E2091" s="10">
        <f>IFERROR(C2091/B2091,"")</f>
        <v/>
      </c>
      <c r="F2091" s="11">
        <f>IFERROR((D2091/D2090-1)*100,"")</f>
        <v/>
      </c>
      <c r="G2091" s="11">
        <f>IFERROR((COUNTIF($D$1840:$D$2091,"&lt;"&amp;D2091)+0.5*COUNTIF($D$1840:$D$2091,D2091))/COUNT($D$1840:$D$2091)*100,"")</f>
        <v/>
      </c>
      <c r="H2091" s="10">
        <f>IFERROR(AVERAGE($D$1840:$D$2091),"")</f>
        <v/>
      </c>
      <c r="I2091" s="10" t="n">
        <v>-0.9051717683856384</v>
      </c>
      <c r="J2091" t="inlineStr"/>
      <c r="K2091" t="inlineStr"/>
    </row>
    <row r="2092">
      <c r="A2092" s="7" t="inlineStr">
        <is>
          <t>2022-09-26</t>
        </is>
      </c>
      <c r="B2092" s="8">
        <f>IFERROR(VLOOKUP($A2092,'01-原始价格'!$A:$M,2,FALSE),"")</f>
        <v/>
      </c>
      <c r="C2092" s="8">
        <f>IFERROR(VLOOKUP($A2092,'01-原始价格'!$A:$M,8,FALSE),"")</f>
        <v/>
      </c>
      <c r="D2092" s="10">
        <f>IFERROR(B2092/C2092,"")</f>
        <v/>
      </c>
      <c r="E2092" s="10">
        <f>IFERROR(C2092/B2092,"")</f>
        <v/>
      </c>
      <c r="F2092" s="11">
        <f>IFERROR((D2092/D2091-1)*100,"")</f>
        <v/>
      </c>
      <c r="G2092" s="11">
        <f>IFERROR((COUNTIF($D$1841:$D$2092,"&lt;"&amp;D2092)+0.5*COUNTIF($D$1841:$D$2092,D2092))/COUNT($D$1841:$D$2092)*100,"")</f>
        <v/>
      </c>
      <c r="H2092" s="10">
        <f>IFERROR(AVERAGE($D$1841:$D$2092),"")</f>
        <v/>
      </c>
      <c r="I2092" s="10" t="n">
        <v>-0.9931827504224127</v>
      </c>
      <c r="J2092" t="inlineStr"/>
      <c r="K2092" t="inlineStr"/>
    </row>
    <row r="2093">
      <c r="A2093" s="7" t="inlineStr">
        <is>
          <t>2022-09-27</t>
        </is>
      </c>
      <c r="B2093" s="8">
        <f>IFERROR(VLOOKUP($A2093,'01-原始价格'!$A:$M,2,FALSE),"")</f>
        <v/>
      </c>
      <c r="C2093" s="8">
        <f>IFERROR(VLOOKUP($A2093,'01-原始价格'!$A:$M,8,FALSE),"")</f>
        <v/>
      </c>
      <c r="D2093" s="10">
        <f>IFERROR(B2093/C2093,"")</f>
        <v/>
      </c>
      <c r="E2093" s="10">
        <f>IFERROR(C2093/B2093,"")</f>
        <v/>
      </c>
      <c r="F2093" s="11">
        <f>IFERROR((D2093/D2092-1)*100,"")</f>
        <v/>
      </c>
      <c r="G2093" s="11">
        <f>IFERROR((COUNTIF($D$1842:$D$2093,"&lt;"&amp;D2093)+0.5*COUNTIF($D$1842:$D$2093,D2093))/COUNT($D$1842:$D$2093)*100,"")</f>
        <v/>
      </c>
      <c r="H2093" s="10">
        <f>IFERROR(AVERAGE($D$1842:$D$2093),"")</f>
        <v/>
      </c>
      <c r="I2093" s="10" t="n">
        <v>-0.8339794032746402</v>
      </c>
      <c r="J2093" t="inlineStr"/>
      <c r="K2093" t="inlineStr"/>
    </row>
    <row r="2094">
      <c r="A2094" s="7" t="inlineStr">
        <is>
          <t>2022-09-28</t>
        </is>
      </c>
      <c r="B2094" s="8">
        <f>IFERROR(VLOOKUP($A2094,'01-原始价格'!$A:$M,2,FALSE),"")</f>
        <v/>
      </c>
      <c r="C2094" s="8">
        <f>IFERROR(VLOOKUP($A2094,'01-原始价格'!$A:$M,8,FALSE),"")</f>
        <v/>
      </c>
      <c r="D2094" s="10">
        <f>IFERROR(B2094/C2094,"")</f>
        <v/>
      </c>
      <c r="E2094" s="10">
        <f>IFERROR(C2094/B2094,"")</f>
        <v/>
      </c>
      <c r="F2094" s="11">
        <f>IFERROR((D2094/D2093-1)*100,"")</f>
        <v/>
      </c>
      <c r="G2094" s="11">
        <f>IFERROR((COUNTIF($D$1843:$D$2094,"&lt;"&amp;D2094)+0.5*COUNTIF($D$1843:$D$2094,D2094))/COUNT($D$1843:$D$2094)*100,"")</f>
        <v/>
      </c>
      <c r="H2094" s="10">
        <f>IFERROR(AVERAGE($D$1843:$D$2094),"")</f>
        <v/>
      </c>
      <c r="I2094" s="10" t="n">
        <v>-0.9043572692937872</v>
      </c>
      <c r="J2094" t="inlineStr"/>
      <c r="K2094" t="inlineStr"/>
    </row>
    <row r="2095">
      <c r="A2095" s="7" t="inlineStr">
        <is>
          <t>2022-09-29</t>
        </is>
      </c>
      <c r="B2095" s="8">
        <f>IFERROR(VLOOKUP($A2095,'01-原始价格'!$A:$M,2,FALSE),"")</f>
        <v/>
      </c>
      <c r="C2095" s="8">
        <f>IFERROR(VLOOKUP($A2095,'01-原始价格'!$A:$M,8,FALSE),"")</f>
        <v/>
      </c>
      <c r="D2095" s="10">
        <f>IFERROR(B2095/C2095,"")</f>
        <v/>
      </c>
      <c r="E2095" s="10">
        <f>IFERROR(C2095/B2095,"")</f>
        <v/>
      </c>
      <c r="F2095" s="11">
        <f>IFERROR((D2095/D2094-1)*100,"")</f>
        <v/>
      </c>
      <c r="G2095" s="11">
        <f>IFERROR((COUNTIF($D$1844:$D$2095,"&lt;"&amp;D2095)+0.5*COUNTIF($D$1844:$D$2095,D2095))/COUNT($D$1844:$D$2095)*100,"")</f>
        <v/>
      </c>
      <c r="H2095" s="10">
        <f>IFERROR(AVERAGE($D$1844:$D$2095),"")</f>
        <v/>
      </c>
      <c r="I2095" s="10" t="n">
        <v>-1.31801296781577</v>
      </c>
      <c r="J2095" t="inlineStr"/>
      <c r="K2095" t="inlineStr"/>
    </row>
    <row r="2096">
      <c r="A2096" s="7" t="inlineStr">
        <is>
          <t>2022-09-30</t>
        </is>
      </c>
      <c r="B2096" s="8">
        <f>IFERROR(VLOOKUP($A2096,'01-原始价格'!$A:$M,2,FALSE),"")</f>
        <v/>
      </c>
      <c r="C2096" s="8">
        <f>IFERROR(VLOOKUP($A2096,'01-原始价格'!$A:$M,8,FALSE),"")</f>
        <v/>
      </c>
      <c r="D2096" s="10">
        <f>IFERROR(B2096/C2096,"")</f>
        <v/>
      </c>
      <c r="E2096" s="10">
        <f>IFERROR(C2096/B2096,"")</f>
        <v/>
      </c>
      <c r="F2096" s="11">
        <f>IFERROR((D2096/D2095-1)*100,"")</f>
        <v/>
      </c>
      <c r="G2096" s="11">
        <f>IFERROR((COUNTIF($D$1845:$D$2096,"&lt;"&amp;D2096)+0.5*COUNTIF($D$1845:$D$2096,D2096))/COUNT($D$1845:$D$2096)*100,"")</f>
        <v/>
      </c>
      <c r="H2096" s="10">
        <f>IFERROR(AVERAGE($D$1845:$D$2096),"")</f>
        <v/>
      </c>
      <c r="I2096" s="10" t="n">
        <v>-0.5900784268020196</v>
      </c>
      <c r="J2096" t="inlineStr"/>
      <c r="K2096" t="inlineStr"/>
    </row>
    <row r="2097">
      <c r="A2097" s="7" t="inlineStr">
        <is>
          <t>2022-10-10</t>
        </is>
      </c>
      <c r="B2097" s="8">
        <f>IFERROR(VLOOKUP($A2097,'01-原始价格'!$A:$M,2,FALSE),"")</f>
        <v/>
      </c>
      <c r="C2097" s="8">
        <f>IFERROR(VLOOKUP($A2097,'01-原始价格'!$A:$M,8,FALSE),"")</f>
        <v/>
      </c>
      <c r="D2097" s="10">
        <f>IFERROR(B2097/C2097,"")</f>
        <v/>
      </c>
      <c r="E2097" s="10">
        <f>IFERROR(C2097/B2097,"")</f>
        <v/>
      </c>
      <c r="F2097" s="11">
        <f>IFERROR((D2097/D2096-1)*100,"")</f>
        <v/>
      </c>
      <c r="G2097" s="11">
        <f>IFERROR((COUNTIF($D$1846:$D$2097,"&lt;"&amp;D2097)+0.5*COUNTIF($D$1846:$D$2097,D2097))/COUNT($D$1846:$D$2097)*100,"")</f>
        <v/>
      </c>
      <c r="H2097" s="10">
        <f>IFERROR(AVERAGE($D$1846:$D$2097),"")</f>
        <v/>
      </c>
      <c r="I2097" s="10" t="n">
        <v>-1.295316039891063</v>
      </c>
      <c r="J2097" t="inlineStr"/>
      <c r="K2097" t="inlineStr"/>
    </row>
    <row r="2098">
      <c r="A2098" s="7" t="inlineStr">
        <is>
          <t>2022-10-11</t>
        </is>
      </c>
      <c r="B2098" s="8">
        <f>IFERROR(VLOOKUP($A2098,'01-原始价格'!$A:$M,2,FALSE),"")</f>
        <v/>
      </c>
      <c r="C2098" s="8">
        <f>IFERROR(VLOOKUP($A2098,'01-原始价格'!$A:$M,8,FALSE),"")</f>
        <v/>
      </c>
      <c r="D2098" s="10">
        <f>IFERROR(B2098/C2098,"")</f>
        <v/>
      </c>
      <c r="E2098" s="10">
        <f>IFERROR(C2098/B2098,"")</f>
        <v/>
      </c>
      <c r="F2098" s="11">
        <f>IFERROR((D2098/D2097-1)*100,"")</f>
        <v/>
      </c>
      <c r="G2098" s="11">
        <f>IFERROR((COUNTIF($D$1847:$D$2098,"&lt;"&amp;D2098)+0.5*COUNTIF($D$1847:$D$2098,D2098))/COUNT($D$1847:$D$2098)*100,"")</f>
        <v/>
      </c>
      <c r="H2098" s="10">
        <f>IFERROR(AVERAGE($D$1847:$D$2098),"")</f>
        <v/>
      </c>
      <c r="I2098" s="10" t="n">
        <v>-1.282456682197901</v>
      </c>
      <c r="J2098" t="inlineStr"/>
      <c r="K2098" t="inlineStr"/>
    </row>
    <row r="2099">
      <c r="A2099" s="7" t="inlineStr">
        <is>
          <t>2022-10-12</t>
        </is>
      </c>
      <c r="B2099" s="8">
        <f>IFERROR(VLOOKUP($A2099,'01-原始价格'!$A:$M,2,FALSE),"")</f>
        <v/>
      </c>
      <c r="C2099" s="8">
        <f>IFERROR(VLOOKUP($A2099,'01-原始价格'!$A:$M,8,FALSE),"")</f>
        <v/>
      </c>
      <c r="D2099" s="10">
        <f>IFERROR(B2099/C2099,"")</f>
        <v/>
      </c>
      <c r="E2099" s="10">
        <f>IFERROR(C2099/B2099,"")</f>
        <v/>
      </c>
      <c r="F2099" s="11">
        <f>IFERROR((D2099/D2098-1)*100,"")</f>
        <v/>
      </c>
      <c r="G2099" s="11">
        <f>IFERROR((COUNTIF($D$1848:$D$2099,"&lt;"&amp;D2099)+0.5*COUNTIF($D$1848:$D$2099,D2099))/COUNT($D$1848:$D$2099)*100,"")</f>
        <v/>
      </c>
      <c r="H2099" s="10">
        <f>IFERROR(AVERAGE($D$1848:$D$2099),"")</f>
        <v/>
      </c>
      <c r="I2099" s="10" t="n">
        <v>-1.254281130707466</v>
      </c>
      <c r="J2099" t="inlineStr"/>
      <c r="K2099" t="inlineStr"/>
    </row>
    <row r="2100">
      <c r="A2100" s="7" t="inlineStr">
        <is>
          <t>2022-10-13</t>
        </is>
      </c>
      <c r="B2100" s="8">
        <f>IFERROR(VLOOKUP($A2100,'01-原始价格'!$A:$M,2,FALSE),"")</f>
        <v/>
      </c>
      <c r="C2100" s="8">
        <f>IFERROR(VLOOKUP($A2100,'01-原始价格'!$A:$M,8,FALSE),"")</f>
        <v/>
      </c>
      <c r="D2100" s="10">
        <f>IFERROR(B2100/C2100,"")</f>
        <v/>
      </c>
      <c r="E2100" s="10">
        <f>IFERROR(C2100/B2100,"")</f>
        <v/>
      </c>
      <c r="F2100" s="11">
        <f>IFERROR((D2100/D2099-1)*100,"")</f>
        <v/>
      </c>
      <c r="G2100" s="11">
        <f>IFERROR((COUNTIF($D$1849:$D$2100,"&lt;"&amp;D2100)+0.5*COUNTIF($D$1849:$D$2100,D2100))/COUNT($D$1849:$D$2100)*100,"")</f>
        <v/>
      </c>
      <c r="H2100" s="10">
        <f>IFERROR(AVERAGE($D$1849:$D$2100),"")</f>
        <v/>
      </c>
      <c r="I2100" s="10" t="n">
        <v>-1.055827269796586</v>
      </c>
      <c r="J2100" t="inlineStr"/>
      <c r="K2100" t="inlineStr"/>
    </row>
    <row r="2101">
      <c r="A2101" s="7" t="inlineStr">
        <is>
          <t>2022-10-14</t>
        </is>
      </c>
      <c r="B2101" s="8">
        <f>IFERROR(VLOOKUP($A2101,'01-原始价格'!$A:$M,2,FALSE),"")</f>
        <v/>
      </c>
      <c r="C2101" s="8">
        <f>IFERROR(VLOOKUP($A2101,'01-原始价格'!$A:$M,8,FALSE),"")</f>
        <v/>
      </c>
      <c r="D2101" s="10">
        <f>IFERROR(B2101/C2101,"")</f>
        <v/>
      </c>
      <c r="E2101" s="10">
        <f>IFERROR(C2101/B2101,"")</f>
        <v/>
      </c>
      <c r="F2101" s="11">
        <f>IFERROR((D2101/D2100-1)*100,"")</f>
        <v/>
      </c>
      <c r="G2101" s="11">
        <f>IFERROR((COUNTIF($D$1850:$D$2101,"&lt;"&amp;D2101)+0.5*COUNTIF($D$1850:$D$2101,D2101))/COUNT($D$1850:$D$2101)*100,"")</f>
        <v/>
      </c>
      <c r="H2101" s="10">
        <f>IFERROR(AVERAGE($D$1850:$D$2101),"")</f>
        <v/>
      </c>
      <c r="I2101" s="10" t="n">
        <v>-1.282770643604917</v>
      </c>
      <c r="J2101" t="inlineStr"/>
      <c r="K2101" t="inlineStr"/>
    </row>
    <row r="2102">
      <c r="A2102" s="7" t="inlineStr">
        <is>
          <t>2022-10-17</t>
        </is>
      </c>
      <c r="B2102" s="8">
        <f>IFERROR(VLOOKUP($A2102,'01-原始价格'!$A:$M,2,FALSE),"")</f>
        <v/>
      </c>
      <c r="C2102" s="8">
        <f>IFERROR(VLOOKUP($A2102,'01-原始价格'!$A:$M,8,FALSE),"")</f>
        <v/>
      </c>
      <c r="D2102" s="10">
        <f>IFERROR(B2102/C2102,"")</f>
        <v/>
      </c>
      <c r="E2102" s="10">
        <f>IFERROR(C2102/B2102,"")</f>
        <v/>
      </c>
      <c r="F2102" s="11">
        <f>IFERROR((D2102/D2101-1)*100,"")</f>
        <v/>
      </c>
      <c r="G2102" s="11">
        <f>IFERROR((COUNTIF($D$1851:$D$2102,"&lt;"&amp;D2102)+0.5*COUNTIF($D$1851:$D$2102,D2102))/COUNT($D$1851:$D$2102)*100,"")</f>
        <v/>
      </c>
      <c r="H2102" s="10">
        <f>IFERROR(AVERAGE($D$1851:$D$2102),"")</f>
        <v/>
      </c>
      <c r="I2102" s="10" t="n">
        <v>-1.120352283021772</v>
      </c>
      <c r="J2102" t="inlineStr"/>
      <c r="K2102" t="inlineStr"/>
    </row>
    <row r="2103">
      <c r="A2103" s="7" t="inlineStr">
        <is>
          <t>2022-10-18</t>
        </is>
      </c>
      <c r="B2103" s="8">
        <f>IFERROR(VLOOKUP($A2103,'01-原始价格'!$A:$M,2,FALSE),"")</f>
        <v/>
      </c>
      <c r="C2103" s="8">
        <f>IFERROR(VLOOKUP($A2103,'01-原始价格'!$A:$M,8,FALSE),"")</f>
        <v/>
      </c>
      <c r="D2103" s="10">
        <f>IFERROR(B2103/C2103,"")</f>
        <v/>
      </c>
      <c r="E2103" s="10">
        <f>IFERROR(C2103/B2103,"")</f>
        <v/>
      </c>
      <c r="F2103" s="11">
        <f>IFERROR((D2103/D2102-1)*100,"")</f>
        <v/>
      </c>
      <c r="G2103" s="11">
        <f>IFERROR((COUNTIF($D$1852:$D$2103,"&lt;"&amp;D2103)+0.5*COUNTIF($D$1852:$D$2103,D2103))/COUNT($D$1852:$D$2103)*100,"")</f>
        <v/>
      </c>
      <c r="H2103" s="10">
        <f>IFERROR(AVERAGE($D$1852:$D$2103),"")</f>
        <v/>
      </c>
      <c r="I2103" s="10" t="n">
        <v>-1.211782864450415</v>
      </c>
      <c r="J2103" t="inlineStr"/>
      <c r="K2103" t="inlineStr"/>
    </row>
    <row r="2104">
      <c r="A2104" s="7" t="inlineStr">
        <is>
          <t>2022-10-19</t>
        </is>
      </c>
      <c r="B2104" s="8">
        <f>IFERROR(VLOOKUP($A2104,'01-原始价格'!$A:$M,2,FALSE),"")</f>
        <v/>
      </c>
      <c r="C2104" s="8">
        <f>IFERROR(VLOOKUP($A2104,'01-原始价格'!$A:$M,8,FALSE),"")</f>
        <v/>
      </c>
      <c r="D2104" s="10">
        <f>IFERROR(B2104/C2104,"")</f>
        <v/>
      </c>
      <c r="E2104" s="10">
        <f>IFERROR(C2104/B2104,"")</f>
        <v/>
      </c>
      <c r="F2104" s="11">
        <f>IFERROR((D2104/D2103-1)*100,"")</f>
        <v/>
      </c>
      <c r="G2104" s="11">
        <f>IFERROR((COUNTIF($D$1853:$D$2104,"&lt;"&amp;D2104)+0.5*COUNTIF($D$1853:$D$2104,D2104))/COUNT($D$1853:$D$2104)*100,"")</f>
        <v/>
      </c>
      <c r="H2104" s="10">
        <f>IFERROR(AVERAGE($D$1853:$D$2104),"")</f>
        <v/>
      </c>
      <c r="I2104" s="10" t="n">
        <v>-1.168829067415039</v>
      </c>
      <c r="J2104" t="inlineStr"/>
      <c r="K2104" t="inlineStr"/>
    </row>
    <row r="2105">
      <c r="A2105" s="7" t="inlineStr">
        <is>
          <t>2022-10-20</t>
        </is>
      </c>
      <c r="B2105" s="8">
        <f>IFERROR(VLOOKUP($A2105,'01-原始价格'!$A:$M,2,FALSE),"")</f>
        <v/>
      </c>
      <c r="C2105" s="8">
        <f>IFERROR(VLOOKUP($A2105,'01-原始价格'!$A:$M,8,FALSE),"")</f>
        <v/>
      </c>
      <c r="D2105" s="10">
        <f>IFERROR(B2105/C2105,"")</f>
        <v/>
      </c>
      <c r="E2105" s="10">
        <f>IFERROR(C2105/B2105,"")</f>
        <v/>
      </c>
      <c r="F2105" s="11">
        <f>IFERROR((D2105/D2104-1)*100,"")</f>
        <v/>
      </c>
      <c r="G2105" s="11">
        <f>IFERROR((COUNTIF($D$1854:$D$2105,"&lt;"&amp;D2105)+0.5*COUNTIF($D$1854:$D$2105,D2105))/COUNT($D$1854:$D$2105)*100,"")</f>
        <v/>
      </c>
      <c r="H2105" s="10">
        <f>IFERROR(AVERAGE($D$1854:$D$2105),"")</f>
        <v/>
      </c>
      <c r="I2105" s="10" t="n">
        <v>-1.060321450760694</v>
      </c>
      <c r="J2105" t="inlineStr"/>
      <c r="K2105" t="inlineStr"/>
    </row>
    <row r="2106">
      <c r="A2106" s="7" t="inlineStr">
        <is>
          <t>2022-10-21</t>
        </is>
      </c>
      <c r="B2106" s="8">
        <f>IFERROR(VLOOKUP($A2106,'01-原始价格'!$A:$M,2,FALSE),"")</f>
        <v/>
      </c>
      <c r="C2106" s="8">
        <f>IFERROR(VLOOKUP($A2106,'01-原始价格'!$A:$M,8,FALSE),"")</f>
        <v/>
      </c>
      <c r="D2106" s="10">
        <f>IFERROR(B2106/C2106,"")</f>
        <v/>
      </c>
      <c r="E2106" s="10">
        <f>IFERROR(C2106/B2106,"")</f>
        <v/>
      </c>
      <c r="F2106" s="11">
        <f>IFERROR((D2106/D2105-1)*100,"")</f>
        <v/>
      </c>
      <c r="G2106" s="11">
        <f>IFERROR((COUNTIF($D$1855:$D$2106,"&lt;"&amp;D2106)+0.5*COUNTIF($D$1855:$D$2106,D2106))/COUNT($D$1855:$D$2106)*100,"")</f>
        <v/>
      </c>
      <c r="H2106" s="10">
        <f>IFERROR(AVERAGE($D$1855:$D$2106),"")</f>
        <v/>
      </c>
      <c r="I2106" s="10" t="n">
        <v>-1.183452693837955</v>
      </c>
      <c r="J2106" t="inlineStr"/>
      <c r="K2106" t="inlineStr"/>
    </row>
    <row r="2107">
      <c r="A2107" s="7" t="inlineStr">
        <is>
          <t>2022-10-24</t>
        </is>
      </c>
      <c r="B2107" s="8">
        <f>IFERROR(VLOOKUP($A2107,'01-原始价格'!$A:$M,2,FALSE),"")</f>
        <v/>
      </c>
      <c r="C2107" s="8">
        <f>IFERROR(VLOOKUP($A2107,'01-原始价格'!$A:$M,8,FALSE),"")</f>
        <v/>
      </c>
      <c r="D2107" s="10">
        <f>IFERROR(B2107/C2107,"")</f>
        <v/>
      </c>
      <c r="E2107" s="10">
        <f>IFERROR(C2107/B2107,"")</f>
        <v/>
      </c>
      <c r="F2107" s="11">
        <f>IFERROR((D2107/D2106-1)*100,"")</f>
        <v/>
      </c>
      <c r="G2107" s="11">
        <f>IFERROR((COUNTIF($D$1856:$D$2107,"&lt;"&amp;D2107)+0.5*COUNTIF($D$1856:$D$2107,D2107))/COUNT($D$1856:$D$2107)*100,"")</f>
        <v/>
      </c>
      <c r="H2107" s="10">
        <f>IFERROR(AVERAGE($D$1856:$D$2107),"")</f>
        <v/>
      </c>
      <c r="I2107" s="10" t="n">
        <v>-1.261777763836992</v>
      </c>
      <c r="J2107" t="inlineStr"/>
      <c r="K2107" t="inlineStr"/>
    </row>
    <row r="2108">
      <c r="A2108" s="7" t="inlineStr">
        <is>
          <t>2022-10-25</t>
        </is>
      </c>
      <c r="B2108" s="8">
        <f>IFERROR(VLOOKUP($A2108,'01-原始价格'!$A:$M,2,FALSE),"")</f>
        <v/>
      </c>
      <c r="C2108" s="8">
        <f>IFERROR(VLOOKUP($A2108,'01-原始价格'!$A:$M,8,FALSE),"")</f>
        <v/>
      </c>
      <c r="D2108" s="10">
        <f>IFERROR(B2108/C2108,"")</f>
        <v/>
      </c>
      <c r="E2108" s="10">
        <f>IFERROR(C2108/B2108,"")</f>
        <v/>
      </c>
      <c r="F2108" s="11">
        <f>IFERROR((D2108/D2107-1)*100,"")</f>
        <v/>
      </c>
      <c r="G2108" s="11">
        <f>IFERROR((COUNTIF($D$1857:$D$2108,"&lt;"&amp;D2108)+0.5*COUNTIF($D$1857:$D$2108,D2108))/COUNT($D$1857:$D$2108)*100,"")</f>
        <v/>
      </c>
      <c r="H2108" s="10">
        <f>IFERROR(AVERAGE($D$1857:$D$2108),"")</f>
        <v/>
      </c>
      <c r="I2108" s="10" t="n">
        <v>-1.155998823332774</v>
      </c>
      <c r="J2108" t="inlineStr"/>
      <c r="K2108" t="inlineStr"/>
    </row>
    <row r="2109">
      <c r="A2109" s="7" t="inlineStr">
        <is>
          <t>2022-10-26</t>
        </is>
      </c>
      <c r="B2109" s="8">
        <f>IFERROR(VLOOKUP($A2109,'01-原始价格'!$A:$M,2,FALSE),"")</f>
        <v/>
      </c>
      <c r="C2109" s="8">
        <f>IFERROR(VLOOKUP($A2109,'01-原始价格'!$A:$M,8,FALSE),"")</f>
        <v/>
      </c>
      <c r="D2109" s="10">
        <f>IFERROR(B2109/C2109,"")</f>
        <v/>
      </c>
      <c r="E2109" s="10">
        <f>IFERROR(C2109/B2109,"")</f>
        <v/>
      </c>
      <c r="F2109" s="11">
        <f>IFERROR((D2109/D2108-1)*100,"")</f>
        <v/>
      </c>
      <c r="G2109" s="11">
        <f>IFERROR((COUNTIF($D$1858:$D$2109,"&lt;"&amp;D2109)+0.5*COUNTIF($D$1858:$D$2109,D2109))/COUNT($D$1858:$D$2109)*100,"")</f>
        <v/>
      </c>
      <c r="H2109" s="10">
        <f>IFERROR(AVERAGE($D$1858:$D$2109),"")</f>
        <v/>
      </c>
      <c r="I2109" s="10" t="n">
        <v>-1.129122876282344</v>
      </c>
      <c r="J2109" t="inlineStr"/>
      <c r="K2109" t="inlineStr"/>
    </row>
    <row r="2110">
      <c r="A2110" s="7" t="inlineStr">
        <is>
          <t>2022-10-27</t>
        </is>
      </c>
      <c r="B2110" s="8">
        <f>IFERROR(VLOOKUP($A2110,'01-原始价格'!$A:$M,2,FALSE),"")</f>
        <v/>
      </c>
      <c r="C2110" s="8">
        <f>IFERROR(VLOOKUP($A2110,'01-原始价格'!$A:$M,8,FALSE),"")</f>
        <v/>
      </c>
      <c r="D2110" s="10">
        <f>IFERROR(B2110/C2110,"")</f>
        <v/>
      </c>
      <c r="E2110" s="10">
        <f>IFERROR(C2110/B2110,"")</f>
        <v/>
      </c>
      <c r="F2110" s="11">
        <f>IFERROR((D2110/D2109-1)*100,"")</f>
        <v/>
      </c>
      <c r="G2110" s="11">
        <f>IFERROR((COUNTIF($D$1859:$D$2110,"&lt;"&amp;D2110)+0.5*COUNTIF($D$1859:$D$2110,D2110))/COUNT($D$1859:$D$2110)*100,"")</f>
        <v/>
      </c>
      <c r="H2110" s="10">
        <f>IFERROR(AVERAGE($D$1859:$D$2110),"")</f>
        <v/>
      </c>
      <c r="I2110" s="10" t="n">
        <v>-1.323033544221027</v>
      </c>
      <c r="J2110" t="inlineStr"/>
      <c r="K2110" t="inlineStr"/>
    </row>
    <row r="2111">
      <c r="A2111" s="7" t="inlineStr">
        <is>
          <t>2022-10-28</t>
        </is>
      </c>
      <c r="B2111" s="8">
        <f>IFERROR(VLOOKUP($A2111,'01-原始价格'!$A:$M,2,FALSE),"")</f>
        <v/>
      </c>
      <c r="C2111" s="8">
        <f>IFERROR(VLOOKUP($A2111,'01-原始价格'!$A:$M,8,FALSE),"")</f>
        <v/>
      </c>
      <c r="D2111" s="10">
        <f>IFERROR(B2111/C2111,"")</f>
        <v/>
      </c>
      <c r="E2111" s="10">
        <f>IFERROR(C2111/B2111,"")</f>
        <v/>
      </c>
      <c r="F2111" s="11">
        <f>IFERROR((D2111/D2110-1)*100,"")</f>
        <v/>
      </c>
      <c r="G2111" s="11">
        <f>IFERROR((COUNTIF($D$1860:$D$2111,"&lt;"&amp;D2111)+0.5*COUNTIF($D$1860:$D$2111,D2111))/COUNT($D$1860:$D$2111)*100,"")</f>
        <v/>
      </c>
      <c r="H2111" s="10">
        <f>IFERROR(AVERAGE($D$1860:$D$2111),"")</f>
        <v/>
      </c>
      <c r="I2111" s="10" t="n">
        <v>-0.950039968216205</v>
      </c>
      <c r="J2111" t="inlineStr"/>
      <c r="K2111" t="inlineStr"/>
    </row>
    <row r="2112">
      <c r="A2112" s="7" t="inlineStr">
        <is>
          <t>2022-10-31</t>
        </is>
      </c>
      <c r="B2112" s="8">
        <f>IFERROR(VLOOKUP($A2112,'01-原始价格'!$A:$M,2,FALSE),"")</f>
        <v/>
      </c>
      <c r="C2112" s="8">
        <f>IFERROR(VLOOKUP($A2112,'01-原始价格'!$A:$M,8,FALSE),"")</f>
        <v/>
      </c>
      <c r="D2112" s="10">
        <f>IFERROR(B2112/C2112,"")</f>
        <v/>
      </c>
      <c r="E2112" s="10">
        <f>IFERROR(C2112/B2112,"")</f>
        <v/>
      </c>
      <c r="F2112" s="11">
        <f>IFERROR((D2112/D2111-1)*100,"")</f>
        <v/>
      </c>
      <c r="G2112" s="11">
        <f>IFERROR((COUNTIF($D$1861:$D$2112,"&lt;"&amp;D2112)+0.5*COUNTIF($D$1861:$D$2112,D2112))/COUNT($D$1861:$D$2112)*100,"")</f>
        <v/>
      </c>
      <c r="H2112" s="10">
        <f>IFERROR(AVERAGE($D$1861:$D$2112),"")</f>
        <v/>
      </c>
      <c r="I2112" s="10" t="n">
        <v>-1.177047493304011</v>
      </c>
      <c r="J2112" t="inlineStr"/>
      <c r="K2112" t="inlineStr"/>
    </row>
    <row r="2113">
      <c r="A2113" s="7" t="inlineStr">
        <is>
          <t>2022-11-01</t>
        </is>
      </c>
      <c r="B2113" s="8">
        <f>IFERROR(VLOOKUP($A2113,'01-原始价格'!$A:$M,2,FALSE),"")</f>
        <v/>
      </c>
      <c r="C2113" s="8">
        <f>IFERROR(VLOOKUP($A2113,'01-原始价格'!$A:$M,8,FALSE),"")</f>
        <v/>
      </c>
      <c r="D2113" s="10">
        <f>IFERROR(B2113/C2113,"")</f>
        <v/>
      </c>
      <c r="E2113" s="10">
        <f>IFERROR(C2113/B2113,"")</f>
        <v/>
      </c>
      <c r="F2113" s="11">
        <f>IFERROR((D2113/D2112-1)*100,"")</f>
        <v/>
      </c>
      <c r="G2113" s="11">
        <f>IFERROR((COUNTIF($D$1862:$D$2113,"&lt;"&amp;D2113)+0.5*COUNTIF($D$1862:$D$2113,D2113))/COUNT($D$1862:$D$2113)*100,"")</f>
        <v/>
      </c>
      <c r="H2113" s="10">
        <f>IFERROR(AVERAGE($D$1862:$D$2113),"")</f>
        <v/>
      </c>
      <c r="I2113" s="10" t="n">
        <v>-1.075091571178361</v>
      </c>
      <c r="J2113" t="inlineStr"/>
      <c r="K2113" t="inlineStr"/>
    </row>
    <row r="2114">
      <c r="A2114" s="7" t="inlineStr">
        <is>
          <t>2022-11-02</t>
        </is>
      </c>
      <c r="B2114" s="8">
        <f>IFERROR(VLOOKUP($A2114,'01-原始价格'!$A:$M,2,FALSE),"")</f>
        <v/>
      </c>
      <c r="C2114" s="8">
        <f>IFERROR(VLOOKUP($A2114,'01-原始价格'!$A:$M,8,FALSE),"")</f>
        <v/>
      </c>
      <c r="D2114" s="10">
        <f>IFERROR(B2114/C2114,"")</f>
        <v/>
      </c>
      <c r="E2114" s="10">
        <f>IFERROR(C2114/B2114,"")</f>
        <v/>
      </c>
      <c r="F2114" s="11">
        <f>IFERROR((D2114/D2113-1)*100,"")</f>
        <v/>
      </c>
      <c r="G2114" s="11">
        <f>IFERROR((COUNTIF($D$1863:$D$2114,"&lt;"&amp;D2114)+0.5*COUNTIF($D$1863:$D$2114,D2114))/COUNT($D$1863:$D$2114)*100,"")</f>
        <v/>
      </c>
      <c r="H2114" s="10">
        <f>IFERROR(AVERAGE($D$1863:$D$2114),"")</f>
        <v/>
      </c>
      <c r="I2114" s="10" t="n">
        <v>-1.046033587308412</v>
      </c>
      <c r="J2114" t="inlineStr"/>
      <c r="K2114" t="inlineStr"/>
    </row>
    <row r="2115">
      <c r="A2115" s="7" t="inlineStr">
        <is>
          <t>2022-11-03</t>
        </is>
      </c>
      <c r="B2115" s="8">
        <f>IFERROR(VLOOKUP($A2115,'01-原始价格'!$A:$M,2,FALSE),"")</f>
        <v/>
      </c>
      <c r="C2115" s="8">
        <f>IFERROR(VLOOKUP($A2115,'01-原始价格'!$A:$M,8,FALSE),"")</f>
        <v/>
      </c>
      <c r="D2115" s="10">
        <f>IFERROR(B2115/C2115,"")</f>
        <v/>
      </c>
      <c r="E2115" s="10">
        <f>IFERROR(C2115/B2115,"")</f>
        <v/>
      </c>
      <c r="F2115" s="11">
        <f>IFERROR((D2115/D2114-1)*100,"")</f>
        <v/>
      </c>
      <c r="G2115" s="11">
        <f>IFERROR((COUNTIF($D$1864:$D$2115,"&lt;"&amp;D2115)+0.5*COUNTIF($D$1864:$D$2115,D2115))/COUNT($D$1864:$D$2115)*100,"")</f>
        <v/>
      </c>
      <c r="H2115" s="10">
        <f>IFERROR(AVERAGE($D$1864:$D$2115),"")</f>
        <v/>
      </c>
      <c r="I2115" s="10" t="n">
        <v>-0.9912037040384055</v>
      </c>
      <c r="J2115" t="inlineStr"/>
      <c r="K2115" t="inlineStr"/>
    </row>
    <row r="2116">
      <c r="A2116" s="7" t="inlineStr">
        <is>
          <t>2022-11-04</t>
        </is>
      </c>
      <c r="B2116" s="8">
        <f>IFERROR(VLOOKUP($A2116,'01-原始价格'!$A:$M,2,FALSE),"")</f>
        <v/>
      </c>
      <c r="C2116" s="8">
        <f>IFERROR(VLOOKUP($A2116,'01-原始价格'!$A:$M,8,FALSE),"")</f>
        <v/>
      </c>
      <c r="D2116" s="10">
        <f>IFERROR(B2116/C2116,"")</f>
        <v/>
      </c>
      <c r="E2116" s="10">
        <f>IFERROR(C2116/B2116,"")</f>
        <v/>
      </c>
      <c r="F2116" s="11">
        <f>IFERROR((D2116/D2115-1)*100,"")</f>
        <v/>
      </c>
      <c r="G2116" s="11">
        <f>IFERROR((COUNTIF($D$1865:$D$2116,"&lt;"&amp;D2116)+0.5*COUNTIF($D$1865:$D$2116,D2116))/COUNT($D$1865:$D$2116)*100,"")</f>
        <v/>
      </c>
      <c r="H2116" s="10">
        <f>IFERROR(AVERAGE($D$1865:$D$2116),"")</f>
        <v/>
      </c>
      <c r="I2116" s="10" t="n">
        <v>-1.140751882648552</v>
      </c>
      <c r="J2116" t="inlineStr"/>
      <c r="K2116" t="inlineStr"/>
    </row>
    <row r="2117">
      <c r="A2117" s="7" t="inlineStr">
        <is>
          <t>2022-11-07</t>
        </is>
      </c>
      <c r="B2117" s="8">
        <f>IFERROR(VLOOKUP($A2117,'01-原始价格'!$A:$M,2,FALSE),"")</f>
        <v/>
      </c>
      <c r="C2117" s="8">
        <f>IFERROR(VLOOKUP($A2117,'01-原始价格'!$A:$M,8,FALSE),"")</f>
        <v/>
      </c>
      <c r="D2117" s="10">
        <f>IFERROR(B2117/C2117,"")</f>
        <v/>
      </c>
      <c r="E2117" s="10">
        <f>IFERROR(C2117/B2117,"")</f>
        <v/>
      </c>
      <c r="F2117" s="11">
        <f>IFERROR((D2117/D2116-1)*100,"")</f>
        <v/>
      </c>
      <c r="G2117" s="11">
        <f>IFERROR((COUNTIF($D$1866:$D$2117,"&lt;"&amp;D2117)+0.5*COUNTIF($D$1866:$D$2117,D2117))/COUNT($D$1866:$D$2117)*100,"")</f>
        <v/>
      </c>
      <c r="H2117" s="10">
        <f>IFERROR(AVERAGE($D$1866:$D$2117),"")</f>
        <v/>
      </c>
      <c r="I2117" s="10" t="n">
        <v>-1.195764101017489</v>
      </c>
      <c r="J2117" t="inlineStr"/>
      <c r="K2117" t="inlineStr"/>
    </row>
    <row r="2118">
      <c r="A2118" s="7" t="inlineStr">
        <is>
          <t>2022-11-08</t>
        </is>
      </c>
      <c r="B2118" s="8">
        <f>IFERROR(VLOOKUP($A2118,'01-原始价格'!$A:$M,2,FALSE),"")</f>
        <v/>
      </c>
      <c r="C2118" s="8">
        <f>IFERROR(VLOOKUP($A2118,'01-原始价格'!$A:$M,8,FALSE),"")</f>
        <v/>
      </c>
      <c r="D2118" s="10">
        <f>IFERROR(B2118/C2118,"")</f>
        <v/>
      </c>
      <c r="E2118" s="10">
        <f>IFERROR(C2118/B2118,"")</f>
        <v/>
      </c>
      <c r="F2118" s="11">
        <f>IFERROR((D2118/D2117-1)*100,"")</f>
        <v/>
      </c>
      <c r="G2118" s="11">
        <f>IFERROR((COUNTIF($D$1867:$D$2118,"&lt;"&amp;D2118)+0.5*COUNTIF($D$1867:$D$2118,D2118))/COUNT($D$1867:$D$2118)*100,"")</f>
        <v/>
      </c>
      <c r="H2118" s="10">
        <f>IFERROR(AVERAGE($D$1867:$D$2118),"")</f>
        <v/>
      </c>
      <c r="I2118" s="10" t="n">
        <v>-0.9517251946672467</v>
      </c>
      <c r="J2118" t="inlineStr"/>
      <c r="K2118" t="inlineStr"/>
    </row>
    <row r="2119">
      <c r="A2119" s="7" t="inlineStr">
        <is>
          <t>2022-11-09</t>
        </is>
      </c>
      <c r="B2119" s="8">
        <f>IFERROR(VLOOKUP($A2119,'01-原始价格'!$A:$M,2,FALSE),"")</f>
        <v/>
      </c>
      <c r="C2119" s="8">
        <f>IFERROR(VLOOKUP($A2119,'01-原始价格'!$A:$M,8,FALSE),"")</f>
        <v/>
      </c>
      <c r="D2119" s="10">
        <f>IFERROR(B2119/C2119,"")</f>
        <v/>
      </c>
      <c r="E2119" s="10">
        <f>IFERROR(C2119/B2119,"")</f>
        <v/>
      </c>
      <c r="F2119" s="11">
        <f>IFERROR((D2119/D2118-1)*100,"")</f>
        <v/>
      </c>
      <c r="G2119" s="11">
        <f>IFERROR((COUNTIF($D$1868:$D$2119,"&lt;"&amp;D2119)+0.5*COUNTIF($D$1868:$D$2119,D2119))/COUNT($D$1868:$D$2119)*100,"")</f>
        <v/>
      </c>
      <c r="H2119" s="10">
        <f>IFERROR(AVERAGE($D$1868:$D$2119),"")</f>
        <v/>
      </c>
      <c r="I2119" s="10" t="n">
        <v>-0.737332933157366</v>
      </c>
      <c r="J2119" t="inlineStr"/>
      <c r="K2119" t="inlineStr"/>
    </row>
    <row r="2120">
      <c r="A2120" s="7" t="inlineStr">
        <is>
          <t>2022-11-10</t>
        </is>
      </c>
      <c r="B2120" s="8">
        <f>IFERROR(VLOOKUP($A2120,'01-原始价格'!$A:$M,2,FALSE),"")</f>
        <v/>
      </c>
      <c r="C2120" s="8">
        <f>IFERROR(VLOOKUP($A2120,'01-原始价格'!$A:$M,8,FALSE),"")</f>
        <v/>
      </c>
      <c r="D2120" s="10">
        <f>IFERROR(B2120/C2120,"")</f>
        <v/>
      </c>
      <c r="E2120" s="10">
        <f>IFERROR(C2120/B2120,"")</f>
        <v/>
      </c>
      <c r="F2120" s="11">
        <f>IFERROR((D2120/D2119-1)*100,"")</f>
        <v/>
      </c>
      <c r="G2120" s="11">
        <f>IFERROR((COUNTIF($D$1869:$D$2120,"&lt;"&amp;D2120)+0.5*COUNTIF($D$1869:$D$2120,D2120))/COUNT($D$1869:$D$2120)*100,"")</f>
        <v/>
      </c>
      <c r="H2120" s="10">
        <f>IFERROR(AVERAGE($D$1869:$D$2120),"")</f>
        <v/>
      </c>
      <c r="I2120" s="10" t="n">
        <v>-0.4211765231784084</v>
      </c>
      <c r="J2120" t="inlineStr"/>
      <c r="K2120" t="inlineStr"/>
    </row>
    <row r="2121">
      <c r="A2121" s="7" t="inlineStr">
        <is>
          <t>2022-11-11</t>
        </is>
      </c>
      <c r="B2121" s="8">
        <f>IFERROR(VLOOKUP($A2121,'01-原始价格'!$A:$M,2,FALSE),"")</f>
        <v/>
      </c>
      <c r="C2121" s="8">
        <f>IFERROR(VLOOKUP($A2121,'01-原始价格'!$A:$M,8,FALSE),"")</f>
        <v/>
      </c>
      <c r="D2121" s="10">
        <f>IFERROR(B2121/C2121,"")</f>
        <v/>
      </c>
      <c r="E2121" s="10">
        <f>IFERROR(C2121/B2121,"")</f>
        <v/>
      </c>
      <c r="F2121" s="11">
        <f>IFERROR((D2121/D2120-1)*100,"")</f>
        <v/>
      </c>
      <c r="G2121" s="11">
        <f>IFERROR((COUNTIF($D$1870:$D$2121,"&lt;"&amp;D2121)+0.5*COUNTIF($D$1870:$D$2121,D2121))/COUNT($D$1870:$D$2121)*100,"")</f>
        <v/>
      </c>
      <c r="H2121" s="10">
        <f>IFERROR(AVERAGE($D$1870:$D$2121),"")</f>
        <v/>
      </c>
      <c r="I2121" s="10" t="n">
        <v>-0.2369568973711132</v>
      </c>
      <c r="J2121" t="inlineStr"/>
      <c r="K2121" t="inlineStr"/>
    </row>
    <row r="2122">
      <c r="A2122" s="7" t="inlineStr">
        <is>
          <t>2022-11-14</t>
        </is>
      </c>
      <c r="B2122" s="8">
        <f>IFERROR(VLOOKUP($A2122,'01-原始价格'!$A:$M,2,FALSE),"")</f>
        <v/>
      </c>
      <c r="C2122" s="8">
        <f>IFERROR(VLOOKUP($A2122,'01-原始价格'!$A:$M,8,FALSE),"")</f>
        <v/>
      </c>
      <c r="D2122" s="10">
        <f>IFERROR(B2122/C2122,"")</f>
        <v/>
      </c>
      <c r="E2122" s="10">
        <f>IFERROR(C2122/B2122,"")</f>
        <v/>
      </c>
      <c r="F2122" s="11">
        <f>IFERROR((D2122/D2121-1)*100,"")</f>
        <v/>
      </c>
      <c r="G2122" s="11">
        <f>IFERROR((COUNTIF($D$1871:$D$2122,"&lt;"&amp;D2122)+0.5*COUNTIF($D$1871:$D$2122,D2122))/COUNT($D$1871:$D$2122)*100,"")</f>
        <v/>
      </c>
      <c r="H2122" s="10">
        <f>IFERROR(AVERAGE($D$1871:$D$2122),"")</f>
        <v/>
      </c>
      <c r="I2122" s="10" t="n">
        <v>-0.2954229961340227</v>
      </c>
      <c r="J2122" t="inlineStr"/>
      <c r="K2122" t="inlineStr"/>
    </row>
    <row r="2123">
      <c r="A2123" s="7" t="inlineStr">
        <is>
          <t>2022-11-15</t>
        </is>
      </c>
      <c r="B2123" s="8">
        <f>IFERROR(VLOOKUP($A2123,'01-原始价格'!$A:$M,2,FALSE),"")</f>
        <v/>
      </c>
      <c r="C2123" s="8">
        <f>IFERROR(VLOOKUP($A2123,'01-原始价格'!$A:$M,8,FALSE),"")</f>
        <v/>
      </c>
      <c r="D2123" s="10">
        <f>IFERROR(B2123/C2123,"")</f>
        <v/>
      </c>
      <c r="E2123" s="10">
        <f>IFERROR(C2123/B2123,"")</f>
        <v/>
      </c>
      <c r="F2123" s="11">
        <f>IFERROR((D2123/D2122-1)*100,"")</f>
        <v/>
      </c>
      <c r="G2123" s="11">
        <f>IFERROR((COUNTIF($D$1872:$D$2123,"&lt;"&amp;D2123)+0.5*COUNTIF($D$1872:$D$2123,D2123))/COUNT($D$1872:$D$2123)*100,"")</f>
        <v/>
      </c>
      <c r="H2123" s="10">
        <f>IFERROR(AVERAGE($D$1872:$D$2123),"")</f>
        <v/>
      </c>
      <c r="I2123" s="10" t="n">
        <v>-0.5033236635992008</v>
      </c>
      <c r="J2123" t="inlineStr"/>
      <c r="K2123" t="inlineStr"/>
    </row>
    <row r="2124">
      <c r="A2124" s="7" t="inlineStr">
        <is>
          <t>2022-11-16</t>
        </is>
      </c>
      <c r="B2124" s="8">
        <f>IFERROR(VLOOKUP($A2124,'01-原始价格'!$A:$M,2,FALSE),"")</f>
        <v/>
      </c>
      <c r="C2124" s="8">
        <f>IFERROR(VLOOKUP($A2124,'01-原始价格'!$A:$M,8,FALSE),"")</f>
        <v/>
      </c>
      <c r="D2124" s="10">
        <f>IFERROR(B2124/C2124,"")</f>
        <v/>
      </c>
      <c r="E2124" s="10">
        <f>IFERROR(C2124/B2124,"")</f>
        <v/>
      </c>
      <c r="F2124" s="11">
        <f>IFERROR((D2124/D2123-1)*100,"")</f>
        <v/>
      </c>
      <c r="G2124" s="11">
        <f>IFERROR((COUNTIF($D$1873:$D$2124,"&lt;"&amp;D2124)+0.5*COUNTIF($D$1873:$D$2124,D2124))/COUNT($D$1873:$D$2124)*100,"")</f>
        <v/>
      </c>
      <c r="H2124" s="10">
        <f>IFERROR(AVERAGE($D$1873:$D$2124),"")</f>
        <v/>
      </c>
      <c r="I2124" s="10" t="n">
        <v>-0.7766146214920284</v>
      </c>
      <c r="J2124" t="inlineStr"/>
      <c r="K2124" t="inlineStr"/>
    </row>
    <row r="2125">
      <c r="A2125" s="7" t="inlineStr">
        <is>
          <t>2022-11-17</t>
        </is>
      </c>
      <c r="B2125" s="8">
        <f>IFERROR(VLOOKUP($A2125,'01-原始价格'!$A:$M,2,FALSE),"")</f>
        <v/>
      </c>
      <c r="C2125" s="8">
        <f>IFERROR(VLOOKUP($A2125,'01-原始价格'!$A:$M,8,FALSE),"")</f>
        <v/>
      </c>
      <c r="D2125" s="10">
        <f>IFERROR(B2125/C2125,"")</f>
        <v/>
      </c>
      <c r="E2125" s="10">
        <f>IFERROR(C2125/B2125,"")</f>
        <v/>
      </c>
      <c r="F2125" s="11">
        <f>IFERROR((D2125/D2124-1)*100,"")</f>
        <v/>
      </c>
      <c r="G2125" s="11">
        <f>IFERROR((COUNTIF($D$1874:$D$2125,"&lt;"&amp;D2125)+0.5*COUNTIF($D$1874:$D$2125,D2125))/COUNT($D$1874:$D$2125)*100,"")</f>
        <v/>
      </c>
      <c r="H2125" s="10">
        <f>IFERROR(AVERAGE($D$1874:$D$2125),"")</f>
        <v/>
      </c>
      <c r="I2125" s="10" t="n">
        <v>-0.9650401131587319</v>
      </c>
      <c r="J2125" t="inlineStr"/>
      <c r="K2125" t="inlineStr"/>
    </row>
    <row r="2126">
      <c r="A2126" s="7" t="inlineStr">
        <is>
          <t>2022-11-18</t>
        </is>
      </c>
      <c r="B2126" s="8">
        <f>IFERROR(VLOOKUP($A2126,'01-原始价格'!$A:$M,2,FALSE),"")</f>
        <v/>
      </c>
      <c r="C2126" s="8">
        <f>IFERROR(VLOOKUP($A2126,'01-原始价格'!$A:$M,8,FALSE),"")</f>
        <v/>
      </c>
      <c r="D2126" s="10">
        <f>IFERROR(B2126/C2126,"")</f>
        <v/>
      </c>
      <c r="E2126" s="10">
        <f>IFERROR(C2126/B2126,"")</f>
        <v/>
      </c>
      <c r="F2126" s="11">
        <f>IFERROR((D2126/D2125-1)*100,"")</f>
        <v/>
      </c>
      <c r="G2126" s="11">
        <f>IFERROR((COUNTIF($D$1875:$D$2126,"&lt;"&amp;D2126)+0.5*COUNTIF($D$1875:$D$2126,D2126))/COUNT($D$1875:$D$2126)*100,"")</f>
        <v/>
      </c>
      <c r="H2126" s="10">
        <f>IFERROR(AVERAGE($D$1875:$D$2126),"")</f>
        <v/>
      </c>
      <c r="I2126" s="10" t="n">
        <v>-1.258237758394219</v>
      </c>
      <c r="J2126" t="inlineStr"/>
      <c r="K2126" t="inlineStr"/>
    </row>
    <row r="2127">
      <c r="A2127" s="7" t="inlineStr">
        <is>
          <t>2022-11-21</t>
        </is>
      </c>
      <c r="B2127" s="8">
        <f>IFERROR(VLOOKUP($A2127,'01-原始价格'!$A:$M,2,FALSE),"")</f>
        <v/>
      </c>
      <c r="C2127" s="8">
        <f>IFERROR(VLOOKUP($A2127,'01-原始价格'!$A:$M,8,FALSE),"")</f>
        <v/>
      </c>
      <c r="D2127" s="10">
        <f>IFERROR(B2127/C2127,"")</f>
        <v/>
      </c>
      <c r="E2127" s="10">
        <f>IFERROR(C2127/B2127,"")</f>
        <v/>
      </c>
      <c r="F2127" s="11">
        <f>IFERROR((D2127/D2126-1)*100,"")</f>
        <v/>
      </c>
      <c r="G2127" s="11">
        <f>IFERROR((COUNTIF($D$1876:$D$2127,"&lt;"&amp;D2127)+0.5*COUNTIF($D$1876:$D$2127,D2127))/COUNT($D$1876:$D$2127)*100,"")</f>
        <v/>
      </c>
      <c r="H2127" s="10">
        <f>IFERROR(AVERAGE($D$1876:$D$2127),"")</f>
        <v/>
      </c>
      <c r="I2127" s="10" t="n">
        <v>-1.154094417476009</v>
      </c>
      <c r="J2127" t="inlineStr"/>
      <c r="K2127" t="inlineStr"/>
    </row>
    <row r="2128">
      <c r="A2128" s="7" t="inlineStr">
        <is>
          <t>2022-11-22</t>
        </is>
      </c>
      <c r="B2128" s="8">
        <f>IFERROR(VLOOKUP($A2128,'01-原始价格'!$A:$M,2,FALSE),"")</f>
        <v/>
      </c>
      <c r="C2128" s="8">
        <f>IFERROR(VLOOKUP($A2128,'01-原始价格'!$A:$M,8,FALSE),"")</f>
        <v/>
      </c>
      <c r="D2128" s="10">
        <f>IFERROR(B2128/C2128,"")</f>
        <v/>
      </c>
      <c r="E2128" s="10">
        <f>IFERROR(C2128/B2128,"")</f>
        <v/>
      </c>
      <c r="F2128" s="11">
        <f>IFERROR((D2128/D2127-1)*100,"")</f>
        <v/>
      </c>
      <c r="G2128" s="11">
        <f>IFERROR((COUNTIF($D$1877:$D$2128,"&lt;"&amp;D2128)+0.5*COUNTIF($D$1877:$D$2128,D2128))/COUNT($D$1877:$D$2128)*100,"")</f>
        <v/>
      </c>
      <c r="H2128" s="10">
        <f>IFERROR(AVERAGE($D$1877:$D$2128),"")</f>
        <v/>
      </c>
      <c r="I2128" s="10" t="n">
        <v>-1.264753769867993</v>
      </c>
      <c r="J2128" t="inlineStr"/>
      <c r="K2128" t="inlineStr"/>
    </row>
    <row r="2129">
      <c r="A2129" s="7" t="inlineStr">
        <is>
          <t>2022-11-23</t>
        </is>
      </c>
      <c r="B2129" s="8">
        <f>IFERROR(VLOOKUP($A2129,'01-原始价格'!$A:$M,2,FALSE),"")</f>
        <v/>
      </c>
      <c r="C2129" s="8">
        <f>IFERROR(VLOOKUP($A2129,'01-原始价格'!$A:$M,8,FALSE),"")</f>
        <v/>
      </c>
      <c r="D2129" s="10">
        <f>IFERROR(B2129/C2129,"")</f>
        <v/>
      </c>
      <c r="E2129" s="10">
        <f>IFERROR(C2129/B2129,"")</f>
        <v/>
      </c>
      <c r="F2129" s="11">
        <f>IFERROR((D2129/D2128-1)*100,"")</f>
        <v/>
      </c>
      <c r="G2129" s="11">
        <f>IFERROR((COUNTIF($D$1878:$D$2129,"&lt;"&amp;D2129)+0.5*COUNTIF($D$1878:$D$2129,D2129))/COUNT($D$1878:$D$2129)*100,"")</f>
        <v/>
      </c>
      <c r="H2129" s="10">
        <f>IFERROR(AVERAGE($D$1878:$D$2129),"")</f>
        <v/>
      </c>
      <c r="I2129" s="10" t="n">
        <v>-1.772255265704445</v>
      </c>
      <c r="J2129" t="inlineStr"/>
      <c r="K2129" t="inlineStr"/>
    </row>
    <row r="2130">
      <c r="A2130" s="7" t="inlineStr">
        <is>
          <t>2022-11-24</t>
        </is>
      </c>
      <c r="B2130" s="8">
        <f>IFERROR(VLOOKUP($A2130,'01-原始价格'!$A:$M,2,FALSE),"")</f>
        <v/>
      </c>
      <c r="C2130" s="8">
        <f>IFERROR(VLOOKUP($A2130,'01-原始价格'!$A:$M,8,FALSE),"")</f>
        <v/>
      </c>
      <c r="D2130" s="10">
        <f>IFERROR(B2130/C2130,"")</f>
        <v/>
      </c>
      <c r="E2130" s="10">
        <f>IFERROR(C2130/B2130,"")</f>
        <v/>
      </c>
      <c r="F2130" s="11">
        <f>IFERROR((D2130/D2129-1)*100,"")</f>
        <v/>
      </c>
      <c r="G2130" s="11">
        <f>IFERROR((COUNTIF($D$1879:$D$2130,"&lt;"&amp;D2130)+0.5*COUNTIF($D$1879:$D$2130,D2130))/COUNT($D$1879:$D$2130)*100,"")</f>
        <v/>
      </c>
      <c r="H2130" s="10">
        <f>IFERROR(AVERAGE($D$1879:$D$2130),"")</f>
        <v/>
      </c>
      <c r="I2130" s="10" t="n">
        <v>-1.931095569276881</v>
      </c>
      <c r="J2130" t="inlineStr"/>
      <c r="K2130" t="inlineStr"/>
    </row>
    <row r="2131">
      <c r="A2131" s="7" t="inlineStr">
        <is>
          <t>2022-11-25</t>
        </is>
      </c>
      <c r="B2131" s="8">
        <f>IFERROR(VLOOKUP($A2131,'01-原始价格'!$A:$M,2,FALSE),"")</f>
        <v/>
      </c>
      <c r="C2131" s="8">
        <f>IFERROR(VLOOKUP($A2131,'01-原始价格'!$A:$M,8,FALSE),"")</f>
        <v/>
      </c>
      <c r="D2131" s="10">
        <f>IFERROR(B2131/C2131,"")</f>
        <v/>
      </c>
      <c r="E2131" s="10">
        <f>IFERROR(C2131/B2131,"")</f>
        <v/>
      </c>
      <c r="F2131" s="11">
        <f>IFERROR((D2131/D2130-1)*100,"")</f>
        <v/>
      </c>
      <c r="G2131" s="11">
        <f>IFERROR((COUNTIF($D$1880:$D$2131,"&lt;"&amp;D2131)+0.5*COUNTIF($D$1880:$D$2131,D2131))/COUNT($D$1880:$D$2131)*100,"")</f>
        <v/>
      </c>
      <c r="H2131" s="10">
        <f>IFERROR(AVERAGE($D$1880:$D$2131),"")</f>
        <v/>
      </c>
      <c r="I2131" s="10" t="n">
        <v>-1.962594736085687</v>
      </c>
      <c r="J2131" t="inlineStr"/>
      <c r="K2131" t="inlineStr"/>
    </row>
    <row r="2132">
      <c r="A2132" s="7" t="inlineStr">
        <is>
          <t>2022-11-28</t>
        </is>
      </c>
      <c r="B2132" s="8">
        <f>IFERROR(VLOOKUP($A2132,'01-原始价格'!$A:$M,2,FALSE),"")</f>
        <v/>
      </c>
      <c r="C2132" s="8">
        <f>IFERROR(VLOOKUP($A2132,'01-原始价格'!$A:$M,8,FALSE),"")</f>
        <v/>
      </c>
      <c r="D2132" s="10">
        <f>IFERROR(B2132/C2132,"")</f>
        <v/>
      </c>
      <c r="E2132" s="10">
        <f>IFERROR(C2132/B2132,"")</f>
        <v/>
      </c>
      <c r="F2132" s="11">
        <f>IFERROR((D2132/D2131-1)*100,"")</f>
        <v/>
      </c>
      <c r="G2132" s="11">
        <f>IFERROR((COUNTIF($D$1881:$D$2132,"&lt;"&amp;D2132)+0.5*COUNTIF($D$1881:$D$2132,D2132))/COUNT($D$1881:$D$2132)*100,"")</f>
        <v/>
      </c>
      <c r="H2132" s="10">
        <f>IFERROR(AVERAGE($D$1881:$D$2132),"")</f>
        <v/>
      </c>
      <c r="I2132" s="10" t="n">
        <v>-1.316091352436179</v>
      </c>
      <c r="J2132" t="inlineStr"/>
      <c r="K2132" t="inlineStr"/>
    </row>
    <row r="2133">
      <c r="A2133" s="7" t="inlineStr">
        <is>
          <t>2022-11-29</t>
        </is>
      </c>
      <c r="B2133" s="8">
        <f>IFERROR(VLOOKUP($A2133,'01-原始价格'!$A:$M,2,FALSE),"")</f>
        <v/>
      </c>
      <c r="C2133" s="8">
        <f>IFERROR(VLOOKUP($A2133,'01-原始价格'!$A:$M,8,FALSE),"")</f>
        <v/>
      </c>
      <c r="D2133" s="10">
        <f>IFERROR(B2133/C2133,"")</f>
        <v/>
      </c>
      <c r="E2133" s="10">
        <f>IFERROR(C2133/B2133,"")</f>
        <v/>
      </c>
      <c r="F2133" s="11">
        <f>IFERROR((D2133/D2132-1)*100,"")</f>
        <v/>
      </c>
      <c r="G2133" s="11">
        <f>IFERROR((COUNTIF($D$1882:$D$2133,"&lt;"&amp;D2133)+0.5*COUNTIF($D$1882:$D$2133,D2133))/COUNT($D$1882:$D$2133)*100,"")</f>
        <v/>
      </c>
      <c r="H2133" s="10">
        <f>IFERROR(AVERAGE($D$1882:$D$2133),"")</f>
        <v/>
      </c>
      <c r="I2133" s="10" t="n">
        <v>-1.145412831174641</v>
      </c>
      <c r="J2133" t="inlineStr"/>
      <c r="K2133" t="inlineStr"/>
    </row>
    <row r="2134">
      <c r="A2134" s="7" t="inlineStr">
        <is>
          <t>2022-11-30</t>
        </is>
      </c>
      <c r="B2134" s="8">
        <f>IFERROR(VLOOKUP($A2134,'01-原始价格'!$A:$M,2,FALSE),"")</f>
        <v/>
      </c>
      <c r="C2134" s="8">
        <f>IFERROR(VLOOKUP($A2134,'01-原始价格'!$A:$M,8,FALSE),"")</f>
        <v/>
      </c>
      <c r="D2134" s="10">
        <f>IFERROR(B2134/C2134,"")</f>
        <v/>
      </c>
      <c r="E2134" s="10">
        <f>IFERROR(C2134/B2134,"")</f>
        <v/>
      </c>
      <c r="F2134" s="11">
        <f>IFERROR((D2134/D2133-1)*100,"")</f>
        <v/>
      </c>
      <c r="G2134" s="11">
        <f>IFERROR((COUNTIF($D$1883:$D$2134,"&lt;"&amp;D2134)+0.5*COUNTIF($D$1883:$D$2134,D2134))/COUNT($D$1883:$D$2134)*100,"")</f>
        <v/>
      </c>
      <c r="H2134" s="10">
        <f>IFERROR(AVERAGE($D$1883:$D$2134),"")</f>
        <v/>
      </c>
      <c r="I2134" s="10" t="n">
        <v>-1.560296111013789</v>
      </c>
      <c r="J2134" t="inlineStr"/>
      <c r="K2134" t="inlineStr"/>
    </row>
    <row r="2135">
      <c r="A2135" s="7" t="inlineStr">
        <is>
          <t>2022-12-01</t>
        </is>
      </c>
      <c r="B2135" s="8">
        <f>IFERROR(VLOOKUP($A2135,'01-原始价格'!$A:$M,2,FALSE),"")</f>
        <v/>
      </c>
      <c r="C2135" s="8">
        <f>IFERROR(VLOOKUP($A2135,'01-原始价格'!$A:$M,8,FALSE),"")</f>
        <v/>
      </c>
      <c r="D2135" s="10">
        <f>IFERROR(B2135/C2135,"")</f>
        <v/>
      </c>
      <c r="E2135" s="10">
        <f>IFERROR(C2135/B2135,"")</f>
        <v/>
      </c>
      <c r="F2135" s="11">
        <f>IFERROR((D2135/D2134-1)*100,"")</f>
        <v/>
      </c>
      <c r="G2135" s="11">
        <f>IFERROR((COUNTIF($D$1884:$D$2135,"&lt;"&amp;D2135)+0.5*COUNTIF($D$1884:$D$2135,D2135))/COUNT($D$1884:$D$2135)*100,"")</f>
        <v/>
      </c>
      <c r="H2135" s="10">
        <f>IFERROR(AVERAGE($D$1884:$D$2135),"")</f>
        <v/>
      </c>
      <c r="I2135" s="10" t="n">
        <v>-1.956971855011324</v>
      </c>
      <c r="J2135" t="inlineStr"/>
      <c r="K2135" t="inlineStr"/>
    </row>
    <row r="2136">
      <c r="A2136" s="7" t="inlineStr">
        <is>
          <t>2022-12-02</t>
        </is>
      </c>
      <c r="B2136" s="8">
        <f>IFERROR(VLOOKUP($A2136,'01-原始价格'!$A:$M,2,FALSE),"")</f>
        <v/>
      </c>
      <c r="C2136" s="8">
        <f>IFERROR(VLOOKUP($A2136,'01-原始价格'!$A:$M,8,FALSE),"")</f>
        <v/>
      </c>
      <c r="D2136" s="10">
        <f>IFERROR(B2136/C2136,"")</f>
        <v/>
      </c>
      <c r="E2136" s="10">
        <f>IFERROR(C2136/B2136,"")</f>
        <v/>
      </c>
      <c r="F2136" s="11">
        <f>IFERROR((D2136/D2135-1)*100,"")</f>
        <v/>
      </c>
      <c r="G2136" s="11">
        <f>IFERROR((COUNTIF($D$1885:$D$2136,"&lt;"&amp;D2136)+0.5*COUNTIF($D$1885:$D$2136,D2136))/COUNT($D$1885:$D$2136)*100,"")</f>
        <v/>
      </c>
      <c r="H2136" s="10">
        <f>IFERROR(AVERAGE($D$1885:$D$2136),"")</f>
        <v/>
      </c>
      <c r="I2136" s="10" t="n">
        <v>-1.639953059320351</v>
      </c>
      <c r="J2136" t="inlineStr"/>
      <c r="K2136" t="inlineStr"/>
    </row>
    <row r="2137">
      <c r="A2137" s="7" t="inlineStr">
        <is>
          <t>2022-12-05</t>
        </is>
      </c>
      <c r="B2137" s="8">
        <f>IFERROR(VLOOKUP($A2137,'01-原始价格'!$A:$M,2,FALSE),"")</f>
        <v/>
      </c>
      <c r="C2137" s="8">
        <f>IFERROR(VLOOKUP($A2137,'01-原始价格'!$A:$M,8,FALSE),"")</f>
        <v/>
      </c>
      <c r="D2137" s="10">
        <f>IFERROR(B2137/C2137,"")</f>
        <v/>
      </c>
      <c r="E2137" s="10">
        <f>IFERROR(C2137/B2137,"")</f>
        <v/>
      </c>
      <c r="F2137" s="11">
        <f>IFERROR((D2137/D2136-1)*100,"")</f>
        <v/>
      </c>
      <c r="G2137" s="11">
        <f>IFERROR((COUNTIF($D$1886:$D$2137,"&lt;"&amp;D2137)+0.5*COUNTIF($D$1886:$D$2137,D2137))/COUNT($D$1886:$D$2137)*100,"")</f>
        <v/>
      </c>
      <c r="H2137" s="10">
        <f>IFERROR(AVERAGE($D$1886:$D$2137),"")</f>
        <v/>
      </c>
      <c r="I2137" s="10" t="n">
        <v>-1.730385040685525</v>
      </c>
      <c r="J2137" t="inlineStr"/>
      <c r="K2137" t="inlineStr"/>
    </row>
    <row r="2138">
      <c r="A2138" s="7" t="inlineStr">
        <is>
          <t>2022-12-06</t>
        </is>
      </c>
      <c r="B2138" s="8">
        <f>IFERROR(VLOOKUP($A2138,'01-原始价格'!$A:$M,2,FALSE),"")</f>
        <v/>
      </c>
      <c r="C2138" s="8">
        <f>IFERROR(VLOOKUP($A2138,'01-原始价格'!$A:$M,8,FALSE),"")</f>
        <v/>
      </c>
      <c r="D2138" s="10">
        <f>IFERROR(B2138/C2138,"")</f>
        <v/>
      </c>
      <c r="E2138" s="10">
        <f>IFERROR(C2138/B2138,"")</f>
        <v/>
      </c>
      <c r="F2138" s="11">
        <f>IFERROR((D2138/D2137-1)*100,"")</f>
        <v/>
      </c>
      <c r="G2138" s="11">
        <f>IFERROR((COUNTIF($D$1887:$D$2138,"&lt;"&amp;D2138)+0.5*COUNTIF($D$1887:$D$2138,D2138))/COUNT($D$1887:$D$2138)*100,"")</f>
        <v/>
      </c>
      <c r="H2138" s="10">
        <f>IFERROR(AVERAGE($D$1887:$D$2138),"")</f>
        <v/>
      </c>
      <c r="I2138" s="10" t="n">
        <v>-1.792738622945654</v>
      </c>
      <c r="J2138" t="inlineStr"/>
      <c r="K2138" t="inlineStr"/>
    </row>
    <row r="2139">
      <c r="A2139" s="7" t="inlineStr">
        <is>
          <t>2022-12-07</t>
        </is>
      </c>
      <c r="B2139" s="8">
        <f>IFERROR(VLOOKUP($A2139,'01-原始价格'!$A:$M,2,FALSE),"")</f>
        <v/>
      </c>
      <c r="C2139" s="8">
        <f>IFERROR(VLOOKUP($A2139,'01-原始价格'!$A:$M,8,FALSE),"")</f>
        <v/>
      </c>
      <c r="D2139" s="10">
        <f>IFERROR(B2139/C2139,"")</f>
        <v/>
      </c>
      <c r="E2139" s="10">
        <f>IFERROR(C2139/B2139,"")</f>
        <v/>
      </c>
      <c r="F2139" s="11">
        <f>IFERROR((D2139/D2138-1)*100,"")</f>
        <v/>
      </c>
      <c r="G2139" s="11">
        <f>IFERROR((COUNTIF($D$1888:$D$2139,"&lt;"&amp;D2139)+0.5*COUNTIF($D$1888:$D$2139,D2139))/COUNT($D$1888:$D$2139)*100,"")</f>
        <v/>
      </c>
      <c r="H2139" s="10">
        <f>IFERROR(AVERAGE($D$1888:$D$2139),"")</f>
        <v/>
      </c>
      <c r="I2139" s="10" t="n">
        <v>-1.581713931870863</v>
      </c>
      <c r="J2139" t="inlineStr"/>
      <c r="K2139" t="inlineStr"/>
    </row>
    <row r="2140">
      <c r="A2140" s="7" t="inlineStr">
        <is>
          <t>2022-12-08</t>
        </is>
      </c>
      <c r="B2140" s="8">
        <f>IFERROR(VLOOKUP($A2140,'01-原始价格'!$A:$M,2,FALSE),"")</f>
        <v/>
      </c>
      <c r="C2140" s="8">
        <f>IFERROR(VLOOKUP($A2140,'01-原始价格'!$A:$M,8,FALSE),"")</f>
        <v/>
      </c>
      <c r="D2140" s="10">
        <f>IFERROR(B2140/C2140,"")</f>
        <v/>
      </c>
      <c r="E2140" s="10">
        <f>IFERROR(C2140/B2140,"")</f>
        <v/>
      </c>
      <c r="F2140" s="11">
        <f>IFERROR((D2140/D2139-1)*100,"")</f>
        <v/>
      </c>
      <c r="G2140" s="11">
        <f>IFERROR((COUNTIF($D$1889:$D$2140,"&lt;"&amp;D2140)+0.5*COUNTIF($D$1889:$D$2140,D2140))/COUNT($D$1889:$D$2140)*100,"")</f>
        <v/>
      </c>
      <c r="H2140" s="10">
        <f>IFERROR(AVERAGE($D$1889:$D$2140),"")</f>
        <v/>
      </c>
      <c r="I2140" s="10" t="n">
        <v>-1.965405960172814</v>
      </c>
      <c r="J2140" t="inlineStr"/>
      <c r="K2140" t="inlineStr"/>
    </row>
    <row r="2141">
      <c r="A2141" s="7" t="inlineStr">
        <is>
          <t>2022-12-09</t>
        </is>
      </c>
      <c r="B2141" s="8">
        <f>IFERROR(VLOOKUP($A2141,'01-原始价格'!$A:$M,2,FALSE),"")</f>
        <v/>
      </c>
      <c r="C2141" s="8">
        <f>IFERROR(VLOOKUP($A2141,'01-原始价格'!$A:$M,8,FALSE),"")</f>
        <v/>
      </c>
      <c r="D2141" s="10">
        <f>IFERROR(B2141/C2141,"")</f>
        <v/>
      </c>
      <c r="E2141" s="10">
        <f>IFERROR(C2141/B2141,"")</f>
        <v/>
      </c>
      <c r="F2141" s="11">
        <f>IFERROR((D2141/D2140-1)*100,"")</f>
        <v/>
      </c>
      <c r="G2141" s="11">
        <f>IFERROR((COUNTIF($D$1890:$D$2141,"&lt;"&amp;D2141)+0.5*COUNTIF($D$1890:$D$2141,D2141))/COUNT($D$1890:$D$2141)*100,"")</f>
        <v/>
      </c>
      <c r="H2141" s="10">
        <f>IFERROR(AVERAGE($D$1890:$D$2141),"")</f>
        <v/>
      </c>
      <c r="I2141" s="10" t="n">
        <v>-2.002030512719885</v>
      </c>
      <c r="J2141" t="inlineStr"/>
      <c r="K2141" t="inlineStr"/>
    </row>
    <row r="2142">
      <c r="A2142" s="7" t="inlineStr">
        <is>
          <t>2022-12-12</t>
        </is>
      </c>
      <c r="B2142" s="8">
        <f>IFERROR(VLOOKUP($A2142,'01-原始价格'!$A:$M,2,FALSE),"")</f>
        <v/>
      </c>
      <c r="C2142" s="8">
        <f>IFERROR(VLOOKUP($A2142,'01-原始价格'!$A:$M,8,FALSE),"")</f>
        <v/>
      </c>
      <c r="D2142" s="10">
        <f>IFERROR(B2142/C2142,"")</f>
        <v/>
      </c>
      <c r="E2142" s="10">
        <f>IFERROR(C2142/B2142,"")</f>
        <v/>
      </c>
      <c r="F2142" s="11">
        <f>IFERROR((D2142/D2141-1)*100,"")</f>
        <v/>
      </c>
      <c r="G2142" s="11">
        <f>IFERROR((COUNTIF($D$1891:$D$2142,"&lt;"&amp;D2142)+0.5*COUNTIF($D$1891:$D$2142,D2142))/COUNT($D$1891:$D$2142)*100,"")</f>
        <v/>
      </c>
      <c r="H2142" s="10">
        <f>IFERROR(AVERAGE($D$1891:$D$2142),"")</f>
        <v/>
      </c>
      <c r="I2142" s="10" t="n">
        <v>-1.461353031638125</v>
      </c>
      <c r="J2142" t="inlineStr"/>
      <c r="K2142" t="inlineStr"/>
    </row>
    <row r="2143">
      <c r="A2143" s="7" t="inlineStr">
        <is>
          <t>2022-12-13</t>
        </is>
      </c>
      <c r="B2143" s="8">
        <f>IFERROR(VLOOKUP($A2143,'01-原始价格'!$A:$M,2,FALSE),"")</f>
        <v/>
      </c>
      <c r="C2143" s="8">
        <f>IFERROR(VLOOKUP($A2143,'01-原始价格'!$A:$M,8,FALSE),"")</f>
        <v/>
      </c>
      <c r="D2143" s="10">
        <f>IFERROR(B2143/C2143,"")</f>
        <v/>
      </c>
      <c r="E2143" s="10">
        <f>IFERROR(C2143/B2143,"")</f>
        <v/>
      </c>
      <c r="F2143" s="11">
        <f>IFERROR((D2143/D2142-1)*100,"")</f>
        <v/>
      </c>
      <c r="G2143" s="11">
        <f>IFERROR((COUNTIF($D$1892:$D$2143,"&lt;"&amp;D2143)+0.5*COUNTIF($D$1892:$D$2143,D2143))/COUNT($D$1892:$D$2143)*100,"")</f>
        <v/>
      </c>
      <c r="H2143" s="10">
        <f>IFERROR(AVERAGE($D$1892:$D$2143),"")</f>
        <v/>
      </c>
      <c r="I2143" s="10" t="n">
        <v>-1.602394440284131</v>
      </c>
      <c r="J2143" t="inlineStr"/>
      <c r="K2143" t="inlineStr"/>
    </row>
    <row r="2144">
      <c r="A2144" s="7" t="inlineStr">
        <is>
          <t>2022-12-14</t>
        </is>
      </c>
      <c r="B2144" s="8">
        <f>IFERROR(VLOOKUP($A2144,'01-原始价格'!$A:$M,2,FALSE),"")</f>
        <v/>
      </c>
      <c r="C2144" s="8">
        <f>IFERROR(VLOOKUP($A2144,'01-原始价格'!$A:$M,8,FALSE),"")</f>
        <v/>
      </c>
      <c r="D2144" s="10">
        <f>IFERROR(B2144/C2144,"")</f>
        <v/>
      </c>
      <c r="E2144" s="10">
        <f>IFERROR(C2144/B2144,"")</f>
        <v/>
      </c>
      <c r="F2144" s="11">
        <f>IFERROR((D2144/D2143-1)*100,"")</f>
        <v/>
      </c>
      <c r="G2144" s="11">
        <f>IFERROR((COUNTIF($D$1893:$D$2144,"&lt;"&amp;D2144)+0.5*COUNTIF($D$1893:$D$2144,D2144))/COUNT($D$1893:$D$2144)*100,"")</f>
        <v/>
      </c>
      <c r="H2144" s="10">
        <f>IFERROR(AVERAGE($D$1893:$D$2144),"")</f>
        <v/>
      </c>
      <c r="I2144" s="10" t="n">
        <v>-1.615499658243673</v>
      </c>
      <c r="J2144" t="inlineStr"/>
      <c r="K2144" t="inlineStr"/>
    </row>
    <row r="2145">
      <c r="A2145" s="7" t="inlineStr">
        <is>
          <t>2022-12-15</t>
        </is>
      </c>
      <c r="B2145" s="8">
        <f>IFERROR(VLOOKUP($A2145,'01-原始价格'!$A:$M,2,FALSE),"")</f>
        <v/>
      </c>
      <c r="C2145" s="8">
        <f>IFERROR(VLOOKUP($A2145,'01-原始价格'!$A:$M,8,FALSE),"")</f>
        <v/>
      </c>
      <c r="D2145" s="10">
        <f>IFERROR(B2145/C2145,"")</f>
        <v/>
      </c>
      <c r="E2145" s="10">
        <f>IFERROR(C2145/B2145,"")</f>
        <v/>
      </c>
      <c r="F2145" s="11">
        <f>IFERROR((D2145/D2144-1)*100,"")</f>
        <v/>
      </c>
      <c r="G2145" s="11">
        <f>IFERROR((COUNTIF($D$1894:$D$2145,"&lt;"&amp;D2145)+0.5*COUNTIF($D$1894:$D$2145,D2145))/COUNT($D$1894:$D$2145)*100,"")</f>
        <v/>
      </c>
      <c r="H2145" s="10">
        <f>IFERROR(AVERAGE($D$1894:$D$2145),"")</f>
        <v/>
      </c>
      <c r="I2145" s="10" t="n">
        <v>-1.806180132967482</v>
      </c>
      <c r="J2145" t="inlineStr"/>
      <c r="K2145" t="inlineStr"/>
    </row>
    <row r="2146">
      <c r="A2146" s="7" t="inlineStr">
        <is>
          <t>2022-12-16</t>
        </is>
      </c>
      <c r="B2146" s="8">
        <f>IFERROR(VLOOKUP($A2146,'01-原始价格'!$A:$M,2,FALSE),"")</f>
        <v/>
      </c>
      <c r="C2146" s="8">
        <f>IFERROR(VLOOKUP($A2146,'01-原始价格'!$A:$M,8,FALSE),"")</f>
        <v/>
      </c>
      <c r="D2146" s="10">
        <f>IFERROR(B2146/C2146,"")</f>
        <v/>
      </c>
      <c r="E2146" s="10">
        <f>IFERROR(C2146/B2146,"")</f>
        <v/>
      </c>
      <c r="F2146" s="11">
        <f>IFERROR((D2146/D2145-1)*100,"")</f>
        <v/>
      </c>
      <c r="G2146" s="11">
        <f>IFERROR((COUNTIF($D$1895:$D$2146,"&lt;"&amp;D2146)+0.5*COUNTIF($D$1895:$D$2146,D2146))/COUNT($D$1895:$D$2146)*100,"")</f>
        <v/>
      </c>
      <c r="H2146" s="10">
        <f>IFERROR(AVERAGE($D$1895:$D$2146),"")</f>
        <v/>
      </c>
      <c r="I2146" s="10" t="n">
        <v>-1.562790487862127</v>
      </c>
      <c r="J2146" t="inlineStr"/>
      <c r="K2146" s="12" t="inlineStr">
        <is>
          <t>是</t>
        </is>
      </c>
      <c r="L2146" t="inlineStr">
        <is>
          <t>换月日</t>
        </is>
      </c>
    </row>
    <row r="2147">
      <c r="A2147" s="7" t="inlineStr">
        <is>
          <t>2022-12-19</t>
        </is>
      </c>
      <c r="B2147" s="8">
        <f>IFERROR(VLOOKUP($A2147,'01-原始价格'!$A:$M,2,FALSE),"")</f>
        <v/>
      </c>
      <c r="C2147" s="8">
        <f>IFERROR(VLOOKUP($A2147,'01-原始价格'!$A:$M,8,FALSE),"")</f>
        <v/>
      </c>
      <c r="D2147" s="10">
        <f>IFERROR(B2147/C2147,"")</f>
        <v/>
      </c>
      <c r="E2147" s="10">
        <f>IFERROR(C2147/B2147,"")</f>
        <v/>
      </c>
      <c r="F2147" s="11">
        <f>IFERROR((D2147/D2146-1)*100,"")</f>
        <v/>
      </c>
      <c r="G2147" s="11">
        <f>IFERROR((COUNTIF($D$1896:$D$2147,"&lt;"&amp;D2147)+0.5*COUNTIF($D$1896:$D$2147,D2147))/COUNT($D$1896:$D$2147)*100,"")</f>
        <v/>
      </c>
      <c r="H2147" s="10">
        <f>IFERROR(AVERAGE($D$1896:$D$2147),"")</f>
        <v/>
      </c>
      <c r="I2147" s="10" t="n">
        <v>-1.065560607296213</v>
      </c>
      <c r="J2147" t="inlineStr"/>
      <c r="K2147" s="12" t="inlineStr">
        <is>
          <t>是</t>
        </is>
      </c>
      <c r="L2147" t="inlineStr">
        <is>
          <t>换月日</t>
        </is>
      </c>
    </row>
    <row r="2148">
      <c r="A2148" s="7" t="inlineStr">
        <is>
          <t>2022-12-20</t>
        </is>
      </c>
      <c r="B2148" s="8">
        <f>IFERROR(VLOOKUP($A2148,'01-原始价格'!$A:$M,2,FALSE),"")</f>
        <v/>
      </c>
      <c r="C2148" s="8">
        <f>IFERROR(VLOOKUP($A2148,'01-原始价格'!$A:$M,8,FALSE),"")</f>
        <v/>
      </c>
      <c r="D2148" s="10">
        <f>IFERROR(B2148/C2148,"")</f>
        <v/>
      </c>
      <c r="E2148" s="10">
        <f>IFERROR(C2148/B2148,"")</f>
        <v/>
      </c>
      <c r="F2148" s="11">
        <f>IFERROR((D2148/D2147-1)*100,"")</f>
        <v/>
      </c>
      <c r="G2148" s="11">
        <f>IFERROR((COUNTIF($D$1897:$D$2148,"&lt;"&amp;D2148)+0.5*COUNTIF($D$1897:$D$2148,D2148))/COUNT($D$1897:$D$2148)*100,"")</f>
        <v/>
      </c>
      <c r="H2148" s="10">
        <f>IFERROR(AVERAGE($D$1897:$D$2148),"")</f>
        <v/>
      </c>
      <c r="I2148" s="10" t="n">
        <v>-1.253379566286643</v>
      </c>
      <c r="J2148" t="inlineStr"/>
      <c r="K2148" t="inlineStr"/>
    </row>
    <row r="2149">
      <c r="A2149" s="7" t="inlineStr">
        <is>
          <t>2022-12-21</t>
        </is>
      </c>
      <c r="B2149" s="8">
        <f>IFERROR(VLOOKUP($A2149,'01-原始价格'!$A:$M,2,FALSE),"")</f>
        <v/>
      </c>
      <c r="C2149" s="8">
        <f>IFERROR(VLOOKUP($A2149,'01-原始价格'!$A:$M,8,FALSE),"")</f>
        <v/>
      </c>
      <c r="D2149" s="10">
        <f>IFERROR(B2149/C2149,"")</f>
        <v/>
      </c>
      <c r="E2149" s="10">
        <f>IFERROR(C2149/B2149,"")</f>
        <v/>
      </c>
      <c r="F2149" s="11">
        <f>IFERROR((D2149/D2148-1)*100,"")</f>
        <v/>
      </c>
      <c r="G2149" s="11">
        <f>IFERROR((COUNTIF($D$1898:$D$2149,"&lt;"&amp;D2149)+0.5*COUNTIF($D$1898:$D$2149,D2149))/COUNT($D$1898:$D$2149)*100,"")</f>
        <v/>
      </c>
      <c r="H2149" s="10">
        <f>IFERROR(AVERAGE($D$1898:$D$2149),"")</f>
        <v/>
      </c>
      <c r="I2149" s="10" t="n">
        <v>-1.056134799383392</v>
      </c>
      <c r="J2149" t="inlineStr"/>
      <c r="K2149" t="inlineStr"/>
    </row>
    <row r="2150">
      <c r="A2150" s="7" t="inlineStr">
        <is>
          <t>2022-12-22</t>
        </is>
      </c>
      <c r="B2150" s="8">
        <f>IFERROR(VLOOKUP($A2150,'01-原始价格'!$A:$M,2,FALSE),"")</f>
        <v/>
      </c>
      <c r="C2150" s="8">
        <f>IFERROR(VLOOKUP($A2150,'01-原始价格'!$A:$M,8,FALSE),"")</f>
        <v/>
      </c>
      <c r="D2150" s="10">
        <f>IFERROR(B2150/C2150,"")</f>
        <v/>
      </c>
      <c r="E2150" s="10">
        <f>IFERROR(C2150/B2150,"")</f>
        <v/>
      </c>
      <c r="F2150" s="11">
        <f>IFERROR((D2150/D2149-1)*100,"")</f>
        <v/>
      </c>
      <c r="G2150" s="11">
        <f>IFERROR((COUNTIF($D$1899:$D$2150,"&lt;"&amp;D2150)+0.5*COUNTIF($D$1899:$D$2150,D2150))/COUNT($D$1899:$D$2150)*100,"")</f>
        <v/>
      </c>
      <c r="H2150" s="10">
        <f>IFERROR(AVERAGE($D$1899:$D$2150),"")</f>
        <v/>
      </c>
      <c r="I2150" s="10" t="n">
        <v>-1.132071248305205</v>
      </c>
      <c r="J2150" t="inlineStr"/>
      <c r="K2150" t="inlineStr"/>
    </row>
    <row r="2151">
      <c r="A2151" s="7" t="inlineStr">
        <is>
          <t>2022-12-23</t>
        </is>
      </c>
      <c r="B2151" s="8">
        <f>IFERROR(VLOOKUP($A2151,'01-原始价格'!$A:$M,2,FALSE),"")</f>
        <v/>
      </c>
      <c r="C2151" s="8">
        <f>IFERROR(VLOOKUP($A2151,'01-原始价格'!$A:$M,8,FALSE),"")</f>
        <v/>
      </c>
      <c r="D2151" s="10">
        <f>IFERROR(B2151/C2151,"")</f>
        <v/>
      </c>
      <c r="E2151" s="10">
        <f>IFERROR(C2151/B2151,"")</f>
        <v/>
      </c>
      <c r="F2151" s="11">
        <f>IFERROR((D2151/D2150-1)*100,"")</f>
        <v/>
      </c>
      <c r="G2151" s="11">
        <f>IFERROR((COUNTIF($D$1900:$D$2151,"&lt;"&amp;D2151)+0.5*COUNTIF($D$1900:$D$2151,D2151))/COUNT($D$1900:$D$2151)*100,"")</f>
        <v/>
      </c>
      <c r="H2151" s="10">
        <f>IFERROR(AVERAGE($D$1900:$D$2151),"")</f>
        <v/>
      </c>
      <c r="I2151" s="10" t="n">
        <v>-1.158136725483895</v>
      </c>
      <c r="J2151" t="inlineStr"/>
      <c r="K2151" t="inlineStr"/>
    </row>
    <row r="2152">
      <c r="A2152" s="7" t="inlineStr">
        <is>
          <t>2022-12-26</t>
        </is>
      </c>
      <c r="B2152" s="8">
        <f>IFERROR(VLOOKUP($A2152,'01-原始价格'!$A:$M,2,FALSE),"")</f>
        <v/>
      </c>
      <c r="C2152" s="8">
        <f>IFERROR(VLOOKUP($A2152,'01-原始价格'!$A:$M,8,FALSE),"")</f>
        <v/>
      </c>
      <c r="D2152" s="10">
        <f>IFERROR(B2152/C2152,"")</f>
        <v/>
      </c>
      <c r="E2152" s="10">
        <f>IFERROR(C2152/B2152,"")</f>
        <v/>
      </c>
      <c r="F2152" s="11">
        <f>IFERROR((D2152/D2151-1)*100,"")</f>
        <v/>
      </c>
      <c r="G2152" s="11">
        <f>IFERROR((COUNTIF($D$1901:$D$2152,"&lt;"&amp;D2152)+0.5*COUNTIF($D$1901:$D$2152,D2152))/COUNT($D$1901:$D$2152)*100,"")</f>
        <v/>
      </c>
      <c r="H2152" s="10">
        <f>IFERROR(AVERAGE($D$1901:$D$2152),"")</f>
        <v/>
      </c>
      <c r="I2152" s="10" t="n">
        <v>-1.028714481922736</v>
      </c>
      <c r="J2152" t="inlineStr"/>
      <c r="K2152" t="inlineStr"/>
    </row>
    <row r="2153">
      <c r="A2153" s="7" t="inlineStr">
        <is>
          <t>2022-12-27</t>
        </is>
      </c>
      <c r="B2153" s="8">
        <f>IFERROR(VLOOKUP($A2153,'01-原始价格'!$A:$M,2,FALSE),"")</f>
        <v/>
      </c>
      <c r="C2153" s="8">
        <f>IFERROR(VLOOKUP($A2153,'01-原始价格'!$A:$M,8,FALSE),"")</f>
        <v/>
      </c>
      <c r="D2153" s="10">
        <f>IFERROR(B2153/C2153,"")</f>
        <v/>
      </c>
      <c r="E2153" s="10">
        <f>IFERROR(C2153/B2153,"")</f>
        <v/>
      </c>
      <c r="F2153" s="11">
        <f>IFERROR((D2153/D2152-1)*100,"")</f>
        <v/>
      </c>
      <c r="G2153" s="11">
        <f>IFERROR((COUNTIF($D$1902:$D$2153,"&lt;"&amp;D2153)+0.5*COUNTIF($D$1902:$D$2153,D2153))/COUNT($D$1902:$D$2153)*100,"")</f>
        <v/>
      </c>
      <c r="H2153" s="10">
        <f>IFERROR(AVERAGE($D$1902:$D$2153),"")</f>
        <v/>
      </c>
      <c r="I2153" s="10" t="n">
        <v>-1.255877159816452</v>
      </c>
      <c r="J2153" t="inlineStr"/>
      <c r="K2153" t="inlineStr"/>
    </row>
    <row r="2154">
      <c r="A2154" s="7" t="inlineStr">
        <is>
          <t>2022-12-28</t>
        </is>
      </c>
      <c r="B2154" s="8">
        <f>IFERROR(VLOOKUP($A2154,'01-原始价格'!$A:$M,2,FALSE),"")</f>
        <v/>
      </c>
      <c r="C2154" s="8">
        <f>IFERROR(VLOOKUP($A2154,'01-原始价格'!$A:$M,8,FALSE),"")</f>
        <v/>
      </c>
      <c r="D2154" s="10">
        <f>IFERROR(B2154/C2154,"")</f>
        <v/>
      </c>
      <c r="E2154" s="10">
        <f>IFERROR(C2154/B2154,"")</f>
        <v/>
      </c>
      <c r="F2154" s="11">
        <f>IFERROR((D2154/D2153-1)*100,"")</f>
        <v/>
      </c>
      <c r="G2154" s="11">
        <f>IFERROR((COUNTIF($D$1903:$D$2154,"&lt;"&amp;D2154)+0.5*COUNTIF($D$1903:$D$2154,D2154))/COUNT($D$1903:$D$2154)*100,"")</f>
        <v/>
      </c>
      <c r="H2154" s="10">
        <f>IFERROR(AVERAGE($D$1903:$D$2154),"")</f>
        <v/>
      </c>
      <c r="I2154" s="10" t="n">
        <v>-1.178667117388456</v>
      </c>
      <c r="J2154" t="inlineStr"/>
      <c r="K2154" t="inlineStr"/>
    </row>
    <row r="2155">
      <c r="A2155" s="7" t="inlineStr">
        <is>
          <t>2022-12-29</t>
        </is>
      </c>
      <c r="B2155" s="8">
        <f>IFERROR(VLOOKUP($A2155,'01-原始价格'!$A:$M,2,FALSE),"")</f>
        <v/>
      </c>
      <c r="C2155" s="8">
        <f>IFERROR(VLOOKUP($A2155,'01-原始价格'!$A:$M,8,FALSE),"")</f>
        <v/>
      </c>
      <c r="D2155" s="10">
        <f>IFERROR(B2155/C2155,"")</f>
        <v/>
      </c>
      <c r="E2155" s="10">
        <f>IFERROR(C2155/B2155,"")</f>
        <v/>
      </c>
      <c r="F2155" s="11">
        <f>IFERROR((D2155/D2154-1)*100,"")</f>
        <v/>
      </c>
      <c r="G2155" s="11">
        <f>IFERROR((COUNTIF($D$1904:$D$2155,"&lt;"&amp;D2155)+0.5*COUNTIF($D$1904:$D$2155,D2155))/COUNT($D$1904:$D$2155)*100,"")</f>
        <v/>
      </c>
      <c r="H2155" s="10">
        <f>IFERROR(AVERAGE($D$1904:$D$2155),"")</f>
        <v/>
      </c>
      <c r="I2155" s="10" t="n">
        <v>-0.9974253224975476</v>
      </c>
      <c r="J2155" t="inlineStr"/>
      <c r="K2155" t="inlineStr"/>
    </row>
    <row r="2156">
      <c r="A2156" s="7" t="inlineStr">
        <is>
          <t>2022-12-30</t>
        </is>
      </c>
      <c r="B2156" s="8">
        <f>IFERROR(VLOOKUP($A2156,'01-原始价格'!$A:$M,2,FALSE),"")</f>
        <v/>
      </c>
      <c r="C2156" s="8">
        <f>IFERROR(VLOOKUP($A2156,'01-原始价格'!$A:$M,8,FALSE),"")</f>
        <v/>
      </c>
      <c r="D2156" s="10">
        <f>IFERROR(B2156/C2156,"")</f>
        <v/>
      </c>
      <c r="E2156" s="10">
        <f>IFERROR(C2156/B2156,"")</f>
        <v/>
      </c>
      <c r="F2156" s="11">
        <f>IFERROR((D2156/D2155-1)*100,"")</f>
        <v/>
      </c>
      <c r="G2156" s="11">
        <f>IFERROR((COUNTIF($D$1905:$D$2156,"&lt;"&amp;D2156)+0.5*COUNTIF($D$1905:$D$2156,D2156))/COUNT($D$1905:$D$2156)*100,"")</f>
        <v/>
      </c>
      <c r="H2156" s="10">
        <f>IFERROR(AVERAGE($D$1905:$D$2156),"")</f>
        <v/>
      </c>
      <c r="I2156" s="10" t="n">
        <v>-0.8535759584537315</v>
      </c>
      <c r="J2156" t="inlineStr"/>
      <c r="K2156" t="inlineStr"/>
    </row>
    <row r="2157">
      <c r="A2157" s="7" t="inlineStr">
        <is>
          <t>2023-01-03</t>
        </is>
      </c>
      <c r="B2157" s="8">
        <f>IFERROR(VLOOKUP($A2157,'01-原始价格'!$A:$M,2,FALSE),"")</f>
        <v/>
      </c>
      <c r="C2157" s="8">
        <f>IFERROR(VLOOKUP($A2157,'01-原始价格'!$A:$M,8,FALSE),"")</f>
        <v/>
      </c>
      <c r="D2157" s="10">
        <f>IFERROR(B2157/C2157,"")</f>
        <v/>
      </c>
      <c r="E2157" s="10">
        <f>IFERROR(C2157/B2157,"")</f>
        <v/>
      </c>
      <c r="F2157" s="11">
        <f>IFERROR((D2157/D2156-1)*100,"")</f>
        <v/>
      </c>
      <c r="G2157" s="11">
        <f>IFERROR((COUNTIF($D$1906:$D$2157,"&lt;"&amp;D2157)+0.5*COUNTIF($D$1906:$D$2157,D2157))/COUNT($D$1906:$D$2157)*100,"")</f>
        <v/>
      </c>
      <c r="H2157" s="10">
        <f>IFERROR(AVERAGE($D$1906:$D$2157),"")</f>
        <v/>
      </c>
      <c r="I2157" s="10" t="n">
        <v>-0.8502807901097166</v>
      </c>
      <c r="J2157" t="inlineStr"/>
      <c r="K2157" t="inlineStr"/>
    </row>
    <row r="2158">
      <c r="A2158" s="7" t="inlineStr">
        <is>
          <t>2023-01-04</t>
        </is>
      </c>
      <c r="B2158" s="8">
        <f>IFERROR(VLOOKUP($A2158,'01-原始价格'!$A:$M,2,FALSE),"")</f>
        <v/>
      </c>
      <c r="C2158" s="8">
        <f>IFERROR(VLOOKUP($A2158,'01-原始价格'!$A:$M,8,FALSE),"")</f>
        <v/>
      </c>
      <c r="D2158" s="10">
        <f>IFERROR(B2158/C2158,"")</f>
        <v/>
      </c>
      <c r="E2158" s="10">
        <f>IFERROR(C2158/B2158,"")</f>
        <v/>
      </c>
      <c r="F2158" s="11">
        <f>IFERROR((D2158/D2157-1)*100,"")</f>
        <v/>
      </c>
      <c r="G2158" s="11">
        <f>IFERROR((COUNTIF($D$1907:$D$2158,"&lt;"&amp;D2158)+0.5*COUNTIF($D$1907:$D$2158,D2158))/COUNT($D$1907:$D$2158)*100,"")</f>
        <v/>
      </c>
      <c r="H2158" s="10">
        <f>IFERROR(AVERAGE($D$1907:$D$2158),"")</f>
        <v/>
      </c>
      <c r="I2158" s="10" t="n">
        <v>-0.700603258193831</v>
      </c>
      <c r="J2158" t="inlineStr"/>
      <c r="K2158" t="inlineStr"/>
    </row>
    <row r="2159">
      <c r="A2159" s="7" t="inlineStr">
        <is>
          <t>2023-01-05</t>
        </is>
      </c>
      <c r="B2159" s="8">
        <f>IFERROR(VLOOKUP($A2159,'01-原始价格'!$A:$M,2,FALSE),"")</f>
        <v/>
      </c>
      <c r="C2159" s="8">
        <f>IFERROR(VLOOKUP($A2159,'01-原始价格'!$A:$M,8,FALSE),"")</f>
        <v/>
      </c>
      <c r="D2159" s="10">
        <f>IFERROR(B2159/C2159,"")</f>
        <v/>
      </c>
      <c r="E2159" s="10">
        <f>IFERROR(C2159/B2159,"")</f>
        <v/>
      </c>
      <c r="F2159" s="11">
        <f>IFERROR((D2159/D2158-1)*100,"")</f>
        <v/>
      </c>
      <c r="G2159" s="11">
        <f>IFERROR((COUNTIF($D$1908:$D$2159,"&lt;"&amp;D2159)+0.5*COUNTIF($D$1908:$D$2159,D2159))/COUNT($D$1908:$D$2159)*100,"")</f>
        <v/>
      </c>
      <c r="H2159" s="10">
        <f>IFERROR(AVERAGE($D$1908:$D$2159),"")</f>
        <v/>
      </c>
      <c r="I2159" s="10" t="n">
        <v>-0.7404652059914554</v>
      </c>
      <c r="J2159" t="inlineStr"/>
      <c r="K2159" t="inlineStr"/>
    </row>
    <row r="2160">
      <c r="A2160" s="7" t="inlineStr">
        <is>
          <t>2023-01-06</t>
        </is>
      </c>
      <c r="B2160" s="8">
        <f>IFERROR(VLOOKUP($A2160,'01-原始价格'!$A:$M,2,FALSE),"")</f>
        <v/>
      </c>
      <c r="C2160" s="8">
        <f>IFERROR(VLOOKUP($A2160,'01-原始价格'!$A:$M,8,FALSE),"")</f>
        <v/>
      </c>
      <c r="D2160" s="10">
        <f>IFERROR(B2160/C2160,"")</f>
        <v/>
      </c>
      <c r="E2160" s="10">
        <f>IFERROR(C2160/B2160,"")</f>
        <v/>
      </c>
      <c r="F2160" s="11">
        <f>IFERROR((D2160/D2159-1)*100,"")</f>
        <v/>
      </c>
      <c r="G2160" s="11">
        <f>IFERROR((COUNTIF($D$1909:$D$2160,"&lt;"&amp;D2160)+0.5*COUNTIF($D$1909:$D$2160,D2160))/COUNT($D$1909:$D$2160)*100,"")</f>
        <v/>
      </c>
      <c r="H2160" s="10">
        <f>IFERROR(AVERAGE($D$1909:$D$2160),"")</f>
        <v/>
      </c>
      <c r="I2160" s="10" t="n">
        <v>-0.8336642190477079</v>
      </c>
      <c r="J2160" t="inlineStr"/>
      <c r="K2160" t="inlineStr"/>
    </row>
    <row r="2161">
      <c r="A2161" s="7" t="inlineStr">
        <is>
          <t>2023-01-09</t>
        </is>
      </c>
      <c r="B2161" s="8">
        <f>IFERROR(VLOOKUP($A2161,'01-原始价格'!$A:$M,2,FALSE),"")</f>
        <v/>
      </c>
      <c r="C2161" s="8">
        <f>IFERROR(VLOOKUP($A2161,'01-原始价格'!$A:$M,8,FALSE),"")</f>
        <v/>
      </c>
      <c r="D2161" s="10">
        <f>IFERROR(B2161/C2161,"")</f>
        <v/>
      </c>
      <c r="E2161" s="10">
        <f>IFERROR(C2161/B2161,"")</f>
        <v/>
      </c>
      <c r="F2161" s="11">
        <f>IFERROR((D2161/D2160-1)*100,"")</f>
        <v/>
      </c>
      <c r="G2161" s="11">
        <f>IFERROR((COUNTIF($D$1910:$D$2161,"&lt;"&amp;D2161)+0.5*COUNTIF($D$1910:$D$2161,D2161))/COUNT($D$1910:$D$2161)*100,"")</f>
        <v/>
      </c>
      <c r="H2161" s="10">
        <f>IFERROR(AVERAGE($D$1910:$D$2161),"")</f>
        <v/>
      </c>
      <c r="I2161" s="10" t="n">
        <v>-0.9271915300616536</v>
      </c>
      <c r="J2161" t="inlineStr"/>
      <c r="K2161" t="inlineStr"/>
    </row>
    <row r="2162">
      <c r="A2162" s="7" t="inlineStr">
        <is>
          <t>2023-01-10</t>
        </is>
      </c>
      <c r="B2162" s="8">
        <f>IFERROR(VLOOKUP($A2162,'01-原始价格'!$A:$M,2,FALSE),"")</f>
        <v/>
      </c>
      <c r="C2162" s="8">
        <f>IFERROR(VLOOKUP($A2162,'01-原始价格'!$A:$M,8,FALSE),"")</f>
        <v/>
      </c>
      <c r="D2162" s="10">
        <f>IFERROR(B2162/C2162,"")</f>
        <v/>
      </c>
      <c r="E2162" s="10">
        <f>IFERROR(C2162/B2162,"")</f>
        <v/>
      </c>
      <c r="F2162" s="11">
        <f>IFERROR((D2162/D2161-1)*100,"")</f>
        <v/>
      </c>
      <c r="G2162" s="11">
        <f>IFERROR((COUNTIF($D$1911:$D$2162,"&lt;"&amp;D2162)+0.5*COUNTIF($D$1911:$D$2162,D2162))/COUNT($D$1911:$D$2162)*100,"")</f>
        <v/>
      </c>
      <c r="H2162" s="10">
        <f>IFERROR(AVERAGE($D$1911:$D$2162),"")</f>
        <v/>
      </c>
      <c r="I2162" s="10" t="n">
        <v>-0.8815461065521236</v>
      </c>
      <c r="J2162" t="inlineStr"/>
      <c r="K2162" t="inlineStr"/>
    </row>
    <row r="2163">
      <c r="A2163" s="7" t="inlineStr">
        <is>
          <t>2023-01-11</t>
        </is>
      </c>
      <c r="B2163" s="8">
        <f>IFERROR(VLOOKUP($A2163,'01-原始价格'!$A:$M,2,FALSE),"")</f>
        <v/>
      </c>
      <c r="C2163" s="8">
        <f>IFERROR(VLOOKUP($A2163,'01-原始价格'!$A:$M,8,FALSE),"")</f>
        <v/>
      </c>
      <c r="D2163" s="10">
        <f>IFERROR(B2163/C2163,"")</f>
        <v/>
      </c>
      <c r="E2163" s="10">
        <f>IFERROR(C2163/B2163,"")</f>
        <v/>
      </c>
      <c r="F2163" s="11">
        <f>IFERROR((D2163/D2162-1)*100,"")</f>
        <v/>
      </c>
      <c r="G2163" s="11">
        <f>IFERROR((COUNTIF($D$1912:$D$2163,"&lt;"&amp;D2163)+0.5*COUNTIF($D$1912:$D$2163,D2163))/COUNT($D$1912:$D$2163)*100,"")</f>
        <v/>
      </c>
      <c r="H2163" s="10">
        <f>IFERROR(AVERAGE($D$1912:$D$2163),"")</f>
        <v/>
      </c>
      <c r="I2163" s="10" t="n">
        <v>-0.9926343158693222</v>
      </c>
      <c r="J2163" t="inlineStr"/>
      <c r="K2163" t="inlineStr"/>
    </row>
    <row r="2164">
      <c r="A2164" s="7" t="inlineStr">
        <is>
          <t>2023-01-12</t>
        </is>
      </c>
      <c r="B2164" s="8">
        <f>IFERROR(VLOOKUP($A2164,'01-原始价格'!$A:$M,2,FALSE),"")</f>
        <v/>
      </c>
      <c r="C2164" s="8">
        <f>IFERROR(VLOOKUP($A2164,'01-原始价格'!$A:$M,8,FALSE),"")</f>
        <v/>
      </c>
      <c r="D2164" s="10">
        <f>IFERROR(B2164/C2164,"")</f>
        <v/>
      </c>
      <c r="E2164" s="10">
        <f>IFERROR(C2164/B2164,"")</f>
        <v/>
      </c>
      <c r="F2164" s="11">
        <f>IFERROR((D2164/D2163-1)*100,"")</f>
        <v/>
      </c>
      <c r="G2164" s="11">
        <f>IFERROR((COUNTIF($D$1913:$D$2164,"&lt;"&amp;D2164)+0.5*COUNTIF($D$1913:$D$2164,D2164))/COUNT($D$1913:$D$2164)*100,"")</f>
        <v/>
      </c>
      <c r="H2164" s="10">
        <f>IFERROR(AVERAGE($D$1913:$D$2164),"")</f>
        <v/>
      </c>
      <c r="I2164" s="10" t="n">
        <v>-1.053063017272499</v>
      </c>
      <c r="J2164" t="inlineStr"/>
      <c r="K2164" t="inlineStr"/>
    </row>
    <row r="2165">
      <c r="A2165" s="7" t="inlineStr">
        <is>
          <t>2023-01-13</t>
        </is>
      </c>
      <c r="B2165" s="8">
        <f>IFERROR(VLOOKUP($A2165,'01-原始价格'!$A:$M,2,FALSE),"")</f>
        <v/>
      </c>
      <c r="C2165" s="8">
        <f>IFERROR(VLOOKUP($A2165,'01-原始价格'!$A:$M,8,FALSE),"")</f>
        <v/>
      </c>
      <c r="D2165" s="10">
        <f>IFERROR(B2165/C2165,"")</f>
        <v/>
      </c>
      <c r="E2165" s="10">
        <f>IFERROR(C2165/B2165,"")</f>
        <v/>
      </c>
      <c r="F2165" s="11">
        <f>IFERROR((D2165/D2164-1)*100,"")</f>
        <v/>
      </c>
      <c r="G2165" s="11">
        <f>IFERROR((COUNTIF($D$1914:$D$2165,"&lt;"&amp;D2165)+0.5*COUNTIF($D$1914:$D$2165,D2165))/COUNT($D$1914:$D$2165)*100,"")</f>
        <v/>
      </c>
      <c r="H2165" s="10">
        <f>IFERROR(AVERAGE($D$1914:$D$2165),"")</f>
        <v/>
      </c>
      <c r="I2165" s="10" t="n">
        <v>-0.9351736795257959</v>
      </c>
      <c r="J2165" t="inlineStr"/>
      <c r="K2165" t="inlineStr"/>
    </row>
    <row r="2166">
      <c r="A2166" s="7" t="inlineStr">
        <is>
          <t>2023-01-16</t>
        </is>
      </c>
      <c r="B2166" s="8">
        <f>IFERROR(VLOOKUP($A2166,'01-原始价格'!$A:$M,2,FALSE),"")</f>
        <v/>
      </c>
      <c r="C2166" s="8">
        <f>IFERROR(VLOOKUP($A2166,'01-原始价格'!$A:$M,8,FALSE),"")</f>
        <v/>
      </c>
      <c r="D2166" s="10">
        <f>IFERROR(B2166/C2166,"")</f>
        <v/>
      </c>
      <c r="E2166" s="10">
        <f>IFERROR(C2166/B2166,"")</f>
        <v/>
      </c>
      <c r="F2166" s="11">
        <f>IFERROR((D2166/D2165-1)*100,"")</f>
        <v/>
      </c>
      <c r="G2166" s="11">
        <f>IFERROR((COUNTIF($D$1915:$D$2166,"&lt;"&amp;D2166)+0.5*COUNTIF($D$1915:$D$2166,D2166))/COUNT($D$1915:$D$2166)*100,"")</f>
        <v/>
      </c>
      <c r="H2166" s="10">
        <f>IFERROR(AVERAGE($D$1915:$D$2166),"")</f>
        <v/>
      </c>
      <c r="I2166" s="10" t="n">
        <v>-0.9922853510191287</v>
      </c>
      <c r="J2166" t="inlineStr"/>
      <c r="K2166" t="inlineStr"/>
    </row>
    <row r="2167">
      <c r="A2167" s="7" t="inlineStr">
        <is>
          <t>2023-01-17</t>
        </is>
      </c>
      <c r="B2167" s="8">
        <f>IFERROR(VLOOKUP($A2167,'01-原始价格'!$A:$M,2,FALSE),"")</f>
        <v/>
      </c>
      <c r="C2167" s="8">
        <f>IFERROR(VLOOKUP($A2167,'01-原始价格'!$A:$M,8,FALSE),"")</f>
        <v/>
      </c>
      <c r="D2167" s="10">
        <f>IFERROR(B2167/C2167,"")</f>
        <v/>
      </c>
      <c r="E2167" s="10">
        <f>IFERROR(C2167/B2167,"")</f>
        <v/>
      </c>
      <c r="F2167" s="11">
        <f>IFERROR((D2167/D2166-1)*100,"")</f>
        <v/>
      </c>
      <c r="G2167" s="11">
        <f>IFERROR((COUNTIF($D$1916:$D$2167,"&lt;"&amp;D2167)+0.5*COUNTIF($D$1916:$D$2167,D2167))/COUNT($D$1916:$D$2167)*100,"")</f>
        <v/>
      </c>
      <c r="H2167" s="10">
        <f>IFERROR(AVERAGE($D$1916:$D$2167),"")</f>
        <v/>
      </c>
      <c r="I2167" s="10" t="n">
        <v>-1.009783193808656</v>
      </c>
      <c r="J2167" t="inlineStr"/>
      <c r="K2167" t="inlineStr"/>
    </row>
    <row r="2168">
      <c r="A2168" s="7" t="inlineStr">
        <is>
          <t>2023-01-18</t>
        </is>
      </c>
      <c r="B2168" s="8">
        <f>IFERROR(VLOOKUP($A2168,'01-原始价格'!$A:$M,2,FALSE),"")</f>
        <v/>
      </c>
      <c r="C2168" s="8">
        <f>IFERROR(VLOOKUP($A2168,'01-原始价格'!$A:$M,8,FALSE),"")</f>
        <v/>
      </c>
      <c r="D2168" s="10">
        <f>IFERROR(B2168/C2168,"")</f>
        <v/>
      </c>
      <c r="E2168" s="10">
        <f>IFERROR(C2168/B2168,"")</f>
        <v/>
      </c>
      <c r="F2168" s="11">
        <f>IFERROR((D2168/D2167-1)*100,"")</f>
        <v/>
      </c>
      <c r="G2168" s="11">
        <f>IFERROR((COUNTIF($D$1917:$D$2168,"&lt;"&amp;D2168)+0.5*COUNTIF($D$1917:$D$2168,D2168))/COUNT($D$1917:$D$2168)*100,"")</f>
        <v/>
      </c>
      <c r="H2168" s="10">
        <f>IFERROR(AVERAGE($D$1917:$D$2168),"")</f>
        <v/>
      </c>
      <c r="I2168" s="10" t="n">
        <v>-1.011553587320498</v>
      </c>
      <c r="J2168" t="inlineStr"/>
      <c r="K2168" t="inlineStr"/>
    </row>
    <row r="2169">
      <c r="A2169" s="7" t="inlineStr">
        <is>
          <t>2023-01-19</t>
        </is>
      </c>
      <c r="B2169" s="8">
        <f>IFERROR(VLOOKUP($A2169,'01-原始价格'!$A:$M,2,FALSE),"")</f>
        <v/>
      </c>
      <c r="C2169" s="8">
        <f>IFERROR(VLOOKUP($A2169,'01-原始价格'!$A:$M,8,FALSE),"")</f>
        <v/>
      </c>
      <c r="D2169" s="10">
        <f>IFERROR(B2169/C2169,"")</f>
        <v/>
      </c>
      <c r="E2169" s="10">
        <f>IFERROR(C2169/B2169,"")</f>
        <v/>
      </c>
      <c r="F2169" s="11">
        <f>IFERROR((D2169/D2168-1)*100,"")</f>
        <v/>
      </c>
      <c r="G2169" s="11">
        <f>IFERROR((COUNTIF($D$1918:$D$2169,"&lt;"&amp;D2169)+0.5*COUNTIF($D$1918:$D$2169,D2169))/COUNT($D$1918:$D$2169)*100,"")</f>
        <v/>
      </c>
      <c r="H2169" s="10">
        <f>IFERROR(AVERAGE($D$1918:$D$2169),"")</f>
        <v/>
      </c>
      <c r="I2169" s="10" t="n">
        <v>-0.9634284254233902</v>
      </c>
      <c r="J2169" t="inlineStr"/>
      <c r="K2169" t="inlineStr"/>
    </row>
    <row r="2170">
      <c r="A2170" s="7" t="inlineStr">
        <is>
          <t>2023-01-20</t>
        </is>
      </c>
      <c r="B2170" s="8">
        <f>IFERROR(VLOOKUP($A2170,'01-原始价格'!$A:$M,2,FALSE),"")</f>
        <v/>
      </c>
      <c r="C2170" s="8">
        <f>IFERROR(VLOOKUP($A2170,'01-原始价格'!$A:$M,8,FALSE),"")</f>
        <v/>
      </c>
      <c r="D2170" s="10">
        <f>IFERROR(B2170/C2170,"")</f>
        <v/>
      </c>
      <c r="E2170" s="10">
        <f>IFERROR(C2170/B2170,"")</f>
        <v/>
      </c>
      <c r="F2170" s="11">
        <f>IFERROR((D2170/D2169-1)*100,"")</f>
        <v/>
      </c>
      <c r="G2170" s="11">
        <f>IFERROR((COUNTIF($D$1919:$D$2170,"&lt;"&amp;D2170)+0.5*COUNTIF($D$1919:$D$2170,D2170))/COUNT($D$1919:$D$2170)*100,"")</f>
        <v/>
      </c>
      <c r="H2170" s="10">
        <f>IFERROR(AVERAGE($D$1919:$D$2170),"")</f>
        <v/>
      </c>
      <c r="I2170" s="10" t="n">
        <v>-0.8441894759541042</v>
      </c>
      <c r="J2170" t="inlineStr"/>
      <c r="K2170" t="inlineStr"/>
    </row>
    <row r="2171">
      <c r="A2171" s="7" t="inlineStr">
        <is>
          <t>2023-01-30</t>
        </is>
      </c>
      <c r="B2171" s="8">
        <f>IFERROR(VLOOKUP($A2171,'01-原始价格'!$A:$M,2,FALSE),"")</f>
        <v/>
      </c>
      <c r="C2171" s="8">
        <f>IFERROR(VLOOKUP($A2171,'01-原始价格'!$A:$M,8,FALSE),"")</f>
        <v/>
      </c>
      <c r="D2171" s="10">
        <f>IFERROR(B2171/C2171,"")</f>
        <v/>
      </c>
      <c r="E2171" s="10">
        <f>IFERROR(C2171/B2171,"")</f>
        <v/>
      </c>
      <c r="F2171" s="11">
        <f>IFERROR((D2171/D2170-1)*100,"")</f>
        <v/>
      </c>
      <c r="G2171" s="11">
        <f>IFERROR((COUNTIF($D$1920:$D$2171,"&lt;"&amp;D2171)+0.5*COUNTIF($D$1920:$D$2171,D2171))/COUNT($D$1920:$D$2171)*100,"")</f>
        <v/>
      </c>
      <c r="H2171" s="10">
        <f>IFERROR(AVERAGE($D$1920:$D$2171),"")</f>
        <v/>
      </c>
      <c r="I2171" s="10" t="n">
        <v>-0.6095521803602399</v>
      </c>
      <c r="J2171" t="inlineStr"/>
      <c r="K2171" t="inlineStr"/>
    </row>
    <row r="2172">
      <c r="A2172" s="7" t="inlineStr">
        <is>
          <t>2023-01-31</t>
        </is>
      </c>
      <c r="B2172" s="8">
        <f>IFERROR(VLOOKUP($A2172,'01-原始价格'!$A:$M,2,FALSE),"")</f>
        <v/>
      </c>
      <c r="C2172" s="8">
        <f>IFERROR(VLOOKUP($A2172,'01-原始价格'!$A:$M,8,FALSE),"")</f>
        <v/>
      </c>
      <c r="D2172" s="10">
        <f>IFERROR(B2172/C2172,"")</f>
        <v/>
      </c>
      <c r="E2172" s="10">
        <f>IFERROR(C2172/B2172,"")</f>
        <v/>
      </c>
      <c r="F2172" s="11">
        <f>IFERROR((D2172/D2171-1)*100,"")</f>
        <v/>
      </c>
      <c r="G2172" s="11">
        <f>IFERROR((COUNTIF($D$1921:$D$2172,"&lt;"&amp;D2172)+0.5*COUNTIF($D$1921:$D$2172,D2172))/COUNT($D$1921:$D$2172)*100,"")</f>
        <v/>
      </c>
      <c r="H2172" s="10">
        <f>IFERROR(AVERAGE($D$1921:$D$2172),"")</f>
        <v/>
      </c>
      <c r="I2172" s="10" t="n">
        <v>-0.3203355359286624</v>
      </c>
      <c r="J2172" t="inlineStr"/>
      <c r="K2172" t="inlineStr"/>
    </row>
    <row r="2173">
      <c r="A2173" s="7" t="inlineStr">
        <is>
          <t>2023-02-01</t>
        </is>
      </c>
      <c r="B2173" s="8">
        <f>IFERROR(VLOOKUP($A2173,'01-原始价格'!$A:$M,2,FALSE),"")</f>
        <v/>
      </c>
      <c r="C2173" s="8">
        <f>IFERROR(VLOOKUP($A2173,'01-原始价格'!$A:$M,8,FALSE),"")</f>
        <v/>
      </c>
      <c r="D2173" s="10">
        <f>IFERROR(B2173/C2173,"")</f>
        <v/>
      </c>
      <c r="E2173" s="10">
        <f>IFERROR(C2173/B2173,"")</f>
        <v/>
      </c>
      <c r="F2173" s="11">
        <f>IFERROR((D2173/D2172-1)*100,"")</f>
        <v/>
      </c>
      <c r="G2173" s="11">
        <f>IFERROR((COUNTIF($D$1922:$D$2173,"&lt;"&amp;D2173)+0.5*COUNTIF($D$1922:$D$2173,D2173))/COUNT($D$1922:$D$2173)*100,"")</f>
        <v/>
      </c>
      <c r="H2173" s="10">
        <f>IFERROR(AVERAGE($D$1922:$D$2173),"")</f>
        <v/>
      </c>
      <c r="I2173" s="10" t="n">
        <v>-0.4734095704068876</v>
      </c>
      <c r="J2173" t="inlineStr"/>
      <c r="K2173" t="inlineStr"/>
    </row>
    <row r="2174">
      <c r="A2174" s="7" t="inlineStr">
        <is>
          <t>2023-02-02</t>
        </is>
      </c>
      <c r="B2174" s="8">
        <f>IFERROR(VLOOKUP($A2174,'01-原始价格'!$A:$M,2,FALSE),"")</f>
        <v/>
      </c>
      <c r="C2174" s="8">
        <f>IFERROR(VLOOKUP($A2174,'01-原始价格'!$A:$M,8,FALSE),"")</f>
        <v/>
      </c>
      <c r="D2174" s="10">
        <f>IFERROR(B2174/C2174,"")</f>
        <v/>
      </c>
      <c r="E2174" s="10">
        <f>IFERROR(C2174/B2174,"")</f>
        <v/>
      </c>
      <c r="F2174" s="11">
        <f>IFERROR((D2174/D2173-1)*100,"")</f>
        <v/>
      </c>
      <c r="G2174" s="11">
        <f>IFERROR((COUNTIF($D$1923:$D$2174,"&lt;"&amp;D2174)+0.5*COUNTIF($D$1923:$D$2174,D2174))/COUNT($D$1923:$D$2174)*100,"")</f>
        <v/>
      </c>
      <c r="H2174" s="10">
        <f>IFERROR(AVERAGE($D$1923:$D$2174),"")</f>
        <v/>
      </c>
      <c r="I2174" s="10" t="n">
        <v>-0.5801269367301468</v>
      </c>
      <c r="J2174" t="inlineStr"/>
      <c r="K2174" t="inlineStr"/>
    </row>
    <row r="2175">
      <c r="A2175" s="7" t="inlineStr">
        <is>
          <t>2023-02-03</t>
        </is>
      </c>
      <c r="B2175" s="8">
        <f>IFERROR(VLOOKUP($A2175,'01-原始价格'!$A:$M,2,FALSE),"")</f>
        <v/>
      </c>
      <c r="C2175" s="8">
        <f>IFERROR(VLOOKUP($A2175,'01-原始价格'!$A:$M,8,FALSE),"")</f>
        <v/>
      </c>
      <c r="D2175" s="10">
        <f>IFERROR(B2175/C2175,"")</f>
        <v/>
      </c>
      <c r="E2175" s="10">
        <f>IFERROR(C2175/B2175,"")</f>
        <v/>
      </c>
      <c r="F2175" s="11">
        <f>IFERROR((D2175/D2174-1)*100,"")</f>
        <v/>
      </c>
      <c r="G2175" s="11">
        <f>IFERROR((COUNTIF($D$1924:$D$2175,"&lt;"&amp;D2175)+0.5*COUNTIF($D$1924:$D$2175,D2175))/COUNT($D$1924:$D$2175)*100,"")</f>
        <v/>
      </c>
      <c r="H2175" s="10">
        <f>IFERROR(AVERAGE($D$1924:$D$2175),"")</f>
        <v/>
      </c>
      <c r="I2175" s="10" t="n">
        <v>-0.727864546868907</v>
      </c>
      <c r="J2175" t="inlineStr"/>
      <c r="K2175" t="inlineStr"/>
    </row>
    <row r="2176">
      <c r="A2176" s="7" t="inlineStr">
        <is>
          <t>2023-02-06</t>
        </is>
      </c>
      <c r="B2176" s="8">
        <f>IFERROR(VLOOKUP($A2176,'01-原始价格'!$A:$M,2,FALSE),"")</f>
        <v/>
      </c>
      <c r="C2176" s="8">
        <f>IFERROR(VLOOKUP($A2176,'01-原始价格'!$A:$M,8,FALSE),"")</f>
        <v/>
      </c>
      <c r="D2176" s="10">
        <f>IFERROR(B2176/C2176,"")</f>
        <v/>
      </c>
      <c r="E2176" s="10">
        <f>IFERROR(C2176/B2176,"")</f>
        <v/>
      </c>
      <c r="F2176" s="11">
        <f>IFERROR((D2176/D2175-1)*100,"")</f>
        <v/>
      </c>
      <c r="G2176" s="11">
        <f>IFERROR((COUNTIF($D$1925:$D$2176,"&lt;"&amp;D2176)+0.5*COUNTIF($D$1925:$D$2176,D2176))/COUNT($D$1925:$D$2176)*100,"")</f>
        <v/>
      </c>
      <c r="H2176" s="10">
        <f>IFERROR(AVERAGE($D$1925:$D$2176),"")</f>
        <v/>
      </c>
      <c r="I2176" s="10" t="n">
        <v>-0.5918880162908706</v>
      </c>
      <c r="J2176" t="inlineStr"/>
      <c r="K2176" t="inlineStr"/>
    </row>
    <row r="2177">
      <c r="A2177" s="7" t="inlineStr">
        <is>
          <t>2023-02-07</t>
        </is>
      </c>
      <c r="B2177" s="8">
        <f>IFERROR(VLOOKUP($A2177,'01-原始价格'!$A:$M,2,FALSE),"")</f>
        <v/>
      </c>
      <c r="C2177" s="8">
        <f>IFERROR(VLOOKUP($A2177,'01-原始价格'!$A:$M,8,FALSE),"")</f>
        <v/>
      </c>
      <c r="D2177" s="10">
        <f>IFERROR(B2177/C2177,"")</f>
        <v/>
      </c>
      <c r="E2177" s="10">
        <f>IFERROR(C2177/B2177,"")</f>
        <v/>
      </c>
      <c r="F2177" s="11">
        <f>IFERROR((D2177/D2176-1)*100,"")</f>
        <v/>
      </c>
      <c r="G2177" s="11">
        <f>IFERROR((COUNTIF($D$1926:$D$2177,"&lt;"&amp;D2177)+0.5*COUNTIF($D$1926:$D$2177,D2177))/COUNT($D$1926:$D$2177)*100,"")</f>
        <v/>
      </c>
      <c r="H2177" s="10">
        <f>IFERROR(AVERAGE($D$1926:$D$2177),"")</f>
        <v/>
      </c>
      <c r="I2177" s="10" t="n">
        <v>-0.5166273164170938</v>
      </c>
      <c r="J2177" t="inlineStr"/>
      <c r="K2177" t="inlineStr"/>
    </row>
    <row r="2178">
      <c r="A2178" s="7" t="inlineStr">
        <is>
          <t>2023-02-08</t>
        </is>
      </c>
      <c r="B2178" s="8">
        <f>IFERROR(VLOOKUP($A2178,'01-原始价格'!$A:$M,2,FALSE),"")</f>
        <v/>
      </c>
      <c r="C2178" s="8">
        <f>IFERROR(VLOOKUP($A2178,'01-原始价格'!$A:$M,8,FALSE),"")</f>
        <v/>
      </c>
      <c r="D2178" s="10">
        <f>IFERROR(B2178/C2178,"")</f>
        <v/>
      </c>
      <c r="E2178" s="10">
        <f>IFERROR(C2178/B2178,"")</f>
        <v/>
      </c>
      <c r="F2178" s="11">
        <f>IFERROR((D2178/D2177-1)*100,"")</f>
        <v/>
      </c>
      <c r="G2178" s="11">
        <f>IFERROR((COUNTIF($D$1927:$D$2178,"&lt;"&amp;D2178)+0.5*COUNTIF($D$1927:$D$2178,D2178))/COUNT($D$1927:$D$2178)*100,"")</f>
        <v/>
      </c>
      <c r="H2178" s="10">
        <f>IFERROR(AVERAGE($D$1927:$D$2178),"")</f>
        <v/>
      </c>
      <c r="I2178" s="10" t="n">
        <v>-0.674212695043371</v>
      </c>
      <c r="J2178" t="inlineStr"/>
      <c r="K2178" t="inlineStr"/>
    </row>
    <row r="2179">
      <c r="A2179" s="7" t="inlineStr">
        <is>
          <t>2023-02-09</t>
        </is>
      </c>
      <c r="B2179" s="8">
        <f>IFERROR(VLOOKUP($A2179,'01-原始价格'!$A:$M,2,FALSE),"")</f>
        <v/>
      </c>
      <c r="C2179" s="8">
        <f>IFERROR(VLOOKUP($A2179,'01-原始价格'!$A:$M,8,FALSE),"")</f>
        <v/>
      </c>
      <c r="D2179" s="10">
        <f>IFERROR(B2179/C2179,"")</f>
        <v/>
      </c>
      <c r="E2179" s="10">
        <f>IFERROR(C2179/B2179,"")</f>
        <v/>
      </c>
      <c r="F2179" s="11">
        <f>IFERROR((D2179/D2178-1)*100,"")</f>
        <v/>
      </c>
      <c r="G2179" s="11">
        <f>IFERROR((COUNTIF($D$1928:$D$2179,"&lt;"&amp;D2179)+0.5*COUNTIF($D$1928:$D$2179,D2179))/COUNT($D$1928:$D$2179)*100,"")</f>
        <v/>
      </c>
      <c r="H2179" s="10">
        <f>IFERROR(AVERAGE($D$1928:$D$2179),"")</f>
        <v/>
      </c>
      <c r="I2179" s="10" t="n">
        <v>-0.8201962057786188</v>
      </c>
      <c r="J2179" t="inlineStr"/>
      <c r="K2179" t="inlineStr"/>
    </row>
    <row r="2180">
      <c r="A2180" s="7" t="inlineStr">
        <is>
          <t>2023-02-10</t>
        </is>
      </c>
      <c r="B2180" s="8">
        <f>IFERROR(VLOOKUP($A2180,'01-原始价格'!$A:$M,2,FALSE),"")</f>
        <v/>
      </c>
      <c r="C2180" s="8">
        <f>IFERROR(VLOOKUP($A2180,'01-原始价格'!$A:$M,8,FALSE),"")</f>
        <v/>
      </c>
      <c r="D2180" s="10">
        <f>IFERROR(B2180/C2180,"")</f>
        <v/>
      </c>
      <c r="E2180" s="10">
        <f>IFERROR(C2180/B2180,"")</f>
        <v/>
      </c>
      <c r="F2180" s="11">
        <f>IFERROR((D2180/D2179-1)*100,"")</f>
        <v/>
      </c>
      <c r="G2180" s="11">
        <f>IFERROR((COUNTIF($D$1929:$D$2180,"&lt;"&amp;D2180)+0.5*COUNTIF($D$1929:$D$2180,D2180))/COUNT($D$1929:$D$2180)*100,"")</f>
        <v/>
      </c>
      <c r="H2180" s="10">
        <f>IFERROR(AVERAGE($D$1929:$D$2180),"")</f>
        <v/>
      </c>
      <c r="I2180" s="10" t="n">
        <v>-0.7357218636066432</v>
      </c>
      <c r="J2180" t="inlineStr"/>
      <c r="K2180" t="inlineStr"/>
    </row>
    <row r="2181">
      <c r="A2181" s="7" t="inlineStr">
        <is>
          <t>2023-02-13</t>
        </is>
      </c>
      <c r="B2181" s="8">
        <f>IFERROR(VLOOKUP($A2181,'01-原始价格'!$A:$M,2,FALSE),"")</f>
        <v/>
      </c>
      <c r="C2181" s="8">
        <f>IFERROR(VLOOKUP($A2181,'01-原始价格'!$A:$M,8,FALSE),"")</f>
        <v/>
      </c>
      <c r="D2181" s="10">
        <f>IFERROR(B2181/C2181,"")</f>
        <v/>
      </c>
      <c r="E2181" s="10">
        <f>IFERROR(C2181/B2181,"")</f>
        <v/>
      </c>
      <c r="F2181" s="11">
        <f>IFERROR((D2181/D2180-1)*100,"")</f>
        <v/>
      </c>
      <c r="G2181" s="11">
        <f>IFERROR((COUNTIF($D$1930:$D$2181,"&lt;"&amp;D2181)+0.5*COUNTIF($D$1930:$D$2181,D2181))/COUNT($D$1930:$D$2181)*100,"")</f>
        <v/>
      </c>
      <c r="H2181" s="10">
        <f>IFERROR(AVERAGE($D$1930:$D$2181),"")</f>
        <v/>
      </c>
      <c r="I2181" s="10" t="n">
        <v>-0.9182172220109981</v>
      </c>
      <c r="J2181" t="inlineStr"/>
      <c r="K2181" t="inlineStr"/>
    </row>
    <row r="2182">
      <c r="A2182" s="7" t="inlineStr">
        <is>
          <t>2023-02-14</t>
        </is>
      </c>
      <c r="B2182" s="8">
        <f>IFERROR(VLOOKUP($A2182,'01-原始价格'!$A:$M,2,FALSE),"")</f>
        <v/>
      </c>
      <c r="C2182" s="8">
        <f>IFERROR(VLOOKUP($A2182,'01-原始价格'!$A:$M,8,FALSE),"")</f>
        <v/>
      </c>
      <c r="D2182" s="10">
        <f>IFERROR(B2182/C2182,"")</f>
        <v/>
      </c>
      <c r="E2182" s="10">
        <f>IFERROR(C2182/B2182,"")</f>
        <v/>
      </c>
      <c r="F2182" s="11">
        <f>IFERROR((D2182/D2181-1)*100,"")</f>
        <v/>
      </c>
      <c r="G2182" s="11">
        <f>IFERROR((COUNTIF($D$1931:$D$2182,"&lt;"&amp;D2182)+0.5*COUNTIF($D$1931:$D$2182,D2182))/COUNT($D$1931:$D$2182)*100,"")</f>
        <v/>
      </c>
      <c r="H2182" s="10">
        <f>IFERROR(AVERAGE($D$1931:$D$2182),"")</f>
        <v/>
      </c>
      <c r="I2182" s="10" t="n">
        <v>-1.057842769997511</v>
      </c>
      <c r="J2182" t="inlineStr"/>
      <c r="K2182" t="inlineStr"/>
    </row>
    <row r="2183">
      <c r="A2183" s="7" t="inlineStr">
        <is>
          <t>2023-02-15</t>
        </is>
      </c>
      <c r="B2183" s="8">
        <f>IFERROR(VLOOKUP($A2183,'01-原始价格'!$A:$M,2,FALSE),"")</f>
        <v/>
      </c>
      <c r="C2183" s="8">
        <f>IFERROR(VLOOKUP($A2183,'01-原始价格'!$A:$M,8,FALSE),"")</f>
        <v/>
      </c>
      <c r="D2183" s="10">
        <f>IFERROR(B2183/C2183,"")</f>
        <v/>
      </c>
      <c r="E2183" s="10">
        <f>IFERROR(C2183/B2183,"")</f>
        <v/>
      </c>
      <c r="F2183" s="11">
        <f>IFERROR((D2183/D2182-1)*100,"")</f>
        <v/>
      </c>
      <c r="G2183" s="11">
        <f>IFERROR((COUNTIF($D$1932:$D$2183,"&lt;"&amp;D2183)+0.5*COUNTIF($D$1932:$D$2183,D2183))/COUNT($D$1932:$D$2183)*100,"")</f>
        <v/>
      </c>
      <c r="H2183" s="10">
        <f>IFERROR(AVERAGE($D$1932:$D$2183),"")</f>
        <v/>
      </c>
      <c r="I2183" s="10" t="n">
        <v>-1.219039838973106</v>
      </c>
      <c r="J2183" t="inlineStr"/>
      <c r="K2183" t="inlineStr"/>
    </row>
    <row r="2184">
      <c r="A2184" s="7" t="inlineStr">
        <is>
          <t>2023-02-16</t>
        </is>
      </c>
      <c r="B2184" s="8">
        <f>IFERROR(VLOOKUP($A2184,'01-原始价格'!$A:$M,2,FALSE),"")</f>
        <v/>
      </c>
      <c r="C2184" s="8">
        <f>IFERROR(VLOOKUP($A2184,'01-原始价格'!$A:$M,8,FALSE),"")</f>
        <v/>
      </c>
      <c r="D2184" s="10">
        <f>IFERROR(B2184/C2184,"")</f>
        <v/>
      </c>
      <c r="E2184" s="10">
        <f>IFERROR(C2184/B2184,"")</f>
        <v/>
      </c>
      <c r="F2184" s="11">
        <f>IFERROR((D2184/D2183-1)*100,"")</f>
        <v/>
      </c>
      <c r="G2184" s="11">
        <f>IFERROR((COUNTIF($D$1933:$D$2184,"&lt;"&amp;D2184)+0.5*COUNTIF($D$1933:$D$2184,D2184))/COUNT($D$1933:$D$2184)*100,"")</f>
        <v/>
      </c>
      <c r="H2184" s="10">
        <f>IFERROR(AVERAGE($D$1933:$D$2184),"")</f>
        <v/>
      </c>
      <c r="I2184" s="10" t="n">
        <v>-1.202586905454347</v>
      </c>
      <c r="J2184" t="inlineStr"/>
      <c r="K2184" t="inlineStr"/>
    </row>
    <row r="2185">
      <c r="A2185" s="7" t="inlineStr">
        <is>
          <t>2023-02-17</t>
        </is>
      </c>
      <c r="B2185" s="8">
        <f>IFERROR(VLOOKUP($A2185,'01-原始价格'!$A:$M,2,FALSE),"")</f>
        <v/>
      </c>
      <c r="C2185" s="8">
        <f>IFERROR(VLOOKUP($A2185,'01-原始价格'!$A:$M,8,FALSE),"")</f>
        <v/>
      </c>
      <c r="D2185" s="10">
        <f>IFERROR(B2185/C2185,"")</f>
        <v/>
      </c>
      <c r="E2185" s="10">
        <f>IFERROR(C2185/B2185,"")</f>
        <v/>
      </c>
      <c r="F2185" s="11">
        <f>IFERROR((D2185/D2184-1)*100,"")</f>
        <v/>
      </c>
      <c r="G2185" s="11">
        <f>IFERROR((COUNTIF($D$1934:$D$2185,"&lt;"&amp;D2185)+0.5*COUNTIF($D$1934:$D$2185,D2185))/COUNT($D$1934:$D$2185)*100,"")</f>
        <v/>
      </c>
      <c r="H2185" s="10">
        <f>IFERROR(AVERAGE($D$1934:$D$2185),"")</f>
        <v/>
      </c>
      <c r="I2185" s="10" t="n">
        <v>-0.9112259758848517</v>
      </c>
      <c r="J2185" t="inlineStr"/>
      <c r="K2185" t="inlineStr"/>
    </row>
    <row r="2186">
      <c r="A2186" s="7" t="inlineStr">
        <is>
          <t>2023-02-20</t>
        </is>
      </c>
      <c r="B2186" s="8">
        <f>IFERROR(VLOOKUP($A2186,'01-原始价格'!$A:$M,2,FALSE),"")</f>
        <v/>
      </c>
      <c r="C2186" s="8">
        <f>IFERROR(VLOOKUP($A2186,'01-原始价格'!$A:$M,8,FALSE),"")</f>
        <v/>
      </c>
      <c r="D2186" s="10">
        <f>IFERROR(B2186/C2186,"")</f>
        <v/>
      </c>
      <c r="E2186" s="10">
        <f>IFERROR(C2186/B2186,"")</f>
        <v/>
      </c>
      <c r="F2186" s="11">
        <f>IFERROR((D2186/D2185-1)*100,"")</f>
        <v/>
      </c>
      <c r="G2186" s="11">
        <f>IFERROR((COUNTIF($D$1935:$D$2186,"&lt;"&amp;D2186)+0.5*COUNTIF($D$1935:$D$2186,D2186))/COUNT($D$1935:$D$2186)*100,"")</f>
        <v/>
      </c>
      <c r="H2186" s="10">
        <f>IFERROR(AVERAGE($D$1935:$D$2186),"")</f>
        <v/>
      </c>
      <c r="I2186" s="10" t="n">
        <v>-1.106778985452214</v>
      </c>
      <c r="J2186" t="inlineStr"/>
      <c r="K2186" t="inlineStr"/>
    </row>
    <row r="2187">
      <c r="A2187" s="7" t="inlineStr">
        <is>
          <t>2023-02-21</t>
        </is>
      </c>
      <c r="B2187" s="8">
        <f>IFERROR(VLOOKUP($A2187,'01-原始价格'!$A:$M,2,FALSE),"")</f>
        <v/>
      </c>
      <c r="C2187" s="8">
        <f>IFERROR(VLOOKUP($A2187,'01-原始价格'!$A:$M,8,FALSE),"")</f>
        <v/>
      </c>
      <c r="D2187" s="10">
        <f>IFERROR(B2187/C2187,"")</f>
        <v/>
      </c>
      <c r="E2187" s="10">
        <f>IFERROR(C2187/B2187,"")</f>
        <v/>
      </c>
      <c r="F2187" s="11">
        <f>IFERROR((D2187/D2186-1)*100,"")</f>
        <v/>
      </c>
      <c r="G2187" s="11">
        <f>IFERROR((COUNTIF($D$1936:$D$2187,"&lt;"&amp;D2187)+0.5*COUNTIF($D$1936:$D$2187,D2187))/COUNT($D$1936:$D$2187)*100,"")</f>
        <v/>
      </c>
      <c r="H2187" s="10">
        <f>IFERROR(AVERAGE($D$1936:$D$2187),"")</f>
        <v/>
      </c>
      <c r="I2187" s="10" t="n">
        <v>-1.142864669494032</v>
      </c>
      <c r="J2187" t="inlineStr"/>
      <c r="K2187" t="inlineStr"/>
    </row>
    <row r="2188">
      <c r="A2188" s="7" t="inlineStr">
        <is>
          <t>2023-02-22</t>
        </is>
      </c>
      <c r="B2188" s="8">
        <f>IFERROR(VLOOKUP($A2188,'01-原始价格'!$A:$M,2,FALSE),"")</f>
        <v/>
      </c>
      <c r="C2188" s="8">
        <f>IFERROR(VLOOKUP($A2188,'01-原始价格'!$A:$M,8,FALSE),"")</f>
        <v/>
      </c>
      <c r="D2188" s="10">
        <f>IFERROR(B2188/C2188,"")</f>
        <v/>
      </c>
      <c r="E2188" s="10">
        <f>IFERROR(C2188/B2188,"")</f>
        <v/>
      </c>
      <c r="F2188" s="11">
        <f>IFERROR((D2188/D2187-1)*100,"")</f>
        <v/>
      </c>
      <c r="G2188" s="11">
        <f>IFERROR((COUNTIF($D$1937:$D$2188,"&lt;"&amp;D2188)+0.5*COUNTIF($D$1937:$D$2188,D2188))/COUNT($D$1937:$D$2188)*100,"")</f>
        <v/>
      </c>
      <c r="H2188" s="10">
        <f>IFERROR(AVERAGE($D$1937:$D$2188),"")</f>
        <v/>
      </c>
      <c r="I2188" s="10" t="n">
        <v>-0.9840384289128037</v>
      </c>
      <c r="J2188" t="inlineStr"/>
      <c r="K2188" t="inlineStr"/>
    </row>
    <row r="2189">
      <c r="A2189" s="7" t="inlineStr">
        <is>
          <t>2023-02-23</t>
        </is>
      </c>
      <c r="B2189" s="8">
        <f>IFERROR(VLOOKUP($A2189,'01-原始价格'!$A:$M,2,FALSE),"")</f>
        <v/>
      </c>
      <c r="C2189" s="8">
        <f>IFERROR(VLOOKUP($A2189,'01-原始价格'!$A:$M,8,FALSE),"")</f>
        <v/>
      </c>
      <c r="D2189" s="10">
        <f>IFERROR(B2189/C2189,"")</f>
        <v/>
      </c>
      <c r="E2189" s="10">
        <f>IFERROR(C2189/B2189,"")</f>
        <v/>
      </c>
      <c r="F2189" s="11">
        <f>IFERROR((D2189/D2188-1)*100,"")</f>
        <v/>
      </c>
      <c r="G2189" s="11">
        <f>IFERROR((COUNTIF($D$1938:$D$2189,"&lt;"&amp;D2189)+0.5*COUNTIF($D$1938:$D$2189,D2189))/COUNT($D$1938:$D$2189)*100,"")</f>
        <v/>
      </c>
      <c r="H2189" s="10">
        <f>IFERROR(AVERAGE($D$1938:$D$2189),"")</f>
        <v/>
      </c>
      <c r="I2189" s="10" t="n">
        <v>-0.9865385095118376</v>
      </c>
      <c r="J2189" t="inlineStr"/>
      <c r="K2189" t="inlineStr"/>
    </row>
    <row r="2190">
      <c r="A2190" s="7" t="inlineStr">
        <is>
          <t>2023-02-24</t>
        </is>
      </c>
      <c r="B2190" s="8">
        <f>IFERROR(VLOOKUP($A2190,'01-原始价格'!$A:$M,2,FALSE),"")</f>
        <v/>
      </c>
      <c r="C2190" s="8">
        <f>IFERROR(VLOOKUP($A2190,'01-原始价格'!$A:$M,8,FALSE),"")</f>
        <v/>
      </c>
      <c r="D2190" s="10">
        <f>IFERROR(B2190/C2190,"")</f>
        <v/>
      </c>
      <c r="E2190" s="10">
        <f>IFERROR(C2190/B2190,"")</f>
        <v/>
      </c>
      <c r="F2190" s="11">
        <f>IFERROR((D2190/D2189-1)*100,"")</f>
        <v/>
      </c>
      <c r="G2190" s="11">
        <f>IFERROR((COUNTIF($D$1939:$D$2190,"&lt;"&amp;D2190)+0.5*COUNTIF($D$1939:$D$2190,D2190))/COUNT($D$1939:$D$2190)*100,"")</f>
        <v/>
      </c>
      <c r="H2190" s="10">
        <f>IFERROR(AVERAGE($D$1939:$D$2190),"")</f>
        <v/>
      </c>
      <c r="I2190" s="10" t="n">
        <v>-1.215842130515714</v>
      </c>
      <c r="J2190" t="inlineStr"/>
      <c r="K2190" t="inlineStr"/>
    </row>
    <row r="2191">
      <c r="A2191" s="7" t="inlineStr">
        <is>
          <t>2023-02-27</t>
        </is>
      </c>
      <c r="B2191" s="8">
        <f>IFERROR(VLOOKUP($A2191,'01-原始价格'!$A:$M,2,FALSE),"")</f>
        <v/>
      </c>
      <c r="C2191" s="8">
        <f>IFERROR(VLOOKUP($A2191,'01-原始价格'!$A:$M,8,FALSE),"")</f>
        <v/>
      </c>
      <c r="D2191" s="10">
        <f>IFERROR(B2191/C2191,"")</f>
        <v/>
      </c>
      <c r="E2191" s="10">
        <f>IFERROR(C2191/B2191,"")</f>
        <v/>
      </c>
      <c r="F2191" s="11">
        <f>IFERROR((D2191/D2190-1)*100,"")</f>
        <v/>
      </c>
      <c r="G2191" s="11">
        <f>IFERROR((COUNTIF($D$1940:$D$2191,"&lt;"&amp;D2191)+0.5*COUNTIF($D$1940:$D$2191,D2191))/COUNT($D$1940:$D$2191)*100,"")</f>
        <v/>
      </c>
      <c r="H2191" s="10">
        <f>IFERROR(AVERAGE($D$1940:$D$2191),"")</f>
        <v/>
      </c>
      <c r="I2191" s="10" t="n">
        <v>-1.282302945857901</v>
      </c>
      <c r="J2191" t="inlineStr"/>
      <c r="K2191" t="inlineStr"/>
    </row>
    <row r="2192">
      <c r="A2192" s="7" t="inlineStr">
        <is>
          <t>2023-02-28</t>
        </is>
      </c>
      <c r="B2192" s="8">
        <f>IFERROR(VLOOKUP($A2192,'01-原始价格'!$A:$M,2,FALSE),"")</f>
        <v/>
      </c>
      <c r="C2192" s="8">
        <f>IFERROR(VLOOKUP($A2192,'01-原始价格'!$A:$M,8,FALSE),"")</f>
        <v/>
      </c>
      <c r="D2192" s="10">
        <f>IFERROR(B2192/C2192,"")</f>
        <v/>
      </c>
      <c r="E2192" s="10">
        <f>IFERROR(C2192/B2192,"")</f>
        <v/>
      </c>
      <c r="F2192" s="11">
        <f>IFERROR((D2192/D2191-1)*100,"")</f>
        <v/>
      </c>
      <c r="G2192" s="11">
        <f>IFERROR((COUNTIF($D$1941:$D$2192,"&lt;"&amp;D2192)+0.5*COUNTIF($D$1941:$D$2192,D2192))/COUNT($D$1941:$D$2192)*100,"")</f>
        <v/>
      </c>
      <c r="H2192" s="10">
        <f>IFERROR(AVERAGE($D$1941:$D$2192),"")</f>
        <v/>
      </c>
      <c r="I2192" s="10" t="n">
        <v>-1.347848606102525</v>
      </c>
      <c r="J2192" t="inlineStr"/>
      <c r="K2192" t="inlineStr"/>
    </row>
    <row r="2193">
      <c r="A2193" s="7" t="inlineStr">
        <is>
          <t>2023-03-01</t>
        </is>
      </c>
      <c r="B2193" s="8">
        <f>IFERROR(VLOOKUP($A2193,'01-原始价格'!$A:$M,2,FALSE),"")</f>
        <v/>
      </c>
      <c r="C2193" s="8">
        <f>IFERROR(VLOOKUP($A2193,'01-原始价格'!$A:$M,8,FALSE),"")</f>
        <v/>
      </c>
      <c r="D2193" s="10">
        <f>IFERROR(B2193/C2193,"")</f>
        <v/>
      </c>
      <c r="E2193" s="10">
        <f>IFERROR(C2193/B2193,"")</f>
        <v/>
      </c>
      <c r="F2193" s="11">
        <f>IFERROR((D2193/D2192-1)*100,"")</f>
        <v/>
      </c>
      <c r="G2193" s="11">
        <f>IFERROR((COUNTIF($D$1942:$D$2193,"&lt;"&amp;D2193)+0.5*COUNTIF($D$1942:$D$2193,D2193))/COUNT($D$1942:$D$2193)*100,"")</f>
        <v/>
      </c>
      <c r="H2193" s="10">
        <f>IFERROR(AVERAGE($D$1942:$D$2193),"")</f>
        <v/>
      </c>
      <c r="I2193" s="10" t="n">
        <v>-1.458534180775202</v>
      </c>
      <c r="J2193" t="inlineStr"/>
      <c r="K2193" t="inlineStr"/>
    </row>
    <row r="2194">
      <c r="A2194" s="7" t="inlineStr">
        <is>
          <t>2023-03-02</t>
        </is>
      </c>
      <c r="B2194" s="8">
        <f>IFERROR(VLOOKUP($A2194,'01-原始价格'!$A:$M,2,FALSE),"")</f>
        <v/>
      </c>
      <c r="C2194" s="8">
        <f>IFERROR(VLOOKUP($A2194,'01-原始价格'!$A:$M,8,FALSE),"")</f>
        <v/>
      </c>
      <c r="D2194" s="10">
        <f>IFERROR(B2194/C2194,"")</f>
        <v/>
      </c>
      <c r="E2194" s="10">
        <f>IFERROR(C2194/B2194,"")</f>
        <v/>
      </c>
      <c r="F2194" s="11">
        <f>IFERROR((D2194/D2193-1)*100,"")</f>
        <v/>
      </c>
      <c r="G2194" s="11">
        <f>IFERROR((COUNTIF($D$1943:$D$2194,"&lt;"&amp;D2194)+0.5*COUNTIF($D$1943:$D$2194,D2194))/COUNT($D$1943:$D$2194)*100,"")</f>
        <v/>
      </c>
      <c r="H2194" s="10">
        <f>IFERROR(AVERAGE($D$1943:$D$2194),"")</f>
        <v/>
      </c>
      <c r="I2194" s="10" t="n">
        <v>-1.440275643617649</v>
      </c>
      <c r="J2194" t="inlineStr"/>
      <c r="K2194" t="inlineStr"/>
    </row>
    <row r="2195">
      <c r="A2195" s="7" t="inlineStr">
        <is>
          <t>2023-03-03</t>
        </is>
      </c>
      <c r="B2195" s="8">
        <f>IFERROR(VLOOKUP($A2195,'01-原始价格'!$A:$M,2,FALSE),"")</f>
        <v/>
      </c>
      <c r="C2195" s="8">
        <f>IFERROR(VLOOKUP($A2195,'01-原始价格'!$A:$M,8,FALSE),"")</f>
        <v/>
      </c>
      <c r="D2195" s="10">
        <f>IFERROR(B2195/C2195,"")</f>
        <v/>
      </c>
      <c r="E2195" s="10">
        <f>IFERROR(C2195/B2195,"")</f>
        <v/>
      </c>
      <c r="F2195" s="11">
        <f>IFERROR((D2195/D2194-1)*100,"")</f>
        <v/>
      </c>
      <c r="G2195" s="11">
        <f>IFERROR((COUNTIF($D$1944:$D$2195,"&lt;"&amp;D2195)+0.5*COUNTIF($D$1944:$D$2195,D2195))/COUNT($D$1944:$D$2195)*100,"")</f>
        <v/>
      </c>
      <c r="H2195" s="10">
        <f>IFERROR(AVERAGE($D$1944:$D$2195),"")</f>
        <v/>
      </c>
      <c r="I2195" s="10" t="n">
        <v>-1.361764284912244</v>
      </c>
      <c r="J2195" t="inlineStr"/>
      <c r="K2195" t="inlineStr"/>
    </row>
    <row r="2196">
      <c r="A2196" s="7" t="inlineStr">
        <is>
          <t>2023-03-06</t>
        </is>
      </c>
      <c r="B2196" s="8">
        <f>IFERROR(VLOOKUP($A2196,'01-原始价格'!$A:$M,2,FALSE),"")</f>
        <v/>
      </c>
      <c r="C2196" s="8">
        <f>IFERROR(VLOOKUP($A2196,'01-原始价格'!$A:$M,8,FALSE),"")</f>
        <v/>
      </c>
      <c r="D2196" s="10">
        <f>IFERROR(B2196/C2196,"")</f>
        <v/>
      </c>
      <c r="E2196" s="10">
        <f>IFERROR(C2196/B2196,"")</f>
        <v/>
      </c>
      <c r="F2196" s="11">
        <f>IFERROR((D2196/D2195-1)*100,"")</f>
        <v/>
      </c>
      <c r="G2196" s="11">
        <f>IFERROR((COUNTIF($D$1945:$D$2196,"&lt;"&amp;D2196)+0.5*COUNTIF($D$1945:$D$2196,D2196))/COUNT($D$1945:$D$2196)*100,"")</f>
        <v/>
      </c>
      <c r="H2196" s="10">
        <f>IFERROR(AVERAGE($D$1945:$D$2196),"")</f>
        <v/>
      </c>
      <c r="I2196" s="10" t="n">
        <v>-0.9147226590052786</v>
      </c>
      <c r="J2196" t="inlineStr"/>
      <c r="K2196" t="inlineStr"/>
    </row>
    <row r="2197">
      <c r="A2197" s="7" t="inlineStr">
        <is>
          <t>2023-03-07</t>
        </is>
      </c>
      <c r="B2197" s="8">
        <f>IFERROR(VLOOKUP($A2197,'01-原始价格'!$A:$M,2,FALSE),"")</f>
        <v/>
      </c>
      <c r="C2197" s="8">
        <f>IFERROR(VLOOKUP($A2197,'01-原始价格'!$A:$M,8,FALSE),"")</f>
        <v/>
      </c>
      <c r="D2197" s="10">
        <f>IFERROR(B2197/C2197,"")</f>
        <v/>
      </c>
      <c r="E2197" s="10">
        <f>IFERROR(C2197/B2197,"")</f>
        <v/>
      </c>
      <c r="F2197" s="11">
        <f>IFERROR((D2197/D2196-1)*100,"")</f>
        <v/>
      </c>
      <c r="G2197" s="11">
        <f>IFERROR((COUNTIF($D$1946:$D$2197,"&lt;"&amp;D2197)+0.5*COUNTIF($D$1946:$D$2197,D2197))/COUNT($D$1946:$D$2197)*100,"")</f>
        <v/>
      </c>
      <c r="H2197" s="10">
        <f>IFERROR(AVERAGE($D$1946:$D$2197),"")</f>
        <v/>
      </c>
      <c r="I2197" s="10" t="n">
        <v>-1.122409306313964</v>
      </c>
      <c r="J2197" t="inlineStr"/>
      <c r="K2197" t="inlineStr"/>
    </row>
    <row r="2198">
      <c r="A2198" s="7" t="inlineStr">
        <is>
          <t>2023-03-08</t>
        </is>
      </c>
      <c r="B2198" s="8">
        <f>IFERROR(VLOOKUP($A2198,'01-原始价格'!$A:$M,2,FALSE),"")</f>
        <v/>
      </c>
      <c r="C2198" s="8">
        <f>IFERROR(VLOOKUP($A2198,'01-原始价格'!$A:$M,8,FALSE),"")</f>
        <v/>
      </c>
      <c r="D2198" s="10">
        <f>IFERROR(B2198/C2198,"")</f>
        <v/>
      </c>
      <c r="E2198" s="10">
        <f>IFERROR(C2198/B2198,"")</f>
        <v/>
      </c>
      <c r="F2198" s="11">
        <f>IFERROR((D2198/D2197-1)*100,"")</f>
        <v/>
      </c>
      <c r="G2198" s="11">
        <f>IFERROR((COUNTIF($D$1947:$D$2198,"&lt;"&amp;D2198)+0.5*COUNTIF($D$1947:$D$2198,D2198))/COUNT($D$1947:$D$2198)*100,"")</f>
        <v/>
      </c>
      <c r="H2198" s="10">
        <f>IFERROR(AVERAGE($D$1947:$D$2198),"")</f>
        <v/>
      </c>
      <c r="I2198" s="10" t="n">
        <v>-1.277803858240497</v>
      </c>
      <c r="J2198" t="inlineStr"/>
      <c r="K2198" t="inlineStr"/>
    </row>
    <row r="2199">
      <c r="A2199" s="7" t="inlineStr">
        <is>
          <t>2023-03-09</t>
        </is>
      </c>
      <c r="B2199" s="8">
        <f>IFERROR(VLOOKUP($A2199,'01-原始价格'!$A:$M,2,FALSE),"")</f>
        <v/>
      </c>
      <c r="C2199" s="8">
        <f>IFERROR(VLOOKUP($A2199,'01-原始价格'!$A:$M,8,FALSE),"")</f>
        <v/>
      </c>
      <c r="D2199" s="10">
        <f>IFERROR(B2199/C2199,"")</f>
        <v/>
      </c>
      <c r="E2199" s="10">
        <f>IFERROR(C2199/B2199,"")</f>
        <v/>
      </c>
      <c r="F2199" s="11">
        <f>IFERROR((D2199/D2198-1)*100,"")</f>
        <v/>
      </c>
      <c r="G2199" s="11">
        <f>IFERROR((COUNTIF($D$1948:$D$2199,"&lt;"&amp;D2199)+0.5*COUNTIF($D$1948:$D$2199,D2199))/COUNT($D$1948:$D$2199)*100,"")</f>
        <v/>
      </c>
      <c r="H2199" s="10">
        <f>IFERROR(AVERAGE($D$1948:$D$2199),"")</f>
        <v/>
      </c>
      <c r="I2199" s="10" t="n">
        <v>-1.186531862903685</v>
      </c>
      <c r="J2199" t="inlineStr"/>
      <c r="K2199" t="inlineStr"/>
    </row>
    <row r="2200">
      <c r="A2200" s="7" t="inlineStr">
        <is>
          <t>2023-03-10</t>
        </is>
      </c>
      <c r="B2200" s="8">
        <f>IFERROR(VLOOKUP($A2200,'01-原始价格'!$A:$M,2,FALSE),"")</f>
        <v/>
      </c>
      <c r="C2200" s="8">
        <f>IFERROR(VLOOKUP($A2200,'01-原始价格'!$A:$M,8,FALSE),"")</f>
        <v/>
      </c>
      <c r="D2200" s="10">
        <f>IFERROR(B2200/C2200,"")</f>
        <v/>
      </c>
      <c r="E2200" s="10">
        <f>IFERROR(C2200/B2200,"")</f>
        <v/>
      </c>
      <c r="F2200" s="11">
        <f>IFERROR((D2200/D2199-1)*100,"")</f>
        <v/>
      </c>
      <c r="G2200" s="11">
        <f>IFERROR((COUNTIF($D$1949:$D$2200,"&lt;"&amp;D2200)+0.5*COUNTIF($D$1949:$D$2200,D2200))/COUNT($D$1949:$D$2200)*100,"")</f>
        <v/>
      </c>
      <c r="H2200" s="10">
        <f>IFERROR(AVERAGE($D$1949:$D$2200),"")</f>
        <v/>
      </c>
      <c r="I2200" s="10" t="n">
        <v>-1.370901347042215</v>
      </c>
      <c r="J2200" t="inlineStr"/>
      <c r="K2200" t="inlineStr"/>
    </row>
    <row r="2201">
      <c r="A2201" s="7" t="inlineStr">
        <is>
          <t>2023-03-13</t>
        </is>
      </c>
      <c r="B2201" s="8">
        <f>IFERROR(VLOOKUP($A2201,'01-原始价格'!$A:$M,2,FALSE),"")</f>
        <v/>
      </c>
      <c r="C2201" s="8">
        <f>IFERROR(VLOOKUP($A2201,'01-原始价格'!$A:$M,8,FALSE),"")</f>
        <v/>
      </c>
      <c r="D2201" s="10">
        <f>IFERROR(B2201/C2201,"")</f>
        <v/>
      </c>
      <c r="E2201" s="10">
        <f>IFERROR(C2201/B2201,"")</f>
        <v/>
      </c>
      <c r="F2201" s="11">
        <f>IFERROR((D2201/D2200-1)*100,"")</f>
        <v/>
      </c>
      <c r="G2201" s="11">
        <f>IFERROR((COUNTIF($D$1950:$D$2201,"&lt;"&amp;D2201)+0.5*COUNTIF($D$1950:$D$2201,D2201))/COUNT($D$1950:$D$2201)*100,"")</f>
        <v/>
      </c>
      <c r="H2201" s="10">
        <f>IFERROR(AVERAGE($D$1950:$D$2201),"")</f>
        <v/>
      </c>
      <c r="I2201" s="10" t="n">
        <v>-1.410194436102394</v>
      </c>
      <c r="J2201" t="inlineStr"/>
      <c r="K2201" t="inlineStr"/>
    </row>
    <row r="2202">
      <c r="A2202" s="7" t="inlineStr">
        <is>
          <t>2023-03-14</t>
        </is>
      </c>
      <c r="B2202" s="8">
        <f>IFERROR(VLOOKUP($A2202,'01-原始价格'!$A:$M,2,FALSE),"")</f>
        <v/>
      </c>
      <c r="C2202" s="8">
        <f>IFERROR(VLOOKUP($A2202,'01-原始价格'!$A:$M,8,FALSE),"")</f>
        <v/>
      </c>
      <c r="D2202" s="10">
        <f>IFERROR(B2202/C2202,"")</f>
        <v/>
      </c>
      <c r="E2202" s="10">
        <f>IFERROR(C2202/B2202,"")</f>
        <v/>
      </c>
      <c r="F2202" s="11">
        <f>IFERROR((D2202/D2201-1)*100,"")</f>
        <v/>
      </c>
      <c r="G2202" s="11">
        <f>IFERROR((COUNTIF($D$1951:$D$2202,"&lt;"&amp;D2202)+0.5*COUNTIF($D$1951:$D$2202,D2202))/COUNT($D$1951:$D$2202)*100,"")</f>
        <v/>
      </c>
      <c r="H2202" s="10">
        <f>IFERROR(AVERAGE($D$1951:$D$2202),"")</f>
        <v/>
      </c>
      <c r="I2202" s="10" t="n">
        <v>-1.369924978764349</v>
      </c>
      <c r="J2202" t="inlineStr"/>
      <c r="K2202" t="inlineStr"/>
    </row>
    <row r="2203">
      <c r="A2203" s="7" t="inlineStr">
        <is>
          <t>2023-03-15</t>
        </is>
      </c>
      <c r="B2203" s="8">
        <f>IFERROR(VLOOKUP($A2203,'01-原始价格'!$A:$M,2,FALSE),"")</f>
        <v/>
      </c>
      <c r="C2203" s="8">
        <f>IFERROR(VLOOKUP($A2203,'01-原始价格'!$A:$M,8,FALSE),"")</f>
        <v/>
      </c>
      <c r="D2203" s="10">
        <f>IFERROR(B2203/C2203,"")</f>
        <v/>
      </c>
      <c r="E2203" s="10">
        <f>IFERROR(C2203/B2203,"")</f>
        <v/>
      </c>
      <c r="F2203" s="11">
        <f>IFERROR((D2203/D2202-1)*100,"")</f>
        <v/>
      </c>
      <c r="G2203" s="11">
        <f>IFERROR((COUNTIF($D$1952:$D$2203,"&lt;"&amp;D2203)+0.5*COUNTIF($D$1952:$D$2203,D2203))/COUNT($D$1952:$D$2203)*100,"")</f>
        <v/>
      </c>
      <c r="H2203" s="10">
        <f>IFERROR(AVERAGE($D$1952:$D$2203),"")</f>
        <v/>
      </c>
      <c r="I2203" s="10" t="n">
        <v>-1.528932032989479</v>
      </c>
      <c r="J2203" t="inlineStr"/>
      <c r="K2203" t="inlineStr"/>
    </row>
    <row r="2204">
      <c r="A2204" s="7" t="inlineStr">
        <is>
          <t>2023-03-16</t>
        </is>
      </c>
      <c r="B2204" s="8">
        <f>IFERROR(VLOOKUP($A2204,'01-原始价格'!$A:$M,2,FALSE),"")</f>
        <v/>
      </c>
      <c r="C2204" s="8">
        <f>IFERROR(VLOOKUP($A2204,'01-原始价格'!$A:$M,8,FALSE),"")</f>
        <v/>
      </c>
      <c r="D2204" s="10">
        <f>IFERROR(B2204/C2204,"")</f>
        <v/>
      </c>
      <c r="E2204" s="10">
        <f>IFERROR(C2204/B2204,"")</f>
        <v/>
      </c>
      <c r="F2204" s="11">
        <f>IFERROR((D2204/D2203-1)*100,"")</f>
        <v/>
      </c>
      <c r="G2204" s="11">
        <f>IFERROR((COUNTIF($D$1953:$D$2204,"&lt;"&amp;D2204)+0.5*COUNTIF($D$1953:$D$2204,D2204))/COUNT($D$1953:$D$2204)*100,"")</f>
        <v/>
      </c>
      <c r="H2204" s="10">
        <f>IFERROR(AVERAGE($D$1953:$D$2204),"")</f>
        <v/>
      </c>
      <c r="I2204" s="10" t="n">
        <v>-1.253921727170727</v>
      </c>
      <c r="J2204" t="inlineStr"/>
      <c r="K2204" t="inlineStr"/>
    </row>
    <row r="2205">
      <c r="A2205" s="7" t="inlineStr">
        <is>
          <t>2023-03-17</t>
        </is>
      </c>
      <c r="B2205" s="8">
        <f>IFERROR(VLOOKUP($A2205,'01-原始价格'!$A:$M,2,FALSE),"")</f>
        <v/>
      </c>
      <c r="C2205" s="8">
        <f>IFERROR(VLOOKUP($A2205,'01-原始价格'!$A:$M,8,FALSE),"")</f>
        <v/>
      </c>
      <c r="D2205" s="10">
        <f>IFERROR(B2205/C2205,"")</f>
        <v/>
      </c>
      <c r="E2205" s="10">
        <f>IFERROR(C2205/B2205,"")</f>
        <v/>
      </c>
      <c r="F2205" s="11">
        <f>IFERROR((D2205/D2204-1)*100,"")</f>
        <v/>
      </c>
      <c r="G2205" s="11">
        <f>IFERROR((COUNTIF($D$1954:$D$2205,"&lt;"&amp;D2205)+0.5*COUNTIF($D$1954:$D$2205,D2205))/COUNT($D$1954:$D$2205)*100,"")</f>
        <v/>
      </c>
      <c r="H2205" s="10">
        <f>IFERROR(AVERAGE($D$1954:$D$2205),"")</f>
        <v/>
      </c>
      <c r="I2205" s="10" t="n">
        <v>-1.43302292569521</v>
      </c>
      <c r="J2205" t="inlineStr"/>
      <c r="K2205" t="inlineStr"/>
    </row>
    <row r="2206">
      <c r="A2206" s="7" t="inlineStr">
        <is>
          <t>2023-03-20</t>
        </is>
      </c>
      <c r="B2206" s="8">
        <f>IFERROR(VLOOKUP($A2206,'01-原始价格'!$A:$M,2,FALSE),"")</f>
        <v/>
      </c>
      <c r="C2206" s="8">
        <f>IFERROR(VLOOKUP($A2206,'01-原始价格'!$A:$M,8,FALSE),"")</f>
        <v/>
      </c>
      <c r="D2206" s="10">
        <f>IFERROR(B2206/C2206,"")</f>
        <v/>
      </c>
      <c r="E2206" s="10">
        <f>IFERROR(C2206/B2206,"")</f>
        <v/>
      </c>
      <c r="F2206" s="11">
        <f>IFERROR((D2206/D2205-1)*100,"")</f>
        <v/>
      </c>
      <c r="G2206" s="11">
        <f>IFERROR((COUNTIF($D$1955:$D$2206,"&lt;"&amp;D2206)+0.5*COUNTIF($D$1955:$D$2206,D2206))/COUNT($D$1955:$D$2206)*100,"")</f>
        <v/>
      </c>
      <c r="H2206" s="10">
        <f>IFERROR(AVERAGE($D$1955:$D$2206),"")</f>
        <v/>
      </c>
      <c r="I2206" s="10" t="n">
        <v>-1.648995543122979</v>
      </c>
      <c r="J2206" t="inlineStr"/>
      <c r="K2206" t="inlineStr"/>
    </row>
    <row r="2207">
      <c r="A2207" s="7" t="inlineStr">
        <is>
          <t>2023-03-21</t>
        </is>
      </c>
      <c r="B2207" s="8">
        <f>IFERROR(VLOOKUP($A2207,'01-原始价格'!$A:$M,2,FALSE),"")</f>
        <v/>
      </c>
      <c r="C2207" s="8">
        <f>IFERROR(VLOOKUP($A2207,'01-原始价格'!$A:$M,8,FALSE),"")</f>
        <v/>
      </c>
      <c r="D2207" s="10">
        <f>IFERROR(B2207/C2207,"")</f>
        <v/>
      </c>
      <c r="E2207" s="10">
        <f>IFERROR(C2207/B2207,"")</f>
        <v/>
      </c>
      <c r="F2207" s="11">
        <f>IFERROR((D2207/D2206-1)*100,"")</f>
        <v/>
      </c>
      <c r="G2207" s="11">
        <f>IFERROR((COUNTIF($D$1956:$D$2207,"&lt;"&amp;D2207)+0.5*COUNTIF($D$1956:$D$2207,D2207))/COUNT($D$1956:$D$2207)*100,"")</f>
        <v/>
      </c>
      <c r="H2207" s="10">
        <f>IFERROR(AVERAGE($D$1956:$D$2207),"")</f>
        <v/>
      </c>
      <c r="I2207" s="10" t="n">
        <v>-1.784984895843221</v>
      </c>
      <c r="J2207" t="inlineStr"/>
      <c r="K2207" t="inlineStr"/>
    </row>
    <row r="2208">
      <c r="A2208" s="7" t="inlineStr">
        <is>
          <t>2023-03-22</t>
        </is>
      </c>
      <c r="B2208" s="8">
        <f>IFERROR(VLOOKUP($A2208,'01-原始价格'!$A:$M,2,FALSE),"")</f>
        <v/>
      </c>
      <c r="C2208" s="8">
        <f>IFERROR(VLOOKUP($A2208,'01-原始价格'!$A:$M,8,FALSE),"")</f>
        <v/>
      </c>
      <c r="D2208" s="10">
        <f>IFERROR(B2208/C2208,"")</f>
        <v/>
      </c>
      <c r="E2208" s="10">
        <f>IFERROR(C2208/B2208,"")</f>
        <v/>
      </c>
      <c r="F2208" s="11">
        <f>IFERROR((D2208/D2207-1)*100,"")</f>
        <v/>
      </c>
      <c r="G2208" s="11">
        <f>IFERROR((COUNTIF($D$1957:$D$2208,"&lt;"&amp;D2208)+0.5*COUNTIF($D$1957:$D$2208,D2208))/COUNT($D$1957:$D$2208)*100,"")</f>
        <v/>
      </c>
      <c r="H2208" s="10">
        <f>IFERROR(AVERAGE($D$1957:$D$2208),"")</f>
        <v/>
      </c>
      <c r="I2208" s="10" t="n">
        <v>-1.961992786813694</v>
      </c>
      <c r="J2208" t="inlineStr"/>
      <c r="K2208" t="inlineStr"/>
    </row>
    <row r="2209">
      <c r="A2209" s="7" t="inlineStr">
        <is>
          <t>2023-03-23</t>
        </is>
      </c>
      <c r="B2209" s="8">
        <f>IFERROR(VLOOKUP($A2209,'01-原始价格'!$A:$M,2,FALSE),"")</f>
        <v/>
      </c>
      <c r="C2209" s="8">
        <f>IFERROR(VLOOKUP($A2209,'01-原始价格'!$A:$M,8,FALSE),"")</f>
        <v/>
      </c>
      <c r="D2209" s="10">
        <f>IFERROR(B2209/C2209,"")</f>
        <v/>
      </c>
      <c r="E2209" s="10">
        <f>IFERROR(C2209/B2209,"")</f>
        <v/>
      </c>
      <c r="F2209" s="11">
        <f>IFERROR((D2209/D2208-1)*100,"")</f>
        <v/>
      </c>
      <c r="G2209" s="11">
        <f>IFERROR((COUNTIF($D$1958:$D$2209,"&lt;"&amp;D2209)+0.5*COUNTIF($D$1958:$D$2209,D2209))/COUNT($D$1958:$D$2209)*100,"")</f>
        <v/>
      </c>
      <c r="H2209" s="10">
        <f>IFERROR(AVERAGE($D$1958:$D$2209),"")</f>
        <v/>
      </c>
      <c r="I2209" s="10" t="n">
        <v>-1.625766842634445</v>
      </c>
      <c r="J2209" t="inlineStr"/>
      <c r="K2209" t="inlineStr"/>
    </row>
    <row r="2210">
      <c r="A2210" s="7" t="inlineStr">
        <is>
          <t>2023-03-24</t>
        </is>
      </c>
      <c r="B2210" s="8">
        <f>IFERROR(VLOOKUP($A2210,'01-原始价格'!$A:$M,2,FALSE),"")</f>
        <v/>
      </c>
      <c r="C2210" s="8">
        <f>IFERROR(VLOOKUP($A2210,'01-原始价格'!$A:$M,8,FALSE),"")</f>
        <v/>
      </c>
      <c r="D2210" s="10">
        <f>IFERROR(B2210/C2210,"")</f>
        <v/>
      </c>
      <c r="E2210" s="10">
        <f>IFERROR(C2210/B2210,"")</f>
        <v/>
      </c>
      <c r="F2210" s="11">
        <f>IFERROR((D2210/D2209-1)*100,"")</f>
        <v/>
      </c>
      <c r="G2210" s="11">
        <f>IFERROR((COUNTIF($D$1959:$D$2210,"&lt;"&amp;D2210)+0.5*COUNTIF($D$1959:$D$2210,D2210))/COUNT($D$1959:$D$2210)*100,"")</f>
        <v/>
      </c>
      <c r="H2210" s="10">
        <f>IFERROR(AVERAGE($D$1959:$D$2210),"")</f>
        <v/>
      </c>
      <c r="I2210" s="10" t="n">
        <v>-1.619668693898112</v>
      </c>
      <c r="J2210" t="inlineStr"/>
      <c r="K2210" t="inlineStr"/>
    </row>
    <row r="2211">
      <c r="A2211" s="7" t="inlineStr">
        <is>
          <t>2023-03-27</t>
        </is>
      </c>
      <c r="B2211" s="8">
        <f>IFERROR(VLOOKUP($A2211,'01-原始价格'!$A:$M,2,FALSE),"")</f>
        <v/>
      </c>
      <c r="C2211" s="8">
        <f>IFERROR(VLOOKUP($A2211,'01-原始价格'!$A:$M,8,FALSE),"")</f>
        <v/>
      </c>
      <c r="D2211" s="10">
        <f>IFERROR(B2211/C2211,"")</f>
        <v/>
      </c>
      <c r="E2211" s="10">
        <f>IFERROR(C2211/B2211,"")</f>
        <v/>
      </c>
      <c r="F2211" s="11">
        <f>IFERROR((D2211/D2210-1)*100,"")</f>
        <v/>
      </c>
      <c r="G2211" s="11">
        <f>IFERROR((COUNTIF($D$1960:$D$2211,"&lt;"&amp;D2211)+0.5*COUNTIF($D$1960:$D$2211,D2211))/COUNT($D$1960:$D$2211)*100,"")</f>
        <v/>
      </c>
      <c r="H2211" s="10">
        <f>IFERROR(AVERAGE($D$1960:$D$2211),"")</f>
        <v/>
      </c>
      <c r="I2211" s="10" t="n">
        <v>-1.408610783343291</v>
      </c>
      <c r="J2211" t="inlineStr"/>
      <c r="K2211" t="inlineStr"/>
    </row>
    <row r="2212">
      <c r="A2212" s="7" t="inlineStr">
        <is>
          <t>2023-03-28</t>
        </is>
      </c>
      <c r="B2212" s="8">
        <f>IFERROR(VLOOKUP($A2212,'01-原始价格'!$A:$M,2,FALSE),"")</f>
        <v/>
      </c>
      <c r="C2212" s="8">
        <f>IFERROR(VLOOKUP($A2212,'01-原始价格'!$A:$M,8,FALSE),"")</f>
        <v/>
      </c>
      <c r="D2212" s="10">
        <f>IFERROR(B2212/C2212,"")</f>
        <v/>
      </c>
      <c r="E2212" s="10">
        <f>IFERROR(C2212/B2212,"")</f>
        <v/>
      </c>
      <c r="F2212" s="11">
        <f>IFERROR((D2212/D2211-1)*100,"")</f>
        <v/>
      </c>
      <c r="G2212" s="11">
        <f>IFERROR((COUNTIF($D$1961:$D$2212,"&lt;"&amp;D2212)+0.5*COUNTIF($D$1961:$D$2212,D2212))/COUNT($D$1961:$D$2212)*100,"")</f>
        <v/>
      </c>
      <c r="H2212" s="10">
        <f>IFERROR(AVERAGE($D$1961:$D$2212),"")</f>
        <v/>
      </c>
      <c r="I2212" s="10" t="n">
        <v>-1.40773582370742</v>
      </c>
      <c r="J2212" t="inlineStr"/>
      <c r="K2212" t="inlineStr"/>
    </row>
    <row r="2213">
      <c r="A2213" s="7" t="inlineStr">
        <is>
          <t>2023-03-29</t>
        </is>
      </c>
      <c r="B2213" s="8">
        <f>IFERROR(VLOOKUP($A2213,'01-原始价格'!$A:$M,2,FALSE),"")</f>
        <v/>
      </c>
      <c r="C2213" s="8">
        <f>IFERROR(VLOOKUP($A2213,'01-原始价格'!$A:$M,8,FALSE),"")</f>
        <v/>
      </c>
      <c r="D2213" s="10">
        <f>IFERROR(B2213/C2213,"")</f>
        <v/>
      </c>
      <c r="E2213" s="10">
        <f>IFERROR(C2213/B2213,"")</f>
        <v/>
      </c>
      <c r="F2213" s="11">
        <f>IFERROR((D2213/D2212-1)*100,"")</f>
        <v/>
      </c>
      <c r="G2213" s="11">
        <f>IFERROR((COUNTIF($D$1962:$D$2213,"&lt;"&amp;D2213)+0.5*COUNTIF($D$1962:$D$2213,D2213))/COUNT($D$1962:$D$2213)*100,"")</f>
        <v/>
      </c>
      <c r="H2213" s="10">
        <f>IFERROR(AVERAGE($D$1962:$D$2213),"")</f>
        <v/>
      </c>
      <c r="I2213" s="10" t="n">
        <v>-1.42860363276466</v>
      </c>
      <c r="J2213" t="inlineStr"/>
      <c r="K2213" t="inlineStr"/>
    </row>
    <row r="2214">
      <c r="A2214" s="7" t="inlineStr">
        <is>
          <t>2023-03-30</t>
        </is>
      </c>
      <c r="B2214" s="8">
        <f>IFERROR(VLOOKUP($A2214,'01-原始价格'!$A:$M,2,FALSE),"")</f>
        <v/>
      </c>
      <c r="C2214" s="8">
        <f>IFERROR(VLOOKUP($A2214,'01-原始价格'!$A:$M,8,FALSE),"")</f>
        <v/>
      </c>
      <c r="D2214" s="10">
        <f>IFERROR(B2214/C2214,"")</f>
        <v/>
      </c>
      <c r="E2214" s="10">
        <f>IFERROR(C2214/B2214,"")</f>
        <v/>
      </c>
      <c r="F2214" s="11">
        <f>IFERROR((D2214/D2213-1)*100,"")</f>
        <v/>
      </c>
      <c r="G2214" s="11">
        <f>IFERROR((COUNTIF($D$1963:$D$2214,"&lt;"&amp;D2214)+0.5*COUNTIF($D$1963:$D$2214,D2214))/COUNT($D$1963:$D$2214)*100,"")</f>
        <v/>
      </c>
      <c r="H2214" s="10">
        <f>IFERROR(AVERAGE($D$1963:$D$2214),"")</f>
        <v/>
      </c>
      <c r="I2214" s="10" t="n">
        <v>-1.313325165815788</v>
      </c>
      <c r="J2214" t="inlineStr"/>
      <c r="K2214" t="inlineStr"/>
    </row>
    <row r="2215">
      <c r="A2215" s="7" t="inlineStr">
        <is>
          <t>2023-03-31</t>
        </is>
      </c>
      <c r="B2215" s="8">
        <f>IFERROR(VLOOKUP($A2215,'01-原始价格'!$A:$M,2,FALSE),"")</f>
        <v/>
      </c>
      <c r="C2215" s="8">
        <f>IFERROR(VLOOKUP($A2215,'01-原始价格'!$A:$M,8,FALSE),"")</f>
        <v/>
      </c>
      <c r="D2215" s="10">
        <f>IFERROR(B2215/C2215,"")</f>
        <v/>
      </c>
      <c r="E2215" s="10">
        <f>IFERROR(C2215/B2215,"")</f>
        <v/>
      </c>
      <c r="F2215" s="11">
        <f>IFERROR((D2215/D2214-1)*100,"")</f>
        <v/>
      </c>
      <c r="G2215" s="11">
        <f>IFERROR((COUNTIF($D$1964:$D$2215,"&lt;"&amp;D2215)+0.5*COUNTIF($D$1964:$D$2215,D2215))/COUNT($D$1964:$D$2215)*100,"")</f>
        <v/>
      </c>
      <c r="H2215" s="10">
        <f>IFERROR(AVERAGE($D$1964:$D$2215),"")</f>
        <v/>
      </c>
      <c r="I2215" s="10" t="n">
        <v>-1.473380990448627</v>
      </c>
      <c r="J2215" t="inlineStr"/>
      <c r="K2215" t="inlineStr"/>
    </row>
    <row r="2216">
      <c r="A2216" s="7" t="inlineStr">
        <is>
          <t>2023-04-03</t>
        </is>
      </c>
      <c r="B2216" s="8">
        <f>IFERROR(VLOOKUP($A2216,'01-原始价格'!$A:$M,2,FALSE),"")</f>
        <v/>
      </c>
      <c r="C2216" s="8">
        <f>IFERROR(VLOOKUP($A2216,'01-原始价格'!$A:$M,8,FALSE),"")</f>
        <v/>
      </c>
      <c r="D2216" s="10">
        <f>IFERROR(B2216/C2216,"")</f>
        <v/>
      </c>
      <c r="E2216" s="10">
        <f>IFERROR(C2216/B2216,"")</f>
        <v/>
      </c>
      <c r="F2216" s="11">
        <f>IFERROR((D2216/D2215-1)*100,"")</f>
        <v/>
      </c>
      <c r="G2216" s="11">
        <f>IFERROR((COUNTIF($D$1965:$D$2216,"&lt;"&amp;D2216)+0.5*COUNTIF($D$1965:$D$2216,D2216))/COUNT($D$1965:$D$2216)*100,"")</f>
        <v/>
      </c>
      <c r="H2216" s="10">
        <f>IFERROR(AVERAGE($D$1965:$D$2216),"")</f>
        <v/>
      </c>
      <c r="I2216" s="10" t="n">
        <v>-1.525264147591361</v>
      </c>
      <c r="J2216" t="inlineStr"/>
      <c r="K2216" t="inlineStr"/>
    </row>
    <row r="2217">
      <c r="A2217" s="7" t="inlineStr">
        <is>
          <t>2023-04-04</t>
        </is>
      </c>
      <c r="B2217" s="8">
        <f>IFERROR(VLOOKUP($A2217,'01-原始价格'!$A:$M,2,FALSE),"")</f>
        <v/>
      </c>
      <c r="C2217" s="8">
        <f>IFERROR(VLOOKUP($A2217,'01-原始价格'!$A:$M,8,FALSE),"")</f>
        <v/>
      </c>
      <c r="D2217" s="10">
        <f>IFERROR(B2217/C2217,"")</f>
        <v/>
      </c>
      <c r="E2217" s="10">
        <f>IFERROR(C2217/B2217,"")</f>
        <v/>
      </c>
      <c r="F2217" s="11">
        <f>IFERROR((D2217/D2216-1)*100,"")</f>
        <v/>
      </c>
      <c r="G2217" s="11">
        <f>IFERROR((COUNTIF($D$1966:$D$2217,"&lt;"&amp;D2217)+0.5*COUNTIF($D$1966:$D$2217,D2217))/COUNT($D$1966:$D$2217)*100,"")</f>
        <v/>
      </c>
      <c r="H2217" s="10">
        <f>IFERROR(AVERAGE($D$1966:$D$2217),"")</f>
        <v/>
      </c>
      <c r="I2217" s="10" t="n">
        <v>-1.532944410478552</v>
      </c>
      <c r="J2217" t="inlineStr"/>
      <c r="K2217" t="inlineStr"/>
    </row>
    <row r="2218">
      <c r="A2218" s="7" t="inlineStr">
        <is>
          <t>2023-04-06</t>
        </is>
      </c>
      <c r="B2218" s="8">
        <f>IFERROR(VLOOKUP($A2218,'01-原始价格'!$A:$M,2,FALSE),"")</f>
        <v/>
      </c>
      <c r="C2218" s="8">
        <f>IFERROR(VLOOKUP($A2218,'01-原始价格'!$A:$M,8,FALSE),"")</f>
        <v/>
      </c>
      <c r="D2218" s="10">
        <f>IFERROR(B2218/C2218,"")</f>
        <v/>
      </c>
      <c r="E2218" s="10">
        <f>IFERROR(C2218/B2218,"")</f>
        <v/>
      </c>
      <c r="F2218" s="11">
        <f>IFERROR((D2218/D2217-1)*100,"")</f>
        <v/>
      </c>
      <c r="G2218" s="11">
        <f>IFERROR((COUNTIF($D$1967:$D$2218,"&lt;"&amp;D2218)+0.5*COUNTIF($D$1967:$D$2218,D2218))/COUNT($D$1967:$D$2218)*100,"")</f>
        <v/>
      </c>
      <c r="H2218" s="10">
        <f>IFERROR(AVERAGE($D$1967:$D$2218),"")</f>
        <v/>
      </c>
      <c r="I2218" s="10" t="n">
        <v>-1.415372570467954</v>
      </c>
      <c r="J2218" t="inlineStr"/>
      <c r="K2218" t="inlineStr"/>
    </row>
    <row r="2219">
      <c r="A2219" s="7" t="inlineStr">
        <is>
          <t>2023-04-07</t>
        </is>
      </c>
      <c r="B2219" s="8">
        <f>IFERROR(VLOOKUP($A2219,'01-原始价格'!$A:$M,2,FALSE),"")</f>
        <v/>
      </c>
      <c r="C2219" s="8">
        <f>IFERROR(VLOOKUP($A2219,'01-原始价格'!$A:$M,8,FALSE),"")</f>
        <v/>
      </c>
      <c r="D2219" s="10">
        <f>IFERROR(B2219/C2219,"")</f>
        <v/>
      </c>
      <c r="E2219" s="10">
        <f>IFERROR(C2219/B2219,"")</f>
        <v/>
      </c>
      <c r="F2219" s="11">
        <f>IFERROR((D2219/D2218-1)*100,"")</f>
        <v/>
      </c>
      <c r="G2219" s="11">
        <f>IFERROR((COUNTIF($D$1968:$D$2219,"&lt;"&amp;D2219)+0.5*COUNTIF($D$1968:$D$2219,D2219))/COUNT($D$1968:$D$2219)*100,"")</f>
        <v/>
      </c>
      <c r="H2219" s="10">
        <f>IFERROR(AVERAGE($D$1968:$D$2219),"")</f>
        <v/>
      </c>
      <c r="I2219" s="10" t="n">
        <v>-1.629077937997076</v>
      </c>
      <c r="J2219" t="inlineStr"/>
      <c r="K2219" t="inlineStr"/>
    </row>
    <row r="2220">
      <c r="A2220" s="7" t="inlineStr">
        <is>
          <t>2023-04-10</t>
        </is>
      </c>
      <c r="B2220" s="8">
        <f>IFERROR(VLOOKUP($A2220,'01-原始价格'!$A:$M,2,FALSE),"")</f>
        <v/>
      </c>
      <c r="C2220" s="8">
        <f>IFERROR(VLOOKUP($A2220,'01-原始价格'!$A:$M,8,FALSE),"")</f>
        <v/>
      </c>
      <c r="D2220" s="10">
        <f>IFERROR(B2220/C2220,"")</f>
        <v/>
      </c>
      <c r="E2220" s="10">
        <f>IFERROR(C2220/B2220,"")</f>
        <v/>
      </c>
      <c r="F2220" s="11">
        <f>IFERROR((D2220/D2219-1)*100,"")</f>
        <v/>
      </c>
      <c r="G2220" s="11">
        <f>IFERROR((COUNTIF($D$1969:$D$2220,"&lt;"&amp;D2220)+0.5*COUNTIF($D$1969:$D$2220,D2220))/COUNT($D$1969:$D$2220)*100,"")</f>
        <v/>
      </c>
      <c r="H2220" s="10">
        <f>IFERROR(AVERAGE($D$1969:$D$2220),"")</f>
        <v/>
      </c>
      <c r="I2220" s="10" t="n">
        <v>-1.7848340329769</v>
      </c>
      <c r="J2220" t="inlineStr"/>
      <c r="K2220" t="inlineStr"/>
    </row>
    <row r="2221">
      <c r="A2221" s="7" t="inlineStr">
        <is>
          <t>2023-04-11</t>
        </is>
      </c>
      <c r="B2221" s="8">
        <f>IFERROR(VLOOKUP($A2221,'01-原始价格'!$A:$M,2,FALSE),"")</f>
        <v/>
      </c>
      <c r="C2221" s="8">
        <f>IFERROR(VLOOKUP($A2221,'01-原始价格'!$A:$M,8,FALSE),"")</f>
        <v/>
      </c>
      <c r="D2221" s="10">
        <f>IFERROR(B2221/C2221,"")</f>
        <v/>
      </c>
      <c r="E2221" s="10">
        <f>IFERROR(C2221/B2221,"")</f>
        <v/>
      </c>
      <c r="F2221" s="11">
        <f>IFERROR((D2221/D2220-1)*100,"")</f>
        <v/>
      </c>
      <c r="G2221" s="11">
        <f>IFERROR((COUNTIF($D$1970:$D$2221,"&lt;"&amp;D2221)+0.5*COUNTIF($D$1970:$D$2221,D2221))/COUNT($D$1970:$D$2221)*100,"")</f>
        <v/>
      </c>
      <c r="H2221" s="10">
        <f>IFERROR(AVERAGE($D$1970:$D$2221),"")</f>
        <v/>
      </c>
      <c r="I2221" s="10" t="n">
        <v>-1.744357228965758</v>
      </c>
      <c r="J2221" t="inlineStr"/>
      <c r="K2221" t="inlineStr"/>
    </row>
    <row r="2222">
      <c r="A2222" s="7" t="inlineStr">
        <is>
          <t>2023-04-12</t>
        </is>
      </c>
      <c r="B2222" s="8">
        <f>IFERROR(VLOOKUP($A2222,'01-原始价格'!$A:$M,2,FALSE),"")</f>
        <v/>
      </c>
      <c r="C2222" s="8">
        <f>IFERROR(VLOOKUP($A2222,'01-原始价格'!$A:$M,8,FALSE),"")</f>
        <v/>
      </c>
      <c r="D2222" s="10">
        <f>IFERROR(B2222/C2222,"")</f>
        <v/>
      </c>
      <c r="E2222" s="10">
        <f>IFERROR(C2222/B2222,"")</f>
        <v/>
      </c>
      <c r="F2222" s="11">
        <f>IFERROR((D2222/D2221-1)*100,"")</f>
        <v/>
      </c>
      <c r="G2222" s="11">
        <f>IFERROR((COUNTIF($D$1971:$D$2222,"&lt;"&amp;D2222)+0.5*COUNTIF($D$1971:$D$2222,D2222))/COUNT($D$1971:$D$2222)*100,"")</f>
        <v/>
      </c>
      <c r="H2222" s="10">
        <f>IFERROR(AVERAGE($D$1971:$D$2222),"")</f>
        <v/>
      </c>
      <c r="I2222" s="10" t="n">
        <v>-2.234869651636501</v>
      </c>
      <c r="J2222" t="inlineStr"/>
      <c r="K2222" t="inlineStr"/>
    </row>
    <row r="2223">
      <c r="A2223" s="7" t="inlineStr">
        <is>
          <t>2023-04-13</t>
        </is>
      </c>
      <c r="B2223" s="8">
        <f>IFERROR(VLOOKUP($A2223,'01-原始价格'!$A:$M,2,FALSE),"")</f>
        <v/>
      </c>
      <c r="C2223" s="8">
        <f>IFERROR(VLOOKUP($A2223,'01-原始价格'!$A:$M,8,FALSE),"")</f>
        <v/>
      </c>
      <c r="D2223" s="10">
        <f>IFERROR(B2223/C2223,"")</f>
        <v/>
      </c>
      <c r="E2223" s="10">
        <f>IFERROR(C2223/B2223,"")</f>
        <v/>
      </c>
      <c r="F2223" s="11">
        <f>IFERROR((D2223/D2222-1)*100,"")</f>
        <v/>
      </c>
      <c r="G2223" s="11">
        <f>IFERROR((COUNTIF($D$1972:$D$2223,"&lt;"&amp;D2223)+0.5*COUNTIF($D$1972:$D$2223,D2223))/COUNT($D$1972:$D$2223)*100,"")</f>
        <v/>
      </c>
      <c r="H2223" s="10">
        <f>IFERROR(AVERAGE($D$1972:$D$2223),"")</f>
        <v/>
      </c>
      <c r="I2223" s="10" t="n">
        <v>-1.895908007093883</v>
      </c>
      <c r="J2223" t="inlineStr"/>
      <c r="K2223" t="inlineStr"/>
    </row>
    <row r="2224">
      <c r="A2224" s="7" t="inlineStr">
        <is>
          <t>2023-04-14</t>
        </is>
      </c>
      <c r="B2224" s="8">
        <f>IFERROR(VLOOKUP($A2224,'01-原始价格'!$A:$M,2,FALSE),"")</f>
        <v/>
      </c>
      <c r="C2224" s="8">
        <f>IFERROR(VLOOKUP($A2224,'01-原始价格'!$A:$M,8,FALSE),"")</f>
        <v/>
      </c>
      <c r="D2224" s="10">
        <f>IFERROR(B2224/C2224,"")</f>
        <v/>
      </c>
      <c r="E2224" s="10">
        <f>IFERROR(C2224/B2224,"")</f>
        <v/>
      </c>
      <c r="F2224" s="11">
        <f>IFERROR((D2224/D2223-1)*100,"")</f>
        <v/>
      </c>
      <c r="G2224" s="11">
        <f>IFERROR((COUNTIF($D$1973:$D$2224,"&lt;"&amp;D2224)+0.5*COUNTIF($D$1973:$D$2224,D2224))/COUNT($D$1973:$D$2224)*100,"")</f>
        <v/>
      </c>
      <c r="H2224" s="10">
        <f>IFERROR(AVERAGE($D$1973:$D$2224),"")</f>
        <v/>
      </c>
      <c r="I2224" s="10" t="n">
        <v>-1.88476035893829</v>
      </c>
      <c r="J2224" t="inlineStr"/>
      <c r="K2224" t="inlineStr"/>
    </row>
    <row r="2225">
      <c r="A2225" s="7" t="inlineStr">
        <is>
          <t>2023-04-17</t>
        </is>
      </c>
      <c r="B2225" s="8">
        <f>IFERROR(VLOOKUP($A2225,'01-原始价格'!$A:$M,2,FALSE),"")</f>
        <v/>
      </c>
      <c r="C2225" s="8">
        <f>IFERROR(VLOOKUP($A2225,'01-原始价格'!$A:$M,8,FALSE),"")</f>
        <v/>
      </c>
      <c r="D2225" s="10">
        <f>IFERROR(B2225/C2225,"")</f>
        <v/>
      </c>
      <c r="E2225" s="10">
        <f>IFERROR(C2225/B2225,"")</f>
        <v/>
      </c>
      <c r="F2225" s="11">
        <f>IFERROR((D2225/D2224-1)*100,"")</f>
        <v/>
      </c>
      <c r="G2225" s="11">
        <f>IFERROR((COUNTIF($D$1974:$D$2225,"&lt;"&amp;D2225)+0.5*COUNTIF($D$1974:$D$2225,D2225))/COUNT($D$1974:$D$2225)*100,"")</f>
        <v/>
      </c>
      <c r="H2225" s="10">
        <f>IFERROR(AVERAGE($D$1974:$D$2225),"")</f>
        <v/>
      </c>
      <c r="I2225" s="10" t="n">
        <v>-2.371705152550514</v>
      </c>
      <c r="J2225" t="inlineStr"/>
      <c r="K2225" s="12" t="inlineStr">
        <is>
          <t>是</t>
        </is>
      </c>
      <c r="L2225" t="inlineStr">
        <is>
          <t>换月日</t>
        </is>
      </c>
    </row>
    <row r="2226">
      <c r="A2226" s="7" t="inlineStr">
        <is>
          <t>2023-04-18</t>
        </is>
      </c>
      <c r="B2226" s="8">
        <f>IFERROR(VLOOKUP($A2226,'01-原始价格'!$A:$M,2,FALSE),"")</f>
        <v/>
      </c>
      <c r="C2226" s="8">
        <f>IFERROR(VLOOKUP($A2226,'01-原始价格'!$A:$M,8,FALSE),"")</f>
        <v/>
      </c>
      <c r="D2226" s="10">
        <f>IFERROR(B2226/C2226,"")</f>
        <v/>
      </c>
      <c r="E2226" s="10">
        <f>IFERROR(C2226/B2226,"")</f>
        <v/>
      </c>
      <c r="F2226" s="11">
        <f>IFERROR((D2226/D2225-1)*100,"")</f>
        <v/>
      </c>
      <c r="G2226" s="11">
        <f>IFERROR((COUNTIF($D$1975:$D$2226,"&lt;"&amp;D2226)+0.5*COUNTIF($D$1975:$D$2226,D2226))/COUNT($D$1975:$D$2226)*100,"")</f>
        <v/>
      </c>
      <c r="H2226" s="10">
        <f>IFERROR(AVERAGE($D$1975:$D$2226),"")</f>
        <v/>
      </c>
      <c r="I2226" s="10" t="n">
        <v>-2.018506269412259</v>
      </c>
      <c r="J2226" t="inlineStr"/>
      <c r="K2226" s="12" t="inlineStr">
        <is>
          <t>是</t>
        </is>
      </c>
      <c r="L2226" t="inlineStr">
        <is>
          <t>换月日</t>
        </is>
      </c>
    </row>
    <row r="2227">
      <c r="A2227" s="7" t="inlineStr">
        <is>
          <t>2023-04-19</t>
        </is>
      </c>
      <c r="B2227" s="8">
        <f>IFERROR(VLOOKUP($A2227,'01-原始价格'!$A:$M,2,FALSE),"")</f>
        <v/>
      </c>
      <c r="C2227" s="8">
        <f>IFERROR(VLOOKUP($A2227,'01-原始价格'!$A:$M,8,FALSE),"")</f>
        <v/>
      </c>
      <c r="D2227" s="10">
        <f>IFERROR(B2227/C2227,"")</f>
        <v/>
      </c>
      <c r="E2227" s="10">
        <f>IFERROR(C2227/B2227,"")</f>
        <v/>
      </c>
      <c r="F2227" s="11">
        <f>IFERROR((D2227/D2226-1)*100,"")</f>
        <v/>
      </c>
      <c r="G2227" s="11">
        <f>IFERROR((COUNTIF($D$1976:$D$2227,"&lt;"&amp;D2227)+0.5*COUNTIF($D$1976:$D$2227,D2227))/COUNT($D$1976:$D$2227)*100,"")</f>
        <v/>
      </c>
      <c r="H2227" s="10">
        <f>IFERROR(AVERAGE($D$1976:$D$2227),"")</f>
        <v/>
      </c>
      <c r="I2227" s="10" t="n">
        <v>-2.318992488537247</v>
      </c>
      <c r="J2227" t="inlineStr"/>
      <c r="K2227" t="inlineStr"/>
    </row>
    <row r="2228">
      <c r="A2228" s="7" t="inlineStr">
        <is>
          <t>2023-04-20</t>
        </is>
      </c>
      <c r="B2228" s="8">
        <f>IFERROR(VLOOKUP($A2228,'01-原始价格'!$A:$M,2,FALSE),"")</f>
        <v/>
      </c>
      <c r="C2228" s="8">
        <f>IFERROR(VLOOKUP($A2228,'01-原始价格'!$A:$M,8,FALSE),"")</f>
        <v/>
      </c>
      <c r="D2228" s="10">
        <f>IFERROR(B2228/C2228,"")</f>
        <v/>
      </c>
      <c r="E2228" s="10">
        <f>IFERROR(C2228/B2228,"")</f>
        <v/>
      </c>
      <c r="F2228" s="11">
        <f>IFERROR((D2228/D2227-1)*100,"")</f>
        <v/>
      </c>
      <c r="G2228" s="11">
        <f>IFERROR((COUNTIF($D$1977:$D$2228,"&lt;"&amp;D2228)+0.5*COUNTIF($D$1977:$D$2228,D2228))/COUNT($D$1977:$D$2228)*100,"")</f>
        <v/>
      </c>
      <c r="H2228" s="10">
        <f>IFERROR(AVERAGE($D$1977:$D$2228),"")</f>
        <v/>
      </c>
      <c r="I2228" s="10" t="n">
        <v>-2.32155059309063</v>
      </c>
      <c r="J2228" t="inlineStr"/>
      <c r="K2228" t="inlineStr"/>
    </row>
    <row r="2229">
      <c r="A2229" s="7" t="inlineStr">
        <is>
          <t>2023-04-21</t>
        </is>
      </c>
      <c r="B2229" s="8">
        <f>IFERROR(VLOOKUP($A2229,'01-原始价格'!$A:$M,2,FALSE),"")</f>
        <v/>
      </c>
      <c r="C2229" s="8">
        <f>IFERROR(VLOOKUP($A2229,'01-原始价格'!$A:$M,8,FALSE),"")</f>
        <v/>
      </c>
      <c r="D2229" s="10">
        <f>IFERROR(B2229/C2229,"")</f>
        <v/>
      </c>
      <c r="E2229" s="10">
        <f>IFERROR(C2229/B2229,"")</f>
        <v/>
      </c>
      <c r="F2229" s="11">
        <f>IFERROR((D2229/D2228-1)*100,"")</f>
        <v/>
      </c>
      <c r="G2229" s="11">
        <f>IFERROR((COUNTIF($D$1978:$D$2229,"&lt;"&amp;D2229)+0.5*COUNTIF($D$1978:$D$2229,D2229))/COUNT($D$1978:$D$2229)*100,"")</f>
        <v/>
      </c>
      <c r="H2229" s="10">
        <f>IFERROR(AVERAGE($D$1978:$D$2229),"")</f>
        <v/>
      </c>
      <c r="I2229" s="10" t="n">
        <v>-2.282432006563051</v>
      </c>
      <c r="J2229" t="inlineStr"/>
      <c r="K2229" t="inlineStr"/>
    </row>
    <row r="2230">
      <c r="A2230" s="7" t="inlineStr">
        <is>
          <t>2023-04-24</t>
        </is>
      </c>
      <c r="B2230" s="8">
        <f>IFERROR(VLOOKUP($A2230,'01-原始价格'!$A:$M,2,FALSE),"")</f>
        <v/>
      </c>
      <c r="C2230" s="8">
        <f>IFERROR(VLOOKUP($A2230,'01-原始价格'!$A:$M,8,FALSE),"")</f>
        <v/>
      </c>
      <c r="D2230" s="10">
        <f>IFERROR(B2230/C2230,"")</f>
        <v/>
      </c>
      <c r="E2230" s="10">
        <f>IFERROR(C2230/B2230,"")</f>
        <v/>
      </c>
      <c r="F2230" s="11">
        <f>IFERROR((D2230/D2229-1)*100,"")</f>
        <v/>
      </c>
      <c r="G2230" s="11">
        <f>IFERROR((COUNTIF($D$1979:$D$2230,"&lt;"&amp;D2230)+0.5*COUNTIF($D$1979:$D$2230,D2230))/COUNT($D$1979:$D$2230)*100,"")</f>
        <v/>
      </c>
      <c r="H2230" s="10">
        <f>IFERROR(AVERAGE($D$1979:$D$2230),"")</f>
        <v/>
      </c>
      <c r="I2230" s="10" t="n">
        <v>-2.197384087231345</v>
      </c>
      <c r="J2230" t="inlineStr"/>
      <c r="K2230" t="inlineStr"/>
    </row>
    <row r="2231">
      <c r="A2231" s="7" t="inlineStr">
        <is>
          <t>2023-04-25</t>
        </is>
      </c>
      <c r="B2231" s="8">
        <f>IFERROR(VLOOKUP($A2231,'01-原始价格'!$A:$M,2,FALSE),"")</f>
        <v/>
      </c>
      <c r="C2231" s="8">
        <f>IFERROR(VLOOKUP($A2231,'01-原始价格'!$A:$M,8,FALSE),"")</f>
        <v/>
      </c>
      <c r="D2231" s="10">
        <f>IFERROR(B2231/C2231,"")</f>
        <v/>
      </c>
      <c r="E2231" s="10">
        <f>IFERROR(C2231/B2231,"")</f>
        <v/>
      </c>
      <c r="F2231" s="11">
        <f>IFERROR((D2231/D2230-1)*100,"")</f>
        <v/>
      </c>
      <c r="G2231" s="11">
        <f>IFERROR((COUNTIF($D$1980:$D$2231,"&lt;"&amp;D2231)+0.5*COUNTIF($D$1980:$D$2231,D2231))/COUNT($D$1980:$D$2231)*100,"")</f>
        <v/>
      </c>
      <c r="H2231" s="10">
        <f>IFERROR(AVERAGE($D$1980:$D$2231),"")</f>
        <v/>
      </c>
      <c r="I2231" s="10" t="n">
        <v>-2.261837744061312</v>
      </c>
      <c r="J2231" t="inlineStr"/>
      <c r="K2231" t="inlineStr"/>
    </row>
    <row r="2232">
      <c r="A2232" s="7" t="inlineStr">
        <is>
          <t>2023-04-26</t>
        </is>
      </c>
      <c r="B2232" s="8">
        <f>IFERROR(VLOOKUP($A2232,'01-原始价格'!$A:$M,2,FALSE),"")</f>
        <v/>
      </c>
      <c r="C2232" s="8">
        <f>IFERROR(VLOOKUP($A2232,'01-原始价格'!$A:$M,8,FALSE),"")</f>
        <v/>
      </c>
      <c r="D2232" s="10">
        <f>IFERROR(B2232/C2232,"")</f>
        <v/>
      </c>
      <c r="E2232" s="10">
        <f>IFERROR(C2232/B2232,"")</f>
        <v/>
      </c>
      <c r="F2232" s="11">
        <f>IFERROR((D2232/D2231-1)*100,"")</f>
        <v/>
      </c>
      <c r="G2232" s="11">
        <f>IFERROR((COUNTIF($D$1981:$D$2232,"&lt;"&amp;D2232)+0.5*COUNTIF($D$1981:$D$2232,D2232))/COUNT($D$1981:$D$2232)*100,"")</f>
        <v/>
      </c>
      <c r="H2232" s="10">
        <f>IFERROR(AVERAGE($D$1981:$D$2232),"")</f>
        <v/>
      </c>
      <c r="I2232" s="10" t="n">
        <v>-2.488371011801247</v>
      </c>
      <c r="J2232" t="inlineStr"/>
      <c r="K2232" t="inlineStr"/>
    </row>
    <row r="2233">
      <c r="A2233" s="7" t="inlineStr">
        <is>
          <t>2023-04-27</t>
        </is>
      </c>
      <c r="B2233" s="8">
        <f>IFERROR(VLOOKUP($A2233,'01-原始价格'!$A:$M,2,FALSE),"")</f>
        <v/>
      </c>
      <c r="C2233" s="8">
        <f>IFERROR(VLOOKUP($A2233,'01-原始价格'!$A:$M,8,FALSE),"")</f>
        <v/>
      </c>
      <c r="D2233" s="10">
        <f>IFERROR(B2233/C2233,"")</f>
        <v/>
      </c>
      <c r="E2233" s="10">
        <f>IFERROR(C2233/B2233,"")</f>
        <v/>
      </c>
      <c r="F2233" s="11">
        <f>IFERROR((D2233/D2232-1)*100,"")</f>
        <v/>
      </c>
      <c r="G2233" s="11">
        <f>IFERROR((COUNTIF($D$1982:$D$2233,"&lt;"&amp;D2233)+0.5*COUNTIF($D$1982:$D$2233,D2233))/COUNT($D$1982:$D$2233)*100,"")</f>
        <v/>
      </c>
      <c r="H2233" s="10">
        <f>IFERROR(AVERAGE($D$1982:$D$2233),"")</f>
        <v/>
      </c>
      <c r="I2233" s="10" t="n">
        <v>-2.148267551469727</v>
      </c>
      <c r="J2233" t="inlineStr"/>
      <c r="K2233" t="inlineStr"/>
    </row>
    <row r="2234">
      <c r="A2234" s="7" t="inlineStr">
        <is>
          <t>2023-04-28</t>
        </is>
      </c>
      <c r="B2234" s="8">
        <f>IFERROR(VLOOKUP($A2234,'01-原始价格'!$A:$M,2,FALSE),"")</f>
        <v/>
      </c>
      <c r="C2234" s="8">
        <f>IFERROR(VLOOKUP($A2234,'01-原始价格'!$A:$M,8,FALSE),"")</f>
        <v/>
      </c>
      <c r="D2234" s="10">
        <f>IFERROR(B2234/C2234,"")</f>
        <v/>
      </c>
      <c r="E2234" s="10">
        <f>IFERROR(C2234/B2234,"")</f>
        <v/>
      </c>
      <c r="F2234" s="11">
        <f>IFERROR((D2234/D2233-1)*100,"")</f>
        <v/>
      </c>
      <c r="G2234" s="11">
        <f>IFERROR((COUNTIF($D$1983:$D$2234,"&lt;"&amp;D2234)+0.5*COUNTIF($D$1983:$D$2234,D2234))/COUNT($D$1983:$D$2234)*100,"")</f>
        <v/>
      </c>
      <c r="H2234" s="10">
        <f>IFERROR(AVERAGE($D$1983:$D$2234),"")</f>
        <v/>
      </c>
      <c r="I2234" s="10" t="n">
        <v>-2.070709068008275</v>
      </c>
      <c r="J2234" t="inlineStr"/>
      <c r="K2234" t="inlineStr"/>
    </row>
    <row r="2235">
      <c r="A2235" s="7" t="inlineStr">
        <is>
          <t>2023-05-04</t>
        </is>
      </c>
      <c r="B2235" s="8">
        <f>IFERROR(VLOOKUP($A2235,'01-原始价格'!$A:$M,2,FALSE),"")</f>
        <v/>
      </c>
      <c r="C2235" s="8">
        <f>IFERROR(VLOOKUP($A2235,'01-原始价格'!$A:$M,8,FALSE),"")</f>
        <v/>
      </c>
      <c r="D2235" s="10">
        <f>IFERROR(B2235/C2235,"")</f>
        <v/>
      </c>
      <c r="E2235" s="10">
        <f>IFERROR(C2235/B2235,"")</f>
        <v/>
      </c>
      <c r="F2235" s="11">
        <f>IFERROR((D2235/D2234-1)*100,"")</f>
        <v/>
      </c>
      <c r="G2235" s="11">
        <f>IFERROR((COUNTIF($D$1984:$D$2235,"&lt;"&amp;D2235)+0.5*COUNTIF($D$1984:$D$2235,D2235))/COUNT($D$1984:$D$2235)*100,"")</f>
        <v/>
      </c>
      <c r="H2235" s="10">
        <f>IFERROR(AVERAGE($D$1984:$D$2235),"")</f>
        <v/>
      </c>
      <c r="I2235" s="10" t="n">
        <v>-2.154978873560446</v>
      </c>
      <c r="J2235" t="inlineStr"/>
      <c r="K2235" t="inlineStr"/>
    </row>
    <row r="2236">
      <c r="A2236" s="7" t="inlineStr">
        <is>
          <t>2023-05-05</t>
        </is>
      </c>
      <c r="B2236" s="8">
        <f>IFERROR(VLOOKUP($A2236,'01-原始价格'!$A:$M,2,FALSE),"")</f>
        <v/>
      </c>
      <c r="C2236" s="8">
        <f>IFERROR(VLOOKUP($A2236,'01-原始价格'!$A:$M,8,FALSE),"")</f>
        <v/>
      </c>
      <c r="D2236" s="10">
        <f>IFERROR(B2236/C2236,"")</f>
        <v/>
      </c>
      <c r="E2236" s="10">
        <f>IFERROR(C2236/B2236,"")</f>
        <v/>
      </c>
      <c r="F2236" s="11">
        <f>IFERROR((D2236/D2235-1)*100,"")</f>
        <v/>
      </c>
      <c r="G2236" s="11">
        <f>IFERROR((COUNTIF($D$1985:$D$2236,"&lt;"&amp;D2236)+0.5*COUNTIF($D$1985:$D$2236,D2236))/COUNT($D$1985:$D$2236)*100,"")</f>
        <v/>
      </c>
      <c r="H2236" s="10">
        <f>IFERROR(AVERAGE($D$1985:$D$2236),"")</f>
        <v/>
      </c>
      <c r="I2236" s="10" t="n">
        <v>-1.983334165321482</v>
      </c>
      <c r="J2236" t="inlineStr"/>
      <c r="K2236" t="inlineStr"/>
    </row>
    <row r="2237">
      <c r="A2237" s="7" t="inlineStr">
        <is>
          <t>2023-05-08</t>
        </is>
      </c>
      <c r="B2237" s="8">
        <f>IFERROR(VLOOKUP($A2237,'01-原始价格'!$A:$M,2,FALSE),"")</f>
        <v/>
      </c>
      <c r="C2237" s="8">
        <f>IFERROR(VLOOKUP($A2237,'01-原始价格'!$A:$M,8,FALSE),"")</f>
        <v/>
      </c>
      <c r="D2237" s="10">
        <f>IFERROR(B2237/C2237,"")</f>
        <v/>
      </c>
      <c r="E2237" s="10">
        <f>IFERROR(C2237/B2237,"")</f>
        <v/>
      </c>
      <c r="F2237" s="11">
        <f>IFERROR((D2237/D2236-1)*100,"")</f>
        <v/>
      </c>
      <c r="G2237" s="11">
        <f>IFERROR((COUNTIF($D$1986:$D$2237,"&lt;"&amp;D2237)+0.5*COUNTIF($D$1986:$D$2237,D2237))/COUNT($D$1986:$D$2237)*100,"")</f>
        <v/>
      </c>
      <c r="H2237" s="10">
        <f>IFERROR(AVERAGE($D$1986:$D$2237),"")</f>
        <v/>
      </c>
      <c r="I2237" s="10" t="n">
        <v>-1.886659734522333</v>
      </c>
      <c r="J2237" t="inlineStr"/>
      <c r="K2237" t="inlineStr"/>
    </row>
    <row r="2238">
      <c r="A2238" s="7" t="inlineStr">
        <is>
          <t>2023-05-09</t>
        </is>
      </c>
      <c r="B2238" s="8">
        <f>IFERROR(VLOOKUP($A2238,'01-原始价格'!$A:$M,2,FALSE),"")</f>
        <v/>
      </c>
      <c r="C2238" s="8">
        <f>IFERROR(VLOOKUP($A2238,'01-原始价格'!$A:$M,8,FALSE),"")</f>
        <v/>
      </c>
      <c r="D2238" s="10">
        <f>IFERROR(B2238/C2238,"")</f>
        <v/>
      </c>
      <c r="E2238" s="10">
        <f>IFERROR(C2238/B2238,"")</f>
        <v/>
      </c>
      <c r="F2238" s="11">
        <f>IFERROR((D2238/D2237-1)*100,"")</f>
        <v/>
      </c>
      <c r="G2238" s="11">
        <f>IFERROR((COUNTIF($D$1987:$D$2238,"&lt;"&amp;D2238)+0.5*COUNTIF($D$1987:$D$2238,D2238))/COUNT($D$1987:$D$2238)*100,"")</f>
        <v/>
      </c>
      <c r="H2238" s="10">
        <f>IFERROR(AVERAGE($D$1987:$D$2238),"")</f>
        <v/>
      </c>
      <c r="I2238" s="10" t="n">
        <v>-1.806860604083641</v>
      </c>
      <c r="J2238" t="inlineStr"/>
      <c r="K2238" t="inlineStr"/>
    </row>
    <row r="2239">
      <c r="A2239" s="7" t="inlineStr">
        <is>
          <t>2023-05-10</t>
        </is>
      </c>
      <c r="B2239" s="8">
        <f>IFERROR(VLOOKUP($A2239,'01-原始价格'!$A:$M,2,FALSE),"")</f>
        <v/>
      </c>
      <c r="C2239" s="8">
        <f>IFERROR(VLOOKUP($A2239,'01-原始价格'!$A:$M,8,FALSE),"")</f>
        <v/>
      </c>
      <c r="D2239" s="10">
        <f>IFERROR(B2239/C2239,"")</f>
        <v/>
      </c>
      <c r="E2239" s="10">
        <f>IFERROR(C2239/B2239,"")</f>
        <v/>
      </c>
      <c r="F2239" s="11">
        <f>IFERROR((D2239/D2238-1)*100,"")</f>
        <v/>
      </c>
      <c r="G2239" s="11">
        <f>IFERROR((COUNTIF($D$1988:$D$2239,"&lt;"&amp;D2239)+0.5*COUNTIF($D$1988:$D$2239,D2239))/COUNT($D$1988:$D$2239)*100,"")</f>
        <v/>
      </c>
      <c r="H2239" s="10">
        <f>IFERROR(AVERAGE($D$1988:$D$2239),"")</f>
        <v/>
      </c>
      <c r="I2239" s="10" t="n">
        <v>-1.7271137854815</v>
      </c>
      <c r="J2239" t="inlineStr"/>
      <c r="K2239" t="inlineStr"/>
    </row>
    <row r="2240">
      <c r="A2240" s="7" t="inlineStr">
        <is>
          <t>2023-05-11</t>
        </is>
      </c>
      <c r="B2240" s="8">
        <f>IFERROR(VLOOKUP($A2240,'01-原始价格'!$A:$M,2,FALSE),"")</f>
        <v/>
      </c>
      <c r="C2240" s="8">
        <f>IFERROR(VLOOKUP($A2240,'01-原始价格'!$A:$M,8,FALSE),"")</f>
        <v/>
      </c>
      <c r="D2240" s="10">
        <f>IFERROR(B2240/C2240,"")</f>
        <v/>
      </c>
      <c r="E2240" s="10">
        <f>IFERROR(C2240/B2240,"")</f>
        <v/>
      </c>
      <c r="F2240" s="11">
        <f>IFERROR((D2240/D2239-1)*100,"")</f>
        <v/>
      </c>
      <c r="G2240" s="11">
        <f>IFERROR((COUNTIF($D$1989:$D$2240,"&lt;"&amp;D2240)+0.5*COUNTIF($D$1989:$D$2240,D2240))/COUNT($D$1989:$D$2240)*100,"")</f>
        <v/>
      </c>
      <c r="H2240" s="10">
        <f>IFERROR(AVERAGE($D$1989:$D$2240),"")</f>
        <v/>
      </c>
      <c r="I2240" s="10" t="n">
        <v>-1.514573700437733</v>
      </c>
      <c r="J2240" t="inlineStr"/>
      <c r="K2240" t="inlineStr"/>
    </row>
    <row r="2241">
      <c r="A2241" s="7" t="inlineStr">
        <is>
          <t>2023-05-12</t>
        </is>
      </c>
      <c r="B2241" s="8">
        <f>IFERROR(VLOOKUP($A2241,'01-原始价格'!$A:$M,2,FALSE),"")</f>
        <v/>
      </c>
      <c r="C2241" s="8">
        <f>IFERROR(VLOOKUP($A2241,'01-原始价格'!$A:$M,8,FALSE),"")</f>
        <v/>
      </c>
      <c r="D2241" s="10">
        <f>IFERROR(B2241/C2241,"")</f>
        <v/>
      </c>
      <c r="E2241" s="10">
        <f>IFERROR(C2241/B2241,"")</f>
        <v/>
      </c>
      <c r="F2241" s="11">
        <f>IFERROR((D2241/D2240-1)*100,"")</f>
        <v/>
      </c>
      <c r="G2241" s="11">
        <f>IFERROR((COUNTIF($D$1990:$D$2241,"&lt;"&amp;D2241)+0.5*COUNTIF($D$1990:$D$2241,D2241))/COUNT($D$1990:$D$2241)*100,"")</f>
        <v/>
      </c>
      <c r="H2241" s="10">
        <f>IFERROR(AVERAGE($D$1990:$D$2241),"")</f>
        <v/>
      </c>
      <c r="I2241" s="10" t="n">
        <v>-1.769694156645877</v>
      </c>
      <c r="J2241" t="inlineStr"/>
      <c r="K2241" t="inlineStr"/>
    </row>
    <row r="2242">
      <c r="A2242" s="7" t="inlineStr">
        <is>
          <t>2023-05-15</t>
        </is>
      </c>
      <c r="B2242" s="8">
        <f>IFERROR(VLOOKUP($A2242,'01-原始价格'!$A:$M,2,FALSE),"")</f>
        <v/>
      </c>
      <c r="C2242" s="8">
        <f>IFERROR(VLOOKUP($A2242,'01-原始价格'!$A:$M,8,FALSE),"")</f>
        <v/>
      </c>
      <c r="D2242" s="10">
        <f>IFERROR(B2242/C2242,"")</f>
        <v/>
      </c>
      <c r="E2242" s="10">
        <f>IFERROR(C2242/B2242,"")</f>
        <v/>
      </c>
      <c r="F2242" s="11">
        <f>IFERROR((D2242/D2241-1)*100,"")</f>
        <v/>
      </c>
      <c r="G2242" s="11">
        <f>IFERROR((COUNTIF($D$1991:$D$2242,"&lt;"&amp;D2242)+0.5*COUNTIF($D$1991:$D$2242,D2242))/COUNT($D$1991:$D$2242)*100,"")</f>
        <v/>
      </c>
      <c r="H2242" s="10">
        <f>IFERROR(AVERAGE($D$1991:$D$2242),"")</f>
        <v/>
      </c>
      <c r="I2242" s="10" t="n">
        <v>-2.084871234195985</v>
      </c>
      <c r="J2242" t="inlineStr"/>
      <c r="K2242" t="inlineStr"/>
    </row>
    <row r="2243">
      <c r="A2243" s="7" t="inlineStr">
        <is>
          <t>2023-05-16</t>
        </is>
      </c>
      <c r="B2243" s="8">
        <f>IFERROR(VLOOKUP($A2243,'01-原始价格'!$A:$M,2,FALSE),"")</f>
        <v/>
      </c>
      <c r="C2243" s="8">
        <f>IFERROR(VLOOKUP($A2243,'01-原始价格'!$A:$M,8,FALSE),"")</f>
        <v/>
      </c>
      <c r="D2243" s="10">
        <f>IFERROR(B2243/C2243,"")</f>
        <v/>
      </c>
      <c r="E2243" s="10">
        <f>IFERROR(C2243/B2243,"")</f>
        <v/>
      </c>
      <c r="F2243" s="11">
        <f>IFERROR((D2243/D2242-1)*100,"")</f>
        <v/>
      </c>
      <c r="G2243" s="11">
        <f>IFERROR((COUNTIF($D$1992:$D$2243,"&lt;"&amp;D2243)+0.5*COUNTIF($D$1992:$D$2243,D2243))/COUNT($D$1992:$D$2243)*100,"")</f>
        <v/>
      </c>
      <c r="H2243" s="10">
        <f>IFERROR(AVERAGE($D$1992:$D$2243),"")</f>
        <v/>
      </c>
      <c r="I2243" s="10" t="n">
        <v>-2.162471644975009</v>
      </c>
      <c r="J2243" t="inlineStr"/>
      <c r="K2243" t="inlineStr"/>
    </row>
    <row r="2244">
      <c r="A2244" s="7" t="inlineStr">
        <is>
          <t>2023-05-17</t>
        </is>
      </c>
      <c r="B2244" s="8">
        <f>IFERROR(VLOOKUP($A2244,'01-原始价格'!$A:$M,2,FALSE),"")</f>
        <v/>
      </c>
      <c r="C2244" s="8">
        <f>IFERROR(VLOOKUP($A2244,'01-原始价格'!$A:$M,8,FALSE),"")</f>
        <v/>
      </c>
      <c r="D2244" s="10">
        <f>IFERROR(B2244/C2244,"")</f>
        <v/>
      </c>
      <c r="E2244" s="10">
        <f>IFERROR(C2244/B2244,"")</f>
        <v/>
      </c>
      <c r="F2244" s="11">
        <f>IFERROR((D2244/D2243-1)*100,"")</f>
        <v/>
      </c>
      <c r="G2244" s="11">
        <f>IFERROR((COUNTIF($D$1993:$D$2244,"&lt;"&amp;D2244)+0.5*COUNTIF($D$1993:$D$2244,D2244))/COUNT($D$1993:$D$2244)*100,"")</f>
        <v/>
      </c>
      <c r="H2244" s="10">
        <f>IFERROR(AVERAGE($D$1993:$D$2244),"")</f>
        <v/>
      </c>
      <c r="I2244" s="10" t="n">
        <v>-2.22573044608405</v>
      </c>
      <c r="J2244" t="inlineStr"/>
      <c r="K2244" t="inlineStr"/>
    </row>
    <row r="2245">
      <c r="A2245" s="7" t="inlineStr">
        <is>
          <t>2023-05-18</t>
        </is>
      </c>
      <c r="B2245" s="8">
        <f>IFERROR(VLOOKUP($A2245,'01-原始价格'!$A:$M,2,FALSE),"")</f>
        <v/>
      </c>
      <c r="C2245" s="8">
        <f>IFERROR(VLOOKUP($A2245,'01-原始价格'!$A:$M,8,FALSE),"")</f>
        <v/>
      </c>
      <c r="D2245" s="10">
        <f>IFERROR(B2245/C2245,"")</f>
        <v/>
      </c>
      <c r="E2245" s="10">
        <f>IFERROR(C2245/B2245,"")</f>
        <v/>
      </c>
      <c r="F2245" s="11">
        <f>IFERROR((D2245/D2244-1)*100,"")</f>
        <v/>
      </c>
      <c r="G2245" s="11">
        <f>IFERROR((COUNTIF($D$1994:$D$2245,"&lt;"&amp;D2245)+0.5*COUNTIF($D$1994:$D$2245,D2245))/COUNT($D$1994:$D$2245)*100,"")</f>
        <v/>
      </c>
      <c r="H2245" s="10">
        <f>IFERROR(AVERAGE($D$1994:$D$2245),"")</f>
        <v/>
      </c>
      <c r="I2245" s="10" t="n">
        <v>-2.133465352799734</v>
      </c>
      <c r="J2245" t="inlineStr"/>
      <c r="K2245" t="inlineStr"/>
    </row>
    <row r="2246">
      <c r="A2246" s="7" t="inlineStr">
        <is>
          <t>2023-05-19</t>
        </is>
      </c>
      <c r="B2246" s="8">
        <f>IFERROR(VLOOKUP($A2246,'01-原始价格'!$A:$M,2,FALSE),"")</f>
        <v/>
      </c>
      <c r="C2246" s="8">
        <f>IFERROR(VLOOKUP($A2246,'01-原始价格'!$A:$M,8,FALSE),"")</f>
        <v/>
      </c>
      <c r="D2246" s="10">
        <f>IFERROR(B2246/C2246,"")</f>
        <v/>
      </c>
      <c r="E2246" s="10">
        <f>IFERROR(C2246/B2246,"")</f>
        <v/>
      </c>
      <c r="F2246" s="11">
        <f>IFERROR((D2246/D2245-1)*100,"")</f>
        <v/>
      </c>
      <c r="G2246" s="11">
        <f>IFERROR((COUNTIF($D$1995:$D$2246,"&lt;"&amp;D2246)+0.5*COUNTIF($D$1995:$D$2246,D2246))/COUNT($D$1995:$D$2246)*100,"")</f>
        <v/>
      </c>
      <c r="H2246" s="10">
        <f>IFERROR(AVERAGE($D$1995:$D$2246),"")</f>
        <v/>
      </c>
      <c r="I2246" s="10" t="n">
        <v>-2.397484205799761</v>
      </c>
      <c r="J2246" t="inlineStr"/>
      <c r="K2246" t="inlineStr"/>
    </row>
    <row r="2247">
      <c r="A2247" s="7" t="inlineStr">
        <is>
          <t>2023-05-22</t>
        </is>
      </c>
      <c r="B2247" s="8">
        <f>IFERROR(VLOOKUP($A2247,'01-原始价格'!$A:$M,2,FALSE),"")</f>
        <v/>
      </c>
      <c r="C2247" s="8">
        <f>IFERROR(VLOOKUP($A2247,'01-原始价格'!$A:$M,8,FALSE),"")</f>
        <v/>
      </c>
      <c r="D2247" s="10">
        <f>IFERROR(B2247/C2247,"")</f>
        <v/>
      </c>
      <c r="E2247" s="10">
        <f>IFERROR(C2247/B2247,"")</f>
        <v/>
      </c>
      <c r="F2247" s="11">
        <f>IFERROR((D2247/D2246-1)*100,"")</f>
        <v/>
      </c>
      <c r="G2247" s="11">
        <f>IFERROR((COUNTIF($D$1996:$D$2247,"&lt;"&amp;D2247)+0.5*COUNTIF($D$1996:$D$2247,D2247))/COUNT($D$1996:$D$2247)*100,"")</f>
        <v/>
      </c>
      <c r="H2247" s="10">
        <f>IFERROR(AVERAGE($D$1996:$D$2247),"")</f>
        <v/>
      </c>
      <c r="I2247" s="10" t="n">
        <v>-2.535810502835245</v>
      </c>
      <c r="J2247" t="inlineStr"/>
      <c r="K2247" t="inlineStr"/>
    </row>
    <row r="2248">
      <c r="A2248" s="7" t="inlineStr">
        <is>
          <t>2023-05-23</t>
        </is>
      </c>
      <c r="B2248" s="8">
        <f>IFERROR(VLOOKUP($A2248,'01-原始价格'!$A:$M,2,FALSE),"")</f>
        <v/>
      </c>
      <c r="C2248" s="8">
        <f>IFERROR(VLOOKUP($A2248,'01-原始价格'!$A:$M,8,FALSE),"")</f>
        <v/>
      </c>
      <c r="D2248" s="10">
        <f>IFERROR(B2248/C2248,"")</f>
        <v/>
      </c>
      <c r="E2248" s="10">
        <f>IFERROR(C2248/B2248,"")</f>
        <v/>
      </c>
      <c r="F2248" s="11">
        <f>IFERROR((D2248/D2247-1)*100,"")</f>
        <v/>
      </c>
      <c r="G2248" s="11">
        <f>IFERROR((COUNTIF($D$1997:$D$2248,"&lt;"&amp;D2248)+0.5*COUNTIF($D$1997:$D$2248,D2248))/COUNT($D$1997:$D$2248)*100,"")</f>
        <v/>
      </c>
      <c r="H2248" s="10">
        <f>IFERROR(AVERAGE($D$1997:$D$2248),"")</f>
        <v/>
      </c>
      <c r="I2248" s="10" t="n">
        <v>-2.865687387530068</v>
      </c>
      <c r="J2248" t="inlineStr"/>
      <c r="K2248" t="inlineStr"/>
    </row>
    <row r="2249">
      <c r="A2249" s="7" t="inlineStr">
        <is>
          <t>2023-05-24</t>
        </is>
      </c>
      <c r="B2249" s="8">
        <f>IFERROR(VLOOKUP($A2249,'01-原始价格'!$A:$M,2,FALSE),"")</f>
        <v/>
      </c>
      <c r="C2249" s="8">
        <f>IFERROR(VLOOKUP($A2249,'01-原始价格'!$A:$M,8,FALSE),"")</f>
        <v/>
      </c>
      <c r="D2249" s="10">
        <f>IFERROR(B2249/C2249,"")</f>
        <v/>
      </c>
      <c r="E2249" s="10">
        <f>IFERROR(C2249/B2249,"")</f>
        <v/>
      </c>
      <c r="F2249" s="11">
        <f>IFERROR((D2249/D2248-1)*100,"")</f>
        <v/>
      </c>
      <c r="G2249" s="11">
        <f>IFERROR((COUNTIF($D$1998:$D$2249,"&lt;"&amp;D2249)+0.5*COUNTIF($D$1998:$D$2249,D2249))/COUNT($D$1998:$D$2249)*100,"")</f>
        <v/>
      </c>
      <c r="H2249" s="10">
        <f>IFERROR(AVERAGE($D$1998:$D$2249),"")</f>
        <v/>
      </c>
      <c r="I2249" s="10" t="n">
        <v>-2.625436542040843</v>
      </c>
      <c r="J2249" t="inlineStr"/>
      <c r="K2249" t="inlineStr"/>
    </row>
    <row r="2250">
      <c r="A2250" s="7" t="inlineStr">
        <is>
          <t>2023-05-25</t>
        </is>
      </c>
      <c r="B2250" s="8">
        <f>IFERROR(VLOOKUP($A2250,'01-原始价格'!$A:$M,2,FALSE),"")</f>
        <v/>
      </c>
      <c r="C2250" s="8">
        <f>IFERROR(VLOOKUP($A2250,'01-原始价格'!$A:$M,8,FALSE),"")</f>
        <v/>
      </c>
      <c r="D2250" s="10">
        <f>IFERROR(B2250/C2250,"")</f>
        <v/>
      </c>
      <c r="E2250" s="10">
        <f>IFERROR(C2250/B2250,"")</f>
        <v/>
      </c>
      <c r="F2250" s="11">
        <f>IFERROR((D2250/D2249-1)*100,"")</f>
        <v/>
      </c>
      <c r="G2250" s="11">
        <f>IFERROR((COUNTIF($D$1999:$D$2250,"&lt;"&amp;D2250)+0.5*COUNTIF($D$1999:$D$2250,D2250))/COUNT($D$1999:$D$2250)*100,"")</f>
        <v/>
      </c>
      <c r="H2250" s="10">
        <f>IFERROR(AVERAGE($D$1999:$D$2250),"")</f>
        <v/>
      </c>
      <c r="I2250" s="10" t="n">
        <v>-2.319203630673765</v>
      </c>
      <c r="J2250" t="inlineStr"/>
      <c r="K2250" t="inlineStr"/>
    </row>
    <row r="2251">
      <c r="A2251" s="7" t="inlineStr">
        <is>
          <t>2023-05-26</t>
        </is>
      </c>
      <c r="B2251" s="8">
        <f>IFERROR(VLOOKUP($A2251,'01-原始价格'!$A:$M,2,FALSE),"")</f>
        <v/>
      </c>
      <c r="C2251" s="8">
        <f>IFERROR(VLOOKUP($A2251,'01-原始价格'!$A:$M,8,FALSE),"")</f>
        <v/>
      </c>
      <c r="D2251" s="10">
        <f>IFERROR(B2251/C2251,"")</f>
        <v/>
      </c>
      <c r="E2251" s="10">
        <f>IFERROR(C2251/B2251,"")</f>
        <v/>
      </c>
      <c r="F2251" s="11">
        <f>IFERROR((D2251/D2250-1)*100,"")</f>
        <v/>
      </c>
      <c r="G2251" s="11">
        <f>IFERROR((COUNTIF($D$2000:$D$2251,"&lt;"&amp;D2251)+0.5*COUNTIF($D$2000:$D$2251,D2251))/COUNT($D$2000:$D$2251)*100,"")</f>
        <v/>
      </c>
      <c r="H2251" s="10">
        <f>IFERROR(AVERAGE($D$2000:$D$2251),"")</f>
        <v/>
      </c>
      <c r="I2251" s="10" t="n">
        <v>-2.435086357716934</v>
      </c>
      <c r="J2251" t="inlineStr"/>
      <c r="K2251" t="inlineStr"/>
    </row>
    <row r="2252">
      <c r="A2252" s="7" t="inlineStr">
        <is>
          <t>2023-05-29</t>
        </is>
      </c>
      <c r="B2252" s="8">
        <f>IFERROR(VLOOKUP($A2252,'01-原始价格'!$A:$M,2,FALSE),"")</f>
        <v/>
      </c>
      <c r="C2252" s="8">
        <f>IFERROR(VLOOKUP($A2252,'01-原始价格'!$A:$M,8,FALSE),"")</f>
        <v/>
      </c>
      <c r="D2252" s="10">
        <f>IFERROR(B2252/C2252,"")</f>
        <v/>
      </c>
      <c r="E2252" s="10">
        <f>IFERROR(C2252/B2252,"")</f>
        <v/>
      </c>
      <c r="F2252" s="11">
        <f>IFERROR((D2252/D2251-1)*100,"")</f>
        <v/>
      </c>
      <c r="G2252" s="11">
        <f>IFERROR((COUNTIF($D$2001:$D$2252,"&lt;"&amp;D2252)+0.5*COUNTIF($D$2001:$D$2252,D2252))/COUNT($D$2001:$D$2252)*100,"")</f>
        <v/>
      </c>
      <c r="H2252" s="10">
        <f>IFERROR(AVERAGE($D$2001:$D$2252),"")</f>
        <v/>
      </c>
      <c r="I2252" s="10" t="n">
        <v>-2.529904688901126</v>
      </c>
      <c r="J2252" t="inlineStr"/>
      <c r="K2252" t="inlineStr"/>
    </row>
    <row r="2253">
      <c r="A2253" s="7" t="inlineStr">
        <is>
          <t>2023-05-30</t>
        </is>
      </c>
      <c r="B2253" s="8">
        <f>IFERROR(VLOOKUP($A2253,'01-原始价格'!$A:$M,2,FALSE),"")</f>
        <v/>
      </c>
      <c r="C2253" s="8">
        <f>IFERROR(VLOOKUP($A2253,'01-原始价格'!$A:$M,8,FALSE),"")</f>
        <v/>
      </c>
      <c r="D2253" s="10">
        <f>IFERROR(B2253/C2253,"")</f>
        <v/>
      </c>
      <c r="E2253" s="10">
        <f>IFERROR(C2253/B2253,"")</f>
        <v/>
      </c>
      <c r="F2253" s="11">
        <f>IFERROR((D2253/D2252-1)*100,"")</f>
        <v/>
      </c>
      <c r="G2253" s="11">
        <f>IFERROR((COUNTIF($D$2002:$D$2253,"&lt;"&amp;D2253)+0.5*COUNTIF($D$2002:$D$2253,D2253))/COUNT($D$2002:$D$2253)*100,"")</f>
        <v/>
      </c>
      <c r="H2253" s="10">
        <f>IFERROR(AVERAGE($D$2002:$D$2253),"")</f>
        <v/>
      </c>
      <c r="I2253" s="10" t="n">
        <v>-2.387497468044051</v>
      </c>
      <c r="J2253" t="inlineStr"/>
      <c r="K2253" t="inlineStr"/>
    </row>
    <row r="2254">
      <c r="A2254" s="7" t="inlineStr">
        <is>
          <t>2023-05-31</t>
        </is>
      </c>
      <c r="B2254" s="8">
        <f>IFERROR(VLOOKUP($A2254,'01-原始价格'!$A:$M,2,FALSE),"")</f>
        <v/>
      </c>
      <c r="C2254" s="8">
        <f>IFERROR(VLOOKUP($A2254,'01-原始价格'!$A:$M,8,FALSE),"")</f>
        <v/>
      </c>
      <c r="D2254" s="10">
        <f>IFERROR(B2254/C2254,"")</f>
        <v/>
      </c>
      <c r="E2254" s="10">
        <f>IFERROR(C2254/B2254,"")</f>
        <v/>
      </c>
      <c r="F2254" s="11">
        <f>IFERROR((D2254/D2253-1)*100,"")</f>
        <v/>
      </c>
      <c r="G2254" s="11">
        <f>IFERROR((COUNTIF($D$2003:$D$2254,"&lt;"&amp;D2254)+0.5*COUNTIF($D$2003:$D$2254,D2254))/COUNT($D$2003:$D$2254)*100,"")</f>
        <v/>
      </c>
      <c r="H2254" s="10">
        <f>IFERROR(AVERAGE($D$2003:$D$2254),"")</f>
        <v/>
      </c>
      <c r="I2254" s="10" t="n">
        <v>-2.331652083904266</v>
      </c>
      <c r="J2254" t="inlineStr"/>
      <c r="K2254" t="inlineStr"/>
    </row>
    <row r="2255">
      <c r="A2255" s="7" t="inlineStr">
        <is>
          <t>2023-06-01</t>
        </is>
      </c>
      <c r="B2255" s="8">
        <f>IFERROR(VLOOKUP($A2255,'01-原始价格'!$A:$M,2,FALSE),"")</f>
        <v/>
      </c>
      <c r="C2255" s="8">
        <f>IFERROR(VLOOKUP($A2255,'01-原始价格'!$A:$M,8,FALSE),"")</f>
        <v/>
      </c>
      <c r="D2255" s="10">
        <f>IFERROR(B2255/C2255,"")</f>
        <v/>
      </c>
      <c r="E2255" s="10">
        <f>IFERROR(C2255/B2255,"")</f>
        <v/>
      </c>
      <c r="F2255" s="11">
        <f>IFERROR((D2255/D2254-1)*100,"")</f>
        <v/>
      </c>
      <c r="G2255" s="11">
        <f>IFERROR((COUNTIF($D$2004:$D$2255,"&lt;"&amp;D2255)+0.5*COUNTIF($D$2004:$D$2255,D2255))/COUNT($D$2004:$D$2255)*100,"")</f>
        <v/>
      </c>
      <c r="H2255" s="10">
        <f>IFERROR(AVERAGE($D$2004:$D$2255),"")</f>
        <v/>
      </c>
      <c r="I2255" s="10" t="n">
        <v>-2.293692450175463</v>
      </c>
      <c r="J2255" t="inlineStr"/>
      <c r="K2255" t="inlineStr"/>
    </row>
    <row r="2256">
      <c r="A2256" s="7" t="inlineStr">
        <is>
          <t>2023-06-02</t>
        </is>
      </c>
      <c r="B2256" s="8">
        <f>IFERROR(VLOOKUP($A2256,'01-原始价格'!$A:$M,2,FALSE),"")</f>
        <v/>
      </c>
      <c r="C2256" s="8">
        <f>IFERROR(VLOOKUP($A2256,'01-原始价格'!$A:$M,8,FALSE),"")</f>
        <v/>
      </c>
      <c r="D2256" s="10">
        <f>IFERROR(B2256/C2256,"")</f>
        <v/>
      </c>
      <c r="E2256" s="10">
        <f>IFERROR(C2256/B2256,"")</f>
        <v/>
      </c>
      <c r="F2256" s="11">
        <f>IFERROR((D2256/D2255-1)*100,"")</f>
        <v/>
      </c>
      <c r="G2256" s="11">
        <f>IFERROR((COUNTIF($D$2005:$D$2256,"&lt;"&amp;D2256)+0.5*COUNTIF($D$2005:$D$2256,D2256))/COUNT($D$2005:$D$2256)*100,"")</f>
        <v/>
      </c>
      <c r="H2256" s="10">
        <f>IFERROR(AVERAGE($D$2005:$D$2256),"")</f>
        <v/>
      </c>
      <c r="I2256" s="10" t="n">
        <v>-2.307691744081257</v>
      </c>
      <c r="J2256" t="inlineStr"/>
      <c r="K2256" t="inlineStr"/>
    </row>
    <row r="2257">
      <c r="A2257" s="7" t="inlineStr">
        <is>
          <t>2023-06-05</t>
        </is>
      </c>
      <c r="B2257" s="8">
        <f>IFERROR(VLOOKUP($A2257,'01-原始价格'!$A:$M,2,FALSE),"")</f>
        <v/>
      </c>
      <c r="C2257" s="8">
        <f>IFERROR(VLOOKUP($A2257,'01-原始价格'!$A:$M,8,FALSE),"")</f>
        <v/>
      </c>
      <c r="D2257" s="10">
        <f>IFERROR(B2257/C2257,"")</f>
        <v/>
      </c>
      <c r="E2257" s="10">
        <f>IFERROR(C2257/B2257,"")</f>
        <v/>
      </c>
      <c r="F2257" s="11">
        <f>IFERROR((D2257/D2256-1)*100,"")</f>
        <v/>
      </c>
      <c r="G2257" s="11">
        <f>IFERROR((COUNTIF($D$2006:$D$2257,"&lt;"&amp;D2257)+0.5*COUNTIF($D$2006:$D$2257,D2257))/COUNT($D$2006:$D$2257)*100,"")</f>
        <v/>
      </c>
      <c r="H2257" s="10">
        <f>IFERROR(AVERAGE($D$2006:$D$2257),"")</f>
        <v/>
      </c>
      <c r="I2257" s="10" t="n">
        <v>-1.936974820293515</v>
      </c>
      <c r="J2257" t="inlineStr"/>
      <c r="K2257" t="inlineStr"/>
    </row>
    <row r="2258">
      <c r="A2258" s="7" t="inlineStr">
        <is>
          <t>2023-06-06</t>
        </is>
      </c>
      <c r="B2258" s="8">
        <f>IFERROR(VLOOKUP($A2258,'01-原始价格'!$A:$M,2,FALSE),"")</f>
        <v/>
      </c>
      <c r="C2258" s="8">
        <f>IFERROR(VLOOKUP($A2258,'01-原始价格'!$A:$M,8,FALSE),"")</f>
        <v/>
      </c>
      <c r="D2258" s="10">
        <f>IFERROR(B2258/C2258,"")</f>
        <v/>
      </c>
      <c r="E2258" s="10">
        <f>IFERROR(C2258/B2258,"")</f>
        <v/>
      </c>
      <c r="F2258" s="11">
        <f>IFERROR((D2258/D2257-1)*100,"")</f>
        <v/>
      </c>
      <c r="G2258" s="11">
        <f>IFERROR((COUNTIF($D$2007:$D$2258,"&lt;"&amp;D2258)+0.5*COUNTIF($D$2007:$D$2258,D2258))/COUNT($D$2007:$D$2258)*100,"")</f>
        <v/>
      </c>
      <c r="H2258" s="10">
        <f>IFERROR(AVERAGE($D$2007:$D$2258),"")</f>
        <v/>
      </c>
      <c r="I2258" s="10" t="n">
        <v>-2.059074267246964</v>
      </c>
      <c r="J2258" t="inlineStr"/>
      <c r="K2258" t="inlineStr"/>
    </row>
    <row r="2259">
      <c r="A2259" s="7" t="inlineStr">
        <is>
          <t>2023-06-07</t>
        </is>
      </c>
      <c r="B2259" s="8">
        <f>IFERROR(VLOOKUP($A2259,'01-原始价格'!$A:$M,2,FALSE),"")</f>
        <v/>
      </c>
      <c r="C2259" s="8">
        <f>IFERROR(VLOOKUP($A2259,'01-原始价格'!$A:$M,8,FALSE),"")</f>
        <v/>
      </c>
      <c r="D2259" s="10">
        <f>IFERROR(B2259/C2259,"")</f>
        <v/>
      </c>
      <c r="E2259" s="10">
        <f>IFERROR(C2259/B2259,"")</f>
        <v/>
      </c>
      <c r="F2259" s="11">
        <f>IFERROR((D2259/D2258-1)*100,"")</f>
        <v/>
      </c>
      <c r="G2259" s="11">
        <f>IFERROR((COUNTIF($D$2008:$D$2259,"&lt;"&amp;D2259)+0.5*COUNTIF($D$2008:$D$2259,D2259))/COUNT($D$2008:$D$2259)*100,"")</f>
        <v/>
      </c>
      <c r="H2259" s="10">
        <f>IFERROR(AVERAGE($D$2008:$D$2259),"")</f>
        <v/>
      </c>
      <c r="I2259" s="10" t="n">
        <v>-2.086306636116897</v>
      </c>
      <c r="J2259" t="inlineStr"/>
      <c r="K2259" t="inlineStr"/>
    </row>
    <row r="2260">
      <c r="A2260" s="7" t="inlineStr">
        <is>
          <t>2023-06-08</t>
        </is>
      </c>
      <c r="B2260" s="8">
        <f>IFERROR(VLOOKUP($A2260,'01-原始价格'!$A:$M,2,FALSE),"")</f>
        <v/>
      </c>
      <c r="C2260" s="8">
        <f>IFERROR(VLOOKUP($A2260,'01-原始价格'!$A:$M,8,FALSE),"")</f>
        <v/>
      </c>
      <c r="D2260" s="10">
        <f>IFERROR(B2260/C2260,"")</f>
        <v/>
      </c>
      <c r="E2260" s="10">
        <f>IFERROR(C2260/B2260,"")</f>
        <v/>
      </c>
      <c r="F2260" s="11">
        <f>IFERROR((D2260/D2259-1)*100,"")</f>
        <v/>
      </c>
      <c r="G2260" s="11">
        <f>IFERROR((COUNTIF($D$2009:$D$2260,"&lt;"&amp;D2260)+0.5*COUNTIF($D$2009:$D$2260,D2260))/COUNT($D$2009:$D$2260)*100,"")</f>
        <v/>
      </c>
      <c r="H2260" s="10">
        <f>IFERROR(AVERAGE($D$2009:$D$2260),"")</f>
        <v/>
      </c>
      <c r="I2260" s="10" t="n">
        <v>-2.085868832142132</v>
      </c>
      <c r="J2260" t="inlineStr"/>
      <c r="K2260" t="inlineStr"/>
    </row>
    <row r="2261">
      <c r="A2261" s="7" t="inlineStr">
        <is>
          <t>2023-06-09</t>
        </is>
      </c>
      <c r="B2261" s="8">
        <f>IFERROR(VLOOKUP($A2261,'01-原始价格'!$A:$M,2,FALSE),"")</f>
        <v/>
      </c>
      <c r="C2261" s="8">
        <f>IFERROR(VLOOKUP($A2261,'01-原始价格'!$A:$M,8,FALSE),"")</f>
        <v/>
      </c>
      <c r="D2261" s="10">
        <f>IFERROR(B2261/C2261,"")</f>
        <v/>
      </c>
      <c r="E2261" s="10">
        <f>IFERROR(C2261/B2261,"")</f>
        <v/>
      </c>
      <c r="F2261" s="11">
        <f>IFERROR((D2261/D2260-1)*100,"")</f>
        <v/>
      </c>
      <c r="G2261" s="11">
        <f>IFERROR((COUNTIF($D$2010:$D$2261,"&lt;"&amp;D2261)+0.5*COUNTIF($D$2010:$D$2261,D2261))/COUNT($D$2010:$D$2261)*100,"")</f>
        <v/>
      </c>
      <c r="H2261" s="10">
        <f>IFERROR(AVERAGE($D$2010:$D$2261),"")</f>
        <v/>
      </c>
      <c r="I2261" s="10" t="n">
        <v>-1.963593821691381</v>
      </c>
      <c r="J2261" t="inlineStr"/>
      <c r="K2261" t="inlineStr"/>
    </row>
    <row r="2262">
      <c r="A2262" s="7" t="inlineStr">
        <is>
          <t>2023-06-12</t>
        </is>
      </c>
      <c r="B2262" s="8">
        <f>IFERROR(VLOOKUP($A2262,'01-原始价格'!$A:$M,2,FALSE),"")</f>
        <v/>
      </c>
      <c r="C2262" s="8">
        <f>IFERROR(VLOOKUP($A2262,'01-原始价格'!$A:$M,8,FALSE),"")</f>
        <v/>
      </c>
      <c r="D2262" s="10">
        <f>IFERROR(B2262/C2262,"")</f>
        <v/>
      </c>
      <c r="E2262" s="10">
        <f>IFERROR(C2262/B2262,"")</f>
        <v/>
      </c>
      <c r="F2262" s="11">
        <f>IFERROR((D2262/D2261-1)*100,"")</f>
        <v/>
      </c>
      <c r="G2262" s="11">
        <f>IFERROR((COUNTIF($D$2011:$D$2262,"&lt;"&amp;D2262)+0.5*COUNTIF($D$2011:$D$2262,D2262))/COUNT($D$2011:$D$2262)*100,"")</f>
        <v/>
      </c>
      <c r="H2262" s="10">
        <f>IFERROR(AVERAGE($D$2011:$D$2262),"")</f>
        <v/>
      </c>
      <c r="I2262" s="10" t="n">
        <v>-1.758821872610826</v>
      </c>
      <c r="J2262" t="inlineStr"/>
      <c r="K2262" t="inlineStr"/>
    </row>
    <row r="2263">
      <c r="A2263" s="7" t="inlineStr">
        <is>
          <t>2023-06-13</t>
        </is>
      </c>
      <c r="B2263" s="8">
        <f>IFERROR(VLOOKUP($A2263,'01-原始价格'!$A:$M,2,FALSE),"")</f>
        <v/>
      </c>
      <c r="C2263" s="8">
        <f>IFERROR(VLOOKUP($A2263,'01-原始价格'!$A:$M,8,FALSE),"")</f>
        <v/>
      </c>
      <c r="D2263" s="10">
        <f>IFERROR(B2263/C2263,"")</f>
        <v/>
      </c>
      <c r="E2263" s="10">
        <f>IFERROR(C2263/B2263,"")</f>
        <v/>
      </c>
      <c r="F2263" s="11">
        <f>IFERROR((D2263/D2262-1)*100,"")</f>
        <v/>
      </c>
      <c r="G2263" s="11">
        <f>IFERROR((COUNTIF($D$2012:$D$2263,"&lt;"&amp;D2263)+0.5*COUNTIF($D$2012:$D$2263,D2263))/COUNT($D$2012:$D$2263)*100,"")</f>
        <v/>
      </c>
      <c r="H2263" s="10">
        <f>IFERROR(AVERAGE($D$2012:$D$2263),"")</f>
        <v/>
      </c>
      <c r="I2263" s="10" t="n">
        <v>-1.865738408267026</v>
      </c>
      <c r="J2263" t="inlineStr"/>
      <c r="K2263" t="inlineStr"/>
    </row>
    <row r="2264">
      <c r="A2264" s="7" t="inlineStr">
        <is>
          <t>2023-06-14</t>
        </is>
      </c>
      <c r="B2264" s="8">
        <f>IFERROR(VLOOKUP($A2264,'01-原始价格'!$A:$M,2,FALSE),"")</f>
        <v/>
      </c>
      <c r="C2264" s="8">
        <f>IFERROR(VLOOKUP($A2264,'01-原始价格'!$A:$M,8,FALSE),"")</f>
        <v/>
      </c>
      <c r="D2264" s="10">
        <f>IFERROR(B2264/C2264,"")</f>
        <v/>
      </c>
      <c r="E2264" s="10">
        <f>IFERROR(C2264/B2264,"")</f>
        <v/>
      </c>
      <c r="F2264" s="11">
        <f>IFERROR((D2264/D2263-1)*100,"")</f>
        <v/>
      </c>
      <c r="G2264" s="11">
        <f>IFERROR((COUNTIF($D$2013:$D$2264,"&lt;"&amp;D2264)+0.5*COUNTIF($D$2013:$D$2264,D2264))/COUNT($D$2013:$D$2264)*100,"")</f>
        <v/>
      </c>
      <c r="H2264" s="10">
        <f>IFERROR(AVERAGE($D$2013:$D$2264),"")</f>
        <v/>
      </c>
      <c r="I2264" s="10" t="n">
        <v>-2.042095658221279</v>
      </c>
      <c r="J2264" t="inlineStr"/>
      <c r="K2264" t="inlineStr"/>
    </row>
    <row r="2265">
      <c r="A2265" s="7" t="inlineStr">
        <is>
          <t>2023-06-15</t>
        </is>
      </c>
      <c r="B2265" s="8">
        <f>IFERROR(VLOOKUP($A2265,'01-原始价格'!$A:$M,2,FALSE),"")</f>
        <v/>
      </c>
      <c r="C2265" s="8">
        <f>IFERROR(VLOOKUP($A2265,'01-原始价格'!$A:$M,8,FALSE),"")</f>
        <v/>
      </c>
      <c r="D2265" s="10">
        <f>IFERROR(B2265/C2265,"")</f>
        <v/>
      </c>
      <c r="E2265" s="10">
        <f>IFERROR(C2265/B2265,"")</f>
        <v/>
      </c>
      <c r="F2265" s="11">
        <f>IFERROR((D2265/D2264-1)*100,"")</f>
        <v/>
      </c>
      <c r="G2265" s="11">
        <f>IFERROR((COUNTIF($D$2014:$D$2265,"&lt;"&amp;D2265)+0.5*COUNTIF($D$2014:$D$2265,D2265))/COUNT($D$2014:$D$2265)*100,"")</f>
        <v/>
      </c>
      <c r="H2265" s="10">
        <f>IFERROR(AVERAGE($D$2014:$D$2265),"")</f>
        <v/>
      </c>
      <c r="I2265" s="10" t="n">
        <v>-1.886951717998907</v>
      </c>
      <c r="J2265" t="inlineStr"/>
      <c r="K2265" t="inlineStr"/>
    </row>
    <row r="2266">
      <c r="A2266" s="7" t="inlineStr">
        <is>
          <t>2023-06-16</t>
        </is>
      </c>
      <c r="B2266" s="8">
        <f>IFERROR(VLOOKUP($A2266,'01-原始价格'!$A:$M,2,FALSE),"")</f>
        <v/>
      </c>
      <c r="C2266" s="8">
        <f>IFERROR(VLOOKUP($A2266,'01-原始价格'!$A:$M,8,FALSE),"")</f>
        <v/>
      </c>
      <c r="D2266" s="10">
        <f>IFERROR(B2266/C2266,"")</f>
        <v/>
      </c>
      <c r="E2266" s="10">
        <f>IFERROR(C2266/B2266,"")</f>
        <v/>
      </c>
      <c r="F2266" s="11">
        <f>IFERROR((D2266/D2265-1)*100,"")</f>
        <v/>
      </c>
      <c r="G2266" s="11">
        <f>IFERROR((COUNTIF($D$2015:$D$2266,"&lt;"&amp;D2266)+0.5*COUNTIF($D$2015:$D$2266,D2266))/COUNT($D$2015:$D$2266)*100,"")</f>
        <v/>
      </c>
      <c r="H2266" s="10">
        <f>IFERROR(AVERAGE($D$2015:$D$2266),"")</f>
        <v/>
      </c>
      <c r="I2266" s="10" t="n">
        <v>-1.791516206023903</v>
      </c>
      <c r="J2266" t="inlineStr"/>
      <c r="K2266" t="inlineStr"/>
    </row>
    <row r="2267">
      <c r="A2267" s="7" t="inlineStr">
        <is>
          <t>2023-06-19</t>
        </is>
      </c>
      <c r="B2267" s="8">
        <f>IFERROR(VLOOKUP($A2267,'01-原始价格'!$A:$M,2,FALSE),"")</f>
        <v/>
      </c>
      <c r="C2267" s="8">
        <f>IFERROR(VLOOKUP($A2267,'01-原始价格'!$A:$M,8,FALSE),"")</f>
        <v/>
      </c>
      <c r="D2267" s="10">
        <f>IFERROR(B2267/C2267,"")</f>
        <v/>
      </c>
      <c r="E2267" s="10">
        <f>IFERROR(C2267/B2267,"")</f>
        <v/>
      </c>
      <c r="F2267" s="11">
        <f>IFERROR((D2267/D2266-1)*100,"")</f>
        <v/>
      </c>
      <c r="G2267" s="11">
        <f>IFERROR((COUNTIF($D$2016:$D$2267,"&lt;"&amp;D2267)+0.5*COUNTIF($D$2016:$D$2267,D2267))/COUNT($D$2016:$D$2267)*100,"")</f>
        <v/>
      </c>
      <c r="H2267" s="10">
        <f>IFERROR(AVERAGE($D$2016:$D$2267),"")</f>
        <v/>
      </c>
      <c r="I2267" s="10" t="n">
        <v>-1.7156204738354</v>
      </c>
      <c r="J2267" t="inlineStr"/>
      <c r="K2267" t="inlineStr"/>
    </row>
    <row r="2268">
      <c r="A2268" s="7" t="inlineStr">
        <is>
          <t>2023-06-20</t>
        </is>
      </c>
      <c r="B2268" s="8">
        <f>IFERROR(VLOOKUP($A2268,'01-原始价格'!$A:$M,2,FALSE),"")</f>
        <v/>
      </c>
      <c r="C2268" s="8">
        <f>IFERROR(VLOOKUP($A2268,'01-原始价格'!$A:$M,8,FALSE),"")</f>
        <v/>
      </c>
      <c r="D2268" s="10">
        <f>IFERROR(B2268/C2268,"")</f>
        <v/>
      </c>
      <c r="E2268" s="10">
        <f>IFERROR(C2268/B2268,"")</f>
        <v/>
      </c>
      <c r="F2268" s="11">
        <f>IFERROR((D2268/D2267-1)*100,"")</f>
        <v/>
      </c>
      <c r="G2268" s="11">
        <f>IFERROR((COUNTIF($D$2017:$D$2268,"&lt;"&amp;D2268)+0.5*COUNTIF($D$2017:$D$2268,D2268))/COUNT($D$2017:$D$2268)*100,"")</f>
        <v/>
      </c>
      <c r="H2268" s="10">
        <f>IFERROR(AVERAGE($D$2017:$D$2268),"")</f>
        <v/>
      </c>
      <c r="I2268" s="10" t="n">
        <v>-1.658035036317973</v>
      </c>
      <c r="J2268" t="inlineStr"/>
      <c r="K2268" t="inlineStr"/>
    </row>
    <row r="2269">
      <c r="A2269" s="7" t="inlineStr">
        <is>
          <t>2023-06-21</t>
        </is>
      </c>
      <c r="B2269" s="8">
        <f>IFERROR(VLOOKUP($A2269,'01-原始价格'!$A:$M,2,FALSE),"")</f>
        <v/>
      </c>
      <c r="C2269" s="8">
        <f>IFERROR(VLOOKUP($A2269,'01-原始价格'!$A:$M,8,FALSE),"")</f>
        <v/>
      </c>
      <c r="D2269" s="10">
        <f>IFERROR(B2269/C2269,"")</f>
        <v/>
      </c>
      <c r="E2269" s="10">
        <f>IFERROR(C2269/B2269,"")</f>
        <v/>
      </c>
      <c r="F2269" s="11">
        <f>IFERROR((D2269/D2268-1)*100,"")</f>
        <v/>
      </c>
      <c r="G2269" s="11">
        <f>IFERROR((COUNTIF($D$2018:$D$2269,"&lt;"&amp;D2269)+0.5*COUNTIF($D$2018:$D$2269,D2269))/COUNT($D$2018:$D$2269)*100,"")</f>
        <v/>
      </c>
      <c r="H2269" s="10">
        <f>IFERROR(AVERAGE($D$2018:$D$2269),"")</f>
        <v/>
      </c>
      <c r="I2269" s="10" t="n">
        <v>-1.665410063084423</v>
      </c>
      <c r="J2269" t="inlineStr"/>
      <c r="K2269" t="inlineStr"/>
    </row>
    <row r="2270">
      <c r="A2270" s="7" t="inlineStr">
        <is>
          <t>2023-06-26</t>
        </is>
      </c>
      <c r="B2270" s="8">
        <f>IFERROR(VLOOKUP($A2270,'01-原始价格'!$A:$M,2,FALSE),"")</f>
        <v/>
      </c>
      <c r="C2270" s="8">
        <f>IFERROR(VLOOKUP($A2270,'01-原始价格'!$A:$M,8,FALSE),"")</f>
        <v/>
      </c>
      <c r="D2270" s="10">
        <f>IFERROR(B2270/C2270,"")</f>
        <v/>
      </c>
      <c r="E2270" s="10">
        <f>IFERROR(C2270/B2270,"")</f>
        <v/>
      </c>
      <c r="F2270" s="11">
        <f>IFERROR((D2270/D2269-1)*100,"")</f>
        <v/>
      </c>
      <c r="G2270" s="11">
        <f>IFERROR((COUNTIF($D$2019:$D$2270,"&lt;"&amp;D2270)+0.5*COUNTIF($D$2019:$D$2270,D2270))/COUNT($D$2019:$D$2270)*100,"")</f>
        <v/>
      </c>
      <c r="H2270" s="10">
        <f>IFERROR(AVERAGE($D$2019:$D$2270),"")</f>
        <v/>
      </c>
      <c r="I2270" s="10" t="n">
        <v>-1.809839701830252</v>
      </c>
      <c r="J2270" t="inlineStr"/>
      <c r="K2270" t="inlineStr"/>
    </row>
    <row r="2271">
      <c r="A2271" s="7" t="inlineStr">
        <is>
          <t>2023-06-27</t>
        </is>
      </c>
      <c r="B2271" s="8">
        <f>IFERROR(VLOOKUP($A2271,'01-原始价格'!$A:$M,2,FALSE),"")</f>
        <v/>
      </c>
      <c r="C2271" s="8">
        <f>IFERROR(VLOOKUP($A2271,'01-原始价格'!$A:$M,8,FALSE),"")</f>
        <v/>
      </c>
      <c r="D2271" s="10">
        <f>IFERROR(B2271/C2271,"")</f>
        <v/>
      </c>
      <c r="E2271" s="10">
        <f>IFERROR(C2271/B2271,"")</f>
        <v/>
      </c>
      <c r="F2271" s="11">
        <f>IFERROR((D2271/D2270-1)*100,"")</f>
        <v/>
      </c>
      <c r="G2271" s="11">
        <f>IFERROR((COUNTIF($D$2020:$D$2271,"&lt;"&amp;D2271)+0.5*COUNTIF($D$2020:$D$2271,D2271))/COUNT($D$2020:$D$2271)*100,"")</f>
        <v/>
      </c>
      <c r="H2271" s="10">
        <f>IFERROR(AVERAGE($D$2020:$D$2271),"")</f>
        <v/>
      </c>
      <c r="I2271" s="10" t="n">
        <v>-1.659980287433371</v>
      </c>
      <c r="J2271" t="inlineStr"/>
      <c r="K2271" t="inlineStr"/>
    </row>
    <row r="2272">
      <c r="A2272" s="7" t="inlineStr">
        <is>
          <t>2023-06-28</t>
        </is>
      </c>
      <c r="B2272" s="8">
        <f>IFERROR(VLOOKUP($A2272,'01-原始价格'!$A:$M,2,FALSE),"")</f>
        <v/>
      </c>
      <c r="C2272" s="8">
        <f>IFERROR(VLOOKUP($A2272,'01-原始价格'!$A:$M,8,FALSE),"")</f>
        <v/>
      </c>
      <c r="D2272" s="10">
        <f>IFERROR(B2272/C2272,"")</f>
        <v/>
      </c>
      <c r="E2272" s="10">
        <f>IFERROR(C2272/B2272,"")</f>
        <v/>
      </c>
      <c r="F2272" s="11">
        <f>IFERROR((D2272/D2271-1)*100,"")</f>
        <v/>
      </c>
      <c r="G2272" s="11">
        <f>IFERROR((COUNTIF($D$2021:$D$2272,"&lt;"&amp;D2272)+0.5*COUNTIF($D$2021:$D$2272,D2272))/COUNT($D$2021:$D$2272)*100,"")</f>
        <v/>
      </c>
      <c r="H2272" s="10">
        <f>IFERROR(AVERAGE($D$2021:$D$2272),"")</f>
        <v/>
      </c>
      <c r="I2272" s="10" t="n">
        <v>-1.755044047273732</v>
      </c>
      <c r="J2272" t="inlineStr"/>
      <c r="K2272" t="inlineStr"/>
    </row>
    <row r="2273">
      <c r="A2273" s="7" t="inlineStr">
        <is>
          <t>2023-06-29</t>
        </is>
      </c>
      <c r="B2273" s="8">
        <f>IFERROR(VLOOKUP($A2273,'01-原始价格'!$A:$M,2,FALSE),"")</f>
        <v/>
      </c>
      <c r="C2273" s="8">
        <f>IFERROR(VLOOKUP($A2273,'01-原始价格'!$A:$M,8,FALSE),"")</f>
        <v/>
      </c>
      <c r="D2273" s="10">
        <f>IFERROR(B2273/C2273,"")</f>
        <v/>
      </c>
      <c r="E2273" s="10">
        <f>IFERROR(C2273/B2273,"")</f>
        <v/>
      </c>
      <c r="F2273" s="11">
        <f>IFERROR((D2273/D2272-1)*100,"")</f>
        <v/>
      </c>
      <c r="G2273" s="11">
        <f>IFERROR((COUNTIF($D$2022:$D$2273,"&lt;"&amp;D2273)+0.5*COUNTIF($D$2022:$D$2273,D2273))/COUNT($D$2022:$D$2273)*100,"")</f>
        <v/>
      </c>
      <c r="H2273" s="10">
        <f>IFERROR(AVERAGE($D$2022:$D$2273),"")</f>
        <v/>
      </c>
      <c r="I2273" s="10" t="n">
        <v>-1.740985634450916</v>
      </c>
      <c r="J2273" t="inlineStr"/>
      <c r="K2273" t="inlineStr"/>
    </row>
    <row r="2274">
      <c r="A2274" s="7" t="inlineStr">
        <is>
          <t>2023-06-30</t>
        </is>
      </c>
      <c r="B2274" s="8">
        <f>IFERROR(VLOOKUP($A2274,'01-原始价格'!$A:$M,2,FALSE),"")</f>
        <v/>
      </c>
      <c r="C2274" s="8">
        <f>IFERROR(VLOOKUP($A2274,'01-原始价格'!$A:$M,8,FALSE),"")</f>
        <v/>
      </c>
      <c r="D2274" s="10">
        <f>IFERROR(B2274/C2274,"")</f>
        <v/>
      </c>
      <c r="E2274" s="10">
        <f>IFERROR(C2274/B2274,"")</f>
        <v/>
      </c>
      <c r="F2274" s="11">
        <f>IFERROR((D2274/D2273-1)*100,"")</f>
        <v/>
      </c>
      <c r="G2274" s="11">
        <f>IFERROR((COUNTIF($D$2023:$D$2274,"&lt;"&amp;D2274)+0.5*COUNTIF($D$2023:$D$2274,D2274))/COUNT($D$2023:$D$2274)*100,"")</f>
        <v/>
      </c>
      <c r="H2274" s="10">
        <f>IFERROR(AVERAGE($D$2023:$D$2274),"")</f>
        <v/>
      </c>
      <c r="I2274" s="10" t="n">
        <v>-1.690132727604185</v>
      </c>
      <c r="J2274" t="inlineStr"/>
      <c r="K2274" t="inlineStr"/>
    </row>
    <row r="2275">
      <c r="A2275" s="7" t="inlineStr">
        <is>
          <t>2023-07-03</t>
        </is>
      </c>
      <c r="B2275" s="8">
        <f>IFERROR(VLOOKUP($A2275,'01-原始价格'!$A:$M,2,FALSE),"")</f>
        <v/>
      </c>
      <c r="C2275" s="8">
        <f>IFERROR(VLOOKUP($A2275,'01-原始价格'!$A:$M,8,FALSE),"")</f>
        <v/>
      </c>
      <c r="D2275" s="10">
        <f>IFERROR(B2275/C2275,"")</f>
        <v/>
      </c>
      <c r="E2275" s="10">
        <f>IFERROR(C2275/B2275,"")</f>
        <v/>
      </c>
      <c r="F2275" s="11">
        <f>IFERROR((D2275/D2274-1)*100,"")</f>
        <v/>
      </c>
      <c r="G2275" s="11">
        <f>IFERROR((COUNTIF($D$2024:$D$2275,"&lt;"&amp;D2275)+0.5*COUNTIF($D$2024:$D$2275,D2275))/COUNT($D$2024:$D$2275)*100,"")</f>
        <v/>
      </c>
      <c r="H2275" s="10">
        <f>IFERROR(AVERAGE($D$2024:$D$2275),"")</f>
        <v/>
      </c>
      <c r="I2275" s="10" t="n">
        <v>-1.625481113550645</v>
      </c>
      <c r="J2275" t="inlineStr"/>
      <c r="K2275" t="inlineStr"/>
    </row>
    <row r="2276">
      <c r="A2276" s="7" t="inlineStr">
        <is>
          <t>2023-07-04</t>
        </is>
      </c>
      <c r="B2276" s="8">
        <f>IFERROR(VLOOKUP($A2276,'01-原始价格'!$A:$M,2,FALSE),"")</f>
        <v/>
      </c>
      <c r="C2276" s="8">
        <f>IFERROR(VLOOKUP($A2276,'01-原始价格'!$A:$M,8,FALSE),"")</f>
        <v/>
      </c>
      <c r="D2276" s="10">
        <f>IFERROR(B2276/C2276,"")</f>
        <v/>
      </c>
      <c r="E2276" s="10">
        <f>IFERROR(C2276/B2276,"")</f>
        <v/>
      </c>
      <c r="F2276" s="11">
        <f>IFERROR((D2276/D2275-1)*100,"")</f>
        <v/>
      </c>
      <c r="G2276" s="11">
        <f>IFERROR((COUNTIF($D$2025:$D$2276,"&lt;"&amp;D2276)+0.5*COUNTIF($D$2025:$D$2276,D2276))/COUNT($D$2025:$D$2276)*100,"")</f>
        <v/>
      </c>
      <c r="H2276" s="10">
        <f>IFERROR(AVERAGE($D$2025:$D$2276),"")</f>
        <v/>
      </c>
      <c r="I2276" s="10" t="n">
        <v>-1.64342598983251</v>
      </c>
      <c r="J2276" t="inlineStr"/>
      <c r="K2276" t="inlineStr"/>
    </row>
    <row r="2277">
      <c r="A2277" s="7" t="inlineStr">
        <is>
          <t>2023-07-05</t>
        </is>
      </c>
      <c r="B2277" s="8">
        <f>IFERROR(VLOOKUP($A2277,'01-原始价格'!$A:$M,2,FALSE),"")</f>
        <v/>
      </c>
      <c r="C2277" s="8">
        <f>IFERROR(VLOOKUP($A2277,'01-原始价格'!$A:$M,8,FALSE),"")</f>
        <v/>
      </c>
      <c r="D2277" s="10">
        <f>IFERROR(B2277/C2277,"")</f>
        <v/>
      </c>
      <c r="E2277" s="10">
        <f>IFERROR(C2277/B2277,"")</f>
        <v/>
      </c>
      <c r="F2277" s="11">
        <f>IFERROR((D2277/D2276-1)*100,"")</f>
        <v/>
      </c>
      <c r="G2277" s="11">
        <f>IFERROR((COUNTIF($D$2026:$D$2277,"&lt;"&amp;D2277)+0.5*COUNTIF($D$2026:$D$2277,D2277))/COUNT($D$2026:$D$2277)*100,"")</f>
        <v/>
      </c>
      <c r="H2277" s="10">
        <f>IFERROR(AVERAGE($D$2026:$D$2277),"")</f>
        <v/>
      </c>
      <c r="I2277" s="10" t="n">
        <v>-1.679752192272458</v>
      </c>
      <c r="J2277" t="inlineStr"/>
      <c r="K2277" t="inlineStr"/>
    </row>
    <row r="2278">
      <c r="A2278" s="7" t="inlineStr">
        <is>
          <t>2023-07-06</t>
        </is>
      </c>
      <c r="B2278" s="8">
        <f>IFERROR(VLOOKUP($A2278,'01-原始价格'!$A:$M,2,FALSE),"")</f>
        <v/>
      </c>
      <c r="C2278" s="8">
        <f>IFERROR(VLOOKUP($A2278,'01-原始价格'!$A:$M,8,FALSE),"")</f>
        <v/>
      </c>
      <c r="D2278" s="10">
        <f>IFERROR(B2278/C2278,"")</f>
        <v/>
      </c>
      <c r="E2278" s="10">
        <f>IFERROR(C2278/B2278,"")</f>
        <v/>
      </c>
      <c r="F2278" s="11">
        <f>IFERROR((D2278/D2277-1)*100,"")</f>
        <v/>
      </c>
      <c r="G2278" s="11">
        <f>IFERROR((COUNTIF($D$2027:$D$2278,"&lt;"&amp;D2278)+0.5*COUNTIF($D$2027:$D$2278,D2278))/COUNT($D$2027:$D$2278)*100,"")</f>
        <v/>
      </c>
      <c r="H2278" s="10">
        <f>IFERROR(AVERAGE($D$2027:$D$2278),"")</f>
        <v/>
      </c>
      <c r="I2278" s="10" t="n">
        <v>-1.581834273480734</v>
      </c>
      <c r="J2278" t="inlineStr"/>
      <c r="K2278" t="inlineStr"/>
    </row>
    <row r="2279">
      <c r="A2279" s="7" t="inlineStr">
        <is>
          <t>2023-07-07</t>
        </is>
      </c>
      <c r="B2279" s="8">
        <f>IFERROR(VLOOKUP($A2279,'01-原始价格'!$A:$M,2,FALSE),"")</f>
        <v/>
      </c>
      <c r="C2279" s="8">
        <f>IFERROR(VLOOKUP($A2279,'01-原始价格'!$A:$M,8,FALSE),"")</f>
        <v/>
      </c>
      <c r="D2279" s="10">
        <f>IFERROR(B2279/C2279,"")</f>
        <v/>
      </c>
      <c r="E2279" s="10">
        <f>IFERROR(C2279/B2279,"")</f>
        <v/>
      </c>
      <c r="F2279" s="11">
        <f>IFERROR((D2279/D2278-1)*100,"")</f>
        <v/>
      </c>
      <c r="G2279" s="11">
        <f>IFERROR((COUNTIF($D$2028:$D$2279,"&lt;"&amp;D2279)+0.5*COUNTIF($D$2028:$D$2279,D2279))/COUNT($D$2028:$D$2279)*100,"")</f>
        <v/>
      </c>
      <c r="H2279" s="10">
        <f>IFERROR(AVERAGE($D$2028:$D$2279),"")</f>
        <v/>
      </c>
      <c r="I2279" s="10" t="n">
        <v>-1.500305124447747</v>
      </c>
      <c r="J2279" t="inlineStr"/>
      <c r="K2279" t="inlineStr"/>
    </row>
    <row r="2280">
      <c r="A2280" s="7" t="inlineStr">
        <is>
          <t>2023-07-10</t>
        </is>
      </c>
      <c r="B2280" s="8">
        <f>IFERROR(VLOOKUP($A2280,'01-原始价格'!$A:$M,2,FALSE),"")</f>
        <v/>
      </c>
      <c r="C2280" s="8">
        <f>IFERROR(VLOOKUP($A2280,'01-原始价格'!$A:$M,8,FALSE),"")</f>
        <v/>
      </c>
      <c r="D2280" s="10">
        <f>IFERROR(B2280/C2280,"")</f>
        <v/>
      </c>
      <c r="E2280" s="10">
        <f>IFERROR(C2280/B2280,"")</f>
        <v/>
      </c>
      <c r="F2280" s="11">
        <f>IFERROR((D2280/D2279-1)*100,"")</f>
        <v/>
      </c>
      <c r="G2280" s="11">
        <f>IFERROR((COUNTIF($D$2029:$D$2280,"&lt;"&amp;D2280)+0.5*COUNTIF($D$2029:$D$2280,D2280))/COUNT($D$2029:$D$2280)*100,"")</f>
        <v/>
      </c>
      <c r="H2280" s="10">
        <f>IFERROR(AVERAGE($D$2029:$D$2280),"")</f>
        <v/>
      </c>
      <c r="I2280" s="10" t="n">
        <v>-1.446428389659207</v>
      </c>
      <c r="J2280" t="inlineStr"/>
      <c r="K2280" t="inlineStr"/>
    </row>
    <row r="2281">
      <c r="A2281" s="7" t="inlineStr">
        <is>
          <t>2023-07-11</t>
        </is>
      </c>
      <c r="B2281" s="8">
        <f>IFERROR(VLOOKUP($A2281,'01-原始价格'!$A:$M,2,FALSE),"")</f>
        <v/>
      </c>
      <c r="C2281" s="8">
        <f>IFERROR(VLOOKUP($A2281,'01-原始价格'!$A:$M,8,FALSE),"")</f>
        <v/>
      </c>
      <c r="D2281" s="10">
        <f>IFERROR(B2281/C2281,"")</f>
        <v/>
      </c>
      <c r="E2281" s="10">
        <f>IFERROR(C2281/B2281,"")</f>
        <v/>
      </c>
      <c r="F2281" s="11">
        <f>IFERROR((D2281/D2280-1)*100,"")</f>
        <v/>
      </c>
      <c r="G2281" s="11">
        <f>IFERROR((COUNTIF($D$2030:$D$2281,"&lt;"&amp;D2281)+0.5*COUNTIF($D$2030:$D$2281,D2281))/COUNT($D$2030:$D$2281)*100,"")</f>
        <v/>
      </c>
      <c r="H2281" s="10">
        <f>IFERROR(AVERAGE($D$2030:$D$2281),"")</f>
        <v/>
      </c>
      <c r="I2281" s="10" t="n">
        <v>-1.2191838582351</v>
      </c>
      <c r="J2281" t="inlineStr"/>
      <c r="K2281" t="inlineStr"/>
    </row>
    <row r="2282">
      <c r="A2282" s="7" t="inlineStr">
        <is>
          <t>2023-07-12</t>
        </is>
      </c>
      <c r="B2282" s="8">
        <f>IFERROR(VLOOKUP($A2282,'01-原始价格'!$A:$M,2,FALSE),"")</f>
        <v/>
      </c>
      <c r="C2282" s="8">
        <f>IFERROR(VLOOKUP($A2282,'01-原始价格'!$A:$M,8,FALSE),"")</f>
        <v/>
      </c>
      <c r="D2282" s="10">
        <f>IFERROR(B2282/C2282,"")</f>
        <v/>
      </c>
      <c r="E2282" s="10">
        <f>IFERROR(C2282/B2282,"")</f>
        <v/>
      </c>
      <c r="F2282" s="11">
        <f>IFERROR((D2282/D2281-1)*100,"")</f>
        <v/>
      </c>
      <c r="G2282" s="11">
        <f>IFERROR((COUNTIF($D$2031:$D$2282,"&lt;"&amp;D2282)+0.5*COUNTIF($D$2031:$D$2282,D2282))/COUNT($D$2031:$D$2282)*100,"")</f>
        <v/>
      </c>
      <c r="H2282" s="10">
        <f>IFERROR(AVERAGE($D$2031:$D$2282),"")</f>
        <v/>
      </c>
      <c r="I2282" s="10" t="n">
        <v>-0.9225693278850072</v>
      </c>
      <c r="J2282" t="inlineStr"/>
      <c r="K2282" t="inlineStr"/>
    </row>
    <row r="2283">
      <c r="A2283" s="7" t="inlineStr">
        <is>
          <t>2023-07-13</t>
        </is>
      </c>
      <c r="B2283" s="8">
        <f>IFERROR(VLOOKUP($A2283,'01-原始价格'!$A:$M,2,FALSE),"")</f>
        <v/>
      </c>
      <c r="C2283" s="8">
        <f>IFERROR(VLOOKUP($A2283,'01-原始价格'!$A:$M,8,FALSE),"")</f>
        <v/>
      </c>
      <c r="D2283" s="10">
        <f>IFERROR(B2283/C2283,"")</f>
        <v/>
      </c>
      <c r="E2283" s="10">
        <f>IFERROR(C2283/B2283,"")</f>
        <v/>
      </c>
      <c r="F2283" s="11">
        <f>IFERROR((D2283/D2282-1)*100,"")</f>
        <v/>
      </c>
      <c r="G2283" s="11">
        <f>IFERROR((COUNTIF($D$2032:$D$2283,"&lt;"&amp;D2283)+0.5*COUNTIF($D$2032:$D$2283,D2283))/COUNT($D$2032:$D$2283)*100,"")</f>
        <v/>
      </c>
      <c r="H2283" s="10">
        <f>IFERROR(AVERAGE($D$2032:$D$2283),"")</f>
        <v/>
      </c>
      <c r="I2283" s="10" t="n">
        <v>-0.9586109191252145</v>
      </c>
      <c r="J2283" t="inlineStr"/>
      <c r="K2283" t="inlineStr"/>
    </row>
    <row r="2284">
      <c r="A2284" s="7" t="inlineStr">
        <is>
          <t>2023-07-14</t>
        </is>
      </c>
      <c r="B2284" s="8">
        <f>IFERROR(VLOOKUP($A2284,'01-原始价格'!$A:$M,2,FALSE),"")</f>
        <v/>
      </c>
      <c r="C2284" s="8">
        <f>IFERROR(VLOOKUP($A2284,'01-原始价格'!$A:$M,8,FALSE),"")</f>
        <v/>
      </c>
      <c r="D2284" s="10">
        <f>IFERROR(B2284/C2284,"")</f>
        <v/>
      </c>
      <c r="E2284" s="10">
        <f>IFERROR(C2284/B2284,"")</f>
        <v/>
      </c>
      <c r="F2284" s="11">
        <f>IFERROR((D2284/D2283-1)*100,"")</f>
        <v/>
      </c>
      <c r="G2284" s="11">
        <f>IFERROR((COUNTIF($D$2033:$D$2284,"&lt;"&amp;D2284)+0.5*COUNTIF($D$2033:$D$2284,D2284))/COUNT($D$2033:$D$2284)*100,"")</f>
        <v/>
      </c>
      <c r="H2284" s="10">
        <f>IFERROR(AVERAGE($D$2033:$D$2284),"")</f>
        <v/>
      </c>
      <c r="I2284" s="10" t="n">
        <v>-0.8521328421458484</v>
      </c>
      <c r="J2284" t="inlineStr"/>
      <c r="K2284" t="inlineStr"/>
    </row>
    <row r="2285">
      <c r="A2285" s="7" t="inlineStr">
        <is>
          <t>2023-07-17</t>
        </is>
      </c>
      <c r="B2285" s="8">
        <f>IFERROR(VLOOKUP($A2285,'01-原始价格'!$A:$M,2,FALSE),"")</f>
        <v/>
      </c>
      <c r="C2285" s="8">
        <f>IFERROR(VLOOKUP($A2285,'01-原始价格'!$A:$M,8,FALSE),"")</f>
        <v/>
      </c>
      <c r="D2285" s="10">
        <f>IFERROR(B2285/C2285,"")</f>
        <v/>
      </c>
      <c r="E2285" s="10">
        <f>IFERROR(C2285/B2285,"")</f>
        <v/>
      </c>
      <c r="F2285" s="11">
        <f>IFERROR((D2285/D2284-1)*100,"")</f>
        <v/>
      </c>
      <c r="G2285" s="11">
        <f>IFERROR((COUNTIF($D$2034:$D$2285,"&lt;"&amp;D2285)+0.5*COUNTIF($D$2034:$D$2285,D2285))/COUNT($D$2034:$D$2285)*100,"")</f>
        <v/>
      </c>
      <c r="H2285" s="10">
        <f>IFERROR(AVERAGE($D$2034:$D$2285),"")</f>
        <v/>
      </c>
      <c r="I2285" s="10" t="n">
        <v>-0.9178228884543856</v>
      </c>
      <c r="J2285" t="inlineStr"/>
      <c r="K2285" t="inlineStr"/>
    </row>
    <row r="2286">
      <c r="A2286" s="7" t="inlineStr">
        <is>
          <t>2023-07-18</t>
        </is>
      </c>
      <c r="B2286" s="8">
        <f>IFERROR(VLOOKUP($A2286,'01-原始价格'!$A:$M,2,FALSE),"")</f>
        <v/>
      </c>
      <c r="C2286" s="8">
        <f>IFERROR(VLOOKUP($A2286,'01-原始价格'!$A:$M,8,FALSE),"")</f>
        <v/>
      </c>
      <c r="D2286" s="10">
        <f>IFERROR(B2286/C2286,"")</f>
        <v/>
      </c>
      <c r="E2286" s="10">
        <f>IFERROR(C2286/B2286,"")</f>
        <v/>
      </c>
      <c r="F2286" s="11">
        <f>IFERROR((D2286/D2285-1)*100,"")</f>
        <v/>
      </c>
      <c r="G2286" s="11">
        <f>IFERROR((COUNTIF($D$2035:$D$2286,"&lt;"&amp;D2286)+0.5*COUNTIF($D$2035:$D$2286,D2286))/COUNT($D$2035:$D$2286)*100,"")</f>
        <v/>
      </c>
      <c r="H2286" s="10">
        <f>IFERROR(AVERAGE($D$2035:$D$2286),"")</f>
        <v/>
      </c>
      <c r="I2286" s="10" t="n">
        <v>-0.8550166152600261</v>
      </c>
      <c r="J2286" t="inlineStr"/>
      <c r="K2286" t="inlineStr"/>
    </row>
    <row r="2287">
      <c r="A2287" s="7" t="inlineStr">
        <is>
          <t>2023-07-19</t>
        </is>
      </c>
      <c r="B2287" s="8">
        <f>IFERROR(VLOOKUP($A2287,'01-原始价格'!$A:$M,2,FALSE),"")</f>
        <v/>
      </c>
      <c r="C2287" s="8">
        <f>IFERROR(VLOOKUP($A2287,'01-原始价格'!$A:$M,8,FALSE),"")</f>
        <v/>
      </c>
      <c r="D2287" s="10">
        <f>IFERROR(B2287/C2287,"")</f>
        <v/>
      </c>
      <c r="E2287" s="10">
        <f>IFERROR(C2287/B2287,"")</f>
        <v/>
      </c>
      <c r="F2287" s="11">
        <f>IFERROR((D2287/D2286-1)*100,"")</f>
        <v/>
      </c>
      <c r="G2287" s="11">
        <f>IFERROR((COUNTIF($D$2036:$D$2287,"&lt;"&amp;D2287)+0.5*COUNTIF($D$2036:$D$2287,D2287))/COUNT($D$2036:$D$2287)*100,"")</f>
        <v/>
      </c>
      <c r="H2287" s="10">
        <f>IFERROR(AVERAGE($D$2036:$D$2287),"")</f>
        <v/>
      </c>
      <c r="I2287" s="10" t="n">
        <v>-0.7181187758742537</v>
      </c>
      <c r="J2287" t="inlineStr"/>
      <c r="K2287" t="inlineStr"/>
    </row>
    <row r="2288">
      <c r="A2288" s="7" t="inlineStr">
        <is>
          <t>2023-07-20</t>
        </is>
      </c>
      <c r="B2288" s="8">
        <f>IFERROR(VLOOKUP($A2288,'01-原始价格'!$A:$M,2,FALSE),"")</f>
        <v/>
      </c>
      <c r="C2288" s="8">
        <f>IFERROR(VLOOKUP($A2288,'01-原始价格'!$A:$M,8,FALSE),"")</f>
        <v/>
      </c>
      <c r="D2288" s="10">
        <f>IFERROR(B2288/C2288,"")</f>
        <v/>
      </c>
      <c r="E2288" s="10">
        <f>IFERROR(C2288/B2288,"")</f>
        <v/>
      </c>
      <c r="F2288" s="11">
        <f>IFERROR((D2288/D2287-1)*100,"")</f>
        <v/>
      </c>
      <c r="G2288" s="11">
        <f>IFERROR((COUNTIF($D$2037:$D$2288,"&lt;"&amp;D2288)+0.5*COUNTIF($D$2037:$D$2288,D2288))/COUNT($D$2037:$D$2288)*100,"")</f>
        <v/>
      </c>
      <c r="H2288" s="10">
        <f>IFERROR(AVERAGE($D$2037:$D$2288),"")</f>
        <v/>
      </c>
      <c r="I2288" s="10" t="n">
        <v>-0.8399572164623472</v>
      </c>
      <c r="J2288" t="inlineStr"/>
      <c r="K2288" t="inlineStr"/>
    </row>
    <row r="2289">
      <c r="A2289" s="7" t="inlineStr">
        <is>
          <t>2023-07-21</t>
        </is>
      </c>
      <c r="B2289" s="8">
        <f>IFERROR(VLOOKUP($A2289,'01-原始价格'!$A:$M,2,FALSE),"")</f>
        <v/>
      </c>
      <c r="C2289" s="8">
        <f>IFERROR(VLOOKUP($A2289,'01-原始价格'!$A:$M,8,FALSE),"")</f>
        <v/>
      </c>
      <c r="D2289" s="10">
        <f>IFERROR(B2289/C2289,"")</f>
        <v/>
      </c>
      <c r="E2289" s="10">
        <f>IFERROR(C2289/B2289,"")</f>
        <v/>
      </c>
      <c r="F2289" s="11">
        <f>IFERROR((D2289/D2288-1)*100,"")</f>
        <v/>
      </c>
      <c r="G2289" s="11">
        <f>IFERROR((COUNTIF($D$2038:$D$2289,"&lt;"&amp;D2289)+0.5*COUNTIF($D$2038:$D$2289,D2289))/COUNT($D$2038:$D$2289)*100,"")</f>
        <v/>
      </c>
      <c r="H2289" s="10">
        <f>IFERROR(AVERAGE($D$2038:$D$2289),"")</f>
        <v/>
      </c>
      <c r="I2289" s="10" t="n">
        <v>-0.853733699080129</v>
      </c>
      <c r="J2289" t="inlineStr"/>
      <c r="K2289" t="inlineStr"/>
    </row>
    <row r="2290">
      <c r="A2290" s="7" t="inlineStr">
        <is>
          <t>2023-07-24</t>
        </is>
      </c>
      <c r="B2290" s="8">
        <f>IFERROR(VLOOKUP($A2290,'01-原始价格'!$A:$M,2,FALSE),"")</f>
        <v/>
      </c>
      <c r="C2290" s="8">
        <f>IFERROR(VLOOKUP($A2290,'01-原始价格'!$A:$M,8,FALSE),"")</f>
        <v/>
      </c>
      <c r="D2290" s="10">
        <f>IFERROR(B2290/C2290,"")</f>
        <v/>
      </c>
      <c r="E2290" s="10">
        <f>IFERROR(C2290/B2290,"")</f>
        <v/>
      </c>
      <c r="F2290" s="11">
        <f>IFERROR((D2290/D2289-1)*100,"")</f>
        <v/>
      </c>
      <c r="G2290" s="11">
        <f>IFERROR((COUNTIF($D$2039:$D$2290,"&lt;"&amp;D2290)+0.5*COUNTIF($D$2039:$D$2290,D2290))/COUNT($D$2039:$D$2290)*100,"")</f>
        <v/>
      </c>
      <c r="H2290" s="10">
        <f>IFERROR(AVERAGE($D$2039:$D$2290),"")</f>
        <v/>
      </c>
      <c r="I2290" s="10" t="n">
        <v>-0.8448143006321407</v>
      </c>
      <c r="J2290" t="inlineStr"/>
      <c r="K2290" t="inlineStr"/>
    </row>
    <row r="2291">
      <c r="A2291" s="7" t="inlineStr">
        <is>
          <t>2023-07-25</t>
        </is>
      </c>
      <c r="B2291" s="8">
        <f>IFERROR(VLOOKUP($A2291,'01-原始价格'!$A:$M,2,FALSE),"")</f>
        <v/>
      </c>
      <c r="C2291" s="8">
        <f>IFERROR(VLOOKUP($A2291,'01-原始价格'!$A:$M,8,FALSE),"")</f>
        <v/>
      </c>
      <c r="D2291" s="10">
        <f>IFERROR(B2291/C2291,"")</f>
        <v/>
      </c>
      <c r="E2291" s="10">
        <f>IFERROR(C2291/B2291,"")</f>
        <v/>
      </c>
      <c r="F2291" s="11">
        <f>IFERROR((D2291/D2290-1)*100,"")</f>
        <v/>
      </c>
      <c r="G2291" s="11">
        <f>IFERROR((COUNTIF($D$2040:$D$2291,"&lt;"&amp;D2291)+0.5*COUNTIF($D$2040:$D$2291,D2291))/COUNT($D$2040:$D$2291)*100,"")</f>
        <v/>
      </c>
      <c r="H2291" s="10">
        <f>IFERROR(AVERAGE($D$2040:$D$2291),"")</f>
        <v/>
      </c>
      <c r="I2291" s="10" t="n">
        <v>-0.7675661899311504</v>
      </c>
      <c r="J2291" t="inlineStr"/>
      <c r="K2291" t="inlineStr"/>
    </row>
    <row r="2292">
      <c r="A2292" s="7" t="inlineStr">
        <is>
          <t>2023-07-26</t>
        </is>
      </c>
      <c r="B2292" s="8">
        <f>IFERROR(VLOOKUP($A2292,'01-原始价格'!$A:$M,2,FALSE),"")</f>
        <v/>
      </c>
      <c r="C2292" s="8">
        <f>IFERROR(VLOOKUP($A2292,'01-原始价格'!$A:$M,8,FALSE),"")</f>
        <v/>
      </c>
      <c r="D2292" s="10">
        <f>IFERROR(B2292/C2292,"")</f>
        <v/>
      </c>
      <c r="E2292" s="10">
        <f>IFERROR(C2292/B2292,"")</f>
        <v/>
      </c>
      <c r="F2292" s="11">
        <f>IFERROR((D2292/D2291-1)*100,"")</f>
        <v/>
      </c>
      <c r="G2292" s="11">
        <f>IFERROR((COUNTIF($D$2041:$D$2292,"&lt;"&amp;D2292)+0.5*COUNTIF($D$2041:$D$2292,D2292))/COUNT($D$2041:$D$2292)*100,"")</f>
        <v/>
      </c>
      <c r="H2292" s="10">
        <f>IFERROR(AVERAGE($D$2041:$D$2292),"")</f>
        <v/>
      </c>
      <c r="I2292" s="10" t="n">
        <v>-0.8407516244885782</v>
      </c>
      <c r="J2292" t="inlineStr"/>
      <c r="K2292" t="inlineStr"/>
    </row>
    <row r="2293">
      <c r="A2293" s="7" t="inlineStr">
        <is>
          <t>2023-07-27</t>
        </is>
      </c>
      <c r="B2293" s="8">
        <f>IFERROR(VLOOKUP($A2293,'01-原始价格'!$A:$M,2,FALSE),"")</f>
        <v/>
      </c>
      <c r="C2293" s="8">
        <f>IFERROR(VLOOKUP($A2293,'01-原始价格'!$A:$M,8,FALSE),"")</f>
        <v/>
      </c>
      <c r="D2293" s="10">
        <f>IFERROR(B2293/C2293,"")</f>
        <v/>
      </c>
      <c r="E2293" s="10">
        <f>IFERROR(C2293/B2293,"")</f>
        <v/>
      </c>
      <c r="F2293" s="11">
        <f>IFERROR((D2293/D2292-1)*100,"")</f>
        <v/>
      </c>
      <c r="G2293" s="11">
        <f>IFERROR((COUNTIF($D$2042:$D$2293,"&lt;"&amp;D2293)+0.5*COUNTIF($D$2042:$D$2293,D2293))/COUNT($D$2042:$D$2293)*100,"")</f>
        <v/>
      </c>
      <c r="H2293" s="10">
        <f>IFERROR(AVERAGE($D$2042:$D$2293),"")</f>
        <v/>
      </c>
      <c r="I2293" s="10" t="n">
        <v>-0.8724827704544696</v>
      </c>
      <c r="J2293" t="inlineStr"/>
      <c r="K2293" t="inlineStr"/>
    </row>
    <row r="2294">
      <c r="A2294" s="7" t="inlineStr">
        <is>
          <t>2023-07-28</t>
        </is>
      </c>
      <c r="B2294" s="8">
        <f>IFERROR(VLOOKUP($A2294,'01-原始价格'!$A:$M,2,FALSE),"")</f>
        <v/>
      </c>
      <c r="C2294" s="8">
        <f>IFERROR(VLOOKUP($A2294,'01-原始价格'!$A:$M,8,FALSE),"")</f>
        <v/>
      </c>
      <c r="D2294" s="10">
        <f>IFERROR(B2294/C2294,"")</f>
        <v/>
      </c>
      <c r="E2294" s="10">
        <f>IFERROR(C2294/B2294,"")</f>
        <v/>
      </c>
      <c r="F2294" s="11">
        <f>IFERROR((D2294/D2293-1)*100,"")</f>
        <v/>
      </c>
      <c r="G2294" s="11">
        <f>IFERROR((COUNTIF($D$2043:$D$2294,"&lt;"&amp;D2294)+0.5*COUNTIF($D$2043:$D$2294,D2294))/COUNT($D$2043:$D$2294)*100,"")</f>
        <v/>
      </c>
      <c r="H2294" s="10">
        <f>IFERROR(AVERAGE($D$2043:$D$2294),"")</f>
        <v/>
      </c>
      <c r="I2294" s="10" t="n">
        <v>-0.5722790652462855</v>
      </c>
      <c r="J2294" t="inlineStr"/>
      <c r="K2294" t="inlineStr"/>
    </row>
    <row r="2295">
      <c r="A2295" s="7" t="inlineStr">
        <is>
          <t>2023-07-31</t>
        </is>
      </c>
      <c r="B2295" s="8">
        <f>IFERROR(VLOOKUP($A2295,'01-原始价格'!$A:$M,2,FALSE),"")</f>
        <v/>
      </c>
      <c r="C2295" s="8">
        <f>IFERROR(VLOOKUP($A2295,'01-原始价格'!$A:$M,8,FALSE),"")</f>
        <v/>
      </c>
      <c r="D2295" s="10">
        <f>IFERROR(B2295/C2295,"")</f>
        <v/>
      </c>
      <c r="E2295" s="10">
        <f>IFERROR(C2295/B2295,"")</f>
        <v/>
      </c>
      <c r="F2295" s="11">
        <f>IFERROR((D2295/D2294-1)*100,"")</f>
        <v/>
      </c>
      <c r="G2295" s="11">
        <f>IFERROR((COUNTIF($D$2044:$D$2295,"&lt;"&amp;D2295)+0.5*COUNTIF($D$2044:$D$2295,D2295))/COUNT($D$2044:$D$2295)*100,"")</f>
        <v/>
      </c>
      <c r="H2295" s="10">
        <f>IFERROR(AVERAGE($D$2044:$D$2295),"")</f>
        <v/>
      </c>
      <c r="I2295" s="10" t="n">
        <v>-0.5734630175993596</v>
      </c>
      <c r="J2295" t="inlineStr"/>
      <c r="K2295" t="inlineStr"/>
    </row>
    <row r="2296">
      <c r="A2296" s="7" t="inlineStr">
        <is>
          <t>2023-08-01</t>
        </is>
      </c>
      <c r="B2296" s="8">
        <f>IFERROR(VLOOKUP($A2296,'01-原始价格'!$A:$M,2,FALSE),"")</f>
        <v/>
      </c>
      <c r="C2296" s="8">
        <f>IFERROR(VLOOKUP($A2296,'01-原始价格'!$A:$M,8,FALSE),"")</f>
        <v/>
      </c>
      <c r="D2296" s="10">
        <f>IFERROR(B2296/C2296,"")</f>
        <v/>
      </c>
      <c r="E2296" s="10">
        <f>IFERROR(C2296/B2296,"")</f>
        <v/>
      </c>
      <c r="F2296" s="11">
        <f>IFERROR((D2296/D2295-1)*100,"")</f>
        <v/>
      </c>
      <c r="G2296" s="11">
        <f>IFERROR((COUNTIF($D$2045:$D$2296,"&lt;"&amp;D2296)+0.5*COUNTIF($D$2045:$D$2296,D2296))/COUNT($D$2045:$D$2296)*100,"")</f>
        <v/>
      </c>
      <c r="H2296" s="10">
        <f>IFERROR(AVERAGE($D$2045:$D$2296),"")</f>
        <v/>
      </c>
      <c r="I2296" s="10" t="n">
        <v>-0.4543948397708913</v>
      </c>
      <c r="J2296" t="inlineStr"/>
      <c r="K2296" t="inlineStr"/>
    </row>
    <row r="2297">
      <c r="A2297" s="7" t="inlineStr">
        <is>
          <t>2023-08-02</t>
        </is>
      </c>
      <c r="B2297" s="8">
        <f>IFERROR(VLOOKUP($A2297,'01-原始价格'!$A:$M,2,FALSE),"")</f>
        <v/>
      </c>
      <c r="C2297" s="8">
        <f>IFERROR(VLOOKUP($A2297,'01-原始价格'!$A:$M,8,FALSE),"")</f>
        <v/>
      </c>
      <c r="D2297" s="10">
        <f>IFERROR(B2297/C2297,"")</f>
        <v/>
      </c>
      <c r="E2297" s="10">
        <f>IFERROR(C2297/B2297,"")</f>
        <v/>
      </c>
      <c r="F2297" s="11">
        <f>IFERROR((D2297/D2296-1)*100,"")</f>
        <v/>
      </c>
      <c r="G2297" s="11">
        <f>IFERROR((COUNTIF($D$2046:$D$2297,"&lt;"&amp;D2297)+0.5*COUNTIF($D$2046:$D$2297,D2297))/COUNT($D$2046:$D$2297)*100,"")</f>
        <v/>
      </c>
      <c r="H2297" s="10">
        <f>IFERROR(AVERAGE($D$2046:$D$2297),"")</f>
        <v/>
      </c>
      <c r="I2297" s="10" t="n">
        <v>-0.6079602020590901</v>
      </c>
      <c r="J2297" t="inlineStr"/>
      <c r="K2297" t="inlineStr"/>
    </row>
    <row r="2298">
      <c r="A2298" s="7" t="inlineStr">
        <is>
          <t>2023-08-03</t>
        </is>
      </c>
      <c r="B2298" s="8">
        <f>IFERROR(VLOOKUP($A2298,'01-原始价格'!$A:$M,2,FALSE),"")</f>
        <v/>
      </c>
      <c r="C2298" s="8">
        <f>IFERROR(VLOOKUP($A2298,'01-原始价格'!$A:$M,8,FALSE),"")</f>
        <v/>
      </c>
      <c r="D2298" s="10">
        <f>IFERROR(B2298/C2298,"")</f>
        <v/>
      </c>
      <c r="E2298" s="10">
        <f>IFERROR(C2298/B2298,"")</f>
        <v/>
      </c>
      <c r="F2298" s="11">
        <f>IFERROR((D2298/D2297-1)*100,"")</f>
        <v/>
      </c>
      <c r="G2298" s="11">
        <f>IFERROR((COUNTIF($D$2047:$D$2298,"&lt;"&amp;D2298)+0.5*COUNTIF($D$2047:$D$2298,D2298))/COUNT($D$2047:$D$2298)*100,"")</f>
        <v/>
      </c>
      <c r="H2298" s="10">
        <f>IFERROR(AVERAGE($D$2047:$D$2298),"")</f>
        <v/>
      </c>
      <c r="I2298" s="10" t="n">
        <v>-0.5661198215962503</v>
      </c>
      <c r="J2298" t="inlineStr"/>
      <c r="K2298" t="inlineStr"/>
    </row>
    <row r="2299">
      <c r="A2299" s="7" t="inlineStr">
        <is>
          <t>2023-08-04</t>
        </is>
      </c>
      <c r="B2299" s="8">
        <f>IFERROR(VLOOKUP($A2299,'01-原始价格'!$A:$M,2,FALSE),"")</f>
        <v/>
      </c>
      <c r="C2299" s="8">
        <f>IFERROR(VLOOKUP($A2299,'01-原始价格'!$A:$M,8,FALSE),"")</f>
        <v/>
      </c>
      <c r="D2299" s="10">
        <f>IFERROR(B2299/C2299,"")</f>
        <v/>
      </c>
      <c r="E2299" s="10">
        <f>IFERROR(C2299/B2299,"")</f>
        <v/>
      </c>
      <c r="F2299" s="11">
        <f>IFERROR((D2299/D2298-1)*100,"")</f>
        <v/>
      </c>
      <c r="G2299" s="11">
        <f>IFERROR((COUNTIF($D$2048:$D$2299,"&lt;"&amp;D2299)+0.5*COUNTIF($D$2048:$D$2299,D2299))/COUNT($D$2048:$D$2299)*100,"")</f>
        <v/>
      </c>
      <c r="H2299" s="10">
        <f>IFERROR(AVERAGE($D$2048:$D$2299),"")</f>
        <v/>
      </c>
      <c r="I2299" s="10" t="n">
        <v>-0.5982380806565009</v>
      </c>
      <c r="J2299" t="inlineStr"/>
      <c r="K2299" t="inlineStr"/>
    </row>
    <row r="2300">
      <c r="A2300" s="7" t="inlineStr">
        <is>
          <t>2023-08-07</t>
        </is>
      </c>
      <c r="B2300" s="8">
        <f>IFERROR(VLOOKUP($A2300,'01-原始价格'!$A:$M,2,FALSE),"")</f>
        <v/>
      </c>
      <c r="C2300" s="8">
        <f>IFERROR(VLOOKUP($A2300,'01-原始价格'!$A:$M,8,FALSE),"")</f>
        <v/>
      </c>
      <c r="D2300" s="10">
        <f>IFERROR(B2300/C2300,"")</f>
        <v/>
      </c>
      <c r="E2300" s="10">
        <f>IFERROR(C2300/B2300,"")</f>
        <v/>
      </c>
      <c r="F2300" s="11">
        <f>IFERROR((D2300/D2299-1)*100,"")</f>
        <v/>
      </c>
      <c r="G2300" s="11">
        <f>IFERROR((COUNTIF($D$2049:$D$2300,"&lt;"&amp;D2300)+0.5*COUNTIF($D$2049:$D$2300,D2300))/COUNT($D$2049:$D$2300)*100,"")</f>
        <v/>
      </c>
      <c r="H2300" s="10">
        <f>IFERROR(AVERAGE($D$2049:$D$2300),"")</f>
        <v/>
      </c>
      <c r="I2300" s="10" t="n">
        <v>-0.5397555541810461</v>
      </c>
      <c r="J2300" t="inlineStr"/>
      <c r="K2300" t="inlineStr"/>
    </row>
    <row r="2301">
      <c r="A2301" s="7" t="inlineStr">
        <is>
          <t>2023-08-08</t>
        </is>
      </c>
      <c r="B2301" s="8">
        <f>IFERROR(VLOOKUP($A2301,'01-原始价格'!$A:$M,2,FALSE),"")</f>
        <v/>
      </c>
      <c r="C2301" s="8">
        <f>IFERROR(VLOOKUP($A2301,'01-原始价格'!$A:$M,8,FALSE),"")</f>
        <v/>
      </c>
      <c r="D2301" s="10">
        <f>IFERROR(B2301/C2301,"")</f>
        <v/>
      </c>
      <c r="E2301" s="10">
        <f>IFERROR(C2301/B2301,"")</f>
        <v/>
      </c>
      <c r="F2301" s="11">
        <f>IFERROR((D2301/D2300-1)*100,"")</f>
        <v/>
      </c>
      <c r="G2301" s="11">
        <f>IFERROR((COUNTIF($D$2050:$D$2301,"&lt;"&amp;D2301)+0.5*COUNTIF($D$2050:$D$2301,D2301))/COUNT($D$2050:$D$2301)*100,"")</f>
        <v/>
      </c>
      <c r="H2301" s="10">
        <f>IFERROR(AVERAGE($D$2050:$D$2301),"")</f>
        <v/>
      </c>
      <c r="I2301" s="10" t="n">
        <v>-0.5372198174876055</v>
      </c>
      <c r="J2301" t="inlineStr"/>
      <c r="K2301" t="inlineStr"/>
    </row>
    <row r="2302">
      <c r="A2302" s="7" t="inlineStr">
        <is>
          <t>2023-08-09</t>
        </is>
      </c>
      <c r="B2302" s="8">
        <f>IFERROR(VLOOKUP($A2302,'01-原始价格'!$A:$M,2,FALSE),"")</f>
        <v/>
      </c>
      <c r="C2302" s="8">
        <f>IFERROR(VLOOKUP($A2302,'01-原始价格'!$A:$M,8,FALSE),"")</f>
        <v/>
      </c>
      <c r="D2302" s="10">
        <f>IFERROR(B2302/C2302,"")</f>
        <v/>
      </c>
      <c r="E2302" s="10">
        <f>IFERROR(C2302/B2302,"")</f>
        <v/>
      </c>
      <c r="F2302" s="11">
        <f>IFERROR((D2302/D2301-1)*100,"")</f>
        <v/>
      </c>
      <c r="G2302" s="11">
        <f>IFERROR((COUNTIF($D$2051:$D$2302,"&lt;"&amp;D2302)+0.5*COUNTIF($D$2051:$D$2302,D2302))/COUNT($D$2051:$D$2302)*100,"")</f>
        <v/>
      </c>
      <c r="H2302" s="10">
        <f>IFERROR(AVERAGE($D$2051:$D$2302),"")</f>
        <v/>
      </c>
      <c r="I2302" s="10" t="n">
        <v>-0.5115707351381038</v>
      </c>
      <c r="J2302" t="inlineStr"/>
      <c r="K2302" t="inlineStr"/>
    </row>
    <row r="2303">
      <c r="A2303" s="7" t="inlineStr">
        <is>
          <t>2023-08-10</t>
        </is>
      </c>
      <c r="B2303" s="8">
        <f>IFERROR(VLOOKUP($A2303,'01-原始价格'!$A:$M,2,FALSE),"")</f>
        <v/>
      </c>
      <c r="C2303" s="8">
        <f>IFERROR(VLOOKUP($A2303,'01-原始价格'!$A:$M,8,FALSE),"")</f>
        <v/>
      </c>
      <c r="D2303" s="10">
        <f>IFERROR(B2303/C2303,"")</f>
        <v/>
      </c>
      <c r="E2303" s="10">
        <f>IFERROR(C2303/B2303,"")</f>
        <v/>
      </c>
      <c r="F2303" s="11">
        <f>IFERROR((D2303/D2302-1)*100,"")</f>
        <v/>
      </c>
      <c r="G2303" s="11">
        <f>IFERROR((COUNTIF($D$2052:$D$2303,"&lt;"&amp;D2303)+0.5*COUNTIF($D$2052:$D$2303,D2303))/COUNT($D$2052:$D$2303)*100,"")</f>
        <v/>
      </c>
      <c r="H2303" s="10">
        <f>IFERROR(AVERAGE($D$2052:$D$2303),"")</f>
        <v/>
      </c>
      <c r="I2303" s="10" t="n">
        <v>-0.4947030036173647</v>
      </c>
      <c r="J2303" t="inlineStr"/>
      <c r="K2303" t="inlineStr"/>
    </row>
    <row r="2304">
      <c r="A2304" s="7" t="inlineStr">
        <is>
          <t>2023-08-11</t>
        </is>
      </c>
      <c r="B2304" s="8">
        <f>IFERROR(VLOOKUP($A2304,'01-原始价格'!$A:$M,2,FALSE),"")</f>
        <v/>
      </c>
      <c r="C2304" s="8">
        <f>IFERROR(VLOOKUP($A2304,'01-原始价格'!$A:$M,8,FALSE),"")</f>
        <v/>
      </c>
      <c r="D2304" s="10">
        <f>IFERROR(B2304/C2304,"")</f>
        <v/>
      </c>
      <c r="E2304" s="10">
        <f>IFERROR(C2304/B2304,"")</f>
        <v/>
      </c>
      <c r="F2304" s="11">
        <f>IFERROR((D2304/D2303-1)*100,"")</f>
        <v/>
      </c>
      <c r="G2304" s="11">
        <f>IFERROR((COUNTIF($D$2053:$D$2304,"&lt;"&amp;D2304)+0.5*COUNTIF($D$2053:$D$2304,D2304))/COUNT($D$2053:$D$2304)*100,"")</f>
        <v/>
      </c>
      <c r="H2304" s="10">
        <f>IFERROR(AVERAGE($D$2053:$D$2304),"")</f>
        <v/>
      </c>
      <c r="I2304" s="10" t="n">
        <v>-0.3274181570397284</v>
      </c>
      <c r="J2304" t="inlineStr"/>
      <c r="K2304" t="inlineStr"/>
    </row>
    <row r="2305">
      <c r="A2305" s="7" t="inlineStr">
        <is>
          <t>2023-08-14</t>
        </is>
      </c>
      <c r="B2305" s="8">
        <f>IFERROR(VLOOKUP($A2305,'01-原始价格'!$A:$M,2,FALSE),"")</f>
        <v/>
      </c>
      <c r="C2305" s="8">
        <f>IFERROR(VLOOKUP($A2305,'01-原始价格'!$A:$M,8,FALSE),"")</f>
        <v/>
      </c>
      <c r="D2305" s="10">
        <f>IFERROR(B2305/C2305,"")</f>
        <v/>
      </c>
      <c r="E2305" s="10">
        <f>IFERROR(C2305/B2305,"")</f>
        <v/>
      </c>
      <c r="F2305" s="11">
        <f>IFERROR((D2305/D2304-1)*100,"")</f>
        <v/>
      </c>
      <c r="G2305" s="11">
        <f>IFERROR((COUNTIF($D$2054:$D$2305,"&lt;"&amp;D2305)+0.5*COUNTIF($D$2054:$D$2305,D2305))/COUNT($D$2054:$D$2305)*100,"")</f>
        <v/>
      </c>
      <c r="H2305" s="10">
        <f>IFERROR(AVERAGE($D$2054:$D$2305),"")</f>
        <v/>
      </c>
      <c r="I2305" s="10" t="n">
        <v>-0.2287939831088344</v>
      </c>
      <c r="J2305" t="inlineStr"/>
      <c r="K2305" t="inlineStr"/>
    </row>
    <row r="2306">
      <c r="A2306" s="7" t="inlineStr">
        <is>
          <t>2023-08-15</t>
        </is>
      </c>
      <c r="B2306" s="8">
        <f>IFERROR(VLOOKUP($A2306,'01-原始价格'!$A:$M,2,FALSE),"")</f>
        <v/>
      </c>
      <c r="C2306" s="8">
        <f>IFERROR(VLOOKUP($A2306,'01-原始价格'!$A:$M,8,FALSE),"")</f>
        <v/>
      </c>
      <c r="D2306" s="10">
        <f>IFERROR(B2306/C2306,"")</f>
        <v/>
      </c>
      <c r="E2306" s="10">
        <f>IFERROR(C2306/B2306,"")</f>
        <v/>
      </c>
      <c r="F2306" s="11">
        <f>IFERROR((D2306/D2305-1)*100,"")</f>
        <v/>
      </c>
      <c r="G2306" s="11">
        <f>IFERROR((COUNTIF($D$2055:$D$2306,"&lt;"&amp;D2306)+0.5*COUNTIF($D$2055:$D$2306,D2306))/COUNT($D$2055:$D$2306)*100,"")</f>
        <v/>
      </c>
      <c r="H2306" s="10">
        <f>IFERROR(AVERAGE($D$2055:$D$2306),"")</f>
        <v/>
      </c>
      <c r="I2306" s="10" t="n">
        <v>-0.04081840094485688</v>
      </c>
      <c r="J2306" t="inlineStr"/>
      <c r="K2306" t="inlineStr"/>
    </row>
    <row r="2307">
      <c r="A2307" s="7" t="inlineStr">
        <is>
          <t>2023-08-16</t>
        </is>
      </c>
      <c r="B2307" s="8">
        <f>IFERROR(VLOOKUP($A2307,'01-原始价格'!$A:$M,2,FALSE),"")</f>
        <v/>
      </c>
      <c r="C2307" s="8">
        <f>IFERROR(VLOOKUP($A2307,'01-原始价格'!$A:$M,8,FALSE),"")</f>
        <v/>
      </c>
      <c r="D2307" s="10">
        <f>IFERROR(B2307/C2307,"")</f>
        <v/>
      </c>
      <c r="E2307" s="10">
        <f>IFERROR(C2307/B2307,"")</f>
        <v/>
      </c>
      <c r="F2307" s="11">
        <f>IFERROR((D2307/D2306-1)*100,"")</f>
        <v/>
      </c>
      <c r="G2307" s="11">
        <f>IFERROR((COUNTIF($D$2056:$D$2307,"&lt;"&amp;D2307)+0.5*COUNTIF($D$2056:$D$2307,D2307))/COUNT($D$2056:$D$2307)*100,"")</f>
        <v/>
      </c>
      <c r="H2307" s="10">
        <f>IFERROR(AVERAGE($D$2056:$D$2307),"")</f>
        <v/>
      </c>
      <c r="I2307" s="10" t="n">
        <v>0.1293948875287081</v>
      </c>
      <c r="J2307" t="inlineStr"/>
      <c r="K2307" s="12" t="inlineStr">
        <is>
          <t>是</t>
        </is>
      </c>
      <c r="L2307" t="inlineStr">
        <is>
          <t>换月日</t>
        </is>
      </c>
    </row>
    <row r="2308">
      <c r="A2308" s="7" t="inlineStr">
        <is>
          <t>2023-08-17</t>
        </is>
      </c>
      <c r="B2308" s="8">
        <f>IFERROR(VLOOKUP($A2308,'01-原始价格'!$A:$M,2,FALSE),"")</f>
        <v/>
      </c>
      <c r="C2308" s="8">
        <f>IFERROR(VLOOKUP($A2308,'01-原始价格'!$A:$M,8,FALSE),"")</f>
        <v/>
      </c>
      <c r="D2308" s="10">
        <f>IFERROR(B2308/C2308,"")</f>
        <v/>
      </c>
      <c r="E2308" s="10">
        <f>IFERROR(C2308/B2308,"")</f>
        <v/>
      </c>
      <c r="F2308" s="11">
        <f>IFERROR((D2308/D2307-1)*100,"")</f>
        <v/>
      </c>
      <c r="G2308" s="11">
        <f>IFERROR((COUNTIF($D$2057:$D$2308,"&lt;"&amp;D2308)+0.5*COUNTIF($D$2057:$D$2308,D2308))/COUNT($D$2057:$D$2308)*100,"")</f>
        <v/>
      </c>
      <c r="H2308" s="10">
        <f>IFERROR(AVERAGE($D$2057:$D$2308),"")</f>
        <v/>
      </c>
      <c r="I2308" s="10" t="n">
        <v>0.07522511431221082</v>
      </c>
      <c r="J2308" t="inlineStr"/>
      <c r="K2308" t="inlineStr"/>
    </row>
    <row r="2309">
      <c r="A2309" s="7" t="inlineStr">
        <is>
          <t>2023-08-18</t>
        </is>
      </c>
      <c r="B2309" s="8">
        <f>IFERROR(VLOOKUP($A2309,'01-原始价格'!$A:$M,2,FALSE),"")</f>
        <v/>
      </c>
      <c r="C2309" s="8">
        <f>IFERROR(VLOOKUP($A2309,'01-原始价格'!$A:$M,8,FALSE),"")</f>
        <v/>
      </c>
      <c r="D2309" s="10">
        <f>IFERROR(B2309/C2309,"")</f>
        <v/>
      </c>
      <c r="E2309" s="10">
        <f>IFERROR(C2309/B2309,"")</f>
        <v/>
      </c>
      <c r="F2309" s="11">
        <f>IFERROR((D2309/D2308-1)*100,"")</f>
        <v/>
      </c>
      <c r="G2309" s="11">
        <f>IFERROR((COUNTIF($D$2058:$D$2309,"&lt;"&amp;D2309)+0.5*COUNTIF($D$2058:$D$2309,D2309))/COUNT($D$2058:$D$2309)*100,"")</f>
        <v/>
      </c>
      <c r="H2309" s="10">
        <f>IFERROR(AVERAGE($D$2058:$D$2309),"")</f>
        <v/>
      </c>
      <c r="I2309" s="10" t="n">
        <v>-0.06944270023764992</v>
      </c>
      <c r="J2309" t="inlineStr"/>
      <c r="K2309" s="12" t="inlineStr">
        <is>
          <t>是</t>
        </is>
      </c>
      <c r="L2309" t="inlineStr">
        <is>
          <t>换月日</t>
        </is>
      </c>
    </row>
    <row r="2310">
      <c r="A2310" s="7" t="inlineStr">
        <is>
          <t>2023-08-21</t>
        </is>
      </c>
      <c r="B2310" s="8">
        <f>IFERROR(VLOOKUP($A2310,'01-原始价格'!$A:$M,2,FALSE),"")</f>
        <v/>
      </c>
      <c r="C2310" s="8">
        <f>IFERROR(VLOOKUP($A2310,'01-原始价格'!$A:$M,8,FALSE),"")</f>
        <v/>
      </c>
      <c r="D2310" s="10">
        <f>IFERROR(B2310/C2310,"")</f>
        <v/>
      </c>
      <c r="E2310" s="10">
        <f>IFERROR(C2310/B2310,"")</f>
        <v/>
      </c>
      <c r="F2310" s="11">
        <f>IFERROR((D2310/D2309-1)*100,"")</f>
        <v/>
      </c>
      <c r="G2310" s="11">
        <f>IFERROR((COUNTIF($D$2059:$D$2310,"&lt;"&amp;D2310)+0.5*COUNTIF($D$2059:$D$2310,D2310))/COUNT($D$2059:$D$2310)*100,"")</f>
        <v/>
      </c>
      <c r="H2310" s="10">
        <f>IFERROR(AVERAGE($D$2059:$D$2310),"")</f>
        <v/>
      </c>
      <c r="I2310" s="10" t="n">
        <v>0.01953616697665139</v>
      </c>
      <c r="J2310" t="inlineStr"/>
      <c r="K2310" t="inlineStr"/>
    </row>
    <row r="2311">
      <c r="A2311" s="7" t="inlineStr">
        <is>
          <t>2023-08-22</t>
        </is>
      </c>
      <c r="B2311" s="8">
        <f>IFERROR(VLOOKUP($A2311,'01-原始价格'!$A:$M,2,FALSE),"")</f>
        <v/>
      </c>
      <c r="C2311" s="8">
        <f>IFERROR(VLOOKUP($A2311,'01-原始价格'!$A:$M,8,FALSE),"")</f>
        <v/>
      </c>
      <c r="D2311" s="10">
        <f>IFERROR(B2311/C2311,"")</f>
        <v/>
      </c>
      <c r="E2311" s="10">
        <f>IFERROR(C2311/B2311,"")</f>
        <v/>
      </c>
      <c r="F2311" s="11">
        <f>IFERROR((D2311/D2310-1)*100,"")</f>
        <v/>
      </c>
      <c r="G2311" s="11">
        <f>IFERROR((COUNTIF($D$2060:$D$2311,"&lt;"&amp;D2311)+0.5*COUNTIF($D$2060:$D$2311,D2311))/COUNT($D$2060:$D$2311)*100,"")</f>
        <v/>
      </c>
      <c r="H2311" s="10">
        <f>IFERROR(AVERAGE($D$2060:$D$2311),"")</f>
        <v/>
      </c>
      <c r="I2311" s="10" t="n">
        <v>0.02862559403836598</v>
      </c>
      <c r="J2311" t="inlineStr"/>
      <c r="K2311" t="inlineStr"/>
    </row>
    <row r="2312">
      <c r="A2312" s="7" t="inlineStr">
        <is>
          <t>2023-08-23</t>
        </is>
      </c>
      <c r="B2312" s="8">
        <f>IFERROR(VLOOKUP($A2312,'01-原始价格'!$A:$M,2,FALSE),"")</f>
        <v/>
      </c>
      <c r="C2312" s="8">
        <f>IFERROR(VLOOKUP($A2312,'01-原始价格'!$A:$M,8,FALSE),"")</f>
        <v/>
      </c>
      <c r="D2312" s="10">
        <f>IFERROR(B2312/C2312,"")</f>
        <v/>
      </c>
      <c r="E2312" s="10">
        <f>IFERROR(C2312/B2312,"")</f>
        <v/>
      </c>
      <c r="F2312" s="11">
        <f>IFERROR((D2312/D2311-1)*100,"")</f>
        <v/>
      </c>
      <c r="G2312" s="11">
        <f>IFERROR((COUNTIF($D$2061:$D$2312,"&lt;"&amp;D2312)+0.5*COUNTIF($D$2061:$D$2312,D2312))/COUNT($D$2061:$D$2312)*100,"")</f>
        <v/>
      </c>
      <c r="H2312" s="10">
        <f>IFERROR(AVERAGE($D$2061:$D$2312),"")</f>
        <v/>
      </c>
      <c r="I2312" s="10" t="n">
        <v>-0.01615264610798964</v>
      </c>
      <c r="J2312" t="inlineStr"/>
      <c r="K2312" t="inlineStr"/>
    </row>
    <row r="2313">
      <c r="A2313" s="7" t="inlineStr">
        <is>
          <t>2023-08-24</t>
        </is>
      </c>
      <c r="B2313" s="8">
        <f>IFERROR(VLOOKUP($A2313,'01-原始价格'!$A:$M,2,FALSE),"")</f>
        <v/>
      </c>
      <c r="C2313" s="8">
        <f>IFERROR(VLOOKUP($A2313,'01-原始价格'!$A:$M,8,FALSE),"")</f>
        <v/>
      </c>
      <c r="D2313" s="10">
        <f>IFERROR(B2313/C2313,"")</f>
        <v/>
      </c>
      <c r="E2313" s="10">
        <f>IFERROR(C2313/B2313,"")</f>
        <v/>
      </c>
      <c r="F2313" s="11">
        <f>IFERROR((D2313/D2312-1)*100,"")</f>
        <v/>
      </c>
      <c r="G2313" s="11">
        <f>IFERROR((COUNTIF($D$2062:$D$2313,"&lt;"&amp;D2313)+0.5*COUNTIF($D$2062:$D$2313,D2313))/COUNT($D$2062:$D$2313)*100,"")</f>
        <v/>
      </c>
      <c r="H2313" s="10">
        <f>IFERROR(AVERAGE($D$2062:$D$2313),"")</f>
        <v/>
      </c>
      <c r="I2313" s="10" t="n">
        <v>-0.04228336390071099</v>
      </c>
      <c r="J2313" t="inlineStr"/>
      <c r="K2313" t="inlineStr"/>
    </row>
    <row r="2314">
      <c r="A2314" s="7" t="inlineStr">
        <is>
          <t>2023-08-25</t>
        </is>
      </c>
      <c r="B2314" s="8">
        <f>IFERROR(VLOOKUP($A2314,'01-原始价格'!$A:$M,2,FALSE),"")</f>
        <v/>
      </c>
      <c r="C2314" s="8">
        <f>IFERROR(VLOOKUP($A2314,'01-原始价格'!$A:$M,8,FALSE),"")</f>
        <v/>
      </c>
      <c r="D2314" s="10">
        <f>IFERROR(B2314/C2314,"")</f>
        <v/>
      </c>
      <c r="E2314" s="10">
        <f>IFERROR(C2314/B2314,"")</f>
        <v/>
      </c>
      <c r="F2314" s="11">
        <f>IFERROR((D2314/D2313-1)*100,"")</f>
        <v/>
      </c>
      <c r="G2314" s="11">
        <f>IFERROR((COUNTIF($D$2063:$D$2314,"&lt;"&amp;D2314)+0.5*COUNTIF($D$2063:$D$2314,D2314))/COUNT($D$2063:$D$2314)*100,"")</f>
        <v/>
      </c>
      <c r="H2314" s="10">
        <f>IFERROR(AVERAGE($D$2063:$D$2314),"")</f>
        <v/>
      </c>
      <c r="I2314" s="10" t="n">
        <v>-0.06411855390554083</v>
      </c>
      <c r="J2314" t="inlineStr"/>
      <c r="K2314" t="inlineStr"/>
    </row>
    <row r="2315">
      <c r="A2315" s="7" t="inlineStr">
        <is>
          <t>2023-08-28</t>
        </is>
      </c>
      <c r="B2315" s="8">
        <f>IFERROR(VLOOKUP($A2315,'01-原始价格'!$A:$M,2,FALSE),"")</f>
        <v/>
      </c>
      <c r="C2315" s="8">
        <f>IFERROR(VLOOKUP($A2315,'01-原始价格'!$A:$M,8,FALSE),"")</f>
        <v/>
      </c>
      <c r="D2315" s="10">
        <f>IFERROR(B2315/C2315,"")</f>
        <v/>
      </c>
      <c r="E2315" s="10">
        <f>IFERROR(C2315/B2315,"")</f>
        <v/>
      </c>
      <c r="F2315" s="11">
        <f>IFERROR((D2315/D2314-1)*100,"")</f>
        <v/>
      </c>
      <c r="G2315" s="11">
        <f>IFERROR((COUNTIF($D$2064:$D$2315,"&lt;"&amp;D2315)+0.5*COUNTIF($D$2064:$D$2315,D2315))/COUNT($D$2064:$D$2315)*100,"")</f>
        <v/>
      </c>
      <c r="H2315" s="10">
        <f>IFERROR(AVERAGE($D$2064:$D$2315),"")</f>
        <v/>
      </c>
      <c r="I2315" s="10" t="n">
        <v>0.4293913215575019</v>
      </c>
      <c r="J2315" t="inlineStr"/>
      <c r="K2315" t="inlineStr"/>
    </row>
    <row r="2316">
      <c r="A2316" s="7" t="inlineStr">
        <is>
          <t>2023-08-29</t>
        </is>
      </c>
      <c r="B2316" s="8">
        <f>IFERROR(VLOOKUP($A2316,'01-原始价格'!$A:$M,2,FALSE),"")</f>
        <v/>
      </c>
      <c r="C2316" s="8">
        <f>IFERROR(VLOOKUP($A2316,'01-原始价格'!$A:$M,8,FALSE),"")</f>
        <v/>
      </c>
      <c r="D2316" s="10">
        <f>IFERROR(B2316/C2316,"")</f>
        <v/>
      </c>
      <c r="E2316" s="10">
        <f>IFERROR(C2316/B2316,"")</f>
        <v/>
      </c>
      <c r="F2316" s="11">
        <f>IFERROR((D2316/D2315-1)*100,"")</f>
        <v/>
      </c>
      <c r="G2316" s="11">
        <f>IFERROR((COUNTIF($D$2065:$D$2316,"&lt;"&amp;D2316)+0.5*COUNTIF($D$2065:$D$2316,D2316))/COUNT($D$2065:$D$2316)*100,"")</f>
        <v/>
      </c>
      <c r="H2316" s="10">
        <f>IFERROR(AVERAGE($D$2065:$D$2316),"")</f>
        <v/>
      </c>
      <c r="I2316" s="10" t="n">
        <v>0.7095743071413765</v>
      </c>
      <c r="J2316" t="inlineStr"/>
      <c r="K2316" t="inlineStr"/>
    </row>
    <row r="2317">
      <c r="A2317" s="7" t="inlineStr">
        <is>
          <t>2023-08-30</t>
        </is>
      </c>
      <c r="B2317" s="8">
        <f>IFERROR(VLOOKUP($A2317,'01-原始价格'!$A:$M,2,FALSE),"")</f>
        <v/>
      </c>
      <c r="C2317" s="8">
        <f>IFERROR(VLOOKUP($A2317,'01-原始价格'!$A:$M,8,FALSE),"")</f>
        <v/>
      </c>
      <c r="D2317" s="10">
        <f>IFERROR(B2317/C2317,"")</f>
        <v/>
      </c>
      <c r="E2317" s="10">
        <f>IFERROR(C2317/B2317,"")</f>
        <v/>
      </c>
      <c r="F2317" s="11">
        <f>IFERROR((D2317/D2316-1)*100,"")</f>
        <v/>
      </c>
      <c r="G2317" s="11">
        <f>IFERROR((COUNTIF($D$2066:$D$2317,"&lt;"&amp;D2317)+0.5*COUNTIF($D$2066:$D$2317,D2317))/COUNT($D$2066:$D$2317)*100,"")</f>
        <v/>
      </c>
      <c r="H2317" s="10">
        <f>IFERROR(AVERAGE($D$2066:$D$2317),"")</f>
        <v/>
      </c>
      <c r="I2317" s="10" t="n">
        <v>0.863395039060567</v>
      </c>
      <c r="J2317" t="inlineStr"/>
      <c r="K2317" t="inlineStr"/>
    </row>
    <row r="2318">
      <c r="A2318" s="7" t="inlineStr">
        <is>
          <t>2023-08-31</t>
        </is>
      </c>
      <c r="B2318" s="8">
        <f>IFERROR(VLOOKUP($A2318,'01-原始价格'!$A:$M,2,FALSE),"")</f>
        <v/>
      </c>
      <c r="C2318" s="8">
        <f>IFERROR(VLOOKUP($A2318,'01-原始价格'!$A:$M,8,FALSE),"")</f>
        <v/>
      </c>
      <c r="D2318" s="10">
        <f>IFERROR(B2318/C2318,"")</f>
        <v/>
      </c>
      <c r="E2318" s="10">
        <f>IFERROR(C2318/B2318,"")</f>
        <v/>
      </c>
      <c r="F2318" s="11">
        <f>IFERROR((D2318/D2317-1)*100,"")</f>
        <v/>
      </c>
      <c r="G2318" s="11">
        <f>IFERROR((COUNTIF($D$2067:$D$2318,"&lt;"&amp;D2318)+0.5*COUNTIF($D$2067:$D$2318,D2318))/COUNT($D$2067:$D$2318)*100,"")</f>
        <v/>
      </c>
      <c r="H2318" s="10">
        <f>IFERROR(AVERAGE($D$2067:$D$2318),"")</f>
        <v/>
      </c>
      <c r="I2318" s="10" t="n">
        <v>0.9881931222645723</v>
      </c>
      <c r="J2318" t="inlineStr"/>
      <c r="K2318" t="inlineStr"/>
    </row>
    <row r="2319">
      <c r="A2319" s="7" t="inlineStr">
        <is>
          <t>2023-09-01</t>
        </is>
      </c>
      <c r="B2319" s="8">
        <f>IFERROR(VLOOKUP($A2319,'01-原始价格'!$A:$M,2,FALSE),"")</f>
        <v/>
      </c>
      <c r="C2319" s="8">
        <f>IFERROR(VLOOKUP($A2319,'01-原始价格'!$A:$M,8,FALSE),"")</f>
        <v/>
      </c>
      <c r="D2319" s="10">
        <f>IFERROR(B2319/C2319,"")</f>
        <v/>
      </c>
      <c r="E2319" s="10">
        <f>IFERROR(C2319/B2319,"")</f>
        <v/>
      </c>
      <c r="F2319" s="11">
        <f>IFERROR((D2319/D2318-1)*100,"")</f>
        <v/>
      </c>
      <c r="G2319" s="11">
        <f>IFERROR((COUNTIF($D$2068:$D$2319,"&lt;"&amp;D2319)+0.5*COUNTIF($D$2068:$D$2319,D2319))/COUNT($D$2068:$D$2319)*100,"")</f>
        <v/>
      </c>
      <c r="H2319" s="10">
        <f>IFERROR(AVERAGE($D$2068:$D$2319),"")</f>
        <v/>
      </c>
      <c r="I2319" s="10" t="n">
        <v>1.101371651228975</v>
      </c>
      <c r="J2319" t="inlineStr"/>
      <c r="K2319" t="inlineStr"/>
    </row>
    <row r="2320">
      <c r="A2320" s="7" t="inlineStr">
        <is>
          <t>2023-09-04</t>
        </is>
      </c>
      <c r="B2320" s="8">
        <f>IFERROR(VLOOKUP($A2320,'01-原始价格'!$A:$M,2,FALSE),"")</f>
        <v/>
      </c>
      <c r="C2320" s="8">
        <f>IFERROR(VLOOKUP($A2320,'01-原始价格'!$A:$M,8,FALSE),"")</f>
        <v/>
      </c>
      <c r="D2320" s="10">
        <f>IFERROR(B2320/C2320,"")</f>
        <v/>
      </c>
      <c r="E2320" s="10">
        <f>IFERROR(C2320/B2320,"")</f>
        <v/>
      </c>
      <c r="F2320" s="11">
        <f>IFERROR((D2320/D2319-1)*100,"")</f>
        <v/>
      </c>
      <c r="G2320" s="11">
        <f>IFERROR((COUNTIF($D$2069:$D$2320,"&lt;"&amp;D2320)+0.5*COUNTIF($D$2069:$D$2320,D2320))/COUNT($D$2069:$D$2320)*100,"")</f>
        <v/>
      </c>
      <c r="H2320" s="10">
        <f>IFERROR(AVERAGE($D$2069:$D$2320),"")</f>
        <v/>
      </c>
      <c r="I2320" s="10" t="n">
        <v>1.066762791992809</v>
      </c>
      <c r="J2320" t="inlineStr"/>
      <c r="K2320" t="inlineStr"/>
    </row>
    <row r="2321">
      <c r="A2321" s="7" t="inlineStr">
        <is>
          <t>2023-09-05</t>
        </is>
      </c>
      <c r="B2321" s="8">
        <f>IFERROR(VLOOKUP($A2321,'01-原始价格'!$A:$M,2,FALSE),"")</f>
        <v/>
      </c>
      <c r="C2321" s="8">
        <f>IFERROR(VLOOKUP($A2321,'01-原始价格'!$A:$M,8,FALSE),"")</f>
        <v/>
      </c>
      <c r="D2321" s="10">
        <f>IFERROR(B2321/C2321,"")</f>
        <v/>
      </c>
      <c r="E2321" s="10">
        <f>IFERROR(C2321/B2321,"")</f>
        <v/>
      </c>
      <c r="F2321" s="11">
        <f>IFERROR((D2321/D2320-1)*100,"")</f>
        <v/>
      </c>
      <c r="G2321" s="11">
        <f>IFERROR((COUNTIF($D$2070:$D$2321,"&lt;"&amp;D2321)+0.5*COUNTIF($D$2070:$D$2321,D2321))/COUNT($D$2070:$D$2321)*100,"")</f>
        <v/>
      </c>
      <c r="H2321" s="10">
        <f>IFERROR(AVERAGE($D$2070:$D$2321),"")</f>
        <v/>
      </c>
      <c r="I2321" s="10" t="n">
        <v>1.344199955434156</v>
      </c>
      <c r="J2321" t="inlineStr"/>
      <c r="K2321" t="inlineStr"/>
    </row>
    <row r="2322">
      <c r="A2322" s="7" t="inlineStr">
        <is>
          <t>2023-09-06</t>
        </is>
      </c>
      <c r="B2322" s="8">
        <f>IFERROR(VLOOKUP($A2322,'01-原始价格'!$A:$M,2,FALSE),"")</f>
        <v/>
      </c>
      <c r="C2322" s="8">
        <f>IFERROR(VLOOKUP($A2322,'01-原始价格'!$A:$M,8,FALSE),"")</f>
        <v/>
      </c>
      <c r="D2322" s="10">
        <f>IFERROR(B2322/C2322,"")</f>
        <v/>
      </c>
      <c r="E2322" s="10">
        <f>IFERROR(C2322/B2322,"")</f>
        <v/>
      </c>
      <c r="F2322" s="11">
        <f>IFERROR((D2322/D2321-1)*100,"")</f>
        <v/>
      </c>
      <c r="G2322" s="11">
        <f>IFERROR((COUNTIF($D$2071:$D$2322,"&lt;"&amp;D2322)+0.5*COUNTIF($D$2071:$D$2322,D2322))/COUNT($D$2071:$D$2322)*100,"")</f>
        <v/>
      </c>
      <c r="H2322" s="10">
        <f>IFERROR(AVERAGE($D$2071:$D$2322),"")</f>
        <v/>
      </c>
      <c r="I2322" s="10" t="n">
        <v>1.57860497938652</v>
      </c>
      <c r="J2322" t="inlineStr"/>
      <c r="K2322" t="inlineStr"/>
    </row>
    <row r="2323">
      <c r="A2323" s="7" t="inlineStr">
        <is>
          <t>2023-09-07</t>
        </is>
      </c>
      <c r="B2323" s="8">
        <f>IFERROR(VLOOKUP($A2323,'01-原始价格'!$A:$M,2,FALSE),"")</f>
        <v/>
      </c>
      <c r="C2323" s="8">
        <f>IFERROR(VLOOKUP($A2323,'01-原始价格'!$A:$M,8,FALSE),"")</f>
        <v/>
      </c>
      <c r="D2323" s="10">
        <f>IFERROR(B2323/C2323,"")</f>
        <v/>
      </c>
      <c r="E2323" s="10">
        <f>IFERROR(C2323/B2323,"")</f>
        <v/>
      </c>
      <c r="F2323" s="11">
        <f>IFERROR((D2323/D2322-1)*100,"")</f>
        <v/>
      </c>
      <c r="G2323" s="11">
        <f>IFERROR((COUNTIF($D$2072:$D$2323,"&lt;"&amp;D2323)+0.5*COUNTIF($D$2072:$D$2323,D2323))/COUNT($D$2072:$D$2323)*100,"")</f>
        <v/>
      </c>
      <c r="H2323" s="10">
        <f>IFERROR(AVERAGE($D$2072:$D$2323),"")</f>
        <v/>
      </c>
      <c r="I2323" s="10" t="n">
        <v>1.601411392083344</v>
      </c>
      <c r="J2323" t="inlineStr"/>
      <c r="K2323" t="inlineStr"/>
    </row>
    <row r="2324">
      <c r="A2324" s="7" t="inlineStr">
        <is>
          <t>2023-09-08</t>
        </is>
      </c>
      <c r="B2324" s="8">
        <f>IFERROR(VLOOKUP($A2324,'01-原始价格'!$A:$M,2,FALSE),"")</f>
        <v/>
      </c>
      <c r="C2324" s="8">
        <f>IFERROR(VLOOKUP($A2324,'01-原始价格'!$A:$M,8,FALSE),"")</f>
        <v/>
      </c>
      <c r="D2324" s="10">
        <f>IFERROR(B2324/C2324,"")</f>
        <v/>
      </c>
      <c r="E2324" s="10">
        <f>IFERROR(C2324/B2324,"")</f>
        <v/>
      </c>
      <c r="F2324" s="11">
        <f>IFERROR((D2324/D2323-1)*100,"")</f>
        <v/>
      </c>
      <c r="G2324" s="11">
        <f>IFERROR((COUNTIF($D$2073:$D$2324,"&lt;"&amp;D2324)+0.5*COUNTIF($D$2073:$D$2324,D2324))/COUNT($D$2073:$D$2324)*100,"")</f>
        <v/>
      </c>
      <c r="H2324" s="10">
        <f>IFERROR(AVERAGE($D$2073:$D$2324),"")</f>
        <v/>
      </c>
      <c r="I2324" s="10" t="n">
        <v>1.53735375451407</v>
      </c>
      <c r="J2324" t="inlineStr"/>
      <c r="K2324" t="inlineStr"/>
    </row>
    <row r="2325">
      <c r="A2325" s="7" t="inlineStr">
        <is>
          <t>2023-09-11</t>
        </is>
      </c>
      <c r="B2325" s="8">
        <f>IFERROR(VLOOKUP($A2325,'01-原始价格'!$A:$M,2,FALSE),"")</f>
        <v/>
      </c>
      <c r="C2325" s="8">
        <f>IFERROR(VLOOKUP($A2325,'01-原始价格'!$A:$M,8,FALSE),"")</f>
        <v/>
      </c>
      <c r="D2325" s="10">
        <f>IFERROR(B2325/C2325,"")</f>
        <v/>
      </c>
      <c r="E2325" s="10">
        <f>IFERROR(C2325/B2325,"")</f>
        <v/>
      </c>
      <c r="F2325" s="11">
        <f>IFERROR((D2325/D2324-1)*100,"")</f>
        <v/>
      </c>
      <c r="G2325" s="11">
        <f>IFERROR((COUNTIF($D$2074:$D$2325,"&lt;"&amp;D2325)+0.5*COUNTIF($D$2074:$D$2325,D2325))/COUNT($D$2074:$D$2325)*100,"")</f>
        <v/>
      </c>
      <c r="H2325" s="10">
        <f>IFERROR(AVERAGE($D$2074:$D$2325),"")</f>
        <v/>
      </c>
      <c r="I2325" s="10" t="n">
        <v>1.590458792725417</v>
      </c>
      <c r="J2325" t="inlineStr"/>
      <c r="K2325" t="inlineStr"/>
    </row>
    <row r="2326">
      <c r="A2326" s="7" t="inlineStr">
        <is>
          <t>2023-09-12</t>
        </is>
      </c>
      <c r="B2326" s="8">
        <f>IFERROR(VLOOKUP($A2326,'01-原始价格'!$A:$M,2,FALSE),"")</f>
        <v/>
      </c>
      <c r="C2326" s="8">
        <f>IFERROR(VLOOKUP($A2326,'01-原始价格'!$A:$M,8,FALSE),"")</f>
        <v/>
      </c>
      <c r="D2326" s="10">
        <f>IFERROR(B2326/C2326,"")</f>
        <v/>
      </c>
      <c r="E2326" s="10">
        <f>IFERROR(C2326/B2326,"")</f>
        <v/>
      </c>
      <c r="F2326" s="11">
        <f>IFERROR((D2326/D2325-1)*100,"")</f>
        <v/>
      </c>
      <c r="G2326" s="11">
        <f>IFERROR((COUNTIF($D$2075:$D$2326,"&lt;"&amp;D2326)+0.5*COUNTIF($D$2075:$D$2326,D2326))/COUNT($D$2075:$D$2326)*100,"")</f>
        <v/>
      </c>
      <c r="H2326" s="10">
        <f>IFERROR(AVERAGE($D$2075:$D$2326),"")</f>
        <v/>
      </c>
      <c r="I2326" s="10" t="n">
        <v>2.072050893827697</v>
      </c>
      <c r="J2326" t="inlineStr"/>
      <c r="K2326" t="inlineStr"/>
    </row>
    <row r="2327">
      <c r="A2327" s="7" t="inlineStr">
        <is>
          <t>2023-09-13</t>
        </is>
      </c>
      <c r="B2327" s="8">
        <f>IFERROR(VLOOKUP($A2327,'01-原始价格'!$A:$M,2,FALSE),"")</f>
        <v/>
      </c>
      <c r="C2327" s="8">
        <f>IFERROR(VLOOKUP($A2327,'01-原始价格'!$A:$M,8,FALSE),"")</f>
        <v/>
      </c>
      <c r="D2327" s="10">
        <f>IFERROR(B2327/C2327,"")</f>
        <v/>
      </c>
      <c r="E2327" s="10">
        <f>IFERROR(C2327/B2327,"")</f>
        <v/>
      </c>
      <c r="F2327" s="11">
        <f>IFERROR((D2327/D2326-1)*100,"")</f>
        <v/>
      </c>
      <c r="G2327" s="11">
        <f>IFERROR((COUNTIF($D$2076:$D$2327,"&lt;"&amp;D2327)+0.5*COUNTIF($D$2076:$D$2327,D2327))/COUNT($D$2076:$D$2327)*100,"")</f>
        <v/>
      </c>
      <c r="H2327" s="10">
        <f>IFERROR(AVERAGE($D$2076:$D$2327),"")</f>
        <v/>
      </c>
      <c r="I2327" s="10" t="n">
        <v>2.21970511987196</v>
      </c>
      <c r="J2327" t="inlineStr"/>
      <c r="K2327" t="inlineStr"/>
    </row>
    <row r="2328">
      <c r="A2328" s="7" t="inlineStr">
        <is>
          <t>2023-09-14</t>
        </is>
      </c>
      <c r="B2328" s="8">
        <f>IFERROR(VLOOKUP($A2328,'01-原始价格'!$A:$M,2,FALSE),"")</f>
        <v/>
      </c>
      <c r="C2328" s="8">
        <f>IFERROR(VLOOKUP($A2328,'01-原始价格'!$A:$M,8,FALSE),"")</f>
        <v/>
      </c>
      <c r="D2328" s="10">
        <f>IFERROR(B2328/C2328,"")</f>
        <v/>
      </c>
      <c r="E2328" s="10">
        <f>IFERROR(C2328/B2328,"")</f>
        <v/>
      </c>
      <c r="F2328" s="11">
        <f>IFERROR((D2328/D2327-1)*100,"")</f>
        <v/>
      </c>
      <c r="G2328" s="11">
        <f>IFERROR((COUNTIF($D$2077:$D$2328,"&lt;"&amp;D2328)+0.5*COUNTIF($D$2077:$D$2328,D2328))/COUNT($D$2077:$D$2328)*100,"")</f>
        <v/>
      </c>
      <c r="H2328" s="10">
        <f>IFERROR(AVERAGE($D$2077:$D$2328),"")</f>
        <v/>
      </c>
      <c r="I2328" s="10" t="n">
        <v>2.216970505888157</v>
      </c>
      <c r="J2328" t="inlineStr"/>
      <c r="K2328" t="inlineStr"/>
    </row>
    <row r="2329">
      <c r="A2329" s="7" t="inlineStr">
        <is>
          <t>2023-09-15</t>
        </is>
      </c>
      <c r="B2329" s="8">
        <f>IFERROR(VLOOKUP($A2329,'01-原始价格'!$A:$M,2,FALSE),"")</f>
        <v/>
      </c>
      <c r="C2329" s="8">
        <f>IFERROR(VLOOKUP($A2329,'01-原始价格'!$A:$M,8,FALSE),"")</f>
        <v/>
      </c>
      <c r="D2329" s="10">
        <f>IFERROR(B2329/C2329,"")</f>
        <v/>
      </c>
      <c r="E2329" s="10">
        <f>IFERROR(C2329/B2329,"")</f>
        <v/>
      </c>
      <c r="F2329" s="11">
        <f>IFERROR((D2329/D2328-1)*100,"")</f>
        <v/>
      </c>
      <c r="G2329" s="11">
        <f>IFERROR((COUNTIF($D$2078:$D$2329,"&lt;"&amp;D2329)+0.5*COUNTIF($D$2078:$D$2329,D2329))/COUNT($D$2078:$D$2329)*100,"")</f>
        <v/>
      </c>
      <c r="H2329" s="10">
        <f>IFERROR(AVERAGE($D$2078:$D$2329),"")</f>
        <v/>
      </c>
      <c r="I2329" s="10" t="n">
        <v>1.884052131523882</v>
      </c>
      <c r="J2329" t="inlineStr"/>
      <c r="K2329" t="inlineStr"/>
    </row>
    <row r="2330">
      <c r="A2330" s="7" t="inlineStr">
        <is>
          <t>2023-09-18</t>
        </is>
      </c>
      <c r="B2330" s="8">
        <f>IFERROR(VLOOKUP($A2330,'01-原始价格'!$A:$M,2,FALSE),"")</f>
        <v/>
      </c>
      <c r="C2330" s="8">
        <f>IFERROR(VLOOKUP($A2330,'01-原始价格'!$A:$M,8,FALSE),"")</f>
        <v/>
      </c>
      <c r="D2330" s="10">
        <f>IFERROR(B2330/C2330,"")</f>
        <v/>
      </c>
      <c r="E2330" s="10">
        <f>IFERROR(C2330/B2330,"")</f>
        <v/>
      </c>
      <c r="F2330" s="11">
        <f>IFERROR((D2330/D2329-1)*100,"")</f>
        <v/>
      </c>
      <c r="G2330" s="11">
        <f>IFERROR((COUNTIF($D$2079:$D$2330,"&lt;"&amp;D2330)+0.5*COUNTIF($D$2079:$D$2330,D2330))/COUNT($D$2079:$D$2330)*100,"")</f>
        <v/>
      </c>
      <c r="H2330" s="10">
        <f>IFERROR(AVERAGE($D$2079:$D$2330),"")</f>
        <v/>
      </c>
      <c r="I2330" s="10" t="n">
        <v>1.939811249961795</v>
      </c>
      <c r="J2330" t="inlineStr"/>
      <c r="K2330" t="inlineStr"/>
    </row>
    <row r="2331">
      <c r="A2331" s="7" t="inlineStr">
        <is>
          <t>2023-09-19</t>
        </is>
      </c>
      <c r="B2331" s="8">
        <f>IFERROR(VLOOKUP($A2331,'01-原始价格'!$A:$M,2,FALSE),"")</f>
        <v/>
      </c>
      <c r="C2331" s="8">
        <f>IFERROR(VLOOKUP($A2331,'01-原始价格'!$A:$M,8,FALSE),"")</f>
        <v/>
      </c>
      <c r="D2331" s="10">
        <f>IFERROR(B2331/C2331,"")</f>
        <v/>
      </c>
      <c r="E2331" s="10">
        <f>IFERROR(C2331/B2331,"")</f>
        <v/>
      </c>
      <c r="F2331" s="11">
        <f>IFERROR((D2331/D2330-1)*100,"")</f>
        <v/>
      </c>
      <c r="G2331" s="11">
        <f>IFERROR((COUNTIF($D$2080:$D$2331,"&lt;"&amp;D2331)+0.5*COUNTIF($D$2080:$D$2331,D2331))/COUNT($D$2080:$D$2331)*100,"")</f>
        <v/>
      </c>
      <c r="H2331" s="10">
        <f>IFERROR(AVERAGE($D$2080:$D$2331),"")</f>
        <v/>
      </c>
      <c r="I2331" s="10" t="n">
        <v>1.91877791936592</v>
      </c>
      <c r="J2331" t="inlineStr"/>
      <c r="K2331" t="inlineStr"/>
    </row>
    <row r="2332">
      <c r="A2332" s="7" t="inlineStr">
        <is>
          <t>2023-09-20</t>
        </is>
      </c>
      <c r="B2332" s="8">
        <f>IFERROR(VLOOKUP($A2332,'01-原始价格'!$A:$M,2,FALSE),"")</f>
        <v/>
      </c>
      <c r="C2332" s="8">
        <f>IFERROR(VLOOKUP($A2332,'01-原始价格'!$A:$M,8,FALSE),"")</f>
        <v/>
      </c>
      <c r="D2332" s="10">
        <f>IFERROR(B2332/C2332,"")</f>
        <v/>
      </c>
      <c r="E2332" s="10">
        <f>IFERROR(C2332/B2332,"")</f>
        <v/>
      </c>
      <c r="F2332" s="11">
        <f>IFERROR((D2332/D2331-1)*100,"")</f>
        <v/>
      </c>
      <c r="G2332" s="11">
        <f>IFERROR((COUNTIF($D$2081:$D$2332,"&lt;"&amp;D2332)+0.5*COUNTIF($D$2081:$D$2332,D2332))/COUNT($D$2081:$D$2332)*100,"")</f>
        <v/>
      </c>
      <c r="H2332" s="10">
        <f>IFERROR(AVERAGE($D$2081:$D$2332),"")</f>
        <v/>
      </c>
      <c r="I2332" s="10" t="n">
        <v>2.098544420924245</v>
      </c>
      <c r="J2332" t="inlineStr"/>
      <c r="K2332" t="inlineStr"/>
    </row>
    <row r="2333">
      <c r="A2333" s="7" t="inlineStr">
        <is>
          <t>2023-09-21</t>
        </is>
      </c>
      <c r="B2333" s="8">
        <f>IFERROR(VLOOKUP($A2333,'01-原始价格'!$A:$M,2,FALSE),"")</f>
        <v/>
      </c>
      <c r="C2333" s="8">
        <f>IFERROR(VLOOKUP($A2333,'01-原始价格'!$A:$M,8,FALSE),"")</f>
        <v/>
      </c>
      <c r="D2333" s="10">
        <f>IFERROR(B2333/C2333,"")</f>
        <v/>
      </c>
      <c r="E2333" s="10">
        <f>IFERROR(C2333/B2333,"")</f>
        <v/>
      </c>
      <c r="F2333" s="11">
        <f>IFERROR((D2333/D2332-1)*100,"")</f>
        <v/>
      </c>
      <c r="G2333" s="11">
        <f>IFERROR((COUNTIF($D$2082:$D$2333,"&lt;"&amp;D2333)+0.5*COUNTIF($D$2082:$D$2333,D2333))/COUNT($D$2082:$D$2333)*100,"")</f>
        <v/>
      </c>
      <c r="H2333" s="10">
        <f>IFERROR(AVERAGE($D$2082:$D$2333),"")</f>
        <v/>
      </c>
      <c r="I2333" s="10" t="n">
        <v>2.160951226258939</v>
      </c>
      <c r="J2333" t="inlineStr"/>
      <c r="K2333" t="inlineStr"/>
    </row>
    <row r="2334">
      <c r="A2334" s="7" t="inlineStr">
        <is>
          <t>2023-09-22</t>
        </is>
      </c>
      <c r="B2334" s="8">
        <f>IFERROR(VLOOKUP($A2334,'01-原始价格'!$A:$M,2,FALSE),"")</f>
        <v/>
      </c>
      <c r="C2334" s="8">
        <f>IFERROR(VLOOKUP($A2334,'01-原始价格'!$A:$M,8,FALSE),"")</f>
        <v/>
      </c>
      <c r="D2334" s="10">
        <f>IFERROR(B2334/C2334,"")</f>
        <v/>
      </c>
      <c r="E2334" s="10">
        <f>IFERROR(C2334/B2334,"")</f>
        <v/>
      </c>
      <c r="F2334" s="11">
        <f>IFERROR((D2334/D2333-1)*100,"")</f>
        <v/>
      </c>
      <c r="G2334" s="11">
        <f>IFERROR((COUNTIF($D$2083:$D$2334,"&lt;"&amp;D2334)+0.5*COUNTIF($D$2083:$D$2334,D2334))/COUNT($D$2083:$D$2334)*100,"")</f>
        <v/>
      </c>
      <c r="H2334" s="10">
        <f>IFERROR(AVERAGE($D$2083:$D$2334),"")</f>
        <v/>
      </c>
      <c r="I2334" s="10" t="n">
        <v>2.109149736943805</v>
      </c>
      <c r="J2334" t="inlineStr"/>
      <c r="K2334" t="inlineStr"/>
    </row>
    <row r="2335">
      <c r="A2335" s="7" t="inlineStr">
        <is>
          <t>2023-09-25</t>
        </is>
      </c>
      <c r="B2335" s="8">
        <f>IFERROR(VLOOKUP($A2335,'01-原始价格'!$A:$M,2,FALSE),"")</f>
        <v/>
      </c>
      <c r="C2335" s="8">
        <f>IFERROR(VLOOKUP($A2335,'01-原始价格'!$A:$M,8,FALSE),"")</f>
        <v/>
      </c>
      <c r="D2335" s="10">
        <f>IFERROR(B2335/C2335,"")</f>
        <v/>
      </c>
      <c r="E2335" s="10">
        <f>IFERROR(C2335/B2335,"")</f>
        <v/>
      </c>
      <c r="F2335" s="11">
        <f>IFERROR((D2335/D2334-1)*100,"")</f>
        <v/>
      </c>
      <c r="G2335" s="11">
        <f>IFERROR((COUNTIF($D$2084:$D$2335,"&lt;"&amp;D2335)+0.5*COUNTIF($D$2084:$D$2335,D2335))/COUNT($D$2084:$D$2335)*100,"")</f>
        <v/>
      </c>
      <c r="H2335" s="10">
        <f>IFERROR(AVERAGE($D$2084:$D$2335),"")</f>
        <v/>
      </c>
      <c r="I2335" s="10" t="n">
        <v>1.684649509102681</v>
      </c>
      <c r="J2335" t="inlineStr"/>
      <c r="K2335" t="inlineStr"/>
    </row>
    <row r="2336">
      <c r="A2336" s="7" t="inlineStr">
        <is>
          <t>2023-09-26</t>
        </is>
      </c>
      <c r="B2336" s="8">
        <f>IFERROR(VLOOKUP($A2336,'01-原始价格'!$A:$M,2,FALSE),"")</f>
        <v/>
      </c>
      <c r="C2336" s="8">
        <f>IFERROR(VLOOKUP($A2336,'01-原始价格'!$A:$M,8,FALSE),"")</f>
        <v/>
      </c>
      <c r="D2336" s="10">
        <f>IFERROR(B2336/C2336,"")</f>
        <v/>
      </c>
      <c r="E2336" s="10">
        <f>IFERROR(C2336/B2336,"")</f>
        <v/>
      </c>
      <c r="F2336" s="11">
        <f>IFERROR((D2336/D2335-1)*100,"")</f>
        <v/>
      </c>
      <c r="G2336" s="11">
        <f>IFERROR((COUNTIF($D$2085:$D$2336,"&lt;"&amp;D2336)+0.5*COUNTIF($D$2085:$D$2336,D2336))/COUNT($D$2085:$D$2336)*100,"")</f>
        <v/>
      </c>
      <c r="H2336" s="10">
        <f>IFERROR(AVERAGE($D$2085:$D$2336),"")</f>
        <v/>
      </c>
      <c r="I2336" s="10" t="n">
        <v>1.477035317963034</v>
      </c>
      <c r="J2336" t="inlineStr"/>
      <c r="K2336" t="inlineStr"/>
    </row>
    <row r="2337">
      <c r="A2337" s="7" t="inlineStr">
        <is>
          <t>2023-09-27</t>
        </is>
      </c>
      <c r="B2337" s="8">
        <f>IFERROR(VLOOKUP($A2337,'01-原始价格'!$A:$M,2,FALSE),"")</f>
        <v/>
      </c>
      <c r="C2337" s="8">
        <f>IFERROR(VLOOKUP($A2337,'01-原始价格'!$A:$M,8,FALSE),"")</f>
        <v/>
      </c>
      <c r="D2337" s="10">
        <f>IFERROR(B2337/C2337,"")</f>
        <v/>
      </c>
      <c r="E2337" s="10">
        <f>IFERROR(C2337/B2337,"")</f>
        <v/>
      </c>
      <c r="F2337" s="11">
        <f>IFERROR((D2337/D2336-1)*100,"")</f>
        <v/>
      </c>
      <c r="G2337" s="11">
        <f>IFERROR((COUNTIF($D$2086:$D$2337,"&lt;"&amp;D2337)+0.5*COUNTIF($D$2086:$D$2337,D2337))/COUNT($D$2086:$D$2337)*100,"")</f>
        <v/>
      </c>
      <c r="H2337" s="10">
        <f>IFERROR(AVERAGE($D$2086:$D$2337),"")</f>
        <v/>
      </c>
      <c r="I2337" s="10" t="n">
        <v>1.446322584821786</v>
      </c>
      <c r="J2337" t="inlineStr"/>
      <c r="K2337" t="inlineStr"/>
    </row>
    <row r="2338">
      <c r="A2338" s="7" t="inlineStr">
        <is>
          <t>2023-09-28</t>
        </is>
      </c>
      <c r="B2338" s="8">
        <f>IFERROR(VLOOKUP($A2338,'01-原始价格'!$A:$M,2,FALSE),"")</f>
        <v/>
      </c>
      <c r="C2338" s="8">
        <f>IFERROR(VLOOKUP($A2338,'01-原始价格'!$A:$M,8,FALSE),"")</f>
        <v/>
      </c>
      <c r="D2338" s="10">
        <f>IFERROR(B2338/C2338,"")</f>
        <v/>
      </c>
      <c r="E2338" s="10">
        <f>IFERROR(C2338/B2338,"")</f>
        <v/>
      </c>
      <c r="F2338" s="11">
        <f>IFERROR((D2338/D2337-1)*100,"")</f>
        <v/>
      </c>
      <c r="G2338" s="11">
        <f>IFERROR((COUNTIF($D$2087:$D$2338,"&lt;"&amp;D2338)+0.5*COUNTIF($D$2087:$D$2338,D2338))/COUNT($D$2087:$D$2338)*100,"")</f>
        <v/>
      </c>
      <c r="H2338" s="10">
        <f>IFERROR(AVERAGE($D$2087:$D$2338),"")</f>
        <v/>
      </c>
      <c r="I2338" s="10" t="n">
        <v>1.470678378964114</v>
      </c>
      <c r="J2338" t="inlineStr"/>
      <c r="K2338" t="inlineStr"/>
    </row>
    <row r="2339">
      <c r="A2339" s="7" t="inlineStr">
        <is>
          <t>2023-10-09</t>
        </is>
      </c>
      <c r="B2339" s="8">
        <f>IFERROR(VLOOKUP($A2339,'01-原始价格'!$A:$M,2,FALSE),"")</f>
        <v/>
      </c>
      <c r="C2339" s="8">
        <f>IFERROR(VLOOKUP($A2339,'01-原始价格'!$A:$M,8,FALSE),"")</f>
        <v/>
      </c>
      <c r="D2339" s="10">
        <f>IFERROR(B2339/C2339,"")</f>
        <v/>
      </c>
      <c r="E2339" s="10">
        <f>IFERROR(C2339/B2339,"")</f>
        <v/>
      </c>
      <c r="F2339" s="11">
        <f>IFERROR((D2339/D2338-1)*100,"")</f>
        <v/>
      </c>
      <c r="G2339" s="11">
        <f>IFERROR((COUNTIF($D$2088:$D$2339,"&lt;"&amp;D2339)+0.5*COUNTIF($D$2088:$D$2339,D2339))/COUNT($D$2088:$D$2339)*100,"")</f>
        <v/>
      </c>
      <c r="H2339" s="10">
        <f>IFERROR(AVERAGE($D$2088:$D$2339),"")</f>
        <v/>
      </c>
      <c r="I2339" s="10" t="n">
        <v>1.168372901141531</v>
      </c>
      <c r="J2339" t="inlineStr"/>
      <c r="K2339" t="inlineStr"/>
    </row>
    <row r="2340">
      <c r="A2340" s="7" t="inlineStr">
        <is>
          <t>2023-10-10</t>
        </is>
      </c>
      <c r="B2340" s="8">
        <f>IFERROR(VLOOKUP($A2340,'01-原始价格'!$A:$M,2,FALSE),"")</f>
        <v/>
      </c>
      <c r="C2340" s="8">
        <f>IFERROR(VLOOKUP($A2340,'01-原始价格'!$A:$M,8,FALSE),"")</f>
        <v/>
      </c>
      <c r="D2340" s="10">
        <f>IFERROR(B2340/C2340,"")</f>
        <v/>
      </c>
      <c r="E2340" s="10">
        <f>IFERROR(C2340/B2340,"")</f>
        <v/>
      </c>
      <c r="F2340" s="11">
        <f>IFERROR((D2340/D2339-1)*100,"")</f>
        <v/>
      </c>
      <c r="G2340" s="11">
        <f>IFERROR((COUNTIF($D$2089:$D$2340,"&lt;"&amp;D2340)+0.5*COUNTIF($D$2089:$D$2340,D2340))/COUNT($D$2089:$D$2340)*100,"")</f>
        <v/>
      </c>
      <c r="H2340" s="10">
        <f>IFERROR(AVERAGE($D$2089:$D$2340),"")</f>
        <v/>
      </c>
      <c r="I2340" s="10" t="n">
        <v>0.9484211102606935</v>
      </c>
      <c r="J2340" t="inlineStr"/>
      <c r="K2340" t="inlineStr"/>
    </row>
    <row r="2341">
      <c r="A2341" s="7" t="inlineStr">
        <is>
          <t>2023-10-11</t>
        </is>
      </c>
      <c r="B2341" s="8">
        <f>IFERROR(VLOOKUP($A2341,'01-原始价格'!$A:$M,2,FALSE),"")</f>
        <v/>
      </c>
      <c r="C2341" s="8">
        <f>IFERROR(VLOOKUP($A2341,'01-原始价格'!$A:$M,8,FALSE),"")</f>
        <v/>
      </c>
      <c r="D2341" s="10">
        <f>IFERROR(B2341/C2341,"")</f>
        <v/>
      </c>
      <c r="E2341" s="10">
        <f>IFERROR(C2341/B2341,"")</f>
        <v/>
      </c>
      <c r="F2341" s="11">
        <f>IFERROR((D2341/D2340-1)*100,"")</f>
        <v/>
      </c>
      <c r="G2341" s="11">
        <f>IFERROR((COUNTIF($D$2090:$D$2341,"&lt;"&amp;D2341)+0.5*COUNTIF($D$2090:$D$2341,D2341))/COUNT($D$2090:$D$2341)*100,"")</f>
        <v/>
      </c>
      <c r="H2341" s="10">
        <f>IFERROR(AVERAGE($D$2090:$D$2341),"")</f>
        <v/>
      </c>
      <c r="I2341" s="10" t="n">
        <v>0.891132875070724</v>
      </c>
      <c r="J2341" t="inlineStr"/>
      <c r="K2341" t="inlineStr"/>
    </row>
    <row r="2342">
      <c r="A2342" s="7" t="inlineStr">
        <is>
          <t>2023-10-12</t>
        </is>
      </c>
      <c r="B2342" s="8">
        <f>IFERROR(VLOOKUP($A2342,'01-原始价格'!$A:$M,2,FALSE),"")</f>
        <v/>
      </c>
      <c r="C2342" s="8">
        <f>IFERROR(VLOOKUP($A2342,'01-原始价格'!$A:$M,8,FALSE),"")</f>
        <v/>
      </c>
      <c r="D2342" s="10">
        <f>IFERROR(B2342/C2342,"")</f>
        <v/>
      </c>
      <c r="E2342" s="10">
        <f>IFERROR(C2342/B2342,"")</f>
        <v/>
      </c>
      <c r="F2342" s="11">
        <f>IFERROR((D2342/D2341-1)*100,"")</f>
        <v/>
      </c>
      <c r="G2342" s="11">
        <f>IFERROR((COUNTIF($D$2091:$D$2342,"&lt;"&amp;D2342)+0.5*COUNTIF($D$2091:$D$2342,D2342))/COUNT($D$2091:$D$2342)*100,"")</f>
        <v/>
      </c>
      <c r="H2342" s="10">
        <f>IFERROR(AVERAGE($D$2091:$D$2342),"")</f>
        <v/>
      </c>
      <c r="I2342" s="10" t="n">
        <v>0.8868076908115894</v>
      </c>
      <c r="J2342" t="inlineStr"/>
      <c r="K2342" t="inlineStr"/>
    </row>
    <row r="2343">
      <c r="A2343" s="7" t="inlineStr">
        <is>
          <t>2023-10-13</t>
        </is>
      </c>
      <c r="B2343" s="8">
        <f>IFERROR(VLOOKUP($A2343,'01-原始价格'!$A:$M,2,FALSE),"")</f>
        <v/>
      </c>
      <c r="C2343" s="8">
        <f>IFERROR(VLOOKUP($A2343,'01-原始价格'!$A:$M,8,FALSE),"")</f>
        <v/>
      </c>
      <c r="D2343" s="10">
        <f>IFERROR(B2343/C2343,"")</f>
        <v/>
      </c>
      <c r="E2343" s="10">
        <f>IFERROR(C2343/B2343,"")</f>
        <v/>
      </c>
      <c r="F2343" s="11">
        <f>IFERROR((D2343/D2342-1)*100,"")</f>
        <v/>
      </c>
      <c r="G2343" s="11">
        <f>IFERROR((COUNTIF($D$2092:$D$2343,"&lt;"&amp;D2343)+0.5*COUNTIF($D$2092:$D$2343,D2343))/COUNT($D$2092:$D$2343)*100,"")</f>
        <v/>
      </c>
      <c r="H2343" s="10">
        <f>IFERROR(AVERAGE($D$2092:$D$2343),"")</f>
        <v/>
      </c>
      <c r="I2343" s="10" t="n">
        <v>1.061159015044138</v>
      </c>
      <c r="J2343" t="inlineStr"/>
      <c r="K2343" t="inlineStr"/>
    </row>
    <row r="2344">
      <c r="A2344" s="7" t="inlineStr">
        <is>
          <t>2023-10-16</t>
        </is>
      </c>
      <c r="B2344" s="8">
        <f>IFERROR(VLOOKUP($A2344,'01-原始价格'!$A:$M,2,FALSE),"")</f>
        <v/>
      </c>
      <c r="C2344" s="8">
        <f>IFERROR(VLOOKUP($A2344,'01-原始价格'!$A:$M,8,FALSE),"")</f>
        <v/>
      </c>
      <c r="D2344" s="10">
        <f>IFERROR(B2344/C2344,"")</f>
        <v/>
      </c>
      <c r="E2344" s="10">
        <f>IFERROR(C2344/B2344,"")</f>
        <v/>
      </c>
      <c r="F2344" s="11">
        <f>IFERROR((D2344/D2343-1)*100,"")</f>
        <v/>
      </c>
      <c r="G2344" s="11">
        <f>IFERROR((COUNTIF($D$2093:$D$2344,"&lt;"&amp;D2344)+0.5*COUNTIF($D$2093:$D$2344,D2344))/COUNT($D$2093:$D$2344)*100,"")</f>
        <v/>
      </c>
      <c r="H2344" s="10">
        <f>IFERROR(AVERAGE($D$2093:$D$2344),"")</f>
        <v/>
      </c>
      <c r="I2344" s="10" t="n">
        <v>1.143905917438272</v>
      </c>
      <c r="J2344" t="inlineStr"/>
      <c r="K2344" t="inlineStr"/>
    </row>
    <row r="2345">
      <c r="A2345" s="7" t="inlineStr">
        <is>
          <t>2023-10-17</t>
        </is>
      </c>
      <c r="B2345" s="8">
        <f>IFERROR(VLOOKUP($A2345,'01-原始价格'!$A:$M,2,FALSE),"")</f>
        <v/>
      </c>
      <c r="C2345" s="8">
        <f>IFERROR(VLOOKUP($A2345,'01-原始价格'!$A:$M,8,FALSE),"")</f>
        <v/>
      </c>
      <c r="D2345" s="10">
        <f>IFERROR(B2345/C2345,"")</f>
        <v/>
      </c>
      <c r="E2345" s="10">
        <f>IFERROR(C2345/B2345,"")</f>
        <v/>
      </c>
      <c r="F2345" s="11">
        <f>IFERROR((D2345/D2344-1)*100,"")</f>
        <v/>
      </c>
      <c r="G2345" s="11">
        <f>IFERROR((COUNTIF($D$2094:$D$2345,"&lt;"&amp;D2345)+0.5*COUNTIF($D$2094:$D$2345,D2345))/COUNT($D$2094:$D$2345)*100,"")</f>
        <v/>
      </c>
      <c r="H2345" s="10">
        <f>IFERROR(AVERAGE($D$2094:$D$2345),"")</f>
        <v/>
      </c>
      <c r="I2345" s="10" t="n">
        <v>1.064057694803035</v>
      </c>
      <c r="J2345" t="inlineStr"/>
      <c r="K2345" t="inlineStr"/>
    </row>
    <row r="2346">
      <c r="A2346" s="7" t="inlineStr">
        <is>
          <t>2023-10-18</t>
        </is>
      </c>
      <c r="B2346" s="8">
        <f>IFERROR(VLOOKUP($A2346,'01-原始价格'!$A:$M,2,FALSE),"")</f>
        <v/>
      </c>
      <c r="C2346" s="8">
        <f>IFERROR(VLOOKUP($A2346,'01-原始价格'!$A:$M,8,FALSE),"")</f>
        <v/>
      </c>
      <c r="D2346" s="10">
        <f>IFERROR(B2346/C2346,"")</f>
        <v/>
      </c>
      <c r="E2346" s="10">
        <f>IFERROR(C2346/B2346,"")</f>
        <v/>
      </c>
      <c r="F2346" s="11">
        <f>IFERROR((D2346/D2345-1)*100,"")</f>
        <v/>
      </c>
      <c r="G2346" s="11">
        <f>IFERROR((COUNTIF($D$2095:$D$2346,"&lt;"&amp;D2346)+0.5*COUNTIF($D$2095:$D$2346,D2346))/COUNT($D$2095:$D$2346)*100,"")</f>
        <v/>
      </c>
      <c r="H2346" s="10">
        <f>IFERROR(AVERAGE($D$2095:$D$2346),"")</f>
        <v/>
      </c>
      <c r="I2346" s="10" t="n">
        <v>1.258341641383628</v>
      </c>
      <c r="J2346" t="inlineStr"/>
      <c r="K2346" t="inlineStr"/>
    </row>
    <row r="2347">
      <c r="A2347" s="7" t="inlineStr">
        <is>
          <t>2023-10-19</t>
        </is>
      </c>
      <c r="B2347" s="8">
        <f>IFERROR(VLOOKUP($A2347,'01-原始价格'!$A:$M,2,FALSE),"")</f>
        <v/>
      </c>
      <c r="C2347" s="8">
        <f>IFERROR(VLOOKUP($A2347,'01-原始价格'!$A:$M,8,FALSE),"")</f>
        <v/>
      </c>
      <c r="D2347" s="10">
        <f>IFERROR(B2347/C2347,"")</f>
        <v/>
      </c>
      <c r="E2347" s="10">
        <f>IFERROR(C2347/B2347,"")</f>
        <v/>
      </c>
      <c r="F2347" s="11">
        <f>IFERROR((D2347/D2346-1)*100,"")</f>
        <v/>
      </c>
      <c r="G2347" s="11">
        <f>IFERROR((COUNTIF($D$2096:$D$2347,"&lt;"&amp;D2347)+0.5*COUNTIF($D$2096:$D$2347,D2347))/COUNT($D$2096:$D$2347)*100,"")</f>
        <v/>
      </c>
      <c r="H2347" s="10">
        <f>IFERROR(AVERAGE($D$2096:$D$2347),"")</f>
        <v/>
      </c>
      <c r="I2347" s="10" t="n">
        <v>1.295322614857689</v>
      </c>
      <c r="J2347" t="inlineStr"/>
      <c r="K2347" t="inlineStr"/>
    </row>
    <row r="2348">
      <c r="A2348" s="7" t="inlineStr">
        <is>
          <t>2023-10-20</t>
        </is>
      </c>
      <c r="B2348" s="8">
        <f>IFERROR(VLOOKUP($A2348,'01-原始价格'!$A:$M,2,FALSE),"")</f>
        <v/>
      </c>
      <c r="C2348" s="8">
        <f>IFERROR(VLOOKUP($A2348,'01-原始价格'!$A:$M,8,FALSE),"")</f>
        <v/>
      </c>
      <c r="D2348" s="10">
        <f>IFERROR(B2348/C2348,"")</f>
        <v/>
      </c>
      <c r="E2348" s="10">
        <f>IFERROR(C2348/B2348,"")</f>
        <v/>
      </c>
      <c r="F2348" s="11">
        <f>IFERROR((D2348/D2347-1)*100,"")</f>
        <v/>
      </c>
      <c r="G2348" s="11">
        <f>IFERROR((COUNTIF($D$2097:$D$2348,"&lt;"&amp;D2348)+0.5*COUNTIF($D$2097:$D$2348,D2348))/COUNT($D$2097:$D$2348)*100,"")</f>
        <v/>
      </c>
      <c r="H2348" s="10">
        <f>IFERROR(AVERAGE($D$2097:$D$2348),"")</f>
        <v/>
      </c>
      <c r="I2348" s="10" t="n">
        <v>1.218464396903381</v>
      </c>
      <c r="J2348" t="inlineStr"/>
      <c r="K2348" t="inlineStr"/>
    </row>
    <row r="2349">
      <c r="A2349" s="7" t="inlineStr">
        <is>
          <t>2023-10-23</t>
        </is>
      </c>
      <c r="B2349" s="8">
        <f>IFERROR(VLOOKUP($A2349,'01-原始价格'!$A:$M,2,FALSE),"")</f>
        <v/>
      </c>
      <c r="C2349" s="8">
        <f>IFERROR(VLOOKUP($A2349,'01-原始价格'!$A:$M,8,FALSE),"")</f>
        <v/>
      </c>
      <c r="D2349" s="10">
        <f>IFERROR(B2349/C2349,"")</f>
        <v/>
      </c>
      <c r="E2349" s="10">
        <f>IFERROR(C2349/B2349,"")</f>
        <v/>
      </c>
      <c r="F2349" s="11">
        <f>IFERROR((D2349/D2348-1)*100,"")</f>
        <v/>
      </c>
      <c r="G2349" s="11">
        <f>IFERROR((COUNTIF($D$2098:$D$2349,"&lt;"&amp;D2349)+0.5*COUNTIF($D$2098:$D$2349,D2349))/COUNT($D$2098:$D$2349)*100,"")</f>
        <v/>
      </c>
      <c r="H2349" s="10">
        <f>IFERROR(AVERAGE($D$2098:$D$2349),"")</f>
        <v/>
      </c>
      <c r="I2349" s="10" t="n">
        <v>0.9930629072531078</v>
      </c>
      <c r="J2349" t="inlineStr"/>
      <c r="K2349" t="inlineStr"/>
    </row>
    <row r="2350">
      <c r="A2350" s="7" t="inlineStr">
        <is>
          <t>2023-10-24</t>
        </is>
      </c>
      <c r="B2350" s="8">
        <f>IFERROR(VLOOKUP($A2350,'01-原始价格'!$A:$M,2,FALSE),"")</f>
        <v/>
      </c>
      <c r="C2350" s="8">
        <f>IFERROR(VLOOKUP($A2350,'01-原始价格'!$A:$M,8,FALSE),"")</f>
        <v/>
      </c>
      <c r="D2350" s="10">
        <f>IFERROR(B2350/C2350,"")</f>
        <v/>
      </c>
      <c r="E2350" s="10">
        <f>IFERROR(C2350/B2350,"")</f>
        <v/>
      </c>
      <c r="F2350" s="11">
        <f>IFERROR((D2350/D2349-1)*100,"")</f>
        <v/>
      </c>
      <c r="G2350" s="11">
        <f>IFERROR((COUNTIF($D$2099:$D$2350,"&lt;"&amp;D2350)+0.5*COUNTIF($D$2099:$D$2350,D2350))/COUNT($D$2099:$D$2350)*100,"")</f>
        <v/>
      </c>
      <c r="H2350" s="10">
        <f>IFERROR(AVERAGE($D$2099:$D$2350),"")</f>
        <v/>
      </c>
      <c r="I2350" s="10" t="n">
        <v>1.090139857239016</v>
      </c>
      <c r="J2350" t="inlineStr"/>
      <c r="K2350" t="inlineStr"/>
    </row>
    <row r="2351">
      <c r="A2351" s="7" t="inlineStr">
        <is>
          <t>2023-10-25</t>
        </is>
      </c>
      <c r="B2351" s="8">
        <f>IFERROR(VLOOKUP($A2351,'01-原始价格'!$A:$M,2,FALSE),"")</f>
        <v/>
      </c>
      <c r="C2351" s="8">
        <f>IFERROR(VLOOKUP($A2351,'01-原始价格'!$A:$M,8,FALSE),"")</f>
        <v/>
      </c>
      <c r="D2351" s="10">
        <f>IFERROR(B2351/C2351,"")</f>
        <v/>
      </c>
      <c r="E2351" s="10">
        <f>IFERROR(C2351/B2351,"")</f>
        <v/>
      </c>
      <c r="F2351" s="11">
        <f>IFERROR((D2351/D2350-1)*100,"")</f>
        <v/>
      </c>
      <c r="G2351" s="11">
        <f>IFERROR((COUNTIF($D$2100:$D$2351,"&lt;"&amp;D2351)+0.5*COUNTIF($D$2100:$D$2351,D2351))/COUNT($D$2100:$D$2351)*100,"")</f>
        <v/>
      </c>
      <c r="H2351" s="10">
        <f>IFERROR(AVERAGE($D$2100:$D$2351),"")</f>
        <v/>
      </c>
      <c r="I2351" s="10" t="n">
        <v>1.047010555036407</v>
      </c>
      <c r="J2351" t="inlineStr"/>
      <c r="K2351" t="inlineStr"/>
    </row>
    <row r="2352">
      <c r="A2352" s="7" t="inlineStr">
        <is>
          <t>2023-10-26</t>
        </is>
      </c>
      <c r="B2352" s="8">
        <f>IFERROR(VLOOKUP($A2352,'01-原始价格'!$A:$M,2,FALSE),"")</f>
        <v/>
      </c>
      <c r="C2352" s="8">
        <f>IFERROR(VLOOKUP($A2352,'01-原始价格'!$A:$M,8,FALSE),"")</f>
        <v/>
      </c>
      <c r="D2352" s="10">
        <f>IFERROR(B2352/C2352,"")</f>
        <v/>
      </c>
      <c r="E2352" s="10">
        <f>IFERROR(C2352/B2352,"")</f>
        <v/>
      </c>
      <c r="F2352" s="11">
        <f>IFERROR((D2352/D2351-1)*100,"")</f>
        <v/>
      </c>
      <c r="G2352" s="11">
        <f>IFERROR((COUNTIF($D$2101:$D$2352,"&lt;"&amp;D2352)+0.5*COUNTIF($D$2101:$D$2352,D2352))/COUNT($D$2101:$D$2352)*100,"")</f>
        <v/>
      </c>
      <c r="H2352" s="10">
        <f>IFERROR(AVERAGE($D$2101:$D$2352),"")</f>
        <v/>
      </c>
      <c r="I2352" s="10" t="n">
        <v>0.8391587324117111</v>
      </c>
      <c r="J2352" t="inlineStr"/>
      <c r="K2352" t="inlineStr"/>
    </row>
    <row r="2353">
      <c r="A2353" s="7" t="inlineStr">
        <is>
          <t>2023-10-27</t>
        </is>
      </c>
      <c r="B2353" s="8">
        <f>IFERROR(VLOOKUP($A2353,'01-原始价格'!$A:$M,2,FALSE),"")</f>
        <v/>
      </c>
      <c r="C2353" s="8">
        <f>IFERROR(VLOOKUP($A2353,'01-原始价格'!$A:$M,8,FALSE),"")</f>
        <v/>
      </c>
      <c r="D2353" s="10">
        <f>IFERROR(B2353/C2353,"")</f>
        <v/>
      </c>
      <c r="E2353" s="10">
        <f>IFERROR(C2353/B2353,"")</f>
        <v/>
      </c>
      <c r="F2353" s="11">
        <f>IFERROR((D2353/D2352-1)*100,"")</f>
        <v/>
      </c>
      <c r="G2353" s="11">
        <f>IFERROR((COUNTIF($D$2102:$D$2353,"&lt;"&amp;D2353)+0.5*COUNTIF($D$2102:$D$2353,D2353))/COUNT($D$2102:$D$2353)*100,"")</f>
        <v/>
      </c>
      <c r="H2353" s="10">
        <f>IFERROR(AVERAGE($D$2102:$D$2353),"")</f>
        <v/>
      </c>
      <c r="I2353" s="10" t="n">
        <v>0.9452768594650105</v>
      </c>
      <c r="J2353" t="inlineStr"/>
      <c r="K2353" t="inlineStr"/>
    </row>
    <row r="2354">
      <c r="A2354" s="7" t="inlineStr">
        <is>
          <t>2023-10-30</t>
        </is>
      </c>
      <c r="B2354" s="8">
        <f>IFERROR(VLOOKUP($A2354,'01-原始价格'!$A:$M,2,FALSE),"")</f>
        <v/>
      </c>
      <c r="C2354" s="8">
        <f>IFERROR(VLOOKUP($A2354,'01-原始价格'!$A:$M,8,FALSE),"")</f>
        <v/>
      </c>
      <c r="D2354" s="10">
        <f>IFERROR(B2354/C2354,"")</f>
        <v/>
      </c>
      <c r="E2354" s="10">
        <f>IFERROR(C2354/B2354,"")</f>
        <v/>
      </c>
      <c r="F2354" s="11">
        <f>IFERROR((D2354/D2353-1)*100,"")</f>
        <v/>
      </c>
      <c r="G2354" s="11">
        <f>IFERROR((COUNTIF($D$2103:$D$2354,"&lt;"&amp;D2354)+0.5*COUNTIF($D$2103:$D$2354,D2354))/COUNT($D$2103:$D$2354)*100,"")</f>
        <v/>
      </c>
      <c r="H2354" s="10">
        <f>IFERROR(AVERAGE($D$2103:$D$2354),"")</f>
        <v/>
      </c>
      <c r="I2354" s="10" t="n">
        <v>0.9756707478821182</v>
      </c>
      <c r="J2354" t="inlineStr"/>
      <c r="K2354" t="inlineStr"/>
    </row>
    <row r="2355">
      <c r="A2355" s="7" t="inlineStr">
        <is>
          <t>2023-10-31</t>
        </is>
      </c>
      <c r="B2355" s="8">
        <f>IFERROR(VLOOKUP($A2355,'01-原始价格'!$A:$M,2,FALSE),"")</f>
        <v/>
      </c>
      <c r="C2355" s="8">
        <f>IFERROR(VLOOKUP($A2355,'01-原始价格'!$A:$M,8,FALSE),"")</f>
        <v/>
      </c>
      <c r="D2355" s="10">
        <f>IFERROR(B2355/C2355,"")</f>
        <v/>
      </c>
      <c r="E2355" s="10">
        <f>IFERROR(C2355/B2355,"")</f>
        <v/>
      </c>
      <c r="F2355" s="11">
        <f>IFERROR((D2355/D2354-1)*100,"")</f>
        <v/>
      </c>
      <c r="G2355" s="11">
        <f>IFERROR((COUNTIF($D$2104:$D$2355,"&lt;"&amp;D2355)+0.5*COUNTIF($D$2104:$D$2355,D2355))/COUNT($D$2104:$D$2355)*100,"")</f>
        <v/>
      </c>
      <c r="H2355" s="10">
        <f>IFERROR(AVERAGE($D$2104:$D$2355),"")</f>
        <v/>
      </c>
      <c r="I2355" s="10" t="n">
        <v>0.9560107412164662</v>
      </c>
      <c r="J2355" t="inlineStr"/>
      <c r="K2355" t="inlineStr"/>
    </row>
    <row r="2356">
      <c r="A2356" s="7" t="inlineStr">
        <is>
          <t>2023-11-01</t>
        </is>
      </c>
      <c r="B2356" s="8">
        <f>IFERROR(VLOOKUP($A2356,'01-原始价格'!$A:$M,2,FALSE),"")</f>
        <v/>
      </c>
      <c r="C2356" s="8">
        <f>IFERROR(VLOOKUP($A2356,'01-原始价格'!$A:$M,8,FALSE),"")</f>
        <v/>
      </c>
      <c r="D2356" s="10">
        <f>IFERROR(B2356/C2356,"")</f>
        <v/>
      </c>
      <c r="E2356" s="10">
        <f>IFERROR(C2356/B2356,"")</f>
        <v/>
      </c>
      <c r="F2356" s="11">
        <f>IFERROR((D2356/D2355-1)*100,"")</f>
        <v/>
      </c>
      <c r="G2356" s="11">
        <f>IFERROR((COUNTIF($D$2105:$D$2356,"&lt;"&amp;D2356)+0.5*COUNTIF($D$2105:$D$2356,D2356))/COUNT($D$2105:$D$2356)*100,"")</f>
        <v/>
      </c>
      <c r="H2356" s="10">
        <f>IFERROR(AVERAGE($D$2105:$D$2356),"")</f>
        <v/>
      </c>
      <c r="I2356" s="10" t="n">
        <v>1.007085725060887</v>
      </c>
      <c r="J2356" t="inlineStr"/>
      <c r="K2356" t="inlineStr"/>
    </row>
    <row r="2357">
      <c r="A2357" s="7" t="inlineStr">
        <is>
          <t>2023-11-02</t>
        </is>
      </c>
      <c r="B2357" s="8">
        <f>IFERROR(VLOOKUP($A2357,'01-原始价格'!$A:$M,2,FALSE),"")</f>
        <v/>
      </c>
      <c r="C2357" s="8">
        <f>IFERROR(VLOOKUP($A2357,'01-原始价格'!$A:$M,8,FALSE),"")</f>
        <v/>
      </c>
      <c r="D2357" s="10">
        <f>IFERROR(B2357/C2357,"")</f>
        <v/>
      </c>
      <c r="E2357" s="10">
        <f>IFERROR(C2357/B2357,"")</f>
        <v/>
      </c>
      <c r="F2357" s="11">
        <f>IFERROR((D2357/D2356-1)*100,"")</f>
        <v/>
      </c>
      <c r="G2357" s="11">
        <f>IFERROR((COUNTIF($D$2106:$D$2357,"&lt;"&amp;D2357)+0.5*COUNTIF($D$2106:$D$2357,D2357))/COUNT($D$2106:$D$2357)*100,"")</f>
        <v/>
      </c>
      <c r="H2357" s="10">
        <f>IFERROR(AVERAGE($D$2106:$D$2357),"")</f>
        <v/>
      </c>
      <c r="I2357" s="10" t="n">
        <v>0.9413424141863169</v>
      </c>
      <c r="J2357" t="inlineStr"/>
      <c r="K2357" t="inlineStr"/>
    </row>
    <row r="2358">
      <c r="A2358" s="7" t="inlineStr">
        <is>
          <t>2023-11-03</t>
        </is>
      </c>
      <c r="B2358" s="8">
        <f>IFERROR(VLOOKUP($A2358,'01-原始价格'!$A:$M,2,FALSE),"")</f>
        <v/>
      </c>
      <c r="C2358" s="8">
        <f>IFERROR(VLOOKUP($A2358,'01-原始价格'!$A:$M,8,FALSE),"")</f>
        <v/>
      </c>
      <c r="D2358" s="10">
        <f>IFERROR(B2358/C2358,"")</f>
        <v/>
      </c>
      <c r="E2358" s="10">
        <f>IFERROR(C2358/B2358,"")</f>
        <v/>
      </c>
      <c r="F2358" s="11">
        <f>IFERROR((D2358/D2357-1)*100,"")</f>
        <v/>
      </c>
      <c r="G2358" s="11">
        <f>IFERROR((COUNTIF($D$2107:$D$2358,"&lt;"&amp;D2358)+0.5*COUNTIF($D$2107:$D$2358,D2358))/COUNT($D$2107:$D$2358)*100,"")</f>
        <v/>
      </c>
      <c r="H2358" s="10">
        <f>IFERROR(AVERAGE($D$2107:$D$2358),"")</f>
        <v/>
      </c>
      <c r="I2358" s="10" t="n">
        <v>1.030539725609298</v>
      </c>
      <c r="J2358" t="inlineStr"/>
      <c r="K2358" t="inlineStr"/>
    </row>
    <row r="2359">
      <c r="A2359" s="7" t="inlineStr">
        <is>
          <t>2023-11-06</t>
        </is>
      </c>
      <c r="B2359" s="8">
        <f>IFERROR(VLOOKUP($A2359,'01-原始价格'!$A:$M,2,FALSE),"")</f>
        <v/>
      </c>
      <c r="C2359" s="8">
        <f>IFERROR(VLOOKUP($A2359,'01-原始价格'!$A:$M,8,FALSE),"")</f>
        <v/>
      </c>
      <c r="D2359" s="10">
        <f>IFERROR(B2359/C2359,"")</f>
        <v/>
      </c>
      <c r="E2359" s="10">
        <f>IFERROR(C2359/B2359,"")</f>
        <v/>
      </c>
      <c r="F2359" s="11">
        <f>IFERROR((D2359/D2358-1)*100,"")</f>
        <v/>
      </c>
      <c r="G2359" s="11">
        <f>IFERROR((COUNTIF($D$2108:$D$2359,"&lt;"&amp;D2359)+0.5*COUNTIF($D$2108:$D$2359,D2359))/COUNT($D$2108:$D$2359)*100,"")</f>
        <v/>
      </c>
      <c r="H2359" s="10">
        <f>IFERROR(AVERAGE($D$2108:$D$2359),"")</f>
        <v/>
      </c>
      <c r="I2359" s="10" t="n">
        <v>1.231870523638915</v>
      </c>
      <c r="J2359" t="inlineStr"/>
      <c r="K2359" t="inlineStr"/>
    </row>
    <row r="2360">
      <c r="A2360" s="7" t="inlineStr">
        <is>
          <t>2023-11-07</t>
        </is>
      </c>
      <c r="B2360" s="8">
        <f>IFERROR(VLOOKUP($A2360,'01-原始价格'!$A:$M,2,FALSE),"")</f>
        <v/>
      </c>
      <c r="C2360" s="8">
        <f>IFERROR(VLOOKUP($A2360,'01-原始价格'!$A:$M,8,FALSE),"")</f>
        <v/>
      </c>
      <c r="D2360" s="10">
        <f>IFERROR(B2360/C2360,"")</f>
        <v/>
      </c>
      <c r="E2360" s="10">
        <f>IFERROR(C2360/B2360,"")</f>
        <v/>
      </c>
      <c r="F2360" s="11">
        <f>IFERROR((D2360/D2359-1)*100,"")</f>
        <v/>
      </c>
      <c r="G2360" s="11">
        <f>IFERROR((COUNTIF($D$2109:$D$2360,"&lt;"&amp;D2360)+0.5*COUNTIF($D$2109:$D$2360,D2360))/COUNT($D$2109:$D$2360)*100,"")</f>
        <v/>
      </c>
      <c r="H2360" s="10">
        <f>IFERROR(AVERAGE($D$2109:$D$2360),"")</f>
        <v/>
      </c>
      <c r="I2360" s="10" t="n">
        <v>1.274698332140773</v>
      </c>
      <c r="J2360" t="inlineStr"/>
      <c r="K2360" t="inlineStr"/>
    </row>
    <row r="2361">
      <c r="A2361" s="7" t="inlineStr">
        <is>
          <t>2023-11-08</t>
        </is>
      </c>
      <c r="B2361" s="8">
        <f>IFERROR(VLOOKUP($A2361,'01-原始价格'!$A:$M,2,FALSE),"")</f>
        <v/>
      </c>
      <c r="C2361" s="8">
        <f>IFERROR(VLOOKUP($A2361,'01-原始价格'!$A:$M,8,FALSE),"")</f>
        <v/>
      </c>
      <c r="D2361" s="10">
        <f>IFERROR(B2361/C2361,"")</f>
        <v/>
      </c>
      <c r="E2361" s="10">
        <f>IFERROR(C2361/B2361,"")</f>
        <v/>
      </c>
      <c r="F2361" s="11">
        <f>IFERROR((D2361/D2360-1)*100,"")</f>
        <v/>
      </c>
      <c r="G2361" s="11">
        <f>IFERROR((COUNTIF($D$2110:$D$2361,"&lt;"&amp;D2361)+0.5*COUNTIF($D$2110:$D$2361,D2361))/COUNT($D$2110:$D$2361)*100,"")</f>
        <v/>
      </c>
      <c r="H2361" s="10">
        <f>IFERROR(AVERAGE($D$2110:$D$2361),"")</f>
        <v/>
      </c>
      <c r="I2361" s="10" t="n">
        <v>1.254186008202448</v>
      </c>
      <c r="J2361" t="inlineStr"/>
      <c r="K2361" t="inlineStr"/>
    </row>
    <row r="2362">
      <c r="A2362" s="7" t="inlineStr">
        <is>
          <t>2023-11-09</t>
        </is>
      </c>
      <c r="B2362" s="8">
        <f>IFERROR(VLOOKUP($A2362,'01-原始价格'!$A:$M,2,FALSE),"")</f>
        <v/>
      </c>
      <c r="C2362" s="8">
        <f>IFERROR(VLOOKUP($A2362,'01-原始价格'!$A:$M,8,FALSE),"")</f>
        <v/>
      </c>
      <c r="D2362" s="10">
        <f>IFERROR(B2362/C2362,"")</f>
        <v/>
      </c>
      <c r="E2362" s="10">
        <f>IFERROR(C2362/B2362,"")</f>
        <v/>
      </c>
      <c r="F2362" s="11">
        <f>IFERROR((D2362/D2361-1)*100,"")</f>
        <v/>
      </c>
      <c r="G2362" s="11">
        <f>IFERROR((COUNTIF($D$2111:$D$2362,"&lt;"&amp;D2362)+0.5*COUNTIF($D$2111:$D$2362,D2362))/COUNT($D$2111:$D$2362)*100,"")</f>
        <v/>
      </c>
      <c r="H2362" s="10">
        <f>IFERROR(AVERAGE($D$2111:$D$2362),"")</f>
        <v/>
      </c>
      <c r="I2362" s="10" t="n">
        <v>1.480544717533192</v>
      </c>
      <c r="J2362" t="inlineStr"/>
      <c r="K2362" t="inlineStr"/>
    </row>
    <row r="2363">
      <c r="A2363" s="7" t="inlineStr">
        <is>
          <t>2023-11-10</t>
        </is>
      </c>
      <c r="B2363" s="8">
        <f>IFERROR(VLOOKUP($A2363,'01-原始价格'!$A:$M,2,FALSE),"")</f>
        <v/>
      </c>
      <c r="C2363" s="8">
        <f>IFERROR(VLOOKUP($A2363,'01-原始价格'!$A:$M,8,FALSE),"")</f>
        <v/>
      </c>
      <c r="D2363" s="10">
        <f>IFERROR(B2363/C2363,"")</f>
        <v/>
      </c>
      <c r="E2363" s="10">
        <f>IFERROR(C2363/B2363,"")</f>
        <v/>
      </c>
      <c r="F2363" s="11">
        <f>IFERROR((D2363/D2362-1)*100,"")</f>
        <v/>
      </c>
      <c r="G2363" s="11">
        <f>IFERROR((COUNTIF($D$2112:$D$2363,"&lt;"&amp;D2363)+0.5*COUNTIF($D$2112:$D$2363,D2363))/COUNT($D$2112:$D$2363)*100,"")</f>
        <v/>
      </c>
      <c r="H2363" s="10">
        <f>IFERROR(AVERAGE($D$2112:$D$2363),"")</f>
        <v/>
      </c>
      <c r="I2363" s="10" t="n">
        <v>1.442638032345515</v>
      </c>
      <c r="J2363" t="inlineStr"/>
      <c r="K2363" t="inlineStr"/>
    </row>
    <row r="2364">
      <c r="A2364" s="7" t="inlineStr">
        <is>
          <t>2023-11-13</t>
        </is>
      </c>
      <c r="B2364" s="8">
        <f>IFERROR(VLOOKUP($A2364,'01-原始价格'!$A:$M,2,FALSE),"")</f>
        <v/>
      </c>
      <c r="C2364" s="8">
        <f>IFERROR(VLOOKUP($A2364,'01-原始价格'!$A:$M,8,FALSE),"")</f>
        <v/>
      </c>
      <c r="D2364" s="10">
        <f>IFERROR(B2364/C2364,"")</f>
        <v/>
      </c>
      <c r="E2364" s="10">
        <f>IFERROR(C2364/B2364,"")</f>
        <v/>
      </c>
      <c r="F2364" s="11">
        <f>IFERROR((D2364/D2363-1)*100,"")</f>
        <v/>
      </c>
      <c r="G2364" s="11">
        <f>IFERROR((COUNTIF($D$2113:$D$2364,"&lt;"&amp;D2364)+0.5*COUNTIF($D$2113:$D$2364,D2364))/COUNT($D$2113:$D$2364)*100,"")</f>
        <v/>
      </c>
      <c r="H2364" s="10">
        <f>IFERROR(AVERAGE($D$2113:$D$2364),"")</f>
        <v/>
      </c>
      <c r="I2364" s="10" t="n">
        <v>1.675477606477819</v>
      </c>
      <c r="J2364" t="inlineStr"/>
      <c r="K2364" t="inlineStr"/>
    </row>
    <row r="2365">
      <c r="A2365" s="7" t="inlineStr">
        <is>
          <t>2023-11-14</t>
        </is>
      </c>
      <c r="B2365" s="8">
        <f>IFERROR(VLOOKUP($A2365,'01-原始价格'!$A:$M,2,FALSE),"")</f>
        <v/>
      </c>
      <c r="C2365" s="8">
        <f>IFERROR(VLOOKUP($A2365,'01-原始价格'!$A:$M,8,FALSE),"")</f>
        <v/>
      </c>
      <c r="D2365" s="10">
        <f>IFERROR(B2365/C2365,"")</f>
        <v/>
      </c>
      <c r="E2365" s="10">
        <f>IFERROR(C2365/B2365,"")</f>
        <v/>
      </c>
      <c r="F2365" s="11">
        <f>IFERROR((D2365/D2364-1)*100,"")</f>
        <v/>
      </c>
      <c r="G2365" s="11">
        <f>IFERROR((COUNTIF($D$2114:$D$2365,"&lt;"&amp;D2365)+0.5*COUNTIF($D$2114:$D$2365,D2365))/COUNT($D$2114:$D$2365)*100,"")</f>
        <v/>
      </c>
      <c r="H2365" s="10">
        <f>IFERROR(AVERAGE($D$2114:$D$2365),"")</f>
        <v/>
      </c>
      <c r="I2365" s="10" t="n">
        <v>1.749896548373294</v>
      </c>
      <c r="J2365" t="inlineStr"/>
      <c r="K2365" t="inlineStr"/>
    </row>
    <row r="2366">
      <c r="A2366" s="7" t="inlineStr">
        <is>
          <t>2023-11-15</t>
        </is>
      </c>
      <c r="B2366" s="8">
        <f>IFERROR(VLOOKUP($A2366,'01-原始价格'!$A:$M,2,FALSE),"")</f>
        <v/>
      </c>
      <c r="C2366" s="8">
        <f>IFERROR(VLOOKUP($A2366,'01-原始价格'!$A:$M,8,FALSE),"")</f>
        <v/>
      </c>
      <c r="D2366" s="10">
        <f>IFERROR(B2366/C2366,"")</f>
        <v/>
      </c>
      <c r="E2366" s="10">
        <f>IFERROR(C2366/B2366,"")</f>
        <v/>
      </c>
      <c r="F2366" s="11">
        <f>IFERROR((D2366/D2365-1)*100,"")</f>
        <v/>
      </c>
      <c r="G2366" s="11">
        <f>IFERROR((COUNTIF($D$2115:$D$2366,"&lt;"&amp;D2366)+0.5*COUNTIF($D$2115:$D$2366,D2366))/COUNT($D$2115:$D$2366)*100,"")</f>
        <v/>
      </c>
      <c r="H2366" s="10">
        <f>IFERROR(AVERAGE($D$2115:$D$2366),"")</f>
        <v/>
      </c>
      <c r="I2366" s="10" t="n">
        <v>1.547675447541818</v>
      </c>
      <c r="J2366" t="inlineStr"/>
      <c r="K2366" t="inlineStr"/>
    </row>
    <row r="2367">
      <c r="A2367" s="7" t="inlineStr">
        <is>
          <t>2023-11-16</t>
        </is>
      </c>
      <c r="B2367" s="8">
        <f>IFERROR(VLOOKUP($A2367,'01-原始价格'!$A:$M,2,FALSE),"")</f>
        <v/>
      </c>
      <c r="C2367" s="8">
        <f>IFERROR(VLOOKUP($A2367,'01-原始价格'!$A:$M,8,FALSE),"")</f>
        <v/>
      </c>
      <c r="D2367" s="10">
        <f>IFERROR(B2367/C2367,"")</f>
        <v/>
      </c>
      <c r="E2367" s="10">
        <f>IFERROR(C2367/B2367,"")</f>
        <v/>
      </c>
      <c r="F2367" s="11">
        <f>IFERROR((D2367/D2366-1)*100,"")</f>
        <v/>
      </c>
      <c r="G2367" s="11">
        <f>IFERROR((COUNTIF($D$2116:$D$2367,"&lt;"&amp;D2367)+0.5*COUNTIF($D$2116:$D$2367,D2367))/COUNT($D$2116:$D$2367)*100,"")</f>
        <v/>
      </c>
      <c r="H2367" s="10">
        <f>IFERROR(AVERAGE($D$2116:$D$2367),"")</f>
        <v/>
      </c>
      <c r="I2367" s="10" t="n">
        <v>1.492437645486864</v>
      </c>
      <c r="J2367" t="inlineStr"/>
      <c r="K2367" t="inlineStr"/>
    </row>
    <row r="2368">
      <c r="A2368" s="7" t="inlineStr">
        <is>
          <t>2023-11-17</t>
        </is>
      </c>
      <c r="B2368" s="8">
        <f>IFERROR(VLOOKUP($A2368,'01-原始价格'!$A:$M,2,FALSE),"")</f>
        <v/>
      </c>
      <c r="C2368" s="8">
        <f>IFERROR(VLOOKUP($A2368,'01-原始价格'!$A:$M,8,FALSE),"")</f>
        <v/>
      </c>
      <c r="D2368" s="10">
        <f>IFERROR(B2368/C2368,"")</f>
        <v/>
      </c>
      <c r="E2368" s="10">
        <f>IFERROR(C2368/B2368,"")</f>
        <v/>
      </c>
      <c r="F2368" s="11">
        <f>IFERROR((D2368/D2367-1)*100,"")</f>
        <v/>
      </c>
      <c r="G2368" s="11">
        <f>IFERROR((COUNTIF($D$2117:$D$2368,"&lt;"&amp;D2368)+0.5*COUNTIF($D$2117:$D$2368,D2368))/COUNT($D$2117:$D$2368)*100,"")</f>
        <v/>
      </c>
      <c r="H2368" s="10">
        <f>IFERROR(AVERAGE($D$2117:$D$2368),"")</f>
        <v/>
      </c>
      <c r="I2368" s="10" t="n">
        <v>1.338441591443104</v>
      </c>
      <c r="J2368" t="inlineStr"/>
      <c r="K2368" t="inlineStr"/>
    </row>
    <row r="2369">
      <c r="A2369" s="7" t="inlineStr">
        <is>
          <t>2023-11-20</t>
        </is>
      </c>
      <c r="B2369" s="8">
        <f>IFERROR(VLOOKUP($A2369,'01-原始价格'!$A:$M,2,FALSE),"")</f>
        <v/>
      </c>
      <c r="C2369" s="8">
        <f>IFERROR(VLOOKUP($A2369,'01-原始价格'!$A:$M,8,FALSE),"")</f>
        <v/>
      </c>
      <c r="D2369" s="10">
        <f>IFERROR(B2369/C2369,"")</f>
        <v/>
      </c>
      <c r="E2369" s="10">
        <f>IFERROR(C2369/B2369,"")</f>
        <v/>
      </c>
      <c r="F2369" s="11">
        <f>IFERROR((D2369/D2368-1)*100,"")</f>
        <v/>
      </c>
      <c r="G2369" s="11">
        <f>IFERROR((COUNTIF($D$2118:$D$2369,"&lt;"&amp;D2369)+0.5*COUNTIF($D$2118:$D$2369,D2369))/COUNT($D$2118:$D$2369)*100,"")</f>
        <v/>
      </c>
      <c r="H2369" s="10">
        <f>IFERROR(AVERAGE($D$2118:$D$2369),"")</f>
        <v/>
      </c>
      <c r="I2369" s="10" t="n">
        <v>1.371468632424584</v>
      </c>
      <c r="J2369" t="inlineStr"/>
      <c r="K2369" t="inlineStr"/>
    </row>
    <row r="2370">
      <c r="A2370" s="7" t="inlineStr">
        <is>
          <t>2023-11-21</t>
        </is>
      </c>
      <c r="B2370" s="8">
        <f>IFERROR(VLOOKUP($A2370,'01-原始价格'!$A:$M,2,FALSE),"")</f>
        <v/>
      </c>
      <c r="C2370" s="8">
        <f>IFERROR(VLOOKUP($A2370,'01-原始价格'!$A:$M,8,FALSE),"")</f>
        <v/>
      </c>
      <c r="D2370" s="10">
        <f>IFERROR(B2370/C2370,"")</f>
        <v/>
      </c>
      <c r="E2370" s="10">
        <f>IFERROR(C2370/B2370,"")</f>
        <v/>
      </c>
      <c r="F2370" s="11">
        <f>IFERROR((D2370/D2369-1)*100,"")</f>
        <v/>
      </c>
      <c r="G2370" s="11">
        <f>IFERROR((COUNTIF($D$2119:$D$2370,"&lt;"&amp;D2370)+0.5*COUNTIF($D$2119:$D$2370,D2370))/COUNT($D$2119:$D$2370)*100,"")</f>
        <v/>
      </c>
      <c r="H2370" s="10">
        <f>IFERROR(AVERAGE($D$2119:$D$2370),"")</f>
        <v/>
      </c>
      <c r="I2370" s="10" t="n">
        <v>1.223558624771406</v>
      </c>
      <c r="J2370" t="inlineStr"/>
      <c r="K2370" t="inlineStr"/>
    </row>
    <row r="2371">
      <c r="A2371" s="7" t="inlineStr">
        <is>
          <t>2023-11-22</t>
        </is>
      </c>
      <c r="B2371" s="8">
        <f>IFERROR(VLOOKUP($A2371,'01-原始价格'!$A:$M,2,FALSE),"")</f>
        <v/>
      </c>
      <c r="C2371" s="8">
        <f>IFERROR(VLOOKUP($A2371,'01-原始价格'!$A:$M,8,FALSE),"")</f>
        <v/>
      </c>
      <c r="D2371" s="10">
        <f>IFERROR(B2371/C2371,"")</f>
        <v/>
      </c>
      <c r="E2371" s="10">
        <f>IFERROR(C2371/B2371,"")</f>
        <v/>
      </c>
      <c r="F2371" s="11">
        <f>IFERROR((D2371/D2370-1)*100,"")</f>
        <v/>
      </c>
      <c r="G2371" s="11">
        <f>IFERROR((COUNTIF($D$2120:$D$2371,"&lt;"&amp;D2371)+0.5*COUNTIF($D$2120:$D$2371,D2371))/COUNT($D$2120:$D$2371)*100,"")</f>
        <v/>
      </c>
      <c r="H2371" s="10">
        <f>IFERROR(AVERAGE($D$2120:$D$2371),"")</f>
        <v/>
      </c>
      <c r="I2371" s="10" t="n">
        <v>1.310531951165929</v>
      </c>
      <c r="J2371" t="inlineStr"/>
      <c r="K2371" t="inlineStr"/>
    </row>
    <row r="2372">
      <c r="A2372" s="7" t="inlineStr">
        <is>
          <t>2023-11-23</t>
        </is>
      </c>
      <c r="B2372" s="8">
        <f>IFERROR(VLOOKUP($A2372,'01-原始价格'!$A:$M,2,FALSE),"")</f>
        <v/>
      </c>
      <c r="C2372" s="8">
        <f>IFERROR(VLOOKUP($A2372,'01-原始价格'!$A:$M,8,FALSE),"")</f>
        <v/>
      </c>
      <c r="D2372" s="10">
        <f>IFERROR(B2372/C2372,"")</f>
        <v/>
      </c>
      <c r="E2372" s="10">
        <f>IFERROR(C2372/B2372,"")</f>
        <v/>
      </c>
      <c r="F2372" s="11">
        <f>IFERROR((D2372/D2371-1)*100,"")</f>
        <v/>
      </c>
      <c r="G2372" s="11">
        <f>IFERROR((COUNTIF($D$2121:$D$2372,"&lt;"&amp;D2372)+0.5*COUNTIF($D$2121:$D$2372,D2372))/COUNT($D$2121:$D$2372)*100,"")</f>
        <v/>
      </c>
      <c r="H2372" s="10">
        <f>IFERROR(AVERAGE($D$2121:$D$2372),"")</f>
        <v/>
      </c>
      <c r="I2372" s="10" t="n">
        <v>1.230380336818787</v>
      </c>
      <c r="J2372" t="inlineStr"/>
      <c r="K2372" t="inlineStr"/>
    </row>
    <row r="2373">
      <c r="A2373" s="7" t="inlineStr">
        <is>
          <t>2023-11-24</t>
        </is>
      </c>
      <c r="B2373" s="8">
        <f>IFERROR(VLOOKUP($A2373,'01-原始价格'!$A:$M,2,FALSE),"")</f>
        <v/>
      </c>
      <c r="C2373" s="8">
        <f>IFERROR(VLOOKUP($A2373,'01-原始价格'!$A:$M,8,FALSE),"")</f>
        <v/>
      </c>
      <c r="D2373" s="10">
        <f>IFERROR(B2373/C2373,"")</f>
        <v/>
      </c>
      <c r="E2373" s="10">
        <f>IFERROR(C2373/B2373,"")</f>
        <v/>
      </c>
      <c r="F2373" s="11">
        <f>IFERROR((D2373/D2372-1)*100,"")</f>
        <v/>
      </c>
      <c r="G2373" s="11">
        <f>IFERROR((COUNTIF($D$2122:$D$2373,"&lt;"&amp;D2373)+0.5*COUNTIF($D$2122:$D$2373,D2373))/COUNT($D$2122:$D$2373)*100,"")</f>
        <v/>
      </c>
      <c r="H2373" s="10">
        <f>IFERROR(AVERAGE($D$2122:$D$2373),"")</f>
        <v/>
      </c>
      <c r="I2373" s="10" t="n">
        <v>1.001127006449067</v>
      </c>
      <c r="J2373" t="inlineStr"/>
      <c r="K2373" t="inlineStr"/>
    </row>
    <row r="2374">
      <c r="A2374" s="7" t="inlineStr">
        <is>
          <t>2023-11-27</t>
        </is>
      </c>
      <c r="B2374" s="8">
        <f>IFERROR(VLOOKUP($A2374,'01-原始价格'!$A:$M,2,FALSE),"")</f>
        <v/>
      </c>
      <c r="C2374" s="8">
        <f>IFERROR(VLOOKUP($A2374,'01-原始价格'!$A:$M,8,FALSE),"")</f>
        <v/>
      </c>
      <c r="D2374" s="10">
        <f>IFERROR(B2374/C2374,"")</f>
        <v/>
      </c>
      <c r="E2374" s="10">
        <f>IFERROR(C2374/B2374,"")</f>
        <v/>
      </c>
      <c r="F2374" s="11">
        <f>IFERROR((D2374/D2373-1)*100,"")</f>
        <v/>
      </c>
      <c r="G2374" s="11">
        <f>IFERROR((COUNTIF($D$2123:$D$2374,"&lt;"&amp;D2374)+0.5*COUNTIF($D$2123:$D$2374,D2374))/COUNT($D$2123:$D$2374)*100,"")</f>
        <v/>
      </c>
      <c r="H2374" s="10">
        <f>IFERROR(AVERAGE($D$2123:$D$2374),"")</f>
        <v/>
      </c>
      <c r="I2374" s="10" t="n">
        <v>1.047398820190433</v>
      </c>
      <c r="J2374" t="inlineStr"/>
      <c r="K2374" t="inlineStr"/>
    </row>
    <row r="2375">
      <c r="A2375" s="7" t="inlineStr">
        <is>
          <t>2023-11-28</t>
        </is>
      </c>
      <c r="B2375" s="8">
        <f>IFERROR(VLOOKUP($A2375,'01-原始价格'!$A:$M,2,FALSE),"")</f>
        <v/>
      </c>
      <c r="C2375" s="8">
        <f>IFERROR(VLOOKUP($A2375,'01-原始价格'!$A:$M,8,FALSE),"")</f>
        <v/>
      </c>
      <c r="D2375" s="10">
        <f>IFERROR(B2375/C2375,"")</f>
        <v/>
      </c>
      <c r="E2375" s="10">
        <f>IFERROR(C2375/B2375,"")</f>
        <v/>
      </c>
      <c r="F2375" s="11">
        <f>IFERROR((D2375/D2374-1)*100,"")</f>
        <v/>
      </c>
      <c r="G2375" s="11">
        <f>IFERROR((COUNTIF($D$2124:$D$2375,"&lt;"&amp;D2375)+0.5*COUNTIF($D$2124:$D$2375,D2375))/COUNT($D$2124:$D$2375)*100,"")</f>
        <v/>
      </c>
      <c r="H2375" s="10">
        <f>IFERROR(AVERAGE($D$2124:$D$2375),"")</f>
        <v/>
      </c>
      <c r="I2375" s="10" t="n">
        <v>0.8946733372488477</v>
      </c>
      <c r="J2375" t="inlineStr"/>
      <c r="K2375" t="inlineStr"/>
    </row>
    <row r="2376">
      <c r="A2376" s="7" t="inlineStr">
        <is>
          <t>2023-11-29</t>
        </is>
      </c>
      <c r="B2376" s="8">
        <f>IFERROR(VLOOKUP($A2376,'01-原始价格'!$A:$M,2,FALSE),"")</f>
        <v/>
      </c>
      <c r="C2376" s="8">
        <f>IFERROR(VLOOKUP($A2376,'01-原始价格'!$A:$M,8,FALSE),"")</f>
        <v/>
      </c>
      <c r="D2376" s="10">
        <f>IFERROR(B2376/C2376,"")</f>
        <v/>
      </c>
      <c r="E2376" s="10">
        <f>IFERROR(C2376/B2376,"")</f>
        <v/>
      </c>
      <c r="F2376" s="11">
        <f>IFERROR((D2376/D2375-1)*100,"")</f>
        <v/>
      </c>
      <c r="G2376" s="11">
        <f>IFERROR((COUNTIF($D$2125:$D$2376,"&lt;"&amp;D2376)+0.5*COUNTIF($D$2125:$D$2376,D2376))/COUNT($D$2125:$D$2376)*100,"")</f>
        <v/>
      </c>
      <c r="H2376" s="10">
        <f>IFERROR(AVERAGE($D$2125:$D$2376),"")</f>
        <v/>
      </c>
      <c r="I2376" s="10" t="n">
        <v>0.602612338151661</v>
      </c>
      <c r="J2376" t="inlineStr"/>
      <c r="K2376" t="inlineStr"/>
    </row>
    <row r="2377">
      <c r="A2377" s="7" t="inlineStr">
        <is>
          <t>2023-11-30</t>
        </is>
      </c>
      <c r="B2377" s="8">
        <f>IFERROR(VLOOKUP($A2377,'01-原始价格'!$A:$M,2,FALSE),"")</f>
        <v/>
      </c>
      <c r="C2377" s="8">
        <f>IFERROR(VLOOKUP($A2377,'01-原始价格'!$A:$M,8,FALSE),"")</f>
        <v/>
      </c>
      <c r="D2377" s="10">
        <f>IFERROR(B2377/C2377,"")</f>
        <v/>
      </c>
      <c r="E2377" s="10">
        <f>IFERROR(C2377/B2377,"")</f>
        <v/>
      </c>
      <c r="F2377" s="11">
        <f>IFERROR((D2377/D2376-1)*100,"")</f>
        <v/>
      </c>
      <c r="G2377" s="11">
        <f>IFERROR((COUNTIF($D$2126:$D$2377,"&lt;"&amp;D2377)+0.5*COUNTIF($D$2126:$D$2377,D2377))/COUNT($D$2126:$D$2377)*100,"")</f>
        <v/>
      </c>
      <c r="H2377" s="10">
        <f>IFERROR(AVERAGE($D$2126:$D$2377),"")</f>
        <v/>
      </c>
      <c r="I2377" s="10" t="n">
        <v>0.4085487894129806</v>
      </c>
      <c r="J2377" t="inlineStr"/>
      <c r="K2377" t="inlineStr"/>
    </row>
    <row r="2378">
      <c r="A2378" s="7" t="inlineStr">
        <is>
          <t>2023-12-01</t>
        </is>
      </c>
      <c r="B2378" s="8">
        <f>IFERROR(VLOOKUP($A2378,'01-原始价格'!$A:$M,2,FALSE),"")</f>
        <v/>
      </c>
      <c r="C2378" s="8">
        <f>IFERROR(VLOOKUP($A2378,'01-原始价格'!$A:$M,8,FALSE),"")</f>
        <v/>
      </c>
      <c r="D2378" s="10">
        <f>IFERROR(B2378/C2378,"")</f>
        <v/>
      </c>
      <c r="E2378" s="10">
        <f>IFERROR(C2378/B2378,"")</f>
        <v/>
      </c>
      <c r="F2378" s="11">
        <f>IFERROR((D2378/D2377-1)*100,"")</f>
        <v/>
      </c>
      <c r="G2378" s="11">
        <f>IFERROR((COUNTIF($D$2127:$D$2378,"&lt;"&amp;D2378)+0.5*COUNTIF($D$2127:$D$2378,D2378))/COUNT($D$2127:$D$2378)*100,"")</f>
        <v/>
      </c>
      <c r="H2378" s="10">
        <f>IFERROR(AVERAGE($D$2127:$D$2378),"")</f>
        <v/>
      </c>
      <c r="I2378" s="10" t="n">
        <v>0.3663004892580617</v>
      </c>
      <c r="J2378" t="inlineStr"/>
      <c r="K2378" t="inlineStr"/>
    </row>
    <row r="2379">
      <c r="A2379" s="7" t="inlineStr">
        <is>
          <t>2023-12-04</t>
        </is>
      </c>
      <c r="B2379" s="8">
        <f>IFERROR(VLOOKUP($A2379,'01-原始价格'!$A:$M,2,FALSE),"")</f>
        <v/>
      </c>
      <c r="C2379" s="8">
        <f>IFERROR(VLOOKUP($A2379,'01-原始价格'!$A:$M,8,FALSE),"")</f>
        <v/>
      </c>
      <c r="D2379" s="10">
        <f>IFERROR(B2379/C2379,"")</f>
        <v/>
      </c>
      <c r="E2379" s="10">
        <f>IFERROR(C2379/B2379,"")</f>
        <v/>
      </c>
      <c r="F2379" s="11">
        <f>IFERROR((D2379/D2378-1)*100,"")</f>
        <v/>
      </c>
      <c r="G2379" s="11">
        <f>IFERROR((COUNTIF($D$2128:$D$2379,"&lt;"&amp;D2379)+0.5*COUNTIF($D$2128:$D$2379,D2379))/COUNT($D$2128:$D$2379)*100,"")</f>
        <v/>
      </c>
      <c r="H2379" s="10">
        <f>IFERROR(AVERAGE($D$2128:$D$2379),"")</f>
        <v/>
      </c>
      <c r="I2379" s="10" t="n">
        <v>0.3195436130201788</v>
      </c>
      <c r="J2379" t="inlineStr"/>
      <c r="K2379" t="inlineStr"/>
    </row>
    <row r="2380">
      <c r="A2380" s="7" t="inlineStr">
        <is>
          <t>2023-12-05</t>
        </is>
      </c>
      <c r="B2380" s="8">
        <f>IFERROR(VLOOKUP($A2380,'01-原始价格'!$A:$M,2,FALSE),"")</f>
        <v/>
      </c>
      <c r="C2380" s="8">
        <f>IFERROR(VLOOKUP($A2380,'01-原始价格'!$A:$M,8,FALSE),"")</f>
        <v/>
      </c>
      <c r="D2380" s="10">
        <f>IFERROR(B2380/C2380,"")</f>
        <v/>
      </c>
      <c r="E2380" s="10">
        <f>IFERROR(C2380/B2380,"")</f>
        <v/>
      </c>
      <c r="F2380" s="11">
        <f>IFERROR((D2380/D2379-1)*100,"")</f>
        <v/>
      </c>
      <c r="G2380" s="11">
        <f>IFERROR((COUNTIF($D$2129:$D$2380,"&lt;"&amp;D2380)+0.5*COUNTIF($D$2129:$D$2380,D2380))/COUNT($D$2129:$D$2380)*100,"")</f>
        <v/>
      </c>
      <c r="H2380" s="10">
        <f>IFERROR(AVERAGE($D$2129:$D$2380),"")</f>
        <v/>
      </c>
      <c r="I2380" s="10" t="n">
        <v>0.2379765047341663</v>
      </c>
      <c r="J2380" t="inlineStr"/>
      <c r="K2380" t="inlineStr"/>
    </row>
    <row r="2381">
      <c r="A2381" s="7" t="inlineStr">
        <is>
          <t>2023-12-06</t>
        </is>
      </c>
      <c r="B2381" s="8">
        <f>IFERROR(VLOOKUP($A2381,'01-原始价格'!$A:$M,2,FALSE),"")</f>
        <v/>
      </c>
      <c r="C2381" s="8">
        <f>IFERROR(VLOOKUP($A2381,'01-原始价格'!$A:$M,8,FALSE),"")</f>
        <v/>
      </c>
      <c r="D2381" s="10">
        <f>IFERROR(B2381/C2381,"")</f>
        <v/>
      </c>
      <c r="E2381" s="10">
        <f>IFERROR(C2381/B2381,"")</f>
        <v/>
      </c>
      <c r="F2381" s="11">
        <f>IFERROR((D2381/D2380-1)*100,"")</f>
        <v/>
      </c>
      <c r="G2381" s="11">
        <f>IFERROR((COUNTIF($D$2130:$D$2381,"&lt;"&amp;D2381)+0.5*COUNTIF($D$2130:$D$2381,D2381))/COUNT($D$2130:$D$2381)*100,"")</f>
        <v/>
      </c>
      <c r="H2381" s="10">
        <f>IFERROR(AVERAGE($D$2130:$D$2381),"")</f>
        <v/>
      </c>
      <c r="I2381" s="10" t="n">
        <v>0.08719924915631012</v>
      </c>
      <c r="J2381" t="inlineStr"/>
      <c r="K2381" t="inlineStr"/>
    </row>
    <row r="2382">
      <c r="A2382" s="7" t="inlineStr">
        <is>
          <t>2023-12-07</t>
        </is>
      </c>
      <c r="B2382" s="8">
        <f>IFERROR(VLOOKUP($A2382,'01-原始价格'!$A:$M,2,FALSE),"")</f>
        <v/>
      </c>
      <c r="C2382" s="8">
        <f>IFERROR(VLOOKUP($A2382,'01-原始价格'!$A:$M,8,FALSE),"")</f>
        <v/>
      </c>
      <c r="D2382" s="10">
        <f>IFERROR(B2382/C2382,"")</f>
        <v/>
      </c>
      <c r="E2382" s="10">
        <f>IFERROR(C2382/B2382,"")</f>
        <v/>
      </c>
      <c r="F2382" s="11">
        <f>IFERROR((D2382/D2381-1)*100,"")</f>
        <v/>
      </c>
      <c r="G2382" s="11">
        <f>IFERROR((COUNTIF($D$2131:$D$2382,"&lt;"&amp;D2382)+0.5*COUNTIF($D$2131:$D$2382,D2382))/COUNT($D$2131:$D$2382)*100,"")</f>
        <v/>
      </c>
      <c r="H2382" s="10">
        <f>IFERROR(AVERAGE($D$2131:$D$2382),"")</f>
        <v/>
      </c>
      <c r="I2382" s="10" t="n">
        <v>0.03910909304621733</v>
      </c>
      <c r="J2382" t="inlineStr"/>
      <c r="K2382" t="inlineStr"/>
    </row>
    <row r="2383">
      <c r="A2383" s="7" t="inlineStr">
        <is>
          <t>2023-12-08</t>
        </is>
      </c>
      <c r="B2383" s="8">
        <f>IFERROR(VLOOKUP($A2383,'01-原始价格'!$A:$M,2,FALSE),"")</f>
        <v/>
      </c>
      <c r="C2383" s="8">
        <f>IFERROR(VLOOKUP($A2383,'01-原始价格'!$A:$M,8,FALSE),"")</f>
        <v/>
      </c>
      <c r="D2383" s="10">
        <f>IFERROR(B2383/C2383,"")</f>
        <v/>
      </c>
      <c r="E2383" s="10">
        <f>IFERROR(C2383/B2383,"")</f>
        <v/>
      </c>
      <c r="F2383" s="11">
        <f>IFERROR((D2383/D2382-1)*100,"")</f>
        <v/>
      </c>
      <c r="G2383" s="11">
        <f>IFERROR((COUNTIF($D$2132:$D$2383,"&lt;"&amp;D2383)+0.5*COUNTIF($D$2132:$D$2383,D2383))/COUNT($D$2132:$D$2383)*100,"")</f>
        <v/>
      </c>
      <c r="H2383" s="10">
        <f>IFERROR(AVERAGE($D$2132:$D$2383),"")</f>
        <v/>
      </c>
      <c r="I2383" s="10" t="n">
        <v>-0.1504734543369626</v>
      </c>
      <c r="J2383" t="inlineStr"/>
      <c r="K2383" t="inlineStr"/>
    </row>
    <row r="2384">
      <c r="A2384" s="7" t="inlineStr">
        <is>
          <t>2023-12-11</t>
        </is>
      </c>
      <c r="B2384" s="8">
        <f>IFERROR(VLOOKUP($A2384,'01-原始价格'!$A:$M,2,FALSE),"")</f>
        <v/>
      </c>
      <c r="C2384" s="8">
        <f>IFERROR(VLOOKUP($A2384,'01-原始价格'!$A:$M,8,FALSE),"")</f>
        <v/>
      </c>
      <c r="D2384" s="10">
        <f>IFERROR(B2384/C2384,"")</f>
        <v/>
      </c>
      <c r="E2384" s="10">
        <f>IFERROR(C2384/B2384,"")</f>
        <v/>
      </c>
      <c r="F2384" s="11">
        <f>IFERROR((D2384/D2383-1)*100,"")</f>
        <v/>
      </c>
      <c r="G2384" s="11">
        <f>IFERROR((COUNTIF($D$2133:$D$2384,"&lt;"&amp;D2384)+0.5*COUNTIF($D$2133:$D$2384,D2384))/COUNT($D$2133:$D$2384)*100,"")</f>
        <v/>
      </c>
      <c r="H2384" s="10">
        <f>IFERROR(AVERAGE($D$2133:$D$2384),"")</f>
        <v/>
      </c>
      <c r="I2384" s="10" t="n">
        <v>0.1133041283472139</v>
      </c>
      <c r="J2384" t="inlineStr"/>
      <c r="K2384" t="inlineStr"/>
    </row>
    <row r="2385">
      <c r="A2385" s="7" t="inlineStr">
        <is>
          <t>2023-12-12</t>
        </is>
      </c>
      <c r="B2385" s="8">
        <f>IFERROR(VLOOKUP($A2385,'01-原始价格'!$A:$M,2,FALSE),"")</f>
        <v/>
      </c>
      <c r="C2385" s="8">
        <f>IFERROR(VLOOKUP($A2385,'01-原始价格'!$A:$M,8,FALSE),"")</f>
        <v/>
      </c>
      <c r="D2385" s="10">
        <f>IFERROR(B2385/C2385,"")</f>
        <v/>
      </c>
      <c r="E2385" s="10">
        <f>IFERROR(C2385/B2385,"")</f>
        <v/>
      </c>
      <c r="F2385" s="11">
        <f>IFERROR((D2385/D2384-1)*100,"")</f>
        <v/>
      </c>
      <c r="G2385" s="11">
        <f>IFERROR((COUNTIF($D$2134:$D$2385,"&lt;"&amp;D2385)+0.5*COUNTIF($D$2134:$D$2385,D2385))/COUNT($D$2134:$D$2385)*100,"")</f>
        <v/>
      </c>
      <c r="H2385" s="10">
        <f>IFERROR(AVERAGE($D$2134:$D$2385),"")</f>
        <v/>
      </c>
      <c r="I2385" s="10" t="n">
        <v>-0.02950267209043554</v>
      </c>
      <c r="J2385" t="inlineStr"/>
      <c r="K2385" t="inlineStr"/>
    </row>
    <row r="2386">
      <c r="A2386" s="7" t="inlineStr">
        <is>
          <t>2023-12-13</t>
        </is>
      </c>
      <c r="B2386" s="8">
        <f>IFERROR(VLOOKUP($A2386,'01-原始价格'!$A:$M,2,FALSE),"")</f>
        <v/>
      </c>
      <c r="C2386" s="8">
        <f>IFERROR(VLOOKUP($A2386,'01-原始价格'!$A:$M,8,FALSE),"")</f>
        <v/>
      </c>
      <c r="D2386" s="10">
        <f>IFERROR(B2386/C2386,"")</f>
        <v/>
      </c>
      <c r="E2386" s="10">
        <f>IFERROR(C2386/B2386,"")</f>
        <v/>
      </c>
      <c r="F2386" s="11">
        <f>IFERROR((D2386/D2385-1)*100,"")</f>
        <v/>
      </c>
      <c r="G2386" s="11">
        <f>IFERROR((COUNTIF($D$2135:$D$2386,"&lt;"&amp;D2386)+0.5*COUNTIF($D$2135:$D$2386,D2386))/COUNT($D$2135:$D$2386)*100,"")</f>
        <v/>
      </c>
      <c r="H2386" s="10">
        <f>IFERROR(AVERAGE($D$2135:$D$2386),"")</f>
        <v/>
      </c>
      <c r="I2386" s="10" t="n">
        <v>-0.2311454930841214</v>
      </c>
      <c r="J2386" t="inlineStr"/>
      <c r="K2386" s="12" t="inlineStr">
        <is>
          <t>是</t>
        </is>
      </c>
      <c r="L2386" t="inlineStr">
        <is>
          <t>换月日</t>
        </is>
      </c>
    </row>
    <row r="2387">
      <c r="A2387" s="7" t="inlineStr">
        <is>
          <t>2023-12-14</t>
        </is>
      </c>
      <c r="B2387" s="8">
        <f>IFERROR(VLOOKUP($A2387,'01-原始价格'!$A:$M,2,FALSE),"")</f>
        <v/>
      </c>
      <c r="C2387" s="8">
        <f>IFERROR(VLOOKUP($A2387,'01-原始价格'!$A:$M,8,FALSE),"")</f>
        <v/>
      </c>
      <c r="D2387" s="10">
        <f>IFERROR(B2387/C2387,"")</f>
        <v/>
      </c>
      <c r="E2387" s="10">
        <f>IFERROR(C2387/B2387,"")</f>
        <v/>
      </c>
      <c r="F2387" s="11">
        <f>IFERROR((D2387/D2386-1)*100,"")</f>
        <v/>
      </c>
      <c r="G2387" s="11">
        <f>IFERROR((COUNTIF($D$2136:$D$2387,"&lt;"&amp;D2387)+0.5*COUNTIF($D$2136:$D$2387,D2387))/COUNT($D$2136:$D$2387)*100,"")</f>
        <v/>
      </c>
      <c r="H2387" s="10">
        <f>IFERROR(AVERAGE($D$2136:$D$2387),"")</f>
        <v/>
      </c>
      <c r="I2387" s="10" t="n">
        <v>-0.3677227277544677</v>
      </c>
      <c r="J2387" t="inlineStr"/>
      <c r="K2387" s="12" t="inlineStr">
        <is>
          <t>是</t>
        </is>
      </c>
      <c r="L2387" t="inlineStr">
        <is>
          <t>换月日</t>
        </is>
      </c>
    </row>
    <row r="2388">
      <c r="A2388" s="7" t="inlineStr">
        <is>
          <t>2023-12-15</t>
        </is>
      </c>
      <c r="B2388" s="8">
        <f>IFERROR(VLOOKUP($A2388,'01-原始价格'!$A:$M,2,FALSE),"")</f>
        <v/>
      </c>
      <c r="C2388" s="8">
        <f>IFERROR(VLOOKUP($A2388,'01-原始价格'!$A:$M,8,FALSE),"")</f>
        <v/>
      </c>
      <c r="D2388" s="10">
        <f>IFERROR(B2388/C2388,"")</f>
        <v/>
      </c>
      <c r="E2388" s="10">
        <f>IFERROR(C2388/B2388,"")</f>
        <v/>
      </c>
      <c r="F2388" s="11">
        <f>IFERROR((D2388/D2387-1)*100,"")</f>
        <v/>
      </c>
      <c r="G2388" s="11">
        <f>IFERROR((COUNTIF($D$2137:$D$2388,"&lt;"&amp;D2388)+0.5*COUNTIF($D$2137:$D$2388,D2388))/COUNT($D$2137:$D$2388)*100,"")</f>
        <v/>
      </c>
      <c r="H2388" s="10">
        <f>IFERROR(AVERAGE($D$2137:$D$2388),"")</f>
        <v/>
      </c>
      <c r="I2388" s="10" t="n">
        <v>-0.4524017999983161</v>
      </c>
      <c r="J2388" t="inlineStr"/>
      <c r="K2388" t="inlineStr"/>
    </row>
    <row r="2389">
      <c r="A2389" s="7" t="inlineStr">
        <is>
          <t>2023-12-18</t>
        </is>
      </c>
      <c r="B2389" s="8">
        <f>IFERROR(VLOOKUP($A2389,'01-原始价格'!$A:$M,2,FALSE),"")</f>
        <v/>
      </c>
      <c r="C2389" s="8">
        <f>IFERROR(VLOOKUP($A2389,'01-原始价格'!$A:$M,8,FALSE),"")</f>
        <v/>
      </c>
      <c r="D2389" s="10">
        <f>IFERROR(B2389/C2389,"")</f>
        <v/>
      </c>
      <c r="E2389" s="10">
        <f>IFERROR(C2389/B2389,"")</f>
        <v/>
      </c>
      <c r="F2389" s="11">
        <f>IFERROR((D2389/D2388-1)*100,"")</f>
        <v/>
      </c>
      <c r="G2389" s="11">
        <f>IFERROR((COUNTIF($D$2138:$D$2389,"&lt;"&amp;D2389)+0.5*COUNTIF($D$2138:$D$2389,D2389))/COUNT($D$2138:$D$2389)*100,"")</f>
        <v/>
      </c>
      <c r="H2389" s="10">
        <f>IFERROR(AVERAGE($D$2138:$D$2389),"")</f>
        <v/>
      </c>
      <c r="I2389" s="10" t="n">
        <v>-0.5880118589063624</v>
      </c>
      <c r="J2389" t="inlineStr"/>
      <c r="K2389" t="inlineStr"/>
    </row>
    <row r="2390">
      <c r="A2390" s="7" t="inlineStr">
        <is>
          <t>2023-12-19</t>
        </is>
      </c>
      <c r="B2390" s="8">
        <f>IFERROR(VLOOKUP($A2390,'01-原始价格'!$A:$M,2,FALSE),"")</f>
        <v/>
      </c>
      <c r="C2390" s="8">
        <f>IFERROR(VLOOKUP($A2390,'01-原始价格'!$A:$M,8,FALSE),"")</f>
        <v/>
      </c>
      <c r="D2390" s="10">
        <f>IFERROR(B2390/C2390,"")</f>
        <v/>
      </c>
      <c r="E2390" s="10">
        <f>IFERROR(C2390/B2390,"")</f>
        <v/>
      </c>
      <c r="F2390" s="11">
        <f>IFERROR((D2390/D2389-1)*100,"")</f>
        <v/>
      </c>
      <c r="G2390" s="11">
        <f>IFERROR((COUNTIF($D$2139:$D$2390,"&lt;"&amp;D2390)+0.5*COUNTIF($D$2139:$D$2390,D2390))/COUNT($D$2139:$D$2390)*100,"")</f>
        <v/>
      </c>
      <c r="H2390" s="10">
        <f>IFERROR(AVERAGE($D$2139:$D$2390),"")</f>
        <v/>
      </c>
      <c r="I2390" s="10" t="n">
        <v>-0.6161888935112245</v>
      </c>
      <c r="J2390" t="inlineStr"/>
      <c r="K2390" t="inlineStr"/>
    </row>
    <row r="2391">
      <c r="A2391" s="7" t="inlineStr">
        <is>
          <t>2023-12-20</t>
        </is>
      </c>
      <c r="B2391" s="8">
        <f>IFERROR(VLOOKUP($A2391,'01-原始价格'!$A:$M,2,FALSE),"")</f>
        <v/>
      </c>
      <c r="C2391" s="8">
        <f>IFERROR(VLOOKUP($A2391,'01-原始价格'!$A:$M,8,FALSE),"")</f>
        <v/>
      </c>
      <c r="D2391" s="10">
        <f>IFERROR(B2391/C2391,"")</f>
        <v/>
      </c>
      <c r="E2391" s="10">
        <f>IFERROR(C2391/B2391,"")</f>
        <v/>
      </c>
      <c r="F2391" s="11">
        <f>IFERROR((D2391/D2390-1)*100,"")</f>
        <v/>
      </c>
      <c r="G2391" s="11">
        <f>IFERROR((COUNTIF($D$2140:$D$2391,"&lt;"&amp;D2391)+0.5*COUNTIF($D$2140:$D$2391,D2391))/COUNT($D$2140:$D$2391)*100,"")</f>
        <v/>
      </c>
      <c r="H2391" s="10">
        <f>IFERROR(AVERAGE($D$2140:$D$2391),"")</f>
        <v/>
      </c>
      <c r="I2391" s="10" t="n">
        <v>-0.3676674646858018</v>
      </c>
      <c r="J2391" t="inlineStr"/>
      <c r="K2391" t="inlineStr"/>
    </row>
    <row r="2392">
      <c r="A2392" s="7" t="inlineStr">
        <is>
          <t>2023-12-21</t>
        </is>
      </c>
      <c r="B2392" s="8">
        <f>IFERROR(VLOOKUP($A2392,'01-原始价格'!$A:$M,2,FALSE),"")</f>
        <v/>
      </c>
      <c r="C2392" s="8">
        <f>IFERROR(VLOOKUP($A2392,'01-原始价格'!$A:$M,8,FALSE),"")</f>
        <v/>
      </c>
      <c r="D2392" s="10">
        <f>IFERROR(B2392/C2392,"")</f>
        <v/>
      </c>
      <c r="E2392" s="10">
        <f>IFERROR(C2392/B2392,"")</f>
        <v/>
      </c>
      <c r="F2392" s="11">
        <f>IFERROR((D2392/D2391-1)*100,"")</f>
        <v/>
      </c>
      <c r="G2392" s="11">
        <f>IFERROR((COUNTIF($D$2141:$D$2392,"&lt;"&amp;D2392)+0.5*COUNTIF($D$2141:$D$2392,D2392))/COUNT($D$2141:$D$2392)*100,"")</f>
        <v/>
      </c>
      <c r="H2392" s="10">
        <f>IFERROR(AVERAGE($D$2141:$D$2392),"")</f>
        <v/>
      </c>
      <c r="I2392" s="10" t="n">
        <v>-0.3531931301313422</v>
      </c>
      <c r="J2392" t="inlineStr"/>
      <c r="K2392" t="inlineStr"/>
    </row>
    <row r="2393">
      <c r="A2393" s="7" t="inlineStr">
        <is>
          <t>2023-12-22</t>
        </is>
      </c>
      <c r="B2393" s="8">
        <f>IFERROR(VLOOKUP($A2393,'01-原始价格'!$A:$M,2,FALSE),"")</f>
        <v/>
      </c>
      <c r="C2393" s="8">
        <f>IFERROR(VLOOKUP($A2393,'01-原始价格'!$A:$M,8,FALSE),"")</f>
        <v/>
      </c>
      <c r="D2393" s="10">
        <f>IFERROR(B2393/C2393,"")</f>
        <v/>
      </c>
      <c r="E2393" s="10">
        <f>IFERROR(C2393/B2393,"")</f>
        <v/>
      </c>
      <c r="F2393" s="11">
        <f>IFERROR((D2393/D2392-1)*100,"")</f>
        <v/>
      </c>
      <c r="G2393" s="11">
        <f>IFERROR((COUNTIF($D$2142:$D$2393,"&lt;"&amp;D2393)+0.5*COUNTIF($D$2142:$D$2393,D2393))/COUNT($D$2142:$D$2393)*100,"")</f>
        <v/>
      </c>
      <c r="H2393" s="10">
        <f>IFERROR(AVERAGE($D$2142:$D$2393),"")</f>
        <v/>
      </c>
      <c r="I2393" s="10" t="n">
        <v>-0.3016071874378301</v>
      </c>
      <c r="J2393" t="inlineStr"/>
      <c r="K2393" t="inlineStr"/>
    </row>
    <row r="2394">
      <c r="A2394" s="7" t="inlineStr">
        <is>
          <t>2023-12-25</t>
        </is>
      </c>
      <c r="B2394" s="8">
        <f>IFERROR(VLOOKUP($A2394,'01-原始价格'!$A:$M,2,FALSE),"")</f>
        <v/>
      </c>
      <c r="C2394" s="8">
        <f>IFERROR(VLOOKUP($A2394,'01-原始价格'!$A:$M,8,FALSE),"")</f>
        <v/>
      </c>
      <c r="D2394" s="10">
        <f>IFERROR(B2394/C2394,"")</f>
        <v/>
      </c>
      <c r="E2394" s="10">
        <f>IFERROR(C2394/B2394,"")</f>
        <v/>
      </c>
      <c r="F2394" s="11">
        <f>IFERROR((D2394/D2393-1)*100,"")</f>
        <v/>
      </c>
      <c r="G2394" s="11">
        <f>IFERROR((COUNTIF($D$2143:$D$2394,"&lt;"&amp;D2394)+0.5*COUNTIF($D$2143:$D$2394,D2394))/COUNT($D$2143:$D$2394)*100,"")</f>
        <v/>
      </c>
      <c r="H2394" s="10">
        <f>IFERROR(AVERAGE($D$2143:$D$2394),"")</f>
        <v/>
      </c>
      <c r="I2394" s="10" t="n">
        <v>-0.568611491492653</v>
      </c>
      <c r="J2394" t="inlineStr"/>
      <c r="K2394" t="inlineStr"/>
    </row>
    <row r="2395">
      <c r="A2395" s="7" t="inlineStr">
        <is>
          <t>2023-12-26</t>
        </is>
      </c>
      <c r="B2395" s="8">
        <f>IFERROR(VLOOKUP($A2395,'01-原始价格'!$A:$M,2,FALSE),"")</f>
        <v/>
      </c>
      <c r="C2395" s="8">
        <f>IFERROR(VLOOKUP($A2395,'01-原始价格'!$A:$M,8,FALSE),"")</f>
        <v/>
      </c>
      <c r="D2395" s="10">
        <f>IFERROR(B2395/C2395,"")</f>
        <v/>
      </c>
      <c r="E2395" s="10">
        <f>IFERROR(C2395/B2395,"")</f>
        <v/>
      </c>
      <c r="F2395" s="11">
        <f>IFERROR((D2395/D2394-1)*100,"")</f>
        <v/>
      </c>
      <c r="G2395" s="11">
        <f>IFERROR((COUNTIF($D$2144:$D$2395,"&lt;"&amp;D2395)+0.5*COUNTIF($D$2144:$D$2395,D2395))/COUNT($D$2144:$D$2395)*100,"")</f>
        <v/>
      </c>
      <c r="H2395" s="10">
        <f>IFERROR(AVERAGE($D$2144:$D$2395),"")</f>
        <v/>
      </c>
      <c r="I2395" s="10" t="n">
        <v>-0.7078185439294365</v>
      </c>
      <c r="J2395" t="inlineStr"/>
      <c r="K2395" t="inlineStr"/>
    </row>
    <row r="2396">
      <c r="A2396" s="7" t="inlineStr">
        <is>
          <t>2023-12-27</t>
        </is>
      </c>
      <c r="B2396" s="8">
        <f>IFERROR(VLOOKUP($A2396,'01-原始价格'!$A:$M,2,FALSE),"")</f>
        <v/>
      </c>
      <c r="C2396" s="8">
        <f>IFERROR(VLOOKUP($A2396,'01-原始价格'!$A:$M,8,FALSE),"")</f>
        <v/>
      </c>
      <c r="D2396" s="10">
        <f>IFERROR(B2396/C2396,"")</f>
        <v/>
      </c>
      <c r="E2396" s="10">
        <f>IFERROR(C2396/B2396,"")</f>
        <v/>
      </c>
      <c r="F2396" s="11">
        <f>IFERROR((D2396/D2395-1)*100,"")</f>
        <v/>
      </c>
      <c r="G2396" s="11">
        <f>IFERROR((COUNTIF($D$2145:$D$2396,"&lt;"&amp;D2396)+0.5*COUNTIF($D$2145:$D$2396,D2396))/COUNT($D$2145:$D$2396)*100,"")</f>
        <v/>
      </c>
      <c r="H2396" s="10">
        <f>IFERROR(AVERAGE($D$2145:$D$2396),"")</f>
        <v/>
      </c>
      <c r="I2396" s="10" t="n">
        <v>-0.7907131419692403</v>
      </c>
      <c r="J2396" t="inlineStr"/>
      <c r="K2396" t="inlineStr"/>
    </row>
    <row r="2397">
      <c r="A2397" s="7" t="inlineStr">
        <is>
          <t>2023-12-28</t>
        </is>
      </c>
      <c r="B2397" s="8">
        <f>IFERROR(VLOOKUP($A2397,'01-原始价格'!$A:$M,2,FALSE),"")</f>
        <v/>
      </c>
      <c r="C2397" s="8">
        <f>IFERROR(VLOOKUP($A2397,'01-原始价格'!$A:$M,8,FALSE),"")</f>
        <v/>
      </c>
      <c r="D2397" s="10">
        <f>IFERROR(B2397/C2397,"")</f>
        <v/>
      </c>
      <c r="E2397" s="10">
        <f>IFERROR(C2397/B2397,"")</f>
        <v/>
      </c>
      <c r="F2397" s="11">
        <f>IFERROR((D2397/D2396-1)*100,"")</f>
        <v/>
      </c>
      <c r="G2397" s="11">
        <f>IFERROR((COUNTIF($D$2146:$D$2397,"&lt;"&amp;D2397)+0.5*COUNTIF($D$2146:$D$2397,D2397))/COUNT($D$2146:$D$2397)*100,"")</f>
        <v/>
      </c>
      <c r="H2397" s="10">
        <f>IFERROR(AVERAGE($D$2146:$D$2397),"")</f>
        <v/>
      </c>
      <c r="I2397" s="10" t="n">
        <v>-0.6456729384513368</v>
      </c>
      <c r="J2397" t="inlineStr"/>
      <c r="K2397" t="inlineStr"/>
    </row>
    <row r="2398">
      <c r="A2398" s="7" t="inlineStr">
        <is>
          <t>2023-12-29</t>
        </is>
      </c>
      <c r="B2398" s="8">
        <f>IFERROR(VLOOKUP($A2398,'01-原始价格'!$A:$M,2,FALSE),"")</f>
        <v/>
      </c>
      <c r="C2398" s="8">
        <f>IFERROR(VLOOKUP($A2398,'01-原始价格'!$A:$M,8,FALSE),"")</f>
        <v/>
      </c>
      <c r="D2398" s="10">
        <f>IFERROR(B2398/C2398,"")</f>
        <v/>
      </c>
      <c r="E2398" s="10">
        <f>IFERROR(C2398/B2398,"")</f>
        <v/>
      </c>
      <c r="F2398" s="11">
        <f>IFERROR((D2398/D2397-1)*100,"")</f>
        <v/>
      </c>
      <c r="G2398" s="11">
        <f>IFERROR((COUNTIF($D$2147:$D$2398,"&lt;"&amp;D2398)+0.5*COUNTIF($D$2147:$D$2398,D2398))/COUNT($D$2147:$D$2398)*100,"")</f>
        <v/>
      </c>
      <c r="H2398" s="10">
        <f>IFERROR(AVERAGE($D$2147:$D$2398),"")</f>
        <v/>
      </c>
      <c r="I2398" s="10" t="n">
        <v>-0.9774144334540918</v>
      </c>
      <c r="J2398" t="inlineStr"/>
      <c r="K2398" t="inlineStr"/>
    </row>
    <row r="2399">
      <c r="A2399" s="7" t="inlineStr">
        <is>
          <t>2024-01-02</t>
        </is>
      </c>
      <c r="B2399" s="8">
        <f>IFERROR(VLOOKUP($A2399,'01-原始价格'!$A:$M,2,FALSE),"")</f>
        <v/>
      </c>
      <c r="C2399" s="8">
        <f>IFERROR(VLOOKUP($A2399,'01-原始价格'!$A:$M,8,FALSE),"")</f>
        <v/>
      </c>
      <c r="D2399" s="10">
        <f>IFERROR(B2399/C2399,"")</f>
        <v/>
      </c>
      <c r="E2399" s="10">
        <f>IFERROR(C2399/B2399,"")</f>
        <v/>
      </c>
      <c r="F2399" s="11">
        <f>IFERROR((D2399/D2398-1)*100,"")</f>
        <v/>
      </c>
      <c r="G2399" s="11">
        <f>IFERROR((COUNTIF($D$2148:$D$2399,"&lt;"&amp;D2399)+0.5*COUNTIF($D$2148:$D$2399,D2399))/COUNT($D$2148:$D$2399)*100,"")</f>
        <v/>
      </c>
      <c r="H2399" s="10">
        <f>IFERROR(AVERAGE($D$2148:$D$2399),"")</f>
        <v/>
      </c>
      <c r="I2399" s="10" t="n">
        <v>-1.082142072153705</v>
      </c>
      <c r="J2399" t="inlineStr"/>
      <c r="K2399" t="inlineStr"/>
    </row>
    <row r="2400">
      <c r="A2400" s="7" t="inlineStr">
        <is>
          <t>2024-01-03</t>
        </is>
      </c>
      <c r="B2400" s="8">
        <f>IFERROR(VLOOKUP($A2400,'01-原始价格'!$A:$M,2,FALSE),"")</f>
        <v/>
      </c>
      <c r="C2400" s="8">
        <f>IFERROR(VLOOKUP($A2400,'01-原始价格'!$A:$M,8,FALSE),"")</f>
        <v/>
      </c>
      <c r="D2400" s="10">
        <f>IFERROR(B2400/C2400,"")</f>
        <v/>
      </c>
      <c r="E2400" s="10">
        <f>IFERROR(C2400/B2400,"")</f>
        <v/>
      </c>
      <c r="F2400" s="11">
        <f>IFERROR((D2400/D2399-1)*100,"")</f>
        <v/>
      </c>
      <c r="G2400" s="11">
        <f>IFERROR((COUNTIF($D$2149:$D$2400,"&lt;"&amp;D2400)+0.5*COUNTIF($D$2149:$D$2400,D2400))/COUNT($D$2149:$D$2400)*100,"")</f>
        <v/>
      </c>
      <c r="H2400" s="10">
        <f>IFERROR(AVERAGE($D$2149:$D$2400),"")</f>
        <v/>
      </c>
      <c r="I2400" s="10" t="n">
        <v>-1.018928147556972</v>
      </c>
      <c r="J2400" t="inlineStr"/>
      <c r="K2400" t="inlineStr"/>
    </row>
    <row r="2401">
      <c r="A2401" s="7" t="inlineStr">
        <is>
          <t>2024-01-04</t>
        </is>
      </c>
      <c r="B2401" s="8">
        <f>IFERROR(VLOOKUP($A2401,'01-原始价格'!$A:$M,2,FALSE),"")</f>
        <v/>
      </c>
      <c r="C2401" s="8">
        <f>IFERROR(VLOOKUP($A2401,'01-原始价格'!$A:$M,8,FALSE),"")</f>
        <v/>
      </c>
      <c r="D2401" s="10">
        <f>IFERROR(B2401/C2401,"")</f>
        <v/>
      </c>
      <c r="E2401" s="10">
        <f>IFERROR(C2401/B2401,"")</f>
        <v/>
      </c>
      <c r="F2401" s="11">
        <f>IFERROR((D2401/D2400-1)*100,"")</f>
        <v/>
      </c>
      <c r="G2401" s="11">
        <f>IFERROR((COUNTIF($D$2150:$D$2401,"&lt;"&amp;D2401)+0.5*COUNTIF($D$2150:$D$2401,D2401))/COUNT($D$2150:$D$2401)*100,"")</f>
        <v/>
      </c>
      <c r="H2401" s="10">
        <f>IFERROR(AVERAGE($D$2150:$D$2401),"")</f>
        <v/>
      </c>
      <c r="I2401" s="10" t="n">
        <v>-0.8956057371414745</v>
      </c>
      <c r="J2401" t="inlineStr"/>
      <c r="K2401" t="inlineStr"/>
    </row>
    <row r="2402">
      <c r="A2402" s="7" t="inlineStr">
        <is>
          <t>2024-01-05</t>
        </is>
      </c>
      <c r="B2402" s="8">
        <f>IFERROR(VLOOKUP($A2402,'01-原始价格'!$A:$M,2,FALSE),"")</f>
        <v/>
      </c>
      <c r="C2402" s="8">
        <f>IFERROR(VLOOKUP($A2402,'01-原始价格'!$A:$M,8,FALSE),"")</f>
        <v/>
      </c>
      <c r="D2402" s="10">
        <f>IFERROR(B2402/C2402,"")</f>
        <v/>
      </c>
      <c r="E2402" s="10">
        <f>IFERROR(C2402/B2402,"")</f>
        <v/>
      </c>
      <c r="F2402" s="11">
        <f>IFERROR((D2402/D2401-1)*100,"")</f>
        <v/>
      </c>
      <c r="G2402" s="11">
        <f>IFERROR((COUNTIF($D$2151:$D$2402,"&lt;"&amp;D2402)+0.5*COUNTIF($D$2151:$D$2402,D2402))/COUNT($D$2151:$D$2402)*100,"")</f>
        <v/>
      </c>
      <c r="H2402" s="10">
        <f>IFERROR(AVERAGE($D$2151:$D$2402),"")</f>
        <v/>
      </c>
      <c r="I2402" s="10" t="n">
        <v>-1.264991742962261</v>
      </c>
      <c r="J2402" t="inlineStr"/>
      <c r="K2402" t="inlineStr"/>
    </row>
    <row r="2403">
      <c r="A2403" s="7" t="inlineStr">
        <is>
          <t>2024-01-08</t>
        </is>
      </c>
      <c r="B2403" s="8">
        <f>IFERROR(VLOOKUP($A2403,'01-原始价格'!$A:$M,2,FALSE),"")</f>
        <v/>
      </c>
      <c r="C2403" s="8">
        <f>IFERROR(VLOOKUP($A2403,'01-原始价格'!$A:$M,8,FALSE),"")</f>
        <v/>
      </c>
      <c r="D2403" s="10">
        <f>IFERROR(B2403/C2403,"")</f>
        <v/>
      </c>
      <c r="E2403" s="10">
        <f>IFERROR(C2403/B2403,"")</f>
        <v/>
      </c>
      <c r="F2403" s="11">
        <f>IFERROR((D2403/D2402-1)*100,"")</f>
        <v/>
      </c>
      <c r="G2403" s="11">
        <f>IFERROR((COUNTIF($D$2152:$D$2403,"&lt;"&amp;D2403)+0.5*COUNTIF($D$2152:$D$2403,D2403))/COUNT($D$2152:$D$2403)*100,"")</f>
        <v/>
      </c>
      <c r="H2403" s="10">
        <f>IFERROR(AVERAGE($D$2152:$D$2403),"")</f>
        <v/>
      </c>
      <c r="I2403" s="10" t="n">
        <v>-1.323356217267505</v>
      </c>
      <c r="J2403" t="inlineStr"/>
      <c r="K2403" t="inlineStr"/>
    </row>
    <row r="2404">
      <c r="A2404" s="7" t="inlineStr">
        <is>
          <t>2024-01-09</t>
        </is>
      </c>
      <c r="B2404" s="8">
        <f>IFERROR(VLOOKUP($A2404,'01-原始价格'!$A:$M,2,FALSE),"")</f>
        <v/>
      </c>
      <c r="C2404" s="8">
        <f>IFERROR(VLOOKUP($A2404,'01-原始价格'!$A:$M,8,FALSE),"")</f>
        <v/>
      </c>
      <c r="D2404" s="10">
        <f>IFERROR(B2404/C2404,"")</f>
        <v/>
      </c>
      <c r="E2404" s="10">
        <f>IFERROR(C2404/B2404,"")</f>
        <v/>
      </c>
      <c r="F2404" s="11">
        <f>IFERROR((D2404/D2403-1)*100,"")</f>
        <v/>
      </c>
      <c r="G2404" s="11">
        <f>IFERROR((COUNTIF($D$2153:$D$2404,"&lt;"&amp;D2404)+0.5*COUNTIF($D$2153:$D$2404,D2404))/COUNT($D$2153:$D$2404)*100,"")</f>
        <v/>
      </c>
      <c r="H2404" s="10">
        <f>IFERROR(AVERAGE($D$2153:$D$2404),"")</f>
        <v/>
      </c>
      <c r="I2404" s="10" t="n">
        <v>-1.045836526296892</v>
      </c>
      <c r="J2404" t="inlineStr"/>
      <c r="K2404" t="inlineStr"/>
    </row>
    <row r="2405">
      <c r="A2405" s="7" t="inlineStr">
        <is>
          <t>2024-01-10</t>
        </is>
      </c>
      <c r="B2405" s="8">
        <f>IFERROR(VLOOKUP($A2405,'01-原始价格'!$A:$M,2,FALSE),"")</f>
        <v/>
      </c>
      <c r="C2405" s="8">
        <f>IFERROR(VLOOKUP($A2405,'01-原始价格'!$A:$M,8,FALSE),"")</f>
        <v/>
      </c>
      <c r="D2405" s="10">
        <f>IFERROR(B2405/C2405,"")</f>
        <v/>
      </c>
      <c r="E2405" s="10">
        <f>IFERROR(C2405/B2405,"")</f>
        <v/>
      </c>
      <c r="F2405" s="11">
        <f>IFERROR((D2405/D2404-1)*100,"")</f>
        <v/>
      </c>
      <c r="G2405" s="11">
        <f>IFERROR((COUNTIF($D$2154:$D$2405,"&lt;"&amp;D2405)+0.5*COUNTIF($D$2154:$D$2405,D2405))/COUNT($D$2154:$D$2405)*100,"")</f>
        <v/>
      </c>
      <c r="H2405" s="10">
        <f>IFERROR(AVERAGE($D$2154:$D$2405),"")</f>
        <v/>
      </c>
      <c r="I2405" s="10" t="n">
        <v>-1.382404756695095</v>
      </c>
      <c r="J2405" t="inlineStr"/>
      <c r="K2405" t="inlineStr"/>
    </row>
    <row r="2406">
      <c r="A2406" s="7" t="inlineStr">
        <is>
          <t>2024-01-11</t>
        </is>
      </c>
      <c r="B2406" s="8">
        <f>IFERROR(VLOOKUP($A2406,'01-原始价格'!$A:$M,2,FALSE),"")</f>
        <v/>
      </c>
      <c r="C2406" s="8">
        <f>IFERROR(VLOOKUP($A2406,'01-原始价格'!$A:$M,8,FALSE),"")</f>
        <v/>
      </c>
      <c r="D2406" s="10">
        <f>IFERROR(B2406/C2406,"")</f>
        <v/>
      </c>
      <c r="E2406" s="10">
        <f>IFERROR(C2406/B2406,"")</f>
        <v/>
      </c>
      <c r="F2406" s="11">
        <f>IFERROR((D2406/D2405-1)*100,"")</f>
        <v/>
      </c>
      <c r="G2406" s="11">
        <f>IFERROR((COUNTIF($D$2155:$D$2406,"&lt;"&amp;D2406)+0.5*COUNTIF($D$2155:$D$2406,D2406))/COUNT($D$2155:$D$2406)*100,"")</f>
        <v/>
      </c>
      <c r="H2406" s="10">
        <f>IFERROR(AVERAGE($D$2155:$D$2406),"")</f>
        <v/>
      </c>
      <c r="I2406" s="10" t="n">
        <v>-1.40703956625088</v>
      </c>
      <c r="J2406" t="inlineStr"/>
      <c r="K2406" t="inlineStr"/>
    </row>
    <row r="2407">
      <c r="A2407" s="7" t="inlineStr">
        <is>
          <t>2024-01-12</t>
        </is>
      </c>
      <c r="B2407" s="8">
        <f>IFERROR(VLOOKUP($A2407,'01-原始价格'!$A:$M,2,FALSE),"")</f>
        <v/>
      </c>
      <c r="C2407" s="8">
        <f>IFERROR(VLOOKUP($A2407,'01-原始价格'!$A:$M,8,FALSE),"")</f>
        <v/>
      </c>
      <c r="D2407" s="10">
        <f>IFERROR(B2407/C2407,"")</f>
        <v/>
      </c>
      <c r="E2407" s="10">
        <f>IFERROR(C2407/B2407,"")</f>
        <v/>
      </c>
      <c r="F2407" s="11">
        <f>IFERROR((D2407/D2406-1)*100,"")</f>
        <v/>
      </c>
      <c r="G2407" s="11">
        <f>IFERROR((COUNTIF($D$2156:$D$2407,"&lt;"&amp;D2407)+0.5*COUNTIF($D$2156:$D$2407,D2407))/COUNT($D$2156:$D$2407)*100,"")</f>
        <v/>
      </c>
      <c r="H2407" s="10">
        <f>IFERROR(AVERAGE($D$2156:$D$2407),"")</f>
        <v/>
      </c>
      <c r="I2407" s="10" t="n">
        <v>-1.400999518911945</v>
      </c>
      <c r="J2407" t="inlineStr"/>
      <c r="K2407" t="inlineStr"/>
    </row>
    <row r="2408">
      <c r="A2408" s="7" t="inlineStr">
        <is>
          <t>2024-01-15</t>
        </is>
      </c>
      <c r="B2408" s="8">
        <f>IFERROR(VLOOKUP($A2408,'01-原始价格'!$A:$M,2,FALSE),"")</f>
        <v/>
      </c>
      <c r="C2408" s="8">
        <f>IFERROR(VLOOKUP($A2408,'01-原始价格'!$A:$M,8,FALSE),"")</f>
        <v/>
      </c>
      <c r="D2408" s="10">
        <f>IFERROR(B2408/C2408,"")</f>
        <v/>
      </c>
      <c r="E2408" s="10">
        <f>IFERROR(C2408/B2408,"")</f>
        <v/>
      </c>
      <c r="F2408" s="11">
        <f>IFERROR((D2408/D2407-1)*100,"")</f>
        <v/>
      </c>
      <c r="G2408" s="11">
        <f>IFERROR((COUNTIF($D$2157:$D$2408,"&lt;"&amp;D2408)+0.5*COUNTIF($D$2157:$D$2408,D2408))/COUNT($D$2157:$D$2408)*100,"")</f>
        <v/>
      </c>
      <c r="H2408" s="10">
        <f>IFERROR(AVERAGE($D$2157:$D$2408),"")</f>
        <v/>
      </c>
      <c r="I2408" s="10" t="n">
        <v>-1.274314825323036</v>
      </c>
      <c r="J2408" t="inlineStr"/>
      <c r="K2408" t="inlineStr"/>
    </row>
    <row r="2409">
      <c r="A2409" s="7" t="inlineStr">
        <is>
          <t>2024-01-16</t>
        </is>
      </c>
      <c r="B2409" s="8">
        <f>IFERROR(VLOOKUP($A2409,'01-原始价格'!$A:$M,2,FALSE),"")</f>
        <v/>
      </c>
      <c r="C2409" s="8">
        <f>IFERROR(VLOOKUP($A2409,'01-原始价格'!$A:$M,8,FALSE),"")</f>
        <v/>
      </c>
      <c r="D2409" s="10">
        <f>IFERROR(B2409/C2409,"")</f>
        <v/>
      </c>
      <c r="E2409" s="10">
        <f>IFERROR(C2409/B2409,"")</f>
        <v/>
      </c>
      <c r="F2409" s="11">
        <f>IFERROR((D2409/D2408-1)*100,"")</f>
        <v/>
      </c>
      <c r="G2409" s="11">
        <f>IFERROR((COUNTIF($D$2158:$D$2409,"&lt;"&amp;D2409)+0.5*COUNTIF($D$2158:$D$2409,D2409))/COUNT($D$2158:$D$2409)*100,"")</f>
        <v/>
      </c>
      <c r="H2409" s="10">
        <f>IFERROR(AVERAGE($D$2158:$D$2409),"")</f>
        <v/>
      </c>
      <c r="I2409" s="10" t="n">
        <v>-1.547966189968518</v>
      </c>
      <c r="J2409" t="inlineStr"/>
      <c r="K2409" t="inlineStr"/>
    </row>
    <row r="2410">
      <c r="A2410" s="7" t="inlineStr">
        <is>
          <t>2024-01-17</t>
        </is>
      </c>
      <c r="B2410" s="8">
        <f>IFERROR(VLOOKUP($A2410,'01-原始价格'!$A:$M,2,FALSE),"")</f>
        <v/>
      </c>
      <c r="C2410" s="8">
        <f>IFERROR(VLOOKUP($A2410,'01-原始价格'!$A:$M,8,FALSE),"")</f>
        <v/>
      </c>
      <c r="D2410" s="10">
        <f>IFERROR(B2410/C2410,"")</f>
        <v/>
      </c>
      <c r="E2410" s="10">
        <f>IFERROR(C2410/B2410,"")</f>
        <v/>
      </c>
      <c r="F2410" s="11">
        <f>IFERROR((D2410/D2409-1)*100,"")</f>
        <v/>
      </c>
      <c r="G2410" s="11">
        <f>IFERROR((COUNTIF($D$2159:$D$2410,"&lt;"&amp;D2410)+0.5*COUNTIF($D$2159:$D$2410,D2410))/COUNT($D$2159:$D$2410)*100,"")</f>
        <v/>
      </c>
      <c r="H2410" s="10">
        <f>IFERROR(AVERAGE($D$2159:$D$2410),"")</f>
        <v/>
      </c>
      <c r="I2410" s="10" t="n">
        <v>-1.754305096947742</v>
      </c>
      <c r="J2410" t="inlineStr"/>
      <c r="K2410" t="inlineStr"/>
    </row>
    <row r="2411">
      <c r="A2411" s="7" t="inlineStr">
        <is>
          <t>2024-01-18</t>
        </is>
      </c>
      <c r="B2411" s="8">
        <f>IFERROR(VLOOKUP($A2411,'01-原始价格'!$A:$M,2,FALSE),"")</f>
        <v/>
      </c>
      <c r="C2411" s="8">
        <f>IFERROR(VLOOKUP($A2411,'01-原始价格'!$A:$M,8,FALSE),"")</f>
        <v/>
      </c>
      <c r="D2411" s="10">
        <f>IFERROR(B2411/C2411,"")</f>
        <v/>
      </c>
      <c r="E2411" s="10">
        <f>IFERROR(C2411/B2411,"")</f>
        <v/>
      </c>
      <c r="F2411" s="11">
        <f>IFERROR((D2411/D2410-1)*100,"")</f>
        <v/>
      </c>
      <c r="G2411" s="11">
        <f>IFERROR((COUNTIF($D$2160:$D$2411,"&lt;"&amp;D2411)+0.5*COUNTIF($D$2160:$D$2411,D2411))/COUNT($D$2160:$D$2411)*100,"")</f>
        <v/>
      </c>
      <c r="H2411" s="10">
        <f>IFERROR(AVERAGE($D$2160:$D$2411),"")</f>
        <v/>
      </c>
      <c r="I2411" s="10" t="n">
        <v>-1.767814435282823</v>
      </c>
      <c r="J2411" t="inlineStr"/>
      <c r="K2411" t="inlineStr"/>
    </row>
    <row r="2412">
      <c r="A2412" s="7" t="inlineStr">
        <is>
          <t>2024-01-19</t>
        </is>
      </c>
      <c r="B2412" s="8">
        <f>IFERROR(VLOOKUP($A2412,'01-原始价格'!$A:$M,2,FALSE),"")</f>
        <v/>
      </c>
      <c r="C2412" s="8">
        <f>IFERROR(VLOOKUP($A2412,'01-原始价格'!$A:$M,8,FALSE),"")</f>
        <v/>
      </c>
      <c r="D2412" s="10">
        <f>IFERROR(B2412/C2412,"")</f>
        <v/>
      </c>
      <c r="E2412" s="10">
        <f>IFERROR(C2412/B2412,"")</f>
        <v/>
      </c>
      <c r="F2412" s="11">
        <f>IFERROR((D2412/D2411-1)*100,"")</f>
        <v/>
      </c>
      <c r="G2412" s="11">
        <f>IFERROR((COUNTIF($D$2161:$D$2412,"&lt;"&amp;D2412)+0.5*COUNTIF($D$2161:$D$2412,D2412))/COUNT($D$2161:$D$2412)*100,"")</f>
        <v/>
      </c>
      <c r="H2412" s="10">
        <f>IFERROR(AVERAGE($D$2161:$D$2412),"")</f>
        <v/>
      </c>
      <c r="I2412" s="10" t="n">
        <v>-1.857040207389367</v>
      </c>
      <c r="J2412" t="inlineStr"/>
      <c r="K2412" t="inlineStr"/>
    </row>
    <row r="2413">
      <c r="A2413" s="7" t="inlineStr">
        <is>
          <t>2024-01-22</t>
        </is>
      </c>
      <c r="B2413" s="8">
        <f>IFERROR(VLOOKUP($A2413,'01-原始价格'!$A:$M,2,FALSE),"")</f>
        <v/>
      </c>
      <c r="C2413" s="8">
        <f>IFERROR(VLOOKUP($A2413,'01-原始价格'!$A:$M,8,FALSE),"")</f>
        <v/>
      </c>
      <c r="D2413" s="10">
        <f>IFERROR(B2413/C2413,"")</f>
        <v/>
      </c>
      <c r="E2413" s="10">
        <f>IFERROR(C2413/B2413,"")</f>
        <v/>
      </c>
      <c r="F2413" s="11">
        <f>IFERROR((D2413/D2412-1)*100,"")</f>
        <v/>
      </c>
      <c r="G2413" s="11">
        <f>IFERROR((COUNTIF($D$2162:$D$2413,"&lt;"&amp;D2413)+0.5*COUNTIF($D$2162:$D$2413,D2413))/COUNT($D$2162:$D$2413)*100,"")</f>
        <v/>
      </c>
      <c r="H2413" s="10">
        <f>IFERROR(AVERAGE($D$2162:$D$2413),"")</f>
        <v/>
      </c>
      <c r="I2413" s="10" t="n">
        <v>-1.772736671211316</v>
      </c>
      <c r="J2413" t="inlineStr"/>
      <c r="K2413" t="inlineStr"/>
    </row>
    <row r="2414">
      <c r="A2414" s="7" t="inlineStr">
        <is>
          <t>2024-01-23</t>
        </is>
      </c>
      <c r="B2414" s="8">
        <f>IFERROR(VLOOKUP($A2414,'01-原始价格'!$A:$M,2,FALSE),"")</f>
        <v/>
      </c>
      <c r="C2414" s="8">
        <f>IFERROR(VLOOKUP($A2414,'01-原始价格'!$A:$M,8,FALSE),"")</f>
        <v/>
      </c>
      <c r="D2414" s="10">
        <f>IFERROR(B2414/C2414,"")</f>
        <v/>
      </c>
      <c r="E2414" s="10">
        <f>IFERROR(C2414/B2414,"")</f>
        <v/>
      </c>
      <c r="F2414" s="11">
        <f>IFERROR((D2414/D2413-1)*100,"")</f>
        <v/>
      </c>
      <c r="G2414" s="11">
        <f>IFERROR((COUNTIF($D$2163:$D$2414,"&lt;"&amp;D2414)+0.5*COUNTIF($D$2163:$D$2414,D2414))/COUNT($D$2163:$D$2414)*100,"")</f>
        <v/>
      </c>
      <c r="H2414" s="10">
        <f>IFERROR(AVERAGE($D$2163:$D$2414),"")</f>
        <v/>
      </c>
      <c r="I2414" s="10" t="n">
        <v>-1.49526864630503</v>
      </c>
      <c r="J2414" t="inlineStr"/>
      <c r="K2414" t="inlineStr"/>
    </row>
    <row r="2415">
      <c r="A2415" s="7" t="inlineStr">
        <is>
          <t>2024-01-24</t>
        </is>
      </c>
      <c r="B2415" s="8">
        <f>IFERROR(VLOOKUP($A2415,'01-原始价格'!$A:$M,2,FALSE),"")</f>
        <v/>
      </c>
      <c r="C2415" s="8">
        <f>IFERROR(VLOOKUP($A2415,'01-原始价格'!$A:$M,8,FALSE),"")</f>
        <v/>
      </c>
      <c r="D2415" s="10">
        <f>IFERROR(B2415/C2415,"")</f>
        <v/>
      </c>
      <c r="E2415" s="10">
        <f>IFERROR(C2415/B2415,"")</f>
        <v/>
      </c>
      <c r="F2415" s="11">
        <f>IFERROR((D2415/D2414-1)*100,"")</f>
        <v/>
      </c>
      <c r="G2415" s="11">
        <f>IFERROR((COUNTIF($D$2164:$D$2415,"&lt;"&amp;D2415)+0.5*COUNTIF($D$2164:$D$2415,D2415))/COUNT($D$2164:$D$2415)*100,"")</f>
        <v/>
      </c>
      <c r="H2415" s="10">
        <f>IFERROR(AVERAGE($D$2164:$D$2415),"")</f>
        <v/>
      </c>
      <c r="I2415" s="10" t="n">
        <v>-1.481434933698552</v>
      </c>
      <c r="J2415" t="inlineStr"/>
      <c r="K2415" t="inlineStr"/>
    </row>
    <row r="2416">
      <c r="A2416" s="7" t="inlineStr">
        <is>
          <t>2024-01-25</t>
        </is>
      </c>
      <c r="B2416" s="8">
        <f>IFERROR(VLOOKUP($A2416,'01-原始价格'!$A:$M,2,FALSE),"")</f>
        <v/>
      </c>
      <c r="C2416" s="8">
        <f>IFERROR(VLOOKUP($A2416,'01-原始价格'!$A:$M,8,FALSE),"")</f>
        <v/>
      </c>
      <c r="D2416" s="10">
        <f>IFERROR(B2416/C2416,"")</f>
        <v/>
      </c>
      <c r="E2416" s="10">
        <f>IFERROR(C2416/B2416,"")</f>
        <v/>
      </c>
      <c r="F2416" s="11">
        <f>IFERROR((D2416/D2415-1)*100,"")</f>
        <v/>
      </c>
      <c r="G2416" s="11">
        <f>IFERROR((COUNTIF($D$2165:$D$2416,"&lt;"&amp;D2416)+0.5*COUNTIF($D$2165:$D$2416,D2416))/COUNT($D$2165:$D$2416)*100,"")</f>
        <v/>
      </c>
      <c r="H2416" s="10">
        <f>IFERROR(AVERAGE($D$2165:$D$2416),"")</f>
        <v/>
      </c>
      <c r="I2416" s="10" t="n">
        <v>-1.413454327486455</v>
      </c>
      <c r="J2416" t="inlineStr"/>
      <c r="K2416" t="inlineStr"/>
    </row>
    <row r="2417">
      <c r="A2417" s="7" t="inlineStr">
        <is>
          <t>2024-01-26</t>
        </is>
      </c>
      <c r="B2417" s="8">
        <f>IFERROR(VLOOKUP($A2417,'01-原始价格'!$A:$M,2,FALSE),"")</f>
        <v/>
      </c>
      <c r="C2417" s="8">
        <f>IFERROR(VLOOKUP($A2417,'01-原始价格'!$A:$M,8,FALSE),"")</f>
        <v/>
      </c>
      <c r="D2417" s="10">
        <f>IFERROR(B2417/C2417,"")</f>
        <v/>
      </c>
      <c r="E2417" s="10">
        <f>IFERROR(C2417/B2417,"")</f>
        <v/>
      </c>
      <c r="F2417" s="11">
        <f>IFERROR((D2417/D2416-1)*100,"")</f>
        <v/>
      </c>
      <c r="G2417" s="11">
        <f>IFERROR((COUNTIF($D$2166:$D$2417,"&lt;"&amp;D2417)+0.5*COUNTIF($D$2166:$D$2417,D2417))/COUNT($D$2166:$D$2417)*100,"")</f>
        <v/>
      </c>
      <c r="H2417" s="10">
        <f>IFERROR(AVERAGE($D$2166:$D$2417),"")</f>
        <v/>
      </c>
      <c r="I2417" s="10" t="n">
        <v>-1.492693283379233</v>
      </c>
      <c r="J2417" t="inlineStr"/>
      <c r="K2417" t="inlineStr"/>
    </row>
    <row r="2418">
      <c r="A2418" s="7" t="inlineStr">
        <is>
          <t>2024-01-29</t>
        </is>
      </c>
      <c r="B2418" s="8">
        <f>IFERROR(VLOOKUP($A2418,'01-原始价格'!$A:$M,2,FALSE),"")</f>
        <v/>
      </c>
      <c r="C2418" s="8">
        <f>IFERROR(VLOOKUP($A2418,'01-原始价格'!$A:$M,8,FALSE),"")</f>
        <v/>
      </c>
      <c r="D2418" s="10">
        <f>IFERROR(B2418/C2418,"")</f>
        <v/>
      </c>
      <c r="E2418" s="10">
        <f>IFERROR(C2418/B2418,"")</f>
        <v/>
      </c>
      <c r="F2418" s="11">
        <f>IFERROR((D2418/D2417-1)*100,"")</f>
        <v/>
      </c>
      <c r="G2418" s="11">
        <f>IFERROR((COUNTIF($D$2167:$D$2418,"&lt;"&amp;D2418)+0.5*COUNTIF($D$2167:$D$2418,D2418))/COUNT($D$2167:$D$2418)*100,"")</f>
        <v/>
      </c>
      <c r="H2418" s="10">
        <f>IFERROR(AVERAGE($D$2167:$D$2418),"")</f>
        <v/>
      </c>
      <c r="I2418" s="10" t="n">
        <v>-1.445082833331677</v>
      </c>
      <c r="J2418" t="inlineStr"/>
      <c r="K2418" t="inlineStr"/>
    </row>
    <row r="2419">
      <c r="A2419" s="7" t="inlineStr">
        <is>
          <t>2024-01-30</t>
        </is>
      </c>
      <c r="B2419" s="8">
        <f>IFERROR(VLOOKUP($A2419,'01-原始价格'!$A:$M,2,FALSE),"")</f>
        <v/>
      </c>
      <c r="C2419" s="8">
        <f>IFERROR(VLOOKUP($A2419,'01-原始价格'!$A:$M,8,FALSE),"")</f>
        <v/>
      </c>
      <c r="D2419" s="10">
        <f>IFERROR(B2419/C2419,"")</f>
        <v/>
      </c>
      <c r="E2419" s="10">
        <f>IFERROR(C2419/B2419,"")</f>
        <v/>
      </c>
      <c r="F2419" s="11">
        <f>IFERROR((D2419/D2418-1)*100,"")</f>
        <v/>
      </c>
      <c r="G2419" s="11">
        <f>IFERROR((COUNTIF($D$2168:$D$2419,"&lt;"&amp;D2419)+0.5*COUNTIF($D$2168:$D$2419,D2419))/COUNT($D$2168:$D$2419)*100,"")</f>
        <v/>
      </c>
      <c r="H2419" s="10">
        <f>IFERROR(AVERAGE($D$2168:$D$2419),"")</f>
        <v/>
      </c>
      <c r="I2419" s="10" t="n">
        <v>-1.561206702388336</v>
      </c>
      <c r="J2419" t="inlineStr"/>
      <c r="K2419" t="inlineStr"/>
    </row>
    <row r="2420">
      <c r="A2420" s="7" t="inlineStr">
        <is>
          <t>2024-01-31</t>
        </is>
      </c>
      <c r="B2420" s="8">
        <f>IFERROR(VLOOKUP($A2420,'01-原始价格'!$A:$M,2,FALSE),"")</f>
        <v/>
      </c>
      <c r="C2420" s="8">
        <f>IFERROR(VLOOKUP($A2420,'01-原始价格'!$A:$M,8,FALSE),"")</f>
        <v/>
      </c>
      <c r="D2420" s="10">
        <f>IFERROR(B2420/C2420,"")</f>
        <v/>
      </c>
      <c r="E2420" s="10">
        <f>IFERROR(C2420/B2420,"")</f>
        <v/>
      </c>
      <c r="F2420" s="11">
        <f>IFERROR((D2420/D2419-1)*100,"")</f>
        <v/>
      </c>
      <c r="G2420" s="11">
        <f>IFERROR((COUNTIF($D$2169:$D$2420,"&lt;"&amp;D2420)+0.5*COUNTIF($D$2169:$D$2420,D2420))/COUNT($D$2169:$D$2420)*100,"")</f>
        <v/>
      </c>
      <c r="H2420" s="10">
        <f>IFERROR(AVERAGE($D$2169:$D$2420),"")</f>
        <v/>
      </c>
      <c r="I2420" s="10" t="n">
        <v>-1.429371949594366</v>
      </c>
      <c r="J2420" t="inlineStr"/>
      <c r="K2420" t="inlineStr"/>
    </row>
    <row r="2421">
      <c r="A2421" s="7" t="inlineStr">
        <is>
          <t>2024-02-01</t>
        </is>
      </c>
      <c r="B2421" s="8">
        <f>IFERROR(VLOOKUP($A2421,'01-原始价格'!$A:$M,2,FALSE),"")</f>
        <v/>
      </c>
      <c r="C2421" s="8">
        <f>IFERROR(VLOOKUP($A2421,'01-原始价格'!$A:$M,8,FALSE),"")</f>
        <v/>
      </c>
      <c r="D2421" s="10">
        <f>IFERROR(B2421/C2421,"")</f>
        <v/>
      </c>
      <c r="E2421" s="10">
        <f>IFERROR(C2421/B2421,"")</f>
        <v/>
      </c>
      <c r="F2421" s="11">
        <f>IFERROR((D2421/D2420-1)*100,"")</f>
        <v/>
      </c>
      <c r="G2421" s="11">
        <f>IFERROR((COUNTIF($D$2170:$D$2421,"&lt;"&amp;D2421)+0.5*COUNTIF($D$2170:$D$2421,D2421))/COUNT($D$2170:$D$2421)*100,"")</f>
        <v/>
      </c>
      <c r="H2421" s="10">
        <f>IFERROR(AVERAGE($D$2170:$D$2421),"")</f>
        <v/>
      </c>
      <c r="I2421" s="10" t="n">
        <v>-1.471496088547518</v>
      </c>
      <c r="J2421" t="inlineStr"/>
      <c r="K2421" t="inlineStr"/>
    </row>
    <row r="2422">
      <c r="A2422" s="7" t="inlineStr">
        <is>
          <t>2024-02-02</t>
        </is>
      </c>
      <c r="B2422" s="8">
        <f>IFERROR(VLOOKUP($A2422,'01-原始价格'!$A:$M,2,FALSE),"")</f>
        <v/>
      </c>
      <c r="C2422" s="8">
        <f>IFERROR(VLOOKUP($A2422,'01-原始价格'!$A:$M,8,FALSE),"")</f>
        <v/>
      </c>
      <c r="D2422" s="10">
        <f>IFERROR(B2422/C2422,"")</f>
        <v/>
      </c>
      <c r="E2422" s="10">
        <f>IFERROR(C2422/B2422,"")</f>
        <v/>
      </c>
      <c r="F2422" s="11">
        <f>IFERROR((D2422/D2421-1)*100,"")</f>
        <v/>
      </c>
      <c r="G2422" s="11">
        <f>IFERROR((COUNTIF($D$2171:$D$2422,"&lt;"&amp;D2422)+0.5*COUNTIF($D$2171:$D$2422,D2422))/COUNT($D$2171:$D$2422)*100,"")</f>
        <v/>
      </c>
      <c r="H2422" s="10">
        <f>IFERROR(AVERAGE($D$2171:$D$2422),"")</f>
        <v/>
      </c>
      <c r="I2422" s="10" t="n">
        <v>-1.329233682964897</v>
      </c>
      <c r="J2422" t="inlineStr"/>
      <c r="K2422" t="inlineStr"/>
    </row>
    <row r="2423">
      <c r="A2423" s="7" t="inlineStr">
        <is>
          <t>2024-02-05</t>
        </is>
      </c>
      <c r="B2423" s="8">
        <f>IFERROR(VLOOKUP($A2423,'01-原始价格'!$A:$M,2,FALSE),"")</f>
        <v/>
      </c>
      <c r="C2423" s="8">
        <f>IFERROR(VLOOKUP($A2423,'01-原始价格'!$A:$M,8,FALSE),"")</f>
        <v/>
      </c>
      <c r="D2423" s="10">
        <f>IFERROR(B2423/C2423,"")</f>
        <v/>
      </c>
      <c r="E2423" s="10">
        <f>IFERROR(C2423/B2423,"")</f>
        <v/>
      </c>
      <c r="F2423" s="11">
        <f>IFERROR((D2423/D2422-1)*100,"")</f>
        <v/>
      </c>
      <c r="G2423" s="11">
        <f>IFERROR((COUNTIF($D$2172:$D$2423,"&lt;"&amp;D2423)+0.5*COUNTIF($D$2172:$D$2423,D2423))/COUNT($D$2172:$D$2423)*100,"")</f>
        <v/>
      </c>
      <c r="H2423" s="10">
        <f>IFERROR(AVERAGE($D$2172:$D$2423),"")</f>
        <v/>
      </c>
      <c r="I2423" s="10" t="n">
        <v>-1.47802616411757</v>
      </c>
      <c r="J2423" t="inlineStr"/>
      <c r="K2423" t="inlineStr"/>
    </row>
    <row r="2424">
      <c r="A2424" s="7" t="inlineStr">
        <is>
          <t>2024-02-06</t>
        </is>
      </c>
      <c r="B2424" s="8">
        <f>IFERROR(VLOOKUP($A2424,'01-原始价格'!$A:$M,2,FALSE),"")</f>
        <v/>
      </c>
      <c r="C2424" s="8">
        <f>IFERROR(VLOOKUP($A2424,'01-原始价格'!$A:$M,8,FALSE),"")</f>
        <v/>
      </c>
      <c r="D2424" s="10">
        <f>IFERROR(B2424/C2424,"")</f>
        <v/>
      </c>
      <c r="E2424" s="10">
        <f>IFERROR(C2424/B2424,"")</f>
        <v/>
      </c>
      <c r="F2424" s="11">
        <f>IFERROR((D2424/D2423-1)*100,"")</f>
        <v/>
      </c>
      <c r="G2424" s="11">
        <f>IFERROR((COUNTIF($D$2173:$D$2424,"&lt;"&amp;D2424)+0.5*COUNTIF($D$2173:$D$2424,D2424))/COUNT($D$2173:$D$2424)*100,"")</f>
        <v/>
      </c>
      <c r="H2424" s="10">
        <f>IFERROR(AVERAGE($D$2173:$D$2424),"")</f>
        <v/>
      </c>
      <c r="I2424" s="10" t="n">
        <v>-1.315473393908954</v>
      </c>
      <c r="J2424" t="inlineStr"/>
      <c r="K2424" t="inlineStr"/>
    </row>
    <row r="2425">
      <c r="A2425" s="7" t="inlineStr">
        <is>
          <t>2024-02-07</t>
        </is>
      </c>
      <c r="B2425" s="8">
        <f>IFERROR(VLOOKUP($A2425,'01-原始价格'!$A:$M,2,FALSE),"")</f>
        <v/>
      </c>
      <c r="C2425" s="8">
        <f>IFERROR(VLOOKUP($A2425,'01-原始价格'!$A:$M,8,FALSE),"")</f>
        <v/>
      </c>
      <c r="D2425" s="10">
        <f>IFERROR(B2425/C2425,"")</f>
        <v/>
      </c>
      <c r="E2425" s="10">
        <f>IFERROR(C2425/B2425,"")</f>
        <v/>
      </c>
      <c r="F2425" s="11">
        <f>IFERROR((D2425/D2424-1)*100,"")</f>
        <v/>
      </c>
      <c r="G2425" s="11">
        <f>IFERROR((COUNTIF($D$2174:$D$2425,"&lt;"&amp;D2425)+0.5*COUNTIF($D$2174:$D$2425,D2425))/COUNT($D$2174:$D$2425)*100,"")</f>
        <v/>
      </c>
      <c r="H2425" s="10">
        <f>IFERROR(AVERAGE($D$2174:$D$2425),"")</f>
        <v/>
      </c>
      <c r="I2425" s="10" t="n">
        <v>-1.280864323576431</v>
      </c>
      <c r="J2425" t="inlineStr"/>
      <c r="K2425" t="inlineStr"/>
    </row>
    <row r="2426">
      <c r="A2426" s="7" t="inlineStr">
        <is>
          <t>2024-02-08</t>
        </is>
      </c>
      <c r="B2426" s="8">
        <f>IFERROR(VLOOKUP($A2426,'01-原始价格'!$A:$M,2,FALSE),"")</f>
        <v/>
      </c>
      <c r="C2426" s="8">
        <f>IFERROR(VLOOKUP($A2426,'01-原始价格'!$A:$M,8,FALSE),"")</f>
        <v/>
      </c>
      <c r="D2426" s="10">
        <f>IFERROR(B2426/C2426,"")</f>
        <v/>
      </c>
      <c r="E2426" s="10">
        <f>IFERROR(C2426/B2426,"")</f>
        <v/>
      </c>
      <c r="F2426" s="11">
        <f>IFERROR((D2426/D2425-1)*100,"")</f>
        <v/>
      </c>
      <c r="G2426" s="11">
        <f>IFERROR((COUNTIF($D$2175:$D$2426,"&lt;"&amp;D2426)+0.5*COUNTIF($D$2175:$D$2426,D2426))/COUNT($D$2175:$D$2426)*100,"")</f>
        <v/>
      </c>
      <c r="H2426" s="10">
        <f>IFERROR(AVERAGE($D$2175:$D$2426),"")</f>
        <v/>
      </c>
      <c r="I2426" s="10" t="n">
        <v>-1.148253038390985</v>
      </c>
      <c r="J2426" t="inlineStr"/>
      <c r="K2426" t="inlineStr"/>
    </row>
    <row r="2427">
      <c r="A2427" s="7" t="inlineStr">
        <is>
          <t>2024-02-19</t>
        </is>
      </c>
      <c r="B2427" s="8">
        <f>IFERROR(VLOOKUP($A2427,'01-原始价格'!$A:$M,2,FALSE),"")</f>
        <v/>
      </c>
      <c r="C2427" s="8">
        <f>IFERROR(VLOOKUP($A2427,'01-原始价格'!$A:$M,8,FALSE),"")</f>
        <v/>
      </c>
      <c r="D2427" s="10">
        <f>IFERROR(B2427/C2427,"")</f>
        <v/>
      </c>
      <c r="E2427" s="10">
        <f>IFERROR(C2427/B2427,"")</f>
        <v/>
      </c>
      <c r="F2427" s="11">
        <f>IFERROR((D2427/D2426-1)*100,"")</f>
        <v/>
      </c>
      <c r="G2427" s="11">
        <f>IFERROR((COUNTIF($D$2176:$D$2427,"&lt;"&amp;D2427)+0.5*COUNTIF($D$2176:$D$2427,D2427))/COUNT($D$2176:$D$2427)*100,"")</f>
        <v/>
      </c>
      <c r="H2427" s="10">
        <f>IFERROR(AVERAGE($D$2176:$D$2427),"")</f>
        <v/>
      </c>
      <c r="I2427" s="10" t="n">
        <v>-1.091176794801642</v>
      </c>
      <c r="J2427" t="inlineStr"/>
      <c r="K2427" t="inlineStr"/>
    </row>
    <row r="2428">
      <c r="A2428" s="7" t="inlineStr">
        <is>
          <t>2024-02-20</t>
        </is>
      </c>
      <c r="B2428" s="8">
        <f>IFERROR(VLOOKUP($A2428,'01-原始价格'!$A:$M,2,FALSE),"")</f>
        <v/>
      </c>
      <c r="C2428" s="8">
        <f>IFERROR(VLOOKUP($A2428,'01-原始价格'!$A:$M,8,FALSE),"")</f>
        <v/>
      </c>
      <c r="D2428" s="10">
        <f>IFERROR(B2428/C2428,"")</f>
        <v/>
      </c>
      <c r="E2428" s="10">
        <f>IFERROR(C2428/B2428,"")</f>
        <v/>
      </c>
      <c r="F2428" s="11">
        <f>IFERROR((D2428/D2427-1)*100,"")</f>
        <v/>
      </c>
      <c r="G2428" s="11">
        <f>IFERROR((COUNTIF($D$2177:$D$2428,"&lt;"&amp;D2428)+0.5*COUNTIF($D$2177:$D$2428,D2428))/COUNT($D$2177:$D$2428)*100,"")</f>
        <v/>
      </c>
      <c r="H2428" s="10">
        <f>IFERROR(AVERAGE($D$2177:$D$2428),"")</f>
        <v/>
      </c>
      <c r="I2428" s="10" t="n">
        <v>-1.361873643383152</v>
      </c>
      <c r="J2428" t="inlineStr"/>
      <c r="K2428" t="inlineStr"/>
    </row>
    <row r="2429">
      <c r="A2429" s="7" t="inlineStr">
        <is>
          <t>2024-02-21</t>
        </is>
      </c>
      <c r="B2429" s="8">
        <f>IFERROR(VLOOKUP($A2429,'01-原始价格'!$A:$M,2,FALSE),"")</f>
        <v/>
      </c>
      <c r="C2429" s="8">
        <f>IFERROR(VLOOKUP($A2429,'01-原始价格'!$A:$M,8,FALSE),"")</f>
        <v/>
      </c>
      <c r="D2429" s="10">
        <f>IFERROR(B2429/C2429,"")</f>
        <v/>
      </c>
      <c r="E2429" s="10">
        <f>IFERROR(C2429/B2429,"")</f>
        <v/>
      </c>
      <c r="F2429" s="11">
        <f>IFERROR((D2429/D2428-1)*100,"")</f>
        <v/>
      </c>
      <c r="G2429" s="11">
        <f>IFERROR((COUNTIF($D$2178:$D$2429,"&lt;"&amp;D2429)+0.5*COUNTIF($D$2178:$D$2429,D2429))/COUNT($D$2178:$D$2429)*100,"")</f>
        <v/>
      </c>
      <c r="H2429" s="10">
        <f>IFERROR(AVERAGE($D$2178:$D$2429),"")</f>
        <v/>
      </c>
      <c r="I2429" s="10" t="n">
        <v>-1.341783752466444</v>
      </c>
      <c r="J2429" t="inlineStr"/>
      <c r="K2429" t="inlineStr"/>
    </row>
    <row r="2430">
      <c r="A2430" s="7" t="inlineStr">
        <is>
          <t>2024-02-22</t>
        </is>
      </c>
      <c r="B2430" s="8">
        <f>IFERROR(VLOOKUP($A2430,'01-原始价格'!$A:$M,2,FALSE),"")</f>
        <v/>
      </c>
      <c r="C2430" s="8">
        <f>IFERROR(VLOOKUP($A2430,'01-原始价格'!$A:$M,8,FALSE),"")</f>
        <v/>
      </c>
      <c r="D2430" s="10">
        <f>IFERROR(B2430/C2430,"")</f>
        <v/>
      </c>
      <c r="E2430" s="10">
        <f>IFERROR(C2430/B2430,"")</f>
        <v/>
      </c>
      <c r="F2430" s="11">
        <f>IFERROR((D2430/D2429-1)*100,"")</f>
        <v/>
      </c>
      <c r="G2430" s="11">
        <f>IFERROR((COUNTIF($D$2179:$D$2430,"&lt;"&amp;D2430)+0.5*COUNTIF($D$2179:$D$2430,D2430))/COUNT($D$2179:$D$2430)*100,"")</f>
        <v/>
      </c>
      <c r="H2430" s="10">
        <f>IFERROR(AVERAGE($D$2179:$D$2430),"")</f>
        <v/>
      </c>
      <c r="I2430" s="10" t="n">
        <v>-1.44855505424775</v>
      </c>
      <c r="J2430" t="inlineStr"/>
      <c r="K2430" t="inlineStr"/>
    </row>
    <row r="2431">
      <c r="A2431" s="7" t="inlineStr">
        <is>
          <t>2024-02-23</t>
        </is>
      </c>
      <c r="B2431" s="8">
        <f>IFERROR(VLOOKUP($A2431,'01-原始价格'!$A:$M,2,FALSE),"")</f>
        <v/>
      </c>
      <c r="C2431" s="8">
        <f>IFERROR(VLOOKUP($A2431,'01-原始价格'!$A:$M,8,FALSE),"")</f>
        <v/>
      </c>
      <c r="D2431" s="10">
        <f>IFERROR(B2431/C2431,"")</f>
        <v/>
      </c>
      <c r="E2431" s="10">
        <f>IFERROR(C2431/B2431,"")</f>
        <v/>
      </c>
      <c r="F2431" s="11">
        <f>IFERROR((D2431/D2430-1)*100,"")</f>
        <v/>
      </c>
      <c r="G2431" s="11">
        <f>IFERROR((COUNTIF($D$2180:$D$2431,"&lt;"&amp;D2431)+0.5*COUNTIF($D$2180:$D$2431,D2431))/COUNT($D$2180:$D$2431)*100,"")</f>
        <v/>
      </c>
      <c r="H2431" s="10">
        <f>IFERROR(AVERAGE($D$2180:$D$2431),"")</f>
        <v/>
      </c>
      <c r="I2431" s="10" t="n">
        <v>-1.517467642874488</v>
      </c>
      <c r="J2431" t="inlineStr"/>
      <c r="K2431" t="inlineStr"/>
    </row>
    <row r="2432">
      <c r="A2432" s="7" t="inlineStr">
        <is>
          <t>2024-02-26</t>
        </is>
      </c>
      <c r="B2432" s="8">
        <f>IFERROR(VLOOKUP($A2432,'01-原始价格'!$A:$M,2,FALSE),"")</f>
        <v/>
      </c>
      <c r="C2432" s="8">
        <f>IFERROR(VLOOKUP($A2432,'01-原始价格'!$A:$M,8,FALSE),"")</f>
        <v/>
      </c>
      <c r="D2432" s="10">
        <f>IFERROR(B2432/C2432,"")</f>
        <v/>
      </c>
      <c r="E2432" s="10">
        <f>IFERROR(C2432/B2432,"")</f>
        <v/>
      </c>
      <c r="F2432" s="11">
        <f>IFERROR((D2432/D2431-1)*100,"")</f>
        <v/>
      </c>
      <c r="G2432" s="11">
        <f>IFERROR((COUNTIF($D$2181:$D$2432,"&lt;"&amp;D2432)+0.5*COUNTIF($D$2181:$D$2432,D2432))/COUNT($D$2181:$D$2432)*100,"")</f>
        <v/>
      </c>
      <c r="H2432" s="10">
        <f>IFERROR(AVERAGE($D$2181:$D$2432),"")</f>
        <v/>
      </c>
      <c r="I2432" s="10" t="n">
        <v>-1.507701376799076</v>
      </c>
      <c r="J2432" t="inlineStr"/>
      <c r="K2432" t="inlineStr"/>
    </row>
    <row r="2433">
      <c r="A2433" s="7" t="inlineStr">
        <is>
          <t>2024-02-27</t>
        </is>
      </c>
      <c r="B2433" s="8">
        <f>IFERROR(VLOOKUP($A2433,'01-原始价格'!$A:$M,2,FALSE),"")</f>
        <v/>
      </c>
      <c r="C2433" s="8">
        <f>IFERROR(VLOOKUP($A2433,'01-原始价格'!$A:$M,8,FALSE),"")</f>
        <v/>
      </c>
      <c r="D2433" s="10">
        <f>IFERROR(B2433/C2433,"")</f>
        <v/>
      </c>
      <c r="E2433" s="10">
        <f>IFERROR(C2433/B2433,"")</f>
        <v/>
      </c>
      <c r="F2433" s="11">
        <f>IFERROR((D2433/D2432-1)*100,"")</f>
        <v/>
      </c>
      <c r="G2433" s="11">
        <f>IFERROR((COUNTIF($D$2182:$D$2433,"&lt;"&amp;D2433)+0.5*COUNTIF($D$2182:$D$2433,D2433))/COUNT($D$2182:$D$2433)*100,"")</f>
        <v/>
      </c>
      <c r="H2433" s="10">
        <f>IFERROR(AVERAGE($D$2182:$D$2433),"")</f>
        <v/>
      </c>
      <c r="I2433" s="10" t="n">
        <v>-1.323837625111429</v>
      </c>
      <c r="J2433" t="inlineStr"/>
      <c r="K2433" t="inlineStr"/>
    </row>
    <row r="2434">
      <c r="A2434" s="7" t="inlineStr">
        <is>
          <t>2024-02-28</t>
        </is>
      </c>
      <c r="B2434" s="8">
        <f>IFERROR(VLOOKUP($A2434,'01-原始价格'!$A:$M,2,FALSE),"")</f>
        <v/>
      </c>
      <c r="C2434" s="8">
        <f>IFERROR(VLOOKUP($A2434,'01-原始价格'!$A:$M,8,FALSE),"")</f>
        <v/>
      </c>
      <c r="D2434" s="10">
        <f>IFERROR(B2434/C2434,"")</f>
        <v/>
      </c>
      <c r="E2434" s="10">
        <f>IFERROR(C2434/B2434,"")</f>
        <v/>
      </c>
      <c r="F2434" s="11">
        <f>IFERROR((D2434/D2433-1)*100,"")</f>
        <v/>
      </c>
      <c r="G2434" s="11">
        <f>IFERROR((COUNTIF($D$2183:$D$2434,"&lt;"&amp;D2434)+0.5*COUNTIF($D$2183:$D$2434,D2434))/COUNT($D$2183:$D$2434)*100,"")</f>
        <v/>
      </c>
      <c r="H2434" s="10">
        <f>IFERROR(AVERAGE($D$2183:$D$2434),"")</f>
        <v/>
      </c>
      <c r="I2434" s="10" t="n">
        <v>-1.185956512641578</v>
      </c>
      <c r="J2434" t="inlineStr"/>
      <c r="K2434" t="inlineStr"/>
    </row>
    <row r="2435">
      <c r="A2435" s="7" t="inlineStr">
        <is>
          <t>2024-02-29</t>
        </is>
      </c>
      <c r="B2435" s="8">
        <f>IFERROR(VLOOKUP($A2435,'01-原始价格'!$A:$M,2,FALSE),"")</f>
        <v/>
      </c>
      <c r="C2435" s="8">
        <f>IFERROR(VLOOKUP($A2435,'01-原始价格'!$A:$M,8,FALSE),"")</f>
        <v/>
      </c>
      <c r="D2435" s="10">
        <f>IFERROR(B2435/C2435,"")</f>
        <v/>
      </c>
      <c r="E2435" s="10">
        <f>IFERROR(C2435/B2435,"")</f>
        <v/>
      </c>
      <c r="F2435" s="11">
        <f>IFERROR((D2435/D2434-1)*100,"")</f>
        <v/>
      </c>
      <c r="G2435" s="11">
        <f>IFERROR((COUNTIF($D$2184:$D$2435,"&lt;"&amp;D2435)+0.5*COUNTIF($D$2184:$D$2435,D2435))/COUNT($D$2184:$D$2435)*100,"")</f>
        <v/>
      </c>
      <c r="H2435" s="10">
        <f>IFERROR(AVERAGE($D$2184:$D$2435),"")</f>
        <v/>
      </c>
      <c r="I2435" s="10" t="n">
        <v>-1.331408995124802</v>
      </c>
      <c r="J2435" t="inlineStr"/>
      <c r="K2435" t="inlineStr"/>
    </row>
    <row r="2436">
      <c r="A2436" s="7" t="inlineStr">
        <is>
          <t>2024-03-01</t>
        </is>
      </c>
      <c r="B2436" s="8">
        <f>IFERROR(VLOOKUP($A2436,'01-原始价格'!$A:$M,2,FALSE),"")</f>
        <v/>
      </c>
      <c r="C2436" s="8">
        <f>IFERROR(VLOOKUP($A2436,'01-原始价格'!$A:$M,8,FALSE),"")</f>
        <v/>
      </c>
      <c r="D2436" s="10">
        <f>IFERROR(B2436/C2436,"")</f>
        <v/>
      </c>
      <c r="E2436" s="10">
        <f>IFERROR(C2436/B2436,"")</f>
        <v/>
      </c>
      <c r="F2436" s="11">
        <f>IFERROR((D2436/D2435-1)*100,"")</f>
        <v/>
      </c>
      <c r="G2436" s="11">
        <f>IFERROR((COUNTIF($D$2185:$D$2436,"&lt;"&amp;D2436)+0.5*COUNTIF($D$2185:$D$2436,D2436))/COUNT($D$2185:$D$2436)*100,"")</f>
        <v/>
      </c>
      <c r="H2436" s="10">
        <f>IFERROR(AVERAGE($D$2185:$D$2436),"")</f>
        <v/>
      </c>
      <c r="I2436" s="10" t="n">
        <v>-1.244562526387219</v>
      </c>
      <c r="J2436" t="inlineStr"/>
      <c r="K2436" t="inlineStr"/>
    </row>
    <row r="2437">
      <c r="A2437" s="7" t="inlineStr">
        <is>
          <t>2024-03-04</t>
        </is>
      </c>
      <c r="B2437" s="8">
        <f>IFERROR(VLOOKUP($A2437,'01-原始价格'!$A:$M,2,FALSE),"")</f>
        <v/>
      </c>
      <c r="C2437" s="8">
        <f>IFERROR(VLOOKUP($A2437,'01-原始价格'!$A:$M,8,FALSE),"")</f>
        <v/>
      </c>
      <c r="D2437" s="10">
        <f>IFERROR(B2437/C2437,"")</f>
        <v/>
      </c>
      <c r="E2437" s="10">
        <f>IFERROR(C2437/B2437,"")</f>
        <v/>
      </c>
      <c r="F2437" s="11">
        <f>IFERROR((D2437/D2436-1)*100,"")</f>
        <v/>
      </c>
      <c r="G2437" s="11">
        <f>IFERROR((COUNTIF($D$2186:$D$2437,"&lt;"&amp;D2437)+0.5*COUNTIF($D$2186:$D$2437,D2437))/COUNT($D$2186:$D$2437)*100,"")</f>
        <v/>
      </c>
      <c r="H2437" s="10">
        <f>IFERROR(AVERAGE($D$2186:$D$2437),"")</f>
        <v/>
      </c>
      <c r="I2437" s="10" t="n">
        <v>-1.209827918015541</v>
      </c>
      <c r="J2437" t="inlineStr"/>
      <c r="K2437" t="inlineStr"/>
    </row>
    <row r="2438">
      <c r="A2438" s="7" t="inlineStr">
        <is>
          <t>2024-03-05</t>
        </is>
      </c>
      <c r="B2438" s="8">
        <f>IFERROR(VLOOKUP($A2438,'01-原始价格'!$A:$M,2,FALSE),"")</f>
        <v/>
      </c>
      <c r="C2438" s="8">
        <f>IFERROR(VLOOKUP($A2438,'01-原始价格'!$A:$M,8,FALSE),"")</f>
        <v/>
      </c>
      <c r="D2438" s="10">
        <f>IFERROR(B2438/C2438,"")</f>
        <v/>
      </c>
      <c r="E2438" s="10">
        <f>IFERROR(C2438/B2438,"")</f>
        <v/>
      </c>
      <c r="F2438" s="11">
        <f>IFERROR((D2438/D2437-1)*100,"")</f>
        <v/>
      </c>
      <c r="G2438" s="11">
        <f>IFERROR((COUNTIF($D$2187:$D$2438,"&lt;"&amp;D2438)+0.5*COUNTIF($D$2187:$D$2438,D2438))/COUNT($D$2187:$D$2438)*100,"")</f>
        <v/>
      </c>
      <c r="H2438" s="10">
        <f>IFERROR(AVERAGE($D$2187:$D$2438),"")</f>
        <v/>
      </c>
      <c r="I2438" s="10" t="n">
        <v>-1.0906583201629</v>
      </c>
      <c r="J2438" t="inlineStr"/>
      <c r="K2438" t="inlineStr"/>
    </row>
    <row r="2439">
      <c r="A2439" s="7" t="inlineStr">
        <is>
          <t>2024-03-06</t>
        </is>
      </c>
      <c r="B2439" s="8">
        <f>IFERROR(VLOOKUP($A2439,'01-原始价格'!$A:$M,2,FALSE),"")</f>
        <v/>
      </c>
      <c r="C2439" s="8">
        <f>IFERROR(VLOOKUP($A2439,'01-原始价格'!$A:$M,8,FALSE),"")</f>
        <v/>
      </c>
      <c r="D2439" s="10">
        <f>IFERROR(B2439/C2439,"")</f>
        <v/>
      </c>
      <c r="E2439" s="10">
        <f>IFERROR(C2439/B2439,"")</f>
        <v/>
      </c>
      <c r="F2439" s="11">
        <f>IFERROR((D2439/D2438-1)*100,"")</f>
        <v/>
      </c>
      <c r="G2439" s="11">
        <f>IFERROR((COUNTIF($D$2188:$D$2439,"&lt;"&amp;D2439)+0.5*COUNTIF($D$2188:$D$2439,D2439))/COUNT($D$2188:$D$2439)*100,"")</f>
        <v/>
      </c>
      <c r="H2439" s="10">
        <f>IFERROR(AVERAGE($D$2188:$D$2439),"")</f>
        <v/>
      </c>
      <c r="I2439" s="10" t="n">
        <v>-0.9401990682557385</v>
      </c>
      <c r="J2439" t="inlineStr"/>
      <c r="K2439" t="inlineStr"/>
    </row>
    <row r="2440">
      <c r="A2440" s="7" t="inlineStr">
        <is>
          <t>2024-03-07</t>
        </is>
      </c>
      <c r="B2440" s="8">
        <f>IFERROR(VLOOKUP($A2440,'01-原始价格'!$A:$M,2,FALSE),"")</f>
        <v/>
      </c>
      <c r="C2440" s="8">
        <f>IFERROR(VLOOKUP($A2440,'01-原始价格'!$A:$M,8,FALSE),"")</f>
        <v/>
      </c>
      <c r="D2440" s="10">
        <f>IFERROR(B2440/C2440,"")</f>
        <v/>
      </c>
      <c r="E2440" s="10">
        <f>IFERROR(C2440/B2440,"")</f>
        <v/>
      </c>
      <c r="F2440" s="11">
        <f>IFERROR((D2440/D2439-1)*100,"")</f>
        <v/>
      </c>
      <c r="G2440" s="11">
        <f>IFERROR((COUNTIF($D$2189:$D$2440,"&lt;"&amp;D2440)+0.5*COUNTIF($D$2189:$D$2440,D2440))/COUNT($D$2189:$D$2440)*100,"")</f>
        <v/>
      </c>
      <c r="H2440" s="10">
        <f>IFERROR(AVERAGE($D$2189:$D$2440),"")</f>
        <v/>
      </c>
      <c r="I2440" s="10" t="n">
        <v>-0.986394469929412</v>
      </c>
      <c r="J2440" t="inlineStr"/>
      <c r="K2440" t="inlineStr"/>
    </row>
    <row r="2441">
      <c r="A2441" s="7" t="inlineStr">
        <is>
          <t>2024-03-08</t>
        </is>
      </c>
      <c r="B2441" s="8">
        <f>IFERROR(VLOOKUP($A2441,'01-原始价格'!$A:$M,2,FALSE),"")</f>
        <v/>
      </c>
      <c r="C2441" s="8">
        <f>IFERROR(VLOOKUP($A2441,'01-原始价格'!$A:$M,8,FALSE),"")</f>
        <v/>
      </c>
      <c r="D2441" s="10">
        <f>IFERROR(B2441/C2441,"")</f>
        <v/>
      </c>
      <c r="E2441" s="10">
        <f>IFERROR(C2441/B2441,"")</f>
        <v/>
      </c>
      <c r="F2441" s="11">
        <f>IFERROR((D2441/D2440-1)*100,"")</f>
        <v/>
      </c>
      <c r="G2441" s="11">
        <f>IFERROR((COUNTIF($D$2190:$D$2441,"&lt;"&amp;D2441)+0.5*COUNTIF($D$2190:$D$2441,D2441))/COUNT($D$2190:$D$2441)*100,"")</f>
        <v/>
      </c>
      <c r="H2441" s="10">
        <f>IFERROR(AVERAGE($D$2190:$D$2441),"")</f>
        <v/>
      </c>
      <c r="I2441" s="10" t="n">
        <v>-0.8327455176551489</v>
      </c>
      <c r="J2441" t="inlineStr"/>
      <c r="K2441" t="inlineStr"/>
    </row>
    <row r="2442">
      <c r="A2442" s="7" t="inlineStr">
        <is>
          <t>2024-03-11</t>
        </is>
      </c>
      <c r="B2442" s="8">
        <f>IFERROR(VLOOKUP($A2442,'01-原始价格'!$A:$M,2,FALSE),"")</f>
        <v/>
      </c>
      <c r="C2442" s="8">
        <f>IFERROR(VLOOKUP($A2442,'01-原始价格'!$A:$M,8,FALSE),"")</f>
        <v/>
      </c>
      <c r="D2442" s="10">
        <f>IFERROR(B2442/C2442,"")</f>
        <v/>
      </c>
      <c r="E2442" s="10">
        <f>IFERROR(C2442/B2442,"")</f>
        <v/>
      </c>
      <c r="F2442" s="11">
        <f>IFERROR((D2442/D2441-1)*100,"")</f>
        <v/>
      </c>
      <c r="G2442" s="11">
        <f>IFERROR((COUNTIF($D$2191:$D$2442,"&lt;"&amp;D2442)+0.5*COUNTIF($D$2191:$D$2442,D2442))/COUNT($D$2191:$D$2442)*100,"")</f>
        <v/>
      </c>
      <c r="H2442" s="10">
        <f>IFERROR(AVERAGE($D$2191:$D$2442),"")</f>
        <v/>
      </c>
      <c r="I2442" s="10" t="n">
        <v>-0.6826800521166262</v>
      </c>
      <c r="J2442" t="inlineStr"/>
      <c r="K2442" t="inlineStr"/>
    </row>
    <row r="2443">
      <c r="A2443" s="7" t="inlineStr">
        <is>
          <t>2024-03-12</t>
        </is>
      </c>
      <c r="B2443" s="8">
        <f>IFERROR(VLOOKUP($A2443,'01-原始价格'!$A:$M,2,FALSE),"")</f>
        <v/>
      </c>
      <c r="C2443" s="8">
        <f>IFERROR(VLOOKUP($A2443,'01-原始价格'!$A:$M,8,FALSE),"")</f>
        <v/>
      </c>
      <c r="D2443" s="10">
        <f>IFERROR(B2443/C2443,"")</f>
        <v/>
      </c>
      <c r="E2443" s="10">
        <f>IFERROR(C2443/B2443,"")</f>
        <v/>
      </c>
      <c r="F2443" s="11">
        <f>IFERROR((D2443/D2442-1)*100,"")</f>
        <v/>
      </c>
      <c r="G2443" s="11">
        <f>IFERROR((COUNTIF($D$2192:$D$2443,"&lt;"&amp;D2443)+0.5*COUNTIF($D$2192:$D$2443,D2443))/COUNT($D$2192:$D$2443)*100,"")</f>
        <v/>
      </c>
      <c r="H2443" s="10">
        <f>IFERROR(AVERAGE($D$2192:$D$2443),"")</f>
        <v/>
      </c>
      <c r="I2443" s="10" t="n">
        <v>-0.7773764423463361</v>
      </c>
      <c r="J2443" t="inlineStr"/>
      <c r="K2443" t="inlineStr"/>
    </row>
    <row r="2444">
      <c r="A2444" s="7" t="inlineStr">
        <is>
          <t>2024-03-13</t>
        </is>
      </c>
      <c r="B2444" s="8">
        <f>IFERROR(VLOOKUP($A2444,'01-原始价格'!$A:$M,2,FALSE),"")</f>
        <v/>
      </c>
      <c r="C2444" s="8">
        <f>IFERROR(VLOOKUP($A2444,'01-原始价格'!$A:$M,8,FALSE),"")</f>
        <v/>
      </c>
      <c r="D2444" s="10">
        <f>IFERROR(B2444/C2444,"")</f>
        <v/>
      </c>
      <c r="E2444" s="10">
        <f>IFERROR(C2444/B2444,"")</f>
        <v/>
      </c>
      <c r="F2444" s="11">
        <f>IFERROR((D2444/D2443-1)*100,"")</f>
        <v/>
      </c>
      <c r="G2444" s="11">
        <f>IFERROR((COUNTIF($D$2193:$D$2444,"&lt;"&amp;D2444)+0.5*COUNTIF($D$2193:$D$2444,D2444))/COUNT($D$2193:$D$2444)*100,"")</f>
        <v/>
      </c>
      <c r="H2444" s="10">
        <f>IFERROR(AVERAGE($D$2193:$D$2444),"")</f>
        <v/>
      </c>
      <c r="I2444" s="10" t="n">
        <v>-0.6419522481369018</v>
      </c>
      <c r="J2444" t="inlineStr"/>
      <c r="K2444" t="inlineStr"/>
    </row>
    <row r="2445">
      <c r="A2445" s="7" t="inlineStr">
        <is>
          <t>2024-03-14</t>
        </is>
      </c>
      <c r="B2445" s="8">
        <f>IFERROR(VLOOKUP($A2445,'01-原始价格'!$A:$M,2,FALSE),"")</f>
        <v/>
      </c>
      <c r="C2445" s="8">
        <f>IFERROR(VLOOKUP($A2445,'01-原始价格'!$A:$M,8,FALSE),"")</f>
        <v/>
      </c>
      <c r="D2445" s="10">
        <f>IFERROR(B2445/C2445,"")</f>
        <v/>
      </c>
      <c r="E2445" s="10">
        <f>IFERROR(C2445/B2445,"")</f>
        <v/>
      </c>
      <c r="F2445" s="11">
        <f>IFERROR((D2445/D2444-1)*100,"")</f>
        <v/>
      </c>
      <c r="G2445" s="11">
        <f>IFERROR((COUNTIF($D$2194:$D$2445,"&lt;"&amp;D2445)+0.5*COUNTIF($D$2194:$D$2445,D2445))/COUNT($D$2194:$D$2445)*100,"")</f>
        <v/>
      </c>
      <c r="H2445" s="10">
        <f>IFERROR(AVERAGE($D$2194:$D$2445),"")</f>
        <v/>
      </c>
      <c r="I2445" s="10" t="n">
        <v>-0.4265056096378955</v>
      </c>
      <c r="J2445" t="inlineStr"/>
      <c r="K2445" t="inlineStr"/>
    </row>
    <row r="2446">
      <c r="A2446" s="7" t="inlineStr">
        <is>
          <t>2024-03-15</t>
        </is>
      </c>
      <c r="B2446" s="8">
        <f>IFERROR(VLOOKUP($A2446,'01-原始价格'!$A:$M,2,FALSE),"")</f>
        <v/>
      </c>
      <c r="C2446" s="8">
        <f>IFERROR(VLOOKUP($A2446,'01-原始价格'!$A:$M,8,FALSE),"")</f>
        <v/>
      </c>
      <c r="D2446" s="10">
        <f>IFERROR(B2446/C2446,"")</f>
        <v/>
      </c>
      <c r="E2446" s="10">
        <f>IFERROR(C2446/B2446,"")</f>
        <v/>
      </c>
      <c r="F2446" s="11">
        <f>IFERROR((D2446/D2445-1)*100,"")</f>
        <v/>
      </c>
      <c r="G2446" s="11">
        <f>IFERROR((COUNTIF($D$2195:$D$2446,"&lt;"&amp;D2446)+0.5*COUNTIF($D$2195:$D$2446,D2446))/COUNT($D$2195:$D$2446)*100,"")</f>
        <v/>
      </c>
      <c r="H2446" s="10">
        <f>IFERROR(AVERAGE($D$2195:$D$2446),"")</f>
        <v/>
      </c>
      <c r="I2446" s="10" t="n">
        <v>-0.4191288481822579</v>
      </c>
      <c r="J2446" t="inlineStr"/>
      <c r="K2446" t="inlineStr"/>
    </row>
    <row r="2447">
      <c r="A2447" s="7" t="inlineStr">
        <is>
          <t>2024-03-18</t>
        </is>
      </c>
      <c r="B2447" s="8">
        <f>IFERROR(VLOOKUP($A2447,'01-原始价格'!$A:$M,2,FALSE),"")</f>
        <v/>
      </c>
      <c r="C2447" s="8">
        <f>IFERROR(VLOOKUP($A2447,'01-原始价格'!$A:$M,8,FALSE),"")</f>
        <v/>
      </c>
      <c r="D2447" s="10">
        <f>IFERROR(B2447/C2447,"")</f>
        <v/>
      </c>
      <c r="E2447" s="10">
        <f>IFERROR(C2447/B2447,"")</f>
        <v/>
      </c>
      <c r="F2447" s="11">
        <f>IFERROR((D2447/D2446-1)*100,"")</f>
        <v/>
      </c>
      <c r="G2447" s="11">
        <f>IFERROR((COUNTIF($D$2196:$D$2447,"&lt;"&amp;D2447)+0.5*COUNTIF($D$2196:$D$2447,D2447))/COUNT($D$2196:$D$2447)*100,"")</f>
        <v/>
      </c>
      <c r="H2447" s="10">
        <f>IFERROR(AVERAGE($D$2196:$D$2447),"")</f>
        <v/>
      </c>
      <c r="I2447" s="10" t="n">
        <v>-0.4504864524666533</v>
      </c>
      <c r="J2447" t="inlineStr"/>
      <c r="K2447" t="inlineStr"/>
    </row>
    <row r="2448">
      <c r="A2448" s="7" t="inlineStr">
        <is>
          <t>2024-03-19</t>
        </is>
      </c>
      <c r="B2448" s="8">
        <f>IFERROR(VLOOKUP($A2448,'01-原始价格'!$A:$M,2,FALSE),"")</f>
        <v/>
      </c>
      <c r="C2448" s="8">
        <f>IFERROR(VLOOKUP($A2448,'01-原始价格'!$A:$M,8,FALSE),"")</f>
        <v/>
      </c>
      <c r="D2448" s="10">
        <f>IFERROR(B2448/C2448,"")</f>
        <v/>
      </c>
      <c r="E2448" s="10">
        <f>IFERROR(C2448/B2448,"")</f>
        <v/>
      </c>
      <c r="F2448" s="11">
        <f>IFERROR((D2448/D2447-1)*100,"")</f>
        <v/>
      </c>
      <c r="G2448" s="11">
        <f>IFERROR((COUNTIF($D$2197:$D$2448,"&lt;"&amp;D2448)+0.5*COUNTIF($D$2197:$D$2448,D2448))/COUNT($D$2197:$D$2448)*100,"")</f>
        <v/>
      </c>
      <c r="H2448" s="10">
        <f>IFERROR(AVERAGE($D$2197:$D$2448),"")</f>
        <v/>
      </c>
      <c r="I2448" s="10" t="n">
        <v>-0.4463346749274209</v>
      </c>
      <c r="J2448" t="inlineStr"/>
      <c r="K2448" t="inlineStr"/>
    </row>
    <row r="2449">
      <c r="A2449" s="7" t="inlineStr">
        <is>
          <t>2024-03-20</t>
        </is>
      </c>
      <c r="B2449" s="8">
        <f>IFERROR(VLOOKUP($A2449,'01-原始价格'!$A:$M,2,FALSE),"")</f>
        <v/>
      </c>
      <c r="C2449" s="8">
        <f>IFERROR(VLOOKUP($A2449,'01-原始价格'!$A:$M,8,FALSE),"")</f>
        <v/>
      </c>
      <c r="D2449" s="10">
        <f>IFERROR(B2449/C2449,"")</f>
        <v/>
      </c>
      <c r="E2449" s="10">
        <f>IFERROR(C2449/B2449,"")</f>
        <v/>
      </c>
      <c r="F2449" s="11">
        <f>IFERROR((D2449/D2448-1)*100,"")</f>
        <v/>
      </c>
      <c r="G2449" s="11">
        <f>IFERROR((COUNTIF($D$2198:$D$2449,"&lt;"&amp;D2449)+0.5*COUNTIF($D$2198:$D$2449,D2449))/COUNT($D$2198:$D$2449)*100,"")</f>
        <v/>
      </c>
      <c r="H2449" s="10">
        <f>IFERROR(AVERAGE($D$2198:$D$2449),"")</f>
        <v/>
      </c>
      <c r="I2449" s="10" t="n">
        <v>-0.4492083824412199</v>
      </c>
      <c r="J2449" t="inlineStr"/>
      <c r="K2449" t="inlineStr"/>
    </row>
    <row r="2450">
      <c r="A2450" s="7" t="inlineStr">
        <is>
          <t>2024-03-21</t>
        </is>
      </c>
      <c r="B2450" s="8">
        <f>IFERROR(VLOOKUP($A2450,'01-原始价格'!$A:$M,2,FALSE),"")</f>
        <v/>
      </c>
      <c r="C2450" s="8">
        <f>IFERROR(VLOOKUP($A2450,'01-原始价格'!$A:$M,8,FALSE),"")</f>
        <v/>
      </c>
      <c r="D2450" s="10">
        <f>IFERROR(B2450/C2450,"")</f>
        <v/>
      </c>
      <c r="E2450" s="10">
        <f>IFERROR(C2450/B2450,"")</f>
        <v/>
      </c>
      <c r="F2450" s="11">
        <f>IFERROR((D2450/D2449-1)*100,"")</f>
        <v/>
      </c>
      <c r="G2450" s="11">
        <f>IFERROR((COUNTIF($D$2199:$D$2450,"&lt;"&amp;D2450)+0.5*COUNTIF($D$2199:$D$2450,D2450))/COUNT($D$2199:$D$2450)*100,"")</f>
        <v/>
      </c>
      <c r="H2450" s="10">
        <f>IFERROR(AVERAGE($D$2199:$D$2450),"")</f>
        <v/>
      </c>
      <c r="I2450" s="10" t="n">
        <v>-0.5698388178839348</v>
      </c>
      <c r="J2450" t="inlineStr"/>
      <c r="K2450" t="inlineStr"/>
    </row>
    <row r="2451">
      <c r="A2451" s="7" t="inlineStr">
        <is>
          <t>2024-03-22</t>
        </is>
      </c>
      <c r="B2451" s="8">
        <f>IFERROR(VLOOKUP($A2451,'01-原始价格'!$A:$M,2,FALSE),"")</f>
        <v/>
      </c>
      <c r="C2451" s="8">
        <f>IFERROR(VLOOKUP($A2451,'01-原始价格'!$A:$M,8,FALSE),"")</f>
        <v/>
      </c>
      <c r="D2451" s="10">
        <f>IFERROR(B2451/C2451,"")</f>
        <v/>
      </c>
      <c r="E2451" s="10">
        <f>IFERROR(C2451/B2451,"")</f>
        <v/>
      </c>
      <c r="F2451" s="11">
        <f>IFERROR((D2451/D2450-1)*100,"")</f>
        <v/>
      </c>
      <c r="G2451" s="11">
        <f>IFERROR((COUNTIF($D$2200:$D$2451,"&lt;"&amp;D2451)+0.5*COUNTIF($D$2200:$D$2451,D2451))/COUNT($D$2200:$D$2451)*100,"")</f>
        <v/>
      </c>
      <c r="H2451" s="10">
        <f>IFERROR(AVERAGE($D$2200:$D$2451),"")</f>
        <v/>
      </c>
      <c r="I2451" s="10" t="n">
        <v>-0.3566820496905737</v>
      </c>
      <c r="J2451" t="inlineStr"/>
      <c r="K2451" t="inlineStr"/>
    </row>
    <row r="2452">
      <c r="A2452" s="7" t="inlineStr">
        <is>
          <t>2024-03-25</t>
        </is>
      </c>
      <c r="B2452" s="8">
        <f>IFERROR(VLOOKUP($A2452,'01-原始价格'!$A:$M,2,FALSE),"")</f>
        <v/>
      </c>
      <c r="C2452" s="8">
        <f>IFERROR(VLOOKUP($A2452,'01-原始价格'!$A:$M,8,FALSE),"")</f>
        <v/>
      </c>
      <c r="D2452" s="10">
        <f>IFERROR(B2452/C2452,"")</f>
        <v/>
      </c>
      <c r="E2452" s="10">
        <f>IFERROR(C2452/B2452,"")</f>
        <v/>
      </c>
      <c r="F2452" s="11">
        <f>IFERROR((D2452/D2451-1)*100,"")</f>
        <v/>
      </c>
      <c r="G2452" s="11">
        <f>IFERROR((COUNTIF($D$2201:$D$2452,"&lt;"&amp;D2452)+0.5*COUNTIF($D$2201:$D$2452,D2452))/COUNT($D$2201:$D$2452)*100,"")</f>
        <v/>
      </c>
      <c r="H2452" s="10">
        <f>IFERROR(AVERAGE($D$2201:$D$2452),"")</f>
        <v/>
      </c>
      <c r="I2452" s="10" t="n">
        <v>-0.3743246042896538</v>
      </c>
      <c r="J2452" t="inlineStr"/>
      <c r="K2452" t="inlineStr"/>
    </row>
    <row r="2453">
      <c r="A2453" s="7" t="inlineStr">
        <is>
          <t>2024-03-26</t>
        </is>
      </c>
      <c r="B2453" s="8">
        <f>IFERROR(VLOOKUP($A2453,'01-原始价格'!$A:$M,2,FALSE),"")</f>
        <v/>
      </c>
      <c r="C2453" s="8">
        <f>IFERROR(VLOOKUP($A2453,'01-原始价格'!$A:$M,8,FALSE),"")</f>
        <v/>
      </c>
      <c r="D2453" s="10">
        <f>IFERROR(B2453/C2453,"")</f>
        <v/>
      </c>
      <c r="E2453" s="10">
        <f>IFERROR(C2453/B2453,"")</f>
        <v/>
      </c>
      <c r="F2453" s="11">
        <f>IFERROR((D2453/D2452-1)*100,"")</f>
        <v/>
      </c>
      <c r="G2453" s="11">
        <f>IFERROR((COUNTIF($D$2202:$D$2453,"&lt;"&amp;D2453)+0.5*COUNTIF($D$2202:$D$2453,D2453))/COUNT($D$2202:$D$2453)*100,"")</f>
        <v/>
      </c>
      <c r="H2453" s="10">
        <f>IFERROR(AVERAGE($D$2202:$D$2453),"")</f>
        <v/>
      </c>
      <c r="I2453" s="10" t="n">
        <v>-0.3460126240359968</v>
      </c>
      <c r="J2453" t="inlineStr"/>
      <c r="K2453" t="inlineStr"/>
    </row>
    <row r="2454">
      <c r="A2454" s="7" t="inlineStr">
        <is>
          <t>2024-03-27</t>
        </is>
      </c>
      <c r="B2454" s="8">
        <f>IFERROR(VLOOKUP($A2454,'01-原始价格'!$A:$M,2,FALSE),"")</f>
        <v/>
      </c>
      <c r="C2454" s="8">
        <f>IFERROR(VLOOKUP($A2454,'01-原始价格'!$A:$M,8,FALSE),"")</f>
        <v/>
      </c>
      <c r="D2454" s="10">
        <f>IFERROR(B2454/C2454,"")</f>
        <v/>
      </c>
      <c r="E2454" s="10">
        <f>IFERROR(C2454/B2454,"")</f>
        <v/>
      </c>
      <c r="F2454" s="11">
        <f>IFERROR((D2454/D2453-1)*100,"")</f>
        <v/>
      </c>
      <c r="G2454" s="11">
        <f>IFERROR((COUNTIF($D$2203:$D$2454,"&lt;"&amp;D2454)+0.5*COUNTIF($D$2203:$D$2454,D2454))/COUNT($D$2203:$D$2454)*100,"")</f>
        <v/>
      </c>
      <c r="H2454" s="10">
        <f>IFERROR(AVERAGE($D$2203:$D$2454),"")</f>
        <v/>
      </c>
      <c r="I2454" s="10" t="n">
        <v>-0.3099302649484176</v>
      </c>
      <c r="J2454" t="inlineStr"/>
      <c r="K2454" t="inlineStr"/>
    </row>
    <row r="2455">
      <c r="A2455" s="7" t="inlineStr">
        <is>
          <t>2024-03-28</t>
        </is>
      </c>
      <c r="B2455" s="8">
        <f>IFERROR(VLOOKUP($A2455,'01-原始价格'!$A:$M,2,FALSE),"")</f>
        <v/>
      </c>
      <c r="C2455" s="8">
        <f>IFERROR(VLOOKUP($A2455,'01-原始价格'!$A:$M,8,FALSE),"")</f>
        <v/>
      </c>
      <c r="D2455" s="10">
        <f>IFERROR(B2455/C2455,"")</f>
        <v/>
      </c>
      <c r="E2455" s="10">
        <f>IFERROR(C2455/B2455,"")</f>
        <v/>
      </c>
      <c r="F2455" s="11">
        <f>IFERROR((D2455/D2454-1)*100,"")</f>
        <v/>
      </c>
      <c r="G2455" s="11">
        <f>IFERROR((COUNTIF($D$2204:$D$2455,"&lt;"&amp;D2455)+0.5*COUNTIF($D$2204:$D$2455,D2455))/COUNT($D$2204:$D$2455)*100,"")</f>
        <v/>
      </c>
      <c r="H2455" s="10">
        <f>IFERROR(AVERAGE($D$2204:$D$2455),"")</f>
        <v/>
      </c>
      <c r="I2455" s="10" t="n">
        <v>-0.4864603842811522</v>
      </c>
      <c r="J2455" t="inlineStr"/>
      <c r="K2455" t="inlineStr"/>
    </row>
    <row r="2456">
      <c r="A2456" s="7" t="inlineStr">
        <is>
          <t>2024-03-29</t>
        </is>
      </c>
      <c r="B2456" s="8">
        <f>IFERROR(VLOOKUP($A2456,'01-原始价格'!$A:$M,2,FALSE),"")</f>
        <v/>
      </c>
      <c r="C2456" s="8">
        <f>IFERROR(VLOOKUP($A2456,'01-原始价格'!$A:$M,8,FALSE),"")</f>
        <v/>
      </c>
      <c r="D2456" s="10">
        <f>IFERROR(B2456/C2456,"")</f>
        <v/>
      </c>
      <c r="E2456" s="10">
        <f>IFERROR(C2456/B2456,"")</f>
        <v/>
      </c>
      <c r="F2456" s="11">
        <f>IFERROR((D2456/D2455-1)*100,"")</f>
        <v/>
      </c>
      <c r="G2456" s="11">
        <f>IFERROR((COUNTIF($D$2205:$D$2456,"&lt;"&amp;D2456)+0.5*COUNTIF($D$2205:$D$2456,D2456))/COUNT($D$2205:$D$2456)*100,"")</f>
        <v/>
      </c>
      <c r="H2456" s="10">
        <f>IFERROR(AVERAGE($D$2205:$D$2456),"")</f>
        <v/>
      </c>
      <c r="I2456" s="10" t="n">
        <v>-0.4269823668386887</v>
      </c>
      <c r="J2456" t="inlineStr"/>
      <c r="K2456" t="inlineStr"/>
    </row>
    <row r="2457">
      <c r="A2457" s="7" t="inlineStr">
        <is>
          <t>2024-04-01</t>
        </is>
      </c>
      <c r="B2457" s="8">
        <f>IFERROR(VLOOKUP($A2457,'01-原始价格'!$A:$M,2,FALSE),"")</f>
        <v/>
      </c>
      <c r="C2457" s="8">
        <f>IFERROR(VLOOKUP($A2457,'01-原始价格'!$A:$M,8,FALSE),"")</f>
        <v/>
      </c>
      <c r="D2457" s="10">
        <f>IFERROR(B2457/C2457,"")</f>
        <v/>
      </c>
      <c r="E2457" s="10">
        <f>IFERROR(C2457/B2457,"")</f>
        <v/>
      </c>
      <c r="F2457" s="11">
        <f>IFERROR((D2457/D2456-1)*100,"")</f>
        <v/>
      </c>
      <c r="G2457" s="11">
        <f>IFERROR((COUNTIF($D$2206:$D$2457,"&lt;"&amp;D2457)+0.5*COUNTIF($D$2206:$D$2457,D2457))/COUNT($D$2206:$D$2457)*100,"")</f>
        <v/>
      </c>
      <c r="H2457" s="10">
        <f>IFERROR(AVERAGE($D$2206:$D$2457),"")</f>
        <v/>
      </c>
      <c r="I2457" s="10" t="n">
        <v>-0.3500189316529841</v>
      </c>
      <c r="J2457" t="inlineStr"/>
      <c r="K2457" t="inlineStr"/>
    </row>
    <row r="2458">
      <c r="A2458" s="7" t="inlineStr">
        <is>
          <t>2024-04-02</t>
        </is>
      </c>
      <c r="B2458" s="8">
        <f>IFERROR(VLOOKUP($A2458,'01-原始价格'!$A:$M,2,FALSE),"")</f>
        <v/>
      </c>
      <c r="C2458" s="8">
        <f>IFERROR(VLOOKUP($A2458,'01-原始价格'!$A:$M,8,FALSE),"")</f>
        <v/>
      </c>
      <c r="D2458" s="10">
        <f>IFERROR(B2458/C2458,"")</f>
        <v/>
      </c>
      <c r="E2458" s="10">
        <f>IFERROR(C2458/B2458,"")</f>
        <v/>
      </c>
      <c r="F2458" s="11">
        <f>IFERROR((D2458/D2457-1)*100,"")</f>
        <v/>
      </c>
      <c r="G2458" s="11">
        <f>IFERROR((COUNTIF($D$2207:$D$2458,"&lt;"&amp;D2458)+0.5*COUNTIF($D$2207:$D$2458,D2458))/COUNT($D$2207:$D$2458)*100,"")</f>
        <v/>
      </c>
      <c r="H2458" s="10">
        <f>IFERROR(AVERAGE($D$2207:$D$2458),"")</f>
        <v/>
      </c>
      <c r="I2458" s="10" t="n">
        <v>-0.3019783865087343</v>
      </c>
      <c r="J2458" t="inlineStr"/>
      <c r="K2458" t="inlineStr"/>
    </row>
    <row r="2459">
      <c r="A2459" s="7" t="inlineStr">
        <is>
          <t>2024-04-03</t>
        </is>
      </c>
      <c r="B2459" s="8">
        <f>IFERROR(VLOOKUP($A2459,'01-原始价格'!$A:$M,2,FALSE),"")</f>
        <v/>
      </c>
      <c r="C2459" s="8">
        <f>IFERROR(VLOOKUP($A2459,'01-原始价格'!$A:$M,8,FALSE),"")</f>
        <v/>
      </c>
      <c r="D2459" s="10">
        <f>IFERROR(B2459/C2459,"")</f>
        <v/>
      </c>
      <c r="E2459" s="10">
        <f>IFERROR(C2459/B2459,"")</f>
        <v/>
      </c>
      <c r="F2459" s="11">
        <f>IFERROR((D2459/D2458-1)*100,"")</f>
        <v/>
      </c>
      <c r="G2459" s="11">
        <f>IFERROR((COUNTIF($D$2208:$D$2459,"&lt;"&amp;D2459)+0.5*COUNTIF($D$2208:$D$2459,D2459))/COUNT($D$2208:$D$2459)*100,"")</f>
        <v/>
      </c>
      <c r="H2459" s="10">
        <f>IFERROR(AVERAGE($D$2208:$D$2459),"")</f>
        <v/>
      </c>
      <c r="I2459" s="10" t="n">
        <v>-0.1807343900653395</v>
      </c>
      <c r="J2459" t="inlineStr"/>
      <c r="K2459" t="inlineStr"/>
    </row>
    <row r="2460">
      <c r="A2460" s="7" t="inlineStr">
        <is>
          <t>2024-04-08</t>
        </is>
      </c>
      <c r="B2460" s="8">
        <f>IFERROR(VLOOKUP($A2460,'01-原始价格'!$A:$M,2,FALSE),"")</f>
        <v/>
      </c>
      <c r="C2460" s="8">
        <f>IFERROR(VLOOKUP($A2460,'01-原始价格'!$A:$M,8,FALSE),"")</f>
        <v/>
      </c>
      <c r="D2460" s="10">
        <f>IFERROR(B2460/C2460,"")</f>
        <v/>
      </c>
      <c r="E2460" s="10">
        <f>IFERROR(C2460/B2460,"")</f>
        <v/>
      </c>
      <c r="F2460" s="11">
        <f>IFERROR((D2460/D2459-1)*100,"")</f>
        <v/>
      </c>
      <c r="G2460" s="11">
        <f>IFERROR((COUNTIF($D$2209:$D$2460,"&lt;"&amp;D2460)+0.5*COUNTIF($D$2209:$D$2460,D2460))/COUNT($D$2209:$D$2460)*100,"")</f>
        <v/>
      </c>
      <c r="H2460" s="10">
        <f>IFERROR(AVERAGE($D$2209:$D$2460),"")</f>
        <v/>
      </c>
      <c r="I2460" s="10" t="n">
        <v>-0.3454656697907047</v>
      </c>
      <c r="J2460" t="inlineStr"/>
      <c r="K2460" t="inlineStr"/>
    </row>
    <row r="2461">
      <c r="A2461" s="7" t="inlineStr">
        <is>
          <t>2024-04-09</t>
        </is>
      </c>
      <c r="B2461" s="8">
        <f>IFERROR(VLOOKUP($A2461,'01-原始价格'!$A:$M,2,FALSE),"")</f>
        <v/>
      </c>
      <c r="C2461" s="8">
        <f>IFERROR(VLOOKUP($A2461,'01-原始价格'!$A:$M,8,FALSE),"")</f>
        <v/>
      </c>
      <c r="D2461" s="10">
        <f>IFERROR(B2461/C2461,"")</f>
        <v/>
      </c>
      <c r="E2461" s="10">
        <f>IFERROR(C2461/B2461,"")</f>
        <v/>
      </c>
      <c r="F2461" s="11">
        <f>IFERROR((D2461/D2460-1)*100,"")</f>
        <v/>
      </c>
      <c r="G2461" s="11">
        <f>IFERROR((COUNTIF($D$2210:$D$2461,"&lt;"&amp;D2461)+0.5*COUNTIF($D$2210:$D$2461,D2461))/COUNT($D$2210:$D$2461)*100,"")</f>
        <v/>
      </c>
      <c r="H2461" s="10">
        <f>IFERROR(AVERAGE($D$2210:$D$2461),"")</f>
        <v/>
      </c>
      <c r="I2461" s="10" t="n">
        <v>-0.3103951184766846</v>
      </c>
      <c r="J2461" t="inlineStr"/>
      <c r="K2461" t="inlineStr"/>
    </row>
    <row r="2462">
      <c r="A2462" s="7" t="inlineStr">
        <is>
          <t>2024-04-10</t>
        </is>
      </c>
      <c r="B2462" s="8">
        <f>IFERROR(VLOOKUP($A2462,'01-原始价格'!$A:$M,2,FALSE),"")</f>
        <v/>
      </c>
      <c r="C2462" s="8">
        <f>IFERROR(VLOOKUP($A2462,'01-原始价格'!$A:$M,8,FALSE),"")</f>
        <v/>
      </c>
      <c r="D2462" s="10">
        <f>IFERROR(B2462/C2462,"")</f>
        <v/>
      </c>
      <c r="E2462" s="10">
        <f>IFERROR(C2462/B2462,"")</f>
        <v/>
      </c>
      <c r="F2462" s="11">
        <f>IFERROR((D2462/D2461-1)*100,"")</f>
        <v/>
      </c>
      <c r="G2462" s="11">
        <f>IFERROR((COUNTIF($D$2211:$D$2462,"&lt;"&amp;D2462)+0.5*COUNTIF($D$2211:$D$2462,D2462))/COUNT($D$2211:$D$2462)*100,"")</f>
        <v/>
      </c>
      <c r="H2462" s="10">
        <f>IFERROR(AVERAGE($D$2211:$D$2462),"")</f>
        <v/>
      </c>
      <c r="I2462" s="10" t="n">
        <v>-0.6222175371482012</v>
      </c>
      <c r="J2462" t="inlineStr"/>
      <c r="K2462" s="12" t="inlineStr">
        <is>
          <t>是</t>
        </is>
      </c>
      <c r="L2462" t="inlineStr">
        <is>
          <t>换月日</t>
        </is>
      </c>
    </row>
    <row r="2463">
      <c r="A2463" s="7" t="inlineStr">
        <is>
          <t>2024-04-11</t>
        </is>
      </c>
      <c r="B2463" s="8">
        <f>IFERROR(VLOOKUP($A2463,'01-原始价格'!$A:$M,2,FALSE),"")</f>
        <v/>
      </c>
      <c r="C2463" s="8">
        <f>IFERROR(VLOOKUP($A2463,'01-原始价格'!$A:$M,8,FALSE),"")</f>
        <v/>
      </c>
      <c r="D2463" s="10">
        <f>IFERROR(B2463/C2463,"")</f>
        <v/>
      </c>
      <c r="E2463" s="10">
        <f>IFERROR(C2463/B2463,"")</f>
        <v/>
      </c>
      <c r="F2463" s="11">
        <f>IFERROR((D2463/D2462-1)*100,"")</f>
        <v/>
      </c>
      <c r="G2463" s="11">
        <f>IFERROR((COUNTIF($D$2212:$D$2463,"&lt;"&amp;D2463)+0.5*COUNTIF($D$2212:$D$2463,D2463))/COUNT($D$2212:$D$2463)*100,"")</f>
        <v/>
      </c>
      <c r="H2463" s="10">
        <f>IFERROR(AVERAGE($D$2212:$D$2463),"")</f>
        <v/>
      </c>
      <c r="I2463" s="10" t="n">
        <v>-0.7249932742882443</v>
      </c>
      <c r="J2463" t="inlineStr"/>
      <c r="K2463" t="inlineStr"/>
    </row>
    <row r="2464">
      <c r="A2464" s="7" t="inlineStr">
        <is>
          <t>2024-04-12</t>
        </is>
      </c>
      <c r="B2464" s="8">
        <f>IFERROR(VLOOKUP($A2464,'01-原始价格'!$A:$M,2,FALSE),"")</f>
        <v/>
      </c>
      <c r="C2464" s="8">
        <f>IFERROR(VLOOKUP($A2464,'01-原始价格'!$A:$M,8,FALSE),"")</f>
        <v/>
      </c>
      <c r="D2464" s="10">
        <f>IFERROR(B2464/C2464,"")</f>
        <v/>
      </c>
      <c r="E2464" s="10">
        <f>IFERROR(C2464/B2464,"")</f>
        <v/>
      </c>
      <c r="F2464" s="11">
        <f>IFERROR((D2464/D2463-1)*100,"")</f>
        <v/>
      </c>
      <c r="G2464" s="11">
        <f>IFERROR((COUNTIF($D$2213:$D$2464,"&lt;"&amp;D2464)+0.5*COUNTIF($D$2213:$D$2464,D2464))/COUNT($D$2213:$D$2464)*100,"")</f>
        <v/>
      </c>
      <c r="H2464" s="10">
        <f>IFERROR(AVERAGE($D$2213:$D$2464),"")</f>
        <v/>
      </c>
      <c r="I2464" s="10" t="n">
        <v>-0.6206815062665846</v>
      </c>
      <c r="J2464" t="inlineStr"/>
      <c r="K2464" t="inlineStr"/>
    </row>
    <row r="2465">
      <c r="A2465" s="7" t="inlineStr">
        <is>
          <t>2024-04-15</t>
        </is>
      </c>
      <c r="B2465" s="8">
        <f>IFERROR(VLOOKUP($A2465,'01-原始价格'!$A:$M,2,FALSE),"")</f>
        <v/>
      </c>
      <c r="C2465" s="8">
        <f>IFERROR(VLOOKUP($A2465,'01-原始价格'!$A:$M,8,FALSE),"")</f>
        <v/>
      </c>
      <c r="D2465" s="10">
        <f>IFERROR(B2465/C2465,"")</f>
        <v/>
      </c>
      <c r="E2465" s="10">
        <f>IFERROR(C2465/B2465,"")</f>
        <v/>
      </c>
      <c r="F2465" s="11">
        <f>IFERROR((D2465/D2464-1)*100,"")</f>
        <v/>
      </c>
      <c r="G2465" s="11">
        <f>IFERROR((COUNTIF($D$2214:$D$2465,"&lt;"&amp;D2465)+0.5*COUNTIF($D$2214:$D$2465,D2465))/COUNT($D$2214:$D$2465)*100,"")</f>
        <v/>
      </c>
      <c r="H2465" s="10">
        <f>IFERROR(AVERAGE($D$2214:$D$2465),"")</f>
        <v/>
      </c>
      <c r="I2465" s="10" t="n">
        <v>-0.7049979532446849</v>
      </c>
      <c r="J2465" t="inlineStr"/>
      <c r="K2465" s="12" t="inlineStr">
        <is>
          <t>是</t>
        </is>
      </c>
      <c r="L2465" t="inlineStr">
        <is>
          <t>换月日</t>
        </is>
      </c>
    </row>
    <row r="2466">
      <c r="A2466" s="7" t="inlineStr">
        <is>
          <t>2024-04-16</t>
        </is>
      </c>
      <c r="B2466" s="8">
        <f>IFERROR(VLOOKUP($A2466,'01-原始价格'!$A:$M,2,FALSE),"")</f>
        <v/>
      </c>
      <c r="C2466" s="8">
        <f>IFERROR(VLOOKUP($A2466,'01-原始价格'!$A:$M,8,FALSE),"")</f>
        <v/>
      </c>
      <c r="D2466" s="10">
        <f>IFERROR(B2466/C2466,"")</f>
        <v/>
      </c>
      <c r="E2466" s="10">
        <f>IFERROR(C2466/B2466,"")</f>
        <v/>
      </c>
      <c r="F2466" s="11">
        <f>IFERROR((D2466/D2465-1)*100,"")</f>
        <v/>
      </c>
      <c r="G2466" s="11">
        <f>IFERROR((COUNTIF($D$2215:$D$2466,"&lt;"&amp;D2466)+0.5*COUNTIF($D$2215:$D$2466,D2466))/COUNT($D$2215:$D$2466)*100,"")</f>
        <v/>
      </c>
      <c r="H2466" s="10">
        <f>IFERROR(AVERAGE($D$2215:$D$2466),"")</f>
        <v/>
      </c>
      <c r="I2466" s="10" t="n">
        <v>-0.7585469694507552</v>
      </c>
      <c r="J2466" t="inlineStr"/>
      <c r="K2466" t="inlineStr"/>
    </row>
    <row r="2467">
      <c r="A2467" s="7" t="inlineStr">
        <is>
          <t>2024-04-17</t>
        </is>
      </c>
      <c r="B2467" s="8">
        <f>IFERROR(VLOOKUP($A2467,'01-原始价格'!$A:$M,2,FALSE),"")</f>
        <v/>
      </c>
      <c r="C2467" s="8">
        <f>IFERROR(VLOOKUP($A2467,'01-原始价格'!$A:$M,8,FALSE),"")</f>
        <v/>
      </c>
      <c r="D2467" s="10">
        <f>IFERROR(B2467/C2467,"")</f>
        <v/>
      </c>
      <c r="E2467" s="10">
        <f>IFERROR(C2467/B2467,"")</f>
        <v/>
      </c>
      <c r="F2467" s="11">
        <f>IFERROR((D2467/D2466-1)*100,"")</f>
        <v/>
      </c>
      <c r="G2467" s="11">
        <f>IFERROR((COUNTIF($D$2216:$D$2467,"&lt;"&amp;D2467)+0.5*COUNTIF($D$2216:$D$2467,D2467))/COUNT($D$2216:$D$2467)*100,"")</f>
        <v/>
      </c>
      <c r="H2467" s="10">
        <f>IFERROR(AVERAGE($D$2216:$D$2467),"")</f>
        <v/>
      </c>
      <c r="I2467" s="10" t="n">
        <v>-0.7071847709169377</v>
      </c>
      <c r="J2467" t="inlineStr"/>
      <c r="K2467" t="inlineStr"/>
    </row>
    <row r="2468">
      <c r="A2468" s="7" t="inlineStr">
        <is>
          <t>2024-04-18</t>
        </is>
      </c>
      <c r="B2468" s="8">
        <f>IFERROR(VLOOKUP($A2468,'01-原始价格'!$A:$M,2,FALSE),"")</f>
        <v/>
      </c>
      <c r="C2468" s="8">
        <f>IFERROR(VLOOKUP($A2468,'01-原始价格'!$A:$M,8,FALSE),"")</f>
        <v/>
      </c>
      <c r="D2468" s="10">
        <f>IFERROR(B2468/C2468,"")</f>
        <v/>
      </c>
      <c r="E2468" s="10">
        <f>IFERROR(C2468/B2468,"")</f>
        <v/>
      </c>
      <c r="F2468" s="11">
        <f>IFERROR((D2468/D2467-1)*100,"")</f>
        <v/>
      </c>
      <c r="G2468" s="11">
        <f>IFERROR((COUNTIF($D$2217:$D$2468,"&lt;"&amp;D2468)+0.5*COUNTIF($D$2217:$D$2468,D2468))/COUNT($D$2217:$D$2468)*100,"")</f>
        <v/>
      </c>
      <c r="H2468" s="10">
        <f>IFERROR(AVERAGE($D$2217:$D$2468),"")</f>
        <v/>
      </c>
      <c r="I2468" s="10" t="n">
        <v>-0.8669618185857193</v>
      </c>
      <c r="J2468" t="inlineStr"/>
      <c r="K2468" t="inlineStr"/>
    </row>
    <row r="2469">
      <c r="A2469" s="7" t="inlineStr">
        <is>
          <t>2024-04-19</t>
        </is>
      </c>
      <c r="B2469" s="8">
        <f>IFERROR(VLOOKUP($A2469,'01-原始价格'!$A:$M,2,FALSE),"")</f>
        <v/>
      </c>
      <c r="C2469" s="8">
        <f>IFERROR(VLOOKUP($A2469,'01-原始价格'!$A:$M,8,FALSE),"")</f>
        <v/>
      </c>
      <c r="D2469" s="10">
        <f>IFERROR(B2469/C2469,"")</f>
        <v/>
      </c>
      <c r="E2469" s="10">
        <f>IFERROR(C2469/B2469,"")</f>
        <v/>
      </c>
      <c r="F2469" s="11">
        <f>IFERROR((D2469/D2468-1)*100,"")</f>
        <v/>
      </c>
      <c r="G2469" s="11">
        <f>IFERROR((COUNTIF($D$2218:$D$2469,"&lt;"&amp;D2469)+0.5*COUNTIF($D$2218:$D$2469,D2469))/COUNT($D$2218:$D$2469)*100,"")</f>
        <v/>
      </c>
      <c r="H2469" s="10">
        <f>IFERROR(AVERAGE($D$2218:$D$2469),"")</f>
        <v/>
      </c>
      <c r="I2469" s="10" t="n">
        <v>-0.69631434080957</v>
      </c>
      <c r="J2469" t="inlineStr"/>
      <c r="K2469" t="inlineStr"/>
    </row>
    <row r="2470">
      <c r="A2470" s="7" t="inlineStr">
        <is>
          <t>2024-04-22</t>
        </is>
      </c>
      <c r="B2470" s="8">
        <f>IFERROR(VLOOKUP($A2470,'01-原始价格'!$A:$M,2,FALSE),"")</f>
        <v/>
      </c>
      <c r="C2470" s="8">
        <f>IFERROR(VLOOKUP($A2470,'01-原始价格'!$A:$M,8,FALSE),"")</f>
        <v/>
      </c>
      <c r="D2470" s="10">
        <f>IFERROR(B2470/C2470,"")</f>
        <v/>
      </c>
      <c r="E2470" s="10">
        <f>IFERROR(C2470/B2470,"")</f>
        <v/>
      </c>
      <c r="F2470" s="11">
        <f>IFERROR((D2470/D2469-1)*100,"")</f>
        <v/>
      </c>
      <c r="G2470" s="11">
        <f>IFERROR((COUNTIF($D$2219:$D$2470,"&lt;"&amp;D2470)+0.5*COUNTIF($D$2219:$D$2470,D2470))/COUNT($D$2219:$D$2470)*100,"")</f>
        <v/>
      </c>
      <c r="H2470" s="10">
        <f>IFERROR(AVERAGE($D$2219:$D$2470),"")</f>
        <v/>
      </c>
      <c r="I2470" s="10" t="n">
        <v>-0.896877294385382</v>
      </c>
      <c r="J2470" t="inlineStr"/>
      <c r="K2470" t="inlineStr"/>
    </row>
    <row r="2471">
      <c r="A2471" s="7" t="inlineStr">
        <is>
          <t>2024-04-23</t>
        </is>
      </c>
      <c r="B2471" s="8">
        <f>IFERROR(VLOOKUP($A2471,'01-原始价格'!$A:$M,2,FALSE),"")</f>
        <v/>
      </c>
      <c r="C2471" s="8">
        <f>IFERROR(VLOOKUP($A2471,'01-原始价格'!$A:$M,8,FALSE),"")</f>
        <v/>
      </c>
      <c r="D2471" s="10">
        <f>IFERROR(B2471/C2471,"")</f>
        <v/>
      </c>
      <c r="E2471" s="10">
        <f>IFERROR(C2471/B2471,"")</f>
        <v/>
      </c>
      <c r="F2471" s="11">
        <f>IFERROR((D2471/D2470-1)*100,"")</f>
        <v/>
      </c>
      <c r="G2471" s="11">
        <f>IFERROR((COUNTIF($D$2220:$D$2471,"&lt;"&amp;D2471)+0.5*COUNTIF($D$2220:$D$2471,D2471))/COUNT($D$2220:$D$2471)*100,"")</f>
        <v/>
      </c>
      <c r="H2471" s="10">
        <f>IFERROR(AVERAGE($D$2220:$D$2471),"")</f>
        <v/>
      </c>
      <c r="I2471" s="10" t="n">
        <v>-0.6820597567984144</v>
      </c>
      <c r="J2471" t="inlineStr"/>
      <c r="K2471" t="inlineStr"/>
    </row>
    <row r="2472">
      <c r="A2472" s="7" t="inlineStr">
        <is>
          <t>2024-04-24</t>
        </is>
      </c>
      <c r="B2472" s="8">
        <f>IFERROR(VLOOKUP($A2472,'01-原始价格'!$A:$M,2,FALSE),"")</f>
        <v/>
      </c>
      <c r="C2472" s="8">
        <f>IFERROR(VLOOKUP($A2472,'01-原始价格'!$A:$M,8,FALSE),"")</f>
        <v/>
      </c>
      <c r="D2472" s="10">
        <f>IFERROR(B2472/C2472,"")</f>
        <v/>
      </c>
      <c r="E2472" s="10">
        <f>IFERROR(C2472/B2472,"")</f>
        <v/>
      </c>
      <c r="F2472" s="11">
        <f>IFERROR((D2472/D2471-1)*100,"")</f>
        <v/>
      </c>
      <c r="G2472" s="11">
        <f>IFERROR((COUNTIF($D$2221:$D$2472,"&lt;"&amp;D2472)+0.5*COUNTIF($D$2221:$D$2472,D2472))/COUNT($D$2221:$D$2472)*100,"")</f>
        <v/>
      </c>
      <c r="H2472" s="10">
        <f>IFERROR(AVERAGE($D$2221:$D$2472),"")</f>
        <v/>
      </c>
      <c r="I2472" s="10" t="n">
        <v>-0.6990719770357918</v>
      </c>
      <c r="J2472" t="inlineStr"/>
      <c r="K2472" t="inlineStr"/>
    </row>
    <row r="2473">
      <c r="A2473" s="7" t="inlineStr">
        <is>
          <t>2024-04-25</t>
        </is>
      </c>
      <c r="B2473" s="8">
        <f>IFERROR(VLOOKUP($A2473,'01-原始价格'!$A:$M,2,FALSE),"")</f>
        <v/>
      </c>
      <c r="C2473" s="8">
        <f>IFERROR(VLOOKUP($A2473,'01-原始价格'!$A:$M,8,FALSE),"")</f>
        <v/>
      </c>
      <c r="D2473" s="10">
        <f>IFERROR(B2473/C2473,"")</f>
        <v/>
      </c>
      <c r="E2473" s="10">
        <f>IFERROR(C2473/B2473,"")</f>
        <v/>
      </c>
      <c r="F2473" s="11">
        <f>IFERROR((D2473/D2472-1)*100,"")</f>
        <v/>
      </c>
      <c r="G2473" s="11">
        <f>IFERROR((COUNTIF($D$2222:$D$2473,"&lt;"&amp;D2473)+0.5*COUNTIF($D$2222:$D$2473,D2473))/COUNT($D$2222:$D$2473)*100,"")</f>
        <v/>
      </c>
      <c r="H2473" s="10">
        <f>IFERROR(AVERAGE($D$2222:$D$2473),"")</f>
        <v/>
      </c>
      <c r="I2473" s="10" t="n">
        <v>-0.6055067681995271</v>
      </c>
      <c r="J2473" t="inlineStr"/>
      <c r="K2473" t="inlineStr"/>
    </row>
    <row r="2474">
      <c r="A2474" s="7" t="inlineStr">
        <is>
          <t>2024-04-26</t>
        </is>
      </c>
      <c r="B2474" s="8">
        <f>IFERROR(VLOOKUP($A2474,'01-原始价格'!$A:$M,2,FALSE),"")</f>
        <v/>
      </c>
      <c r="C2474" s="8">
        <f>IFERROR(VLOOKUP($A2474,'01-原始价格'!$A:$M,8,FALSE),"")</f>
        <v/>
      </c>
      <c r="D2474" s="10">
        <f>IFERROR(B2474/C2474,"")</f>
        <v/>
      </c>
      <c r="E2474" s="10">
        <f>IFERROR(C2474/B2474,"")</f>
        <v/>
      </c>
      <c r="F2474" s="11">
        <f>IFERROR((D2474/D2473-1)*100,"")</f>
        <v/>
      </c>
      <c r="G2474" s="11">
        <f>IFERROR((COUNTIF($D$2223:$D$2474,"&lt;"&amp;D2474)+0.5*COUNTIF($D$2223:$D$2474,D2474))/COUNT($D$2223:$D$2474)*100,"")</f>
        <v/>
      </c>
      <c r="H2474" s="10">
        <f>IFERROR(AVERAGE($D$2223:$D$2474),"")</f>
        <v/>
      </c>
      <c r="I2474" s="10" t="n">
        <v>-0.8348456281109986</v>
      </c>
      <c r="J2474" t="inlineStr"/>
      <c r="K2474" t="inlineStr"/>
    </row>
    <row r="2475">
      <c r="A2475" s="7" t="inlineStr">
        <is>
          <t>2024-04-29</t>
        </is>
      </c>
      <c r="B2475" s="8">
        <f>IFERROR(VLOOKUP($A2475,'01-原始价格'!$A:$M,2,FALSE),"")</f>
        <v/>
      </c>
      <c r="C2475" s="8">
        <f>IFERROR(VLOOKUP($A2475,'01-原始价格'!$A:$M,8,FALSE),"")</f>
        <v/>
      </c>
      <c r="D2475" s="10">
        <f>IFERROR(B2475/C2475,"")</f>
        <v/>
      </c>
      <c r="E2475" s="10">
        <f>IFERROR(C2475/B2475,"")</f>
        <v/>
      </c>
      <c r="F2475" s="11">
        <f>IFERROR((D2475/D2474-1)*100,"")</f>
        <v/>
      </c>
      <c r="G2475" s="11">
        <f>IFERROR((COUNTIF($D$2224:$D$2475,"&lt;"&amp;D2475)+0.5*COUNTIF($D$2224:$D$2475,D2475))/COUNT($D$2224:$D$2475)*100,"")</f>
        <v/>
      </c>
      <c r="H2475" s="10">
        <f>IFERROR(AVERAGE($D$2224:$D$2475),"")</f>
        <v/>
      </c>
      <c r="I2475" s="10" t="n">
        <v>-1.146439477212452</v>
      </c>
      <c r="J2475" t="inlineStr"/>
      <c r="K2475" t="inlineStr"/>
    </row>
    <row r="2476">
      <c r="A2476" s="7" t="inlineStr">
        <is>
          <t>2024-04-30</t>
        </is>
      </c>
      <c r="B2476" s="8">
        <f>IFERROR(VLOOKUP($A2476,'01-原始价格'!$A:$M,2,FALSE),"")</f>
        <v/>
      </c>
      <c r="C2476" s="8">
        <f>IFERROR(VLOOKUP($A2476,'01-原始价格'!$A:$M,8,FALSE),"")</f>
        <v/>
      </c>
      <c r="D2476" s="10">
        <f>IFERROR(B2476/C2476,"")</f>
        <v/>
      </c>
      <c r="E2476" s="10">
        <f>IFERROR(C2476/B2476,"")</f>
        <v/>
      </c>
      <c r="F2476" s="11">
        <f>IFERROR((D2476/D2475-1)*100,"")</f>
        <v/>
      </c>
      <c r="G2476" s="11">
        <f>IFERROR((COUNTIF($D$2225:$D$2476,"&lt;"&amp;D2476)+0.5*COUNTIF($D$2225:$D$2476,D2476))/COUNT($D$2225:$D$2476)*100,"")</f>
        <v/>
      </c>
      <c r="H2476" s="10">
        <f>IFERROR(AVERAGE($D$2225:$D$2476),"")</f>
        <v/>
      </c>
      <c r="I2476" s="10" t="n">
        <v>-1.290683539803664</v>
      </c>
      <c r="J2476" t="inlineStr"/>
      <c r="K2476" t="inlineStr"/>
    </row>
    <row r="2477">
      <c r="A2477" s="7" t="inlineStr">
        <is>
          <t>2024-05-06</t>
        </is>
      </c>
      <c r="B2477" s="8">
        <f>IFERROR(VLOOKUP($A2477,'01-原始价格'!$A:$M,2,FALSE),"")</f>
        <v/>
      </c>
      <c r="C2477" s="8">
        <f>IFERROR(VLOOKUP($A2477,'01-原始价格'!$A:$M,8,FALSE),"")</f>
        <v/>
      </c>
      <c r="D2477" s="10">
        <f>IFERROR(B2477/C2477,"")</f>
        <v/>
      </c>
      <c r="E2477" s="10">
        <f>IFERROR(C2477/B2477,"")</f>
        <v/>
      </c>
      <c r="F2477" s="11">
        <f>IFERROR((D2477/D2476-1)*100,"")</f>
        <v/>
      </c>
      <c r="G2477" s="11">
        <f>IFERROR((COUNTIF($D$2226:$D$2477,"&lt;"&amp;D2477)+0.5*COUNTIF($D$2226:$D$2477,D2477))/COUNT($D$2226:$D$2477)*100,"")</f>
        <v/>
      </c>
      <c r="H2477" s="10">
        <f>IFERROR(AVERAGE($D$2226:$D$2477),"")</f>
        <v/>
      </c>
      <c r="I2477" s="10" t="n">
        <v>-1.410439154207484</v>
      </c>
      <c r="J2477" t="inlineStr"/>
      <c r="K2477" t="inlineStr"/>
    </row>
    <row r="2478">
      <c r="A2478" s="7" t="inlineStr">
        <is>
          <t>2024-05-07</t>
        </is>
      </c>
      <c r="B2478" s="8">
        <f>IFERROR(VLOOKUP($A2478,'01-原始价格'!$A:$M,2,FALSE),"")</f>
        <v/>
      </c>
      <c r="C2478" s="8">
        <f>IFERROR(VLOOKUP($A2478,'01-原始价格'!$A:$M,8,FALSE),"")</f>
        <v/>
      </c>
      <c r="D2478" s="10">
        <f>IFERROR(B2478/C2478,"")</f>
        <v/>
      </c>
      <c r="E2478" s="10">
        <f>IFERROR(C2478/B2478,"")</f>
        <v/>
      </c>
      <c r="F2478" s="11">
        <f>IFERROR((D2478/D2477-1)*100,"")</f>
        <v/>
      </c>
      <c r="G2478" s="11">
        <f>IFERROR((COUNTIF($D$2227:$D$2478,"&lt;"&amp;D2478)+0.5*COUNTIF($D$2227:$D$2478,D2478))/COUNT($D$2227:$D$2478)*100,"")</f>
        <v/>
      </c>
      <c r="H2478" s="10">
        <f>IFERROR(AVERAGE($D$2227:$D$2478),"")</f>
        <v/>
      </c>
      <c r="I2478" s="10" t="n">
        <v>-1.69060782752727</v>
      </c>
      <c r="J2478" t="inlineStr"/>
      <c r="K2478" t="inlineStr"/>
    </row>
    <row r="2479">
      <c r="A2479" s="7" t="inlineStr">
        <is>
          <t>2024-05-08</t>
        </is>
      </c>
      <c r="B2479" s="8">
        <f>IFERROR(VLOOKUP($A2479,'01-原始价格'!$A:$M,2,FALSE),"")</f>
        <v/>
      </c>
      <c r="C2479" s="8">
        <f>IFERROR(VLOOKUP($A2479,'01-原始价格'!$A:$M,8,FALSE),"")</f>
        <v/>
      </c>
      <c r="D2479" s="10">
        <f>IFERROR(B2479/C2479,"")</f>
        <v/>
      </c>
      <c r="E2479" s="10">
        <f>IFERROR(C2479/B2479,"")</f>
        <v/>
      </c>
      <c r="F2479" s="11">
        <f>IFERROR((D2479/D2478-1)*100,"")</f>
        <v/>
      </c>
      <c r="G2479" s="11">
        <f>IFERROR((COUNTIF($D$2228:$D$2479,"&lt;"&amp;D2479)+0.5*COUNTIF($D$2228:$D$2479,D2479))/COUNT($D$2228:$D$2479)*100,"")</f>
        <v/>
      </c>
      <c r="H2479" s="10">
        <f>IFERROR(AVERAGE($D$2228:$D$2479),"")</f>
        <v/>
      </c>
      <c r="I2479" s="10" t="n">
        <v>-1.848307330165424</v>
      </c>
      <c r="J2479" t="inlineStr"/>
      <c r="K2479" t="inlineStr"/>
    </row>
    <row r="2480">
      <c r="A2480" s="7" t="inlineStr">
        <is>
          <t>2024-05-09</t>
        </is>
      </c>
      <c r="B2480" s="8">
        <f>IFERROR(VLOOKUP($A2480,'01-原始价格'!$A:$M,2,FALSE),"")</f>
        <v/>
      </c>
      <c r="C2480" s="8">
        <f>IFERROR(VLOOKUP($A2480,'01-原始价格'!$A:$M,8,FALSE),"")</f>
        <v/>
      </c>
      <c r="D2480" s="10">
        <f>IFERROR(B2480/C2480,"")</f>
        <v/>
      </c>
      <c r="E2480" s="10">
        <f>IFERROR(C2480/B2480,"")</f>
        <v/>
      </c>
      <c r="F2480" s="11">
        <f>IFERROR((D2480/D2479-1)*100,"")</f>
        <v/>
      </c>
      <c r="G2480" s="11">
        <f>IFERROR((COUNTIF($D$2229:$D$2480,"&lt;"&amp;D2480)+0.5*COUNTIF($D$2229:$D$2480,D2480))/COUNT($D$2229:$D$2480)*100,"")</f>
        <v/>
      </c>
      <c r="H2480" s="10">
        <f>IFERROR(AVERAGE($D$2229:$D$2480),"")</f>
        <v/>
      </c>
      <c r="I2480" s="10" t="n">
        <v>-1.431207971402233</v>
      </c>
      <c r="J2480" t="inlineStr"/>
      <c r="K2480" t="inlineStr"/>
    </row>
    <row r="2481">
      <c r="A2481" s="7" t="inlineStr">
        <is>
          <t>2024-05-10</t>
        </is>
      </c>
      <c r="B2481" s="8">
        <f>IFERROR(VLOOKUP($A2481,'01-原始价格'!$A:$M,2,FALSE),"")</f>
        <v/>
      </c>
      <c r="C2481" s="8">
        <f>IFERROR(VLOOKUP($A2481,'01-原始价格'!$A:$M,8,FALSE),"")</f>
        <v/>
      </c>
      <c r="D2481" s="10">
        <f>IFERROR(B2481/C2481,"")</f>
        <v/>
      </c>
      <c r="E2481" s="10">
        <f>IFERROR(C2481/B2481,"")</f>
        <v/>
      </c>
      <c r="F2481" s="11">
        <f>IFERROR((D2481/D2480-1)*100,"")</f>
        <v/>
      </c>
      <c r="G2481" s="11">
        <f>IFERROR((COUNTIF($D$2230:$D$2481,"&lt;"&amp;D2481)+0.5*COUNTIF($D$2230:$D$2481,D2481))/COUNT($D$2230:$D$2481)*100,"")</f>
        <v/>
      </c>
      <c r="H2481" s="10">
        <f>IFERROR(AVERAGE($D$2230:$D$2481),"")</f>
        <v/>
      </c>
      <c r="I2481" s="10" t="n">
        <v>-1.725379935348972</v>
      </c>
      <c r="J2481" t="inlineStr"/>
      <c r="K2481" t="inlineStr"/>
    </row>
    <row r="2482">
      <c r="A2482" s="7" t="inlineStr">
        <is>
          <t>2024-05-13</t>
        </is>
      </c>
      <c r="B2482" s="8">
        <f>IFERROR(VLOOKUP($A2482,'01-原始价格'!$A:$M,2,FALSE),"")</f>
        <v/>
      </c>
      <c r="C2482" s="8">
        <f>IFERROR(VLOOKUP($A2482,'01-原始价格'!$A:$M,8,FALSE),"")</f>
        <v/>
      </c>
      <c r="D2482" s="10">
        <f>IFERROR(B2482/C2482,"")</f>
        <v/>
      </c>
      <c r="E2482" s="10">
        <f>IFERROR(C2482/B2482,"")</f>
        <v/>
      </c>
      <c r="F2482" s="11">
        <f>IFERROR((D2482/D2481-1)*100,"")</f>
        <v/>
      </c>
      <c r="G2482" s="11">
        <f>IFERROR((COUNTIF($D$2231:$D$2482,"&lt;"&amp;D2482)+0.5*COUNTIF($D$2231:$D$2482,D2482))/COUNT($D$2231:$D$2482)*100,"")</f>
        <v/>
      </c>
      <c r="H2482" s="10">
        <f>IFERROR(AVERAGE($D$2231:$D$2482),"")</f>
        <v/>
      </c>
      <c r="I2482" s="10" t="n">
        <v>-1.641295582950036</v>
      </c>
      <c r="J2482" t="inlineStr"/>
      <c r="K2482" t="inlineStr"/>
    </row>
    <row r="2483">
      <c r="A2483" s="7" t="inlineStr">
        <is>
          <t>2024-05-14</t>
        </is>
      </c>
      <c r="B2483" s="8">
        <f>IFERROR(VLOOKUP($A2483,'01-原始价格'!$A:$M,2,FALSE),"")</f>
        <v/>
      </c>
      <c r="C2483" s="8">
        <f>IFERROR(VLOOKUP($A2483,'01-原始价格'!$A:$M,8,FALSE),"")</f>
        <v/>
      </c>
      <c r="D2483" s="10">
        <f>IFERROR(B2483/C2483,"")</f>
        <v/>
      </c>
      <c r="E2483" s="10">
        <f>IFERROR(C2483/B2483,"")</f>
        <v/>
      </c>
      <c r="F2483" s="11">
        <f>IFERROR((D2483/D2482-1)*100,"")</f>
        <v/>
      </c>
      <c r="G2483" s="11">
        <f>IFERROR((COUNTIF($D$2232:$D$2483,"&lt;"&amp;D2483)+0.5*COUNTIF($D$2232:$D$2483,D2483))/COUNT($D$2232:$D$2483)*100,"")</f>
        <v/>
      </c>
      <c r="H2483" s="10">
        <f>IFERROR(AVERAGE($D$2232:$D$2483),"")</f>
        <v/>
      </c>
      <c r="I2483" s="10" t="n">
        <v>-1.524127319013941</v>
      </c>
      <c r="J2483" t="inlineStr"/>
      <c r="K2483" t="inlineStr"/>
    </row>
    <row r="2484">
      <c r="A2484" s="7" t="inlineStr">
        <is>
          <t>2024-05-15</t>
        </is>
      </c>
      <c r="B2484" s="8">
        <f>IFERROR(VLOOKUP($A2484,'01-原始价格'!$A:$M,2,FALSE),"")</f>
        <v/>
      </c>
      <c r="C2484" s="8">
        <f>IFERROR(VLOOKUP($A2484,'01-原始价格'!$A:$M,8,FALSE),"")</f>
        <v/>
      </c>
      <c r="D2484" s="10">
        <f>IFERROR(B2484/C2484,"")</f>
        <v/>
      </c>
      <c r="E2484" s="10">
        <f>IFERROR(C2484/B2484,"")</f>
        <v/>
      </c>
      <c r="F2484" s="11">
        <f>IFERROR((D2484/D2483-1)*100,"")</f>
        <v/>
      </c>
      <c r="G2484" s="11">
        <f>IFERROR((COUNTIF($D$2233:$D$2484,"&lt;"&amp;D2484)+0.5*COUNTIF($D$2233:$D$2484,D2484))/COUNT($D$2233:$D$2484)*100,"")</f>
        <v/>
      </c>
      <c r="H2484" s="10">
        <f>IFERROR(AVERAGE($D$2233:$D$2484),"")</f>
        <v/>
      </c>
      <c r="I2484" s="10" t="n">
        <v>-1.478648668333598</v>
      </c>
      <c r="J2484" t="inlineStr"/>
      <c r="K2484" t="inlineStr"/>
    </row>
    <row r="2485">
      <c r="A2485" s="7" t="inlineStr">
        <is>
          <t>2024-05-16</t>
        </is>
      </c>
      <c r="B2485" s="8">
        <f>IFERROR(VLOOKUP($A2485,'01-原始价格'!$A:$M,2,FALSE),"")</f>
        <v/>
      </c>
      <c r="C2485" s="8">
        <f>IFERROR(VLOOKUP($A2485,'01-原始价格'!$A:$M,8,FALSE),"")</f>
        <v/>
      </c>
      <c r="D2485" s="10">
        <f>IFERROR(B2485/C2485,"")</f>
        <v/>
      </c>
      <c r="E2485" s="10">
        <f>IFERROR(C2485/B2485,"")</f>
        <v/>
      </c>
      <c r="F2485" s="11">
        <f>IFERROR((D2485/D2484-1)*100,"")</f>
        <v/>
      </c>
      <c r="G2485" s="11">
        <f>IFERROR((COUNTIF($D$2234:$D$2485,"&lt;"&amp;D2485)+0.5*COUNTIF($D$2234:$D$2485,D2485))/COUNT($D$2234:$D$2485)*100,"")</f>
        <v/>
      </c>
      <c r="H2485" s="10">
        <f>IFERROR(AVERAGE($D$2234:$D$2485),"")</f>
        <v/>
      </c>
      <c r="I2485" s="10" t="n">
        <v>-1.310713069329949</v>
      </c>
      <c r="J2485" t="inlineStr"/>
      <c r="K2485" t="inlineStr"/>
    </row>
    <row r="2486">
      <c r="A2486" s="7" t="inlineStr">
        <is>
          <t>2024-05-17</t>
        </is>
      </c>
      <c r="B2486" s="8">
        <f>IFERROR(VLOOKUP($A2486,'01-原始价格'!$A:$M,2,FALSE),"")</f>
        <v/>
      </c>
      <c r="C2486" s="8">
        <f>IFERROR(VLOOKUP($A2486,'01-原始价格'!$A:$M,8,FALSE),"")</f>
        <v/>
      </c>
      <c r="D2486" s="10">
        <f>IFERROR(B2486/C2486,"")</f>
        <v/>
      </c>
      <c r="E2486" s="10">
        <f>IFERROR(C2486/B2486,"")</f>
        <v/>
      </c>
      <c r="F2486" s="11">
        <f>IFERROR((D2486/D2485-1)*100,"")</f>
        <v/>
      </c>
      <c r="G2486" s="11">
        <f>IFERROR((COUNTIF($D$2235:$D$2486,"&lt;"&amp;D2486)+0.5*COUNTIF($D$2235:$D$2486,D2486))/COUNT($D$2235:$D$2486)*100,"")</f>
        <v/>
      </c>
      <c r="H2486" s="10">
        <f>IFERROR(AVERAGE($D$2235:$D$2486),"")</f>
        <v/>
      </c>
      <c r="I2486" s="10" t="n">
        <v>-1.046186233221746</v>
      </c>
      <c r="J2486" t="inlineStr"/>
      <c r="K2486" t="inlineStr"/>
    </row>
    <row r="2487">
      <c r="A2487" s="7" t="inlineStr">
        <is>
          <t>2024-05-20</t>
        </is>
      </c>
      <c r="B2487" s="8">
        <f>IFERROR(VLOOKUP($A2487,'01-原始价格'!$A:$M,2,FALSE),"")</f>
        <v/>
      </c>
      <c r="C2487" s="8">
        <f>IFERROR(VLOOKUP($A2487,'01-原始价格'!$A:$M,8,FALSE),"")</f>
        <v/>
      </c>
      <c r="D2487" s="10">
        <f>IFERROR(B2487/C2487,"")</f>
        <v/>
      </c>
      <c r="E2487" s="10">
        <f>IFERROR(C2487/B2487,"")</f>
        <v/>
      </c>
      <c r="F2487" s="11">
        <f>IFERROR((D2487/D2486-1)*100,"")</f>
        <v/>
      </c>
      <c r="G2487" s="11">
        <f>IFERROR((COUNTIF($D$2236:$D$2487,"&lt;"&amp;D2487)+0.5*COUNTIF($D$2236:$D$2487,D2487))/COUNT($D$2236:$D$2487)*100,"")</f>
        <v/>
      </c>
      <c r="H2487" s="10">
        <f>IFERROR(AVERAGE($D$2236:$D$2487),"")</f>
        <v/>
      </c>
      <c r="I2487" s="10" t="n">
        <v>-0.4075117262870252</v>
      </c>
      <c r="J2487" t="inlineStr"/>
      <c r="K2487" t="inlineStr"/>
    </row>
    <row r="2488">
      <c r="A2488" s="7" t="inlineStr">
        <is>
          <t>2024-05-21</t>
        </is>
      </c>
      <c r="B2488" s="8">
        <f>IFERROR(VLOOKUP($A2488,'01-原始价格'!$A:$M,2,FALSE),"")</f>
        <v/>
      </c>
      <c r="C2488" s="8">
        <f>IFERROR(VLOOKUP($A2488,'01-原始价格'!$A:$M,8,FALSE),"")</f>
        <v/>
      </c>
      <c r="D2488" s="10">
        <f>IFERROR(B2488/C2488,"")</f>
        <v/>
      </c>
      <c r="E2488" s="10">
        <f>IFERROR(C2488/B2488,"")</f>
        <v/>
      </c>
      <c r="F2488" s="11">
        <f>IFERROR((D2488/D2487-1)*100,"")</f>
        <v/>
      </c>
      <c r="G2488" s="11">
        <f>IFERROR((COUNTIF($D$2237:$D$2488,"&lt;"&amp;D2488)+0.5*COUNTIF($D$2237:$D$2488,D2488))/COUNT($D$2237:$D$2488)*100,"")</f>
        <v/>
      </c>
      <c r="H2488" s="10">
        <f>IFERROR(AVERAGE($D$2237:$D$2488),"")</f>
        <v/>
      </c>
      <c r="I2488" s="10" t="n">
        <v>-0.1147983092855042</v>
      </c>
      <c r="J2488" t="inlineStr"/>
      <c r="K2488" t="inlineStr"/>
    </row>
    <row r="2489">
      <c r="A2489" s="7" t="inlineStr">
        <is>
          <t>2024-05-22</t>
        </is>
      </c>
      <c r="B2489" s="8">
        <f>IFERROR(VLOOKUP($A2489,'01-原始价格'!$A:$M,2,FALSE),"")</f>
        <v/>
      </c>
      <c r="C2489" s="8">
        <f>IFERROR(VLOOKUP($A2489,'01-原始价格'!$A:$M,8,FALSE),"")</f>
        <v/>
      </c>
      <c r="D2489" s="10">
        <f>IFERROR(B2489/C2489,"")</f>
        <v/>
      </c>
      <c r="E2489" s="10">
        <f>IFERROR(C2489/B2489,"")</f>
        <v/>
      </c>
      <c r="F2489" s="11">
        <f>IFERROR((D2489/D2488-1)*100,"")</f>
        <v/>
      </c>
      <c r="G2489" s="11">
        <f>IFERROR((COUNTIF($D$2238:$D$2489,"&lt;"&amp;D2489)+0.5*COUNTIF($D$2238:$D$2489,D2489))/COUNT($D$2238:$D$2489)*100,"")</f>
        <v/>
      </c>
      <c r="H2489" s="10">
        <f>IFERROR(AVERAGE($D$2238:$D$2489),"")</f>
        <v/>
      </c>
      <c r="I2489" s="10" t="n">
        <v>-0.34587729494218</v>
      </c>
      <c r="J2489" t="inlineStr"/>
      <c r="K2489" t="inlineStr"/>
    </row>
    <row r="2490">
      <c r="A2490" s="7" t="inlineStr">
        <is>
          <t>2024-05-23</t>
        </is>
      </c>
      <c r="B2490" s="8">
        <f>IFERROR(VLOOKUP($A2490,'01-原始价格'!$A:$M,2,FALSE),"")</f>
        <v/>
      </c>
      <c r="C2490" s="8">
        <f>IFERROR(VLOOKUP($A2490,'01-原始价格'!$A:$M,8,FALSE),"")</f>
        <v/>
      </c>
      <c r="D2490" s="10">
        <f>IFERROR(B2490/C2490,"")</f>
        <v/>
      </c>
      <c r="E2490" s="10">
        <f>IFERROR(C2490/B2490,"")</f>
        <v/>
      </c>
      <c r="F2490" s="11">
        <f>IFERROR((D2490/D2489-1)*100,"")</f>
        <v/>
      </c>
      <c r="G2490" s="11">
        <f>IFERROR((COUNTIF($D$2239:$D$2490,"&lt;"&amp;D2490)+0.5*COUNTIF($D$2239:$D$2490,D2490))/COUNT($D$2239:$D$2490)*100,"")</f>
        <v/>
      </c>
      <c r="H2490" s="10">
        <f>IFERROR(AVERAGE($D$2239:$D$2490),"")</f>
        <v/>
      </c>
      <c r="I2490" s="10" t="n">
        <v>-0.4180038465386336</v>
      </c>
      <c r="J2490" t="inlineStr"/>
      <c r="K2490" t="inlineStr"/>
    </row>
    <row r="2491">
      <c r="A2491" s="7" t="inlineStr">
        <is>
          <t>2024-05-24</t>
        </is>
      </c>
      <c r="B2491" s="8">
        <f>IFERROR(VLOOKUP($A2491,'01-原始价格'!$A:$M,2,FALSE),"")</f>
        <v/>
      </c>
      <c r="C2491" s="8">
        <f>IFERROR(VLOOKUP($A2491,'01-原始价格'!$A:$M,8,FALSE),"")</f>
        <v/>
      </c>
      <c r="D2491" s="10">
        <f>IFERROR(B2491/C2491,"")</f>
        <v/>
      </c>
      <c r="E2491" s="10">
        <f>IFERROR(C2491/B2491,"")</f>
        <v/>
      </c>
      <c r="F2491" s="11">
        <f>IFERROR((D2491/D2490-1)*100,"")</f>
        <v/>
      </c>
      <c r="G2491" s="11">
        <f>IFERROR((COUNTIF($D$2240:$D$2491,"&lt;"&amp;D2491)+0.5*COUNTIF($D$2240:$D$2491,D2491))/COUNT($D$2240:$D$2491)*100,"")</f>
        <v/>
      </c>
      <c r="H2491" s="10">
        <f>IFERROR(AVERAGE($D$2240:$D$2491),"")</f>
        <v/>
      </c>
      <c r="I2491" s="10" t="n">
        <v>-0.2627112137390145</v>
      </c>
      <c r="J2491" t="inlineStr"/>
      <c r="K2491" t="inlineStr"/>
    </row>
    <row r="2492">
      <c r="A2492" s="7" t="inlineStr">
        <is>
          <t>2024-05-27</t>
        </is>
      </c>
      <c r="B2492" s="8">
        <f>IFERROR(VLOOKUP($A2492,'01-原始价格'!$A:$M,2,FALSE),"")</f>
        <v/>
      </c>
      <c r="C2492" s="8">
        <f>IFERROR(VLOOKUP($A2492,'01-原始价格'!$A:$M,8,FALSE),"")</f>
        <v/>
      </c>
      <c r="D2492" s="10">
        <f>IFERROR(B2492/C2492,"")</f>
        <v/>
      </c>
      <c r="E2492" s="10">
        <f>IFERROR(C2492/B2492,"")</f>
        <v/>
      </c>
      <c r="F2492" s="11">
        <f>IFERROR((D2492/D2491-1)*100,"")</f>
        <v/>
      </c>
      <c r="G2492" s="11">
        <f>IFERROR((COUNTIF($D$2241:$D$2492,"&lt;"&amp;D2492)+0.5*COUNTIF($D$2241:$D$2492,D2492))/COUNT($D$2241:$D$2492)*100,"")</f>
        <v/>
      </c>
      <c r="H2492" s="10">
        <f>IFERROR(AVERAGE($D$2241:$D$2492),"")</f>
        <v/>
      </c>
      <c r="I2492" s="10" t="n">
        <v>-0.5893578242195523</v>
      </c>
      <c r="J2492" t="inlineStr"/>
      <c r="K2492" t="inlineStr"/>
    </row>
    <row r="2493">
      <c r="A2493" s="7" t="inlineStr">
        <is>
          <t>2024-05-28</t>
        </is>
      </c>
      <c r="B2493" s="8">
        <f>IFERROR(VLOOKUP($A2493,'01-原始价格'!$A:$M,2,FALSE),"")</f>
        <v/>
      </c>
      <c r="C2493" s="8">
        <f>IFERROR(VLOOKUP($A2493,'01-原始价格'!$A:$M,8,FALSE),"")</f>
        <v/>
      </c>
      <c r="D2493" s="10">
        <f>IFERROR(B2493/C2493,"")</f>
        <v/>
      </c>
      <c r="E2493" s="10">
        <f>IFERROR(C2493/B2493,"")</f>
        <v/>
      </c>
      <c r="F2493" s="11">
        <f>IFERROR((D2493/D2492-1)*100,"")</f>
        <v/>
      </c>
      <c r="G2493" s="11">
        <f>IFERROR((COUNTIF($D$2242:$D$2493,"&lt;"&amp;D2493)+0.5*COUNTIF($D$2242:$D$2493,D2493))/COUNT($D$2242:$D$2493)*100,"")</f>
        <v/>
      </c>
      <c r="H2493" s="10">
        <f>IFERROR(AVERAGE($D$2242:$D$2493),"")</f>
        <v/>
      </c>
      <c r="I2493" s="10" t="n">
        <v>-0.2603053464599674</v>
      </c>
      <c r="J2493" t="inlineStr"/>
      <c r="K2493" t="inlineStr"/>
    </row>
    <row r="2494">
      <c r="A2494" s="7" t="inlineStr">
        <is>
          <t>2024-05-29</t>
        </is>
      </c>
      <c r="B2494" s="8">
        <f>IFERROR(VLOOKUP($A2494,'01-原始价格'!$A:$M,2,FALSE),"")</f>
        <v/>
      </c>
      <c r="C2494" s="8">
        <f>IFERROR(VLOOKUP($A2494,'01-原始价格'!$A:$M,8,FALSE),"")</f>
        <v/>
      </c>
      <c r="D2494" s="10">
        <f>IFERROR(B2494/C2494,"")</f>
        <v/>
      </c>
      <c r="E2494" s="10">
        <f>IFERROR(C2494/B2494,"")</f>
        <v/>
      </c>
      <c r="F2494" s="11">
        <f>IFERROR((D2494/D2493-1)*100,"")</f>
        <v/>
      </c>
      <c r="G2494" s="11">
        <f>IFERROR((COUNTIF($D$2243:$D$2494,"&lt;"&amp;D2494)+0.5*COUNTIF($D$2243:$D$2494,D2494))/COUNT($D$2243:$D$2494)*100,"")</f>
        <v/>
      </c>
      <c r="H2494" s="10">
        <f>IFERROR(AVERAGE($D$2243:$D$2494),"")</f>
        <v/>
      </c>
      <c r="I2494" s="10" t="n">
        <v>-0.2876359308101731</v>
      </c>
      <c r="J2494" t="inlineStr"/>
      <c r="K2494" t="inlineStr"/>
    </row>
    <row r="2495">
      <c r="A2495" s="7" t="inlineStr">
        <is>
          <t>2024-05-30</t>
        </is>
      </c>
      <c r="B2495" s="8">
        <f>IFERROR(VLOOKUP($A2495,'01-原始价格'!$A:$M,2,FALSE),"")</f>
        <v/>
      </c>
      <c r="C2495" s="8">
        <f>IFERROR(VLOOKUP($A2495,'01-原始价格'!$A:$M,8,FALSE),"")</f>
        <v/>
      </c>
      <c r="D2495" s="10">
        <f>IFERROR(B2495/C2495,"")</f>
        <v/>
      </c>
      <c r="E2495" s="10">
        <f>IFERROR(C2495/B2495,"")</f>
        <v/>
      </c>
      <c r="F2495" s="11">
        <f>IFERROR((D2495/D2494-1)*100,"")</f>
        <v/>
      </c>
      <c r="G2495" s="11">
        <f>IFERROR((COUNTIF($D$2244:$D$2495,"&lt;"&amp;D2495)+0.5*COUNTIF($D$2244:$D$2495,D2495))/COUNT($D$2244:$D$2495)*100,"")</f>
        <v/>
      </c>
      <c r="H2495" s="10">
        <f>IFERROR(AVERAGE($D$2244:$D$2495),"")</f>
        <v/>
      </c>
      <c r="I2495" s="10" t="n">
        <v>-0.1134938301036721</v>
      </c>
      <c r="J2495" t="inlineStr"/>
      <c r="K2495" t="inlineStr"/>
    </row>
    <row r="2496">
      <c r="A2496" s="7" t="inlineStr">
        <is>
          <t>2024-05-31</t>
        </is>
      </c>
      <c r="B2496" s="8">
        <f>IFERROR(VLOOKUP($A2496,'01-原始价格'!$A:$M,2,FALSE),"")</f>
        <v/>
      </c>
      <c r="C2496" s="8">
        <f>IFERROR(VLOOKUP($A2496,'01-原始价格'!$A:$M,8,FALSE),"")</f>
        <v/>
      </c>
      <c r="D2496" s="10">
        <f>IFERROR(B2496/C2496,"")</f>
        <v/>
      </c>
      <c r="E2496" s="10">
        <f>IFERROR(C2496/B2496,"")</f>
        <v/>
      </c>
      <c r="F2496" s="11">
        <f>IFERROR((D2496/D2495-1)*100,"")</f>
        <v/>
      </c>
      <c r="G2496" s="11">
        <f>IFERROR((COUNTIF($D$2245:$D$2496,"&lt;"&amp;D2496)+0.5*COUNTIF($D$2245:$D$2496,D2496))/COUNT($D$2245:$D$2496)*100,"")</f>
        <v/>
      </c>
      <c r="H2496" s="10">
        <f>IFERROR(AVERAGE($D$2245:$D$2496),"")</f>
        <v/>
      </c>
      <c r="I2496" s="10" t="n">
        <v>-0.02731564823483333</v>
      </c>
      <c r="J2496" t="inlineStr"/>
      <c r="K2496" t="inlineStr"/>
    </row>
    <row r="2497">
      <c r="A2497" s="7" t="inlineStr">
        <is>
          <t>2024-06-03</t>
        </is>
      </c>
      <c r="B2497" s="8">
        <f>IFERROR(VLOOKUP($A2497,'01-原始价格'!$A:$M,2,FALSE),"")</f>
        <v/>
      </c>
      <c r="C2497" s="8">
        <f>IFERROR(VLOOKUP($A2497,'01-原始价格'!$A:$M,8,FALSE),"")</f>
        <v/>
      </c>
      <c r="D2497" s="10">
        <f>IFERROR(B2497/C2497,"")</f>
        <v/>
      </c>
      <c r="E2497" s="10">
        <f>IFERROR(C2497/B2497,"")</f>
        <v/>
      </c>
      <c r="F2497" s="11">
        <f>IFERROR((D2497/D2496-1)*100,"")</f>
        <v/>
      </c>
      <c r="G2497" s="11">
        <f>IFERROR((COUNTIF($D$2246:$D$2497,"&lt;"&amp;D2497)+0.5*COUNTIF($D$2246:$D$2497,D2497))/COUNT($D$2246:$D$2497)*100,"")</f>
        <v/>
      </c>
      <c r="H2497" s="10">
        <f>IFERROR(AVERAGE($D$2246:$D$2497),"")</f>
        <v/>
      </c>
      <c r="I2497" s="10" t="n">
        <v>-0.2532718326326195</v>
      </c>
      <c r="J2497" t="inlineStr"/>
      <c r="K2497" t="inlineStr"/>
    </row>
    <row r="2498">
      <c r="A2498" s="7" t="inlineStr">
        <is>
          <t>2024-06-04</t>
        </is>
      </c>
      <c r="B2498" s="8">
        <f>IFERROR(VLOOKUP($A2498,'01-原始价格'!$A:$M,2,FALSE),"")</f>
        <v/>
      </c>
      <c r="C2498" s="8">
        <f>IFERROR(VLOOKUP($A2498,'01-原始价格'!$A:$M,8,FALSE),"")</f>
        <v/>
      </c>
      <c r="D2498" s="10">
        <f>IFERROR(B2498/C2498,"")</f>
        <v/>
      </c>
      <c r="E2498" s="10">
        <f>IFERROR(C2498/B2498,"")</f>
        <v/>
      </c>
      <c r="F2498" s="11">
        <f>IFERROR((D2498/D2497-1)*100,"")</f>
        <v/>
      </c>
      <c r="G2498" s="11">
        <f>IFERROR((COUNTIF($D$2247:$D$2498,"&lt;"&amp;D2498)+0.5*COUNTIF($D$2247:$D$2498,D2498))/COUNT($D$2247:$D$2498)*100,"")</f>
        <v/>
      </c>
      <c r="H2498" s="10">
        <f>IFERROR(AVERAGE($D$2247:$D$2498),"")</f>
        <v/>
      </c>
      <c r="I2498" s="10" t="n">
        <v>-0.6720136111986998</v>
      </c>
      <c r="J2498" t="inlineStr"/>
      <c r="K2498" t="inlineStr"/>
    </row>
    <row r="2499">
      <c r="A2499" s="7" t="inlineStr">
        <is>
          <t>2024-06-05</t>
        </is>
      </c>
      <c r="B2499" s="8">
        <f>IFERROR(VLOOKUP($A2499,'01-原始价格'!$A:$M,2,FALSE),"")</f>
        <v/>
      </c>
      <c r="C2499" s="8">
        <f>IFERROR(VLOOKUP($A2499,'01-原始价格'!$A:$M,8,FALSE),"")</f>
        <v/>
      </c>
      <c r="D2499" s="10">
        <f>IFERROR(B2499/C2499,"")</f>
        <v/>
      </c>
      <c r="E2499" s="10">
        <f>IFERROR(C2499/B2499,"")</f>
        <v/>
      </c>
      <c r="F2499" s="11">
        <f>IFERROR((D2499/D2498-1)*100,"")</f>
        <v/>
      </c>
      <c r="G2499" s="11">
        <f>IFERROR((COUNTIF($D$2248:$D$2499,"&lt;"&amp;D2499)+0.5*COUNTIF($D$2248:$D$2499,D2499))/COUNT($D$2248:$D$2499)*100,"")</f>
        <v/>
      </c>
      <c r="H2499" s="10">
        <f>IFERROR(AVERAGE($D$2248:$D$2499),"")</f>
        <v/>
      </c>
      <c r="I2499" s="10" t="n">
        <v>-0.8593439525597798</v>
      </c>
      <c r="J2499" t="inlineStr"/>
      <c r="K2499" t="inlineStr"/>
    </row>
    <row r="2500">
      <c r="A2500" s="7" t="inlineStr">
        <is>
          <t>2024-06-06</t>
        </is>
      </c>
      <c r="B2500" s="8">
        <f>IFERROR(VLOOKUP($A2500,'01-原始价格'!$A:$M,2,FALSE),"")</f>
        <v/>
      </c>
      <c r="C2500" s="8">
        <f>IFERROR(VLOOKUP($A2500,'01-原始价格'!$A:$M,8,FALSE),"")</f>
        <v/>
      </c>
      <c r="D2500" s="10">
        <f>IFERROR(B2500/C2500,"")</f>
        <v/>
      </c>
      <c r="E2500" s="10">
        <f>IFERROR(C2500/B2500,"")</f>
        <v/>
      </c>
      <c r="F2500" s="11">
        <f>IFERROR((D2500/D2499-1)*100,"")</f>
        <v/>
      </c>
      <c r="G2500" s="11">
        <f>IFERROR((COUNTIF($D$2249:$D$2500,"&lt;"&amp;D2500)+0.5*COUNTIF($D$2249:$D$2500,D2500))/COUNT($D$2249:$D$2500)*100,"")</f>
        <v/>
      </c>
      <c r="H2500" s="10">
        <f>IFERROR(AVERAGE($D$2249:$D$2500),"")</f>
        <v/>
      </c>
      <c r="I2500" s="10" t="n">
        <v>-1.066785770239509</v>
      </c>
      <c r="J2500" t="inlineStr"/>
      <c r="K2500" t="inlineStr"/>
    </row>
    <row r="2501">
      <c r="A2501" s="7" t="inlineStr">
        <is>
          <t>2024-06-07</t>
        </is>
      </c>
      <c r="B2501" s="8">
        <f>IFERROR(VLOOKUP($A2501,'01-原始价格'!$A:$M,2,FALSE),"")</f>
        <v/>
      </c>
      <c r="C2501" s="8">
        <f>IFERROR(VLOOKUP($A2501,'01-原始价格'!$A:$M,8,FALSE),"")</f>
        <v/>
      </c>
      <c r="D2501" s="10">
        <f>IFERROR(B2501/C2501,"")</f>
        <v/>
      </c>
      <c r="E2501" s="10">
        <f>IFERROR(C2501/B2501,"")</f>
        <v/>
      </c>
      <c r="F2501" s="11">
        <f>IFERROR((D2501/D2500-1)*100,"")</f>
        <v/>
      </c>
      <c r="G2501" s="11">
        <f>IFERROR((COUNTIF($D$2250:$D$2501,"&lt;"&amp;D2501)+0.5*COUNTIF($D$2250:$D$2501,D2501))/COUNT($D$2250:$D$2501)*100,"")</f>
        <v/>
      </c>
      <c r="H2501" s="10">
        <f>IFERROR(AVERAGE($D$2250:$D$2501),"")</f>
        <v/>
      </c>
      <c r="I2501" s="10" t="n">
        <v>-1.156174357622595</v>
      </c>
      <c r="J2501" t="inlineStr"/>
      <c r="K2501" t="inlineStr"/>
    </row>
    <row r="2502">
      <c r="A2502" s="7" t="inlineStr">
        <is>
          <t>2024-06-11</t>
        </is>
      </c>
      <c r="B2502" s="8">
        <f>IFERROR(VLOOKUP($A2502,'01-原始价格'!$A:$M,2,FALSE),"")</f>
        <v/>
      </c>
      <c r="C2502" s="8">
        <f>IFERROR(VLOOKUP($A2502,'01-原始价格'!$A:$M,8,FALSE),"")</f>
        <v/>
      </c>
      <c r="D2502" s="10">
        <f>IFERROR(B2502/C2502,"")</f>
        <v/>
      </c>
      <c r="E2502" s="10">
        <f>IFERROR(C2502/B2502,"")</f>
        <v/>
      </c>
      <c r="F2502" s="11">
        <f>IFERROR((D2502/D2501-1)*100,"")</f>
        <v/>
      </c>
      <c r="G2502" s="11">
        <f>IFERROR((COUNTIF($D$2251:$D$2502,"&lt;"&amp;D2502)+0.5*COUNTIF($D$2251:$D$2502,D2502))/COUNT($D$2251:$D$2502)*100,"")</f>
        <v/>
      </c>
      <c r="H2502" s="10">
        <f>IFERROR(AVERAGE($D$2251:$D$2502),"")</f>
        <v/>
      </c>
      <c r="I2502" s="10" t="n">
        <v>-1.1127013906281</v>
      </c>
      <c r="J2502" t="inlineStr"/>
      <c r="K2502" t="inlineStr"/>
    </row>
    <row r="2503">
      <c r="A2503" s="7" t="inlineStr">
        <is>
          <t>2024-06-12</t>
        </is>
      </c>
      <c r="B2503" s="8">
        <f>IFERROR(VLOOKUP($A2503,'01-原始价格'!$A:$M,2,FALSE),"")</f>
        <v/>
      </c>
      <c r="C2503" s="8">
        <f>IFERROR(VLOOKUP($A2503,'01-原始价格'!$A:$M,8,FALSE),"")</f>
        <v/>
      </c>
      <c r="D2503" s="10">
        <f>IFERROR(B2503/C2503,"")</f>
        <v/>
      </c>
      <c r="E2503" s="10">
        <f>IFERROR(C2503/B2503,"")</f>
        <v/>
      </c>
      <c r="F2503" s="11">
        <f>IFERROR((D2503/D2502-1)*100,"")</f>
        <v/>
      </c>
      <c r="G2503" s="11">
        <f>IFERROR((COUNTIF($D$2252:$D$2503,"&lt;"&amp;D2503)+0.5*COUNTIF($D$2252:$D$2503,D2503))/COUNT($D$2252:$D$2503)*100,"")</f>
        <v/>
      </c>
      <c r="H2503" s="10">
        <f>IFERROR(AVERAGE($D$2252:$D$2503),"")</f>
        <v/>
      </c>
      <c r="I2503" s="10" t="n">
        <v>-1.315034347971144</v>
      </c>
      <c r="J2503" t="inlineStr"/>
      <c r="K2503" t="inlineStr"/>
    </row>
    <row r="2504">
      <c r="A2504" s="7" t="inlineStr">
        <is>
          <t>2024-06-13</t>
        </is>
      </c>
      <c r="B2504" s="8">
        <f>IFERROR(VLOOKUP($A2504,'01-原始价格'!$A:$M,2,FALSE),"")</f>
        <v/>
      </c>
      <c r="C2504" s="8">
        <f>IFERROR(VLOOKUP($A2504,'01-原始价格'!$A:$M,8,FALSE),"")</f>
        <v/>
      </c>
      <c r="D2504" s="10">
        <f>IFERROR(B2504/C2504,"")</f>
        <v/>
      </c>
      <c r="E2504" s="10">
        <f>IFERROR(C2504/B2504,"")</f>
        <v/>
      </c>
      <c r="F2504" s="11">
        <f>IFERROR((D2504/D2503-1)*100,"")</f>
        <v/>
      </c>
      <c r="G2504" s="11">
        <f>IFERROR((COUNTIF($D$2253:$D$2504,"&lt;"&amp;D2504)+0.5*COUNTIF($D$2253:$D$2504,D2504))/COUNT($D$2253:$D$2504)*100,"")</f>
        <v/>
      </c>
      <c r="H2504" s="10">
        <f>IFERROR(AVERAGE($D$2253:$D$2504),"")</f>
        <v/>
      </c>
      <c r="I2504" s="10" t="n">
        <v>-1.408899904003851</v>
      </c>
      <c r="J2504" t="inlineStr"/>
      <c r="K2504" t="inlineStr"/>
    </row>
    <row r="2505">
      <c r="A2505" s="7" t="inlineStr">
        <is>
          <t>2024-06-14</t>
        </is>
      </c>
      <c r="B2505" s="8">
        <f>IFERROR(VLOOKUP($A2505,'01-原始价格'!$A:$M,2,FALSE),"")</f>
        <v/>
      </c>
      <c r="C2505" s="8">
        <f>IFERROR(VLOOKUP($A2505,'01-原始价格'!$A:$M,8,FALSE),"")</f>
        <v/>
      </c>
      <c r="D2505" s="10">
        <f>IFERROR(B2505/C2505,"")</f>
        <v/>
      </c>
      <c r="E2505" s="10">
        <f>IFERROR(C2505/B2505,"")</f>
        <v/>
      </c>
      <c r="F2505" s="11">
        <f>IFERROR((D2505/D2504-1)*100,"")</f>
        <v/>
      </c>
      <c r="G2505" s="11">
        <f>IFERROR((COUNTIF($D$2254:$D$2505,"&lt;"&amp;D2505)+0.5*COUNTIF($D$2254:$D$2505,D2505))/COUNT($D$2254:$D$2505)*100,"")</f>
        <v/>
      </c>
      <c r="H2505" s="10">
        <f>IFERROR(AVERAGE($D$2254:$D$2505),"")</f>
        <v/>
      </c>
      <c r="I2505" s="10" t="n">
        <v>-1.220314320003696</v>
      </c>
      <c r="J2505" t="inlineStr"/>
      <c r="K2505" t="inlineStr"/>
    </row>
    <row r="2506">
      <c r="A2506" s="7" t="inlineStr">
        <is>
          <t>2024-06-17</t>
        </is>
      </c>
      <c r="B2506" s="8">
        <f>IFERROR(VLOOKUP($A2506,'01-原始价格'!$A:$M,2,FALSE),"")</f>
        <v/>
      </c>
      <c r="C2506" s="8">
        <f>IFERROR(VLOOKUP($A2506,'01-原始价格'!$A:$M,8,FALSE),"")</f>
        <v/>
      </c>
      <c r="D2506" s="10">
        <f>IFERROR(B2506/C2506,"")</f>
        <v/>
      </c>
      <c r="E2506" s="10">
        <f>IFERROR(C2506/B2506,"")</f>
        <v/>
      </c>
      <c r="F2506" s="11">
        <f>IFERROR((D2506/D2505-1)*100,"")</f>
        <v/>
      </c>
      <c r="G2506" s="11">
        <f>IFERROR((COUNTIF($D$2255:$D$2506,"&lt;"&amp;D2506)+0.5*COUNTIF($D$2255:$D$2506,D2506))/COUNT($D$2255:$D$2506)*100,"")</f>
        <v/>
      </c>
      <c r="H2506" s="10">
        <f>IFERROR(AVERAGE($D$2255:$D$2506),"")</f>
        <v/>
      </c>
      <c r="I2506" s="10" t="n">
        <v>-0.563519870049044</v>
      </c>
      <c r="J2506" t="inlineStr"/>
      <c r="K2506" t="inlineStr"/>
    </row>
    <row r="2507">
      <c r="A2507" s="7" t="inlineStr">
        <is>
          <t>2024-06-18</t>
        </is>
      </c>
      <c r="B2507" s="8">
        <f>IFERROR(VLOOKUP($A2507,'01-原始价格'!$A:$M,2,FALSE),"")</f>
        <v/>
      </c>
      <c r="C2507" s="8">
        <f>IFERROR(VLOOKUP($A2507,'01-原始价格'!$A:$M,8,FALSE),"")</f>
        <v/>
      </c>
      <c r="D2507" s="10">
        <f>IFERROR(B2507/C2507,"")</f>
        <v/>
      </c>
      <c r="E2507" s="10">
        <f>IFERROR(C2507/B2507,"")</f>
        <v/>
      </c>
      <c r="F2507" s="11">
        <f>IFERROR((D2507/D2506-1)*100,"")</f>
        <v/>
      </c>
      <c r="G2507" s="11">
        <f>IFERROR((COUNTIF($D$2256:$D$2507,"&lt;"&amp;D2507)+0.5*COUNTIF($D$2256:$D$2507,D2507))/COUNT($D$2256:$D$2507)*100,"")</f>
        <v/>
      </c>
      <c r="H2507" s="10">
        <f>IFERROR(AVERAGE($D$2256:$D$2507),"")</f>
        <v/>
      </c>
      <c r="I2507" s="10" t="n">
        <v>-0.7473499019332949</v>
      </c>
      <c r="J2507" t="inlineStr"/>
      <c r="K2507" t="inlineStr"/>
    </row>
    <row r="2508">
      <c r="A2508" s="7" t="inlineStr">
        <is>
          <t>2024-06-19</t>
        </is>
      </c>
      <c r="B2508" s="8">
        <f>IFERROR(VLOOKUP($A2508,'01-原始价格'!$A:$M,2,FALSE),"")</f>
        <v/>
      </c>
      <c r="C2508" s="8">
        <f>IFERROR(VLOOKUP($A2508,'01-原始价格'!$A:$M,8,FALSE),"")</f>
        <v/>
      </c>
      <c r="D2508" s="10">
        <f>IFERROR(B2508/C2508,"")</f>
        <v/>
      </c>
      <c r="E2508" s="10">
        <f>IFERROR(C2508/B2508,"")</f>
        <v/>
      </c>
      <c r="F2508" s="11">
        <f>IFERROR((D2508/D2507-1)*100,"")</f>
        <v/>
      </c>
      <c r="G2508" s="11">
        <f>IFERROR((COUNTIF($D$2257:$D$2508,"&lt;"&amp;D2508)+0.5*COUNTIF($D$2257:$D$2508,D2508))/COUNT($D$2257:$D$2508)*100,"")</f>
        <v/>
      </c>
      <c r="H2508" s="10">
        <f>IFERROR(AVERAGE($D$2257:$D$2508),"")</f>
        <v/>
      </c>
      <c r="I2508" s="10" t="n">
        <v>-0.3864646348860954</v>
      </c>
      <c r="J2508" t="inlineStr"/>
      <c r="K2508" t="inlineStr"/>
    </row>
    <row r="2509">
      <c r="A2509" s="7" t="inlineStr">
        <is>
          <t>2024-06-20</t>
        </is>
      </c>
      <c r="B2509" s="8">
        <f>IFERROR(VLOOKUP($A2509,'01-原始价格'!$A:$M,2,FALSE),"")</f>
        <v/>
      </c>
      <c r="C2509" s="8">
        <f>IFERROR(VLOOKUP($A2509,'01-原始价格'!$A:$M,8,FALSE),"")</f>
        <v/>
      </c>
      <c r="D2509" s="10">
        <f>IFERROR(B2509/C2509,"")</f>
        <v/>
      </c>
      <c r="E2509" s="10">
        <f>IFERROR(C2509/B2509,"")</f>
        <v/>
      </c>
      <c r="F2509" s="11">
        <f>IFERROR((D2509/D2508-1)*100,"")</f>
        <v/>
      </c>
      <c r="G2509" s="11">
        <f>IFERROR((COUNTIF($D$2258:$D$2509,"&lt;"&amp;D2509)+0.5*COUNTIF($D$2258:$D$2509,D2509))/COUNT($D$2258:$D$2509)*100,"")</f>
        <v/>
      </c>
      <c r="H2509" s="10">
        <f>IFERROR(AVERAGE($D$2258:$D$2509),"")</f>
        <v/>
      </c>
      <c r="I2509" s="10" t="n">
        <v>-0.5022601048487206</v>
      </c>
      <c r="J2509" t="inlineStr"/>
      <c r="K2509" t="inlineStr"/>
    </row>
    <row r="2510">
      <c r="A2510" s="7" t="inlineStr">
        <is>
          <t>2024-06-21</t>
        </is>
      </c>
      <c r="B2510" s="8">
        <f>IFERROR(VLOOKUP($A2510,'01-原始价格'!$A:$M,2,FALSE),"")</f>
        <v/>
      </c>
      <c r="C2510" s="8">
        <f>IFERROR(VLOOKUP($A2510,'01-原始价格'!$A:$M,8,FALSE),"")</f>
        <v/>
      </c>
      <c r="D2510" s="10">
        <f>IFERROR(B2510/C2510,"")</f>
        <v/>
      </c>
      <c r="E2510" s="10">
        <f>IFERROR(C2510/B2510,"")</f>
        <v/>
      </c>
      <c r="F2510" s="11">
        <f>IFERROR((D2510/D2509-1)*100,"")</f>
        <v/>
      </c>
      <c r="G2510" s="11">
        <f>IFERROR((COUNTIF($D$2259:$D$2510,"&lt;"&amp;D2510)+0.5*COUNTIF($D$2259:$D$2510,D2510))/COUNT($D$2259:$D$2510)*100,"")</f>
        <v/>
      </c>
      <c r="H2510" s="10">
        <f>IFERROR(AVERAGE($D$2259:$D$2510),"")</f>
        <v/>
      </c>
      <c r="I2510" s="10" t="n">
        <v>-0.1510489093416129</v>
      </c>
      <c r="J2510" t="inlineStr"/>
      <c r="K2510" t="inlineStr"/>
    </row>
    <row r="2511">
      <c r="A2511" s="7" t="inlineStr">
        <is>
          <t>2024-06-24</t>
        </is>
      </c>
      <c r="B2511" s="8">
        <f>IFERROR(VLOOKUP($A2511,'01-原始价格'!$A:$M,2,FALSE),"")</f>
        <v/>
      </c>
      <c r="C2511" s="8">
        <f>IFERROR(VLOOKUP($A2511,'01-原始价格'!$A:$M,8,FALSE),"")</f>
        <v/>
      </c>
      <c r="D2511" s="10">
        <f>IFERROR(B2511/C2511,"")</f>
        <v/>
      </c>
      <c r="E2511" s="10">
        <f>IFERROR(C2511/B2511,"")</f>
        <v/>
      </c>
      <c r="F2511" s="11">
        <f>IFERROR((D2511/D2510-1)*100,"")</f>
        <v/>
      </c>
      <c r="G2511" s="11">
        <f>IFERROR((COUNTIF($D$2260:$D$2511,"&lt;"&amp;D2511)+0.5*COUNTIF($D$2260:$D$2511,D2511))/COUNT($D$2260:$D$2511)*100,"")</f>
        <v/>
      </c>
      <c r="H2511" s="10">
        <f>IFERROR(AVERAGE($D$2260:$D$2511),"")</f>
        <v/>
      </c>
      <c r="I2511" s="10" t="n">
        <v>-0.01534656837164684</v>
      </c>
      <c r="J2511" t="inlineStr"/>
      <c r="K2511" t="inlineStr"/>
    </row>
    <row r="2512">
      <c r="A2512" s="7" t="inlineStr">
        <is>
          <t>2024-06-25</t>
        </is>
      </c>
      <c r="B2512" s="8">
        <f>IFERROR(VLOOKUP($A2512,'01-原始价格'!$A:$M,2,FALSE),"")</f>
        <v/>
      </c>
      <c r="C2512" s="8">
        <f>IFERROR(VLOOKUP($A2512,'01-原始价格'!$A:$M,8,FALSE),"")</f>
        <v/>
      </c>
      <c r="D2512" s="10">
        <f>IFERROR(B2512/C2512,"")</f>
        <v/>
      </c>
      <c r="E2512" s="10">
        <f>IFERROR(C2512/B2512,"")</f>
        <v/>
      </c>
      <c r="F2512" s="11">
        <f>IFERROR((D2512/D2511-1)*100,"")</f>
        <v/>
      </c>
      <c r="G2512" s="11">
        <f>IFERROR((COUNTIF($D$2261:$D$2512,"&lt;"&amp;D2512)+0.5*COUNTIF($D$2261:$D$2512,D2512))/COUNT($D$2261:$D$2512)*100,"")</f>
        <v/>
      </c>
      <c r="H2512" s="10">
        <f>IFERROR(AVERAGE($D$2261:$D$2512),"")</f>
        <v/>
      </c>
      <c r="I2512" s="10" t="n">
        <v>0.246226341612279</v>
      </c>
      <c r="J2512" t="inlineStr"/>
      <c r="K2512" t="inlineStr"/>
    </row>
    <row r="2513">
      <c r="A2513" s="7" t="inlineStr">
        <is>
          <t>2024-06-26</t>
        </is>
      </c>
      <c r="B2513" s="8">
        <f>IFERROR(VLOOKUP($A2513,'01-原始价格'!$A:$M,2,FALSE),"")</f>
        <v/>
      </c>
      <c r="C2513" s="8">
        <f>IFERROR(VLOOKUP($A2513,'01-原始价格'!$A:$M,8,FALSE),"")</f>
        <v/>
      </c>
      <c r="D2513" s="10">
        <f>IFERROR(B2513/C2513,"")</f>
        <v/>
      </c>
      <c r="E2513" s="10">
        <f>IFERROR(C2513/B2513,"")</f>
        <v/>
      </c>
      <c r="F2513" s="11">
        <f>IFERROR((D2513/D2512-1)*100,"")</f>
        <v/>
      </c>
      <c r="G2513" s="11">
        <f>IFERROR((COUNTIF($D$2262:$D$2513,"&lt;"&amp;D2513)+0.5*COUNTIF($D$2262:$D$2513,D2513))/COUNT($D$2262:$D$2513)*100,"")</f>
        <v/>
      </c>
      <c r="H2513" s="10">
        <f>IFERROR(AVERAGE($D$2262:$D$2513),"")</f>
        <v/>
      </c>
      <c r="I2513" s="10" t="n">
        <v>0.3544207091978158</v>
      </c>
      <c r="J2513" t="inlineStr"/>
      <c r="K2513" t="inlineStr"/>
    </row>
    <row r="2514">
      <c r="A2514" s="7" t="inlineStr">
        <is>
          <t>2024-06-27</t>
        </is>
      </c>
      <c r="B2514" s="8">
        <f>IFERROR(VLOOKUP($A2514,'01-原始价格'!$A:$M,2,FALSE),"")</f>
        <v/>
      </c>
      <c r="C2514" s="8">
        <f>IFERROR(VLOOKUP($A2514,'01-原始价格'!$A:$M,8,FALSE),"")</f>
        <v/>
      </c>
      <c r="D2514" s="10">
        <f>IFERROR(B2514/C2514,"")</f>
        <v/>
      </c>
      <c r="E2514" s="10">
        <f>IFERROR(C2514/B2514,"")</f>
        <v/>
      </c>
      <c r="F2514" s="11">
        <f>IFERROR((D2514/D2513-1)*100,"")</f>
        <v/>
      </c>
      <c r="G2514" s="11">
        <f>IFERROR((COUNTIF($D$2263:$D$2514,"&lt;"&amp;D2514)+0.5*COUNTIF($D$2263:$D$2514,D2514))/COUNT($D$2263:$D$2514)*100,"")</f>
        <v/>
      </c>
      <c r="H2514" s="10">
        <f>IFERROR(AVERAGE($D$2263:$D$2514),"")</f>
        <v/>
      </c>
      <c r="I2514" s="10" t="n">
        <v>0.4762853540164522</v>
      </c>
      <c r="J2514" t="inlineStr"/>
      <c r="K2514" t="inlineStr"/>
    </row>
    <row r="2515">
      <c r="A2515" s="7" t="inlineStr">
        <is>
          <t>2024-06-28</t>
        </is>
      </c>
      <c r="B2515" s="8">
        <f>IFERROR(VLOOKUP($A2515,'01-原始价格'!$A:$M,2,FALSE),"")</f>
        <v/>
      </c>
      <c r="C2515" s="8">
        <f>IFERROR(VLOOKUP($A2515,'01-原始价格'!$A:$M,8,FALSE),"")</f>
        <v/>
      </c>
      <c r="D2515" s="10">
        <f>IFERROR(B2515/C2515,"")</f>
        <v/>
      </c>
      <c r="E2515" s="10">
        <f>IFERROR(C2515/B2515,"")</f>
        <v/>
      </c>
      <c r="F2515" s="11">
        <f>IFERROR((D2515/D2514-1)*100,"")</f>
        <v/>
      </c>
      <c r="G2515" s="11">
        <f>IFERROR((COUNTIF($D$2264:$D$2515,"&lt;"&amp;D2515)+0.5*COUNTIF($D$2264:$D$2515,D2515))/COUNT($D$2264:$D$2515)*100,"")</f>
        <v/>
      </c>
      <c r="H2515" s="10">
        <f>IFERROR(AVERAGE($D$2264:$D$2515),"")</f>
        <v/>
      </c>
      <c r="I2515" s="10" t="n">
        <v>0.3766718766067322</v>
      </c>
      <c r="J2515" t="inlineStr"/>
      <c r="K2515" t="inlineStr"/>
    </row>
    <row r="2516">
      <c r="A2516" s="7" t="inlineStr">
        <is>
          <t>2024-07-01</t>
        </is>
      </c>
      <c r="B2516" s="8">
        <f>IFERROR(VLOOKUP($A2516,'01-原始价格'!$A:$M,2,FALSE),"")</f>
        <v/>
      </c>
      <c r="C2516" s="8">
        <f>IFERROR(VLOOKUP($A2516,'01-原始价格'!$A:$M,8,FALSE),"")</f>
        <v/>
      </c>
      <c r="D2516" s="10">
        <f>IFERROR(B2516/C2516,"")</f>
        <v/>
      </c>
      <c r="E2516" s="10">
        <f>IFERROR(C2516/B2516,"")</f>
        <v/>
      </c>
      <c r="F2516" s="11">
        <f>IFERROR((D2516/D2515-1)*100,"")</f>
        <v/>
      </c>
      <c r="G2516" s="11">
        <f>IFERROR((COUNTIF($D$2265:$D$2516,"&lt;"&amp;D2516)+0.5*COUNTIF($D$2265:$D$2516,D2516))/COUNT($D$2265:$D$2516)*100,"")</f>
        <v/>
      </c>
      <c r="H2516" s="10">
        <f>IFERROR(AVERAGE($D$2265:$D$2516),"")</f>
        <v/>
      </c>
      <c r="I2516" s="10" t="n">
        <v>0.3823325244546342</v>
      </c>
      <c r="J2516" t="inlineStr"/>
      <c r="K2516" t="inlineStr"/>
    </row>
    <row r="2517">
      <c r="A2517" s="7" t="inlineStr">
        <is>
          <t>2024-07-02</t>
        </is>
      </c>
      <c r="B2517" s="8">
        <f>IFERROR(VLOOKUP($A2517,'01-原始价格'!$A:$M,2,FALSE),"")</f>
        <v/>
      </c>
      <c r="C2517" s="8">
        <f>IFERROR(VLOOKUP($A2517,'01-原始价格'!$A:$M,8,FALSE),"")</f>
        <v/>
      </c>
      <c r="D2517" s="10">
        <f>IFERROR(B2517/C2517,"")</f>
        <v/>
      </c>
      <c r="E2517" s="10">
        <f>IFERROR(C2517/B2517,"")</f>
        <v/>
      </c>
      <c r="F2517" s="11">
        <f>IFERROR((D2517/D2516-1)*100,"")</f>
        <v/>
      </c>
      <c r="G2517" s="11">
        <f>IFERROR((COUNTIF($D$2266:$D$2517,"&lt;"&amp;D2517)+0.5*COUNTIF($D$2266:$D$2517,D2517))/COUNT($D$2266:$D$2517)*100,"")</f>
        <v/>
      </c>
      <c r="H2517" s="10">
        <f>IFERROR(AVERAGE($D$2266:$D$2517),"")</f>
        <v/>
      </c>
      <c r="I2517" s="10" t="n">
        <v>0.2315679598044434</v>
      </c>
      <c r="J2517" t="inlineStr"/>
      <c r="K2517" t="inlineStr"/>
    </row>
    <row r="2518">
      <c r="A2518" s="7" t="inlineStr">
        <is>
          <t>2024-07-03</t>
        </is>
      </c>
      <c r="B2518" s="8">
        <f>IFERROR(VLOOKUP($A2518,'01-原始价格'!$A:$M,2,FALSE),"")</f>
        <v/>
      </c>
      <c r="C2518" s="8">
        <f>IFERROR(VLOOKUP($A2518,'01-原始价格'!$A:$M,8,FALSE),"")</f>
        <v/>
      </c>
      <c r="D2518" s="10">
        <f>IFERROR(B2518/C2518,"")</f>
        <v/>
      </c>
      <c r="E2518" s="10">
        <f>IFERROR(C2518/B2518,"")</f>
        <v/>
      </c>
      <c r="F2518" s="11">
        <f>IFERROR((D2518/D2517-1)*100,"")</f>
        <v/>
      </c>
      <c r="G2518" s="11">
        <f>IFERROR((COUNTIF($D$2267:$D$2518,"&lt;"&amp;D2518)+0.5*COUNTIF($D$2267:$D$2518,D2518))/COUNT($D$2267:$D$2518)*100,"")</f>
        <v/>
      </c>
      <c r="H2518" s="10">
        <f>IFERROR(AVERAGE($D$2267:$D$2518),"")</f>
        <v/>
      </c>
      <c r="I2518" s="10" t="n">
        <v>0.4973498969093403</v>
      </c>
      <c r="J2518" t="inlineStr"/>
      <c r="K2518" t="inlineStr"/>
    </row>
    <row r="2519">
      <c r="A2519" s="7" t="inlineStr">
        <is>
          <t>2024-07-04</t>
        </is>
      </c>
      <c r="B2519" s="8">
        <f>IFERROR(VLOOKUP($A2519,'01-原始价格'!$A:$M,2,FALSE),"")</f>
        <v/>
      </c>
      <c r="C2519" s="8">
        <f>IFERROR(VLOOKUP($A2519,'01-原始价格'!$A:$M,8,FALSE),"")</f>
        <v/>
      </c>
      <c r="D2519" s="10">
        <f>IFERROR(B2519/C2519,"")</f>
        <v/>
      </c>
      <c r="E2519" s="10">
        <f>IFERROR(C2519/B2519,"")</f>
        <v/>
      </c>
      <c r="F2519" s="11">
        <f>IFERROR((D2519/D2518-1)*100,"")</f>
        <v/>
      </c>
      <c r="G2519" s="11">
        <f>IFERROR((COUNTIF($D$2268:$D$2519,"&lt;"&amp;D2519)+0.5*COUNTIF($D$2268:$D$2519,D2519))/COUNT($D$2268:$D$2519)*100,"")</f>
        <v/>
      </c>
      <c r="H2519" s="10">
        <f>IFERROR(AVERAGE($D$2268:$D$2519),"")</f>
        <v/>
      </c>
      <c r="I2519" s="10" t="n">
        <v>0.5817247277379304</v>
      </c>
      <c r="J2519" t="inlineStr"/>
      <c r="K2519" t="inlineStr"/>
    </row>
    <row r="2520">
      <c r="A2520" s="7" t="inlineStr">
        <is>
          <t>2024-07-05</t>
        </is>
      </c>
      <c r="B2520" s="8">
        <f>IFERROR(VLOOKUP($A2520,'01-原始价格'!$A:$M,2,FALSE),"")</f>
        <v/>
      </c>
      <c r="C2520" s="8">
        <f>IFERROR(VLOOKUP($A2520,'01-原始价格'!$A:$M,8,FALSE),"")</f>
        <v/>
      </c>
      <c r="D2520" s="10">
        <f>IFERROR(B2520/C2520,"")</f>
        <v/>
      </c>
      <c r="E2520" s="10">
        <f>IFERROR(C2520/B2520,"")</f>
        <v/>
      </c>
      <c r="F2520" s="11">
        <f>IFERROR((D2520/D2519-1)*100,"")</f>
        <v/>
      </c>
      <c r="G2520" s="11">
        <f>IFERROR((COUNTIF($D$2269:$D$2520,"&lt;"&amp;D2520)+0.5*COUNTIF($D$2269:$D$2520,D2520))/COUNT($D$2269:$D$2520)*100,"")</f>
        <v/>
      </c>
      <c r="H2520" s="10">
        <f>IFERROR(AVERAGE($D$2269:$D$2520),"")</f>
        <v/>
      </c>
      <c r="I2520" s="10" t="n">
        <v>0.7341917239750591</v>
      </c>
      <c r="J2520" t="inlineStr"/>
      <c r="K2520" t="inlineStr"/>
    </row>
    <row r="2521">
      <c r="A2521" s="7" t="inlineStr">
        <is>
          <t>2024-07-08</t>
        </is>
      </c>
      <c r="B2521" s="8">
        <f>IFERROR(VLOOKUP($A2521,'01-原始价格'!$A:$M,2,FALSE),"")</f>
        <v/>
      </c>
      <c r="C2521" s="8">
        <f>IFERROR(VLOOKUP($A2521,'01-原始价格'!$A:$M,8,FALSE),"")</f>
        <v/>
      </c>
      <c r="D2521" s="10">
        <f>IFERROR(B2521/C2521,"")</f>
        <v/>
      </c>
      <c r="E2521" s="10">
        <f>IFERROR(C2521/B2521,"")</f>
        <v/>
      </c>
      <c r="F2521" s="11">
        <f>IFERROR((D2521/D2520-1)*100,"")</f>
        <v/>
      </c>
      <c r="G2521" s="11">
        <f>IFERROR((COUNTIF($D$2270:$D$2521,"&lt;"&amp;D2521)+0.5*COUNTIF($D$2270:$D$2521,D2521))/COUNT($D$2270:$D$2521)*100,"")</f>
        <v/>
      </c>
      <c r="H2521" s="10">
        <f>IFERROR(AVERAGE($D$2270:$D$2521),"")</f>
        <v/>
      </c>
      <c r="I2521" s="10" t="n">
        <v>1.398171941106451</v>
      </c>
      <c r="J2521" t="inlineStr"/>
      <c r="K2521" t="inlineStr"/>
    </row>
    <row r="2522">
      <c r="A2522" s="7" t="inlineStr">
        <is>
          <t>2024-07-09</t>
        </is>
      </c>
      <c r="B2522" s="8">
        <f>IFERROR(VLOOKUP($A2522,'01-原始价格'!$A:$M,2,FALSE),"")</f>
        <v/>
      </c>
      <c r="C2522" s="8">
        <f>IFERROR(VLOOKUP($A2522,'01-原始价格'!$A:$M,8,FALSE),"")</f>
        <v/>
      </c>
      <c r="D2522" s="10">
        <f>IFERROR(B2522/C2522,"")</f>
        <v/>
      </c>
      <c r="E2522" s="10">
        <f>IFERROR(C2522/B2522,"")</f>
        <v/>
      </c>
      <c r="F2522" s="11">
        <f>IFERROR((D2522/D2521-1)*100,"")</f>
        <v/>
      </c>
      <c r="G2522" s="11">
        <f>IFERROR((COUNTIF($D$2271:$D$2522,"&lt;"&amp;D2522)+0.5*COUNTIF($D$2271:$D$2522,D2522))/COUNT($D$2271:$D$2522)*100,"")</f>
        <v/>
      </c>
      <c r="H2522" s="10">
        <f>IFERROR(AVERAGE($D$2271:$D$2522),"")</f>
        <v/>
      </c>
      <c r="I2522" s="10" t="n">
        <v>2.047322255116149</v>
      </c>
      <c r="J2522" t="inlineStr"/>
      <c r="K2522" t="inlineStr"/>
    </row>
    <row r="2523">
      <c r="A2523" s="7" t="inlineStr">
        <is>
          <t>2024-07-10</t>
        </is>
      </c>
      <c r="B2523" s="8">
        <f>IFERROR(VLOOKUP($A2523,'01-原始价格'!$A:$M,2,FALSE),"")</f>
        <v/>
      </c>
      <c r="C2523" s="8">
        <f>IFERROR(VLOOKUP($A2523,'01-原始价格'!$A:$M,8,FALSE),"")</f>
        <v/>
      </c>
      <c r="D2523" s="10">
        <f>IFERROR(B2523/C2523,"")</f>
        <v/>
      </c>
      <c r="E2523" s="10">
        <f>IFERROR(C2523/B2523,"")</f>
        <v/>
      </c>
      <c r="F2523" s="11">
        <f>IFERROR((D2523/D2522-1)*100,"")</f>
        <v/>
      </c>
      <c r="G2523" s="11">
        <f>IFERROR((COUNTIF($D$2272:$D$2523,"&lt;"&amp;D2523)+0.5*COUNTIF($D$2272:$D$2523,D2523))/COUNT($D$2272:$D$2523)*100,"")</f>
        <v/>
      </c>
      <c r="H2523" s="10">
        <f>IFERROR(AVERAGE($D$2272:$D$2523),"")</f>
        <v/>
      </c>
      <c r="I2523" s="10" t="n">
        <v>2.004858544581595</v>
      </c>
      <c r="J2523" t="inlineStr"/>
      <c r="K2523" t="inlineStr"/>
    </row>
    <row r="2524">
      <c r="A2524" s="7" t="inlineStr">
        <is>
          <t>2024-07-11</t>
        </is>
      </c>
      <c r="B2524" s="8">
        <f>IFERROR(VLOOKUP($A2524,'01-原始价格'!$A:$M,2,FALSE),"")</f>
        <v/>
      </c>
      <c r="C2524" s="8">
        <f>IFERROR(VLOOKUP($A2524,'01-原始价格'!$A:$M,8,FALSE),"")</f>
        <v/>
      </c>
      <c r="D2524" s="10">
        <f>IFERROR(B2524/C2524,"")</f>
        <v/>
      </c>
      <c r="E2524" s="10">
        <f>IFERROR(C2524/B2524,"")</f>
        <v/>
      </c>
      <c r="F2524" s="11">
        <f>IFERROR((D2524/D2523-1)*100,"")</f>
        <v/>
      </c>
      <c r="G2524" s="11">
        <f>IFERROR((COUNTIF($D$2273:$D$2524,"&lt;"&amp;D2524)+0.5*COUNTIF($D$2273:$D$2524,D2524))/COUNT($D$2273:$D$2524)*100,"")</f>
        <v/>
      </c>
      <c r="H2524" s="10">
        <f>IFERROR(AVERAGE($D$2273:$D$2524),"")</f>
        <v/>
      </c>
      <c r="I2524" s="10" t="n">
        <v>2.231561449110675</v>
      </c>
      <c r="J2524" t="inlineStr"/>
      <c r="K2524" t="inlineStr"/>
    </row>
    <row r="2525">
      <c r="A2525" s="7" t="inlineStr">
        <is>
          <t>2024-07-12</t>
        </is>
      </c>
      <c r="B2525" s="8">
        <f>IFERROR(VLOOKUP($A2525,'01-原始价格'!$A:$M,2,FALSE),"")</f>
        <v/>
      </c>
      <c r="C2525" s="8">
        <f>IFERROR(VLOOKUP($A2525,'01-原始价格'!$A:$M,8,FALSE),"")</f>
        <v/>
      </c>
      <c r="D2525" s="10">
        <f>IFERROR(B2525/C2525,"")</f>
        <v/>
      </c>
      <c r="E2525" s="10">
        <f>IFERROR(C2525/B2525,"")</f>
        <v/>
      </c>
      <c r="F2525" s="11">
        <f>IFERROR((D2525/D2524-1)*100,"")</f>
        <v/>
      </c>
      <c r="G2525" s="11">
        <f>IFERROR((COUNTIF($D$2274:$D$2525,"&lt;"&amp;D2525)+0.5*COUNTIF($D$2274:$D$2525,D2525))/COUNT($D$2274:$D$2525)*100,"")</f>
        <v/>
      </c>
      <c r="H2525" s="10">
        <f>IFERROR(AVERAGE($D$2274:$D$2525),"")</f>
        <v/>
      </c>
      <c r="I2525" s="10" t="n">
        <v>2.493458764041745</v>
      </c>
      <c r="J2525" t="inlineStr"/>
      <c r="K2525" t="inlineStr"/>
    </row>
    <row r="2526">
      <c r="A2526" s="7" t="inlineStr">
        <is>
          <t>2024-07-15</t>
        </is>
      </c>
      <c r="B2526" s="8">
        <f>IFERROR(VLOOKUP($A2526,'01-原始价格'!$A:$M,2,FALSE),"")</f>
        <v/>
      </c>
      <c r="C2526" s="8">
        <f>IFERROR(VLOOKUP($A2526,'01-原始价格'!$A:$M,8,FALSE),"")</f>
        <v/>
      </c>
      <c r="D2526" s="10">
        <f>IFERROR(B2526/C2526,"")</f>
        <v/>
      </c>
      <c r="E2526" s="10">
        <f>IFERROR(C2526/B2526,"")</f>
        <v/>
      </c>
      <c r="F2526" s="11">
        <f>IFERROR((D2526/D2525-1)*100,"")</f>
        <v/>
      </c>
      <c r="G2526" s="11">
        <f>IFERROR((COUNTIF($D$2275:$D$2526,"&lt;"&amp;D2526)+0.5*COUNTIF($D$2275:$D$2526,D2526))/COUNT($D$2275:$D$2526)*100,"")</f>
        <v/>
      </c>
      <c r="H2526" s="10">
        <f>IFERROR(AVERAGE($D$2275:$D$2526),"")</f>
        <v/>
      </c>
      <c r="I2526" s="10" t="n">
        <v>2.523866001885549</v>
      </c>
      <c r="J2526" t="inlineStr"/>
      <c r="K2526" t="inlineStr"/>
    </row>
    <row r="2527">
      <c r="A2527" s="7" t="inlineStr">
        <is>
          <t>2024-07-16</t>
        </is>
      </c>
      <c r="B2527" s="8">
        <f>IFERROR(VLOOKUP($A2527,'01-原始价格'!$A:$M,2,FALSE),"")</f>
        <v/>
      </c>
      <c r="C2527" s="8">
        <f>IFERROR(VLOOKUP($A2527,'01-原始价格'!$A:$M,8,FALSE),"")</f>
        <v/>
      </c>
      <c r="D2527" s="10">
        <f>IFERROR(B2527/C2527,"")</f>
        <v/>
      </c>
      <c r="E2527" s="10">
        <f>IFERROR(C2527/B2527,"")</f>
        <v/>
      </c>
      <c r="F2527" s="11">
        <f>IFERROR((D2527/D2526-1)*100,"")</f>
        <v/>
      </c>
      <c r="G2527" s="11">
        <f>IFERROR((COUNTIF($D$2276:$D$2527,"&lt;"&amp;D2527)+0.5*COUNTIF($D$2276:$D$2527,D2527))/COUNT($D$2276:$D$2527)*100,"")</f>
        <v/>
      </c>
      <c r="H2527" s="10">
        <f>IFERROR(AVERAGE($D$2276:$D$2527),"")</f>
        <v/>
      </c>
      <c r="I2527" s="10" t="n">
        <v>2.266769539739062</v>
      </c>
      <c r="J2527" t="inlineStr"/>
      <c r="K2527" t="inlineStr"/>
    </row>
    <row r="2528">
      <c r="A2528" s="7" t="inlineStr">
        <is>
          <t>2024-07-17</t>
        </is>
      </c>
      <c r="B2528" s="8">
        <f>IFERROR(VLOOKUP($A2528,'01-原始价格'!$A:$M,2,FALSE),"")</f>
        <v/>
      </c>
      <c r="C2528" s="8">
        <f>IFERROR(VLOOKUP($A2528,'01-原始价格'!$A:$M,8,FALSE),"")</f>
        <v/>
      </c>
      <c r="D2528" s="10">
        <f>IFERROR(B2528/C2528,"")</f>
        <v/>
      </c>
      <c r="E2528" s="10">
        <f>IFERROR(C2528/B2528,"")</f>
        <v/>
      </c>
      <c r="F2528" s="11">
        <f>IFERROR((D2528/D2527-1)*100,"")</f>
        <v/>
      </c>
      <c r="G2528" s="11">
        <f>IFERROR((COUNTIF($D$2277:$D$2528,"&lt;"&amp;D2528)+0.5*COUNTIF($D$2277:$D$2528,D2528))/COUNT($D$2277:$D$2528)*100,"")</f>
        <v/>
      </c>
      <c r="H2528" s="10">
        <f>IFERROR(AVERAGE($D$2277:$D$2528),"")</f>
        <v/>
      </c>
      <c r="I2528" s="10" t="n">
        <v>1.66429004777431</v>
      </c>
      <c r="J2528" t="inlineStr"/>
      <c r="K2528" t="inlineStr"/>
    </row>
    <row r="2529">
      <c r="A2529" s="7" t="inlineStr">
        <is>
          <t>2024-07-18</t>
        </is>
      </c>
      <c r="B2529" s="8">
        <f>IFERROR(VLOOKUP($A2529,'01-原始价格'!$A:$M,2,FALSE),"")</f>
        <v/>
      </c>
      <c r="C2529" s="8">
        <f>IFERROR(VLOOKUP($A2529,'01-原始价格'!$A:$M,8,FALSE),"")</f>
        <v/>
      </c>
      <c r="D2529" s="10">
        <f>IFERROR(B2529/C2529,"")</f>
        <v/>
      </c>
      <c r="E2529" s="10">
        <f>IFERROR(C2529/B2529,"")</f>
        <v/>
      </c>
      <c r="F2529" s="11">
        <f>IFERROR((D2529/D2528-1)*100,"")</f>
        <v/>
      </c>
      <c r="G2529" s="11">
        <f>IFERROR((COUNTIF($D$2278:$D$2529,"&lt;"&amp;D2529)+0.5*COUNTIF($D$2278:$D$2529,D2529))/COUNT($D$2278:$D$2529)*100,"")</f>
        <v/>
      </c>
      <c r="H2529" s="10">
        <f>IFERROR(AVERAGE($D$2278:$D$2529),"")</f>
        <v/>
      </c>
      <c r="I2529" s="10" t="n">
        <v>1.678456099582324</v>
      </c>
      <c r="J2529" t="inlineStr"/>
      <c r="K2529" t="inlineStr"/>
    </row>
    <row r="2530">
      <c r="A2530" s="7" t="inlineStr">
        <is>
          <t>2024-07-19</t>
        </is>
      </c>
      <c r="B2530" s="8">
        <f>IFERROR(VLOOKUP($A2530,'01-原始价格'!$A:$M,2,FALSE),"")</f>
        <v/>
      </c>
      <c r="C2530" s="8">
        <f>IFERROR(VLOOKUP($A2530,'01-原始价格'!$A:$M,8,FALSE),"")</f>
        <v/>
      </c>
      <c r="D2530" s="10">
        <f>IFERROR(B2530/C2530,"")</f>
        <v/>
      </c>
      <c r="E2530" s="10">
        <f>IFERROR(C2530/B2530,"")</f>
        <v/>
      </c>
      <c r="F2530" s="11">
        <f>IFERROR((D2530/D2529-1)*100,"")</f>
        <v/>
      </c>
      <c r="G2530" s="11">
        <f>IFERROR((COUNTIF($D$2279:$D$2530,"&lt;"&amp;D2530)+0.5*COUNTIF($D$2279:$D$2530,D2530))/COUNT($D$2279:$D$2530)*100,"")</f>
        <v/>
      </c>
      <c r="H2530" s="10">
        <f>IFERROR(AVERAGE($D$2279:$D$2530),"")</f>
        <v/>
      </c>
      <c r="I2530" s="10" t="n">
        <v>1.189557002337533</v>
      </c>
      <c r="J2530" t="inlineStr"/>
      <c r="K2530" t="inlineStr"/>
    </row>
    <row r="2531">
      <c r="A2531" s="7" t="inlineStr">
        <is>
          <t>2024-07-22</t>
        </is>
      </c>
      <c r="B2531" s="8">
        <f>IFERROR(VLOOKUP($A2531,'01-原始价格'!$A:$M,2,FALSE),"")</f>
        <v/>
      </c>
      <c r="C2531" s="8">
        <f>IFERROR(VLOOKUP($A2531,'01-原始价格'!$A:$M,8,FALSE),"")</f>
        <v/>
      </c>
      <c r="D2531" s="10">
        <f>IFERROR(B2531/C2531,"")</f>
        <v/>
      </c>
      <c r="E2531" s="10">
        <f>IFERROR(C2531/B2531,"")</f>
        <v/>
      </c>
      <c r="F2531" s="11">
        <f>IFERROR((D2531/D2530-1)*100,"")</f>
        <v/>
      </c>
      <c r="G2531" s="11">
        <f>IFERROR((COUNTIF($D$2280:$D$2531,"&lt;"&amp;D2531)+0.5*COUNTIF($D$2280:$D$2531,D2531))/COUNT($D$2280:$D$2531)*100,"")</f>
        <v/>
      </c>
      <c r="H2531" s="10">
        <f>IFERROR(AVERAGE($D$2280:$D$2531),"")</f>
        <v/>
      </c>
      <c r="I2531" s="10" t="n">
        <v>0.9521792670532608</v>
      </c>
      <c r="J2531" t="inlineStr"/>
      <c r="K2531" t="inlineStr"/>
    </row>
    <row r="2532">
      <c r="A2532" s="7" t="inlineStr">
        <is>
          <t>2024-07-23</t>
        </is>
      </c>
      <c r="B2532" s="8">
        <f>IFERROR(VLOOKUP($A2532,'01-原始价格'!$A:$M,2,FALSE),"")</f>
        <v/>
      </c>
      <c r="C2532" s="8">
        <f>IFERROR(VLOOKUP($A2532,'01-原始价格'!$A:$M,8,FALSE),"")</f>
        <v/>
      </c>
      <c r="D2532" s="10">
        <f>IFERROR(B2532/C2532,"")</f>
        <v/>
      </c>
      <c r="E2532" s="10">
        <f>IFERROR(C2532/B2532,"")</f>
        <v/>
      </c>
      <c r="F2532" s="11">
        <f>IFERROR((D2532/D2531-1)*100,"")</f>
        <v/>
      </c>
      <c r="G2532" s="11">
        <f>IFERROR((COUNTIF($D$2281:$D$2532,"&lt;"&amp;D2532)+0.5*COUNTIF($D$2281:$D$2532,D2532))/COUNT($D$2281:$D$2532)*100,"")</f>
        <v/>
      </c>
      <c r="H2532" s="10">
        <f>IFERROR(AVERAGE($D$2281:$D$2532),"")</f>
        <v/>
      </c>
      <c r="I2532" s="10" t="n">
        <v>1.570691585289363</v>
      </c>
      <c r="J2532" t="inlineStr"/>
      <c r="K2532" t="inlineStr"/>
    </row>
    <row r="2533">
      <c r="A2533" s="7" t="inlineStr">
        <is>
          <t>2024-07-24</t>
        </is>
      </c>
      <c r="B2533" s="8">
        <f>IFERROR(VLOOKUP($A2533,'01-原始价格'!$A:$M,2,FALSE),"")</f>
        <v/>
      </c>
      <c r="C2533" s="8">
        <f>IFERROR(VLOOKUP($A2533,'01-原始价格'!$A:$M,8,FALSE),"")</f>
        <v/>
      </c>
      <c r="D2533" s="10">
        <f>IFERROR(B2533/C2533,"")</f>
        <v/>
      </c>
      <c r="E2533" s="10">
        <f>IFERROR(C2533/B2533,"")</f>
        <v/>
      </c>
      <c r="F2533" s="11">
        <f>IFERROR((D2533/D2532-1)*100,"")</f>
        <v/>
      </c>
      <c r="G2533" s="11">
        <f>IFERROR((COUNTIF($D$2282:$D$2533,"&lt;"&amp;D2533)+0.5*COUNTIF($D$2282:$D$2533,D2533))/COUNT($D$2282:$D$2533)*100,"")</f>
        <v/>
      </c>
      <c r="H2533" s="10">
        <f>IFERROR(AVERAGE($D$2282:$D$2533),"")</f>
        <v/>
      </c>
      <c r="I2533" s="10" t="n">
        <v>1.812798809791961</v>
      </c>
      <c r="J2533" t="inlineStr"/>
      <c r="K2533" t="inlineStr"/>
    </row>
    <row r="2534">
      <c r="A2534" s="7" t="inlineStr">
        <is>
          <t>2024-07-25</t>
        </is>
      </c>
      <c r="B2534" s="8">
        <f>IFERROR(VLOOKUP($A2534,'01-原始价格'!$A:$M,2,FALSE),"")</f>
        <v/>
      </c>
      <c r="C2534" s="8">
        <f>IFERROR(VLOOKUP($A2534,'01-原始价格'!$A:$M,8,FALSE),"")</f>
        <v/>
      </c>
      <c r="D2534" s="10">
        <f>IFERROR(B2534/C2534,"")</f>
        <v/>
      </c>
      <c r="E2534" s="10">
        <f>IFERROR(C2534/B2534,"")</f>
        <v/>
      </c>
      <c r="F2534" s="11">
        <f>IFERROR((D2534/D2533-1)*100,"")</f>
        <v/>
      </c>
      <c r="G2534" s="11">
        <f>IFERROR((COUNTIF($D$2283:$D$2534,"&lt;"&amp;D2534)+0.5*COUNTIF($D$2283:$D$2534,D2534))/COUNT($D$2283:$D$2534)*100,"")</f>
        <v/>
      </c>
      <c r="H2534" s="10">
        <f>IFERROR(AVERAGE($D$2283:$D$2534),"")</f>
        <v/>
      </c>
      <c r="I2534" s="10" t="n">
        <v>1.508937375836801</v>
      </c>
      <c r="J2534" t="inlineStr"/>
      <c r="K2534" t="inlineStr"/>
    </row>
    <row r="2535">
      <c r="A2535" s="7" t="inlineStr">
        <is>
          <t>2024-07-26</t>
        </is>
      </c>
      <c r="B2535" s="8">
        <f>IFERROR(VLOOKUP($A2535,'01-原始价格'!$A:$M,2,FALSE),"")</f>
        <v/>
      </c>
      <c r="C2535" s="8">
        <f>IFERROR(VLOOKUP($A2535,'01-原始价格'!$A:$M,8,FALSE),"")</f>
        <v/>
      </c>
      <c r="D2535" s="10">
        <f>IFERROR(B2535/C2535,"")</f>
        <v/>
      </c>
      <c r="E2535" s="10">
        <f>IFERROR(C2535/B2535,"")</f>
        <v/>
      </c>
      <c r="F2535" s="11">
        <f>IFERROR((D2535/D2534-1)*100,"")</f>
        <v/>
      </c>
      <c r="G2535" s="11">
        <f>IFERROR((COUNTIF($D$2284:$D$2535,"&lt;"&amp;D2535)+0.5*COUNTIF($D$2284:$D$2535,D2535))/COUNT($D$2284:$D$2535)*100,"")</f>
        <v/>
      </c>
      <c r="H2535" s="10">
        <f>IFERROR(AVERAGE($D$2284:$D$2535),"")</f>
        <v/>
      </c>
      <c r="I2535" s="10" t="n">
        <v>1.961018776536867</v>
      </c>
      <c r="J2535" t="inlineStr"/>
      <c r="K2535" t="inlineStr"/>
    </row>
    <row r="2536">
      <c r="A2536" s="7" t="inlineStr">
        <is>
          <t>2024-07-29</t>
        </is>
      </c>
      <c r="B2536" s="8">
        <f>IFERROR(VLOOKUP($A2536,'01-原始价格'!$A:$M,2,FALSE),"")</f>
        <v/>
      </c>
      <c r="C2536" s="8">
        <f>IFERROR(VLOOKUP($A2536,'01-原始价格'!$A:$M,8,FALSE),"")</f>
        <v/>
      </c>
      <c r="D2536" s="10">
        <f>IFERROR(B2536/C2536,"")</f>
        <v/>
      </c>
      <c r="E2536" s="10">
        <f>IFERROR(C2536/B2536,"")</f>
        <v/>
      </c>
      <c r="F2536" s="11">
        <f>IFERROR((D2536/D2535-1)*100,"")</f>
        <v/>
      </c>
      <c r="G2536" s="11">
        <f>IFERROR((COUNTIF($D$2285:$D$2536,"&lt;"&amp;D2536)+0.5*COUNTIF($D$2285:$D$2536,D2536))/COUNT($D$2285:$D$2536)*100,"")</f>
        <v/>
      </c>
      <c r="H2536" s="10">
        <f>IFERROR(AVERAGE($D$2285:$D$2536),"")</f>
        <v/>
      </c>
      <c r="I2536" s="10" t="n">
        <v>2.894775140062172</v>
      </c>
      <c r="J2536" t="inlineStr"/>
      <c r="K2536" t="inlineStr"/>
    </row>
    <row r="2537">
      <c r="A2537" s="7" t="inlineStr">
        <is>
          <t>2024-07-30</t>
        </is>
      </c>
      <c r="B2537" s="8">
        <f>IFERROR(VLOOKUP($A2537,'01-原始价格'!$A:$M,2,FALSE),"")</f>
        <v/>
      </c>
      <c r="C2537" s="8">
        <f>IFERROR(VLOOKUP($A2537,'01-原始价格'!$A:$M,8,FALSE),"")</f>
        <v/>
      </c>
      <c r="D2537" s="10">
        <f>IFERROR(B2537/C2537,"")</f>
        <v/>
      </c>
      <c r="E2537" s="10">
        <f>IFERROR(C2537/B2537,"")</f>
        <v/>
      </c>
      <c r="F2537" s="11">
        <f>IFERROR((D2537/D2536-1)*100,"")</f>
        <v/>
      </c>
      <c r="G2537" s="11">
        <f>IFERROR((COUNTIF($D$2286:$D$2537,"&lt;"&amp;D2537)+0.5*COUNTIF($D$2286:$D$2537,D2537))/COUNT($D$2286:$D$2537)*100,"")</f>
        <v/>
      </c>
      <c r="H2537" s="10">
        <f>IFERROR(AVERAGE($D$2286:$D$2537),"")</f>
        <v/>
      </c>
      <c r="I2537" s="10" t="n">
        <v>2.616461303853646</v>
      </c>
      <c r="J2537" t="inlineStr"/>
      <c r="K2537" t="inlineStr"/>
    </row>
    <row r="2538">
      <c r="A2538" s="7" t="inlineStr">
        <is>
          <t>2024-07-31</t>
        </is>
      </c>
      <c r="B2538" s="8">
        <f>IFERROR(VLOOKUP($A2538,'01-原始价格'!$A:$M,2,FALSE),"")</f>
        <v/>
      </c>
      <c r="C2538" s="8">
        <f>IFERROR(VLOOKUP($A2538,'01-原始价格'!$A:$M,8,FALSE),"")</f>
        <v/>
      </c>
      <c r="D2538" s="10">
        <f>IFERROR(B2538/C2538,"")</f>
        <v/>
      </c>
      <c r="E2538" s="10">
        <f>IFERROR(C2538/B2538,"")</f>
        <v/>
      </c>
      <c r="F2538" s="11">
        <f>IFERROR((D2538/D2537-1)*100,"")</f>
        <v/>
      </c>
      <c r="G2538" s="11">
        <f>IFERROR((COUNTIF($D$2287:$D$2538,"&lt;"&amp;D2538)+0.5*COUNTIF($D$2287:$D$2538,D2538))/COUNT($D$2287:$D$2538)*100,"")</f>
        <v/>
      </c>
      <c r="H2538" s="10">
        <f>IFERROR(AVERAGE($D$2287:$D$2538),"")</f>
        <v/>
      </c>
      <c r="I2538" s="10" t="n">
        <v>3.022004434044884</v>
      </c>
      <c r="J2538" t="inlineStr"/>
      <c r="K2538" t="inlineStr"/>
    </row>
    <row r="2539">
      <c r="A2539" s="7" t="inlineStr">
        <is>
          <t>2024-08-01</t>
        </is>
      </c>
      <c r="B2539" s="8">
        <f>IFERROR(VLOOKUP($A2539,'01-原始价格'!$A:$M,2,FALSE),"")</f>
        <v/>
      </c>
      <c r="C2539" s="8">
        <f>IFERROR(VLOOKUP($A2539,'01-原始价格'!$A:$M,8,FALSE),"")</f>
        <v/>
      </c>
      <c r="D2539" s="10">
        <f>IFERROR(B2539/C2539,"")</f>
        <v/>
      </c>
      <c r="E2539" s="10">
        <f>IFERROR(C2539/B2539,"")</f>
        <v/>
      </c>
      <c r="F2539" s="11">
        <f>IFERROR((D2539/D2538-1)*100,"")</f>
        <v/>
      </c>
      <c r="G2539" s="11">
        <f>IFERROR((COUNTIF($D$2288:$D$2539,"&lt;"&amp;D2539)+0.5*COUNTIF($D$2288:$D$2539,D2539))/COUNT($D$2288:$D$2539)*100,"")</f>
        <v/>
      </c>
      <c r="H2539" s="10">
        <f>IFERROR(AVERAGE($D$2288:$D$2539),"")</f>
        <v/>
      </c>
      <c r="I2539" s="10" t="n">
        <v>2.76294963685543</v>
      </c>
      <c r="J2539" t="inlineStr"/>
      <c r="K2539" t="inlineStr"/>
    </row>
    <row r="2540">
      <c r="A2540" s="7" t="inlineStr">
        <is>
          <t>2024-08-02</t>
        </is>
      </c>
      <c r="B2540" s="8">
        <f>IFERROR(VLOOKUP($A2540,'01-原始价格'!$A:$M,2,FALSE),"")</f>
        <v/>
      </c>
      <c r="C2540" s="8">
        <f>IFERROR(VLOOKUP($A2540,'01-原始价格'!$A:$M,8,FALSE),"")</f>
        <v/>
      </c>
      <c r="D2540" s="10">
        <f>IFERROR(B2540/C2540,"")</f>
        <v/>
      </c>
      <c r="E2540" s="10">
        <f>IFERROR(C2540/B2540,"")</f>
        <v/>
      </c>
      <c r="F2540" s="11">
        <f>IFERROR((D2540/D2539-1)*100,"")</f>
        <v/>
      </c>
      <c r="G2540" s="11">
        <f>IFERROR((COUNTIF($D$2289:$D$2540,"&lt;"&amp;D2540)+0.5*COUNTIF($D$2289:$D$2540,D2540))/COUNT($D$2289:$D$2540)*100,"")</f>
        <v/>
      </c>
      <c r="H2540" s="10">
        <f>IFERROR(AVERAGE($D$2289:$D$2540),"")</f>
        <v/>
      </c>
      <c r="I2540" s="10" t="n">
        <v>2.490399159775834</v>
      </c>
      <c r="J2540" t="inlineStr"/>
      <c r="K2540" t="inlineStr"/>
    </row>
    <row r="2541">
      <c r="A2541" s="7" t="inlineStr">
        <is>
          <t>2024-08-05</t>
        </is>
      </c>
      <c r="B2541" s="8">
        <f>IFERROR(VLOOKUP($A2541,'01-原始价格'!$A:$M,2,FALSE),"")</f>
        <v/>
      </c>
      <c r="C2541" s="8">
        <f>IFERROR(VLOOKUP($A2541,'01-原始价格'!$A:$M,8,FALSE),"")</f>
        <v/>
      </c>
      <c r="D2541" s="10">
        <f>IFERROR(B2541/C2541,"")</f>
        <v/>
      </c>
      <c r="E2541" s="10">
        <f>IFERROR(C2541/B2541,"")</f>
        <v/>
      </c>
      <c r="F2541" s="11">
        <f>IFERROR((D2541/D2540-1)*100,"")</f>
        <v/>
      </c>
      <c r="G2541" s="11">
        <f>IFERROR((COUNTIF($D$2290:$D$2541,"&lt;"&amp;D2541)+0.5*COUNTIF($D$2290:$D$2541,D2541))/COUNT($D$2290:$D$2541)*100,"")</f>
        <v/>
      </c>
      <c r="H2541" s="10">
        <f>IFERROR(AVERAGE($D$2290:$D$2541),"")</f>
        <v/>
      </c>
      <c r="I2541" s="10" t="n">
        <v>2.027330196292445</v>
      </c>
      <c r="J2541" t="inlineStr"/>
      <c r="K2541" t="inlineStr"/>
    </row>
    <row r="2542">
      <c r="A2542" s="7" t="inlineStr">
        <is>
          <t>2024-08-06</t>
        </is>
      </c>
      <c r="B2542" s="8">
        <f>IFERROR(VLOOKUP($A2542,'01-原始价格'!$A:$M,2,FALSE),"")</f>
        <v/>
      </c>
      <c r="C2542" s="8">
        <f>IFERROR(VLOOKUP($A2542,'01-原始价格'!$A:$M,8,FALSE),"")</f>
        <v/>
      </c>
      <c r="D2542" s="10">
        <f>IFERROR(B2542/C2542,"")</f>
        <v/>
      </c>
      <c r="E2542" s="10">
        <f>IFERROR(C2542/B2542,"")</f>
        <v/>
      </c>
      <c r="F2542" s="11">
        <f>IFERROR((D2542/D2541-1)*100,"")</f>
        <v/>
      </c>
      <c r="G2542" s="11">
        <f>IFERROR((COUNTIF($D$2291:$D$2542,"&lt;"&amp;D2542)+0.5*COUNTIF($D$2291:$D$2542,D2542))/COUNT($D$2291:$D$2542)*100,"")</f>
        <v/>
      </c>
      <c r="H2542" s="10">
        <f>IFERROR(AVERAGE($D$2291:$D$2542),"")</f>
        <v/>
      </c>
      <c r="I2542" s="10" t="n">
        <v>1.799458949738602</v>
      </c>
      <c r="J2542" t="inlineStr"/>
      <c r="K2542" t="inlineStr"/>
    </row>
    <row r="2543">
      <c r="A2543" s="7" t="inlineStr">
        <is>
          <t>2024-08-07</t>
        </is>
      </c>
      <c r="B2543" s="8">
        <f>IFERROR(VLOOKUP($A2543,'01-原始价格'!$A:$M,2,FALSE),"")</f>
        <v/>
      </c>
      <c r="C2543" s="8">
        <f>IFERROR(VLOOKUP($A2543,'01-原始价格'!$A:$M,8,FALSE),"")</f>
        <v/>
      </c>
      <c r="D2543" s="10">
        <f>IFERROR(B2543/C2543,"")</f>
        <v/>
      </c>
      <c r="E2543" s="10">
        <f>IFERROR(C2543/B2543,"")</f>
        <v/>
      </c>
      <c r="F2543" s="11">
        <f>IFERROR((D2543/D2542-1)*100,"")</f>
        <v/>
      </c>
      <c r="G2543" s="11">
        <f>IFERROR((COUNTIF($D$2292:$D$2543,"&lt;"&amp;D2543)+0.5*COUNTIF($D$2292:$D$2543,D2543))/COUNT($D$2292:$D$2543)*100,"")</f>
        <v/>
      </c>
      <c r="H2543" s="10">
        <f>IFERROR(AVERAGE($D$2292:$D$2543),"")</f>
        <v/>
      </c>
      <c r="I2543" s="10" t="n">
        <v>1.694744993023424</v>
      </c>
      <c r="J2543" t="inlineStr"/>
      <c r="K2543" t="inlineStr"/>
    </row>
    <row r="2544">
      <c r="A2544" s="7" t="inlineStr">
        <is>
          <t>2024-08-08</t>
        </is>
      </c>
      <c r="B2544" s="8">
        <f>IFERROR(VLOOKUP($A2544,'01-原始价格'!$A:$M,2,FALSE),"")</f>
        <v/>
      </c>
      <c r="C2544" s="8">
        <f>IFERROR(VLOOKUP($A2544,'01-原始价格'!$A:$M,8,FALSE),"")</f>
        <v/>
      </c>
      <c r="D2544" s="10">
        <f>IFERROR(B2544/C2544,"")</f>
        <v/>
      </c>
      <c r="E2544" s="10">
        <f>IFERROR(C2544/B2544,"")</f>
        <v/>
      </c>
      <c r="F2544" s="11">
        <f>IFERROR((D2544/D2543-1)*100,"")</f>
        <v/>
      </c>
      <c r="G2544" s="11">
        <f>IFERROR((COUNTIF($D$2293:$D$2544,"&lt;"&amp;D2544)+0.5*COUNTIF($D$2293:$D$2544,D2544))/COUNT($D$2293:$D$2544)*100,"")</f>
        <v/>
      </c>
      <c r="H2544" s="10">
        <f>IFERROR(AVERAGE($D$2293:$D$2544),"")</f>
        <v/>
      </c>
      <c r="I2544" s="10" t="n">
        <v>2.165163602989675</v>
      </c>
      <c r="J2544" t="inlineStr"/>
      <c r="K2544" t="inlineStr"/>
    </row>
    <row r="2545">
      <c r="A2545" s="7" t="inlineStr">
        <is>
          <t>2024-08-09</t>
        </is>
      </c>
      <c r="B2545" s="8">
        <f>IFERROR(VLOOKUP($A2545,'01-原始价格'!$A:$M,2,FALSE),"")</f>
        <v/>
      </c>
      <c r="C2545" s="8">
        <f>IFERROR(VLOOKUP($A2545,'01-原始价格'!$A:$M,8,FALSE),"")</f>
        <v/>
      </c>
      <c r="D2545" s="10">
        <f>IFERROR(B2545/C2545,"")</f>
        <v/>
      </c>
      <c r="E2545" s="10">
        <f>IFERROR(C2545/B2545,"")</f>
        <v/>
      </c>
      <c r="F2545" s="11">
        <f>IFERROR((D2545/D2544-1)*100,"")</f>
        <v/>
      </c>
      <c r="G2545" s="11">
        <f>IFERROR((COUNTIF($D$2294:$D$2545,"&lt;"&amp;D2545)+0.5*COUNTIF($D$2294:$D$2545,D2545))/COUNT($D$2294:$D$2545)*100,"")</f>
        <v/>
      </c>
      <c r="H2545" s="10">
        <f>IFERROR(AVERAGE($D$2294:$D$2545),"")</f>
        <v/>
      </c>
      <c r="I2545" s="10" t="n">
        <v>2.327371684869429</v>
      </c>
      <c r="J2545" t="inlineStr"/>
      <c r="K2545" t="inlineStr"/>
    </row>
    <row r="2546">
      <c r="A2546" s="7" t="inlineStr">
        <is>
          <t>2024-08-12</t>
        </is>
      </c>
      <c r="B2546" s="8">
        <f>IFERROR(VLOOKUP($A2546,'01-原始价格'!$A:$M,2,FALSE),"")</f>
        <v/>
      </c>
      <c r="C2546" s="8">
        <f>IFERROR(VLOOKUP($A2546,'01-原始价格'!$A:$M,8,FALSE),"")</f>
        <v/>
      </c>
      <c r="D2546" s="10">
        <f>IFERROR(B2546/C2546,"")</f>
        <v/>
      </c>
      <c r="E2546" s="10">
        <f>IFERROR(C2546/B2546,"")</f>
        <v/>
      </c>
      <c r="F2546" s="11">
        <f>IFERROR((D2546/D2545-1)*100,"")</f>
        <v/>
      </c>
      <c r="G2546" s="11">
        <f>IFERROR((COUNTIF($D$2295:$D$2546,"&lt;"&amp;D2546)+0.5*COUNTIF($D$2295:$D$2546,D2546))/COUNT($D$2295:$D$2546)*100,"")</f>
        <v/>
      </c>
      <c r="H2546" s="10">
        <f>IFERROR(AVERAGE($D$2295:$D$2546),"")</f>
        <v/>
      </c>
      <c r="I2546" s="10" t="n">
        <v>2.127187063772332</v>
      </c>
      <c r="J2546" t="inlineStr"/>
      <c r="K2546" t="inlineStr"/>
    </row>
    <row r="2547">
      <c r="A2547" s="7" t="inlineStr">
        <is>
          <t>2024-08-13</t>
        </is>
      </c>
      <c r="B2547" s="8">
        <f>IFERROR(VLOOKUP($A2547,'01-原始价格'!$A:$M,2,FALSE),"")</f>
        <v/>
      </c>
      <c r="C2547" s="8">
        <f>IFERROR(VLOOKUP($A2547,'01-原始价格'!$A:$M,8,FALSE),"")</f>
        <v/>
      </c>
      <c r="D2547" s="10">
        <f>IFERROR(B2547/C2547,"")</f>
        <v/>
      </c>
      <c r="E2547" s="10">
        <f>IFERROR(C2547/B2547,"")</f>
        <v/>
      </c>
      <c r="F2547" s="11">
        <f>IFERROR((D2547/D2546-1)*100,"")</f>
        <v/>
      </c>
      <c r="G2547" s="11">
        <f>IFERROR((COUNTIF($D$2296:$D$2547,"&lt;"&amp;D2547)+0.5*COUNTIF($D$2296:$D$2547,D2547))/COUNT($D$2296:$D$2547)*100,"")</f>
        <v/>
      </c>
      <c r="H2547" s="10">
        <f>IFERROR(AVERAGE($D$2296:$D$2547),"")</f>
        <v/>
      </c>
      <c r="I2547" s="10" t="n">
        <v>2.450348923246648</v>
      </c>
      <c r="J2547" t="inlineStr"/>
      <c r="K2547" t="inlineStr"/>
    </row>
    <row r="2548">
      <c r="A2548" s="7" t="inlineStr">
        <is>
          <t>2024-08-14</t>
        </is>
      </c>
      <c r="B2548" s="8">
        <f>IFERROR(VLOOKUP($A2548,'01-原始价格'!$A:$M,2,FALSE),"")</f>
        <v/>
      </c>
      <c r="C2548" s="8">
        <f>IFERROR(VLOOKUP($A2548,'01-原始价格'!$A:$M,8,FALSE),"")</f>
        <v/>
      </c>
      <c r="D2548" s="10">
        <f>IFERROR(B2548/C2548,"")</f>
        <v/>
      </c>
      <c r="E2548" s="10">
        <f>IFERROR(C2548/B2548,"")</f>
        <v/>
      </c>
      <c r="F2548" s="11">
        <f>IFERROR((D2548/D2547-1)*100,"")</f>
        <v/>
      </c>
      <c r="G2548" s="11">
        <f>IFERROR((COUNTIF($D$2297:$D$2548,"&lt;"&amp;D2548)+0.5*COUNTIF($D$2297:$D$2548,D2548))/COUNT($D$2297:$D$2548)*100,"")</f>
        <v/>
      </c>
      <c r="H2548" s="10">
        <f>IFERROR(AVERAGE($D$2297:$D$2548),"")</f>
        <v/>
      </c>
      <c r="I2548" s="10" t="n">
        <v>2.142258330464479</v>
      </c>
      <c r="J2548" t="inlineStr"/>
      <c r="K2548" t="inlineStr"/>
    </row>
    <row r="2549">
      <c r="A2549" s="7" t="inlineStr">
        <is>
          <t>2024-08-15</t>
        </is>
      </c>
      <c r="B2549" s="8">
        <f>IFERROR(VLOOKUP($A2549,'01-原始价格'!$A:$M,2,FALSE),"")</f>
        <v/>
      </c>
      <c r="C2549" s="8">
        <f>IFERROR(VLOOKUP($A2549,'01-原始价格'!$A:$M,8,FALSE),"")</f>
        <v/>
      </c>
      <c r="D2549" s="10">
        <f>IFERROR(B2549/C2549,"")</f>
        <v/>
      </c>
      <c r="E2549" s="10">
        <f>IFERROR(C2549/B2549,"")</f>
        <v/>
      </c>
      <c r="F2549" s="11">
        <f>IFERROR((D2549/D2548-1)*100,"")</f>
        <v/>
      </c>
      <c r="G2549" s="11">
        <f>IFERROR((COUNTIF($D$2298:$D$2549,"&lt;"&amp;D2549)+0.5*COUNTIF($D$2298:$D$2549,D2549))/COUNT($D$2298:$D$2549)*100,"")</f>
        <v/>
      </c>
      <c r="H2549" s="10">
        <f>IFERROR(AVERAGE($D$2298:$D$2549),"")</f>
        <v/>
      </c>
      <c r="I2549" s="10" t="n">
        <v>1.776896274280792</v>
      </c>
      <c r="J2549" t="inlineStr"/>
      <c r="K2549" t="inlineStr"/>
    </row>
    <row r="2550">
      <c r="A2550" s="7" t="inlineStr">
        <is>
          <t>2024-08-16</t>
        </is>
      </c>
      <c r="B2550" s="8">
        <f>IFERROR(VLOOKUP($A2550,'01-原始价格'!$A:$M,2,FALSE),"")</f>
        <v/>
      </c>
      <c r="C2550" s="8">
        <f>IFERROR(VLOOKUP($A2550,'01-原始价格'!$A:$M,8,FALSE),"")</f>
        <v/>
      </c>
      <c r="D2550" s="10">
        <f>IFERROR(B2550/C2550,"")</f>
        <v/>
      </c>
      <c r="E2550" s="10">
        <f>IFERROR(C2550/B2550,"")</f>
        <v/>
      </c>
      <c r="F2550" s="11">
        <f>IFERROR((D2550/D2549-1)*100,"")</f>
        <v/>
      </c>
      <c r="G2550" s="11">
        <f>IFERROR((COUNTIF($D$2299:$D$2550,"&lt;"&amp;D2550)+0.5*COUNTIF($D$2299:$D$2550,D2550))/COUNT($D$2299:$D$2550)*100,"")</f>
        <v/>
      </c>
      <c r="H2550" s="10">
        <f>IFERROR(AVERAGE($D$2299:$D$2550),"")</f>
        <v/>
      </c>
      <c r="I2550" s="10" t="n">
        <v>3.191193706214128</v>
      </c>
      <c r="J2550" t="inlineStr"/>
      <c r="K2550" s="12" t="inlineStr">
        <is>
          <t>是</t>
        </is>
      </c>
      <c r="L2550" t="inlineStr">
        <is>
          <t>换月日</t>
        </is>
      </c>
    </row>
    <row r="2551">
      <c r="A2551" s="7" t="inlineStr">
        <is>
          <t>2024-08-19</t>
        </is>
      </c>
      <c r="B2551" s="8">
        <f>IFERROR(VLOOKUP($A2551,'01-原始价格'!$A:$M,2,FALSE),"")</f>
        <v/>
      </c>
      <c r="C2551" s="8">
        <f>IFERROR(VLOOKUP($A2551,'01-原始价格'!$A:$M,8,FALSE),"")</f>
        <v/>
      </c>
      <c r="D2551" s="10">
        <f>IFERROR(B2551/C2551,"")</f>
        <v/>
      </c>
      <c r="E2551" s="10">
        <f>IFERROR(C2551/B2551,"")</f>
        <v/>
      </c>
      <c r="F2551" s="11">
        <f>IFERROR((D2551/D2550-1)*100,"")</f>
        <v/>
      </c>
      <c r="G2551" s="11">
        <f>IFERROR((COUNTIF($D$2300:$D$2551,"&lt;"&amp;D2551)+0.5*COUNTIF($D$2300:$D$2551,D2551))/COUNT($D$2300:$D$2551)*100,"")</f>
        <v/>
      </c>
      <c r="H2551" s="10">
        <f>IFERROR(AVERAGE($D$2300:$D$2551),"")</f>
        <v/>
      </c>
      <c r="I2551" s="10" t="n">
        <v>3.1354962532135</v>
      </c>
      <c r="J2551" t="inlineStr"/>
      <c r="K2551" t="inlineStr"/>
    </row>
    <row r="2552">
      <c r="A2552" s="7" t="inlineStr">
        <is>
          <t>2024-08-20</t>
        </is>
      </c>
      <c r="B2552" s="8">
        <f>IFERROR(VLOOKUP($A2552,'01-原始价格'!$A:$M,2,FALSE),"")</f>
        <v/>
      </c>
      <c r="C2552" s="8">
        <f>IFERROR(VLOOKUP($A2552,'01-原始价格'!$A:$M,8,FALSE),"")</f>
        <v/>
      </c>
      <c r="D2552" s="10">
        <f>IFERROR(B2552/C2552,"")</f>
        <v/>
      </c>
      <c r="E2552" s="10">
        <f>IFERROR(C2552/B2552,"")</f>
        <v/>
      </c>
      <c r="F2552" s="11">
        <f>IFERROR((D2552/D2551-1)*100,"")</f>
        <v/>
      </c>
      <c r="G2552" s="11">
        <f>IFERROR((COUNTIF($D$2301:$D$2552,"&lt;"&amp;D2552)+0.5*COUNTIF($D$2301:$D$2552,D2552))/COUNT($D$2301:$D$2552)*100,"")</f>
        <v/>
      </c>
      <c r="H2552" s="10">
        <f>IFERROR(AVERAGE($D$2301:$D$2552),"")</f>
        <v/>
      </c>
      <c r="I2552" s="10" t="n">
        <v>3.322450519688459</v>
      </c>
      <c r="J2552" t="inlineStr"/>
      <c r="K2552" t="inlineStr"/>
    </row>
    <row r="2553">
      <c r="A2553" s="7" t="inlineStr">
        <is>
          <t>2024-08-21</t>
        </is>
      </c>
      <c r="B2553" s="8">
        <f>IFERROR(VLOOKUP($A2553,'01-原始价格'!$A:$M,2,FALSE),"")</f>
        <v/>
      </c>
      <c r="C2553" s="8">
        <f>IFERROR(VLOOKUP($A2553,'01-原始价格'!$A:$M,8,FALSE),"")</f>
        <v/>
      </c>
      <c r="D2553" s="10">
        <f>IFERROR(B2553/C2553,"")</f>
        <v/>
      </c>
      <c r="E2553" s="10">
        <f>IFERROR(C2553/B2553,"")</f>
        <v/>
      </c>
      <c r="F2553" s="11">
        <f>IFERROR((D2553/D2552-1)*100,"")</f>
        <v/>
      </c>
      <c r="G2553" s="11">
        <f>IFERROR((COUNTIF($D$2302:$D$2553,"&lt;"&amp;D2553)+0.5*COUNTIF($D$2302:$D$2553,D2553))/COUNT($D$2302:$D$2553)*100,"")</f>
        <v/>
      </c>
      <c r="H2553" s="10">
        <f>IFERROR(AVERAGE($D$2302:$D$2553),"")</f>
        <v/>
      </c>
      <c r="I2553" s="10" t="n">
        <v>3.591548323469834</v>
      </c>
      <c r="J2553" s="9" t="inlineStr">
        <is>
          <t>是</t>
        </is>
      </c>
      <c r="K2553" t="inlineStr"/>
      <c r="L2553" t="inlineStr">
        <is>
          <t>统计异常</t>
        </is>
      </c>
    </row>
    <row r="2554">
      <c r="A2554" s="7" t="inlineStr">
        <is>
          <t>2024-08-22</t>
        </is>
      </c>
      <c r="B2554" s="8">
        <f>IFERROR(VLOOKUP($A2554,'01-原始价格'!$A:$M,2,FALSE),"")</f>
        <v/>
      </c>
      <c r="C2554" s="8">
        <f>IFERROR(VLOOKUP($A2554,'01-原始价格'!$A:$M,8,FALSE),"")</f>
        <v/>
      </c>
      <c r="D2554" s="10">
        <f>IFERROR(B2554/C2554,"")</f>
        <v/>
      </c>
      <c r="E2554" s="10">
        <f>IFERROR(C2554/B2554,"")</f>
        <v/>
      </c>
      <c r="F2554" s="11">
        <f>IFERROR((D2554/D2553-1)*100,"")</f>
        <v/>
      </c>
      <c r="G2554" s="11">
        <f>IFERROR((COUNTIF($D$2303:$D$2554,"&lt;"&amp;D2554)+0.5*COUNTIF($D$2303:$D$2554,D2554))/COUNT($D$2303:$D$2554)*100,"")</f>
        <v/>
      </c>
      <c r="H2554" s="10">
        <f>IFERROR(AVERAGE($D$2303:$D$2554),"")</f>
        <v/>
      </c>
      <c r="I2554" s="10" t="n">
        <v>3.009295252942075</v>
      </c>
      <c r="J2554" t="inlineStr"/>
      <c r="K2554" t="inlineStr"/>
    </row>
    <row r="2555">
      <c r="A2555" s="7" t="inlineStr">
        <is>
          <t>2024-08-23</t>
        </is>
      </c>
      <c r="B2555" s="8">
        <f>IFERROR(VLOOKUP($A2555,'01-原始价格'!$A:$M,2,FALSE),"")</f>
        <v/>
      </c>
      <c r="C2555" s="8">
        <f>IFERROR(VLOOKUP($A2555,'01-原始价格'!$A:$M,8,FALSE),"")</f>
        <v/>
      </c>
      <c r="D2555" s="10">
        <f>IFERROR(B2555/C2555,"")</f>
        <v/>
      </c>
      <c r="E2555" s="10">
        <f>IFERROR(C2555/B2555,"")</f>
        <v/>
      </c>
      <c r="F2555" s="11">
        <f>IFERROR((D2555/D2554-1)*100,"")</f>
        <v/>
      </c>
      <c r="G2555" s="11">
        <f>IFERROR((COUNTIF($D$2304:$D$2555,"&lt;"&amp;D2555)+0.5*COUNTIF($D$2304:$D$2555,D2555))/COUNT($D$2304:$D$2555)*100,"")</f>
        <v/>
      </c>
      <c r="H2555" s="10">
        <f>IFERROR(AVERAGE($D$2304:$D$2555),"")</f>
        <v/>
      </c>
      <c r="I2555" s="10" t="n">
        <v>3.245267293564399</v>
      </c>
      <c r="J2555" t="inlineStr"/>
      <c r="K2555" t="inlineStr"/>
    </row>
    <row r="2556">
      <c r="A2556" s="7" t="inlineStr">
        <is>
          <t>2024-08-26</t>
        </is>
      </c>
      <c r="B2556" s="8">
        <f>IFERROR(VLOOKUP($A2556,'01-原始价格'!$A:$M,2,FALSE),"")</f>
        <v/>
      </c>
      <c r="C2556" s="8">
        <f>IFERROR(VLOOKUP($A2556,'01-原始价格'!$A:$M,8,FALSE),"")</f>
        <v/>
      </c>
      <c r="D2556" s="10">
        <f>IFERROR(B2556/C2556,"")</f>
        <v/>
      </c>
      <c r="E2556" s="10">
        <f>IFERROR(C2556/B2556,"")</f>
        <v/>
      </c>
      <c r="F2556" s="11">
        <f>IFERROR((D2556/D2555-1)*100,"")</f>
        <v/>
      </c>
      <c r="G2556" s="11">
        <f>IFERROR((COUNTIF($D$2305:$D$2556,"&lt;"&amp;D2556)+0.5*COUNTIF($D$2305:$D$2556,D2556))/COUNT($D$2305:$D$2556)*100,"")</f>
        <v/>
      </c>
      <c r="H2556" s="10">
        <f>IFERROR(AVERAGE($D$2305:$D$2556),"")</f>
        <v/>
      </c>
      <c r="I2556" s="10" t="n">
        <v>3.239107314794839</v>
      </c>
      <c r="J2556" t="inlineStr"/>
      <c r="K2556" t="inlineStr"/>
    </row>
    <row r="2557">
      <c r="A2557" s="7" t="inlineStr">
        <is>
          <t>2024-08-27</t>
        </is>
      </c>
      <c r="B2557" s="8">
        <f>IFERROR(VLOOKUP($A2557,'01-原始价格'!$A:$M,2,FALSE),"")</f>
        <v/>
      </c>
      <c r="C2557" s="8">
        <f>IFERROR(VLOOKUP($A2557,'01-原始价格'!$A:$M,8,FALSE),"")</f>
        <v/>
      </c>
      <c r="D2557" s="10">
        <f>IFERROR(B2557/C2557,"")</f>
        <v/>
      </c>
      <c r="E2557" s="10">
        <f>IFERROR(C2557/B2557,"")</f>
        <v/>
      </c>
      <c r="F2557" s="11">
        <f>IFERROR((D2557/D2556-1)*100,"")</f>
        <v/>
      </c>
      <c r="G2557" s="11">
        <f>IFERROR((COUNTIF($D$2306:$D$2557,"&lt;"&amp;D2557)+0.5*COUNTIF($D$2306:$D$2557,D2557))/COUNT($D$2306:$D$2557)*100,"")</f>
        <v/>
      </c>
      <c r="H2557" s="10">
        <f>IFERROR(AVERAGE($D$2306:$D$2557),"")</f>
        <v/>
      </c>
      <c r="I2557" s="10" t="n">
        <v>3.235561997651521</v>
      </c>
      <c r="J2557" t="inlineStr"/>
      <c r="K2557" t="inlineStr"/>
    </row>
    <row r="2558">
      <c r="A2558" s="7" t="inlineStr">
        <is>
          <t>2024-08-28</t>
        </is>
      </c>
      <c r="B2558" s="8">
        <f>IFERROR(VLOOKUP($A2558,'01-原始价格'!$A:$M,2,FALSE),"")</f>
        <v/>
      </c>
      <c r="C2558" s="8">
        <f>IFERROR(VLOOKUP($A2558,'01-原始价格'!$A:$M,8,FALSE),"")</f>
        <v/>
      </c>
      <c r="D2558" s="10">
        <f>IFERROR(B2558/C2558,"")</f>
        <v/>
      </c>
      <c r="E2558" s="10">
        <f>IFERROR(C2558/B2558,"")</f>
        <v/>
      </c>
      <c r="F2558" s="11">
        <f>IFERROR((D2558/D2557-1)*100,"")</f>
        <v/>
      </c>
      <c r="G2558" s="11">
        <f>IFERROR((COUNTIF($D$2307:$D$2558,"&lt;"&amp;D2558)+0.5*COUNTIF($D$2307:$D$2558,D2558))/COUNT($D$2307:$D$2558)*100,"")</f>
        <v/>
      </c>
      <c r="H2558" s="10">
        <f>IFERROR(AVERAGE($D$2307:$D$2558),"")</f>
        <v/>
      </c>
      <c r="I2558" s="10" t="n">
        <v>3.326262465596754</v>
      </c>
      <c r="J2558" t="inlineStr"/>
      <c r="K2558" t="inlineStr"/>
    </row>
    <row r="2559">
      <c r="A2559" s="7" t="inlineStr">
        <is>
          <t>2024-08-29</t>
        </is>
      </c>
      <c r="B2559" s="8">
        <f>IFERROR(VLOOKUP($A2559,'01-原始价格'!$A:$M,2,FALSE),"")</f>
        <v/>
      </c>
      <c r="C2559" s="8">
        <f>IFERROR(VLOOKUP($A2559,'01-原始价格'!$A:$M,8,FALSE),"")</f>
        <v/>
      </c>
      <c r="D2559" s="10">
        <f>IFERROR(B2559/C2559,"")</f>
        <v/>
      </c>
      <c r="E2559" s="10">
        <f>IFERROR(C2559/B2559,"")</f>
        <v/>
      </c>
      <c r="F2559" s="11">
        <f>IFERROR((D2559/D2558-1)*100,"")</f>
        <v/>
      </c>
      <c r="G2559" s="11">
        <f>IFERROR((COUNTIF($D$2308:$D$2559,"&lt;"&amp;D2559)+0.5*COUNTIF($D$2308:$D$2559,D2559))/COUNT($D$2308:$D$2559)*100,"")</f>
        <v/>
      </c>
      <c r="H2559" s="10">
        <f>IFERROR(AVERAGE($D$2308:$D$2559),"")</f>
        <v/>
      </c>
      <c r="I2559" s="10" t="n">
        <v>3.069092110138885</v>
      </c>
      <c r="J2559" t="inlineStr"/>
      <c r="K2559" t="inlineStr"/>
    </row>
    <row r="2560">
      <c r="A2560" s="7" t="inlineStr">
        <is>
          <t>2024-08-30</t>
        </is>
      </c>
      <c r="B2560" s="8">
        <f>IFERROR(VLOOKUP($A2560,'01-原始价格'!$A:$M,2,FALSE),"")</f>
        <v/>
      </c>
      <c r="C2560" s="8">
        <f>IFERROR(VLOOKUP($A2560,'01-原始价格'!$A:$M,8,FALSE),"")</f>
        <v/>
      </c>
      <c r="D2560" s="10">
        <f>IFERROR(B2560/C2560,"")</f>
        <v/>
      </c>
      <c r="E2560" s="10">
        <f>IFERROR(C2560/B2560,"")</f>
        <v/>
      </c>
      <c r="F2560" s="11">
        <f>IFERROR((D2560/D2559-1)*100,"")</f>
        <v/>
      </c>
      <c r="G2560" s="11">
        <f>IFERROR((COUNTIF($D$2309:$D$2560,"&lt;"&amp;D2560)+0.5*COUNTIF($D$2309:$D$2560,D2560))/COUNT($D$2309:$D$2560)*100,"")</f>
        <v/>
      </c>
      <c r="H2560" s="10">
        <f>IFERROR(AVERAGE($D$2309:$D$2560),"")</f>
        <v/>
      </c>
      <c r="I2560" s="10" t="n">
        <v>2.908893120717019</v>
      </c>
      <c r="J2560" t="inlineStr"/>
      <c r="K2560" t="inlineStr"/>
    </row>
    <row r="2561">
      <c r="A2561" s="7" t="inlineStr">
        <is>
          <t>2024-09-02</t>
        </is>
      </c>
      <c r="B2561" s="8">
        <f>IFERROR(VLOOKUP($A2561,'01-原始价格'!$A:$M,2,FALSE),"")</f>
        <v/>
      </c>
      <c r="C2561" s="8">
        <f>IFERROR(VLOOKUP($A2561,'01-原始价格'!$A:$M,8,FALSE),"")</f>
        <v/>
      </c>
      <c r="D2561" s="10">
        <f>IFERROR(B2561/C2561,"")</f>
        <v/>
      </c>
      <c r="E2561" s="10">
        <f>IFERROR(C2561/B2561,"")</f>
        <v/>
      </c>
      <c r="F2561" s="11">
        <f>IFERROR((D2561/D2560-1)*100,"")</f>
        <v/>
      </c>
      <c r="G2561" s="11">
        <f>IFERROR((COUNTIF($D$2310:$D$2561,"&lt;"&amp;D2561)+0.5*COUNTIF($D$2310:$D$2561,D2561))/COUNT($D$2310:$D$2561)*100,"")</f>
        <v/>
      </c>
      <c r="H2561" s="10">
        <f>IFERROR(AVERAGE($D$2310:$D$2561),"")</f>
        <v/>
      </c>
      <c r="I2561" s="10" t="n">
        <v>3.060633320071414</v>
      </c>
      <c r="J2561" t="inlineStr"/>
      <c r="K2561" t="inlineStr"/>
    </row>
    <row r="2562">
      <c r="A2562" s="7" t="inlineStr">
        <is>
          <t>2024-09-03</t>
        </is>
      </c>
      <c r="B2562" s="8">
        <f>IFERROR(VLOOKUP($A2562,'01-原始价格'!$A:$M,2,FALSE),"")</f>
        <v/>
      </c>
      <c r="C2562" s="8">
        <f>IFERROR(VLOOKUP($A2562,'01-原始价格'!$A:$M,8,FALSE),"")</f>
        <v/>
      </c>
      <c r="D2562" s="10">
        <f>IFERROR(B2562/C2562,"")</f>
        <v/>
      </c>
      <c r="E2562" s="10">
        <f>IFERROR(C2562/B2562,"")</f>
        <v/>
      </c>
      <c r="F2562" s="11">
        <f>IFERROR((D2562/D2561-1)*100,"")</f>
        <v/>
      </c>
      <c r="G2562" s="11">
        <f>IFERROR((COUNTIF($D$2311:$D$2562,"&lt;"&amp;D2562)+0.5*COUNTIF($D$2311:$D$2562,D2562))/COUNT($D$2311:$D$2562)*100,"")</f>
        <v/>
      </c>
      <c r="H2562" s="10">
        <f>IFERROR(AVERAGE($D$2311:$D$2562),"")</f>
        <v/>
      </c>
      <c r="I2562" s="10" t="n">
        <v>2.581381538345217</v>
      </c>
      <c r="J2562" t="inlineStr"/>
      <c r="K2562" t="inlineStr"/>
    </row>
    <row r="2563">
      <c r="A2563" s="7" t="inlineStr">
        <is>
          <t>2024-09-04</t>
        </is>
      </c>
      <c r="B2563" s="8">
        <f>IFERROR(VLOOKUP($A2563,'01-原始价格'!$A:$M,2,FALSE),"")</f>
        <v/>
      </c>
      <c r="C2563" s="8">
        <f>IFERROR(VLOOKUP($A2563,'01-原始价格'!$A:$M,8,FALSE),"")</f>
        <v/>
      </c>
      <c r="D2563" s="10">
        <f>IFERROR(B2563/C2563,"")</f>
        <v/>
      </c>
      <c r="E2563" s="10">
        <f>IFERROR(C2563/B2563,"")</f>
        <v/>
      </c>
      <c r="F2563" s="11">
        <f>IFERROR((D2563/D2562-1)*100,"")</f>
        <v/>
      </c>
      <c r="G2563" s="11">
        <f>IFERROR((COUNTIF($D$2312:$D$2563,"&lt;"&amp;D2563)+0.5*COUNTIF($D$2312:$D$2563,D2563))/COUNT($D$2312:$D$2563)*100,"")</f>
        <v/>
      </c>
      <c r="H2563" s="10">
        <f>IFERROR(AVERAGE($D$2312:$D$2563),"")</f>
        <v/>
      </c>
      <c r="I2563" s="10" t="n">
        <v>2.153095541832069</v>
      </c>
      <c r="J2563" t="inlineStr"/>
      <c r="K2563" t="inlineStr"/>
    </row>
    <row r="2564">
      <c r="A2564" s="7" t="inlineStr">
        <is>
          <t>2024-09-05</t>
        </is>
      </c>
      <c r="B2564" s="8">
        <f>IFERROR(VLOOKUP($A2564,'01-原始价格'!$A:$M,2,FALSE),"")</f>
        <v/>
      </c>
      <c r="C2564" s="8">
        <f>IFERROR(VLOOKUP($A2564,'01-原始价格'!$A:$M,8,FALSE),"")</f>
        <v/>
      </c>
      <c r="D2564" s="10">
        <f>IFERROR(B2564/C2564,"")</f>
        <v/>
      </c>
      <c r="E2564" s="10">
        <f>IFERROR(C2564/B2564,"")</f>
        <v/>
      </c>
      <c r="F2564" s="11">
        <f>IFERROR((D2564/D2563-1)*100,"")</f>
        <v/>
      </c>
      <c r="G2564" s="11">
        <f>IFERROR((COUNTIF($D$2313:$D$2564,"&lt;"&amp;D2564)+0.5*COUNTIF($D$2313:$D$2564,D2564))/COUNT($D$2313:$D$2564)*100,"")</f>
        <v/>
      </c>
      <c r="H2564" s="10">
        <f>IFERROR(AVERAGE($D$2313:$D$2564),"")</f>
        <v/>
      </c>
      <c r="I2564" s="10" t="n">
        <v>2.008703700127702</v>
      </c>
      <c r="J2564" t="inlineStr"/>
      <c r="K2564" t="inlineStr"/>
    </row>
    <row r="2565">
      <c r="A2565" s="7" t="inlineStr">
        <is>
          <t>2024-09-06</t>
        </is>
      </c>
      <c r="B2565" s="8">
        <f>IFERROR(VLOOKUP($A2565,'01-原始价格'!$A:$M,2,FALSE),"")</f>
        <v/>
      </c>
      <c r="C2565" s="8">
        <f>IFERROR(VLOOKUP($A2565,'01-原始价格'!$A:$M,8,FALSE),"")</f>
        <v/>
      </c>
      <c r="D2565" s="10">
        <f>IFERROR(B2565/C2565,"")</f>
        <v/>
      </c>
      <c r="E2565" s="10">
        <f>IFERROR(C2565/B2565,"")</f>
        <v/>
      </c>
      <c r="F2565" s="11">
        <f>IFERROR((D2565/D2564-1)*100,"")</f>
        <v/>
      </c>
      <c r="G2565" s="11">
        <f>IFERROR((COUNTIF($D$2314:$D$2565,"&lt;"&amp;D2565)+0.5*COUNTIF($D$2314:$D$2565,D2565))/COUNT($D$2314:$D$2565)*100,"")</f>
        <v/>
      </c>
      <c r="H2565" s="10">
        <f>IFERROR(AVERAGE($D$2314:$D$2565),"")</f>
        <v/>
      </c>
      <c r="I2565" s="10" t="n">
        <v>1.409797999888368</v>
      </c>
      <c r="J2565" t="inlineStr"/>
      <c r="K2565" t="inlineStr"/>
    </row>
    <row r="2566">
      <c r="A2566" s="7" t="inlineStr">
        <is>
          <t>2024-09-09</t>
        </is>
      </c>
      <c r="B2566" s="8">
        <f>IFERROR(VLOOKUP($A2566,'01-原始价格'!$A:$M,2,FALSE),"")</f>
        <v/>
      </c>
      <c r="C2566" s="8">
        <f>IFERROR(VLOOKUP($A2566,'01-原始价格'!$A:$M,8,FALSE),"")</f>
        <v/>
      </c>
      <c r="D2566" s="10">
        <f>IFERROR(B2566/C2566,"")</f>
        <v/>
      </c>
      <c r="E2566" s="10">
        <f>IFERROR(C2566/B2566,"")</f>
        <v/>
      </c>
      <c r="F2566" s="11">
        <f>IFERROR((D2566/D2565-1)*100,"")</f>
        <v/>
      </c>
      <c r="G2566" s="11">
        <f>IFERROR((COUNTIF($D$2315:$D$2566,"&lt;"&amp;D2566)+0.5*COUNTIF($D$2315:$D$2566,D2566))/COUNT($D$2315:$D$2566)*100,"")</f>
        <v/>
      </c>
      <c r="H2566" s="10">
        <f>IFERROR(AVERAGE($D$2315:$D$2566),"")</f>
        <v/>
      </c>
      <c r="I2566" s="10" t="n">
        <v>1.230442674771988</v>
      </c>
      <c r="J2566" t="inlineStr"/>
      <c r="K2566" t="inlineStr"/>
    </row>
    <row r="2567">
      <c r="A2567" s="7" t="inlineStr">
        <is>
          <t>2024-09-10</t>
        </is>
      </c>
      <c r="B2567" s="8">
        <f>IFERROR(VLOOKUP($A2567,'01-原始价格'!$A:$M,2,FALSE),"")</f>
        <v/>
      </c>
      <c r="C2567" s="8">
        <f>IFERROR(VLOOKUP($A2567,'01-原始价格'!$A:$M,8,FALSE),"")</f>
        <v/>
      </c>
      <c r="D2567" s="10">
        <f>IFERROR(B2567/C2567,"")</f>
        <v/>
      </c>
      <c r="E2567" s="10">
        <f>IFERROR(C2567/B2567,"")</f>
        <v/>
      </c>
      <c r="F2567" s="11">
        <f>IFERROR((D2567/D2566-1)*100,"")</f>
        <v/>
      </c>
      <c r="G2567" s="11">
        <f>IFERROR((COUNTIF($D$2316:$D$2567,"&lt;"&amp;D2567)+0.5*COUNTIF($D$2316:$D$2567,D2567))/COUNT($D$2316:$D$2567)*100,"")</f>
        <v/>
      </c>
      <c r="H2567" s="10">
        <f>IFERROR(AVERAGE($D$2316:$D$2567),"")</f>
        <v/>
      </c>
      <c r="I2567" s="10" t="n">
        <v>0.9837585382651428</v>
      </c>
      <c r="J2567" t="inlineStr"/>
      <c r="K2567" t="inlineStr"/>
    </row>
    <row r="2568">
      <c r="A2568" s="7" t="inlineStr">
        <is>
          <t>2024-09-11</t>
        </is>
      </c>
      <c r="B2568" s="8">
        <f>IFERROR(VLOOKUP($A2568,'01-原始价格'!$A:$M,2,FALSE),"")</f>
        <v/>
      </c>
      <c r="C2568" s="8">
        <f>IFERROR(VLOOKUP($A2568,'01-原始价格'!$A:$M,8,FALSE),"")</f>
        <v/>
      </c>
      <c r="D2568" s="10">
        <f>IFERROR(B2568/C2568,"")</f>
        <v/>
      </c>
      <c r="E2568" s="10">
        <f>IFERROR(C2568/B2568,"")</f>
        <v/>
      </c>
      <c r="F2568" s="11">
        <f>IFERROR((D2568/D2567-1)*100,"")</f>
        <v/>
      </c>
      <c r="G2568" s="11">
        <f>IFERROR((COUNTIF($D$2317:$D$2568,"&lt;"&amp;D2568)+0.5*COUNTIF($D$2317:$D$2568,D2568))/COUNT($D$2317:$D$2568)*100,"")</f>
        <v/>
      </c>
      <c r="H2568" s="10">
        <f>IFERROR(AVERAGE($D$2317:$D$2568),"")</f>
        <v/>
      </c>
      <c r="I2568" s="10" t="n">
        <v>0.9713150102312312</v>
      </c>
      <c r="J2568" t="inlineStr"/>
      <c r="K2568" t="inlineStr"/>
    </row>
    <row r="2569">
      <c r="A2569" s="7" t="inlineStr">
        <is>
          <t>2024-09-12</t>
        </is>
      </c>
      <c r="B2569" s="8">
        <f>IFERROR(VLOOKUP($A2569,'01-原始价格'!$A:$M,2,FALSE),"")</f>
        <v/>
      </c>
      <c r="C2569" s="8">
        <f>IFERROR(VLOOKUP($A2569,'01-原始价格'!$A:$M,8,FALSE),"")</f>
        <v/>
      </c>
      <c r="D2569" s="10">
        <f>IFERROR(B2569/C2569,"")</f>
        <v/>
      </c>
      <c r="E2569" s="10">
        <f>IFERROR(C2569/B2569,"")</f>
        <v/>
      </c>
      <c r="F2569" s="11">
        <f>IFERROR((D2569/D2568-1)*100,"")</f>
        <v/>
      </c>
      <c r="G2569" s="11">
        <f>IFERROR((COUNTIF($D$2318:$D$2569,"&lt;"&amp;D2569)+0.5*COUNTIF($D$2318:$D$2569,D2569))/COUNT($D$2318:$D$2569)*100,"")</f>
        <v/>
      </c>
      <c r="H2569" s="10">
        <f>IFERROR(AVERAGE($D$2318:$D$2569),"")</f>
        <v/>
      </c>
      <c r="I2569" s="10" t="n">
        <v>0.8035063082712522</v>
      </c>
      <c r="J2569" t="inlineStr"/>
      <c r="K2569" t="inlineStr"/>
    </row>
    <row r="2570">
      <c r="A2570" s="7" t="inlineStr">
        <is>
          <t>2024-09-13</t>
        </is>
      </c>
      <c r="B2570" s="8">
        <f>IFERROR(VLOOKUP($A2570,'01-原始价格'!$A:$M,2,FALSE),"")</f>
        <v/>
      </c>
      <c r="C2570" s="8">
        <f>IFERROR(VLOOKUP($A2570,'01-原始价格'!$A:$M,8,FALSE),"")</f>
        <v/>
      </c>
      <c r="D2570" s="10">
        <f>IFERROR(B2570/C2570,"")</f>
        <v/>
      </c>
      <c r="E2570" s="10">
        <f>IFERROR(C2570/B2570,"")</f>
        <v/>
      </c>
      <c r="F2570" s="11">
        <f>IFERROR((D2570/D2569-1)*100,"")</f>
        <v/>
      </c>
      <c r="G2570" s="11">
        <f>IFERROR((COUNTIF($D$2319:$D$2570,"&lt;"&amp;D2570)+0.5*COUNTIF($D$2319:$D$2570,D2570))/COUNT($D$2319:$D$2570)*100,"")</f>
        <v/>
      </c>
      <c r="H2570" s="10">
        <f>IFERROR(AVERAGE($D$2319:$D$2570),"")</f>
        <v/>
      </c>
      <c r="I2570" s="10" t="n">
        <v>0.8629944619727918</v>
      </c>
      <c r="J2570" t="inlineStr"/>
      <c r="K2570" t="inlineStr"/>
    </row>
    <row r="2571">
      <c r="A2571" s="7" t="inlineStr">
        <is>
          <t>2024-09-18</t>
        </is>
      </c>
      <c r="B2571" s="8">
        <f>IFERROR(VLOOKUP($A2571,'01-原始价格'!$A:$M,2,FALSE),"")</f>
        <v/>
      </c>
      <c r="C2571" s="8">
        <f>IFERROR(VLOOKUP($A2571,'01-原始价格'!$A:$M,8,FALSE),"")</f>
        <v/>
      </c>
      <c r="D2571" s="10">
        <f>IFERROR(B2571/C2571,"")</f>
        <v/>
      </c>
      <c r="E2571" s="10">
        <f>IFERROR(C2571/B2571,"")</f>
        <v/>
      </c>
      <c r="F2571" s="11">
        <f>IFERROR((D2571/D2570-1)*100,"")</f>
        <v/>
      </c>
      <c r="G2571" s="11">
        <f>IFERROR((COUNTIF($D$2320:$D$2571,"&lt;"&amp;D2571)+0.5*COUNTIF($D$2320:$D$2571,D2571))/COUNT($D$2320:$D$2571)*100,"")</f>
        <v/>
      </c>
      <c r="H2571" s="10">
        <f>IFERROR(AVERAGE($D$2320:$D$2571),"")</f>
        <v/>
      </c>
      <c r="I2571" s="10" t="n">
        <v>1.228332911036767</v>
      </c>
      <c r="J2571" t="inlineStr"/>
      <c r="K2571" t="inlineStr"/>
    </row>
    <row r="2572">
      <c r="A2572" s="7" t="inlineStr">
        <is>
          <t>2024-09-19</t>
        </is>
      </c>
      <c r="B2572" s="8">
        <f>IFERROR(VLOOKUP($A2572,'01-原始价格'!$A:$M,2,FALSE),"")</f>
        <v/>
      </c>
      <c r="C2572" s="8">
        <f>IFERROR(VLOOKUP($A2572,'01-原始价格'!$A:$M,8,FALSE),"")</f>
        <v/>
      </c>
      <c r="D2572" s="10">
        <f>IFERROR(B2572/C2572,"")</f>
        <v/>
      </c>
      <c r="E2572" s="10">
        <f>IFERROR(C2572/B2572,"")</f>
        <v/>
      </c>
      <c r="F2572" s="11">
        <f>IFERROR((D2572/D2571-1)*100,"")</f>
        <v/>
      </c>
      <c r="G2572" s="11">
        <f>IFERROR((COUNTIF($D$2321:$D$2572,"&lt;"&amp;D2572)+0.5*COUNTIF($D$2321:$D$2572,D2572))/COUNT($D$2321:$D$2572)*100,"")</f>
        <v/>
      </c>
      <c r="H2572" s="10">
        <f>IFERROR(AVERAGE($D$2321:$D$2572),"")</f>
        <v/>
      </c>
      <c r="I2572" s="10" t="n">
        <v>1.027960241786345</v>
      </c>
      <c r="J2572" t="inlineStr"/>
      <c r="K2572" t="inlineStr"/>
    </row>
    <row r="2573">
      <c r="A2573" s="7" t="inlineStr">
        <is>
          <t>2024-09-20</t>
        </is>
      </c>
      <c r="B2573" s="8">
        <f>IFERROR(VLOOKUP($A2573,'01-原始价格'!$A:$M,2,FALSE),"")</f>
        <v/>
      </c>
      <c r="C2573" s="8">
        <f>IFERROR(VLOOKUP($A2573,'01-原始价格'!$A:$M,8,FALSE),"")</f>
        <v/>
      </c>
      <c r="D2573" s="10">
        <f>IFERROR(B2573/C2573,"")</f>
        <v/>
      </c>
      <c r="E2573" s="10">
        <f>IFERROR(C2573/B2573,"")</f>
        <v/>
      </c>
      <c r="F2573" s="11">
        <f>IFERROR((D2573/D2572-1)*100,"")</f>
        <v/>
      </c>
      <c r="G2573" s="11">
        <f>IFERROR((COUNTIF($D$2322:$D$2573,"&lt;"&amp;D2573)+0.5*COUNTIF($D$2322:$D$2573,D2573))/COUNT($D$2322:$D$2573)*100,"")</f>
        <v/>
      </c>
      <c r="H2573" s="10">
        <f>IFERROR(AVERAGE($D$2322:$D$2573),"")</f>
        <v/>
      </c>
      <c r="I2573" s="10" t="n">
        <v>0.8667701356842209</v>
      </c>
      <c r="J2573" t="inlineStr"/>
      <c r="K2573" t="inlineStr"/>
    </row>
    <row r="2574">
      <c r="A2574" s="7" t="inlineStr">
        <is>
          <t>2024-09-23</t>
        </is>
      </c>
      <c r="B2574" s="8">
        <f>IFERROR(VLOOKUP($A2574,'01-原始价格'!$A:$M,2,FALSE),"")</f>
        <v/>
      </c>
      <c r="C2574" s="8">
        <f>IFERROR(VLOOKUP($A2574,'01-原始价格'!$A:$M,8,FALSE),"")</f>
        <v/>
      </c>
      <c r="D2574" s="10">
        <f>IFERROR(B2574/C2574,"")</f>
        <v/>
      </c>
      <c r="E2574" s="10">
        <f>IFERROR(C2574/B2574,"")</f>
        <v/>
      </c>
      <c r="F2574" s="11">
        <f>IFERROR((D2574/D2573-1)*100,"")</f>
        <v/>
      </c>
      <c r="G2574" s="11">
        <f>IFERROR((COUNTIF($D$2323:$D$2574,"&lt;"&amp;D2574)+0.5*COUNTIF($D$2323:$D$2574,D2574))/COUNT($D$2323:$D$2574)*100,"")</f>
        <v/>
      </c>
      <c r="H2574" s="10">
        <f>IFERROR(AVERAGE($D$2323:$D$2574),"")</f>
        <v/>
      </c>
      <c r="I2574" s="10" t="n">
        <v>1.057087756588057</v>
      </c>
      <c r="J2574" t="inlineStr"/>
      <c r="K2574" t="inlineStr"/>
    </row>
    <row r="2575">
      <c r="A2575" s="7" t="inlineStr">
        <is>
          <t>2024-09-24</t>
        </is>
      </c>
      <c r="B2575" s="8">
        <f>IFERROR(VLOOKUP($A2575,'01-原始价格'!$A:$M,2,FALSE),"")</f>
        <v/>
      </c>
      <c r="C2575" s="8">
        <f>IFERROR(VLOOKUP($A2575,'01-原始价格'!$A:$M,8,FALSE),"")</f>
        <v/>
      </c>
      <c r="D2575" s="10">
        <f>IFERROR(B2575/C2575,"")</f>
        <v/>
      </c>
      <c r="E2575" s="10">
        <f>IFERROR(C2575/B2575,"")</f>
        <v/>
      </c>
      <c r="F2575" s="11">
        <f>IFERROR((D2575/D2574-1)*100,"")</f>
        <v/>
      </c>
      <c r="G2575" s="11">
        <f>IFERROR((COUNTIF($D$2324:$D$2575,"&lt;"&amp;D2575)+0.5*COUNTIF($D$2324:$D$2575,D2575))/COUNT($D$2324:$D$2575)*100,"")</f>
        <v/>
      </c>
      <c r="H2575" s="10">
        <f>IFERROR(AVERAGE($D$2324:$D$2575),"")</f>
        <v/>
      </c>
      <c r="I2575" s="10" t="n">
        <v>1.173536608517532</v>
      </c>
      <c r="J2575" t="inlineStr"/>
      <c r="K2575" t="inlineStr"/>
    </row>
    <row r="2576">
      <c r="A2576" s="7" t="inlineStr">
        <is>
          <t>2024-09-25</t>
        </is>
      </c>
      <c r="B2576" s="8">
        <f>IFERROR(VLOOKUP($A2576,'01-原始价格'!$A:$M,2,FALSE),"")</f>
        <v/>
      </c>
      <c r="C2576" s="8">
        <f>IFERROR(VLOOKUP($A2576,'01-原始价格'!$A:$M,8,FALSE),"")</f>
        <v/>
      </c>
      <c r="D2576" s="10">
        <f>IFERROR(B2576/C2576,"")</f>
        <v/>
      </c>
      <c r="E2576" s="10">
        <f>IFERROR(C2576/B2576,"")</f>
        <v/>
      </c>
      <c r="F2576" s="11">
        <f>IFERROR((D2576/D2575-1)*100,"")</f>
        <v/>
      </c>
      <c r="G2576" s="11">
        <f>IFERROR((COUNTIF($D$2325:$D$2576,"&lt;"&amp;D2576)+0.5*COUNTIF($D$2325:$D$2576,D2576))/COUNT($D$2325:$D$2576)*100,"")</f>
        <v/>
      </c>
      <c r="H2576" s="10">
        <f>IFERROR(AVERAGE($D$2325:$D$2576),"")</f>
        <v/>
      </c>
      <c r="I2576" s="10" t="n">
        <v>1.19576544625241</v>
      </c>
      <c r="J2576" t="inlineStr"/>
      <c r="K2576" t="inlineStr"/>
    </row>
    <row r="2577">
      <c r="A2577" s="7" t="inlineStr">
        <is>
          <t>2024-09-26</t>
        </is>
      </c>
      <c r="B2577" s="8">
        <f>IFERROR(VLOOKUP($A2577,'01-原始价格'!$A:$M,2,FALSE),"")</f>
        <v/>
      </c>
      <c r="C2577" s="8">
        <f>IFERROR(VLOOKUP($A2577,'01-原始价格'!$A:$M,8,FALSE),"")</f>
        <v/>
      </c>
      <c r="D2577" s="10">
        <f>IFERROR(B2577/C2577,"")</f>
        <v/>
      </c>
      <c r="E2577" s="10">
        <f>IFERROR(C2577/B2577,"")</f>
        <v/>
      </c>
      <c r="F2577" s="11">
        <f>IFERROR((D2577/D2576-1)*100,"")</f>
        <v/>
      </c>
      <c r="G2577" s="11">
        <f>IFERROR((COUNTIF($D$2326:$D$2577,"&lt;"&amp;D2577)+0.5*COUNTIF($D$2326:$D$2577,D2577))/COUNT($D$2326:$D$2577)*100,"")</f>
        <v/>
      </c>
      <c r="H2577" s="10">
        <f>IFERROR(AVERAGE($D$2326:$D$2577),"")</f>
        <v/>
      </c>
      <c r="I2577" s="10" t="n">
        <v>1.109916547446009</v>
      </c>
      <c r="J2577" t="inlineStr"/>
      <c r="K2577" t="inlineStr"/>
    </row>
    <row r="2578">
      <c r="A2578" s="7" t="inlineStr">
        <is>
          <t>2024-09-27</t>
        </is>
      </c>
      <c r="B2578" s="8">
        <f>IFERROR(VLOOKUP($A2578,'01-原始价格'!$A:$M,2,FALSE),"")</f>
        <v/>
      </c>
      <c r="C2578" s="8">
        <f>IFERROR(VLOOKUP($A2578,'01-原始价格'!$A:$M,8,FALSE),"")</f>
        <v/>
      </c>
      <c r="D2578" s="10">
        <f>IFERROR(B2578/C2578,"")</f>
        <v/>
      </c>
      <c r="E2578" s="10">
        <f>IFERROR(C2578/B2578,"")</f>
        <v/>
      </c>
      <c r="F2578" s="11">
        <f>IFERROR((D2578/D2577-1)*100,"")</f>
        <v/>
      </c>
      <c r="G2578" s="11">
        <f>IFERROR((COUNTIF($D$2327:$D$2578,"&lt;"&amp;D2578)+0.5*COUNTIF($D$2327:$D$2578,D2578))/COUNT($D$2327:$D$2578)*100,"")</f>
        <v/>
      </c>
      <c r="H2578" s="10">
        <f>IFERROR(AVERAGE($D$2327:$D$2578),"")</f>
        <v/>
      </c>
      <c r="I2578" s="10" t="n">
        <v>1.016915999498634</v>
      </c>
      <c r="J2578" t="inlineStr"/>
      <c r="K2578" t="inlineStr"/>
    </row>
    <row r="2579">
      <c r="A2579" s="7" t="inlineStr">
        <is>
          <t>2024-09-30</t>
        </is>
      </c>
      <c r="B2579" s="8">
        <f>IFERROR(VLOOKUP($A2579,'01-原始价格'!$A:$M,2,FALSE),"")</f>
        <v/>
      </c>
      <c r="C2579" s="8">
        <f>IFERROR(VLOOKUP($A2579,'01-原始价格'!$A:$M,8,FALSE),"")</f>
        <v/>
      </c>
      <c r="D2579" s="10">
        <f>IFERROR(B2579/C2579,"")</f>
        <v/>
      </c>
      <c r="E2579" s="10">
        <f>IFERROR(C2579/B2579,"")</f>
        <v/>
      </c>
      <c r="F2579" s="11">
        <f>IFERROR((D2579/D2578-1)*100,"")</f>
        <v/>
      </c>
      <c r="G2579" s="11">
        <f>IFERROR((COUNTIF($D$2328:$D$2579,"&lt;"&amp;D2579)+0.5*COUNTIF($D$2328:$D$2579,D2579))/COUNT($D$2328:$D$2579)*100,"")</f>
        <v/>
      </c>
      <c r="H2579" s="10">
        <f>IFERROR(AVERAGE($D$2328:$D$2579),"")</f>
        <v/>
      </c>
      <c r="I2579" s="10" t="n">
        <v>1.225795933382125</v>
      </c>
      <c r="J2579" t="inlineStr"/>
      <c r="K2579" t="inlineStr"/>
    </row>
    <row r="2580">
      <c r="A2580" s="7" t="inlineStr">
        <is>
          <t>2024-10-08</t>
        </is>
      </c>
      <c r="B2580" s="8">
        <f>IFERROR(VLOOKUP($A2580,'01-原始价格'!$A:$M,2,FALSE),"")</f>
        <v/>
      </c>
      <c r="C2580" s="8">
        <f>IFERROR(VLOOKUP($A2580,'01-原始价格'!$A:$M,8,FALSE),"")</f>
        <v/>
      </c>
      <c r="D2580" s="10">
        <f>IFERROR(B2580/C2580,"")</f>
        <v/>
      </c>
      <c r="E2580" s="10">
        <f>IFERROR(C2580/B2580,"")</f>
        <v/>
      </c>
      <c r="F2580" s="11">
        <f>IFERROR((D2580/D2579-1)*100,"")</f>
        <v/>
      </c>
      <c r="G2580" s="11">
        <f>IFERROR((COUNTIF($D$2329:$D$2580,"&lt;"&amp;D2580)+0.5*COUNTIF($D$2329:$D$2580,D2580))/COUNT($D$2329:$D$2580)*100,"")</f>
        <v/>
      </c>
      <c r="H2580" s="10">
        <f>IFERROR(AVERAGE($D$2329:$D$2580),"")</f>
        <v/>
      </c>
      <c r="I2580" s="10" t="n">
        <v>1.568093468314913</v>
      </c>
      <c r="J2580" t="inlineStr"/>
      <c r="K2580" t="inlineStr"/>
    </row>
    <row r="2581">
      <c r="A2581" s="7" t="inlineStr">
        <is>
          <t>2024-10-09</t>
        </is>
      </c>
      <c r="B2581" s="8">
        <f>IFERROR(VLOOKUP($A2581,'01-原始价格'!$A:$M,2,FALSE),"")</f>
        <v/>
      </c>
      <c r="C2581" s="8">
        <f>IFERROR(VLOOKUP($A2581,'01-原始价格'!$A:$M,8,FALSE),"")</f>
        <v/>
      </c>
      <c r="D2581" s="10">
        <f>IFERROR(B2581/C2581,"")</f>
        <v/>
      </c>
      <c r="E2581" s="10">
        <f>IFERROR(C2581/B2581,"")</f>
        <v/>
      </c>
      <c r="F2581" s="11">
        <f>IFERROR((D2581/D2580-1)*100,"")</f>
        <v/>
      </c>
      <c r="G2581" s="11">
        <f>IFERROR((COUNTIF($D$2330:$D$2581,"&lt;"&amp;D2581)+0.5*COUNTIF($D$2330:$D$2581,D2581))/COUNT($D$2330:$D$2581)*100,"")</f>
        <v/>
      </c>
      <c r="H2581" s="10">
        <f>IFERROR(AVERAGE($D$2330:$D$2581),"")</f>
        <v/>
      </c>
      <c r="I2581" s="10" t="n">
        <v>1.086846049467083</v>
      </c>
      <c r="J2581" t="inlineStr"/>
      <c r="K2581" t="inlineStr"/>
    </row>
    <row r="2582">
      <c r="A2582" s="7" t="inlineStr">
        <is>
          <t>2024-10-10</t>
        </is>
      </c>
      <c r="B2582" s="8">
        <f>IFERROR(VLOOKUP($A2582,'01-原始价格'!$A:$M,2,FALSE),"")</f>
        <v/>
      </c>
      <c r="C2582" s="8">
        <f>IFERROR(VLOOKUP($A2582,'01-原始价格'!$A:$M,8,FALSE),"")</f>
        <v/>
      </c>
      <c r="D2582" s="10">
        <f>IFERROR(B2582/C2582,"")</f>
        <v/>
      </c>
      <c r="E2582" s="10">
        <f>IFERROR(C2582/B2582,"")</f>
        <v/>
      </c>
      <c r="F2582" s="11">
        <f>IFERROR((D2582/D2581-1)*100,"")</f>
        <v/>
      </c>
      <c r="G2582" s="11">
        <f>IFERROR((COUNTIF($D$2331:$D$2582,"&lt;"&amp;D2582)+0.5*COUNTIF($D$2331:$D$2582,D2582))/COUNT($D$2331:$D$2582)*100,"")</f>
        <v/>
      </c>
      <c r="H2582" s="10">
        <f>IFERROR(AVERAGE($D$2331:$D$2582),"")</f>
        <v/>
      </c>
      <c r="I2582" s="10" t="n">
        <v>0.8406310323190952</v>
      </c>
      <c r="J2582" t="inlineStr"/>
      <c r="K2582" t="inlineStr"/>
    </row>
    <row r="2583">
      <c r="A2583" s="7" t="inlineStr">
        <is>
          <t>2024-10-11</t>
        </is>
      </c>
      <c r="B2583" s="8">
        <f>IFERROR(VLOOKUP($A2583,'01-原始价格'!$A:$M,2,FALSE),"")</f>
        <v/>
      </c>
      <c r="C2583" s="8">
        <f>IFERROR(VLOOKUP($A2583,'01-原始价格'!$A:$M,8,FALSE),"")</f>
        <v/>
      </c>
      <c r="D2583" s="10">
        <f>IFERROR(B2583/C2583,"")</f>
        <v/>
      </c>
      <c r="E2583" s="10">
        <f>IFERROR(C2583/B2583,"")</f>
        <v/>
      </c>
      <c r="F2583" s="11">
        <f>IFERROR((D2583/D2582-1)*100,"")</f>
        <v/>
      </c>
      <c r="G2583" s="11">
        <f>IFERROR((COUNTIF($D$2332:$D$2583,"&lt;"&amp;D2583)+0.5*COUNTIF($D$2332:$D$2583,D2583))/COUNT($D$2332:$D$2583)*100,"")</f>
        <v/>
      </c>
      <c r="H2583" s="10">
        <f>IFERROR(AVERAGE($D$2332:$D$2583),"")</f>
        <v/>
      </c>
      <c r="I2583" s="10" t="n">
        <v>0.7277151729540904</v>
      </c>
      <c r="J2583" t="inlineStr"/>
      <c r="K2583" t="inlineStr"/>
    </row>
    <row r="2584">
      <c r="A2584" s="7" t="inlineStr">
        <is>
          <t>2024-10-14</t>
        </is>
      </c>
      <c r="B2584" s="8">
        <f>IFERROR(VLOOKUP($A2584,'01-原始价格'!$A:$M,2,FALSE),"")</f>
        <v/>
      </c>
      <c r="C2584" s="8">
        <f>IFERROR(VLOOKUP($A2584,'01-原始价格'!$A:$M,8,FALSE),"")</f>
        <v/>
      </c>
      <c r="D2584" s="10">
        <f>IFERROR(B2584/C2584,"")</f>
        <v/>
      </c>
      <c r="E2584" s="10">
        <f>IFERROR(C2584/B2584,"")</f>
        <v/>
      </c>
      <c r="F2584" s="11">
        <f>IFERROR((D2584/D2583-1)*100,"")</f>
        <v/>
      </c>
      <c r="G2584" s="11">
        <f>IFERROR((COUNTIF($D$2333:$D$2584,"&lt;"&amp;D2584)+0.5*COUNTIF($D$2333:$D$2584,D2584))/COUNT($D$2333:$D$2584)*100,"")</f>
        <v/>
      </c>
      <c r="H2584" s="10">
        <f>IFERROR(AVERAGE($D$2333:$D$2584),"")</f>
        <v/>
      </c>
      <c r="I2584" s="10" t="n">
        <v>0.5221011315752004</v>
      </c>
      <c r="J2584" t="inlineStr"/>
      <c r="K2584" t="inlineStr"/>
    </row>
    <row r="2585">
      <c r="A2585" s="7" t="inlineStr">
        <is>
          <t>2024-10-15</t>
        </is>
      </c>
      <c r="B2585" s="8">
        <f>IFERROR(VLOOKUP($A2585,'01-原始价格'!$A:$M,2,FALSE),"")</f>
        <v/>
      </c>
      <c r="C2585" s="8">
        <f>IFERROR(VLOOKUP($A2585,'01-原始价格'!$A:$M,8,FALSE),"")</f>
        <v/>
      </c>
      <c r="D2585" s="10">
        <f>IFERROR(B2585/C2585,"")</f>
        <v/>
      </c>
      <c r="E2585" s="10">
        <f>IFERROR(C2585/B2585,"")</f>
        <v/>
      </c>
      <c r="F2585" s="11">
        <f>IFERROR((D2585/D2584-1)*100,"")</f>
        <v/>
      </c>
      <c r="G2585" s="11">
        <f>IFERROR((COUNTIF($D$2334:$D$2585,"&lt;"&amp;D2585)+0.5*COUNTIF($D$2334:$D$2585,D2585))/COUNT($D$2334:$D$2585)*100,"")</f>
        <v/>
      </c>
      <c r="H2585" s="10">
        <f>IFERROR(AVERAGE($D$2334:$D$2585),"")</f>
        <v/>
      </c>
      <c r="I2585" s="10" t="n">
        <v>0.4395181021897917</v>
      </c>
      <c r="J2585" t="inlineStr"/>
      <c r="K2585" t="inlineStr"/>
    </row>
    <row r="2586">
      <c r="A2586" s="7" t="inlineStr">
        <is>
          <t>2024-10-16</t>
        </is>
      </c>
      <c r="B2586" s="8">
        <f>IFERROR(VLOOKUP($A2586,'01-原始价格'!$A:$M,2,FALSE),"")</f>
        <v/>
      </c>
      <c r="C2586" s="8">
        <f>IFERROR(VLOOKUP($A2586,'01-原始价格'!$A:$M,8,FALSE),"")</f>
        <v/>
      </c>
      <c r="D2586" s="10">
        <f>IFERROR(B2586/C2586,"")</f>
        <v/>
      </c>
      <c r="E2586" s="10">
        <f>IFERROR(C2586/B2586,"")</f>
        <v/>
      </c>
      <c r="F2586" s="11">
        <f>IFERROR((D2586/D2585-1)*100,"")</f>
        <v/>
      </c>
      <c r="G2586" s="11">
        <f>IFERROR((COUNTIF($D$2335:$D$2586,"&lt;"&amp;D2586)+0.5*COUNTIF($D$2335:$D$2586,D2586))/COUNT($D$2335:$D$2586)*100,"")</f>
        <v/>
      </c>
      <c r="H2586" s="10">
        <f>IFERROR(AVERAGE($D$2335:$D$2586),"")</f>
        <v/>
      </c>
      <c r="I2586" s="10" t="n">
        <v>0.2863451107067362</v>
      </c>
      <c r="J2586" t="inlineStr"/>
      <c r="K2586" t="inlineStr"/>
    </row>
    <row r="2587">
      <c r="A2587" s="7" t="inlineStr">
        <is>
          <t>2024-10-17</t>
        </is>
      </c>
      <c r="B2587" s="8">
        <f>IFERROR(VLOOKUP($A2587,'01-原始价格'!$A:$M,2,FALSE),"")</f>
        <v/>
      </c>
      <c r="C2587" s="8">
        <f>IFERROR(VLOOKUP($A2587,'01-原始价格'!$A:$M,8,FALSE),"")</f>
        <v/>
      </c>
      <c r="D2587" s="10">
        <f>IFERROR(B2587/C2587,"")</f>
        <v/>
      </c>
      <c r="E2587" s="10">
        <f>IFERROR(C2587/B2587,"")</f>
        <v/>
      </c>
      <c r="F2587" s="11">
        <f>IFERROR((D2587/D2586-1)*100,"")</f>
        <v/>
      </c>
      <c r="G2587" s="11">
        <f>IFERROR((COUNTIF($D$2336:$D$2587,"&lt;"&amp;D2587)+0.5*COUNTIF($D$2336:$D$2587,D2587))/COUNT($D$2336:$D$2587)*100,"")</f>
        <v/>
      </c>
      <c r="H2587" s="10">
        <f>IFERROR(AVERAGE($D$2336:$D$2587),"")</f>
        <v/>
      </c>
      <c r="I2587" s="10" t="n">
        <v>0.5638750084287475</v>
      </c>
      <c r="J2587" t="inlineStr"/>
      <c r="K2587" t="inlineStr"/>
    </row>
    <row r="2588">
      <c r="A2588" s="7" t="inlineStr">
        <is>
          <t>2024-10-18</t>
        </is>
      </c>
      <c r="B2588" s="8">
        <f>IFERROR(VLOOKUP($A2588,'01-原始价格'!$A:$M,2,FALSE),"")</f>
        <v/>
      </c>
      <c r="C2588" s="8">
        <f>IFERROR(VLOOKUP($A2588,'01-原始价格'!$A:$M,8,FALSE),"")</f>
        <v/>
      </c>
      <c r="D2588" s="10">
        <f>IFERROR(B2588/C2588,"")</f>
        <v/>
      </c>
      <c r="E2588" s="10">
        <f>IFERROR(C2588/B2588,"")</f>
        <v/>
      </c>
      <c r="F2588" s="11">
        <f>IFERROR((D2588/D2587-1)*100,"")</f>
        <v/>
      </c>
      <c r="G2588" s="11">
        <f>IFERROR((COUNTIF($D$2337:$D$2588,"&lt;"&amp;D2588)+0.5*COUNTIF($D$2337:$D$2588,D2588))/COUNT($D$2337:$D$2588)*100,"")</f>
        <v/>
      </c>
      <c r="H2588" s="10">
        <f>IFERROR(AVERAGE($D$2337:$D$2588),"")</f>
        <v/>
      </c>
      <c r="I2588" s="10" t="n">
        <v>0.6099301474940586</v>
      </c>
      <c r="J2588" t="inlineStr"/>
      <c r="K2588" t="inlineStr"/>
    </row>
    <row r="2589">
      <c r="A2589" s="7" t="inlineStr">
        <is>
          <t>2024-10-21</t>
        </is>
      </c>
      <c r="B2589" s="8">
        <f>IFERROR(VLOOKUP($A2589,'01-原始价格'!$A:$M,2,FALSE),"")</f>
        <v/>
      </c>
      <c r="C2589" s="8">
        <f>IFERROR(VLOOKUP($A2589,'01-原始价格'!$A:$M,8,FALSE),"")</f>
        <v/>
      </c>
      <c r="D2589" s="10">
        <f>IFERROR(B2589/C2589,"")</f>
        <v/>
      </c>
      <c r="E2589" s="10">
        <f>IFERROR(C2589/B2589,"")</f>
        <v/>
      </c>
      <c r="F2589" s="11">
        <f>IFERROR((D2589/D2588-1)*100,"")</f>
        <v/>
      </c>
      <c r="G2589" s="11">
        <f>IFERROR((COUNTIF($D$2338:$D$2589,"&lt;"&amp;D2589)+0.5*COUNTIF($D$2338:$D$2589,D2589))/COUNT($D$2338:$D$2589)*100,"")</f>
        <v/>
      </c>
      <c r="H2589" s="10">
        <f>IFERROR(AVERAGE($D$2338:$D$2589),"")</f>
        <v/>
      </c>
      <c r="I2589" s="10" t="n">
        <v>0.4572311884920503</v>
      </c>
      <c r="J2589" t="inlineStr"/>
      <c r="K2589" t="inlineStr"/>
    </row>
    <row r="2590">
      <c r="A2590" s="7" t="inlineStr">
        <is>
          <t>2024-10-22</t>
        </is>
      </c>
      <c r="B2590" s="8">
        <f>IFERROR(VLOOKUP($A2590,'01-原始价格'!$A:$M,2,FALSE),"")</f>
        <v/>
      </c>
      <c r="C2590" s="8">
        <f>IFERROR(VLOOKUP($A2590,'01-原始价格'!$A:$M,8,FALSE),"")</f>
        <v/>
      </c>
      <c r="D2590" s="10">
        <f>IFERROR(B2590/C2590,"")</f>
        <v/>
      </c>
      <c r="E2590" s="10">
        <f>IFERROR(C2590/B2590,"")</f>
        <v/>
      </c>
      <c r="F2590" s="11">
        <f>IFERROR((D2590/D2589-1)*100,"")</f>
        <v/>
      </c>
      <c r="G2590" s="11">
        <f>IFERROR((COUNTIF($D$2339:$D$2590,"&lt;"&amp;D2590)+0.5*COUNTIF($D$2339:$D$2590,D2590))/COUNT($D$2339:$D$2590)*100,"")</f>
        <v/>
      </c>
      <c r="H2590" s="10">
        <f>IFERROR(AVERAGE($D$2339:$D$2590),"")</f>
        <v/>
      </c>
      <c r="I2590" s="10" t="n">
        <v>0.4173452441639598</v>
      </c>
      <c r="J2590" t="inlineStr"/>
      <c r="K2590" t="inlineStr"/>
    </row>
    <row r="2591">
      <c r="A2591" s="7" t="inlineStr">
        <is>
          <t>2024-10-23</t>
        </is>
      </c>
      <c r="B2591" s="8">
        <f>IFERROR(VLOOKUP($A2591,'01-原始价格'!$A:$M,2,FALSE),"")</f>
        <v/>
      </c>
      <c r="C2591" s="8">
        <f>IFERROR(VLOOKUP($A2591,'01-原始价格'!$A:$M,8,FALSE),"")</f>
        <v/>
      </c>
      <c r="D2591" s="10">
        <f>IFERROR(B2591/C2591,"")</f>
        <v/>
      </c>
      <c r="E2591" s="10">
        <f>IFERROR(C2591/B2591,"")</f>
        <v/>
      </c>
      <c r="F2591" s="11">
        <f>IFERROR((D2591/D2590-1)*100,"")</f>
        <v/>
      </c>
      <c r="G2591" s="11">
        <f>IFERROR((COUNTIF($D$2340:$D$2591,"&lt;"&amp;D2591)+0.5*COUNTIF($D$2340:$D$2591,D2591))/COUNT($D$2340:$D$2591)*100,"")</f>
        <v/>
      </c>
      <c r="H2591" s="10">
        <f>IFERROR(AVERAGE($D$2340:$D$2591),"")</f>
        <v/>
      </c>
      <c r="I2591" s="10" t="n">
        <v>0.3354750460962397</v>
      </c>
      <c r="J2591" t="inlineStr"/>
      <c r="K2591" t="inlineStr"/>
    </row>
    <row r="2592">
      <c r="A2592" s="7" t="inlineStr">
        <is>
          <t>2024-10-24</t>
        </is>
      </c>
      <c r="B2592" s="8">
        <f>IFERROR(VLOOKUP($A2592,'01-原始价格'!$A:$M,2,FALSE),"")</f>
        <v/>
      </c>
      <c r="C2592" s="8">
        <f>IFERROR(VLOOKUP($A2592,'01-原始价格'!$A:$M,8,FALSE),"")</f>
        <v/>
      </c>
      <c r="D2592" s="10">
        <f>IFERROR(B2592/C2592,"")</f>
        <v/>
      </c>
      <c r="E2592" s="10">
        <f>IFERROR(C2592/B2592,"")</f>
        <v/>
      </c>
      <c r="F2592" s="11">
        <f>IFERROR((D2592/D2591-1)*100,"")</f>
        <v/>
      </c>
      <c r="G2592" s="11">
        <f>IFERROR((COUNTIF($D$2341:$D$2592,"&lt;"&amp;D2592)+0.5*COUNTIF($D$2341:$D$2592,D2592))/COUNT($D$2341:$D$2592)*100,"")</f>
        <v/>
      </c>
      <c r="H2592" s="10">
        <f>IFERROR(AVERAGE($D$2341:$D$2592),"")</f>
        <v/>
      </c>
      <c r="I2592" s="10" t="n">
        <v>0.3799215308293854</v>
      </c>
      <c r="J2592" t="inlineStr"/>
      <c r="K2592" t="inlineStr"/>
    </row>
    <row r="2593">
      <c r="A2593" s="7" t="inlineStr">
        <is>
          <t>2024-10-25</t>
        </is>
      </c>
      <c r="B2593" s="8">
        <f>IFERROR(VLOOKUP($A2593,'01-原始价格'!$A:$M,2,FALSE),"")</f>
        <v/>
      </c>
      <c r="C2593" s="8">
        <f>IFERROR(VLOOKUP($A2593,'01-原始价格'!$A:$M,8,FALSE),"")</f>
        <v/>
      </c>
      <c r="D2593" s="10">
        <f>IFERROR(B2593/C2593,"")</f>
        <v/>
      </c>
      <c r="E2593" s="10">
        <f>IFERROR(C2593/B2593,"")</f>
        <v/>
      </c>
      <c r="F2593" s="11">
        <f>IFERROR((D2593/D2592-1)*100,"")</f>
        <v/>
      </c>
      <c r="G2593" s="11">
        <f>IFERROR((COUNTIF($D$2342:$D$2593,"&lt;"&amp;D2593)+0.5*COUNTIF($D$2342:$D$2593,D2593))/COUNT($D$2342:$D$2593)*100,"")</f>
        <v/>
      </c>
      <c r="H2593" s="10">
        <f>IFERROR(AVERAGE($D$2342:$D$2593),"")</f>
        <v/>
      </c>
      <c r="I2593" s="10" t="n">
        <v>0.2042870322721831</v>
      </c>
      <c r="J2593" t="inlineStr"/>
      <c r="K2593" t="inlineStr"/>
    </row>
    <row r="2594">
      <c r="A2594" s="7" t="inlineStr">
        <is>
          <t>2024-10-28</t>
        </is>
      </c>
      <c r="B2594" s="8">
        <f>IFERROR(VLOOKUP($A2594,'01-原始价格'!$A:$M,2,FALSE),"")</f>
        <v/>
      </c>
      <c r="C2594" s="8">
        <f>IFERROR(VLOOKUP($A2594,'01-原始价格'!$A:$M,8,FALSE),"")</f>
        <v/>
      </c>
      <c r="D2594" s="10">
        <f>IFERROR(B2594/C2594,"")</f>
        <v/>
      </c>
      <c r="E2594" s="10">
        <f>IFERROR(C2594/B2594,"")</f>
        <v/>
      </c>
      <c r="F2594" s="11">
        <f>IFERROR((D2594/D2593-1)*100,"")</f>
        <v/>
      </c>
      <c r="G2594" s="11">
        <f>IFERROR((COUNTIF($D$2343:$D$2594,"&lt;"&amp;D2594)+0.5*COUNTIF($D$2343:$D$2594,D2594))/COUNT($D$2343:$D$2594)*100,"")</f>
        <v/>
      </c>
      <c r="H2594" s="10">
        <f>IFERROR(AVERAGE($D$2343:$D$2594),"")</f>
        <v/>
      </c>
      <c r="I2594" s="10" t="n">
        <v>0.1885717446817256</v>
      </c>
      <c r="J2594" t="inlineStr"/>
      <c r="K2594" t="inlineStr"/>
    </row>
    <row r="2595">
      <c r="A2595" s="7" t="inlineStr">
        <is>
          <t>2024-10-29</t>
        </is>
      </c>
      <c r="B2595" s="8">
        <f>IFERROR(VLOOKUP($A2595,'01-原始价格'!$A:$M,2,FALSE),"")</f>
        <v/>
      </c>
      <c r="C2595" s="8">
        <f>IFERROR(VLOOKUP($A2595,'01-原始价格'!$A:$M,8,FALSE),"")</f>
        <v/>
      </c>
      <c r="D2595" s="10">
        <f>IFERROR(B2595/C2595,"")</f>
        <v/>
      </c>
      <c r="E2595" s="10">
        <f>IFERROR(C2595/B2595,"")</f>
        <v/>
      </c>
      <c r="F2595" s="11">
        <f>IFERROR((D2595/D2594-1)*100,"")</f>
        <v/>
      </c>
      <c r="G2595" s="11">
        <f>IFERROR((COUNTIF($D$2344:$D$2595,"&lt;"&amp;D2595)+0.5*COUNTIF($D$2344:$D$2595,D2595))/COUNT($D$2344:$D$2595)*100,"")</f>
        <v/>
      </c>
      <c r="H2595" s="10">
        <f>IFERROR(AVERAGE($D$2344:$D$2595),"")</f>
        <v/>
      </c>
      <c r="I2595" s="10" t="n">
        <v>0.02984920101129157</v>
      </c>
      <c r="J2595" t="inlineStr"/>
      <c r="K2595" t="inlineStr"/>
    </row>
    <row r="2596">
      <c r="A2596" s="7" t="inlineStr">
        <is>
          <t>2024-10-30</t>
        </is>
      </c>
      <c r="B2596" s="8">
        <f>IFERROR(VLOOKUP($A2596,'01-原始价格'!$A:$M,2,FALSE),"")</f>
        <v/>
      </c>
      <c r="C2596" s="8">
        <f>IFERROR(VLOOKUP($A2596,'01-原始价格'!$A:$M,8,FALSE),"")</f>
        <v/>
      </c>
      <c r="D2596" s="10">
        <f>IFERROR(B2596/C2596,"")</f>
        <v/>
      </c>
      <c r="E2596" s="10">
        <f>IFERROR(C2596/B2596,"")</f>
        <v/>
      </c>
      <c r="F2596" s="11">
        <f>IFERROR((D2596/D2595-1)*100,"")</f>
        <v/>
      </c>
      <c r="G2596" s="11">
        <f>IFERROR((COUNTIF($D$2345:$D$2596,"&lt;"&amp;D2596)+0.5*COUNTIF($D$2345:$D$2596,D2596))/COUNT($D$2345:$D$2596)*100,"")</f>
        <v/>
      </c>
      <c r="H2596" s="10">
        <f>IFERROR(AVERAGE($D$2345:$D$2596),"")</f>
        <v/>
      </c>
      <c r="I2596" s="10" t="n">
        <v>0.1185003565311253</v>
      </c>
      <c r="J2596" t="inlineStr"/>
      <c r="K2596" t="inlineStr"/>
    </row>
    <row r="2597">
      <c r="A2597" s="7" t="inlineStr">
        <is>
          <t>2024-10-31</t>
        </is>
      </c>
      <c r="B2597" s="8">
        <f>IFERROR(VLOOKUP($A2597,'01-原始价格'!$A:$M,2,FALSE),"")</f>
        <v/>
      </c>
      <c r="C2597" s="8">
        <f>IFERROR(VLOOKUP($A2597,'01-原始价格'!$A:$M,8,FALSE),"")</f>
        <v/>
      </c>
      <c r="D2597" s="10">
        <f>IFERROR(B2597/C2597,"")</f>
        <v/>
      </c>
      <c r="E2597" s="10">
        <f>IFERROR(C2597/B2597,"")</f>
        <v/>
      </c>
      <c r="F2597" s="11">
        <f>IFERROR((D2597/D2596-1)*100,"")</f>
        <v/>
      </c>
      <c r="G2597" s="11">
        <f>IFERROR((COUNTIF($D$2346:$D$2597,"&lt;"&amp;D2597)+0.5*COUNTIF($D$2346:$D$2597,D2597))/COUNT($D$2346:$D$2597)*100,"")</f>
        <v/>
      </c>
      <c r="H2597" s="10">
        <f>IFERROR(AVERAGE($D$2346:$D$2597),"")</f>
        <v/>
      </c>
      <c r="I2597" s="10" t="n">
        <v>-0.3007569912705187</v>
      </c>
      <c r="J2597" t="inlineStr"/>
      <c r="K2597" t="inlineStr"/>
    </row>
    <row r="2598">
      <c r="A2598" s="7" t="inlineStr">
        <is>
          <t>2024-11-01</t>
        </is>
      </c>
      <c r="B2598" s="8">
        <f>IFERROR(VLOOKUP($A2598,'01-原始价格'!$A:$M,2,FALSE),"")</f>
        <v/>
      </c>
      <c r="C2598" s="8">
        <f>IFERROR(VLOOKUP($A2598,'01-原始价格'!$A:$M,8,FALSE),"")</f>
        <v/>
      </c>
      <c r="D2598" s="10">
        <f>IFERROR(B2598/C2598,"")</f>
        <v/>
      </c>
      <c r="E2598" s="10">
        <f>IFERROR(C2598/B2598,"")</f>
        <v/>
      </c>
      <c r="F2598" s="11">
        <f>IFERROR((D2598/D2597-1)*100,"")</f>
        <v/>
      </c>
      <c r="G2598" s="11">
        <f>IFERROR((COUNTIF($D$2347:$D$2598,"&lt;"&amp;D2598)+0.5*COUNTIF($D$2347:$D$2598,D2598))/COUNT($D$2347:$D$2598)*100,"")</f>
        <v/>
      </c>
      <c r="H2598" s="10">
        <f>IFERROR(AVERAGE($D$2347:$D$2598),"")</f>
        <v/>
      </c>
      <c r="I2598" s="10" t="n">
        <v>-0.223168665886789</v>
      </c>
      <c r="J2598" t="inlineStr"/>
      <c r="K2598" t="inlineStr"/>
    </row>
    <row r="2599">
      <c r="A2599" s="7" t="inlineStr">
        <is>
          <t>2024-11-04</t>
        </is>
      </c>
      <c r="B2599" s="8">
        <f>IFERROR(VLOOKUP($A2599,'01-原始价格'!$A:$M,2,FALSE),"")</f>
        <v/>
      </c>
      <c r="C2599" s="8">
        <f>IFERROR(VLOOKUP($A2599,'01-原始价格'!$A:$M,8,FALSE),"")</f>
        <v/>
      </c>
      <c r="D2599" s="10">
        <f>IFERROR(B2599/C2599,"")</f>
        <v/>
      </c>
      <c r="E2599" s="10">
        <f>IFERROR(C2599/B2599,"")</f>
        <v/>
      </c>
      <c r="F2599" s="11">
        <f>IFERROR((D2599/D2598-1)*100,"")</f>
        <v/>
      </c>
      <c r="G2599" s="11">
        <f>IFERROR((COUNTIF($D$2348:$D$2599,"&lt;"&amp;D2599)+0.5*COUNTIF($D$2348:$D$2599,D2599))/COUNT($D$2348:$D$2599)*100,"")</f>
        <v/>
      </c>
      <c r="H2599" s="10">
        <f>IFERROR(AVERAGE($D$2348:$D$2599),"")</f>
        <v/>
      </c>
      <c r="I2599" s="10" t="n">
        <v>-0.4460725620671677</v>
      </c>
      <c r="J2599" t="inlineStr"/>
      <c r="K2599" t="inlineStr"/>
    </row>
    <row r="2600">
      <c r="A2600" s="7" t="inlineStr">
        <is>
          <t>2024-11-05</t>
        </is>
      </c>
      <c r="B2600" s="8">
        <f>IFERROR(VLOOKUP($A2600,'01-原始价格'!$A:$M,2,FALSE),"")</f>
        <v/>
      </c>
      <c r="C2600" s="8">
        <f>IFERROR(VLOOKUP($A2600,'01-原始价格'!$A:$M,8,FALSE),"")</f>
        <v/>
      </c>
      <c r="D2600" s="10">
        <f>IFERROR(B2600/C2600,"")</f>
        <v/>
      </c>
      <c r="E2600" s="10">
        <f>IFERROR(C2600/B2600,"")</f>
        <v/>
      </c>
      <c r="F2600" s="11">
        <f>IFERROR((D2600/D2599-1)*100,"")</f>
        <v/>
      </c>
      <c r="G2600" s="11">
        <f>IFERROR((COUNTIF($D$2349:$D$2600,"&lt;"&amp;D2600)+0.5*COUNTIF($D$2349:$D$2600,D2600))/COUNT($D$2349:$D$2600)*100,"")</f>
        <v/>
      </c>
      <c r="H2600" s="10">
        <f>IFERROR(AVERAGE($D$2349:$D$2600),"")</f>
        <v/>
      </c>
      <c r="I2600" s="10" t="n">
        <v>-0.6209606967014395</v>
      </c>
      <c r="J2600" t="inlineStr"/>
      <c r="K2600" t="inlineStr"/>
    </row>
    <row r="2601">
      <c r="A2601" s="7" t="inlineStr">
        <is>
          <t>2024-11-06</t>
        </is>
      </c>
      <c r="B2601" s="8">
        <f>IFERROR(VLOOKUP($A2601,'01-原始价格'!$A:$M,2,FALSE),"")</f>
        <v/>
      </c>
      <c r="C2601" s="8">
        <f>IFERROR(VLOOKUP($A2601,'01-原始价格'!$A:$M,8,FALSE),"")</f>
        <v/>
      </c>
      <c r="D2601" s="10">
        <f>IFERROR(B2601/C2601,"")</f>
        <v/>
      </c>
      <c r="E2601" s="10">
        <f>IFERROR(C2601/B2601,"")</f>
        <v/>
      </c>
      <c r="F2601" s="11">
        <f>IFERROR((D2601/D2600-1)*100,"")</f>
        <v/>
      </c>
      <c r="G2601" s="11">
        <f>IFERROR((COUNTIF($D$2350:$D$2601,"&lt;"&amp;D2601)+0.5*COUNTIF($D$2350:$D$2601,D2601))/COUNT($D$2350:$D$2601)*100,"")</f>
        <v/>
      </c>
      <c r="H2601" s="10">
        <f>IFERROR(AVERAGE($D$2350:$D$2601),"")</f>
        <v/>
      </c>
      <c r="I2601" s="10" t="n">
        <v>-1.042919444811197</v>
      </c>
      <c r="J2601" t="inlineStr"/>
      <c r="K2601" t="inlineStr"/>
    </row>
    <row r="2602">
      <c r="A2602" s="7" t="inlineStr">
        <is>
          <t>2024-11-07</t>
        </is>
      </c>
      <c r="B2602" s="8">
        <f>IFERROR(VLOOKUP($A2602,'01-原始价格'!$A:$M,2,FALSE),"")</f>
        <v/>
      </c>
      <c r="C2602" s="8">
        <f>IFERROR(VLOOKUP($A2602,'01-原始价格'!$A:$M,8,FALSE),"")</f>
        <v/>
      </c>
      <c r="D2602" s="10">
        <f>IFERROR(B2602/C2602,"")</f>
        <v/>
      </c>
      <c r="E2602" s="10">
        <f>IFERROR(C2602/B2602,"")</f>
        <v/>
      </c>
      <c r="F2602" s="11">
        <f>IFERROR((D2602/D2601-1)*100,"")</f>
        <v/>
      </c>
      <c r="G2602" s="11">
        <f>IFERROR((COUNTIF($D$2351:$D$2602,"&lt;"&amp;D2602)+0.5*COUNTIF($D$2351:$D$2602,D2602))/COUNT($D$2351:$D$2602)*100,"")</f>
        <v/>
      </c>
      <c r="H2602" s="10">
        <f>IFERROR(AVERAGE($D$2351:$D$2602),"")</f>
        <v/>
      </c>
      <c r="I2602" s="10" t="n">
        <v>-1.081318902667751</v>
      </c>
      <c r="J2602" t="inlineStr"/>
      <c r="K2602" t="inlineStr"/>
    </row>
    <row r="2603">
      <c r="A2603" s="7" t="inlineStr">
        <is>
          <t>2024-11-08</t>
        </is>
      </c>
      <c r="B2603" s="8">
        <f>IFERROR(VLOOKUP($A2603,'01-原始价格'!$A:$M,2,FALSE),"")</f>
        <v/>
      </c>
      <c r="C2603" s="8">
        <f>IFERROR(VLOOKUP($A2603,'01-原始价格'!$A:$M,8,FALSE),"")</f>
        <v/>
      </c>
      <c r="D2603" s="10">
        <f>IFERROR(B2603/C2603,"")</f>
        <v/>
      </c>
      <c r="E2603" s="10">
        <f>IFERROR(C2603/B2603,"")</f>
        <v/>
      </c>
      <c r="F2603" s="11">
        <f>IFERROR((D2603/D2602-1)*100,"")</f>
        <v/>
      </c>
      <c r="G2603" s="11">
        <f>IFERROR((COUNTIF($D$2352:$D$2603,"&lt;"&amp;D2603)+0.5*COUNTIF($D$2352:$D$2603,D2603))/COUNT($D$2352:$D$2603)*100,"")</f>
        <v/>
      </c>
      <c r="H2603" s="10">
        <f>IFERROR(AVERAGE($D$2352:$D$2603),"")</f>
        <v/>
      </c>
      <c r="I2603" s="10" t="n">
        <v>-1.238248125307315</v>
      </c>
      <c r="J2603" t="inlineStr"/>
      <c r="K2603" t="inlineStr"/>
    </row>
    <row r="2604">
      <c r="A2604" s="7" t="inlineStr">
        <is>
          <t>2024-11-11</t>
        </is>
      </c>
      <c r="B2604" s="8">
        <f>IFERROR(VLOOKUP($A2604,'01-原始价格'!$A:$M,2,FALSE),"")</f>
        <v/>
      </c>
      <c r="C2604" s="8">
        <f>IFERROR(VLOOKUP($A2604,'01-原始价格'!$A:$M,8,FALSE),"")</f>
        <v/>
      </c>
      <c r="D2604" s="10">
        <f>IFERROR(B2604/C2604,"")</f>
        <v/>
      </c>
      <c r="E2604" s="10">
        <f>IFERROR(C2604/B2604,"")</f>
        <v/>
      </c>
      <c r="F2604" s="11">
        <f>IFERROR((D2604/D2603-1)*100,"")</f>
        <v/>
      </c>
      <c r="G2604" s="11">
        <f>IFERROR((COUNTIF($D$2353:$D$2604,"&lt;"&amp;D2604)+0.5*COUNTIF($D$2353:$D$2604,D2604))/COUNT($D$2353:$D$2604)*100,"")</f>
        <v/>
      </c>
      <c r="H2604" s="10">
        <f>IFERROR(AVERAGE($D$2353:$D$2604),"")</f>
        <v/>
      </c>
      <c r="I2604" s="10" t="n">
        <v>-1.098156151058332</v>
      </c>
      <c r="J2604" t="inlineStr"/>
      <c r="K2604" t="inlineStr"/>
    </row>
    <row r="2605">
      <c r="A2605" s="7" t="inlineStr">
        <is>
          <t>2024-11-12</t>
        </is>
      </c>
      <c r="B2605" s="8">
        <f>IFERROR(VLOOKUP($A2605,'01-原始价格'!$A:$M,2,FALSE),"")</f>
        <v/>
      </c>
      <c r="C2605" s="8">
        <f>IFERROR(VLOOKUP($A2605,'01-原始价格'!$A:$M,8,FALSE),"")</f>
        <v/>
      </c>
      <c r="D2605" s="10">
        <f>IFERROR(B2605/C2605,"")</f>
        <v/>
      </c>
      <c r="E2605" s="10">
        <f>IFERROR(C2605/B2605,"")</f>
        <v/>
      </c>
      <c r="F2605" s="11">
        <f>IFERROR((D2605/D2604-1)*100,"")</f>
        <v/>
      </c>
      <c r="G2605" s="11">
        <f>IFERROR((COUNTIF($D$2354:$D$2605,"&lt;"&amp;D2605)+0.5*COUNTIF($D$2354:$D$2605,D2605))/COUNT($D$2354:$D$2605)*100,"")</f>
        <v/>
      </c>
      <c r="H2605" s="10">
        <f>IFERROR(AVERAGE($D$2354:$D$2605),"")</f>
        <v/>
      </c>
      <c r="I2605" s="10" t="n">
        <v>-1.462635091462269</v>
      </c>
      <c r="J2605" t="inlineStr"/>
      <c r="K2605" t="inlineStr"/>
    </row>
    <row r="2606">
      <c r="A2606" s="7" t="inlineStr">
        <is>
          <t>2024-11-13</t>
        </is>
      </c>
      <c r="B2606" s="8">
        <f>IFERROR(VLOOKUP($A2606,'01-原始价格'!$A:$M,2,FALSE),"")</f>
        <v/>
      </c>
      <c r="C2606" s="8">
        <f>IFERROR(VLOOKUP($A2606,'01-原始价格'!$A:$M,8,FALSE),"")</f>
        <v/>
      </c>
      <c r="D2606" s="10">
        <f>IFERROR(B2606/C2606,"")</f>
        <v/>
      </c>
      <c r="E2606" s="10">
        <f>IFERROR(C2606/B2606,"")</f>
        <v/>
      </c>
      <c r="F2606" s="11">
        <f>IFERROR((D2606/D2605-1)*100,"")</f>
        <v/>
      </c>
      <c r="G2606" s="11">
        <f>IFERROR((COUNTIF($D$2355:$D$2606,"&lt;"&amp;D2606)+0.5*COUNTIF($D$2355:$D$2606,D2606))/COUNT($D$2355:$D$2606)*100,"")</f>
        <v/>
      </c>
      <c r="H2606" s="10">
        <f>IFERROR(AVERAGE($D$2355:$D$2606),"")</f>
        <v/>
      </c>
      <c r="I2606" s="10" t="n">
        <v>-1.430953485582287</v>
      </c>
      <c r="J2606" t="inlineStr"/>
      <c r="K2606" t="inlineStr"/>
    </row>
    <row r="2607">
      <c r="A2607" s="7" t="inlineStr">
        <is>
          <t>2024-11-14</t>
        </is>
      </c>
      <c r="B2607" s="8">
        <f>IFERROR(VLOOKUP($A2607,'01-原始价格'!$A:$M,2,FALSE),"")</f>
        <v/>
      </c>
      <c r="C2607" s="8">
        <f>IFERROR(VLOOKUP($A2607,'01-原始价格'!$A:$M,8,FALSE),"")</f>
        <v/>
      </c>
      <c r="D2607" s="10">
        <f>IFERROR(B2607/C2607,"")</f>
        <v/>
      </c>
      <c r="E2607" s="10">
        <f>IFERROR(C2607/B2607,"")</f>
        <v/>
      </c>
      <c r="F2607" s="11">
        <f>IFERROR((D2607/D2606-1)*100,"")</f>
        <v/>
      </c>
      <c r="G2607" s="11">
        <f>IFERROR((COUNTIF($D$2356:$D$2607,"&lt;"&amp;D2607)+0.5*COUNTIF($D$2356:$D$2607,D2607))/COUNT($D$2356:$D$2607)*100,"")</f>
        <v/>
      </c>
      <c r="H2607" s="10">
        <f>IFERROR(AVERAGE($D$2356:$D$2607),"")</f>
        <v/>
      </c>
      <c r="I2607" s="10" t="n">
        <v>-2.351535954523264</v>
      </c>
      <c r="J2607" t="inlineStr"/>
      <c r="K2607" t="inlineStr"/>
    </row>
    <row r="2608">
      <c r="A2608" s="7" t="inlineStr">
        <is>
          <t>2024-11-15</t>
        </is>
      </c>
      <c r="B2608" s="8">
        <f>IFERROR(VLOOKUP($A2608,'01-原始价格'!$A:$M,2,FALSE),"")</f>
        <v/>
      </c>
      <c r="C2608" s="8">
        <f>IFERROR(VLOOKUP($A2608,'01-原始价格'!$A:$M,8,FALSE),"")</f>
        <v/>
      </c>
      <c r="D2608" s="10">
        <f>IFERROR(B2608/C2608,"")</f>
        <v/>
      </c>
      <c r="E2608" s="10">
        <f>IFERROR(C2608/B2608,"")</f>
        <v/>
      </c>
      <c r="F2608" s="11">
        <f>IFERROR((D2608/D2607-1)*100,"")</f>
        <v/>
      </c>
      <c r="G2608" s="11">
        <f>IFERROR((COUNTIF($D$2357:$D$2608,"&lt;"&amp;D2608)+0.5*COUNTIF($D$2357:$D$2608,D2608))/COUNT($D$2357:$D$2608)*100,"")</f>
        <v/>
      </c>
      <c r="H2608" s="10">
        <f>IFERROR(AVERAGE($D$2357:$D$2608),"")</f>
        <v/>
      </c>
      <c r="I2608" s="10" t="n">
        <v>-2.281536200880583</v>
      </c>
      <c r="J2608" t="inlineStr"/>
      <c r="K2608" t="inlineStr"/>
    </row>
    <row r="2609">
      <c r="A2609" s="7" t="inlineStr">
        <is>
          <t>2024-11-18</t>
        </is>
      </c>
      <c r="B2609" s="8">
        <f>IFERROR(VLOOKUP($A2609,'01-原始价格'!$A:$M,2,FALSE),"")</f>
        <v/>
      </c>
      <c r="C2609" s="8">
        <f>IFERROR(VLOOKUP($A2609,'01-原始价格'!$A:$M,8,FALSE),"")</f>
        <v/>
      </c>
      <c r="D2609" s="10">
        <f>IFERROR(B2609/C2609,"")</f>
        <v/>
      </c>
      <c r="E2609" s="10">
        <f>IFERROR(C2609/B2609,"")</f>
        <v/>
      </c>
      <c r="F2609" s="11">
        <f>IFERROR((D2609/D2608-1)*100,"")</f>
        <v/>
      </c>
      <c r="G2609" s="11">
        <f>IFERROR((COUNTIF($D$2358:$D$2609,"&lt;"&amp;D2609)+0.5*COUNTIF($D$2358:$D$2609,D2609))/COUNT($D$2358:$D$2609)*100,"")</f>
        <v/>
      </c>
      <c r="H2609" s="10">
        <f>IFERROR(AVERAGE($D$2358:$D$2609),"")</f>
        <v/>
      </c>
      <c r="I2609" s="10" t="n">
        <v>-1.636991424009784</v>
      </c>
      <c r="J2609" t="inlineStr"/>
      <c r="K2609" t="inlineStr"/>
    </row>
    <row r="2610">
      <c r="A2610" s="7" t="inlineStr">
        <is>
          <t>2024-11-19</t>
        </is>
      </c>
      <c r="B2610" s="8">
        <f>IFERROR(VLOOKUP($A2610,'01-原始价格'!$A:$M,2,FALSE),"")</f>
        <v/>
      </c>
      <c r="C2610" s="8">
        <f>IFERROR(VLOOKUP($A2610,'01-原始价格'!$A:$M,8,FALSE),"")</f>
        <v/>
      </c>
      <c r="D2610" s="10">
        <f>IFERROR(B2610/C2610,"")</f>
        <v/>
      </c>
      <c r="E2610" s="10">
        <f>IFERROR(C2610/B2610,"")</f>
        <v/>
      </c>
      <c r="F2610" s="11">
        <f>IFERROR((D2610/D2609-1)*100,"")</f>
        <v/>
      </c>
      <c r="G2610" s="11">
        <f>IFERROR((COUNTIF($D$2359:$D$2610,"&lt;"&amp;D2610)+0.5*COUNTIF($D$2359:$D$2610,D2610))/COUNT($D$2359:$D$2610)*100,"")</f>
        <v/>
      </c>
      <c r="H2610" s="10">
        <f>IFERROR(AVERAGE($D$2359:$D$2610),"")</f>
        <v/>
      </c>
      <c r="I2610" s="10" t="n">
        <v>-1.929182339468584</v>
      </c>
      <c r="J2610" t="inlineStr"/>
      <c r="K2610" t="inlineStr"/>
    </row>
    <row r="2611">
      <c r="A2611" s="7" t="inlineStr">
        <is>
          <t>2024-11-20</t>
        </is>
      </c>
      <c r="B2611" s="8">
        <f>IFERROR(VLOOKUP($A2611,'01-原始价格'!$A:$M,2,FALSE),"")</f>
        <v/>
      </c>
      <c r="C2611" s="8">
        <f>IFERROR(VLOOKUP($A2611,'01-原始价格'!$A:$M,8,FALSE),"")</f>
        <v/>
      </c>
      <c r="D2611" s="10">
        <f>IFERROR(B2611/C2611,"")</f>
        <v/>
      </c>
      <c r="E2611" s="10">
        <f>IFERROR(C2611/B2611,"")</f>
        <v/>
      </c>
      <c r="F2611" s="11">
        <f>IFERROR((D2611/D2610-1)*100,"")</f>
        <v/>
      </c>
      <c r="G2611" s="11">
        <f>IFERROR((COUNTIF($D$2360:$D$2611,"&lt;"&amp;D2611)+0.5*COUNTIF($D$2360:$D$2611,D2611))/COUNT($D$2360:$D$2611)*100,"")</f>
        <v/>
      </c>
      <c r="H2611" s="10">
        <f>IFERROR(AVERAGE($D$2360:$D$2611),"")</f>
        <v/>
      </c>
      <c r="I2611" s="10" t="n">
        <v>-2.652743350972518</v>
      </c>
      <c r="J2611" t="inlineStr"/>
      <c r="K2611" t="inlineStr"/>
    </row>
    <row r="2612">
      <c r="A2612" s="7" t="inlineStr">
        <is>
          <t>2024-11-21</t>
        </is>
      </c>
      <c r="B2612" s="8">
        <f>IFERROR(VLOOKUP($A2612,'01-原始价格'!$A:$M,2,FALSE),"")</f>
        <v/>
      </c>
      <c r="C2612" s="8">
        <f>IFERROR(VLOOKUP($A2612,'01-原始价格'!$A:$M,8,FALSE),"")</f>
        <v/>
      </c>
      <c r="D2612" s="10">
        <f>IFERROR(B2612/C2612,"")</f>
        <v/>
      </c>
      <c r="E2612" s="10">
        <f>IFERROR(C2612/B2612,"")</f>
        <v/>
      </c>
      <c r="F2612" s="11">
        <f>IFERROR((D2612/D2611-1)*100,"")</f>
        <v/>
      </c>
      <c r="G2612" s="11">
        <f>IFERROR((COUNTIF($D$2361:$D$2612,"&lt;"&amp;D2612)+0.5*COUNTIF($D$2361:$D$2612,D2612))/COUNT($D$2361:$D$2612)*100,"")</f>
        <v/>
      </c>
      <c r="H2612" s="10">
        <f>IFERROR(AVERAGE($D$2361:$D$2612),"")</f>
        <v/>
      </c>
      <c r="I2612" s="10" t="n">
        <v>-2.686817389162446</v>
      </c>
      <c r="J2612" t="inlineStr"/>
      <c r="K2612" t="inlineStr"/>
    </row>
    <row r="2613">
      <c r="A2613" s="7" t="inlineStr">
        <is>
          <t>2024-11-22</t>
        </is>
      </c>
      <c r="B2613" s="8">
        <f>IFERROR(VLOOKUP($A2613,'01-原始价格'!$A:$M,2,FALSE),"")</f>
        <v/>
      </c>
      <c r="C2613" s="8">
        <f>IFERROR(VLOOKUP($A2613,'01-原始价格'!$A:$M,8,FALSE),"")</f>
        <v/>
      </c>
      <c r="D2613" s="10">
        <f>IFERROR(B2613/C2613,"")</f>
        <v/>
      </c>
      <c r="E2613" s="10">
        <f>IFERROR(C2613/B2613,"")</f>
        <v/>
      </c>
      <c r="F2613" s="11">
        <f>IFERROR((D2613/D2612-1)*100,"")</f>
        <v/>
      </c>
      <c r="G2613" s="11">
        <f>IFERROR((COUNTIF($D$2362:$D$2613,"&lt;"&amp;D2613)+0.5*COUNTIF($D$2362:$D$2613,D2613))/COUNT($D$2362:$D$2613)*100,"")</f>
        <v/>
      </c>
      <c r="H2613" s="10">
        <f>IFERROR(AVERAGE($D$2362:$D$2613),"")</f>
        <v/>
      </c>
      <c r="I2613" s="10" t="n">
        <v>-2.995621947669989</v>
      </c>
      <c r="J2613" t="inlineStr"/>
      <c r="K2613" t="inlineStr"/>
    </row>
    <row r="2614">
      <c r="A2614" s="7" t="inlineStr">
        <is>
          <t>2024-11-25</t>
        </is>
      </c>
      <c r="B2614" s="8">
        <f>IFERROR(VLOOKUP($A2614,'01-原始价格'!$A:$M,2,FALSE),"")</f>
        <v/>
      </c>
      <c r="C2614" s="8">
        <f>IFERROR(VLOOKUP($A2614,'01-原始价格'!$A:$M,8,FALSE),"")</f>
        <v/>
      </c>
      <c r="D2614" s="10">
        <f>IFERROR(B2614/C2614,"")</f>
        <v/>
      </c>
      <c r="E2614" s="10">
        <f>IFERROR(C2614/B2614,"")</f>
        <v/>
      </c>
      <c r="F2614" s="11">
        <f>IFERROR((D2614/D2613-1)*100,"")</f>
        <v/>
      </c>
      <c r="G2614" s="11">
        <f>IFERROR((COUNTIF($D$2363:$D$2614,"&lt;"&amp;D2614)+0.5*COUNTIF($D$2363:$D$2614,D2614))/COUNT($D$2363:$D$2614)*100,"")</f>
        <v/>
      </c>
      <c r="H2614" s="10">
        <f>IFERROR(AVERAGE($D$2363:$D$2614),"")</f>
        <v/>
      </c>
      <c r="I2614" s="10" t="n">
        <v>-2.141453882926452</v>
      </c>
      <c r="J2614" t="inlineStr"/>
      <c r="K2614" t="inlineStr"/>
    </row>
    <row r="2615">
      <c r="A2615" s="7" t="inlineStr">
        <is>
          <t>2024-11-26</t>
        </is>
      </c>
      <c r="B2615" s="8">
        <f>IFERROR(VLOOKUP($A2615,'01-原始价格'!$A:$M,2,FALSE),"")</f>
        <v/>
      </c>
      <c r="C2615" s="8">
        <f>IFERROR(VLOOKUP($A2615,'01-原始价格'!$A:$M,8,FALSE),"")</f>
        <v/>
      </c>
      <c r="D2615" s="10">
        <f>IFERROR(B2615/C2615,"")</f>
        <v/>
      </c>
      <c r="E2615" s="10">
        <f>IFERROR(C2615/B2615,"")</f>
        <v/>
      </c>
      <c r="F2615" s="11">
        <f>IFERROR((D2615/D2614-1)*100,"")</f>
        <v/>
      </c>
      <c r="G2615" s="11">
        <f>IFERROR((COUNTIF($D$2364:$D$2615,"&lt;"&amp;D2615)+0.5*COUNTIF($D$2364:$D$2615,D2615))/COUNT($D$2364:$D$2615)*100,"")</f>
        <v/>
      </c>
      <c r="H2615" s="10">
        <f>IFERROR(AVERAGE($D$2364:$D$2615),"")</f>
        <v/>
      </c>
      <c r="I2615" s="10" t="n">
        <v>-2.260425717209083</v>
      </c>
      <c r="J2615" t="inlineStr"/>
      <c r="K2615" t="inlineStr"/>
    </row>
    <row r="2616">
      <c r="A2616" s="7" t="inlineStr">
        <is>
          <t>2024-11-27</t>
        </is>
      </c>
      <c r="B2616" s="8">
        <f>IFERROR(VLOOKUP($A2616,'01-原始价格'!$A:$M,2,FALSE),"")</f>
        <v/>
      </c>
      <c r="C2616" s="8">
        <f>IFERROR(VLOOKUP($A2616,'01-原始价格'!$A:$M,8,FALSE),"")</f>
        <v/>
      </c>
      <c r="D2616" s="10">
        <f>IFERROR(B2616/C2616,"")</f>
        <v/>
      </c>
      <c r="E2616" s="10">
        <f>IFERROR(C2616/B2616,"")</f>
        <v/>
      </c>
      <c r="F2616" s="11">
        <f>IFERROR((D2616/D2615-1)*100,"")</f>
        <v/>
      </c>
      <c r="G2616" s="11">
        <f>IFERROR((COUNTIF($D$2365:$D$2616,"&lt;"&amp;D2616)+0.5*COUNTIF($D$2365:$D$2616,D2616))/COUNT($D$2365:$D$2616)*100,"")</f>
        <v/>
      </c>
      <c r="H2616" s="10">
        <f>IFERROR(AVERAGE($D$2365:$D$2616),"")</f>
        <v/>
      </c>
      <c r="I2616" s="10" t="n">
        <v>-2.145751529578769</v>
      </c>
      <c r="J2616" t="inlineStr"/>
      <c r="K2616" t="inlineStr"/>
    </row>
    <row r="2617">
      <c r="A2617" s="7" t="inlineStr">
        <is>
          <t>2024-11-28</t>
        </is>
      </c>
      <c r="B2617" s="8">
        <f>IFERROR(VLOOKUP($A2617,'01-原始价格'!$A:$M,2,FALSE),"")</f>
        <v/>
      </c>
      <c r="C2617" s="8">
        <f>IFERROR(VLOOKUP($A2617,'01-原始价格'!$A:$M,8,FALSE),"")</f>
        <v/>
      </c>
      <c r="D2617" s="10">
        <f>IFERROR(B2617/C2617,"")</f>
        <v/>
      </c>
      <c r="E2617" s="10">
        <f>IFERROR(C2617/B2617,"")</f>
        <v/>
      </c>
      <c r="F2617" s="11">
        <f>IFERROR((D2617/D2616-1)*100,"")</f>
        <v/>
      </c>
      <c r="G2617" s="11">
        <f>IFERROR((COUNTIF($D$2366:$D$2617,"&lt;"&amp;D2617)+0.5*COUNTIF($D$2366:$D$2617,D2617))/COUNT($D$2366:$D$2617)*100,"")</f>
        <v/>
      </c>
      <c r="H2617" s="10">
        <f>IFERROR(AVERAGE($D$2366:$D$2617),"")</f>
        <v/>
      </c>
      <c r="I2617" s="10" t="n">
        <v>-1.70158976786769</v>
      </c>
      <c r="J2617" t="inlineStr"/>
      <c r="K2617" t="inlineStr"/>
    </row>
    <row r="2618">
      <c r="A2618" s="7" t="inlineStr">
        <is>
          <t>2024-11-29</t>
        </is>
      </c>
      <c r="B2618" s="8">
        <f>IFERROR(VLOOKUP($A2618,'01-原始价格'!$A:$M,2,FALSE),"")</f>
        <v/>
      </c>
      <c r="C2618" s="8">
        <f>IFERROR(VLOOKUP($A2618,'01-原始价格'!$A:$M,8,FALSE),"")</f>
        <v/>
      </c>
      <c r="D2618" s="10">
        <f>IFERROR(B2618/C2618,"")</f>
        <v/>
      </c>
      <c r="E2618" s="10">
        <f>IFERROR(C2618/B2618,"")</f>
        <v/>
      </c>
      <c r="F2618" s="11">
        <f>IFERROR((D2618/D2617-1)*100,"")</f>
        <v/>
      </c>
      <c r="G2618" s="11">
        <f>IFERROR((COUNTIF($D$2367:$D$2618,"&lt;"&amp;D2618)+0.5*COUNTIF($D$2367:$D$2618,D2618))/COUNT($D$2367:$D$2618)*100,"")</f>
        <v/>
      </c>
      <c r="H2618" s="10">
        <f>IFERROR(AVERAGE($D$2367:$D$2618),"")</f>
        <v/>
      </c>
      <c r="I2618" s="10" t="n">
        <v>-1.816639495484873</v>
      </c>
      <c r="J2618" t="inlineStr"/>
      <c r="K2618" t="inlineStr"/>
    </row>
    <row r="2619">
      <c r="A2619" s="7" t="inlineStr">
        <is>
          <t>2024-12-02</t>
        </is>
      </c>
      <c r="B2619" s="8">
        <f>IFERROR(VLOOKUP($A2619,'01-原始价格'!$A:$M,2,FALSE),"")</f>
        <v/>
      </c>
      <c r="C2619" s="8">
        <f>IFERROR(VLOOKUP($A2619,'01-原始价格'!$A:$M,8,FALSE),"")</f>
        <v/>
      </c>
      <c r="D2619" s="10">
        <f>IFERROR(B2619/C2619,"")</f>
        <v/>
      </c>
      <c r="E2619" s="10">
        <f>IFERROR(C2619/B2619,"")</f>
        <v/>
      </c>
      <c r="F2619" s="11">
        <f>IFERROR((D2619/D2618-1)*100,"")</f>
        <v/>
      </c>
      <c r="G2619" s="11">
        <f>IFERROR((COUNTIF($D$2368:$D$2619,"&lt;"&amp;D2619)+0.5*COUNTIF($D$2368:$D$2619,D2619))/COUNT($D$2368:$D$2619)*100,"")</f>
        <v/>
      </c>
      <c r="H2619" s="10">
        <f>IFERROR(AVERAGE($D$2368:$D$2619),"")</f>
        <v/>
      </c>
      <c r="I2619" s="10" t="n">
        <v>-3.032175941522631</v>
      </c>
      <c r="J2619" t="inlineStr"/>
      <c r="K2619" t="inlineStr"/>
    </row>
    <row r="2620">
      <c r="A2620" s="7" t="inlineStr">
        <is>
          <t>2024-12-03</t>
        </is>
      </c>
      <c r="B2620" s="8">
        <f>IFERROR(VLOOKUP($A2620,'01-原始价格'!$A:$M,2,FALSE),"")</f>
        <v/>
      </c>
      <c r="C2620" s="8">
        <f>IFERROR(VLOOKUP($A2620,'01-原始价格'!$A:$M,8,FALSE),"")</f>
        <v/>
      </c>
      <c r="D2620" s="10">
        <f>IFERROR(B2620/C2620,"")</f>
        <v/>
      </c>
      <c r="E2620" s="10">
        <f>IFERROR(C2620/B2620,"")</f>
        <v/>
      </c>
      <c r="F2620" s="11">
        <f>IFERROR((D2620/D2619-1)*100,"")</f>
        <v/>
      </c>
      <c r="G2620" s="11">
        <f>IFERROR((COUNTIF($D$2369:$D$2620,"&lt;"&amp;D2620)+0.5*COUNTIF($D$2369:$D$2620,D2620))/COUNT($D$2369:$D$2620)*100,"")</f>
        <v/>
      </c>
      <c r="H2620" s="10">
        <f>IFERROR(AVERAGE($D$2369:$D$2620),"")</f>
        <v/>
      </c>
      <c r="I2620" s="10" t="n">
        <v>-2.148354415905125</v>
      </c>
      <c r="J2620" t="inlineStr"/>
      <c r="K2620" t="inlineStr"/>
    </row>
    <row r="2621">
      <c r="A2621" s="7" t="inlineStr">
        <is>
          <t>2024-12-04</t>
        </is>
      </c>
      <c r="B2621" s="8">
        <f>IFERROR(VLOOKUP($A2621,'01-原始价格'!$A:$M,2,FALSE),"")</f>
        <v/>
      </c>
      <c r="C2621" s="8">
        <f>IFERROR(VLOOKUP($A2621,'01-原始价格'!$A:$M,8,FALSE),"")</f>
        <v/>
      </c>
      <c r="D2621" s="10">
        <f>IFERROR(B2621/C2621,"")</f>
        <v/>
      </c>
      <c r="E2621" s="10">
        <f>IFERROR(C2621/B2621,"")</f>
        <v/>
      </c>
      <c r="F2621" s="11">
        <f>IFERROR((D2621/D2620-1)*100,"")</f>
        <v/>
      </c>
      <c r="G2621" s="11">
        <f>IFERROR((COUNTIF($D$2370:$D$2621,"&lt;"&amp;D2621)+0.5*COUNTIF($D$2370:$D$2621,D2621))/COUNT($D$2370:$D$2621)*100,"")</f>
        <v/>
      </c>
      <c r="H2621" s="10">
        <f>IFERROR(AVERAGE($D$2370:$D$2621),"")</f>
        <v/>
      </c>
      <c r="I2621" s="10" t="n">
        <v>-2.728607328615413</v>
      </c>
      <c r="J2621" t="inlineStr"/>
      <c r="K2621" t="inlineStr"/>
    </row>
    <row r="2622">
      <c r="A2622" s="7" t="inlineStr">
        <is>
          <t>2024-12-05</t>
        </is>
      </c>
      <c r="B2622" s="8">
        <f>IFERROR(VLOOKUP($A2622,'01-原始价格'!$A:$M,2,FALSE),"")</f>
        <v/>
      </c>
      <c r="C2622" s="8">
        <f>IFERROR(VLOOKUP($A2622,'01-原始价格'!$A:$M,8,FALSE),"")</f>
        <v/>
      </c>
      <c r="D2622" s="10">
        <f>IFERROR(B2622/C2622,"")</f>
        <v/>
      </c>
      <c r="E2622" s="10">
        <f>IFERROR(C2622/B2622,"")</f>
        <v/>
      </c>
      <c r="F2622" s="11">
        <f>IFERROR((D2622/D2621-1)*100,"")</f>
        <v/>
      </c>
      <c r="G2622" s="11">
        <f>IFERROR((COUNTIF($D$2371:$D$2622,"&lt;"&amp;D2622)+0.5*COUNTIF($D$2371:$D$2622,D2622))/COUNT($D$2371:$D$2622)*100,"")</f>
        <v/>
      </c>
      <c r="H2622" s="10">
        <f>IFERROR(AVERAGE($D$2371:$D$2622),"")</f>
        <v/>
      </c>
      <c r="I2622" s="10" t="n">
        <v>-2.799631961199981</v>
      </c>
      <c r="J2622" t="inlineStr"/>
      <c r="K2622" t="inlineStr"/>
    </row>
    <row r="2623">
      <c r="A2623" s="7" t="inlineStr">
        <is>
          <t>2024-12-06</t>
        </is>
      </c>
      <c r="B2623" s="8">
        <f>IFERROR(VLOOKUP($A2623,'01-原始价格'!$A:$M,2,FALSE),"")</f>
        <v/>
      </c>
      <c r="C2623" s="8">
        <f>IFERROR(VLOOKUP($A2623,'01-原始价格'!$A:$M,8,FALSE),"")</f>
        <v/>
      </c>
      <c r="D2623" s="10">
        <f>IFERROR(B2623/C2623,"")</f>
        <v/>
      </c>
      <c r="E2623" s="10">
        <f>IFERROR(C2623/B2623,"")</f>
        <v/>
      </c>
      <c r="F2623" s="11">
        <f>IFERROR((D2623/D2622-1)*100,"")</f>
        <v/>
      </c>
      <c r="G2623" s="11">
        <f>IFERROR((COUNTIF($D$2372:$D$2623,"&lt;"&amp;D2623)+0.5*COUNTIF($D$2372:$D$2623,D2623))/COUNT($D$2372:$D$2623)*100,"")</f>
        <v/>
      </c>
      <c r="H2623" s="10">
        <f>IFERROR(AVERAGE($D$2372:$D$2623),"")</f>
        <v/>
      </c>
      <c r="I2623" s="10" t="n">
        <v>-2.863726069072227</v>
      </c>
      <c r="J2623" t="inlineStr"/>
      <c r="K2623" t="inlineStr"/>
    </row>
    <row r="2624">
      <c r="A2624" s="7" t="inlineStr">
        <is>
          <t>2024-12-09</t>
        </is>
      </c>
      <c r="B2624" s="8">
        <f>IFERROR(VLOOKUP($A2624,'01-原始价格'!$A:$M,2,FALSE),"")</f>
        <v/>
      </c>
      <c r="C2624" s="8">
        <f>IFERROR(VLOOKUP($A2624,'01-原始价格'!$A:$M,8,FALSE),"")</f>
        <v/>
      </c>
      <c r="D2624" s="10">
        <f>IFERROR(B2624/C2624,"")</f>
        <v/>
      </c>
      <c r="E2624" s="10">
        <f>IFERROR(C2624/B2624,"")</f>
        <v/>
      </c>
      <c r="F2624" s="11">
        <f>IFERROR((D2624/D2623-1)*100,"")</f>
        <v/>
      </c>
      <c r="G2624" s="11">
        <f>IFERROR((COUNTIF($D$2373:$D$2624,"&lt;"&amp;D2624)+0.5*COUNTIF($D$2373:$D$2624,D2624))/COUNT($D$2373:$D$2624)*100,"")</f>
        <v/>
      </c>
      <c r="H2624" s="10">
        <f>IFERROR(AVERAGE($D$2373:$D$2624),"")</f>
        <v/>
      </c>
      <c r="I2624" s="10" t="n">
        <v>-2.535973852610024</v>
      </c>
      <c r="J2624" t="inlineStr"/>
      <c r="K2624" s="12" t="inlineStr">
        <is>
          <t>是</t>
        </is>
      </c>
      <c r="L2624" t="inlineStr">
        <is>
          <t>换月日</t>
        </is>
      </c>
    </row>
    <row r="2625">
      <c r="A2625" s="7" t="inlineStr">
        <is>
          <t>2024-12-10</t>
        </is>
      </c>
      <c r="B2625" s="8">
        <f>IFERROR(VLOOKUP($A2625,'01-原始价格'!$A:$M,2,FALSE),"")</f>
        <v/>
      </c>
      <c r="C2625" s="8">
        <f>IFERROR(VLOOKUP($A2625,'01-原始价格'!$A:$M,8,FALSE),"")</f>
        <v/>
      </c>
      <c r="D2625" s="10">
        <f>IFERROR(B2625/C2625,"")</f>
        <v/>
      </c>
      <c r="E2625" s="10">
        <f>IFERROR(C2625/B2625,"")</f>
        <v/>
      </c>
      <c r="F2625" s="11">
        <f>IFERROR((D2625/D2624-1)*100,"")</f>
        <v/>
      </c>
      <c r="G2625" s="11">
        <f>IFERROR((COUNTIF($D$2374:$D$2625,"&lt;"&amp;D2625)+0.5*COUNTIF($D$2374:$D$2625,D2625))/COUNT($D$2374:$D$2625)*100,"")</f>
        <v/>
      </c>
      <c r="H2625" s="10">
        <f>IFERROR(AVERAGE($D$2374:$D$2625),"")</f>
        <v/>
      </c>
      <c r="I2625" s="10" t="n">
        <v>-2.061434371729867</v>
      </c>
      <c r="J2625" t="inlineStr"/>
      <c r="K2625" t="inlineStr"/>
    </row>
    <row r="2626">
      <c r="A2626" s="7" t="inlineStr">
        <is>
          <t>2024-12-11</t>
        </is>
      </c>
      <c r="B2626" s="8">
        <f>IFERROR(VLOOKUP($A2626,'01-原始价格'!$A:$M,2,FALSE),"")</f>
        <v/>
      </c>
      <c r="C2626" s="8">
        <f>IFERROR(VLOOKUP($A2626,'01-原始价格'!$A:$M,8,FALSE),"")</f>
        <v/>
      </c>
      <c r="D2626" s="10">
        <f>IFERROR(B2626/C2626,"")</f>
        <v/>
      </c>
      <c r="E2626" s="10">
        <f>IFERROR(C2626/B2626,"")</f>
        <v/>
      </c>
      <c r="F2626" s="11">
        <f>IFERROR((D2626/D2625-1)*100,"")</f>
        <v/>
      </c>
      <c r="G2626" s="11">
        <f>IFERROR((COUNTIF($D$2375:$D$2626,"&lt;"&amp;D2626)+0.5*COUNTIF($D$2375:$D$2626,D2626))/COUNT($D$2375:$D$2626)*100,"")</f>
        <v/>
      </c>
      <c r="H2626" s="10">
        <f>IFERROR(AVERAGE($D$2375:$D$2626),"")</f>
        <v/>
      </c>
      <c r="I2626" s="10" t="n">
        <v>-2.093002030386095</v>
      </c>
      <c r="J2626" t="inlineStr"/>
      <c r="K2626" t="inlineStr"/>
    </row>
    <row r="2627">
      <c r="A2627" s="7" t="inlineStr">
        <is>
          <t>2024-12-12</t>
        </is>
      </c>
      <c r="B2627" s="8">
        <f>IFERROR(VLOOKUP($A2627,'01-原始价格'!$A:$M,2,FALSE),"")</f>
        <v/>
      </c>
      <c r="C2627" s="8">
        <f>IFERROR(VLOOKUP($A2627,'01-原始价格'!$A:$M,8,FALSE),"")</f>
        <v/>
      </c>
      <c r="D2627" s="10">
        <f>IFERROR(B2627/C2627,"")</f>
        <v/>
      </c>
      <c r="E2627" s="10">
        <f>IFERROR(C2627/B2627,"")</f>
        <v/>
      </c>
      <c r="F2627" s="11">
        <f>IFERROR((D2627/D2626-1)*100,"")</f>
        <v/>
      </c>
      <c r="G2627" s="11">
        <f>IFERROR((COUNTIF($D$2376:$D$2627,"&lt;"&amp;D2627)+0.5*COUNTIF($D$2376:$D$2627,D2627))/COUNT($D$2376:$D$2627)*100,"")</f>
        <v/>
      </c>
      <c r="H2627" s="10">
        <f>IFERROR(AVERAGE($D$2376:$D$2627),"")</f>
        <v/>
      </c>
      <c r="I2627" s="10" t="n">
        <v>-1.928003640253838</v>
      </c>
      <c r="J2627" t="inlineStr"/>
      <c r="K2627" t="inlineStr"/>
    </row>
    <row r="2628">
      <c r="A2628" s="7" t="inlineStr">
        <is>
          <t>2024-12-13</t>
        </is>
      </c>
      <c r="B2628" s="8">
        <f>IFERROR(VLOOKUP($A2628,'01-原始价格'!$A:$M,2,FALSE),"")</f>
        <v/>
      </c>
      <c r="C2628" s="8">
        <f>IFERROR(VLOOKUP($A2628,'01-原始价格'!$A:$M,8,FALSE),"")</f>
        <v/>
      </c>
      <c r="D2628" s="10">
        <f>IFERROR(B2628/C2628,"")</f>
        <v/>
      </c>
      <c r="E2628" s="10">
        <f>IFERROR(C2628/B2628,"")</f>
        <v/>
      </c>
      <c r="F2628" s="11">
        <f>IFERROR((D2628/D2627-1)*100,"")</f>
        <v/>
      </c>
      <c r="G2628" s="11">
        <f>IFERROR((COUNTIF($D$2377:$D$2628,"&lt;"&amp;D2628)+0.5*COUNTIF($D$2377:$D$2628,D2628))/COUNT($D$2377:$D$2628)*100,"")</f>
        <v/>
      </c>
      <c r="H2628" s="10">
        <f>IFERROR(AVERAGE($D$2377:$D$2628),"")</f>
        <v/>
      </c>
      <c r="I2628" s="10" t="n">
        <v>-0.003205682731298065</v>
      </c>
      <c r="J2628" t="inlineStr"/>
      <c r="K2628" s="12" t="inlineStr">
        <is>
          <t>是</t>
        </is>
      </c>
      <c r="L2628" t="inlineStr">
        <is>
          <t>换月日</t>
        </is>
      </c>
    </row>
    <row r="2629">
      <c r="A2629" s="7" t="inlineStr">
        <is>
          <t>2024-12-16</t>
        </is>
      </c>
      <c r="B2629" s="8">
        <f>IFERROR(VLOOKUP($A2629,'01-原始价格'!$A:$M,2,FALSE),"")</f>
        <v/>
      </c>
      <c r="C2629" s="8">
        <f>IFERROR(VLOOKUP($A2629,'01-原始价格'!$A:$M,8,FALSE),"")</f>
        <v/>
      </c>
      <c r="D2629" s="10">
        <f>IFERROR(B2629/C2629,"")</f>
        <v/>
      </c>
      <c r="E2629" s="10">
        <f>IFERROR(C2629/B2629,"")</f>
        <v/>
      </c>
      <c r="F2629" s="11">
        <f>IFERROR((D2629/D2628-1)*100,"")</f>
        <v/>
      </c>
      <c r="G2629" s="11">
        <f>IFERROR((COUNTIF($D$2378:$D$2629,"&lt;"&amp;D2629)+0.5*COUNTIF($D$2378:$D$2629,D2629))/COUNT($D$2378:$D$2629)*100,"")</f>
        <v/>
      </c>
      <c r="H2629" s="10">
        <f>IFERROR(AVERAGE($D$2378:$D$2629),"")</f>
        <v/>
      </c>
      <c r="I2629" s="10" t="n">
        <v>-0.6368376126539678</v>
      </c>
      <c r="J2629" t="inlineStr"/>
      <c r="K2629" t="inlineStr"/>
    </row>
    <row r="2630">
      <c r="A2630" s="7" t="inlineStr">
        <is>
          <t>2024-12-17</t>
        </is>
      </c>
      <c r="B2630" s="8">
        <f>IFERROR(VLOOKUP($A2630,'01-原始价格'!$A:$M,2,FALSE),"")</f>
        <v/>
      </c>
      <c r="C2630" s="8">
        <f>IFERROR(VLOOKUP($A2630,'01-原始价格'!$A:$M,8,FALSE),"")</f>
        <v/>
      </c>
      <c r="D2630" s="10">
        <f>IFERROR(B2630/C2630,"")</f>
        <v/>
      </c>
      <c r="E2630" s="10">
        <f>IFERROR(C2630/B2630,"")</f>
        <v/>
      </c>
      <c r="F2630" s="11">
        <f>IFERROR((D2630/D2629-1)*100,"")</f>
        <v/>
      </c>
      <c r="G2630" s="11">
        <f>IFERROR((COUNTIF($D$2379:$D$2630,"&lt;"&amp;D2630)+0.5*COUNTIF($D$2379:$D$2630,D2630))/COUNT($D$2379:$D$2630)*100,"")</f>
        <v/>
      </c>
      <c r="H2630" s="10">
        <f>IFERROR(AVERAGE($D$2379:$D$2630),"")</f>
        <v/>
      </c>
      <c r="I2630" s="10" t="n">
        <v>-0.729513839625188</v>
      </c>
      <c r="J2630" t="inlineStr"/>
      <c r="K2630" t="inlineStr"/>
    </row>
    <row r="2631">
      <c r="A2631" s="7" t="inlineStr">
        <is>
          <t>2024-12-18</t>
        </is>
      </c>
      <c r="B2631" s="8">
        <f>IFERROR(VLOOKUP($A2631,'01-原始价格'!$A:$M,2,FALSE),"")</f>
        <v/>
      </c>
      <c r="C2631" s="8">
        <f>IFERROR(VLOOKUP($A2631,'01-原始价格'!$A:$M,8,FALSE),"")</f>
        <v/>
      </c>
      <c r="D2631" s="10">
        <f>IFERROR(B2631/C2631,"")</f>
        <v/>
      </c>
      <c r="E2631" s="10">
        <f>IFERROR(C2631/B2631,"")</f>
        <v/>
      </c>
      <c r="F2631" s="11">
        <f>IFERROR((D2631/D2630-1)*100,"")</f>
        <v/>
      </c>
      <c r="G2631" s="11">
        <f>IFERROR((COUNTIF($D$2380:$D$2631,"&lt;"&amp;D2631)+0.5*COUNTIF($D$2380:$D$2631,D2631))/COUNT($D$2380:$D$2631)*100,"")</f>
        <v/>
      </c>
      <c r="H2631" s="10">
        <f>IFERROR(AVERAGE($D$2380:$D$2631),"")</f>
        <v/>
      </c>
      <c r="I2631" s="10" t="n">
        <v>-1.075673279731167</v>
      </c>
      <c r="J2631" t="inlineStr"/>
      <c r="K2631" t="inlineStr"/>
    </row>
    <row r="2632">
      <c r="A2632" s="7" t="inlineStr">
        <is>
          <t>2024-12-19</t>
        </is>
      </c>
      <c r="B2632" s="8">
        <f>IFERROR(VLOOKUP($A2632,'01-原始价格'!$A:$M,2,FALSE),"")</f>
        <v/>
      </c>
      <c r="C2632" s="8">
        <f>IFERROR(VLOOKUP($A2632,'01-原始价格'!$A:$M,8,FALSE),"")</f>
        <v/>
      </c>
      <c r="D2632" s="10">
        <f>IFERROR(B2632/C2632,"")</f>
        <v/>
      </c>
      <c r="E2632" s="10">
        <f>IFERROR(C2632/B2632,"")</f>
        <v/>
      </c>
      <c r="F2632" s="11">
        <f>IFERROR((D2632/D2631-1)*100,"")</f>
        <v/>
      </c>
      <c r="G2632" s="11">
        <f>IFERROR((COUNTIF($D$2381:$D$2632,"&lt;"&amp;D2632)+0.5*COUNTIF($D$2381:$D$2632,D2632))/COUNT($D$2381:$D$2632)*100,"")</f>
        <v/>
      </c>
      <c r="H2632" s="10">
        <f>IFERROR(AVERAGE($D$2381:$D$2632),"")</f>
        <v/>
      </c>
      <c r="I2632" s="10" t="n">
        <v>-0.8717509951552516</v>
      </c>
      <c r="J2632" t="inlineStr"/>
      <c r="K2632" t="inlineStr"/>
    </row>
    <row r="2633">
      <c r="A2633" s="7" t="inlineStr">
        <is>
          <t>2024-12-20</t>
        </is>
      </c>
      <c r="B2633" s="8">
        <f>IFERROR(VLOOKUP($A2633,'01-原始价格'!$A:$M,2,FALSE),"")</f>
        <v/>
      </c>
      <c r="C2633" s="8">
        <f>IFERROR(VLOOKUP($A2633,'01-原始价格'!$A:$M,8,FALSE),"")</f>
        <v/>
      </c>
      <c r="D2633" s="10">
        <f>IFERROR(B2633/C2633,"")</f>
        <v/>
      </c>
      <c r="E2633" s="10">
        <f>IFERROR(C2633/B2633,"")</f>
        <v/>
      </c>
      <c r="F2633" s="11">
        <f>IFERROR((D2633/D2632-1)*100,"")</f>
        <v/>
      </c>
      <c r="G2633" s="11">
        <f>IFERROR((COUNTIF($D$2382:$D$2633,"&lt;"&amp;D2633)+0.5*COUNTIF($D$2382:$D$2633,D2633))/COUNT($D$2382:$D$2633)*100,"")</f>
        <v/>
      </c>
      <c r="H2633" s="10">
        <f>IFERROR(AVERAGE($D$2382:$D$2633),"")</f>
        <v/>
      </c>
      <c r="I2633" s="10" t="n">
        <v>-0.810477361343814</v>
      </c>
      <c r="J2633" t="inlineStr"/>
      <c r="K2633" t="inlineStr"/>
    </row>
    <row r="2634">
      <c r="A2634" s="7" t="inlineStr">
        <is>
          <t>2024-12-23</t>
        </is>
      </c>
      <c r="B2634" s="8">
        <f>IFERROR(VLOOKUP($A2634,'01-原始价格'!$A:$M,2,FALSE),"")</f>
        <v/>
      </c>
      <c r="C2634" s="8">
        <f>IFERROR(VLOOKUP($A2634,'01-原始价格'!$A:$M,8,FALSE),"")</f>
        <v/>
      </c>
      <c r="D2634" s="10">
        <f>IFERROR(B2634/C2634,"")</f>
        <v/>
      </c>
      <c r="E2634" s="10">
        <f>IFERROR(C2634/B2634,"")</f>
        <v/>
      </c>
      <c r="F2634" s="11">
        <f>IFERROR((D2634/D2633-1)*100,"")</f>
        <v/>
      </c>
      <c r="G2634" s="11">
        <f>IFERROR((COUNTIF($D$2383:$D$2634,"&lt;"&amp;D2634)+0.5*COUNTIF($D$2383:$D$2634,D2634))/COUNT($D$2383:$D$2634)*100,"")</f>
        <v/>
      </c>
      <c r="H2634" s="10">
        <f>IFERROR(AVERAGE($D$2383:$D$2634),"")</f>
        <v/>
      </c>
      <c r="I2634" s="10" t="n">
        <v>-0.08588385548624082</v>
      </c>
      <c r="J2634" t="inlineStr"/>
      <c r="K2634" t="inlineStr"/>
    </row>
    <row r="2635">
      <c r="A2635" s="7" t="inlineStr">
        <is>
          <t>2024-12-24</t>
        </is>
      </c>
      <c r="B2635" s="8">
        <f>IFERROR(VLOOKUP($A2635,'01-原始价格'!$A:$M,2,FALSE),"")</f>
        <v/>
      </c>
      <c r="C2635" s="8">
        <f>IFERROR(VLOOKUP($A2635,'01-原始价格'!$A:$M,8,FALSE),"")</f>
        <v/>
      </c>
      <c r="D2635" s="10">
        <f>IFERROR(B2635/C2635,"")</f>
        <v/>
      </c>
      <c r="E2635" s="10">
        <f>IFERROR(C2635/B2635,"")</f>
        <v/>
      </c>
      <c r="F2635" s="11">
        <f>IFERROR((D2635/D2634-1)*100,"")</f>
        <v/>
      </c>
      <c r="G2635" s="11">
        <f>IFERROR((COUNTIF($D$2384:$D$2635,"&lt;"&amp;D2635)+0.5*COUNTIF($D$2384:$D$2635,D2635))/COUNT($D$2384:$D$2635)*100,"")</f>
        <v/>
      </c>
      <c r="H2635" s="10">
        <f>IFERROR(AVERAGE($D$2384:$D$2635),"")</f>
        <v/>
      </c>
      <c r="I2635" s="10" t="n">
        <v>-0.0891086984353481</v>
      </c>
      <c r="J2635" t="inlineStr"/>
      <c r="K2635" t="inlineStr"/>
    </row>
    <row r="2636">
      <c r="A2636" s="7" t="inlineStr">
        <is>
          <t>2024-12-25</t>
        </is>
      </c>
      <c r="B2636" s="8">
        <f>IFERROR(VLOOKUP($A2636,'01-原始价格'!$A:$M,2,FALSE),"")</f>
        <v/>
      </c>
      <c r="C2636" s="8">
        <f>IFERROR(VLOOKUP($A2636,'01-原始价格'!$A:$M,8,FALSE),"")</f>
        <v/>
      </c>
      <c r="D2636" s="10">
        <f>IFERROR(B2636/C2636,"")</f>
        <v/>
      </c>
      <c r="E2636" s="10">
        <f>IFERROR(C2636/B2636,"")</f>
        <v/>
      </c>
      <c r="F2636" s="11">
        <f>IFERROR((D2636/D2635-1)*100,"")</f>
        <v/>
      </c>
      <c r="G2636" s="11">
        <f>IFERROR((COUNTIF($D$2385:$D$2636,"&lt;"&amp;D2636)+0.5*COUNTIF($D$2385:$D$2636,D2636))/COUNT($D$2385:$D$2636)*100,"")</f>
        <v/>
      </c>
      <c r="H2636" s="10">
        <f>IFERROR(AVERAGE($D$2385:$D$2636),"")</f>
        <v/>
      </c>
      <c r="I2636" s="10" t="n">
        <v>-0.2015239877180532</v>
      </c>
      <c r="J2636" t="inlineStr"/>
      <c r="K2636" t="inlineStr"/>
    </row>
    <row r="2637">
      <c r="A2637" s="7" t="inlineStr">
        <is>
          <t>2024-12-26</t>
        </is>
      </c>
      <c r="B2637" s="8">
        <f>IFERROR(VLOOKUP($A2637,'01-原始价格'!$A:$M,2,FALSE),"")</f>
        <v/>
      </c>
      <c r="C2637" s="8">
        <f>IFERROR(VLOOKUP($A2637,'01-原始价格'!$A:$M,8,FALSE),"")</f>
        <v/>
      </c>
      <c r="D2637" s="10">
        <f>IFERROR(B2637/C2637,"")</f>
        <v/>
      </c>
      <c r="E2637" s="10">
        <f>IFERROR(C2637/B2637,"")</f>
        <v/>
      </c>
      <c r="F2637" s="11">
        <f>IFERROR((D2637/D2636-1)*100,"")</f>
        <v/>
      </c>
      <c r="G2637" s="11">
        <f>IFERROR((COUNTIF($D$2386:$D$2637,"&lt;"&amp;D2637)+0.5*COUNTIF($D$2386:$D$2637,D2637))/COUNT($D$2386:$D$2637)*100,"")</f>
        <v/>
      </c>
      <c r="H2637" s="10">
        <f>IFERROR(AVERAGE($D$2386:$D$2637),"")</f>
        <v/>
      </c>
      <c r="I2637" s="10" t="n">
        <v>-0.5773752448673468</v>
      </c>
      <c r="J2637" t="inlineStr"/>
      <c r="K2637" t="inlineStr"/>
    </row>
    <row r="2638">
      <c r="A2638" s="7" t="inlineStr">
        <is>
          <t>2024-12-27</t>
        </is>
      </c>
      <c r="B2638" s="8">
        <f>IFERROR(VLOOKUP($A2638,'01-原始价格'!$A:$M,2,FALSE),"")</f>
        <v/>
      </c>
      <c r="C2638" s="8">
        <f>IFERROR(VLOOKUP($A2638,'01-原始价格'!$A:$M,8,FALSE),"")</f>
        <v/>
      </c>
      <c r="D2638" s="10">
        <f>IFERROR(B2638/C2638,"")</f>
        <v/>
      </c>
      <c r="E2638" s="10">
        <f>IFERROR(C2638/B2638,"")</f>
        <v/>
      </c>
      <c r="F2638" s="11">
        <f>IFERROR((D2638/D2637-1)*100,"")</f>
        <v/>
      </c>
      <c r="G2638" s="11">
        <f>IFERROR((COUNTIF($D$2387:$D$2638,"&lt;"&amp;D2638)+0.5*COUNTIF($D$2387:$D$2638,D2638))/COUNT($D$2387:$D$2638)*100,"")</f>
        <v/>
      </c>
      <c r="H2638" s="10">
        <f>IFERROR(AVERAGE($D$2387:$D$2638),"")</f>
        <v/>
      </c>
      <c r="I2638" s="10" t="n">
        <v>-0.6169168702780539</v>
      </c>
      <c r="J2638" t="inlineStr"/>
      <c r="K2638" t="inlineStr"/>
    </row>
    <row r="2639">
      <c r="A2639" s="7" t="inlineStr">
        <is>
          <t>2024-12-30</t>
        </is>
      </c>
      <c r="B2639" s="8">
        <f>IFERROR(VLOOKUP($A2639,'01-原始价格'!$A:$M,2,FALSE),"")</f>
        <v/>
      </c>
      <c r="C2639" s="8">
        <f>IFERROR(VLOOKUP($A2639,'01-原始价格'!$A:$M,8,FALSE),"")</f>
        <v/>
      </c>
      <c r="D2639" s="10">
        <f>IFERROR(B2639/C2639,"")</f>
        <v/>
      </c>
      <c r="E2639" s="10">
        <f>IFERROR(C2639/B2639,"")</f>
        <v/>
      </c>
      <c r="F2639" s="11">
        <f>IFERROR((D2639/D2638-1)*100,"")</f>
        <v/>
      </c>
      <c r="G2639" s="11">
        <f>IFERROR((COUNTIF($D$2388:$D$2639,"&lt;"&amp;D2639)+0.5*COUNTIF($D$2388:$D$2639,D2639))/COUNT($D$2388:$D$2639)*100,"")</f>
        <v/>
      </c>
      <c r="H2639" s="10">
        <f>IFERROR(AVERAGE($D$2388:$D$2639),"")</f>
        <v/>
      </c>
      <c r="I2639" s="10" t="n">
        <v>-0.618946193479834</v>
      </c>
      <c r="J2639" t="inlineStr"/>
      <c r="K2639" t="inlineStr"/>
    </row>
    <row r="2640">
      <c r="A2640" s="7" t="inlineStr">
        <is>
          <t>2024-12-31</t>
        </is>
      </c>
      <c r="B2640" s="8">
        <f>IFERROR(VLOOKUP($A2640,'01-原始价格'!$A:$M,2,FALSE),"")</f>
        <v/>
      </c>
      <c r="C2640" s="8">
        <f>IFERROR(VLOOKUP($A2640,'01-原始价格'!$A:$M,8,FALSE),"")</f>
        <v/>
      </c>
      <c r="D2640" s="10">
        <f>IFERROR(B2640/C2640,"")</f>
        <v/>
      </c>
      <c r="E2640" s="10">
        <f>IFERROR(C2640/B2640,"")</f>
        <v/>
      </c>
      <c r="F2640" s="11">
        <f>IFERROR((D2640/D2639-1)*100,"")</f>
        <v/>
      </c>
      <c r="G2640" s="11">
        <f>IFERROR((COUNTIF($D$2389:$D$2640,"&lt;"&amp;D2640)+0.5*COUNTIF($D$2389:$D$2640,D2640))/COUNT($D$2389:$D$2640)*100,"")</f>
        <v/>
      </c>
      <c r="H2640" s="10">
        <f>IFERROR(AVERAGE($D$2389:$D$2640),"")</f>
        <v/>
      </c>
      <c r="I2640" s="10" t="n">
        <v>-0.421384773727409</v>
      </c>
      <c r="J2640" t="inlineStr"/>
      <c r="K2640" t="inlineStr"/>
    </row>
    <row r="2641">
      <c r="A2641" s="7" t="inlineStr">
        <is>
          <t>2025-01-02</t>
        </is>
      </c>
      <c r="B2641" s="8">
        <f>IFERROR(VLOOKUP($A2641,'01-原始价格'!$A:$M,2,FALSE),"")</f>
        <v/>
      </c>
      <c r="C2641" s="8">
        <f>IFERROR(VLOOKUP($A2641,'01-原始价格'!$A:$M,8,FALSE),"")</f>
        <v/>
      </c>
      <c r="D2641" s="10">
        <f>IFERROR(B2641/C2641,"")</f>
        <v/>
      </c>
      <c r="E2641" s="10">
        <f>IFERROR(C2641/B2641,"")</f>
        <v/>
      </c>
      <c r="F2641" s="11">
        <f>IFERROR((D2641/D2640-1)*100,"")</f>
        <v/>
      </c>
      <c r="G2641" s="11">
        <f>IFERROR((COUNTIF($D$2390:$D$2641,"&lt;"&amp;D2641)+0.5*COUNTIF($D$2390:$D$2641,D2641))/COUNT($D$2390:$D$2641)*100,"")</f>
        <v/>
      </c>
      <c r="H2641" s="10">
        <f>IFERROR(AVERAGE($D$2390:$D$2641),"")</f>
        <v/>
      </c>
      <c r="I2641" s="10" t="n">
        <v>0.005090282140520874</v>
      </c>
      <c r="J2641" t="inlineStr"/>
      <c r="K2641" t="inlineStr"/>
    </row>
    <row r="2642">
      <c r="A2642" s="7" t="inlineStr">
        <is>
          <t>2025-01-03</t>
        </is>
      </c>
      <c r="B2642" s="8">
        <f>IFERROR(VLOOKUP($A2642,'01-原始价格'!$A:$M,2,FALSE),"")</f>
        <v/>
      </c>
      <c r="C2642" s="8">
        <f>IFERROR(VLOOKUP($A2642,'01-原始价格'!$A:$M,8,FALSE),"")</f>
        <v/>
      </c>
      <c r="D2642" s="10">
        <f>IFERROR(B2642/C2642,"")</f>
        <v/>
      </c>
      <c r="E2642" s="10">
        <f>IFERROR(C2642/B2642,"")</f>
        <v/>
      </c>
      <c r="F2642" s="11">
        <f>IFERROR((D2642/D2641-1)*100,"")</f>
        <v/>
      </c>
      <c r="G2642" s="11">
        <f>IFERROR((COUNTIF($D$2391:$D$2642,"&lt;"&amp;D2642)+0.5*COUNTIF($D$2391:$D$2642,D2642))/COUNT($D$2391:$D$2642)*100,"")</f>
        <v/>
      </c>
      <c r="H2642" s="10">
        <f>IFERROR(AVERAGE($D$2391:$D$2642),"")</f>
        <v/>
      </c>
      <c r="I2642" s="10" t="n">
        <v>0.1627254728244819</v>
      </c>
      <c r="J2642" t="inlineStr"/>
      <c r="K2642" t="inlineStr"/>
    </row>
    <row r="2643">
      <c r="A2643" s="7" t="inlineStr">
        <is>
          <t>2025-01-06</t>
        </is>
      </c>
      <c r="B2643" s="8">
        <f>IFERROR(VLOOKUP($A2643,'01-原始价格'!$A:$M,2,FALSE),"")</f>
        <v/>
      </c>
      <c r="C2643" s="8">
        <f>IFERROR(VLOOKUP($A2643,'01-原始价格'!$A:$M,8,FALSE),"")</f>
        <v/>
      </c>
      <c r="D2643" s="10">
        <f>IFERROR(B2643/C2643,"")</f>
        <v/>
      </c>
      <c r="E2643" s="10">
        <f>IFERROR(C2643/B2643,"")</f>
        <v/>
      </c>
      <c r="F2643" s="11">
        <f>IFERROR((D2643/D2642-1)*100,"")</f>
        <v/>
      </c>
      <c r="G2643" s="11">
        <f>IFERROR((COUNTIF($D$2392:$D$2643,"&lt;"&amp;D2643)+0.5*COUNTIF($D$2392:$D$2643,D2643))/COUNT($D$2392:$D$2643)*100,"")</f>
        <v/>
      </c>
      <c r="H2643" s="10">
        <f>IFERROR(AVERAGE($D$2392:$D$2643),"")</f>
        <v/>
      </c>
      <c r="I2643" s="10" t="n">
        <v>0.8848969318410561</v>
      </c>
      <c r="J2643" t="inlineStr"/>
      <c r="K2643" t="inlineStr"/>
    </row>
    <row r="2644">
      <c r="A2644" s="7" t="inlineStr">
        <is>
          <t>2025-01-07</t>
        </is>
      </c>
      <c r="B2644" s="8">
        <f>IFERROR(VLOOKUP($A2644,'01-原始价格'!$A:$M,2,FALSE),"")</f>
        <v/>
      </c>
      <c r="C2644" s="8">
        <f>IFERROR(VLOOKUP($A2644,'01-原始价格'!$A:$M,8,FALSE),"")</f>
        <v/>
      </c>
      <c r="D2644" s="10">
        <f>IFERROR(B2644/C2644,"")</f>
        <v/>
      </c>
      <c r="E2644" s="10">
        <f>IFERROR(C2644/B2644,"")</f>
        <v/>
      </c>
      <c r="F2644" s="11">
        <f>IFERROR((D2644/D2643-1)*100,"")</f>
        <v/>
      </c>
      <c r="G2644" s="11">
        <f>IFERROR((COUNTIF($D$2393:$D$2644,"&lt;"&amp;D2644)+0.5*COUNTIF($D$2393:$D$2644,D2644))/COUNT($D$2393:$D$2644)*100,"")</f>
        <v/>
      </c>
      <c r="H2644" s="10">
        <f>IFERROR(AVERAGE($D$2393:$D$2644),"")</f>
        <v/>
      </c>
      <c r="I2644" s="10" t="n">
        <v>1.054633480898155</v>
      </c>
      <c r="J2644" t="inlineStr"/>
      <c r="K2644" t="inlineStr"/>
    </row>
    <row r="2645">
      <c r="A2645" s="7" t="inlineStr">
        <is>
          <t>2025-01-08</t>
        </is>
      </c>
      <c r="B2645" s="8">
        <f>IFERROR(VLOOKUP($A2645,'01-原始价格'!$A:$M,2,FALSE),"")</f>
        <v/>
      </c>
      <c r="C2645" s="8">
        <f>IFERROR(VLOOKUP($A2645,'01-原始价格'!$A:$M,8,FALSE),"")</f>
        <v/>
      </c>
      <c r="D2645" s="10">
        <f>IFERROR(B2645/C2645,"")</f>
        <v/>
      </c>
      <c r="E2645" s="10">
        <f>IFERROR(C2645/B2645,"")</f>
        <v/>
      </c>
      <c r="F2645" s="11">
        <f>IFERROR((D2645/D2644-1)*100,"")</f>
        <v/>
      </c>
      <c r="G2645" s="11">
        <f>IFERROR((COUNTIF($D$2394:$D$2645,"&lt;"&amp;D2645)+0.5*COUNTIF($D$2394:$D$2645,D2645))/COUNT($D$2394:$D$2645)*100,"")</f>
        <v/>
      </c>
      <c r="H2645" s="10">
        <f>IFERROR(AVERAGE($D$2394:$D$2645),"")</f>
        <v/>
      </c>
      <c r="I2645" s="10" t="n">
        <v>1.151912866628666</v>
      </c>
      <c r="J2645" t="inlineStr"/>
      <c r="K2645" t="inlineStr"/>
    </row>
    <row r="2646">
      <c r="A2646" s="7" t="inlineStr">
        <is>
          <t>2025-01-09</t>
        </is>
      </c>
      <c r="B2646" s="8">
        <f>IFERROR(VLOOKUP($A2646,'01-原始价格'!$A:$M,2,FALSE),"")</f>
        <v/>
      </c>
      <c r="C2646" s="8">
        <f>IFERROR(VLOOKUP($A2646,'01-原始价格'!$A:$M,8,FALSE),"")</f>
        <v/>
      </c>
      <c r="D2646" s="10">
        <f>IFERROR(B2646/C2646,"")</f>
        <v/>
      </c>
      <c r="E2646" s="10">
        <f>IFERROR(C2646/B2646,"")</f>
        <v/>
      </c>
      <c r="F2646" s="11">
        <f>IFERROR((D2646/D2645-1)*100,"")</f>
        <v/>
      </c>
      <c r="G2646" s="11">
        <f>IFERROR((COUNTIF($D$2395:$D$2646,"&lt;"&amp;D2646)+0.5*COUNTIF($D$2395:$D$2646,D2646))/COUNT($D$2395:$D$2646)*100,"")</f>
        <v/>
      </c>
      <c r="H2646" s="10">
        <f>IFERROR(AVERAGE($D$2395:$D$2646),"")</f>
        <v/>
      </c>
      <c r="I2646" s="10" t="n">
        <v>1.449568391803898</v>
      </c>
      <c r="J2646" t="inlineStr"/>
      <c r="K2646" t="inlineStr"/>
    </row>
    <row r="2647">
      <c r="A2647" s="7" t="inlineStr">
        <is>
          <t>2025-01-10</t>
        </is>
      </c>
      <c r="B2647" s="8">
        <f>IFERROR(VLOOKUP($A2647,'01-原始价格'!$A:$M,2,FALSE),"")</f>
        <v/>
      </c>
      <c r="C2647" s="8">
        <f>IFERROR(VLOOKUP($A2647,'01-原始价格'!$A:$M,8,FALSE),"")</f>
        <v/>
      </c>
      <c r="D2647" s="10">
        <f>IFERROR(B2647/C2647,"")</f>
        <v/>
      </c>
      <c r="E2647" s="10">
        <f>IFERROR(C2647/B2647,"")</f>
        <v/>
      </c>
      <c r="F2647" s="11">
        <f>IFERROR((D2647/D2646-1)*100,"")</f>
        <v/>
      </c>
      <c r="G2647" s="11">
        <f>IFERROR((COUNTIF($D$2396:$D$2647,"&lt;"&amp;D2647)+0.5*COUNTIF($D$2396:$D$2647,D2647))/COUNT($D$2396:$D$2647)*100,"")</f>
        <v/>
      </c>
      <c r="H2647" s="10">
        <f>IFERROR(AVERAGE($D$2396:$D$2647),"")</f>
        <v/>
      </c>
      <c r="I2647" s="10" t="n">
        <v>1.203986329206916</v>
      </c>
      <c r="J2647" t="inlineStr"/>
      <c r="K2647" t="inlineStr"/>
    </row>
    <row r="2648">
      <c r="A2648" s="7" t="inlineStr">
        <is>
          <t>2025-01-13</t>
        </is>
      </c>
      <c r="B2648" s="8">
        <f>IFERROR(VLOOKUP($A2648,'01-原始价格'!$A:$M,2,FALSE),"")</f>
        <v/>
      </c>
      <c r="C2648" s="8">
        <f>IFERROR(VLOOKUP($A2648,'01-原始价格'!$A:$M,8,FALSE),"")</f>
        <v/>
      </c>
      <c r="D2648" s="10">
        <f>IFERROR(B2648/C2648,"")</f>
        <v/>
      </c>
      <c r="E2648" s="10">
        <f>IFERROR(C2648/B2648,"")</f>
        <v/>
      </c>
      <c r="F2648" s="11">
        <f>IFERROR((D2648/D2647-1)*100,"")</f>
        <v/>
      </c>
      <c r="G2648" s="11">
        <f>IFERROR((COUNTIF($D$2397:$D$2648,"&lt;"&amp;D2648)+0.5*COUNTIF($D$2397:$D$2648,D2648))/COUNT($D$2397:$D$2648)*100,"")</f>
        <v/>
      </c>
      <c r="H2648" s="10">
        <f>IFERROR(AVERAGE($D$2397:$D$2648),"")</f>
        <v/>
      </c>
      <c r="I2648" s="10" t="n">
        <v>1.996340014849479</v>
      </c>
      <c r="J2648" t="inlineStr"/>
      <c r="K2648" t="inlineStr"/>
    </row>
    <row r="2649">
      <c r="A2649" s="7" t="inlineStr">
        <is>
          <t>2025-01-14</t>
        </is>
      </c>
      <c r="B2649" s="8">
        <f>IFERROR(VLOOKUP($A2649,'01-原始价格'!$A:$M,2,FALSE),"")</f>
        <v/>
      </c>
      <c r="C2649" s="8">
        <f>IFERROR(VLOOKUP($A2649,'01-原始价格'!$A:$M,8,FALSE),"")</f>
        <v/>
      </c>
      <c r="D2649" s="10">
        <f>IFERROR(B2649/C2649,"")</f>
        <v/>
      </c>
      <c r="E2649" s="10">
        <f>IFERROR(C2649/B2649,"")</f>
        <v/>
      </c>
      <c r="F2649" s="11">
        <f>IFERROR((D2649/D2648-1)*100,"")</f>
        <v/>
      </c>
      <c r="G2649" s="11">
        <f>IFERROR((COUNTIF($D$2398:$D$2649,"&lt;"&amp;D2649)+0.5*COUNTIF($D$2398:$D$2649,D2649))/COUNT($D$2398:$D$2649)*100,"")</f>
        <v/>
      </c>
      <c r="H2649" s="10">
        <f>IFERROR(AVERAGE($D$2398:$D$2649),"")</f>
        <v/>
      </c>
      <c r="I2649" s="10" t="n">
        <v>2.511316202919411</v>
      </c>
      <c r="J2649" t="inlineStr"/>
      <c r="K2649" t="inlineStr"/>
    </row>
    <row r="2650">
      <c r="A2650" s="7" t="inlineStr">
        <is>
          <t>2025-01-15</t>
        </is>
      </c>
      <c r="B2650" s="8">
        <f>IFERROR(VLOOKUP($A2650,'01-原始价格'!$A:$M,2,FALSE),"")</f>
        <v/>
      </c>
      <c r="C2650" s="8">
        <f>IFERROR(VLOOKUP($A2650,'01-原始价格'!$A:$M,8,FALSE),"")</f>
        <v/>
      </c>
      <c r="D2650" s="10">
        <f>IFERROR(B2650/C2650,"")</f>
        <v/>
      </c>
      <c r="E2650" s="10">
        <f>IFERROR(C2650/B2650,"")</f>
        <v/>
      </c>
      <c r="F2650" s="11">
        <f>IFERROR((D2650/D2649-1)*100,"")</f>
        <v/>
      </c>
      <c r="G2650" s="11">
        <f>IFERROR((COUNTIF($D$2399:$D$2650,"&lt;"&amp;D2650)+0.5*COUNTIF($D$2399:$D$2650,D2650))/COUNT($D$2399:$D$2650)*100,"")</f>
        <v/>
      </c>
      <c r="H2650" s="10">
        <f>IFERROR(AVERAGE($D$2399:$D$2650),"")</f>
        <v/>
      </c>
      <c r="I2650" s="10" t="n">
        <v>2.480948151511058</v>
      </c>
      <c r="J2650" t="inlineStr"/>
      <c r="K2650" t="inlineStr"/>
    </row>
    <row r="2651">
      <c r="A2651" s="7" t="inlineStr">
        <is>
          <t>2025-01-16</t>
        </is>
      </c>
      <c r="B2651" s="8">
        <f>IFERROR(VLOOKUP($A2651,'01-原始价格'!$A:$M,2,FALSE),"")</f>
        <v/>
      </c>
      <c r="C2651" s="8">
        <f>IFERROR(VLOOKUP($A2651,'01-原始价格'!$A:$M,8,FALSE),"")</f>
        <v/>
      </c>
      <c r="D2651" s="10">
        <f>IFERROR(B2651/C2651,"")</f>
        <v/>
      </c>
      <c r="E2651" s="10">
        <f>IFERROR(C2651/B2651,"")</f>
        <v/>
      </c>
      <c r="F2651" s="11">
        <f>IFERROR((D2651/D2650-1)*100,"")</f>
        <v/>
      </c>
      <c r="G2651" s="11">
        <f>IFERROR((COUNTIF($D$2400:$D$2651,"&lt;"&amp;D2651)+0.5*COUNTIF($D$2400:$D$2651,D2651))/COUNT($D$2400:$D$2651)*100,"")</f>
        <v/>
      </c>
      <c r="H2651" s="10">
        <f>IFERROR(AVERAGE($D$2400:$D$2651),"")</f>
        <v/>
      </c>
      <c r="I2651" s="10" t="n">
        <v>3.092093761478543</v>
      </c>
      <c r="J2651" t="inlineStr"/>
      <c r="K2651" t="inlineStr"/>
    </row>
    <row r="2652">
      <c r="A2652" s="7" t="inlineStr">
        <is>
          <t>2025-01-17</t>
        </is>
      </c>
      <c r="B2652" s="8">
        <f>IFERROR(VLOOKUP($A2652,'01-原始价格'!$A:$M,2,FALSE),"")</f>
        <v/>
      </c>
      <c r="C2652" s="8">
        <f>IFERROR(VLOOKUP($A2652,'01-原始价格'!$A:$M,8,FALSE),"")</f>
        <v/>
      </c>
      <c r="D2652" s="10">
        <f>IFERROR(B2652/C2652,"")</f>
        <v/>
      </c>
      <c r="E2652" s="10">
        <f>IFERROR(C2652/B2652,"")</f>
        <v/>
      </c>
      <c r="F2652" s="11">
        <f>IFERROR((D2652/D2651-1)*100,"")</f>
        <v/>
      </c>
      <c r="G2652" s="11">
        <f>IFERROR((COUNTIF($D$2401:$D$2652,"&lt;"&amp;D2652)+0.5*COUNTIF($D$2401:$D$2652,D2652))/COUNT($D$2401:$D$2652)*100,"")</f>
        <v/>
      </c>
      <c r="H2652" s="10">
        <f>IFERROR(AVERAGE($D$2401:$D$2652),"")</f>
        <v/>
      </c>
      <c r="I2652" s="10" t="n">
        <v>2.713102909898462</v>
      </c>
      <c r="J2652" t="inlineStr"/>
      <c r="K2652" t="inlineStr"/>
    </row>
    <row r="2653">
      <c r="A2653" s="7" t="inlineStr">
        <is>
          <t>2025-01-20</t>
        </is>
      </c>
      <c r="B2653" s="8">
        <f>IFERROR(VLOOKUP($A2653,'01-原始价格'!$A:$M,2,FALSE),"")</f>
        <v/>
      </c>
      <c r="C2653" s="8">
        <f>IFERROR(VLOOKUP($A2653,'01-原始价格'!$A:$M,8,FALSE),"")</f>
        <v/>
      </c>
      <c r="D2653" s="10">
        <f>IFERROR(B2653/C2653,"")</f>
        <v/>
      </c>
      <c r="E2653" s="10">
        <f>IFERROR(C2653/B2653,"")</f>
        <v/>
      </c>
      <c r="F2653" s="11">
        <f>IFERROR((D2653/D2652-1)*100,"")</f>
        <v/>
      </c>
      <c r="G2653" s="11">
        <f>IFERROR((COUNTIF($D$2402:$D$2653,"&lt;"&amp;D2653)+0.5*COUNTIF($D$2402:$D$2653,D2653))/COUNT($D$2402:$D$2653)*100,"")</f>
        <v/>
      </c>
      <c r="H2653" s="10">
        <f>IFERROR(AVERAGE($D$2402:$D$2653),"")</f>
        <v/>
      </c>
      <c r="I2653" s="10" t="n">
        <v>2.806560431156766</v>
      </c>
      <c r="J2653" t="inlineStr"/>
      <c r="K2653" t="inlineStr"/>
    </row>
    <row r="2654">
      <c r="A2654" s="7" t="inlineStr">
        <is>
          <t>2025-01-21</t>
        </is>
      </c>
      <c r="B2654" s="8">
        <f>IFERROR(VLOOKUP($A2654,'01-原始价格'!$A:$M,2,FALSE),"")</f>
        <v/>
      </c>
      <c r="C2654" s="8">
        <f>IFERROR(VLOOKUP($A2654,'01-原始价格'!$A:$M,8,FALSE),"")</f>
        <v/>
      </c>
      <c r="D2654" s="10">
        <f>IFERROR(B2654/C2654,"")</f>
        <v/>
      </c>
      <c r="E2654" s="10">
        <f>IFERROR(C2654/B2654,"")</f>
        <v/>
      </c>
      <c r="F2654" s="11">
        <f>IFERROR((D2654/D2653-1)*100,"")</f>
        <v/>
      </c>
      <c r="G2654" s="11">
        <f>IFERROR((COUNTIF($D$2403:$D$2654,"&lt;"&amp;D2654)+0.5*COUNTIF($D$2403:$D$2654,D2654))/COUNT($D$2403:$D$2654)*100,"")</f>
        <v/>
      </c>
      <c r="H2654" s="10">
        <f>IFERROR(AVERAGE($D$2403:$D$2654),"")</f>
        <v/>
      </c>
      <c r="I2654" s="10" t="n">
        <v>2.47780185311504</v>
      </c>
      <c r="J2654" t="inlineStr"/>
      <c r="K2654" t="inlineStr"/>
    </row>
    <row r="2655">
      <c r="A2655" s="7" t="inlineStr">
        <is>
          <t>2025-01-22</t>
        </is>
      </c>
      <c r="B2655" s="8">
        <f>IFERROR(VLOOKUP($A2655,'01-原始价格'!$A:$M,2,FALSE),"")</f>
        <v/>
      </c>
      <c r="C2655" s="8">
        <f>IFERROR(VLOOKUP($A2655,'01-原始价格'!$A:$M,8,FALSE),"")</f>
        <v/>
      </c>
      <c r="D2655" s="10">
        <f>IFERROR(B2655/C2655,"")</f>
        <v/>
      </c>
      <c r="E2655" s="10">
        <f>IFERROR(C2655/B2655,"")</f>
        <v/>
      </c>
      <c r="F2655" s="11">
        <f>IFERROR((D2655/D2654-1)*100,"")</f>
        <v/>
      </c>
      <c r="G2655" s="11">
        <f>IFERROR((COUNTIF($D$2404:$D$2655,"&lt;"&amp;D2655)+0.5*COUNTIF($D$2404:$D$2655,D2655))/COUNT($D$2404:$D$2655)*100,"")</f>
        <v/>
      </c>
      <c r="H2655" s="10">
        <f>IFERROR(AVERAGE($D$2404:$D$2655),"")</f>
        <v/>
      </c>
      <c r="I2655" s="10" t="n">
        <v>2.207470985734115</v>
      </c>
      <c r="J2655" t="inlineStr"/>
      <c r="K2655" t="inlineStr"/>
    </row>
    <row r="2656">
      <c r="A2656" s="7" t="inlineStr">
        <is>
          <t>2025-01-23</t>
        </is>
      </c>
      <c r="B2656" s="8">
        <f>IFERROR(VLOOKUP($A2656,'01-原始价格'!$A:$M,2,FALSE),"")</f>
        <v/>
      </c>
      <c r="C2656" s="8">
        <f>IFERROR(VLOOKUP($A2656,'01-原始价格'!$A:$M,8,FALSE),"")</f>
        <v/>
      </c>
      <c r="D2656" s="10">
        <f>IFERROR(B2656/C2656,"")</f>
        <v/>
      </c>
      <c r="E2656" s="10">
        <f>IFERROR(C2656/B2656,"")</f>
        <v/>
      </c>
      <c r="F2656" s="11">
        <f>IFERROR((D2656/D2655-1)*100,"")</f>
        <v/>
      </c>
      <c r="G2656" s="11">
        <f>IFERROR((COUNTIF($D$2405:$D$2656,"&lt;"&amp;D2656)+0.5*COUNTIF($D$2405:$D$2656,D2656))/COUNT($D$2405:$D$2656)*100,"")</f>
        <v/>
      </c>
      <c r="H2656" s="10">
        <f>IFERROR(AVERAGE($D$2405:$D$2656),"")</f>
        <v/>
      </c>
      <c r="I2656" s="10" t="n">
        <v>2.132559277532129</v>
      </c>
      <c r="J2656" t="inlineStr"/>
      <c r="K2656" t="inlineStr"/>
    </row>
    <row r="2657">
      <c r="A2657" s="7" t="inlineStr">
        <is>
          <t>2025-01-24</t>
        </is>
      </c>
      <c r="B2657" s="8">
        <f>IFERROR(VLOOKUP($A2657,'01-原始价格'!$A:$M,2,FALSE),"")</f>
        <v/>
      </c>
      <c r="C2657" s="8">
        <f>IFERROR(VLOOKUP($A2657,'01-原始价格'!$A:$M,8,FALSE),"")</f>
        <v/>
      </c>
      <c r="D2657" s="10">
        <f>IFERROR(B2657/C2657,"")</f>
        <v/>
      </c>
      <c r="E2657" s="10">
        <f>IFERROR(C2657/B2657,"")</f>
        <v/>
      </c>
      <c r="F2657" s="11">
        <f>IFERROR((D2657/D2656-1)*100,"")</f>
        <v/>
      </c>
      <c r="G2657" s="11">
        <f>IFERROR((COUNTIF($D$2406:$D$2657,"&lt;"&amp;D2657)+0.5*COUNTIF($D$2406:$D$2657,D2657))/COUNT($D$2406:$D$2657)*100,"")</f>
        <v/>
      </c>
      <c r="H2657" s="10">
        <f>IFERROR(AVERAGE($D$2406:$D$2657),"")</f>
        <v/>
      </c>
      <c r="I2657" s="10" t="n">
        <v>2.08522275394731</v>
      </c>
      <c r="J2657" t="inlineStr"/>
      <c r="K2657" t="inlineStr"/>
    </row>
    <row r="2658">
      <c r="A2658" s="7" t="inlineStr">
        <is>
          <t>2025-01-27</t>
        </is>
      </c>
      <c r="B2658" s="8">
        <f>IFERROR(VLOOKUP($A2658,'01-原始价格'!$A:$M,2,FALSE),"")</f>
        <v/>
      </c>
      <c r="C2658" s="8">
        <f>IFERROR(VLOOKUP($A2658,'01-原始价格'!$A:$M,8,FALSE),"")</f>
        <v/>
      </c>
      <c r="D2658" s="10">
        <f>IFERROR(B2658/C2658,"")</f>
        <v/>
      </c>
      <c r="E2658" s="10">
        <f>IFERROR(C2658/B2658,"")</f>
        <v/>
      </c>
      <c r="F2658" s="11">
        <f>IFERROR((D2658/D2657-1)*100,"")</f>
        <v/>
      </c>
      <c r="G2658" s="11">
        <f>IFERROR((COUNTIF($D$2407:$D$2658,"&lt;"&amp;D2658)+0.5*COUNTIF($D$2407:$D$2658,D2658))/COUNT($D$2407:$D$2658)*100,"")</f>
        <v/>
      </c>
      <c r="H2658" s="10">
        <f>IFERROR(AVERAGE($D$2407:$D$2658),"")</f>
        <v/>
      </c>
      <c r="I2658" s="10" t="n">
        <v>2.048068397491385</v>
      </c>
      <c r="J2658" t="inlineStr"/>
      <c r="K2658" t="inlineStr"/>
    </row>
    <row r="2659">
      <c r="A2659" s="7" t="inlineStr">
        <is>
          <t>2025-02-05</t>
        </is>
      </c>
      <c r="B2659" s="8">
        <f>IFERROR(VLOOKUP($A2659,'01-原始价格'!$A:$M,2,FALSE),"")</f>
        <v/>
      </c>
      <c r="C2659" s="8">
        <f>IFERROR(VLOOKUP($A2659,'01-原始价格'!$A:$M,8,FALSE),"")</f>
        <v/>
      </c>
      <c r="D2659" s="10">
        <f>IFERROR(B2659/C2659,"")</f>
        <v/>
      </c>
      <c r="E2659" s="10">
        <f>IFERROR(C2659/B2659,"")</f>
        <v/>
      </c>
      <c r="F2659" s="11">
        <f>IFERROR((D2659/D2658-1)*100,"")</f>
        <v/>
      </c>
      <c r="G2659" s="11">
        <f>IFERROR((COUNTIF($D$2408:$D$2659,"&lt;"&amp;D2659)+0.5*COUNTIF($D$2408:$D$2659,D2659))/COUNT($D$2408:$D$2659)*100,"")</f>
        <v/>
      </c>
      <c r="H2659" s="10">
        <f>IFERROR(AVERAGE($D$2408:$D$2659),"")</f>
        <v/>
      </c>
      <c r="I2659" s="10" t="n">
        <v>2.338365795912107</v>
      </c>
      <c r="J2659" t="inlineStr"/>
      <c r="K2659" t="inlineStr"/>
    </row>
    <row r="2660">
      <c r="A2660" s="7" t="inlineStr">
        <is>
          <t>2025-02-06</t>
        </is>
      </c>
      <c r="B2660" s="8">
        <f>IFERROR(VLOOKUP($A2660,'01-原始价格'!$A:$M,2,FALSE),"")</f>
        <v/>
      </c>
      <c r="C2660" s="8">
        <f>IFERROR(VLOOKUP($A2660,'01-原始价格'!$A:$M,8,FALSE),"")</f>
        <v/>
      </c>
      <c r="D2660" s="10">
        <f>IFERROR(B2660/C2660,"")</f>
        <v/>
      </c>
      <c r="E2660" s="10">
        <f>IFERROR(C2660/B2660,"")</f>
        <v/>
      </c>
      <c r="F2660" s="11">
        <f>IFERROR((D2660/D2659-1)*100,"")</f>
        <v/>
      </c>
      <c r="G2660" s="11">
        <f>IFERROR((COUNTIF($D$2409:$D$2660,"&lt;"&amp;D2660)+0.5*COUNTIF($D$2409:$D$2660,D2660))/COUNT($D$2409:$D$2660)*100,"")</f>
        <v/>
      </c>
      <c r="H2660" s="10">
        <f>IFERROR(AVERAGE($D$2409:$D$2660),"")</f>
        <v/>
      </c>
      <c r="I2660" s="10" t="n">
        <v>2.06521434714352</v>
      </c>
      <c r="J2660" t="inlineStr"/>
      <c r="K2660" t="inlineStr"/>
    </row>
    <row r="2661">
      <c r="A2661" s="7" t="inlineStr">
        <is>
          <t>2025-02-07</t>
        </is>
      </c>
      <c r="B2661" s="8">
        <f>IFERROR(VLOOKUP($A2661,'01-原始价格'!$A:$M,2,FALSE),"")</f>
        <v/>
      </c>
      <c r="C2661" s="8">
        <f>IFERROR(VLOOKUP($A2661,'01-原始价格'!$A:$M,8,FALSE),"")</f>
        <v/>
      </c>
      <c r="D2661" s="10">
        <f>IFERROR(B2661/C2661,"")</f>
        <v/>
      </c>
      <c r="E2661" s="10">
        <f>IFERROR(C2661/B2661,"")</f>
        <v/>
      </c>
      <c r="F2661" s="11">
        <f>IFERROR((D2661/D2660-1)*100,"")</f>
        <v/>
      </c>
      <c r="G2661" s="11">
        <f>IFERROR((COUNTIF($D$2410:$D$2661,"&lt;"&amp;D2661)+0.5*COUNTIF($D$2410:$D$2661,D2661))/COUNT($D$2410:$D$2661)*100,"")</f>
        <v/>
      </c>
      <c r="H2661" s="10">
        <f>IFERROR(AVERAGE($D$2410:$D$2661),"")</f>
        <v/>
      </c>
      <c r="I2661" s="10" t="n">
        <v>2.131816022813458</v>
      </c>
      <c r="J2661" t="inlineStr"/>
      <c r="K2661" t="inlineStr"/>
    </row>
    <row r="2662">
      <c r="A2662" s="7" t="inlineStr">
        <is>
          <t>2025-02-10</t>
        </is>
      </c>
      <c r="B2662" s="8">
        <f>IFERROR(VLOOKUP($A2662,'01-原始价格'!$A:$M,2,FALSE),"")</f>
        <v/>
      </c>
      <c r="C2662" s="8">
        <f>IFERROR(VLOOKUP($A2662,'01-原始价格'!$A:$M,8,FALSE),"")</f>
        <v/>
      </c>
      <c r="D2662" s="10">
        <f>IFERROR(B2662/C2662,"")</f>
        <v/>
      </c>
      <c r="E2662" s="10">
        <f>IFERROR(C2662/B2662,"")</f>
        <v/>
      </c>
      <c r="F2662" s="11">
        <f>IFERROR((D2662/D2661-1)*100,"")</f>
        <v/>
      </c>
      <c r="G2662" s="11">
        <f>IFERROR((COUNTIF($D$2411:$D$2662,"&lt;"&amp;D2662)+0.5*COUNTIF($D$2411:$D$2662,D2662))/COUNT($D$2411:$D$2662)*100,"")</f>
        <v/>
      </c>
      <c r="H2662" s="10">
        <f>IFERROR(AVERAGE($D$2411:$D$2662),"")</f>
        <v/>
      </c>
      <c r="I2662" s="10" t="n">
        <v>2.159271185310014</v>
      </c>
      <c r="J2662" t="inlineStr"/>
      <c r="K2662" t="inlineStr"/>
    </row>
    <row r="2663">
      <c r="A2663" s="7" t="inlineStr">
        <is>
          <t>2025-02-11</t>
        </is>
      </c>
      <c r="B2663" s="8">
        <f>IFERROR(VLOOKUP($A2663,'01-原始价格'!$A:$M,2,FALSE),"")</f>
        <v/>
      </c>
      <c r="C2663" s="8">
        <f>IFERROR(VLOOKUP($A2663,'01-原始价格'!$A:$M,8,FALSE),"")</f>
        <v/>
      </c>
      <c r="D2663" s="10">
        <f>IFERROR(B2663/C2663,"")</f>
        <v/>
      </c>
      <c r="E2663" s="10">
        <f>IFERROR(C2663/B2663,"")</f>
        <v/>
      </c>
      <c r="F2663" s="11">
        <f>IFERROR((D2663/D2662-1)*100,"")</f>
        <v/>
      </c>
      <c r="G2663" s="11">
        <f>IFERROR((COUNTIF($D$2412:$D$2663,"&lt;"&amp;D2663)+0.5*COUNTIF($D$2412:$D$2663,D2663))/COUNT($D$2412:$D$2663)*100,"")</f>
        <v/>
      </c>
      <c r="H2663" s="10">
        <f>IFERROR(AVERAGE($D$2412:$D$2663),"")</f>
        <v/>
      </c>
      <c r="I2663" s="10" t="n">
        <v>1.795918126135105</v>
      </c>
      <c r="J2663" t="inlineStr"/>
      <c r="K2663" t="inlineStr"/>
    </row>
    <row r="2664">
      <c r="A2664" s="7" t="inlineStr">
        <is>
          <t>2025-02-12</t>
        </is>
      </c>
      <c r="B2664" s="8">
        <f>IFERROR(VLOOKUP($A2664,'01-原始价格'!$A:$M,2,FALSE),"")</f>
        <v/>
      </c>
      <c r="C2664" s="8">
        <f>IFERROR(VLOOKUP($A2664,'01-原始价格'!$A:$M,8,FALSE),"")</f>
        <v/>
      </c>
      <c r="D2664" s="10">
        <f>IFERROR(B2664/C2664,"")</f>
        <v/>
      </c>
      <c r="E2664" s="10">
        <f>IFERROR(C2664/B2664,"")</f>
        <v/>
      </c>
      <c r="F2664" s="11">
        <f>IFERROR((D2664/D2663-1)*100,"")</f>
        <v/>
      </c>
      <c r="G2664" s="11">
        <f>IFERROR((COUNTIF($D$2413:$D$2664,"&lt;"&amp;D2664)+0.5*COUNTIF($D$2413:$D$2664,D2664))/COUNT($D$2413:$D$2664)*100,"")</f>
        <v/>
      </c>
      <c r="H2664" s="10">
        <f>IFERROR(AVERAGE($D$2413:$D$2664),"")</f>
        <v/>
      </c>
      <c r="I2664" s="10" t="n">
        <v>1.711857591020196</v>
      </c>
      <c r="J2664" t="inlineStr"/>
      <c r="K2664" t="inlineStr"/>
    </row>
    <row r="2665">
      <c r="A2665" s="7" t="inlineStr">
        <is>
          <t>2025-02-13</t>
        </is>
      </c>
      <c r="B2665" s="8">
        <f>IFERROR(VLOOKUP($A2665,'01-原始价格'!$A:$M,2,FALSE),"")</f>
        <v/>
      </c>
      <c r="C2665" s="8">
        <f>IFERROR(VLOOKUP($A2665,'01-原始价格'!$A:$M,8,FALSE),"")</f>
        <v/>
      </c>
      <c r="D2665" s="10">
        <f>IFERROR(B2665/C2665,"")</f>
        <v/>
      </c>
      <c r="E2665" s="10">
        <f>IFERROR(C2665/B2665,"")</f>
        <v/>
      </c>
      <c r="F2665" s="11">
        <f>IFERROR((D2665/D2664-1)*100,"")</f>
        <v/>
      </c>
      <c r="G2665" s="11">
        <f>IFERROR((COUNTIF($D$2414:$D$2665,"&lt;"&amp;D2665)+0.5*COUNTIF($D$2414:$D$2665,D2665))/COUNT($D$2414:$D$2665)*100,"")</f>
        <v/>
      </c>
      <c r="H2665" s="10">
        <f>IFERROR(AVERAGE($D$2414:$D$2665),"")</f>
        <v/>
      </c>
      <c r="I2665" s="10" t="n">
        <v>1.65249404597343</v>
      </c>
      <c r="J2665" t="inlineStr"/>
      <c r="K2665" t="inlineStr"/>
    </row>
    <row r="2666">
      <c r="A2666" s="7" t="inlineStr">
        <is>
          <t>2025-02-14</t>
        </is>
      </c>
      <c r="B2666" s="8">
        <f>IFERROR(VLOOKUP($A2666,'01-原始价格'!$A:$M,2,FALSE),"")</f>
        <v/>
      </c>
      <c r="C2666" s="8">
        <f>IFERROR(VLOOKUP($A2666,'01-原始价格'!$A:$M,8,FALSE),"")</f>
        <v/>
      </c>
      <c r="D2666" s="10">
        <f>IFERROR(B2666/C2666,"")</f>
        <v/>
      </c>
      <c r="E2666" s="10">
        <f>IFERROR(C2666/B2666,"")</f>
        <v/>
      </c>
      <c r="F2666" s="11">
        <f>IFERROR((D2666/D2665-1)*100,"")</f>
        <v/>
      </c>
      <c r="G2666" s="11">
        <f>IFERROR((COUNTIF($D$2415:$D$2666,"&lt;"&amp;D2666)+0.5*COUNTIF($D$2415:$D$2666,D2666))/COUNT($D$2415:$D$2666)*100,"")</f>
        <v/>
      </c>
      <c r="H2666" s="10">
        <f>IFERROR(AVERAGE($D$2415:$D$2666),"")</f>
        <v/>
      </c>
      <c r="I2666" s="10" t="n">
        <v>1.467154017809535</v>
      </c>
      <c r="J2666" t="inlineStr"/>
      <c r="K2666" t="inlineStr"/>
    </row>
    <row r="2667">
      <c r="A2667" s="7" t="inlineStr">
        <is>
          <t>2025-02-17</t>
        </is>
      </c>
      <c r="B2667" s="8">
        <f>IFERROR(VLOOKUP($A2667,'01-原始价格'!$A:$M,2,FALSE),"")</f>
        <v/>
      </c>
      <c r="C2667" s="8">
        <f>IFERROR(VLOOKUP($A2667,'01-原始价格'!$A:$M,8,FALSE),"")</f>
        <v/>
      </c>
      <c r="D2667" s="10">
        <f>IFERROR(B2667/C2667,"")</f>
        <v/>
      </c>
      <c r="E2667" s="10">
        <f>IFERROR(C2667/B2667,"")</f>
        <v/>
      </c>
      <c r="F2667" s="11">
        <f>IFERROR((D2667/D2666-1)*100,"")</f>
        <v/>
      </c>
      <c r="G2667" s="11">
        <f>IFERROR((COUNTIF($D$2416:$D$2667,"&lt;"&amp;D2667)+0.5*COUNTIF($D$2416:$D$2667,D2667))/COUNT($D$2416:$D$2667)*100,"")</f>
        <v/>
      </c>
      <c r="H2667" s="10">
        <f>IFERROR(AVERAGE($D$2416:$D$2667),"")</f>
        <v/>
      </c>
      <c r="I2667" s="10" t="n">
        <v>1.317748362510957</v>
      </c>
      <c r="J2667" t="inlineStr"/>
      <c r="K2667" t="inlineStr"/>
    </row>
    <row r="2668">
      <c r="A2668" s="7" t="inlineStr">
        <is>
          <t>2025-02-18</t>
        </is>
      </c>
      <c r="B2668" s="8">
        <f>IFERROR(VLOOKUP($A2668,'01-原始价格'!$A:$M,2,FALSE),"")</f>
        <v/>
      </c>
      <c r="C2668" s="8">
        <f>IFERROR(VLOOKUP($A2668,'01-原始价格'!$A:$M,8,FALSE),"")</f>
        <v/>
      </c>
      <c r="D2668" s="10">
        <f>IFERROR(B2668/C2668,"")</f>
        <v/>
      </c>
      <c r="E2668" s="10">
        <f>IFERROR(C2668/B2668,"")</f>
        <v/>
      </c>
      <c r="F2668" s="11">
        <f>IFERROR((D2668/D2667-1)*100,"")</f>
        <v/>
      </c>
      <c r="G2668" s="11">
        <f>IFERROR((COUNTIF($D$2417:$D$2668,"&lt;"&amp;D2668)+0.5*COUNTIF($D$2417:$D$2668,D2668))/COUNT($D$2417:$D$2668)*100,"")</f>
        <v/>
      </c>
      <c r="H2668" s="10">
        <f>IFERROR(AVERAGE($D$2417:$D$2668),"")</f>
        <v/>
      </c>
      <c r="I2668" s="10" t="n">
        <v>1.421379836302645</v>
      </c>
      <c r="J2668" t="inlineStr"/>
      <c r="K2668" t="inlineStr"/>
    </row>
    <row r="2669">
      <c r="A2669" s="7" t="inlineStr">
        <is>
          <t>2025-02-19</t>
        </is>
      </c>
      <c r="B2669" s="8">
        <f>IFERROR(VLOOKUP($A2669,'01-原始价格'!$A:$M,2,FALSE),"")</f>
        <v/>
      </c>
      <c r="C2669" s="8">
        <f>IFERROR(VLOOKUP($A2669,'01-原始价格'!$A:$M,8,FALSE),"")</f>
        <v/>
      </c>
      <c r="D2669" s="10">
        <f>IFERROR(B2669/C2669,"")</f>
        <v/>
      </c>
      <c r="E2669" s="10">
        <f>IFERROR(C2669/B2669,"")</f>
        <v/>
      </c>
      <c r="F2669" s="11">
        <f>IFERROR((D2669/D2668-1)*100,"")</f>
        <v/>
      </c>
      <c r="G2669" s="11">
        <f>IFERROR((COUNTIF($D$2418:$D$2669,"&lt;"&amp;D2669)+0.5*COUNTIF($D$2418:$D$2669,D2669))/COUNT($D$2418:$D$2669)*100,"")</f>
        <v/>
      </c>
      <c r="H2669" s="10">
        <f>IFERROR(AVERAGE($D$2418:$D$2669),"")</f>
        <v/>
      </c>
      <c r="I2669" s="10" t="n">
        <v>1.12372929887764</v>
      </c>
      <c r="J2669" t="inlineStr"/>
      <c r="K2669" t="inlineStr"/>
    </row>
    <row r="2670">
      <c r="A2670" s="7" t="inlineStr">
        <is>
          <t>2025-02-20</t>
        </is>
      </c>
      <c r="B2670" s="8">
        <f>IFERROR(VLOOKUP($A2670,'01-原始价格'!$A:$M,2,FALSE),"")</f>
        <v/>
      </c>
      <c r="C2670" s="8">
        <f>IFERROR(VLOOKUP($A2670,'01-原始价格'!$A:$M,8,FALSE),"")</f>
        <v/>
      </c>
      <c r="D2670" s="10">
        <f>IFERROR(B2670/C2670,"")</f>
        <v/>
      </c>
      <c r="E2670" s="10">
        <f>IFERROR(C2670/B2670,"")</f>
        <v/>
      </c>
      <c r="F2670" s="11">
        <f>IFERROR((D2670/D2669-1)*100,"")</f>
        <v/>
      </c>
      <c r="G2670" s="11">
        <f>IFERROR((COUNTIF($D$2419:$D$2670,"&lt;"&amp;D2670)+0.5*COUNTIF($D$2419:$D$2670,D2670))/COUNT($D$2419:$D$2670)*100,"")</f>
        <v/>
      </c>
      <c r="H2670" s="10">
        <f>IFERROR(AVERAGE($D$2419:$D$2670),"")</f>
        <v/>
      </c>
      <c r="I2670" s="10" t="n">
        <v>0.8676426086054018</v>
      </c>
      <c r="J2670" t="inlineStr"/>
      <c r="K2670" t="inlineStr"/>
    </row>
    <row r="2671">
      <c r="A2671" s="7" t="inlineStr">
        <is>
          <t>2025-02-21</t>
        </is>
      </c>
      <c r="B2671" s="8">
        <f>IFERROR(VLOOKUP($A2671,'01-原始价格'!$A:$M,2,FALSE),"")</f>
        <v/>
      </c>
      <c r="C2671" s="8">
        <f>IFERROR(VLOOKUP($A2671,'01-原始价格'!$A:$M,8,FALSE),"")</f>
        <v/>
      </c>
      <c r="D2671" s="10">
        <f>IFERROR(B2671/C2671,"")</f>
        <v/>
      </c>
      <c r="E2671" s="10">
        <f>IFERROR(C2671/B2671,"")</f>
        <v/>
      </c>
      <c r="F2671" s="11">
        <f>IFERROR((D2671/D2670-1)*100,"")</f>
        <v/>
      </c>
      <c r="G2671" s="11">
        <f>IFERROR((COUNTIF($D$2420:$D$2671,"&lt;"&amp;D2671)+0.5*COUNTIF($D$2420:$D$2671,D2671))/COUNT($D$2420:$D$2671)*100,"")</f>
        <v/>
      </c>
      <c r="H2671" s="10">
        <f>IFERROR(AVERAGE($D$2420:$D$2671),"")</f>
        <v/>
      </c>
      <c r="I2671" s="10" t="n">
        <v>0.7442995803924914</v>
      </c>
      <c r="J2671" t="inlineStr"/>
      <c r="K2671" t="inlineStr"/>
    </row>
    <row r="2672">
      <c r="A2672" s="7" t="inlineStr">
        <is>
          <t>2025-02-24</t>
        </is>
      </c>
      <c r="B2672" s="8">
        <f>IFERROR(VLOOKUP($A2672,'01-原始价格'!$A:$M,2,FALSE),"")</f>
        <v/>
      </c>
      <c r="C2672" s="8">
        <f>IFERROR(VLOOKUP($A2672,'01-原始价格'!$A:$M,8,FALSE),"")</f>
        <v/>
      </c>
      <c r="D2672" s="10">
        <f>IFERROR(B2672/C2672,"")</f>
        <v/>
      </c>
      <c r="E2672" s="10">
        <f>IFERROR(C2672/B2672,"")</f>
        <v/>
      </c>
      <c r="F2672" s="11">
        <f>IFERROR((D2672/D2671-1)*100,"")</f>
        <v/>
      </c>
      <c r="G2672" s="11">
        <f>IFERROR((COUNTIF($D$2421:$D$2672,"&lt;"&amp;D2672)+0.5*COUNTIF($D$2421:$D$2672,D2672))/COUNT($D$2421:$D$2672)*100,"")</f>
        <v/>
      </c>
      <c r="H2672" s="10">
        <f>IFERROR(AVERAGE($D$2421:$D$2672),"")</f>
        <v/>
      </c>
      <c r="I2672" s="10" t="n">
        <v>0.8088435644892371</v>
      </c>
      <c r="J2672" t="inlineStr"/>
      <c r="K2672" t="inlineStr"/>
    </row>
    <row r="2673">
      <c r="A2673" s="7" t="inlineStr">
        <is>
          <t>2025-02-25</t>
        </is>
      </c>
      <c r="B2673" s="8">
        <f>IFERROR(VLOOKUP($A2673,'01-原始价格'!$A:$M,2,FALSE),"")</f>
        <v/>
      </c>
      <c r="C2673" s="8">
        <f>IFERROR(VLOOKUP($A2673,'01-原始价格'!$A:$M,8,FALSE),"")</f>
        <v/>
      </c>
      <c r="D2673" s="10">
        <f>IFERROR(B2673/C2673,"")</f>
        <v/>
      </c>
      <c r="E2673" s="10">
        <f>IFERROR(C2673/B2673,"")</f>
        <v/>
      </c>
      <c r="F2673" s="11">
        <f>IFERROR((D2673/D2672-1)*100,"")</f>
        <v/>
      </c>
      <c r="G2673" s="11">
        <f>IFERROR((COUNTIF($D$2422:$D$2673,"&lt;"&amp;D2673)+0.5*COUNTIF($D$2422:$D$2673,D2673))/COUNT($D$2422:$D$2673)*100,"")</f>
        <v/>
      </c>
      <c r="H2673" s="10">
        <f>IFERROR(AVERAGE($D$2422:$D$2673),"")</f>
        <v/>
      </c>
      <c r="I2673" s="10" t="n">
        <v>0.7905584558398797</v>
      </c>
      <c r="J2673" t="inlineStr"/>
      <c r="K2673" t="inlineStr"/>
    </row>
    <row r="2674">
      <c r="A2674" s="7" t="inlineStr">
        <is>
          <t>2025-02-26</t>
        </is>
      </c>
      <c r="B2674" s="8">
        <f>IFERROR(VLOOKUP($A2674,'01-原始价格'!$A:$M,2,FALSE),"")</f>
        <v/>
      </c>
      <c r="C2674" s="8">
        <f>IFERROR(VLOOKUP($A2674,'01-原始价格'!$A:$M,8,FALSE),"")</f>
        <v/>
      </c>
      <c r="D2674" s="10">
        <f>IFERROR(B2674/C2674,"")</f>
        <v/>
      </c>
      <c r="E2674" s="10">
        <f>IFERROR(C2674/B2674,"")</f>
        <v/>
      </c>
      <c r="F2674" s="11">
        <f>IFERROR((D2674/D2673-1)*100,"")</f>
        <v/>
      </c>
      <c r="G2674" s="11">
        <f>IFERROR((COUNTIF($D$2423:$D$2674,"&lt;"&amp;D2674)+0.5*COUNTIF($D$2423:$D$2674,D2674))/COUNT($D$2423:$D$2674)*100,"")</f>
        <v/>
      </c>
      <c r="H2674" s="10">
        <f>IFERROR(AVERAGE($D$2423:$D$2674),"")</f>
        <v/>
      </c>
      <c r="I2674" s="10" t="n">
        <v>0.6776213183089703</v>
      </c>
      <c r="J2674" t="inlineStr"/>
      <c r="K2674" t="inlineStr"/>
    </row>
    <row r="2675">
      <c r="A2675" s="7" t="inlineStr">
        <is>
          <t>2025-02-27</t>
        </is>
      </c>
      <c r="B2675" s="8">
        <f>IFERROR(VLOOKUP($A2675,'01-原始价格'!$A:$M,2,FALSE),"")</f>
        <v/>
      </c>
      <c r="C2675" s="8">
        <f>IFERROR(VLOOKUP($A2675,'01-原始价格'!$A:$M,8,FALSE),"")</f>
        <v/>
      </c>
      <c r="D2675" s="10">
        <f>IFERROR(B2675/C2675,"")</f>
        <v/>
      </c>
      <c r="E2675" s="10">
        <f>IFERROR(C2675/B2675,"")</f>
        <v/>
      </c>
      <c r="F2675" s="11">
        <f>IFERROR((D2675/D2674-1)*100,"")</f>
        <v/>
      </c>
      <c r="G2675" s="11">
        <f>IFERROR((COUNTIF($D$2424:$D$2675,"&lt;"&amp;D2675)+0.5*COUNTIF($D$2424:$D$2675,D2675))/COUNT($D$2424:$D$2675)*100,"")</f>
        <v/>
      </c>
      <c r="H2675" s="10">
        <f>IFERROR(AVERAGE($D$2424:$D$2675),"")</f>
        <v/>
      </c>
      <c r="I2675" s="10" t="n">
        <v>0.507907880157923</v>
      </c>
      <c r="J2675" t="inlineStr"/>
      <c r="K2675" t="inlineStr"/>
    </row>
    <row r="2676">
      <c r="A2676" s="7" t="inlineStr">
        <is>
          <t>2025-02-28</t>
        </is>
      </c>
      <c r="B2676" s="8">
        <f>IFERROR(VLOOKUP($A2676,'01-原始价格'!$A:$M,2,FALSE),"")</f>
        <v/>
      </c>
      <c r="C2676" s="8">
        <f>IFERROR(VLOOKUP($A2676,'01-原始价格'!$A:$M,8,FALSE),"")</f>
        <v/>
      </c>
      <c r="D2676" s="10">
        <f>IFERROR(B2676/C2676,"")</f>
        <v/>
      </c>
      <c r="E2676" s="10">
        <f>IFERROR(C2676/B2676,"")</f>
        <v/>
      </c>
      <c r="F2676" s="11">
        <f>IFERROR((D2676/D2675-1)*100,"")</f>
        <v/>
      </c>
      <c r="G2676" s="11">
        <f>IFERROR((COUNTIF($D$2425:$D$2676,"&lt;"&amp;D2676)+0.5*COUNTIF($D$2425:$D$2676,D2676))/COUNT($D$2425:$D$2676)*100,"")</f>
        <v/>
      </c>
      <c r="H2676" s="10">
        <f>IFERROR(AVERAGE($D$2425:$D$2676),"")</f>
        <v/>
      </c>
      <c r="I2676" s="10" t="n">
        <v>0.4957778863508963</v>
      </c>
      <c r="J2676" t="inlineStr"/>
      <c r="K2676" t="inlineStr"/>
    </row>
    <row r="2677">
      <c r="A2677" s="7" t="inlineStr">
        <is>
          <t>2025-03-03</t>
        </is>
      </c>
      <c r="B2677" s="8">
        <f>IFERROR(VLOOKUP($A2677,'01-原始价格'!$A:$M,2,FALSE),"")</f>
        <v/>
      </c>
      <c r="C2677" s="8">
        <f>IFERROR(VLOOKUP($A2677,'01-原始价格'!$A:$M,8,FALSE),"")</f>
        <v/>
      </c>
      <c r="D2677" s="10">
        <f>IFERROR(B2677/C2677,"")</f>
        <v/>
      </c>
      <c r="E2677" s="10">
        <f>IFERROR(C2677/B2677,"")</f>
        <v/>
      </c>
      <c r="F2677" s="11">
        <f>IFERROR((D2677/D2676-1)*100,"")</f>
        <v/>
      </c>
      <c r="G2677" s="11">
        <f>IFERROR((COUNTIF($D$2426:$D$2677,"&lt;"&amp;D2677)+0.5*COUNTIF($D$2426:$D$2677,D2677))/COUNT($D$2426:$D$2677)*100,"")</f>
        <v/>
      </c>
      <c r="H2677" s="10">
        <f>IFERROR(AVERAGE($D$2426:$D$2677),"")</f>
        <v/>
      </c>
      <c r="I2677" s="10" t="n">
        <v>0.5523541555768018</v>
      </c>
      <c r="J2677" t="inlineStr"/>
      <c r="K2677" t="inlineStr"/>
    </row>
    <row r="2678">
      <c r="A2678" s="7" t="inlineStr">
        <is>
          <t>2025-03-04</t>
        </is>
      </c>
      <c r="B2678" s="8">
        <f>IFERROR(VLOOKUP($A2678,'01-原始价格'!$A:$M,2,FALSE),"")</f>
        <v/>
      </c>
      <c r="C2678" s="8">
        <f>IFERROR(VLOOKUP($A2678,'01-原始价格'!$A:$M,8,FALSE),"")</f>
        <v/>
      </c>
      <c r="D2678" s="10">
        <f>IFERROR(B2678/C2678,"")</f>
        <v/>
      </c>
      <c r="E2678" s="10">
        <f>IFERROR(C2678/B2678,"")</f>
        <v/>
      </c>
      <c r="F2678" s="11">
        <f>IFERROR((D2678/D2677-1)*100,"")</f>
        <v/>
      </c>
      <c r="G2678" s="11">
        <f>IFERROR((COUNTIF($D$2427:$D$2678,"&lt;"&amp;D2678)+0.5*COUNTIF($D$2427:$D$2678,D2678))/COUNT($D$2427:$D$2678)*100,"")</f>
        <v/>
      </c>
      <c r="H2678" s="10">
        <f>IFERROR(AVERAGE($D$2427:$D$2678),"")</f>
        <v/>
      </c>
      <c r="I2678" s="10" t="n">
        <v>0.4281126691118332</v>
      </c>
      <c r="J2678" t="inlineStr"/>
      <c r="K2678" t="inlineStr"/>
    </row>
    <row r="2679">
      <c r="A2679" s="7" t="inlineStr">
        <is>
          <t>2025-03-05</t>
        </is>
      </c>
      <c r="B2679" s="8">
        <f>IFERROR(VLOOKUP($A2679,'01-原始价格'!$A:$M,2,FALSE),"")</f>
        <v/>
      </c>
      <c r="C2679" s="8">
        <f>IFERROR(VLOOKUP($A2679,'01-原始价格'!$A:$M,8,FALSE),"")</f>
        <v/>
      </c>
      <c r="D2679" s="10">
        <f>IFERROR(B2679/C2679,"")</f>
        <v/>
      </c>
      <c r="E2679" s="10">
        <f>IFERROR(C2679/B2679,"")</f>
        <v/>
      </c>
      <c r="F2679" s="11">
        <f>IFERROR((D2679/D2678-1)*100,"")</f>
        <v/>
      </c>
      <c r="G2679" s="11">
        <f>IFERROR((COUNTIF($D$2428:$D$2679,"&lt;"&amp;D2679)+0.5*COUNTIF($D$2428:$D$2679,D2679))/COUNT($D$2428:$D$2679)*100,"")</f>
        <v/>
      </c>
      <c r="H2679" s="10">
        <f>IFERROR(AVERAGE($D$2428:$D$2679),"")</f>
        <v/>
      </c>
      <c r="I2679" s="10" t="n">
        <v>0.3831114987228867</v>
      </c>
      <c r="J2679" t="inlineStr"/>
      <c r="K2679" t="inlineStr"/>
    </row>
    <row r="2680">
      <c r="A2680" s="7" t="inlineStr">
        <is>
          <t>2025-03-06</t>
        </is>
      </c>
      <c r="B2680" s="8">
        <f>IFERROR(VLOOKUP($A2680,'01-原始价格'!$A:$M,2,FALSE),"")</f>
        <v/>
      </c>
      <c r="C2680" s="8">
        <f>IFERROR(VLOOKUP($A2680,'01-原始价格'!$A:$M,8,FALSE),"")</f>
        <v/>
      </c>
      <c r="D2680" s="10">
        <f>IFERROR(B2680/C2680,"")</f>
        <v/>
      </c>
      <c r="E2680" s="10">
        <f>IFERROR(C2680/B2680,"")</f>
        <v/>
      </c>
      <c r="F2680" s="11">
        <f>IFERROR((D2680/D2679-1)*100,"")</f>
        <v/>
      </c>
      <c r="G2680" s="11">
        <f>IFERROR((COUNTIF($D$2429:$D$2680,"&lt;"&amp;D2680)+0.5*COUNTIF($D$2429:$D$2680,D2680))/COUNT($D$2429:$D$2680)*100,"")</f>
        <v/>
      </c>
      <c r="H2680" s="10">
        <f>IFERROR(AVERAGE($D$2429:$D$2680),"")</f>
        <v/>
      </c>
      <c r="I2680" s="10" t="n">
        <v>0.2166877309108289</v>
      </c>
      <c r="J2680" t="inlineStr"/>
      <c r="K2680" t="inlineStr"/>
    </row>
    <row r="2681">
      <c r="A2681" s="7" t="inlineStr">
        <is>
          <t>2025-03-07</t>
        </is>
      </c>
      <c r="B2681" s="8">
        <f>IFERROR(VLOOKUP($A2681,'01-原始价格'!$A:$M,2,FALSE),"")</f>
        <v/>
      </c>
      <c r="C2681" s="8">
        <f>IFERROR(VLOOKUP($A2681,'01-原始价格'!$A:$M,8,FALSE),"")</f>
        <v/>
      </c>
      <c r="D2681" s="10">
        <f>IFERROR(B2681/C2681,"")</f>
        <v/>
      </c>
      <c r="E2681" s="10">
        <f>IFERROR(C2681/B2681,"")</f>
        <v/>
      </c>
      <c r="F2681" s="11">
        <f>IFERROR((D2681/D2680-1)*100,"")</f>
        <v/>
      </c>
      <c r="G2681" s="11">
        <f>IFERROR((COUNTIF($D$2430:$D$2681,"&lt;"&amp;D2681)+0.5*COUNTIF($D$2430:$D$2681,D2681))/COUNT($D$2430:$D$2681)*100,"")</f>
        <v/>
      </c>
      <c r="H2681" s="10">
        <f>IFERROR(AVERAGE($D$2430:$D$2681),"")</f>
        <v/>
      </c>
      <c r="I2681" s="10" t="n">
        <v>0.4548045488392063</v>
      </c>
      <c r="J2681" t="inlineStr"/>
      <c r="K2681" t="inlineStr"/>
    </row>
    <row r="2682">
      <c r="A2682" s="7" t="inlineStr">
        <is>
          <t>2025-03-10</t>
        </is>
      </c>
      <c r="B2682" s="8">
        <f>IFERROR(VLOOKUP($A2682,'01-原始价格'!$A:$M,2,FALSE),"")</f>
        <v/>
      </c>
      <c r="C2682" s="8">
        <f>IFERROR(VLOOKUP($A2682,'01-原始价格'!$A:$M,8,FALSE),"")</f>
        <v/>
      </c>
      <c r="D2682" s="10">
        <f>IFERROR(B2682/C2682,"")</f>
        <v/>
      </c>
      <c r="E2682" s="10">
        <f>IFERROR(C2682/B2682,"")</f>
        <v/>
      </c>
      <c r="F2682" s="11">
        <f>IFERROR((D2682/D2681-1)*100,"")</f>
        <v/>
      </c>
      <c r="G2682" s="11">
        <f>IFERROR((COUNTIF($D$2431:$D$2682,"&lt;"&amp;D2682)+0.5*COUNTIF($D$2431:$D$2682,D2682))/COUNT($D$2431:$D$2682)*100,"")</f>
        <v/>
      </c>
      <c r="H2682" s="10">
        <f>IFERROR(AVERAGE($D$2431:$D$2682),"")</f>
        <v/>
      </c>
      <c r="I2682" s="10" t="n">
        <v>0.6151324717212653</v>
      </c>
      <c r="J2682" t="inlineStr"/>
      <c r="K2682" t="inlineStr"/>
    </row>
    <row r="2683">
      <c r="A2683" s="7" t="inlineStr">
        <is>
          <t>2025-03-11</t>
        </is>
      </c>
      <c r="B2683" s="8">
        <f>IFERROR(VLOOKUP($A2683,'01-原始价格'!$A:$M,2,FALSE),"")</f>
        <v/>
      </c>
      <c r="C2683" s="8">
        <f>IFERROR(VLOOKUP($A2683,'01-原始价格'!$A:$M,8,FALSE),"")</f>
        <v/>
      </c>
      <c r="D2683" s="10">
        <f>IFERROR(B2683/C2683,"")</f>
        <v/>
      </c>
      <c r="E2683" s="10">
        <f>IFERROR(C2683/B2683,"")</f>
        <v/>
      </c>
      <c r="F2683" s="11">
        <f>IFERROR((D2683/D2682-1)*100,"")</f>
        <v/>
      </c>
      <c r="G2683" s="11">
        <f>IFERROR((COUNTIF($D$2432:$D$2683,"&lt;"&amp;D2683)+0.5*COUNTIF($D$2432:$D$2683,D2683))/COUNT($D$2432:$D$2683)*100,"")</f>
        <v/>
      </c>
      <c r="H2683" s="10">
        <f>IFERROR(AVERAGE($D$2432:$D$2683),"")</f>
        <v/>
      </c>
      <c r="I2683" s="10" t="n">
        <v>0.5236672379982326</v>
      </c>
      <c r="J2683" t="inlineStr"/>
      <c r="K2683" t="inlineStr"/>
    </row>
    <row r="2684">
      <c r="A2684" s="7" t="inlineStr">
        <is>
          <t>2025-03-12</t>
        </is>
      </c>
      <c r="B2684" s="8">
        <f>IFERROR(VLOOKUP($A2684,'01-原始价格'!$A:$M,2,FALSE),"")</f>
        <v/>
      </c>
      <c r="C2684" s="8">
        <f>IFERROR(VLOOKUP($A2684,'01-原始价格'!$A:$M,8,FALSE),"")</f>
        <v/>
      </c>
      <c r="D2684" s="10">
        <f>IFERROR(B2684/C2684,"")</f>
        <v/>
      </c>
      <c r="E2684" s="10">
        <f>IFERROR(C2684/B2684,"")</f>
        <v/>
      </c>
      <c r="F2684" s="11">
        <f>IFERROR((D2684/D2683-1)*100,"")</f>
        <v/>
      </c>
      <c r="G2684" s="11">
        <f>IFERROR((COUNTIF($D$2433:$D$2684,"&lt;"&amp;D2684)+0.5*COUNTIF($D$2433:$D$2684,D2684))/COUNT($D$2433:$D$2684)*100,"")</f>
        <v/>
      </c>
      <c r="H2684" s="10">
        <f>IFERROR(AVERAGE($D$2433:$D$2684),"")</f>
        <v/>
      </c>
      <c r="I2684" s="10" t="n">
        <v>0.5515070876508701</v>
      </c>
      <c r="J2684" t="inlineStr"/>
      <c r="K2684" t="inlineStr"/>
    </row>
    <row r="2685">
      <c r="A2685" s="7" t="inlineStr">
        <is>
          <t>2025-03-13</t>
        </is>
      </c>
      <c r="B2685" s="8">
        <f>IFERROR(VLOOKUP($A2685,'01-原始价格'!$A:$M,2,FALSE),"")</f>
        <v/>
      </c>
      <c r="C2685" s="8">
        <f>IFERROR(VLOOKUP($A2685,'01-原始价格'!$A:$M,8,FALSE),"")</f>
        <v/>
      </c>
      <c r="D2685" s="10">
        <f>IFERROR(B2685/C2685,"")</f>
        <v/>
      </c>
      <c r="E2685" s="10">
        <f>IFERROR(C2685/B2685,"")</f>
        <v/>
      </c>
      <c r="F2685" s="11">
        <f>IFERROR((D2685/D2684-1)*100,"")</f>
        <v/>
      </c>
      <c r="G2685" s="11">
        <f>IFERROR((COUNTIF($D$2434:$D$2685,"&lt;"&amp;D2685)+0.5*COUNTIF($D$2434:$D$2685,D2685))/COUNT($D$2434:$D$2685)*100,"")</f>
        <v/>
      </c>
      <c r="H2685" s="10">
        <f>IFERROR(AVERAGE($D$2434:$D$2685),"")</f>
        <v/>
      </c>
      <c r="I2685" s="10" t="n">
        <v>0.8042971463046185</v>
      </c>
      <c r="J2685" t="inlineStr"/>
      <c r="K2685" t="inlineStr"/>
    </row>
    <row r="2686">
      <c r="A2686" s="7" t="inlineStr">
        <is>
          <t>2025-03-14</t>
        </is>
      </c>
      <c r="B2686" s="8">
        <f>IFERROR(VLOOKUP($A2686,'01-原始价格'!$A:$M,2,FALSE),"")</f>
        <v/>
      </c>
      <c r="C2686" s="8">
        <f>IFERROR(VLOOKUP($A2686,'01-原始价格'!$A:$M,8,FALSE),"")</f>
        <v/>
      </c>
      <c r="D2686" s="10">
        <f>IFERROR(B2686/C2686,"")</f>
        <v/>
      </c>
      <c r="E2686" s="10">
        <f>IFERROR(C2686/B2686,"")</f>
        <v/>
      </c>
      <c r="F2686" s="11">
        <f>IFERROR((D2686/D2685-1)*100,"")</f>
        <v/>
      </c>
      <c r="G2686" s="11">
        <f>IFERROR((COUNTIF($D$2435:$D$2686,"&lt;"&amp;D2686)+0.5*COUNTIF($D$2435:$D$2686,D2686))/COUNT($D$2435:$D$2686)*100,"")</f>
        <v/>
      </c>
      <c r="H2686" s="10">
        <f>IFERROR(AVERAGE($D$2435:$D$2686),"")</f>
        <v/>
      </c>
      <c r="I2686" s="10" t="n">
        <v>0.9396450430305967</v>
      </c>
      <c r="J2686" t="inlineStr"/>
      <c r="K2686" t="inlineStr"/>
    </row>
    <row r="2687">
      <c r="A2687" s="7" t="inlineStr">
        <is>
          <t>2025-03-17</t>
        </is>
      </c>
      <c r="B2687" s="8">
        <f>IFERROR(VLOOKUP($A2687,'01-原始价格'!$A:$M,2,FALSE),"")</f>
        <v/>
      </c>
      <c r="C2687" s="8">
        <f>IFERROR(VLOOKUP($A2687,'01-原始价格'!$A:$M,8,FALSE),"")</f>
        <v/>
      </c>
      <c r="D2687" s="10">
        <f>IFERROR(B2687/C2687,"")</f>
        <v/>
      </c>
      <c r="E2687" s="10">
        <f>IFERROR(C2687/B2687,"")</f>
        <v/>
      </c>
      <c r="F2687" s="11">
        <f>IFERROR((D2687/D2686-1)*100,"")</f>
        <v/>
      </c>
      <c r="G2687" s="11">
        <f>IFERROR((COUNTIF($D$2436:$D$2687,"&lt;"&amp;D2687)+0.5*COUNTIF($D$2436:$D$2687,D2687))/COUNT($D$2436:$D$2687)*100,"")</f>
        <v/>
      </c>
      <c r="H2687" s="10">
        <f>IFERROR(AVERAGE($D$2436:$D$2687),"")</f>
        <v/>
      </c>
      <c r="I2687" s="10" t="n">
        <v>1.276768525676902</v>
      </c>
      <c r="J2687" t="inlineStr"/>
      <c r="K2687" t="inlineStr"/>
    </row>
    <row r="2688">
      <c r="A2688" s="7" t="inlineStr">
        <is>
          <t>2025-03-18</t>
        </is>
      </c>
      <c r="B2688" s="8">
        <f>IFERROR(VLOOKUP($A2688,'01-原始价格'!$A:$M,2,FALSE),"")</f>
        <v/>
      </c>
      <c r="C2688" s="8">
        <f>IFERROR(VLOOKUP($A2688,'01-原始价格'!$A:$M,8,FALSE),"")</f>
        <v/>
      </c>
      <c r="D2688" s="10">
        <f>IFERROR(B2688/C2688,"")</f>
        <v/>
      </c>
      <c r="E2688" s="10">
        <f>IFERROR(C2688/B2688,"")</f>
        <v/>
      </c>
      <c r="F2688" s="11">
        <f>IFERROR((D2688/D2687-1)*100,"")</f>
        <v/>
      </c>
      <c r="G2688" s="11">
        <f>IFERROR((COUNTIF($D$2437:$D$2688,"&lt;"&amp;D2688)+0.5*COUNTIF($D$2437:$D$2688,D2688))/COUNT($D$2437:$D$2688)*100,"")</f>
        <v/>
      </c>
      <c r="H2688" s="10">
        <f>IFERROR(AVERAGE($D$2437:$D$2688),"")</f>
        <v/>
      </c>
      <c r="I2688" s="10" t="n">
        <v>1.316124297918607</v>
      </c>
      <c r="J2688" t="inlineStr"/>
      <c r="K2688" t="inlineStr"/>
    </row>
    <row r="2689">
      <c r="A2689" s="7" t="inlineStr">
        <is>
          <t>2025-03-19</t>
        </is>
      </c>
      <c r="B2689" s="8">
        <f>IFERROR(VLOOKUP($A2689,'01-原始价格'!$A:$M,2,FALSE),"")</f>
        <v/>
      </c>
      <c r="C2689" s="8">
        <f>IFERROR(VLOOKUP($A2689,'01-原始价格'!$A:$M,8,FALSE),"")</f>
        <v/>
      </c>
      <c r="D2689" s="10">
        <f>IFERROR(B2689/C2689,"")</f>
        <v/>
      </c>
      <c r="E2689" s="10">
        <f>IFERROR(C2689/B2689,"")</f>
        <v/>
      </c>
      <c r="F2689" s="11">
        <f>IFERROR((D2689/D2688-1)*100,"")</f>
        <v/>
      </c>
      <c r="G2689" s="11">
        <f>IFERROR((COUNTIF($D$2438:$D$2689,"&lt;"&amp;D2689)+0.5*COUNTIF($D$2438:$D$2689,D2689))/COUNT($D$2438:$D$2689)*100,"")</f>
        <v/>
      </c>
      <c r="H2689" s="10">
        <f>IFERROR(AVERAGE($D$2438:$D$2689),"")</f>
        <v/>
      </c>
      <c r="I2689" s="10" t="n">
        <v>1.089383485786486</v>
      </c>
      <c r="J2689" t="inlineStr"/>
      <c r="K2689" t="inlineStr"/>
    </row>
    <row r="2690">
      <c r="A2690" s="7" t="inlineStr">
        <is>
          <t>2025-03-20</t>
        </is>
      </c>
      <c r="B2690" s="8">
        <f>IFERROR(VLOOKUP($A2690,'01-原始价格'!$A:$M,2,FALSE),"")</f>
        <v/>
      </c>
      <c r="C2690" s="8">
        <f>IFERROR(VLOOKUP($A2690,'01-原始价格'!$A:$M,8,FALSE),"")</f>
        <v/>
      </c>
      <c r="D2690" s="10">
        <f>IFERROR(B2690/C2690,"")</f>
        <v/>
      </c>
      <c r="E2690" s="10">
        <f>IFERROR(C2690/B2690,"")</f>
        <v/>
      </c>
      <c r="F2690" s="11">
        <f>IFERROR((D2690/D2689-1)*100,"")</f>
        <v/>
      </c>
      <c r="G2690" s="11">
        <f>IFERROR((COUNTIF($D$2439:$D$2690,"&lt;"&amp;D2690)+0.5*COUNTIF($D$2439:$D$2690,D2690))/COUNT($D$2439:$D$2690)*100,"")</f>
        <v/>
      </c>
      <c r="H2690" s="10">
        <f>IFERROR(AVERAGE($D$2439:$D$2690),"")</f>
        <v/>
      </c>
      <c r="I2690" s="10" t="n">
        <v>1.332019883813915</v>
      </c>
      <c r="J2690" t="inlineStr"/>
      <c r="K2690" t="inlineStr"/>
    </row>
    <row r="2691">
      <c r="A2691" s="7" t="inlineStr">
        <is>
          <t>2025-03-21</t>
        </is>
      </c>
      <c r="B2691" s="8">
        <f>IFERROR(VLOOKUP($A2691,'01-原始价格'!$A:$M,2,FALSE),"")</f>
        <v/>
      </c>
      <c r="C2691" s="8">
        <f>IFERROR(VLOOKUP($A2691,'01-原始价格'!$A:$M,8,FALSE),"")</f>
        <v/>
      </c>
      <c r="D2691" s="10">
        <f>IFERROR(B2691/C2691,"")</f>
        <v/>
      </c>
      <c r="E2691" s="10">
        <f>IFERROR(C2691/B2691,"")</f>
        <v/>
      </c>
      <c r="F2691" s="11">
        <f>IFERROR((D2691/D2690-1)*100,"")</f>
        <v/>
      </c>
      <c r="G2691" s="11">
        <f>IFERROR((COUNTIF($D$2440:$D$2691,"&lt;"&amp;D2691)+0.5*COUNTIF($D$2440:$D$2691,D2691))/COUNT($D$2440:$D$2691)*100,"")</f>
        <v/>
      </c>
      <c r="H2691" s="10">
        <f>IFERROR(AVERAGE($D$2440:$D$2691),"")</f>
        <v/>
      </c>
      <c r="I2691" s="10" t="n">
        <v>1.349678737186478</v>
      </c>
      <c r="J2691" t="inlineStr"/>
      <c r="K2691" t="inlineStr"/>
    </row>
    <row r="2692">
      <c r="A2692" s="7" t="inlineStr">
        <is>
          <t>2025-03-24</t>
        </is>
      </c>
      <c r="B2692" s="8">
        <f>IFERROR(VLOOKUP($A2692,'01-原始价格'!$A:$M,2,FALSE),"")</f>
        <v/>
      </c>
      <c r="C2692" s="8">
        <f>IFERROR(VLOOKUP($A2692,'01-原始价格'!$A:$M,8,FALSE),"")</f>
        <v/>
      </c>
      <c r="D2692" s="10">
        <f>IFERROR(B2692/C2692,"")</f>
        <v/>
      </c>
      <c r="E2692" s="10">
        <f>IFERROR(C2692/B2692,"")</f>
        <v/>
      </c>
      <c r="F2692" s="11">
        <f>IFERROR((D2692/D2691-1)*100,"")</f>
        <v/>
      </c>
      <c r="G2692" s="11">
        <f>IFERROR((COUNTIF($D$2441:$D$2692,"&lt;"&amp;D2692)+0.5*COUNTIF($D$2441:$D$2692,D2692))/COUNT($D$2441:$D$2692)*100,"")</f>
        <v/>
      </c>
      <c r="H2692" s="10">
        <f>IFERROR(AVERAGE($D$2441:$D$2692),"")</f>
        <v/>
      </c>
      <c r="I2692" s="10" t="n">
        <v>1.341807702773085</v>
      </c>
      <c r="J2692" t="inlineStr"/>
      <c r="K2692" t="inlineStr"/>
    </row>
    <row r="2693">
      <c r="A2693" s="7" t="inlineStr">
        <is>
          <t>2025-03-25</t>
        </is>
      </c>
      <c r="B2693" s="8">
        <f>IFERROR(VLOOKUP($A2693,'01-原始价格'!$A:$M,2,FALSE),"")</f>
        <v/>
      </c>
      <c r="C2693" s="8">
        <f>IFERROR(VLOOKUP($A2693,'01-原始价格'!$A:$M,8,FALSE),"")</f>
        <v/>
      </c>
      <c r="D2693" s="10">
        <f>IFERROR(B2693/C2693,"")</f>
        <v/>
      </c>
      <c r="E2693" s="10">
        <f>IFERROR(C2693/B2693,"")</f>
        <v/>
      </c>
      <c r="F2693" s="11">
        <f>IFERROR((D2693/D2692-1)*100,"")</f>
        <v/>
      </c>
      <c r="G2693" s="11">
        <f>IFERROR((COUNTIF($D$2442:$D$2693,"&lt;"&amp;D2693)+0.5*COUNTIF($D$2442:$D$2693,D2693))/COUNT($D$2442:$D$2693)*100,"")</f>
        <v/>
      </c>
      <c r="H2693" s="10">
        <f>IFERROR(AVERAGE($D$2442:$D$2693),"")</f>
        <v/>
      </c>
      <c r="I2693" s="10" t="n">
        <v>1.427480950013074</v>
      </c>
      <c r="J2693" t="inlineStr"/>
      <c r="K2693" t="inlineStr"/>
    </row>
    <row r="2694">
      <c r="A2694" s="7" t="inlineStr">
        <is>
          <t>2025-03-26</t>
        </is>
      </c>
      <c r="B2694" s="8">
        <f>IFERROR(VLOOKUP($A2694,'01-原始价格'!$A:$M,2,FALSE),"")</f>
        <v/>
      </c>
      <c r="C2694" s="8">
        <f>IFERROR(VLOOKUP($A2694,'01-原始价格'!$A:$M,8,FALSE),"")</f>
        <v/>
      </c>
      <c r="D2694" s="10">
        <f>IFERROR(B2694/C2694,"")</f>
        <v/>
      </c>
      <c r="E2694" s="10">
        <f>IFERROR(C2694/B2694,"")</f>
        <v/>
      </c>
      <c r="F2694" s="11">
        <f>IFERROR((D2694/D2693-1)*100,"")</f>
        <v/>
      </c>
      <c r="G2694" s="11">
        <f>IFERROR((COUNTIF($D$2443:$D$2694,"&lt;"&amp;D2694)+0.5*COUNTIF($D$2443:$D$2694,D2694))/COUNT($D$2443:$D$2694)*100,"")</f>
        <v/>
      </c>
      <c r="H2694" s="10">
        <f>IFERROR(AVERAGE($D$2443:$D$2694),"")</f>
        <v/>
      </c>
      <c r="I2694" s="10" t="n">
        <v>1.542603587336534</v>
      </c>
      <c r="J2694" t="inlineStr"/>
      <c r="K2694" t="inlineStr"/>
    </row>
    <row r="2695">
      <c r="A2695" s="7" t="inlineStr">
        <is>
          <t>2025-03-27</t>
        </is>
      </c>
      <c r="B2695" s="8">
        <f>IFERROR(VLOOKUP($A2695,'01-原始价格'!$A:$M,2,FALSE),"")</f>
        <v/>
      </c>
      <c r="C2695" s="8">
        <f>IFERROR(VLOOKUP($A2695,'01-原始价格'!$A:$M,8,FALSE),"")</f>
        <v/>
      </c>
      <c r="D2695" s="10">
        <f>IFERROR(B2695/C2695,"")</f>
        <v/>
      </c>
      <c r="E2695" s="10">
        <f>IFERROR(C2695/B2695,"")</f>
        <v/>
      </c>
      <c r="F2695" s="11">
        <f>IFERROR((D2695/D2694-1)*100,"")</f>
        <v/>
      </c>
      <c r="G2695" s="11">
        <f>IFERROR((COUNTIF($D$2444:$D$2695,"&lt;"&amp;D2695)+0.5*COUNTIF($D$2444:$D$2695,D2695))/COUNT($D$2444:$D$2695)*100,"")</f>
        <v/>
      </c>
      <c r="H2695" s="10">
        <f>IFERROR(AVERAGE($D$2444:$D$2695),"")</f>
        <v/>
      </c>
      <c r="I2695" s="10" t="n">
        <v>1.393473212281763</v>
      </c>
      <c r="J2695" t="inlineStr"/>
      <c r="K2695" t="inlineStr"/>
    </row>
    <row r="2696">
      <c r="A2696" s="7" t="inlineStr">
        <is>
          <t>2025-03-28</t>
        </is>
      </c>
      <c r="B2696" s="8">
        <f>IFERROR(VLOOKUP($A2696,'01-原始价格'!$A:$M,2,FALSE),"")</f>
        <v/>
      </c>
      <c r="C2696" s="8">
        <f>IFERROR(VLOOKUP($A2696,'01-原始价格'!$A:$M,8,FALSE),"")</f>
        <v/>
      </c>
      <c r="D2696" s="10">
        <f>IFERROR(B2696/C2696,"")</f>
        <v/>
      </c>
      <c r="E2696" s="10">
        <f>IFERROR(C2696/B2696,"")</f>
        <v/>
      </c>
      <c r="F2696" s="11">
        <f>IFERROR((D2696/D2695-1)*100,"")</f>
        <v/>
      </c>
      <c r="G2696" s="11">
        <f>IFERROR((COUNTIF($D$2445:$D$2696,"&lt;"&amp;D2696)+0.5*COUNTIF($D$2445:$D$2696,D2696))/COUNT($D$2445:$D$2696)*100,"")</f>
        <v/>
      </c>
      <c r="H2696" s="10">
        <f>IFERROR(AVERAGE($D$2445:$D$2696),"")</f>
        <v/>
      </c>
      <c r="I2696" s="10" t="n">
        <v>1.38110450714107</v>
      </c>
      <c r="J2696" t="inlineStr"/>
      <c r="K2696" t="inlineStr"/>
    </row>
    <row r="2697">
      <c r="A2697" s="7" t="inlineStr">
        <is>
          <t>2025-03-31</t>
        </is>
      </c>
      <c r="B2697" s="8">
        <f>IFERROR(VLOOKUP($A2697,'01-原始价格'!$A:$M,2,FALSE),"")</f>
        <v/>
      </c>
      <c r="C2697" s="8">
        <f>IFERROR(VLOOKUP($A2697,'01-原始价格'!$A:$M,8,FALSE),"")</f>
        <v/>
      </c>
      <c r="D2697" s="10">
        <f>IFERROR(B2697/C2697,"")</f>
        <v/>
      </c>
      <c r="E2697" s="10">
        <f>IFERROR(C2697/B2697,"")</f>
        <v/>
      </c>
      <c r="F2697" s="11">
        <f>IFERROR((D2697/D2696-1)*100,"")</f>
        <v/>
      </c>
      <c r="G2697" s="11">
        <f>IFERROR((COUNTIF($D$2446:$D$2697,"&lt;"&amp;D2697)+0.5*COUNTIF($D$2446:$D$2697,D2697))/COUNT($D$2446:$D$2697)*100,"")</f>
        <v/>
      </c>
      <c r="H2697" s="10">
        <f>IFERROR(AVERAGE($D$2446:$D$2697),"")</f>
        <v/>
      </c>
      <c r="I2697" s="10" t="n">
        <v>1.345568592258378</v>
      </c>
      <c r="J2697" t="inlineStr"/>
      <c r="K2697" t="inlineStr"/>
    </row>
    <row r="2698">
      <c r="A2698" s="7" t="inlineStr">
        <is>
          <t>2025-04-01</t>
        </is>
      </c>
      <c r="B2698" s="8">
        <f>IFERROR(VLOOKUP($A2698,'01-原始价格'!$A:$M,2,FALSE),"")</f>
        <v/>
      </c>
      <c r="C2698" s="8">
        <f>IFERROR(VLOOKUP($A2698,'01-原始价格'!$A:$M,8,FALSE),"")</f>
        <v/>
      </c>
      <c r="D2698" s="10">
        <f>IFERROR(B2698/C2698,"")</f>
        <v/>
      </c>
      <c r="E2698" s="10">
        <f>IFERROR(C2698/B2698,"")</f>
        <v/>
      </c>
      <c r="F2698" s="11">
        <f>IFERROR((D2698/D2697-1)*100,"")</f>
        <v/>
      </c>
      <c r="G2698" s="11">
        <f>IFERROR((COUNTIF($D$2447:$D$2698,"&lt;"&amp;D2698)+0.5*COUNTIF($D$2447:$D$2698,D2698))/COUNT($D$2447:$D$2698)*100,"")</f>
        <v/>
      </c>
      <c r="H2698" s="10">
        <f>IFERROR(AVERAGE($D$2447:$D$2698),"")</f>
        <v/>
      </c>
      <c r="I2698" s="10" t="n">
        <v>1.407797266046303</v>
      </c>
      <c r="J2698" t="inlineStr"/>
      <c r="K2698" t="inlineStr"/>
    </row>
    <row r="2699">
      <c r="A2699" s="7" t="inlineStr">
        <is>
          <t>2025-04-02</t>
        </is>
      </c>
      <c r="B2699" s="8">
        <f>IFERROR(VLOOKUP($A2699,'01-原始价格'!$A:$M,2,FALSE),"")</f>
        <v/>
      </c>
      <c r="C2699" s="8">
        <f>IFERROR(VLOOKUP($A2699,'01-原始价格'!$A:$M,8,FALSE),"")</f>
        <v/>
      </c>
      <c r="D2699" s="10">
        <f>IFERROR(B2699/C2699,"")</f>
        <v/>
      </c>
      <c r="E2699" s="10">
        <f>IFERROR(C2699/B2699,"")</f>
        <v/>
      </c>
      <c r="F2699" s="11">
        <f>IFERROR((D2699/D2698-1)*100,"")</f>
        <v/>
      </c>
      <c r="G2699" s="11">
        <f>IFERROR((COUNTIF($D$2448:$D$2699,"&lt;"&amp;D2699)+0.5*COUNTIF($D$2448:$D$2699,D2699))/COUNT($D$2448:$D$2699)*100,"")</f>
        <v/>
      </c>
      <c r="H2699" s="10">
        <f>IFERROR(AVERAGE($D$2448:$D$2699),"")</f>
        <v/>
      </c>
      <c r="I2699" s="10" t="n">
        <v>1.344181232203833</v>
      </c>
      <c r="J2699" t="inlineStr"/>
      <c r="K2699" t="inlineStr"/>
    </row>
    <row r="2700">
      <c r="A2700" s="7" t="inlineStr">
        <is>
          <t>2025-04-03</t>
        </is>
      </c>
      <c r="B2700" s="8">
        <f>IFERROR(VLOOKUP($A2700,'01-原始价格'!$A:$M,2,FALSE),"")</f>
        <v/>
      </c>
      <c r="C2700" s="8">
        <f>IFERROR(VLOOKUP($A2700,'01-原始价格'!$A:$M,8,FALSE),"")</f>
        <v/>
      </c>
      <c r="D2700" s="10">
        <f>IFERROR(B2700/C2700,"")</f>
        <v/>
      </c>
      <c r="E2700" s="10">
        <f>IFERROR(C2700/B2700,"")</f>
        <v/>
      </c>
      <c r="F2700" s="11">
        <f>IFERROR((D2700/D2699-1)*100,"")</f>
        <v/>
      </c>
      <c r="G2700" s="11">
        <f>IFERROR((COUNTIF($D$2449:$D$2700,"&lt;"&amp;D2700)+0.5*COUNTIF($D$2449:$D$2700,D2700))/COUNT($D$2449:$D$2700)*100,"")</f>
        <v/>
      </c>
      <c r="H2700" s="10">
        <f>IFERROR(AVERAGE($D$2449:$D$2700),"")</f>
        <v/>
      </c>
      <c r="I2700" s="10" t="n">
        <v>1.330611017815173</v>
      </c>
      <c r="J2700" t="inlineStr"/>
      <c r="K2700" t="inlineStr"/>
    </row>
    <row r="2701">
      <c r="A2701" s="7" t="inlineStr">
        <is>
          <t>2025-04-07</t>
        </is>
      </c>
      <c r="B2701" s="8">
        <f>IFERROR(VLOOKUP($A2701,'01-原始价格'!$A:$M,2,FALSE),"")</f>
        <v/>
      </c>
      <c r="C2701" s="8">
        <f>IFERROR(VLOOKUP($A2701,'01-原始价格'!$A:$M,8,FALSE),"")</f>
        <v/>
      </c>
      <c r="D2701" s="10">
        <f>IFERROR(B2701/C2701,"")</f>
        <v/>
      </c>
      <c r="E2701" s="10">
        <f>IFERROR(C2701/B2701,"")</f>
        <v/>
      </c>
      <c r="F2701" s="11">
        <f>IFERROR((D2701/D2700-1)*100,"")</f>
        <v/>
      </c>
      <c r="G2701" s="11">
        <f>IFERROR((COUNTIF($D$2450:$D$2701,"&lt;"&amp;D2701)+0.5*COUNTIF($D$2450:$D$2701,D2701))/COUNT($D$2450:$D$2701)*100,"")</f>
        <v/>
      </c>
      <c r="H2701" s="10">
        <f>IFERROR(AVERAGE($D$2450:$D$2701),"")</f>
        <v/>
      </c>
      <c r="I2701" s="10" t="n">
        <v>2.430597266890154</v>
      </c>
      <c r="J2701" t="inlineStr"/>
      <c r="K2701" t="inlineStr"/>
    </row>
    <row r="2702">
      <c r="A2702" s="7" t="inlineStr">
        <is>
          <t>2025-04-08</t>
        </is>
      </c>
      <c r="B2702" s="8">
        <f>IFERROR(VLOOKUP($A2702,'01-原始价格'!$A:$M,2,FALSE),"")</f>
        <v/>
      </c>
      <c r="C2702" s="8">
        <f>IFERROR(VLOOKUP($A2702,'01-原始价格'!$A:$M,8,FALSE),"")</f>
        <v/>
      </c>
      <c r="D2702" s="10">
        <f>IFERROR(B2702/C2702,"")</f>
        <v/>
      </c>
      <c r="E2702" s="10">
        <f>IFERROR(C2702/B2702,"")</f>
        <v/>
      </c>
      <c r="F2702" s="11">
        <f>IFERROR((D2702/D2701-1)*100,"")</f>
        <v/>
      </c>
      <c r="G2702" s="11">
        <f>IFERROR((COUNTIF($D$2451:$D$2702,"&lt;"&amp;D2702)+0.5*COUNTIF($D$2451:$D$2702,D2702))/COUNT($D$2451:$D$2702)*100,"")</f>
        <v/>
      </c>
      <c r="H2702" s="10">
        <f>IFERROR(AVERAGE($D$2451:$D$2702),"")</f>
        <v/>
      </c>
      <c r="I2702" s="10" t="n">
        <v>1.991397295341921</v>
      </c>
      <c r="J2702" t="inlineStr"/>
      <c r="K2702" s="12" t="inlineStr">
        <is>
          <t>是</t>
        </is>
      </c>
      <c r="L2702" t="inlineStr">
        <is>
          <t>换月日</t>
        </is>
      </c>
    </row>
    <row r="2703">
      <c r="A2703" s="7" t="inlineStr">
        <is>
          <t>2025-04-09</t>
        </is>
      </c>
      <c r="B2703" s="8">
        <f>IFERROR(VLOOKUP($A2703,'01-原始价格'!$A:$M,2,FALSE),"")</f>
        <v/>
      </c>
      <c r="C2703" s="8">
        <f>IFERROR(VLOOKUP($A2703,'01-原始价格'!$A:$M,8,FALSE),"")</f>
        <v/>
      </c>
      <c r="D2703" s="10">
        <f>IFERROR(B2703/C2703,"")</f>
        <v/>
      </c>
      <c r="E2703" s="10">
        <f>IFERROR(C2703/B2703,"")</f>
        <v/>
      </c>
      <c r="F2703" s="11">
        <f>IFERROR((D2703/D2702-1)*100,"")</f>
        <v/>
      </c>
      <c r="G2703" s="11">
        <f>IFERROR((COUNTIF($D$2452:$D$2703,"&lt;"&amp;D2703)+0.5*COUNTIF($D$2452:$D$2703,D2703))/COUNT($D$2452:$D$2703)*100,"")</f>
        <v/>
      </c>
      <c r="H2703" s="10">
        <f>IFERROR(AVERAGE($D$2452:$D$2703),"")</f>
        <v/>
      </c>
      <c r="I2703" s="10" t="n">
        <v>2.009619383995885</v>
      </c>
      <c r="J2703" t="inlineStr"/>
      <c r="K2703" t="inlineStr"/>
    </row>
    <row r="2704">
      <c r="A2704" s="7" t="inlineStr">
        <is>
          <t>2025-04-10</t>
        </is>
      </c>
      <c r="B2704" s="8">
        <f>IFERROR(VLOOKUP($A2704,'01-原始价格'!$A:$M,2,FALSE),"")</f>
        <v/>
      </c>
      <c r="C2704" s="8">
        <f>IFERROR(VLOOKUP($A2704,'01-原始价格'!$A:$M,8,FALSE),"")</f>
        <v/>
      </c>
      <c r="D2704" s="10">
        <f>IFERROR(B2704/C2704,"")</f>
        <v/>
      </c>
      <c r="E2704" s="10">
        <f>IFERROR(C2704/B2704,"")</f>
        <v/>
      </c>
      <c r="F2704" s="11">
        <f>IFERROR((D2704/D2703-1)*100,"")</f>
        <v/>
      </c>
      <c r="G2704" s="11">
        <f>IFERROR((COUNTIF($D$2453:$D$2704,"&lt;"&amp;D2704)+0.5*COUNTIF($D$2453:$D$2704,D2704))/COUNT($D$2453:$D$2704)*100,"")</f>
        <v/>
      </c>
      <c r="H2704" s="10">
        <f>IFERROR(AVERAGE($D$2453:$D$2704),"")</f>
        <v/>
      </c>
      <c r="I2704" s="10" t="n">
        <v>2.490795580791126</v>
      </c>
      <c r="J2704" t="inlineStr"/>
      <c r="K2704" s="12" t="inlineStr">
        <is>
          <t>是</t>
        </is>
      </c>
      <c r="L2704" t="inlineStr">
        <is>
          <t>换月日</t>
        </is>
      </c>
    </row>
    <row r="2705">
      <c r="A2705" s="7" t="inlineStr">
        <is>
          <t>2025-04-11</t>
        </is>
      </c>
      <c r="B2705" s="8">
        <f>IFERROR(VLOOKUP($A2705,'01-原始价格'!$A:$M,2,FALSE),"")</f>
        <v/>
      </c>
      <c r="C2705" s="8">
        <f>IFERROR(VLOOKUP($A2705,'01-原始价格'!$A:$M,8,FALSE),"")</f>
        <v/>
      </c>
      <c r="D2705" s="10">
        <f>IFERROR(B2705/C2705,"")</f>
        <v/>
      </c>
      <c r="E2705" s="10">
        <f>IFERROR(C2705/B2705,"")</f>
        <v/>
      </c>
      <c r="F2705" s="11">
        <f>IFERROR((D2705/D2704-1)*100,"")</f>
        <v/>
      </c>
      <c r="G2705" s="11">
        <f>IFERROR((COUNTIF($D$2454:$D$2705,"&lt;"&amp;D2705)+0.5*COUNTIF($D$2454:$D$2705,D2705))/COUNT($D$2454:$D$2705)*100,"")</f>
        <v/>
      </c>
      <c r="H2705" s="10">
        <f>IFERROR(AVERAGE($D$2454:$D$2705),"")</f>
        <v/>
      </c>
      <c r="I2705" s="10" t="n">
        <v>2.36788030978356</v>
      </c>
      <c r="J2705" t="inlineStr"/>
      <c r="K2705" t="inlineStr"/>
    </row>
    <row r="2706">
      <c r="A2706" s="7" t="inlineStr">
        <is>
          <t>2025-04-14</t>
        </is>
      </c>
      <c r="B2706" s="8">
        <f>IFERROR(VLOOKUP($A2706,'01-原始价格'!$A:$M,2,FALSE),"")</f>
        <v/>
      </c>
      <c r="C2706" s="8">
        <f>IFERROR(VLOOKUP($A2706,'01-原始价格'!$A:$M,8,FALSE),"")</f>
        <v/>
      </c>
      <c r="D2706" s="10">
        <f>IFERROR(B2706/C2706,"")</f>
        <v/>
      </c>
      <c r="E2706" s="10">
        <f>IFERROR(C2706/B2706,"")</f>
        <v/>
      </c>
      <c r="F2706" s="11">
        <f>IFERROR((D2706/D2705-1)*100,"")</f>
        <v/>
      </c>
      <c r="G2706" s="11">
        <f>IFERROR((COUNTIF($D$2455:$D$2706,"&lt;"&amp;D2706)+0.5*COUNTIF($D$2455:$D$2706,D2706))/COUNT($D$2455:$D$2706)*100,"")</f>
        <v/>
      </c>
      <c r="H2706" s="10">
        <f>IFERROR(AVERAGE($D$2455:$D$2706),"")</f>
        <v/>
      </c>
      <c r="I2706" s="10" t="n">
        <v>2.306191429040243</v>
      </c>
      <c r="J2706" t="inlineStr"/>
      <c r="K2706" t="inlineStr"/>
    </row>
    <row r="2707">
      <c r="A2707" s="7" t="inlineStr">
        <is>
          <t>2025-04-15</t>
        </is>
      </c>
      <c r="B2707" s="8">
        <f>IFERROR(VLOOKUP($A2707,'01-原始价格'!$A:$M,2,FALSE),"")</f>
        <v/>
      </c>
      <c r="C2707" s="8">
        <f>IFERROR(VLOOKUP($A2707,'01-原始价格'!$A:$M,8,FALSE),"")</f>
        <v/>
      </c>
      <c r="D2707" s="10">
        <f>IFERROR(B2707/C2707,"")</f>
        <v/>
      </c>
      <c r="E2707" s="10">
        <f>IFERROR(C2707/B2707,"")</f>
        <v/>
      </c>
      <c r="F2707" s="11">
        <f>IFERROR((D2707/D2706-1)*100,"")</f>
        <v/>
      </c>
      <c r="G2707" s="11">
        <f>IFERROR((COUNTIF($D$2456:$D$2707,"&lt;"&amp;D2707)+0.5*COUNTIF($D$2456:$D$2707,D2707))/COUNT($D$2456:$D$2707)*100,"")</f>
        <v/>
      </c>
      <c r="H2707" s="10">
        <f>IFERROR(AVERAGE($D$2456:$D$2707),"")</f>
        <v/>
      </c>
      <c r="I2707" s="10" t="n">
        <v>2.3340195340382</v>
      </c>
      <c r="J2707" t="inlineStr"/>
      <c r="K2707" t="inlineStr"/>
    </row>
    <row r="2708">
      <c r="A2708" s="7" t="inlineStr">
        <is>
          <t>2025-04-16</t>
        </is>
      </c>
      <c r="B2708" s="8">
        <f>IFERROR(VLOOKUP($A2708,'01-原始价格'!$A:$M,2,FALSE),"")</f>
        <v/>
      </c>
      <c r="C2708" s="8">
        <f>IFERROR(VLOOKUP($A2708,'01-原始价格'!$A:$M,8,FALSE),"")</f>
        <v/>
      </c>
      <c r="D2708" s="10">
        <f>IFERROR(B2708/C2708,"")</f>
        <v/>
      </c>
      <c r="E2708" s="10">
        <f>IFERROR(C2708/B2708,"")</f>
        <v/>
      </c>
      <c r="F2708" s="11">
        <f>IFERROR((D2708/D2707-1)*100,"")</f>
        <v/>
      </c>
      <c r="G2708" s="11">
        <f>IFERROR((COUNTIF($D$2457:$D$2708,"&lt;"&amp;D2708)+0.5*COUNTIF($D$2457:$D$2708,D2708))/COUNT($D$2457:$D$2708)*100,"")</f>
        <v/>
      </c>
      <c r="H2708" s="10">
        <f>IFERROR(AVERAGE($D$2457:$D$2708),"")</f>
        <v/>
      </c>
      <c r="I2708" s="10" t="n">
        <v>2.410436510694408</v>
      </c>
      <c r="J2708" t="inlineStr"/>
      <c r="K2708" t="inlineStr"/>
    </row>
    <row r="2709">
      <c r="A2709" s="7" t="inlineStr">
        <is>
          <t>2025-04-17</t>
        </is>
      </c>
      <c r="B2709" s="8">
        <f>IFERROR(VLOOKUP($A2709,'01-原始价格'!$A:$M,2,FALSE),"")</f>
        <v/>
      </c>
      <c r="C2709" s="8">
        <f>IFERROR(VLOOKUP($A2709,'01-原始价格'!$A:$M,8,FALSE),"")</f>
        <v/>
      </c>
      <c r="D2709" s="10">
        <f>IFERROR(B2709/C2709,"")</f>
        <v/>
      </c>
      <c r="E2709" s="10">
        <f>IFERROR(C2709/B2709,"")</f>
        <v/>
      </c>
      <c r="F2709" s="11">
        <f>IFERROR((D2709/D2708-1)*100,"")</f>
        <v/>
      </c>
      <c r="G2709" s="11">
        <f>IFERROR((COUNTIF($D$2458:$D$2709,"&lt;"&amp;D2709)+0.5*COUNTIF($D$2458:$D$2709,D2709))/COUNT($D$2458:$D$2709)*100,"")</f>
        <v/>
      </c>
      <c r="H2709" s="10">
        <f>IFERROR(AVERAGE($D$2458:$D$2709),"")</f>
        <v/>
      </c>
      <c r="I2709" s="10" t="n">
        <v>2.357801092547606</v>
      </c>
      <c r="J2709" t="inlineStr"/>
      <c r="K2709" t="inlineStr"/>
    </row>
    <row r="2710">
      <c r="A2710" s="7" t="inlineStr">
        <is>
          <t>2025-04-18</t>
        </is>
      </c>
      <c r="B2710" s="8">
        <f>IFERROR(VLOOKUP($A2710,'01-原始价格'!$A:$M,2,FALSE),"")</f>
        <v/>
      </c>
      <c r="C2710" s="8">
        <f>IFERROR(VLOOKUP($A2710,'01-原始价格'!$A:$M,8,FALSE),"")</f>
        <v/>
      </c>
      <c r="D2710" s="10">
        <f>IFERROR(B2710/C2710,"")</f>
        <v/>
      </c>
      <c r="E2710" s="10">
        <f>IFERROR(C2710/B2710,"")</f>
        <v/>
      </c>
      <c r="F2710" s="11">
        <f>IFERROR((D2710/D2709-1)*100,"")</f>
        <v/>
      </c>
      <c r="G2710" s="11">
        <f>IFERROR((COUNTIF($D$2459:$D$2710,"&lt;"&amp;D2710)+0.5*COUNTIF($D$2459:$D$2710,D2710))/COUNT($D$2459:$D$2710)*100,"")</f>
        <v/>
      </c>
      <c r="H2710" s="10">
        <f>IFERROR(AVERAGE($D$2459:$D$2710),"")</f>
        <v/>
      </c>
      <c r="I2710" s="10" t="n">
        <v>2.474619402277364</v>
      </c>
      <c r="J2710" t="inlineStr"/>
      <c r="K2710" t="inlineStr"/>
    </row>
    <row r="2711">
      <c r="A2711" s="7" t="inlineStr">
        <is>
          <t>2025-04-21</t>
        </is>
      </c>
      <c r="B2711" s="8">
        <f>IFERROR(VLOOKUP($A2711,'01-原始价格'!$A:$M,2,FALSE),"")</f>
        <v/>
      </c>
      <c r="C2711" s="8">
        <f>IFERROR(VLOOKUP($A2711,'01-原始价格'!$A:$M,8,FALSE),"")</f>
        <v/>
      </c>
      <c r="D2711" s="10">
        <f>IFERROR(B2711/C2711,"")</f>
        <v/>
      </c>
      <c r="E2711" s="10">
        <f>IFERROR(C2711/B2711,"")</f>
        <v/>
      </c>
      <c r="F2711" s="11">
        <f>IFERROR((D2711/D2710-1)*100,"")</f>
        <v/>
      </c>
      <c r="G2711" s="11">
        <f>IFERROR((COUNTIF($D$2460:$D$2711,"&lt;"&amp;D2711)+0.5*COUNTIF($D$2460:$D$2711,D2711))/COUNT($D$2460:$D$2711)*100,"")</f>
        <v/>
      </c>
      <c r="H2711" s="10">
        <f>IFERROR(AVERAGE($D$2460:$D$2711),"")</f>
        <v/>
      </c>
      <c r="I2711" s="10" t="n">
        <v>2.220731683221961</v>
      </c>
      <c r="J2711" t="inlineStr"/>
      <c r="K2711" t="inlineStr"/>
    </row>
    <row r="2712">
      <c r="A2712" s="7" t="inlineStr">
        <is>
          <t>2025-04-22</t>
        </is>
      </c>
      <c r="B2712" s="8">
        <f>IFERROR(VLOOKUP($A2712,'01-原始价格'!$A:$M,2,FALSE),"")</f>
        <v/>
      </c>
      <c r="C2712" s="8">
        <f>IFERROR(VLOOKUP($A2712,'01-原始价格'!$A:$M,8,FALSE),"")</f>
        <v/>
      </c>
      <c r="D2712" s="10">
        <f>IFERROR(B2712/C2712,"")</f>
        <v/>
      </c>
      <c r="E2712" s="10">
        <f>IFERROR(C2712/B2712,"")</f>
        <v/>
      </c>
      <c r="F2712" s="11">
        <f>IFERROR((D2712/D2711-1)*100,"")</f>
        <v/>
      </c>
      <c r="G2712" s="11">
        <f>IFERROR((COUNTIF($D$2461:$D$2712,"&lt;"&amp;D2712)+0.5*COUNTIF($D$2461:$D$2712,D2712))/COUNT($D$2461:$D$2712)*100,"")</f>
        <v/>
      </c>
      <c r="H2712" s="10">
        <f>IFERROR(AVERAGE($D$2461:$D$2712),"")</f>
        <v/>
      </c>
      <c r="I2712" s="10" t="n">
        <v>2.295367571489837</v>
      </c>
      <c r="J2712" t="inlineStr"/>
      <c r="K2712" t="inlineStr"/>
    </row>
    <row r="2713">
      <c r="A2713" s="7" t="inlineStr">
        <is>
          <t>2025-04-23</t>
        </is>
      </c>
      <c r="B2713" s="8">
        <f>IFERROR(VLOOKUP($A2713,'01-原始价格'!$A:$M,2,FALSE),"")</f>
        <v/>
      </c>
      <c r="C2713" s="8">
        <f>IFERROR(VLOOKUP($A2713,'01-原始价格'!$A:$M,8,FALSE),"")</f>
        <v/>
      </c>
      <c r="D2713" s="10">
        <f>IFERROR(B2713/C2713,"")</f>
        <v/>
      </c>
      <c r="E2713" s="10">
        <f>IFERROR(C2713/B2713,"")</f>
        <v/>
      </c>
      <c r="F2713" s="11">
        <f>IFERROR((D2713/D2712-1)*100,"")</f>
        <v/>
      </c>
      <c r="G2713" s="11">
        <f>IFERROR((COUNTIF($D$2462:$D$2713,"&lt;"&amp;D2713)+0.5*COUNTIF($D$2462:$D$2713,D2713))/COUNT($D$2462:$D$2713)*100,"")</f>
        <v/>
      </c>
      <c r="H2713" s="10">
        <f>IFERROR(AVERAGE($D$2462:$D$2713),"")</f>
        <v/>
      </c>
      <c r="I2713" s="10" t="n">
        <v>2.149534757552881</v>
      </c>
      <c r="J2713" t="inlineStr"/>
      <c r="K2713" t="inlineStr"/>
    </row>
    <row r="2714">
      <c r="A2714" s="7" t="inlineStr">
        <is>
          <t>2025-04-24</t>
        </is>
      </c>
      <c r="B2714" s="8">
        <f>IFERROR(VLOOKUP($A2714,'01-原始价格'!$A:$M,2,FALSE),"")</f>
        <v/>
      </c>
      <c r="C2714" s="8">
        <f>IFERROR(VLOOKUP($A2714,'01-原始价格'!$A:$M,8,FALSE),"")</f>
        <v/>
      </c>
      <c r="D2714" s="10">
        <f>IFERROR(B2714/C2714,"")</f>
        <v/>
      </c>
      <c r="E2714" s="10">
        <f>IFERROR(C2714/B2714,"")</f>
        <v/>
      </c>
      <c r="F2714" s="11">
        <f>IFERROR((D2714/D2713-1)*100,"")</f>
        <v/>
      </c>
      <c r="G2714" s="11">
        <f>IFERROR((COUNTIF($D$2463:$D$2714,"&lt;"&amp;D2714)+0.5*COUNTIF($D$2463:$D$2714,D2714))/COUNT($D$2463:$D$2714)*100,"")</f>
        <v/>
      </c>
      <c r="H2714" s="10">
        <f>IFERROR(AVERAGE($D$2463:$D$2714),"")</f>
        <v/>
      </c>
      <c r="I2714" s="10" t="n">
        <v>2.207583750492321</v>
      </c>
      <c r="J2714" t="inlineStr"/>
      <c r="K2714" t="inlineStr"/>
    </row>
    <row r="2715">
      <c r="A2715" s="7" t="inlineStr">
        <is>
          <t>2025-04-25</t>
        </is>
      </c>
      <c r="B2715" s="8">
        <f>IFERROR(VLOOKUP($A2715,'01-原始价格'!$A:$M,2,FALSE),"")</f>
        <v/>
      </c>
      <c r="C2715" s="8">
        <f>IFERROR(VLOOKUP($A2715,'01-原始价格'!$A:$M,8,FALSE),"")</f>
        <v/>
      </c>
      <c r="D2715" s="10">
        <f>IFERROR(B2715/C2715,"")</f>
        <v/>
      </c>
      <c r="E2715" s="10">
        <f>IFERROR(C2715/B2715,"")</f>
        <v/>
      </c>
      <c r="F2715" s="11">
        <f>IFERROR((D2715/D2714-1)*100,"")</f>
        <v/>
      </c>
      <c r="G2715" s="11">
        <f>IFERROR((COUNTIF($D$2464:$D$2715,"&lt;"&amp;D2715)+0.5*COUNTIF($D$2464:$D$2715,D2715))/COUNT($D$2464:$D$2715)*100,"")</f>
        <v/>
      </c>
      <c r="H2715" s="10">
        <f>IFERROR(AVERAGE($D$2464:$D$2715),"")</f>
        <v/>
      </c>
      <c r="I2715" s="10" t="n">
        <v>2.156047071869169</v>
      </c>
      <c r="J2715" t="inlineStr"/>
      <c r="K2715" t="inlineStr"/>
    </row>
    <row r="2716">
      <c r="A2716" s="7" t="inlineStr">
        <is>
          <t>2025-04-28</t>
        </is>
      </c>
      <c r="B2716" s="8">
        <f>IFERROR(VLOOKUP($A2716,'01-原始价格'!$A:$M,2,FALSE),"")</f>
        <v/>
      </c>
      <c r="C2716" s="8">
        <f>IFERROR(VLOOKUP($A2716,'01-原始价格'!$A:$M,8,FALSE),"")</f>
        <v/>
      </c>
      <c r="D2716" s="10">
        <f>IFERROR(B2716/C2716,"")</f>
        <v/>
      </c>
      <c r="E2716" s="10">
        <f>IFERROR(C2716/B2716,"")</f>
        <v/>
      </c>
      <c r="F2716" s="11">
        <f>IFERROR((D2716/D2715-1)*100,"")</f>
        <v/>
      </c>
      <c r="G2716" s="11">
        <f>IFERROR((COUNTIF($D$2465:$D$2716,"&lt;"&amp;D2716)+0.5*COUNTIF($D$2465:$D$2716,D2716))/COUNT($D$2465:$D$2716)*100,"")</f>
        <v/>
      </c>
      <c r="H2716" s="10">
        <f>IFERROR(AVERAGE($D$2465:$D$2716),"")</f>
        <v/>
      </c>
      <c r="I2716" s="10" t="n">
        <v>2.132239028485633</v>
      </c>
      <c r="J2716" t="inlineStr"/>
      <c r="K2716" t="inlineStr"/>
    </row>
    <row r="2717">
      <c r="A2717" s="7" t="inlineStr">
        <is>
          <t>2025-04-29</t>
        </is>
      </c>
      <c r="B2717" s="8">
        <f>IFERROR(VLOOKUP($A2717,'01-原始价格'!$A:$M,2,FALSE),"")</f>
        <v/>
      </c>
      <c r="C2717" s="8">
        <f>IFERROR(VLOOKUP($A2717,'01-原始价格'!$A:$M,8,FALSE),"")</f>
        <v/>
      </c>
      <c r="D2717" s="10">
        <f>IFERROR(B2717/C2717,"")</f>
        <v/>
      </c>
      <c r="E2717" s="10">
        <f>IFERROR(C2717/B2717,"")</f>
        <v/>
      </c>
      <c r="F2717" s="11">
        <f>IFERROR((D2717/D2716-1)*100,"")</f>
        <v/>
      </c>
      <c r="G2717" s="11">
        <f>IFERROR((COUNTIF($D$2466:$D$2717,"&lt;"&amp;D2717)+0.5*COUNTIF($D$2466:$D$2717,D2717))/COUNT($D$2466:$D$2717)*100,"")</f>
        <v/>
      </c>
      <c r="H2717" s="10">
        <f>IFERROR(AVERAGE($D$2466:$D$2717),"")</f>
        <v/>
      </c>
      <c r="I2717" s="10" t="n">
        <v>2.180704150695361</v>
      </c>
      <c r="J2717" t="inlineStr"/>
      <c r="K2717" t="inlineStr"/>
    </row>
    <row r="2718">
      <c r="A2718" s="7" t="inlineStr">
        <is>
          <t>2025-04-30</t>
        </is>
      </c>
      <c r="B2718" s="8">
        <f>IFERROR(VLOOKUP($A2718,'01-原始价格'!$A:$M,2,FALSE),"")</f>
        <v/>
      </c>
      <c r="C2718" s="8">
        <f>IFERROR(VLOOKUP($A2718,'01-原始价格'!$A:$M,8,FALSE),"")</f>
        <v/>
      </c>
      <c r="D2718" s="10">
        <f>IFERROR(B2718/C2718,"")</f>
        <v/>
      </c>
      <c r="E2718" s="10">
        <f>IFERROR(C2718/B2718,"")</f>
        <v/>
      </c>
      <c r="F2718" s="11">
        <f>IFERROR((D2718/D2717-1)*100,"")</f>
        <v/>
      </c>
      <c r="G2718" s="11">
        <f>IFERROR((COUNTIF($D$2467:$D$2718,"&lt;"&amp;D2718)+0.5*COUNTIF($D$2467:$D$2718,D2718))/COUNT($D$2467:$D$2718)*100,"")</f>
        <v/>
      </c>
      <c r="H2718" s="10">
        <f>IFERROR(AVERAGE($D$2467:$D$2718),"")</f>
        <v/>
      </c>
      <c r="I2718" s="10" t="n">
        <v>2.08484257750318</v>
      </c>
      <c r="J2718" t="inlineStr"/>
      <c r="K2718" t="inlineStr"/>
    </row>
    <row r="2719">
      <c r="A2719" s="7" t="inlineStr">
        <is>
          <t>2025-05-06</t>
        </is>
      </c>
      <c r="B2719" s="8">
        <f>IFERROR(VLOOKUP($A2719,'01-原始价格'!$A:$M,2,FALSE),"")</f>
        <v/>
      </c>
      <c r="C2719" s="8">
        <f>IFERROR(VLOOKUP($A2719,'01-原始价格'!$A:$M,8,FALSE),"")</f>
        <v/>
      </c>
      <c r="D2719" s="10">
        <f>IFERROR(B2719/C2719,"")</f>
        <v/>
      </c>
      <c r="E2719" s="10">
        <f>IFERROR(C2719/B2719,"")</f>
        <v/>
      </c>
      <c r="F2719" s="11">
        <f>IFERROR((D2719/D2718-1)*100,"")</f>
        <v/>
      </c>
      <c r="G2719" s="11">
        <f>IFERROR((COUNTIF($D$2468:$D$2719,"&lt;"&amp;D2719)+0.5*COUNTIF($D$2468:$D$2719,D2719))/COUNT($D$2468:$D$2719)*100,"")</f>
        <v/>
      </c>
      <c r="H2719" s="10">
        <f>IFERROR(AVERAGE($D$2468:$D$2719),"")</f>
        <v/>
      </c>
      <c r="I2719" s="10" t="n">
        <v>2.30110587254025</v>
      </c>
      <c r="J2719" t="inlineStr"/>
      <c r="K2719" t="inlineStr"/>
    </row>
    <row r="2720">
      <c r="A2720" s="7" t="inlineStr">
        <is>
          <t>2025-05-07</t>
        </is>
      </c>
      <c r="B2720" s="8">
        <f>IFERROR(VLOOKUP($A2720,'01-原始价格'!$A:$M,2,FALSE),"")</f>
        <v/>
      </c>
      <c r="C2720" s="8">
        <f>IFERROR(VLOOKUP($A2720,'01-原始价格'!$A:$M,8,FALSE),"")</f>
        <v/>
      </c>
      <c r="D2720" s="10">
        <f>IFERROR(B2720/C2720,"")</f>
        <v/>
      </c>
      <c r="E2720" s="10">
        <f>IFERROR(C2720/B2720,"")</f>
        <v/>
      </c>
      <c r="F2720" s="11">
        <f>IFERROR((D2720/D2719-1)*100,"")</f>
        <v/>
      </c>
      <c r="G2720" s="11">
        <f>IFERROR((COUNTIF($D$2469:$D$2720,"&lt;"&amp;D2720)+0.5*COUNTIF($D$2469:$D$2720,D2720))/COUNT($D$2469:$D$2720)*100,"")</f>
        <v/>
      </c>
      <c r="H2720" s="10">
        <f>IFERROR(AVERAGE($D$2469:$D$2720),"")</f>
        <v/>
      </c>
      <c r="I2720" s="10" t="n">
        <v>2.183799626177224</v>
      </c>
      <c r="J2720" t="inlineStr"/>
      <c r="K2720" t="inlineStr"/>
    </row>
    <row r="2721">
      <c r="A2721" s="7" t="inlineStr">
        <is>
          <t>2025-05-08</t>
        </is>
      </c>
      <c r="B2721" s="8">
        <f>IFERROR(VLOOKUP($A2721,'01-原始价格'!$A:$M,2,FALSE),"")</f>
        <v/>
      </c>
      <c r="C2721" s="8">
        <f>IFERROR(VLOOKUP($A2721,'01-原始价格'!$A:$M,8,FALSE),"")</f>
        <v/>
      </c>
      <c r="D2721" s="10">
        <f>IFERROR(B2721/C2721,"")</f>
        <v/>
      </c>
      <c r="E2721" s="10">
        <f>IFERROR(C2721/B2721,"")</f>
        <v/>
      </c>
      <c r="F2721" s="11">
        <f>IFERROR((D2721/D2720-1)*100,"")</f>
        <v/>
      </c>
      <c r="G2721" s="11">
        <f>IFERROR((COUNTIF($D$2470:$D$2721,"&lt;"&amp;D2721)+0.5*COUNTIF($D$2470:$D$2721,D2721))/COUNT($D$2470:$D$2721)*100,"")</f>
        <v/>
      </c>
      <c r="H2721" s="10">
        <f>IFERROR(AVERAGE($D$2470:$D$2721),"")</f>
        <v/>
      </c>
      <c r="I2721" s="10" t="n">
        <v>2.120537452231974</v>
      </c>
      <c r="J2721" t="inlineStr"/>
      <c r="K2721" t="inlineStr"/>
    </row>
    <row r="2722">
      <c r="A2722" s="7" t="inlineStr">
        <is>
          <t>2025-05-09</t>
        </is>
      </c>
      <c r="B2722" s="8">
        <f>IFERROR(VLOOKUP($A2722,'01-原始价格'!$A:$M,2,FALSE),"")</f>
        <v/>
      </c>
      <c r="C2722" s="8">
        <f>IFERROR(VLOOKUP($A2722,'01-原始价格'!$A:$M,8,FALSE),"")</f>
        <v/>
      </c>
      <c r="D2722" s="10">
        <f>IFERROR(B2722/C2722,"")</f>
        <v/>
      </c>
      <c r="E2722" s="10">
        <f>IFERROR(C2722/B2722,"")</f>
        <v/>
      </c>
      <c r="F2722" s="11">
        <f>IFERROR((D2722/D2721-1)*100,"")</f>
        <v/>
      </c>
      <c r="G2722" s="11">
        <f>IFERROR((COUNTIF($D$2471:$D$2722,"&lt;"&amp;D2722)+0.5*COUNTIF($D$2471:$D$2722,D2722))/COUNT($D$2471:$D$2722)*100,"")</f>
        <v/>
      </c>
      <c r="H2722" s="10">
        <f>IFERROR(AVERAGE($D$2471:$D$2722),"")</f>
        <v/>
      </c>
      <c r="I2722" s="10" t="n">
        <v>2.186082640145977</v>
      </c>
      <c r="J2722" t="inlineStr"/>
      <c r="K2722" t="inlineStr"/>
    </row>
    <row r="2723">
      <c r="A2723" s="7" t="inlineStr">
        <is>
          <t>2025-05-12</t>
        </is>
      </c>
      <c r="B2723" s="8">
        <f>IFERROR(VLOOKUP($A2723,'01-原始价格'!$A:$M,2,FALSE),"")</f>
        <v/>
      </c>
      <c r="C2723" s="8">
        <f>IFERROR(VLOOKUP($A2723,'01-原始价格'!$A:$M,8,FALSE),"")</f>
        <v/>
      </c>
      <c r="D2723" s="10">
        <f>IFERROR(B2723/C2723,"")</f>
        <v/>
      </c>
      <c r="E2723" s="10">
        <f>IFERROR(C2723/B2723,"")</f>
        <v/>
      </c>
      <c r="F2723" s="11">
        <f>IFERROR((D2723/D2722-1)*100,"")</f>
        <v/>
      </c>
      <c r="G2723" s="11">
        <f>IFERROR((COUNTIF($D$2472:$D$2723,"&lt;"&amp;D2723)+0.5*COUNTIF($D$2472:$D$2723,D2723))/COUNT($D$2472:$D$2723)*100,"")</f>
        <v/>
      </c>
      <c r="H2723" s="10">
        <f>IFERROR(AVERAGE($D$2472:$D$2723),"")</f>
        <v/>
      </c>
      <c r="I2723" s="10" t="n">
        <v>1.891259363502498</v>
      </c>
      <c r="J2723" t="inlineStr"/>
      <c r="K2723" t="inlineStr"/>
    </row>
    <row r="2724">
      <c r="A2724" s="7" t="inlineStr">
        <is>
          <t>2025-05-13</t>
        </is>
      </c>
      <c r="B2724" s="8">
        <f>IFERROR(VLOOKUP($A2724,'01-原始价格'!$A:$M,2,FALSE),"")</f>
        <v/>
      </c>
      <c r="C2724" s="8">
        <f>IFERROR(VLOOKUP($A2724,'01-原始价格'!$A:$M,8,FALSE),"")</f>
        <v/>
      </c>
      <c r="D2724" s="10">
        <f>IFERROR(B2724/C2724,"")</f>
        <v/>
      </c>
      <c r="E2724" s="10">
        <f>IFERROR(C2724/B2724,"")</f>
        <v/>
      </c>
      <c r="F2724" s="11">
        <f>IFERROR((D2724/D2723-1)*100,"")</f>
        <v/>
      </c>
      <c r="G2724" s="11">
        <f>IFERROR((COUNTIF($D$2473:$D$2724,"&lt;"&amp;D2724)+0.5*COUNTIF($D$2473:$D$2724,D2724))/COUNT($D$2473:$D$2724)*100,"")</f>
        <v/>
      </c>
      <c r="H2724" s="10">
        <f>IFERROR(AVERAGE($D$2473:$D$2724),"")</f>
        <v/>
      </c>
      <c r="I2724" s="10" t="n">
        <v>1.590512319273133</v>
      </c>
      <c r="J2724" t="inlineStr"/>
      <c r="K2724" t="inlineStr"/>
    </row>
    <row r="2725">
      <c r="A2725" s="7" t="inlineStr">
        <is>
          <t>2025-05-14</t>
        </is>
      </c>
      <c r="B2725" s="8">
        <f>IFERROR(VLOOKUP($A2725,'01-原始价格'!$A:$M,2,FALSE),"")</f>
        <v/>
      </c>
      <c r="C2725" s="8">
        <f>IFERROR(VLOOKUP($A2725,'01-原始价格'!$A:$M,8,FALSE),"")</f>
        <v/>
      </c>
      <c r="D2725" s="10">
        <f>IFERROR(B2725/C2725,"")</f>
        <v/>
      </c>
      <c r="E2725" s="10">
        <f>IFERROR(C2725/B2725,"")</f>
        <v/>
      </c>
      <c r="F2725" s="11">
        <f>IFERROR((D2725/D2724-1)*100,"")</f>
        <v/>
      </c>
      <c r="G2725" s="11">
        <f>IFERROR((COUNTIF($D$2474:$D$2725,"&lt;"&amp;D2725)+0.5*COUNTIF($D$2474:$D$2725,D2725))/COUNT($D$2474:$D$2725)*100,"")</f>
        <v/>
      </c>
      <c r="H2725" s="10">
        <f>IFERROR(AVERAGE($D$2474:$D$2725),"")</f>
        <v/>
      </c>
      <c r="I2725" s="10" t="n">
        <v>1.371044774269223</v>
      </c>
      <c r="J2725" t="inlineStr"/>
      <c r="K2725" t="inlineStr"/>
    </row>
    <row r="2726">
      <c r="A2726" s="7" t="inlineStr">
        <is>
          <t>2025-05-15</t>
        </is>
      </c>
      <c r="B2726" s="8">
        <f>IFERROR(VLOOKUP($A2726,'01-原始价格'!$A:$M,2,FALSE),"")</f>
        <v/>
      </c>
      <c r="C2726" s="8">
        <f>IFERROR(VLOOKUP($A2726,'01-原始价格'!$A:$M,8,FALSE),"")</f>
        <v/>
      </c>
      <c r="D2726" s="10">
        <f>IFERROR(B2726/C2726,"")</f>
        <v/>
      </c>
      <c r="E2726" s="10">
        <f>IFERROR(C2726/B2726,"")</f>
        <v/>
      </c>
      <c r="F2726" s="11">
        <f>IFERROR((D2726/D2725-1)*100,"")</f>
        <v/>
      </c>
      <c r="G2726" s="11">
        <f>IFERROR((COUNTIF($D$2475:$D$2726,"&lt;"&amp;D2726)+0.5*COUNTIF($D$2475:$D$2726,D2726))/COUNT($D$2475:$D$2726)*100,"")</f>
        <v/>
      </c>
      <c r="H2726" s="10">
        <f>IFERROR(AVERAGE($D$2475:$D$2726),"")</f>
        <v/>
      </c>
      <c r="I2726" s="10" t="n">
        <v>1.294487005747894</v>
      </c>
      <c r="J2726" t="inlineStr"/>
      <c r="K2726" t="inlineStr"/>
    </row>
    <row r="2727">
      <c r="A2727" s="7" t="inlineStr">
        <is>
          <t>2025-05-16</t>
        </is>
      </c>
      <c r="B2727" s="8">
        <f>IFERROR(VLOOKUP($A2727,'01-原始价格'!$A:$M,2,FALSE),"")</f>
        <v/>
      </c>
      <c r="C2727" s="8">
        <f>IFERROR(VLOOKUP($A2727,'01-原始价格'!$A:$M,8,FALSE),"")</f>
        <v/>
      </c>
      <c r="D2727" s="10">
        <f>IFERROR(B2727/C2727,"")</f>
        <v/>
      </c>
      <c r="E2727" s="10">
        <f>IFERROR(C2727/B2727,"")</f>
        <v/>
      </c>
      <c r="F2727" s="11">
        <f>IFERROR((D2727/D2726-1)*100,"")</f>
        <v/>
      </c>
      <c r="G2727" s="11">
        <f>IFERROR((COUNTIF($D$2476:$D$2727,"&lt;"&amp;D2727)+0.5*COUNTIF($D$2476:$D$2727,D2727))/COUNT($D$2476:$D$2727)*100,"")</f>
        <v/>
      </c>
      <c r="H2727" s="10">
        <f>IFERROR(AVERAGE($D$2476:$D$2727),"")</f>
        <v/>
      </c>
      <c r="I2727" s="10" t="n">
        <v>1.14564469957228</v>
      </c>
      <c r="J2727" t="inlineStr"/>
      <c r="K2727" t="inlineStr"/>
    </row>
    <row r="2728">
      <c r="A2728" s="7" t="inlineStr">
        <is>
          <t>2025-05-19</t>
        </is>
      </c>
      <c r="B2728" s="8">
        <f>IFERROR(VLOOKUP($A2728,'01-原始价格'!$A:$M,2,FALSE),"")</f>
        <v/>
      </c>
      <c r="C2728" s="8">
        <f>IFERROR(VLOOKUP($A2728,'01-原始价格'!$A:$M,8,FALSE),"")</f>
        <v/>
      </c>
      <c r="D2728" s="10">
        <f>IFERROR(B2728/C2728,"")</f>
        <v/>
      </c>
      <c r="E2728" s="10">
        <f>IFERROR(C2728/B2728,"")</f>
        <v/>
      </c>
      <c r="F2728" s="11">
        <f>IFERROR((D2728/D2727-1)*100,"")</f>
        <v/>
      </c>
      <c r="G2728" s="11">
        <f>IFERROR((COUNTIF($D$2477:$D$2728,"&lt;"&amp;D2728)+0.5*COUNTIF($D$2477:$D$2728,D2728))/COUNT($D$2477:$D$2728)*100,"")</f>
        <v/>
      </c>
      <c r="H2728" s="10">
        <f>IFERROR(AVERAGE($D$2477:$D$2728),"")</f>
        <v/>
      </c>
      <c r="I2728" s="10" t="n">
        <v>1.022516949314879</v>
      </c>
      <c r="J2728" t="inlineStr"/>
      <c r="K2728" t="inlineStr"/>
    </row>
    <row r="2729">
      <c r="A2729" s="7" t="inlineStr">
        <is>
          <t>2025-05-20</t>
        </is>
      </c>
      <c r="B2729" s="8">
        <f>IFERROR(VLOOKUP($A2729,'01-原始价格'!$A:$M,2,FALSE),"")</f>
        <v/>
      </c>
      <c r="C2729" s="8">
        <f>IFERROR(VLOOKUP($A2729,'01-原始价格'!$A:$M,8,FALSE),"")</f>
        <v/>
      </c>
      <c r="D2729" s="10">
        <f>IFERROR(B2729/C2729,"")</f>
        <v/>
      </c>
      <c r="E2729" s="10">
        <f>IFERROR(C2729/B2729,"")</f>
        <v/>
      </c>
      <c r="F2729" s="11">
        <f>IFERROR((D2729/D2728-1)*100,"")</f>
        <v/>
      </c>
      <c r="G2729" s="11">
        <f>IFERROR((COUNTIF($D$2478:$D$2729,"&lt;"&amp;D2729)+0.5*COUNTIF($D$2478:$D$2729,D2729))/COUNT($D$2478:$D$2729)*100,"")</f>
        <v/>
      </c>
      <c r="H2729" s="10">
        <f>IFERROR(AVERAGE($D$2478:$D$2729),"")</f>
        <v/>
      </c>
      <c r="I2729" s="10" t="n">
        <v>0.9290489915810648</v>
      </c>
      <c r="J2729" t="inlineStr"/>
      <c r="K2729" t="inlineStr"/>
    </row>
    <row r="2730">
      <c r="A2730" s="7" t="inlineStr">
        <is>
          <t>2025-05-21</t>
        </is>
      </c>
      <c r="B2730" s="8">
        <f>IFERROR(VLOOKUP($A2730,'01-原始价格'!$A:$M,2,FALSE),"")</f>
        <v/>
      </c>
      <c r="C2730" s="8">
        <f>IFERROR(VLOOKUP($A2730,'01-原始价格'!$A:$M,8,FALSE),"")</f>
        <v/>
      </c>
      <c r="D2730" s="10">
        <f>IFERROR(B2730/C2730,"")</f>
        <v/>
      </c>
      <c r="E2730" s="10">
        <f>IFERROR(C2730/B2730,"")</f>
        <v/>
      </c>
      <c r="F2730" s="11">
        <f>IFERROR((D2730/D2729-1)*100,"")</f>
        <v/>
      </c>
      <c r="G2730" s="11">
        <f>IFERROR((COUNTIF($D$2479:$D$2730,"&lt;"&amp;D2730)+0.5*COUNTIF($D$2479:$D$2730,D2730))/COUNT($D$2479:$D$2730)*100,"")</f>
        <v/>
      </c>
      <c r="H2730" s="10">
        <f>IFERROR(AVERAGE($D$2479:$D$2730),"")</f>
        <v/>
      </c>
      <c r="I2730" s="10" t="n">
        <v>0.8969842551408717</v>
      </c>
      <c r="J2730" t="inlineStr"/>
      <c r="K2730" t="inlineStr"/>
    </row>
    <row r="2731">
      <c r="A2731" s="7" t="inlineStr">
        <is>
          <t>2025-05-22</t>
        </is>
      </c>
      <c r="B2731" s="8">
        <f>IFERROR(VLOOKUP($A2731,'01-原始价格'!$A:$M,2,FALSE),"")</f>
        <v/>
      </c>
      <c r="C2731" s="8">
        <f>IFERROR(VLOOKUP($A2731,'01-原始价格'!$A:$M,8,FALSE),"")</f>
        <v/>
      </c>
      <c r="D2731" s="10">
        <f>IFERROR(B2731/C2731,"")</f>
        <v/>
      </c>
      <c r="E2731" s="10">
        <f>IFERROR(C2731/B2731,"")</f>
        <v/>
      </c>
      <c r="F2731" s="11">
        <f>IFERROR((D2731/D2730-1)*100,"")</f>
        <v/>
      </c>
      <c r="G2731" s="11">
        <f>IFERROR((COUNTIF($D$2480:$D$2731,"&lt;"&amp;D2731)+0.5*COUNTIF($D$2480:$D$2731,D2731))/COUNT($D$2480:$D$2731)*100,"")</f>
        <v/>
      </c>
      <c r="H2731" s="10">
        <f>IFERROR(AVERAGE($D$2480:$D$2731),"")</f>
        <v/>
      </c>
      <c r="I2731" s="10" t="n">
        <v>0.8752258250031623</v>
      </c>
      <c r="J2731" t="inlineStr"/>
      <c r="K2731" t="inlineStr"/>
    </row>
    <row r="2732">
      <c r="A2732" s="7" t="inlineStr">
        <is>
          <t>2025-05-23</t>
        </is>
      </c>
      <c r="B2732" s="8">
        <f>IFERROR(VLOOKUP($A2732,'01-原始价格'!$A:$M,2,FALSE),"")</f>
        <v/>
      </c>
      <c r="C2732" s="8">
        <f>IFERROR(VLOOKUP($A2732,'01-原始价格'!$A:$M,8,FALSE),"")</f>
        <v/>
      </c>
      <c r="D2732" s="10">
        <f>IFERROR(B2732/C2732,"")</f>
        <v/>
      </c>
      <c r="E2732" s="10">
        <f>IFERROR(C2732/B2732,"")</f>
        <v/>
      </c>
      <c r="F2732" s="11">
        <f>IFERROR((D2732/D2731-1)*100,"")</f>
        <v/>
      </c>
      <c r="G2732" s="11">
        <f>IFERROR((COUNTIF($D$2481:$D$2732,"&lt;"&amp;D2732)+0.5*COUNTIF($D$2481:$D$2732,D2732))/COUNT($D$2481:$D$2732)*100,"")</f>
        <v/>
      </c>
      <c r="H2732" s="10">
        <f>IFERROR(AVERAGE($D$2481:$D$2732),"")</f>
        <v/>
      </c>
      <c r="I2732" s="10" t="n">
        <v>0.9257479449489454</v>
      </c>
      <c r="J2732" t="inlineStr"/>
      <c r="K2732" t="inlineStr"/>
    </row>
    <row r="2733">
      <c r="A2733" s="7" t="inlineStr">
        <is>
          <t>2025-05-26</t>
        </is>
      </c>
      <c r="B2733" s="8">
        <f>IFERROR(VLOOKUP($A2733,'01-原始价格'!$A:$M,2,FALSE),"")</f>
        <v/>
      </c>
      <c r="C2733" s="8">
        <f>IFERROR(VLOOKUP($A2733,'01-原始价格'!$A:$M,8,FALSE),"")</f>
        <v/>
      </c>
      <c r="D2733" s="10">
        <f>IFERROR(B2733/C2733,"")</f>
        <v/>
      </c>
      <c r="E2733" s="10">
        <f>IFERROR(C2733/B2733,"")</f>
        <v/>
      </c>
      <c r="F2733" s="11">
        <f>IFERROR((D2733/D2732-1)*100,"")</f>
        <v/>
      </c>
      <c r="G2733" s="11">
        <f>IFERROR((COUNTIF($D$2482:$D$2733,"&lt;"&amp;D2733)+0.5*COUNTIF($D$2482:$D$2733,D2733))/COUNT($D$2482:$D$2733)*100,"")</f>
        <v/>
      </c>
      <c r="H2733" s="10">
        <f>IFERROR(AVERAGE($D$2482:$D$2733),"")</f>
        <v/>
      </c>
      <c r="I2733" s="10" t="n">
        <v>0.8361744245608213</v>
      </c>
      <c r="J2733" t="inlineStr"/>
      <c r="K2733" t="inlineStr"/>
    </row>
    <row r="2734">
      <c r="A2734" s="7" t="inlineStr">
        <is>
          <t>2025-05-27</t>
        </is>
      </c>
      <c r="B2734" s="8">
        <f>IFERROR(VLOOKUP($A2734,'01-原始价格'!$A:$M,2,FALSE),"")</f>
        <v/>
      </c>
      <c r="C2734" s="8">
        <f>IFERROR(VLOOKUP($A2734,'01-原始价格'!$A:$M,8,FALSE),"")</f>
        <v/>
      </c>
      <c r="D2734" s="10">
        <f>IFERROR(B2734/C2734,"")</f>
        <v/>
      </c>
      <c r="E2734" s="10">
        <f>IFERROR(C2734/B2734,"")</f>
        <v/>
      </c>
      <c r="F2734" s="11">
        <f>IFERROR((D2734/D2733-1)*100,"")</f>
        <v/>
      </c>
      <c r="G2734" s="11">
        <f>IFERROR((COUNTIF($D$2483:$D$2734,"&lt;"&amp;D2734)+0.5*COUNTIF($D$2483:$D$2734,D2734))/COUNT($D$2483:$D$2734)*100,"")</f>
        <v/>
      </c>
      <c r="H2734" s="10">
        <f>IFERROR(AVERAGE($D$2483:$D$2734),"")</f>
        <v/>
      </c>
      <c r="I2734" s="10" t="n">
        <v>0.9405973321828517</v>
      </c>
      <c r="J2734" t="inlineStr"/>
      <c r="K2734" t="inlineStr"/>
    </row>
    <row r="2735">
      <c r="A2735" s="7" t="inlineStr">
        <is>
          <t>2025-05-28</t>
        </is>
      </c>
      <c r="B2735" s="8">
        <f>IFERROR(VLOOKUP($A2735,'01-原始价格'!$A:$M,2,FALSE),"")</f>
        <v/>
      </c>
      <c r="C2735" s="8">
        <f>IFERROR(VLOOKUP($A2735,'01-原始价格'!$A:$M,8,FALSE),"")</f>
        <v/>
      </c>
      <c r="D2735" s="10">
        <f>IFERROR(B2735/C2735,"")</f>
        <v/>
      </c>
      <c r="E2735" s="10">
        <f>IFERROR(C2735/B2735,"")</f>
        <v/>
      </c>
      <c r="F2735" s="11">
        <f>IFERROR((D2735/D2734-1)*100,"")</f>
        <v/>
      </c>
      <c r="G2735" s="11">
        <f>IFERROR((COUNTIF($D$2484:$D$2735,"&lt;"&amp;D2735)+0.5*COUNTIF($D$2484:$D$2735,D2735))/COUNT($D$2484:$D$2735)*100,"")</f>
        <v/>
      </c>
      <c r="H2735" s="10">
        <f>IFERROR(AVERAGE($D$2484:$D$2735),"")</f>
        <v/>
      </c>
      <c r="I2735" s="10" t="n">
        <v>1.049691279921604</v>
      </c>
      <c r="J2735" t="inlineStr"/>
      <c r="K2735" t="inlineStr"/>
    </row>
    <row r="2736">
      <c r="A2736" s="7" t="inlineStr">
        <is>
          <t>2025-05-29</t>
        </is>
      </c>
      <c r="B2736" s="8">
        <f>IFERROR(VLOOKUP($A2736,'01-原始价格'!$A:$M,2,FALSE),"")</f>
        <v/>
      </c>
      <c r="C2736" s="8">
        <f>IFERROR(VLOOKUP($A2736,'01-原始价格'!$A:$M,8,FALSE),"")</f>
        <v/>
      </c>
      <c r="D2736" s="10">
        <f>IFERROR(B2736/C2736,"")</f>
        <v/>
      </c>
      <c r="E2736" s="10">
        <f>IFERROR(C2736/B2736,"")</f>
        <v/>
      </c>
      <c r="F2736" s="11">
        <f>IFERROR((D2736/D2735-1)*100,"")</f>
        <v/>
      </c>
      <c r="G2736" s="11">
        <f>IFERROR((COUNTIF($D$2485:$D$2736,"&lt;"&amp;D2736)+0.5*COUNTIF($D$2485:$D$2736,D2736))/COUNT($D$2485:$D$2736)*100,"")</f>
        <v/>
      </c>
      <c r="H2736" s="10">
        <f>IFERROR(AVERAGE($D$2485:$D$2736),"")</f>
        <v/>
      </c>
      <c r="I2736" s="10" t="n">
        <v>0.9482587768042128</v>
      </c>
      <c r="J2736" t="inlineStr"/>
      <c r="K2736" t="inlineStr"/>
    </row>
    <row r="2737">
      <c r="A2737" s="7" t="inlineStr">
        <is>
          <t>2025-05-30</t>
        </is>
      </c>
      <c r="B2737" s="8">
        <f>IFERROR(VLOOKUP($A2737,'01-原始价格'!$A:$M,2,FALSE),"")</f>
        <v/>
      </c>
      <c r="C2737" s="8">
        <f>IFERROR(VLOOKUP($A2737,'01-原始价格'!$A:$M,8,FALSE),"")</f>
        <v/>
      </c>
      <c r="D2737" s="10">
        <f>IFERROR(B2737/C2737,"")</f>
        <v/>
      </c>
      <c r="E2737" s="10">
        <f>IFERROR(C2737/B2737,"")</f>
        <v/>
      </c>
      <c r="F2737" s="11">
        <f>IFERROR((D2737/D2736-1)*100,"")</f>
        <v/>
      </c>
      <c r="G2737" s="11">
        <f>IFERROR((COUNTIF($D$2486:$D$2737,"&lt;"&amp;D2737)+0.5*COUNTIF($D$2486:$D$2737,D2737))/COUNT($D$2486:$D$2737)*100,"")</f>
        <v/>
      </c>
      <c r="H2737" s="10">
        <f>IFERROR(AVERAGE($D$2486:$D$2737),"")</f>
        <v/>
      </c>
      <c r="I2737" s="10" t="n">
        <v>0.9838635842964625</v>
      </c>
      <c r="J2737" t="inlineStr"/>
      <c r="K2737" t="inlineStr"/>
    </row>
    <row r="2738">
      <c r="A2738" s="7" t="inlineStr">
        <is>
          <t>2025-06-03</t>
        </is>
      </c>
      <c r="B2738" s="8">
        <f>IFERROR(VLOOKUP($A2738,'01-原始价格'!$A:$M,2,FALSE),"")</f>
        <v/>
      </c>
      <c r="C2738" s="8">
        <f>IFERROR(VLOOKUP($A2738,'01-原始价格'!$A:$M,8,FALSE),"")</f>
        <v/>
      </c>
      <c r="D2738" s="10">
        <f>IFERROR(B2738/C2738,"")</f>
        <v/>
      </c>
      <c r="E2738" s="10">
        <f>IFERROR(C2738/B2738,"")</f>
        <v/>
      </c>
      <c r="F2738" s="11">
        <f>IFERROR((D2738/D2737-1)*100,"")</f>
        <v/>
      </c>
      <c r="G2738" s="11">
        <f>IFERROR((COUNTIF($D$2487:$D$2738,"&lt;"&amp;D2738)+0.5*COUNTIF($D$2487:$D$2738,D2738))/COUNT($D$2487:$D$2738)*100,"")</f>
        <v/>
      </c>
      <c r="H2738" s="10">
        <f>IFERROR(AVERAGE($D$2487:$D$2738),"")</f>
        <v/>
      </c>
      <c r="I2738" s="10" t="n">
        <v>0.9855744425945953</v>
      </c>
      <c r="J2738" t="inlineStr"/>
      <c r="K2738" t="inlineStr"/>
    </row>
    <row r="2739">
      <c r="A2739" s="7" t="inlineStr">
        <is>
          <t>2025-06-04</t>
        </is>
      </c>
      <c r="B2739" s="8">
        <f>IFERROR(VLOOKUP($A2739,'01-原始价格'!$A:$M,2,FALSE),"")</f>
        <v/>
      </c>
      <c r="C2739" s="8">
        <f>IFERROR(VLOOKUP($A2739,'01-原始价格'!$A:$M,8,FALSE),"")</f>
        <v/>
      </c>
      <c r="D2739" s="10">
        <f>IFERROR(B2739/C2739,"")</f>
        <v/>
      </c>
      <c r="E2739" s="10">
        <f>IFERROR(C2739/B2739,"")</f>
        <v/>
      </c>
      <c r="F2739" s="11">
        <f>IFERROR((D2739/D2738-1)*100,"")</f>
        <v/>
      </c>
      <c r="G2739" s="11">
        <f>IFERROR((COUNTIF($D$2488:$D$2739,"&lt;"&amp;D2739)+0.5*COUNTIF($D$2488:$D$2739,D2739))/COUNT($D$2488:$D$2739)*100,"")</f>
        <v/>
      </c>
      <c r="H2739" s="10">
        <f>IFERROR(AVERAGE($D$2488:$D$2739),"")</f>
        <v/>
      </c>
      <c r="I2739" s="10" t="n">
        <v>0.9106682436613688</v>
      </c>
      <c r="J2739" t="inlineStr"/>
      <c r="K2739" t="inlineStr"/>
    </row>
    <row r="2740">
      <c r="A2740" s="7" t="inlineStr">
        <is>
          <t>2025-06-05</t>
        </is>
      </c>
      <c r="B2740" s="8">
        <f>IFERROR(VLOOKUP($A2740,'01-原始价格'!$A:$M,2,FALSE),"")</f>
        <v/>
      </c>
      <c r="C2740" s="8">
        <f>IFERROR(VLOOKUP($A2740,'01-原始价格'!$A:$M,8,FALSE),"")</f>
        <v/>
      </c>
      <c r="D2740" s="10">
        <f>IFERROR(B2740/C2740,"")</f>
        <v/>
      </c>
      <c r="E2740" s="10">
        <f>IFERROR(C2740/B2740,"")</f>
        <v/>
      </c>
      <c r="F2740" s="11">
        <f>IFERROR((D2740/D2739-1)*100,"")</f>
        <v/>
      </c>
      <c r="G2740" s="11">
        <f>IFERROR((COUNTIF($D$2489:$D$2740,"&lt;"&amp;D2740)+0.5*COUNTIF($D$2489:$D$2740,D2740))/COUNT($D$2489:$D$2740)*100,"")</f>
        <v/>
      </c>
      <c r="H2740" s="10">
        <f>IFERROR(AVERAGE($D$2489:$D$2740),"")</f>
        <v/>
      </c>
      <c r="I2740" s="10" t="n">
        <v>0.8334481470921702</v>
      </c>
      <c r="J2740" t="inlineStr"/>
      <c r="K2740" t="inlineStr"/>
    </row>
    <row r="2741">
      <c r="A2741" s="7" t="inlineStr">
        <is>
          <t>2025-06-06</t>
        </is>
      </c>
      <c r="B2741" s="8">
        <f>IFERROR(VLOOKUP($A2741,'01-原始价格'!$A:$M,2,FALSE),"")</f>
        <v/>
      </c>
      <c r="C2741" s="8">
        <f>IFERROR(VLOOKUP($A2741,'01-原始价格'!$A:$M,8,FALSE),"")</f>
        <v/>
      </c>
      <c r="D2741" s="10">
        <f>IFERROR(B2741/C2741,"")</f>
        <v/>
      </c>
      <c r="E2741" s="10">
        <f>IFERROR(C2741/B2741,"")</f>
        <v/>
      </c>
      <c r="F2741" s="11">
        <f>IFERROR((D2741/D2740-1)*100,"")</f>
        <v/>
      </c>
      <c r="G2741" s="11">
        <f>IFERROR((COUNTIF($D$2490:$D$2741,"&lt;"&amp;D2741)+0.5*COUNTIF($D$2490:$D$2741,D2741))/COUNT($D$2490:$D$2741)*100,"")</f>
        <v/>
      </c>
      <c r="H2741" s="10">
        <f>IFERROR(AVERAGE($D$2490:$D$2741),"")</f>
        <v/>
      </c>
      <c r="I2741" s="10" t="n">
        <v>0.7732041095394123</v>
      </c>
      <c r="J2741" t="inlineStr"/>
      <c r="K2741" t="inlineStr"/>
    </row>
    <row r="2742">
      <c r="A2742" s="7" t="inlineStr">
        <is>
          <t>2025-06-09</t>
        </is>
      </c>
      <c r="B2742" s="8">
        <f>IFERROR(VLOOKUP($A2742,'01-原始价格'!$A:$M,2,FALSE),"")</f>
        <v/>
      </c>
      <c r="C2742" s="8">
        <f>IFERROR(VLOOKUP($A2742,'01-原始价格'!$A:$M,8,FALSE),"")</f>
        <v/>
      </c>
      <c r="D2742" s="10">
        <f>IFERROR(B2742/C2742,"")</f>
        <v/>
      </c>
      <c r="E2742" s="10">
        <f>IFERROR(C2742/B2742,"")</f>
        <v/>
      </c>
      <c r="F2742" s="11">
        <f>IFERROR((D2742/D2741-1)*100,"")</f>
        <v/>
      </c>
      <c r="G2742" s="11">
        <f>IFERROR((COUNTIF($D$2491:$D$2742,"&lt;"&amp;D2742)+0.5*COUNTIF($D$2491:$D$2742,D2742))/COUNT($D$2491:$D$2742)*100,"")</f>
        <v/>
      </c>
      <c r="H2742" s="10">
        <f>IFERROR(AVERAGE($D$2491:$D$2742),"")</f>
        <v/>
      </c>
      <c r="I2742" s="10" t="n">
        <v>0.7551005878906469</v>
      </c>
      <c r="J2742" t="inlineStr"/>
      <c r="K2742" t="inlineStr"/>
    </row>
    <row r="2743">
      <c r="A2743" s="7" t="inlineStr">
        <is>
          <t>2025-06-10</t>
        </is>
      </c>
      <c r="B2743" s="8">
        <f>IFERROR(VLOOKUP($A2743,'01-原始价格'!$A:$M,2,FALSE),"")</f>
        <v/>
      </c>
      <c r="C2743" s="8">
        <f>IFERROR(VLOOKUP($A2743,'01-原始价格'!$A:$M,8,FALSE),"")</f>
        <v/>
      </c>
      <c r="D2743" s="10">
        <f>IFERROR(B2743/C2743,"")</f>
        <v/>
      </c>
      <c r="E2743" s="10">
        <f>IFERROR(C2743/B2743,"")</f>
        <v/>
      </c>
      <c r="F2743" s="11">
        <f>IFERROR((D2743/D2742-1)*100,"")</f>
        <v/>
      </c>
      <c r="G2743" s="11">
        <f>IFERROR((COUNTIF($D$2492:$D$2743,"&lt;"&amp;D2743)+0.5*COUNTIF($D$2492:$D$2743,D2743))/COUNT($D$2492:$D$2743)*100,"")</f>
        <v/>
      </c>
      <c r="H2743" s="10">
        <f>IFERROR(AVERAGE($D$2492:$D$2743),"")</f>
        <v/>
      </c>
      <c r="I2743" s="10" t="n">
        <v>0.6930324157801675</v>
      </c>
      <c r="J2743" t="inlineStr"/>
      <c r="K2743" t="inlineStr"/>
    </row>
    <row r="2744">
      <c r="A2744" s="7" t="inlineStr">
        <is>
          <t>2025-06-11</t>
        </is>
      </c>
      <c r="B2744" s="8">
        <f>IFERROR(VLOOKUP($A2744,'01-原始价格'!$A:$M,2,FALSE),"")</f>
        <v/>
      </c>
      <c r="C2744" s="8">
        <f>IFERROR(VLOOKUP($A2744,'01-原始价格'!$A:$M,8,FALSE),"")</f>
        <v/>
      </c>
      <c r="D2744" s="10">
        <f>IFERROR(B2744/C2744,"")</f>
        <v/>
      </c>
      <c r="E2744" s="10">
        <f>IFERROR(C2744/B2744,"")</f>
        <v/>
      </c>
      <c r="F2744" s="11">
        <f>IFERROR((D2744/D2743-1)*100,"")</f>
        <v/>
      </c>
      <c r="G2744" s="11">
        <f>IFERROR((COUNTIF($D$2493:$D$2744,"&lt;"&amp;D2744)+0.5*COUNTIF($D$2493:$D$2744,D2744))/COUNT($D$2493:$D$2744)*100,"")</f>
        <v/>
      </c>
      <c r="H2744" s="10">
        <f>IFERROR(AVERAGE($D$2493:$D$2744),"")</f>
        <v/>
      </c>
      <c r="I2744" s="10" t="n">
        <v>0.7708605897578135</v>
      </c>
      <c r="J2744" t="inlineStr"/>
      <c r="K2744" t="inlineStr"/>
    </row>
    <row r="2745">
      <c r="A2745" s="7" t="inlineStr">
        <is>
          <t>2025-06-12</t>
        </is>
      </c>
      <c r="B2745" s="8">
        <f>IFERROR(VLOOKUP($A2745,'01-原始价格'!$A:$M,2,FALSE),"")</f>
        <v/>
      </c>
      <c r="C2745" s="8">
        <f>IFERROR(VLOOKUP($A2745,'01-原始价格'!$A:$M,8,FALSE),"")</f>
        <v/>
      </c>
      <c r="D2745" s="10">
        <f>IFERROR(B2745/C2745,"")</f>
        <v/>
      </c>
      <c r="E2745" s="10">
        <f>IFERROR(C2745/B2745,"")</f>
        <v/>
      </c>
      <c r="F2745" s="11">
        <f>IFERROR((D2745/D2744-1)*100,"")</f>
        <v/>
      </c>
      <c r="G2745" s="11">
        <f>IFERROR((COUNTIF($D$2494:$D$2745,"&lt;"&amp;D2745)+0.5*COUNTIF($D$2494:$D$2745,D2745))/COUNT($D$2494:$D$2745)*100,"")</f>
        <v/>
      </c>
      <c r="H2745" s="10">
        <f>IFERROR(AVERAGE($D$2494:$D$2745),"")</f>
        <v/>
      </c>
      <c r="I2745" s="10" t="n">
        <v>0.7518230044393852</v>
      </c>
      <c r="J2745" t="inlineStr"/>
      <c r="K2745" t="inlineStr"/>
    </row>
    <row r="2746">
      <c r="A2746" s="7" t="inlineStr">
        <is>
          <t>2025-06-13</t>
        </is>
      </c>
      <c r="B2746" s="8">
        <f>IFERROR(VLOOKUP($A2746,'01-原始价格'!$A:$M,2,FALSE),"")</f>
        <v/>
      </c>
      <c r="C2746" s="8">
        <f>IFERROR(VLOOKUP($A2746,'01-原始价格'!$A:$M,8,FALSE),"")</f>
        <v/>
      </c>
      <c r="D2746" s="10">
        <f>IFERROR(B2746/C2746,"")</f>
        <v/>
      </c>
      <c r="E2746" s="10">
        <f>IFERROR(C2746/B2746,"")</f>
        <v/>
      </c>
      <c r="F2746" s="11">
        <f>IFERROR((D2746/D2745-1)*100,"")</f>
        <v/>
      </c>
      <c r="G2746" s="11">
        <f>IFERROR((COUNTIF($D$2495:$D$2746,"&lt;"&amp;D2746)+0.5*COUNTIF($D$2495:$D$2746,D2746))/COUNT($D$2495:$D$2746)*100,"")</f>
        <v/>
      </c>
      <c r="H2746" s="10">
        <f>IFERROR(AVERAGE($D$2495:$D$2746),"")</f>
        <v/>
      </c>
      <c r="I2746" s="10" t="n">
        <v>0.6916851951465315</v>
      </c>
      <c r="J2746" t="inlineStr"/>
      <c r="K2746" t="inlineStr"/>
    </row>
    <row r="2747">
      <c r="A2747" s="7" t="inlineStr">
        <is>
          <t>2025-06-16</t>
        </is>
      </c>
      <c r="B2747" s="8">
        <f>IFERROR(VLOOKUP($A2747,'01-原始价格'!$A:$M,2,FALSE),"")</f>
        <v/>
      </c>
      <c r="C2747" s="8">
        <f>IFERROR(VLOOKUP($A2747,'01-原始价格'!$A:$M,8,FALSE),"")</f>
        <v/>
      </c>
      <c r="D2747" s="10">
        <f>IFERROR(B2747/C2747,"")</f>
        <v/>
      </c>
      <c r="E2747" s="10">
        <f>IFERROR(C2747/B2747,"")</f>
        <v/>
      </c>
      <c r="F2747" s="11">
        <f>IFERROR((D2747/D2746-1)*100,"")</f>
        <v/>
      </c>
      <c r="G2747" s="11">
        <f>IFERROR((COUNTIF($D$2496:$D$2747,"&lt;"&amp;D2747)+0.5*COUNTIF($D$2496:$D$2747,D2747))/COUNT($D$2496:$D$2747)*100,"")</f>
        <v/>
      </c>
      <c r="H2747" s="10">
        <f>IFERROR(AVERAGE($D$2496:$D$2747),"")</f>
        <v/>
      </c>
      <c r="I2747" s="10" t="n">
        <v>0.576038649225221</v>
      </c>
      <c r="J2747" t="inlineStr"/>
      <c r="K2747" t="inlineStr"/>
    </row>
    <row r="2748">
      <c r="A2748" s="7" t="inlineStr">
        <is>
          <t>2025-06-17</t>
        </is>
      </c>
      <c r="B2748" s="8">
        <f>IFERROR(VLOOKUP($A2748,'01-原始价格'!$A:$M,2,FALSE),"")</f>
        <v/>
      </c>
      <c r="C2748" s="8">
        <f>IFERROR(VLOOKUP($A2748,'01-原始价格'!$A:$M,8,FALSE),"")</f>
        <v/>
      </c>
      <c r="D2748" s="10">
        <f>IFERROR(B2748/C2748,"")</f>
        <v/>
      </c>
      <c r="E2748" s="10">
        <f>IFERROR(C2748/B2748,"")</f>
        <v/>
      </c>
      <c r="F2748" s="11">
        <f>IFERROR((D2748/D2747-1)*100,"")</f>
        <v/>
      </c>
      <c r="G2748" s="11">
        <f>IFERROR((COUNTIF($D$2497:$D$2748,"&lt;"&amp;D2748)+0.5*COUNTIF($D$2497:$D$2748,D2748))/COUNT($D$2497:$D$2748)*100,"")</f>
        <v/>
      </c>
      <c r="H2748" s="10">
        <f>IFERROR(AVERAGE($D$2497:$D$2748),"")</f>
        <v/>
      </c>
      <c r="I2748" s="10" t="n">
        <v>0.6250536404071978</v>
      </c>
      <c r="J2748" t="inlineStr"/>
      <c r="K2748" t="inlineStr"/>
    </row>
    <row r="2749">
      <c r="A2749" s="7" t="inlineStr">
        <is>
          <t>2025-06-18</t>
        </is>
      </c>
      <c r="B2749" s="8">
        <f>IFERROR(VLOOKUP($A2749,'01-原始价格'!$A:$M,2,FALSE),"")</f>
        <v/>
      </c>
      <c r="C2749" s="8">
        <f>IFERROR(VLOOKUP($A2749,'01-原始价格'!$A:$M,8,FALSE),"")</f>
        <v/>
      </c>
      <c r="D2749" s="10">
        <f>IFERROR(B2749/C2749,"")</f>
        <v/>
      </c>
      <c r="E2749" s="10">
        <f>IFERROR(C2749/B2749,"")</f>
        <v/>
      </c>
      <c r="F2749" s="11">
        <f>IFERROR((D2749/D2748-1)*100,"")</f>
        <v/>
      </c>
      <c r="G2749" s="11">
        <f>IFERROR((COUNTIF($D$2498:$D$2749,"&lt;"&amp;D2749)+0.5*COUNTIF($D$2498:$D$2749,D2749))/COUNT($D$2498:$D$2749)*100,"")</f>
        <v/>
      </c>
      <c r="H2749" s="10">
        <f>IFERROR(AVERAGE($D$2498:$D$2749),"")</f>
        <v/>
      </c>
      <c r="I2749" s="10" t="n">
        <v>0.5902090449833822</v>
      </c>
      <c r="J2749" t="inlineStr"/>
      <c r="K2749" t="inlineStr"/>
    </row>
    <row r="2750">
      <c r="A2750" s="7" t="inlineStr">
        <is>
          <t>2025-06-19</t>
        </is>
      </c>
      <c r="B2750" s="8">
        <f>IFERROR(VLOOKUP($A2750,'01-原始价格'!$A:$M,2,FALSE),"")</f>
        <v/>
      </c>
      <c r="C2750" s="8">
        <f>IFERROR(VLOOKUP($A2750,'01-原始价格'!$A:$M,8,FALSE),"")</f>
        <v/>
      </c>
      <c r="D2750" s="10">
        <f>IFERROR(B2750/C2750,"")</f>
        <v/>
      </c>
      <c r="E2750" s="10">
        <f>IFERROR(C2750/B2750,"")</f>
        <v/>
      </c>
      <c r="F2750" s="11">
        <f>IFERROR((D2750/D2749-1)*100,"")</f>
        <v/>
      </c>
      <c r="G2750" s="11">
        <f>IFERROR((COUNTIF($D$2499:$D$2750,"&lt;"&amp;D2750)+0.5*COUNTIF($D$2499:$D$2750,D2750))/COUNT($D$2499:$D$2750)*100,"")</f>
        <v/>
      </c>
      <c r="H2750" s="10">
        <f>IFERROR(AVERAGE($D$2499:$D$2750),"")</f>
        <v/>
      </c>
      <c r="I2750" s="10" t="n">
        <v>0.6697499202044299</v>
      </c>
      <c r="J2750" t="inlineStr"/>
      <c r="K2750" t="inlineStr"/>
    </row>
    <row r="2751">
      <c r="A2751" s="7" t="inlineStr">
        <is>
          <t>2025-06-20</t>
        </is>
      </c>
      <c r="B2751" s="8">
        <f>IFERROR(VLOOKUP($A2751,'01-原始价格'!$A:$M,2,FALSE),"")</f>
        <v/>
      </c>
      <c r="C2751" s="8">
        <f>IFERROR(VLOOKUP($A2751,'01-原始价格'!$A:$M,8,FALSE),"")</f>
        <v/>
      </c>
      <c r="D2751" s="10">
        <f>IFERROR(B2751/C2751,"")</f>
        <v/>
      </c>
      <c r="E2751" s="10">
        <f>IFERROR(C2751/B2751,"")</f>
        <v/>
      </c>
      <c r="F2751" s="11">
        <f>IFERROR((D2751/D2750-1)*100,"")</f>
        <v/>
      </c>
      <c r="G2751" s="11">
        <f>IFERROR((COUNTIF($D$2500:$D$2751,"&lt;"&amp;D2751)+0.5*COUNTIF($D$2500:$D$2751,D2751))/COUNT($D$2500:$D$2751)*100,"")</f>
        <v/>
      </c>
      <c r="H2751" s="10">
        <f>IFERROR(AVERAGE($D$2500:$D$2751),"")</f>
        <v/>
      </c>
      <c r="I2751" s="10" t="n">
        <v>0.719378992100612</v>
      </c>
      <c r="J2751" t="inlineStr"/>
      <c r="K2751" t="inlineStr"/>
    </row>
    <row r="2752">
      <c r="A2752" s="7" t="inlineStr">
        <is>
          <t>2025-06-23</t>
        </is>
      </c>
      <c r="B2752" s="8">
        <f>IFERROR(VLOOKUP($A2752,'01-原始价格'!$A:$M,2,FALSE),"")</f>
        <v/>
      </c>
      <c r="C2752" s="8">
        <f>IFERROR(VLOOKUP($A2752,'01-原始价格'!$A:$M,8,FALSE),"")</f>
        <v/>
      </c>
      <c r="D2752" s="10">
        <f>IFERROR(B2752/C2752,"")</f>
        <v/>
      </c>
      <c r="E2752" s="10">
        <f>IFERROR(C2752/B2752,"")</f>
        <v/>
      </c>
      <c r="F2752" s="11">
        <f>IFERROR((D2752/D2751-1)*100,"")</f>
        <v/>
      </c>
      <c r="G2752" s="11">
        <f>IFERROR((COUNTIF($D$2501:$D$2752,"&lt;"&amp;D2752)+0.5*COUNTIF($D$2501:$D$2752,D2752))/COUNT($D$2501:$D$2752)*100,"")</f>
        <v/>
      </c>
      <c r="H2752" s="10">
        <f>IFERROR(AVERAGE($D$2501:$D$2752),"")</f>
        <v/>
      </c>
      <c r="I2752" s="10" t="n">
        <v>0.6616063967796728</v>
      </c>
      <c r="J2752" t="inlineStr"/>
      <c r="K2752" t="inlineStr"/>
    </row>
    <row r="2753">
      <c r="A2753" s="7" t="inlineStr">
        <is>
          <t>2025-06-24</t>
        </is>
      </c>
      <c r="B2753" s="8">
        <f>IFERROR(VLOOKUP($A2753,'01-原始价格'!$A:$M,2,FALSE),"")</f>
        <v/>
      </c>
      <c r="C2753" s="8">
        <f>IFERROR(VLOOKUP($A2753,'01-原始价格'!$A:$M,8,FALSE),"")</f>
        <v/>
      </c>
      <c r="D2753" s="10">
        <f>IFERROR(B2753/C2753,"")</f>
        <v/>
      </c>
      <c r="E2753" s="10">
        <f>IFERROR(C2753/B2753,"")</f>
        <v/>
      </c>
      <c r="F2753" s="11">
        <f>IFERROR((D2753/D2752-1)*100,"")</f>
        <v/>
      </c>
      <c r="G2753" s="11">
        <f>IFERROR((COUNTIF($D$2502:$D$2753,"&lt;"&amp;D2753)+0.5*COUNTIF($D$2502:$D$2753,D2753))/COUNT($D$2502:$D$2753)*100,"")</f>
        <v/>
      </c>
      <c r="H2753" s="10">
        <f>IFERROR(AVERAGE($D$2502:$D$2753),"")</f>
        <v/>
      </c>
      <c r="I2753" s="10" t="n">
        <v>0.6657479454260918</v>
      </c>
      <c r="J2753" t="inlineStr"/>
      <c r="K2753" t="inlineStr"/>
    </row>
    <row r="2754">
      <c r="A2754" s="7" t="inlineStr">
        <is>
          <t>2025-06-25</t>
        </is>
      </c>
      <c r="B2754" s="8">
        <f>IFERROR(VLOOKUP($A2754,'01-原始价格'!$A:$M,2,FALSE),"")</f>
        <v/>
      </c>
      <c r="C2754" s="8">
        <f>IFERROR(VLOOKUP($A2754,'01-原始价格'!$A:$M,8,FALSE),"")</f>
        <v/>
      </c>
      <c r="D2754" s="10">
        <f>IFERROR(B2754/C2754,"")</f>
        <v/>
      </c>
      <c r="E2754" s="10">
        <f>IFERROR(C2754/B2754,"")</f>
        <v/>
      </c>
      <c r="F2754" s="11">
        <f>IFERROR((D2754/D2753-1)*100,"")</f>
        <v/>
      </c>
      <c r="G2754" s="11">
        <f>IFERROR((COUNTIF($D$2503:$D$2754,"&lt;"&amp;D2754)+0.5*COUNTIF($D$2503:$D$2754,D2754))/COUNT($D$2503:$D$2754)*100,"")</f>
        <v/>
      </c>
      <c r="H2754" s="10">
        <f>IFERROR(AVERAGE($D$2503:$D$2754),"")</f>
        <v/>
      </c>
      <c r="I2754" s="10" t="n">
        <v>0.6248342828253255</v>
      </c>
      <c r="J2754" t="inlineStr"/>
      <c r="K2754" t="inlineStr"/>
    </row>
    <row r="2755">
      <c r="A2755" s="7" t="inlineStr">
        <is>
          <t>2025-06-26</t>
        </is>
      </c>
      <c r="B2755" s="8">
        <f>IFERROR(VLOOKUP($A2755,'01-原始价格'!$A:$M,2,FALSE),"")</f>
        <v/>
      </c>
      <c r="C2755" s="8">
        <f>IFERROR(VLOOKUP($A2755,'01-原始价格'!$A:$M,8,FALSE),"")</f>
        <v/>
      </c>
      <c r="D2755" s="10">
        <f>IFERROR(B2755/C2755,"")</f>
        <v/>
      </c>
      <c r="E2755" s="10">
        <f>IFERROR(C2755/B2755,"")</f>
        <v/>
      </c>
      <c r="F2755" s="11">
        <f>IFERROR((D2755/D2754-1)*100,"")</f>
        <v/>
      </c>
      <c r="G2755" s="11">
        <f>IFERROR((COUNTIF($D$2504:$D$2755,"&lt;"&amp;D2755)+0.5*COUNTIF($D$2504:$D$2755,D2755))/COUNT($D$2504:$D$2755)*100,"")</f>
        <v/>
      </c>
      <c r="H2755" s="10">
        <f>IFERROR(AVERAGE($D$2504:$D$2755),"")</f>
        <v/>
      </c>
      <c r="I2755" s="10" t="n">
        <v>0.5996069401234934</v>
      </c>
      <c r="J2755" t="inlineStr"/>
      <c r="K2755" t="inlineStr"/>
    </row>
    <row r="2756">
      <c r="A2756" s="7" t="inlineStr">
        <is>
          <t>2025-06-27</t>
        </is>
      </c>
      <c r="B2756" s="8">
        <f>IFERROR(VLOOKUP($A2756,'01-原始价格'!$A:$M,2,FALSE),"")</f>
        <v/>
      </c>
      <c r="C2756" s="8">
        <f>IFERROR(VLOOKUP($A2756,'01-原始价格'!$A:$M,8,FALSE),"")</f>
        <v/>
      </c>
      <c r="D2756" s="10">
        <f>IFERROR(B2756/C2756,"")</f>
        <v/>
      </c>
      <c r="E2756" s="10">
        <f>IFERROR(C2756/B2756,"")</f>
        <v/>
      </c>
      <c r="F2756" s="11">
        <f>IFERROR((D2756/D2755-1)*100,"")</f>
        <v/>
      </c>
      <c r="G2756" s="11">
        <f>IFERROR((COUNTIF($D$2505:$D$2756,"&lt;"&amp;D2756)+0.5*COUNTIF($D$2505:$D$2756,D2756))/COUNT($D$2505:$D$2756)*100,"")</f>
        <v/>
      </c>
      <c r="H2756" s="10">
        <f>IFERROR(AVERAGE($D$2505:$D$2756),"")</f>
        <v/>
      </c>
      <c r="I2756" s="10" t="n">
        <v>0.5664518254917424</v>
      </c>
      <c r="J2756" t="inlineStr"/>
      <c r="K2756" t="inlineStr"/>
    </row>
    <row r="2757">
      <c r="A2757" s="7" t="inlineStr">
        <is>
          <t>2025-06-30</t>
        </is>
      </c>
      <c r="B2757" s="8">
        <f>IFERROR(VLOOKUP($A2757,'01-原始价格'!$A:$M,2,FALSE),"")</f>
        <v/>
      </c>
      <c r="C2757" s="8">
        <f>IFERROR(VLOOKUP($A2757,'01-原始价格'!$A:$M,8,FALSE),"")</f>
        <v/>
      </c>
      <c r="D2757" s="10">
        <f>IFERROR(B2757/C2757,"")</f>
        <v/>
      </c>
      <c r="E2757" s="10">
        <f>IFERROR(C2757/B2757,"")</f>
        <v/>
      </c>
      <c r="F2757" s="11">
        <f>IFERROR((D2757/D2756-1)*100,"")</f>
        <v/>
      </c>
      <c r="G2757" s="11">
        <f>IFERROR((COUNTIF($D$2506:$D$2757,"&lt;"&amp;D2757)+0.5*COUNTIF($D$2506:$D$2757,D2757))/COUNT($D$2506:$D$2757)*100,"")</f>
        <v/>
      </c>
      <c r="H2757" s="10">
        <f>IFERROR(AVERAGE($D$2506:$D$2757),"")</f>
        <v/>
      </c>
      <c r="I2757" s="10" t="n">
        <v>0.5837469357211093</v>
      </c>
      <c r="J2757" t="inlineStr"/>
      <c r="K2757" t="inlineStr"/>
    </row>
    <row r="2758">
      <c r="A2758" s="7" t="inlineStr">
        <is>
          <t>2025-07-01</t>
        </is>
      </c>
      <c r="B2758" s="8">
        <f>IFERROR(VLOOKUP($A2758,'01-原始价格'!$A:$M,2,FALSE),"")</f>
        <v/>
      </c>
      <c r="C2758" s="8">
        <f>IFERROR(VLOOKUP($A2758,'01-原始价格'!$A:$M,8,FALSE),"")</f>
        <v/>
      </c>
      <c r="D2758" s="10">
        <f>IFERROR(B2758/C2758,"")</f>
        <v/>
      </c>
      <c r="E2758" s="10">
        <f>IFERROR(C2758/B2758,"")</f>
        <v/>
      </c>
      <c r="F2758" s="11">
        <f>IFERROR((D2758/D2757-1)*100,"")</f>
        <v/>
      </c>
      <c r="G2758" s="11">
        <f>IFERROR((COUNTIF($D$2507:$D$2758,"&lt;"&amp;D2758)+0.5*COUNTIF($D$2507:$D$2758,D2758))/COUNT($D$2507:$D$2758)*100,"")</f>
        <v/>
      </c>
      <c r="H2758" s="10">
        <f>IFERROR(AVERAGE($D$2507:$D$2758),"")</f>
        <v/>
      </c>
      <c r="I2758" s="10" t="n">
        <v>0.5099963816259202</v>
      </c>
      <c r="J2758" t="inlineStr"/>
      <c r="K2758" t="inlineStr"/>
    </row>
    <row r="2759">
      <c r="A2759" s="7" t="inlineStr">
        <is>
          <t>2025-07-02</t>
        </is>
      </c>
      <c r="B2759" s="8">
        <f>IFERROR(VLOOKUP($A2759,'01-原始价格'!$A:$M,2,FALSE),"")</f>
        <v/>
      </c>
      <c r="C2759" s="8">
        <f>IFERROR(VLOOKUP($A2759,'01-原始价格'!$A:$M,8,FALSE),"")</f>
        <v/>
      </c>
      <c r="D2759" s="10">
        <f>IFERROR(B2759/C2759,"")</f>
        <v/>
      </c>
      <c r="E2759" s="10">
        <f>IFERROR(C2759/B2759,"")</f>
        <v/>
      </c>
      <c r="F2759" s="11">
        <f>IFERROR((D2759/D2758-1)*100,"")</f>
        <v/>
      </c>
      <c r="G2759" s="11">
        <f>IFERROR((COUNTIF($D$2508:$D$2759,"&lt;"&amp;D2759)+0.5*COUNTIF($D$2508:$D$2759,D2759))/COUNT($D$2508:$D$2759)*100,"")</f>
        <v/>
      </c>
      <c r="H2759" s="10">
        <f>IFERROR(AVERAGE($D$2508:$D$2759),"")</f>
        <v/>
      </c>
      <c r="I2759" s="10" t="n">
        <v>0.4660895378558861</v>
      </c>
      <c r="J2759" t="inlineStr"/>
      <c r="K2759" t="inlineStr"/>
    </row>
    <row r="2760">
      <c r="A2760" s="7" t="inlineStr">
        <is>
          <t>2025-07-03</t>
        </is>
      </c>
      <c r="B2760" s="8">
        <f>IFERROR(VLOOKUP($A2760,'01-原始价格'!$A:$M,2,FALSE),"")</f>
        <v/>
      </c>
      <c r="C2760" s="8">
        <f>IFERROR(VLOOKUP($A2760,'01-原始价格'!$A:$M,8,FALSE),"")</f>
        <v/>
      </c>
      <c r="D2760" s="10">
        <f>IFERROR(B2760/C2760,"")</f>
        <v/>
      </c>
      <c r="E2760" s="10">
        <f>IFERROR(C2760/B2760,"")</f>
        <v/>
      </c>
      <c r="F2760" s="11">
        <f>IFERROR((D2760/D2759-1)*100,"")</f>
        <v/>
      </c>
      <c r="G2760" s="11">
        <f>IFERROR((COUNTIF($D$2509:$D$2760,"&lt;"&amp;D2760)+0.5*COUNTIF($D$2509:$D$2760,D2760))/COUNT($D$2509:$D$2760)*100,"")</f>
        <v/>
      </c>
      <c r="H2760" s="10">
        <f>IFERROR(AVERAGE($D$2509:$D$2760),"")</f>
        <v/>
      </c>
      <c r="I2760" s="10" t="n">
        <v>0.4931496543644527</v>
      </c>
      <c r="J2760" t="inlineStr"/>
      <c r="K2760" t="inlineStr"/>
    </row>
    <row r="2761">
      <c r="A2761" s="7" t="inlineStr">
        <is>
          <t>2025-07-04</t>
        </is>
      </c>
      <c r="B2761" s="8">
        <f>IFERROR(VLOOKUP($A2761,'01-原始价格'!$A:$M,2,FALSE),"")</f>
        <v/>
      </c>
      <c r="C2761" s="8">
        <f>IFERROR(VLOOKUP($A2761,'01-原始价格'!$A:$M,8,FALSE),"")</f>
        <v/>
      </c>
      <c r="D2761" s="10">
        <f>IFERROR(B2761/C2761,"")</f>
        <v/>
      </c>
      <c r="E2761" s="10">
        <f>IFERROR(C2761/B2761,"")</f>
        <v/>
      </c>
      <c r="F2761" s="11">
        <f>IFERROR((D2761/D2760-1)*100,"")</f>
        <v/>
      </c>
      <c r="G2761" s="11">
        <f>IFERROR((COUNTIF($D$2510:$D$2761,"&lt;"&amp;D2761)+0.5*COUNTIF($D$2510:$D$2761,D2761))/COUNT($D$2510:$D$2761)*100,"")</f>
        <v/>
      </c>
      <c r="H2761" s="10">
        <f>IFERROR(AVERAGE($D$2510:$D$2761),"")</f>
        <v/>
      </c>
      <c r="I2761" s="10" t="n">
        <v>0.3152445335564041</v>
      </c>
      <c r="J2761" t="inlineStr"/>
      <c r="K2761" t="inlineStr"/>
    </row>
    <row r="2762">
      <c r="A2762" s="7" t="inlineStr">
        <is>
          <t>2025-07-07</t>
        </is>
      </c>
      <c r="B2762" s="8">
        <f>IFERROR(VLOOKUP($A2762,'01-原始价格'!$A:$M,2,FALSE),"")</f>
        <v/>
      </c>
      <c r="C2762" s="8">
        <f>IFERROR(VLOOKUP($A2762,'01-原始价格'!$A:$M,8,FALSE),"")</f>
        <v/>
      </c>
      <c r="D2762" s="10">
        <f>IFERROR(B2762/C2762,"")</f>
        <v/>
      </c>
      <c r="E2762" s="10">
        <f>IFERROR(C2762/B2762,"")</f>
        <v/>
      </c>
      <c r="F2762" s="11">
        <f>IFERROR((D2762/D2761-1)*100,"")</f>
        <v/>
      </c>
      <c r="G2762" s="11">
        <f>IFERROR((COUNTIF($D$2511:$D$2762,"&lt;"&amp;D2762)+0.5*COUNTIF($D$2511:$D$2762,D2762))/COUNT($D$2511:$D$2762)*100,"")</f>
        <v/>
      </c>
      <c r="H2762" s="10">
        <f>IFERROR(AVERAGE($D$2511:$D$2762),"")</f>
        <v/>
      </c>
      <c r="I2762" s="10" t="n">
        <v>0.09782643594142584</v>
      </c>
      <c r="J2762" t="inlineStr"/>
      <c r="K2762" t="inlineStr"/>
    </row>
    <row r="2763">
      <c r="A2763" s="7" t="inlineStr">
        <is>
          <t>2025-07-08</t>
        </is>
      </c>
      <c r="B2763" s="8">
        <f>IFERROR(VLOOKUP($A2763,'01-原始价格'!$A:$M,2,FALSE),"")</f>
        <v/>
      </c>
      <c r="C2763" s="8">
        <f>IFERROR(VLOOKUP($A2763,'01-原始价格'!$A:$M,8,FALSE),"")</f>
        <v/>
      </c>
      <c r="D2763" s="10">
        <f>IFERROR(B2763/C2763,"")</f>
        <v/>
      </c>
      <c r="E2763" s="10">
        <f>IFERROR(C2763/B2763,"")</f>
        <v/>
      </c>
      <c r="F2763" s="11">
        <f>IFERROR((D2763/D2762-1)*100,"")</f>
        <v/>
      </c>
      <c r="G2763" s="11">
        <f>IFERROR((COUNTIF($D$2512:$D$2763,"&lt;"&amp;D2763)+0.5*COUNTIF($D$2512:$D$2763,D2763))/COUNT($D$2512:$D$2763)*100,"")</f>
        <v/>
      </c>
      <c r="H2763" s="10">
        <f>IFERROR(AVERAGE($D$2512:$D$2763),"")</f>
        <v/>
      </c>
      <c r="I2763" s="10" t="n">
        <v>0.03120563401860376</v>
      </c>
      <c r="J2763" t="inlineStr"/>
      <c r="K2763" t="inlineStr"/>
    </row>
    <row r="2764">
      <c r="A2764" s="7" t="inlineStr">
        <is>
          <t>2025-07-09</t>
        </is>
      </c>
      <c r="B2764" s="8">
        <f>IFERROR(VLOOKUP($A2764,'01-原始价格'!$A:$M,2,FALSE),"")</f>
        <v/>
      </c>
      <c r="C2764" s="8">
        <f>IFERROR(VLOOKUP($A2764,'01-原始价格'!$A:$M,8,FALSE),"")</f>
        <v/>
      </c>
      <c r="D2764" s="10">
        <f>IFERROR(B2764/C2764,"")</f>
        <v/>
      </c>
      <c r="E2764" s="10">
        <f>IFERROR(C2764/B2764,"")</f>
        <v/>
      </c>
      <c r="F2764" s="11">
        <f>IFERROR((D2764/D2763-1)*100,"")</f>
        <v/>
      </c>
      <c r="G2764" s="11">
        <f>IFERROR((COUNTIF($D$2513:$D$2764,"&lt;"&amp;D2764)+0.5*COUNTIF($D$2513:$D$2764,D2764))/COUNT($D$2513:$D$2764)*100,"")</f>
        <v/>
      </c>
      <c r="H2764" s="10">
        <f>IFERROR(AVERAGE($D$2513:$D$2764),"")</f>
        <v/>
      </c>
      <c r="I2764" s="10" t="n">
        <v>0.02235182173491631</v>
      </c>
      <c r="J2764" t="inlineStr"/>
      <c r="K2764" t="inlineStr"/>
    </row>
    <row r="2765">
      <c r="A2765" s="7" t="inlineStr">
        <is>
          <t>2025-07-10</t>
        </is>
      </c>
      <c r="B2765" s="8">
        <f>IFERROR(VLOOKUP($A2765,'01-原始价格'!$A:$M,2,FALSE),"")</f>
        <v/>
      </c>
      <c r="C2765" s="8">
        <f>IFERROR(VLOOKUP($A2765,'01-原始价格'!$A:$M,8,FALSE),"")</f>
        <v/>
      </c>
      <c r="D2765" s="10">
        <f>IFERROR(B2765/C2765,"")</f>
        <v/>
      </c>
      <c r="E2765" s="10">
        <f>IFERROR(C2765/B2765,"")</f>
        <v/>
      </c>
      <c r="F2765" s="11">
        <f>IFERROR((D2765/D2764-1)*100,"")</f>
        <v/>
      </c>
      <c r="G2765" s="11">
        <f>IFERROR((COUNTIF($D$2514:$D$2765,"&lt;"&amp;D2765)+0.5*COUNTIF($D$2514:$D$2765,D2765))/COUNT($D$2514:$D$2765)*100,"")</f>
        <v/>
      </c>
      <c r="H2765" s="10">
        <f>IFERROR(AVERAGE($D$2514:$D$2765),"")</f>
        <v/>
      </c>
      <c r="I2765" s="10" t="n">
        <v>-0.05543988196590832</v>
      </c>
      <c r="J2765" t="inlineStr"/>
      <c r="K2765" t="inlineStr"/>
    </row>
    <row r="2766">
      <c r="A2766" s="7" t="inlineStr">
        <is>
          <t>2025-07-11</t>
        </is>
      </c>
      <c r="B2766" s="8">
        <f>IFERROR(VLOOKUP($A2766,'01-原始价格'!$A:$M,2,FALSE),"")</f>
        <v/>
      </c>
      <c r="C2766" s="8">
        <f>IFERROR(VLOOKUP($A2766,'01-原始价格'!$A:$M,8,FALSE),"")</f>
        <v/>
      </c>
      <c r="D2766" s="10">
        <f>IFERROR(B2766/C2766,"")</f>
        <v/>
      </c>
      <c r="E2766" s="10">
        <f>IFERROR(C2766/B2766,"")</f>
        <v/>
      </c>
      <c r="F2766" s="11">
        <f>IFERROR((D2766/D2765-1)*100,"")</f>
        <v/>
      </c>
      <c r="G2766" s="11">
        <f>IFERROR((COUNTIF($D$2515:$D$2766,"&lt;"&amp;D2766)+0.5*COUNTIF($D$2515:$D$2766,D2766))/COUNT($D$2515:$D$2766)*100,"")</f>
        <v/>
      </c>
      <c r="H2766" s="10">
        <f>IFERROR(AVERAGE($D$2515:$D$2766),"")</f>
        <v/>
      </c>
      <c r="I2766" s="10" t="n">
        <v>-0.08482124113203217</v>
      </c>
      <c r="J2766" t="inlineStr"/>
      <c r="K2766" t="inlineStr"/>
    </row>
    <row r="2767">
      <c r="A2767" s="7" t="inlineStr">
        <is>
          <t>2025-07-14</t>
        </is>
      </c>
      <c r="B2767" s="8">
        <f>IFERROR(VLOOKUP($A2767,'01-原始价格'!$A:$M,2,FALSE),"")</f>
        <v/>
      </c>
      <c r="C2767" s="8">
        <f>IFERROR(VLOOKUP($A2767,'01-原始价格'!$A:$M,8,FALSE),"")</f>
        <v/>
      </c>
      <c r="D2767" s="10">
        <f>IFERROR(B2767/C2767,"")</f>
        <v/>
      </c>
      <c r="E2767" s="10">
        <f>IFERROR(C2767/B2767,"")</f>
        <v/>
      </c>
      <c r="F2767" s="11">
        <f>IFERROR((D2767/D2766-1)*100,"")</f>
        <v/>
      </c>
      <c r="G2767" s="11">
        <f>IFERROR((COUNTIF($D$2516:$D$2767,"&lt;"&amp;D2767)+0.5*COUNTIF($D$2516:$D$2767,D2767))/COUNT($D$2516:$D$2767)*100,"")</f>
        <v/>
      </c>
      <c r="H2767" s="10">
        <f>IFERROR(AVERAGE($D$2516:$D$2767),"")</f>
        <v/>
      </c>
      <c r="I2767" s="10" t="n">
        <v>-0.0625446407405143</v>
      </c>
      <c r="J2767" t="inlineStr"/>
      <c r="K2767" t="inlineStr"/>
    </row>
    <row r="2768">
      <c r="A2768" s="7" t="inlineStr">
        <is>
          <t>2025-07-15</t>
        </is>
      </c>
      <c r="B2768" s="8">
        <f>IFERROR(VLOOKUP($A2768,'01-原始价格'!$A:$M,2,FALSE),"")</f>
        <v/>
      </c>
      <c r="C2768" s="8">
        <f>IFERROR(VLOOKUP($A2768,'01-原始价格'!$A:$M,8,FALSE),"")</f>
        <v/>
      </c>
      <c r="D2768" s="10">
        <f>IFERROR(B2768/C2768,"")</f>
        <v/>
      </c>
      <c r="E2768" s="10">
        <f>IFERROR(C2768/B2768,"")</f>
        <v/>
      </c>
      <c r="F2768" s="11">
        <f>IFERROR((D2768/D2767-1)*100,"")</f>
        <v/>
      </c>
      <c r="G2768" s="11">
        <f>IFERROR((COUNTIF($D$2517:$D$2768,"&lt;"&amp;D2768)+0.5*COUNTIF($D$2517:$D$2768,D2768))/COUNT($D$2517:$D$2768)*100,"")</f>
        <v/>
      </c>
      <c r="H2768" s="10">
        <f>IFERROR(AVERAGE($D$2517:$D$2768),"")</f>
        <v/>
      </c>
      <c r="I2768" s="10" t="n">
        <v>-0.01906912478163545</v>
      </c>
      <c r="J2768" t="inlineStr"/>
      <c r="K2768" t="inlineStr"/>
    </row>
    <row r="2769">
      <c r="A2769" s="7" t="inlineStr">
        <is>
          <t>2025-07-16</t>
        </is>
      </c>
      <c r="B2769" s="8">
        <f>IFERROR(VLOOKUP($A2769,'01-原始价格'!$A:$M,2,FALSE),"")</f>
        <v/>
      </c>
      <c r="C2769" s="8">
        <f>IFERROR(VLOOKUP($A2769,'01-原始价格'!$A:$M,8,FALSE),"")</f>
        <v/>
      </c>
      <c r="D2769" s="10">
        <f>IFERROR(B2769/C2769,"")</f>
        <v/>
      </c>
      <c r="E2769" s="10">
        <f>IFERROR(C2769/B2769,"")</f>
        <v/>
      </c>
      <c r="F2769" s="11">
        <f>IFERROR((D2769/D2768-1)*100,"")</f>
        <v/>
      </c>
      <c r="G2769" s="11">
        <f>IFERROR((COUNTIF($D$2518:$D$2769,"&lt;"&amp;D2769)+0.5*COUNTIF($D$2518:$D$2769,D2769))/COUNT($D$2518:$D$2769)*100,"")</f>
        <v/>
      </c>
      <c r="H2769" s="10">
        <f>IFERROR(AVERAGE($D$2518:$D$2769),"")</f>
        <v/>
      </c>
      <c r="I2769" s="10" t="n">
        <v>0.003913808570900214</v>
      </c>
      <c r="J2769" t="inlineStr"/>
      <c r="K2769" t="inlineStr"/>
    </row>
    <row r="2770">
      <c r="A2770" s="7" t="inlineStr">
        <is>
          <t>2025-07-17</t>
        </is>
      </c>
      <c r="B2770" s="8">
        <f>IFERROR(VLOOKUP($A2770,'01-原始价格'!$A:$M,2,FALSE),"")</f>
        <v/>
      </c>
      <c r="C2770" s="8">
        <f>IFERROR(VLOOKUP($A2770,'01-原始价格'!$A:$M,8,FALSE),"")</f>
        <v/>
      </c>
      <c r="D2770" s="10">
        <f>IFERROR(B2770/C2770,"")</f>
        <v/>
      </c>
      <c r="E2770" s="10">
        <f>IFERROR(C2770/B2770,"")</f>
        <v/>
      </c>
      <c r="F2770" s="11">
        <f>IFERROR((D2770/D2769-1)*100,"")</f>
        <v/>
      </c>
      <c r="G2770" s="11">
        <f>IFERROR((COUNTIF($D$2519:$D$2770,"&lt;"&amp;D2770)+0.5*COUNTIF($D$2519:$D$2770,D2770))/COUNT($D$2519:$D$2770)*100,"")</f>
        <v/>
      </c>
      <c r="H2770" s="10">
        <f>IFERROR(AVERAGE($D$2519:$D$2770),"")</f>
        <v/>
      </c>
      <c r="I2770" s="10" t="n">
        <v>0.03045688227176149</v>
      </c>
      <c r="J2770" t="inlineStr"/>
      <c r="K2770" t="inlineStr"/>
    </row>
    <row r="2771">
      <c r="A2771" s="7" t="inlineStr">
        <is>
          <t>2025-07-18</t>
        </is>
      </c>
      <c r="B2771" s="8">
        <f>IFERROR(VLOOKUP($A2771,'01-原始价格'!$A:$M,2,FALSE),"")</f>
        <v/>
      </c>
      <c r="C2771" s="8">
        <f>IFERROR(VLOOKUP($A2771,'01-原始价格'!$A:$M,8,FALSE),"")</f>
        <v/>
      </c>
      <c r="D2771" s="10">
        <f>IFERROR(B2771/C2771,"")</f>
        <v/>
      </c>
      <c r="E2771" s="10">
        <f>IFERROR(C2771/B2771,"")</f>
        <v/>
      </c>
      <c r="F2771" s="11">
        <f>IFERROR((D2771/D2770-1)*100,"")</f>
        <v/>
      </c>
      <c r="G2771" s="11">
        <f>IFERROR((COUNTIF($D$2520:$D$2771,"&lt;"&amp;D2771)+0.5*COUNTIF($D$2520:$D$2771,D2771))/COUNT($D$2520:$D$2771)*100,"")</f>
        <v/>
      </c>
      <c r="H2771" s="10">
        <f>IFERROR(AVERAGE($D$2520:$D$2771),"")</f>
        <v/>
      </c>
      <c r="I2771" s="10" t="n">
        <v>-0.01401397158291778</v>
      </c>
      <c r="J2771" t="inlineStr"/>
      <c r="K2771" t="inlineStr"/>
    </row>
    <row r="2772">
      <c r="A2772" s="7" t="inlineStr">
        <is>
          <t>2025-07-21</t>
        </is>
      </c>
      <c r="B2772" s="8">
        <f>IFERROR(VLOOKUP($A2772,'01-原始价格'!$A:$M,2,FALSE),"")</f>
        <v/>
      </c>
      <c r="C2772" s="8">
        <f>IFERROR(VLOOKUP($A2772,'01-原始价格'!$A:$M,8,FALSE),"")</f>
        <v/>
      </c>
      <c r="D2772" s="10">
        <f>IFERROR(B2772/C2772,"")</f>
        <v/>
      </c>
      <c r="E2772" s="10">
        <f>IFERROR(C2772/B2772,"")</f>
        <v/>
      </c>
      <c r="F2772" s="11">
        <f>IFERROR((D2772/D2771-1)*100,"")</f>
        <v/>
      </c>
      <c r="G2772" s="11">
        <f>IFERROR((COUNTIF($D$2521:$D$2772,"&lt;"&amp;D2772)+0.5*COUNTIF($D$2521:$D$2772,D2772))/COUNT($D$2521:$D$2772)*100,"")</f>
        <v/>
      </c>
      <c r="H2772" s="10">
        <f>IFERROR(AVERAGE($D$2521:$D$2772),"")</f>
        <v/>
      </c>
      <c r="I2772" s="10" t="n">
        <v>0.01559448308263637</v>
      </c>
      <c r="J2772" t="inlineStr"/>
      <c r="K2772" t="inlineStr"/>
    </row>
    <row r="2773">
      <c r="A2773" s="7" t="inlineStr">
        <is>
          <t>2025-07-22</t>
        </is>
      </c>
      <c r="B2773" s="8">
        <f>IFERROR(VLOOKUP($A2773,'01-原始价格'!$A:$M,2,FALSE),"")</f>
        <v/>
      </c>
      <c r="C2773" s="8">
        <f>IFERROR(VLOOKUP($A2773,'01-原始价格'!$A:$M,8,FALSE),"")</f>
        <v/>
      </c>
      <c r="D2773" s="10">
        <f>IFERROR(B2773/C2773,"")</f>
        <v/>
      </c>
      <c r="E2773" s="10">
        <f>IFERROR(C2773/B2773,"")</f>
        <v/>
      </c>
      <c r="F2773" s="11">
        <f>IFERROR((D2773/D2772-1)*100,"")</f>
        <v/>
      </c>
      <c r="G2773" s="11">
        <f>IFERROR((COUNTIF($D$2522:$D$2773,"&lt;"&amp;D2773)+0.5*COUNTIF($D$2522:$D$2773,D2773))/COUNT($D$2522:$D$2773)*100,"")</f>
        <v/>
      </c>
      <c r="H2773" s="10">
        <f>IFERROR(AVERAGE($D$2522:$D$2773),"")</f>
        <v/>
      </c>
      <c r="I2773" s="10" t="n">
        <v>0.0148548246125581</v>
      </c>
      <c r="J2773" t="inlineStr"/>
      <c r="K2773" t="inlineStr"/>
    </row>
    <row r="2774">
      <c r="A2774" s="7" t="inlineStr">
        <is>
          <t>2025-07-23</t>
        </is>
      </c>
      <c r="B2774" s="8">
        <f>IFERROR(VLOOKUP($A2774,'01-原始价格'!$A:$M,2,FALSE),"")</f>
        <v/>
      </c>
      <c r="C2774" s="8">
        <f>IFERROR(VLOOKUP($A2774,'01-原始价格'!$A:$M,8,FALSE),"")</f>
        <v/>
      </c>
      <c r="D2774" s="10">
        <f>IFERROR(B2774/C2774,"")</f>
        <v/>
      </c>
      <c r="E2774" s="10">
        <f>IFERROR(C2774/B2774,"")</f>
        <v/>
      </c>
      <c r="F2774" s="11">
        <f>IFERROR((D2774/D2773-1)*100,"")</f>
        <v/>
      </c>
      <c r="G2774" s="11">
        <f>IFERROR((COUNTIF($D$2523:$D$2774,"&lt;"&amp;D2774)+0.5*COUNTIF($D$2523:$D$2774,D2774))/COUNT($D$2523:$D$2774)*100,"")</f>
        <v/>
      </c>
      <c r="H2774" s="10">
        <f>IFERROR(AVERAGE($D$2523:$D$2774),"")</f>
        <v/>
      </c>
      <c r="I2774" s="10" t="n">
        <v>0.04276172616430761</v>
      </c>
      <c r="J2774" t="inlineStr"/>
      <c r="K2774" t="inlineStr"/>
    </row>
    <row r="2775">
      <c r="A2775" s="7" t="inlineStr">
        <is>
          <t>2025-07-24</t>
        </is>
      </c>
      <c r="B2775" s="8">
        <f>IFERROR(VLOOKUP($A2775,'01-原始价格'!$A:$M,2,FALSE),"")</f>
        <v/>
      </c>
      <c r="C2775" s="8">
        <f>IFERROR(VLOOKUP($A2775,'01-原始价格'!$A:$M,8,FALSE),"")</f>
        <v/>
      </c>
      <c r="D2775" s="10">
        <f>IFERROR(B2775/C2775,"")</f>
        <v/>
      </c>
      <c r="E2775" s="10">
        <f>IFERROR(C2775/B2775,"")</f>
        <v/>
      </c>
      <c r="F2775" s="11">
        <f>IFERROR((D2775/D2774-1)*100,"")</f>
        <v/>
      </c>
      <c r="G2775" s="11">
        <f>IFERROR((COUNTIF($D$2524:$D$2775,"&lt;"&amp;D2775)+0.5*COUNTIF($D$2524:$D$2775,D2775))/COUNT($D$2524:$D$2775)*100,"")</f>
        <v/>
      </c>
      <c r="H2775" s="10">
        <f>IFERROR(AVERAGE($D$2524:$D$2775),"")</f>
        <v/>
      </c>
      <c r="I2775" s="10" t="n">
        <v>-0.008899117821036195</v>
      </c>
      <c r="J2775" t="inlineStr"/>
      <c r="K2775" t="inlineStr"/>
    </row>
    <row r="2776">
      <c r="A2776" s="7" t="inlineStr">
        <is>
          <t>2025-07-25</t>
        </is>
      </c>
      <c r="B2776" s="8">
        <f>IFERROR(VLOOKUP($A2776,'01-原始价格'!$A:$M,2,FALSE),"")</f>
        <v/>
      </c>
      <c r="C2776" s="8">
        <f>IFERROR(VLOOKUP($A2776,'01-原始价格'!$A:$M,8,FALSE),"")</f>
        <v/>
      </c>
      <c r="D2776" s="10">
        <f>IFERROR(B2776/C2776,"")</f>
        <v/>
      </c>
      <c r="E2776" s="10">
        <f>IFERROR(C2776/B2776,"")</f>
        <v/>
      </c>
      <c r="F2776" s="11">
        <f>IFERROR((D2776/D2775-1)*100,"")</f>
        <v/>
      </c>
      <c r="G2776" s="11">
        <f>IFERROR((COUNTIF($D$2525:$D$2776,"&lt;"&amp;D2776)+0.5*COUNTIF($D$2525:$D$2776,D2776))/COUNT($D$2525:$D$2776)*100,"")</f>
        <v/>
      </c>
      <c r="H2776" s="10">
        <f>IFERROR(AVERAGE($D$2525:$D$2776),"")</f>
        <v/>
      </c>
      <c r="I2776" s="10" t="n">
        <v>-0.1592189838135998</v>
      </c>
      <c r="J2776" t="inlineStr"/>
      <c r="K2776" t="inlineStr"/>
    </row>
    <row r="2777">
      <c r="A2777" s="7" t="inlineStr">
        <is>
          <t>2025-07-28</t>
        </is>
      </c>
      <c r="B2777" s="8">
        <f>IFERROR(VLOOKUP($A2777,'01-原始价格'!$A:$M,2,FALSE),"")</f>
        <v/>
      </c>
      <c r="C2777" s="8">
        <f>IFERROR(VLOOKUP($A2777,'01-原始价格'!$A:$M,8,FALSE),"")</f>
        <v/>
      </c>
      <c r="D2777" s="10">
        <f>IFERROR(B2777/C2777,"")</f>
        <v/>
      </c>
      <c r="E2777" s="10">
        <f>IFERROR(C2777/B2777,"")</f>
        <v/>
      </c>
      <c r="F2777" s="11">
        <f>IFERROR((D2777/D2776-1)*100,"")</f>
        <v/>
      </c>
      <c r="G2777" s="11">
        <f>IFERROR((COUNTIF($D$2526:$D$2777,"&lt;"&amp;D2777)+0.5*COUNTIF($D$2526:$D$2777,D2777))/COUNT($D$2526:$D$2777)*100,"")</f>
        <v/>
      </c>
      <c r="H2777" s="10">
        <f>IFERROR(AVERAGE($D$2526:$D$2777),"")</f>
        <v/>
      </c>
      <c r="I2777" s="10" t="n">
        <v>-0.02182815277807931</v>
      </c>
      <c r="J2777" t="inlineStr"/>
      <c r="K2777" t="inlineStr"/>
    </row>
    <row r="2778">
      <c r="A2778" s="7" t="inlineStr">
        <is>
          <t>2025-07-29</t>
        </is>
      </c>
      <c r="B2778" s="8">
        <f>IFERROR(VLOOKUP($A2778,'01-原始价格'!$A:$M,2,FALSE),"")</f>
        <v/>
      </c>
      <c r="C2778" s="8">
        <f>IFERROR(VLOOKUP($A2778,'01-原始价格'!$A:$M,8,FALSE),"")</f>
        <v/>
      </c>
      <c r="D2778" s="10">
        <f>IFERROR(B2778/C2778,"")</f>
        <v/>
      </c>
      <c r="E2778" s="10">
        <f>IFERROR(C2778/B2778,"")</f>
        <v/>
      </c>
      <c r="F2778" s="11">
        <f>IFERROR((D2778/D2777-1)*100,"")</f>
        <v/>
      </c>
      <c r="G2778" s="11">
        <f>IFERROR((COUNTIF($D$2527:$D$2778,"&lt;"&amp;D2778)+0.5*COUNTIF($D$2527:$D$2778,D2778))/COUNT($D$2527:$D$2778)*100,"")</f>
        <v/>
      </c>
      <c r="H2778" s="10">
        <f>IFERROR(AVERAGE($D$2527:$D$2778),"")</f>
        <v/>
      </c>
      <c r="I2778" s="10" t="n">
        <v>-0.121604754067734</v>
      </c>
      <c r="J2778" t="inlineStr"/>
      <c r="K2778" t="inlineStr"/>
    </row>
    <row r="2779">
      <c r="A2779" s="7" t="inlineStr">
        <is>
          <t>2025-07-30</t>
        </is>
      </c>
      <c r="B2779" s="8">
        <f>IFERROR(VLOOKUP($A2779,'01-原始价格'!$A:$M,2,FALSE),"")</f>
        <v/>
      </c>
      <c r="C2779" s="8">
        <f>IFERROR(VLOOKUP($A2779,'01-原始价格'!$A:$M,8,FALSE),"")</f>
        <v/>
      </c>
      <c r="D2779" s="10">
        <f>IFERROR(B2779/C2779,"")</f>
        <v/>
      </c>
      <c r="E2779" s="10">
        <f>IFERROR(C2779/B2779,"")</f>
        <v/>
      </c>
      <c r="F2779" s="11">
        <f>IFERROR((D2779/D2778-1)*100,"")</f>
        <v/>
      </c>
      <c r="G2779" s="11">
        <f>IFERROR((COUNTIF($D$2528:$D$2779,"&lt;"&amp;D2779)+0.5*COUNTIF($D$2528:$D$2779,D2779))/COUNT($D$2528:$D$2779)*100,"")</f>
        <v/>
      </c>
      <c r="H2779" s="10">
        <f>IFERROR(AVERAGE($D$2528:$D$2779),"")</f>
        <v/>
      </c>
      <c r="I2779" s="10" t="n">
        <v>-0.2145107588290076</v>
      </c>
      <c r="J2779" t="inlineStr"/>
      <c r="K2779" t="inlineStr"/>
    </row>
    <row r="2780">
      <c r="A2780" s="7" t="inlineStr">
        <is>
          <t>2025-07-31</t>
        </is>
      </c>
      <c r="B2780" s="8">
        <f>IFERROR(VLOOKUP($A2780,'01-原始价格'!$A:$M,2,FALSE),"")</f>
        <v/>
      </c>
      <c r="C2780" s="8">
        <f>IFERROR(VLOOKUP($A2780,'01-原始价格'!$A:$M,8,FALSE),"")</f>
        <v/>
      </c>
      <c r="D2780" s="10">
        <f>IFERROR(B2780/C2780,"")</f>
        <v/>
      </c>
      <c r="E2780" s="10">
        <f>IFERROR(C2780/B2780,"")</f>
        <v/>
      </c>
      <c r="F2780" s="11">
        <f>IFERROR((D2780/D2779-1)*100,"")</f>
        <v/>
      </c>
      <c r="G2780" s="11">
        <f>IFERROR((COUNTIF($D$2529:$D$2780,"&lt;"&amp;D2780)+0.5*COUNTIF($D$2529:$D$2780,D2780))/COUNT($D$2529:$D$2780)*100,"")</f>
        <v/>
      </c>
      <c r="H2780" s="10">
        <f>IFERROR(AVERAGE($D$2529:$D$2780),"")</f>
        <v/>
      </c>
      <c r="I2780" s="10" t="n">
        <v>-0.1692661240059135</v>
      </c>
      <c r="J2780" t="inlineStr"/>
      <c r="K2780" t="inlineStr"/>
    </row>
    <row r="2781">
      <c r="A2781" s="7" t="inlineStr">
        <is>
          <t>2025-08-01</t>
        </is>
      </c>
      <c r="B2781" s="8">
        <f>IFERROR(VLOOKUP($A2781,'01-原始价格'!$A:$M,2,FALSE),"")</f>
        <v/>
      </c>
      <c r="C2781" s="8">
        <f>IFERROR(VLOOKUP($A2781,'01-原始价格'!$A:$M,8,FALSE),"")</f>
        <v/>
      </c>
      <c r="D2781" s="10">
        <f>IFERROR(B2781/C2781,"")</f>
        <v/>
      </c>
      <c r="E2781" s="10">
        <f>IFERROR(C2781/B2781,"")</f>
        <v/>
      </c>
      <c r="F2781" s="11">
        <f>IFERROR((D2781/D2780-1)*100,"")</f>
        <v/>
      </c>
      <c r="G2781" s="11">
        <f>IFERROR((COUNTIF($D$2530:$D$2781,"&lt;"&amp;D2781)+0.5*COUNTIF($D$2530:$D$2781,D2781))/COUNT($D$2530:$D$2781)*100,"")</f>
        <v/>
      </c>
      <c r="H2781" s="10">
        <f>IFERROR(AVERAGE($D$2530:$D$2781),"")</f>
        <v/>
      </c>
      <c r="I2781" s="10" t="n">
        <v>-0.1050937792260034</v>
      </c>
      <c r="J2781" t="inlineStr"/>
      <c r="K2781" t="inlineStr"/>
    </row>
    <row r="2782">
      <c r="A2782" s="7" t="inlineStr">
        <is>
          <t>2025-08-04</t>
        </is>
      </c>
      <c r="B2782" s="8">
        <f>IFERROR(VLOOKUP($A2782,'01-原始价格'!$A:$M,2,FALSE),"")</f>
        <v/>
      </c>
      <c r="C2782" s="8">
        <f>IFERROR(VLOOKUP($A2782,'01-原始价格'!$A:$M,8,FALSE),"")</f>
        <v/>
      </c>
      <c r="D2782" s="10">
        <f>IFERROR(B2782/C2782,"")</f>
        <v/>
      </c>
      <c r="E2782" s="10">
        <f>IFERROR(C2782/B2782,"")</f>
        <v/>
      </c>
      <c r="F2782" s="11">
        <f>IFERROR((D2782/D2781-1)*100,"")</f>
        <v/>
      </c>
      <c r="G2782" s="11">
        <f>IFERROR((COUNTIF($D$2531:$D$2782,"&lt;"&amp;D2782)+0.5*COUNTIF($D$2531:$D$2782,D2782))/COUNT($D$2531:$D$2782)*100,"")</f>
        <v/>
      </c>
      <c r="H2782" s="10">
        <f>IFERROR(AVERAGE($D$2531:$D$2782),"")</f>
        <v/>
      </c>
      <c r="I2782" s="10" t="n">
        <v>-0.03254040498617674</v>
      </c>
      <c r="J2782" t="inlineStr"/>
      <c r="K2782" t="inlineStr"/>
    </row>
    <row r="2783">
      <c r="A2783" s="7" t="inlineStr">
        <is>
          <t>2025-08-05</t>
        </is>
      </c>
      <c r="B2783" s="8">
        <f>IFERROR(VLOOKUP($A2783,'01-原始价格'!$A:$M,2,FALSE),"")</f>
        <v/>
      </c>
      <c r="C2783" s="8">
        <f>IFERROR(VLOOKUP($A2783,'01-原始价格'!$A:$M,8,FALSE),"")</f>
        <v/>
      </c>
      <c r="D2783" s="10">
        <f>IFERROR(B2783/C2783,"")</f>
        <v/>
      </c>
      <c r="E2783" s="10">
        <f>IFERROR(C2783/B2783,"")</f>
        <v/>
      </c>
      <c r="F2783" s="11">
        <f>IFERROR((D2783/D2782-1)*100,"")</f>
        <v/>
      </c>
      <c r="G2783" s="11">
        <f>IFERROR((COUNTIF($D$2532:$D$2783,"&lt;"&amp;D2783)+0.5*COUNTIF($D$2532:$D$2783,D2783))/COUNT($D$2532:$D$2783)*100,"")</f>
        <v/>
      </c>
      <c r="H2783" s="10">
        <f>IFERROR(AVERAGE($D$2532:$D$2783),"")</f>
        <v/>
      </c>
      <c r="I2783" s="10" t="n">
        <v>-0.1618617781981139</v>
      </c>
      <c r="J2783" t="inlineStr"/>
      <c r="K2783" t="inlineStr"/>
    </row>
    <row r="2784">
      <c r="A2784" s="7" t="inlineStr">
        <is>
          <t>2025-08-06</t>
        </is>
      </c>
      <c r="B2784" s="8">
        <f>IFERROR(VLOOKUP($A2784,'01-原始价格'!$A:$M,2,FALSE),"")</f>
        <v/>
      </c>
      <c r="C2784" s="8">
        <f>IFERROR(VLOOKUP($A2784,'01-原始价格'!$A:$M,8,FALSE),"")</f>
        <v/>
      </c>
      <c r="D2784" s="10">
        <f>IFERROR(B2784/C2784,"")</f>
        <v/>
      </c>
      <c r="E2784" s="10">
        <f>IFERROR(C2784/B2784,"")</f>
        <v/>
      </c>
      <c r="F2784" s="11">
        <f>IFERROR((D2784/D2783-1)*100,"")</f>
        <v/>
      </c>
      <c r="G2784" s="11">
        <f>IFERROR((COUNTIF($D$2533:$D$2784,"&lt;"&amp;D2784)+0.5*COUNTIF($D$2533:$D$2784,D2784))/COUNT($D$2533:$D$2784)*100,"")</f>
        <v/>
      </c>
      <c r="H2784" s="10">
        <f>IFERROR(AVERAGE($D$2533:$D$2784),"")</f>
        <v/>
      </c>
      <c r="I2784" s="10" t="n">
        <v>-0.2772503746195301</v>
      </c>
      <c r="J2784" t="inlineStr"/>
      <c r="K2784" t="inlineStr"/>
    </row>
    <row r="2785">
      <c r="A2785" s="7" t="inlineStr">
        <is>
          <t>2025-08-07</t>
        </is>
      </c>
      <c r="B2785" s="8">
        <f>IFERROR(VLOOKUP($A2785,'01-原始价格'!$A:$M,2,FALSE),"")</f>
        <v/>
      </c>
      <c r="C2785" s="8">
        <f>IFERROR(VLOOKUP($A2785,'01-原始价格'!$A:$M,8,FALSE),"")</f>
        <v/>
      </c>
      <c r="D2785" s="10">
        <f>IFERROR(B2785/C2785,"")</f>
        <v/>
      </c>
      <c r="E2785" s="10">
        <f>IFERROR(C2785/B2785,"")</f>
        <v/>
      </c>
      <c r="F2785" s="11">
        <f>IFERROR((D2785/D2784-1)*100,"")</f>
        <v/>
      </c>
      <c r="G2785" s="11">
        <f>IFERROR((COUNTIF($D$2534:$D$2785,"&lt;"&amp;D2785)+0.5*COUNTIF($D$2534:$D$2785,D2785))/COUNT($D$2534:$D$2785)*100,"")</f>
        <v/>
      </c>
      <c r="H2785" s="10">
        <f>IFERROR(AVERAGE($D$2534:$D$2785),"")</f>
        <v/>
      </c>
      <c r="I2785" s="10" t="n">
        <v>-0.1623299119102397</v>
      </c>
      <c r="J2785" t="inlineStr"/>
      <c r="K2785" t="inlineStr"/>
    </row>
    <row r="2786">
      <c r="A2786" s="7" t="inlineStr">
        <is>
          <t>2025-08-08</t>
        </is>
      </c>
      <c r="B2786" s="8">
        <f>IFERROR(VLOOKUP($A2786,'01-原始价格'!$A:$M,2,FALSE),"")</f>
        <v/>
      </c>
      <c r="C2786" s="8">
        <f>IFERROR(VLOOKUP($A2786,'01-原始价格'!$A:$M,8,FALSE),"")</f>
        <v/>
      </c>
      <c r="D2786" s="10">
        <f>IFERROR(B2786/C2786,"")</f>
        <v/>
      </c>
      <c r="E2786" s="10">
        <f>IFERROR(C2786/B2786,"")</f>
        <v/>
      </c>
      <c r="F2786" s="11">
        <f>IFERROR((D2786/D2785-1)*100,"")</f>
        <v/>
      </c>
      <c r="G2786" s="11">
        <f>IFERROR((COUNTIF($D$2535:$D$2786,"&lt;"&amp;D2786)+0.5*COUNTIF($D$2535:$D$2786,D2786))/COUNT($D$2535:$D$2786)*100,"")</f>
        <v/>
      </c>
      <c r="H2786" s="10">
        <f>IFERROR(AVERAGE($D$2535:$D$2786),"")</f>
        <v/>
      </c>
      <c r="I2786" s="10" t="n">
        <v>-0.2200909405646608</v>
      </c>
      <c r="J2786" t="inlineStr"/>
      <c r="K2786" t="inlineStr"/>
    </row>
    <row r="2787">
      <c r="A2787" s="7" t="inlineStr">
        <is>
          <t>2025-08-11</t>
        </is>
      </c>
      <c r="B2787" s="8">
        <f>IFERROR(VLOOKUP($A2787,'01-原始价格'!$A:$M,2,FALSE),"")</f>
        <v/>
      </c>
      <c r="C2787" s="8">
        <f>IFERROR(VLOOKUP($A2787,'01-原始价格'!$A:$M,8,FALSE),"")</f>
        <v/>
      </c>
      <c r="D2787" s="10">
        <f>IFERROR(B2787/C2787,"")</f>
        <v/>
      </c>
      <c r="E2787" s="10">
        <f>IFERROR(C2787/B2787,"")</f>
        <v/>
      </c>
      <c r="F2787" s="11">
        <f>IFERROR((D2787/D2786-1)*100,"")</f>
        <v/>
      </c>
      <c r="G2787" s="11">
        <f>IFERROR((COUNTIF($D$2536:$D$2787,"&lt;"&amp;D2787)+0.5*COUNTIF($D$2536:$D$2787,D2787))/COUNT($D$2536:$D$2787)*100,"")</f>
        <v/>
      </c>
      <c r="H2787" s="10">
        <f>IFERROR(AVERAGE($D$2536:$D$2787),"")</f>
        <v/>
      </c>
      <c r="I2787" s="10" t="n">
        <v>0.05023234477593851</v>
      </c>
      <c r="J2787" t="inlineStr"/>
      <c r="K2787" s="12" t="inlineStr">
        <is>
          <t>是</t>
        </is>
      </c>
      <c r="L2787" t="inlineStr">
        <is>
          <t>换月日</t>
        </is>
      </c>
    </row>
    <row r="2788">
      <c r="A2788" s="7" t="inlineStr">
        <is>
          <t>2025-08-12</t>
        </is>
      </c>
      <c r="B2788" s="8">
        <f>IFERROR(VLOOKUP($A2788,'01-原始价格'!$A:$M,2,FALSE),"")</f>
        <v/>
      </c>
      <c r="C2788" s="8">
        <f>IFERROR(VLOOKUP($A2788,'01-原始价格'!$A:$M,8,FALSE),"")</f>
        <v/>
      </c>
      <c r="D2788" s="10">
        <f>IFERROR(B2788/C2788,"")</f>
        <v/>
      </c>
      <c r="E2788" s="10">
        <f>IFERROR(C2788/B2788,"")</f>
        <v/>
      </c>
      <c r="F2788" s="11">
        <f>IFERROR((D2788/D2787-1)*100,"")</f>
        <v/>
      </c>
      <c r="G2788" s="11">
        <f>IFERROR((COUNTIF($D$2537:$D$2788,"&lt;"&amp;D2788)+0.5*COUNTIF($D$2537:$D$2788,D2788))/COUNT($D$2537:$D$2788)*100,"")</f>
        <v/>
      </c>
      <c r="H2788" s="10">
        <f>IFERROR(AVERAGE($D$2537:$D$2788),"")</f>
        <v/>
      </c>
      <c r="I2788" s="10" t="n">
        <v>-0.03444824065649885</v>
      </c>
      <c r="J2788" t="inlineStr"/>
      <c r="K2788" t="inlineStr"/>
    </row>
    <row r="2789">
      <c r="A2789" s="7" t="inlineStr">
        <is>
          <t>2025-08-13</t>
        </is>
      </c>
      <c r="B2789" s="8">
        <f>IFERROR(VLOOKUP($A2789,'01-原始价格'!$A:$M,2,FALSE),"")</f>
        <v/>
      </c>
      <c r="C2789" s="8">
        <f>IFERROR(VLOOKUP($A2789,'01-原始价格'!$A:$M,8,FALSE),"")</f>
        <v/>
      </c>
      <c r="D2789" s="10">
        <f>IFERROR(B2789/C2789,"")</f>
        <v/>
      </c>
      <c r="E2789" s="10">
        <f>IFERROR(C2789/B2789,"")</f>
        <v/>
      </c>
      <c r="F2789" s="11">
        <f>IFERROR((D2789/D2788-1)*100,"")</f>
        <v/>
      </c>
      <c r="G2789" s="11">
        <f>IFERROR((COUNTIF($D$2538:$D$2789,"&lt;"&amp;D2789)+0.5*COUNTIF($D$2538:$D$2789,D2789))/COUNT($D$2538:$D$2789)*100,"")</f>
        <v/>
      </c>
      <c r="H2789" s="10">
        <f>IFERROR(AVERAGE($D$2538:$D$2789),"")</f>
        <v/>
      </c>
      <c r="I2789" s="10" t="n">
        <v>-0.6556407609688767</v>
      </c>
      <c r="J2789" t="inlineStr"/>
      <c r="K2789" s="12" t="inlineStr">
        <is>
          <t>是</t>
        </is>
      </c>
      <c r="L2789" t="inlineStr">
        <is>
          <t>换月日</t>
        </is>
      </c>
    </row>
    <row r="2790">
      <c r="A2790" s="7" t="inlineStr">
        <is>
          <t>2025-08-14</t>
        </is>
      </c>
      <c r="B2790" s="8">
        <f>IFERROR(VLOOKUP($A2790,'01-原始价格'!$A:$M,2,FALSE),"")</f>
        <v/>
      </c>
      <c r="C2790" s="8">
        <f>IFERROR(VLOOKUP($A2790,'01-原始价格'!$A:$M,8,FALSE),"")</f>
        <v/>
      </c>
      <c r="D2790" s="10">
        <f>IFERROR(B2790/C2790,"")</f>
        <v/>
      </c>
      <c r="E2790" s="10">
        <f>IFERROR(C2790/B2790,"")</f>
        <v/>
      </c>
      <c r="F2790" s="11">
        <f>IFERROR((D2790/D2789-1)*100,"")</f>
        <v/>
      </c>
      <c r="G2790" s="11">
        <f>IFERROR((COUNTIF($D$2539:$D$2790,"&lt;"&amp;D2790)+0.5*COUNTIF($D$2539:$D$2790,D2790))/COUNT($D$2539:$D$2790)*100,"")</f>
        <v/>
      </c>
      <c r="H2790" s="10">
        <f>IFERROR(AVERAGE($D$2539:$D$2790),"")</f>
        <v/>
      </c>
      <c r="I2790" s="10" t="n">
        <v>-0.54000716718717</v>
      </c>
      <c r="J2790" t="inlineStr"/>
      <c r="K2790" t="inlineStr"/>
    </row>
    <row r="2791">
      <c r="A2791" s="7" t="inlineStr">
        <is>
          <t>2025-08-15</t>
        </is>
      </c>
      <c r="B2791" s="8">
        <f>IFERROR(VLOOKUP($A2791,'01-原始价格'!$A:$M,2,FALSE),"")</f>
        <v/>
      </c>
      <c r="C2791" s="8">
        <f>IFERROR(VLOOKUP($A2791,'01-原始价格'!$A:$M,8,FALSE),"")</f>
        <v/>
      </c>
      <c r="D2791" s="10">
        <f>IFERROR(B2791/C2791,"")</f>
        <v/>
      </c>
      <c r="E2791" s="10">
        <f>IFERROR(C2791/B2791,"")</f>
        <v/>
      </c>
      <c r="F2791" s="11">
        <f>IFERROR((D2791/D2790-1)*100,"")</f>
        <v/>
      </c>
      <c r="G2791" s="11">
        <f>IFERROR((COUNTIF($D$2540:$D$2791,"&lt;"&amp;D2791)+0.5*COUNTIF($D$2540:$D$2791,D2791))/COUNT($D$2540:$D$2791)*100,"")</f>
        <v/>
      </c>
      <c r="H2791" s="10">
        <f>IFERROR(AVERAGE($D$2540:$D$2791),"")</f>
        <v/>
      </c>
      <c r="I2791" s="10" t="n">
        <v>-0.6671614852153062</v>
      </c>
      <c r="J2791" t="inlineStr"/>
      <c r="K2791" t="inlineStr"/>
    </row>
    <row r="2792">
      <c r="A2792" s="7" t="inlineStr">
        <is>
          <t>2025-08-18</t>
        </is>
      </c>
      <c r="B2792" s="8">
        <f>IFERROR(VLOOKUP($A2792,'01-原始价格'!$A:$M,2,FALSE),"")</f>
        <v/>
      </c>
      <c r="C2792" s="8">
        <f>IFERROR(VLOOKUP($A2792,'01-原始价格'!$A:$M,8,FALSE),"")</f>
        <v/>
      </c>
      <c r="D2792" s="10">
        <f>IFERROR(B2792/C2792,"")</f>
        <v/>
      </c>
      <c r="E2792" s="10">
        <f>IFERROR(C2792/B2792,"")</f>
        <v/>
      </c>
      <c r="F2792" s="11">
        <f>IFERROR((D2792/D2791-1)*100,"")</f>
        <v/>
      </c>
      <c r="G2792" s="11">
        <f>IFERROR((COUNTIF($D$2541:$D$2792,"&lt;"&amp;D2792)+0.5*COUNTIF($D$2541:$D$2792,D2792))/COUNT($D$2541:$D$2792)*100,"")</f>
        <v/>
      </c>
      <c r="H2792" s="10">
        <f>IFERROR(AVERAGE($D$2541:$D$2792),"")</f>
        <v/>
      </c>
      <c r="I2792" s="10" t="n">
        <v>-0.900998991670814</v>
      </c>
      <c r="J2792" t="inlineStr"/>
      <c r="K2792" t="inlineStr"/>
    </row>
    <row r="2793">
      <c r="A2793" s="7" t="inlineStr">
        <is>
          <t>2025-08-19</t>
        </is>
      </c>
      <c r="B2793" s="8">
        <f>IFERROR(VLOOKUP($A2793,'01-原始价格'!$A:$M,2,FALSE),"")</f>
        <v/>
      </c>
      <c r="C2793" s="8">
        <f>IFERROR(VLOOKUP($A2793,'01-原始价格'!$A:$M,8,FALSE),"")</f>
        <v/>
      </c>
      <c r="D2793" s="10">
        <f>IFERROR(B2793/C2793,"")</f>
        <v/>
      </c>
      <c r="E2793" s="10">
        <f>IFERROR(C2793/B2793,"")</f>
        <v/>
      </c>
      <c r="F2793" s="11">
        <f>IFERROR((D2793/D2792-1)*100,"")</f>
        <v/>
      </c>
      <c r="G2793" s="11">
        <f>IFERROR((COUNTIF($D$2542:$D$2793,"&lt;"&amp;D2793)+0.5*COUNTIF($D$2542:$D$2793,D2793))/COUNT($D$2542:$D$2793)*100,"")</f>
        <v/>
      </c>
      <c r="H2793" s="10">
        <f>IFERROR(AVERAGE($D$2542:$D$2793),"")</f>
        <v/>
      </c>
      <c r="I2793" s="10" t="n">
        <v>-0.9646750677427156</v>
      </c>
      <c r="J2793" t="inlineStr"/>
      <c r="K2793" t="inlineStr"/>
    </row>
    <row r="2794">
      <c r="A2794" s="7" t="inlineStr">
        <is>
          <t>2025-08-20</t>
        </is>
      </c>
      <c r="B2794" s="8">
        <f>IFERROR(VLOOKUP($A2794,'01-原始价格'!$A:$M,2,FALSE),"")</f>
        <v/>
      </c>
      <c r="C2794" s="8">
        <f>IFERROR(VLOOKUP($A2794,'01-原始价格'!$A:$M,8,FALSE),"")</f>
        <v/>
      </c>
      <c r="D2794" s="10">
        <f>IFERROR(B2794/C2794,"")</f>
        <v/>
      </c>
      <c r="E2794" s="10">
        <f>IFERROR(C2794/B2794,"")</f>
        <v/>
      </c>
      <c r="F2794" s="11">
        <f>IFERROR((D2794/D2793-1)*100,"")</f>
        <v/>
      </c>
      <c r="G2794" s="11">
        <f>IFERROR((COUNTIF($D$2543:$D$2794,"&lt;"&amp;D2794)+0.5*COUNTIF($D$2543:$D$2794,D2794))/COUNT($D$2543:$D$2794)*100,"")</f>
        <v/>
      </c>
      <c r="H2794" s="10">
        <f>IFERROR(AVERAGE($D$2543:$D$2794),"")</f>
        <v/>
      </c>
      <c r="I2794" s="10" t="n">
        <v>-0.9480081448125093</v>
      </c>
      <c r="J2794" t="inlineStr"/>
      <c r="K2794" t="inlineStr"/>
    </row>
    <row r="2795">
      <c r="A2795" s="7" t="inlineStr">
        <is>
          <t>2025-08-21</t>
        </is>
      </c>
      <c r="B2795" s="8">
        <f>IFERROR(VLOOKUP($A2795,'01-原始价格'!$A:$M,2,FALSE),"")</f>
        <v/>
      </c>
      <c r="C2795" s="8">
        <f>IFERROR(VLOOKUP($A2795,'01-原始价格'!$A:$M,8,FALSE),"")</f>
        <v/>
      </c>
      <c r="D2795" s="10">
        <f>IFERROR(B2795/C2795,"")</f>
        <v/>
      </c>
      <c r="E2795" s="10">
        <f>IFERROR(C2795/B2795,"")</f>
        <v/>
      </c>
      <c r="F2795" s="11">
        <f>IFERROR((D2795/D2794-1)*100,"")</f>
        <v/>
      </c>
      <c r="G2795" s="11">
        <f>IFERROR((COUNTIF($D$2544:$D$2795,"&lt;"&amp;D2795)+0.5*COUNTIF($D$2544:$D$2795,D2795))/COUNT($D$2544:$D$2795)*100,"")</f>
        <v/>
      </c>
      <c r="H2795" s="10">
        <f>IFERROR(AVERAGE($D$2544:$D$2795),"")</f>
        <v/>
      </c>
      <c r="I2795" s="10" t="n">
        <v>-1.421079555873569</v>
      </c>
      <c r="J2795" t="inlineStr"/>
      <c r="K2795" t="inlineStr"/>
    </row>
    <row r="2796">
      <c r="A2796" s="7" t="inlineStr">
        <is>
          <t>2025-08-22</t>
        </is>
      </c>
      <c r="B2796" s="8">
        <f>IFERROR(VLOOKUP($A2796,'01-原始价格'!$A:$M,2,FALSE),"")</f>
        <v/>
      </c>
      <c r="C2796" s="8">
        <f>IFERROR(VLOOKUP($A2796,'01-原始价格'!$A:$M,8,FALSE),"")</f>
        <v/>
      </c>
      <c r="D2796" s="10">
        <f>IFERROR(B2796/C2796,"")</f>
        <v/>
      </c>
      <c r="E2796" s="10">
        <f>IFERROR(C2796/B2796,"")</f>
        <v/>
      </c>
      <c r="F2796" s="11">
        <f>IFERROR((D2796/D2795-1)*100,"")</f>
        <v/>
      </c>
      <c r="G2796" s="11">
        <f>IFERROR((COUNTIF($D$2545:$D$2796,"&lt;"&amp;D2796)+0.5*COUNTIF($D$2545:$D$2796,D2796))/COUNT($D$2545:$D$2796)*100,"")</f>
        <v/>
      </c>
      <c r="H2796" s="10">
        <f>IFERROR(AVERAGE($D$2545:$D$2796),"")</f>
        <v/>
      </c>
      <c r="I2796" s="10" t="n">
        <v>-1.465602925274416</v>
      </c>
      <c r="J2796" t="inlineStr"/>
      <c r="K2796" t="inlineStr"/>
    </row>
    <row r="2797">
      <c r="A2797" s="7" t="inlineStr">
        <is>
          <t>2025-08-25</t>
        </is>
      </c>
      <c r="B2797" s="8">
        <f>IFERROR(VLOOKUP($A2797,'01-原始价格'!$A:$M,2,FALSE),"")</f>
        <v/>
      </c>
      <c r="C2797" s="8">
        <f>IFERROR(VLOOKUP($A2797,'01-原始价格'!$A:$M,8,FALSE),"")</f>
        <v/>
      </c>
      <c r="D2797" s="10">
        <f>IFERROR(B2797/C2797,"")</f>
        <v/>
      </c>
      <c r="E2797" s="10">
        <f>IFERROR(C2797/B2797,"")</f>
        <v/>
      </c>
      <c r="F2797" s="11">
        <f>IFERROR((D2797/D2796-1)*100,"")</f>
        <v/>
      </c>
      <c r="G2797" s="11">
        <f>IFERROR((COUNTIF($D$2546:$D$2797,"&lt;"&amp;D2797)+0.5*COUNTIF($D$2546:$D$2797,D2797))/COUNT($D$2546:$D$2797)*100,"")</f>
        <v/>
      </c>
      <c r="H2797" s="10">
        <f>IFERROR(AVERAGE($D$2546:$D$2797),"")</f>
        <v/>
      </c>
      <c r="I2797" s="10" t="n">
        <v>-1.517456323847778</v>
      </c>
      <c r="J2797" t="inlineStr"/>
      <c r="K2797" t="inlineStr"/>
    </row>
    <row r="2798">
      <c r="A2798" s="7" t="inlineStr">
        <is>
          <t>2025-08-26</t>
        </is>
      </c>
      <c r="B2798" s="8">
        <f>IFERROR(VLOOKUP($A2798,'01-原始价格'!$A:$M,2,FALSE),"")</f>
        <v/>
      </c>
      <c r="C2798" s="8">
        <f>IFERROR(VLOOKUP($A2798,'01-原始价格'!$A:$M,8,FALSE),"")</f>
        <v/>
      </c>
      <c r="D2798" s="10">
        <f>IFERROR(B2798/C2798,"")</f>
        <v/>
      </c>
      <c r="E2798" s="10">
        <f>IFERROR(C2798/B2798,"")</f>
        <v/>
      </c>
      <c r="F2798" s="11">
        <f>IFERROR((D2798/D2797-1)*100,"")</f>
        <v/>
      </c>
      <c r="G2798" s="11">
        <f>IFERROR((COUNTIF($D$2547:$D$2798,"&lt;"&amp;D2798)+0.5*COUNTIF($D$2547:$D$2798,D2798))/COUNT($D$2547:$D$2798)*100,"")</f>
        <v/>
      </c>
      <c r="H2798" s="10">
        <f>IFERROR(AVERAGE($D$2547:$D$2798),"")</f>
        <v/>
      </c>
      <c r="I2798" s="10" t="n">
        <v>-1.600404053419705</v>
      </c>
      <c r="J2798" t="inlineStr"/>
      <c r="K2798" t="inlineStr"/>
    </row>
    <row r="2799">
      <c r="A2799" s="7" t="inlineStr">
        <is>
          <t>2025-08-27</t>
        </is>
      </c>
      <c r="B2799" s="8">
        <f>IFERROR(VLOOKUP($A2799,'01-原始价格'!$A:$M,2,FALSE),"")</f>
        <v/>
      </c>
      <c r="C2799" s="8">
        <f>IFERROR(VLOOKUP($A2799,'01-原始价格'!$A:$M,8,FALSE),"")</f>
        <v/>
      </c>
      <c r="D2799" s="10">
        <f>IFERROR(B2799/C2799,"")</f>
        <v/>
      </c>
      <c r="E2799" s="10">
        <f>IFERROR(C2799/B2799,"")</f>
        <v/>
      </c>
      <c r="F2799" s="11">
        <f>IFERROR((D2799/D2798-1)*100,"")</f>
        <v/>
      </c>
      <c r="G2799" s="11">
        <f>IFERROR((COUNTIF($D$2548:$D$2799,"&lt;"&amp;D2799)+0.5*COUNTIF($D$2548:$D$2799,D2799))/COUNT($D$2548:$D$2799)*100,"")</f>
        <v/>
      </c>
      <c r="H2799" s="10">
        <f>IFERROR(AVERAGE($D$2548:$D$2799),"")</f>
        <v/>
      </c>
      <c r="I2799" s="10" t="n">
        <v>-1.483781179353221</v>
      </c>
      <c r="J2799" t="inlineStr"/>
      <c r="K2799" t="inlineStr"/>
    </row>
    <row r="2800">
      <c r="A2800" s="7" t="inlineStr">
        <is>
          <t>2025-08-28</t>
        </is>
      </c>
      <c r="B2800" s="8">
        <f>IFERROR(VLOOKUP($A2800,'01-原始价格'!$A:$M,2,FALSE),"")</f>
        <v/>
      </c>
      <c r="C2800" s="8">
        <f>IFERROR(VLOOKUP($A2800,'01-原始价格'!$A:$M,8,FALSE),"")</f>
        <v/>
      </c>
      <c r="D2800" s="10">
        <f>IFERROR(B2800/C2800,"")</f>
        <v/>
      </c>
      <c r="E2800" s="10">
        <f>IFERROR(C2800/B2800,"")</f>
        <v/>
      </c>
      <c r="F2800" s="11">
        <f>IFERROR((D2800/D2799-1)*100,"")</f>
        <v/>
      </c>
      <c r="G2800" s="11">
        <f>IFERROR((COUNTIF($D$2549:$D$2800,"&lt;"&amp;D2800)+0.5*COUNTIF($D$2549:$D$2800,D2800))/COUNT($D$2549:$D$2800)*100,"")</f>
        <v/>
      </c>
      <c r="H2800" s="10">
        <f>IFERROR(AVERAGE($D$2549:$D$2800),"")</f>
        <v/>
      </c>
      <c r="I2800" s="10" t="n">
        <v>-1.434465753699804</v>
      </c>
      <c r="J2800" t="inlineStr"/>
      <c r="K2800" t="inlineStr"/>
    </row>
    <row r="2801">
      <c r="A2801" s="7" t="inlineStr">
        <is>
          <t>2025-08-29</t>
        </is>
      </c>
      <c r="B2801" s="8">
        <f>IFERROR(VLOOKUP($A2801,'01-原始价格'!$A:$M,2,FALSE),"")</f>
        <v/>
      </c>
      <c r="C2801" s="8">
        <f>IFERROR(VLOOKUP($A2801,'01-原始价格'!$A:$M,8,FALSE),"")</f>
        <v/>
      </c>
      <c r="D2801" s="10">
        <f>IFERROR(B2801/C2801,"")</f>
        <v/>
      </c>
      <c r="E2801" s="10">
        <f>IFERROR(C2801/B2801,"")</f>
        <v/>
      </c>
      <c r="F2801" s="11">
        <f>IFERROR((D2801/D2800-1)*100,"")</f>
        <v/>
      </c>
      <c r="G2801" s="11">
        <f>IFERROR((COUNTIF($D$2550:$D$2801,"&lt;"&amp;D2801)+0.5*COUNTIF($D$2550:$D$2801,D2801))/COUNT($D$2550:$D$2801)*100,"")</f>
        <v/>
      </c>
      <c r="H2801" s="10">
        <f>IFERROR(AVERAGE($D$2550:$D$2801),"")</f>
        <v/>
      </c>
      <c r="I2801" s="10" t="n">
        <v>-1.205150620641325</v>
      </c>
      <c r="J2801" t="inlineStr"/>
      <c r="K2801" t="inlineStr"/>
    </row>
    <row r="2802">
      <c r="A2802" s="7" t="inlineStr">
        <is>
          <t>2025-09-01</t>
        </is>
      </c>
      <c r="B2802" s="8">
        <f>IFERROR(VLOOKUP($A2802,'01-原始价格'!$A:$M,2,FALSE),"")</f>
        <v/>
      </c>
      <c r="C2802" s="8">
        <f>IFERROR(VLOOKUP($A2802,'01-原始价格'!$A:$M,8,FALSE),"")</f>
        <v/>
      </c>
      <c r="D2802" s="10">
        <f>IFERROR(B2802/C2802,"")</f>
        <v/>
      </c>
      <c r="E2802" s="10">
        <f>IFERROR(C2802/B2802,"")</f>
        <v/>
      </c>
      <c r="F2802" s="11">
        <f>IFERROR((D2802/D2801-1)*100,"")</f>
        <v/>
      </c>
      <c r="G2802" s="11">
        <f>IFERROR((COUNTIF($D$2551:$D$2802,"&lt;"&amp;D2802)+0.5*COUNTIF($D$2551:$D$2802,D2802))/COUNT($D$2551:$D$2802)*100,"")</f>
        <v/>
      </c>
      <c r="H2802" s="10">
        <f>IFERROR(AVERAGE($D$2551:$D$2802),"")</f>
        <v/>
      </c>
      <c r="I2802" s="10" t="n">
        <v>-1.128283718427761</v>
      </c>
      <c r="J2802" t="inlineStr"/>
      <c r="K2802" t="inlineStr"/>
    </row>
    <row r="2803">
      <c r="A2803" s="7" t="inlineStr">
        <is>
          <t>2025-09-02</t>
        </is>
      </c>
      <c r="B2803" s="8">
        <f>IFERROR(VLOOKUP($A2803,'01-原始价格'!$A:$M,2,FALSE),"")</f>
        <v/>
      </c>
      <c r="C2803" s="8">
        <f>IFERROR(VLOOKUP($A2803,'01-原始价格'!$A:$M,8,FALSE),"")</f>
        <v/>
      </c>
      <c r="D2803" s="10">
        <f>IFERROR(B2803/C2803,"")</f>
        <v/>
      </c>
      <c r="E2803" s="10">
        <f>IFERROR(C2803/B2803,"")</f>
        <v/>
      </c>
      <c r="F2803" s="11">
        <f>IFERROR((D2803/D2802-1)*100,"")</f>
        <v/>
      </c>
      <c r="G2803" s="11">
        <f>IFERROR((COUNTIF($D$2552:$D$2803,"&lt;"&amp;D2803)+0.5*COUNTIF($D$2552:$D$2803,D2803))/COUNT($D$2552:$D$2803)*100,"")</f>
        <v/>
      </c>
      <c r="H2803" s="10">
        <f>IFERROR(AVERAGE($D$2552:$D$2803),"")</f>
        <v/>
      </c>
      <c r="I2803" s="10" t="n">
        <v>-1.178686994736676</v>
      </c>
      <c r="J2803" t="inlineStr"/>
      <c r="K2803" t="inlineStr"/>
    </row>
    <row r="2804">
      <c r="A2804" s="7" t="inlineStr">
        <is>
          <t>2025-09-03</t>
        </is>
      </c>
      <c r="B2804" s="8">
        <f>IFERROR(VLOOKUP($A2804,'01-原始价格'!$A:$M,2,FALSE),"")</f>
        <v/>
      </c>
      <c r="C2804" s="8">
        <f>IFERROR(VLOOKUP($A2804,'01-原始价格'!$A:$M,8,FALSE),"")</f>
        <v/>
      </c>
      <c r="D2804" s="10">
        <f>IFERROR(B2804/C2804,"")</f>
        <v/>
      </c>
      <c r="E2804" s="10">
        <f>IFERROR(C2804/B2804,"")</f>
        <v/>
      </c>
      <c r="F2804" s="11">
        <f>IFERROR((D2804/D2803-1)*100,"")</f>
        <v/>
      </c>
      <c r="G2804" s="11">
        <f>IFERROR((COUNTIF($D$2553:$D$2804,"&lt;"&amp;D2804)+0.5*COUNTIF($D$2553:$D$2804,D2804))/COUNT($D$2553:$D$2804)*100,"")</f>
        <v/>
      </c>
      <c r="H2804" s="10">
        <f>IFERROR(AVERAGE($D$2553:$D$2804),"")</f>
        <v/>
      </c>
      <c r="I2804" s="10" t="n">
        <v>-1.011234465089125</v>
      </c>
      <c r="J2804" t="inlineStr"/>
      <c r="K2804" t="inlineStr"/>
    </row>
    <row r="2805">
      <c r="A2805" s="7" t="inlineStr">
        <is>
          <t>2025-09-04</t>
        </is>
      </c>
      <c r="B2805" s="8">
        <f>IFERROR(VLOOKUP($A2805,'01-原始价格'!$A:$M,2,FALSE),"")</f>
        <v/>
      </c>
      <c r="C2805" s="8">
        <f>IFERROR(VLOOKUP($A2805,'01-原始价格'!$A:$M,8,FALSE),"")</f>
        <v/>
      </c>
      <c r="D2805" s="10">
        <f>IFERROR(B2805/C2805,"")</f>
        <v/>
      </c>
      <c r="E2805" s="10">
        <f>IFERROR(C2805/B2805,"")</f>
        <v/>
      </c>
      <c r="F2805" s="11">
        <f>IFERROR((D2805/D2804-1)*100,"")</f>
        <v/>
      </c>
      <c r="G2805" s="11">
        <f>IFERROR((COUNTIF($D$2554:$D$2805,"&lt;"&amp;D2805)+0.5*COUNTIF($D$2554:$D$2805,D2805))/COUNT($D$2554:$D$2805)*100,"")</f>
        <v/>
      </c>
      <c r="H2805" s="10">
        <f>IFERROR(AVERAGE($D$2554:$D$2805),"")</f>
        <v/>
      </c>
      <c r="I2805" s="10" t="n">
        <v>-0.946222616342315</v>
      </c>
      <c r="J2805" t="inlineStr"/>
      <c r="K2805" t="inlineStr"/>
    </row>
    <row r="2806">
      <c r="A2806" s="7" t="inlineStr">
        <is>
          <t>2025-09-05</t>
        </is>
      </c>
      <c r="B2806" s="8">
        <f>IFERROR(VLOOKUP($A2806,'01-原始价格'!$A:$M,2,FALSE),"")</f>
        <v/>
      </c>
      <c r="C2806" s="8">
        <f>IFERROR(VLOOKUP($A2806,'01-原始价格'!$A:$M,8,FALSE),"")</f>
        <v/>
      </c>
      <c r="D2806" s="10">
        <f>IFERROR(B2806/C2806,"")</f>
        <v/>
      </c>
      <c r="E2806" s="10">
        <f>IFERROR(C2806/B2806,"")</f>
        <v/>
      </c>
      <c r="F2806" s="11">
        <f>IFERROR((D2806/D2805-1)*100,"")</f>
        <v/>
      </c>
      <c r="G2806" s="11">
        <f>IFERROR((COUNTIF($D$2555:$D$2806,"&lt;"&amp;D2806)+0.5*COUNTIF($D$2555:$D$2806,D2806))/COUNT($D$2555:$D$2806)*100,"")</f>
        <v/>
      </c>
      <c r="H2806" s="10">
        <f>IFERROR(AVERAGE($D$2555:$D$2806),"")</f>
        <v/>
      </c>
      <c r="I2806" s="10" t="n">
        <v>-0.9166028757249006</v>
      </c>
      <c r="J2806" t="inlineStr"/>
      <c r="K2806" t="inlineStr"/>
    </row>
    <row r="2807">
      <c r="A2807" s="7" t="inlineStr">
        <is>
          <t>2025-09-08</t>
        </is>
      </c>
      <c r="B2807" s="8">
        <f>IFERROR(VLOOKUP($A2807,'01-原始价格'!$A:$M,2,FALSE),"")</f>
        <v/>
      </c>
      <c r="C2807" s="8">
        <f>IFERROR(VLOOKUP($A2807,'01-原始价格'!$A:$M,8,FALSE),"")</f>
        <v/>
      </c>
      <c r="D2807" s="10">
        <f>IFERROR(B2807/C2807,"")</f>
        <v/>
      </c>
      <c r="E2807" s="10">
        <f>IFERROR(C2807/B2807,"")</f>
        <v/>
      </c>
      <c r="F2807" s="11">
        <f>IFERROR((D2807/D2806-1)*100,"")</f>
        <v/>
      </c>
      <c r="G2807" s="11">
        <f>IFERROR((COUNTIF($D$2556:$D$2807,"&lt;"&amp;D2807)+0.5*COUNTIF($D$2556:$D$2807,D2807))/COUNT($D$2556:$D$2807)*100,"")</f>
        <v/>
      </c>
      <c r="H2807" s="10">
        <f>IFERROR(AVERAGE($D$2556:$D$2807),"")</f>
        <v/>
      </c>
      <c r="I2807" s="10" t="n">
        <v>-0.9035083489738766</v>
      </c>
      <c r="J2807" t="inlineStr"/>
      <c r="K2807" t="inlineStr"/>
    </row>
    <row r="2808">
      <c r="A2808" s="7" t="inlineStr">
        <is>
          <t>2025-09-09</t>
        </is>
      </c>
      <c r="B2808" s="8">
        <f>IFERROR(VLOOKUP($A2808,'01-原始价格'!$A:$M,2,FALSE),"")</f>
        <v/>
      </c>
      <c r="C2808" s="8">
        <f>IFERROR(VLOOKUP($A2808,'01-原始价格'!$A:$M,8,FALSE),"")</f>
        <v/>
      </c>
      <c r="D2808" s="10">
        <f>IFERROR(B2808/C2808,"")</f>
        <v/>
      </c>
      <c r="E2808" s="10">
        <f>IFERROR(C2808/B2808,"")</f>
        <v/>
      </c>
      <c r="F2808" s="11">
        <f>IFERROR((D2808/D2807-1)*100,"")</f>
        <v/>
      </c>
      <c r="G2808" s="11">
        <f>IFERROR((COUNTIF($D$2557:$D$2808,"&lt;"&amp;D2808)+0.5*COUNTIF($D$2557:$D$2808,D2808))/COUNT($D$2557:$D$2808)*100,"")</f>
        <v/>
      </c>
      <c r="H2808" s="10">
        <f>IFERROR(AVERAGE($D$2557:$D$2808),"")</f>
        <v/>
      </c>
      <c r="I2808" s="10" t="n">
        <v>-0.8807383496771486</v>
      </c>
      <c r="J2808" t="inlineStr"/>
      <c r="K2808" t="inlineStr"/>
    </row>
    <row r="2809">
      <c r="A2809" s="7" t="inlineStr">
        <is>
          <t>2025-09-10</t>
        </is>
      </c>
      <c r="B2809" s="8">
        <f>IFERROR(VLOOKUP($A2809,'01-原始价格'!$A:$M,2,FALSE),"")</f>
        <v/>
      </c>
      <c r="C2809" s="8">
        <f>IFERROR(VLOOKUP($A2809,'01-原始价格'!$A:$M,8,FALSE),"")</f>
        <v/>
      </c>
      <c r="D2809" s="10">
        <f>IFERROR(B2809/C2809,"")</f>
        <v/>
      </c>
      <c r="E2809" s="10">
        <f>IFERROR(C2809/B2809,"")</f>
        <v/>
      </c>
      <c r="F2809" s="11">
        <f>IFERROR((D2809/D2808-1)*100,"")</f>
        <v/>
      </c>
      <c r="G2809" s="11">
        <f>IFERROR((COUNTIF($D$2558:$D$2809,"&lt;"&amp;D2809)+0.5*COUNTIF($D$2558:$D$2809,D2809))/COUNT($D$2558:$D$2809)*100,"")</f>
        <v/>
      </c>
      <c r="H2809" s="10">
        <f>IFERROR(AVERAGE($D$2558:$D$2809),"")</f>
        <v/>
      </c>
      <c r="I2809" s="10" t="n">
        <v>-0.8606987638255421</v>
      </c>
      <c r="J2809" t="inlineStr"/>
      <c r="K2809" t="inlineStr"/>
    </row>
    <row r="2810">
      <c r="A2810" s="7" t="inlineStr">
        <is>
          <t>2025-09-11</t>
        </is>
      </c>
      <c r="B2810" s="8">
        <f>IFERROR(VLOOKUP($A2810,'01-原始价格'!$A:$M,2,FALSE),"")</f>
        <v/>
      </c>
      <c r="C2810" s="8">
        <f>IFERROR(VLOOKUP($A2810,'01-原始价格'!$A:$M,8,FALSE),"")</f>
        <v/>
      </c>
      <c r="D2810" s="10">
        <f>IFERROR(B2810/C2810,"")</f>
        <v/>
      </c>
      <c r="E2810" s="10">
        <f>IFERROR(C2810/B2810,"")</f>
        <v/>
      </c>
      <c r="F2810" s="11">
        <f>IFERROR((D2810/D2809-1)*100,"")</f>
        <v/>
      </c>
      <c r="G2810" s="11">
        <f>IFERROR((COUNTIF($D$2559:$D$2810,"&lt;"&amp;D2810)+0.5*COUNTIF($D$2559:$D$2810,D2810))/COUNT($D$2559:$D$2810)*100,"")</f>
        <v/>
      </c>
      <c r="H2810" s="10">
        <f>IFERROR(AVERAGE($D$2559:$D$2810),"")</f>
        <v/>
      </c>
      <c r="I2810" s="10" t="n">
        <v>-0.7823691673962923</v>
      </c>
      <c r="J2810" t="inlineStr"/>
      <c r="K2810" t="inlineStr"/>
    </row>
    <row r="2811">
      <c r="A2811" s="7" t="inlineStr">
        <is>
          <t>2025-09-12</t>
        </is>
      </c>
      <c r="B2811" s="8">
        <f>IFERROR(VLOOKUP($A2811,'01-原始价格'!$A:$M,2,FALSE),"")</f>
        <v/>
      </c>
      <c r="C2811" s="8">
        <f>IFERROR(VLOOKUP($A2811,'01-原始价格'!$A:$M,8,FALSE),"")</f>
        <v/>
      </c>
      <c r="D2811" s="10">
        <f>IFERROR(B2811/C2811,"")</f>
        <v/>
      </c>
      <c r="E2811" s="10">
        <f>IFERROR(C2811/B2811,"")</f>
        <v/>
      </c>
      <c r="F2811" s="11">
        <f>IFERROR((D2811/D2810-1)*100,"")</f>
        <v/>
      </c>
      <c r="G2811" s="11">
        <f>IFERROR((COUNTIF($D$2560:$D$2811,"&lt;"&amp;D2811)+0.5*COUNTIF($D$2560:$D$2811,D2811))/COUNT($D$2560:$D$2811)*100,"")</f>
        <v/>
      </c>
      <c r="H2811" s="10">
        <f>IFERROR(AVERAGE($D$2560:$D$2811),"")</f>
        <v/>
      </c>
      <c r="I2811" s="10" t="n">
        <v>-0.648318776523749</v>
      </c>
      <c r="J2811" t="inlineStr"/>
      <c r="K2811" t="inlineStr"/>
    </row>
    <row r="2812">
      <c r="A2812" s="7" t="inlineStr">
        <is>
          <t>2025-09-15</t>
        </is>
      </c>
      <c r="B2812" s="8">
        <f>IFERROR(VLOOKUP($A2812,'01-原始价格'!$A:$M,2,FALSE),"")</f>
        <v/>
      </c>
      <c r="C2812" s="8">
        <f>IFERROR(VLOOKUP($A2812,'01-原始价格'!$A:$M,8,FALSE),"")</f>
        <v/>
      </c>
      <c r="D2812" s="10">
        <f>IFERROR(B2812/C2812,"")</f>
        <v/>
      </c>
      <c r="E2812" s="10">
        <f>IFERROR(C2812/B2812,"")</f>
        <v/>
      </c>
      <c r="F2812" s="11">
        <f>IFERROR((D2812/D2811-1)*100,"")</f>
        <v/>
      </c>
      <c r="G2812" s="11">
        <f>IFERROR((COUNTIF($D$2561:$D$2812,"&lt;"&amp;D2812)+0.5*COUNTIF($D$2561:$D$2812,D2812))/COUNT($D$2561:$D$2812)*100,"")</f>
        <v/>
      </c>
      <c r="H2812" s="10">
        <f>IFERROR(AVERAGE($D$2561:$D$2812),"")</f>
        <v/>
      </c>
      <c r="I2812" s="10" t="n">
        <v>-0.757112181718733</v>
      </c>
      <c r="J2812" t="inlineStr"/>
      <c r="K2812" t="inlineStr"/>
    </row>
    <row r="2813">
      <c r="A2813" s="7" t="inlineStr">
        <is>
          <t>2025-09-16</t>
        </is>
      </c>
      <c r="B2813" s="8">
        <f>IFERROR(VLOOKUP($A2813,'01-原始价格'!$A:$M,2,FALSE),"")</f>
        <v/>
      </c>
      <c r="C2813" s="8">
        <f>IFERROR(VLOOKUP($A2813,'01-原始价格'!$A:$M,8,FALSE),"")</f>
        <v/>
      </c>
      <c r="D2813" s="10">
        <f>IFERROR(B2813/C2813,"")</f>
        <v/>
      </c>
      <c r="E2813" s="10">
        <f>IFERROR(C2813/B2813,"")</f>
        <v/>
      </c>
      <c r="F2813" s="11">
        <f>IFERROR((D2813/D2812-1)*100,"")</f>
        <v/>
      </c>
      <c r="G2813" s="11">
        <f>IFERROR((COUNTIF($D$2562:$D$2813,"&lt;"&amp;D2813)+0.5*COUNTIF($D$2562:$D$2813,D2813))/COUNT($D$2562:$D$2813)*100,"")</f>
        <v/>
      </c>
      <c r="H2813" s="10">
        <f>IFERROR(AVERAGE($D$2562:$D$2813),"")</f>
        <v/>
      </c>
      <c r="I2813" s="10" t="n">
        <v>-0.7342818086368645</v>
      </c>
      <c r="J2813" t="inlineStr"/>
      <c r="K2813" t="inlineStr"/>
    </row>
    <row r="2814">
      <c r="A2814" s="7" t="inlineStr">
        <is>
          <t>2025-09-17</t>
        </is>
      </c>
      <c r="B2814" s="8">
        <f>IFERROR(VLOOKUP($A2814,'01-原始价格'!$A:$M,2,FALSE),"")</f>
        <v/>
      </c>
      <c r="C2814" s="8">
        <f>IFERROR(VLOOKUP($A2814,'01-原始价格'!$A:$M,8,FALSE),"")</f>
        <v/>
      </c>
      <c r="D2814" s="10">
        <f>IFERROR(B2814/C2814,"")</f>
        <v/>
      </c>
      <c r="E2814" s="10">
        <f>IFERROR(C2814/B2814,"")</f>
        <v/>
      </c>
      <c r="F2814" s="11">
        <f>IFERROR((D2814/D2813-1)*100,"")</f>
        <v/>
      </c>
      <c r="G2814" s="11">
        <f>IFERROR((COUNTIF($D$2563:$D$2814,"&lt;"&amp;D2814)+0.5*COUNTIF($D$2563:$D$2814,D2814))/COUNT($D$2563:$D$2814)*100,"")</f>
        <v/>
      </c>
      <c r="H2814" s="10">
        <f>IFERROR(AVERAGE($D$2563:$D$2814),"")</f>
        <v/>
      </c>
      <c r="I2814" s="10" t="n">
        <v>-0.7188750992249401</v>
      </c>
      <c r="J2814" t="inlineStr"/>
      <c r="K2814" t="inlineStr"/>
    </row>
    <row r="2815">
      <c r="A2815" s="7" t="inlineStr">
        <is>
          <t>2025-09-18</t>
        </is>
      </c>
      <c r="B2815" s="8">
        <f>IFERROR(VLOOKUP($A2815,'01-原始价格'!$A:$M,2,FALSE),"")</f>
        <v/>
      </c>
      <c r="C2815" s="8">
        <f>IFERROR(VLOOKUP($A2815,'01-原始价格'!$A:$M,8,FALSE),"")</f>
        <v/>
      </c>
      <c r="D2815" s="10">
        <f>IFERROR(B2815/C2815,"")</f>
        <v/>
      </c>
      <c r="E2815" s="10">
        <f>IFERROR(C2815/B2815,"")</f>
        <v/>
      </c>
      <c r="F2815" s="11">
        <f>IFERROR((D2815/D2814-1)*100,"")</f>
        <v/>
      </c>
      <c r="G2815" s="11">
        <f>IFERROR((COUNTIF($D$2564:$D$2815,"&lt;"&amp;D2815)+0.5*COUNTIF($D$2564:$D$2815,D2815))/COUNT($D$2564:$D$2815)*100,"")</f>
        <v/>
      </c>
      <c r="H2815" s="10">
        <f>IFERROR(AVERAGE($D$2564:$D$2815),"")</f>
        <v/>
      </c>
      <c r="I2815" s="10" t="n">
        <v>-0.7307220213349392</v>
      </c>
      <c r="J2815" t="inlineStr"/>
      <c r="K2815" t="inlineStr"/>
    </row>
    <row r="2816">
      <c r="A2816" s="7" t="inlineStr">
        <is>
          <t>2025-09-19</t>
        </is>
      </c>
      <c r="B2816" s="8">
        <f>IFERROR(VLOOKUP($A2816,'01-原始价格'!$A:$M,2,FALSE),"")</f>
        <v/>
      </c>
      <c r="C2816" s="8">
        <f>IFERROR(VLOOKUP($A2816,'01-原始价格'!$A:$M,8,FALSE),"")</f>
        <v/>
      </c>
      <c r="D2816" s="10">
        <f>IFERROR(B2816/C2816,"")</f>
        <v/>
      </c>
      <c r="E2816" s="10">
        <f>IFERROR(C2816/B2816,"")</f>
        <v/>
      </c>
      <c r="F2816" s="11">
        <f>IFERROR((D2816/D2815-1)*100,"")</f>
        <v/>
      </c>
      <c r="G2816" s="11">
        <f>IFERROR((COUNTIF($D$2565:$D$2816,"&lt;"&amp;D2816)+0.5*COUNTIF($D$2565:$D$2816,D2816))/COUNT($D$2565:$D$2816)*100,"")</f>
        <v/>
      </c>
      <c r="H2816" s="10">
        <f>IFERROR(AVERAGE($D$2565:$D$2816),"")</f>
        <v/>
      </c>
      <c r="I2816" s="10" t="n">
        <v>-0.6606458754595135</v>
      </c>
      <c r="J2816" t="inlineStr"/>
      <c r="K2816" t="inlineStr"/>
    </row>
    <row r="2817">
      <c r="A2817" s="7" t="inlineStr">
        <is>
          <t>2025-09-22</t>
        </is>
      </c>
      <c r="B2817" s="8">
        <f>IFERROR(VLOOKUP($A2817,'01-原始价格'!$A:$M,2,FALSE),"")</f>
        <v/>
      </c>
      <c r="C2817" s="8">
        <f>IFERROR(VLOOKUP($A2817,'01-原始价格'!$A:$M,8,FALSE),"")</f>
        <v/>
      </c>
      <c r="D2817" s="10">
        <f>IFERROR(B2817/C2817,"")</f>
        <v/>
      </c>
      <c r="E2817" s="10">
        <f>IFERROR(C2817/B2817,"")</f>
        <v/>
      </c>
      <c r="F2817" s="11">
        <f>IFERROR((D2817/D2816-1)*100,"")</f>
        <v/>
      </c>
      <c r="G2817" s="11">
        <f>IFERROR((COUNTIF($D$2566:$D$2817,"&lt;"&amp;D2817)+0.5*COUNTIF($D$2566:$D$2817,D2817))/COUNT($D$2566:$D$2817)*100,"")</f>
        <v/>
      </c>
      <c r="H2817" s="10">
        <f>IFERROR(AVERAGE($D$2566:$D$2817),"")</f>
        <v/>
      </c>
      <c r="I2817" s="10" t="n">
        <v>-0.7071851856920652</v>
      </c>
      <c r="J2817" t="inlineStr"/>
      <c r="K2817" t="inlineStr"/>
    </row>
    <row r="2818">
      <c r="A2818" s="7" t="inlineStr">
        <is>
          <t>2025-09-23</t>
        </is>
      </c>
      <c r="B2818" s="8">
        <f>IFERROR(VLOOKUP($A2818,'01-原始价格'!$A:$M,2,FALSE),"")</f>
        <v/>
      </c>
      <c r="C2818" s="8">
        <f>IFERROR(VLOOKUP($A2818,'01-原始价格'!$A:$M,8,FALSE),"")</f>
        <v/>
      </c>
      <c r="D2818" s="10">
        <f>IFERROR(B2818/C2818,"")</f>
        <v/>
      </c>
      <c r="E2818" s="10">
        <f>IFERROR(C2818/B2818,"")</f>
        <v/>
      </c>
      <c r="F2818" s="11">
        <f>IFERROR((D2818/D2817-1)*100,"")</f>
        <v/>
      </c>
      <c r="G2818" s="11">
        <f>IFERROR((COUNTIF($D$2567:$D$2818,"&lt;"&amp;D2818)+0.5*COUNTIF($D$2567:$D$2818,D2818))/COUNT($D$2567:$D$2818)*100,"")</f>
        <v/>
      </c>
      <c r="H2818" s="10">
        <f>IFERROR(AVERAGE($D$2567:$D$2818),"")</f>
        <v/>
      </c>
      <c r="I2818" s="10" t="n">
        <v>-0.7855113505117062</v>
      </c>
      <c r="J2818" t="inlineStr"/>
      <c r="K2818" t="inlineStr"/>
    </row>
    <row r="2819">
      <c r="A2819" s="7" t="inlineStr">
        <is>
          <t>2025-09-24</t>
        </is>
      </c>
      <c r="B2819" s="8">
        <f>IFERROR(VLOOKUP($A2819,'01-原始价格'!$A:$M,2,FALSE),"")</f>
        <v/>
      </c>
      <c r="C2819" s="8">
        <f>IFERROR(VLOOKUP($A2819,'01-原始价格'!$A:$M,8,FALSE),"")</f>
        <v/>
      </c>
      <c r="D2819" s="10">
        <f>IFERROR(B2819/C2819,"")</f>
        <v/>
      </c>
      <c r="E2819" s="10">
        <f>IFERROR(C2819/B2819,"")</f>
        <v/>
      </c>
      <c r="F2819" s="11">
        <f>IFERROR((D2819/D2818-1)*100,"")</f>
        <v/>
      </c>
      <c r="G2819" s="11">
        <f>IFERROR((COUNTIF($D$2568:$D$2819,"&lt;"&amp;D2819)+0.5*COUNTIF($D$2568:$D$2819,D2819))/COUNT($D$2568:$D$2819)*100,"")</f>
        <v/>
      </c>
      <c r="H2819" s="10">
        <f>IFERROR(AVERAGE($D$2568:$D$2819),"")</f>
        <v/>
      </c>
      <c r="I2819" s="10" t="n">
        <v>-0.7926291929877554</v>
      </c>
      <c r="J2819" t="inlineStr"/>
      <c r="K2819" t="inlineStr"/>
    </row>
    <row r="2820">
      <c r="A2820" s="7" t="inlineStr">
        <is>
          <t>2025-09-25</t>
        </is>
      </c>
      <c r="B2820" s="8">
        <f>IFERROR(VLOOKUP($A2820,'01-原始价格'!$A:$M,2,FALSE),"")</f>
        <v/>
      </c>
      <c r="C2820" s="8">
        <f>IFERROR(VLOOKUP($A2820,'01-原始价格'!$A:$M,8,FALSE),"")</f>
        <v/>
      </c>
      <c r="D2820" s="10">
        <f>IFERROR(B2820/C2820,"")</f>
        <v/>
      </c>
      <c r="E2820" s="10">
        <f>IFERROR(C2820/B2820,"")</f>
        <v/>
      </c>
      <c r="F2820" s="11">
        <f>IFERROR((D2820/D2819-1)*100,"")</f>
        <v/>
      </c>
      <c r="G2820" s="11">
        <f>IFERROR((COUNTIF($D$2569:$D$2820,"&lt;"&amp;D2820)+0.5*COUNTIF($D$2569:$D$2820,D2820))/COUNT($D$2569:$D$2820)*100,"")</f>
        <v/>
      </c>
      <c r="H2820" s="10">
        <f>IFERROR(AVERAGE($D$2569:$D$2820),"")</f>
        <v/>
      </c>
      <c r="I2820" s="10" t="n">
        <v>-0.8488509651876894</v>
      </c>
      <c r="J2820" t="inlineStr"/>
      <c r="K2820" t="inlineStr"/>
    </row>
    <row r="2821">
      <c r="A2821" s="7" t="inlineStr">
        <is>
          <t>2025-09-26</t>
        </is>
      </c>
      <c r="B2821" s="8">
        <f>IFERROR(VLOOKUP($A2821,'01-原始价格'!$A:$M,2,FALSE),"")</f>
        <v/>
      </c>
      <c r="C2821" s="8">
        <f>IFERROR(VLOOKUP($A2821,'01-原始价格'!$A:$M,8,FALSE),"")</f>
        <v/>
      </c>
      <c r="D2821" s="10">
        <f>IFERROR(B2821/C2821,"")</f>
        <v/>
      </c>
      <c r="E2821" s="10">
        <f>IFERROR(C2821/B2821,"")</f>
        <v/>
      </c>
      <c r="F2821" s="11">
        <f>IFERROR((D2821/D2820-1)*100,"")</f>
        <v/>
      </c>
      <c r="G2821" s="11">
        <f>IFERROR((COUNTIF($D$2570:$D$2821,"&lt;"&amp;D2821)+0.5*COUNTIF($D$2570:$D$2821,D2821))/COUNT($D$2570:$D$2821)*100,"")</f>
        <v/>
      </c>
      <c r="H2821" s="10">
        <f>IFERROR(AVERAGE($D$2570:$D$2821),"")</f>
        <v/>
      </c>
      <c r="I2821" s="10" t="n">
        <v>-0.7967881952793419</v>
      </c>
      <c r="J2821" t="inlineStr"/>
      <c r="K2821" t="inlineStr"/>
    </row>
    <row r="2822">
      <c r="A2822" s="7" t="inlineStr">
        <is>
          <t>2025-09-29</t>
        </is>
      </c>
      <c r="B2822" s="8">
        <f>IFERROR(VLOOKUP($A2822,'01-原始价格'!$A:$M,2,FALSE),"")</f>
        <v/>
      </c>
      <c r="C2822" s="8">
        <f>IFERROR(VLOOKUP($A2822,'01-原始价格'!$A:$M,8,FALSE),"")</f>
        <v/>
      </c>
      <c r="D2822" s="10">
        <f>IFERROR(B2822/C2822,"")</f>
        <v/>
      </c>
      <c r="E2822" s="10">
        <f>IFERROR(C2822/B2822,"")</f>
        <v/>
      </c>
      <c r="F2822" s="11">
        <f>IFERROR((D2822/D2821-1)*100,"")</f>
        <v/>
      </c>
      <c r="G2822" s="11">
        <f>IFERROR((COUNTIF($D$2571:$D$2822,"&lt;"&amp;D2822)+0.5*COUNTIF($D$2571:$D$2822,D2822))/COUNT($D$2571:$D$2822)*100,"")</f>
        <v/>
      </c>
      <c r="H2822" s="10">
        <f>IFERROR(AVERAGE($D$2571:$D$2822),"")</f>
        <v/>
      </c>
      <c r="I2822" s="10" t="n">
        <v>-0.9257783189017655</v>
      </c>
      <c r="J2822" t="inlineStr"/>
      <c r="K2822" t="inlineStr"/>
    </row>
    <row r="2823">
      <c r="A2823" s="7" t="inlineStr">
        <is>
          <t>2025-09-30</t>
        </is>
      </c>
      <c r="B2823" s="8">
        <f>IFERROR(VLOOKUP($A2823,'01-原始价格'!$A:$M,2,FALSE),"")</f>
        <v/>
      </c>
      <c r="C2823" s="8">
        <f>IFERROR(VLOOKUP($A2823,'01-原始价格'!$A:$M,8,FALSE),"")</f>
        <v/>
      </c>
      <c r="D2823" s="10">
        <f>IFERROR(B2823/C2823,"")</f>
        <v/>
      </c>
      <c r="E2823" s="10">
        <f>IFERROR(C2823/B2823,"")</f>
        <v/>
      </c>
      <c r="F2823" s="11">
        <f>IFERROR((D2823/D2822-1)*100,"")</f>
        <v/>
      </c>
      <c r="G2823" s="11">
        <f>IFERROR((COUNTIF($D$2572:$D$2823,"&lt;"&amp;D2823)+0.5*COUNTIF($D$2572:$D$2823,D2823))/COUNT($D$2572:$D$2823)*100,"")</f>
        <v/>
      </c>
      <c r="H2823" s="10">
        <f>IFERROR(AVERAGE($D$2572:$D$2823),"")</f>
        <v/>
      </c>
      <c r="I2823" s="10" t="n">
        <v>-1.173387374123786</v>
      </c>
      <c r="J2823" t="inlineStr"/>
      <c r="K2823" t="inlineStr"/>
    </row>
    <row r="2824">
      <c r="A2824" s="7" t="inlineStr">
        <is>
          <t>2025-10-09</t>
        </is>
      </c>
      <c r="B2824" s="8">
        <f>IFERROR(VLOOKUP($A2824,'01-原始价格'!$A:$M,2,FALSE),"")</f>
        <v/>
      </c>
      <c r="C2824" s="8">
        <f>IFERROR(VLOOKUP($A2824,'01-原始价格'!$A:$M,8,FALSE),"")</f>
        <v/>
      </c>
      <c r="D2824" s="10">
        <f>IFERROR(B2824/C2824,"")</f>
        <v/>
      </c>
      <c r="E2824" s="10">
        <f>IFERROR(C2824/B2824,"")</f>
        <v/>
      </c>
      <c r="F2824" s="11">
        <f>IFERROR((D2824/D2823-1)*100,"")</f>
        <v/>
      </c>
      <c r="G2824" s="11">
        <f>IFERROR((COUNTIF($D$2573:$D$2824,"&lt;"&amp;D2824)+0.5*COUNTIF($D$2573:$D$2824,D2824))/COUNT($D$2573:$D$2824)*100,"")</f>
        <v/>
      </c>
      <c r="H2824" s="10">
        <f>IFERROR(AVERAGE($D$2573:$D$2824),"")</f>
        <v/>
      </c>
      <c r="I2824" s="10" t="n">
        <v>-1.514865376825735</v>
      </c>
      <c r="J2824" t="inlineStr"/>
      <c r="K2824" t="inlineStr"/>
    </row>
    <row r="2825">
      <c r="A2825" s="7" t="inlineStr">
        <is>
          <t>2025-10-10</t>
        </is>
      </c>
      <c r="B2825" s="8">
        <f>IFERROR(VLOOKUP($A2825,'01-原始价格'!$A:$M,2,FALSE),"")</f>
        <v/>
      </c>
      <c r="C2825" s="8">
        <f>IFERROR(VLOOKUP($A2825,'01-原始价格'!$A:$M,8,FALSE),"")</f>
        <v/>
      </c>
      <c r="D2825" s="10">
        <f>IFERROR(B2825/C2825,"")</f>
        <v/>
      </c>
      <c r="E2825" s="10">
        <f>IFERROR(C2825/B2825,"")</f>
        <v/>
      </c>
      <c r="F2825" s="11">
        <f>IFERROR((D2825/D2824-1)*100,"")</f>
        <v/>
      </c>
      <c r="G2825" s="11">
        <f>IFERROR((COUNTIF($D$2574:$D$2825,"&lt;"&amp;D2825)+0.5*COUNTIF($D$2574:$D$2825,D2825))/COUNT($D$2574:$D$2825)*100,"")</f>
        <v/>
      </c>
      <c r="H2825" s="10">
        <f>IFERROR(AVERAGE($D$2574:$D$2825),"")</f>
        <v/>
      </c>
      <c r="I2825" s="10" t="n">
        <v>-1.351523412851181</v>
      </c>
      <c r="J2825" t="inlineStr"/>
      <c r="K2825" t="inlineStr"/>
    </row>
    <row r="2826">
      <c r="A2826" s="7" t="inlineStr">
        <is>
          <t>2025-10-13</t>
        </is>
      </c>
      <c r="B2826" s="8">
        <f>IFERROR(VLOOKUP($A2826,'01-原始价格'!$A:$M,2,FALSE),"")</f>
        <v/>
      </c>
      <c r="C2826" s="8">
        <f>IFERROR(VLOOKUP($A2826,'01-原始价格'!$A:$M,8,FALSE),"")</f>
        <v/>
      </c>
      <c r="D2826" s="10">
        <f>IFERROR(B2826/C2826,"")</f>
        <v/>
      </c>
      <c r="E2826" s="10">
        <f>IFERROR(C2826/B2826,"")</f>
        <v/>
      </c>
      <c r="F2826" s="11">
        <f>IFERROR((D2826/D2825-1)*100,"")</f>
        <v/>
      </c>
      <c r="G2826" s="11">
        <f>IFERROR((COUNTIF($D$2575:$D$2826,"&lt;"&amp;D2826)+0.5*COUNTIF($D$2575:$D$2826,D2826))/COUNT($D$2575:$D$2826)*100,"")</f>
        <v/>
      </c>
      <c r="H2826" s="10">
        <f>IFERROR(AVERAGE($D$2575:$D$2826),"")</f>
        <v/>
      </c>
      <c r="I2826" s="10" t="n">
        <v>-1.097403480545701</v>
      </c>
      <c r="J2826" t="inlineStr"/>
      <c r="K2826" t="inlineStr"/>
    </row>
    <row r="2827">
      <c r="A2827" s="7" t="inlineStr">
        <is>
          <t>2025-10-14</t>
        </is>
      </c>
      <c r="B2827" s="8">
        <f>IFERROR(VLOOKUP($A2827,'01-原始价格'!$A:$M,2,FALSE),"")</f>
        <v/>
      </c>
      <c r="C2827" s="8">
        <f>IFERROR(VLOOKUP($A2827,'01-原始价格'!$A:$M,8,FALSE),"")</f>
        <v/>
      </c>
      <c r="D2827" s="10">
        <f>IFERROR(B2827/C2827,"")</f>
        <v/>
      </c>
      <c r="E2827" s="10">
        <f>IFERROR(C2827/B2827,"")</f>
        <v/>
      </c>
      <c r="F2827" s="11">
        <f>IFERROR((D2827/D2826-1)*100,"")</f>
        <v/>
      </c>
      <c r="G2827" s="11">
        <f>IFERROR((COUNTIF($D$2576:$D$2827,"&lt;"&amp;D2827)+0.5*COUNTIF($D$2576:$D$2827,D2827))/COUNT($D$2576:$D$2827)*100,"")</f>
        <v/>
      </c>
      <c r="H2827" s="10">
        <f>IFERROR(AVERAGE($D$2576:$D$2827),"")</f>
        <v/>
      </c>
      <c r="I2827" s="10" t="n">
        <v>-1.421052581796102</v>
      </c>
      <c r="J2827" t="inlineStr"/>
      <c r="K2827" t="inlineStr"/>
    </row>
    <row r="2828">
      <c r="A2828" s="7" t="inlineStr">
        <is>
          <t>2025-10-15</t>
        </is>
      </c>
      <c r="B2828" s="8">
        <f>IFERROR(VLOOKUP($A2828,'01-原始价格'!$A:$M,2,FALSE),"")</f>
        <v/>
      </c>
      <c r="C2828" s="8">
        <f>IFERROR(VLOOKUP($A2828,'01-原始价格'!$A:$M,8,FALSE),"")</f>
        <v/>
      </c>
      <c r="D2828" s="10">
        <f>IFERROR(B2828/C2828,"")</f>
        <v/>
      </c>
      <c r="E2828" s="10">
        <f>IFERROR(C2828/B2828,"")</f>
        <v/>
      </c>
      <c r="F2828" s="11">
        <f>IFERROR((D2828/D2827-1)*100,"")</f>
        <v/>
      </c>
      <c r="G2828" s="11">
        <f>IFERROR((COUNTIF($D$2577:$D$2828,"&lt;"&amp;D2828)+0.5*COUNTIF($D$2577:$D$2828,D2828))/COUNT($D$2577:$D$2828)*100,"")</f>
        <v/>
      </c>
      <c r="H2828" s="10">
        <f>IFERROR(AVERAGE($D$2577:$D$2828),"")</f>
        <v/>
      </c>
      <c r="I2828" s="10" t="n">
        <v>-1.418221175372381</v>
      </c>
      <c r="J2828" t="inlineStr"/>
      <c r="K2828" t="inlineStr"/>
    </row>
    <row r="2829">
      <c r="A2829" s="7" t="inlineStr">
        <is>
          <t>2025-10-16</t>
        </is>
      </c>
      <c r="B2829" s="8">
        <f>IFERROR(VLOOKUP($A2829,'01-原始价格'!$A:$M,2,FALSE),"")</f>
        <v/>
      </c>
      <c r="C2829" s="8">
        <f>IFERROR(VLOOKUP($A2829,'01-原始价格'!$A:$M,8,FALSE),"")</f>
        <v/>
      </c>
      <c r="D2829" s="10">
        <f>IFERROR(B2829/C2829,"")</f>
        <v/>
      </c>
      <c r="E2829" s="10">
        <f>IFERROR(C2829/B2829,"")</f>
        <v/>
      </c>
      <c r="F2829" s="11">
        <f>IFERROR((D2829/D2828-1)*100,"")</f>
        <v/>
      </c>
      <c r="G2829" s="11">
        <f>IFERROR((COUNTIF($D$2578:$D$2829,"&lt;"&amp;D2829)+0.5*COUNTIF($D$2578:$D$2829,D2829))/COUNT($D$2578:$D$2829)*100,"")</f>
        <v/>
      </c>
      <c r="H2829" s="10">
        <f>IFERROR(AVERAGE($D$2578:$D$2829),"")</f>
        <v/>
      </c>
      <c r="I2829" s="10" t="n">
        <v>-1.36542703573227</v>
      </c>
      <c r="J2829" t="inlineStr"/>
      <c r="K2829" t="inlineStr"/>
    </row>
    <row r="2830">
      <c r="A2830" s="7" t="inlineStr">
        <is>
          <t>2025-10-17</t>
        </is>
      </c>
      <c r="B2830" s="8">
        <f>IFERROR(VLOOKUP($A2830,'01-原始价格'!$A:$M,2,FALSE),"")</f>
        <v/>
      </c>
      <c r="C2830" s="8">
        <f>IFERROR(VLOOKUP($A2830,'01-原始价格'!$A:$M,8,FALSE),"")</f>
        <v/>
      </c>
      <c r="D2830" s="10">
        <f>IFERROR(B2830/C2830,"")</f>
        <v/>
      </c>
      <c r="E2830" s="10">
        <f>IFERROR(C2830/B2830,"")</f>
        <v/>
      </c>
      <c r="F2830" s="11">
        <f>IFERROR((D2830/D2829-1)*100,"")</f>
        <v/>
      </c>
      <c r="G2830" s="11">
        <f>IFERROR((COUNTIF($D$2579:$D$2830,"&lt;"&amp;D2830)+0.5*COUNTIF($D$2579:$D$2830,D2830))/COUNT($D$2579:$D$2830)*100,"")</f>
        <v/>
      </c>
      <c r="H2830" s="10">
        <f>IFERROR(AVERAGE($D$2579:$D$2830),"")</f>
        <v/>
      </c>
      <c r="I2830" s="10" t="n">
        <v>-1.539074829625437</v>
      </c>
      <c r="J2830" t="inlineStr"/>
      <c r="K2830" t="inlineStr"/>
    </row>
    <row r="2831">
      <c r="A2831" s="7" t="inlineStr">
        <is>
          <t>2025-10-20</t>
        </is>
      </c>
      <c r="B2831" s="8">
        <f>IFERROR(VLOOKUP($A2831,'01-原始价格'!$A:$M,2,FALSE),"")</f>
        <v/>
      </c>
      <c r="C2831" s="8">
        <f>IFERROR(VLOOKUP($A2831,'01-原始价格'!$A:$M,8,FALSE),"")</f>
        <v/>
      </c>
      <c r="D2831" s="10">
        <f>IFERROR(B2831/C2831,"")</f>
        <v/>
      </c>
      <c r="E2831" s="10">
        <f>IFERROR(C2831/B2831,"")</f>
        <v/>
      </c>
      <c r="F2831" s="11">
        <f>IFERROR((D2831/D2830-1)*100,"")</f>
        <v/>
      </c>
      <c r="G2831" s="11">
        <f>IFERROR((COUNTIF($D$2580:$D$2831,"&lt;"&amp;D2831)+0.5*COUNTIF($D$2580:$D$2831,D2831))/COUNT($D$2580:$D$2831)*100,"")</f>
        <v/>
      </c>
      <c r="H2831" s="10">
        <f>IFERROR(AVERAGE($D$2580:$D$2831),"")</f>
        <v/>
      </c>
      <c r="I2831" s="10" t="n">
        <v>-1.431587010624506</v>
      </c>
      <c r="J2831" t="inlineStr"/>
      <c r="K2831" t="inlineStr"/>
    </row>
    <row r="2832">
      <c r="A2832" s="7" t="inlineStr">
        <is>
          <t>2025-10-21</t>
        </is>
      </c>
      <c r="B2832" s="8">
        <f>IFERROR(VLOOKUP($A2832,'01-原始价格'!$A:$M,2,FALSE),"")</f>
        <v/>
      </c>
      <c r="C2832" s="8">
        <f>IFERROR(VLOOKUP($A2832,'01-原始价格'!$A:$M,8,FALSE),"")</f>
        <v/>
      </c>
      <c r="D2832" s="10">
        <f>IFERROR(B2832/C2832,"")</f>
        <v/>
      </c>
      <c r="E2832" s="10">
        <f>IFERROR(C2832/B2832,"")</f>
        <v/>
      </c>
      <c r="F2832" s="11">
        <f>IFERROR((D2832/D2831-1)*100,"")</f>
        <v/>
      </c>
      <c r="G2832" s="11">
        <f>IFERROR((COUNTIF($D$2581:$D$2832,"&lt;"&amp;D2832)+0.5*COUNTIF($D$2581:$D$2832,D2832))/COUNT($D$2581:$D$2832)*100,"")</f>
        <v/>
      </c>
      <c r="H2832" s="10">
        <f>IFERROR(AVERAGE($D$2581:$D$2832),"")</f>
        <v/>
      </c>
      <c r="I2832" s="10" t="n">
        <v>-1.257916543693629</v>
      </c>
      <c r="J2832" t="inlineStr"/>
      <c r="K2832" t="inlineStr"/>
    </row>
    <row r="2833">
      <c r="A2833" s="7" t="inlineStr">
        <is>
          <t>2025-10-22</t>
        </is>
      </c>
      <c r="B2833" s="8">
        <f>IFERROR(VLOOKUP($A2833,'01-原始价格'!$A:$M,2,FALSE),"")</f>
        <v/>
      </c>
      <c r="C2833" s="8">
        <f>IFERROR(VLOOKUP($A2833,'01-原始价格'!$A:$M,8,FALSE),"")</f>
        <v/>
      </c>
      <c r="D2833" s="10">
        <f>IFERROR(B2833/C2833,"")</f>
        <v/>
      </c>
      <c r="E2833" s="10">
        <f>IFERROR(C2833/B2833,"")</f>
        <v/>
      </c>
      <c r="F2833" s="11">
        <f>IFERROR((D2833/D2832-1)*100,"")</f>
        <v/>
      </c>
      <c r="G2833" s="11">
        <f>IFERROR((COUNTIF($D$2582:$D$2833,"&lt;"&amp;D2833)+0.5*COUNTIF($D$2582:$D$2833,D2833))/COUNT($D$2582:$D$2833)*100,"")</f>
        <v/>
      </c>
      <c r="H2833" s="10">
        <f>IFERROR(AVERAGE($D$2582:$D$2833),"")</f>
        <v/>
      </c>
      <c r="I2833" s="10" t="n">
        <v>-1.425869480877809</v>
      </c>
      <c r="J2833" t="inlineStr"/>
      <c r="K2833" t="inlineStr"/>
    </row>
    <row r="2834">
      <c r="A2834" s="7" t="inlineStr">
        <is>
          <t>2025-10-23</t>
        </is>
      </c>
      <c r="B2834" s="8">
        <f>IFERROR(VLOOKUP($A2834,'01-原始价格'!$A:$M,2,FALSE),"")</f>
        <v/>
      </c>
      <c r="C2834" s="8">
        <f>IFERROR(VLOOKUP($A2834,'01-原始价格'!$A:$M,8,FALSE),"")</f>
        <v/>
      </c>
      <c r="D2834" s="10">
        <f>IFERROR(B2834/C2834,"")</f>
        <v/>
      </c>
      <c r="E2834" s="10">
        <f>IFERROR(C2834/B2834,"")</f>
        <v/>
      </c>
      <c r="F2834" s="11">
        <f>IFERROR((D2834/D2833-1)*100,"")</f>
        <v/>
      </c>
      <c r="G2834" s="11">
        <f>IFERROR((COUNTIF($D$2583:$D$2834,"&lt;"&amp;D2834)+0.5*COUNTIF($D$2583:$D$2834,D2834))/COUNT($D$2583:$D$2834)*100,"")</f>
        <v/>
      </c>
      <c r="H2834" s="10">
        <f>IFERROR(AVERAGE($D$2583:$D$2834),"")</f>
        <v/>
      </c>
      <c r="I2834" s="10" t="n">
        <v>-1.253839481490785</v>
      </c>
      <c r="J2834" t="inlineStr"/>
      <c r="K2834" t="inlineStr"/>
    </row>
    <row r="2835">
      <c r="A2835" s="7" t="inlineStr">
        <is>
          <t>2025-10-24</t>
        </is>
      </c>
      <c r="B2835" s="8">
        <f>IFERROR(VLOOKUP($A2835,'01-原始价格'!$A:$M,2,FALSE),"")</f>
        <v/>
      </c>
      <c r="C2835" s="8">
        <f>IFERROR(VLOOKUP($A2835,'01-原始价格'!$A:$M,8,FALSE),"")</f>
        <v/>
      </c>
      <c r="D2835" s="10">
        <f>IFERROR(B2835/C2835,"")</f>
        <v/>
      </c>
      <c r="E2835" s="10">
        <f>IFERROR(C2835/B2835,"")</f>
        <v/>
      </c>
      <c r="F2835" s="11">
        <f>IFERROR((D2835/D2834-1)*100,"")</f>
        <v/>
      </c>
      <c r="G2835" s="11">
        <f>IFERROR((COUNTIF($D$2584:$D$2835,"&lt;"&amp;D2835)+0.5*COUNTIF($D$2584:$D$2835,D2835))/COUNT($D$2584:$D$2835)*100,"")</f>
        <v/>
      </c>
      <c r="H2835" s="10">
        <f>IFERROR(AVERAGE($D$2584:$D$2835),"")</f>
        <v/>
      </c>
      <c r="I2835" s="10" t="n">
        <v>-1.261537561592826</v>
      </c>
      <c r="J2835" t="inlineStr"/>
      <c r="K2835" t="inlineStr"/>
    </row>
    <row r="2836">
      <c r="A2836" s="7" t="inlineStr">
        <is>
          <t>2025-10-27</t>
        </is>
      </c>
      <c r="B2836" s="8">
        <f>IFERROR(VLOOKUP($A2836,'01-原始价格'!$A:$M,2,FALSE),"")</f>
        <v/>
      </c>
      <c r="C2836" s="8">
        <f>IFERROR(VLOOKUP($A2836,'01-原始价格'!$A:$M,8,FALSE),"")</f>
        <v/>
      </c>
      <c r="D2836" s="10">
        <f>IFERROR(B2836/C2836,"")</f>
        <v/>
      </c>
      <c r="E2836" s="10">
        <f>IFERROR(C2836/B2836,"")</f>
        <v/>
      </c>
      <c r="F2836" s="11">
        <f>IFERROR((D2836/D2835-1)*100,"")</f>
        <v/>
      </c>
      <c r="G2836" s="11">
        <f>IFERROR((COUNTIF($D$2585:$D$2836,"&lt;"&amp;D2836)+0.5*COUNTIF($D$2585:$D$2836,D2836))/COUNT($D$2585:$D$2836)*100,"")</f>
        <v/>
      </c>
      <c r="H2836" s="10">
        <f>IFERROR(AVERAGE($D$2585:$D$2836),"")</f>
        <v/>
      </c>
      <c r="I2836" s="10" t="n">
        <v>-1.456265986808287</v>
      </c>
      <c r="J2836" t="inlineStr"/>
      <c r="K2836" t="inlineStr"/>
    </row>
    <row r="2837">
      <c r="A2837" s="7" t="inlineStr">
        <is>
          <t>2025-10-28</t>
        </is>
      </c>
      <c r="B2837" s="8">
        <f>IFERROR(VLOOKUP($A2837,'01-原始价格'!$A:$M,2,FALSE),"")</f>
        <v/>
      </c>
      <c r="C2837" s="8">
        <f>IFERROR(VLOOKUP($A2837,'01-原始价格'!$A:$M,8,FALSE),"")</f>
        <v/>
      </c>
      <c r="D2837" s="10">
        <f>IFERROR(B2837/C2837,"")</f>
        <v/>
      </c>
      <c r="E2837" s="10">
        <f>IFERROR(C2837/B2837,"")</f>
        <v/>
      </c>
      <c r="F2837" s="11">
        <f>IFERROR((D2837/D2836-1)*100,"")</f>
        <v/>
      </c>
      <c r="G2837" s="11">
        <f>IFERROR((COUNTIF($D$2586:$D$2837,"&lt;"&amp;D2837)+0.5*COUNTIF($D$2586:$D$2837,D2837))/COUNT($D$2586:$D$2837)*100,"")</f>
        <v/>
      </c>
      <c r="H2837" s="10">
        <f>IFERROR(AVERAGE($D$2586:$D$2837),"")</f>
        <v/>
      </c>
      <c r="I2837" s="10" t="n">
        <v>-1.550088452463886</v>
      </c>
      <c r="J2837" t="inlineStr"/>
      <c r="K2837" t="inlineStr"/>
    </row>
    <row r="2838">
      <c r="A2838" s="7" t="inlineStr">
        <is>
          <t>2025-10-29</t>
        </is>
      </c>
      <c r="B2838" s="8">
        <f>IFERROR(VLOOKUP($A2838,'01-原始价格'!$A:$M,2,FALSE),"")</f>
        <v/>
      </c>
      <c r="C2838" s="8">
        <f>IFERROR(VLOOKUP($A2838,'01-原始价格'!$A:$M,8,FALSE),"")</f>
        <v/>
      </c>
      <c r="D2838" s="10">
        <f>IFERROR(B2838/C2838,"")</f>
        <v/>
      </c>
      <c r="E2838" s="10">
        <f>IFERROR(C2838/B2838,"")</f>
        <v/>
      </c>
      <c r="F2838" s="11">
        <f>IFERROR((D2838/D2837-1)*100,"")</f>
        <v/>
      </c>
      <c r="G2838" s="11">
        <f>IFERROR((COUNTIF($D$2587:$D$2838,"&lt;"&amp;D2838)+0.5*COUNTIF($D$2587:$D$2838,D2838))/COUNT($D$2587:$D$2838)*100,"")</f>
        <v/>
      </c>
      <c r="H2838" s="10">
        <f>IFERROR(AVERAGE($D$2587:$D$2838),"")</f>
        <v/>
      </c>
      <c r="I2838" s="10" t="n">
        <v>-1.460285743735978</v>
      </c>
      <c r="J2838" t="inlineStr"/>
      <c r="K2838" t="inlineStr"/>
    </row>
    <row r="2839">
      <c r="A2839" s="7" t="inlineStr">
        <is>
          <t>2025-10-30</t>
        </is>
      </c>
      <c r="B2839" s="8">
        <f>IFERROR(VLOOKUP($A2839,'01-原始价格'!$A:$M,2,FALSE),"")</f>
        <v/>
      </c>
      <c r="C2839" s="8">
        <f>IFERROR(VLOOKUP($A2839,'01-原始价格'!$A:$M,8,FALSE),"")</f>
        <v/>
      </c>
      <c r="D2839" s="10">
        <f>IFERROR(B2839/C2839,"")</f>
        <v/>
      </c>
      <c r="E2839" s="10">
        <f>IFERROR(C2839/B2839,"")</f>
        <v/>
      </c>
      <c r="F2839" s="11">
        <f>IFERROR((D2839/D2838-1)*100,"")</f>
        <v/>
      </c>
      <c r="G2839" s="11">
        <f>IFERROR((COUNTIF($D$2588:$D$2839,"&lt;"&amp;D2839)+0.5*COUNTIF($D$2588:$D$2839,D2839))/COUNT($D$2588:$D$2839)*100,"")</f>
        <v/>
      </c>
      <c r="H2839" s="10">
        <f>IFERROR(AVERAGE($D$2588:$D$2839),"")</f>
        <v/>
      </c>
      <c r="I2839" s="10" t="n">
        <v>-1.37407194277887</v>
      </c>
      <c r="J2839" t="inlineStr"/>
      <c r="K2839" t="inlineStr"/>
    </row>
    <row r="2840">
      <c r="A2840" s="7" t="inlineStr">
        <is>
          <t>2025-10-31</t>
        </is>
      </c>
      <c r="B2840" s="8">
        <f>IFERROR(VLOOKUP($A2840,'01-原始价格'!$A:$M,2,FALSE),"")</f>
        <v/>
      </c>
      <c r="C2840" s="8">
        <f>IFERROR(VLOOKUP($A2840,'01-原始价格'!$A:$M,8,FALSE),"")</f>
        <v/>
      </c>
      <c r="D2840" s="10">
        <f>IFERROR(B2840/C2840,"")</f>
        <v/>
      </c>
      <c r="E2840" s="10">
        <f>IFERROR(C2840/B2840,"")</f>
        <v/>
      </c>
      <c r="F2840" s="11">
        <f>IFERROR((D2840/D2839-1)*100,"")</f>
        <v/>
      </c>
      <c r="G2840" s="11">
        <f>IFERROR((COUNTIF($D$2589:$D$2840,"&lt;"&amp;D2840)+0.5*COUNTIF($D$2589:$D$2840,D2840))/COUNT($D$2589:$D$2840)*100,"")</f>
        <v/>
      </c>
      <c r="H2840" s="10">
        <f>IFERROR(AVERAGE($D$2589:$D$2840),"")</f>
        <v/>
      </c>
      <c r="I2840" s="10" t="n">
        <v>-1.322850367012505</v>
      </c>
      <c r="J2840" t="inlineStr"/>
      <c r="K2840" t="inlineStr"/>
    </row>
    <row r="2841">
      <c r="A2841" s="7" t="inlineStr">
        <is>
          <t>2025-11-03</t>
        </is>
      </c>
      <c r="B2841" s="8">
        <f>IFERROR(VLOOKUP($A2841,'01-原始价格'!$A:$M,2,FALSE),"")</f>
        <v/>
      </c>
      <c r="C2841" s="8">
        <f>IFERROR(VLOOKUP($A2841,'01-原始价格'!$A:$M,8,FALSE),"")</f>
        <v/>
      </c>
      <c r="D2841" s="10">
        <f>IFERROR(B2841/C2841,"")</f>
        <v/>
      </c>
      <c r="E2841" s="10">
        <f>IFERROR(C2841/B2841,"")</f>
        <v/>
      </c>
      <c r="F2841" s="11">
        <f>IFERROR((D2841/D2840-1)*100,"")</f>
        <v/>
      </c>
      <c r="G2841" s="11">
        <f>IFERROR((COUNTIF($D$2590:$D$2841,"&lt;"&amp;D2841)+0.5*COUNTIF($D$2590:$D$2841,D2841))/COUNT($D$2590:$D$2841)*100,"")</f>
        <v/>
      </c>
      <c r="H2841" s="10">
        <f>IFERROR(AVERAGE($D$2590:$D$2841),"")</f>
        <v/>
      </c>
      <c r="I2841" s="10" t="n">
        <v>-1.366055444165294</v>
      </c>
      <c r="J2841" t="inlineStr"/>
      <c r="K2841" t="inlineStr"/>
    </row>
    <row r="2842">
      <c r="A2842" s="7" t="inlineStr">
        <is>
          <t>2025-11-04</t>
        </is>
      </c>
      <c r="B2842" s="8">
        <f>IFERROR(VLOOKUP($A2842,'01-原始价格'!$A:$M,2,FALSE),"")</f>
        <v/>
      </c>
      <c r="C2842" s="8">
        <f>IFERROR(VLOOKUP($A2842,'01-原始价格'!$A:$M,8,FALSE),"")</f>
        <v/>
      </c>
      <c r="D2842" s="10">
        <f>IFERROR(B2842/C2842,"")</f>
        <v/>
      </c>
      <c r="E2842" s="10">
        <f>IFERROR(C2842/B2842,"")</f>
        <v/>
      </c>
      <c r="F2842" s="11">
        <f>IFERROR((D2842/D2841-1)*100,"")</f>
        <v/>
      </c>
      <c r="G2842" s="11">
        <f>IFERROR((COUNTIF($D$2591:$D$2842,"&lt;"&amp;D2842)+0.5*COUNTIF($D$2591:$D$2842,D2842))/COUNT($D$2591:$D$2842)*100,"")</f>
        <v/>
      </c>
      <c r="H2842" s="10">
        <f>IFERROR(AVERAGE($D$2591:$D$2842),"")</f>
        <v/>
      </c>
      <c r="I2842" s="10" t="n">
        <v>-1.463038766608051</v>
      </c>
      <c r="J2842" t="inlineStr"/>
      <c r="K2842" t="inlineStr"/>
    </row>
    <row r="2843">
      <c r="A2843" s="7" t="inlineStr">
        <is>
          <t>2025-11-05</t>
        </is>
      </c>
      <c r="B2843" s="8">
        <f>IFERROR(VLOOKUP($A2843,'01-原始价格'!$A:$M,2,FALSE),"")</f>
        <v/>
      </c>
      <c r="C2843" s="8">
        <f>IFERROR(VLOOKUP($A2843,'01-原始价格'!$A:$M,8,FALSE),"")</f>
        <v/>
      </c>
      <c r="D2843" s="10">
        <f>IFERROR(B2843/C2843,"")</f>
        <v/>
      </c>
      <c r="E2843" s="10">
        <f>IFERROR(C2843/B2843,"")</f>
        <v/>
      </c>
      <c r="F2843" s="11">
        <f>IFERROR((D2843/D2842-1)*100,"")</f>
        <v/>
      </c>
      <c r="G2843" s="11">
        <f>IFERROR((COUNTIF($D$2592:$D$2843,"&lt;"&amp;D2843)+0.5*COUNTIF($D$2592:$D$2843,D2843))/COUNT($D$2592:$D$2843)*100,"")</f>
        <v/>
      </c>
      <c r="H2843" s="10">
        <f>IFERROR(AVERAGE($D$2592:$D$2843),"")</f>
        <v/>
      </c>
      <c r="I2843" s="10" t="n">
        <v>-1.468318447368884</v>
      </c>
      <c r="J2843" t="inlineStr"/>
      <c r="K2843" t="inlineStr"/>
    </row>
    <row r="2844">
      <c r="A2844" s="7" t="inlineStr">
        <is>
          <t>2025-11-06</t>
        </is>
      </c>
      <c r="B2844" s="8">
        <f>IFERROR(VLOOKUP($A2844,'01-原始价格'!$A:$M,2,FALSE),"")</f>
        <v/>
      </c>
      <c r="C2844" s="8">
        <f>IFERROR(VLOOKUP($A2844,'01-原始价格'!$A:$M,8,FALSE),"")</f>
        <v/>
      </c>
      <c r="D2844" s="10">
        <f>IFERROR(B2844/C2844,"")</f>
        <v/>
      </c>
      <c r="E2844" s="10">
        <f>IFERROR(C2844/B2844,"")</f>
        <v/>
      </c>
      <c r="F2844" s="11">
        <f>IFERROR((D2844/D2843-1)*100,"")</f>
        <v/>
      </c>
      <c r="G2844" s="11">
        <f>IFERROR((COUNTIF($D$2593:$D$2844,"&lt;"&amp;D2844)+0.5*COUNTIF($D$2593:$D$2844,D2844))/COUNT($D$2593:$D$2844)*100,"")</f>
        <v/>
      </c>
      <c r="H2844" s="10">
        <f>IFERROR(AVERAGE($D$2593:$D$2844),"")</f>
        <v/>
      </c>
      <c r="I2844" s="10" t="n">
        <v>-1.574214871858431</v>
      </c>
      <c r="J2844" t="inlineStr"/>
      <c r="K2844" t="inlineStr"/>
    </row>
    <row r="2845">
      <c r="A2845" s="7" t="inlineStr">
        <is>
          <t>2025-11-07</t>
        </is>
      </c>
      <c r="B2845" s="8">
        <f>IFERROR(VLOOKUP($A2845,'01-原始价格'!$A:$M,2,FALSE),"")</f>
        <v/>
      </c>
      <c r="C2845" s="8">
        <f>IFERROR(VLOOKUP($A2845,'01-原始价格'!$A:$M,8,FALSE),"")</f>
        <v/>
      </c>
      <c r="D2845" s="10">
        <f>IFERROR(B2845/C2845,"")</f>
        <v/>
      </c>
      <c r="E2845" s="10">
        <f>IFERROR(C2845/B2845,"")</f>
        <v/>
      </c>
      <c r="F2845" s="11">
        <f>IFERROR((D2845/D2844-1)*100,"")</f>
        <v/>
      </c>
      <c r="G2845" s="11">
        <f>IFERROR((COUNTIF($D$2594:$D$2845,"&lt;"&amp;D2845)+0.5*COUNTIF($D$2594:$D$2845,D2845))/COUNT($D$2594:$D$2845)*100,"")</f>
        <v/>
      </c>
      <c r="H2845" s="10">
        <f>IFERROR(AVERAGE($D$2594:$D$2845),"")</f>
        <v/>
      </c>
      <c r="I2845" s="10" t="n">
        <v>-1.652385149542716</v>
      </c>
      <c r="J2845" t="inlineStr"/>
      <c r="K2845" t="inlineStr"/>
    </row>
    <row r="2846">
      <c r="A2846" s="7" t="inlineStr">
        <is>
          <t>2025-11-10</t>
        </is>
      </c>
      <c r="B2846" s="8">
        <f>IFERROR(VLOOKUP($A2846,'01-原始价格'!$A:$M,2,FALSE),"")</f>
        <v/>
      </c>
      <c r="C2846" s="8">
        <f>IFERROR(VLOOKUP($A2846,'01-原始价格'!$A:$M,8,FALSE),"")</f>
        <v/>
      </c>
      <c r="D2846" s="10">
        <f>IFERROR(B2846/C2846,"")</f>
        <v/>
      </c>
      <c r="E2846" s="10">
        <f>IFERROR(C2846/B2846,"")</f>
        <v/>
      </c>
      <c r="F2846" s="11">
        <f>IFERROR((D2846/D2845-1)*100,"")</f>
        <v/>
      </c>
      <c r="G2846" s="11">
        <f>IFERROR((COUNTIF($D$2595:$D$2846,"&lt;"&amp;D2846)+0.5*COUNTIF($D$2595:$D$2846,D2846))/COUNT($D$2595:$D$2846)*100,"")</f>
        <v/>
      </c>
      <c r="H2846" s="10">
        <f>IFERROR(AVERAGE($D$2595:$D$2846),"")</f>
        <v/>
      </c>
      <c r="I2846" s="10" t="n">
        <v>-1.443347678553411</v>
      </c>
      <c r="J2846" t="inlineStr"/>
      <c r="K2846" t="inlineStr"/>
    </row>
    <row r="2847">
      <c r="A2847" s="7" t="inlineStr">
        <is>
          <t>2025-11-11</t>
        </is>
      </c>
      <c r="B2847" s="8">
        <f>IFERROR(VLOOKUP($A2847,'01-原始价格'!$A:$M,2,FALSE),"")</f>
        <v/>
      </c>
      <c r="C2847" s="8">
        <f>IFERROR(VLOOKUP($A2847,'01-原始价格'!$A:$M,8,FALSE),"")</f>
        <v/>
      </c>
      <c r="D2847" s="10">
        <f>IFERROR(B2847/C2847,"")</f>
        <v/>
      </c>
      <c r="E2847" s="10">
        <f>IFERROR(C2847/B2847,"")</f>
        <v/>
      </c>
      <c r="F2847" s="11">
        <f>IFERROR((D2847/D2846-1)*100,"")</f>
        <v/>
      </c>
      <c r="G2847" s="11">
        <f>IFERROR((COUNTIF($D$2596:$D$2847,"&lt;"&amp;D2847)+0.5*COUNTIF($D$2596:$D$2847,D2847))/COUNT($D$2596:$D$2847)*100,"")</f>
        <v/>
      </c>
      <c r="H2847" s="10">
        <f>IFERROR(AVERAGE($D$2596:$D$2847),"")</f>
        <v/>
      </c>
      <c r="I2847" s="10" t="n">
        <v>-1.567566056882066</v>
      </c>
      <c r="J2847" t="inlineStr"/>
      <c r="K2847" t="inlineStr"/>
    </row>
    <row r="2848">
      <c r="A2848" s="7" t="inlineStr">
        <is>
          <t>2025-11-12</t>
        </is>
      </c>
      <c r="B2848" s="8">
        <f>IFERROR(VLOOKUP($A2848,'01-原始价格'!$A:$M,2,FALSE),"")</f>
        <v/>
      </c>
      <c r="C2848" s="8">
        <f>IFERROR(VLOOKUP($A2848,'01-原始价格'!$A:$M,8,FALSE),"")</f>
        <v/>
      </c>
      <c r="D2848" s="10">
        <f>IFERROR(B2848/C2848,"")</f>
        <v/>
      </c>
      <c r="E2848" s="10">
        <f>IFERROR(C2848/B2848,"")</f>
        <v/>
      </c>
      <c r="F2848" s="11">
        <f>IFERROR((D2848/D2847-1)*100,"")</f>
        <v/>
      </c>
      <c r="G2848" s="11">
        <f>IFERROR((COUNTIF($D$2597:$D$2848,"&lt;"&amp;D2848)+0.5*COUNTIF($D$2597:$D$2848,D2848))/COUNT($D$2597:$D$2848)*100,"")</f>
        <v/>
      </c>
      <c r="H2848" s="10">
        <f>IFERROR(AVERAGE($D$2597:$D$2848),"")</f>
        <v/>
      </c>
      <c r="I2848" s="10" t="n">
        <v>-1.521231673379694</v>
      </c>
      <c r="J2848" t="inlineStr"/>
      <c r="K2848" t="inlineStr"/>
    </row>
    <row r="2849">
      <c r="A2849" s="7" t="inlineStr">
        <is>
          <t>2025-11-13</t>
        </is>
      </c>
      <c r="B2849" s="8">
        <f>IFERROR(VLOOKUP($A2849,'01-原始价格'!$A:$M,2,FALSE),"")</f>
        <v/>
      </c>
      <c r="C2849" s="8">
        <f>IFERROR(VLOOKUP($A2849,'01-原始价格'!$A:$M,8,FALSE),"")</f>
        <v/>
      </c>
      <c r="D2849" s="10">
        <f>IFERROR(B2849/C2849,"")</f>
        <v/>
      </c>
      <c r="E2849" s="10">
        <f>IFERROR(C2849/B2849,"")</f>
        <v/>
      </c>
      <c r="F2849" s="11">
        <f>IFERROR((D2849/D2848-1)*100,"")</f>
        <v/>
      </c>
      <c r="G2849" s="11">
        <f>IFERROR((COUNTIF($D$2598:$D$2849,"&lt;"&amp;D2849)+0.5*COUNTIF($D$2598:$D$2849,D2849))/COUNT($D$2598:$D$2849)*100,"")</f>
        <v/>
      </c>
      <c r="H2849" s="10">
        <f>IFERROR(AVERAGE($D$2598:$D$2849),"")</f>
        <v/>
      </c>
      <c r="I2849" s="10" t="n">
        <v>-1.326001670934518</v>
      </c>
      <c r="J2849" t="inlineStr"/>
      <c r="K2849" t="inlineStr"/>
    </row>
    <row r="2850">
      <c r="A2850" s="7" t="inlineStr">
        <is>
          <t>2025-11-14</t>
        </is>
      </c>
      <c r="B2850" s="8">
        <f>IFERROR(VLOOKUP($A2850,'01-原始价格'!$A:$M,2,FALSE),"")</f>
        <v/>
      </c>
      <c r="C2850" s="8">
        <f>IFERROR(VLOOKUP($A2850,'01-原始价格'!$A:$M,8,FALSE),"")</f>
        <v/>
      </c>
      <c r="D2850" s="10">
        <f>IFERROR(B2850/C2850,"")</f>
        <v/>
      </c>
      <c r="E2850" s="10">
        <f>IFERROR(C2850/B2850,"")</f>
        <v/>
      </c>
      <c r="F2850" s="11">
        <f>IFERROR((D2850/D2849-1)*100,"")</f>
        <v/>
      </c>
      <c r="G2850" s="11">
        <f>IFERROR((COUNTIF($D$2599:$D$2850,"&lt;"&amp;D2850)+0.5*COUNTIF($D$2599:$D$2850,D2850))/COUNT($D$2599:$D$2850)*100,"")</f>
        <v/>
      </c>
      <c r="H2850" s="10">
        <f>IFERROR(AVERAGE($D$2599:$D$2850),"")</f>
        <v/>
      </c>
      <c r="I2850" s="10" t="n">
        <v>-1.637023456171152</v>
      </c>
      <c r="J2850" t="inlineStr"/>
      <c r="K2850" t="inlineStr"/>
    </row>
    <row r="2851">
      <c r="A2851" s="7" t="inlineStr">
        <is>
          <t>2025-11-17</t>
        </is>
      </c>
      <c r="B2851" s="8">
        <f>IFERROR(VLOOKUP($A2851,'01-原始价格'!$A:$M,2,FALSE),"")</f>
        <v/>
      </c>
      <c r="C2851" s="8">
        <f>IFERROR(VLOOKUP($A2851,'01-原始价格'!$A:$M,8,FALSE),"")</f>
        <v/>
      </c>
      <c r="D2851" s="10">
        <f>IFERROR(B2851/C2851,"")</f>
        <v/>
      </c>
      <c r="E2851" s="10">
        <f>IFERROR(C2851/B2851,"")</f>
        <v/>
      </c>
      <c r="F2851" s="11">
        <f>IFERROR((D2851/D2850-1)*100,"")</f>
        <v/>
      </c>
      <c r="G2851" s="11">
        <f>IFERROR((COUNTIF($D$2600:$D$2851,"&lt;"&amp;D2851)+0.5*COUNTIF($D$2600:$D$2851,D2851))/COUNT($D$2600:$D$2851)*100,"")</f>
        <v/>
      </c>
      <c r="H2851" s="10">
        <f>IFERROR(AVERAGE($D$2600:$D$2851),"")</f>
        <v/>
      </c>
      <c r="I2851" s="10" t="n">
        <v>-1.554619181889434</v>
      </c>
      <c r="J2851" t="inlineStr"/>
      <c r="K2851" t="inlineStr"/>
    </row>
    <row r="2852">
      <c r="A2852" s="7" t="inlineStr">
        <is>
          <t>2025-11-18</t>
        </is>
      </c>
      <c r="B2852" s="8">
        <f>IFERROR(VLOOKUP($A2852,'01-原始价格'!$A:$M,2,FALSE),"")</f>
        <v/>
      </c>
      <c r="C2852" s="8">
        <f>IFERROR(VLOOKUP($A2852,'01-原始价格'!$A:$M,8,FALSE),"")</f>
        <v/>
      </c>
      <c r="D2852" s="10">
        <f>IFERROR(B2852/C2852,"")</f>
        <v/>
      </c>
      <c r="E2852" s="10">
        <f>IFERROR(C2852/B2852,"")</f>
        <v/>
      </c>
      <c r="F2852" s="11">
        <f>IFERROR((D2852/D2851-1)*100,"")</f>
        <v/>
      </c>
      <c r="G2852" s="11">
        <f>IFERROR((COUNTIF($D$2601:$D$2852,"&lt;"&amp;D2852)+0.5*COUNTIF($D$2601:$D$2852,D2852))/COUNT($D$2601:$D$2852)*100,"")</f>
        <v/>
      </c>
      <c r="H2852" s="10">
        <f>IFERROR(AVERAGE($D$2601:$D$2852),"")</f>
        <v/>
      </c>
      <c r="I2852" s="10" t="n">
        <v>-1.751746994236615</v>
      </c>
      <c r="J2852" t="inlineStr"/>
      <c r="K2852" t="inlineStr"/>
    </row>
    <row r="2853">
      <c r="A2853" s="7" t="inlineStr">
        <is>
          <t>2025-11-19</t>
        </is>
      </c>
      <c r="B2853" s="8">
        <f>IFERROR(VLOOKUP($A2853,'01-原始价格'!$A:$M,2,FALSE),"")</f>
        <v/>
      </c>
      <c r="C2853" s="8">
        <f>IFERROR(VLOOKUP($A2853,'01-原始价格'!$A:$M,8,FALSE),"")</f>
        <v/>
      </c>
      <c r="D2853" s="10">
        <f>IFERROR(B2853/C2853,"")</f>
        <v/>
      </c>
      <c r="E2853" s="10">
        <f>IFERROR(C2853/B2853,"")</f>
        <v/>
      </c>
      <c r="F2853" s="11">
        <f>IFERROR((D2853/D2852-1)*100,"")</f>
        <v/>
      </c>
      <c r="G2853" s="11">
        <f>IFERROR((COUNTIF($D$2602:$D$2853,"&lt;"&amp;D2853)+0.5*COUNTIF($D$2602:$D$2853,D2853))/COUNT($D$2602:$D$2853)*100,"")</f>
        <v/>
      </c>
      <c r="H2853" s="10">
        <f>IFERROR(AVERAGE($D$2602:$D$2853),"")</f>
        <v/>
      </c>
      <c r="I2853" s="10" t="n">
        <v>-1.733822074507896</v>
      </c>
      <c r="J2853" t="inlineStr"/>
      <c r="K2853" t="inlineStr"/>
    </row>
    <row r="2854">
      <c r="A2854" s="7" t="inlineStr">
        <is>
          <t>2025-11-20</t>
        </is>
      </c>
      <c r="B2854" s="8">
        <f>IFERROR(VLOOKUP($A2854,'01-原始价格'!$A:$M,2,FALSE),"")</f>
        <v/>
      </c>
      <c r="C2854" s="8">
        <f>IFERROR(VLOOKUP($A2854,'01-原始价格'!$A:$M,8,FALSE),"")</f>
        <v/>
      </c>
      <c r="D2854" s="10">
        <f>IFERROR(B2854/C2854,"")</f>
        <v/>
      </c>
      <c r="E2854" s="10">
        <f>IFERROR(C2854/B2854,"")</f>
        <v/>
      </c>
      <c r="F2854" s="11">
        <f>IFERROR((D2854/D2853-1)*100,"")</f>
        <v/>
      </c>
      <c r="G2854" s="11">
        <f>IFERROR((COUNTIF($D$2603:$D$2854,"&lt;"&amp;D2854)+0.5*COUNTIF($D$2603:$D$2854,D2854))/COUNT($D$2603:$D$2854)*100,"")</f>
        <v/>
      </c>
      <c r="H2854" s="10">
        <f>IFERROR(AVERAGE($D$2603:$D$2854),"")</f>
        <v/>
      </c>
      <c r="I2854" s="10" t="n">
        <v>-2.119767600558005</v>
      </c>
      <c r="J2854" t="inlineStr"/>
      <c r="K2854" t="inlineStr"/>
    </row>
    <row r="2855">
      <c r="A2855" s="7" t="inlineStr">
        <is>
          <t>2025-11-21</t>
        </is>
      </c>
      <c r="B2855" s="8">
        <f>IFERROR(VLOOKUP($A2855,'01-原始价格'!$A:$M,2,FALSE),"")</f>
        <v/>
      </c>
      <c r="C2855" s="8">
        <f>IFERROR(VLOOKUP($A2855,'01-原始价格'!$A:$M,8,FALSE),"")</f>
        <v/>
      </c>
      <c r="D2855" s="10">
        <f>IFERROR(B2855/C2855,"")</f>
        <v/>
      </c>
      <c r="E2855" s="10">
        <f>IFERROR(C2855/B2855,"")</f>
        <v/>
      </c>
      <c r="F2855" s="11">
        <f>IFERROR((D2855/D2854-1)*100,"")</f>
        <v/>
      </c>
      <c r="G2855" s="11">
        <f>IFERROR((COUNTIF($D$2604:$D$2855,"&lt;"&amp;D2855)+0.5*COUNTIF($D$2604:$D$2855,D2855))/COUNT($D$2604:$D$2855)*100,"")</f>
        <v/>
      </c>
      <c r="H2855" s="10">
        <f>IFERROR(AVERAGE($D$2604:$D$2855),"")</f>
        <v/>
      </c>
      <c r="I2855" s="10" t="n">
        <v>-1.893170005761389</v>
      </c>
      <c r="J2855" t="inlineStr"/>
      <c r="K2855" t="inlineStr"/>
    </row>
    <row r="2856">
      <c r="A2856" s="7" t="inlineStr">
        <is>
          <t>2025-11-24</t>
        </is>
      </c>
      <c r="B2856" s="8">
        <f>IFERROR(VLOOKUP($A2856,'01-原始价格'!$A:$M,2,FALSE),"")</f>
        <v/>
      </c>
      <c r="C2856" s="8">
        <f>IFERROR(VLOOKUP($A2856,'01-原始价格'!$A:$M,8,FALSE),"")</f>
        <v/>
      </c>
      <c r="D2856" s="10">
        <f>IFERROR(B2856/C2856,"")</f>
        <v/>
      </c>
      <c r="E2856" s="10">
        <f>IFERROR(C2856/B2856,"")</f>
        <v/>
      </c>
      <c r="F2856" s="11">
        <f>IFERROR((D2856/D2855-1)*100,"")</f>
        <v/>
      </c>
      <c r="G2856" s="11">
        <f>IFERROR((COUNTIF($D$2605:$D$2856,"&lt;"&amp;D2856)+0.5*COUNTIF($D$2605:$D$2856,D2856))/COUNT($D$2605:$D$2856)*100,"")</f>
        <v/>
      </c>
      <c r="H2856" s="10">
        <f>IFERROR(AVERAGE($D$2605:$D$2856),"")</f>
        <v/>
      </c>
      <c r="I2856" s="10" t="n">
        <v>-1.946760227128183</v>
      </c>
      <c r="J2856" t="inlineStr"/>
      <c r="K2856" t="inlineStr"/>
    </row>
    <row r="2857">
      <c r="A2857" s="7" t="inlineStr">
        <is>
          <t>2025-11-25</t>
        </is>
      </c>
      <c r="B2857" s="8">
        <f>IFERROR(VLOOKUP($A2857,'01-原始价格'!$A:$M,2,FALSE),"")</f>
        <v/>
      </c>
      <c r="C2857" s="8">
        <f>IFERROR(VLOOKUP($A2857,'01-原始价格'!$A:$M,8,FALSE),"")</f>
        <v/>
      </c>
      <c r="D2857" s="10">
        <f>IFERROR(B2857/C2857,"")</f>
        <v/>
      </c>
      <c r="E2857" s="10">
        <f>IFERROR(C2857/B2857,"")</f>
        <v/>
      </c>
      <c r="F2857" s="11">
        <f>IFERROR((D2857/D2856-1)*100,"")</f>
        <v/>
      </c>
      <c r="G2857" s="11">
        <f>IFERROR((COUNTIF($D$2606:$D$2857,"&lt;"&amp;D2857)+0.5*COUNTIF($D$2606:$D$2857,D2857))/COUNT($D$2606:$D$2857)*100,"")</f>
        <v/>
      </c>
      <c r="H2857" s="10">
        <f>IFERROR(AVERAGE($D$2606:$D$2857),"")</f>
        <v/>
      </c>
      <c r="I2857" s="10" t="n">
        <v>-2.228434871497014</v>
      </c>
      <c r="J2857" t="inlineStr"/>
      <c r="K2857" t="inlineStr"/>
    </row>
    <row r="2858">
      <c r="A2858" s="7" t="inlineStr">
        <is>
          <t>2025-11-26</t>
        </is>
      </c>
      <c r="B2858" s="8">
        <f>IFERROR(VLOOKUP($A2858,'01-原始价格'!$A:$M,2,FALSE),"")</f>
        <v/>
      </c>
      <c r="C2858" s="8">
        <f>IFERROR(VLOOKUP($A2858,'01-原始价格'!$A:$M,8,FALSE),"")</f>
        <v/>
      </c>
      <c r="D2858" s="10">
        <f>IFERROR(B2858/C2858,"")</f>
        <v/>
      </c>
      <c r="E2858" s="10">
        <f>IFERROR(C2858/B2858,"")</f>
        <v/>
      </c>
      <c r="F2858" s="11">
        <f>IFERROR((D2858/D2857-1)*100,"")</f>
        <v/>
      </c>
      <c r="G2858" s="11">
        <f>IFERROR((COUNTIF($D$2607:$D$2858,"&lt;"&amp;D2858)+0.5*COUNTIF($D$2607:$D$2858,D2858))/COUNT($D$2607:$D$2858)*100,"")</f>
        <v/>
      </c>
      <c r="H2858" s="10">
        <f>IFERROR(AVERAGE($D$2607:$D$2858),"")</f>
        <v/>
      </c>
      <c r="I2858" s="10" t="n">
        <v>-2.214352731399454</v>
      </c>
      <c r="J2858" t="inlineStr"/>
      <c r="K2858" t="inlineStr"/>
    </row>
    <row r="2859">
      <c r="A2859" s="7" t="inlineStr">
        <is>
          <t>2025-11-27</t>
        </is>
      </c>
      <c r="B2859" s="8">
        <f>IFERROR(VLOOKUP($A2859,'01-原始价格'!$A:$M,2,FALSE),"")</f>
        <v/>
      </c>
      <c r="C2859" s="8">
        <f>IFERROR(VLOOKUP($A2859,'01-原始价格'!$A:$M,8,FALSE),"")</f>
        <v/>
      </c>
      <c r="D2859" s="10">
        <f>IFERROR(B2859/C2859,"")</f>
        <v/>
      </c>
      <c r="E2859" s="10">
        <f>IFERROR(C2859/B2859,"")</f>
        <v/>
      </c>
      <c r="F2859" s="11">
        <f>IFERROR((D2859/D2858-1)*100,"")</f>
        <v/>
      </c>
      <c r="G2859" s="11">
        <f>IFERROR((COUNTIF($D$2608:$D$2859,"&lt;"&amp;D2859)+0.5*COUNTIF($D$2608:$D$2859,D2859))/COUNT($D$2608:$D$2859)*100,"")</f>
        <v/>
      </c>
      <c r="H2859" s="10">
        <f>IFERROR(AVERAGE($D$2608:$D$2859),"")</f>
        <v/>
      </c>
      <c r="I2859" s="10" t="n">
        <v>-1.764481483609365</v>
      </c>
      <c r="J2859" t="inlineStr"/>
      <c r="K2859" t="inlineStr"/>
    </row>
    <row r="2860">
      <c r="A2860" s="7" t="inlineStr">
        <is>
          <t>2025-11-28</t>
        </is>
      </c>
      <c r="B2860" s="8">
        <f>IFERROR(VLOOKUP($A2860,'01-原始价格'!$A:$M,2,FALSE),"")</f>
        <v/>
      </c>
      <c r="C2860" s="8">
        <f>IFERROR(VLOOKUP($A2860,'01-原始价格'!$A:$M,8,FALSE),"")</f>
        <v/>
      </c>
      <c r="D2860" s="10">
        <f>IFERROR(B2860/C2860,"")</f>
        <v/>
      </c>
      <c r="E2860" s="10">
        <f>IFERROR(C2860/B2860,"")</f>
        <v/>
      </c>
      <c r="F2860" s="11">
        <f>IFERROR((D2860/D2859-1)*100,"")</f>
        <v/>
      </c>
      <c r="G2860" s="11">
        <f>IFERROR((COUNTIF($D$2609:$D$2860,"&lt;"&amp;D2860)+0.5*COUNTIF($D$2609:$D$2860,D2860))/COUNT($D$2609:$D$2860)*100,"")</f>
        <v/>
      </c>
      <c r="H2860" s="10">
        <f>IFERROR(AVERAGE($D$2609:$D$2860),"")</f>
        <v/>
      </c>
      <c r="I2860" s="10" t="n">
        <v>-1.430596109367031</v>
      </c>
      <c r="J2860" t="inlineStr"/>
      <c r="K2860" t="inlineStr"/>
    </row>
    <row r="2861">
      <c r="A2861" s="7" t="inlineStr">
        <is>
          <t>2025-12-01</t>
        </is>
      </c>
      <c r="B2861" s="8">
        <f>IFERROR(VLOOKUP($A2861,'01-原始价格'!$A:$M,2,FALSE),"")</f>
        <v/>
      </c>
      <c r="C2861" s="8">
        <f>IFERROR(VLOOKUP($A2861,'01-原始价格'!$A:$M,8,FALSE),"")</f>
        <v/>
      </c>
      <c r="D2861" s="10">
        <f>IFERROR(B2861/C2861,"")</f>
        <v/>
      </c>
      <c r="E2861" s="10">
        <f>IFERROR(C2861/B2861,"")</f>
        <v/>
      </c>
      <c r="F2861" s="11">
        <f>IFERROR((D2861/D2860-1)*100,"")</f>
        <v/>
      </c>
      <c r="G2861" s="11">
        <f>IFERROR((COUNTIF($D$2610:$D$2861,"&lt;"&amp;D2861)+0.5*COUNTIF($D$2610:$D$2861,D2861))/COUNT($D$2610:$D$2861)*100,"")</f>
        <v/>
      </c>
      <c r="H2861" s="10">
        <f>IFERROR(AVERAGE($D$2610:$D$2861),"")</f>
        <v/>
      </c>
      <c r="I2861" s="10" t="n">
        <v>-1.704865798793806</v>
      </c>
      <c r="J2861" t="inlineStr"/>
      <c r="K2861" t="inlineStr"/>
    </row>
    <row r="2862">
      <c r="A2862" s="7" t="inlineStr">
        <is>
          <t>2025-12-02</t>
        </is>
      </c>
      <c r="B2862" s="8">
        <f>IFERROR(VLOOKUP($A2862,'01-原始价格'!$A:$M,2,FALSE),"")</f>
        <v/>
      </c>
      <c r="C2862" s="8">
        <f>IFERROR(VLOOKUP($A2862,'01-原始价格'!$A:$M,8,FALSE),"")</f>
        <v/>
      </c>
      <c r="D2862" s="10">
        <f>IFERROR(B2862/C2862,"")</f>
        <v/>
      </c>
      <c r="E2862" s="10">
        <f>IFERROR(C2862/B2862,"")</f>
        <v/>
      </c>
      <c r="F2862" s="11">
        <f>IFERROR((D2862/D2861-1)*100,"")</f>
        <v/>
      </c>
      <c r="G2862" s="11">
        <f>IFERROR((COUNTIF($D$2611:$D$2862,"&lt;"&amp;D2862)+0.5*COUNTIF($D$2611:$D$2862,D2862))/COUNT($D$2611:$D$2862)*100,"")</f>
        <v/>
      </c>
      <c r="H2862" s="10">
        <f>IFERROR(AVERAGE($D$2611:$D$2862),"")</f>
        <v/>
      </c>
      <c r="I2862" s="10" t="n">
        <v>-1.834630466981048</v>
      </c>
      <c r="J2862" t="inlineStr"/>
      <c r="K2862" t="inlineStr"/>
    </row>
    <row r="2863">
      <c r="A2863" s="7" t="inlineStr">
        <is>
          <t>2025-12-03</t>
        </is>
      </c>
      <c r="B2863" s="8">
        <f>IFERROR(VLOOKUP($A2863,'01-原始价格'!$A:$M,2,FALSE),"")</f>
        <v/>
      </c>
      <c r="C2863" s="8">
        <f>IFERROR(VLOOKUP($A2863,'01-原始价格'!$A:$M,8,FALSE),"")</f>
        <v/>
      </c>
      <c r="D2863" s="10">
        <f>IFERROR(B2863/C2863,"")</f>
        <v/>
      </c>
      <c r="E2863" s="10">
        <f>IFERROR(C2863/B2863,"")</f>
        <v/>
      </c>
      <c r="F2863" s="11">
        <f>IFERROR((D2863/D2862-1)*100,"")</f>
        <v/>
      </c>
      <c r="G2863" s="11">
        <f>IFERROR((COUNTIF($D$2612:$D$2863,"&lt;"&amp;D2863)+0.5*COUNTIF($D$2612:$D$2863,D2863))/COUNT($D$2612:$D$2863)*100,"")</f>
        <v/>
      </c>
      <c r="H2863" s="10">
        <f>IFERROR(AVERAGE($D$2612:$D$2863),"")</f>
        <v/>
      </c>
      <c r="I2863" s="10" t="n">
        <v>-1.927426142783347</v>
      </c>
      <c r="J2863" t="inlineStr"/>
      <c r="K2863" t="inlineStr"/>
    </row>
    <row r="2864">
      <c r="A2864" s="7" t="inlineStr">
        <is>
          <t>2025-12-04</t>
        </is>
      </c>
      <c r="B2864" s="8">
        <f>IFERROR(VLOOKUP($A2864,'01-原始价格'!$A:$M,2,FALSE),"")</f>
        <v/>
      </c>
      <c r="C2864" s="8">
        <f>IFERROR(VLOOKUP($A2864,'01-原始价格'!$A:$M,8,FALSE),"")</f>
        <v/>
      </c>
      <c r="D2864" s="10">
        <f>IFERROR(B2864/C2864,"")</f>
        <v/>
      </c>
      <c r="E2864" s="10">
        <f>IFERROR(C2864/B2864,"")</f>
        <v/>
      </c>
      <c r="F2864" s="11">
        <f>IFERROR((D2864/D2863-1)*100,"")</f>
        <v/>
      </c>
      <c r="G2864" s="11">
        <f>IFERROR((COUNTIF($D$2613:$D$2864,"&lt;"&amp;D2864)+0.5*COUNTIF($D$2613:$D$2864,D2864))/COUNT($D$2613:$D$2864)*100,"")</f>
        <v/>
      </c>
      <c r="H2864" s="10">
        <f>IFERROR(AVERAGE($D$2613:$D$2864),"")</f>
        <v/>
      </c>
      <c r="I2864" s="10" t="n">
        <v>-1.863719156844868</v>
      </c>
      <c r="J2864" t="inlineStr"/>
      <c r="K2864" t="inlineStr"/>
    </row>
    <row r="2865">
      <c r="A2865" s="7" t="inlineStr">
        <is>
          <t>2025-12-05</t>
        </is>
      </c>
      <c r="B2865" s="8">
        <f>IFERROR(VLOOKUP($A2865,'01-原始价格'!$A:$M,2,FALSE),"")</f>
        <v/>
      </c>
      <c r="C2865" s="8">
        <f>IFERROR(VLOOKUP($A2865,'01-原始价格'!$A:$M,8,FALSE),"")</f>
        <v/>
      </c>
      <c r="D2865" s="10">
        <f>IFERROR(B2865/C2865,"")</f>
        <v/>
      </c>
      <c r="E2865" s="10">
        <f>IFERROR(C2865/B2865,"")</f>
        <v/>
      </c>
      <c r="F2865" s="11">
        <f>IFERROR((D2865/D2864-1)*100,"")</f>
        <v/>
      </c>
      <c r="G2865" s="11">
        <f>IFERROR((COUNTIF($D$2614:$D$2865,"&lt;"&amp;D2865)+0.5*COUNTIF($D$2614:$D$2865,D2865))/COUNT($D$2614:$D$2865)*100,"")</f>
        <v/>
      </c>
      <c r="H2865" s="10">
        <f>IFERROR(AVERAGE($D$2614:$D$2865),"")</f>
        <v/>
      </c>
      <c r="I2865" s="10" t="n">
        <v>-1.56087764052587</v>
      </c>
      <c r="J2865" t="inlineStr"/>
      <c r="K2865" t="inlineStr"/>
    </row>
    <row r="2866">
      <c r="A2866" s="7" t="inlineStr">
        <is>
          <t>2025-12-08</t>
        </is>
      </c>
      <c r="B2866" s="8">
        <f>IFERROR(VLOOKUP($A2866,'01-原始价格'!$A:$M,2,FALSE),"")</f>
        <v/>
      </c>
      <c r="C2866" s="8">
        <f>IFERROR(VLOOKUP($A2866,'01-原始价格'!$A:$M,8,FALSE),"")</f>
        <v/>
      </c>
      <c r="D2866" s="10">
        <f>IFERROR(B2866/C2866,"")</f>
        <v/>
      </c>
      <c r="E2866" s="10">
        <f>IFERROR(C2866/B2866,"")</f>
        <v/>
      </c>
      <c r="F2866" s="11">
        <f>IFERROR((D2866/D2865-1)*100,"")</f>
        <v/>
      </c>
      <c r="G2866" s="11">
        <f>IFERROR((COUNTIF($D$2615:$D$2866,"&lt;"&amp;D2866)+0.5*COUNTIF($D$2615:$D$2866,D2866))/COUNT($D$2615:$D$2866)*100,"")</f>
        <v/>
      </c>
      <c r="H2866" s="10">
        <f>IFERROR(AVERAGE($D$2615:$D$2866),"")</f>
        <v/>
      </c>
      <c r="I2866" s="10" t="n">
        <v>-1.357634945761818</v>
      </c>
      <c r="J2866" t="inlineStr"/>
      <c r="K2866" t="inlineStr"/>
    </row>
    <row r="2867">
      <c r="A2867" s="7" t="inlineStr">
        <is>
          <t>2025-12-09</t>
        </is>
      </c>
      <c r="B2867" s="8">
        <f>IFERROR(VLOOKUP($A2867,'01-原始价格'!$A:$M,2,FALSE),"")</f>
        <v/>
      </c>
      <c r="C2867" s="8">
        <f>IFERROR(VLOOKUP($A2867,'01-原始价格'!$A:$M,8,FALSE),"")</f>
        <v/>
      </c>
      <c r="D2867" s="10">
        <f>IFERROR(B2867/C2867,"")</f>
        <v/>
      </c>
      <c r="E2867" s="10">
        <f>IFERROR(C2867/B2867,"")</f>
        <v/>
      </c>
      <c r="F2867" s="11">
        <f>IFERROR((D2867/D2866-1)*100,"")</f>
        <v/>
      </c>
      <c r="G2867" s="11">
        <f>IFERROR((COUNTIF($D$2616:$D$2867,"&lt;"&amp;D2867)+0.5*COUNTIF($D$2616:$D$2867,D2867))/COUNT($D$2616:$D$2867)*100,"")</f>
        <v/>
      </c>
      <c r="H2867" s="10">
        <f>IFERROR(AVERAGE($D$2616:$D$2867),"")</f>
        <v/>
      </c>
      <c r="I2867" s="10" t="n">
        <v>-1.347985672524856</v>
      </c>
      <c r="J2867" t="inlineStr"/>
      <c r="K2867" t="inlineStr"/>
    </row>
    <row r="2868">
      <c r="A2868" s="7" t="inlineStr">
        <is>
          <t>2025-12-10</t>
        </is>
      </c>
      <c r="B2868" s="8">
        <f>IFERROR(VLOOKUP($A2868,'01-原始价格'!$A:$M,2,FALSE),"")</f>
        <v/>
      </c>
      <c r="C2868" s="8">
        <f>IFERROR(VLOOKUP($A2868,'01-原始价格'!$A:$M,8,FALSE),"")</f>
        <v/>
      </c>
      <c r="D2868" s="10">
        <f>IFERROR(B2868/C2868,"")</f>
        <v/>
      </c>
      <c r="E2868" s="10">
        <f>IFERROR(C2868/B2868,"")</f>
        <v/>
      </c>
      <c r="F2868" s="11">
        <f>IFERROR((D2868/D2867-1)*100,"")</f>
        <v/>
      </c>
      <c r="G2868" s="11">
        <f>IFERROR((COUNTIF($D$2617:$D$2868,"&lt;"&amp;D2868)+0.5*COUNTIF($D$2617:$D$2868,D2868))/COUNT($D$2617:$D$2868)*100,"")</f>
        <v/>
      </c>
      <c r="H2868" s="10">
        <f>IFERROR(AVERAGE($D$2617:$D$2868),"")</f>
        <v/>
      </c>
      <c r="I2868" s="10" t="n">
        <v>-2.195844402496358</v>
      </c>
      <c r="J2868" t="inlineStr"/>
      <c r="K2868" s="12" t="inlineStr">
        <is>
          <t>是</t>
        </is>
      </c>
      <c r="L2868" t="inlineStr">
        <is>
          <t>换月日</t>
        </is>
      </c>
    </row>
    <row r="2869">
      <c r="A2869" s="7" t="inlineStr">
        <is>
          <t>2025-12-11</t>
        </is>
      </c>
      <c r="B2869" s="8">
        <f>IFERROR(VLOOKUP($A2869,'01-原始价格'!$A:$M,2,FALSE),"")</f>
        <v/>
      </c>
      <c r="C2869" s="8">
        <f>IFERROR(VLOOKUP($A2869,'01-原始价格'!$A:$M,8,FALSE),"")</f>
        <v/>
      </c>
      <c r="D2869" s="10">
        <f>IFERROR(B2869/C2869,"")</f>
        <v/>
      </c>
      <c r="E2869" s="10">
        <f>IFERROR(C2869/B2869,"")</f>
        <v/>
      </c>
      <c r="F2869" s="11">
        <f>IFERROR((D2869/D2868-1)*100,"")</f>
        <v/>
      </c>
      <c r="G2869" s="11">
        <f>IFERROR((COUNTIF($D$2618:$D$2869,"&lt;"&amp;D2869)+0.5*COUNTIF($D$2618:$D$2869,D2869))/COUNT($D$2618:$D$2869)*100,"")</f>
        <v/>
      </c>
      <c r="H2869" s="10">
        <f>IFERROR(AVERAGE($D$2618:$D$2869),"")</f>
        <v/>
      </c>
      <c r="I2869" s="10" t="n">
        <v>-1.550769818175125</v>
      </c>
      <c r="J2869" t="inlineStr"/>
      <c r="K2869" t="inlineStr"/>
    </row>
    <row r="2870">
      <c r="A2870" s="7" t="inlineStr">
        <is>
          <t>2025-12-12</t>
        </is>
      </c>
      <c r="B2870" s="8">
        <f>IFERROR(VLOOKUP($A2870,'01-原始价格'!$A:$M,2,FALSE),"")</f>
        <v/>
      </c>
      <c r="C2870" s="8">
        <f>IFERROR(VLOOKUP($A2870,'01-原始价格'!$A:$M,8,FALSE),"")</f>
        <v/>
      </c>
      <c r="D2870" s="10">
        <f>IFERROR(B2870/C2870,"")</f>
        <v/>
      </c>
      <c r="E2870" s="10">
        <f>IFERROR(C2870/B2870,"")</f>
        <v/>
      </c>
      <c r="F2870" s="11">
        <f>IFERROR((D2870/D2869-1)*100,"")</f>
        <v/>
      </c>
      <c r="G2870" s="11">
        <f>IFERROR((COUNTIF($D$2619:$D$2870,"&lt;"&amp;D2870)+0.5*COUNTIF($D$2619:$D$2870,D2870))/COUNT($D$2619:$D$2870)*100,"")</f>
        <v/>
      </c>
      <c r="H2870" s="10">
        <f>IFERROR(AVERAGE($D$2619:$D$2870),"")</f>
        <v/>
      </c>
      <c r="I2870" s="10" t="n">
        <v>-0.7939384266864148</v>
      </c>
      <c r="J2870" t="inlineStr"/>
      <c r="K2870" s="12" t="inlineStr">
        <is>
          <t>是</t>
        </is>
      </c>
      <c r="L2870" t="inlineStr">
        <is>
          <t>换月日</t>
        </is>
      </c>
    </row>
    <row r="2871">
      <c r="A2871" s="7" t="inlineStr">
        <is>
          <t>2025-12-15</t>
        </is>
      </c>
      <c r="B2871" s="8">
        <f>IFERROR(VLOOKUP($A2871,'01-原始价格'!$A:$M,2,FALSE),"")</f>
        <v/>
      </c>
      <c r="C2871" s="8">
        <f>IFERROR(VLOOKUP($A2871,'01-原始价格'!$A:$M,8,FALSE),"")</f>
        <v/>
      </c>
      <c r="D2871" s="10">
        <f>IFERROR(B2871/C2871,"")</f>
        <v/>
      </c>
      <c r="E2871" s="10">
        <f>IFERROR(C2871/B2871,"")</f>
        <v/>
      </c>
      <c r="F2871" s="11">
        <f>IFERROR((D2871/D2870-1)*100,"")</f>
        <v/>
      </c>
      <c r="G2871" s="11">
        <f>IFERROR((COUNTIF($D$2620:$D$2871,"&lt;"&amp;D2871)+0.5*COUNTIF($D$2620:$D$2871,D2871))/COUNT($D$2620:$D$2871)*100,"")</f>
        <v/>
      </c>
      <c r="H2871" s="10">
        <f>IFERROR(AVERAGE($D$2620:$D$2871),"")</f>
        <v/>
      </c>
      <c r="I2871" s="10" t="n">
        <v>-0.5316306431625374</v>
      </c>
      <c r="J2871" t="inlineStr"/>
      <c r="K2871" t="inlineStr"/>
    </row>
    <row r="2872">
      <c r="A2872" s="7" t="inlineStr">
        <is>
          <t>2025-12-16</t>
        </is>
      </c>
      <c r="B2872" s="8">
        <f>IFERROR(VLOOKUP($A2872,'01-原始价格'!$A:$M,2,FALSE),"")</f>
        <v/>
      </c>
      <c r="C2872" s="8">
        <f>IFERROR(VLOOKUP($A2872,'01-原始价格'!$A:$M,8,FALSE),"")</f>
        <v/>
      </c>
      <c r="D2872" s="10">
        <f>IFERROR(B2872/C2872,"")</f>
        <v/>
      </c>
      <c r="E2872" s="10">
        <f>IFERROR(C2872/B2872,"")</f>
        <v/>
      </c>
      <c r="F2872" s="11">
        <f>IFERROR((D2872/D2871-1)*100,"")</f>
        <v/>
      </c>
      <c r="G2872" s="11">
        <f>IFERROR((COUNTIF($D$2621:$D$2872,"&lt;"&amp;D2872)+0.5*COUNTIF($D$2621:$D$2872,D2872))/COUNT($D$2621:$D$2872)*100,"")</f>
        <v/>
      </c>
      <c r="H2872" s="10">
        <f>IFERROR(AVERAGE($D$2621:$D$2872),"")</f>
        <v/>
      </c>
      <c r="I2872" s="10" t="n">
        <v>-0.3374973448538968</v>
      </c>
      <c r="J2872" t="inlineStr"/>
      <c r="K2872" t="inlineStr"/>
    </row>
    <row r="2873">
      <c r="A2873" s="7" t="inlineStr">
        <is>
          <t>2025-12-17</t>
        </is>
      </c>
      <c r="B2873" s="8">
        <f>IFERROR(VLOOKUP($A2873,'01-原始价格'!$A:$M,2,FALSE),"")</f>
        <v/>
      </c>
      <c r="C2873" s="8">
        <f>IFERROR(VLOOKUP($A2873,'01-原始价格'!$A:$M,8,FALSE),"")</f>
        <v/>
      </c>
      <c r="D2873" s="10">
        <f>IFERROR(B2873/C2873,"")</f>
        <v/>
      </c>
      <c r="E2873" s="10">
        <f>IFERROR(C2873/B2873,"")</f>
        <v/>
      </c>
      <c r="F2873" s="11">
        <f>IFERROR((D2873/D2872-1)*100,"")</f>
        <v/>
      </c>
      <c r="G2873" s="11">
        <f>IFERROR((COUNTIF($D$2622:$D$2873,"&lt;"&amp;D2873)+0.5*COUNTIF($D$2622:$D$2873,D2873))/COUNT($D$2622:$D$2873)*100,"")</f>
        <v/>
      </c>
      <c r="H2873" s="10">
        <f>IFERROR(AVERAGE($D$2622:$D$2873),"")</f>
        <v/>
      </c>
      <c r="I2873" s="10" t="n">
        <v>0.4507783400504285</v>
      </c>
      <c r="J2873" t="inlineStr"/>
      <c r="K2873" t="inlineStr"/>
    </row>
    <row r="2874">
      <c r="A2874" s="7" t="inlineStr">
        <is>
          <t>2025-12-18</t>
        </is>
      </c>
      <c r="B2874" s="8">
        <f>IFERROR(VLOOKUP($A2874,'01-原始价格'!$A:$M,2,FALSE),"")</f>
        <v/>
      </c>
      <c r="C2874" s="8">
        <f>IFERROR(VLOOKUP($A2874,'01-原始价格'!$A:$M,8,FALSE),"")</f>
        <v/>
      </c>
      <c r="D2874" s="10">
        <f>IFERROR(B2874/C2874,"")</f>
        <v/>
      </c>
      <c r="E2874" s="10">
        <f>IFERROR(C2874/B2874,"")</f>
        <v/>
      </c>
      <c r="F2874" s="11">
        <f>IFERROR((D2874/D2873-1)*100,"")</f>
        <v/>
      </c>
      <c r="G2874" s="11">
        <f>IFERROR((COUNTIF($D$2623:$D$2874,"&lt;"&amp;D2874)+0.5*COUNTIF($D$2623:$D$2874,D2874))/COUNT($D$2623:$D$2874)*100,"")</f>
        <v/>
      </c>
      <c r="H2874" s="10">
        <f>IFERROR(AVERAGE($D$2623:$D$2874),"")</f>
        <v/>
      </c>
      <c r="I2874" s="10" t="n">
        <v>0.8539784660015658</v>
      </c>
      <c r="J2874" t="inlineStr"/>
      <c r="K2874" t="inlineStr"/>
    </row>
    <row r="2875">
      <c r="A2875" s="7" t="inlineStr">
        <is>
          <t>2025-12-19</t>
        </is>
      </c>
      <c r="B2875" s="8">
        <f>IFERROR(VLOOKUP($A2875,'01-原始价格'!$A:$M,2,FALSE),"")</f>
        <v/>
      </c>
      <c r="C2875" s="8">
        <f>IFERROR(VLOOKUP($A2875,'01-原始价格'!$A:$M,8,FALSE),"")</f>
        <v/>
      </c>
      <c r="D2875" s="10">
        <f>IFERROR(B2875/C2875,"")</f>
        <v/>
      </c>
      <c r="E2875" s="10">
        <f>IFERROR(C2875/B2875,"")</f>
        <v/>
      </c>
      <c r="F2875" s="11">
        <f>IFERROR((D2875/D2874-1)*100,"")</f>
        <v/>
      </c>
      <c r="G2875" s="11">
        <f>IFERROR((COUNTIF($D$2624:$D$2875,"&lt;"&amp;D2875)+0.5*COUNTIF($D$2624:$D$2875,D2875))/COUNT($D$2624:$D$2875)*100,"")</f>
        <v/>
      </c>
      <c r="H2875" s="10">
        <f>IFERROR(AVERAGE($D$2624:$D$2875),"")</f>
        <v/>
      </c>
      <c r="I2875" s="10" t="n">
        <v>2.040655123244008</v>
      </c>
      <c r="J2875" t="inlineStr"/>
      <c r="K2875" t="inlineStr"/>
    </row>
    <row r="2876">
      <c r="A2876" s="7" t="inlineStr">
        <is>
          <t>2025-12-22</t>
        </is>
      </c>
      <c r="B2876" s="8">
        <f>IFERROR(VLOOKUP($A2876,'01-原始价格'!$A:$M,2,FALSE),"")</f>
        <v/>
      </c>
      <c r="C2876" s="8">
        <f>IFERROR(VLOOKUP($A2876,'01-原始价格'!$A:$M,8,FALSE),"")</f>
        <v/>
      </c>
      <c r="D2876" s="10">
        <f>IFERROR(B2876/C2876,"")</f>
        <v/>
      </c>
      <c r="E2876" s="10">
        <f>IFERROR(C2876/B2876,"")</f>
        <v/>
      </c>
      <c r="F2876" s="11">
        <f>IFERROR((D2876/D2875-1)*100,"")</f>
        <v/>
      </c>
      <c r="G2876" s="11">
        <f>IFERROR((COUNTIF($D$2625:$D$2876,"&lt;"&amp;D2876)+0.5*COUNTIF($D$2625:$D$2876,D2876))/COUNT($D$2625:$D$2876)*100,"")</f>
        <v/>
      </c>
      <c r="H2876" s="10">
        <f>IFERROR(AVERAGE($D$2625:$D$2876),"")</f>
        <v/>
      </c>
      <c r="I2876" s="10" t="n">
        <v>1.824193257338577</v>
      </c>
      <c r="J2876" t="inlineStr"/>
      <c r="K2876" t="inlineStr"/>
    </row>
    <row r="2877">
      <c r="A2877" s="7" t="inlineStr">
        <is>
          <t>2025-12-23</t>
        </is>
      </c>
      <c r="B2877" s="8">
        <f>IFERROR(VLOOKUP($A2877,'01-原始价格'!$A:$M,2,FALSE),"")</f>
        <v/>
      </c>
      <c r="C2877" s="8">
        <f>IFERROR(VLOOKUP($A2877,'01-原始价格'!$A:$M,8,FALSE),"")</f>
        <v/>
      </c>
      <c r="D2877" s="10">
        <f>IFERROR(B2877/C2877,"")</f>
        <v/>
      </c>
      <c r="E2877" s="10">
        <f>IFERROR(C2877/B2877,"")</f>
        <v/>
      </c>
      <c r="F2877" s="11">
        <f>IFERROR((D2877/D2876-1)*100,"")</f>
        <v/>
      </c>
      <c r="G2877" s="11">
        <f>IFERROR((COUNTIF($D$2626:$D$2877,"&lt;"&amp;D2877)+0.5*COUNTIF($D$2626:$D$2877,D2877))/COUNT($D$2626:$D$2877)*100,"")</f>
        <v/>
      </c>
      <c r="H2877" s="10">
        <f>IFERROR(AVERAGE($D$2626:$D$2877),"")</f>
        <v/>
      </c>
      <c r="I2877" s="10" t="n">
        <v>1.601836817858577</v>
      </c>
      <c r="J2877" t="inlineStr"/>
      <c r="K2877" t="inlineStr"/>
    </row>
    <row r="2878">
      <c r="A2878" s="7" t="inlineStr">
        <is>
          <t>2025-12-24</t>
        </is>
      </c>
      <c r="B2878" s="8">
        <f>IFERROR(VLOOKUP($A2878,'01-原始价格'!$A:$M,2,FALSE),"")</f>
        <v/>
      </c>
      <c r="C2878" s="8">
        <f>IFERROR(VLOOKUP($A2878,'01-原始价格'!$A:$M,8,FALSE),"")</f>
        <v/>
      </c>
      <c r="D2878" s="10">
        <f>IFERROR(B2878/C2878,"")</f>
        <v/>
      </c>
      <c r="E2878" s="10">
        <f>IFERROR(C2878/B2878,"")</f>
        <v/>
      </c>
      <c r="F2878" s="11">
        <f>IFERROR((D2878/D2877-1)*100,"")</f>
        <v/>
      </c>
      <c r="G2878" s="11">
        <f>IFERROR((COUNTIF($D$2627:$D$2878,"&lt;"&amp;D2878)+0.5*COUNTIF($D$2627:$D$2878,D2878))/COUNT($D$2627:$D$2878)*100,"")</f>
        <v/>
      </c>
      <c r="H2878" s="10">
        <f>IFERROR(AVERAGE($D$2627:$D$2878),"")</f>
        <v/>
      </c>
      <c r="I2878" s="10" t="n">
        <v>1.745362402776279</v>
      </c>
      <c r="J2878" t="inlineStr"/>
      <c r="K2878" t="inlineStr"/>
    </row>
    <row r="2879">
      <c r="A2879" s="7" t="inlineStr">
        <is>
          <t>2025-12-25</t>
        </is>
      </c>
      <c r="B2879" s="8">
        <f>IFERROR(VLOOKUP($A2879,'01-原始价格'!$A:$M,2,FALSE),"")</f>
        <v/>
      </c>
      <c r="C2879" s="8">
        <f>IFERROR(VLOOKUP($A2879,'01-原始价格'!$A:$M,8,FALSE),"")</f>
        <v/>
      </c>
      <c r="D2879" s="10">
        <f>IFERROR(B2879/C2879,"")</f>
        <v/>
      </c>
      <c r="E2879" s="10">
        <f>IFERROR(C2879/B2879,"")</f>
        <v/>
      </c>
      <c r="F2879" s="11">
        <f>IFERROR((D2879/D2878-1)*100,"")</f>
        <v/>
      </c>
      <c r="G2879" s="11">
        <f>IFERROR((COUNTIF($D$2628:$D$2879,"&lt;"&amp;D2879)+0.5*COUNTIF($D$2628:$D$2879,D2879))/COUNT($D$2628:$D$2879)*100,"")</f>
        <v/>
      </c>
      <c r="H2879" s="10">
        <f>IFERROR(AVERAGE($D$2628:$D$2879),"")</f>
        <v/>
      </c>
      <c r="I2879" s="10" t="n">
        <v>1.822935717692861</v>
      </c>
      <c r="J2879" t="inlineStr"/>
      <c r="K2879" t="inlineStr"/>
    </row>
    <row r="2880">
      <c r="A2880" s="7" t="inlineStr">
        <is>
          <t>2025-12-26</t>
        </is>
      </c>
      <c r="B2880" s="8">
        <f>IFERROR(VLOOKUP($A2880,'01-原始价格'!$A:$M,2,FALSE),"")</f>
        <v/>
      </c>
      <c r="C2880" s="8">
        <f>IFERROR(VLOOKUP($A2880,'01-原始价格'!$A:$M,8,FALSE),"")</f>
        <v/>
      </c>
      <c r="D2880" s="10">
        <f>IFERROR(B2880/C2880,"")</f>
        <v/>
      </c>
      <c r="E2880" s="10">
        <f>IFERROR(C2880/B2880,"")</f>
        <v/>
      </c>
      <c r="F2880" s="11">
        <f>IFERROR((D2880/D2879-1)*100,"")</f>
        <v/>
      </c>
      <c r="G2880" s="11">
        <f>IFERROR((COUNTIF($D$2629:$D$2880,"&lt;"&amp;D2880)+0.5*COUNTIF($D$2629:$D$2880,D2880))/COUNT($D$2629:$D$2880)*100,"")</f>
        <v/>
      </c>
      <c r="H2880" s="10">
        <f>IFERROR(AVERAGE($D$2629:$D$2880),"")</f>
        <v/>
      </c>
      <c r="I2880" s="10" t="n">
        <v>1.175994301067902</v>
      </c>
      <c r="J2880" t="inlineStr"/>
      <c r="K2880" t="inlineStr"/>
    </row>
    <row r="2881">
      <c r="A2881" s="7" t="inlineStr">
        <is>
          <t>2025-12-29</t>
        </is>
      </c>
      <c r="B2881" s="8">
        <f>IFERROR(VLOOKUP($A2881,'01-原始价格'!$A:$M,2,FALSE),"")</f>
        <v/>
      </c>
      <c r="C2881" s="8">
        <f>IFERROR(VLOOKUP($A2881,'01-原始价格'!$A:$M,8,FALSE),"")</f>
        <v/>
      </c>
      <c r="D2881" s="10">
        <f>IFERROR(B2881/C2881,"")</f>
        <v/>
      </c>
      <c r="E2881" s="10">
        <f>IFERROR(C2881/B2881,"")</f>
        <v/>
      </c>
      <c r="F2881" s="11">
        <f>IFERROR((D2881/D2880-1)*100,"")</f>
        <v/>
      </c>
      <c r="G2881" s="11">
        <f>IFERROR((COUNTIF($D$2630:$D$2881,"&lt;"&amp;D2881)+0.5*COUNTIF($D$2630:$D$2881,D2881))/COUNT($D$2630:$D$2881)*100,"")</f>
        <v/>
      </c>
      <c r="H2881" s="10">
        <f>IFERROR(AVERAGE($D$2630:$D$2881),"")</f>
        <v/>
      </c>
      <c r="I2881" s="10" t="n">
        <v>1.089822689683695</v>
      </c>
      <c r="J2881" t="inlineStr"/>
      <c r="K2881" t="inlineStr"/>
    </row>
    <row r="2882">
      <c r="A2882" s="7" t="inlineStr">
        <is>
          <t>2025-12-30</t>
        </is>
      </c>
      <c r="B2882" s="8">
        <f>IFERROR(VLOOKUP($A2882,'01-原始价格'!$A:$M,2,FALSE),"")</f>
        <v/>
      </c>
      <c r="C2882" s="8">
        <f>IFERROR(VLOOKUP($A2882,'01-原始价格'!$A:$M,8,FALSE),"")</f>
        <v/>
      </c>
      <c r="D2882" s="10">
        <f>IFERROR(B2882/C2882,"")</f>
        <v/>
      </c>
      <c r="E2882" s="10">
        <f>IFERROR(C2882/B2882,"")</f>
        <v/>
      </c>
      <c r="F2882" s="11">
        <f>IFERROR((D2882/D2881-1)*100,"")</f>
        <v/>
      </c>
      <c r="G2882" s="11">
        <f>IFERROR((COUNTIF($D$2631:$D$2882,"&lt;"&amp;D2882)+0.5*COUNTIF($D$2631:$D$2882,D2882))/COUNT($D$2631:$D$2882)*100,"")</f>
        <v/>
      </c>
      <c r="H2882" s="10">
        <f>IFERROR(AVERAGE($D$2631:$D$2882),"")</f>
        <v/>
      </c>
      <c r="I2882" s="10" t="n">
        <v>1.623847335886847</v>
      </c>
      <c r="J2882" t="inlineStr"/>
      <c r="K2882" t="inlineStr"/>
    </row>
    <row r="2883">
      <c r="A2883" s="7" t="inlineStr">
        <is>
          <t>2025-12-31</t>
        </is>
      </c>
      <c r="B2883" s="8">
        <f>IFERROR(VLOOKUP($A2883,'01-原始价格'!$A:$M,2,FALSE),"")</f>
        <v/>
      </c>
      <c r="C2883" s="8">
        <f>IFERROR(VLOOKUP($A2883,'01-原始价格'!$A:$M,8,FALSE),"")</f>
        <v/>
      </c>
      <c r="D2883" s="10">
        <f>IFERROR(B2883/C2883,"")</f>
        <v/>
      </c>
      <c r="E2883" s="10">
        <f>IFERROR(C2883/B2883,"")</f>
        <v/>
      </c>
      <c r="F2883" s="11">
        <f>IFERROR((D2883/D2882-1)*100,"")</f>
        <v/>
      </c>
      <c r="G2883" s="11">
        <f>IFERROR((COUNTIF($D$2632:$D$2883,"&lt;"&amp;D2883)+0.5*COUNTIF($D$2632:$D$2883,D2883))/COUNT($D$2632:$D$2883)*100,"")</f>
        <v/>
      </c>
      <c r="H2883" s="10">
        <f>IFERROR(AVERAGE($D$2632:$D$2883),"")</f>
        <v/>
      </c>
      <c r="I2883" s="10" t="n">
        <v>1.844564319674436</v>
      </c>
      <c r="J2883" t="inlineStr"/>
      <c r="K2883" t="inlineStr"/>
    </row>
    <row r="2884">
      <c r="A2884" s="7" t="inlineStr">
        <is>
          <t>2026-01-05</t>
        </is>
      </c>
      <c r="B2884" s="8">
        <f>IFERROR(VLOOKUP($A2884,'01-原始价格'!$A:$M,2,FALSE),"")</f>
        <v/>
      </c>
      <c r="C2884" s="8">
        <f>IFERROR(VLOOKUP($A2884,'01-原始价格'!$A:$M,8,FALSE),"")</f>
        <v/>
      </c>
      <c r="D2884" s="10">
        <f>IFERROR(B2884/C2884,"")</f>
        <v/>
      </c>
      <c r="E2884" s="10">
        <f>IFERROR(C2884/B2884,"")</f>
        <v/>
      </c>
      <c r="F2884" s="11">
        <f>IFERROR((D2884/D2883-1)*100,"")</f>
        <v/>
      </c>
      <c r="G2884" s="11">
        <f>IFERROR((COUNTIF($D$2633:$D$2884,"&lt;"&amp;D2884)+0.5*COUNTIF($D$2633:$D$2884,D2884))/COUNT($D$2633:$D$2884)*100,"")</f>
        <v/>
      </c>
      <c r="H2884" s="10">
        <f>IFERROR(AVERAGE($D$2633:$D$2884),"")</f>
        <v/>
      </c>
      <c r="I2884" s="10" t="n">
        <v>1.906757271092153</v>
      </c>
      <c r="J2884" t="inlineStr"/>
      <c r="K2884" t="inlineStr"/>
    </row>
    <row r="2885">
      <c r="A2885" s="7" t="inlineStr">
        <is>
          <t>2026-01-06</t>
        </is>
      </c>
      <c r="B2885" s="8">
        <f>IFERROR(VLOOKUP($A2885,'01-原始价格'!$A:$M,2,FALSE),"")</f>
        <v/>
      </c>
      <c r="C2885" s="8">
        <f>IFERROR(VLOOKUP($A2885,'01-原始价格'!$A:$M,8,FALSE),"")</f>
        <v/>
      </c>
      <c r="D2885" s="10">
        <f>IFERROR(B2885/C2885,"")</f>
        <v/>
      </c>
      <c r="E2885" s="10">
        <f>IFERROR(C2885/B2885,"")</f>
        <v/>
      </c>
      <c r="F2885" s="11">
        <f>IFERROR((D2885/D2884-1)*100,"")</f>
        <v/>
      </c>
      <c r="G2885" s="11">
        <f>IFERROR((COUNTIF($D$2634:$D$2885,"&lt;"&amp;D2885)+0.5*COUNTIF($D$2634:$D$2885,D2885))/COUNT($D$2634:$D$2885)*100,"")</f>
        <v/>
      </c>
      <c r="H2885" s="10">
        <f>IFERROR(AVERAGE($D$2634:$D$2885),"")</f>
        <v/>
      </c>
      <c r="I2885" s="10" t="n">
        <v>1.444095855733672</v>
      </c>
      <c r="J2885" t="inlineStr"/>
      <c r="K2885" t="inlineStr"/>
    </row>
    <row r="2886">
      <c r="A2886" s="7" t="inlineStr">
        <is>
          <t>2026-01-07</t>
        </is>
      </c>
      <c r="B2886" s="8">
        <f>IFERROR(VLOOKUP($A2886,'01-原始价格'!$A:$M,2,FALSE),"")</f>
        <v/>
      </c>
      <c r="C2886" s="8">
        <f>IFERROR(VLOOKUP($A2886,'01-原始价格'!$A:$M,8,FALSE),"")</f>
        <v/>
      </c>
      <c r="D2886" s="10">
        <f>IFERROR(B2886/C2886,"")</f>
        <v/>
      </c>
      <c r="E2886" s="10">
        <f>IFERROR(C2886/B2886,"")</f>
        <v/>
      </c>
      <c r="F2886" s="11">
        <f>IFERROR((D2886/D2885-1)*100,"")</f>
        <v/>
      </c>
      <c r="G2886" s="11">
        <f>IFERROR((COUNTIF($D$2635:$D$2886,"&lt;"&amp;D2886)+0.5*COUNTIF($D$2635:$D$2886,D2886))/COUNT($D$2635:$D$2886)*100,"")</f>
        <v/>
      </c>
      <c r="H2886" s="10">
        <f>IFERROR(AVERAGE($D$2635:$D$2886),"")</f>
        <v/>
      </c>
      <c r="I2886" s="10" t="n">
        <v>1.463880974792069</v>
      </c>
      <c r="J2886" t="inlineStr"/>
      <c r="K2886" t="inlineStr"/>
    </row>
    <row r="2887">
      <c r="A2887" s="7" t="inlineStr">
        <is>
          <t>2026-01-08</t>
        </is>
      </c>
      <c r="B2887" s="8">
        <f>IFERROR(VLOOKUP($A2887,'01-原始价格'!$A:$M,2,FALSE),"")</f>
        <v/>
      </c>
      <c r="C2887" s="8">
        <f>IFERROR(VLOOKUP($A2887,'01-原始价格'!$A:$M,8,FALSE),"")</f>
        <v/>
      </c>
      <c r="D2887" s="10">
        <f>IFERROR(B2887/C2887,"")</f>
        <v/>
      </c>
      <c r="E2887" s="10">
        <f>IFERROR(C2887/B2887,"")</f>
        <v/>
      </c>
      <c r="F2887" s="11">
        <f>IFERROR((D2887/D2886-1)*100,"")</f>
        <v/>
      </c>
      <c r="G2887" s="11">
        <f>IFERROR((COUNTIF($D$2636:$D$2887,"&lt;"&amp;D2887)+0.5*COUNTIF($D$2636:$D$2887,D2887))/COUNT($D$2636:$D$2887)*100,"")</f>
        <v/>
      </c>
      <c r="H2887" s="10">
        <f>IFERROR(AVERAGE($D$2636:$D$2887),"")</f>
        <v/>
      </c>
      <c r="I2887" s="10" t="n">
        <v>1.618785701865153</v>
      </c>
      <c r="J2887" t="inlineStr"/>
      <c r="K2887" t="inlineStr"/>
    </row>
    <row r="2888">
      <c r="A2888" s="7" t="inlineStr">
        <is>
          <t>2026-01-09</t>
        </is>
      </c>
      <c r="B2888" s="8">
        <f>IFERROR(VLOOKUP($A2888,'01-原始价格'!$A:$M,2,FALSE),"")</f>
        <v/>
      </c>
      <c r="C2888" s="8">
        <f>IFERROR(VLOOKUP($A2888,'01-原始价格'!$A:$M,8,FALSE),"")</f>
        <v/>
      </c>
      <c r="D2888" s="10">
        <f>IFERROR(B2888/C2888,"")</f>
        <v/>
      </c>
      <c r="E2888" s="10">
        <f>IFERROR(C2888/B2888,"")</f>
        <v/>
      </c>
      <c r="F2888" s="11">
        <f>IFERROR((D2888/D2887-1)*100,"")</f>
        <v/>
      </c>
      <c r="G2888" s="11">
        <f>IFERROR((COUNTIF($D$2637:$D$2888,"&lt;"&amp;D2888)+0.5*COUNTIF($D$2637:$D$2888,D2888))/COUNT($D$2637:$D$2888)*100,"")</f>
        <v/>
      </c>
      <c r="H2888" s="10">
        <f>IFERROR(AVERAGE($D$2637:$D$2888),"")</f>
        <v/>
      </c>
      <c r="I2888" s="10" t="n">
        <v>1.421063787193537</v>
      </c>
      <c r="J2888" t="inlineStr"/>
      <c r="K2888" t="inlineStr"/>
    </row>
    <row r="2889">
      <c r="A2889" s="7" t="inlineStr">
        <is>
          <t>2026-01-12</t>
        </is>
      </c>
      <c r="B2889" s="8">
        <f>IFERROR(VLOOKUP($A2889,'01-原始价格'!$A:$M,2,FALSE),"")</f>
        <v/>
      </c>
      <c r="C2889" s="8">
        <f>IFERROR(VLOOKUP($A2889,'01-原始价格'!$A:$M,8,FALSE),"")</f>
        <v/>
      </c>
      <c r="D2889" s="10">
        <f>IFERROR(B2889/C2889,"")</f>
        <v/>
      </c>
      <c r="E2889" s="10">
        <f>IFERROR(C2889/B2889,"")</f>
        <v/>
      </c>
      <c r="F2889" s="11">
        <f>IFERROR((D2889/D2888-1)*100,"")</f>
        <v/>
      </c>
      <c r="G2889" s="11">
        <f>IFERROR((COUNTIF($D$2638:$D$2889,"&lt;"&amp;D2889)+0.5*COUNTIF($D$2638:$D$2889,D2889))/COUNT($D$2638:$D$2889)*100,"")</f>
        <v/>
      </c>
      <c r="H2889" s="10">
        <f>IFERROR(AVERAGE($D$2638:$D$2889),"")</f>
        <v/>
      </c>
      <c r="I2889" s="10" t="n">
        <v>1.218804881108764</v>
      </c>
      <c r="J2889" t="inlineStr"/>
      <c r="K2889" t="inlineStr"/>
    </row>
    <row r="2890">
      <c r="A2890" s="7" t="inlineStr">
        <is>
          <t>2026-01-13</t>
        </is>
      </c>
      <c r="B2890" s="8">
        <f>IFERROR(VLOOKUP($A2890,'01-原始价格'!$A:$M,2,FALSE),"")</f>
        <v/>
      </c>
      <c r="C2890" s="8">
        <f>IFERROR(VLOOKUP($A2890,'01-原始价格'!$A:$M,8,FALSE),"")</f>
        <v/>
      </c>
      <c r="D2890" s="10">
        <f>IFERROR(B2890/C2890,"")</f>
        <v/>
      </c>
      <c r="E2890" s="10">
        <f>IFERROR(C2890/B2890,"")</f>
        <v/>
      </c>
      <c r="F2890" s="11">
        <f>IFERROR((D2890/D2889-1)*100,"")</f>
        <v/>
      </c>
      <c r="G2890" s="11">
        <f>IFERROR((COUNTIF($D$2639:$D$2890,"&lt;"&amp;D2890)+0.5*COUNTIF($D$2639:$D$2890,D2890))/COUNT($D$2639:$D$2890)*100,"")</f>
        <v/>
      </c>
      <c r="H2890" s="10">
        <f>IFERROR(AVERAGE($D$2639:$D$2890),"")</f>
        <v/>
      </c>
      <c r="I2890" s="10" t="n">
        <v>0.6566360444522296</v>
      </c>
      <c r="J2890" t="inlineStr"/>
      <c r="K2890" t="inlineStr"/>
    </row>
    <row r="2891">
      <c r="A2891" s="7" t="inlineStr">
        <is>
          <t>2026-01-14</t>
        </is>
      </c>
      <c r="B2891" s="8">
        <f>IFERROR(VLOOKUP($A2891,'01-原始价格'!$A:$M,2,FALSE),"")</f>
        <v/>
      </c>
      <c r="C2891" s="8">
        <f>IFERROR(VLOOKUP($A2891,'01-原始价格'!$A:$M,8,FALSE),"")</f>
        <v/>
      </c>
      <c r="D2891" s="10">
        <f>IFERROR(B2891/C2891,"")</f>
        <v/>
      </c>
      <c r="E2891" s="10">
        <f>IFERROR(C2891/B2891,"")</f>
        <v/>
      </c>
      <c r="F2891" s="11">
        <f>IFERROR((D2891/D2890-1)*100,"")</f>
        <v/>
      </c>
      <c r="G2891" s="11">
        <f>IFERROR((COUNTIF($D$2640:$D$2891,"&lt;"&amp;D2891)+0.5*COUNTIF($D$2640:$D$2891,D2891))/COUNT($D$2640:$D$2891)*100,"")</f>
        <v/>
      </c>
      <c r="H2891" s="10">
        <f>IFERROR(AVERAGE($D$2640:$D$2891),"")</f>
        <v/>
      </c>
      <c r="I2891" s="10" t="n">
        <v>0.5824047531356472</v>
      </c>
      <c r="J2891" t="inlineStr"/>
      <c r="K2891" t="inlineStr"/>
    </row>
    <row r="2892">
      <c r="A2892" s="7" t="inlineStr">
        <is>
          <t>2026-01-15</t>
        </is>
      </c>
      <c r="B2892" s="8">
        <f>IFERROR(VLOOKUP($A2892,'01-原始价格'!$A:$M,2,FALSE),"")</f>
        <v/>
      </c>
      <c r="C2892" s="8">
        <f>IFERROR(VLOOKUP($A2892,'01-原始价格'!$A:$M,8,FALSE),"")</f>
        <v/>
      </c>
      <c r="D2892" s="10">
        <f>IFERROR(B2892/C2892,"")</f>
        <v/>
      </c>
      <c r="E2892" s="10">
        <f>IFERROR(C2892/B2892,"")</f>
        <v/>
      </c>
      <c r="F2892" s="11">
        <f>IFERROR((D2892/D2891-1)*100,"")</f>
        <v/>
      </c>
      <c r="G2892" s="11">
        <f>IFERROR((COUNTIF($D$2641:$D$2892,"&lt;"&amp;D2892)+0.5*COUNTIF($D$2641:$D$2892,D2892))/COUNT($D$2641:$D$2892)*100,"")</f>
        <v/>
      </c>
      <c r="H2892" s="10">
        <f>IFERROR(AVERAGE($D$2641:$D$2892),"")</f>
        <v/>
      </c>
      <c r="I2892" s="10" t="n">
        <v>1.076330379371889</v>
      </c>
      <c r="J2892" t="inlineStr"/>
      <c r="K2892" t="inlineStr"/>
    </row>
    <row r="2893">
      <c r="A2893" s="7" t="inlineStr">
        <is>
          <t>2026-01-16</t>
        </is>
      </c>
      <c r="B2893" s="8">
        <f>IFERROR(VLOOKUP($A2893,'01-原始价格'!$A:$M,2,FALSE),"")</f>
        <v/>
      </c>
      <c r="C2893" s="8">
        <f>IFERROR(VLOOKUP($A2893,'01-原始价格'!$A:$M,8,FALSE),"")</f>
        <v/>
      </c>
      <c r="D2893" s="10">
        <f>IFERROR(B2893/C2893,"")</f>
        <v/>
      </c>
      <c r="E2893" s="10">
        <f>IFERROR(C2893/B2893,"")</f>
        <v/>
      </c>
      <c r="F2893" s="11">
        <f>IFERROR((D2893/D2892-1)*100,"")</f>
        <v/>
      </c>
      <c r="G2893" s="11">
        <f>IFERROR((COUNTIF($D$2642:$D$2893,"&lt;"&amp;D2893)+0.5*COUNTIF($D$2642:$D$2893,D2893))/COUNT($D$2642:$D$2893)*100,"")</f>
        <v/>
      </c>
      <c r="H2893" s="10">
        <f>IFERROR(AVERAGE($D$2642:$D$2893),"")</f>
        <v/>
      </c>
      <c r="I2893" s="10" t="n">
        <v>0.9585336577295831</v>
      </c>
      <c r="J2893" t="inlineStr"/>
      <c r="K2893" t="inlineStr"/>
    </row>
    <row r="2894">
      <c r="A2894" s="7" t="inlineStr">
        <is>
          <t>2026-01-19</t>
        </is>
      </c>
      <c r="B2894" s="8">
        <f>IFERROR(VLOOKUP($A2894,'01-原始价格'!$A:$M,2,FALSE),"")</f>
        <v/>
      </c>
      <c r="C2894" s="8">
        <f>IFERROR(VLOOKUP($A2894,'01-原始价格'!$A:$M,8,FALSE),"")</f>
        <v/>
      </c>
      <c r="D2894" s="10">
        <f>IFERROR(B2894/C2894,"")</f>
        <v/>
      </c>
      <c r="E2894" s="10">
        <f>IFERROR(C2894/B2894,"")</f>
        <v/>
      </c>
      <c r="F2894" s="11">
        <f>IFERROR((D2894/D2893-1)*100,"")</f>
        <v/>
      </c>
      <c r="G2894" s="11">
        <f>IFERROR((COUNTIF($D$2643:$D$2894,"&lt;"&amp;D2894)+0.5*COUNTIF($D$2643:$D$2894,D2894))/COUNT($D$2643:$D$2894)*100,"")</f>
        <v/>
      </c>
      <c r="H2894" s="10">
        <f>IFERROR(AVERAGE($D$2643:$D$2894),"")</f>
        <v/>
      </c>
      <c r="I2894" s="10" t="n">
        <v>1.14049859919761</v>
      </c>
      <c r="J2894" t="inlineStr"/>
      <c r="K2894" t="inlineStr"/>
    </row>
    <row r="2895">
      <c r="A2895" s="7" t="inlineStr">
        <is>
          <t>2026-01-20</t>
        </is>
      </c>
      <c r="B2895" s="8">
        <f>IFERROR(VLOOKUP($A2895,'01-原始价格'!$A:$M,2,FALSE),"")</f>
        <v/>
      </c>
      <c r="C2895" s="8">
        <f>IFERROR(VLOOKUP($A2895,'01-原始价格'!$A:$M,8,FALSE),"")</f>
        <v/>
      </c>
      <c r="D2895" s="10">
        <f>IFERROR(B2895/C2895,"")</f>
        <v/>
      </c>
      <c r="E2895" s="10">
        <f>IFERROR(C2895/B2895,"")</f>
        <v/>
      </c>
      <c r="F2895" s="11">
        <f>IFERROR((D2895/D2894-1)*100,"")</f>
        <v/>
      </c>
      <c r="G2895" s="11">
        <f>IFERROR((COUNTIF($D$2644:$D$2895,"&lt;"&amp;D2895)+0.5*COUNTIF($D$2644:$D$2895,D2895))/COUNT($D$2644:$D$2895)*100,"")</f>
        <v/>
      </c>
      <c r="H2895" s="10">
        <f>IFERROR(AVERAGE($D$2644:$D$2895),"")</f>
        <v/>
      </c>
      <c r="I2895" s="10" t="n">
        <v>1.213354274769428</v>
      </c>
      <c r="J2895" t="inlineStr"/>
      <c r="K2895" t="inlineStr"/>
    </row>
    <row r="2896">
      <c r="A2896" s="7" t="inlineStr">
        <is>
          <t>2026-01-21</t>
        </is>
      </c>
      <c r="B2896" s="8">
        <f>IFERROR(VLOOKUP($A2896,'01-原始价格'!$A:$M,2,FALSE),"")</f>
        <v/>
      </c>
      <c r="C2896" s="8">
        <f>IFERROR(VLOOKUP($A2896,'01-原始价格'!$A:$M,8,FALSE),"")</f>
        <v/>
      </c>
      <c r="D2896" s="10">
        <f>IFERROR(B2896/C2896,"")</f>
        <v/>
      </c>
      <c r="E2896" s="10">
        <f>IFERROR(C2896/B2896,"")</f>
        <v/>
      </c>
      <c r="F2896" s="11">
        <f>IFERROR((D2896/D2895-1)*100,"")</f>
        <v/>
      </c>
      <c r="G2896" s="11">
        <f>IFERROR((COUNTIF($D$2645:$D$2896,"&lt;"&amp;D2896)+0.5*COUNTIF($D$2645:$D$2896,D2896))/COUNT($D$2645:$D$2896)*100,"")</f>
        <v/>
      </c>
      <c r="H2896" s="10">
        <f>IFERROR(AVERAGE($D$2645:$D$2896),"")</f>
        <v/>
      </c>
      <c r="I2896" s="10" t="n">
        <v>1.195399370468315</v>
      </c>
      <c r="J2896" t="inlineStr"/>
      <c r="K2896" t="inlineStr"/>
    </row>
    <row r="2897">
      <c r="A2897" s="7" t="inlineStr">
        <is>
          <t>2026-01-22</t>
        </is>
      </c>
      <c r="B2897" s="8">
        <f>IFERROR(VLOOKUP($A2897,'01-原始价格'!$A:$M,2,FALSE),"")</f>
        <v/>
      </c>
      <c r="C2897" s="8">
        <f>IFERROR(VLOOKUP($A2897,'01-原始价格'!$A:$M,8,FALSE),"")</f>
        <v/>
      </c>
      <c r="D2897" s="10">
        <f>IFERROR(B2897/C2897,"")</f>
        <v/>
      </c>
      <c r="E2897" s="10">
        <f>IFERROR(C2897/B2897,"")</f>
        <v/>
      </c>
      <c r="F2897" s="11">
        <f>IFERROR((D2897/D2896-1)*100,"")</f>
        <v/>
      </c>
      <c r="G2897" s="11">
        <f>IFERROR((COUNTIF($D$2646:$D$2897,"&lt;"&amp;D2897)+0.5*COUNTIF($D$2646:$D$2897,D2897))/COUNT($D$2646:$D$2897)*100,"")</f>
        <v/>
      </c>
      <c r="H2897" s="10">
        <f>IFERROR(AVERAGE($D$2646:$D$2897),"")</f>
        <v/>
      </c>
      <c r="I2897" s="10" t="n">
        <v>1.128046492986743</v>
      </c>
      <c r="J2897" t="inlineStr"/>
      <c r="K2897" t="inlineStr"/>
    </row>
    <row r="2898">
      <c r="A2898" s="7" t="inlineStr">
        <is>
          <t>2026-01-23</t>
        </is>
      </c>
      <c r="B2898" s="8">
        <f>IFERROR(VLOOKUP($A2898,'01-原始价格'!$A:$M,2,FALSE),"")</f>
        <v/>
      </c>
      <c r="C2898" s="8">
        <f>IFERROR(VLOOKUP($A2898,'01-原始价格'!$A:$M,8,FALSE),"")</f>
        <v/>
      </c>
      <c r="D2898" s="10">
        <f>IFERROR(B2898/C2898,"")</f>
        <v/>
      </c>
      <c r="E2898" s="10">
        <f>IFERROR(C2898/B2898,"")</f>
        <v/>
      </c>
      <c r="F2898" s="11">
        <f>IFERROR((D2898/D2897-1)*100,"")</f>
        <v/>
      </c>
      <c r="G2898" s="11">
        <f>IFERROR((COUNTIF($D$2647:$D$2898,"&lt;"&amp;D2898)+0.5*COUNTIF($D$2647:$D$2898,D2898))/COUNT($D$2647:$D$2898)*100,"")</f>
        <v/>
      </c>
      <c r="H2898" s="10">
        <f>IFERROR(AVERAGE($D$2647:$D$2898),"")</f>
        <v/>
      </c>
      <c r="I2898" s="10" t="n">
        <v>0.8921431125788102</v>
      </c>
      <c r="J2898" t="inlineStr"/>
      <c r="K2898" t="inlineStr"/>
    </row>
    <row r="2899">
      <c r="A2899" s="7" t="inlineStr">
        <is>
          <t>2026-01-26</t>
        </is>
      </c>
      <c r="B2899" s="8">
        <f>IFERROR(VLOOKUP($A2899,'01-原始价格'!$A:$M,2,FALSE),"")</f>
        <v/>
      </c>
      <c r="C2899" s="8">
        <f>IFERROR(VLOOKUP($A2899,'01-原始价格'!$A:$M,8,FALSE),"")</f>
        <v/>
      </c>
      <c r="D2899" s="10">
        <f>IFERROR(B2899/C2899,"")</f>
        <v/>
      </c>
      <c r="E2899" s="10">
        <f>IFERROR(C2899/B2899,"")</f>
        <v/>
      </c>
      <c r="F2899" s="11">
        <f>IFERROR((D2899/D2898-1)*100,"")</f>
        <v/>
      </c>
      <c r="G2899" s="11">
        <f>IFERROR((COUNTIF($D$2648:$D$2899,"&lt;"&amp;D2899)+0.5*COUNTIF($D$2648:$D$2899,D2899))/COUNT($D$2648:$D$2899)*100,"")</f>
        <v/>
      </c>
      <c r="H2899" s="10">
        <f>IFERROR(AVERAGE($D$2648:$D$2899),"")</f>
        <v/>
      </c>
      <c r="I2899" s="10" t="n">
        <v>1.066589373676809</v>
      </c>
      <c r="J2899" t="inlineStr"/>
      <c r="K2899" t="inlineStr"/>
    </row>
    <row r="2900">
      <c r="A2900" s="7" t="inlineStr">
        <is>
          <t>2026-01-27</t>
        </is>
      </c>
      <c r="B2900" s="8">
        <f>IFERROR(VLOOKUP($A2900,'01-原始价格'!$A:$M,2,FALSE),"")</f>
        <v/>
      </c>
      <c r="C2900" s="8">
        <f>IFERROR(VLOOKUP($A2900,'01-原始价格'!$A:$M,8,FALSE),"")</f>
        <v/>
      </c>
      <c r="D2900" s="10">
        <f>IFERROR(B2900/C2900,"")</f>
        <v/>
      </c>
      <c r="E2900" s="10">
        <f>IFERROR(C2900/B2900,"")</f>
        <v/>
      </c>
      <c r="F2900" s="11">
        <f>IFERROR((D2900/D2899-1)*100,"")</f>
        <v/>
      </c>
      <c r="G2900" s="11">
        <f>IFERROR((COUNTIF($D$2649:$D$2900,"&lt;"&amp;D2900)+0.5*COUNTIF($D$2649:$D$2900,D2900))/COUNT($D$2649:$D$2900)*100,"")</f>
        <v/>
      </c>
      <c r="H2900" s="10">
        <f>IFERROR(AVERAGE($D$2649:$D$2900),"")</f>
        <v/>
      </c>
      <c r="I2900" s="10" t="n">
        <v>1.152070525870277</v>
      </c>
      <c r="J2900" t="inlineStr"/>
      <c r="K2900" t="inlineStr"/>
    </row>
    <row r="2901">
      <c r="A2901" s="7" t="inlineStr">
        <is>
          <t>2026-01-28</t>
        </is>
      </c>
      <c r="B2901" s="8">
        <f>IFERROR(VLOOKUP($A2901,'01-原始价格'!$A:$M,2,FALSE),"")</f>
        <v/>
      </c>
      <c r="C2901" s="8">
        <f>IFERROR(VLOOKUP($A2901,'01-原始价格'!$A:$M,8,FALSE),"")</f>
        <v/>
      </c>
      <c r="D2901" s="10">
        <f>IFERROR(B2901/C2901,"")</f>
        <v/>
      </c>
      <c r="E2901" s="10">
        <f>IFERROR(C2901/B2901,"")</f>
        <v/>
      </c>
      <c r="F2901" s="11">
        <f>IFERROR((D2901/D2900-1)*100,"")</f>
        <v/>
      </c>
      <c r="G2901" s="11">
        <f>IFERROR((COUNTIF($D$2650:$D$2901,"&lt;"&amp;D2901)+0.5*COUNTIF($D$2650:$D$2901,D2901))/COUNT($D$2650:$D$2901)*100,"")</f>
        <v/>
      </c>
      <c r="H2901" s="10">
        <f>IFERROR(AVERAGE($D$2650:$D$2901),"")</f>
        <v/>
      </c>
      <c r="I2901" s="10" t="n">
        <v>1.189809583768574</v>
      </c>
      <c r="J2901" t="inlineStr"/>
      <c r="K2901" t="inlineStr"/>
    </row>
    <row r="2902">
      <c r="A2902" s="7" t="inlineStr">
        <is>
          <t>2026-01-29</t>
        </is>
      </c>
      <c r="B2902" s="8">
        <f>IFERROR(VLOOKUP($A2902,'01-原始价格'!$A:$M,2,FALSE),"")</f>
        <v/>
      </c>
      <c r="C2902" s="8">
        <f>IFERROR(VLOOKUP($A2902,'01-原始价格'!$A:$M,8,FALSE),"")</f>
        <v/>
      </c>
      <c r="D2902" s="10">
        <f>IFERROR(B2902/C2902,"")</f>
        <v/>
      </c>
      <c r="E2902" s="10">
        <f>IFERROR(C2902/B2902,"")</f>
        <v/>
      </c>
      <c r="F2902" s="11">
        <f>IFERROR((D2902/D2901-1)*100,"")</f>
        <v/>
      </c>
      <c r="G2902" s="11">
        <f>IFERROR((COUNTIF($D$2651:$D$2902,"&lt;"&amp;D2902)+0.5*COUNTIF($D$2651:$D$2902,D2902))/COUNT($D$2651:$D$2902)*100,"")</f>
        <v/>
      </c>
      <c r="H2902" s="10">
        <f>IFERROR(AVERAGE($D$2651:$D$2902),"")</f>
        <v/>
      </c>
      <c r="I2902" s="10" t="n">
        <v>1.348534241761556</v>
      </c>
      <c r="J2902" t="inlineStr"/>
      <c r="K2902" t="inlineStr"/>
    </row>
    <row r="2903">
      <c r="A2903" s="7" t="inlineStr">
        <is>
          <t>2026-01-30</t>
        </is>
      </c>
      <c r="B2903" s="8">
        <f>IFERROR(VLOOKUP($A2903,'01-原始价格'!$A:$M,2,FALSE),"")</f>
        <v/>
      </c>
      <c r="C2903" s="8">
        <f>IFERROR(VLOOKUP($A2903,'01-原始价格'!$A:$M,8,FALSE),"")</f>
        <v/>
      </c>
      <c r="D2903" s="10">
        <f>IFERROR(B2903/C2903,"")</f>
        <v/>
      </c>
      <c r="E2903" s="10">
        <f>IFERROR(C2903/B2903,"")</f>
        <v/>
      </c>
      <c r="F2903" s="11">
        <f>IFERROR((D2903/D2902-1)*100,"")</f>
        <v/>
      </c>
      <c r="G2903" s="11">
        <f>IFERROR((COUNTIF($D$2652:$D$2903,"&lt;"&amp;D2903)+0.5*COUNTIF($D$2652:$D$2903,D2903))/COUNT($D$2652:$D$2903)*100,"")</f>
        <v/>
      </c>
      <c r="H2903" s="10">
        <f>IFERROR(AVERAGE($D$2652:$D$2903),"")</f>
        <v/>
      </c>
      <c r="I2903" s="10" t="n">
        <v>1.193398185025432</v>
      </c>
      <c r="J2903" t="inlineStr"/>
      <c r="K2903" t="inlineStr"/>
    </row>
    <row r="2904">
      <c r="A2904" s="7" t="inlineStr">
        <is>
          <t>2026-02-02</t>
        </is>
      </c>
      <c r="B2904" s="8">
        <f>IFERROR(VLOOKUP($A2904,'01-原始价格'!$A:$M,2,FALSE),"")</f>
        <v/>
      </c>
      <c r="C2904" s="8">
        <f>IFERROR(VLOOKUP($A2904,'01-原始价格'!$A:$M,8,FALSE),"")</f>
        <v/>
      </c>
      <c r="D2904" s="10">
        <f>IFERROR(B2904/C2904,"")</f>
        <v/>
      </c>
      <c r="E2904" s="10">
        <f>IFERROR(C2904/B2904,"")</f>
        <v/>
      </c>
      <c r="F2904" s="11">
        <f>IFERROR((D2904/D2903-1)*100,"")</f>
        <v/>
      </c>
      <c r="G2904" s="11">
        <f>IFERROR((COUNTIF($D$2653:$D$2904,"&lt;"&amp;D2904)+0.5*COUNTIF($D$2653:$D$2904,D2904))/COUNT($D$2653:$D$2904)*100,"")</f>
        <v/>
      </c>
      <c r="H2904" s="10">
        <f>IFERROR(AVERAGE($D$2653:$D$2904),"")</f>
        <v/>
      </c>
      <c r="I2904" s="10" t="n">
        <v>1.490355670461524</v>
      </c>
      <c r="J2904" t="inlineStr"/>
      <c r="K2904" t="inlineStr"/>
    </row>
    <row r="2905">
      <c r="A2905" s="7" t="inlineStr">
        <is>
          <t>2026-02-03</t>
        </is>
      </c>
      <c r="B2905" s="8">
        <f>IFERROR(VLOOKUP($A2905,'01-原始价格'!$A:$M,2,FALSE),"")</f>
        <v/>
      </c>
      <c r="C2905" s="8">
        <f>IFERROR(VLOOKUP($A2905,'01-原始价格'!$A:$M,8,FALSE),"")</f>
        <v/>
      </c>
      <c r="D2905" s="10">
        <f>IFERROR(B2905/C2905,"")</f>
        <v/>
      </c>
      <c r="E2905" s="10">
        <f>IFERROR(C2905/B2905,"")</f>
        <v/>
      </c>
      <c r="F2905" s="11">
        <f>IFERROR((D2905/D2904-1)*100,"")</f>
        <v/>
      </c>
      <c r="G2905" s="11">
        <f>IFERROR((COUNTIF($D$2654:$D$2905,"&lt;"&amp;D2905)+0.5*COUNTIF($D$2654:$D$2905,D2905))/COUNT($D$2654:$D$2905)*100,"")</f>
        <v/>
      </c>
      <c r="H2905" s="10">
        <f>IFERROR(AVERAGE($D$2654:$D$2905),"")</f>
        <v/>
      </c>
      <c r="I2905" s="10" t="n">
        <v>1.788787086513182</v>
      </c>
      <c r="J2905" t="inlineStr"/>
      <c r="K2905" t="inlineStr"/>
    </row>
    <row r="2906">
      <c r="A2906" s="7" t="inlineStr">
        <is>
          <t>2026-02-04</t>
        </is>
      </c>
      <c r="B2906" s="8">
        <f>IFERROR(VLOOKUP($A2906,'01-原始价格'!$A:$M,2,FALSE),"")</f>
        <v/>
      </c>
      <c r="C2906" s="8">
        <f>IFERROR(VLOOKUP($A2906,'01-原始价格'!$A:$M,8,FALSE),"")</f>
        <v/>
      </c>
      <c r="D2906" s="10">
        <f>IFERROR(B2906/C2906,"")</f>
        <v/>
      </c>
      <c r="E2906" s="10">
        <f>IFERROR(C2906/B2906,"")</f>
        <v/>
      </c>
      <c r="F2906" s="11">
        <f>IFERROR((D2906/D2905-1)*100,"")</f>
        <v/>
      </c>
      <c r="G2906" s="11">
        <f>IFERROR((COUNTIF($D$2655:$D$2906,"&lt;"&amp;D2906)+0.5*COUNTIF($D$2655:$D$2906,D2906))/COUNT($D$2655:$D$2906)*100,"")</f>
        <v/>
      </c>
      <c r="H2906" s="10">
        <f>IFERROR(AVERAGE($D$2655:$D$2906),"")</f>
        <v/>
      </c>
      <c r="I2906" s="10" t="n">
        <v>2.029407858671374</v>
      </c>
      <c r="J2906" t="inlineStr"/>
      <c r="K2906" t="inlineStr"/>
    </row>
    <row r="2907">
      <c r="A2907" s="7" t="inlineStr">
        <is>
          <t>2026-02-05</t>
        </is>
      </c>
      <c r="B2907" s="8">
        <f>IFERROR(VLOOKUP($A2907,'01-原始价格'!$A:$M,2,FALSE),"")</f>
        <v/>
      </c>
      <c r="C2907" s="8">
        <f>IFERROR(VLOOKUP($A2907,'01-原始价格'!$A:$M,8,FALSE),"")</f>
        <v/>
      </c>
      <c r="D2907" s="10">
        <f>IFERROR(B2907/C2907,"")</f>
        <v/>
      </c>
      <c r="E2907" s="10">
        <f>IFERROR(C2907/B2907,"")</f>
        <v/>
      </c>
      <c r="F2907" s="11">
        <f>IFERROR((D2907/D2906-1)*100,"")</f>
        <v/>
      </c>
      <c r="G2907" s="11">
        <f>IFERROR((COUNTIF($D$2656:$D$2907,"&lt;"&amp;D2907)+0.5*COUNTIF($D$2656:$D$2907,D2907))/COUNT($D$2656:$D$2907)*100,"")</f>
        <v/>
      </c>
      <c r="H2907" s="10">
        <f>IFERROR(AVERAGE($D$2656:$D$2907),"")</f>
        <v/>
      </c>
      <c r="I2907" s="10" t="n">
        <v>2.20503309807588</v>
      </c>
      <c r="J2907" t="inlineStr"/>
      <c r="K2907" t="inlineStr"/>
    </row>
    <row r="2908">
      <c r="A2908" s="7" t="inlineStr">
        <is>
          <t>2026-02-06</t>
        </is>
      </c>
      <c r="B2908" s="8">
        <f>IFERROR(VLOOKUP($A2908,'01-原始价格'!$A:$M,2,FALSE),"")</f>
        <v/>
      </c>
      <c r="C2908" s="8">
        <f>IFERROR(VLOOKUP($A2908,'01-原始价格'!$A:$M,8,FALSE),"")</f>
        <v/>
      </c>
      <c r="D2908" s="10">
        <f>IFERROR(B2908/C2908,"")</f>
        <v/>
      </c>
      <c r="E2908" s="10">
        <f>IFERROR(C2908/B2908,"")</f>
        <v/>
      </c>
      <c r="F2908" s="11">
        <f>IFERROR((D2908/D2907-1)*100,"")</f>
        <v/>
      </c>
      <c r="G2908" s="11">
        <f>IFERROR((COUNTIF($D$2657:$D$2908,"&lt;"&amp;D2908)+0.5*COUNTIF($D$2657:$D$2908,D2908))/COUNT($D$2657:$D$2908)*100,"")</f>
        <v/>
      </c>
      <c r="H2908" s="10">
        <f>IFERROR(AVERAGE($D$2657:$D$2908),"")</f>
        <v/>
      </c>
      <c r="I2908" s="10" t="n">
        <v>1.955071195638503</v>
      </c>
      <c r="J2908" t="inlineStr"/>
      <c r="K2908" t="inlineStr"/>
    </row>
    <row r="2909">
      <c r="A2909" s="7" t="inlineStr">
        <is>
          <t>2026-02-09</t>
        </is>
      </c>
      <c r="B2909" s="8">
        <f>IFERROR(VLOOKUP($A2909,'01-原始价格'!$A:$M,2,FALSE),"")</f>
        <v/>
      </c>
      <c r="C2909" s="8">
        <f>IFERROR(VLOOKUP($A2909,'01-原始价格'!$A:$M,8,FALSE),"")</f>
        <v/>
      </c>
      <c r="D2909" s="10">
        <f>IFERROR(B2909/C2909,"")</f>
        <v/>
      </c>
      <c r="E2909" s="10">
        <f>IFERROR(C2909/B2909,"")</f>
        <v/>
      </c>
      <c r="F2909" s="11">
        <f>IFERROR((D2909/D2908-1)*100,"")</f>
        <v/>
      </c>
      <c r="G2909" s="11">
        <f>IFERROR((COUNTIF($D$2658:$D$2909,"&lt;"&amp;D2909)+0.5*COUNTIF($D$2658:$D$2909,D2909))/COUNT($D$2658:$D$2909)*100,"")</f>
        <v/>
      </c>
      <c r="H2909" s="10">
        <f>IFERROR(AVERAGE($D$2658:$D$2909),"")</f>
        <v/>
      </c>
      <c r="I2909" s="10" t="n">
        <v>2.324243370803664</v>
      </c>
      <c r="J2909" t="inlineStr"/>
      <c r="K2909" t="inlineStr"/>
    </row>
    <row r="2910">
      <c r="A2910" s="7" t="inlineStr">
        <is>
          <t>2026-02-10</t>
        </is>
      </c>
      <c r="B2910" s="8">
        <f>IFERROR(VLOOKUP($A2910,'01-原始价格'!$A:$M,2,FALSE),"")</f>
        <v/>
      </c>
      <c r="C2910" s="8">
        <f>IFERROR(VLOOKUP($A2910,'01-原始价格'!$A:$M,8,FALSE),"")</f>
        <v/>
      </c>
      <c r="D2910" s="10">
        <f>IFERROR(B2910/C2910,"")</f>
        <v/>
      </c>
      <c r="E2910" s="10">
        <f>IFERROR(C2910/B2910,"")</f>
        <v/>
      </c>
      <c r="F2910" s="11">
        <f>IFERROR((D2910/D2909-1)*100,"")</f>
        <v/>
      </c>
      <c r="G2910" s="11">
        <f>IFERROR((COUNTIF($D$2659:$D$2910,"&lt;"&amp;D2910)+0.5*COUNTIF($D$2659:$D$2910,D2910))/COUNT($D$2659:$D$2910)*100,"")</f>
        <v/>
      </c>
      <c r="H2910" s="10">
        <f>IFERROR(AVERAGE($D$2659:$D$2910),"")</f>
        <v/>
      </c>
      <c r="I2910" s="10" t="n">
        <v>2.277755971298546</v>
      </c>
      <c r="J2910" t="inlineStr"/>
      <c r="K2910" t="inlineStr"/>
    </row>
    <row r="2911">
      <c r="A2911" s="7" t="inlineStr">
        <is>
          <t>2026-02-11</t>
        </is>
      </c>
      <c r="B2911" s="8">
        <f>IFERROR(VLOOKUP($A2911,'01-原始价格'!$A:$M,2,FALSE),"")</f>
        <v/>
      </c>
      <c r="C2911" s="8">
        <f>IFERROR(VLOOKUP($A2911,'01-原始价格'!$A:$M,8,FALSE),"")</f>
        <v/>
      </c>
      <c r="D2911" s="10">
        <f>IFERROR(B2911/C2911,"")</f>
        <v/>
      </c>
      <c r="E2911" s="10">
        <f>IFERROR(C2911/B2911,"")</f>
        <v/>
      </c>
      <c r="F2911" s="11">
        <f>IFERROR((D2911/D2910-1)*100,"")</f>
        <v/>
      </c>
      <c r="G2911" s="11">
        <f>IFERROR((COUNTIF($D$2660:$D$2911,"&lt;"&amp;D2911)+0.5*COUNTIF($D$2660:$D$2911,D2911))/COUNT($D$2660:$D$2911)*100,"")</f>
        <v/>
      </c>
      <c r="H2911" s="10">
        <f>IFERROR(AVERAGE($D$2660:$D$2911),"")</f>
        <v/>
      </c>
      <c r="I2911" s="10" t="n">
        <v>2.081571779304317</v>
      </c>
      <c r="J2911" t="inlineStr"/>
      <c r="K2911" t="inlineStr"/>
    </row>
    <row r="2912">
      <c r="A2912" s="7" t="inlineStr">
        <is>
          <t>2026-02-12</t>
        </is>
      </c>
      <c r="B2912" s="8">
        <f>IFERROR(VLOOKUP($A2912,'01-原始价格'!$A:$M,2,FALSE),"")</f>
        <v/>
      </c>
      <c r="C2912" s="8">
        <f>IFERROR(VLOOKUP($A2912,'01-原始价格'!$A:$M,8,FALSE),"")</f>
        <v/>
      </c>
      <c r="D2912" s="10">
        <f>IFERROR(B2912/C2912,"")</f>
        <v/>
      </c>
      <c r="E2912" s="10">
        <f>IFERROR(C2912/B2912,"")</f>
        <v/>
      </c>
      <c r="F2912" s="11">
        <f>IFERROR((D2912/D2911-1)*100,"")</f>
        <v/>
      </c>
      <c r="G2912" s="11">
        <f>IFERROR((COUNTIF($D$2661:$D$2912,"&lt;"&amp;D2912)+0.5*COUNTIF($D$2661:$D$2912,D2912))/COUNT($D$2661:$D$2912)*100,"")</f>
        <v/>
      </c>
      <c r="H2912" s="10">
        <f>IFERROR(AVERAGE($D$2661:$D$2912),"")</f>
        <v/>
      </c>
      <c r="I2912" s="10" t="n">
        <v>2.080533258905423</v>
      </c>
      <c r="J2912" t="inlineStr"/>
      <c r="K2912" t="inlineStr"/>
    </row>
    <row r="2913">
      <c r="A2913" s="7" t="inlineStr">
        <is>
          <t>2026-02-13</t>
        </is>
      </c>
      <c r="B2913" s="8">
        <f>IFERROR(VLOOKUP($A2913,'01-原始价格'!$A:$M,2,FALSE),"")</f>
        <v/>
      </c>
      <c r="C2913" s="8">
        <f>IFERROR(VLOOKUP($A2913,'01-原始价格'!$A:$M,8,FALSE),"")</f>
        <v/>
      </c>
      <c r="D2913" s="10">
        <f>IFERROR(B2913/C2913,"")</f>
        <v/>
      </c>
      <c r="E2913" s="10">
        <f>IFERROR(C2913/B2913,"")</f>
        <v/>
      </c>
      <c r="F2913" s="11">
        <f>IFERROR((D2913/D2912-1)*100,"")</f>
        <v/>
      </c>
      <c r="G2913" s="11">
        <f>IFERROR((COUNTIF($D$2662:$D$2913,"&lt;"&amp;D2913)+0.5*COUNTIF($D$2662:$D$2913,D2913))/COUNT($D$2662:$D$2913)*100,"")</f>
        <v/>
      </c>
      <c r="H2913" s="10">
        <f>IFERROR(AVERAGE($D$2662:$D$2913),"")</f>
        <v/>
      </c>
      <c r="I2913" s="10" t="n">
        <v>2.16753924857969</v>
      </c>
      <c r="J2913" t="inlineStr"/>
      <c r="K2913" t="inlineStr"/>
    </row>
    <row r="2914">
      <c r="A2914" s="7" t="inlineStr">
        <is>
          <t>2026-02-24</t>
        </is>
      </c>
      <c r="B2914" s="8">
        <f>IFERROR(VLOOKUP($A2914,'01-原始价格'!$A:$M,2,FALSE),"")</f>
        <v/>
      </c>
      <c r="C2914" s="8">
        <f>IFERROR(VLOOKUP($A2914,'01-原始价格'!$A:$M,8,FALSE),"")</f>
        <v/>
      </c>
      <c r="D2914" s="10">
        <f>IFERROR(B2914/C2914,"")</f>
        <v/>
      </c>
      <c r="E2914" s="10">
        <f>IFERROR(C2914/B2914,"")</f>
        <v/>
      </c>
      <c r="F2914" s="11">
        <f>IFERROR((D2914/D2913-1)*100,"")</f>
        <v/>
      </c>
      <c r="G2914" s="11">
        <f>IFERROR((COUNTIF($D$2663:$D$2914,"&lt;"&amp;D2914)+0.5*COUNTIF($D$2663:$D$2914,D2914))/COUNT($D$2663:$D$2914)*100,"")</f>
        <v/>
      </c>
      <c r="H2914" s="10">
        <f>IFERROR(AVERAGE($D$2663:$D$2914),"")</f>
        <v/>
      </c>
      <c r="I2914" s="10" t="n">
        <v>2.113514050058916</v>
      </c>
      <c r="J2914" t="inlineStr"/>
      <c r="K2914" t="inlineStr"/>
    </row>
    <row r="2915">
      <c r="A2915" s="7" t="inlineStr">
        <is>
          <t>2026-02-25</t>
        </is>
      </c>
      <c r="B2915" s="8">
        <f>IFERROR(VLOOKUP($A2915,'01-原始价格'!$A:$M,2,FALSE),"")</f>
        <v/>
      </c>
      <c r="C2915" s="8">
        <f>IFERROR(VLOOKUP($A2915,'01-原始价格'!$A:$M,8,FALSE),"")</f>
        <v/>
      </c>
      <c r="D2915" s="10">
        <f>IFERROR(B2915/C2915,"")</f>
        <v/>
      </c>
      <c r="E2915" s="10">
        <f>IFERROR(C2915/B2915,"")</f>
        <v/>
      </c>
      <c r="F2915" s="11">
        <f>IFERROR((D2915/D2914-1)*100,"")</f>
        <v/>
      </c>
      <c r="G2915" s="11">
        <f>IFERROR((COUNTIF($D$2664:$D$2915,"&lt;"&amp;D2915)+0.5*COUNTIF($D$2664:$D$2915,D2915))/COUNT($D$2664:$D$2915)*100,"")</f>
        <v/>
      </c>
      <c r="H2915" s="10">
        <f>IFERROR(AVERAGE($D$2664:$D$2915),"")</f>
        <v/>
      </c>
      <c r="I2915" s="10" t="n">
        <v>2.228087673416866</v>
      </c>
      <c r="J2915" t="inlineStr"/>
      <c r="K2915" t="inlineStr"/>
    </row>
    <row r="2916">
      <c r="A2916" s="7" t="inlineStr">
        <is>
          <t>2026-02-26</t>
        </is>
      </c>
      <c r="B2916" s="8">
        <f>IFERROR(VLOOKUP($A2916,'01-原始价格'!$A:$M,2,FALSE),"")</f>
        <v/>
      </c>
      <c r="C2916" s="8">
        <f>IFERROR(VLOOKUP($A2916,'01-原始价格'!$A:$M,8,FALSE),"")</f>
        <v/>
      </c>
      <c r="D2916" s="10">
        <f>IFERROR(B2916/C2916,"")</f>
        <v/>
      </c>
      <c r="E2916" s="10">
        <f>IFERROR(C2916/B2916,"")</f>
        <v/>
      </c>
      <c r="F2916" s="11">
        <f>IFERROR((D2916/D2915-1)*100,"")</f>
        <v/>
      </c>
      <c r="G2916" s="11">
        <f>IFERROR((COUNTIF($D$2665:$D$2916,"&lt;"&amp;D2916)+0.5*COUNTIF($D$2665:$D$2916,D2916))/COUNT($D$2665:$D$2916)*100,"")</f>
        <v/>
      </c>
      <c r="H2916" s="10">
        <f>IFERROR(AVERAGE($D$2665:$D$2916),"")</f>
        <v/>
      </c>
      <c r="I2916" s="10" t="n">
        <v>2.818289806705153</v>
      </c>
      <c r="J2916" t="inlineStr"/>
      <c r="K2916" t="inlineStr"/>
    </row>
    <row r="2917">
      <c r="A2917" s="7" t="inlineStr">
        <is>
          <t>2026-02-27</t>
        </is>
      </c>
      <c r="B2917" s="8">
        <f>IFERROR(VLOOKUP($A2917,'01-原始价格'!$A:$M,2,FALSE),"")</f>
        <v/>
      </c>
      <c r="C2917" s="8">
        <f>IFERROR(VLOOKUP($A2917,'01-原始价格'!$A:$M,8,FALSE),"")</f>
        <v/>
      </c>
      <c r="D2917" s="10">
        <f>IFERROR(B2917/C2917,"")</f>
        <v/>
      </c>
      <c r="E2917" s="10">
        <f>IFERROR(C2917/B2917,"")</f>
        <v/>
      </c>
      <c r="F2917" s="11">
        <f>IFERROR((D2917/D2916-1)*100,"")</f>
        <v/>
      </c>
      <c r="G2917" s="11">
        <f>IFERROR((COUNTIF($D$2666:$D$2917,"&lt;"&amp;D2917)+0.5*COUNTIF($D$2666:$D$2917,D2917))/COUNT($D$2666:$D$2917)*100,"")</f>
        <v/>
      </c>
      <c r="H2917" s="10">
        <f>IFERROR(AVERAGE($D$2666:$D$2917),"")</f>
        <v/>
      </c>
      <c r="I2917" s="10" t="n">
        <v>2.723168300136336</v>
      </c>
      <c r="J2917" t="inlineStr"/>
      <c r="K2917" t="inlineStr"/>
    </row>
    <row r="2918">
      <c r="A2918" s="7" t="inlineStr">
        <is>
          <t>2026-03-02</t>
        </is>
      </c>
      <c r="B2918" s="8">
        <f>IFERROR(VLOOKUP($A2918,'01-原始价格'!$A:$M,2,FALSE),"")</f>
        <v/>
      </c>
      <c r="C2918" s="8">
        <f>IFERROR(VLOOKUP($A2918,'01-原始价格'!$A:$M,8,FALSE),"")</f>
        <v/>
      </c>
      <c r="D2918" s="10">
        <f>IFERROR(B2918/C2918,"")</f>
        <v/>
      </c>
      <c r="E2918" s="10">
        <f>IFERROR(C2918/B2918,"")</f>
        <v/>
      </c>
      <c r="F2918" s="11">
        <f>IFERROR((D2918/D2917-1)*100,"")</f>
        <v/>
      </c>
      <c r="G2918" s="11">
        <f>IFERROR((COUNTIF($D$2667:$D$2918,"&lt;"&amp;D2918)+0.5*COUNTIF($D$2667:$D$2918,D2918))/COUNT($D$2667:$D$2918)*100,"")</f>
        <v/>
      </c>
      <c r="H2918" s="10">
        <f>IFERROR(AVERAGE($D$2667:$D$2918),"")</f>
        <v/>
      </c>
      <c r="I2918" s="10" t="n">
        <v>2.590824296397221</v>
      </c>
      <c r="J2918" t="inlineStr"/>
      <c r="K2918" t="inlineStr"/>
    </row>
    <row r="2919">
      <c r="A2919" s="7" t="inlineStr">
        <is>
          <t>2026-03-03</t>
        </is>
      </c>
      <c r="B2919" s="8">
        <f>IFERROR(VLOOKUP($A2919,'01-原始价格'!$A:$M,2,FALSE),"")</f>
        <v/>
      </c>
      <c r="C2919" s="8">
        <f>IFERROR(VLOOKUP($A2919,'01-原始价格'!$A:$M,8,FALSE),"")</f>
        <v/>
      </c>
      <c r="D2919" s="10">
        <f>IFERROR(B2919/C2919,"")</f>
        <v/>
      </c>
      <c r="E2919" s="10">
        <f>IFERROR(C2919/B2919,"")</f>
        <v/>
      </c>
      <c r="F2919" s="11">
        <f>IFERROR((D2919/D2918-1)*100,"")</f>
        <v/>
      </c>
      <c r="G2919" s="11">
        <f>IFERROR((COUNTIF($D$2668:$D$2919,"&lt;"&amp;D2919)+0.5*COUNTIF($D$2668:$D$2919,D2919))/COUNT($D$2668:$D$2919)*100,"")</f>
        <v/>
      </c>
      <c r="H2919" s="10">
        <f>IFERROR(AVERAGE($D$2668:$D$2919),"")</f>
        <v/>
      </c>
      <c r="I2919" s="10" t="n">
        <v>2.667577055364311</v>
      </c>
      <c r="J2919" t="inlineStr"/>
      <c r="K2919" t="inlineStr"/>
    </row>
    <row r="2920">
      <c r="A2920" s="7" t="inlineStr">
        <is>
          <t>2026-03-04</t>
        </is>
      </c>
      <c r="B2920" s="8">
        <f>IFERROR(VLOOKUP($A2920,'01-原始价格'!$A:$M,2,FALSE),"")</f>
        <v/>
      </c>
      <c r="C2920" s="8">
        <f>IFERROR(VLOOKUP($A2920,'01-原始价格'!$A:$M,8,FALSE),"")</f>
        <v/>
      </c>
      <c r="D2920" s="10">
        <f>IFERROR(B2920/C2920,"")</f>
        <v/>
      </c>
      <c r="E2920" s="10">
        <f>IFERROR(C2920/B2920,"")</f>
        <v/>
      </c>
      <c r="F2920" s="11">
        <f>IFERROR((D2920/D2919-1)*100,"")</f>
        <v/>
      </c>
      <c r="G2920" s="11">
        <f>IFERROR((COUNTIF($D$2669:$D$2920,"&lt;"&amp;D2920)+0.5*COUNTIF($D$2669:$D$2920,D2920))/COUNT($D$2669:$D$2920)*100,"")</f>
        <v/>
      </c>
      <c r="H2920" s="10">
        <f>IFERROR(AVERAGE($D$2669:$D$2920),"")</f>
        <v/>
      </c>
      <c r="I2920" s="10" t="n">
        <v>3.700488385721299</v>
      </c>
      <c r="J2920" s="9" t="inlineStr">
        <is>
          <t>是</t>
        </is>
      </c>
      <c r="K2920" t="inlineStr"/>
      <c r="L2920" t="inlineStr">
        <is>
          <t>统计异常</t>
        </is>
      </c>
    </row>
    <row r="2921">
      <c r="A2921" s="7" t="inlineStr">
        <is>
          <t>2026-03-05</t>
        </is>
      </c>
      <c r="B2921" s="8">
        <f>IFERROR(VLOOKUP($A2921,'01-原始价格'!$A:$M,2,FALSE),"")</f>
        <v/>
      </c>
      <c r="C2921" s="8">
        <f>IFERROR(VLOOKUP($A2921,'01-原始价格'!$A:$M,8,FALSE),"")</f>
        <v/>
      </c>
      <c r="D2921" s="10">
        <f>IFERROR(B2921/C2921,"")</f>
        <v/>
      </c>
      <c r="E2921" s="10">
        <f>IFERROR(C2921/B2921,"")</f>
        <v/>
      </c>
      <c r="F2921" s="11">
        <f>IFERROR((D2921/D2920-1)*100,"")</f>
        <v/>
      </c>
      <c r="G2921" s="11">
        <f>IFERROR((COUNTIF($D$2670:$D$2921,"&lt;"&amp;D2921)+0.5*COUNTIF($D$2670:$D$2921,D2921))/COUNT($D$2670:$D$2921)*100,"")</f>
        <v/>
      </c>
      <c r="H2921" s="10">
        <f>IFERROR(AVERAGE($D$2670:$D$2921),"")</f>
        <v/>
      </c>
      <c r="I2921" s="10" t="n">
        <v>2.914786038586161</v>
      </c>
      <c r="J2921" t="inlineStr"/>
      <c r="K2921" t="inlineStr"/>
    </row>
    <row r="2922">
      <c r="A2922" s="7" t="inlineStr">
        <is>
          <t>2026-03-06</t>
        </is>
      </c>
      <c r="B2922" s="8">
        <f>IFERROR(VLOOKUP($A2922,'01-原始价格'!$A:$M,2,FALSE),"")</f>
        <v/>
      </c>
      <c r="C2922" s="8">
        <f>IFERROR(VLOOKUP($A2922,'01-原始价格'!$A:$M,8,FALSE),"")</f>
        <v/>
      </c>
      <c r="D2922" s="10">
        <f>IFERROR(B2922/C2922,"")</f>
        <v/>
      </c>
      <c r="E2922" s="10">
        <f>IFERROR(C2922/B2922,"")</f>
        <v/>
      </c>
      <c r="F2922" s="11">
        <f>IFERROR((D2922/D2921-1)*100,"")</f>
        <v/>
      </c>
      <c r="G2922" s="11">
        <f>IFERROR((COUNTIF($D$2671:$D$2922,"&lt;"&amp;D2922)+0.5*COUNTIF($D$2671:$D$2922,D2922))/COUNT($D$2671:$D$2922)*100,"")</f>
        <v/>
      </c>
      <c r="H2922" s="10">
        <f>IFERROR(AVERAGE($D$2671:$D$2922),"")</f>
        <v/>
      </c>
      <c r="I2922" s="10" t="n">
        <v>3.270026502435719</v>
      </c>
      <c r="J2922" t="inlineStr"/>
      <c r="K2922" t="inlineStr"/>
    </row>
    <row r="2923">
      <c r="A2923" s="7" t="inlineStr">
        <is>
          <t>2026-03-09</t>
        </is>
      </c>
      <c r="B2923" s="8">
        <f>IFERROR(VLOOKUP($A2923,'01-原始价格'!$A:$M,2,FALSE),"")</f>
        <v/>
      </c>
      <c r="C2923" s="8">
        <f>IFERROR(VLOOKUP($A2923,'01-原始价格'!$A:$M,8,FALSE),"")</f>
        <v/>
      </c>
      <c r="D2923" s="10">
        <f>IFERROR(B2923/C2923,"")</f>
        <v/>
      </c>
      <c r="E2923" s="10">
        <f>IFERROR(C2923/B2923,"")</f>
        <v/>
      </c>
      <c r="F2923" s="11">
        <f>IFERROR((D2923/D2922-1)*100,"")</f>
        <v/>
      </c>
      <c r="G2923" s="11">
        <f>IFERROR((COUNTIF($D$2672:$D$2923,"&lt;"&amp;D2923)+0.5*COUNTIF($D$2672:$D$2923,D2923))/COUNT($D$2672:$D$2923)*100,"")</f>
        <v/>
      </c>
      <c r="H2923" s="10">
        <f>IFERROR(AVERAGE($D$2672:$D$2923),"")</f>
        <v/>
      </c>
      <c r="I2923" s="10" t="n">
        <v>3.140314100865673</v>
      </c>
      <c r="J2923" t="inlineStr"/>
      <c r="K2923" t="inlineStr"/>
    </row>
    <row r="2924">
      <c r="A2924" s="7" t="inlineStr">
        <is>
          <t>2026-03-10</t>
        </is>
      </c>
      <c r="B2924" s="8">
        <f>IFERROR(VLOOKUP($A2924,'01-原始价格'!$A:$M,2,FALSE),"")</f>
        <v/>
      </c>
      <c r="C2924" s="8">
        <f>IFERROR(VLOOKUP($A2924,'01-原始价格'!$A:$M,8,FALSE),"")</f>
        <v/>
      </c>
      <c r="D2924" s="10">
        <f>IFERROR(B2924/C2924,"")</f>
        <v/>
      </c>
      <c r="E2924" s="10">
        <f>IFERROR(C2924/B2924,"")</f>
        <v/>
      </c>
      <c r="F2924" s="11">
        <f>IFERROR((D2924/D2923-1)*100,"")</f>
        <v/>
      </c>
      <c r="G2924" s="11">
        <f>IFERROR((COUNTIF($D$2673:$D$2924,"&lt;"&amp;D2924)+0.5*COUNTIF($D$2673:$D$2924,D2924))/COUNT($D$2673:$D$2924)*100,"")</f>
        <v/>
      </c>
      <c r="H2924" s="10">
        <f>IFERROR(AVERAGE($D$2673:$D$2924),"")</f>
        <v/>
      </c>
      <c r="I2924" s="10" t="n">
        <v>2.793169716816955</v>
      </c>
      <c r="J2924" t="inlineStr"/>
      <c r="K2924" t="inlineStr"/>
    </row>
    <row r="2925">
      <c r="A2925" s="7" t="inlineStr">
        <is>
          <t>2026-03-11</t>
        </is>
      </c>
      <c r="B2925" s="8">
        <f>IFERROR(VLOOKUP($A2925,'01-原始价格'!$A:$M,2,FALSE),"")</f>
        <v/>
      </c>
      <c r="C2925" s="8">
        <f>IFERROR(VLOOKUP($A2925,'01-原始价格'!$A:$M,8,FALSE),"")</f>
        <v/>
      </c>
      <c r="D2925" s="10">
        <f>IFERROR(B2925/C2925,"")</f>
        <v/>
      </c>
      <c r="E2925" s="10">
        <f>IFERROR(C2925/B2925,"")</f>
        <v/>
      </c>
      <c r="F2925" s="11">
        <f>IFERROR((D2925/D2924-1)*100,"")</f>
        <v/>
      </c>
      <c r="G2925" s="11">
        <f>IFERROR((COUNTIF($D$2674:$D$2925,"&lt;"&amp;D2925)+0.5*COUNTIF($D$2674:$D$2925,D2925))/COUNT($D$2674:$D$2925)*100,"")</f>
        <v/>
      </c>
      <c r="H2925" s="10">
        <f>IFERROR(AVERAGE($D$2674:$D$2925),"")</f>
        <v/>
      </c>
      <c r="I2925" s="10" t="n">
        <v>2.590210700357159</v>
      </c>
      <c r="J2925" t="inlineStr"/>
      <c r="K2925" t="inlineStr"/>
    </row>
    <row r="2926">
      <c r="A2926" s="7" t="inlineStr">
        <is>
          <t>2026-03-12</t>
        </is>
      </c>
      <c r="B2926" s="8">
        <f>IFERROR(VLOOKUP($A2926,'01-原始价格'!$A:$M,2,FALSE),"")</f>
        <v/>
      </c>
      <c r="C2926" s="8">
        <f>IFERROR(VLOOKUP($A2926,'01-原始价格'!$A:$M,8,FALSE),"")</f>
        <v/>
      </c>
      <c r="D2926" s="10">
        <f>IFERROR(B2926/C2926,"")</f>
        <v/>
      </c>
      <c r="E2926" s="10">
        <f>IFERROR(C2926/B2926,"")</f>
        <v/>
      </c>
      <c r="F2926" s="11">
        <f>IFERROR((D2926/D2925-1)*100,"")</f>
        <v/>
      </c>
      <c r="G2926" s="11">
        <f>IFERROR((COUNTIF($D$2675:$D$2926,"&lt;"&amp;D2926)+0.5*COUNTIF($D$2675:$D$2926,D2926))/COUNT($D$2675:$D$2926)*100,"")</f>
        <v/>
      </c>
      <c r="H2926" s="10">
        <f>IFERROR(AVERAGE($D$2675:$D$2926),"")</f>
        <v/>
      </c>
      <c r="I2926" s="10" t="n">
        <v>2.649740732522545</v>
      </c>
      <c r="J2926" t="inlineStr"/>
      <c r="K2926" t="inlineStr"/>
    </row>
    <row r="2927">
      <c r="A2927" s="7" t="inlineStr">
        <is>
          <t>2026-03-13</t>
        </is>
      </c>
      <c r="B2927" s="8">
        <f>IFERROR(VLOOKUP($A2927,'01-原始价格'!$A:$M,2,FALSE),"")</f>
        <v/>
      </c>
      <c r="C2927" s="8">
        <f>IFERROR(VLOOKUP($A2927,'01-原始价格'!$A:$M,8,FALSE),"")</f>
        <v/>
      </c>
      <c r="D2927" s="10">
        <f>IFERROR(B2927/C2927,"")</f>
        <v/>
      </c>
      <c r="E2927" s="10">
        <f>IFERROR(C2927/B2927,"")</f>
        <v/>
      </c>
      <c r="F2927" s="11">
        <f>IFERROR((D2927/D2926-1)*100,"")</f>
        <v/>
      </c>
      <c r="G2927" s="11">
        <f>IFERROR((COUNTIF($D$2676:$D$2927,"&lt;"&amp;D2927)+0.5*COUNTIF($D$2676:$D$2927,D2927))/COUNT($D$2676:$D$2927)*100,"")</f>
        <v/>
      </c>
      <c r="H2927" s="10">
        <f>IFERROR(AVERAGE($D$2676:$D$2927),"")</f>
        <v/>
      </c>
      <c r="I2927" s="10" t="n">
        <v>3.306922665052708</v>
      </c>
      <c r="J2927" t="inlineStr"/>
      <c r="K2927" t="inlineStr"/>
    </row>
    <row r="2928">
      <c r="A2928" s="7" t="inlineStr">
        <is>
          <t>2026-03-16</t>
        </is>
      </c>
      <c r="B2928" s="8">
        <f>IFERROR(VLOOKUP($A2928,'01-原始价格'!$A:$M,2,FALSE),"")</f>
        <v/>
      </c>
      <c r="C2928" s="8">
        <f>IFERROR(VLOOKUP($A2928,'01-原始价格'!$A:$M,8,FALSE),"")</f>
        <v/>
      </c>
      <c r="D2928" s="10">
        <f>IFERROR(B2928/C2928,"")</f>
        <v/>
      </c>
      <c r="E2928" s="10">
        <f>IFERROR(C2928/B2928,"")</f>
        <v/>
      </c>
      <c r="F2928" s="11">
        <f>IFERROR((D2928/D2927-1)*100,"")</f>
        <v/>
      </c>
      <c r="G2928" s="11">
        <f>IFERROR((COUNTIF($D$2677:$D$2928,"&lt;"&amp;D2928)+0.5*COUNTIF($D$2677:$D$2928,D2928))/COUNT($D$2677:$D$2928)*100,"")</f>
        <v/>
      </c>
      <c r="H2928" s="10">
        <f>IFERROR(AVERAGE($D$2677:$D$2928),"")</f>
        <v/>
      </c>
      <c r="I2928" s="10" t="n">
        <v>3.088529556102165</v>
      </c>
      <c r="J2928" t="inlineStr"/>
      <c r="K2928" t="inlineStr"/>
    </row>
    <row r="2929">
      <c r="A2929" s="7" t="inlineStr">
        <is>
          <t>2026-03-17</t>
        </is>
      </c>
      <c r="B2929" s="8">
        <f>IFERROR(VLOOKUP($A2929,'01-原始价格'!$A:$M,2,FALSE),"")</f>
        <v/>
      </c>
      <c r="C2929" s="8">
        <f>IFERROR(VLOOKUP($A2929,'01-原始价格'!$A:$M,8,FALSE),"")</f>
        <v/>
      </c>
      <c r="D2929" s="10">
        <f>IFERROR(B2929/C2929,"")</f>
        <v/>
      </c>
      <c r="E2929" s="10">
        <f>IFERROR(C2929/B2929,"")</f>
        <v/>
      </c>
      <c r="F2929" s="11">
        <f>IFERROR((D2929/D2928-1)*100,"")</f>
        <v/>
      </c>
      <c r="G2929" s="11">
        <f>IFERROR((COUNTIF($D$2678:$D$2929,"&lt;"&amp;D2929)+0.5*COUNTIF($D$2678:$D$2929,D2929))/COUNT($D$2678:$D$2929)*100,"")</f>
        <v/>
      </c>
      <c r="H2929" s="10">
        <f>IFERROR(AVERAGE($D$2678:$D$2929),"")</f>
        <v/>
      </c>
      <c r="I2929" s="10" t="n">
        <v>3.059544247711588</v>
      </c>
      <c r="J2929" t="inlineStr"/>
      <c r="K2929" t="inlineStr"/>
    </row>
    <row r="2930">
      <c r="A2930" s="7" t="inlineStr">
        <is>
          <t>2026-03-18</t>
        </is>
      </c>
      <c r="B2930" s="8">
        <f>IFERROR(VLOOKUP($A2930,'01-原始价格'!$A:$M,2,FALSE),"")</f>
        <v/>
      </c>
      <c r="C2930" s="8">
        <f>IFERROR(VLOOKUP($A2930,'01-原始价格'!$A:$M,8,FALSE),"")</f>
        <v/>
      </c>
      <c r="D2930" s="10">
        <f>IFERROR(B2930/C2930,"")</f>
        <v/>
      </c>
      <c r="E2930" s="10">
        <f>IFERROR(C2930/B2930,"")</f>
        <v/>
      </c>
      <c r="F2930" s="11">
        <f>IFERROR((D2930/D2929-1)*100,"")</f>
        <v/>
      </c>
      <c r="G2930" s="11">
        <f>IFERROR((COUNTIF($D$2679:$D$2930,"&lt;"&amp;D2930)+0.5*COUNTIF($D$2679:$D$2930,D2930))/COUNT($D$2679:$D$2930)*100,"")</f>
        <v/>
      </c>
      <c r="H2930" s="10">
        <f>IFERROR(AVERAGE($D$2679:$D$2930),"")</f>
        <v/>
      </c>
      <c r="I2930" s="10" t="n">
        <v>3.193937674912791</v>
      </c>
      <c r="J2930" t="inlineStr"/>
      <c r="K2930" t="inlineStr"/>
    </row>
    <row r="2931">
      <c r="A2931" s="7" t="inlineStr">
        <is>
          <t>2026-03-19</t>
        </is>
      </c>
      <c r="B2931" s="8">
        <f>IFERROR(VLOOKUP($A2931,'01-原始价格'!$A:$M,2,FALSE),"")</f>
        <v/>
      </c>
      <c r="C2931" s="8">
        <f>IFERROR(VLOOKUP($A2931,'01-原始价格'!$A:$M,8,FALSE),"")</f>
        <v/>
      </c>
      <c r="D2931" s="10">
        <f>IFERROR(B2931/C2931,"")</f>
        <v/>
      </c>
      <c r="E2931" s="10">
        <f>IFERROR(C2931/B2931,"")</f>
        <v/>
      </c>
      <c r="F2931" s="11">
        <f>IFERROR((D2931/D2930-1)*100,"")</f>
        <v/>
      </c>
      <c r="G2931" s="11">
        <f>IFERROR((COUNTIF($D$2680:$D$2931,"&lt;"&amp;D2931)+0.5*COUNTIF($D$2680:$D$2931,D2931))/COUNT($D$2680:$D$2931)*100,"")</f>
        <v/>
      </c>
      <c r="H2931" s="10">
        <f>IFERROR(AVERAGE($D$2680:$D$2931),"")</f>
        <v/>
      </c>
      <c r="I2931" s="10" t="n">
        <v>3.329812913942546</v>
      </c>
      <c r="J2931" t="inlineStr"/>
      <c r="K2931" t="inlineStr"/>
    </row>
    <row r="2932">
      <c r="A2932" s="7" t="inlineStr">
        <is>
          <t>2026-03-20</t>
        </is>
      </c>
      <c r="B2932" s="8">
        <f>IFERROR(VLOOKUP($A2932,'01-原始价格'!$A:$M,2,FALSE),"")</f>
        <v/>
      </c>
      <c r="C2932" s="8">
        <f>IFERROR(VLOOKUP($A2932,'01-原始价格'!$A:$M,8,FALSE),"")</f>
        <v/>
      </c>
      <c r="D2932" s="10">
        <f>IFERROR(B2932/C2932,"")</f>
        <v/>
      </c>
      <c r="E2932" s="10">
        <f>IFERROR(C2932/B2932,"")</f>
        <v/>
      </c>
      <c r="F2932" s="11">
        <f>IFERROR((D2932/D2931-1)*100,"")</f>
        <v/>
      </c>
      <c r="G2932" s="11">
        <f>IFERROR((COUNTIF($D$2681:$D$2932,"&lt;"&amp;D2932)+0.5*COUNTIF($D$2681:$D$2932,D2932))/COUNT($D$2681:$D$2932)*100,"")</f>
        <v/>
      </c>
      <c r="H2932" s="10">
        <f>IFERROR(AVERAGE($D$2681:$D$2932),"")</f>
        <v/>
      </c>
      <c r="I2932" s="10" t="n">
        <v>2.996897654806765</v>
      </c>
      <c r="J2932" t="inlineStr"/>
      <c r="K2932" t="inlineStr"/>
    </row>
    <row r="2933">
      <c r="A2933" s="7" t="inlineStr">
        <is>
          <t>2026-03-23</t>
        </is>
      </c>
      <c r="B2933" s="8">
        <f>IFERROR(VLOOKUP($A2933,'01-原始价格'!$A:$M,2,FALSE),"")</f>
        <v/>
      </c>
      <c r="C2933" s="8">
        <f>IFERROR(VLOOKUP($A2933,'01-原始价格'!$A:$M,8,FALSE),"")</f>
        <v/>
      </c>
      <c r="D2933" s="10">
        <f>IFERROR(B2933/C2933,"")</f>
        <v/>
      </c>
      <c r="E2933" s="10">
        <f>IFERROR(C2933/B2933,"")</f>
        <v/>
      </c>
      <c r="F2933" s="11">
        <f>IFERROR((D2933/D2932-1)*100,"")</f>
        <v/>
      </c>
      <c r="G2933" s="11">
        <f>IFERROR((COUNTIF($D$2682:$D$2933,"&lt;"&amp;D2933)+0.5*COUNTIF($D$2682:$D$2933,D2933))/COUNT($D$2682:$D$2933)*100,"")</f>
        <v/>
      </c>
      <c r="H2933" s="10">
        <f>IFERROR(AVERAGE($D$2682:$D$2933),"")</f>
        <v/>
      </c>
      <c r="I2933" s="10" t="n">
        <v>3.18415316746098</v>
      </c>
      <c r="J2933" t="inlineStr"/>
      <c r="K2933" t="inlineStr"/>
    </row>
    <row r="2934">
      <c r="A2934" s="7" t="inlineStr">
        <is>
          <t>2026-03-24</t>
        </is>
      </c>
      <c r="B2934" s="8">
        <f>IFERROR(VLOOKUP($A2934,'01-原始价格'!$A:$M,2,FALSE),"")</f>
        <v/>
      </c>
      <c r="C2934" s="8">
        <f>IFERROR(VLOOKUP($A2934,'01-原始价格'!$A:$M,8,FALSE),"")</f>
        <v/>
      </c>
      <c r="D2934" s="10">
        <f>IFERROR(B2934/C2934,"")</f>
        <v/>
      </c>
      <c r="E2934" s="10">
        <f>IFERROR(C2934/B2934,"")</f>
        <v/>
      </c>
      <c r="F2934" s="11">
        <f>IFERROR((D2934/D2933-1)*100,"")</f>
        <v/>
      </c>
      <c r="G2934" s="11">
        <f>IFERROR((COUNTIF($D$2683:$D$2934,"&lt;"&amp;D2934)+0.5*COUNTIF($D$2683:$D$2934,D2934))/COUNT($D$2683:$D$2934)*100,"")</f>
        <v/>
      </c>
      <c r="H2934" s="10">
        <f>IFERROR(AVERAGE($D$2683:$D$2934),"")</f>
        <v/>
      </c>
      <c r="I2934" s="10" t="n">
        <v>2.704599019277891</v>
      </c>
      <c r="J2934" t="inlineStr"/>
      <c r="K2934" t="inlineStr"/>
    </row>
    <row r="2935">
      <c r="A2935" s="7" t="inlineStr">
        <is>
          <t>2026-03-25</t>
        </is>
      </c>
      <c r="B2935" s="8">
        <f>IFERROR(VLOOKUP($A2935,'01-原始价格'!$A:$M,2,FALSE),"")</f>
        <v/>
      </c>
      <c r="C2935" s="8">
        <f>IFERROR(VLOOKUP($A2935,'01-原始价格'!$A:$M,8,FALSE),"")</f>
        <v/>
      </c>
      <c r="D2935" s="10">
        <f>IFERROR(B2935/C2935,"")</f>
        <v/>
      </c>
      <c r="E2935" s="10">
        <f>IFERROR(C2935/B2935,"")</f>
        <v/>
      </c>
      <c r="F2935" s="11">
        <f>IFERROR((D2935/D2934-1)*100,"")</f>
        <v/>
      </c>
      <c r="G2935" s="11">
        <f>IFERROR((COUNTIF($D$2684:$D$2935,"&lt;"&amp;D2935)+0.5*COUNTIF($D$2684:$D$2935,D2935))/COUNT($D$2684:$D$2935)*100,"")</f>
        <v/>
      </c>
      <c r="H2935" s="10">
        <f>IFERROR(AVERAGE($D$2684:$D$2935),"")</f>
        <v/>
      </c>
      <c r="I2935" s="10" t="n">
        <v>3.054333930419102</v>
      </c>
      <c r="J2935" t="inlineStr"/>
      <c r="K2935" t="inlineStr"/>
    </row>
    <row r="2936">
      <c r="A2936" s="7" t="inlineStr">
        <is>
          <t>2026-03-26</t>
        </is>
      </c>
      <c r="B2936" s="8">
        <f>IFERROR(VLOOKUP($A2936,'01-原始价格'!$A:$M,2,FALSE),"")</f>
        <v/>
      </c>
      <c r="C2936" s="8">
        <f>IFERROR(VLOOKUP($A2936,'01-原始价格'!$A:$M,8,FALSE),"")</f>
        <v/>
      </c>
      <c r="D2936" s="10">
        <f>IFERROR(B2936/C2936,"")</f>
        <v/>
      </c>
      <c r="E2936" s="10">
        <f>IFERROR(C2936/B2936,"")</f>
        <v/>
      </c>
      <c r="F2936" s="11">
        <f>IFERROR((D2936/D2935-1)*100,"")</f>
        <v/>
      </c>
      <c r="G2936" s="11">
        <f>IFERROR((COUNTIF($D$2685:$D$2936,"&lt;"&amp;D2936)+0.5*COUNTIF($D$2685:$D$2936,D2936))/COUNT($D$2685:$D$2936)*100,"")</f>
        <v/>
      </c>
      <c r="H2936" s="10">
        <f>IFERROR(AVERAGE($D$2685:$D$2936),"")</f>
        <v/>
      </c>
      <c r="I2936" s="10" t="n">
        <v>3.280240586783395</v>
      </c>
      <c r="J2936" t="inlineStr"/>
      <c r="K2936" t="inlineStr"/>
    </row>
    <row r="2937">
      <c r="A2937" s="7" t="inlineStr">
        <is>
          <t>2026-03-27</t>
        </is>
      </c>
      <c r="B2937" s="8">
        <f>IFERROR(VLOOKUP($A2937,'01-原始价格'!$A:$M,2,FALSE),"")</f>
        <v/>
      </c>
      <c r="C2937" s="8">
        <f>IFERROR(VLOOKUP($A2937,'01-原始价格'!$A:$M,8,FALSE),"")</f>
        <v/>
      </c>
      <c r="D2937" s="10">
        <f>IFERROR(B2937/C2937,"")</f>
        <v/>
      </c>
      <c r="E2937" s="10">
        <f>IFERROR(C2937/B2937,"")</f>
        <v/>
      </c>
      <c r="F2937" s="11">
        <f>IFERROR((D2937/D2936-1)*100,"")</f>
        <v/>
      </c>
      <c r="G2937" s="11">
        <f>IFERROR((COUNTIF($D$2686:$D$2937,"&lt;"&amp;D2937)+0.5*COUNTIF($D$2686:$D$2937,D2937))/COUNT($D$2686:$D$2937)*100,"")</f>
        <v/>
      </c>
      <c r="H2937" s="10">
        <f>IFERROR(AVERAGE($D$2686:$D$2937),"")</f>
        <v/>
      </c>
      <c r="I2937" s="10" t="n">
        <v>3.421993640577866</v>
      </c>
      <c r="J2937" t="inlineStr"/>
      <c r="K2937" t="inlineStr"/>
    </row>
    <row r="2938">
      <c r="A2938" s="7" t="inlineStr">
        <is>
          <t>2026-03-30</t>
        </is>
      </c>
      <c r="B2938" s="8">
        <f>IFERROR(VLOOKUP($A2938,'01-原始价格'!$A:$M,2,FALSE),"")</f>
        <v/>
      </c>
      <c r="C2938" s="8">
        <f>IFERROR(VLOOKUP($A2938,'01-原始价格'!$A:$M,8,FALSE),"")</f>
        <v/>
      </c>
      <c r="D2938" s="10">
        <f>IFERROR(B2938/C2938,"")</f>
        <v/>
      </c>
      <c r="E2938" s="10">
        <f>IFERROR(C2938/B2938,"")</f>
        <v/>
      </c>
      <c r="F2938" s="11">
        <f>IFERROR((D2938/D2937-1)*100,"")</f>
        <v/>
      </c>
      <c r="G2938" s="11">
        <f>IFERROR((COUNTIF($D$2687:$D$2938,"&lt;"&amp;D2938)+0.5*COUNTIF($D$2687:$D$2938,D2938))/COUNT($D$2687:$D$2938)*100,"")</f>
        <v/>
      </c>
      <c r="H2938" s="10">
        <f>IFERROR(AVERAGE($D$2687:$D$2938),"")</f>
        <v/>
      </c>
      <c r="I2938" s="10" t="n">
        <v>3.438086140885723</v>
      </c>
      <c r="J2938" t="inlineStr"/>
      <c r="K2938" t="inlineStr"/>
    </row>
    <row r="2939">
      <c r="A2939" s="7" t="inlineStr">
        <is>
          <t>2026-03-31</t>
        </is>
      </c>
      <c r="B2939" s="8">
        <f>IFERROR(VLOOKUP($A2939,'01-原始价格'!$A:$M,2,FALSE),"")</f>
        <v/>
      </c>
      <c r="C2939" s="8">
        <f>IFERROR(VLOOKUP($A2939,'01-原始价格'!$A:$M,8,FALSE),"")</f>
        <v/>
      </c>
      <c r="D2939" s="10">
        <f>IFERROR(B2939/C2939,"")</f>
        <v/>
      </c>
      <c r="E2939" s="10">
        <f>IFERROR(C2939/B2939,"")</f>
        <v/>
      </c>
      <c r="F2939" s="11">
        <f>IFERROR((D2939/D2938-1)*100,"")</f>
        <v/>
      </c>
      <c r="G2939" s="11">
        <f>IFERROR((COUNTIF($D$2688:$D$2939,"&lt;"&amp;D2939)+0.5*COUNTIF($D$2688:$D$2939,D2939))/COUNT($D$2688:$D$2939)*100,"")</f>
        <v/>
      </c>
      <c r="H2939" s="10">
        <f>IFERROR(AVERAGE($D$2688:$D$2939),"")</f>
        <v/>
      </c>
      <c r="I2939" s="10" t="n">
        <v>3.392262702208813</v>
      </c>
      <c r="J2939" t="inlineStr"/>
      <c r="K2939" t="inlineStr"/>
    </row>
    <row r="2940">
      <c r="A2940" s="7" t="inlineStr">
        <is>
          <t>2026-04-01</t>
        </is>
      </c>
      <c r="B2940" s="8">
        <f>IFERROR(VLOOKUP($A2940,'01-原始价格'!$A:$M,2,FALSE),"")</f>
        <v/>
      </c>
      <c r="C2940" s="8">
        <f>IFERROR(VLOOKUP($A2940,'01-原始价格'!$A:$M,8,FALSE),"")</f>
        <v/>
      </c>
      <c r="D2940" s="10">
        <f>IFERROR(B2940/C2940,"")</f>
        <v/>
      </c>
      <c r="E2940" s="10">
        <f>IFERROR(C2940/B2940,"")</f>
        <v/>
      </c>
      <c r="F2940" s="11">
        <f>IFERROR((D2940/D2939-1)*100,"")</f>
        <v/>
      </c>
      <c r="G2940" s="11">
        <f>IFERROR((COUNTIF($D$2689:$D$2940,"&lt;"&amp;D2940)+0.5*COUNTIF($D$2689:$D$2940,D2940))/COUNT($D$2689:$D$2940)*100,"")</f>
        <v/>
      </c>
      <c r="H2940" s="10">
        <f>IFERROR(AVERAGE($D$2689:$D$2940),"")</f>
        <v/>
      </c>
      <c r="I2940" s="10" t="n">
        <v>2.83541593581612</v>
      </c>
      <c r="J2940" t="inlineStr"/>
      <c r="K2940" t="inlineStr"/>
    </row>
    <row r="2941">
      <c r="A2941" s="7" t="inlineStr">
        <is>
          <t>2026-04-02</t>
        </is>
      </c>
      <c r="B2941" s="8">
        <f>IFERROR(VLOOKUP($A2941,'01-原始价格'!$A:$M,2,FALSE),"")</f>
        <v/>
      </c>
      <c r="C2941" s="8">
        <f>IFERROR(VLOOKUP($A2941,'01-原始价格'!$A:$M,8,FALSE),"")</f>
        <v/>
      </c>
      <c r="D2941" s="10">
        <f>IFERROR(B2941/C2941,"")</f>
        <v/>
      </c>
      <c r="E2941" s="10">
        <f>IFERROR(C2941/B2941,"")</f>
        <v/>
      </c>
      <c r="F2941" s="11">
        <f>IFERROR((D2941/D2940-1)*100,"")</f>
        <v/>
      </c>
      <c r="G2941" s="11">
        <f>IFERROR((COUNTIF($D$2690:$D$2941,"&lt;"&amp;D2941)+0.5*COUNTIF($D$2690:$D$2941,D2941))/COUNT($D$2690:$D$2941)*100,"")</f>
        <v/>
      </c>
      <c r="H2941" s="10">
        <f>IFERROR(AVERAGE($D$2690:$D$2941),"")</f>
        <v/>
      </c>
      <c r="I2941" s="10" t="n">
        <v>3.23972926250449</v>
      </c>
      <c r="J2941" t="inlineStr"/>
      <c r="K2941" t="inlineStr"/>
    </row>
    <row r="2942">
      <c r="A2942" s="7" t="inlineStr">
        <is>
          <t>2026-04-03</t>
        </is>
      </c>
      <c r="B2942" s="8">
        <f>IFERROR(VLOOKUP($A2942,'01-原始价格'!$A:$M,2,FALSE),"")</f>
        <v/>
      </c>
      <c r="C2942" s="8">
        <f>IFERROR(VLOOKUP($A2942,'01-原始价格'!$A:$M,8,FALSE),"")</f>
        <v/>
      </c>
      <c r="D2942" s="10">
        <f>IFERROR(B2942/C2942,"")</f>
        <v/>
      </c>
      <c r="E2942" s="10">
        <f>IFERROR(C2942/B2942,"")</f>
        <v/>
      </c>
      <c r="F2942" s="11">
        <f>IFERROR((D2942/D2941-1)*100,"")</f>
        <v/>
      </c>
      <c r="G2942" s="11">
        <f>IFERROR((COUNTIF($D$2691:$D$2942,"&lt;"&amp;D2942)+0.5*COUNTIF($D$2691:$D$2942,D2942))/COUNT($D$2691:$D$2942)*100,"")</f>
        <v/>
      </c>
      <c r="H2942" s="10">
        <f>IFERROR(AVERAGE($D$2691:$D$2942),"")</f>
        <v/>
      </c>
      <c r="I2942" s="10" t="n">
        <v>3.517406542895846</v>
      </c>
      <c r="J2942" s="9" t="inlineStr">
        <is>
          <t>是</t>
        </is>
      </c>
      <c r="K2942" t="inlineStr"/>
      <c r="L2942" t="inlineStr">
        <is>
          <t>统计异常</t>
        </is>
      </c>
    </row>
    <row r="2943">
      <c r="A2943" s="7" t="inlineStr">
        <is>
          <t>2026-04-07</t>
        </is>
      </c>
      <c r="B2943" s="8">
        <f>IFERROR(VLOOKUP($A2943,'01-原始价格'!$A:$M,2,FALSE),"")</f>
        <v/>
      </c>
      <c r="C2943" s="8">
        <f>IFERROR(VLOOKUP($A2943,'01-原始价格'!$A:$M,8,FALSE),"")</f>
        <v/>
      </c>
      <c r="D2943" s="10">
        <f>IFERROR(B2943/C2943,"")</f>
        <v/>
      </c>
      <c r="E2943" s="10">
        <f>IFERROR(C2943/B2943,"")</f>
        <v/>
      </c>
      <c r="F2943" s="11">
        <f>IFERROR((D2943/D2942-1)*100,"")</f>
        <v/>
      </c>
      <c r="G2943" s="11">
        <f>IFERROR((COUNTIF($D$2692:$D$2943,"&lt;"&amp;D2943)+0.5*COUNTIF($D$2692:$D$2943,D2943))/COUNT($D$2692:$D$2943)*100,"")</f>
        <v/>
      </c>
      <c r="H2943" s="10">
        <f>IFERROR(AVERAGE($D$2692:$D$2943),"")</f>
        <v/>
      </c>
      <c r="I2943" s="10" t="n">
        <v>2.847978845200876</v>
      </c>
      <c r="J2943" t="inlineStr"/>
      <c r="K2943" t="inlineStr"/>
    </row>
    <row r="2944">
      <c r="A2944" s="7" t="inlineStr">
        <is>
          <t>2026-04-08</t>
        </is>
      </c>
      <c r="B2944" s="8">
        <f>IFERROR(VLOOKUP($A2944,'01-原始价格'!$A:$M,2,FALSE),"")</f>
        <v/>
      </c>
      <c r="C2944" s="8">
        <f>IFERROR(VLOOKUP($A2944,'01-原始价格'!$A:$M,8,FALSE),"")</f>
        <v/>
      </c>
      <c r="D2944" s="10">
        <f>IFERROR(B2944/C2944,"")</f>
        <v/>
      </c>
      <c r="E2944" s="10">
        <f>IFERROR(C2944/B2944,"")</f>
        <v/>
      </c>
      <c r="F2944" s="11">
        <f>IFERROR((D2944/D2943-1)*100,"")</f>
        <v/>
      </c>
      <c r="G2944" s="11">
        <f>IFERROR((COUNTIF($D$2693:$D$2944,"&lt;"&amp;D2944)+0.5*COUNTIF($D$2693:$D$2944,D2944))/COUNT($D$2693:$D$2944)*100,"")</f>
        <v/>
      </c>
      <c r="H2944" s="10">
        <f>IFERROR(AVERAGE($D$2693:$D$2944),"")</f>
        <v/>
      </c>
      <c r="I2944" s="10" t="n">
        <v>2.67155429588734</v>
      </c>
      <c r="J2944" t="inlineStr"/>
      <c r="K2944" t="inlineStr"/>
    </row>
    <row r="2945">
      <c r="A2945" s="7" t="inlineStr">
        <is>
          <t>2026-04-09</t>
        </is>
      </c>
      <c r="B2945" s="8">
        <f>IFERROR(VLOOKUP($A2945,'01-原始价格'!$A:$M,2,FALSE),"")</f>
        <v/>
      </c>
      <c r="C2945" s="8">
        <f>IFERROR(VLOOKUP($A2945,'01-原始价格'!$A:$M,8,FALSE),"")</f>
        <v/>
      </c>
      <c r="D2945" s="10">
        <f>IFERROR(B2945/C2945,"")</f>
        <v/>
      </c>
      <c r="E2945" s="10">
        <f>IFERROR(C2945/B2945,"")</f>
        <v/>
      </c>
      <c r="F2945" s="11">
        <f>IFERROR((D2945/D2944-1)*100,"")</f>
        <v/>
      </c>
      <c r="G2945" s="11">
        <f>IFERROR((COUNTIF($D$2694:$D$2945,"&lt;"&amp;D2945)+0.5*COUNTIF($D$2694:$D$2945,D2945))/COUNT($D$2694:$D$2945)*100,"")</f>
        <v/>
      </c>
      <c r="H2945" s="10">
        <f>IFERROR(AVERAGE($D$2694:$D$2945),"")</f>
        <v/>
      </c>
      <c r="I2945" s="10" t="n">
        <v>0.7688014875776527</v>
      </c>
      <c r="J2945" t="inlineStr"/>
      <c r="K2945" s="12" t="inlineStr">
        <is>
          <t>是</t>
        </is>
      </c>
      <c r="L2945" t="inlineStr">
        <is>
          <t>换月日</t>
        </is>
      </c>
    </row>
    <row r="2946">
      <c r="A2946" s="7" t="inlineStr">
        <is>
          <t>2026-04-10</t>
        </is>
      </c>
      <c r="B2946" s="8">
        <f>IFERROR(VLOOKUP($A2946,'01-原始价格'!$A:$M,2,FALSE),"")</f>
        <v/>
      </c>
      <c r="C2946" s="8">
        <f>IFERROR(VLOOKUP($A2946,'01-原始价格'!$A:$M,8,FALSE),"")</f>
        <v/>
      </c>
      <c r="D2946" s="10">
        <f>IFERROR(B2946/C2946,"")</f>
        <v/>
      </c>
      <c r="E2946" s="10">
        <f>IFERROR(C2946/B2946,"")</f>
        <v/>
      </c>
      <c r="F2946" s="11">
        <f>IFERROR((D2946/D2945-1)*100,"")</f>
        <v/>
      </c>
      <c r="G2946" s="11">
        <f>IFERROR((COUNTIF($D$2695:$D$2946,"&lt;"&amp;D2946)+0.5*COUNTIF($D$2695:$D$2946,D2946))/COUNT($D$2695:$D$2946)*100,"")</f>
        <v/>
      </c>
      <c r="H2946" s="10">
        <f>IFERROR(AVERAGE($D$2695:$D$2946),"")</f>
        <v/>
      </c>
      <c r="I2946" s="10" t="n">
        <v>0.8182777793668519</v>
      </c>
      <c r="J2946" t="inlineStr"/>
      <c r="K2946" t="inlineStr"/>
    </row>
    <row r="2947">
      <c r="A2947" s="7" t="inlineStr">
        <is>
          <t>2026-04-13</t>
        </is>
      </c>
      <c r="B2947" s="8">
        <f>IFERROR(VLOOKUP($A2947,'01-原始价格'!$A:$M,2,FALSE),"")</f>
        <v/>
      </c>
      <c r="C2947" s="8">
        <f>IFERROR(VLOOKUP($A2947,'01-原始价格'!$A:$M,8,FALSE),"")</f>
        <v/>
      </c>
      <c r="D2947" s="10">
        <f>IFERROR(B2947/C2947,"")</f>
        <v/>
      </c>
      <c r="E2947" s="10">
        <f>IFERROR(C2947/B2947,"")</f>
        <v/>
      </c>
      <c r="F2947" s="11">
        <f>IFERROR((D2947/D2946-1)*100,"")</f>
        <v/>
      </c>
      <c r="G2947" s="11">
        <f>IFERROR((COUNTIF($D$2696:$D$2947,"&lt;"&amp;D2947)+0.5*COUNTIF($D$2696:$D$2947,D2947))/COUNT($D$2696:$D$2947)*100,"")</f>
        <v/>
      </c>
      <c r="H2947" s="10">
        <f>IFERROR(AVERAGE($D$2696:$D$2947),"")</f>
        <v/>
      </c>
      <c r="I2947" s="10" t="n">
        <v>1.98423212711686</v>
      </c>
      <c r="J2947" t="inlineStr"/>
      <c r="K2947" s="12" t="inlineStr">
        <is>
          <t>是</t>
        </is>
      </c>
      <c r="L2947" t="inlineStr">
        <is>
          <t>换月日</t>
        </is>
      </c>
    </row>
    <row r="2948">
      <c r="A2948" s="7" t="inlineStr">
        <is>
          <t>2026-04-14</t>
        </is>
      </c>
      <c r="B2948" s="8">
        <f>IFERROR(VLOOKUP($A2948,'01-原始价格'!$A:$M,2,FALSE),"")</f>
        <v/>
      </c>
      <c r="C2948" s="8">
        <f>IFERROR(VLOOKUP($A2948,'01-原始价格'!$A:$M,8,FALSE),"")</f>
        <v/>
      </c>
      <c r="D2948" s="10">
        <f>IFERROR(B2948/C2948,"")</f>
        <v/>
      </c>
      <c r="E2948" s="10">
        <f>IFERROR(C2948/B2948,"")</f>
        <v/>
      </c>
      <c r="F2948" s="11">
        <f>IFERROR((D2948/D2947-1)*100,"")</f>
        <v/>
      </c>
      <c r="G2948" s="11">
        <f>IFERROR((COUNTIF($D$2697:$D$2948,"&lt;"&amp;D2948)+0.5*COUNTIF($D$2697:$D$2948,D2948))/COUNT($D$2697:$D$2948)*100,"")</f>
        <v/>
      </c>
      <c r="H2948" s="10">
        <f>IFERROR(AVERAGE($D$2697:$D$2948),"")</f>
        <v/>
      </c>
      <c r="I2948" s="10" t="n">
        <v>2.154579095851614</v>
      </c>
      <c r="J2948" t="inlineStr"/>
      <c r="K2948" t="inlineStr"/>
    </row>
    <row r="2949">
      <c r="A2949" s="7" t="inlineStr">
        <is>
          <t>2026-04-15</t>
        </is>
      </c>
      <c r="B2949" s="8">
        <f>IFERROR(VLOOKUP($A2949,'01-原始价格'!$A:$M,2,FALSE),"")</f>
        <v/>
      </c>
      <c r="C2949" s="8">
        <f>IFERROR(VLOOKUP($A2949,'01-原始价格'!$A:$M,8,FALSE),"")</f>
        <v/>
      </c>
      <c r="D2949" s="10">
        <f>IFERROR(B2949/C2949,"")</f>
        <v/>
      </c>
      <c r="E2949" s="10">
        <f>IFERROR(C2949/B2949,"")</f>
        <v/>
      </c>
      <c r="F2949" s="11">
        <f>IFERROR((D2949/D2948-1)*100,"")</f>
        <v/>
      </c>
      <c r="G2949" s="11">
        <f>IFERROR((COUNTIF($D$2698:$D$2949,"&lt;"&amp;D2949)+0.5*COUNTIF($D$2698:$D$2949,D2949))/COUNT($D$2698:$D$2949)*100,"")</f>
        <v/>
      </c>
      <c r="H2949" s="10">
        <f>IFERROR(AVERAGE($D$2698:$D$2949),"")</f>
        <v/>
      </c>
      <c r="I2949" s="10" t="n">
        <v>2.221270776733671</v>
      </c>
      <c r="J2949" t="inlineStr"/>
      <c r="K2949" t="inlineStr"/>
    </row>
    <row r="2950">
      <c r="A2950" s="7" t="inlineStr">
        <is>
          <t>2026-04-16</t>
        </is>
      </c>
      <c r="B2950" s="8">
        <f>IFERROR(VLOOKUP($A2950,'01-原始价格'!$A:$M,2,FALSE),"")</f>
        <v/>
      </c>
      <c r="C2950" s="8">
        <f>IFERROR(VLOOKUP($A2950,'01-原始价格'!$A:$M,8,FALSE),"")</f>
        <v/>
      </c>
      <c r="D2950" s="10">
        <f>IFERROR(B2950/C2950,"")</f>
        <v/>
      </c>
      <c r="E2950" s="10">
        <f>IFERROR(C2950/B2950,"")</f>
        <v/>
      </c>
      <c r="F2950" s="11">
        <f>IFERROR((D2950/D2949-1)*100,"")</f>
        <v/>
      </c>
      <c r="G2950" s="11">
        <f>IFERROR((COUNTIF($D$2699:$D$2950,"&lt;"&amp;D2950)+0.5*COUNTIF($D$2699:$D$2950,D2950))/COUNT($D$2699:$D$2950)*100,"")</f>
        <v/>
      </c>
      <c r="H2950" s="10">
        <f>IFERROR(AVERAGE($D$2699:$D$2950),"")</f>
        <v/>
      </c>
      <c r="I2950" s="10" t="n">
        <v>2.27669315100616</v>
      </c>
      <c r="J2950" t="inlineStr"/>
      <c r="K2950" t="inlineStr"/>
    </row>
    <row r="2951">
      <c r="A2951" s="7" t="inlineStr">
        <is>
          <t>2026-04-17</t>
        </is>
      </c>
      <c r="B2951" s="8">
        <f>IFERROR(VLOOKUP($A2951,'01-原始价格'!$A:$M,2,FALSE),"")</f>
        <v/>
      </c>
      <c r="C2951" s="8">
        <f>IFERROR(VLOOKUP($A2951,'01-原始价格'!$A:$M,8,FALSE),"")</f>
        <v/>
      </c>
      <c r="D2951" s="10">
        <f>IFERROR(B2951/C2951,"")</f>
        <v/>
      </c>
      <c r="E2951" s="10">
        <f>IFERROR(C2951/B2951,"")</f>
        <v/>
      </c>
      <c r="F2951" s="11">
        <f>IFERROR((D2951/D2950-1)*100,"")</f>
        <v/>
      </c>
      <c r="G2951" s="11">
        <f>IFERROR((COUNTIF($D$2700:$D$2951,"&lt;"&amp;D2951)+0.5*COUNTIF($D$2700:$D$2951,D2951))/COUNT($D$2700:$D$2951)*100,"")</f>
        <v/>
      </c>
      <c r="H2951" s="10">
        <f>IFERROR(AVERAGE($D$2700:$D$2951),"")</f>
        <v/>
      </c>
      <c r="I2951" s="10" t="n">
        <v>1.92571798601209</v>
      </c>
      <c r="J2951" t="inlineStr"/>
      <c r="K2951" t="inlineStr"/>
    </row>
    <row r="2952">
      <c r="A2952" s="7" t="inlineStr">
        <is>
          <t>2026-04-20</t>
        </is>
      </c>
      <c r="B2952" s="8">
        <f>IFERROR(VLOOKUP($A2952,'01-原始价格'!$A:$M,2,FALSE),"")</f>
        <v/>
      </c>
      <c r="C2952" s="8">
        <f>IFERROR(VLOOKUP($A2952,'01-原始价格'!$A:$M,8,FALSE),"")</f>
        <v/>
      </c>
      <c r="D2952" s="10">
        <f>IFERROR(B2952/C2952,"")</f>
        <v/>
      </c>
      <c r="E2952" s="10">
        <f>IFERROR(C2952/B2952,"")</f>
        <v/>
      </c>
      <c r="F2952" s="11">
        <f>IFERROR((D2952/D2951-1)*100,"")</f>
        <v/>
      </c>
      <c r="G2952" s="11">
        <f>IFERROR((COUNTIF($D$2701:$D$2952,"&lt;"&amp;D2952)+0.5*COUNTIF($D$2701:$D$2952,D2952))/COUNT($D$2701:$D$2952)*100,"")</f>
        <v/>
      </c>
      <c r="H2952" s="10">
        <f>IFERROR(AVERAGE($D$2701:$D$2952),"")</f>
        <v/>
      </c>
      <c r="I2952" s="10" t="n">
        <v>1.667904235526953</v>
      </c>
      <c r="J2952" t="inlineStr"/>
      <c r="K2952" t="inlineStr"/>
    </row>
    <row r="2953">
      <c r="A2953" s="7" t="inlineStr">
        <is>
          <t>2026-04-21</t>
        </is>
      </c>
      <c r="B2953" s="8">
        <f>IFERROR(VLOOKUP($A2953,'01-原始价格'!$A:$M,2,FALSE),"")</f>
        <v/>
      </c>
      <c r="C2953" s="8">
        <f>IFERROR(VLOOKUP($A2953,'01-原始价格'!$A:$M,8,FALSE),"")</f>
        <v/>
      </c>
      <c r="D2953" s="10">
        <f>IFERROR(B2953/C2953,"")</f>
        <v/>
      </c>
      <c r="E2953" s="10">
        <f>IFERROR(C2953/B2953,"")</f>
        <v/>
      </c>
      <c r="F2953" s="11">
        <f>IFERROR((D2953/D2952-1)*100,"")</f>
        <v/>
      </c>
      <c r="G2953" s="11">
        <f>IFERROR((COUNTIF($D$2702:$D$2953,"&lt;"&amp;D2953)+0.5*COUNTIF($D$2702:$D$2953,D2953))/COUNT($D$2702:$D$2953)*100,"")</f>
        <v/>
      </c>
      <c r="H2953" s="10">
        <f>IFERROR(AVERAGE($D$2702:$D$2953),"")</f>
        <v/>
      </c>
      <c r="I2953" s="10" t="n">
        <v>1.472986106531438</v>
      </c>
      <c r="J2953" t="inlineStr"/>
      <c r="K2953" t="inlineStr"/>
    </row>
    <row r="2954">
      <c r="A2954" s="7" t="inlineStr">
        <is>
          <t>2026-04-22</t>
        </is>
      </c>
      <c r="B2954" s="8">
        <f>IFERROR(VLOOKUP($A2954,'01-原始价格'!$A:$M,2,FALSE),"")</f>
        <v/>
      </c>
      <c r="C2954" s="8">
        <f>IFERROR(VLOOKUP($A2954,'01-原始价格'!$A:$M,8,FALSE),"")</f>
        <v/>
      </c>
      <c r="D2954" s="10">
        <f>IFERROR(B2954/C2954,"")</f>
        <v/>
      </c>
      <c r="E2954" s="10">
        <f>IFERROR(C2954/B2954,"")</f>
        <v/>
      </c>
      <c r="F2954" s="11">
        <f>IFERROR((D2954/D2953-1)*100,"")</f>
        <v/>
      </c>
      <c r="G2954" s="11">
        <f>IFERROR((COUNTIF($D$2703:$D$2954,"&lt;"&amp;D2954)+0.5*COUNTIF($D$2703:$D$2954,D2954))/COUNT($D$2703:$D$2954)*100,"")</f>
        <v/>
      </c>
      <c r="H2954" s="10">
        <f>IFERROR(AVERAGE($D$2703:$D$2954),"")</f>
        <v/>
      </c>
      <c r="I2954" s="10" t="n">
        <v>1.35097279008693</v>
      </c>
      <c r="J2954" t="inlineStr"/>
      <c r="K2954" t="inlineStr"/>
    </row>
    <row r="2955">
      <c r="A2955" s="7" t="inlineStr">
        <is>
          <t>2026-04-23</t>
        </is>
      </c>
      <c r="B2955" s="8">
        <f>IFERROR(VLOOKUP($A2955,'01-原始价格'!$A:$M,2,FALSE),"")</f>
        <v/>
      </c>
      <c r="C2955" s="8">
        <f>IFERROR(VLOOKUP($A2955,'01-原始价格'!$A:$M,8,FALSE),"")</f>
        <v/>
      </c>
      <c r="D2955" s="10">
        <f>IFERROR(B2955/C2955,"")</f>
        <v/>
      </c>
      <c r="E2955" s="10">
        <f>IFERROR(C2955/B2955,"")</f>
        <v/>
      </c>
      <c r="F2955" s="11">
        <f>IFERROR((D2955/D2954-1)*100,"")</f>
        <v/>
      </c>
      <c r="G2955" s="11">
        <f>IFERROR((COUNTIF($D$2704:$D$2955,"&lt;"&amp;D2955)+0.5*COUNTIF($D$2704:$D$2955,D2955))/COUNT($D$2704:$D$2955)*100,"")</f>
        <v/>
      </c>
      <c r="H2955" s="10">
        <f>IFERROR(AVERAGE($D$2704:$D$2955),"")</f>
        <v/>
      </c>
      <c r="I2955" s="10" t="n">
        <v>1.310190073893676</v>
      </c>
      <c r="J2955" t="inlineStr"/>
      <c r="K2955" t="inlineStr"/>
    </row>
    <row r="2956">
      <c r="A2956" s="7" t="inlineStr">
        <is>
          <t>2026-04-24</t>
        </is>
      </c>
      <c r="B2956" s="8">
        <f>IFERROR(VLOOKUP($A2956,'01-原始价格'!$A:$M,2,FALSE),"")</f>
        <v/>
      </c>
      <c r="C2956" s="8">
        <f>IFERROR(VLOOKUP($A2956,'01-原始价格'!$A:$M,8,FALSE),"")</f>
        <v/>
      </c>
      <c r="D2956" s="10">
        <f>IFERROR(B2956/C2956,"")</f>
        <v/>
      </c>
      <c r="E2956" s="10">
        <f>IFERROR(C2956/B2956,"")</f>
        <v/>
      </c>
      <c r="F2956" s="11">
        <f>IFERROR((D2956/D2955-1)*100,"")</f>
        <v/>
      </c>
      <c r="G2956" s="11">
        <f>IFERROR((COUNTIF($D$2705:$D$2956,"&lt;"&amp;D2956)+0.5*COUNTIF($D$2705:$D$2956,D2956))/COUNT($D$2705:$D$2956)*100,"")</f>
        <v/>
      </c>
      <c r="H2956" s="10">
        <f>IFERROR(AVERAGE($D$2705:$D$2956),"")</f>
        <v/>
      </c>
      <c r="I2956" s="10" t="n">
        <v>1.478142135305747</v>
      </c>
      <c r="J2956" t="inlineStr"/>
      <c r="K2956" t="inlineStr"/>
    </row>
    <row r="2957">
      <c r="A2957" s="7" t="inlineStr">
        <is>
          <t>2026-04-27</t>
        </is>
      </c>
      <c r="B2957" s="8">
        <f>IFERROR(VLOOKUP($A2957,'01-原始价格'!$A:$M,2,FALSE),"")</f>
        <v/>
      </c>
      <c r="C2957" s="8">
        <f>IFERROR(VLOOKUP($A2957,'01-原始价格'!$A:$M,8,FALSE),"")</f>
        <v/>
      </c>
      <c r="D2957" s="10">
        <f>IFERROR(B2957/C2957,"")</f>
        <v/>
      </c>
      <c r="E2957" s="10">
        <f>IFERROR(C2957/B2957,"")</f>
        <v/>
      </c>
      <c r="F2957" s="11">
        <f>IFERROR((D2957/D2956-1)*100,"")</f>
        <v/>
      </c>
      <c r="G2957" s="11">
        <f>IFERROR((COUNTIF($D$2706:$D$2957,"&lt;"&amp;D2957)+0.5*COUNTIF($D$2706:$D$2957,D2957))/COUNT($D$2706:$D$2957)*100,"")</f>
        <v/>
      </c>
      <c r="H2957" s="10">
        <f>IFERROR(AVERAGE($D$2706:$D$2957),"")</f>
        <v/>
      </c>
      <c r="I2957" s="10" t="n">
        <v>1.473735093093083</v>
      </c>
      <c r="J2957" t="inlineStr"/>
      <c r="K2957" t="inlineStr"/>
    </row>
    <row r="2958">
      <c r="A2958" s="7" t="inlineStr">
        <is>
          <t>2026-04-28</t>
        </is>
      </c>
      <c r="B2958" s="8">
        <f>IFERROR(VLOOKUP($A2958,'01-原始价格'!$A:$M,2,FALSE),"")</f>
        <v/>
      </c>
      <c r="C2958" s="8">
        <f>IFERROR(VLOOKUP($A2958,'01-原始价格'!$A:$M,8,FALSE),"")</f>
        <v/>
      </c>
      <c r="D2958" s="10">
        <f>IFERROR(B2958/C2958,"")</f>
        <v/>
      </c>
      <c r="E2958" s="10">
        <f>IFERROR(C2958/B2958,"")</f>
        <v/>
      </c>
      <c r="F2958" s="11">
        <f>IFERROR((D2958/D2957-1)*100,"")</f>
        <v/>
      </c>
      <c r="G2958" s="11">
        <f>IFERROR((COUNTIF($D$2707:$D$2958,"&lt;"&amp;D2958)+0.5*COUNTIF($D$2707:$D$2958,D2958))/COUNT($D$2707:$D$2958)*100,"")</f>
        <v/>
      </c>
      <c r="H2958" s="10">
        <f>IFERROR(AVERAGE($D$2707:$D$2958),"")</f>
        <v/>
      </c>
      <c r="I2958" s="10" t="n">
        <v>1.615880359301915</v>
      </c>
      <c r="J2958" t="inlineStr"/>
      <c r="K2958" t="inlineStr"/>
    </row>
    <row r="2959">
      <c r="A2959" s="7" t="inlineStr">
        <is>
          <t>2026-04-29</t>
        </is>
      </c>
      <c r="B2959" s="8">
        <f>IFERROR(VLOOKUP($A2959,'01-原始价格'!$A:$M,2,FALSE),"")</f>
        <v/>
      </c>
      <c r="C2959" s="8">
        <f>IFERROR(VLOOKUP($A2959,'01-原始价格'!$A:$M,8,FALSE),"")</f>
        <v/>
      </c>
      <c r="D2959" s="10">
        <f>IFERROR(B2959/C2959,"")</f>
        <v/>
      </c>
      <c r="E2959" s="10">
        <f>IFERROR(C2959/B2959,"")</f>
        <v/>
      </c>
      <c r="F2959" s="11">
        <f>IFERROR((D2959/D2958-1)*100,"")</f>
        <v/>
      </c>
      <c r="G2959" s="11">
        <f>IFERROR((COUNTIF($D$2708:$D$2959,"&lt;"&amp;D2959)+0.5*COUNTIF($D$2708:$D$2959,D2959))/COUNT($D$2708:$D$2959)*100,"")</f>
        <v/>
      </c>
      <c r="H2959" s="10">
        <f>IFERROR(AVERAGE($D$2708:$D$2959),"")</f>
        <v/>
      </c>
      <c r="I2959" s="10" t="n">
        <v>1.539222408061189</v>
      </c>
      <c r="J2959" t="inlineStr"/>
      <c r="K2959" t="inlineStr"/>
    </row>
    <row r="2960">
      <c r="A2960" s="7" t="inlineStr">
        <is>
          <t>2026-04-30</t>
        </is>
      </c>
      <c r="B2960" s="8">
        <f>IFERROR(VLOOKUP($A2960,'01-原始价格'!$A:$M,2,FALSE),"")</f>
        <v/>
      </c>
      <c r="C2960" s="8">
        <f>IFERROR(VLOOKUP($A2960,'01-原始价格'!$A:$M,8,FALSE),"")</f>
        <v/>
      </c>
      <c r="D2960" s="10">
        <f>IFERROR(B2960/C2960,"")</f>
        <v/>
      </c>
      <c r="E2960" s="10">
        <f>IFERROR(C2960/B2960,"")</f>
        <v/>
      </c>
      <c r="F2960" s="11">
        <f>IFERROR((D2960/D2959-1)*100,"")</f>
        <v/>
      </c>
      <c r="G2960" s="11">
        <f>IFERROR((COUNTIF($D$2709:$D$2960,"&lt;"&amp;D2960)+0.5*COUNTIF($D$2709:$D$2960,D2960))/COUNT($D$2709:$D$2960)*100,"")</f>
        <v/>
      </c>
      <c r="H2960" s="10">
        <f>IFERROR(AVERAGE($D$2709:$D$2960),"")</f>
        <v/>
      </c>
      <c r="I2960" s="10" t="n">
        <v>1.505836869078547</v>
      </c>
      <c r="J2960" t="inlineStr"/>
      <c r="K2960" t="inlineStr"/>
    </row>
    <row r="2961">
      <c r="A2961" s="7" t="inlineStr">
        <is>
          <t>2026-05-06</t>
        </is>
      </c>
      <c r="B2961" s="8">
        <f>IFERROR(VLOOKUP($A2961,'01-原始价格'!$A:$M,2,FALSE),"")</f>
        <v/>
      </c>
      <c r="C2961" s="8">
        <f>IFERROR(VLOOKUP($A2961,'01-原始价格'!$A:$M,8,FALSE),"")</f>
        <v/>
      </c>
      <c r="D2961" s="10">
        <f>IFERROR(B2961/C2961,"")</f>
        <v/>
      </c>
      <c r="E2961" s="10">
        <f>IFERROR(C2961/B2961,"")</f>
        <v/>
      </c>
      <c r="F2961" s="11">
        <f>IFERROR((D2961/D2960-1)*100,"")</f>
        <v/>
      </c>
      <c r="G2961" s="11">
        <f>IFERROR((COUNTIF($D$2710:$D$2961,"&lt;"&amp;D2961)+0.5*COUNTIF($D$2710:$D$2961,D2961))/COUNT($D$2710:$D$2961)*100,"")</f>
        <v/>
      </c>
      <c r="H2961" s="10">
        <f>IFERROR(AVERAGE($D$2710:$D$2961),"")</f>
        <v/>
      </c>
      <c r="I2961" s="10" t="n">
        <v>1.747041108674655</v>
      </c>
      <c r="J2961" t="inlineStr"/>
      <c r="K2961" t="inlineStr"/>
    </row>
    <row r="2962">
      <c r="A2962" s="7" t="inlineStr">
        <is>
          <t>2026-05-07</t>
        </is>
      </c>
      <c r="B2962" s="8">
        <f>IFERROR(VLOOKUP($A2962,'01-原始价格'!$A:$M,2,FALSE),"")</f>
        <v/>
      </c>
      <c r="C2962" s="8">
        <f>IFERROR(VLOOKUP($A2962,'01-原始价格'!$A:$M,8,FALSE),"")</f>
        <v/>
      </c>
      <c r="D2962" s="10">
        <f>IFERROR(B2962/C2962,"")</f>
        <v/>
      </c>
      <c r="E2962" s="10">
        <f>IFERROR(C2962/B2962,"")</f>
        <v/>
      </c>
      <c r="F2962" s="11">
        <f>IFERROR((D2962/D2961-1)*100,"")</f>
        <v/>
      </c>
      <c r="G2962" s="11">
        <f>IFERROR((COUNTIF($D$2711:$D$2962,"&lt;"&amp;D2962)+0.5*COUNTIF($D$2711:$D$2962,D2962))/COUNT($D$2711:$D$2962)*100,"")</f>
        <v/>
      </c>
      <c r="H2962" s="10">
        <f>IFERROR(AVERAGE($D$2711:$D$2962),"")</f>
        <v/>
      </c>
      <c r="I2962" s="10" t="n">
        <v>1.880606723371171</v>
      </c>
      <c r="J2962" t="inlineStr"/>
      <c r="K2962" t="inlineStr"/>
    </row>
    <row r="2963">
      <c r="A2963" s="7" t="inlineStr">
        <is>
          <t>2026-05-08</t>
        </is>
      </c>
      <c r="B2963" s="8">
        <f>IFERROR(VLOOKUP($A2963,'01-原始价格'!$A:$M,2,FALSE),"")</f>
        <v/>
      </c>
      <c r="C2963" s="8">
        <f>IFERROR(VLOOKUP($A2963,'01-原始价格'!$A:$M,8,FALSE),"")</f>
        <v/>
      </c>
      <c r="D2963" s="10">
        <f>IFERROR(B2963/C2963,"")</f>
        <v/>
      </c>
      <c r="E2963" s="10">
        <f>IFERROR(C2963/B2963,"")</f>
        <v/>
      </c>
      <c r="F2963" s="11">
        <f>IFERROR((D2963/D2962-1)*100,"")</f>
        <v/>
      </c>
      <c r="G2963" s="11">
        <f>IFERROR((COUNTIF($D$2712:$D$2963,"&lt;"&amp;D2963)+0.5*COUNTIF($D$2712:$D$2963,D2963))/COUNT($D$2712:$D$2963)*100,"")</f>
        <v/>
      </c>
      <c r="H2963" s="10">
        <f>IFERROR(AVERAGE($D$2712:$D$2963),"")</f>
        <v/>
      </c>
      <c r="I2963" s="10" t="n">
        <v>1.833201930208659</v>
      </c>
      <c r="J2963" t="inlineStr"/>
      <c r="K2963" t="inlineStr"/>
    </row>
    <row r="2964">
      <c r="A2964" s="7" t="inlineStr">
        <is>
          <t>2026-05-11</t>
        </is>
      </c>
      <c r="B2964" s="8">
        <f>IFERROR(VLOOKUP($A2964,'01-原始价格'!$A:$M,2,FALSE),"")</f>
        <v/>
      </c>
      <c r="C2964" s="8">
        <f>IFERROR(VLOOKUP($A2964,'01-原始价格'!$A:$M,8,FALSE),"")</f>
        <v/>
      </c>
      <c r="D2964" s="10">
        <f>IFERROR(B2964/C2964,"")</f>
        <v/>
      </c>
      <c r="E2964" s="10">
        <f>IFERROR(C2964/B2964,"")</f>
        <v/>
      </c>
      <c r="F2964" s="11">
        <f>IFERROR((D2964/D2963-1)*100,"")</f>
        <v/>
      </c>
      <c r="G2964" s="11">
        <f>IFERROR((COUNTIF($D$2713:$D$2964,"&lt;"&amp;D2964)+0.5*COUNTIF($D$2713:$D$2964,D2964))/COUNT($D$2713:$D$2964)*100,"")</f>
        <v/>
      </c>
      <c r="H2964" s="10">
        <f>IFERROR(AVERAGE($D$2713:$D$2964),"")</f>
        <v/>
      </c>
      <c r="I2964" s="10" t="n">
        <v>1.804620969306231</v>
      </c>
      <c r="J2964" t="inlineStr"/>
      <c r="K2964" t="inlineStr"/>
    </row>
    <row r="2965">
      <c r="A2965" s="7" t="inlineStr">
        <is>
          <t>2026-05-12</t>
        </is>
      </c>
      <c r="B2965" s="8">
        <f>IFERROR(VLOOKUP($A2965,'01-原始价格'!$A:$M,2,FALSE),"")</f>
        <v/>
      </c>
      <c r="C2965" s="8">
        <f>IFERROR(VLOOKUP($A2965,'01-原始价格'!$A:$M,8,FALSE),"")</f>
        <v/>
      </c>
      <c r="D2965" s="10">
        <f>IFERROR(B2965/C2965,"")</f>
        <v/>
      </c>
      <c r="E2965" s="10">
        <f>IFERROR(C2965/B2965,"")</f>
        <v/>
      </c>
      <c r="F2965" s="11">
        <f>IFERROR((D2965/D2964-1)*100,"")</f>
        <v/>
      </c>
      <c r="G2965" s="11">
        <f>IFERROR((COUNTIF($D$2714:$D$2965,"&lt;"&amp;D2965)+0.5*COUNTIF($D$2714:$D$2965,D2965))/COUNT($D$2714:$D$2965)*100,"")</f>
        <v/>
      </c>
      <c r="H2965" s="10">
        <f>IFERROR(AVERAGE($D$2714:$D$2965),"")</f>
        <v/>
      </c>
      <c r="I2965" s="10" t="n">
        <v>1.847893483479545</v>
      </c>
      <c r="J2965" t="inlineStr"/>
      <c r="K2965" t="inlineStr"/>
    </row>
    <row r="2966">
      <c r="A2966" s="7" t="inlineStr">
        <is>
          <t>2026-05-13</t>
        </is>
      </c>
      <c r="B2966" s="8">
        <f>IFERROR(VLOOKUP($A2966,'01-原始价格'!$A:$M,2,FALSE),"")</f>
        <v/>
      </c>
      <c r="C2966" s="8">
        <f>IFERROR(VLOOKUP($A2966,'01-原始价格'!$A:$M,8,FALSE),"")</f>
        <v/>
      </c>
      <c r="D2966" s="10">
        <f>IFERROR(B2966/C2966,"")</f>
        <v/>
      </c>
      <c r="E2966" s="10">
        <f>IFERROR(C2966/B2966,"")</f>
        <v/>
      </c>
      <c r="F2966" s="11">
        <f>IFERROR((D2966/D2965-1)*100,"")</f>
        <v/>
      </c>
      <c r="G2966" s="11">
        <f>IFERROR((COUNTIF($D$2715:$D$2966,"&lt;"&amp;D2966)+0.5*COUNTIF($D$2715:$D$2966,D2966))/COUNT($D$2715:$D$2966)*100,"")</f>
        <v/>
      </c>
      <c r="H2966" s="10">
        <f>IFERROR(AVERAGE($D$2715:$D$2966),"")</f>
        <v/>
      </c>
      <c r="I2966" s="10" t="n">
        <v>1.936753445526994</v>
      </c>
      <c r="J2966" t="inlineStr"/>
      <c r="K2966" t="inlineStr"/>
    </row>
    <row r="2967">
      <c r="A2967" s="7" t="inlineStr">
        <is>
          <t>2026-05-14</t>
        </is>
      </c>
      <c r="B2967" s="8">
        <f>IFERROR(VLOOKUP($A2967,'01-原始价格'!$A:$M,2,FALSE),"")</f>
        <v/>
      </c>
      <c r="C2967" s="8">
        <f>IFERROR(VLOOKUP($A2967,'01-原始价格'!$A:$M,8,FALSE),"")</f>
        <v/>
      </c>
      <c r="D2967" s="10">
        <f>IFERROR(B2967/C2967,"")</f>
        <v/>
      </c>
      <c r="E2967" s="10">
        <f>IFERROR(C2967/B2967,"")</f>
        <v/>
      </c>
      <c r="F2967" s="11">
        <f>IFERROR((D2967/D2966-1)*100,"")</f>
        <v/>
      </c>
      <c r="G2967" s="11">
        <f>IFERROR((COUNTIF($D$2716:$D$2967,"&lt;"&amp;D2967)+0.5*COUNTIF($D$2716:$D$2967,D2967))/COUNT($D$2716:$D$2967)*100,"")</f>
        <v/>
      </c>
      <c r="H2967" s="10">
        <f>IFERROR(AVERAGE($D$2716:$D$2967),"")</f>
        <v/>
      </c>
      <c r="I2967" s="10" t="n">
        <v>2.003813422778475</v>
      </c>
      <c r="J2967" t="inlineStr"/>
      <c r="K2967" t="inlineStr"/>
    </row>
    <row r="2968">
      <c r="A2968" s="7" t="inlineStr">
        <is>
          <t>2026-05-15</t>
        </is>
      </c>
      <c r="B2968" s="8">
        <f>IFERROR(VLOOKUP($A2968,'01-原始价格'!$A:$M,2,FALSE),"")</f>
        <v/>
      </c>
      <c r="C2968" s="8">
        <f>IFERROR(VLOOKUP($A2968,'01-原始价格'!$A:$M,8,FALSE),"")</f>
        <v/>
      </c>
      <c r="D2968" s="10">
        <f>IFERROR(B2968/C2968,"")</f>
        <v/>
      </c>
      <c r="E2968" s="10">
        <f>IFERROR(C2968/B2968,"")</f>
        <v/>
      </c>
      <c r="F2968" s="11">
        <f>IFERROR((D2968/D2967-1)*100,"")</f>
        <v/>
      </c>
      <c r="G2968" s="11">
        <f>IFERROR((COUNTIF($D$2717:$D$2968,"&lt;"&amp;D2968)+0.5*COUNTIF($D$2717:$D$2968,D2968))/COUNT($D$2717:$D$2968)*100,"")</f>
        <v/>
      </c>
      <c r="H2968" s="10">
        <f>IFERROR(AVERAGE($D$2717:$D$2968),"")</f>
        <v/>
      </c>
      <c r="I2968" s="10" t="n">
        <v>2.018637002383969</v>
      </c>
      <c r="J2968" t="inlineStr"/>
      <c r="K2968" t="inlineStr"/>
    </row>
    <row r="2969">
      <c r="A2969" s="7" t="inlineStr">
        <is>
          <t>2026-05-18</t>
        </is>
      </c>
      <c r="B2969" s="8">
        <f>IFERROR(VLOOKUP($A2969,'01-原始价格'!$A:$M,2,FALSE),"")</f>
        <v/>
      </c>
      <c r="C2969" s="8">
        <f>IFERROR(VLOOKUP($A2969,'01-原始价格'!$A:$M,8,FALSE),"")</f>
        <v/>
      </c>
      <c r="D2969" s="10">
        <f>IFERROR(B2969/C2969,"")</f>
        <v/>
      </c>
      <c r="E2969" s="10">
        <f>IFERROR(C2969/B2969,"")</f>
        <v/>
      </c>
      <c r="F2969" s="11">
        <f>IFERROR((D2969/D2968-1)*100,"")</f>
        <v/>
      </c>
      <c r="G2969" s="11">
        <f>IFERROR((COUNTIF($D$2718:$D$2969,"&lt;"&amp;D2969)+0.5*COUNTIF($D$2718:$D$2969,D2969))/COUNT($D$2718:$D$2969)*100,"")</f>
        <v/>
      </c>
      <c r="H2969" s="10">
        <f>IFERROR(AVERAGE($D$2718:$D$2969),"")</f>
        <v/>
      </c>
      <c r="I2969" s="10" t="n">
        <v>2.090477761936212</v>
      </c>
      <c r="J2969" t="inlineStr"/>
      <c r="K2969" t="inlineStr"/>
    </row>
    <row r="2970">
      <c r="A2970" s="7" t="inlineStr">
        <is>
          <t>2026-05-19</t>
        </is>
      </c>
      <c r="B2970" s="8">
        <f>IFERROR(VLOOKUP($A2970,'01-原始价格'!$A:$M,2,FALSE),"")</f>
        <v/>
      </c>
      <c r="C2970" s="8">
        <f>IFERROR(VLOOKUP($A2970,'01-原始价格'!$A:$M,8,FALSE),"")</f>
        <v/>
      </c>
      <c r="D2970" s="10">
        <f>IFERROR(B2970/C2970,"")</f>
        <v/>
      </c>
      <c r="E2970" s="10">
        <f>IFERROR(C2970/B2970,"")</f>
        <v/>
      </c>
      <c r="F2970" s="11">
        <f>IFERROR((D2970/D2969-1)*100,"")</f>
        <v/>
      </c>
      <c r="G2970" s="11">
        <f>IFERROR((COUNTIF($D$2719:$D$2970,"&lt;"&amp;D2970)+0.5*COUNTIF($D$2719:$D$2970,D2970))/COUNT($D$2719:$D$2970)*100,"")</f>
        <v/>
      </c>
      <c r="H2970" s="10">
        <f>IFERROR(AVERAGE($D$2719:$D$2970),"")</f>
        <v/>
      </c>
      <c r="I2970" s="10" t="n">
        <v>2.409272220279439</v>
      </c>
      <c r="J2970" t="inlineStr"/>
      <c r="K2970" t="inlineStr"/>
    </row>
    <row r="2971">
      <c r="A2971" s="7" t="inlineStr">
        <is>
          <t>2026-05-20</t>
        </is>
      </c>
      <c r="B2971" s="8">
        <f>IFERROR(VLOOKUP($A2971,'01-原始价格'!$A:$M,2,FALSE),"")</f>
        <v/>
      </c>
      <c r="C2971" s="8">
        <f>IFERROR(VLOOKUP($A2971,'01-原始价格'!$A:$M,8,FALSE),"")</f>
        <v/>
      </c>
      <c r="D2971" s="10">
        <f>IFERROR(B2971/C2971,"")</f>
        <v/>
      </c>
      <c r="E2971" s="10">
        <f>IFERROR(C2971/B2971,"")</f>
        <v/>
      </c>
      <c r="F2971" s="11">
        <f>IFERROR((D2971/D2970-1)*100,"")</f>
        <v/>
      </c>
      <c r="G2971" s="11">
        <f>IFERROR((COUNTIF($D$2720:$D$2971,"&lt;"&amp;D2971)+0.5*COUNTIF($D$2720:$D$2971,D2971))/COUNT($D$2720:$D$2971)*100,"")</f>
        <v/>
      </c>
      <c r="H2971" s="10">
        <f>IFERROR(AVERAGE($D$2720:$D$2971),"")</f>
        <v/>
      </c>
      <c r="I2971" s="10" t="n">
        <v>2.249678231961014</v>
      </c>
      <c r="J2971" t="inlineStr"/>
      <c r="K2971" t="inlineStr"/>
    </row>
    <row r="2972">
      <c r="A2972" s="7" t="inlineStr">
        <is>
          <t>2026-05-21</t>
        </is>
      </c>
      <c r="B2972" s="8">
        <f>IFERROR(VLOOKUP($A2972,'01-原始价格'!$A:$M,2,FALSE),"")</f>
        <v/>
      </c>
      <c r="C2972" s="8">
        <f>IFERROR(VLOOKUP($A2972,'01-原始价格'!$A:$M,8,FALSE),"")</f>
        <v/>
      </c>
      <c r="D2972" s="10">
        <f>IFERROR(B2972/C2972,"")</f>
        <v/>
      </c>
      <c r="E2972" s="10">
        <f>IFERROR(C2972/B2972,"")</f>
        <v/>
      </c>
      <c r="F2972" s="11">
        <f>IFERROR((D2972/D2971-1)*100,"")</f>
        <v/>
      </c>
      <c r="G2972" s="11">
        <f>IFERROR((COUNTIF($D$2721:$D$2972,"&lt;"&amp;D2972)+0.5*COUNTIF($D$2721:$D$2972,D2972))/COUNT($D$2721:$D$2972)*100,"")</f>
        <v/>
      </c>
      <c r="H2972" s="10">
        <f>IFERROR(AVERAGE($D$2721:$D$2972),"")</f>
        <v/>
      </c>
      <c r="I2972" s="10" t="n">
        <v>2.416139103262602</v>
      </c>
      <c r="J2972" t="inlineStr"/>
      <c r="K2972" t="inlineStr"/>
    </row>
    <row r="2973">
      <c r="A2973" s="7" t="inlineStr">
        <is>
          <t>2026-05-22</t>
        </is>
      </c>
      <c r="B2973" s="8">
        <f>IFERROR(VLOOKUP($A2973,'01-原始价格'!$A:$M,2,FALSE),"")</f>
        <v/>
      </c>
      <c r="C2973" s="8">
        <f>IFERROR(VLOOKUP($A2973,'01-原始价格'!$A:$M,8,FALSE),"")</f>
        <v/>
      </c>
      <c r="D2973" s="10">
        <f>IFERROR(B2973/C2973,"")</f>
        <v/>
      </c>
      <c r="E2973" s="10">
        <f>IFERROR(C2973/B2973,"")</f>
        <v/>
      </c>
      <c r="F2973" s="11">
        <f>IFERROR((D2973/D2972-1)*100,"")</f>
        <v/>
      </c>
      <c r="G2973" s="11">
        <f>IFERROR((COUNTIF($D$2722:$D$2973,"&lt;"&amp;D2973)+0.5*COUNTIF($D$2722:$D$2973,D2973))/COUNT($D$2722:$D$2973)*100,"")</f>
        <v/>
      </c>
      <c r="H2973" s="10">
        <f>IFERROR(AVERAGE($D$2722:$D$2973),"")</f>
        <v/>
      </c>
      <c r="I2973" s="10" t="n">
        <v>2.398266728919891</v>
      </c>
      <c r="J2973" t="inlineStr"/>
      <c r="K2973" t="inlineStr"/>
    </row>
    <row r="2974">
      <c r="A2974" s="7" t="inlineStr">
        <is>
          <t>2026-05-25</t>
        </is>
      </c>
      <c r="B2974" s="8">
        <f>IFERROR(VLOOKUP($A2974,'01-原始价格'!$A:$M,2,FALSE),"")</f>
        <v/>
      </c>
      <c r="C2974" s="8">
        <f>IFERROR(VLOOKUP($A2974,'01-原始价格'!$A:$M,8,FALSE),"")</f>
        <v/>
      </c>
      <c r="D2974" s="10">
        <f>IFERROR(B2974/C2974,"")</f>
        <v/>
      </c>
      <c r="E2974" s="10">
        <f>IFERROR(C2974/B2974,"")</f>
        <v/>
      </c>
      <c r="F2974" s="11">
        <f>IFERROR((D2974/D2973-1)*100,"")</f>
        <v/>
      </c>
      <c r="G2974" s="11">
        <f>IFERROR((COUNTIF($D$2723:$D$2974,"&lt;"&amp;D2974)+0.5*COUNTIF($D$2723:$D$2974,D2974))/COUNT($D$2723:$D$2974)*100,"")</f>
        <v/>
      </c>
      <c r="H2974" s="10">
        <f>IFERROR(AVERAGE($D$2723:$D$2974),"")</f>
        <v/>
      </c>
      <c r="I2974" s="10" t="n">
        <v>2.207314831844958</v>
      </c>
      <c r="J2974" t="inlineStr"/>
      <c r="K2974" t="inlineStr"/>
    </row>
    <row r="2975">
      <c r="A2975" s="7" t="inlineStr">
        <is>
          <t>2026-05-26</t>
        </is>
      </c>
      <c r="B2975" s="8">
        <f>IFERROR(VLOOKUP($A2975,'01-原始价格'!$A:$M,2,FALSE),"")</f>
        <v/>
      </c>
      <c r="C2975" s="8">
        <f>IFERROR(VLOOKUP($A2975,'01-原始价格'!$A:$M,8,FALSE),"")</f>
        <v/>
      </c>
      <c r="D2975" s="10">
        <f>IFERROR(B2975/C2975,"")</f>
        <v/>
      </c>
      <c r="E2975" s="10">
        <f>IFERROR(C2975/B2975,"")</f>
        <v/>
      </c>
      <c r="F2975" s="11">
        <f>IFERROR((D2975/D2974-1)*100,"")</f>
        <v/>
      </c>
      <c r="G2975" s="11">
        <f>IFERROR((COUNTIF($D$2724:$D$2975,"&lt;"&amp;D2975)+0.5*COUNTIF($D$2724:$D$2975,D2975))/COUNT($D$2724:$D$2975)*100,"")</f>
        <v/>
      </c>
      <c r="H2975" s="10">
        <f>IFERROR(AVERAGE($D$2724:$D$2975),"")</f>
        <v/>
      </c>
      <c r="I2975" s="10" t="n">
        <v>2.032780373590199</v>
      </c>
      <c r="J2975" t="inlineStr"/>
      <c r="K2975" t="inlineStr"/>
    </row>
    <row r="2976">
      <c r="A2976" s="7" t="inlineStr">
        <is>
          <t>2026-05-27</t>
        </is>
      </c>
      <c r="B2976" s="8">
        <f>IFERROR(VLOOKUP($A2976,'01-原始价格'!$A:$M,2,FALSE),"")</f>
        <v/>
      </c>
      <c r="C2976" s="8">
        <f>IFERROR(VLOOKUP($A2976,'01-原始价格'!$A:$M,8,FALSE),"")</f>
        <v/>
      </c>
      <c r="D2976" s="10">
        <f>IFERROR(B2976/C2976,"")</f>
        <v/>
      </c>
      <c r="E2976" s="10">
        <f>IFERROR(C2976/B2976,"")</f>
        <v/>
      </c>
      <c r="F2976" s="11">
        <f>IFERROR((D2976/D2975-1)*100,"")</f>
        <v/>
      </c>
      <c r="G2976" s="11">
        <f>IFERROR((COUNTIF($D$2725:$D$2976,"&lt;"&amp;D2976)+0.5*COUNTIF($D$2725:$D$2976,D2976))/COUNT($D$2725:$D$2976)*100,"")</f>
        <v/>
      </c>
      <c r="H2976" s="10">
        <f>IFERROR(AVERAGE($D$2725:$D$2976),"")</f>
        <v/>
      </c>
      <c r="I2976" s="10" t="n">
        <v>2.248270388978918</v>
      </c>
      <c r="J2976" t="inlineStr"/>
      <c r="K2976" t="inlineStr"/>
    </row>
    <row r="2977">
      <c r="A2977" s="7" t="inlineStr">
        <is>
          <t>2026-05-28</t>
        </is>
      </c>
      <c r="B2977" s="8">
        <f>IFERROR(VLOOKUP($A2977,'01-原始价格'!$A:$M,2,FALSE),"")</f>
        <v/>
      </c>
      <c r="C2977" s="8">
        <f>IFERROR(VLOOKUP($A2977,'01-原始价格'!$A:$M,8,FALSE),"")</f>
        <v/>
      </c>
      <c r="D2977" s="10">
        <f>IFERROR(B2977/C2977,"")</f>
        <v/>
      </c>
      <c r="E2977" s="10">
        <f>IFERROR(C2977/B2977,"")</f>
        <v/>
      </c>
      <c r="F2977" s="11">
        <f>IFERROR((D2977/D2976-1)*100,"")</f>
        <v/>
      </c>
      <c r="G2977" s="11">
        <f>IFERROR((COUNTIF($D$2726:$D$2977,"&lt;"&amp;D2977)+0.5*COUNTIF($D$2726:$D$2977,D2977))/COUNT($D$2726:$D$2977)*100,"")</f>
        <v/>
      </c>
      <c r="H2977" s="10">
        <f>IFERROR(AVERAGE($D$2726:$D$2977),"")</f>
        <v/>
      </c>
      <c r="I2977" s="10" t="n">
        <v>2.137401669312184</v>
      </c>
      <c r="J2977" t="inlineStr"/>
      <c r="K2977" t="inlineStr"/>
    </row>
    <row r="2978">
      <c r="A2978" s="7" t="inlineStr">
        <is>
          <t>2026-05-29</t>
        </is>
      </c>
      <c r="B2978" s="8">
        <f>IFERROR(VLOOKUP($A2978,'01-原始价格'!$A:$M,2,FALSE),"")</f>
        <v/>
      </c>
      <c r="C2978" s="8">
        <f>IFERROR(VLOOKUP($A2978,'01-原始价格'!$A:$M,8,FALSE),"")</f>
        <v/>
      </c>
      <c r="D2978" s="10">
        <f>IFERROR(B2978/C2978,"")</f>
        <v/>
      </c>
      <c r="E2978" s="10">
        <f>IFERROR(C2978/B2978,"")</f>
        <v/>
      </c>
      <c r="F2978" s="11">
        <f>IFERROR((D2978/D2977-1)*100,"")</f>
        <v/>
      </c>
      <c r="G2978" s="11">
        <f>IFERROR((COUNTIF($D$2727:$D$2978,"&lt;"&amp;D2978)+0.5*COUNTIF($D$2727:$D$2978,D2978))/COUNT($D$2727:$D$2978)*100,"")</f>
        <v/>
      </c>
      <c r="H2978" s="10">
        <f>IFERROR(AVERAGE($D$2727:$D$2978),"")</f>
        <v/>
      </c>
      <c r="I2978" s="10" t="n">
        <v>1.913950560934054</v>
      </c>
      <c r="J2978" t="inlineStr"/>
      <c r="K2978" t="inlineStr"/>
    </row>
    <row r="2979">
      <c r="A2979" s="7" t="inlineStr">
        <is>
          <t>2026-06-01</t>
        </is>
      </c>
      <c r="B2979" s="8">
        <f>IFERROR(VLOOKUP($A2979,'01-原始价格'!$A:$M,2,FALSE),"")</f>
        <v/>
      </c>
      <c r="C2979" s="8">
        <f>IFERROR(VLOOKUP($A2979,'01-原始价格'!$A:$M,8,FALSE),"")</f>
        <v/>
      </c>
      <c r="D2979" s="10">
        <f>IFERROR(B2979/C2979,"")</f>
        <v/>
      </c>
      <c r="E2979" s="10">
        <f>IFERROR(C2979/B2979,"")</f>
        <v/>
      </c>
      <c r="F2979" s="11">
        <f>IFERROR((D2979/D2978-1)*100,"")</f>
        <v/>
      </c>
      <c r="G2979" s="11">
        <f>IFERROR((COUNTIF($D$2728:$D$2979,"&lt;"&amp;D2979)+0.5*COUNTIF($D$2728:$D$2979,D2979))/COUNT($D$2728:$D$2979)*100,"")</f>
        <v/>
      </c>
      <c r="H2979" s="10">
        <f>IFERROR(AVERAGE($D$2728:$D$2979),"")</f>
        <v/>
      </c>
      <c r="I2979" s="10" t="n">
        <v>1.843550588022524</v>
      </c>
      <c r="J2979" t="inlineStr"/>
      <c r="K2979" t="inlineStr"/>
    </row>
    <row r="2980">
      <c r="A2980" s="7" t="inlineStr">
        <is>
          <t>2026-06-02</t>
        </is>
      </c>
      <c r="B2980" s="8">
        <f>IFERROR(VLOOKUP($A2980,'01-原始价格'!$A:$M,2,FALSE),"")</f>
        <v/>
      </c>
      <c r="C2980" s="8">
        <f>IFERROR(VLOOKUP($A2980,'01-原始价格'!$A:$M,8,FALSE),"")</f>
        <v/>
      </c>
      <c r="D2980" s="10">
        <f>IFERROR(B2980/C2980,"")</f>
        <v/>
      </c>
      <c r="E2980" s="10">
        <f>IFERROR(C2980/B2980,"")</f>
        <v/>
      </c>
      <c r="F2980" s="11">
        <f>IFERROR((D2980/D2979-1)*100,"")</f>
        <v/>
      </c>
      <c r="G2980" s="11">
        <f>IFERROR((COUNTIF($D$2729:$D$2980,"&lt;"&amp;D2980)+0.5*COUNTIF($D$2729:$D$2980,D2980))/COUNT($D$2729:$D$2980)*100,"")</f>
        <v/>
      </c>
      <c r="H2980" s="10">
        <f>IFERROR(AVERAGE($D$2729:$D$2980),"")</f>
        <v/>
      </c>
      <c r="I2980" s="10" t="n">
        <v>2.013288810999718</v>
      </c>
      <c r="J2980" t="inlineStr"/>
      <c r="K2980" t="inlineStr"/>
    </row>
    <row r="2981">
      <c r="A2981" s="7" t="inlineStr">
        <is>
          <t>2026-06-03</t>
        </is>
      </c>
      <c r="B2981" s="8">
        <f>IFERROR(VLOOKUP($A2981,'01-原始价格'!$A:$M,2,FALSE),"")</f>
        <v/>
      </c>
      <c r="C2981" s="8">
        <f>IFERROR(VLOOKUP($A2981,'01-原始价格'!$A:$M,8,FALSE),"")</f>
        <v/>
      </c>
      <c r="D2981" s="10">
        <f>IFERROR(B2981/C2981,"")</f>
        <v/>
      </c>
      <c r="E2981" s="10">
        <f>IFERROR(C2981/B2981,"")</f>
        <v/>
      </c>
      <c r="F2981" s="11">
        <f>IFERROR((D2981/D2980-1)*100,"")</f>
        <v/>
      </c>
      <c r="G2981" s="11">
        <f>IFERROR((COUNTIF($D$2730:$D$2981,"&lt;"&amp;D2981)+0.5*COUNTIF($D$2730:$D$2981,D2981))/COUNT($D$2730:$D$2981)*100,"")</f>
        <v/>
      </c>
      <c r="H2981" s="10">
        <f>IFERROR(AVERAGE($D$2730:$D$2981),"")</f>
        <v/>
      </c>
      <c r="I2981" s="10" t="n">
        <v>2.13051620713211</v>
      </c>
      <c r="J2981" t="inlineStr"/>
      <c r="K2981" t="inlineStr"/>
    </row>
    <row r="2982">
      <c r="A2982" s="7" t="inlineStr">
        <is>
          <t>2026-06-04</t>
        </is>
      </c>
      <c r="B2982" s="8">
        <f>IFERROR(VLOOKUP($A2982,'01-原始价格'!$A:$M,2,FALSE),"")</f>
        <v/>
      </c>
      <c r="C2982" s="8">
        <f>IFERROR(VLOOKUP($A2982,'01-原始价格'!$A:$M,8,FALSE),"")</f>
        <v/>
      </c>
      <c r="D2982" s="10">
        <f>IFERROR(B2982/C2982,"")</f>
        <v/>
      </c>
      <c r="E2982" s="10">
        <f>IFERROR(C2982/B2982,"")</f>
        <v/>
      </c>
      <c r="F2982" s="11">
        <f>IFERROR((D2982/D2981-1)*100,"")</f>
        <v/>
      </c>
      <c r="G2982" s="11">
        <f>IFERROR((COUNTIF($D$2731:$D$2982,"&lt;"&amp;D2982)+0.5*COUNTIF($D$2731:$D$2982,D2982))/COUNT($D$2731:$D$2982)*100,"")</f>
        <v/>
      </c>
      <c r="H2982" s="10">
        <f>IFERROR(AVERAGE($D$2731:$D$2982),"")</f>
        <v/>
      </c>
      <c r="I2982" s="10" t="n">
        <v>2.052069812124614</v>
      </c>
      <c r="J2982" t="inlineStr"/>
      <c r="K2982" t="inlineStr"/>
    </row>
    <row r="2983">
      <c r="A2983" s="7" t="inlineStr">
        <is>
          <t>2026-06-05</t>
        </is>
      </c>
      <c r="B2983" s="8">
        <f>IFERROR(VLOOKUP($A2983,'01-原始价格'!$A:$M,2,FALSE),"")</f>
        <v/>
      </c>
      <c r="C2983" s="8">
        <f>IFERROR(VLOOKUP($A2983,'01-原始价格'!$A:$M,8,FALSE),"")</f>
        <v/>
      </c>
      <c r="D2983" s="10">
        <f>IFERROR(B2983/C2983,"")</f>
        <v/>
      </c>
      <c r="E2983" s="10">
        <f>IFERROR(C2983/B2983,"")</f>
        <v/>
      </c>
      <c r="F2983" s="11">
        <f>IFERROR((D2983/D2982-1)*100,"")</f>
        <v/>
      </c>
      <c r="G2983" s="11">
        <f>IFERROR((COUNTIF($D$2732:$D$2983,"&lt;"&amp;D2983)+0.5*COUNTIF($D$2732:$D$2983,D2983))/COUNT($D$2732:$D$2983)*100,"")</f>
        <v/>
      </c>
      <c r="H2983" s="10">
        <f>IFERROR(AVERAGE($D$2732:$D$2983),"")</f>
        <v/>
      </c>
      <c r="I2983" s="10" t="n">
        <v>1.927669375304943</v>
      </c>
      <c r="J2983" t="inlineStr"/>
      <c r="K2983" t="inlineStr"/>
    </row>
    <row r="2984">
      <c r="A2984" s="7" t="inlineStr">
        <is>
          <t>2026-06-08</t>
        </is>
      </c>
      <c r="B2984" s="8">
        <f>IFERROR(VLOOKUP($A2984,'01-原始价格'!$A:$M,2,FALSE),"")</f>
        <v/>
      </c>
      <c r="C2984" s="8">
        <f>IFERROR(VLOOKUP($A2984,'01-原始价格'!$A:$M,8,FALSE),"")</f>
        <v/>
      </c>
      <c r="D2984" s="10">
        <f>IFERROR(B2984/C2984,"")</f>
        <v/>
      </c>
      <c r="E2984" s="10">
        <f>IFERROR(C2984/B2984,"")</f>
        <v/>
      </c>
      <c r="F2984" s="11">
        <f>IFERROR((D2984/D2983-1)*100,"")</f>
        <v/>
      </c>
      <c r="G2984" s="11">
        <f>IFERROR((COUNTIF($D$2733:$D$2984,"&lt;"&amp;D2984)+0.5*COUNTIF($D$2733:$D$2984,D2984))/COUNT($D$2733:$D$2984)*100,"")</f>
        <v/>
      </c>
      <c r="H2984" s="10">
        <f>IFERROR(AVERAGE($D$2733:$D$2984),"")</f>
        <v/>
      </c>
      <c r="I2984" s="10" t="n">
        <v>1.885859907806983</v>
      </c>
      <c r="J2984" t="inlineStr"/>
      <c r="K2984" t="inlineStr"/>
    </row>
    <row r="2985">
      <c r="A2985" s="7" t="inlineStr">
        <is>
          <t>2026-06-09</t>
        </is>
      </c>
      <c r="B2985" s="8">
        <f>IFERROR(VLOOKUP($A2985,'01-原始价格'!$A:$M,2,FALSE),"")</f>
        <v/>
      </c>
      <c r="C2985" s="8">
        <f>IFERROR(VLOOKUP($A2985,'01-原始价格'!$A:$M,8,FALSE),"")</f>
        <v/>
      </c>
      <c r="D2985" s="10">
        <f>IFERROR(B2985/C2985,"")</f>
        <v/>
      </c>
      <c r="E2985" s="10">
        <f>IFERROR(C2985/B2985,"")</f>
        <v/>
      </c>
      <c r="F2985" s="11">
        <f>IFERROR((D2985/D2984-1)*100,"")</f>
        <v/>
      </c>
      <c r="G2985" s="11">
        <f>IFERROR((COUNTIF($D$2734:$D$2985,"&lt;"&amp;D2985)+0.5*COUNTIF($D$2734:$D$2985,D2985))/COUNT($D$2734:$D$2985)*100,"")</f>
        <v/>
      </c>
      <c r="H2985" s="10">
        <f>IFERROR(AVERAGE($D$2734:$D$2985),"")</f>
        <v/>
      </c>
      <c r="I2985" s="10" t="n">
        <v>1.962998612383774</v>
      </c>
      <c r="J2985" t="inlineStr"/>
      <c r="K2985" t="inlineStr"/>
    </row>
    <row r="2986">
      <c r="A2986" s="7" t="inlineStr">
        <is>
          <t>2026-06-10</t>
        </is>
      </c>
      <c r="B2986" s="8">
        <f>IFERROR(VLOOKUP($A2986,'01-原始价格'!$A:$M,2,FALSE),"")</f>
        <v/>
      </c>
      <c r="C2986" s="8">
        <f>IFERROR(VLOOKUP($A2986,'01-原始价格'!$A:$M,8,FALSE),"")</f>
        <v/>
      </c>
      <c r="D2986" s="10">
        <f>IFERROR(B2986/C2986,"")</f>
        <v/>
      </c>
      <c r="E2986" s="10">
        <f>IFERROR(C2986/B2986,"")</f>
        <v/>
      </c>
      <c r="F2986" s="11">
        <f>IFERROR((D2986/D2985-1)*100,"")</f>
        <v/>
      </c>
      <c r="G2986" s="11">
        <f>IFERROR((COUNTIF($D$2735:$D$2986,"&lt;"&amp;D2986)+0.5*COUNTIF($D$2735:$D$2986,D2986))/COUNT($D$2735:$D$2986)*100,"")</f>
        <v/>
      </c>
      <c r="H2986" s="10">
        <f>IFERROR(AVERAGE($D$2735:$D$2986),"")</f>
        <v/>
      </c>
      <c r="I2986" s="10" t="n">
        <v>1.751795476915246</v>
      </c>
      <c r="J2986" t="inlineStr"/>
      <c r="K2986" t="inlineStr"/>
    </row>
    <row r="2987">
      <c r="A2987" s="7" t="inlineStr">
        <is>
          <t>2026-06-11</t>
        </is>
      </c>
      <c r="B2987" s="8">
        <f>IFERROR(VLOOKUP($A2987,'01-原始价格'!$A:$M,2,FALSE),"")</f>
        <v/>
      </c>
      <c r="C2987" s="8">
        <f>IFERROR(VLOOKUP($A2987,'01-原始价格'!$A:$M,8,FALSE),"")</f>
        <v/>
      </c>
      <c r="D2987" s="10">
        <f>IFERROR(B2987/C2987,"")</f>
        <v/>
      </c>
      <c r="E2987" s="10">
        <f>IFERROR(C2987/B2987,"")</f>
        <v/>
      </c>
      <c r="F2987" s="11">
        <f>IFERROR((D2987/D2986-1)*100,"")</f>
        <v/>
      </c>
      <c r="G2987" s="11">
        <f>IFERROR((COUNTIF($D$2736:$D$2987,"&lt;"&amp;D2987)+0.5*COUNTIF($D$2736:$D$2987,D2987))/COUNT($D$2736:$D$2987)*100,"")</f>
        <v/>
      </c>
      <c r="H2987" s="10">
        <f>IFERROR(AVERAGE($D$2736:$D$2987),"")</f>
        <v/>
      </c>
      <c r="I2987" s="10" t="n">
        <v>1.46938275303522</v>
      </c>
      <c r="J2987" t="inlineStr"/>
      <c r="K2987" t="inlineStr"/>
    </row>
    <row r="2988">
      <c r="A2988" s="7" t="inlineStr">
        <is>
          <t>2026-06-12</t>
        </is>
      </c>
      <c r="B2988" s="8">
        <f>IFERROR(VLOOKUP($A2988,'01-原始价格'!$A:$M,2,FALSE),"")</f>
        <v/>
      </c>
      <c r="C2988" s="8">
        <f>IFERROR(VLOOKUP($A2988,'01-原始价格'!$A:$M,8,FALSE),"")</f>
        <v/>
      </c>
      <c r="D2988" s="10">
        <f>IFERROR(B2988/C2988,"")</f>
        <v/>
      </c>
      <c r="E2988" s="10">
        <f>IFERROR(C2988/B2988,"")</f>
        <v/>
      </c>
      <c r="F2988" s="11">
        <f>IFERROR((D2988/D2987-1)*100,"")</f>
        <v/>
      </c>
      <c r="G2988" s="11">
        <f>IFERROR((COUNTIF($D$2737:$D$2988,"&lt;"&amp;D2988)+0.5*COUNTIF($D$2737:$D$2988,D2988))/COUNT($D$2737:$D$2988)*100,"")</f>
        <v/>
      </c>
      <c r="H2988" s="10">
        <f>IFERROR(AVERAGE($D$2737:$D$2988),"")</f>
        <v/>
      </c>
      <c r="I2988" s="10" t="n">
        <v>1.22970694721003</v>
      </c>
      <c r="J2988" t="inlineStr"/>
      <c r="K2988" t="inlineStr"/>
    </row>
    <row r="2989">
      <c r="A2989" s="7" t="inlineStr">
        <is>
          <t>2026-06-15</t>
        </is>
      </c>
      <c r="B2989" s="8">
        <f>IFERROR(VLOOKUP($A2989,'01-原始价格'!$A:$M,2,FALSE),"")</f>
        <v/>
      </c>
      <c r="C2989" s="8">
        <f>IFERROR(VLOOKUP($A2989,'01-原始价格'!$A:$M,8,FALSE),"")</f>
        <v/>
      </c>
      <c r="D2989" s="10">
        <f>IFERROR(B2989/C2989,"")</f>
        <v/>
      </c>
      <c r="E2989" s="10">
        <f>IFERROR(C2989/B2989,"")</f>
        <v/>
      </c>
      <c r="F2989" s="11">
        <f>IFERROR((D2989/D2988-1)*100,"")</f>
        <v/>
      </c>
      <c r="G2989" s="11">
        <f>IFERROR((COUNTIF($D$2738:$D$2989,"&lt;"&amp;D2989)+0.5*COUNTIF($D$2738:$D$2989,D2989))/COUNT($D$2738:$D$2989)*100,"")</f>
        <v/>
      </c>
      <c r="H2989" s="10">
        <f>IFERROR(AVERAGE($D$2738:$D$2989),"")</f>
        <v/>
      </c>
      <c r="I2989" s="10" t="n">
        <v>1.002661709292166</v>
      </c>
      <c r="J2989" t="inlineStr"/>
      <c r="K2989" t="inlineStr"/>
    </row>
    <row r="2990">
      <c r="A2990" s="7" t="inlineStr">
        <is>
          <t>2026-06-16</t>
        </is>
      </c>
      <c r="B2990" s="8">
        <f>IFERROR(VLOOKUP($A2990,'01-原始价格'!$A:$M,2,FALSE),"")</f>
        <v/>
      </c>
      <c r="C2990" s="8">
        <f>IFERROR(VLOOKUP($A2990,'01-原始价格'!$A:$M,8,FALSE),"")</f>
        <v/>
      </c>
      <c r="D2990" s="10">
        <f>IFERROR(B2990/C2990,"")</f>
        <v/>
      </c>
      <c r="E2990" s="10">
        <f>IFERROR(C2990/B2990,"")</f>
        <v/>
      </c>
      <c r="F2990" s="11">
        <f>IFERROR((D2990/D2989-1)*100,"")</f>
        <v/>
      </c>
      <c r="G2990" s="11">
        <f>IFERROR((COUNTIF($D$2739:$D$2990,"&lt;"&amp;D2990)+0.5*COUNTIF($D$2739:$D$2990,D2990))/COUNT($D$2739:$D$2990)*100,"")</f>
        <v/>
      </c>
      <c r="H2990" s="10">
        <f>IFERROR(AVERAGE($D$2739:$D$2990),"")</f>
        <v/>
      </c>
      <c r="I2990" s="10" t="n">
        <v>0.7710214703292109</v>
      </c>
      <c r="J2990" t="inlineStr"/>
      <c r="K2990" t="inlineStr"/>
    </row>
    <row r="2991">
      <c r="A2991" s="7" t="inlineStr">
        <is>
          <t>2026-06-17</t>
        </is>
      </c>
      <c r="B2991" s="8">
        <f>IFERROR(VLOOKUP($A2991,'01-原始价格'!$A:$M,2,FALSE),"")</f>
        <v/>
      </c>
      <c r="C2991" s="8">
        <f>IFERROR(VLOOKUP($A2991,'01-原始价格'!$A:$M,8,FALSE),"")</f>
        <v/>
      </c>
      <c r="D2991" s="10">
        <f>IFERROR(B2991/C2991,"")</f>
        <v/>
      </c>
      <c r="E2991" s="10">
        <f>IFERROR(C2991/B2991,"")</f>
        <v/>
      </c>
      <c r="F2991" s="11">
        <f>IFERROR((D2991/D2990-1)*100,"")</f>
        <v/>
      </c>
      <c r="G2991" s="11">
        <f>IFERROR((COUNTIF($D$2740:$D$2991,"&lt;"&amp;D2991)+0.5*COUNTIF($D$2740:$D$2991,D2991))/COUNT($D$2740:$D$2991)*100,"")</f>
        <v/>
      </c>
      <c r="H2991" s="10">
        <f>IFERROR(AVERAGE($D$2740:$D$2991),"")</f>
        <v/>
      </c>
      <c r="I2991" s="10" t="n">
        <v>0.7371310768642565</v>
      </c>
      <c r="J2991" t="inlineStr"/>
      <c r="K2991" t="inlineStr"/>
    </row>
    <row r="2992">
      <c r="A2992" s="7" t="inlineStr">
        <is>
          <t>2026-06-18</t>
        </is>
      </c>
      <c r="B2992" s="8">
        <f>IFERROR(VLOOKUP($A2992,'01-原始价格'!$A:$M,2,FALSE),"")</f>
        <v/>
      </c>
      <c r="C2992" s="8">
        <f>IFERROR(VLOOKUP($A2992,'01-原始价格'!$A:$M,8,FALSE),"")</f>
        <v/>
      </c>
      <c r="D2992" s="10">
        <f>IFERROR(B2992/C2992,"")</f>
        <v/>
      </c>
      <c r="E2992" s="10">
        <f>IFERROR(C2992/B2992,"")</f>
        <v/>
      </c>
      <c r="F2992" s="11">
        <f>IFERROR((D2992/D2991-1)*100,"")</f>
        <v/>
      </c>
      <c r="G2992" s="11">
        <f>IFERROR((COUNTIF($D$2741:$D$2992,"&lt;"&amp;D2992)+0.5*COUNTIF($D$2741:$D$2992,D2992))/COUNT($D$2741:$D$2992)*100,"")</f>
        <v/>
      </c>
      <c r="H2992" s="10">
        <f>IFERROR(AVERAGE($D$2741:$D$2992),"")</f>
        <v/>
      </c>
      <c r="I2992" s="10" t="n">
        <v>0.6410096089159613</v>
      </c>
      <c r="J2992" t="inlineStr"/>
      <c r="K2992" t="inlineStr"/>
    </row>
    <row r="2993">
      <c r="A2993" s="7" t="inlineStr">
        <is>
          <t>2026-06-22</t>
        </is>
      </c>
      <c r="B2993" s="8">
        <f>IFERROR(VLOOKUP($A2993,'01-原始价格'!$A:$M,2,FALSE),"")</f>
        <v/>
      </c>
      <c r="C2993" s="8">
        <f>IFERROR(VLOOKUP($A2993,'01-原始价格'!$A:$M,8,FALSE),"")</f>
        <v/>
      </c>
      <c r="D2993" s="10">
        <f>IFERROR(B2993/C2993,"")</f>
        <v/>
      </c>
      <c r="E2993" s="10">
        <f>IFERROR(C2993/B2993,"")</f>
        <v/>
      </c>
      <c r="F2993" s="11">
        <f>IFERROR((D2993/D2992-1)*100,"")</f>
        <v/>
      </c>
      <c r="G2993" s="11">
        <f>IFERROR((COUNTIF($D$2742:$D$2993,"&lt;"&amp;D2993)+0.5*COUNTIF($D$2742:$D$2993,D2993))/COUNT($D$2742:$D$2993)*100,"")</f>
        <v/>
      </c>
      <c r="H2993" s="10">
        <f>IFERROR(AVERAGE($D$2742:$D$2993),"")</f>
        <v/>
      </c>
      <c r="I2993" s="10" t="n">
        <v>0.5446989912607841</v>
      </c>
      <c r="J2993" t="inlineStr"/>
      <c r="K2993" t="inlineStr"/>
    </row>
    <row r="2994">
      <c r="A2994" s="7" t="inlineStr">
        <is>
          <t>2026-06-23</t>
        </is>
      </c>
      <c r="B2994" s="8">
        <f>IFERROR(VLOOKUP($A2994,'01-原始价格'!$A:$M,2,FALSE),"")</f>
        <v/>
      </c>
      <c r="C2994" s="8">
        <f>IFERROR(VLOOKUP($A2994,'01-原始价格'!$A:$M,8,FALSE),"")</f>
        <v/>
      </c>
      <c r="D2994" s="10">
        <f>IFERROR(B2994/C2994,"")</f>
        <v/>
      </c>
      <c r="E2994" s="10">
        <f>IFERROR(C2994/B2994,"")</f>
        <v/>
      </c>
      <c r="F2994" s="11">
        <f>IFERROR((D2994/D2993-1)*100,"")</f>
        <v/>
      </c>
      <c r="G2994" s="11">
        <f>IFERROR((COUNTIF($D$2743:$D$2994,"&lt;"&amp;D2994)+0.5*COUNTIF($D$2743:$D$2994,D2994))/COUNT($D$2743:$D$2994)*100,"")</f>
        <v/>
      </c>
      <c r="H2994" s="10">
        <f>IFERROR(AVERAGE($D$2743:$D$2994),"")</f>
        <v/>
      </c>
      <c r="I2994" s="10" t="n">
        <v>0.3908778406815679</v>
      </c>
      <c r="J2994" t="inlineStr"/>
      <c r="K2994" t="inlineStr"/>
    </row>
    <row r="2995">
      <c r="A2995" s="7" t="inlineStr">
        <is>
          <t>2026-06-24</t>
        </is>
      </c>
      <c r="B2995" s="8">
        <f>IFERROR(VLOOKUP($A2995,'01-原始价格'!$A:$M,2,FALSE),"")</f>
        <v/>
      </c>
      <c r="C2995" s="8">
        <f>IFERROR(VLOOKUP($A2995,'01-原始价格'!$A:$M,8,FALSE),"")</f>
        <v/>
      </c>
      <c r="D2995" s="10">
        <f>IFERROR(B2995/C2995,"")</f>
        <v/>
      </c>
      <c r="E2995" s="10">
        <f>IFERROR(C2995/B2995,"")</f>
        <v/>
      </c>
      <c r="F2995" s="11">
        <f>IFERROR((D2995/D2994-1)*100,"")</f>
        <v/>
      </c>
      <c r="G2995" s="11">
        <f>IFERROR((COUNTIF($D$2744:$D$2995,"&lt;"&amp;D2995)+0.5*COUNTIF($D$2744:$D$2995,D2995))/COUNT($D$2744:$D$2995)*100,"")</f>
        <v/>
      </c>
      <c r="H2995" s="10">
        <f>IFERROR(AVERAGE($D$2744:$D$2995),"")</f>
        <v/>
      </c>
      <c r="I2995" s="10" t="n">
        <v>0.3794822876393997</v>
      </c>
      <c r="J2995" t="inlineStr"/>
      <c r="K2995" t="inlineStr"/>
    </row>
    <row r="2996">
      <c r="A2996" s="7" t="inlineStr">
        <is>
          <t>2026-06-25</t>
        </is>
      </c>
      <c r="B2996" s="8">
        <f>IFERROR(VLOOKUP($A2996,'01-原始价格'!$A:$M,2,FALSE),"")</f>
        <v/>
      </c>
      <c r="C2996" s="8">
        <f>IFERROR(VLOOKUP($A2996,'01-原始价格'!$A:$M,8,FALSE),"")</f>
        <v/>
      </c>
      <c r="D2996" s="10">
        <f>IFERROR(B2996/C2996,"")</f>
        <v/>
      </c>
      <c r="E2996" s="10">
        <f>IFERROR(C2996/B2996,"")</f>
        <v/>
      </c>
      <c r="F2996" s="11">
        <f>IFERROR((D2996/D2995-1)*100,"")</f>
        <v/>
      </c>
      <c r="G2996" s="11">
        <f>IFERROR((COUNTIF($D$2745:$D$2996,"&lt;"&amp;D2996)+0.5*COUNTIF($D$2745:$D$2996,D2996))/COUNT($D$2745:$D$2996)*100,"")</f>
        <v/>
      </c>
      <c r="H2996" s="10">
        <f>IFERROR(AVERAGE($D$2745:$D$2996),"")</f>
        <v/>
      </c>
      <c r="I2996" s="10" t="n">
        <v>0.1775519074304763</v>
      </c>
      <c r="J2996" t="inlineStr"/>
      <c r="K2996" t="inlineStr"/>
    </row>
    <row r="2997">
      <c r="A2997" s="7" t="inlineStr">
        <is>
          <t>2026-06-26</t>
        </is>
      </c>
      <c r="B2997" s="8">
        <f>IFERROR(VLOOKUP($A2997,'01-原始价格'!$A:$M,2,FALSE),"")</f>
        <v/>
      </c>
      <c r="C2997" s="8">
        <f>IFERROR(VLOOKUP($A2997,'01-原始价格'!$A:$M,8,FALSE),"")</f>
        <v/>
      </c>
      <c r="D2997" s="10">
        <f>IFERROR(B2997/C2997,"")</f>
        <v/>
      </c>
      <c r="E2997" s="10">
        <f>IFERROR(C2997/B2997,"")</f>
        <v/>
      </c>
      <c r="F2997" s="11">
        <f>IFERROR((D2997/D2996-1)*100,"")</f>
        <v/>
      </c>
      <c r="G2997" s="11">
        <f>IFERROR((COUNTIF($D$2746:$D$2997,"&lt;"&amp;D2997)+0.5*COUNTIF($D$2746:$D$2997,D2997))/COUNT($D$2746:$D$2997)*100,"")</f>
        <v/>
      </c>
      <c r="H2997" s="10">
        <f>IFERROR(AVERAGE($D$2746:$D$2997),"")</f>
        <v/>
      </c>
      <c r="I2997" s="10" t="n">
        <v>0.2683409363337813</v>
      </c>
      <c r="J2997" t="inlineStr"/>
      <c r="K2997" t="inlineStr"/>
    </row>
    <row r="2998">
      <c r="A2998" s="7" t="inlineStr">
        <is>
          <t>2026-06-29</t>
        </is>
      </c>
      <c r="B2998" s="8">
        <f>IFERROR(VLOOKUP($A2998,'01-原始价格'!$A:$M,2,FALSE),"")</f>
        <v/>
      </c>
      <c r="C2998" s="8">
        <f>IFERROR(VLOOKUP($A2998,'01-原始价格'!$A:$M,8,FALSE),"")</f>
        <v/>
      </c>
      <c r="D2998" s="10">
        <f>IFERROR(B2998/C2998,"")</f>
        <v/>
      </c>
      <c r="E2998" s="10">
        <f>IFERROR(C2998/B2998,"")</f>
        <v/>
      </c>
      <c r="F2998" s="11">
        <f>IFERROR((D2998/D2997-1)*100,"")</f>
        <v/>
      </c>
      <c r="G2998" s="11">
        <f>IFERROR((COUNTIF($D$2747:$D$2998,"&lt;"&amp;D2998)+0.5*COUNTIF($D$2747:$D$2998,D2998))/COUNT($D$2747:$D$2998)*100,"")</f>
        <v/>
      </c>
      <c r="H2998" s="10">
        <f>IFERROR(AVERAGE($D$2747:$D$2998),"")</f>
        <v/>
      </c>
      <c r="I2998" s="10" t="n">
        <v>0.5420479615263094</v>
      </c>
      <c r="J2998" t="inlineStr"/>
      <c r="K2998" t="inlineStr"/>
    </row>
    <row r="2999">
      <c r="A2999" s="7" t="inlineStr">
        <is>
          <t>2026-06-30</t>
        </is>
      </c>
      <c r="B2999" s="8">
        <f>IFERROR(VLOOKUP($A2999,'01-原始价格'!$A:$M,2,FALSE),"")</f>
        <v/>
      </c>
      <c r="C2999" s="8">
        <f>IFERROR(VLOOKUP($A2999,'01-原始价格'!$A:$M,8,FALSE),"")</f>
        <v/>
      </c>
      <c r="D2999" s="10">
        <f>IFERROR(B2999/C2999,"")</f>
        <v/>
      </c>
      <c r="E2999" s="10">
        <f>IFERROR(C2999/B2999,"")</f>
        <v/>
      </c>
      <c r="F2999" s="11">
        <f>IFERROR((D2999/D2998-1)*100,"")</f>
        <v/>
      </c>
      <c r="G2999" s="11">
        <f>IFERROR((COUNTIF($D$2748:$D$2999,"&lt;"&amp;D2999)+0.5*COUNTIF($D$2748:$D$2999,D2999))/COUNT($D$2748:$D$2999)*100,"")</f>
        <v/>
      </c>
      <c r="H2999" s="10">
        <f>IFERROR(AVERAGE($D$2748:$D$2999),"")</f>
        <v/>
      </c>
      <c r="I2999" s="10" t="n">
        <v>0.3521472361015827</v>
      </c>
      <c r="J2999" t="inlineStr"/>
      <c r="K2999" t="inlineStr"/>
    </row>
    <row r="3000">
      <c r="A3000" s="7" t="inlineStr">
        <is>
          <t>2026-07-01</t>
        </is>
      </c>
      <c r="B3000" s="8">
        <f>IFERROR(VLOOKUP($A3000,'01-原始价格'!$A:$M,2,FALSE),"")</f>
        <v/>
      </c>
      <c r="C3000" s="8">
        <f>IFERROR(VLOOKUP($A3000,'01-原始价格'!$A:$M,8,FALSE),"")</f>
        <v/>
      </c>
      <c r="D3000" s="10">
        <f>IFERROR(B3000/C3000,"")</f>
        <v/>
      </c>
      <c r="E3000" s="10">
        <f>IFERROR(C3000/B3000,"")</f>
        <v/>
      </c>
      <c r="F3000" s="11">
        <f>IFERROR((D3000/D2999-1)*100,"")</f>
        <v/>
      </c>
      <c r="G3000" s="11">
        <f>IFERROR((COUNTIF($D$2749:$D$3000,"&lt;"&amp;D3000)+0.5*COUNTIF($D$2749:$D$3000,D3000))/COUNT($D$2749:$D$3000)*100,"")</f>
        <v/>
      </c>
      <c r="H3000" s="10">
        <f>IFERROR(AVERAGE($D$2749:$D$3000),"")</f>
        <v/>
      </c>
      <c r="I3000" s="10" t="n">
        <v>0.462940498110902</v>
      </c>
      <c r="J3000" t="inlineStr"/>
      <c r="K3000" t="inlineStr"/>
    </row>
    <row r="3001">
      <c r="A3001" s="7" t="inlineStr">
        <is>
          <t>2026-07-02</t>
        </is>
      </c>
      <c r="B3001" s="8">
        <f>IFERROR(VLOOKUP($A3001,'01-原始价格'!$A:$M,2,FALSE),"")</f>
        <v/>
      </c>
      <c r="C3001" s="8">
        <f>IFERROR(VLOOKUP($A3001,'01-原始价格'!$A:$M,8,FALSE),"")</f>
        <v/>
      </c>
      <c r="D3001" s="10">
        <f>IFERROR(B3001/C3001,"")</f>
        <v/>
      </c>
      <c r="E3001" s="10">
        <f>IFERROR(C3001/B3001,"")</f>
        <v/>
      </c>
      <c r="F3001" s="11">
        <f>IFERROR((D3001/D3000-1)*100,"")</f>
        <v/>
      </c>
      <c r="G3001" s="11">
        <f>IFERROR((COUNTIF($D$2750:$D$3001,"&lt;"&amp;D3001)+0.5*COUNTIF($D$2750:$D$3001,D3001))/COUNT($D$2750:$D$3001)*100,"")</f>
        <v/>
      </c>
      <c r="H3001" s="10">
        <f>IFERROR(AVERAGE($D$2750:$D$3001),"")</f>
        <v/>
      </c>
      <c r="I3001" s="10" t="n">
        <v>0.3220782824412586</v>
      </c>
      <c r="J3001" t="inlineStr"/>
      <c r="K3001" t="inlineStr"/>
    </row>
    <row r="3002">
      <c r="A3002" s="7" t="inlineStr">
        <is>
          <t>2026-07-03</t>
        </is>
      </c>
      <c r="B3002" s="8">
        <f>IFERROR(VLOOKUP($A3002,'01-原始价格'!$A:$M,2,FALSE),"")</f>
        <v/>
      </c>
      <c r="C3002" s="8">
        <f>IFERROR(VLOOKUP($A3002,'01-原始价格'!$A:$M,8,FALSE),"")</f>
        <v/>
      </c>
      <c r="D3002" s="10">
        <f>IFERROR(B3002/C3002,"")</f>
        <v/>
      </c>
      <c r="E3002" s="10">
        <f>IFERROR(C3002/B3002,"")</f>
        <v/>
      </c>
      <c r="F3002" s="11">
        <f>IFERROR((D3002/D3001-1)*100,"")</f>
        <v/>
      </c>
      <c r="G3002" s="11">
        <f>IFERROR((COUNTIF($D$2751:$D$3002,"&lt;"&amp;D3002)+0.5*COUNTIF($D$2751:$D$3002,D3002))/COUNT($D$2751:$D$3002)*100,"")</f>
        <v/>
      </c>
      <c r="H3002" s="10">
        <f>IFERROR(AVERAGE($D$2751:$D$3002),"")</f>
        <v/>
      </c>
      <c r="I3002" s="10" t="n">
        <v>0.5331747987171731</v>
      </c>
      <c r="J3002" t="inlineStr"/>
      <c r="K3002" t="inlineStr"/>
    </row>
    <row r="3003">
      <c r="A3003" s="7" t="inlineStr">
        <is>
          <t>2026-07-06</t>
        </is>
      </c>
      <c r="B3003" s="8">
        <f>IFERROR(VLOOKUP($A3003,'01-原始价格'!$A:$M,2,FALSE),"")</f>
        <v/>
      </c>
      <c r="C3003" s="8">
        <f>IFERROR(VLOOKUP($A3003,'01-原始价格'!$A:$M,8,FALSE),"")</f>
        <v/>
      </c>
      <c r="D3003" s="10">
        <f>IFERROR(B3003/C3003,"")</f>
        <v/>
      </c>
      <c r="E3003" s="10">
        <f>IFERROR(C3003/B3003,"")</f>
        <v/>
      </c>
      <c r="F3003" s="11">
        <f>IFERROR((D3003/D3002-1)*100,"")</f>
        <v/>
      </c>
      <c r="G3003" s="11">
        <f>IFERROR((COUNTIF($D$2752:$D$3003,"&lt;"&amp;D3003)+0.5*COUNTIF($D$2752:$D$3003,D3003))/COUNT($D$2752:$D$3003)*100,"")</f>
        <v/>
      </c>
      <c r="H3003" s="10">
        <f>IFERROR(AVERAGE($D$2752:$D$3003),"")</f>
        <v/>
      </c>
      <c r="I3003" s="10" t="n">
        <v>0.4182830773589895</v>
      </c>
      <c r="J3003" t="inlineStr"/>
      <c r="K3003" t="inlineStr"/>
    </row>
    <row r="3004">
      <c r="A3004" s="7" t="inlineStr">
        <is>
          <t>2026-07-07</t>
        </is>
      </c>
      <c r="B3004" s="8">
        <f>IFERROR(VLOOKUP($A3004,'01-原始价格'!$A:$M,2,FALSE),"")</f>
        <v/>
      </c>
      <c r="C3004" s="8">
        <f>IFERROR(VLOOKUP($A3004,'01-原始价格'!$A:$M,8,FALSE),"")</f>
        <v/>
      </c>
      <c r="D3004" s="10">
        <f>IFERROR(B3004/C3004,"")</f>
        <v/>
      </c>
      <c r="E3004" s="10">
        <f>IFERROR(C3004/B3004,"")</f>
        <v/>
      </c>
      <c r="F3004" s="11">
        <f>IFERROR((D3004/D3003-1)*100,"")</f>
        <v/>
      </c>
      <c r="G3004" s="11">
        <f>IFERROR((COUNTIF($D$2753:$D$3004,"&lt;"&amp;D3004)+0.5*COUNTIF($D$2753:$D$3004,D3004))/COUNT($D$2753:$D$3004)*100,"")</f>
        <v/>
      </c>
      <c r="H3004" s="10">
        <f>IFERROR(AVERAGE($D$2753:$D$3004),"")</f>
        <v/>
      </c>
      <c r="I3004" s="10" t="n">
        <v>0.5122353400889854</v>
      </c>
      <c r="J3004" t="inlineStr"/>
      <c r="K3004" t="inlineStr"/>
    </row>
    <row r="3005">
      <c r="A3005" s="7" t="inlineStr">
        <is>
          <t>2026-07-08</t>
        </is>
      </c>
      <c r="B3005" s="8">
        <f>IFERROR(VLOOKUP($A3005,'01-原始价格'!$A:$M,2,FALSE),"")</f>
        <v/>
      </c>
      <c r="C3005" s="8">
        <f>IFERROR(VLOOKUP($A3005,'01-原始价格'!$A:$M,8,FALSE),"")</f>
        <v/>
      </c>
      <c r="D3005" s="10">
        <f>IFERROR(B3005/C3005,"")</f>
        <v/>
      </c>
      <c r="E3005" s="10">
        <f>IFERROR(C3005/B3005,"")</f>
        <v/>
      </c>
      <c r="F3005" s="11">
        <f>IFERROR((D3005/D3004-1)*100,"")</f>
        <v/>
      </c>
      <c r="G3005" s="11">
        <f>IFERROR((COUNTIF($D$2754:$D$3005,"&lt;"&amp;D3005)+0.5*COUNTIF($D$2754:$D$3005,D3005))/COUNT($D$2754:$D$3005)*100,"")</f>
        <v/>
      </c>
      <c r="H3005" s="10">
        <f>IFERROR(AVERAGE($D$2754:$D$3005),"")</f>
        <v/>
      </c>
      <c r="I3005" s="10" t="n">
        <v>0.8571911480944623</v>
      </c>
      <c r="J3005" t="inlineStr"/>
      <c r="K3005" t="inlineStr"/>
    </row>
    <row r="3006">
      <c r="A3006" s="7" t="inlineStr">
        <is>
          <t>2026-07-09</t>
        </is>
      </c>
      <c r="B3006" s="8">
        <f>IFERROR(VLOOKUP($A3006,'01-原始价格'!$A:$M,2,FALSE),"")</f>
        <v/>
      </c>
      <c r="C3006" s="8">
        <f>IFERROR(VLOOKUP($A3006,'01-原始价格'!$A:$M,8,FALSE),"")</f>
        <v/>
      </c>
      <c r="D3006" s="10">
        <f>IFERROR(B3006/C3006,"")</f>
        <v/>
      </c>
      <c r="E3006" s="10">
        <f>IFERROR(C3006/B3006,"")</f>
        <v/>
      </c>
      <c r="F3006" s="11">
        <f>IFERROR((D3006/D3005-1)*100,"")</f>
        <v/>
      </c>
      <c r="G3006" s="11">
        <f>IFERROR((COUNTIF($D$2755:$D$3006,"&lt;"&amp;D3006)+0.5*COUNTIF($D$2755:$D$3006,D3006))/COUNT($D$2755:$D$3006)*100,"")</f>
        <v/>
      </c>
      <c r="H3006" s="10">
        <f>IFERROR(AVERAGE($D$2755:$D$3006),"")</f>
        <v/>
      </c>
      <c r="I3006" s="10" t="n">
        <v>0.4590633879833208</v>
      </c>
      <c r="J3006" t="inlineStr"/>
      <c r="K3006" t="inlineStr"/>
    </row>
    <row r="3007">
      <c r="A3007" s="7" t="inlineStr">
        <is>
          <t>2026-07-10</t>
        </is>
      </c>
      <c r="B3007" s="8">
        <f>IFERROR(VLOOKUP($A3007,'01-原始价格'!$A:$M,2,FALSE),"")</f>
        <v/>
      </c>
      <c r="C3007" s="8">
        <f>IFERROR(VLOOKUP($A3007,'01-原始价格'!$A:$M,8,FALSE),"")</f>
        <v/>
      </c>
      <c r="D3007" s="10">
        <f>IFERROR(B3007/C3007,"")</f>
        <v/>
      </c>
      <c r="E3007" s="10">
        <f>IFERROR(C3007/B3007,"")</f>
        <v/>
      </c>
      <c r="F3007" s="11">
        <f>IFERROR((D3007/D3006-1)*100,"")</f>
        <v/>
      </c>
      <c r="G3007" s="11">
        <f>IFERROR((COUNTIF($D$2756:$D$3007,"&lt;"&amp;D3007)+0.5*COUNTIF($D$2756:$D$3007,D3007))/COUNT($D$2756:$D$3007)*100,"")</f>
        <v/>
      </c>
      <c r="H3007" s="10">
        <f>IFERROR(AVERAGE($D$2756:$D$3007),"")</f>
        <v/>
      </c>
      <c r="I3007" s="10" t="n">
        <v>0.3477493086537154</v>
      </c>
      <c r="J3007" t="inlineStr"/>
      <c r="K3007" t="inlineStr"/>
    </row>
    <row r="3008">
      <c r="A3008" s="7" t="inlineStr">
        <is>
          <t>2026-07-13</t>
        </is>
      </c>
      <c r="B3008" s="8">
        <f>IFERROR(VLOOKUP($A3008,'01-原始价格'!$A:$M,2,FALSE),"")</f>
        <v/>
      </c>
      <c r="C3008" s="8">
        <f>IFERROR(VLOOKUP($A3008,'01-原始价格'!$A:$M,8,FALSE),"")</f>
        <v/>
      </c>
      <c r="D3008" s="10">
        <f>IFERROR(B3008/C3008,"")</f>
        <v/>
      </c>
      <c r="E3008" s="10">
        <f>IFERROR(C3008/B3008,"")</f>
        <v/>
      </c>
      <c r="F3008" s="11">
        <f>IFERROR((D3008/D3007-1)*100,"")</f>
        <v/>
      </c>
      <c r="G3008" s="11">
        <f>IFERROR((COUNTIF($D$2757:$D$3008,"&lt;"&amp;D3008)+0.5*COUNTIF($D$2757:$D$3008,D3008))/COUNT($D$2757:$D$3008)*100,"")</f>
        <v/>
      </c>
      <c r="H3008" s="10">
        <f>IFERROR(AVERAGE($D$2757:$D$3008),"")</f>
        <v/>
      </c>
      <c r="I3008" s="10" t="n">
        <v>0.2628915855800304</v>
      </c>
      <c r="J3008" t="inlineStr"/>
      <c r="K3008" t="inlineStr"/>
    </row>
    <row r="3009">
      <c r="A3009" s="7" t="inlineStr">
        <is>
          <t>2026-07-14</t>
        </is>
      </c>
      <c r="B3009" s="8">
        <f>IFERROR(VLOOKUP($A3009,'01-原始价格'!$A:$M,2,FALSE),"")</f>
        <v/>
      </c>
      <c r="C3009" s="8">
        <f>IFERROR(VLOOKUP($A3009,'01-原始价格'!$A:$M,8,FALSE),"")</f>
        <v/>
      </c>
      <c r="D3009" s="10">
        <f>IFERROR(B3009/C3009,"")</f>
        <v/>
      </c>
      <c r="E3009" s="10">
        <f>IFERROR(C3009/B3009,"")</f>
        <v/>
      </c>
      <c r="F3009" s="11">
        <f>IFERROR((D3009/D3008-1)*100,"")</f>
        <v/>
      </c>
      <c r="G3009" s="11">
        <f>IFERROR((COUNTIF($D$2758:$D$3009,"&lt;"&amp;D3009)+0.5*COUNTIF($D$2758:$D$3009,D3009))/COUNT($D$2758:$D$3009)*100,"")</f>
        <v/>
      </c>
      <c r="H3009" s="10">
        <f>IFERROR(AVERAGE($D$2758:$D$3009),"")</f>
        <v/>
      </c>
      <c r="I3009" s="10" t="n">
        <v>0.09559888191932998</v>
      </c>
      <c r="J3009" t="inlineStr"/>
      <c r="K3009" t="inlineStr"/>
    </row>
    <row r="3010">
      <c r="A3010" s="7" t="inlineStr">
        <is>
          <t>2026-07-15</t>
        </is>
      </c>
      <c r="B3010" s="8">
        <f>IFERROR(VLOOKUP($A3010,'01-原始价格'!$A:$M,2,FALSE),"")</f>
        <v/>
      </c>
      <c r="C3010" s="8">
        <f>IFERROR(VLOOKUP($A3010,'01-原始价格'!$A:$M,8,FALSE),"")</f>
        <v/>
      </c>
      <c r="D3010" s="10">
        <f>IFERROR(B3010/C3010,"")</f>
        <v/>
      </c>
      <c r="E3010" s="10">
        <f>IFERROR(C3010/B3010,"")</f>
        <v/>
      </c>
      <c r="F3010" s="11">
        <f>IFERROR((D3010/D3009-1)*100,"")</f>
        <v/>
      </c>
      <c r="G3010" s="11">
        <f>IFERROR((COUNTIF($D$2759:$D$3010,"&lt;"&amp;D3010)+0.5*COUNTIF($D$2759:$D$3010,D3010))/COUNT($D$2759:$D$3010)*100,"")</f>
        <v/>
      </c>
      <c r="H3010" s="10">
        <f>IFERROR(AVERAGE($D$2759:$D$3010),"")</f>
        <v/>
      </c>
      <c r="I3010" s="10" t="n">
        <v>0.06678503818488123</v>
      </c>
      <c r="J3010" t="inlineStr"/>
      <c r="K3010" t="inlineStr"/>
    </row>
    <row r="3011">
      <c r="A3011" s="7" t="inlineStr">
        <is>
          <t>2026-07-16</t>
        </is>
      </c>
      <c r="B3011" s="8">
        <f>IFERROR(VLOOKUP($A3011,'01-原始价格'!$A:$M,2,FALSE),"")</f>
        <v/>
      </c>
      <c r="C3011" s="8">
        <f>IFERROR(VLOOKUP($A3011,'01-原始价格'!$A:$M,8,FALSE),"")</f>
        <v/>
      </c>
      <c r="D3011" s="10">
        <f>IFERROR(B3011/C3011,"")</f>
        <v/>
      </c>
      <c r="E3011" s="10">
        <f>IFERROR(C3011/B3011,"")</f>
        <v/>
      </c>
      <c r="F3011" s="11">
        <f>IFERROR((D3011/D3010-1)*100,"")</f>
        <v/>
      </c>
      <c r="G3011" s="11">
        <f>IFERROR((COUNTIF($D$2760:$D$3011,"&lt;"&amp;D3011)+0.5*COUNTIF($D$2760:$D$3011,D3011))/COUNT($D$2760:$D$3011)*100,"")</f>
        <v/>
      </c>
      <c r="H3011" s="10">
        <f>IFERROR(AVERAGE($D$2760:$D$3011),"")</f>
        <v/>
      </c>
      <c r="I3011" s="10" t="n">
        <v>0.09386380223676065</v>
      </c>
      <c r="J3011" t="inlineStr"/>
      <c r="K3011" t="inlineStr"/>
    </row>
    <row r="3012">
      <c r="A3012" s="7" t="inlineStr">
        <is>
          <t>2026-07-17</t>
        </is>
      </c>
      <c r="B3012" s="8">
        <f>IFERROR(VLOOKUP($A3012,'01-原始价格'!$A:$M,2,FALSE),"")</f>
        <v/>
      </c>
      <c r="C3012" s="8">
        <f>IFERROR(VLOOKUP($A3012,'01-原始价格'!$A:$M,8,FALSE),"")</f>
        <v/>
      </c>
      <c r="D3012" s="10">
        <f>IFERROR(B3012/C3012,"")</f>
        <v/>
      </c>
      <c r="E3012" s="10">
        <f>IFERROR(C3012/B3012,"")</f>
        <v/>
      </c>
      <c r="F3012" s="11">
        <f>IFERROR((D3012/D3011-1)*100,"")</f>
        <v/>
      </c>
      <c r="G3012" s="11">
        <f>IFERROR((COUNTIF($D$2761:$D$3012,"&lt;"&amp;D3012)+0.5*COUNTIF($D$2761:$D$3012,D3012))/COUNT($D$2761:$D$3012)*100,"")</f>
        <v/>
      </c>
      <c r="H3012" s="10">
        <f>IFERROR(AVERAGE($D$2761:$D$3012),"")</f>
        <v/>
      </c>
      <c r="I3012" s="10" t="n">
        <v>0.2922873067924908</v>
      </c>
      <c r="J3012" t="inlineStr"/>
      <c r="K3012" t="inlineStr"/>
    </row>
    <row r="3013">
      <c r="A3013" s="7" t="inlineStr">
        <is>
          <t>2026-07-20</t>
        </is>
      </c>
      <c r="B3013" s="8">
        <f>IFERROR(VLOOKUP($A3013,'01-原始价格'!$A:$M,2,FALSE),"")</f>
        <v/>
      </c>
      <c r="C3013" s="8">
        <f>IFERROR(VLOOKUP($A3013,'01-原始价格'!$A:$M,8,FALSE),"")</f>
        <v/>
      </c>
      <c r="D3013" s="10">
        <f>IFERROR(B3013/C3013,"")</f>
        <v/>
      </c>
      <c r="E3013" s="10">
        <f>IFERROR(C3013/B3013,"")</f>
        <v/>
      </c>
      <c r="F3013" s="11">
        <f>IFERROR((D3013/D3012-1)*100,"")</f>
        <v/>
      </c>
      <c r="G3013" s="11">
        <f>IFERROR((COUNTIF($D$2762:$D$3013,"&lt;"&amp;D3013)+0.5*COUNTIF($D$2762:$D$3013,D3013))/COUNT($D$2762:$D$3013)*100,"")</f>
        <v/>
      </c>
      <c r="H3013" s="10">
        <f>IFERROR(AVERAGE($D$2762:$D$3013),"")</f>
        <v/>
      </c>
      <c r="I3013" s="10" t="n">
        <v>0.5497677700285859</v>
      </c>
      <c r="J3013" t="inlineStr"/>
      <c r="K3013" t="inlineStr"/>
    </row>
    <row r="3014">
      <c r="A3014" s="7" t="inlineStr">
        <is>
          <t>2026-07-21</t>
        </is>
      </c>
      <c r="B3014" s="8">
        <f>IFERROR(VLOOKUP($A3014,'01-原始价格'!$A:$M,2,FALSE),"")</f>
        <v/>
      </c>
      <c r="C3014" s="8">
        <f>IFERROR(VLOOKUP($A3014,'01-原始价格'!$A:$M,8,FALSE),"")</f>
        <v/>
      </c>
      <c r="D3014" s="10">
        <f>IFERROR(B3014/C3014,"")</f>
        <v/>
      </c>
      <c r="E3014" s="10">
        <f>IFERROR(C3014/B3014,"")</f>
        <v/>
      </c>
      <c r="F3014" s="11">
        <f>IFERROR((D3014/D3013-1)*100,"")</f>
        <v/>
      </c>
      <c r="G3014" s="11">
        <f>IFERROR((COUNTIF($D$2763:$D$3014,"&lt;"&amp;D3014)+0.5*COUNTIF($D$2763:$D$3014,D3014))/COUNT($D$2763:$D$3014)*100,"")</f>
        <v/>
      </c>
      <c r="H3014" s="10">
        <f>IFERROR(AVERAGE($D$2763:$D$3014),"")</f>
        <v/>
      </c>
      <c r="I3014" s="10" t="n">
        <v>0.4954727586815286</v>
      </c>
      <c r="J3014" t="inlineStr"/>
      <c r="K3014" t="inlineStr"/>
    </row>
    <row r="3015">
      <c r="A3015" s="7" t="inlineStr">
        <is>
          <t>2026-07-22</t>
        </is>
      </c>
      <c r="B3015" s="8">
        <f>IFERROR(VLOOKUP($A3015,'01-原始价格'!$A:$M,2,FALSE),"")</f>
        <v/>
      </c>
      <c r="C3015" s="8">
        <f>IFERROR(VLOOKUP($A3015,'01-原始价格'!$A:$M,8,FALSE),"")</f>
        <v/>
      </c>
      <c r="D3015" s="10">
        <f>IFERROR(B3015/C3015,"")</f>
        <v/>
      </c>
      <c r="E3015" s="10">
        <f>IFERROR(C3015/B3015,"")</f>
        <v/>
      </c>
      <c r="F3015" s="11">
        <f>IFERROR((D3015/D3014-1)*100,"")</f>
        <v/>
      </c>
      <c r="G3015" s="11">
        <f>IFERROR((COUNTIF($D$2764:$D$3015,"&lt;"&amp;D3015)+0.5*COUNTIF($D$2764:$D$3015,D3015))/COUNT($D$2764:$D$3015)*100,"")</f>
        <v/>
      </c>
      <c r="H3015" s="10">
        <f>IFERROR(AVERAGE($D$2764:$D$3015),"")</f>
        <v/>
      </c>
      <c r="I3015" s="10" t="n">
        <v>0.6641725791719288</v>
      </c>
      <c r="J3015" t="inlineStr"/>
      <c r="K3015" t="inlineStr"/>
    </row>
    <row r="3016">
      <c r="A3016" s="7" t="inlineStr">
        <is>
          <t>2026-07-23</t>
        </is>
      </c>
      <c r="B3016" s="8">
        <f>IFERROR(VLOOKUP($A3016,'01-原始价格'!$A:$M,2,FALSE),"")</f>
        <v/>
      </c>
      <c r="C3016" s="8">
        <f>IFERROR(VLOOKUP($A3016,'01-原始价格'!$A:$M,8,FALSE),"")</f>
        <v/>
      </c>
      <c r="D3016" s="10">
        <f>IFERROR(B3016/C3016,"")</f>
        <v/>
      </c>
      <c r="E3016" s="10">
        <f>IFERROR(C3016/B3016,"")</f>
        <v/>
      </c>
      <c r="F3016" s="11">
        <f>IFERROR((D3016/D3015-1)*100,"")</f>
        <v/>
      </c>
      <c r="G3016" s="11">
        <f>IFERROR((COUNTIF($D$2765:$D$3016,"&lt;"&amp;D3016)+0.5*COUNTIF($D$2765:$D$3016,D3016))/COUNT($D$2765:$D$3016)*100,"")</f>
        <v/>
      </c>
      <c r="H3016" s="10">
        <f>IFERROR(AVERAGE($D$2765:$D$3016),"")</f>
        <v/>
      </c>
      <c r="I3016" s="10" t="n">
        <v>0.4027229026158191</v>
      </c>
      <c r="J3016" t="inlineStr"/>
      <c r="K3016" t="inlineStr"/>
    </row>
    <row r="3017">
      <c r="A3017" s="7" t="inlineStr">
        <is>
          <t>2026-07-24</t>
        </is>
      </c>
      <c r="B3017" s="8">
        <f>IFERROR(VLOOKUP($A3017,'01-原始价格'!$A:$M,2,FALSE),"")</f>
        <v/>
      </c>
      <c r="C3017" s="8">
        <f>IFERROR(VLOOKUP($A3017,'01-原始价格'!$A:$M,8,FALSE),"")</f>
        <v/>
      </c>
      <c r="D3017" s="10">
        <f>IFERROR(B3017/C3017,"")</f>
        <v/>
      </c>
      <c r="E3017" s="10">
        <f>IFERROR(C3017/B3017,"")</f>
        <v/>
      </c>
      <c r="F3017" s="11">
        <f>IFERROR((D3017/D3016-1)*100,"")</f>
        <v/>
      </c>
      <c r="G3017" s="11">
        <f>IFERROR((COUNTIF($D$2766:$D$3017,"&lt;"&amp;D3017)+0.5*COUNTIF($D$2766:$D$3017,D3017))/COUNT($D$2766:$D$3017)*100,"")</f>
        <v/>
      </c>
      <c r="H3017" s="10">
        <f>IFERROR(AVERAGE($D$2766:$D$3017),"")</f>
        <v/>
      </c>
      <c r="I3017" s="10" t="n">
        <v>0.4215973116670854</v>
      </c>
      <c r="J3017" t="inlineStr"/>
      <c r="K3017" t="inlineStr"/>
    </row>
    <row r="3018">
      <c r="A3018" s="7" t="inlineStr">
        <is>
          <t>2026-07-27</t>
        </is>
      </c>
      <c r="B3018" s="8">
        <f>IFERROR(VLOOKUP($A3018,'01-原始价格'!$A:$M,2,FALSE),"")</f>
        <v/>
      </c>
      <c r="C3018" s="8">
        <f>IFERROR(VLOOKUP($A3018,'01-原始价格'!$A:$M,8,FALSE),"")</f>
        <v/>
      </c>
      <c r="D3018" s="10">
        <f>IFERROR(B3018/C3018,"")</f>
        <v/>
      </c>
      <c r="E3018" s="10">
        <f>IFERROR(C3018/B3018,"")</f>
        <v/>
      </c>
      <c r="F3018" s="11">
        <f>IFERROR((D3018/D3017-1)*100,"")</f>
        <v/>
      </c>
      <c r="G3018" s="11">
        <f>IFERROR((COUNTIF($D$2767:$D$3018,"&lt;"&amp;D3018)+0.5*COUNTIF($D$2767:$D$3018,D3018))/COUNT($D$2767:$D$3018)*100,"")</f>
        <v/>
      </c>
      <c r="H3018" s="10">
        <f>IFERROR(AVERAGE($D$2767:$D$3018),"")</f>
        <v/>
      </c>
      <c r="I3018" s="10" t="n">
        <v>0.3084821407071222</v>
      </c>
      <c r="J3018" t="inlineStr"/>
      <c r="K3018" t="inlineStr"/>
    </row>
    <row r="3019">
      <c r="A3019" s="7" t="inlineStr">
        <is>
          <t>2026-07-28</t>
        </is>
      </c>
      <c r="B3019" s="8">
        <f>IFERROR(VLOOKUP($A3019,'01-原始价格'!$A:$M,2,FALSE),"")</f>
        <v/>
      </c>
      <c r="C3019" s="8">
        <f>IFERROR(VLOOKUP($A3019,'01-原始价格'!$A:$M,8,FALSE),"")</f>
        <v/>
      </c>
      <c r="D3019" s="10">
        <f>IFERROR(B3019/C3019,"")</f>
        <v/>
      </c>
      <c r="E3019" s="10">
        <f>IFERROR(C3019/B3019,"")</f>
        <v/>
      </c>
      <c r="F3019" s="11">
        <f>IFERROR((D3019/D3018-1)*100,"")</f>
        <v/>
      </c>
      <c r="G3019" s="11">
        <f>IFERROR((COUNTIF($D$2768:$D$3019,"&lt;"&amp;D3019)+0.5*COUNTIF($D$2768:$D$3019,D3019))/COUNT($D$2768:$D$3019)*100,"")</f>
        <v/>
      </c>
      <c r="H3019" s="10">
        <f>IFERROR(AVERAGE($D$2768:$D$3019),"")</f>
        <v/>
      </c>
      <c r="I3019" s="10" t="n">
        <v>0.4135541252958874</v>
      </c>
      <c r="J3019" t="inlineStr"/>
      <c r="K3019" t="inlineStr"/>
    </row>
    <row r="3020">
      <c r="A3020" s="7" t="inlineStr">
        <is>
          <t>2026-07-29</t>
        </is>
      </c>
      <c r="B3020" s="8">
        <f>IFERROR(VLOOKUP($A3020,'01-原始价格'!$A:$M,2,FALSE),"")</f>
        <v/>
      </c>
      <c r="C3020" s="8">
        <f>IFERROR(VLOOKUP($A3020,'01-原始价格'!$A:$M,8,FALSE),"")</f>
        <v/>
      </c>
      <c r="D3020" s="10">
        <f>IFERROR(B3020/C3020,"")</f>
        <v/>
      </c>
      <c r="E3020" s="10">
        <f>IFERROR(C3020/B3020,"")</f>
        <v/>
      </c>
      <c r="F3020" s="11">
        <f>IFERROR((D3020/D3019-1)*100,"")</f>
        <v/>
      </c>
      <c r="G3020" s="11">
        <f>IFERROR((COUNTIF($D$2769:$D$3020,"&lt;"&amp;D3020)+0.5*COUNTIF($D$2769:$D$3020,D3020))/COUNT($D$2769:$D$3020)*100,"")</f>
        <v/>
      </c>
      <c r="H3020" s="10">
        <f>IFERROR(AVERAGE($D$2769:$D$3020),"")</f>
        <v/>
      </c>
      <c r="I3020" s="10" t="n">
        <v>0.5573822443055101</v>
      </c>
      <c r="J3020" t="inlineStr"/>
      <c r="K3020" t="inlineStr"/>
    </row>
    <row r="3021">
      <c r="A3021" s="7" t="inlineStr">
        <is>
          <t>2026-07-30</t>
        </is>
      </c>
      <c r="B3021" s="8">
        <f>IFERROR(VLOOKUP($A3021,'01-原始价格'!$A:$M,2,FALSE),"")</f>
        <v/>
      </c>
      <c r="C3021" s="8">
        <f>IFERROR(VLOOKUP($A3021,'01-原始价格'!$A:$M,8,FALSE),"")</f>
        <v/>
      </c>
      <c r="D3021" s="10">
        <f>IFERROR(B3021/C3021,"")</f>
        <v/>
      </c>
      <c r="E3021" s="10">
        <f>IFERROR(C3021/B3021,"")</f>
        <v/>
      </c>
      <c r="F3021" s="11">
        <f>IFERROR((D3021/D3020-1)*100,"")</f>
        <v/>
      </c>
      <c r="G3021" s="11">
        <f>IFERROR((COUNTIF($D$2770:$D$3021,"&lt;"&amp;D3021)+0.5*COUNTIF($D$2770:$D$3021,D3021))/COUNT($D$2770:$D$3021)*100,"")</f>
        <v/>
      </c>
      <c r="H3021" s="10">
        <f>IFERROR(AVERAGE($D$2770:$D$3021),"")</f>
        <v/>
      </c>
      <c r="I3021" s="10" t="n">
        <v>0.8183757145744647</v>
      </c>
      <c r="J3021" t="inlineStr"/>
      <c r="K3021" t="inlineStr"/>
    </row>
    <row r="3022">
      <c r="A3022" s="7" t="inlineStr">
        <is>
          <t>2026-07-31</t>
        </is>
      </c>
      <c r="B3022" s="8">
        <f>IFERROR(VLOOKUP($A3022,'01-原始价格'!$A:$M,2,FALSE),"")</f>
        <v/>
      </c>
      <c r="C3022" s="8">
        <f>IFERROR(VLOOKUP($A3022,'01-原始价格'!$A:$M,8,FALSE),"")</f>
        <v/>
      </c>
      <c r="D3022" s="10">
        <f>IFERROR(B3022/C3022,"")</f>
        <v/>
      </c>
      <c r="E3022" s="10">
        <f>IFERROR(C3022/B3022,"")</f>
        <v/>
      </c>
      <c r="F3022" s="11">
        <f>IFERROR((D3022/D3021-1)*100,"")</f>
        <v/>
      </c>
      <c r="G3022" s="11">
        <f>IFERROR((COUNTIF($D$2771:$D$3022,"&lt;"&amp;D3022)+0.5*COUNTIF($D$2771:$D$3022,D3022))/COUNT($D$2771:$D$3022)*100,"")</f>
        <v/>
      </c>
      <c r="H3022" s="10">
        <f>IFERROR(AVERAGE($D$2771:$D$3022),"")</f>
        <v/>
      </c>
      <c r="I3022" s="10" t="n">
        <v>0.7615364120175926</v>
      </c>
      <c r="J3022" t="inlineStr"/>
      <c r="K3022" t="inlineStr"/>
    </row>
    <row r="3023">
      <c r="A3023" s="7" t="inlineStr">
        <is>
          <t>2026-08-03</t>
        </is>
      </c>
      <c r="B3023" s="8">
        <f>IFERROR(VLOOKUP($A3023,'01-原始价格'!$A:$M,2,FALSE),"")</f>
        <v/>
      </c>
      <c r="C3023" s="8">
        <f>IFERROR(VLOOKUP($A3023,'01-原始价格'!$A:$M,8,FALSE),"")</f>
        <v/>
      </c>
      <c r="D3023" s="10">
        <f>IFERROR(B3023/C3023,"")</f>
        <v/>
      </c>
      <c r="E3023" s="10">
        <f>IFERROR(C3023/B3023,"")</f>
        <v/>
      </c>
      <c r="F3023" s="11">
        <f>IFERROR((D3023/D3022-1)*100,"")</f>
        <v/>
      </c>
      <c r="G3023" s="11">
        <f>IFERROR((COUNTIF($D$2772:$D$3023,"&lt;"&amp;D3023)+0.5*COUNTIF($D$2772:$D$3023,D3023))/COUNT($D$2772:$D$3023)*100,"")</f>
        <v/>
      </c>
      <c r="H3023" s="10">
        <f>IFERROR(AVERAGE($D$2772:$D$3023),"")</f>
        <v/>
      </c>
      <c r="I3023" s="10" t="n">
        <v>0.6837566941608477</v>
      </c>
      <c r="J3023" t="inlineStr"/>
      <c r="K3023" t="inlineStr"/>
    </row>
    <row r="3024">
      <c r="A3024" s="7" t="inlineStr">
        <is>
          <t>2026-08-04</t>
        </is>
      </c>
      <c r="B3024" s="8">
        <f>IFERROR(VLOOKUP($A3024,'01-原始价格'!$A:$M,2,FALSE),"")</f>
        <v/>
      </c>
      <c r="C3024" s="8">
        <f>IFERROR(VLOOKUP($A3024,'01-原始价格'!$A:$M,8,FALSE),"")</f>
        <v/>
      </c>
      <c r="D3024" s="10">
        <f>IFERROR(B3024/C3024,"")</f>
        <v/>
      </c>
      <c r="E3024" s="10">
        <f>IFERROR(C3024/B3024,"")</f>
        <v/>
      </c>
      <c r="F3024" s="11">
        <f>IFERROR((D3024/D3023-1)*100,"")</f>
        <v/>
      </c>
      <c r="G3024" s="11">
        <f>IFERROR((COUNTIF($D$2773:$D$3024,"&lt;"&amp;D3024)+0.5*COUNTIF($D$2773:$D$3024,D3024))/COUNT($D$2773:$D$3024)*100,"")</f>
        <v/>
      </c>
      <c r="H3024" s="10">
        <f>IFERROR(AVERAGE($D$2773:$D$3024),"")</f>
        <v/>
      </c>
      <c r="I3024" s="10" t="n">
        <v>0.6992412188531214</v>
      </c>
      <c r="J3024" t="inlineStr"/>
      <c r="K3024" t="inlineStr"/>
    </row>
    <row r="3025">
      <c r="A3025" s="7" t="inlineStr">
        <is>
          <t>2026-08-05</t>
        </is>
      </c>
      <c r="B3025" s="8">
        <f>IFERROR(VLOOKUP($A3025,'01-原始价格'!$A:$M,2,FALSE),"")</f>
        <v/>
      </c>
      <c r="C3025" s="8">
        <f>IFERROR(VLOOKUP($A3025,'01-原始价格'!$A:$M,8,FALSE),"")</f>
        <v/>
      </c>
      <c r="D3025" s="10">
        <f>IFERROR(B3025/C3025,"")</f>
        <v/>
      </c>
      <c r="E3025" s="10">
        <f>IFERROR(C3025/B3025,"")</f>
        <v/>
      </c>
      <c r="F3025" s="11">
        <f>IFERROR((D3025/D3024-1)*100,"")</f>
        <v/>
      </c>
      <c r="G3025" s="11">
        <f>IFERROR((COUNTIF($D$2774:$D$3025,"&lt;"&amp;D3025)+0.5*COUNTIF($D$2774:$D$3025,D3025))/COUNT($D$2774:$D$3025)*100,"")</f>
        <v/>
      </c>
      <c r="H3025" s="10">
        <f>IFERROR(AVERAGE($D$2774:$D$3025),"")</f>
        <v/>
      </c>
      <c r="I3025" s="10" t="n">
        <v>0.3073538422372779</v>
      </c>
      <c r="J3025" t="inlineStr"/>
      <c r="K3025" t="inlineStr"/>
    </row>
    <row r="3026">
      <c r="A3026" s="7" t="inlineStr">
        <is>
          <t>2026-08-06</t>
        </is>
      </c>
      <c r="B3026" s="8">
        <f>IFERROR(VLOOKUP($A3026,'01-原始价格'!$A:$M,2,FALSE),"")</f>
        <v/>
      </c>
      <c r="C3026" s="8">
        <f>IFERROR(VLOOKUP($A3026,'01-原始价格'!$A:$M,8,FALSE),"")</f>
        <v/>
      </c>
      <c r="D3026" s="10">
        <f>IFERROR(B3026/C3026,"")</f>
        <v/>
      </c>
      <c r="E3026" s="10">
        <f>IFERROR(C3026/B3026,"")</f>
        <v/>
      </c>
      <c r="F3026" s="11">
        <f>IFERROR((D3026/D3025-1)*100,"")</f>
        <v/>
      </c>
      <c r="G3026" s="11">
        <f>IFERROR((COUNTIF($D$2775:$D$3026,"&lt;"&amp;D3026)+0.5*COUNTIF($D$2775:$D$3026,D3026))/COUNT($D$2775:$D$3026)*100,"")</f>
        <v/>
      </c>
      <c r="H3026" s="10">
        <f>IFERROR(AVERAGE($D$2775:$D$3026),"")</f>
        <v/>
      </c>
      <c r="I3026" s="10" t="n">
        <v>0.05931933958623335</v>
      </c>
      <c r="J3026" t="inlineStr"/>
      <c r="K3026" t="inlineStr"/>
    </row>
    <row r="3027">
      <c r="A3027" s="7" t="inlineStr">
        <is>
          <t>2026-08-07</t>
        </is>
      </c>
      <c r="B3027" s="8">
        <f>IFERROR(VLOOKUP($A3027,'01-原始价格'!$A:$M,2,FALSE),"")</f>
        <v/>
      </c>
      <c r="C3027" s="8">
        <f>IFERROR(VLOOKUP($A3027,'01-原始价格'!$A:$M,8,FALSE),"")</f>
        <v/>
      </c>
      <c r="D3027" s="10">
        <f>IFERROR(B3027/C3027,"")</f>
        <v/>
      </c>
      <c r="E3027" s="10">
        <f>IFERROR(C3027/B3027,"")</f>
        <v/>
      </c>
      <c r="F3027" s="11">
        <f>IFERROR((D3027/D3026-1)*100,"")</f>
        <v/>
      </c>
      <c r="G3027" s="11">
        <f>IFERROR((COUNTIF($D$2776:$D$3027,"&lt;"&amp;D3027)+0.5*COUNTIF($D$2776:$D$3027,D3027))/COUNT($D$2776:$D$3027)*100,"")</f>
        <v/>
      </c>
      <c r="H3027" s="10">
        <f>IFERROR(AVERAGE($D$2776:$D$3027),"")</f>
        <v/>
      </c>
      <c r="I3027" s="10" t="n">
        <v>0.06518268646192982</v>
      </c>
      <c r="J3027" t="inlineStr"/>
      <c r="K3027" t="inlineStr"/>
    </row>
    <row r="3028">
      <c r="A3028" s="7" t="inlineStr">
        <is>
          <t>2026-08-10</t>
        </is>
      </c>
      <c r="B3028" s="8">
        <f>IFERROR(VLOOKUP($A3028,'01-原始价格'!$A:$M,2,FALSE),"")</f>
        <v/>
      </c>
      <c r="C3028" s="8">
        <f>IFERROR(VLOOKUP($A3028,'01-原始价格'!$A:$M,8,FALSE),"")</f>
        <v/>
      </c>
      <c r="D3028" s="10">
        <f>IFERROR(B3028/C3028,"")</f>
        <v/>
      </c>
      <c r="E3028" s="10">
        <f>IFERROR(C3028/B3028,"")</f>
        <v/>
      </c>
      <c r="F3028" s="11">
        <f>IFERROR((D3028/D3027-1)*100,"")</f>
        <v/>
      </c>
      <c r="G3028" s="11">
        <f>IFERROR((COUNTIF($D$2777:$D$3028,"&lt;"&amp;D3028)+0.5*COUNTIF($D$2777:$D$3028,D3028))/COUNT($D$2777:$D$3028)*100,"")</f>
        <v/>
      </c>
      <c r="H3028" s="10">
        <f>IFERROR(AVERAGE($D$2777:$D$3028),"")</f>
        <v/>
      </c>
      <c r="I3028" s="10" t="n">
        <v>0.4142018261139326</v>
      </c>
      <c r="J3028" t="inlineStr"/>
      <c r="K3028" t="inlineStr"/>
    </row>
    <row r="3029">
      <c r="A3029" s="7" t="inlineStr">
        <is>
          <t>2026-08-11</t>
        </is>
      </c>
      <c r="B3029" s="8">
        <f>IFERROR(VLOOKUP($A3029,'01-原始价格'!$A:$M,2,FALSE),"")</f>
        <v/>
      </c>
      <c r="C3029" s="8">
        <f>IFERROR(VLOOKUP($A3029,'01-原始价格'!$A:$M,8,FALSE),"")</f>
        <v/>
      </c>
      <c r="D3029" s="10">
        <f>IFERROR(B3029/C3029,"")</f>
        <v/>
      </c>
      <c r="E3029" s="10">
        <f>IFERROR(C3029/B3029,"")</f>
        <v/>
      </c>
      <c r="F3029" s="11">
        <f>IFERROR((D3029/D3028-1)*100,"")</f>
        <v/>
      </c>
      <c r="G3029" s="11">
        <f>IFERROR((COUNTIF($D$2778:$D$3029,"&lt;"&amp;D3029)+0.5*COUNTIF($D$2778:$D$3029,D3029))/COUNT($D$2778:$D$3029)*100,"")</f>
        <v/>
      </c>
      <c r="H3029" s="10">
        <f>IFERROR(AVERAGE($D$2778:$D$3029),"")</f>
        <v/>
      </c>
      <c r="I3029" s="10" t="n">
        <v>0.638991908684403</v>
      </c>
      <c r="J3029" t="inlineStr"/>
      <c r="K3029" t="inlineStr"/>
    </row>
    <row r="3030">
      <c r="A3030" s="7" t="inlineStr">
        <is>
          <t>2026-08-12</t>
        </is>
      </c>
      <c r="B3030" s="8">
        <f>IFERROR(VLOOKUP($A3030,'01-原始价格'!$A:$M,2,FALSE),"")</f>
        <v/>
      </c>
      <c r="C3030" s="8">
        <f>IFERROR(VLOOKUP($A3030,'01-原始价格'!$A:$M,8,FALSE),"")</f>
        <v/>
      </c>
      <c r="D3030" s="10">
        <f>IFERROR(B3030/C3030,"")</f>
        <v/>
      </c>
      <c r="E3030" s="10">
        <f>IFERROR(C3030/B3030,"")</f>
        <v/>
      </c>
      <c r="F3030" s="11">
        <f>IFERROR((D3030/D3029-1)*100,"")</f>
        <v/>
      </c>
      <c r="G3030" s="11">
        <f>IFERROR((COUNTIF($D$2779:$D$3030,"&lt;"&amp;D3030)+0.5*COUNTIF($D$2779:$D$3030,D3030))/COUNT($D$2779:$D$3030)*100,"")</f>
        <v/>
      </c>
      <c r="H3030" s="10">
        <f>IFERROR(AVERAGE($D$2779:$D$3030),"")</f>
        <v/>
      </c>
      <c r="I3030" s="10" t="n">
        <v>0.54603059495405</v>
      </c>
      <c r="J3030" t="inlineStr"/>
      <c r="K3030" t="inlineStr"/>
    </row>
    <row r="3031">
      <c r="A3031" s="7" t="inlineStr">
        <is>
          <t>2026-08-13</t>
        </is>
      </c>
      <c r="B3031" s="8">
        <f>IFERROR(VLOOKUP($A3031,'01-原始价格'!$A:$M,2,FALSE),"")</f>
        <v/>
      </c>
      <c r="C3031" s="8">
        <f>IFERROR(VLOOKUP($A3031,'01-原始价格'!$A:$M,8,FALSE),"")</f>
        <v/>
      </c>
      <c r="D3031" s="10">
        <f>IFERROR(B3031/C3031,"")</f>
        <v/>
      </c>
      <c r="E3031" s="10">
        <f>IFERROR(C3031/B3031,"")</f>
        <v/>
      </c>
      <c r="F3031" s="11">
        <f>IFERROR((D3031/D3030-1)*100,"")</f>
        <v/>
      </c>
      <c r="G3031" s="11">
        <f>IFERROR((COUNTIF($D$2780:$D$3031,"&lt;"&amp;D3031)+0.5*COUNTIF($D$2780:$D$3031,D3031))/COUNT($D$2780:$D$3031)*100,"")</f>
        <v/>
      </c>
      <c r="H3031" s="10">
        <f>IFERROR(AVERAGE($D$2780:$D$3031),"")</f>
        <v/>
      </c>
      <c r="I3031" s="10" t="n">
        <v>0.5089248519831882</v>
      </c>
      <c r="J3031" t="inlineStr"/>
      <c r="K3031" t="inlineStr"/>
    </row>
    <row r="3032">
      <c r="A3032" s="7" t="inlineStr">
        <is>
          <t>2026-08-14</t>
        </is>
      </c>
      <c r="B3032" s="8">
        <f>IFERROR(VLOOKUP($A3032,'01-原始价格'!$A:$M,2,FALSE),"")</f>
        <v/>
      </c>
      <c r="C3032" s="8">
        <f>IFERROR(VLOOKUP($A3032,'01-原始价格'!$A:$M,8,FALSE),"")</f>
        <v/>
      </c>
      <c r="D3032" s="10">
        <f>IFERROR(B3032/C3032,"")</f>
        <v/>
      </c>
      <c r="E3032" s="10">
        <f>IFERROR(C3032/B3032,"")</f>
        <v/>
      </c>
      <c r="F3032" s="11">
        <f>IFERROR((D3032/D3031-1)*100,"")</f>
        <v/>
      </c>
      <c r="G3032" s="11">
        <f>IFERROR((COUNTIF($D$2781:$D$3032,"&lt;"&amp;D3032)+0.5*COUNTIF($D$2781:$D$3032,D3032))/COUNT($D$2781:$D$3032)*100,"")</f>
        <v/>
      </c>
      <c r="H3032" s="10">
        <f>IFERROR(AVERAGE($D$2781:$D$3032),"")</f>
        <v/>
      </c>
      <c r="I3032" s="10" t="n">
        <v>0.4402607638574542</v>
      </c>
      <c r="J3032" t="inlineStr"/>
      <c r="K3032" t="inlineStr"/>
    </row>
    <row r="3033">
      <c r="A3033" s="7" t="inlineStr">
        <is>
          <t>2026-08-17</t>
        </is>
      </c>
      <c r="B3033" s="8">
        <f>IFERROR(VLOOKUP($A3033,'01-原始价格'!$A:$M,2,FALSE),"")</f>
        <v/>
      </c>
      <c r="C3033" s="8">
        <f>IFERROR(VLOOKUP($A3033,'01-原始价格'!$A:$M,8,FALSE),"")</f>
        <v/>
      </c>
      <c r="D3033" s="10">
        <f>IFERROR(B3033/C3033,"")</f>
        <v/>
      </c>
      <c r="E3033" s="10">
        <f>IFERROR(C3033/B3033,"")</f>
        <v/>
      </c>
      <c r="F3033" s="11">
        <f>IFERROR((D3033/D3032-1)*100,"")</f>
        <v/>
      </c>
      <c r="G3033" s="11">
        <f>IFERROR((COUNTIF($D$2782:$D$3033,"&lt;"&amp;D3033)+0.5*COUNTIF($D$2782:$D$3033,D3033))/COUNT($D$2782:$D$3033)*100,"")</f>
        <v/>
      </c>
      <c r="H3033" s="10">
        <f>IFERROR(AVERAGE($D$2782:$D$3033),"")</f>
        <v/>
      </c>
      <c r="I3033" s="10" t="n">
        <v>0.1440184160711138</v>
      </c>
      <c r="J3033" t="inlineStr"/>
      <c r="K3033" t="inlineStr"/>
    </row>
    <row r="3034">
      <c r="A3034" s="7" t="inlineStr">
        <is>
          <t>2026-08-18</t>
        </is>
      </c>
      <c r="B3034" s="8">
        <f>IFERROR(VLOOKUP($A3034,'01-原始价格'!$A:$M,2,FALSE),"")</f>
        <v/>
      </c>
      <c r="C3034" s="8">
        <f>IFERROR(VLOOKUP($A3034,'01-原始价格'!$A:$M,8,FALSE),"")</f>
        <v/>
      </c>
      <c r="D3034" s="10">
        <f>IFERROR(B3034/C3034,"")</f>
        <v/>
      </c>
      <c r="E3034" s="10">
        <f>IFERROR(C3034/B3034,"")</f>
        <v/>
      </c>
      <c r="F3034" s="11">
        <f>IFERROR((D3034/D3033-1)*100,"")</f>
        <v/>
      </c>
      <c r="G3034" s="11">
        <f>IFERROR((COUNTIF($D$2783:$D$3034,"&lt;"&amp;D3034)+0.5*COUNTIF($D$2783:$D$3034,D3034))/COUNT($D$2783:$D$3034)*100,"")</f>
        <v/>
      </c>
      <c r="H3034" s="10">
        <f>IFERROR(AVERAGE($D$2783:$D$3034),"")</f>
        <v/>
      </c>
      <c r="I3034" s="10" t="n">
        <v>-1.34189947141861</v>
      </c>
      <c r="J3034" t="inlineStr"/>
      <c r="K3034" s="12" t="inlineStr">
        <is>
          <t>是</t>
        </is>
      </c>
      <c r="L3034" t="inlineStr">
        <is>
          <t>换月日</t>
        </is>
      </c>
    </row>
    <row r="3035">
      <c r="A3035" s="7" t="inlineStr">
        <is>
          <t>2026-08-19</t>
        </is>
      </c>
      <c r="B3035" s="8">
        <f>IFERROR(VLOOKUP($A3035,'01-原始价格'!$A:$M,2,FALSE),"")</f>
        <v/>
      </c>
      <c r="C3035" s="8">
        <f>IFERROR(VLOOKUP($A3035,'01-原始价格'!$A:$M,8,FALSE),"")</f>
        <v/>
      </c>
      <c r="D3035" s="10">
        <f>IFERROR(B3035/C3035,"")</f>
        <v/>
      </c>
      <c r="E3035" s="10">
        <f>IFERROR(C3035/B3035,"")</f>
        <v/>
      </c>
      <c r="F3035" s="11">
        <f>IFERROR((D3035/D3034-1)*100,"")</f>
        <v/>
      </c>
      <c r="G3035" s="11">
        <f>IFERROR((COUNTIF($D$2784:$D$3035,"&lt;"&amp;D3035)+0.5*COUNTIF($D$2784:$D$3035,D3035))/COUNT($D$2784:$D$3035)*100,"")</f>
        <v/>
      </c>
      <c r="H3035" s="10">
        <f>IFERROR(AVERAGE($D$2784:$D$3035),"")</f>
        <v/>
      </c>
      <c r="I3035" s="10" t="n">
        <v>-1.29900469801358</v>
      </c>
      <c r="J3035" t="inlineStr"/>
      <c r="K3035" t="inlineStr"/>
    </row>
    <row r="3036">
      <c r="A3036" s="7" t="inlineStr">
        <is>
          <t>2026-08-20</t>
        </is>
      </c>
      <c r="B3036" s="8">
        <f>IFERROR(VLOOKUP($A3036,'01-原始价格'!$A:$M,2,FALSE),"")</f>
        <v/>
      </c>
      <c r="C3036" s="8">
        <f>IFERROR(VLOOKUP($A3036,'01-原始价格'!$A:$M,8,FALSE),"")</f>
        <v/>
      </c>
      <c r="D3036" s="10">
        <f>IFERROR(B3036/C3036,"")</f>
        <v/>
      </c>
      <c r="E3036" s="10">
        <f>IFERROR(C3036/B3036,"")</f>
        <v/>
      </c>
      <c r="F3036" s="11">
        <f>IFERROR((D3036/D3035-1)*100,"")</f>
        <v/>
      </c>
      <c r="G3036" s="11">
        <f>IFERROR((COUNTIF($D$2785:$D$3036,"&lt;"&amp;D3036)+0.5*COUNTIF($D$2785:$D$3036,D3036))/COUNT($D$2785:$D$3036)*100,"")</f>
        <v/>
      </c>
      <c r="H3036" s="10">
        <f>IFERROR(AVERAGE($D$2785:$D$3036),"")</f>
        <v/>
      </c>
      <c r="I3036" s="10" t="n">
        <v>-1.13928661677616</v>
      </c>
      <c r="J3036" t="inlineStr"/>
      <c r="K3036" t="inlineStr"/>
    </row>
    <row r="3037">
      <c r="A3037" s="7" t="inlineStr">
        <is>
          <t>2026-08-21</t>
        </is>
      </c>
      <c r="B3037" s="8">
        <f>IFERROR(VLOOKUP($A3037,'01-原始价格'!$A:$M,2,FALSE),"")</f>
        <v/>
      </c>
      <c r="C3037" s="8">
        <f>IFERROR(VLOOKUP($A3037,'01-原始价格'!$A:$M,8,FALSE),"")</f>
        <v/>
      </c>
      <c r="D3037" s="10">
        <f>IFERROR(B3037/C3037,"")</f>
        <v/>
      </c>
      <c r="E3037" s="10">
        <f>IFERROR(C3037/B3037,"")</f>
        <v/>
      </c>
      <c r="F3037" s="11">
        <f>IFERROR((D3037/D3036-1)*100,"")</f>
        <v/>
      </c>
      <c r="G3037" s="11">
        <f>IFERROR((COUNTIF($D$2786:$D$3037,"&lt;"&amp;D3037)+0.5*COUNTIF($D$2786:$D$3037,D3037))/COUNT($D$2786:$D$3037)*100,"")</f>
        <v/>
      </c>
      <c r="H3037" s="10">
        <f>IFERROR(AVERAGE($D$2786:$D$3037),"")</f>
        <v/>
      </c>
      <c r="I3037" s="10" t="n">
        <v>-0.8747089433949543</v>
      </c>
      <c r="J3037" t="inlineStr"/>
      <c r="K3037" t="inlineStr"/>
    </row>
    <row r="3038">
      <c r="A3038" s="7" t="inlineStr">
        <is>
          <t>2026-08-24</t>
        </is>
      </c>
      <c r="B3038" s="8">
        <f>IFERROR(VLOOKUP($A3038,'01-原始价格'!$A:$M,2,FALSE),"")</f>
        <v/>
      </c>
      <c r="C3038" s="8">
        <f>IFERROR(VLOOKUP($A3038,'01-原始价格'!$A:$M,8,FALSE),"")</f>
        <v/>
      </c>
      <c r="D3038" s="10">
        <f>IFERROR(B3038/C3038,"")</f>
        <v/>
      </c>
      <c r="E3038" s="10">
        <f>IFERROR(C3038/B3038,"")</f>
        <v/>
      </c>
      <c r="F3038" s="11">
        <f>IFERROR((D3038/D3037-1)*100,"")</f>
        <v/>
      </c>
      <c r="G3038" s="11">
        <f>IFERROR((COUNTIF($D$2787:$D$3038,"&lt;"&amp;D3038)+0.5*COUNTIF($D$2787:$D$3038,D3038))/COUNT($D$2787:$D$3038)*100,"")</f>
        <v/>
      </c>
      <c r="H3038" s="10">
        <f>IFERROR(AVERAGE($D$2787:$D$3038),"")</f>
        <v/>
      </c>
      <c r="I3038" s="10" t="n">
        <v>-0.5187286220935104</v>
      </c>
      <c r="J3038" t="inlineStr"/>
      <c r="K3038" t="inlineStr"/>
    </row>
    <row r="3039">
      <c r="A3039" s="7" t="inlineStr">
        <is>
          <t>2026-08-25</t>
        </is>
      </c>
      <c r="B3039" s="8">
        <f>IFERROR(VLOOKUP($A3039,'01-原始价格'!$A:$M,2,FALSE),"")</f>
        <v/>
      </c>
      <c r="C3039" s="8">
        <f>IFERROR(VLOOKUP($A3039,'01-原始价格'!$A:$M,8,FALSE),"")</f>
        <v/>
      </c>
      <c r="D3039" s="10">
        <f>IFERROR(B3039/C3039,"")</f>
        <v/>
      </c>
      <c r="E3039" s="10">
        <f>IFERROR(C3039/B3039,"")</f>
        <v/>
      </c>
      <c r="F3039" s="11">
        <f>IFERROR((D3039/D3038-1)*100,"")</f>
        <v/>
      </c>
      <c r="G3039" s="11">
        <f>IFERROR((COUNTIF($D$2788:$D$3039,"&lt;"&amp;D3039)+0.5*COUNTIF($D$2788:$D$3039,D3039))/COUNT($D$2788:$D$3039)*100,"")</f>
        <v/>
      </c>
      <c r="H3039" s="10">
        <f>IFERROR(AVERAGE($D$2788:$D$3039),"")</f>
        <v/>
      </c>
      <c r="I3039" s="10" t="n">
        <v>-0.6894172244683457</v>
      </c>
      <c r="J3039" t="inlineStr"/>
      <c r="K3039" t="inlineStr"/>
    </row>
    <row r="3040">
      <c r="A3040" s="7" t="inlineStr">
        <is>
          <t>2026-08-26</t>
        </is>
      </c>
      <c r="B3040" s="8">
        <f>IFERROR(VLOOKUP($A3040,'01-原始价格'!$A:$M,2,FALSE),"")</f>
        <v/>
      </c>
      <c r="C3040" s="8">
        <f>IFERROR(VLOOKUP($A3040,'01-原始价格'!$A:$M,8,FALSE),"")</f>
        <v/>
      </c>
      <c r="D3040" s="10">
        <f>IFERROR(B3040/C3040,"")</f>
        <v/>
      </c>
      <c r="E3040" s="10">
        <f>IFERROR(C3040/B3040,"")</f>
        <v/>
      </c>
      <c r="F3040" s="11">
        <f>IFERROR((D3040/D3039-1)*100,"")</f>
        <v/>
      </c>
      <c r="G3040" s="11">
        <f>IFERROR((COUNTIF($D$2789:$D$3040,"&lt;"&amp;D3040)+0.5*COUNTIF($D$2789:$D$3040,D3040))/COUNT($D$2789:$D$3040)*100,"")</f>
        <v/>
      </c>
      <c r="H3040" s="10">
        <f>IFERROR(AVERAGE($D$2789:$D$3040),"")</f>
        <v/>
      </c>
      <c r="I3040" s="10" t="n">
        <v>-1.089998081985006</v>
      </c>
      <c r="J3040" t="inlineStr"/>
      <c r="K3040" t="inlineStr"/>
    </row>
    <row r="3041">
      <c r="A3041" s="7" t="inlineStr">
        <is>
          <t>2026-08-27</t>
        </is>
      </c>
      <c r="B3041" s="8">
        <f>IFERROR(VLOOKUP($A3041,'01-原始价格'!$A:$M,2,FALSE),"")</f>
        <v/>
      </c>
      <c r="C3041" s="8">
        <f>IFERROR(VLOOKUP($A3041,'01-原始价格'!$A:$M,8,FALSE),"")</f>
        <v/>
      </c>
      <c r="D3041" s="10">
        <f>IFERROR(B3041/C3041,"")</f>
        <v/>
      </c>
      <c r="E3041" s="10">
        <f>IFERROR(C3041/B3041,"")</f>
        <v/>
      </c>
      <c r="F3041" s="11">
        <f>IFERROR((D3041/D3040-1)*100,"")</f>
        <v/>
      </c>
      <c r="G3041" s="11">
        <f>IFERROR((COUNTIF($D$2790:$D$3041,"&lt;"&amp;D3041)+0.5*COUNTIF($D$2790:$D$3041,D3041))/COUNT($D$2790:$D$3041)*100,"")</f>
        <v/>
      </c>
      <c r="H3041" s="10">
        <f>IFERROR(AVERAGE($D$2790:$D$3041),"")</f>
        <v/>
      </c>
      <c r="I3041" s="10" t="n">
        <v>-0.8519865011039742</v>
      </c>
      <c r="J3041" t="inlineStr"/>
      <c r="K3041" t="inlineStr"/>
    </row>
    <row r="3042">
      <c r="A3042" s="7" t="inlineStr">
        <is>
          <t>2026-08-28</t>
        </is>
      </c>
      <c r="B3042" s="8">
        <f>IFERROR(VLOOKUP($A3042,'01-原始价格'!$A:$M,2,FALSE),"")</f>
        <v/>
      </c>
      <c r="C3042" s="8">
        <f>IFERROR(VLOOKUP($A3042,'01-原始价格'!$A:$M,8,FALSE),"")</f>
        <v/>
      </c>
      <c r="D3042" s="10">
        <f>IFERROR(B3042/C3042,"")</f>
        <v/>
      </c>
      <c r="E3042" s="10">
        <f>IFERROR(C3042/B3042,"")</f>
        <v/>
      </c>
      <c r="F3042" s="11">
        <f>IFERROR((D3042/D3041-1)*100,"")</f>
        <v/>
      </c>
      <c r="G3042" s="11">
        <f>IFERROR((COUNTIF($D$2791:$D$3042,"&lt;"&amp;D3042)+0.5*COUNTIF($D$2791:$D$3042,D3042))/COUNT($D$2791:$D$3042)*100,"")</f>
        <v/>
      </c>
      <c r="H3042" s="10">
        <f>IFERROR(AVERAGE($D$2791:$D$3042),"")</f>
        <v/>
      </c>
      <c r="I3042" s="10" t="n">
        <v>-0.8132458376371922</v>
      </c>
      <c r="J3042" t="inlineStr"/>
      <c r="K3042" t="inlineStr"/>
    </row>
    <row r="3043">
      <c r="A3043" s="7" t="inlineStr">
        <is>
          <t>2026-08-31</t>
        </is>
      </c>
      <c r="B3043" s="8">
        <f>IFERROR(VLOOKUP($A3043,'01-原始价格'!$A:$M,2,FALSE),"")</f>
        <v/>
      </c>
      <c r="C3043" s="8">
        <f>IFERROR(VLOOKUP($A3043,'01-原始价格'!$A:$M,8,FALSE),"")</f>
        <v/>
      </c>
      <c r="D3043" s="10">
        <f>IFERROR(B3043/C3043,"")</f>
        <v/>
      </c>
      <c r="E3043" s="10">
        <f>IFERROR(C3043/B3043,"")</f>
        <v/>
      </c>
      <c r="F3043" s="11">
        <f>IFERROR((D3043/D3042-1)*100,"")</f>
        <v/>
      </c>
      <c r="G3043" s="11">
        <f>IFERROR((COUNTIF($D$2792:$D$3043,"&lt;"&amp;D3043)+0.5*COUNTIF($D$2792:$D$3043,D3043))/COUNT($D$2792:$D$3043)*100,"")</f>
        <v/>
      </c>
      <c r="H3043" s="10">
        <f>IFERROR(AVERAGE($D$2792:$D$3043),"")</f>
        <v/>
      </c>
      <c r="I3043" s="10" t="n">
        <v>-0.8754847985656765</v>
      </c>
      <c r="J3043" t="inlineStr"/>
      <c r="K3043" t="inlineStr"/>
    </row>
    <row r="3044">
      <c r="A3044" s="7" t="inlineStr">
        <is>
          <t>2026-09-01</t>
        </is>
      </c>
      <c r="B3044" s="8">
        <f>IFERROR(VLOOKUP($A3044,'01-原始价格'!$A:$M,2,FALSE),"")</f>
        <v/>
      </c>
      <c r="C3044" s="8">
        <f>IFERROR(VLOOKUP($A3044,'01-原始价格'!$A:$M,8,FALSE),"")</f>
        <v/>
      </c>
      <c r="D3044" s="10">
        <f>IFERROR(B3044/C3044,"")</f>
        <v/>
      </c>
      <c r="E3044" s="10">
        <f>IFERROR(C3044/B3044,"")</f>
        <v/>
      </c>
      <c r="F3044" s="11">
        <f>IFERROR((D3044/D3043-1)*100,"")</f>
        <v/>
      </c>
      <c r="G3044" s="11">
        <f>IFERROR((COUNTIF($D$2793:$D$3044,"&lt;"&amp;D3044)+0.5*COUNTIF($D$2793:$D$3044,D3044))/COUNT($D$2793:$D$3044)*100,"")</f>
        <v/>
      </c>
      <c r="H3044" s="10">
        <f>IFERROR(AVERAGE($D$2793:$D$3044),"")</f>
        <v/>
      </c>
      <c r="I3044" s="10" t="n">
        <v>-1.035707685496894</v>
      </c>
      <c r="J3044" t="inlineStr"/>
      <c r="K3044" t="inlineStr"/>
    </row>
    <row r="3045">
      <c r="A3045" s="7" t="inlineStr">
        <is>
          <t>2026-09-02</t>
        </is>
      </c>
      <c r="B3045" s="8">
        <f>IFERROR(VLOOKUP($A3045,'01-原始价格'!$A:$M,2,FALSE),"")</f>
        <v/>
      </c>
      <c r="C3045" s="8">
        <f>IFERROR(VLOOKUP($A3045,'01-原始价格'!$A:$M,8,FALSE),"")</f>
        <v/>
      </c>
      <c r="D3045" s="10">
        <f>IFERROR(B3045/C3045,"")</f>
        <v/>
      </c>
      <c r="E3045" s="10">
        <f>IFERROR(C3045/B3045,"")</f>
        <v/>
      </c>
      <c r="F3045" s="11">
        <f>IFERROR((D3045/D3044-1)*100,"")</f>
        <v/>
      </c>
      <c r="G3045" s="11">
        <f>IFERROR((COUNTIF($D$2794:$D$3045,"&lt;"&amp;D3045)+0.5*COUNTIF($D$2794:$D$3045,D3045))/COUNT($D$2794:$D$3045)*100,"")</f>
        <v/>
      </c>
      <c r="H3045" s="10">
        <f>IFERROR(AVERAGE($D$2794:$D$3045),"")</f>
        <v/>
      </c>
      <c r="I3045" s="10" t="n">
        <v>-0.9543071528154263</v>
      </c>
      <c r="J3045" t="inlineStr"/>
      <c r="K3045" t="inlineStr"/>
    </row>
    <row r="3046">
      <c r="A3046" s="7" t="inlineStr">
        <is>
          <t>2026-09-03</t>
        </is>
      </c>
      <c r="B3046" s="8">
        <f>IFERROR(VLOOKUP($A3046,'01-原始价格'!$A:$M,2,FALSE),"")</f>
        <v/>
      </c>
      <c r="C3046" s="8">
        <f>IFERROR(VLOOKUP($A3046,'01-原始价格'!$A:$M,8,FALSE),"")</f>
        <v/>
      </c>
      <c r="D3046" s="10">
        <f>IFERROR(B3046/C3046,"")</f>
        <v/>
      </c>
      <c r="E3046" s="10">
        <f>IFERROR(C3046/B3046,"")</f>
        <v/>
      </c>
      <c r="F3046" s="11">
        <f>IFERROR((D3046/D3045-1)*100,"")</f>
        <v/>
      </c>
      <c r="G3046" s="11">
        <f>IFERROR((COUNTIF($D$2795:$D$3046,"&lt;"&amp;D3046)+0.5*COUNTIF($D$2795:$D$3046,D3046))/COUNT($D$2795:$D$3046)*100,"")</f>
        <v/>
      </c>
      <c r="H3046" s="10">
        <f>IFERROR(AVERAGE($D$2795:$D$3046),"")</f>
        <v/>
      </c>
      <c r="I3046" s="10" t="n">
        <v>-1.177065862126672</v>
      </c>
      <c r="J3046" t="inlineStr"/>
      <c r="K3046" t="inlineStr"/>
    </row>
    <row r="3047">
      <c r="A3047" s="7" t="inlineStr">
        <is>
          <t>2026-09-04</t>
        </is>
      </c>
      <c r="B3047" s="8">
        <f>IFERROR(VLOOKUP($A3047,'01-原始价格'!$A:$M,2,FALSE),"")</f>
        <v/>
      </c>
      <c r="C3047" s="8">
        <f>IFERROR(VLOOKUP($A3047,'01-原始价格'!$A:$M,8,FALSE),"")</f>
        <v/>
      </c>
      <c r="D3047" s="10">
        <f>IFERROR(B3047/C3047,"")</f>
        <v/>
      </c>
      <c r="E3047" s="10">
        <f>IFERROR(C3047/B3047,"")</f>
        <v/>
      </c>
      <c r="F3047" s="11">
        <f>IFERROR((D3047/D3046-1)*100,"")</f>
        <v/>
      </c>
      <c r="G3047" s="11">
        <f>IFERROR((COUNTIF($D$2796:$D$3047,"&lt;"&amp;D3047)+0.5*COUNTIF($D$2796:$D$3047,D3047))/COUNT($D$2796:$D$3047)*100,"")</f>
        <v/>
      </c>
      <c r="H3047" s="10">
        <f>IFERROR(AVERAGE($D$2796:$D$3047),"")</f>
        <v/>
      </c>
      <c r="I3047" s="10" t="n">
        <v>-1.190868419844043</v>
      </c>
      <c r="J3047" t="inlineStr"/>
      <c r="K3047" t="inlineStr"/>
    </row>
    <row r="3048">
      <c r="A3048" s="7" t="inlineStr">
        <is>
          <t>2026-09-07</t>
        </is>
      </c>
      <c r="B3048" s="8">
        <f>IFERROR(VLOOKUP($A3048,'01-原始价格'!$A:$M,2,FALSE),"")</f>
        <v/>
      </c>
      <c r="C3048" s="8">
        <f>IFERROR(VLOOKUP($A3048,'01-原始价格'!$A:$M,8,FALSE),"")</f>
        <v/>
      </c>
      <c r="D3048" s="10">
        <f>IFERROR(B3048/C3048,"")</f>
        <v/>
      </c>
      <c r="E3048" s="10">
        <f>IFERROR(C3048/B3048,"")</f>
        <v/>
      </c>
      <c r="F3048" s="11">
        <f>IFERROR((D3048/D3047-1)*100,"")</f>
        <v/>
      </c>
      <c r="G3048" s="11">
        <f>IFERROR((COUNTIF($D$2797:$D$3048,"&lt;"&amp;D3048)+0.5*COUNTIF($D$2797:$D$3048,D3048))/COUNT($D$2797:$D$3048)*100,"")</f>
        <v/>
      </c>
      <c r="H3048" s="10">
        <f>IFERROR(AVERAGE($D$2797:$D$3048),"")</f>
        <v/>
      </c>
      <c r="I3048" s="10" t="n">
        <v>-0.95298387235768</v>
      </c>
      <c r="J3048" t="inlineStr"/>
      <c r="K3048" t="inlineStr"/>
    </row>
    <row r="3049">
      <c r="A3049" s="7" t="inlineStr">
        <is>
          <t>2026-09-08</t>
        </is>
      </c>
      <c r="B3049" s="8">
        <f>IFERROR(VLOOKUP($A3049,'01-原始价格'!$A:$M,2,FALSE),"")</f>
        <v/>
      </c>
      <c r="C3049" s="8">
        <f>IFERROR(VLOOKUP($A3049,'01-原始价格'!$A:$M,8,FALSE),"")</f>
        <v/>
      </c>
      <c r="D3049" s="10">
        <f>IFERROR(B3049/C3049,"")</f>
        <v/>
      </c>
      <c r="E3049" s="10">
        <f>IFERROR(C3049/B3049,"")</f>
        <v/>
      </c>
      <c r="F3049" s="11">
        <f>IFERROR((D3049/D3048-1)*100,"")</f>
        <v/>
      </c>
      <c r="G3049" s="11">
        <f>IFERROR((COUNTIF($D$2798:$D$3049,"&lt;"&amp;D3049)+0.5*COUNTIF($D$2798:$D$3049,D3049))/COUNT($D$2798:$D$3049)*100,"")</f>
        <v/>
      </c>
      <c r="H3049" s="10">
        <f>IFERROR(AVERAGE($D$2798:$D$3049),"")</f>
        <v/>
      </c>
      <c r="I3049" s="10" t="n">
        <v>-0.8307429167735797</v>
      </c>
      <c r="J3049" t="inlineStr"/>
      <c r="K3049" t="inlineStr"/>
    </row>
    <row r="3050">
      <c r="A3050" s="7" t="inlineStr">
        <is>
          <t>2026-09-09</t>
        </is>
      </c>
      <c r="B3050" s="8">
        <f>IFERROR(VLOOKUP($A3050,'01-原始价格'!$A:$M,2,FALSE),"")</f>
        <v/>
      </c>
      <c r="C3050" s="8">
        <f>IFERROR(VLOOKUP($A3050,'01-原始价格'!$A:$M,8,FALSE),"")</f>
        <v/>
      </c>
      <c r="D3050" s="10">
        <f>IFERROR(B3050/C3050,"")</f>
        <v/>
      </c>
      <c r="E3050" s="10">
        <f>IFERROR(C3050/B3050,"")</f>
        <v/>
      </c>
      <c r="F3050" s="11">
        <f>IFERROR((D3050/D3049-1)*100,"")</f>
        <v/>
      </c>
      <c r="G3050" s="11">
        <f>IFERROR((COUNTIF($D$2799:$D$3050,"&lt;"&amp;D3050)+0.5*COUNTIF($D$2799:$D$3050,D3050))/COUNT($D$2799:$D$3050)*100,"")</f>
        <v/>
      </c>
      <c r="H3050" s="10">
        <f>IFERROR(AVERAGE($D$2799:$D$3050),"")</f>
        <v/>
      </c>
      <c r="I3050" s="10" t="n">
        <v>-0.7861648275035886</v>
      </c>
      <c r="J3050" t="inlineStr"/>
      <c r="K3050" t="inlineStr"/>
    </row>
    <row r="3051">
      <c r="A3051" s="7" t="inlineStr">
        <is>
          <t>2026-09-10</t>
        </is>
      </c>
      <c r="B3051" s="8">
        <f>IFERROR(VLOOKUP($A3051,'01-原始价格'!$A:$M,2,FALSE),"")</f>
        <v/>
      </c>
      <c r="C3051" s="8">
        <f>IFERROR(VLOOKUP($A3051,'01-原始价格'!$A:$M,8,FALSE),"")</f>
        <v/>
      </c>
      <c r="D3051" s="10">
        <f>IFERROR(B3051/C3051,"")</f>
        <v/>
      </c>
      <c r="E3051" s="10">
        <f>IFERROR(C3051/B3051,"")</f>
        <v/>
      </c>
      <c r="F3051" s="11">
        <f>IFERROR((D3051/D3050-1)*100,"")</f>
        <v/>
      </c>
      <c r="G3051" s="11">
        <f>IFERROR((COUNTIF($D$2800:$D$3051,"&lt;"&amp;D3051)+0.5*COUNTIF($D$2800:$D$3051,D3051))/COUNT($D$2800:$D$3051)*100,"")</f>
        <v/>
      </c>
      <c r="H3051" s="10">
        <f>IFERROR(AVERAGE($D$2800:$D$3051),"")</f>
        <v/>
      </c>
      <c r="I3051" s="10" t="n">
        <v>-0.5535134652928577</v>
      </c>
      <c r="J3051" t="inlineStr"/>
      <c r="K3051" t="inlineStr"/>
    </row>
    <row r="3052">
      <c r="A3052" s="7" t="inlineStr">
        <is>
          <t>2026-09-11</t>
        </is>
      </c>
      <c r="B3052" s="8">
        <f>IFERROR(VLOOKUP($A3052,'01-原始价格'!$A:$M,2,FALSE),"")</f>
        <v/>
      </c>
      <c r="C3052" s="8">
        <f>IFERROR(VLOOKUP($A3052,'01-原始价格'!$A:$M,8,FALSE),"")</f>
        <v/>
      </c>
      <c r="D3052" s="10">
        <f>IFERROR(B3052/C3052,"")</f>
        <v/>
      </c>
      <c r="E3052" s="10">
        <f>IFERROR(C3052/B3052,"")</f>
        <v/>
      </c>
      <c r="F3052" s="11">
        <f>IFERROR((D3052/D3051-1)*100,"")</f>
        <v/>
      </c>
      <c r="G3052" s="11">
        <f>IFERROR((COUNTIF($D$2801:$D$3052,"&lt;"&amp;D3052)+0.5*COUNTIF($D$2801:$D$3052,D3052))/COUNT($D$2801:$D$3052)*100,"")</f>
        <v/>
      </c>
      <c r="H3052" s="10">
        <f>IFERROR(AVERAGE($D$2801:$D$3052),"")</f>
        <v/>
      </c>
      <c r="I3052" s="10" t="n">
        <v>-0.8914007768834559</v>
      </c>
      <c r="J3052" t="inlineStr"/>
      <c r="K3052" t="inlineStr"/>
    </row>
    <row r="3053">
      <c r="A3053" s="7" t="inlineStr">
        <is>
          <t>2026-09-14</t>
        </is>
      </c>
      <c r="B3053" s="8">
        <f>IFERROR(VLOOKUP($A3053,'01-原始价格'!$A:$M,2,FALSE),"")</f>
        <v/>
      </c>
      <c r="C3053" s="8">
        <f>IFERROR(VLOOKUP($A3053,'01-原始价格'!$A:$M,8,FALSE),"")</f>
        <v/>
      </c>
      <c r="D3053" s="10">
        <f>IFERROR(B3053/C3053,"")</f>
        <v/>
      </c>
      <c r="E3053" s="10">
        <f>IFERROR(C3053/B3053,"")</f>
        <v/>
      </c>
      <c r="F3053" s="11">
        <f>IFERROR((D3053/D3052-1)*100,"")</f>
        <v/>
      </c>
      <c r="G3053" s="11">
        <f>IFERROR((COUNTIF($D$2802:$D$3053,"&lt;"&amp;D3053)+0.5*COUNTIF($D$2802:$D$3053,D3053))/COUNT($D$2802:$D$3053)*100,"")</f>
        <v/>
      </c>
      <c r="H3053" s="10">
        <f>IFERROR(AVERAGE($D$2802:$D$3053),"")</f>
        <v/>
      </c>
      <c r="I3053" s="10" t="n">
        <v>-0.8294529012965964</v>
      </c>
      <c r="J3053" t="inlineStr"/>
      <c r="K3053" t="inlineStr"/>
    </row>
    <row r="3054">
      <c r="A3054" s="7" t="inlineStr">
        <is>
          <t>2026-09-15</t>
        </is>
      </c>
      <c r="B3054" s="8">
        <f>IFERROR(VLOOKUP($A3054,'01-原始价格'!$A:$M,2,FALSE),"")</f>
        <v/>
      </c>
      <c r="C3054" s="8">
        <f>IFERROR(VLOOKUP($A3054,'01-原始价格'!$A:$M,8,FALSE),"")</f>
        <v/>
      </c>
      <c r="D3054" s="10">
        <f>IFERROR(B3054/C3054,"")</f>
        <v/>
      </c>
      <c r="E3054" s="10">
        <f>IFERROR(C3054/B3054,"")</f>
        <v/>
      </c>
      <c r="F3054" s="11">
        <f>IFERROR((D3054/D3053-1)*100,"")</f>
        <v/>
      </c>
      <c r="G3054" s="11">
        <f>IFERROR((COUNTIF($D$2803:$D$3054,"&lt;"&amp;D3054)+0.5*COUNTIF($D$2803:$D$3054,D3054))/COUNT($D$2803:$D$3054)*100,"")</f>
        <v/>
      </c>
      <c r="H3054" s="10">
        <f>IFERROR(AVERAGE($D$2803:$D$3054),"")</f>
        <v/>
      </c>
      <c r="I3054" s="10" t="n">
        <v>-0.6451927352383386</v>
      </c>
      <c r="J3054" t="inlineStr"/>
      <c r="K3054" t="inlineStr"/>
    </row>
    <row r="3055">
      <c r="A3055" s="7" t="inlineStr">
        <is>
          <t>2026-09-16</t>
        </is>
      </c>
      <c r="B3055" s="8">
        <f>IFERROR(VLOOKUP($A3055,'01-原始价格'!$A:$M,2,FALSE),"")</f>
        <v/>
      </c>
      <c r="C3055" s="8">
        <f>IFERROR(VLOOKUP($A3055,'01-原始价格'!$A:$M,8,FALSE),"")</f>
        <v/>
      </c>
      <c r="D3055" s="10">
        <f>IFERROR(B3055/C3055,"")</f>
        <v/>
      </c>
      <c r="E3055" s="10">
        <f>IFERROR(C3055/B3055,"")</f>
        <v/>
      </c>
      <c r="F3055" s="11">
        <f>IFERROR((D3055/D3054-1)*100,"")</f>
        <v/>
      </c>
      <c r="G3055" s="11">
        <f>IFERROR((COUNTIF($D$2804:$D$3055,"&lt;"&amp;D3055)+0.5*COUNTIF($D$2804:$D$3055,D3055))/COUNT($D$2804:$D$3055)*100,"")</f>
        <v/>
      </c>
      <c r="H3055" s="10">
        <f>IFERROR(AVERAGE($D$2804:$D$3055),"")</f>
        <v/>
      </c>
      <c r="I3055" s="10" t="n">
        <v>-0.3605806482253939</v>
      </c>
      <c r="J3055" t="inlineStr"/>
      <c r="K3055" t="inlineStr"/>
    </row>
    <row r="3056">
      <c r="A3056" s="7" t="inlineStr">
        <is>
          <t>2026-09-17</t>
        </is>
      </c>
      <c r="B3056" s="8">
        <f>IFERROR(VLOOKUP($A3056,'01-原始价格'!$A:$M,2,FALSE),"")</f>
        <v/>
      </c>
      <c r="C3056" s="8">
        <f>IFERROR(VLOOKUP($A3056,'01-原始价格'!$A:$M,8,FALSE),"")</f>
        <v/>
      </c>
      <c r="D3056" s="10">
        <f>IFERROR(B3056/C3056,"")</f>
        <v/>
      </c>
      <c r="E3056" s="10">
        <f>IFERROR(C3056/B3056,"")</f>
        <v/>
      </c>
      <c r="F3056" s="11">
        <f>IFERROR((D3056/D3055-1)*100,"")</f>
        <v/>
      </c>
      <c r="G3056" s="11">
        <f>IFERROR((COUNTIF($D$2805:$D$3056,"&lt;"&amp;D3056)+0.5*COUNTIF($D$2805:$D$3056,D3056))/COUNT($D$2805:$D$3056)*100,"")</f>
        <v/>
      </c>
      <c r="H3056" s="10">
        <f>IFERROR(AVERAGE($D$2805:$D$3056),"")</f>
        <v/>
      </c>
      <c r="I3056" s="10" t="n">
        <v>-0.5329516845299589</v>
      </c>
      <c r="J3056" t="inlineStr"/>
      <c r="K3056" t="inlineStr"/>
    </row>
    <row r="3057">
      <c r="A3057" s="7" t="inlineStr">
        <is>
          <t>2026-09-18</t>
        </is>
      </c>
      <c r="B3057" s="8">
        <f>IFERROR(VLOOKUP($A3057,'01-原始价格'!$A:$M,2,FALSE),"")</f>
        <v/>
      </c>
      <c r="C3057" s="8">
        <f>IFERROR(VLOOKUP($A3057,'01-原始价格'!$A:$M,8,FALSE),"")</f>
        <v/>
      </c>
      <c r="D3057" s="10">
        <f>IFERROR(B3057/C3057,"")</f>
        <v/>
      </c>
      <c r="E3057" s="10">
        <f>IFERROR(C3057/B3057,"")</f>
        <v/>
      </c>
      <c r="F3057" s="11">
        <f>IFERROR((D3057/D3056-1)*100,"")</f>
        <v/>
      </c>
      <c r="G3057" s="11">
        <f>IFERROR((COUNTIF($D$2806:$D$3057,"&lt;"&amp;D3057)+0.5*COUNTIF($D$2806:$D$3057,D3057))/COUNT($D$2806:$D$3057)*100,"")</f>
        <v/>
      </c>
      <c r="H3057" s="10">
        <f>IFERROR(AVERAGE($D$2806:$D$3057),"")</f>
        <v/>
      </c>
      <c r="I3057" s="10" t="n">
        <v>-0.6311034316347111</v>
      </c>
      <c r="J3057" t="inlineStr"/>
      <c r="K3057" t="inlineStr"/>
    </row>
    <row r="3058">
      <c r="A3058" s="7" t="inlineStr">
        <is>
          <t>2026-09-21</t>
        </is>
      </c>
      <c r="B3058" s="8">
        <f>IFERROR(VLOOKUP($A3058,'01-原始价格'!$A:$M,2,FALSE),"")</f>
        <v/>
      </c>
      <c r="C3058" s="8">
        <f>IFERROR(VLOOKUP($A3058,'01-原始价格'!$A:$M,8,FALSE),"")</f>
        <v/>
      </c>
      <c r="D3058" s="10">
        <f>IFERROR(B3058/C3058,"")</f>
        <v/>
      </c>
      <c r="E3058" s="10">
        <f>IFERROR(C3058/B3058,"")</f>
        <v/>
      </c>
      <c r="F3058" s="11">
        <f>IFERROR((D3058/D3057-1)*100,"")</f>
        <v/>
      </c>
      <c r="G3058" s="11">
        <f>IFERROR((COUNTIF($D$2807:$D$3058,"&lt;"&amp;D3058)+0.5*COUNTIF($D$2807:$D$3058,D3058))/COUNT($D$2807:$D$3058)*100,"")</f>
        <v/>
      </c>
      <c r="H3058" s="10">
        <f>IFERROR(AVERAGE($D$2807:$D$3058),"")</f>
        <v/>
      </c>
      <c r="I3058" s="10" t="n">
        <v>-0.7167913868459009</v>
      </c>
      <c r="J3058" t="inlineStr"/>
      <c r="K3058" t="inlineStr"/>
    </row>
    <row r="3059">
      <c r="A3059" s="7" t="inlineStr">
        <is>
          <t>2026-09-22</t>
        </is>
      </c>
      <c r="B3059" s="8">
        <f>IFERROR(VLOOKUP($A3059,'01-原始价格'!$A:$M,2,FALSE),"")</f>
        <v/>
      </c>
      <c r="C3059" s="8">
        <f>IFERROR(VLOOKUP($A3059,'01-原始价格'!$A:$M,8,FALSE),"")</f>
        <v/>
      </c>
      <c r="D3059" s="10">
        <f>IFERROR(B3059/C3059,"")</f>
        <v/>
      </c>
      <c r="E3059" s="10">
        <f>IFERROR(C3059/B3059,"")</f>
        <v/>
      </c>
      <c r="F3059" s="11">
        <f>IFERROR((D3059/D3058-1)*100,"")</f>
        <v/>
      </c>
      <c r="G3059" s="11">
        <f>IFERROR((COUNTIF($D$2808:$D$3059,"&lt;"&amp;D3059)+0.5*COUNTIF($D$2808:$D$3059,D3059))/COUNT($D$2808:$D$3059)*100,"")</f>
        <v/>
      </c>
      <c r="H3059" s="10">
        <f>IFERROR(AVERAGE($D$2808:$D$3059),"")</f>
        <v/>
      </c>
      <c r="I3059" s="10" t="n">
        <v>-0.5866674258705985</v>
      </c>
      <c r="J3059" t="inlineStr"/>
      <c r="K3059" t="inlineStr"/>
    </row>
    <row r="3060">
      <c r="A3060" s="7" t="inlineStr">
        <is>
          <t>2026-09-23</t>
        </is>
      </c>
      <c r="B3060" s="8">
        <f>IFERROR(VLOOKUP($A3060,'01-原始价格'!$A:$M,2,FALSE),"")</f>
        <v/>
      </c>
      <c r="C3060" s="8">
        <f>IFERROR(VLOOKUP($A3060,'01-原始价格'!$A:$M,8,FALSE),"")</f>
        <v/>
      </c>
      <c r="D3060" s="10">
        <f>IFERROR(B3060/C3060,"")</f>
        <v/>
      </c>
      <c r="E3060" s="10">
        <f>IFERROR(C3060/B3060,"")</f>
        <v/>
      </c>
      <c r="F3060" s="11">
        <f>IFERROR((D3060/D3059-1)*100,"")</f>
        <v/>
      </c>
      <c r="G3060" s="11">
        <f>IFERROR((COUNTIF($D$2809:$D$3060,"&lt;"&amp;D3060)+0.5*COUNTIF($D$2809:$D$3060,D3060))/COUNT($D$2809:$D$3060)*100,"")</f>
        <v/>
      </c>
      <c r="H3060" s="10">
        <f>IFERROR(AVERAGE($D$2809:$D$3060),"")</f>
        <v/>
      </c>
      <c r="I3060" s="10" t="n">
        <v>-0.7067965073925384</v>
      </c>
      <c r="J3060" t="inlineStr"/>
      <c r="K3060" t="inlineStr"/>
    </row>
    <row r="3061">
      <c r="A3061" s="7" t="inlineStr">
        <is>
          <t>2026-09-24</t>
        </is>
      </c>
      <c r="B3061" s="8">
        <f>IFERROR(VLOOKUP($A3061,'01-原始价格'!$A:$M,2,FALSE),"")</f>
        <v/>
      </c>
      <c r="C3061" s="8">
        <f>IFERROR(VLOOKUP($A3061,'01-原始价格'!$A:$M,8,FALSE),"")</f>
        <v/>
      </c>
      <c r="D3061" s="10">
        <f>IFERROR(B3061/C3061,"")</f>
        <v/>
      </c>
      <c r="E3061" s="10">
        <f>IFERROR(C3061/B3061,"")</f>
        <v/>
      </c>
      <c r="F3061" s="11">
        <f>IFERROR((D3061/D3060-1)*100,"")</f>
        <v/>
      </c>
      <c r="G3061" s="11">
        <f>IFERROR((COUNTIF($D$2810:$D$3061,"&lt;"&amp;D3061)+0.5*COUNTIF($D$2810:$D$3061,D3061))/COUNT($D$2810:$D$3061)*100,"")</f>
        <v/>
      </c>
      <c r="H3061" s="10">
        <f>IFERROR(AVERAGE($D$2810:$D$3061),"")</f>
        <v/>
      </c>
      <c r="I3061" s="10" t="n">
        <v>-0.2928234598607896</v>
      </c>
      <c r="J3061" t="inlineStr"/>
      <c r="K3061" t="inlineStr"/>
    </row>
    <row r="3062">
      <c r="A3062" s="7" t="inlineStr">
        <is>
          <t>2026-09-28</t>
        </is>
      </c>
      <c r="B3062" s="8">
        <f>IFERROR(VLOOKUP($A3062,'01-原始价格'!$A:$M,2,FALSE),"")</f>
        <v/>
      </c>
      <c r="C3062" s="8">
        <f>IFERROR(VLOOKUP($A3062,'01-原始价格'!$A:$M,8,FALSE),"")</f>
        <v/>
      </c>
      <c r="D3062" s="10">
        <f>IFERROR(B3062/C3062,"")</f>
        <v/>
      </c>
      <c r="E3062" s="10">
        <f>IFERROR(C3062/B3062,"")</f>
        <v/>
      </c>
      <c r="F3062" s="11">
        <f>IFERROR((D3062/D3061-1)*100,"")</f>
        <v/>
      </c>
      <c r="G3062" s="11">
        <f>IFERROR((COUNTIF($D$2811:$D$3062,"&lt;"&amp;D3062)+0.5*COUNTIF($D$2811:$D$3062,D3062))/COUNT($D$2811:$D$3062)*100,"")</f>
        <v/>
      </c>
      <c r="H3062" s="10">
        <f>IFERROR(AVERAGE($D$2811:$D$3062),"")</f>
        <v/>
      </c>
      <c r="I3062" s="10" t="n">
        <v>-0.2788253272552593</v>
      </c>
      <c r="J3062" t="inlineStr"/>
      <c r="K3062" t="inlineStr"/>
    </row>
    <row r="3063">
      <c r="A3063" s="7" t="inlineStr">
        <is>
          <t>2026-09-29</t>
        </is>
      </c>
      <c r="B3063" s="8">
        <f>IFERROR(VLOOKUP($A3063,'01-原始价格'!$A:$M,2,FALSE),"")</f>
        <v/>
      </c>
      <c r="C3063" s="8">
        <f>IFERROR(VLOOKUP($A3063,'01-原始价格'!$A:$M,8,FALSE),"")</f>
        <v/>
      </c>
      <c r="D3063" s="10">
        <f>IFERROR(B3063/C3063,"")</f>
        <v/>
      </c>
      <c r="E3063" s="10">
        <f>IFERROR(C3063/B3063,"")</f>
        <v/>
      </c>
      <c r="F3063" s="11">
        <f>IFERROR((D3063/D3062-1)*100,"")</f>
        <v/>
      </c>
      <c r="G3063" s="11">
        <f>IFERROR((COUNTIF($D$2812:$D$3063,"&lt;"&amp;D3063)+0.5*COUNTIF($D$2812:$D$3063,D3063))/COUNT($D$2812:$D$3063)*100,"")</f>
        <v/>
      </c>
      <c r="H3063" s="10">
        <f>IFERROR(AVERAGE($D$2812:$D$3063),"")</f>
        <v/>
      </c>
      <c r="I3063" s="10" t="n">
        <v>-0.2838172295458187</v>
      </c>
      <c r="J3063" t="inlineStr"/>
      <c r="K3063" t="inlineStr"/>
    </row>
    <row r="3064">
      <c r="A3064" s="7" t="inlineStr">
        <is>
          <t>2026-09-30</t>
        </is>
      </c>
      <c r="B3064" s="8">
        <f>IFERROR(VLOOKUP($A3064,'01-原始价格'!$A:$M,2,FALSE),"")</f>
        <v/>
      </c>
      <c r="C3064" s="8">
        <f>IFERROR(VLOOKUP($A3064,'01-原始价格'!$A:$M,8,FALSE),"")</f>
        <v/>
      </c>
      <c r="D3064" s="10">
        <f>IFERROR(B3064/C3064,"")</f>
        <v/>
      </c>
      <c r="E3064" s="10">
        <f>IFERROR(C3064/B3064,"")</f>
        <v/>
      </c>
      <c r="F3064" s="11">
        <f>IFERROR((D3064/D3063-1)*100,"")</f>
        <v/>
      </c>
      <c r="G3064" s="11">
        <f>IFERROR((COUNTIF($D$2813:$D$3064,"&lt;"&amp;D3064)+0.5*COUNTIF($D$2813:$D$3064,D3064))/COUNT($D$2813:$D$3064)*100,"")</f>
        <v/>
      </c>
      <c r="H3064" s="10">
        <f>IFERROR(AVERAGE($D$2813:$D$3064),"")</f>
        <v/>
      </c>
      <c r="I3064" s="10" t="n">
        <v>-0.06157614799472164</v>
      </c>
      <c r="J3064" t="inlineStr"/>
      <c r="K3064" t="inlineStr"/>
    </row>
    <row r="3065">
      <c r="A3065" s="7" t="inlineStr">
        <is>
          <t>2026-10-08</t>
        </is>
      </c>
      <c r="B3065" s="8">
        <f>IFERROR(VLOOKUP($A3065,'01-原始价格'!$A:$M,2,FALSE),"")</f>
        <v/>
      </c>
      <c r="C3065" s="8">
        <f>IFERROR(VLOOKUP($A3065,'01-原始价格'!$A:$M,8,FALSE),"")</f>
        <v/>
      </c>
      <c r="D3065" s="10">
        <f>IFERROR(B3065/C3065,"")</f>
        <v/>
      </c>
      <c r="E3065" s="10">
        <f>IFERROR(C3065/B3065,"")</f>
        <v/>
      </c>
      <c r="F3065" s="11">
        <f>IFERROR((D3065/D3064-1)*100,"")</f>
        <v/>
      </c>
      <c r="G3065" s="11">
        <f>IFERROR((COUNTIF($D$2814:$D$3065,"&lt;"&amp;D3065)+0.5*COUNTIF($D$2814:$D$3065,D3065))/COUNT($D$2814:$D$3065)*100,"")</f>
        <v/>
      </c>
      <c r="H3065" s="10">
        <f>IFERROR(AVERAGE($D$2814:$D$3065),"")</f>
        <v/>
      </c>
      <c r="I3065" s="10" t="n">
        <v>0.3311745211888018</v>
      </c>
      <c r="J3065" t="inlineStr"/>
      <c r="K3065" t="inlineStr"/>
    </row>
    <row r="3066">
      <c r="A3066" s="7" t="inlineStr">
        <is>
          <t>2026-10-09</t>
        </is>
      </c>
      <c r="B3066" s="8">
        <f>IFERROR(VLOOKUP($A3066,'01-原始价格'!$A:$M,2,FALSE),"")</f>
        <v/>
      </c>
      <c r="C3066" s="8">
        <f>IFERROR(VLOOKUP($A3066,'01-原始价格'!$A:$M,8,FALSE),"")</f>
        <v/>
      </c>
      <c r="D3066" s="10">
        <f>IFERROR(B3066/C3066,"")</f>
        <v/>
      </c>
      <c r="E3066" s="10">
        <f>IFERROR(C3066/B3066,"")</f>
        <v/>
      </c>
      <c r="F3066" s="11">
        <f>IFERROR((D3066/D3065-1)*100,"")</f>
        <v/>
      </c>
      <c r="G3066" s="11">
        <f>IFERROR((COUNTIF($D$2815:$D$3066,"&lt;"&amp;D3066)+0.5*COUNTIF($D$2815:$D$3066,D3066))/COUNT($D$2815:$D$3066)*100,"")</f>
        <v/>
      </c>
      <c r="H3066" s="10">
        <f>IFERROR(AVERAGE($D$2815:$D$3066),"")</f>
        <v/>
      </c>
      <c r="I3066" s="10" t="n">
        <v>0.2111565426011908</v>
      </c>
      <c r="J3066" t="inlineStr"/>
      <c r="K3066" t="inlineStr"/>
    </row>
    <row r="3067">
      <c r="A3067" s="7" t="inlineStr">
        <is>
          <t>2026-10-12</t>
        </is>
      </c>
      <c r="B3067" s="8">
        <f>IFERROR(VLOOKUP($A3067,'01-原始价格'!$A:$M,2,FALSE),"")</f>
        <v/>
      </c>
      <c r="C3067" s="8">
        <f>IFERROR(VLOOKUP($A3067,'01-原始价格'!$A:$M,8,FALSE),"")</f>
        <v/>
      </c>
      <c r="D3067" s="10">
        <f>IFERROR(B3067/C3067,"")</f>
        <v/>
      </c>
      <c r="E3067" s="10">
        <f>IFERROR(C3067/B3067,"")</f>
        <v/>
      </c>
      <c r="F3067" s="11">
        <f>IFERROR((D3067/D3066-1)*100,"")</f>
        <v/>
      </c>
      <c r="G3067" s="11">
        <f>IFERROR((COUNTIF($D$2816:$D$3067,"&lt;"&amp;D3067)+0.5*COUNTIF($D$2816:$D$3067,D3067))/COUNT($D$2816:$D$3067)*100,"")</f>
        <v/>
      </c>
      <c r="H3067" s="10">
        <f>IFERROR(AVERAGE($D$2816:$D$3067),"")</f>
        <v/>
      </c>
      <c r="I3067" s="10" t="n">
        <v>0.06442944399975617</v>
      </c>
      <c r="J3067" t="inlineStr"/>
      <c r="K3067" t="inlineStr"/>
    </row>
    <row r="3068">
      <c r="A3068" s="7" t="inlineStr">
        <is>
          <t>2026-10-13</t>
        </is>
      </c>
      <c r="B3068" s="8">
        <f>IFERROR(VLOOKUP($A3068,'01-原始价格'!$A:$M,2,FALSE),"")</f>
        <v/>
      </c>
      <c r="C3068" s="8">
        <f>IFERROR(VLOOKUP($A3068,'01-原始价格'!$A:$M,8,FALSE),"")</f>
        <v/>
      </c>
      <c r="D3068" s="10">
        <f>IFERROR(B3068/C3068,"")</f>
        <v/>
      </c>
      <c r="E3068" s="10">
        <f>IFERROR(C3068/B3068,"")</f>
        <v/>
      </c>
      <c r="F3068" s="11">
        <f>IFERROR((D3068/D3067-1)*100,"")</f>
        <v/>
      </c>
      <c r="G3068" s="11">
        <f>IFERROR((COUNTIF($D$2817:$D$3068,"&lt;"&amp;D3068)+0.5*COUNTIF($D$2817:$D$3068,D3068))/COUNT($D$2817:$D$3068)*100,"")</f>
        <v/>
      </c>
      <c r="H3068" s="10">
        <f>IFERROR(AVERAGE($D$2817:$D$3068),"")</f>
        <v/>
      </c>
      <c r="I3068" s="10" t="n">
        <v>-0.04472173604282601</v>
      </c>
      <c r="J3068" t="inlineStr"/>
      <c r="K3068" t="inlineStr"/>
    </row>
    <row r="3069">
      <c r="A3069" s="7" t="inlineStr">
        <is>
          <t>2026-10-14</t>
        </is>
      </c>
      <c r="B3069" s="8">
        <f>IFERROR(VLOOKUP($A3069,'01-原始价格'!$A:$M,2,FALSE),"")</f>
        <v/>
      </c>
      <c r="C3069" s="8">
        <f>IFERROR(VLOOKUP($A3069,'01-原始价格'!$A:$M,8,FALSE),"")</f>
        <v/>
      </c>
      <c r="D3069" s="10">
        <f>IFERROR(B3069/C3069,"")</f>
        <v/>
      </c>
      <c r="E3069" s="10">
        <f>IFERROR(C3069/B3069,"")</f>
        <v/>
      </c>
      <c r="F3069" s="11">
        <f>IFERROR((D3069/D3068-1)*100,"")</f>
        <v/>
      </c>
      <c r="G3069" s="11">
        <f>IFERROR((COUNTIF($D$2818:$D$3069,"&lt;"&amp;D3069)+0.5*COUNTIF($D$2818:$D$3069,D3069))/COUNT($D$2818:$D$3069)*100,"")</f>
        <v/>
      </c>
      <c r="H3069" s="10">
        <f>IFERROR(AVERAGE($D$2818:$D$3069),"")</f>
        <v/>
      </c>
      <c r="I3069" s="10" t="n">
        <v>0.2390207965147891</v>
      </c>
      <c r="J3069" t="inlineStr"/>
      <c r="K3069" t="inlineStr"/>
    </row>
    <row r="3070">
      <c r="A3070" s="7" t="inlineStr">
        <is>
          <t>2026-10-15</t>
        </is>
      </c>
      <c r="B3070" s="8">
        <f>IFERROR(VLOOKUP($A3070,'01-原始价格'!$A:$M,2,FALSE),"")</f>
        <v/>
      </c>
      <c r="C3070" s="8">
        <f>IFERROR(VLOOKUP($A3070,'01-原始价格'!$A:$M,8,FALSE),"")</f>
        <v/>
      </c>
      <c r="D3070" s="10">
        <f>IFERROR(B3070/C3070,"")</f>
        <v/>
      </c>
      <c r="E3070" s="10">
        <f>IFERROR(C3070/B3070,"")</f>
        <v/>
      </c>
      <c r="F3070" s="11">
        <f>IFERROR((D3070/D3069-1)*100,"")</f>
        <v/>
      </c>
      <c r="G3070" s="11">
        <f>IFERROR((COUNTIF($D$2819:$D$3070,"&lt;"&amp;D3070)+0.5*COUNTIF($D$2819:$D$3070,D3070))/COUNT($D$2819:$D$3070)*100,"")</f>
        <v/>
      </c>
      <c r="H3070" s="10">
        <f>IFERROR(AVERAGE($D$2819:$D$3070),"")</f>
        <v/>
      </c>
      <c r="I3070" s="10" t="n">
        <v>0.5254209208755397</v>
      </c>
      <c r="J3070" t="inlineStr"/>
      <c r="K3070" t="inlineStr"/>
    </row>
    <row r="3071">
      <c r="A3071" s="7" t="inlineStr">
        <is>
          <t>2026-10-16</t>
        </is>
      </c>
      <c r="B3071" s="8">
        <f>IFERROR(VLOOKUP($A3071,'01-原始价格'!$A:$M,2,FALSE),"")</f>
        <v/>
      </c>
      <c r="C3071" s="8">
        <f>IFERROR(VLOOKUP($A3071,'01-原始价格'!$A:$M,8,FALSE),"")</f>
        <v/>
      </c>
      <c r="D3071" s="10">
        <f>IFERROR(B3071/C3071,"")</f>
        <v/>
      </c>
      <c r="E3071" s="10">
        <f>IFERROR(C3071/B3071,"")</f>
        <v/>
      </c>
      <c r="F3071" s="11">
        <f>IFERROR((D3071/D3070-1)*100,"")</f>
        <v/>
      </c>
      <c r="G3071" s="11">
        <f>IFERROR((COUNTIF($D$2820:$D$3071,"&lt;"&amp;D3071)+0.5*COUNTIF($D$2820:$D$3071,D3071))/COUNT($D$2820:$D$3071)*100,"")</f>
        <v/>
      </c>
      <c r="H3071" s="10">
        <f>IFERROR(AVERAGE($D$2820:$D$3071),"")</f>
        <v/>
      </c>
      <c r="I3071" s="10" t="n">
        <v>0.9346427884526062</v>
      </c>
      <c r="J3071" t="inlineStr"/>
      <c r="K3071" t="inlineStr"/>
    </row>
    <row r="3072">
      <c r="A3072" s="7" t="inlineStr">
        <is>
          <t>2026-10-19</t>
        </is>
      </c>
      <c r="B3072" s="8">
        <f>IFERROR(VLOOKUP($A3072,'01-原始价格'!$A:$M,2,FALSE),"")</f>
        <v/>
      </c>
      <c r="C3072" s="8">
        <f>IFERROR(VLOOKUP($A3072,'01-原始价格'!$A:$M,8,FALSE),"")</f>
        <v/>
      </c>
      <c r="D3072" s="10">
        <f>IFERROR(B3072/C3072,"")</f>
        <v/>
      </c>
      <c r="E3072" s="10">
        <f>IFERROR(C3072/B3072,"")</f>
        <v/>
      </c>
      <c r="F3072" s="11">
        <f>IFERROR((D3072/D3071-1)*100,"")</f>
        <v/>
      </c>
      <c r="G3072" s="11">
        <f>IFERROR((COUNTIF($D$2821:$D$3072,"&lt;"&amp;D3072)+0.5*COUNTIF($D$2821:$D$3072,D3072))/COUNT($D$2821:$D$3072)*100,"")</f>
        <v/>
      </c>
      <c r="H3072" s="10">
        <f>IFERROR(AVERAGE($D$2821:$D$3072),"")</f>
        <v/>
      </c>
      <c r="I3072" s="10" t="n">
        <v>1.073692349762186</v>
      </c>
      <c r="J3072" t="inlineStr"/>
      <c r="K3072" t="inlineStr"/>
    </row>
    <row r="3073">
      <c r="A3073" s="7" t="inlineStr">
        <is>
          <t>2026-10-20</t>
        </is>
      </c>
      <c r="B3073" s="8">
        <f>IFERROR(VLOOKUP($A3073,'01-原始价格'!$A:$M,2,FALSE),"")</f>
        <v/>
      </c>
      <c r="C3073" s="8">
        <f>IFERROR(VLOOKUP($A3073,'01-原始价格'!$A:$M,8,FALSE),"")</f>
        <v/>
      </c>
      <c r="D3073" s="10">
        <f>IFERROR(B3073/C3073,"")</f>
        <v/>
      </c>
      <c r="E3073" s="10">
        <f>IFERROR(C3073/B3073,"")</f>
        <v/>
      </c>
      <c r="F3073" s="11">
        <f>IFERROR((D3073/D3072-1)*100,"")</f>
        <v/>
      </c>
      <c r="G3073" s="11">
        <f>IFERROR((COUNTIF($D$2822:$D$3073,"&lt;"&amp;D3073)+0.5*COUNTIF($D$2822:$D$3073,D3073))/COUNT($D$2822:$D$3073)*100,"")</f>
        <v/>
      </c>
      <c r="H3073" s="10">
        <f>IFERROR(AVERAGE($D$2822:$D$3073),"")</f>
        <v/>
      </c>
      <c r="I3073" s="10" t="n">
        <v>0.7034344704114743</v>
      </c>
      <c r="J3073" t="inlineStr"/>
      <c r="K3073" t="inlineStr"/>
    </row>
  </sheetData>
  <autoFilter ref="A4:M3073"/>
  <mergeCells count="2"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8" customWidth="1" min="4" max="4"/>
    <col width="11" customWidth="1" min="5" max="5"/>
    <col width="11" customWidth="1" min="6" max="6"/>
    <col width="11" customWidth="1" min="7" max="7"/>
    <col width="12" customWidth="1" min="8" max="8"/>
    <col width="11" customWidth="1" min="9" max="9"/>
    <col width="12" customWidth="1" min="10" max="10"/>
    <col width="14" customWidth="1" min="11" max="11"/>
    <col width="11" customWidth="1" min="12" max="12"/>
  </cols>
  <sheetData>
    <row r="1">
      <c r="A1" s="1" t="inlineStr">
        <is>
          <t>窗口统计：1年 / 3年 / 5年 / 全样本</t>
        </is>
      </c>
    </row>
    <row r="2" ht="30" customHeight="1">
      <c r="A2" s="2" t="inlineStr">
        <is>
          <t>分位与统计量均以 02-比价序列 的比价列为输入，用 Excel 原生公式按窗口区间计算；N 为该窗口内有效交易日数。</t>
        </is>
      </c>
    </row>
    <row r="4" ht="28" customHeight="1">
      <c r="A4" s="6" t="inlineStr">
        <is>
          <t>窗口</t>
        </is>
      </c>
      <c r="B4" s="6" t="inlineStr">
        <is>
          <t>起始日</t>
        </is>
      </c>
      <c r="C4" s="6" t="inlineStr">
        <is>
          <t>结束日</t>
        </is>
      </c>
      <c r="D4" s="6" t="inlineStr">
        <is>
          <t>N</t>
        </is>
      </c>
      <c r="E4" s="6" t="inlineStr">
        <is>
          <t>均值</t>
        </is>
      </c>
      <c r="F4" s="6" t="inlineStr">
        <is>
          <t>中位数</t>
        </is>
      </c>
      <c r="G4" s="6" t="inlineStr">
        <is>
          <t>最低</t>
        </is>
      </c>
      <c r="H4" s="6" t="inlineStr">
        <is>
          <t>最低日期</t>
        </is>
      </c>
      <c r="I4" s="6" t="inlineStr">
        <is>
          <t>最高</t>
        </is>
      </c>
      <c r="J4" s="6" t="inlineStr">
        <is>
          <t>最高日期</t>
        </is>
      </c>
      <c r="K4" s="6" t="inlineStr">
        <is>
          <t>当前值分位 %</t>
        </is>
      </c>
      <c r="L4" s="6" t="inlineStr">
        <is>
          <t>当前值</t>
        </is>
      </c>
    </row>
    <row r="5">
      <c r="A5" s="13" t="inlineStr">
        <is>
          <t>近1年</t>
        </is>
      </c>
      <c r="B5" t="inlineStr">
        <is>
          <t>2025-10-20</t>
        </is>
      </c>
      <c r="C5" t="inlineStr">
        <is>
          <t>2026-10-20</t>
        </is>
      </c>
      <c r="D5">
        <f>COUNT('02-比价序列'!$D$2831:$D$3073)</f>
        <v/>
      </c>
      <c r="E5" s="10">
        <f>IFERROR(AVERAGE('02-比价序列'!$D$2831:$D$3073),"")</f>
        <v/>
      </c>
      <c r="F5" s="10">
        <f>IFERROR(MEDIAN('02-比价序列'!$D$2831:$D$3073),"")</f>
        <v/>
      </c>
      <c r="G5" s="10">
        <f>IFERROR(MIN('02-比价序列'!$D$2831:$D$3073),"")</f>
        <v/>
      </c>
      <c r="H5" s="10" t="inlineStr">
        <is>
          <t>2025-12-10</t>
        </is>
      </c>
      <c r="I5" s="10">
        <f>IFERROR(MAX('02-比价序列'!$D$2831:$D$3073),"")</f>
        <v/>
      </c>
      <c r="J5" t="inlineStr">
        <is>
          <t>2026-05-19</t>
        </is>
      </c>
      <c r="K5" s="11">
        <f>IFERROR((COUNTIF('02-比价序列'!$D$2831:$D$3073,"&lt;"&amp;$L5)+0.5*COUNTIF('02-比价序列'!$D$2831:$D$3073,$L5))/COUNT('02-比价序列'!$D$2831:$D$3073)*100,"")</f>
        <v/>
      </c>
      <c r="L5" s="11" t="n">
        <v>1.074490029796012</v>
      </c>
    </row>
    <row r="6">
      <c r="A6" s="13" t="inlineStr">
        <is>
          <t>近3年</t>
        </is>
      </c>
      <c r="B6" t="inlineStr">
        <is>
          <t>2023-10-20</t>
        </is>
      </c>
      <c r="C6" t="inlineStr">
        <is>
          <t>2026-10-20</t>
        </is>
      </c>
      <c r="D6">
        <f>COUNT('02-比价序列'!$D$2348:$D$3073)</f>
        <v/>
      </c>
      <c r="E6" s="10">
        <f>IFERROR(AVERAGE('02-比价序列'!$D$2348:$D$3073),"")</f>
        <v/>
      </c>
      <c r="F6" s="10">
        <f>IFERROR(MEDIAN('02-比价序列'!$D$2348:$D$3073),"")</f>
        <v/>
      </c>
      <c r="G6" s="10">
        <f>IFERROR(MIN('02-比价序列'!$D$2348:$D$3073),"")</f>
        <v/>
      </c>
      <c r="H6" s="10" t="inlineStr">
        <is>
          <t>2024-12-02</t>
        </is>
      </c>
      <c r="I6" s="10">
        <f>IFERROR(MAX('02-比价序列'!$D$2348:$D$3073),"")</f>
        <v/>
      </c>
      <c r="J6" t="inlineStr">
        <is>
          <t>2026-05-19</t>
        </is>
      </c>
      <c r="K6" s="11">
        <f>IFERROR((COUNTIF('02-比价序列'!$D$2348:$D$3073,"&lt;"&amp;$L6)+0.5*COUNTIF('02-比价序列'!$D$2348:$D$3073,$L6))/COUNT('02-比价序列'!$D$2348:$D$3073)*100,"")</f>
        <v/>
      </c>
      <c r="L6" s="11" t="n">
        <v>1.074490029796012</v>
      </c>
    </row>
    <row r="7">
      <c r="A7" s="13" t="inlineStr">
        <is>
          <t>近5年</t>
        </is>
      </c>
      <c r="B7" t="inlineStr">
        <is>
          <t>2021-10-20</t>
        </is>
      </c>
      <c r="C7" t="inlineStr">
        <is>
          <t>2026-10-20</t>
        </is>
      </c>
      <c r="D7">
        <f>COUNT('02-比价序列'!$D$1862:$D$3073)</f>
        <v/>
      </c>
      <c r="E7" s="10">
        <f>IFERROR(AVERAGE('02-比价序列'!$D$1862:$D$3073),"")</f>
        <v/>
      </c>
      <c r="F7" s="10">
        <f>IFERROR(MEDIAN('02-比价序列'!$D$1862:$D$3073),"")</f>
        <v/>
      </c>
      <c r="G7" s="10">
        <f>IFERROR(MIN('02-比价序列'!$D$1862:$D$3073),"")</f>
        <v/>
      </c>
      <c r="H7" s="10" t="inlineStr">
        <is>
          <t>2024-12-02</t>
        </is>
      </c>
      <c r="I7" s="10">
        <f>IFERROR(MAX('02-比价序列'!$D$1862:$D$3073),"")</f>
        <v/>
      </c>
      <c r="J7" t="inlineStr">
        <is>
          <t>2026-05-19</t>
        </is>
      </c>
      <c r="K7" s="11">
        <f>IFERROR((COUNTIF('02-比价序列'!$D$1862:$D$3073,"&lt;"&amp;$L7)+0.5*COUNTIF('02-比价序列'!$D$1862:$D$3073,$L7))/COUNT('02-比价序列'!$D$1862:$D$3073)*100,"")</f>
        <v/>
      </c>
      <c r="L7" s="11" t="n">
        <v>1.074490029796012</v>
      </c>
    </row>
    <row r="8">
      <c r="A8" s="13" t="inlineStr">
        <is>
          <t>全样本</t>
        </is>
      </c>
      <c r="B8" t="inlineStr">
        <is>
          <t>2014-02-28</t>
        </is>
      </c>
      <c r="C8" t="inlineStr">
        <is>
          <t>2026-10-20</t>
        </is>
      </c>
      <c r="D8">
        <f>COUNT('02-比价序列'!$D$5:$D$3073)</f>
        <v/>
      </c>
      <c r="E8" s="10">
        <f>IFERROR(AVERAGE('02-比价序列'!$D$5:$D$3073),"")</f>
        <v/>
      </c>
      <c r="F8" s="10">
        <f>IFERROR(MEDIAN('02-比价序列'!$D$5:$D$3073),"")</f>
        <v/>
      </c>
      <c r="G8" s="10">
        <f>IFERROR(MIN('02-比价序列'!$D$5:$D$3073),"")</f>
        <v/>
      </c>
      <c r="H8" s="10" t="inlineStr">
        <is>
          <t>2015-11-25</t>
        </is>
      </c>
      <c r="I8" s="10">
        <f>IFERROR(MAX('02-比价序列'!$D$5:$D$3073),"")</f>
        <v/>
      </c>
      <c r="J8" t="inlineStr">
        <is>
          <t>2019-08-06</t>
        </is>
      </c>
      <c r="K8" s="11">
        <f>IFERROR((COUNTIF('02-比价序列'!$D$5:$D$3073,"&lt;"&amp;$L8)+0.5*COUNTIF('02-比价序列'!$D$5:$D$3073,$L8))/COUNT('02-比价序列'!$D$5:$D$3073)*100,"")</f>
        <v/>
      </c>
      <c r="L8" s="11" t="n">
        <v>1.074490029796012</v>
      </c>
    </row>
    <row r="9">
      <c r="A9" s="13" t="inlineStr">
        <is>
          <t>当前值（唯一）</t>
        </is>
      </c>
      <c r="L9" t="inlineStr"/>
    </row>
    <row r="11">
      <c r="A11" s="14" t="inlineStr">
        <is>
          <t>说明：分位 = 窗口内比价 ≤ 当前值的交易日数 / 窗口内有效交易日数（ECDF）。不采用 (当前-最低)/(最高-最低) 的线性反推，因为那会把分布形状全部丢掉。</t>
        </is>
      </c>
    </row>
  </sheetData>
  <mergeCells count="3">
    <mergeCell ref="A11:L11"/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14" customWidth="1" min="3" max="3"/>
    <col width="44" customWidth="1" min="4" max="4"/>
  </cols>
  <sheetData>
    <row r="1">
      <c r="A1" s="1" t="inlineStr">
        <is>
          <t>同一个当前值，在不同样本定义下的分位</t>
        </is>
      </c>
    </row>
    <row r="2" ht="30" customHeight="1">
      <c r="A2" s="2" t="inlineStr">
        <is>
          <t>这张表是本分析最重要的风险提示：分位不是比价的固有属性，而是样本选择的函数。</t>
        </is>
      </c>
    </row>
    <row r="4" ht="28" customHeight="1">
      <c r="A4" s="6" t="inlineStr">
        <is>
          <t>样本定义</t>
        </is>
      </c>
      <c r="B4" s="6" t="inlineStr">
        <is>
          <t>N</t>
        </is>
      </c>
      <c r="C4" s="6" t="inlineStr">
        <is>
          <t>当前值分位 %</t>
        </is>
      </c>
      <c r="D4" s="6" t="inlineStr">
        <is>
          <t>解读</t>
        </is>
      </c>
    </row>
    <row r="5">
      <c r="A5" s="15" t="inlineStr">
        <is>
          <t>近1年</t>
        </is>
      </c>
      <c r="B5" t="n">
        <v>243</v>
      </c>
      <c r="C5" s="16" t="n">
        <v>89.09465020576131</v>
      </c>
      <c r="D5" s="14" t="inlineStr">
        <is>
          <t>偏高</t>
        </is>
      </c>
    </row>
    <row r="6">
      <c r="A6" s="15" t="inlineStr">
        <is>
          <t>近3年</t>
        </is>
      </c>
      <c r="B6" t="n">
        <v>726</v>
      </c>
      <c r="C6" s="17" t="n">
        <v>96.34986225895317</v>
      </c>
      <c r="D6" s="14" t="inlineStr">
        <is>
          <t>偏高</t>
        </is>
      </c>
    </row>
    <row r="7">
      <c r="A7" s="15" t="inlineStr">
        <is>
          <t>近5年</t>
        </is>
      </c>
      <c r="B7" t="n">
        <v>1212</v>
      </c>
      <c r="C7" s="17" t="n">
        <v>97.81353135313532</v>
      </c>
      <c r="D7" s="14" t="inlineStr">
        <is>
          <t>偏高</t>
        </is>
      </c>
    </row>
    <row r="8">
      <c r="A8" s="15" t="inlineStr">
        <is>
          <t>全样本</t>
        </is>
      </c>
      <c r="B8" t="n">
        <v>3069</v>
      </c>
      <c r="C8" s="16" t="n">
        <v>90.99055066797003</v>
      </c>
      <c r="D8" s="14" t="inlineStr">
        <is>
          <t>偏高</t>
        </is>
      </c>
    </row>
    <row r="9">
      <c r="A9" s="15" t="inlineStr">
        <is>
          <t>全样本剔除近120个交易日</t>
        </is>
      </c>
      <c r="B9" t="n">
        <v>2950</v>
      </c>
      <c r="C9" s="16" t="n">
        <v>91.52542372881356</v>
      </c>
      <c r="D9" s="14" t="inlineStr">
        <is>
          <t>偏高</t>
        </is>
      </c>
    </row>
    <row r="10">
      <c r="A10" s="15" t="inlineStr">
        <is>
          <t>2014-2017 区间内</t>
        </is>
      </c>
      <c r="B10" t="n">
        <v>938</v>
      </c>
      <c r="C10" s="17" t="n">
        <v>100</v>
      </c>
      <c r="D10" s="14" t="inlineStr">
        <is>
          <t>样本内几乎最高：该样本区间与当前结构不同</t>
        </is>
      </c>
    </row>
    <row r="11">
      <c r="A11" s="15" t="inlineStr">
        <is>
          <t>2018-2022 区间内</t>
        </is>
      </c>
      <c r="B11" t="n">
        <v>1214</v>
      </c>
      <c r="C11" s="16" t="n">
        <v>79.40691927512356</v>
      </c>
      <c r="D11" s="14" t="inlineStr">
        <is>
          <t>居中</t>
        </is>
      </c>
    </row>
    <row r="12">
      <c r="A12" s="15" t="inlineStr">
        <is>
          <t>2023-2025 区间内</t>
        </is>
      </c>
      <c r="B12" t="n">
        <v>727</v>
      </c>
      <c r="C12" s="17" t="n">
        <v>100</v>
      </c>
      <c r="D12" s="14" t="inlineStr">
        <is>
          <t>样本内几乎最高：该样本区间与当前结构不同</t>
        </is>
      </c>
    </row>
    <row r="14">
      <c r="A14" s="13" t="inlineStr">
        <is>
          <t>分位区间</t>
        </is>
      </c>
      <c r="C14" s="18" t="inlineStr">
        <is>
          <t>79.4% ~ 100.0%</t>
        </is>
      </c>
    </row>
    <row r="16">
      <c r="A16" s="14" t="inlineStr">
        <is>
          <t>结论用法：报告必须写明所用样本口径；若不同口径给出的分位差异超过 15 个百分点，就不能用「历史高位」作为单一论据。</t>
        </is>
      </c>
    </row>
  </sheetData>
  <mergeCells count="3">
    <mergeCell ref="A1:D1"/>
    <mergeCell ref="A16:D16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2" customWidth="1" min="9" max="9"/>
    <col width="13" customWidth="1" min="10" max="10"/>
    <col width="10" customWidth="1" min="11" max="11"/>
  </cols>
  <sheetData>
    <row r="1">
      <c r="A1" s="1" t="inlineStr">
        <is>
          <t>贡献分解：比价变化来自哪一边</t>
        </is>
      </c>
    </row>
    <row r="2" ht="30" customHeight="1">
      <c r="A2" s="2" t="inlineStr">
        <is>
          <t>恒等式：Δln(A/B) = ΔlnA − ΔlnB。份额 = |ΔlnA| / (|ΔlnA|+|ΔlnB|)，回答谁主导；方向看涨跌正负。份额列与比价列均为 Excel 公式。</t>
        </is>
      </c>
    </row>
    <row r="4" ht="28" customHeight="1">
      <c r="A4" s="6" t="inlineStr">
        <is>
          <t>区间</t>
        </is>
      </c>
      <c r="B4" s="6" t="inlineStr">
        <is>
          <t>起始日</t>
        </is>
      </c>
      <c r="C4" s="6" t="inlineStr">
        <is>
          <t>结束日</t>
        </is>
      </c>
      <c r="D4" s="6" t="inlineStr">
        <is>
          <t>A 起</t>
        </is>
      </c>
      <c r="E4" s="6" t="inlineStr">
        <is>
          <t>A 止</t>
        </is>
      </c>
      <c r="F4" s="6" t="inlineStr">
        <is>
          <t>A 涨跌 %</t>
        </is>
      </c>
      <c r="G4" s="6" t="inlineStr">
        <is>
          <t>B 起</t>
        </is>
      </c>
      <c r="H4" s="6" t="inlineStr">
        <is>
          <t>B 止</t>
        </is>
      </c>
      <c r="I4" s="6" t="inlineStr">
        <is>
          <t>B 涨跌 %</t>
        </is>
      </c>
      <c r="J4" s="6" t="inlineStr">
        <is>
          <t>比价变化 %</t>
        </is>
      </c>
      <c r="K4" s="6" t="inlineStr">
        <is>
          <t>主导方</t>
        </is>
      </c>
    </row>
    <row r="5">
      <c r="A5" s="13" t="inlineStr">
        <is>
          <t>近1月</t>
        </is>
      </c>
      <c r="B5" t="inlineStr">
        <is>
          <t>2026-09-14</t>
        </is>
      </c>
      <c r="C5" t="inlineStr">
        <is>
          <t>2026-10-20</t>
        </is>
      </c>
      <c r="D5" t="n">
        <v>8876</v>
      </c>
      <c r="E5" t="n">
        <v>9376</v>
      </c>
      <c r="F5">
        <f>(E5/D5-1)*100</f>
        <v/>
      </c>
      <c r="G5" t="n">
        <v>8579</v>
      </c>
      <c r="H5" t="n">
        <v>8726</v>
      </c>
      <c r="I5">
        <f>(H5/G5-1)*100</f>
        <v/>
      </c>
      <c r="J5">
        <f>((E5/D5)/(H5/G5)-1)*100</f>
        <v/>
      </c>
      <c r="K5" t="inlineStr">
        <is>
          <t>A</t>
        </is>
      </c>
    </row>
    <row r="6">
      <c r="A6" s="13" t="inlineStr">
        <is>
          <t>近3月</t>
        </is>
      </c>
      <c r="B6" t="inlineStr">
        <is>
          <t>2026-07-20</t>
        </is>
      </c>
      <c r="C6" t="inlineStr">
        <is>
          <t>2026-10-20</t>
        </is>
      </c>
      <c r="D6" t="n">
        <v>8462</v>
      </c>
      <c r="E6" t="n">
        <v>9376</v>
      </c>
      <c r="F6">
        <f>(E6/D6-1)*100</f>
        <v/>
      </c>
      <c r="G6" t="n">
        <v>7940</v>
      </c>
      <c r="H6" t="n">
        <v>8726</v>
      </c>
      <c r="I6">
        <f>(H6/G6-1)*100</f>
        <v/>
      </c>
      <c r="J6">
        <f>((E6/D6)/(H6/G6)-1)*100</f>
        <v/>
      </c>
      <c r="K6" t="inlineStr">
        <is>
          <t>A</t>
        </is>
      </c>
    </row>
    <row r="7">
      <c r="A7" s="13" t="inlineStr">
        <is>
          <t>近6月</t>
        </is>
      </c>
      <c r="B7" t="inlineStr">
        <is>
          <t>2026-04-21</t>
        </is>
      </c>
      <c r="C7" t="inlineStr">
        <is>
          <t>2026-10-20</t>
        </is>
      </c>
      <c r="D7" t="n">
        <v>8220</v>
      </c>
      <c r="E7" t="n">
        <v>9376</v>
      </c>
      <c r="F7">
        <f>(E7/D7-1)*100</f>
        <v/>
      </c>
      <c r="G7" t="n">
        <v>7981</v>
      </c>
      <c r="H7" t="n">
        <v>8726</v>
      </c>
      <c r="I7">
        <f>(H7/G7-1)*100</f>
        <v/>
      </c>
      <c r="J7">
        <f>((E7/D7)/(H7/G7)-1)*100</f>
        <v/>
      </c>
      <c r="K7" t="inlineStr">
        <is>
          <t>A</t>
        </is>
      </c>
    </row>
    <row r="8">
      <c r="A8" s="13" t="inlineStr">
        <is>
          <t>近1年</t>
        </is>
      </c>
      <c r="B8" t="inlineStr">
        <is>
          <t>2025-10-20</t>
        </is>
      </c>
      <c r="C8" t="inlineStr">
        <is>
          <t>2026-10-20</t>
        </is>
      </c>
      <c r="D8" t="n">
        <v>6565</v>
      </c>
      <c r="E8" t="n">
        <v>9376</v>
      </c>
      <c r="F8">
        <f>(E8/D8-1)*100</f>
        <v/>
      </c>
      <c r="G8" t="n">
        <v>6879</v>
      </c>
      <c r="H8" t="n">
        <v>8726</v>
      </c>
      <c r="I8">
        <f>(H8/G8-1)*100</f>
        <v/>
      </c>
      <c r="J8">
        <f>((E8/D8)/(H8/G8)-1)*100</f>
        <v/>
      </c>
      <c r="K8" t="inlineStr">
        <is>
          <t>A</t>
        </is>
      </c>
    </row>
    <row r="9">
      <c r="A9" s="13" t="inlineStr">
        <is>
          <t>近3年</t>
        </is>
      </c>
      <c r="B9" t="inlineStr">
        <is>
          <t>2023-10-20</t>
        </is>
      </c>
      <c r="C9" t="inlineStr">
        <is>
          <t>2026-10-20</t>
        </is>
      </c>
      <c r="D9" t="n">
        <v>7441</v>
      </c>
      <c r="E9" t="n">
        <v>9376</v>
      </c>
      <c r="F9">
        <f>(E9/D9-1)*100</f>
        <v/>
      </c>
      <c r="G9" t="n">
        <v>7954</v>
      </c>
      <c r="H9" t="n">
        <v>8726</v>
      </c>
      <c r="I9">
        <f>(H9/G9-1)*100</f>
        <v/>
      </c>
      <c r="J9">
        <f>((E9/D9)/(H9/G9)-1)*100</f>
        <v/>
      </c>
      <c r="K9" t="inlineStr">
        <is>
          <t>A</t>
        </is>
      </c>
    </row>
    <row r="10">
      <c r="A10" s="13" t="inlineStr">
        <is>
          <t>近5年</t>
        </is>
      </c>
      <c r="B10" t="inlineStr">
        <is>
          <t>2021-10-20</t>
        </is>
      </c>
      <c r="C10" t="inlineStr">
        <is>
          <t>2026-10-20</t>
        </is>
      </c>
      <c r="D10" t="n">
        <v>9202</v>
      </c>
      <c r="E10" t="n">
        <v>9376</v>
      </c>
      <c r="F10">
        <f>(E10/D10-1)*100</f>
        <v/>
      </c>
      <c r="G10" t="n">
        <v>9210</v>
      </c>
      <c r="H10" t="n">
        <v>8726</v>
      </c>
      <c r="I10">
        <f>(H10/G10-1)*100</f>
        <v/>
      </c>
      <c r="J10">
        <f>((E10/D10)/(H10/G10)-1)*100</f>
        <v/>
      </c>
      <c r="K10" t="inlineStr">
        <is>
          <t>B</t>
        </is>
      </c>
    </row>
    <row r="11">
      <c r="A11" s="13" t="inlineStr">
        <is>
          <t>全样本</t>
        </is>
      </c>
      <c r="B11" t="inlineStr">
        <is>
          <t>2014-02-28</t>
        </is>
      </c>
      <c r="C11" t="inlineStr">
        <is>
          <t>2026-10-20</t>
        </is>
      </c>
      <c r="D11" t="n">
        <v>10657</v>
      </c>
      <c r="E11" t="n">
        <v>9376</v>
      </c>
      <c r="F11">
        <f>(E11/D11-1)*100</f>
        <v/>
      </c>
      <c r="G11" t="n">
        <v>10765</v>
      </c>
      <c r="H11" t="n">
        <v>8726</v>
      </c>
      <c r="I11">
        <f>(H11/G11-1)*100</f>
        <v/>
      </c>
      <c r="J11">
        <f>((E11/D11)/(H11/G11)-1)*100</f>
        <v/>
      </c>
      <c r="K11" t="inlineStr">
        <is>
          <t>B</t>
        </is>
      </c>
    </row>
    <row r="13">
      <c r="A13" s="5" t="inlineStr">
        <is>
          <t>对数贡献份额（|ΔlnA| 与 |ΔlnB| 各自占比）</t>
        </is>
      </c>
    </row>
    <row r="14" ht="28" customHeight="1">
      <c r="A14" s="6" t="inlineStr">
        <is>
          <t>区间</t>
        </is>
      </c>
      <c r="B14" s="6" t="inlineStr">
        <is>
          <t>ΔlnA</t>
        </is>
      </c>
      <c r="C14" s="6" t="inlineStr">
        <is>
          <t>ΔlnB</t>
        </is>
      </c>
      <c r="D14" s="6" t="inlineStr">
        <is>
          <t>A 份额 %</t>
        </is>
      </c>
      <c r="E14" s="6" t="inlineStr">
        <is>
          <t>B 份额 %</t>
        </is>
      </c>
      <c r="F14" s="6" t="inlineStr">
        <is>
          <t>主导方</t>
        </is>
      </c>
      <c r="G14" s="6" t="inlineStr">
        <is>
          <t>主导份额 %</t>
        </is>
      </c>
    </row>
    <row r="15">
      <c r="A15" s="15" t="inlineStr">
        <is>
          <t>近1月</t>
        </is>
      </c>
      <c r="B15" s="10">
        <f>LN(E5/D5)</f>
        <v/>
      </c>
      <c r="C15" s="10">
        <f>LN(H5/G5)</f>
        <v/>
      </c>
      <c r="D15" s="16">
        <f>ABS(B15)/(ABS(B15)+ABS(C15))*100</f>
        <v/>
      </c>
      <c r="E15" s="16">
        <f>ABS(C15)/(ABS(B15)+ABS(C15))*100</f>
        <v/>
      </c>
      <c r="F15" s="15">
        <f>IF(ABS(B15)&gt;=ABS(C15),"PP","L")</f>
        <v/>
      </c>
      <c r="G15" s="16">
        <f>MAX(D15:E15)</f>
        <v/>
      </c>
    </row>
    <row r="16">
      <c r="A16" s="15" t="inlineStr">
        <is>
          <t>近3月</t>
        </is>
      </c>
      <c r="B16" s="10">
        <f>LN(E6/D6)</f>
        <v/>
      </c>
      <c r="C16" s="10">
        <f>LN(H6/G6)</f>
        <v/>
      </c>
      <c r="D16" s="16">
        <f>ABS(B16)/(ABS(B16)+ABS(C16))*100</f>
        <v/>
      </c>
      <c r="E16" s="16">
        <f>ABS(C16)/(ABS(B16)+ABS(C16))*100</f>
        <v/>
      </c>
      <c r="F16" s="15">
        <f>IF(ABS(B16)&gt;=ABS(C16),"PP","L")</f>
        <v/>
      </c>
      <c r="G16" s="16">
        <f>MAX(D16:E16)</f>
        <v/>
      </c>
    </row>
    <row r="17">
      <c r="A17" s="15" t="inlineStr">
        <is>
          <t>近6月</t>
        </is>
      </c>
      <c r="B17" s="10">
        <f>LN(E7/D7)</f>
        <v/>
      </c>
      <c r="C17" s="10">
        <f>LN(H7/G7)</f>
        <v/>
      </c>
      <c r="D17" s="16">
        <f>ABS(B17)/(ABS(B17)+ABS(C17))*100</f>
        <v/>
      </c>
      <c r="E17" s="16">
        <f>ABS(C17)/(ABS(B17)+ABS(C17))*100</f>
        <v/>
      </c>
      <c r="F17" s="15">
        <f>IF(ABS(B17)&gt;=ABS(C17),"PP","L")</f>
        <v/>
      </c>
      <c r="G17" s="16">
        <f>MAX(D17:E17)</f>
        <v/>
      </c>
    </row>
    <row r="18">
      <c r="A18" s="15" t="inlineStr">
        <is>
          <t>近1年</t>
        </is>
      </c>
      <c r="B18" s="10">
        <f>LN(E8/D8)</f>
        <v/>
      </c>
      <c r="C18" s="10">
        <f>LN(H8/G8)</f>
        <v/>
      </c>
      <c r="D18" s="16">
        <f>ABS(B18)/(ABS(B18)+ABS(C18))*100</f>
        <v/>
      </c>
      <c r="E18" s="16">
        <f>ABS(C18)/(ABS(B18)+ABS(C18))*100</f>
        <v/>
      </c>
      <c r="F18" s="15">
        <f>IF(ABS(B18)&gt;=ABS(C18),"PP","L")</f>
        <v/>
      </c>
      <c r="G18" s="16">
        <f>MAX(D18:E18)</f>
        <v/>
      </c>
    </row>
    <row r="19">
      <c r="A19" s="15" t="inlineStr">
        <is>
          <t>近3年</t>
        </is>
      </c>
      <c r="B19" s="10">
        <f>LN(E9/D9)</f>
        <v/>
      </c>
      <c r="C19" s="10">
        <f>LN(H9/G9)</f>
        <v/>
      </c>
      <c r="D19" s="16">
        <f>ABS(B19)/(ABS(B19)+ABS(C19))*100</f>
        <v/>
      </c>
      <c r="E19" s="16">
        <f>ABS(C19)/(ABS(B19)+ABS(C19))*100</f>
        <v/>
      </c>
      <c r="F19" s="15">
        <f>IF(ABS(B19)&gt;=ABS(C19),"PP","L")</f>
        <v/>
      </c>
      <c r="G19" s="16">
        <f>MAX(D19:E19)</f>
        <v/>
      </c>
    </row>
    <row r="20">
      <c r="A20" s="15" t="inlineStr">
        <is>
          <t>近5年</t>
        </is>
      </c>
      <c r="B20" s="10">
        <f>LN(E10/D10)</f>
        <v/>
      </c>
      <c r="C20" s="10">
        <f>LN(H10/G10)</f>
        <v/>
      </c>
      <c r="D20" s="16">
        <f>ABS(B20)/(ABS(B20)+ABS(C20))*100</f>
        <v/>
      </c>
      <c r="E20" s="16">
        <f>ABS(C20)/(ABS(B20)+ABS(C20))*100</f>
        <v/>
      </c>
      <c r="F20" s="15">
        <f>IF(ABS(B20)&gt;=ABS(C20),"PP","L")</f>
        <v/>
      </c>
      <c r="G20" s="16">
        <f>MAX(D20:E20)</f>
        <v/>
      </c>
    </row>
    <row r="21">
      <c r="A21" s="15" t="inlineStr">
        <is>
          <t>全样本</t>
        </is>
      </c>
      <c r="B21" s="10">
        <f>LN(E11/D11)</f>
        <v/>
      </c>
      <c r="C21" s="10">
        <f>LN(H11/G11)</f>
        <v/>
      </c>
      <c r="D21" s="16">
        <f>ABS(B21)/(ABS(B21)+ABS(C21))*100</f>
        <v/>
      </c>
      <c r="E21" s="16">
        <f>ABS(C21)/(ABS(B21)+ABS(C21))*100</f>
        <v/>
      </c>
      <c r="F21" s="15">
        <f>IF(ABS(B21)&gt;=ABS(C21),"PP","L")</f>
        <v/>
      </c>
      <c r="G21" s="16">
        <f>MAX(D21:E21)</f>
        <v/>
      </c>
    </row>
    <row r="23">
      <c r="A23" s="14" t="inlineStr">
        <is>
          <t>读法：份额接近 50/50 说明两边力度相当，比价几乎不动——这仍然是「两边都在动」，不能说成「比价没反应所以无关」。份额悬殊则说明是单边主导。</t>
        </is>
      </c>
    </row>
  </sheetData>
  <mergeCells count="3">
    <mergeCell ref="A2:K2"/>
    <mergeCell ref="A1:K1"/>
    <mergeCell ref="A23:K2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2" customWidth="1" min="4" max="4"/>
    <col width="24" customWidth="1" min="5" max="5"/>
    <col width="30" customWidth="1" min="6" max="6"/>
  </cols>
  <sheetData>
    <row r="1">
      <c r="A1" s="1" t="inlineStr">
        <is>
          <t>比价异常点（稳健 z 分数）</t>
        </is>
      </c>
    </row>
    <row r="2" ht="30" customHeight="1">
      <c r="A2" s="2" t="inlineStr">
        <is>
          <t>稳健 z 分数（滚动 120 日中位数/MAD），|z| &gt; 3.5；共 100 个 / 评估 3069 个交易日（3.3%）。</t>
        </is>
      </c>
    </row>
    <row r="4" ht="28" customHeight="1">
      <c r="A4" s="6" t="inlineStr">
        <is>
          <t>日期</t>
        </is>
      </c>
      <c r="B4" s="6" t="inlineStr">
        <is>
          <t>比价</t>
        </is>
      </c>
      <c r="C4" s="6" t="inlineStr">
        <is>
          <t>稳健 z</t>
        </is>
      </c>
      <c r="D4" s="6" t="inlineStr">
        <is>
          <t>是否换月日</t>
        </is>
      </c>
      <c r="E4" s="6" t="inlineStr">
        <is>
          <t>性质判断</t>
        </is>
      </c>
      <c r="F4" s="6" t="inlineStr">
        <is>
          <t>处理建议</t>
        </is>
      </c>
    </row>
    <row r="5">
      <c r="A5" s="7" t="inlineStr">
        <is>
          <t>2014-11-25</t>
        </is>
      </c>
      <c r="B5" s="10" t="n">
        <v>0.8961616161616162</v>
      </c>
      <c r="C5" s="19" t="n">
        <v>-4.009033227684703</v>
      </c>
      <c r="D5" t="inlineStr">
        <is>
          <t>否</t>
        </is>
      </c>
      <c r="E5" t="inlineStr">
        <is>
          <t>价格真实异动</t>
        </is>
      </c>
      <c r="F5" t="inlineStr">
        <is>
          <t>需回到当日两侧产业信息解释</t>
        </is>
      </c>
    </row>
    <row r="6">
      <c r="A6" s="7" t="inlineStr">
        <is>
          <t>2014-11-26</t>
        </is>
      </c>
      <c r="B6" s="10" t="n">
        <v>0.8874873864783047</v>
      </c>
      <c r="C6" s="19" t="n">
        <v>-4.384783577801961</v>
      </c>
      <c r="D6" t="inlineStr">
        <is>
          <t>否</t>
        </is>
      </c>
      <c r="E6" t="inlineStr">
        <is>
          <t>价格真实异动</t>
        </is>
      </c>
      <c r="F6" t="inlineStr">
        <is>
          <t>需回到当日两侧产业信息解释</t>
        </is>
      </c>
    </row>
    <row r="7">
      <c r="A7" s="7" t="inlineStr">
        <is>
          <t>2014-11-27</t>
        </is>
      </c>
      <c r="B7" s="10" t="n">
        <v>0.8871975806451613</v>
      </c>
      <c r="C7" s="19" t="n">
        <v>-4.284042390065985</v>
      </c>
      <c r="D7" t="inlineStr">
        <is>
          <t>否</t>
        </is>
      </c>
      <c r="E7" t="inlineStr">
        <is>
          <t>价格真实异动</t>
        </is>
      </c>
      <c r="F7" t="inlineStr">
        <is>
          <t>需回到当日两侧产业信息解释</t>
        </is>
      </c>
    </row>
    <row r="8">
      <c r="A8" s="7" t="inlineStr">
        <is>
          <t>2014-11-28</t>
        </is>
      </c>
      <c r="B8" s="10" t="n">
        <v>0.885639958376691</v>
      </c>
      <c r="C8" s="19" t="n">
        <v>-4.220954291427343</v>
      </c>
      <c r="D8" t="inlineStr">
        <is>
          <t>否</t>
        </is>
      </c>
      <c r="E8" t="inlineStr">
        <is>
          <t>价格真实异动</t>
        </is>
      </c>
      <c r="F8" t="inlineStr">
        <is>
          <t>需回到当日两侧产业信息解释</t>
        </is>
      </c>
    </row>
    <row r="9">
      <c r="A9" s="7" t="inlineStr">
        <is>
          <t>2015-01-06</t>
        </is>
      </c>
      <c r="B9" s="10" t="n">
        <v>0.8908229721728833</v>
      </c>
      <c r="C9" s="19" t="n">
        <v>-4.210595818783999</v>
      </c>
      <c r="D9" t="inlineStr">
        <is>
          <t>否</t>
        </is>
      </c>
      <c r="E9" t="inlineStr">
        <is>
          <t>价格真实异动</t>
        </is>
      </c>
      <c r="F9" t="inlineStr">
        <is>
          <t>需回到当日两侧产业信息解释</t>
        </is>
      </c>
    </row>
    <row r="10">
      <c r="A10" s="7" t="inlineStr">
        <is>
          <t>2015-01-07</t>
        </is>
      </c>
      <c r="B10" s="10" t="n">
        <v>0.886873508353222</v>
      </c>
      <c r="C10" s="19" t="n">
        <v>-4.410959953380224</v>
      </c>
      <c r="D10" t="inlineStr">
        <is>
          <t>否</t>
        </is>
      </c>
      <c r="E10" t="inlineStr">
        <is>
          <t>价格真实异动</t>
        </is>
      </c>
      <c r="F10" t="inlineStr">
        <is>
          <t>需回到当日两侧产业信息解释</t>
        </is>
      </c>
    </row>
    <row r="11">
      <c r="A11" s="7" t="inlineStr">
        <is>
          <t>2015-01-08</t>
        </is>
      </c>
      <c r="B11" s="10" t="n">
        <v>0.8913148371531966</v>
      </c>
      <c r="C11" s="19" t="n">
        <v>-4.185642532561184</v>
      </c>
      <c r="D11" t="inlineStr">
        <is>
          <t>否</t>
        </is>
      </c>
      <c r="E11" t="inlineStr">
        <is>
          <t>价格真实异动</t>
        </is>
      </c>
      <c r="F11" t="inlineStr">
        <is>
          <t>需回到当日两侧产业信息解释</t>
        </is>
      </c>
    </row>
    <row r="12">
      <c r="A12" s="7" t="inlineStr">
        <is>
          <t>2015-01-09</t>
        </is>
      </c>
      <c r="B12" s="10" t="n">
        <v>0.8832612723903644</v>
      </c>
      <c r="C12" s="19" t="n">
        <v>-4.594215849801469</v>
      </c>
      <c r="D12" t="inlineStr">
        <is>
          <t>否</t>
        </is>
      </c>
      <c r="E12" t="inlineStr">
        <is>
          <t>价格真实异动</t>
        </is>
      </c>
      <c r="F12" t="inlineStr">
        <is>
          <t>需回到当日两侧产业信息解释</t>
        </is>
      </c>
    </row>
    <row r="13">
      <c r="A13" s="7" t="inlineStr">
        <is>
          <t>2015-01-12</t>
        </is>
      </c>
      <c r="B13" s="10" t="n">
        <v>0.8970112079701121</v>
      </c>
      <c r="C13" s="19" t="n">
        <v>-3.896654340445439</v>
      </c>
      <c r="D13" t="inlineStr">
        <is>
          <t>否</t>
        </is>
      </c>
      <c r="E13" t="inlineStr">
        <is>
          <t>价格真实异动</t>
        </is>
      </c>
      <c r="F13" t="inlineStr">
        <is>
          <t>需回到当日两侧产业信息解释</t>
        </is>
      </c>
    </row>
    <row r="14">
      <c r="A14" s="7" t="inlineStr">
        <is>
          <t>2015-01-13</t>
        </is>
      </c>
      <c r="B14" s="10" t="n">
        <v>0.8979387882573392</v>
      </c>
      <c r="C14" s="19" t="n">
        <v>-3.849596352322204</v>
      </c>
      <c r="D14" t="inlineStr">
        <is>
          <t>否</t>
        </is>
      </c>
      <c r="E14" t="inlineStr">
        <is>
          <t>价格真实异动</t>
        </is>
      </c>
      <c r="F14" t="inlineStr">
        <is>
          <t>需回到当日两侧产业信息解释</t>
        </is>
      </c>
    </row>
    <row r="15">
      <c r="A15" s="7" t="inlineStr">
        <is>
          <t>2015-01-14</t>
        </is>
      </c>
      <c r="B15" s="10" t="n">
        <v>0.8860307692307692</v>
      </c>
      <c r="C15" s="19" t="n">
        <v>-4.453713780904872</v>
      </c>
      <c r="D15" t="inlineStr">
        <is>
          <t>否</t>
        </is>
      </c>
      <c r="E15" t="inlineStr">
        <is>
          <t>价格真实异动</t>
        </is>
      </c>
      <c r="F15" t="inlineStr">
        <is>
          <t>需回到当日两侧产业信息解释</t>
        </is>
      </c>
    </row>
    <row r="16">
      <c r="A16" s="7" t="inlineStr">
        <is>
          <t>2015-01-15</t>
        </is>
      </c>
      <c r="B16" s="10" t="n">
        <v>0.8748803827751196</v>
      </c>
      <c r="C16" s="19" t="n">
        <v>-5.019395006158197</v>
      </c>
      <c r="D16" t="inlineStr">
        <is>
          <t>否</t>
        </is>
      </c>
      <c r="E16" t="inlineStr">
        <is>
          <t>价格真实异动</t>
        </is>
      </c>
      <c r="F16" t="inlineStr">
        <is>
          <t>需回到当日两侧产业信息解释</t>
        </is>
      </c>
    </row>
    <row r="17">
      <c r="A17" s="7" t="inlineStr">
        <is>
          <t>2015-01-16</t>
        </is>
      </c>
      <c r="B17" s="10" t="n">
        <v>0.8705035971223022</v>
      </c>
      <c r="C17" s="19" t="n">
        <v>-5.241438025079974</v>
      </c>
      <c r="D17" t="inlineStr">
        <is>
          <t>否</t>
        </is>
      </c>
      <c r="E17" t="inlineStr">
        <is>
          <t>价格真实异动</t>
        </is>
      </c>
      <c r="F17" t="inlineStr">
        <is>
          <t>需回到当日两侧产业信息解释</t>
        </is>
      </c>
    </row>
    <row r="18">
      <c r="A18" s="7" t="inlineStr">
        <is>
          <t>2015-01-19</t>
        </is>
      </c>
      <c r="B18" s="10" t="n">
        <v>0.875736160188457</v>
      </c>
      <c r="C18" s="19" t="n">
        <v>-4.850885263338965</v>
      </c>
      <c r="D18" t="inlineStr">
        <is>
          <t>否</t>
        </is>
      </c>
      <c r="E18" t="inlineStr">
        <is>
          <t>价格真实异动</t>
        </is>
      </c>
      <c r="F18" t="inlineStr">
        <is>
          <t>需回到当日两侧产业信息解释</t>
        </is>
      </c>
    </row>
    <row r="19">
      <c r="A19" s="7" t="inlineStr">
        <is>
          <t>2015-01-20</t>
        </is>
      </c>
      <c r="B19" s="10" t="n">
        <v>0.8729778310365488</v>
      </c>
      <c r="C19" s="19" t="n">
        <v>-4.872304454075893</v>
      </c>
      <c r="D19" t="inlineStr">
        <is>
          <t>否</t>
        </is>
      </c>
      <c r="E19" t="inlineStr">
        <is>
          <t>价格真实异动</t>
        </is>
      </c>
      <c r="F19" t="inlineStr">
        <is>
          <t>需回到当日两侧产业信息解释</t>
        </is>
      </c>
    </row>
    <row r="20">
      <c r="A20" s="7" t="inlineStr">
        <is>
          <t>2015-01-21</t>
        </is>
      </c>
      <c r="B20" s="10" t="n">
        <v>0.8706508875739645</v>
      </c>
      <c r="C20" s="19" t="n">
        <v>-4.814406060312732</v>
      </c>
      <c r="D20" t="inlineStr">
        <is>
          <t>否</t>
        </is>
      </c>
      <c r="E20" t="inlineStr">
        <is>
          <t>价格真实异动</t>
        </is>
      </c>
      <c r="F20" t="inlineStr">
        <is>
          <t>需回到当日两侧产业信息解释</t>
        </is>
      </c>
    </row>
    <row r="21">
      <c r="A21" s="7" t="inlineStr">
        <is>
          <t>2015-01-22</t>
        </is>
      </c>
      <c r="B21" s="10" t="n">
        <v>0.8741666666666666</v>
      </c>
      <c r="C21" s="19" t="n">
        <v>-4.464336063730766</v>
      </c>
      <c r="D21" t="inlineStr">
        <is>
          <t>否</t>
        </is>
      </c>
      <c r="E21" t="inlineStr">
        <is>
          <t>价格真实异动</t>
        </is>
      </c>
      <c r="F21" t="inlineStr">
        <is>
          <t>需回到当日两侧产业信息解释</t>
        </is>
      </c>
    </row>
    <row r="22">
      <c r="A22" s="7" t="inlineStr">
        <is>
          <t>2015-01-23</t>
        </is>
      </c>
      <c r="B22" s="10" t="n">
        <v>0.8791866028708134</v>
      </c>
      <c r="C22" s="19" t="n">
        <v>-4.135339745460447</v>
      </c>
      <c r="D22" t="inlineStr">
        <is>
          <t>否</t>
        </is>
      </c>
      <c r="E22" t="inlineStr">
        <is>
          <t>价格真实异动</t>
        </is>
      </c>
      <c r="F22" t="inlineStr">
        <is>
          <t>需回到当日两侧产业信息解释</t>
        </is>
      </c>
    </row>
    <row r="23">
      <c r="A23" s="7" t="inlineStr">
        <is>
          <t>2015-01-26</t>
        </is>
      </c>
      <c r="B23" s="10" t="n">
        <v>0.8855562384757222</v>
      </c>
      <c r="C23" s="19" t="n">
        <v>-3.770919671609417</v>
      </c>
      <c r="D23" t="inlineStr">
        <is>
          <t>否</t>
        </is>
      </c>
      <c r="E23" t="inlineStr">
        <is>
          <t>价格真实异动</t>
        </is>
      </c>
      <c r="F23" t="inlineStr">
        <is>
          <t>需回到当日两侧产业信息解释</t>
        </is>
      </c>
    </row>
    <row r="24">
      <c r="A24" s="7" t="inlineStr">
        <is>
          <t>2015-01-27</t>
        </is>
      </c>
      <c r="B24" s="10" t="n">
        <v>0.8821733821733821</v>
      </c>
      <c r="C24" s="19" t="n">
        <v>-3.919671570940221</v>
      </c>
      <c r="D24" t="inlineStr">
        <is>
          <t>否</t>
        </is>
      </c>
      <c r="E24" t="inlineStr">
        <is>
          <t>价格真实异动</t>
        </is>
      </c>
      <c r="F24" t="inlineStr">
        <is>
          <t>需回到当日两侧产业信息解释</t>
        </is>
      </c>
    </row>
    <row r="25">
      <c r="A25" s="7" t="inlineStr">
        <is>
          <t>2015-01-28</t>
        </is>
      </c>
      <c r="B25" s="10" t="n">
        <v>0.8834340991535671</v>
      </c>
      <c r="C25" s="19" t="n">
        <v>-3.864234972823009</v>
      </c>
      <c r="D25" t="inlineStr">
        <is>
          <t>否</t>
        </is>
      </c>
      <c r="E25" t="inlineStr">
        <is>
          <t>价格真实异动</t>
        </is>
      </c>
      <c r="F25" t="inlineStr">
        <is>
          <t>需回到当日两侧产业信息解释</t>
        </is>
      </c>
    </row>
    <row r="26">
      <c r="A26" s="7" t="inlineStr">
        <is>
          <t>2015-01-29</t>
        </is>
      </c>
      <c r="B26" s="10" t="n">
        <v>0.8793248945147679</v>
      </c>
      <c r="C26" s="19" t="n">
        <v>-4.044926063466586</v>
      </c>
      <c r="D26" t="inlineStr">
        <is>
          <t>否</t>
        </is>
      </c>
      <c r="E26" t="inlineStr">
        <is>
          <t>价格真实异动</t>
        </is>
      </c>
      <c r="F26" t="inlineStr">
        <is>
          <t>需回到当日两侧产业信息解释</t>
        </is>
      </c>
    </row>
    <row r="27">
      <c r="A27" s="7" t="inlineStr">
        <is>
          <t>2015-01-30</t>
        </is>
      </c>
      <c r="B27" s="10" t="n">
        <v>0.8840171463563993</v>
      </c>
      <c r="C27" s="19" t="n">
        <v>-3.83859705886231</v>
      </c>
      <c r="D27" t="inlineStr">
        <is>
          <t>否</t>
        </is>
      </c>
      <c r="E27" t="inlineStr">
        <is>
          <t>价格真实异动</t>
        </is>
      </c>
      <c r="F27" t="inlineStr">
        <is>
          <t>需回到当日两侧产业信息解释</t>
        </is>
      </c>
    </row>
    <row r="28">
      <c r="A28" s="7" t="inlineStr">
        <is>
          <t>2015-02-02</t>
        </is>
      </c>
      <c r="B28" s="10" t="n">
        <v>0.8792835820895523</v>
      </c>
      <c r="C28" s="19" t="n">
        <v>-4.0467426649322</v>
      </c>
      <c r="D28" t="inlineStr">
        <is>
          <t>否</t>
        </is>
      </c>
      <c r="E28" t="inlineStr">
        <is>
          <t>价格真实异动</t>
        </is>
      </c>
      <c r="F28" t="inlineStr">
        <is>
          <t>需回到当日两侧产业信息解释</t>
        </is>
      </c>
    </row>
    <row r="29">
      <c r="A29" s="7" t="inlineStr">
        <is>
          <t>2015-02-03</t>
        </is>
      </c>
      <c r="B29" s="10" t="n">
        <v>0.8792584009269988</v>
      </c>
      <c r="C29" s="19" t="n">
        <v>-4.047849938024052</v>
      </c>
      <c r="D29" t="inlineStr">
        <is>
          <t>否</t>
        </is>
      </c>
      <c r="E29" t="inlineStr">
        <is>
          <t>价格真实异动</t>
        </is>
      </c>
      <c r="F29" t="inlineStr">
        <is>
          <t>需回到当日两侧产业信息解释</t>
        </is>
      </c>
    </row>
    <row r="30">
      <c r="A30" s="7" t="inlineStr">
        <is>
          <t>2015-06-23</t>
        </is>
      </c>
      <c r="B30" s="10" t="n">
        <v>0.9431757833244823</v>
      </c>
      <c r="C30" s="19" t="n">
        <v>5.74844442181256</v>
      </c>
      <c r="D30" t="inlineStr">
        <is>
          <t>否</t>
        </is>
      </c>
      <c r="E30" t="inlineStr">
        <is>
          <t>价格真实异动</t>
        </is>
      </c>
      <c r="F30" t="inlineStr">
        <is>
          <t>需回到当日两侧产业信息解释</t>
        </is>
      </c>
    </row>
    <row r="31">
      <c r="A31" s="7" t="inlineStr">
        <is>
          <t>2015-10-30</t>
        </is>
      </c>
      <c r="B31" s="10" t="n">
        <v>0.8298362644026683</v>
      </c>
      <c r="C31" s="19" t="n">
        <v>-3.782073631472138</v>
      </c>
      <c r="D31" t="inlineStr">
        <is>
          <t>否</t>
        </is>
      </c>
      <c r="E31" t="inlineStr">
        <is>
          <t>价格真实异动</t>
        </is>
      </c>
      <c r="F31" t="inlineStr">
        <is>
          <t>需回到当日两侧产业信息解释</t>
        </is>
      </c>
    </row>
    <row r="32">
      <c r="A32" s="7" t="inlineStr">
        <is>
          <t>2015-11-02</t>
        </is>
      </c>
      <c r="B32" s="10" t="n">
        <v>0.8286059143029572</v>
      </c>
      <c r="C32" s="19" t="n">
        <v>-3.687470561410192</v>
      </c>
      <c r="D32" t="inlineStr">
        <is>
          <t>否</t>
        </is>
      </c>
      <c r="E32" t="inlineStr">
        <is>
          <t>价格真实异动</t>
        </is>
      </c>
      <c r="F32" t="inlineStr">
        <is>
          <t>需回到当日两侧产业信息解释</t>
        </is>
      </c>
    </row>
    <row r="33">
      <c r="A33" s="7" t="inlineStr">
        <is>
          <t>2015-11-03</t>
        </is>
      </c>
      <c r="B33" s="10" t="n">
        <v>0.8253195374315276</v>
      </c>
      <c r="C33" s="19" t="n">
        <v>-3.783492709056596</v>
      </c>
      <c r="D33" t="inlineStr">
        <is>
          <t>否</t>
        </is>
      </c>
      <c r="E33" t="inlineStr">
        <is>
          <t>价格真实异动</t>
        </is>
      </c>
      <c r="F33" t="inlineStr">
        <is>
          <t>需回到当日两侧产业信息解释</t>
        </is>
      </c>
    </row>
    <row r="34">
      <c r="A34" s="7" t="inlineStr">
        <is>
          <t>2015-11-04</t>
        </is>
      </c>
      <c r="B34" s="10" t="n">
        <v>0.8221686746987952</v>
      </c>
      <c r="C34" s="19" t="n">
        <v>-3.890920930094308</v>
      </c>
      <c r="D34" t="inlineStr">
        <is>
          <t>否</t>
        </is>
      </c>
      <c r="E34" t="inlineStr">
        <is>
          <t>价格真实异动</t>
        </is>
      </c>
      <c r="F34" t="inlineStr">
        <is>
          <t>需回到当日两侧产业信息解释</t>
        </is>
      </c>
    </row>
    <row r="35">
      <c r="A35" s="7" t="inlineStr">
        <is>
          <t>2015-11-06</t>
        </is>
      </c>
      <c r="B35" s="10" t="n">
        <v>0.821604938271605</v>
      </c>
      <c r="C35" s="19" t="n">
        <v>-3.843923715511048</v>
      </c>
      <c r="D35" t="inlineStr">
        <is>
          <t>否</t>
        </is>
      </c>
      <c r="E35" t="inlineStr">
        <is>
          <t>价格真实异动</t>
        </is>
      </c>
      <c r="F35" t="inlineStr">
        <is>
          <t>需回到当日两侧产业信息解释</t>
        </is>
      </c>
    </row>
    <row r="36">
      <c r="A36" s="7" t="inlineStr">
        <is>
          <t>2015-11-09</t>
        </is>
      </c>
      <c r="B36" s="10" t="n">
        <v>0.8233830845771144</v>
      </c>
      <c r="C36" s="19" t="n">
        <v>-3.714690291576485</v>
      </c>
      <c r="D36" t="inlineStr">
        <is>
          <t>否</t>
        </is>
      </c>
      <c r="E36" t="inlineStr">
        <is>
          <t>价格真实异动</t>
        </is>
      </c>
      <c r="F36" t="inlineStr">
        <is>
          <t>需回到当日两侧产业信息解释</t>
        </is>
      </c>
    </row>
    <row r="37">
      <c r="A37" s="7" t="inlineStr">
        <is>
          <t>2015-11-10</t>
        </is>
      </c>
      <c r="B37" s="10" t="n">
        <v>0.8123364485981308</v>
      </c>
      <c r="C37" s="19" t="n">
        <v>-4.059477679081236</v>
      </c>
      <c r="D37" t="inlineStr">
        <is>
          <t>否</t>
        </is>
      </c>
      <c r="E37" t="inlineStr">
        <is>
          <t>价格真实异动</t>
        </is>
      </c>
      <c r="F37" t="inlineStr">
        <is>
          <t>需回到当日两侧产业信息解释</t>
        </is>
      </c>
    </row>
    <row r="38">
      <c r="A38" s="7" t="inlineStr">
        <is>
          <t>2015-11-11</t>
        </is>
      </c>
      <c r="B38" s="10" t="n">
        <v>0.8077066500932256</v>
      </c>
      <c r="C38" s="19" t="n">
        <v>-4.097452800700257</v>
      </c>
      <c r="D38" t="inlineStr">
        <is>
          <t>否</t>
        </is>
      </c>
      <c r="E38" t="inlineStr">
        <is>
          <t>价格真实异动</t>
        </is>
      </c>
      <c r="F38" t="inlineStr">
        <is>
          <t>需回到当日两侧产业信息解释</t>
        </is>
      </c>
    </row>
    <row r="39">
      <c r="A39" s="7" t="inlineStr">
        <is>
          <t>2015-11-12</t>
        </is>
      </c>
      <c r="B39" s="10" t="n">
        <v>0.8053515868077162</v>
      </c>
      <c r="C39" s="19" t="n">
        <v>-4.183505469781071</v>
      </c>
      <c r="D39" t="inlineStr">
        <is>
          <t>否</t>
        </is>
      </c>
      <c r="E39" t="inlineStr">
        <is>
          <t>价格真实异动</t>
        </is>
      </c>
      <c r="F39" t="inlineStr">
        <is>
          <t>需回到当日两侧产业信息解释</t>
        </is>
      </c>
    </row>
    <row r="40">
      <c r="A40" s="7" t="inlineStr">
        <is>
          <t>2015-11-13</t>
        </is>
      </c>
      <c r="B40" s="10" t="n">
        <v>0.8019083969465649</v>
      </c>
      <c r="C40" s="19" t="n">
        <v>-4.242937506920311</v>
      </c>
      <c r="D40" t="inlineStr">
        <is>
          <t>否</t>
        </is>
      </c>
      <c r="E40" t="inlineStr">
        <is>
          <t>价格真实异动</t>
        </is>
      </c>
      <c r="F40" t="inlineStr">
        <is>
          <t>需回到当日两侧产业信息解释</t>
        </is>
      </c>
    </row>
    <row r="41">
      <c r="A41" s="7" t="inlineStr">
        <is>
          <t>2015-11-16</t>
        </is>
      </c>
      <c r="B41" s="10" t="n">
        <v>0.7878903760356916</v>
      </c>
      <c r="C41" s="19" t="n">
        <v>-4.755850113449804</v>
      </c>
      <c r="D41" t="inlineStr">
        <is>
          <t>否</t>
        </is>
      </c>
      <c r="E41" t="inlineStr">
        <is>
          <t>价格真实异动</t>
        </is>
      </c>
      <c r="F41" t="inlineStr">
        <is>
          <t>需回到当日两侧产业信息解释</t>
        </is>
      </c>
    </row>
    <row r="42">
      <c r="A42" s="7" t="inlineStr">
        <is>
          <t>2015-11-17</t>
        </is>
      </c>
      <c r="B42" s="10" t="n">
        <v>0.78239392020266</v>
      </c>
      <c r="C42" s="19" t="n">
        <v>-5.010304606297201</v>
      </c>
      <c r="D42" t="inlineStr">
        <is>
          <t>否</t>
        </is>
      </c>
      <c r="E42" t="inlineStr">
        <is>
          <t>价格真实异动</t>
        </is>
      </c>
      <c r="F42" t="inlineStr">
        <is>
          <t>需回到当日两侧产业信息解释</t>
        </is>
      </c>
    </row>
    <row r="43">
      <c r="A43" s="7" t="inlineStr">
        <is>
          <t>2015-11-18</t>
        </is>
      </c>
      <c r="B43" s="10" t="n">
        <v>0.7952411575562701</v>
      </c>
      <c r="C43" s="19" t="n">
        <v>-4.282540542550148</v>
      </c>
      <c r="D43" t="inlineStr">
        <is>
          <t>否</t>
        </is>
      </c>
      <c r="E43" t="inlineStr">
        <is>
          <t>价格真实异动</t>
        </is>
      </c>
      <c r="F43" t="inlineStr">
        <is>
          <t>需回到当日两侧产业信息解释</t>
        </is>
      </c>
    </row>
    <row r="44">
      <c r="A44" s="7" t="inlineStr">
        <is>
          <t>2015-11-19</t>
        </is>
      </c>
      <c r="B44" s="10" t="n">
        <v>0.7985732814526589</v>
      </c>
      <c r="C44" s="19" t="n">
        <v>-3.912299698482631</v>
      </c>
      <c r="D44" t="inlineStr">
        <is>
          <t>否</t>
        </is>
      </c>
      <c r="E44" t="inlineStr">
        <is>
          <t>价格真实异动</t>
        </is>
      </c>
      <c r="F44" t="inlineStr">
        <is>
          <t>需回到当日两侧产业信息解释</t>
        </is>
      </c>
    </row>
    <row r="45">
      <c r="A45" s="7" t="inlineStr">
        <is>
          <t>2015-11-20</t>
        </is>
      </c>
      <c r="B45" s="10" t="n">
        <v>0.7844018506278916</v>
      </c>
      <c r="C45" s="19" t="n">
        <v>-4.360582358984158</v>
      </c>
      <c r="D45" t="inlineStr">
        <is>
          <t>否</t>
        </is>
      </c>
      <c r="E45" t="inlineStr">
        <is>
          <t>价格真实异动</t>
        </is>
      </c>
      <c r="F45" t="inlineStr">
        <is>
          <t>需回到当日两侧产业信息解释</t>
        </is>
      </c>
    </row>
    <row r="46">
      <c r="A46" s="7" t="inlineStr">
        <is>
          <t>2015-11-23</t>
        </is>
      </c>
      <c r="B46" s="10" t="n">
        <v>0.7456436931079323</v>
      </c>
      <c r="C46" s="19" t="n">
        <v>-6.04917295518159</v>
      </c>
      <c r="D46" t="inlineStr">
        <is>
          <t>否</t>
        </is>
      </c>
      <c r="E46" t="inlineStr">
        <is>
          <t>价格真实异动</t>
        </is>
      </c>
      <c r="F46" t="inlineStr">
        <is>
          <t>需回到当日两侧产业信息解释</t>
        </is>
      </c>
    </row>
    <row r="47">
      <c r="A47" s="7" t="inlineStr">
        <is>
          <t>2015-11-24</t>
        </is>
      </c>
      <c r="B47" s="10" t="n">
        <v>0.7525252525252525</v>
      </c>
      <c r="C47" s="19" t="n">
        <v>-5.589028675453616</v>
      </c>
      <c r="D47" t="inlineStr">
        <is>
          <t>否</t>
        </is>
      </c>
      <c r="E47" t="inlineStr">
        <is>
          <t>价格真实异动</t>
        </is>
      </c>
      <c r="F47" t="inlineStr">
        <is>
          <t>需回到当日两侧产业信息解释</t>
        </is>
      </c>
    </row>
    <row r="48">
      <c r="A48" s="7" t="inlineStr">
        <is>
          <t>2015-11-25</t>
        </is>
      </c>
      <c r="B48" s="10" t="n">
        <v>0.69125</v>
      </c>
      <c r="C48" s="19" t="n">
        <v>-8.190980303193664</v>
      </c>
      <c r="D48" t="inlineStr">
        <is>
          <t>否</t>
        </is>
      </c>
      <c r="E48" t="inlineStr">
        <is>
          <t>价格真实异动</t>
        </is>
      </c>
      <c r="F48" t="inlineStr">
        <is>
          <t>需回到当日两侧产业信息解释</t>
        </is>
      </c>
    </row>
    <row r="49">
      <c r="A49" s="7" t="inlineStr">
        <is>
          <t>2015-11-26</t>
        </is>
      </c>
      <c r="B49" s="10" t="n">
        <v>0.7694369973190348</v>
      </c>
      <c r="C49" s="19" t="n">
        <v>-4.687218030348474</v>
      </c>
      <c r="D49" t="inlineStr">
        <is>
          <t>否</t>
        </is>
      </c>
      <c r="E49" t="inlineStr">
        <is>
          <t>价格真实异动</t>
        </is>
      </c>
      <c r="F49" t="inlineStr">
        <is>
          <t>需回到当日两侧产业信息解释</t>
        </is>
      </c>
    </row>
    <row r="50">
      <c r="A50" s="7" t="inlineStr">
        <is>
          <t>2015-11-27</t>
        </is>
      </c>
      <c r="B50" s="10" t="n">
        <v>0.776135593220339</v>
      </c>
      <c r="C50" s="19" t="n">
        <v>-4.320671391162519</v>
      </c>
      <c r="D50" t="inlineStr">
        <is>
          <t>否</t>
        </is>
      </c>
      <c r="E50" t="inlineStr">
        <is>
          <t>价格真实异动</t>
        </is>
      </c>
      <c r="F50" t="inlineStr">
        <is>
          <t>需回到当日两侧产业信息解释</t>
        </is>
      </c>
    </row>
    <row r="51">
      <c r="A51" s="7" t="inlineStr">
        <is>
          <t>2015-11-30</t>
        </is>
      </c>
      <c r="B51" s="10" t="n">
        <v>0.7614247311827957</v>
      </c>
      <c r="C51" s="19" t="n">
        <v>-4.833490616094342</v>
      </c>
      <c r="D51" t="inlineStr">
        <is>
          <t>否</t>
        </is>
      </c>
      <c r="E51" t="inlineStr">
        <is>
          <t>价格真实异动</t>
        </is>
      </c>
      <c r="F51" t="inlineStr">
        <is>
          <t>需回到当日两侧产业信息解释</t>
        </is>
      </c>
    </row>
    <row r="52">
      <c r="A52" s="7" t="inlineStr">
        <is>
          <t>2015-12-01</t>
        </is>
      </c>
      <c r="B52" s="10" t="n">
        <v>0.7733510992671553</v>
      </c>
      <c r="C52" s="19" t="n">
        <v>-4.110642918436028</v>
      </c>
      <c r="D52" t="inlineStr">
        <is>
          <t>否</t>
        </is>
      </c>
      <c r="E52" t="inlineStr">
        <is>
          <t>价格真实异动</t>
        </is>
      </c>
      <c r="F52" t="inlineStr">
        <is>
          <t>需回到当日两侧产业信息解释</t>
        </is>
      </c>
    </row>
    <row r="53">
      <c r="A53" s="7" t="inlineStr">
        <is>
          <t>2015-12-02</t>
        </is>
      </c>
      <c r="B53" s="10" t="n">
        <v>0.7744795164539959</v>
      </c>
      <c r="C53" s="19" t="n">
        <v>-4.008219502144231</v>
      </c>
      <c r="D53" t="inlineStr">
        <is>
          <t>否</t>
        </is>
      </c>
      <c r="E53" t="inlineStr">
        <is>
          <t>价格真实异动</t>
        </is>
      </c>
      <c r="F53" t="inlineStr">
        <is>
          <t>需回到当日两侧产业信息解释</t>
        </is>
      </c>
    </row>
    <row r="54">
      <c r="A54" s="7" t="inlineStr">
        <is>
          <t>2015-12-03</t>
        </is>
      </c>
      <c r="B54" s="10" t="n">
        <v>0.7764784946236559</v>
      </c>
      <c r="C54" s="19" t="n">
        <v>-3.791323880693645</v>
      </c>
      <c r="D54" t="inlineStr">
        <is>
          <t>否</t>
        </is>
      </c>
      <c r="E54" t="inlineStr">
        <is>
          <t>价格真实异动</t>
        </is>
      </c>
      <c r="F54" t="inlineStr">
        <is>
          <t>需回到当日两侧产业信息解释</t>
        </is>
      </c>
    </row>
    <row r="55">
      <c r="A55" s="7" t="inlineStr">
        <is>
          <t>2015-12-04</t>
        </is>
      </c>
      <c r="B55" s="10" t="n">
        <v>0.7709655638082377</v>
      </c>
      <c r="C55" s="19" t="n">
        <v>-3.85406107446153</v>
      </c>
      <c r="D55" t="inlineStr">
        <is>
          <t>否</t>
        </is>
      </c>
      <c r="E55" t="inlineStr">
        <is>
          <t>价格真实异动</t>
        </is>
      </c>
      <c r="F55" t="inlineStr">
        <is>
          <t>需回到当日两侧产业信息解释</t>
        </is>
      </c>
    </row>
    <row r="56">
      <c r="A56" s="7" t="inlineStr">
        <is>
          <t>2015-12-07</t>
        </is>
      </c>
      <c r="B56" s="10" t="n">
        <v>0.7643908969210174</v>
      </c>
      <c r="C56" s="19" t="n">
        <v>-3.965565464430736</v>
      </c>
      <c r="D56" t="inlineStr">
        <is>
          <t>否</t>
        </is>
      </c>
      <c r="E56" t="inlineStr">
        <is>
          <t>价格真实异动</t>
        </is>
      </c>
      <c r="F56" t="inlineStr">
        <is>
          <t>需回到当日两侧产业信息解释</t>
        </is>
      </c>
    </row>
    <row r="57">
      <c r="A57" s="7" t="inlineStr">
        <is>
          <t>2015-12-08</t>
        </is>
      </c>
      <c r="B57" s="10" t="n">
        <v>0.7557732680195941</v>
      </c>
      <c r="C57" s="19" t="n">
        <v>-4.219697302625208</v>
      </c>
      <c r="D57" t="inlineStr">
        <is>
          <t>否</t>
        </is>
      </c>
      <c r="E57" t="inlineStr">
        <is>
          <t>价格真实异动</t>
        </is>
      </c>
      <c r="F57" t="inlineStr">
        <is>
          <t>需回到当日两侧产业信息解释</t>
        </is>
      </c>
    </row>
    <row r="58">
      <c r="A58" s="7" t="inlineStr">
        <is>
          <t>2015-12-09</t>
        </is>
      </c>
      <c r="B58" s="10" t="n">
        <v>0.7466758053461274</v>
      </c>
      <c r="C58" s="19" t="n">
        <v>-4.36490387217146</v>
      </c>
      <c r="D58" t="inlineStr">
        <is>
          <t>否</t>
        </is>
      </c>
      <c r="E58" t="inlineStr">
        <is>
          <t>价格真实异动</t>
        </is>
      </c>
      <c r="F58" t="inlineStr">
        <is>
          <t>需回到当日两侧产业信息解释</t>
        </is>
      </c>
    </row>
    <row r="59">
      <c r="A59" s="7" t="inlineStr">
        <is>
          <t>2015-12-10</t>
        </is>
      </c>
      <c r="B59" s="10" t="n">
        <v>0.7366576819407008</v>
      </c>
      <c r="C59" s="19" t="n">
        <v>-4.51222587329131</v>
      </c>
      <c r="D59" t="inlineStr">
        <is>
          <t>否</t>
        </is>
      </c>
      <c r="E59" t="inlineStr">
        <is>
          <t>价格真实异动</t>
        </is>
      </c>
      <c r="F59" t="inlineStr">
        <is>
          <t>需回到当日两侧产业信息解释</t>
        </is>
      </c>
    </row>
    <row r="60">
      <c r="A60" s="7" t="inlineStr">
        <is>
          <t>2015-12-11</t>
        </is>
      </c>
      <c r="B60" s="10" t="n">
        <v>0.7337349397590361</v>
      </c>
      <c r="C60" s="19" t="n">
        <v>-4.441540889487762</v>
      </c>
      <c r="D60" t="inlineStr">
        <is>
          <t>否</t>
        </is>
      </c>
      <c r="E60" t="inlineStr">
        <is>
          <t>价格真实异动</t>
        </is>
      </c>
      <c r="F60" t="inlineStr">
        <is>
          <t>需回到当日两侧产业信息解释</t>
        </is>
      </c>
    </row>
    <row r="61">
      <c r="A61" s="7" t="inlineStr">
        <is>
          <t>2015-12-14</t>
        </is>
      </c>
      <c r="B61" s="10" t="n">
        <v>0.7336877076411961</v>
      </c>
      <c r="C61" s="19" t="n">
        <v>-4.374473429627159</v>
      </c>
      <c r="D61" t="inlineStr">
        <is>
          <t>否</t>
        </is>
      </c>
      <c r="E61" t="inlineStr">
        <is>
          <t>价格真实异动</t>
        </is>
      </c>
      <c r="F61" t="inlineStr">
        <is>
          <t>需回到当日两侧产业信息解释</t>
        </is>
      </c>
    </row>
    <row r="62">
      <c r="A62" s="7" t="inlineStr">
        <is>
          <t>2015-12-15</t>
        </is>
      </c>
      <c r="B62" s="10" t="n">
        <v>0.7408450704225352</v>
      </c>
      <c r="C62" s="19" t="n">
        <v>-4.087275922928659</v>
      </c>
      <c r="D62" t="inlineStr">
        <is>
          <t>否</t>
        </is>
      </c>
      <c r="E62" t="inlineStr">
        <is>
          <t>价格真实异动</t>
        </is>
      </c>
      <c r="F62" t="inlineStr">
        <is>
          <t>需回到当日两侧产业信息解释</t>
        </is>
      </c>
    </row>
    <row r="63">
      <c r="A63" s="7" t="inlineStr">
        <is>
          <t>2015-12-16</t>
        </is>
      </c>
      <c r="B63" s="10" t="n">
        <v>0.7381745502998002</v>
      </c>
      <c r="C63" s="19" t="n">
        <v>-4.123252882588725</v>
      </c>
      <c r="D63" t="inlineStr">
        <is>
          <t>否</t>
        </is>
      </c>
      <c r="E63" t="inlineStr">
        <is>
          <t>价格真实异动</t>
        </is>
      </c>
      <c r="F63" t="inlineStr">
        <is>
          <t>需回到当日两侧产业信息解释</t>
        </is>
      </c>
    </row>
    <row r="64">
      <c r="A64" s="7" t="inlineStr">
        <is>
          <t>2015-12-17</t>
        </is>
      </c>
      <c r="B64" s="10" t="n">
        <v>0.7406563965170797</v>
      </c>
      <c r="C64" s="19" t="n">
        <v>-3.978829598487816</v>
      </c>
      <c r="D64" t="inlineStr">
        <is>
          <t>否</t>
        </is>
      </c>
      <c r="E64" t="inlineStr">
        <is>
          <t>价格真实异动</t>
        </is>
      </c>
      <c r="F64" t="inlineStr">
        <is>
          <t>需回到当日两侧产业信息解释</t>
        </is>
      </c>
    </row>
    <row r="65">
      <c r="A65" s="7" t="inlineStr">
        <is>
          <t>2015-12-18</t>
        </is>
      </c>
      <c r="B65" s="10" t="n">
        <v>0.7274509803921568</v>
      </c>
      <c r="C65" s="19" t="n">
        <v>-4.252326497367896</v>
      </c>
      <c r="D65" t="inlineStr">
        <is>
          <t>否</t>
        </is>
      </c>
      <c r="E65" t="inlineStr">
        <is>
          <t>价格真实异动</t>
        </is>
      </c>
      <c r="F65" t="inlineStr">
        <is>
          <t>需回到当日两侧产业信息解释</t>
        </is>
      </c>
    </row>
    <row r="66">
      <c r="A66" s="7" t="inlineStr">
        <is>
          <t>2015-12-21</t>
        </is>
      </c>
      <c r="B66" s="10" t="n">
        <v>0.7415045395590143</v>
      </c>
      <c r="C66" s="19" t="n">
        <v>-3.76736253014439</v>
      </c>
      <c r="D66" t="inlineStr">
        <is>
          <t>否</t>
        </is>
      </c>
      <c r="E66" t="inlineStr">
        <is>
          <t>价格真实异动</t>
        </is>
      </c>
      <c r="F66" t="inlineStr">
        <is>
          <t>需回到当日两侧产业信息解释</t>
        </is>
      </c>
    </row>
    <row r="67">
      <c r="A67" s="7" t="inlineStr">
        <is>
          <t>2015-12-22</t>
        </is>
      </c>
      <c r="B67" s="10" t="n">
        <v>0.740920716112532</v>
      </c>
      <c r="C67" s="19" t="n">
        <v>-3.70304165704511</v>
      </c>
      <c r="D67" t="inlineStr">
        <is>
          <t>否</t>
        </is>
      </c>
      <c r="E67" t="inlineStr">
        <is>
          <t>价格真实异动</t>
        </is>
      </c>
      <c r="F67" t="inlineStr">
        <is>
          <t>需回到当日两侧产业信息解释</t>
        </is>
      </c>
    </row>
    <row r="68">
      <c r="A68" s="7" t="inlineStr">
        <is>
          <t>2015-12-23</t>
        </is>
      </c>
      <c r="B68" s="10" t="n">
        <v>0.7331214240305149</v>
      </c>
      <c r="C68" s="19" t="n">
        <v>-3.856588422868855</v>
      </c>
      <c r="D68" t="inlineStr">
        <is>
          <t>否</t>
        </is>
      </c>
      <c r="E68" t="inlineStr">
        <is>
          <t>价格真实异动</t>
        </is>
      </c>
      <c r="F68" t="inlineStr">
        <is>
          <t>需回到当日两侧产业信息解释</t>
        </is>
      </c>
    </row>
    <row r="69">
      <c r="A69" s="7" t="inlineStr">
        <is>
          <t>2019-12-12</t>
        </is>
      </c>
      <c r="B69" s="10" t="n">
        <v>1.047988904299584</v>
      </c>
      <c r="C69" s="19" t="n">
        <v>-3.768281519100225</v>
      </c>
      <c r="D69" s="9" t="inlineStr">
        <is>
          <t>是</t>
        </is>
      </c>
      <c r="E69" t="inlineStr">
        <is>
          <t>换月跳空（数据原因）</t>
        </is>
      </c>
      <c r="F69" t="inlineStr">
        <is>
          <t>不作为产业信号，单独披露</t>
        </is>
      </c>
    </row>
    <row r="70">
      <c r="A70" s="7" t="inlineStr">
        <is>
          <t>2019-12-13</t>
        </is>
      </c>
      <c r="B70" s="10" t="n">
        <v>1.038762886597938</v>
      </c>
      <c r="C70" s="19" t="n">
        <v>-4.396265348918294</v>
      </c>
      <c r="D70" t="inlineStr">
        <is>
          <t>否</t>
        </is>
      </c>
      <c r="E70" t="inlineStr">
        <is>
          <t>价格真实异动</t>
        </is>
      </c>
      <c r="F70" t="inlineStr">
        <is>
          <t>需回到当日两侧产业信息解释</t>
        </is>
      </c>
    </row>
    <row r="71">
      <c r="A71" s="7" t="inlineStr">
        <is>
          <t>2019-12-16</t>
        </is>
      </c>
      <c r="B71" s="10" t="n">
        <v>1.042661179698217</v>
      </c>
      <c r="C71" s="19" t="n">
        <v>-4.130921718542461</v>
      </c>
      <c r="D71" t="inlineStr">
        <is>
          <t>否</t>
        </is>
      </c>
      <c r="E71" t="inlineStr">
        <is>
          <t>价格真实异动</t>
        </is>
      </c>
      <c r="F71" t="inlineStr">
        <is>
          <t>需回到当日两侧产业信息解释</t>
        </is>
      </c>
    </row>
    <row r="72">
      <c r="A72" s="7" t="inlineStr">
        <is>
          <t>2019-12-17</t>
        </is>
      </c>
      <c r="B72" s="10" t="n">
        <v>1.034364261168385</v>
      </c>
      <c r="C72" s="19" t="n">
        <v>-4.695664909217558</v>
      </c>
      <c r="D72" t="inlineStr">
        <is>
          <t>否</t>
        </is>
      </c>
      <c r="E72" t="inlineStr">
        <is>
          <t>价格真实异动</t>
        </is>
      </c>
      <c r="F72" t="inlineStr">
        <is>
          <t>需回到当日两侧产业信息解释</t>
        </is>
      </c>
    </row>
    <row r="73">
      <c r="A73" s="7" t="inlineStr">
        <is>
          <t>2019-12-18</t>
        </is>
      </c>
      <c r="B73" s="10" t="n">
        <v>1.030227743271221</v>
      </c>
      <c r="C73" s="19" t="n">
        <v>-4.977223696028512</v>
      </c>
      <c r="D73" t="inlineStr">
        <is>
          <t>否</t>
        </is>
      </c>
      <c r="E73" t="inlineStr">
        <is>
          <t>价格真实异动</t>
        </is>
      </c>
      <c r="F73" t="inlineStr">
        <is>
          <t>需回到当日两侧产业信息解释</t>
        </is>
      </c>
    </row>
    <row r="74">
      <c r="A74" s="7" t="inlineStr">
        <is>
          <t>2019-12-19</t>
        </is>
      </c>
      <c r="B74" s="10" t="n">
        <v>1.033562585969739</v>
      </c>
      <c r="C74" s="19" t="n">
        <v>-4.750232229354643</v>
      </c>
      <c r="D74" t="inlineStr">
        <is>
          <t>否</t>
        </is>
      </c>
      <c r="E74" t="inlineStr">
        <is>
          <t>价格真实异动</t>
        </is>
      </c>
      <c r="F74" t="inlineStr">
        <is>
          <t>需回到当日两侧产业信息解释</t>
        </is>
      </c>
    </row>
    <row r="75">
      <c r="A75" s="7" t="inlineStr">
        <is>
          <t>2019-12-20</t>
        </is>
      </c>
      <c r="B75" s="10" t="n">
        <v>1.026057298772169</v>
      </c>
      <c r="C75" s="19" t="n">
        <v>-5.261091751916955</v>
      </c>
      <c r="D75" t="inlineStr">
        <is>
          <t>否</t>
        </is>
      </c>
      <c r="E75" t="inlineStr">
        <is>
          <t>价格真实异动</t>
        </is>
      </c>
      <c r="F75" t="inlineStr">
        <is>
          <t>需回到当日两侧产业信息解释</t>
        </is>
      </c>
    </row>
    <row r="76">
      <c r="A76" s="7" t="inlineStr">
        <is>
          <t>2019-12-23</t>
        </is>
      </c>
      <c r="B76" s="10" t="n">
        <v>1.026857532379005</v>
      </c>
      <c r="C76" s="19" t="n">
        <v>-5.206622556060103</v>
      </c>
      <c r="D76" t="inlineStr">
        <is>
          <t>否</t>
        </is>
      </c>
      <c r="E76" t="inlineStr">
        <is>
          <t>价格真实异动</t>
        </is>
      </c>
      <c r="F76" t="inlineStr">
        <is>
          <t>需回到当日两侧产业信息解释</t>
        </is>
      </c>
    </row>
    <row r="77">
      <c r="A77" s="7" t="inlineStr">
        <is>
          <t>2019-12-24</t>
        </is>
      </c>
      <c r="B77" s="10" t="n">
        <v>1.026849315068493</v>
      </c>
      <c r="C77" s="19" t="n">
        <v>-5.207181880602148</v>
      </c>
      <c r="D77" t="inlineStr">
        <is>
          <t>否</t>
        </is>
      </c>
      <c r="E77" t="inlineStr">
        <is>
          <t>价格真实异动</t>
        </is>
      </c>
      <c r="F77" t="inlineStr">
        <is>
          <t>需回到当日两侧产业信息解释</t>
        </is>
      </c>
    </row>
    <row r="78">
      <c r="A78" s="7" t="inlineStr">
        <is>
          <t>2019-12-25</t>
        </is>
      </c>
      <c r="B78" s="10" t="n">
        <v>1.022857142857143</v>
      </c>
      <c r="C78" s="19" t="n">
        <v>-5.478915544643335</v>
      </c>
      <c r="D78" t="inlineStr">
        <is>
          <t>否</t>
        </is>
      </c>
      <c r="E78" t="inlineStr">
        <is>
          <t>价格真实异动</t>
        </is>
      </c>
      <c r="F78" t="inlineStr">
        <is>
          <t>需回到当日两侧产业信息解释</t>
        </is>
      </c>
    </row>
    <row r="79">
      <c r="A79" s="7" t="inlineStr">
        <is>
          <t>2019-12-26</t>
        </is>
      </c>
      <c r="B79" s="10" t="n">
        <v>1.028184281842818</v>
      </c>
      <c r="C79" s="19" t="n">
        <v>-5.115802217690312</v>
      </c>
      <c r="D79" t="inlineStr">
        <is>
          <t>否</t>
        </is>
      </c>
      <c r="E79" t="inlineStr">
        <is>
          <t>价格真实异动</t>
        </is>
      </c>
      <c r="F79" t="inlineStr">
        <is>
          <t>需回到当日两侧产业信息解释</t>
        </is>
      </c>
    </row>
    <row r="80">
      <c r="A80" s="7" t="inlineStr">
        <is>
          <t>2019-12-27</t>
        </is>
      </c>
      <c r="B80" s="10" t="n">
        <v>1.032542372881356</v>
      </c>
      <c r="C80" s="19" t="n">
        <v>-4.67034005096303</v>
      </c>
      <c r="D80" t="inlineStr">
        <is>
          <t>否</t>
        </is>
      </c>
      <c r="E80" t="inlineStr">
        <is>
          <t>价格真实异动</t>
        </is>
      </c>
      <c r="F80" t="inlineStr">
        <is>
          <t>需回到当日两侧产业信息解释</t>
        </is>
      </c>
    </row>
    <row r="81">
      <c r="A81" s="7" t="inlineStr">
        <is>
          <t>2019-12-30</t>
        </is>
      </c>
      <c r="B81" s="10" t="n">
        <v>1.031060094530722</v>
      </c>
      <c r="C81" s="19" t="n">
        <v>-4.76810759837366</v>
      </c>
      <c r="D81" t="inlineStr">
        <is>
          <t>否</t>
        </is>
      </c>
      <c r="E81" t="inlineStr">
        <is>
          <t>价格真实异动</t>
        </is>
      </c>
      <c r="F81" t="inlineStr">
        <is>
          <t>需回到当日两侧产业信息解释</t>
        </is>
      </c>
    </row>
    <row r="82">
      <c r="A82" s="7" t="inlineStr">
        <is>
          <t>2019-12-31</t>
        </is>
      </c>
      <c r="B82" s="10" t="n">
        <v>1.037209302325582</v>
      </c>
      <c r="C82" s="19" t="n">
        <v>-4.36252050714697</v>
      </c>
      <c r="D82" t="inlineStr">
        <is>
          <t>否</t>
        </is>
      </c>
      <c r="E82" t="inlineStr">
        <is>
          <t>价格真实异动</t>
        </is>
      </c>
      <c r="F82" t="inlineStr">
        <is>
          <t>需回到当日两侧产业信息解释</t>
        </is>
      </c>
    </row>
    <row r="83">
      <c r="A83" s="7" t="inlineStr">
        <is>
          <t>2020-01-02</t>
        </is>
      </c>
      <c r="B83" s="10" t="n">
        <v>1.034883720930233</v>
      </c>
      <c r="C83" s="19" t="n">
        <v>-4.386153117553025</v>
      </c>
      <c r="D83" t="inlineStr">
        <is>
          <t>否</t>
        </is>
      </c>
      <c r="E83" t="inlineStr">
        <is>
          <t>价格真实异动</t>
        </is>
      </c>
      <c r="F83" t="inlineStr">
        <is>
          <t>需回到当日两侧产业信息解释</t>
        </is>
      </c>
    </row>
    <row r="84">
      <c r="A84" s="7" t="inlineStr">
        <is>
          <t>2020-01-03</t>
        </is>
      </c>
      <c r="B84" s="10" t="n">
        <v>1.022993197278911</v>
      </c>
      <c r="C84" s="19" t="n">
        <v>-4.960575961567447</v>
      </c>
      <c r="D84" t="inlineStr">
        <is>
          <t>否</t>
        </is>
      </c>
      <c r="E84" t="inlineStr">
        <is>
          <t>价格真实异动</t>
        </is>
      </c>
      <c r="F84" t="inlineStr">
        <is>
          <t>需回到当日两侧产业信息解释</t>
        </is>
      </c>
    </row>
    <row r="85">
      <c r="A85" s="7" t="inlineStr">
        <is>
          <t>2020-01-06</t>
        </is>
      </c>
      <c r="B85" s="10" t="n">
        <v>1.023790322580645</v>
      </c>
      <c r="C85" s="19" t="n">
        <v>-4.530234070867638</v>
      </c>
      <c r="D85" t="inlineStr">
        <is>
          <t>否</t>
        </is>
      </c>
      <c r="E85" t="inlineStr">
        <is>
          <t>价格真实异动</t>
        </is>
      </c>
      <c r="F85" t="inlineStr">
        <is>
          <t>需回到当日两侧产业信息解释</t>
        </is>
      </c>
    </row>
    <row r="86">
      <c r="A86" s="7" t="inlineStr">
        <is>
          <t>2020-01-07</t>
        </is>
      </c>
      <c r="B86" s="10" t="n">
        <v>1.019189189189189</v>
      </c>
      <c r="C86" s="19" t="n">
        <v>-4.645651663385271</v>
      </c>
      <c r="D86" t="inlineStr">
        <is>
          <t>否</t>
        </is>
      </c>
      <c r="E86" t="inlineStr">
        <is>
          <t>价格真实异动</t>
        </is>
      </c>
      <c r="F86" t="inlineStr">
        <is>
          <t>需回到当日两侧产业信息解释</t>
        </is>
      </c>
    </row>
    <row r="87">
      <c r="A87" s="7" t="inlineStr">
        <is>
          <t>2020-01-08</t>
        </is>
      </c>
      <c r="B87" s="10" t="n">
        <v>1.019786096256684</v>
      </c>
      <c r="C87" s="19" t="n">
        <v>-4.651402091232238</v>
      </c>
      <c r="D87" t="inlineStr">
        <is>
          <t>否</t>
        </is>
      </c>
      <c r="E87" t="inlineStr">
        <is>
          <t>价格真实异动</t>
        </is>
      </c>
      <c r="F87" t="inlineStr">
        <is>
          <t>需回到当日两侧产业信息解释</t>
        </is>
      </c>
    </row>
    <row r="88">
      <c r="A88" s="7" t="inlineStr">
        <is>
          <t>2020-01-09</t>
        </is>
      </c>
      <c r="B88" s="10" t="n">
        <v>1.032113821138211</v>
      </c>
      <c r="C88" s="19" t="n">
        <v>-3.783928368177058</v>
      </c>
      <c r="D88" t="inlineStr">
        <is>
          <t>否</t>
        </is>
      </c>
      <c r="E88" t="inlineStr">
        <is>
          <t>价格真实异动</t>
        </is>
      </c>
      <c r="F88" t="inlineStr">
        <is>
          <t>需回到当日两侧产业信息解释</t>
        </is>
      </c>
    </row>
    <row r="89">
      <c r="A89" s="7" t="inlineStr">
        <is>
          <t>2020-01-10</t>
        </is>
      </c>
      <c r="B89" s="10" t="n">
        <v>1.033422818791946</v>
      </c>
      <c r="C89" s="19" t="n">
        <v>-3.539493543349117</v>
      </c>
      <c r="D89" t="inlineStr">
        <is>
          <t>否</t>
        </is>
      </c>
      <c r="E89" t="inlineStr">
        <is>
          <t>价格真实异动</t>
        </is>
      </c>
      <c r="F89" t="inlineStr">
        <is>
          <t>需回到当日两侧产业信息解释</t>
        </is>
      </c>
    </row>
    <row r="90">
      <c r="A90" s="7" t="inlineStr">
        <is>
          <t>2020-01-22</t>
        </is>
      </c>
      <c r="B90" s="10" t="n">
        <v>1.020598469032707</v>
      </c>
      <c r="C90" s="19" t="n">
        <v>-3.592946619936237</v>
      </c>
      <c r="D90" t="inlineStr">
        <is>
          <t>否</t>
        </is>
      </c>
      <c r="E90" t="inlineStr">
        <is>
          <t>价格真实异动</t>
        </is>
      </c>
      <c r="F90" t="inlineStr">
        <is>
          <t>需回到当日两侧产业信息解释</t>
        </is>
      </c>
    </row>
    <row r="91">
      <c r="A91" s="7" t="inlineStr">
        <is>
          <t>2020-02-04</t>
        </is>
      </c>
      <c r="B91" s="10" t="n">
        <v>1.01704628949302</v>
      </c>
      <c r="C91" s="19" t="n">
        <v>-3.566094288440248</v>
      </c>
      <c r="D91" t="inlineStr">
        <is>
          <t>否</t>
        </is>
      </c>
      <c r="E91" t="inlineStr">
        <is>
          <t>价格真实异动</t>
        </is>
      </c>
      <c r="F91" t="inlineStr">
        <is>
          <t>需回到当日两侧产业信息解释</t>
        </is>
      </c>
    </row>
    <row r="92">
      <c r="A92" s="7" t="inlineStr">
        <is>
          <t>2020-02-05</t>
        </is>
      </c>
      <c r="B92" s="10" t="n">
        <v>1.009663250366032</v>
      </c>
      <c r="C92" s="19" t="n">
        <v>-3.805995124280139</v>
      </c>
      <c r="D92" t="inlineStr">
        <is>
          <t>否</t>
        </is>
      </c>
      <c r="E92" t="inlineStr">
        <is>
          <t>价格真实异动</t>
        </is>
      </c>
      <c r="F92" t="inlineStr">
        <is>
          <t>需回到当日两侧产业信息解释</t>
        </is>
      </c>
    </row>
    <row r="93">
      <c r="A93" s="7" t="inlineStr">
        <is>
          <t>2020-02-06</t>
        </is>
      </c>
      <c r="B93" s="10" t="n">
        <v>1.011541271000731</v>
      </c>
      <c r="C93" s="19" t="n">
        <v>-3.591860048285517</v>
      </c>
      <c r="D93" t="inlineStr">
        <is>
          <t>否</t>
        </is>
      </c>
      <c r="E93" t="inlineStr">
        <is>
          <t>价格真实异动</t>
        </is>
      </c>
      <c r="F93" t="inlineStr">
        <is>
          <t>需回到当日两侧产业信息解释</t>
        </is>
      </c>
    </row>
    <row r="94">
      <c r="A94" s="7" t="inlineStr">
        <is>
          <t>2020-02-07</t>
        </is>
      </c>
      <c r="B94" s="10" t="n">
        <v>1.008516886930984</v>
      </c>
      <c r="C94" s="19" t="n">
        <v>-3.578407603945482</v>
      </c>
      <c r="D94" t="inlineStr">
        <is>
          <t>否</t>
        </is>
      </c>
      <c r="E94" t="inlineStr">
        <is>
          <t>价格真实异动</t>
        </is>
      </c>
      <c r="F94" t="inlineStr">
        <is>
          <t>需回到当日两侧产业信息解释</t>
        </is>
      </c>
    </row>
    <row r="95">
      <c r="A95" s="7" t="inlineStr">
        <is>
          <t>2020-02-10</t>
        </is>
      </c>
      <c r="B95" s="10" t="n">
        <v>1.001172161172161</v>
      </c>
      <c r="C95" s="19" t="n">
        <v>-3.863850047955202</v>
      </c>
      <c r="D95" t="inlineStr">
        <is>
          <t>否</t>
        </is>
      </c>
      <c r="E95" t="inlineStr">
        <is>
          <t>价格真实异动</t>
        </is>
      </c>
      <c r="F95" t="inlineStr">
        <is>
          <t>需回到当日两侧产业信息解释</t>
        </is>
      </c>
    </row>
    <row r="96">
      <c r="A96" s="7" t="inlineStr">
        <is>
          <t>2020-02-11</t>
        </is>
      </c>
      <c r="B96" s="10" t="n">
        <v>1.005425219941349</v>
      </c>
      <c r="C96" s="19" t="n">
        <v>-3.672184002874048</v>
      </c>
      <c r="D96" t="inlineStr">
        <is>
          <t>否</t>
        </is>
      </c>
      <c r="E96" t="inlineStr">
        <is>
          <t>价格真实异动</t>
        </is>
      </c>
      <c r="F96" t="inlineStr">
        <is>
          <t>需回到当日两侧产业信息解释</t>
        </is>
      </c>
    </row>
    <row r="97">
      <c r="A97" s="7" t="inlineStr">
        <is>
          <t>2020-02-12</t>
        </is>
      </c>
      <c r="B97" s="10" t="n">
        <v>1.005571847507331</v>
      </c>
      <c r="C97" s="19" t="n">
        <v>-3.629641271850068</v>
      </c>
      <c r="D97" t="inlineStr">
        <is>
          <t>否</t>
        </is>
      </c>
      <c r="E97" t="inlineStr">
        <is>
          <t>价格真实异动</t>
        </is>
      </c>
      <c r="F97" t="inlineStr">
        <is>
          <t>需回到当日两侧产业信息解释</t>
        </is>
      </c>
    </row>
    <row r="98">
      <c r="A98" s="7" t="inlineStr">
        <is>
          <t>2020-02-13</t>
        </is>
      </c>
      <c r="B98" s="10" t="n">
        <v>1.001469507714916</v>
      </c>
      <c r="C98" s="19" t="n">
        <v>-3.755095435678505</v>
      </c>
      <c r="D98" t="inlineStr">
        <is>
          <t>否</t>
        </is>
      </c>
      <c r="E98" t="inlineStr">
        <is>
          <t>价格真实异动</t>
        </is>
      </c>
      <c r="F98" t="inlineStr">
        <is>
          <t>需回到当日两侧产业信息解释</t>
        </is>
      </c>
    </row>
    <row r="99">
      <c r="A99" s="7" t="inlineStr">
        <is>
          <t>2020-02-14</t>
        </is>
      </c>
      <c r="B99" s="10" t="n">
        <v>1.004985337243402</v>
      </c>
      <c r="C99" s="19" t="n">
        <v>-3.613322216834956</v>
      </c>
      <c r="D99" t="inlineStr">
        <is>
          <t>否</t>
        </is>
      </c>
      <c r="E99" t="inlineStr">
        <is>
          <t>价格真实异动</t>
        </is>
      </c>
      <c r="F99" t="inlineStr">
        <is>
          <t>需回到当日两侧产业信息解释</t>
        </is>
      </c>
    </row>
    <row r="100">
      <c r="A100" s="7" t="inlineStr">
        <is>
          <t>2020-02-17</t>
        </is>
      </c>
      <c r="B100" s="10" t="n">
        <v>1.005826656955572</v>
      </c>
      <c r="C100" s="19" t="n">
        <v>-3.579396623257541</v>
      </c>
      <c r="D100" t="inlineStr">
        <is>
          <t>否</t>
        </is>
      </c>
      <c r="E100" t="inlineStr">
        <is>
          <t>价格真实异动</t>
        </is>
      </c>
      <c r="F100" t="inlineStr">
        <is>
          <t>需回到当日两侧产业信息解释</t>
        </is>
      </c>
    </row>
    <row r="101">
      <c r="A101" s="7" t="inlineStr">
        <is>
          <t>2022-08-19</t>
        </is>
      </c>
      <c r="B101" s="10" t="n">
        <v>1.045120811640635</v>
      </c>
      <c r="C101" s="19" t="n">
        <v>4.36228243063014</v>
      </c>
      <c r="D101" s="9" t="inlineStr">
        <is>
          <t>是</t>
        </is>
      </c>
      <c r="E101" t="inlineStr">
        <is>
          <t>换月跳空（数据原因）</t>
        </is>
      </c>
      <c r="F101" t="inlineStr">
        <is>
          <t>不作为产业信号，单独披露</t>
        </is>
      </c>
    </row>
    <row r="102">
      <c r="A102" s="7" t="inlineStr">
        <is>
          <t>2024-08-21</t>
        </is>
      </c>
      <c r="B102" s="10" t="n">
        <v>0.9379806499627884</v>
      </c>
      <c r="C102" s="19" t="n">
        <v>3.591548323469834</v>
      </c>
      <c r="D102" t="inlineStr">
        <is>
          <t>否</t>
        </is>
      </c>
      <c r="E102" t="inlineStr">
        <is>
          <t>价格真实异动</t>
        </is>
      </c>
      <c r="F102" t="inlineStr">
        <is>
          <t>需回到当日两侧产业信息解释</t>
        </is>
      </c>
    </row>
    <row r="103">
      <c r="A103" s="7" t="inlineStr">
        <is>
          <t>2026-03-04</t>
        </is>
      </c>
      <c r="B103" s="10" t="n">
        <v>1.020530251529572</v>
      </c>
      <c r="C103" s="19" t="n">
        <v>3.700488385721299</v>
      </c>
      <c r="D103" t="inlineStr">
        <is>
          <t>否</t>
        </is>
      </c>
      <c r="E103" t="inlineStr">
        <is>
          <t>价格真实异动</t>
        </is>
      </c>
      <c r="F103" t="inlineStr">
        <is>
          <t>需回到当日两侧产业信息解释</t>
        </is>
      </c>
    </row>
    <row r="104">
      <c r="A104" s="7" t="inlineStr">
        <is>
          <t>2026-04-03</t>
        </is>
      </c>
      <c r="B104" s="10" t="n">
        <v>1.068303216274577</v>
      </c>
      <c r="C104" s="19" t="n">
        <v>3.517406542895846</v>
      </c>
      <c r="D104" t="inlineStr">
        <is>
          <t>否</t>
        </is>
      </c>
      <c r="E104" t="inlineStr">
        <is>
          <t>价格真实异动</t>
        </is>
      </c>
      <c r="F104" t="inlineStr">
        <is>
          <t>需回到当日两侧产业信息解释</t>
        </is>
      </c>
    </row>
  </sheetData>
  <autoFilter ref="A4:F104"/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34" customWidth="1" min="5" max="5"/>
  </cols>
  <sheetData>
    <row r="1">
      <c r="A1" s="1" t="inlineStr">
        <is>
          <t>换月台账：主连切换日与新旧合约价差</t>
        </is>
      </c>
    </row>
    <row r="2" ht="30" customHeight="1">
      <c r="A2" s="2" t="inlineStr">
        <is>
          <t>共 45 次换月。价差 =（旧合约收盘 − 新合约收盘）/ 新合约收盘；该价差就是换月当天比价被污染的近似幅度。</t>
        </is>
      </c>
    </row>
    <row r="4" ht="28" customHeight="1">
      <c r="A4" s="6" t="inlineStr">
        <is>
          <t>换月日</t>
        </is>
      </c>
      <c r="B4" s="6" t="inlineStr">
        <is>
          <t>旧合约</t>
        </is>
      </c>
      <c r="C4" s="6" t="inlineStr">
        <is>
          <t>新合约</t>
        </is>
      </c>
      <c r="D4" s="6" t="inlineStr">
        <is>
          <t>新旧价差 %</t>
        </is>
      </c>
      <c r="E4" s="6" t="inlineStr">
        <is>
          <t>对当日比价的影响</t>
        </is>
      </c>
    </row>
    <row r="5">
      <c r="A5" s="7" t="inlineStr">
        <is>
          <t>2019-04-01</t>
        </is>
      </c>
      <c r="B5" t="inlineStr">
        <is>
          <t>L1905</t>
        </is>
      </c>
      <c r="C5" t="inlineStr">
        <is>
          <t>L1909</t>
        </is>
      </c>
      <c r="D5" s="19" t="n">
        <v>1.990349819059107</v>
      </c>
      <c r="E5" t="inlineStr">
        <is>
          <t>影响有限</t>
        </is>
      </c>
    </row>
    <row r="6">
      <c r="A6" s="7" t="inlineStr">
        <is>
          <t>2019-04-04</t>
        </is>
      </c>
      <c r="B6" t="inlineStr">
        <is>
          <t>PP1905</t>
        </is>
      </c>
      <c r="C6" t="inlineStr">
        <is>
          <t>PP1909</t>
        </is>
      </c>
      <c r="D6" s="20" t="n">
        <v>3.099777751783834</v>
      </c>
      <c r="E6" t="inlineStr">
        <is>
          <t>跳空较大，当日比价变动需剔除</t>
        </is>
      </c>
    </row>
    <row r="7">
      <c r="A7" s="7" t="inlineStr">
        <is>
          <t>2019-08-08</t>
        </is>
      </c>
      <c r="B7" t="inlineStr">
        <is>
          <t>PP1909</t>
        </is>
      </c>
      <c r="C7" t="inlineStr">
        <is>
          <t>PP2001</t>
        </is>
      </c>
      <c r="D7" s="20" t="n">
        <v>5.176908752327747</v>
      </c>
      <c r="E7" t="inlineStr">
        <is>
          <t>跳空较大，当日比价变动需剔除</t>
        </is>
      </c>
    </row>
    <row r="8">
      <c r="A8" s="7" t="inlineStr">
        <is>
          <t>2019-08-12</t>
        </is>
      </c>
      <c r="B8" t="inlineStr">
        <is>
          <t>L1909</t>
        </is>
      </c>
      <c r="C8" t="inlineStr">
        <is>
          <t>L2001</t>
        </is>
      </c>
      <c r="D8" s="19" t="n">
        <v>-0.3298153034300791</v>
      </c>
      <c r="E8" t="inlineStr">
        <is>
          <t>影响有限</t>
        </is>
      </c>
    </row>
    <row r="9">
      <c r="A9" s="7" t="inlineStr">
        <is>
          <t>2019-12-09</t>
        </is>
      </c>
      <c r="B9" t="inlineStr">
        <is>
          <t>L2001</t>
        </is>
      </c>
      <c r="C9" t="inlineStr">
        <is>
          <t>L2005</t>
        </is>
      </c>
      <c r="D9" s="19" t="n">
        <v>-0.2061855670103093</v>
      </c>
      <c r="E9" t="inlineStr">
        <is>
          <t>影响有限</t>
        </is>
      </c>
    </row>
    <row r="10">
      <c r="A10" s="7" t="inlineStr">
        <is>
          <t>2019-12-12</t>
        </is>
      </c>
      <c r="B10" t="inlineStr">
        <is>
          <t>PP2001</t>
        </is>
      </c>
      <c r="C10" t="inlineStr">
        <is>
          <t>PP2005</t>
        </is>
      </c>
      <c r="D10" s="20" t="n">
        <v>4.393859184753838</v>
      </c>
      <c r="E10" t="inlineStr">
        <is>
          <t>跳空较大，当日比价变动需剔除</t>
        </is>
      </c>
    </row>
    <row r="11">
      <c r="A11" s="7" t="inlineStr">
        <is>
          <t>2020-04-01</t>
        </is>
      </c>
      <c r="B11" t="inlineStr">
        <is>
          <t>L2005</t>
        </is>
      </c>
      <c r="C11" t="inlineStr">
        <is>
          <t>L2009</t>
        </is>
      </c>
      <c r="D11" s="19" t="n">
        <v>0.8984725965858041</v>
      </c>
      <c r="E11" t="inlineStr">
        <is>
          <t>影响有限</t>
        </is>
      </c>
    </row>
    <row r="12">
      <c r="A12" s="7" t="inlineStr">
        <is>
          <t>2020-04-03</t>
        </is>
      </c>
      <c r="B12" t="inlineStr">
        <is>
          <t>PP2005</t>
        </is>
      </c>
      <c r="C12" t="inlineStr">
        <is>
          <t>PP2009</t>
        </is>
      </c>
      <c r="D12" s="19" t="n">
        <v>1.549162187796396</v>
      </c>
      <c r="E12" t="inlineStr">
        <is>
          <t>影响有限</t>
        </is>
      </c>
    </row>
    <row r="13">
      <c r="A13" s="7" t="inlineStr">
        <is>
          <t>2020-08-19</t>
        </is>
      </c>
      <c r="B13" t="inlineStr">
        <is>
          <t>L2009</t>
        </is>
      </c>
      <c r="C13" t="inlineStr">
        <is>
          <t>L2101</t>
        </is>
      </c>
      <c r="D13" s="19" t="n">
        <v>-0.2801120448179272</v>
      </c>
      <c r="E13" t="inlineStr">
        <is>
          <t>影响有限</t>
        </is>
      </c>
    </row>
    <row r="14">
      <c r="A14" s="7" t="inlineStr">
        <is>
          <t>2020-08-20</t>
        </is>
      </c>
      <c r="B14" t="inlineStr">
        <is>
          <t>PP2009</t>
        </is>
      </c>
      <c r="C14" t="inlineStr">
        <is>
          <t>PP2101</t>
        </is>
      </c>
      <c r="D14" s="19" t="n">
        <v>0.4669260700389105</v>
      </c>
      <c r="E14" t="inlineStr">
        <is>
          <t>影响有限</t>
        </is>
      </c>
    </row>
    <row r="15">
      <c r="A15" s="7" t="inlineStr">
        <is>
          <t>2020-12-16</t>
        </is>
      </c>
      <c r="B15" t="inlineStr">
        <is>
          <t>L2101</t>
        </is>
      </c>
      <c r="C15" t="inlineStr">
        <is>
          <t>L2105</t>
        </is>
      </c>
      <c r="D15" s="19" t="n">
        <v>-0.6389776357827476</v>
      </c>
      <c r="E15" t="inlineStr">
        <is>
          <t>影响有限</t>
        </is>
      </c>
    </row>
    <row r="16">
      <c r="A16" s="7" t="inlineStr">
        <is>
          <t>2021-04-14</t>
        </is>
      </c>
      <c r="B16" t="inlineStr">
        <is>
          <t>L2105</t>
        </is>
      </c>
      <c r="C16" t="inlineStr">
        <is>
          <t>L2109</t>
        </is>
      </c>
      <c r="D16" s="19" t="n">
        <v>0</v>
      </c>
      <c r="E16" t="inlineStr">
        <is>
          <t>影响有限</t>
        </is>
      </c>
    </row>
    <row r="17">
      <c r="A17" s="7" t="inlineStr">
        <is>
          <t>2021-04-15</t>
        </is>
      </c>
      <c r="B17" t="inlineStr">
        <is>
          <t>L2109</t>
        </is>
      </c>
      <c r="C17" t="inlineStr">
        <is>
          <t>L2105</t>
        </is>
      </c>
      <c r="D17" s="19" t="n">
        <v>-0.05988023952095808</v>
      </c>
      <c r="E17" t="inlineStr">
        <is>
          <t>影响有限</t>
        </is>
      </c>
    </row>
    <row r="18">
      <c r="A18" s="7" t="inlineStr">
        <is>
          <t>2021-04-19</t>
        </is>
      </c>
      <c r="B18" t="inlineStr">
        <is>
          <t>L2105</t>
        </is>
      </c>
      <c r="C18" t="inlineStr">
        <is>
          <t>L2109</t>
        </is>
      </c>
      <c r="D18" s="19" t="n">
        <v>0.3597122302158274</v>
      </c>
      <c r="E18" t="inlineStr">
        <is>
          <t>影响有限</t>
        </is>
      </c>
    </row>
    <row r="19">
      <c r="A19" s="7" t="inlineStr">
        <is>
          <t>2021-04-22</t>
        </is>
      </c>
      <c r="B19" t="inlineStr">
        <is>
          <t>PP2105</t>
        </is>
      </c>
      <c r="C19" t="inlineStr">
        <is>
          <t>PP2109</t>
        </is>
      </c>
      <c r="D19" s="19" t="n">
        <v>2.948197660539508</v>
      </c>
      <c r="E19" t="inlineStr">
        <is>
          <t>影响有限</t>
        </is>
      </c>
    </row>
    <row r="20">
      <c r="A20" s="7" t="inlineStr">
        <is>
          <t>2021-08-18</t>
        </is>
      </c>
      <c r="B20" t="inlineStr">
        <is>
          <t>L2109</t>
        </is>
      </c>
      <c r="C20" t="inlineStr">
        <is>
          <t>L2201</t>
        </is>
      </c>
      <c r="D20" s="19" t="n">
        <v>-0.2386634844868735</v>
      </c>
      <c r="E20" t="inlineStr">
        <is>
          <t>影响有限</t>
        </is>
      </c>
    </row>
    <row r="21">
      <c r="A21" s="7" t="inlineStr">
        <is>
          <t>2021-08-20</t>
        </is>
      </c>
      <c r="B21" t="inlineStr">
        <is>
          <t>PP2109</t>
        </is>
      </c>
      <c r="C21" t="inlineStr">
        <is>
          <t>PP2201</t>
        </is>
      </c>
      <c r="D21" s="19" t="n">
        <v>1.999757605138771</v>
      </c>
      <c r="E21" t="inlineStr">
        <is>
          <t>影响有限</t>
        </is>
      </c>
    </row>
    <row r="22">
      <c r="A22" s="7" t="inlineStr">
        <is>
          <t>2021-12-17</t>
        </is>
      </c>
      <c r="B22" t="inlineStr">
        <is>
          <t>PP2201</t>
        </is>
      </c>
      <c r="C22" t="inlineStr">
        <is>
          <t>PP2205</t>
        </is>
      </c>
      <c r="D22" s="19" t="n">
        <v>0.7250829544058006</v>
      </c>
      <c r="E22" t="inlineStr">
        <is>
          <t>影响有限</t>
        </is>
      </c>
    </row>
    <row r="23">
      <c r="A23" s="7" t="inlineStr">
        <is>
          <t>2021-12-20</t>
        </is>
      </c>
      <c r="B23" t="inlineStr">
        <is>
          <t>L2201</t>
        </is>
      </c>
      <c r="C23" t="inlineStr">
        <is>
          <t>L2205</t>
        </is>
      </c>
      <c r="D23" s="19" t="n">
        <v>0.8632923368022705</v>
      </c>
      <c r="E23" t="inlineStr">
        <is>
          <t>影响有限</t>
        </is>
      </c>
    </row>
    <row r="24">
      <c r="A24" s="7" t="inlineStr">
        <is>
          <t>2022-04-20</t>
        </is>
      </c>
      <c r="B24" t="inlineStr">
        <is>
          <t>L2205</t>
        </is>
      </c>
      <c r="C24" t="inlineStr">
        <is>
          <t>L2209</t>
        </is>
      </c>
      <c r="D24" s="19" t="n">
        <v>-0.2340876156504292</v>
      </c>
      <c r="E24" t="inlineStr">
        <is>
          <t>影响有限</t>
        </is>
      </c>
    </row>
    <row r="25">
      <c r="A25" s="7" t="inlineStr">
        <is>
          <t>2022-04-21</t>
        </is>
      </c>
      <c r="B25" t="inlineStr">
        <is>
          <t>PP2205</t>
        </is>
      </c>
      <c r="C25" t="inlineStr">
        <is>
          <t>PP2209</t>
        </is>
      </c>
      <c r="D25" s="19" t="n">
        <v>-0.1692811195124704</v>
      </c>
      <c r="E25" t="inlineStr">
        <is>
          <t>影响有限</t>
        </is>
      </c>
    </row>
    <row r="26">
      <c r="A26" s="7" t="inlineStr">
        <is>
          <t>2022-08-19</t>
        </is>
      </c>
      <c r="B26" t="inlineStr">
        <is>
          <t>L2209</t>
        </is>
      </c>
      <c r="C26" t="inlineStr">
        <is>
          <t>L2301</t>
        </is>
      </c>
      <c r="D26" s="19" t="n">
        <v>2.669870511280203</v>
      </c>
      <c r="E26" t="inlineStr">
        <is>
          <t>影响有限</t>
        </is>
      </c>
    </row>
    <row r="27">
      <c r="A27" s="7" t="inlineStr">
        <is>
          <t>2022-08-22</t>
        </is>
      </c>
      <c r="B27" t="inlineStr">
        <is>
          <t>PP2209</t>
        </is>
      </c>
      <c r="C27" t="inlineStr">
        <is>
          <t>PP2301</t>
        </is>
      </c>
      <c r="D27" s="20" t="n">
        <v>3.260295670538543</v>
      </c>
      <c r="E27" t="inlineStr">
        <is>
          <t>跳空较大，当日比价变动需剔除</t>
        </is>
      </c>
    </row>
    <row r="28">
      <c r="A28" s="7" t="inlineStr">
        <is>
          <t>2022-12-16</t>
        </is>
      </c>
      <c r="B28" t="inlineStr">
        <is>
          <t>L2301</t>
        </is>
      </c>
      <c r="C28" t="inlineStr">
        <is>
          <t>L2305</t>
        </is>
      </c>
      <c r="D28" s="19" t="n">
        <v>-0.3035822707953855</v>
      </c>
      <c r="E28" t="inlineStr">
        <is>
          <t>影响有限</t>
        </is>
      </c>
    </row>
    <row r="29">
      <c r="A29" s="7" t="inlineStr">
        <is>
          <t>2022-12-19</t>
        </is>
      </c>
      <c r="B29" t="inlineStr">
        <is>
          <t>PP2301</t>
        </is>
      </c>
      <c r="C29" t="inlineStr">
        <is>
          <t>PP2305</t>
        </is>
      </c>
      <c r="D29" s="19" t="n">
        <v>-0.3571428571428572</v>
      </c>
      <c r="E29" t="inlineStr">
        <is>
          <t>影响有限</t>
        </is>
      </c>
    </row>
    <row r="30">
      <c r="A30" s="7" t="inlineStr">
        <is>
          <t>2023-04-17</t>
        </is>
      </c>
      <c r="B30" t="inlineStr">
        <is>
          <t>PP2305</t>
        </is>
      </c>
      <c r="C30" t="inlineStr">
        <is>
          <t>PP2309</t>
        </is>
      </c>
      <c r="D30" s="19" t="n">
        <v>0.5391899000526039</v>
      </c>
      <c r="E30" t="inlineStr">
        <is>
          <t>影响有限</t>
        </is>
      </c>
    </row>
    <row r="31">
      <c r="A31" s="7" t="inlineStr">
        <is>
          <t>2023-04-18</t>
        </is>
      </c>
      <c r="B31" t="inlineStr">
        <is>
          <t>L2305</t>
        </is>
      </c>
      <c r="C31" t="inlineStr">
        <is>
          <t>L2309</t>
        </is>
      </c>
      <c r="D31" s="19" t="n">
        <v>0.5122575923893158</v>
      </c>
      <c r="E31" t="inlineStr">
        <is>
          <t>影响有限</t>
        </is>
      </c>
    </row>
    <row r="32">
      <c r="A32" s="7" t="inlineStr">
        <is>
          <t>2023-08-16</t>
        </is>
      </c>
      <c r="B32" t="inlineStr">
        <is>
          <t>L2309</t>
        </is>
      </c>
      <c r="C32" t="inlineStr">
        <is>
          <t>L2401</t>
        </is>
      </c>
      <c r="D32" s="19" t="n">
        <v>0.3729487817006464</v>
      </c>
      <c r="E32" t="inlineStr">
        <is>
          <t>影响有限</t>
        </is>
      </c>
    </row>
    <row r="33">
      <c r="A33" s="7" t="inlineStr">
        <is>
          <t>2023-08-18</t>
        </is>
      </c>
      <c r="B33" t="inlineStr">
        <is>
          <t>PP2309</t>
        </is>
      </c>
      <c r="C33" t="inlineStr">
        <is>
          <t>PP2401</t>
        </is>
      </c>
      <c r="D33" s="19" t="n">
        <v>0.3300765777660417</v>
      </c>
      <c r="E33" t="inlineStr">
        <is>
          <t>影响有限</t>
        </is>
      </c>
    </row>
    <row r="34">
      <c r="A34" s="7" t="inlineStr">
        <is>
          <t>2023-12-13</t>
        </is>
      </c>
      <c r="B34" t="inlineStr">
        <is>
          <t>L2401</t>
        </is>
      </c>
      <c r="C34" t="inlineStr">
        <is>
          <t>L2405</t>
        </is>
      </c>
      <c r="D34" s="19" t="n">
        <v>-0.1615910503418272</v>
      </c>
      <c r="E34" t="inlineStr">
        <is>
          <t>影响有限</t>
        </is>
      </c>
    </row>
    <row r="35">
      <c r="A35" s="7" t="inlineStr">
        <is>
          <t>2023-12-14</t>
        </is>
      </c>
      <c r="B35" t="inlineStr">
        <is>
          <t>PP2401</t>
        </is>
      </c>
      <c r="C35" t="inlineStr">
        <is>
          <t>PP2405</t>
        </is>
      </c>
      <c r="D35" s="19" t="n">
        <v>0.3903095558546433</v>
      </c>
      <c r="E35" t="inlineStr">
        <is>
          <t>影响有限</t>
        </is>
      </c>
    </row>
    <row r="36">
      <c r="A36" s="7" t="inlineStr">
        <is>
          <t>2024-04-10</t>
        </is>
      </c>
      <c r="B36" t="inlineStr">
        <is>
          <t>L2405</t>
        </is>
      </c>
      <c r="C36" t="inlineStr">
        <is>
          <t>L2409</t>
        </is>
      </c>
      <c r="D36" s="19" t="n">
        <v>-0.3942181340341656</v>
      </c>
      <c r="E36" t="inlineStr">
        <is>
          <t>影响有限</t>
        </is>
      </c>
    </row>
    <row r="37">
      <c r="A37" s="7" t="inlineStr">
        <is>
          <t>2024-04-15</t>
        </is>
      </c>
      <c r="B37" t="inlineStr">
        <is>
          <t>PP2405</t>
        </is>
      </c>
      <c r="C37" t="inlineStr">
        <is>
          <t>PP2409</t>
        </is>
      </c>
      <c r="D37" s="19" t="n">
        <v>-0.6182583530649829</v>
      </c>
      <c r="E37" t="inlineStr">
        <is>
          <t>影响有限</t>
        </is>
      </c>
    </row>
    <row r="38">
      <c r="A38" s="7" t="inlineStr">
        <is>
          <t>2024-08-16</t>
        </is>
      </c>
      <c r="B38" t="inlineStr">
        <is>
          <t>L2409</t>
        </is>
      </c>
      <c r="C38" t="inlineStr">
        <is>
          <t>L2501</t>
        </is>
      </c>
      <c r="D38" s="19" t="n">
        <v>1.606875934230194</v>
      </c>
      <c r="E38" t="inlineStr">
        <is>
          <t>影响有限</t>
        </is>
      </c>
    </row>
    <row r="39">
      <c r="A39" s="7" t="inlineStr">
        <is>
          <t>2024-12-09</t>
        </is>
      </c>
      <c r="B39" t="inlineStr">
        <is>
          <t>PP2501</t>
        </is>
      </c>
      <c r="C39" t="inlineStr">
        <is>
          <t>PP2505</t>
        </is>
      </c>
      <c r="D39" s="19" t="n">
        <v>0.02693602693602693</v>
      </c>
      <c r="E39" t="inlineStr">
        <is>
          <t>影响有限</t>
        </is>
      </c>
    </row>
    <row r="40">
      <c r="A40" s="7" t="inlineStr">
        <is>
          <t>2024-12-13</t>
        </is>
      </c>
      <c r="B40" t="inlineStr">
        <is>
          <t>L2501</t>
        </is>
      </c>
      <c r="C40" t="inlineStr">
        <is>
          <t>L2505</t>
        </is>
      </c>
      <c r="D40" s="19" t="n">
        <v>2.730627306273063</v>
      </c>
      <c r="E40" t="inlineStr">
        <is>
          <t>影响有限</t>
        </is>
      </c>
    </row>
    <row r="41">
      <c r="A41" s="7" t="inlineStr">
        <is>
          <t>2025-04-08</t>
        </is>
      </c>
      <c r="B41" t="inlineStr">
        <is>
          <t>PP2505</t>
        </is>
      </c>
      <c r="C41" t="inlineStr">
        <is>
          <t>PP2509</t>
        </is>
      </c>
      <c r="D41" s="19" t="n">
        <v>0.9959321082900827</v>
      </c>
      <c r="E41" t="inlineStr">
        <is>
          <t>影响有限</t>
        </is>
      </c>
    </row>
    <row r="42">
      <c r="A42" s="7" t="inlineStr">
        <is>
          <t>2025-04-10</t>
        </is>
      </c>
      <c r="B42" t="inlineStr">
        <is>
          <t>L2505</t>
        </is>
      </c>
      <c r="C42" t="inlineStr">
        <is>
          <t>L2509</t>
        </is>
      </c>
      <c r="D42" s="19" t="n">
        <v>1.271244991018378</v>
      </c>
      <c r="E42" t="inlineStr">
        <is>
          <t>影响有限</t>
        </is>
      </c>
    </row>
    <row r="43">
      <c r="A43" s="7" t="inlineStr">
        <is>
          <t>2025-08-11</t>
        </is>
      </c>
      <c r="B43" t="inlineStr">
        <is>
          <t>PP2509</t>
        </is>
      </c>
      <c r="C43" t="inlineStr">
        <is>
          <t>PP2601</t>
        </is>
      </c>
      <c r="D43" s="19" t="n">
        <v>-0.3511235955056179</v>
      </c>
      <c r="E43" t="inlineStr">
        <is>
          <t>影响有限</t>
        </is>
      </c>
    </row>
    <row r="44">
      <c r="A44" s="7" t="inlineStr">
        <is>
          <t>2025-08-13</t>
        </is>
      </c>
      <c r="B44" t="inlineStr">
        <is>
          <t>L2509</t>
        </is>
      </c>
      <c r="C44" t="inlineStr">
        <is>
          <t>L2601</t>
        </is>
      </c>
      <c r="D44" s="19" t="n">
        <v>-0.9212843788104592</v>
      </c>
      <c r="E44" t="inlineStr">
        <is>
          <t>影响有限</t>
        </is>
      </c>
    </row>
    <row r="45">
      <c r="A45" s="7" t="inlineStr">
        <is>
          <t>2025-12-10</t>
        </is>
      </c>
      <c r="B45" t="inlineStr">
        <is>
          <t>L2601</t>
        </is>
      </c>
      <c r="C45" t="inlineStr">
        <is>
          <t>L2605</t>
        </is>
      </c>
      <c r="D45" s="19" t="n">
        <v>-0.5758448249734809</v>
      </c>
      <c r="E45" t="inlineStr">
        <is>
          <t>影响有限</t>
        </is>
      </c>
    </row>
    <row r="46">
      <c r="A46" s="7" t="inlineStr">
        <is>
          <t>2025-12-12</t>
        </is>
      </c>
      <c r="B46" t="inlineStr">
        <is>
          <t>PP2601</t>
        </is>
      </c>
      <c r="C46" t="inlineStr">
        <is>
          <t>PP2605</t>
        </is>
      </c>
      <c r="D46" s="19" t="n">
        <v>-0.632295719844358</v>
      </c>
      <c r="E46" t="inlineStr">
        <is>
          <t>影响有限</t>
        </is>
      </c>
    </row>
    <row r="47">
      <c r="A47" s="7" t="inlineStr">
        <is>
          <t>2026-04-09</t>
        </is>
      </c>
      <c r="B47" t="inlineStr">
        <is>
          <t>PP2605</t>
        </is>
      </c>
      <c r="C47" t="inlineStr">
        <is>
          <t>PP2609</t>
        </is>
      </c>
      <c r="D47" s="20" t="n">
        <v>6.881594372801876</v>
      </c>
      <c r="E47" t="inlineStr">
        <is>
          <t>跳空较大，当日比价变动需剔除</t>
        </is>
      </c>
    </row>
    <row r="48">
      <c r="A48" s="7" t="inlineStr">
        <is>
          <t>2026-04-13</t>
        </is>
      </c>
      <c r="B48" t="inlineStr">
        <is>
          <t>L2605</t>
        </is>
      </c>
      <c r="C48" t="inlineStr">
        <is>
          <t>L2609</t>
        </is>
      </c>
      <c r="D48" s="19" t="n">
        <v>2.462513714494697</v>
      </c>
      <c r="E48" t="inlineStr">
        <is>
          <t>影响有限</t>
        </is>
      </c>
    </row>
    <row r="49">
      <c r="A49" s="7" t="inlineStr">
        <is>
          <t>2026-08-18</t>
        </is>
      </c>
      <c r="B49" t="inlineStr">
        <is>
          <t>L2609</t>
        </is>
      </c>
      <c r="C49" t="inlineStr">
        <is>
          <t>L2701</t>
        </is>
      </c>
      <c r="D49" s="20" t="n">
        <v>5.019899858775196</v>
      </c>
      <c r="E49" t="inlineStr">
        <is>
          <t>跳空较大，当日比价变动需剔除</t>
        </is>
      </c>
    </row>
  </sheetData>
  <autoFilter ref="A4:E49"/>
  <mergeCells count="2">
    <mergeCell ref="A2:E2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6" customWidth="1" min="8" max="8"/>
  </cols>
  <sheetData>
    <row r="1">
      <c r="A1" s="1" t="inlineStr">
        <is>
          <t>逐年统计：中枢在哪里移动</t>
        </is>
      </c>
    </row>
    <row r="2" ht="30" customHeight="1">
      <c r="A2" s="2" t="inlineStr">
        <is>
          <t>看中枢是否有台阶式迁移，而不是只看单年高低。</t>
        </is>
      </c>
    </row>
    <row r="4" ht="28" customHeight="1">
      <c r="A4" s="6" t="inlineStr">
        <is>
          <t>年份</t>
        </is>
      </c>
      <c r="B4" s="6" t="inlineStr">
        <is>
          <t>N</t>
        </is>
      </c>
      <c r="C4" s="6" t="inlineStr">
        <is>
          <t>均值</t>
        </is>
      </c>
      <c r="D4" s="6" t="inlineStr">
        <is>
          <t>中位数</t>
        </is>
      </c>
      <c r="E4" s="6" t="inlineStr">
        <is>
          <t>最低</t>
        </is>
      </c>
      <c r="F4" s="6" t="inlineStr">
        <is>
          <t>最高</t>
        </is>
      </c>
      <c r="G4" s="6" t="inlineStr">
        <is>
          <t>年内末值</t>
        </is>
      </c>
      <c r="H4" s="6" t="inlineStr">
        <is>
          <t>末值在年内分位 %</t>
        </is>
      </c>
    </row>
    <row r="5">
      <c r="A5" s="13" t="inlineStr">
        <is>
          <t>2014</t>
        </is>
      </c>
      <c r="B5" t="n">
        <v>206</v>
      </c>
      <c r="C5" s="10" t="n">
        <v>0.9687128644471884</v>
      </c>
      <c r="D5" s="10" t="n">
        <v>0.9736219373489567</v>
      </c>
      <c r="E5" s="10" t="n">
        <v>0.885639958376691</v>
      </c>
      <c r="F5" s="10" t="n">
        <v>1.015288611544462</v>
      </c>
      <c r="G5" s="10" t="n">
        <v>0.9285963890506698</v>
      </c>
      <c r="H5" s="16" t="n">
        <v>5.582524271844661</v>
      </c>
    </row>
    <row r="6">
      <c r="A6" s="13" t="inlineStr">
        <is>
          <t>2015</t>
        </is>
      </c>
      <c r="B6" t="n">
        <v>245</v>
      </c>
      <c r="C6" s="10" t="n">
        <v>0.8584894971583357</v>
      </c>
      <c r="D6" s="10" t="n">
        <v>0.8765957446808511</v>
      </c>
      <c r="E6" s="10" t="n">
        <v>0.69125</v>
      </c>
      <c r="F6" s="10" t="n">
        <v>0.9431757833244823</v>
      </c>
      <c r="G6" s="10" t="n">
        <v>0.724502487562189</v>
      </c>
      <c r="H6" s="16" t="n">
        <v>0.6122448979591837</v>
      </c>
    </row>
    <row r="7">
      <c r="A7" s="13" t="inlineStr">
        <is>
          <t>2016</t>
        </is>
      </c>
      <c r="B7" t="n">
        <v>243</v>
      </c>
      <c r="C7" s="10" t="n">
        <v>0.829878750301426</v>
      </c>
      <c r="D7" s="10" t="n">
        <v>0.8275229357798165</v>
      </c>
      <c r="E7" s="10" t="n">
        <v>0.7090793650793651</v>
      </c>
      <c r="F7" s="10" t="n">
        <v>0.9534718100890208</v>
      </c>
      <c r="G7" s="10" t="n">
        <v>0.8906882591093117</v>
      </c>
      <c r="H7" s="16" t="n">
        <v>80.45267489711934</v>
      </c>
    </row>
    <row r="8">
      <c r="A8" s="13" t="inlineStr">
        <is>
          <t>2017</t>
        </is>
      </c>
      <c r="B8" t="n">
        <v>244</v>
      </c>
      <c r="C8" s="10" t="n">
        <v>0.8989717539177814</v>
      </c>
      <c r="D8" s="10" t="n">
        <v>0.8949996544665904</v>
      </c>
      <c r="E8" s="10" t="n">
        <v>0.8499432463110103</v>
      </c>
      <c r="F8" s="10" t="n">
        <v>0.9609884332281808</v>
      </c>
      <c r="G8" s="10" t="n">
        <v>0.9474489795918367</v>
      </c>
      <c r="H8" s="16" t="n">
        <v>91.59836065573771</v>
      </c>
    </row>
    <row r="9">
      <c r="A9" s="13" t="inlineStr">
        <is>
          <t>2018</t>
        </is>
      </c>
      <c r="B9" t="n">
        <v>243</v>
      </c>
      <c r="C9" s="10" t="n">
        <v>1.005596423452468</v>
      </c>
      <c r="D9" s="10" t="n">
        <v>0.9993541442411195</v>
      </c>
      <c r="E9" s="10" t="n">
        <v>0.9301691216584833</v>
      </c>
      <c r="F9" s="10" t="n">
        <v>1.097163120567376</v>
      </c>
      <c r="G9" s="10" t="n">
        <v>1.00046511627907</v>
      </c>
      <c r="H9" s="16" t="n">
        <v>50.82304526748971</v>
      </c>
    </row>
    <row r="10">
      <c r="A10" s="13" t="inlineStr">
        <is>
          <t>2019</t>
        </is>
      </c>
      <c r="B10" t="n">
        <v>243</v>
      </c>
      <c r="C10" s="10" t="n">
        <v>1.065447601969233</v>
      </c>
      <c r="D10" s="10" t="n">
        <v>1.064615384615385</v>
      </c>
      <c r="E10" s="10" t="n">
        <v>0.9977620730270907</v>
      </c>
      <c r="F10" s="10" t="n">
        <v>1.140536912751678</v>
      </c>
      <c r="G10" s="10" t="n">
        <v>1.037209302325582</v>
      </c>
      <c r="H10" s="16" t="n">
        <v>32.71604938271605</v>
      </c>
    </row>
    <row r="11">
      <c r="A11" s="13" t="inlineStr">
        <is>
          <t>2020</t>
        </is>
      </c>
      <c r="B11" t="n">
        <v>243</v>
      </c>
      <c r="C11" s="10" t="n">
        <v>1.066740456519043</v>
      </c>
      <c r="D11" s="10" t="n">
        <v>1.070303867403315</v>
      </c>
      <c r="E11" s="10" t="n">
        <v>1.001172161172161</v>
      </c>
      <c r="F11" s="10" t="n">
        <v>1.140284360189573</v>
      </c>
      <c r="G11" s="10" t="n">
        <v>1.043652849740933</v>
      </c>
      <c r="H11" s="16" t="n">
        <v>25.7201646090535</v>
      </c>
    </row>
    <row r="12">
      <c r="A12" s="13" t="inlineStr">
        <is>
          <t>2021</t>
        </is>
      </c>
      <c r="B12" t="n">
        <v>243</v>
      </c>
      <c r="C12" s="10" t="n">
        <v>1.021862929157087</v>
      </c>
      <c r="D12" s="10" t="n">
        <v>1.032367149758454</v>
      </c>
      <c r="E12" s="10" t="n">
        <v>0.93149915777653</v>
      </c>
      <c r="F12" s="10" t="n">
        <v>1.089141414141414</v>
      </c>
      <c r="G12" s="10" t="n">
        <v>0.9555268716263788</v>
      </c>
      <c r="H12" s="16" t="n">
        <v>9.670781893004115</v>
      </c>
    </row>
    <row r="13">
      <c r="A13" s="13" t="inlineStr">
        <is>
          <t>2022</t>
        </is>
      </c>
      <c r="B13" t="n">
        <v>242</v>
      </c>
      <c r="C13" s="10" t="n">
        <v>0.9821163935828904</v>
      </c>
      <c r="D13" s="10" t="n">
        <v>0.9827586742277057</v>
      </c>
      <c r="E13" s="10" t="n">
        <v>0.9442893826057832</v>
      </c>
      <c r="F13" s="10" t="n">
        <v>1.045120811640635</v>
      </c>
      <c r="G13" s="10" t="n">
        <v>0.9590636107366098</v>
      </c>
      <c r="H13" s="16" t="n">
        <v>17.14876033057852</v>
      </c>
    </row>
    <row r="14">
      <c r="A14" s="13" t="inlineStr">
        <is>
          <t>2023</t>
        </is>
      </c>
      <c r="B14" t="n">
        <v>242</v>
      </c>
      <c r="C14" s="10" t="n">
        <v>0.9288846234684492</v>
      </c>
      <c r="D14" s="10" t="n">
        <v>0.9317061374806361</v>
      </c>
      <c r="E14" s="10" t="n">
        <v>0.8928705675980454</v>
      </c>
      <c r="F14" s="10" t="n">
        <v>0.9708124851084108</v>
      </c>
      <c r="G14" s="10" t="n">
        <v>0.9130434782608695</v>
      </c>
      <c r="H14" s="16" t="n">
        <v>26.2396694214876</v>
      </c>
    </row>
    <row r="15">
      <c r="A15" s="13" t="inlineStr">
        <is>
          <t>2024</t>
        </is>
      </c>
      <c r="B15" t="n">
        <v>242</v>
      </c>
      <c r="C15" s="10" t="n">
        <v>0.9105629615603017</v>
      </c>
      <c r="D15" s="10" t="n">
        <v>0.9093361328177503</v>
      </c>
      <c r="E15" s="10" t="n">
        <v>0.8865289838066182</v>
      </c>
      <c r="F15" s="10" t="n">
        <v>0.9381532030001229</v>
      </c>
      <c r="G15" s="10" t="n">
        <v>0.9142822205918317</v>
      </c>
      <c r="H15" s="16" t="n">
        <v>65.49586776859503</v>
      </c>
    </row>
    <row r="16">
      <c r="A16" s="13" t="inlineStr">
        <is>
          <t>2025</t>
        </is>
      </c>
      <c r="B16" t="n">
        <v>243</v>
      </c>
      <c r="C16" s="10" t="n">
        <v>0.9607877847106282</v>
      </c>
      <c r="D16" s="10" t="n">
        <v>0.9603919967333605</v>
      </c>
      <c r="E16" s="10" t="n">
        <v>0.9180548750612445</v>
      </c>
      <c r="F16" s="10" t="n">
        <v>1.001144983540862</v>
      </c>
      <c r="G16" s="10" t="n">
        <v>0.980840543881335</v>
      </c>
      <c r="H16" s="16" t="n">
        <v>87.03703703703704</v>
      </c>
    </row>
    <row r="17">
      <c r="A17" s="13" t="inlineStr">
        <is>
          <t>2026</t>
        </is>
      </c>
      <c r="B17" t="n">
        <v>190</v>
      </c>
      <c r="C17" s="10" t="n">
        <v>1.039149919399579</v>
      </c>
      <c r="D17" s="10" t="n">
        <v>1.043523785485884</v>
      </c>
      <c r="E17" s="10" t="n">
        <v>0.966275659824047</v>
      </c>
      <c r="F17" s="10" t="n">
        <v>1.110917898397715</v>
      </c>
      <c r="G17" s="10" t="n">
        <v>1.074490029796012</v>
      </c>
      <c r="H17" s="16" t="n">
        <v>86.05263157894737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10" customWidth="1" min="4" max="4"/>
    <col width="62" customWidth="1" min="5" max="5"/>
    <col width="46" customWidth="1" min="6" max="6"/>
  </cols>
  <sheetData>
    <row r="1">
      <c r="A1" s="1" t="inlineStr">
        <is>
          <t>产业事件台账（用于解释，不用于证明因果）</t>
        </is>
      </c>
    </row>
    <row r="2" ht="30" customHeight="1">
      <c r="A2" s="2" t="inlineStr">
        <is>
          <t>核对级别：A=有原始报道标题/正文可直接核对；B=有标题但细节需二次确认；C=行业背景/常识，未逐条核实，不得单独支撑结论。方向列是对比价的预期影响方向，不是幅度预测。</t>
        </is>
      </c>
    </row>
    <row r="4" ht="28" customHeight="1">
      <c r="A4" s="6" t="inlineStr">
        <is>
          <t>日期</t>
        </is>
      </c>
      <c r="B4" s="6" t="inlineStr">
        <is>
          <t>影响侧</t>
        </is>
      </c>
      <c r="C4" s="6" t="inlineStr">
        <is>
          <t>对比价方向</t>
        </is>
      </c>
      <c r="D4" s="6" t="inlineStr">
        <is>
          <t>核对级别</t>
        </is>
      </c>
      <c r="E4" s="6" t="inlineStr">
        <is>
          <t>事件</t>
        </is>
      </c>
      <c r="F4" s="6" t="inlineStr">
        <is>
          <t>来源</t>
        </is>
      </c>
    </row>
    <row r="5">
      <c r="A5" s="7" t="inlineStr">
        <is>
          <t>2014-06-30</t>
        </is>
      </c>
      <c r="B5" t="inlineStr">
        <is>
          <t>BOTH</t>
        </is>
      </c>
      <c r="C5" t="inlineStr">
        <is>
          <t>压低比价</t>
        </is>
      </c>
      <c r="D5" s="21" t="inlineStr">
        <is>
          <t>C</t>
        </is>
      </c>
      <c r="E5" s="4" t="inlineStr">
        <is>
          <t>2014 年下半年原油自 110 美元/桶区间回落，聚烯烃成本中枢整体下移</t>
        </is>
      </c>
      <c r="F5" s="2" t="inlineStr">
        <is>
          <t>行业背景（布伦特原油 2014H2 大幅下跌，公开行情可核对）</t>
        </is>
      </c>
    </row>
    <row r="6" ht="32" customHeight="1">
      <c r="A6" s="7" t="inlineStr">
        <is>
          <t>2015-11-25</t>
        </is>
      </c>
      <c r="B6" t="inlineStr">
        <is>
          <t>PP</t>
        </is>
      </c>
      <c r="C6" t="inlineStr">
        <is>
          <t>压低比价</t>
        </is>
      </c>
      <c r="D6" s="21" t="inlineStr">
        <is>
          <t>C</t>
        </is>
      </c>
      <c r="E6" s="4" t="inlineStr">
        <is>
          <t>比价触及全样本最低 0.6913：PP 端新增产能（煤制烯烃/PDH）集中释放，PP 相对 PE 明显走弱</t>
        </is>
      </c>
      <c r="F6" s="2" t="inlineStr">
        <is>
          <t>比价数据（本研究报告 result.json）</t>
        </is>
      </c>
    </row>
    <row r="7">
      <c r="A7" s="7" t="inlineStr">
        <is>
          <t>2016-12-31</t>
        </is>
      </c>
      <c r="B7" t="inlineStr">
        <is>
          <t>BOTH</t>
        </is>
      </c>
      <c r="C7" t="inlineStr">
        <is>
          <t>中性</t>
        </is>
      </c>
      <c r="D7" s="21" t="inlineStr">
        <is>
          <t>C</t>
        </is>
      </c>
      <c r="E7" s="4" t="inlineStr">
        <is>
          <t>OPEC 减产协议生效，原油自低位回升，聚烯烃成本端重新抬升</t>
        </is>
      </c>
      <c r="F7" s="2" t="inlineStr">
        <is>
          <t>行业背景（2016-11-30 OPEC 达成减产，公开新闻可核对）</t>
        </is>
      </c>
    </row>
    <row r="8" ht="32" customHeight="1">
      <c r="A8" s="7" t="inlineStr">
        <is>
          <t>2017-11-30</t>
        </is>
      </c>
      <c r="B8" t="inlineStr">
        <is>
          <t>PE</t>
        </is>
      </c>
      <c r="C8" t="inlineStr">
        <is>
          <t>推高比价</t>
        </is>
      </c>
      <c r="D8" s="22" t="inlineStr">
        <is>
          <t>B</t>
        </is>
      </c>
      <c r="E8" s="4" t="inlineStr">
        <is>
          <t>结构断点：比价中枢由约 0.88 抬升到约 0.99（Welch t≈42），PP 相对 PE 进入强势期</t>
        </is>
      </c>
      <c r="F8" s="2" t="inlineStr">
        <is>
          <t>本报告结构扫描（analyze.py structure_scan）</t>
        </is>
      </c>
    </row>
    <row r="9">
      <c r="A9" s="7" t="inlineStr">
        <is>
          <t>2018-12-31</t>
        </is>
      </c>
      <c r="B9" t="inlineStr">
        <is>
          <t>PE</t>
        </is>
      </c>
      <c r="C9" t="inlineStr">
        <is>
          <t>推高比价</t>
        </is>
      </c>
      <c r="D9" s="21" t="inlineStr">
        <is>
          <t>C</t>
        </is>
      </c>
      <c r="E9" s="4" t="inlineStr">
        <is>
          <t>国内 PE 新增产能集中投放，PE 供应压力大于 PP，比价向 1.0 以上抬升</t>
        </is>
      </c>
      <c r="F9" s="2" t="inlineStr">
        <is>
          <t>行业背景（PE 扩能周期，需以产能数据二次核对）</t>
        </is>
      </c>
    </row>
    <row r="10">
      <c r="A10" s="7" t="inlineStr">
        <is>
          <t>2019-08-06</t>
        </is>
      </c>
      <c r="B10" t="inlineStr">
        <is>
          <t>PP</t>
        </is>
      </c>
      <c r="C10" t="inlineStr">
        <is>
          <t>推高比价</t>
        </is>
      </c>
      <c r="D10" s="23" t="inlineStr">
        <is>
          <t>A</t>
        </is>
      </c>
      <c r="E10" s="4" t="inlineStr">
        <is>
          <t>比价触及全样本最高 1.1405（收盘口径）：PP 相对 PE 达历史最贵</t>
        </is>
      </c>
      <c r="F10" s="2" t="inlineStr">
        <is>
          <t>比价数据（本报告 result.json，PP/L=1.1405）</t>
        </is>
      </c>
    </row>
    <row r="11">
      <c r="A11" s="7" t="inlineStr">
        <is>
          <t>2020-02-03</t>
        </is>
      </c>
      <c r="B11" t="inlineStr">
        <is>
          <t>BOTH</t>
        </is>
      </c>
      <c r="C11" t="inlineStr">
        <is>
          <t>方向不定</t>
        </is>
      </c>
      <c r="D11" s="23" t="inlineStr">
        <is>
          <t>A</t>
        </is>
      </c>
      <c r="E11" s="4" t="inlineStr">
        <is>
          <t>春节后首个交易日，PP 与 L 双双跳空下跌约 6%（疫情冲击需求预期）</t>
        </is>
      </c>
      <c r="F11" s="2" t="inlineStr">
        <is>
          <t>期货行情（PP/L 主连当日跌幅约 -5.9%/-6.0%，可复核）</t>
        </is>
      </c>
    </row>
    <row r="12">
      <c r="A12" s="7" t="inlineStr">
        <is>
          <t>2020-04-23</t>
        </is>
      </c>
      <c r="B12" t="inlineStr">
        <is>
          <t>BOTH</t>
        </is>
      </c>
      <c r="C12" t="inlineStr">
        <is>
          <t>方向不定</t>
        </is>
      </c>
      <c r="D12" s="23" t="inlineStr">
        <is>
          <t>A</t>
        </is>
      </c>
      <c r="E12" s="4" t="inlineStr">
        <is>
          <t>原油负价格后反弹，聚烯烃日内暴涨，比价日内高点 1.1448（盘中口径）</t>
        </is>
      </c>
      <c r="F12" s="2" t="inlineStr">
        <is>
          <t>期货行情（当日 PP/L 涨幅约 +6%）</t>
        </is>
      </c>
    </row>
    <row r="13">
      <c r="A13" s="7" t="inlineStr">
        <is>
          <t>2021-02-18</t>
        </is>
      </c>
      <c r="B13" t="inlineStr">
        <is>
          <t>BOTH</t>
        </is>
      </c>
      <c r="C13" t="inlineStr">
        <is>
          <t>方向不定</t>
        </is>
      </c>
      <c r="D13" s="23" t="inlineStr">
        <is>
          <t>A</t>
        </is>
      </c>
      <c r="E13" s="4" t="inlineStr">
        <is>
          <t>节后聚烯烃集体大涨（PP +6.7%、L +7.6%）</t>
        </is>
      </c>
      <c r="F13" s="2" t="inlineStr">
        <is>
          <t>期货行情（可复核）</t>
        </is>
      </c>
    </row>
    <row r="14">
      <c r="A14" s="7" t="inlineStr">
        <is>
          <t>2021-09-15</t>
        </is>
      </c>
      <c r="B14" t="inlineStr">
        <is>
          <t>BOTH</t>
        </is>
      </c>
      <c r="C14" t="inlineStr">
        <is>
          <t>方向不定</t>
        </is>
      </c>
      <c r="D14" s="23" t="inlineStr">
        <is>
          <t>A</t>
        </is>
      </c>
      <c r="E14" s="4" t="inlineStr">
        <is>
          <t>能耗双控/限电期间，聚烯烃同步大涨（两者均约 +5%）</t>
        </is>
      </c>
      <c r="F14" s="2" t="inlineStr">
        <is>
          <t>期货行情（可复核）</t>
        </is>
      </c>
    </row>
    <row r="15" ht="32" customHeight="1">
      <c r="A15" s="7" t="inlineStr">
        <is>
          <t>2021-09-30</t>
        </is>
      </c>
      <c r="B15" t="inlineStr">
        <is>
          <t>BOTH</t>
        </is>
      </c>
      <c r="C15" t="inlineStr">
        <is>
          <t>中性</t>
        </is>
      </c>
      <c r="D15" s="23" t="inlineStr">
        <is>
          <t>A</t>
        </is>
      </c>
      <c r="E15" s="4" t="inlineStr">
        <is>
          <t>2021 年三季末 PP 与 L 同时冲到 9900-10150 元/吨区间，比价仍在 1.02 附近——同涨不改变比价</t>
        </is>
      </c>
      <c r="F15" s="2" t="inlineStr">
        <is>
          <t>本报告贡献分解（2019-10 → 2021-09：PP +27.8%、L +35.9%）</t>
        </is>
      </c>
    </row>
    <row r="16">
      <c r="A16" s="7" t="inlineStr">
        <is>
          <t>2022-02-07</t>
        </is>
      </c>
      <c r="B16" t="inlineStr">
        <is>
          <t>BOTH</t>
        </is>
      </c>
      <c r="C16" t="inlineStr">
        <is>
          <t>方向不定</t>
        </is>
      </c>
      <c r="D16" s="23" t="inlineStr">
        <is>
          <t>A</t>
        </is>
      </c>
      <c r="E16" s="4" t="inlineStr">
        <is>
          <t>俄乌冲突初期能源暴涨，聚烯烃跳涨（PP +5.5%、L +6.1%）</t>
        </is>
      </c>
      <c r="F16" s="2" t="inlineStr">
        <is>
          <t>期货行情（可复核）</t>
        </is>
      </c>
    </row>
    <row r="17">
      <c r="A17" s="7" t="inlineStr">
        <is>
          <t>2022-08-22</t>
        </is>
      </c>
      <c r="B17" t="inlineStr">
        <is>
          <t>PP</t>
        </is>
      </c>
      <c r="C17" t="inlineStr">
        <is>
          <t>压低比价</t>
        </is>
      </c>
      <c r="D17" s="22" t="inlineStr">
        <is>
          <t>B</t>
        </is>
      </c>
      <c r="E17" s="4" t="inlineStr">
        <is>
          <t>换月日叠加 PP 走弱，比价单日 -3.09%，其中含换月跳空（新旧合约价差 +3.26%）</t>
        </is>
      </c>
      <c r="F17" s="2" t="inlineStr">
        <is>
          <t>换月台账（roll_ledger.csv）</t>
        </is>
      </c>
    </row>
    <row r="18">
      <c r="A18" s="7" t="inlineStr">
        <is>
          <t>2023-04-17</t>
        </is>
      </c>
      <c r="B18" t="inlineStr">
        <is>
          <t>PP</t>
        </is>
      </c>
      <c r="C18" t="inlineStr">
        <is>
          <t>压低比价</t>
        </is>
      </c>
      <c r="D18" s="21" t="inlineStr">
        <is>
          <t>C</t>
        </is>
      </c>
      <c r="E18" s="4" t="inlineStr">
        <is>
          <t>PP 进入集中扩能周期，供应增速高于 PE，比价自 1.0 一路回落</t>
        </is>
      </c>
      <c r="F18" s="2" t="inlineStr">
        <is>
          <t>行业背景（需以 PP/PE 产能增速数据二次核对）</t>
        </is>
      </c>
    </row>
    <row r="19">
      <c r="A19" s="7" t="inlineStr">
        <is>
          <t>2024-12-02</t>
        </is>
      </c>
      <c r="B19" t="inlineStr">
        <is>
          <t>PP</t>
        </is>
      </c>
      <c r="C19" t="inlineStr">
        <is>
          <t>压低比价</t>
        </is>
      </c>
      <c r="D19" s="23" t="inlineStr">
        <is>
          <t>A</t>
        </is>
      </c>
      <c r="E19" s="4" t="inlineStr">
        <is>
          <t>比价触及近三年最低 0.8865：PP 相对 PE 为阶段最便宜</t>
        </is>
      </c>
      <c r="F19" s="2" t="inlineStr">
        <is>
          <t>比价数据（本报告 result.json）</t>
        </is>
      </c>
    </row>
    <row r="20">
      <c r="A20" s="7" t="inlineStr">
        <is>
          <t>2025-04-07</t>
        </is>
      </c>
      <c r="B20" t="inlineStr">
        <is>
          <t>BOTH</t>
        </is>
      </c>
      <c r="C20" t="inlineStr">
        <is>
          <t>方向不定</t>
        </is>
      </c>
      <c r="D20" s="23" t="inlineStr">
        <is>
          <t>A</t>
        </is>
      </c>
      <c r="E20" s="4" t="inlineStr">
        <is>
          <t>关税冲击跳空下跌（L -4.9%），聚烯烃同步走弱</t>
        </is>
      </c>
      <c r="F20" s="2" t="inlineStr">
        <is>
          <t>期货行情（可复核）</t>
        </is>
      </c>
    </row>
    <row r="21">
      <c r="A21" s="7" t="inlineStr">
        <is>
          <t>2025-12-10</t>
        </is>
      </c>
      <c r="B21" t="inlineStr">
        <is>
          <t>PP</t>
        </is>
      </c>
      <c r="C21" t="inlineStr">
        <is>
          <t>压低比价</t>
        </is>
      </c>
      <c r="D21" s="23" t="inlineStr">
        <is>
          <t>A</t>
        </is>
      </c>
      <c r="E21" s="4" t="inlineStr">
        <is>
          <t>比价触及近一年最低 0.9338（PP 相对 PE 阶段最便宜）</t>
        </is>
      </c>
      <c r="F21" s="2" t="inlineStr">
        <is>
          <t>比价数据（本报告 result.json）</t>
        </is>
      </c>
    </row>
    <row r="22">
      <c r="A22" s="7" t="inlineStr">
        <is>
          <t>2025-12-29</t>
        </is>
      </c>
      <c r="B22" t="inlineStr">
        <is>
          <t>PE</t>
        </is>
      </c>
      <c r="C22" t="inlineStr">
        <is>
          <t>推高比价</t>
        </is>
      </c>
      <c r="D22" s="23" t="inlineStr">
        <is>
          <t>A</t>
        </is>
      </c>
      <c r="E22" s="4" t="inlineStr">
        <is>
          <t>聚乙烯月评：供应增加+需求萎缩，聚乙烯价格再度走跌</t>
        </is>
      </c>
      <c r="F22" s="2" t="inlineStr">
        <is>
          <t>隆众资讯《聚乙烯月评（2025年12月）》，plas.oilchem.net/328/3965/</t>
        </is>
      </c>
    </row>
    <row r="23">
      <c r="A23" s="7" t="inlineStr">
        <is>
          <t>2026-01-28</t>
        </is>
      </c>
      <c r="B23" t="inlineStr">
        <is>
          <t>PE</t>
        </is>
      </c>
      <c r="C23" t="inlineStr">
        <is>
          <t>推高比价</t>
        </is>
      </c>
      <c r="D23" s="23" t="inlineStr">
        <is>
          <t>A</t>
        </is>
      </c>
      <c r="E23" s="4" t="inlineStr">
        <is>
          <t>聚乙烯月评：供应压力缓解+成本支撑，聚乙烯市场价格上涨为主</t>
        </is>
      </c>
      <c r="F23" s="2" t="inlineStr">
        <is>
          <t>隆众资讯《聚乙烯月评（2026年1月）》</t>
        </is>
      </c>
    </row>
    <row r="24">
      <c r="A24" s="7" t="inlineStr">
        <is>
          <t>2026-02-27</t>
        </is>
      </c>
      <c r="B24" t="inlineStr">
        <is>
          <t>PE</t>
        </is>
      </c>
      <c r="C24" t="inlineStr">
        <is>
          <t>推高比价</t>
        </is>
      </c>
      <c r="D24" s="23" t="inlineStr">
        <is>
          <t>A</t>
        </is>
      </c>
      <c r="E24" s="4" t="inlineStr">
        <is>
          <t>聚乙烯月评：供应压力减缓主导，聚乙烯多数品种价格窄幅走高</t>
        </is>
      </c>
      <c r="F24" s="2" t="inlineStr">
        <is>
          <t>隆众资讯《聚乙烯月评（2026年2月）》</t>
        </is>
      </c>
    </row>
    <row r="25">
      <c r="A25" s="7" t="inlineStr">
        <is>
          <t>2026-03-02</t>
        </is>
      </c>
      <c r="B25" t="inlineStr">
        <is>
          <t>BOTH</t>
        </is>
      </c>
      <c r="C25" t="inlineStr">
        <is>
          <t>方向不定</t>
        </is>
      </c>
      <c r="D25" s="23" t="inlineStr">
        <is>
          <t>A</t>
        </is>
      </c>
      <c r="E25" s="4" t="inlineStr">
        <is>
          <t>3 月首日 PP +5.7%、L +5.8% 同步跳涨，随后整月大幅上行</t>
        </is>
      </c>
      <c r="F25" s="2" t="inlineStr">
        <is>
          <t>期货行情（可复核）</t>
        </is>
      </c>
    </row>
    <row r="26">
      <c r="A26" s="7" t="inlineStr">
        <is>
          <t>2026-03-27</t>
        </is>
      </c>
      <c r="B26" t="inlineStr">
        <is>
          <t>BOTH</t>
        </is>
      </c>
      <c r="C26" t="inlineStr">
        <is>
          <t>方向不定</t>
        </is>
      </c>
      <c r="D26" s="23" t="inlineStr">
        <is>
          <t>A</t>
        </is>
      </c>
      <c r="E26" s="4" t="inlineStr">
        <is>
          <t>聚乙烯月评：成本强支撑+供应偏紧，聚乙烯价格大涨（与 PP 同向）</t>
        </is>
      </c>
      <c r="F26" s="2" t="inlineStr">
        <is>
          <t>隆众资讯《聚乙烯月评（2026年3月）》</t>
        </is>
      </c>
    </row>
    <row r="27">
      <c r="A27" s="7" t="inlineStr">
        <is>
          <t>2026-04-08</t>
        </is>
      </c>
      <c r="B27" t="inlineStr">
        <is>
          <t>PP</t>
        </is>
      </c>
      <c r="C27" t="inlineStr">
        <is>
          <t>压低比价</t>
        </is>
      </c>
      <c r="D27" s="23" t="inlineStr">
        <is>
          <t>A</t>
        </is>
      </c>
      <c r="E27" s="4" t="inlineStr">
        <is>
          <t>单日急跌：PP -15.9%、L -10.0%，比价当日大幅回落（前期急涨后回吐）</t>
        </is>
      </c>
      <c r="F27" s="2" t="inlineStr">
        <is>
          <t>期货行情（可复核，PP 主连 -15.9%）</t>
        </is>
      </c>
    </row>
    <row r="28">
      <c r="A28" s="7" t="inlineStr">
        <is>
          <t>2026-05-19</t>
        </is>
      </c>
      <c r="B28" t="inlineStr">
        <is>
          <t>PP</t>
        </is>
      </c>
      <c r="C28" t="inlineStr">
        <is>
          <t>推高比价</t>
        </is>
      </c>
      <c r="D28" s="23" t="inlineStr">
        <is>
          <t>A</t>
        </is>
      </c>
      <c r="E28" s="4" t="inlineStr">
        <is>
          <t>比价触及近一年最高 1.1109（亦是近三年/近五年最高）</t>
        </is>
      </c>
      <c r="F28" s="2" t="inlineStr">
        <is>
          <t>比价数据（本报告 result.json）</t>
        </is>
      </c>
    </row>
    <row r="29">
      <c r="A29" s="7" t="inlineStr">
        <is>
          <t>2026-05-27</t>
        </is>
      </c>
      <c r="B29" t="inlineStr">
        <is>
          <t>PE</t>
        </is>
      </c>
      <c r="C29" t="inlineStr">
        <is>
          <t>推高比价</t>
        </is>
      </c>
      <c r="D29" s="23" t="inlineStr">
        <is>
          <t>A</t>
        </is>
      </c>
      <c r="E29" s="4" t="inlineStr">
        <is>
          <t>聚乙烯月评：弱需求与高供应博弈持续，聚乙烯重心下移（PP 端未同步走弱，比价走扩）</t>
        </is>
      </c>
      <c r="F29" s="2" t="inlineStr">
        <is>
          <t>隆众资讯《聚乙烯月评（2026年5月）》</t>
        </is>
      </c>
    </row>
    <row r="30">
      <c r="A30" s="7" t="inlineStr">
        <is>
          <t>2026-07-16</t>
        </is>
      </c>
      <c r="B30" t="inlineStr">
        <is>
          <t>PP</t>
        </is>
      </c>
      <c r="C30" t="inlineStr">
        <is>
          <t>推高比价</t>
        </is>
      </c>
      <c r="D30" s="23" t="inlineStr">
        <is>
          <t>A</t>
        </is>
      </c>
      <c r="E30" s="4" t="inlineStr">
        <is>
          <t>PP 周评：地缘冲突扰动市场，聚丙烯市场超预期拉涨</t>
        </is>
      </c>
      <c r="F30" s="2" t="inlineStr">
        <is>
          <t>隆众资讯《PP周评（20260710-0716）》</t>
        </is>
      </c>
    </row>
    <row r="31">
      <c r="A31" s="7" t="inlineStr">
        <is>
          <t>2026-07-23</t>
        </is>
      </c>
      <c r="B31" t="inlineStr">
        <is>
          <t>PP</t>
        </is>
      </c>
      <c r="C31" t="inlineStr">
        <is>
          <t>推高比价</t>
        </is>
      </c>
      <c r="D31" s="23" t="inlineStr">
        <is>
          <t>A</t>
        </is>
      </c>
      <c r="E31" s="4" t="inlineStr">
        <is>
          <t>PP 周评：地缘冲突再度升级，聚丙烯市场继续拉涨</t>
        </is>
      </c>
      <c r="F31" s="2" t="inlineStr">
        <is>
          <t>隆众资讯《PP周评（20260717-0723）》</t>
        </is>
      </c>
    </row>
    <row r="32" ht="32" customHeight="1">
      <c r="A32" s="7" t="inlineStr">
        <is>
          <t>2026-08-18</t>
        </is>
      </c>
      <c r="B32" t="inlineStr">
        <is>
          <t>BOTH</t>
        </is>
      </c>
      <c r="C32" t="inlineStr">
        <is>
          <t>压低比价</t>
        </is>
      </c>
      <c r="D32" s="23" t="inlineStr">
        <is>
          <t>A</t>
        </is>
      </c>
      <c r="E32" s="4" t="inlineStr">
        <is>
          <t>L 与 PP 同日换月（→2701 合约），新旧合约价差 L +5.02%、PP +8.71%，当日比价 -3.71% 主要为换月跳空</t>
        </is>
      </c>
      <c r="F32" s="2" t="inlineStr">
        <is>
          <t>换月台账（roll_ledger.csv）；当日比价 -3.71% 与换月跳空方向一致</t>
        </is>
      </c>
    </row>
    <row r="33">
      <c r="A33" s="7" t="inlineStr">
        <is>
          <t>2026-08-27</t>
        </is>
      </c>
      <c r="B33" t="inlineStr">
        <is>
          <t>BOTH</t>
        </is>
      </c>
      <c r="C33" t="inlineStr">
        <is>
          <t>中性</t>
        </is>
      </c>
      <c r="D33" s="23" t="inlineStr">
        <is>
          <t>A</t>
        </is>
      </c>
      <c r="E33" s="4" t="inlineStr">
        <is>
          <t>PP 周评：供需紧平衡格局未改，聚丙烯期现分化加剧</t>
        </is>
      </c>
      <c r="F33" s="2" t="inlineStr">
        <is>
          <t>隆众资讯《PP周评（20260821-0827）》</t>
        </is>
      </c>
    </row>
    <row r="34">
      <c r="A34" s="7" t="inlineStr">
        <is>
          <t>2026-09-03</t>
        </is>
      </c>
      <c r="B34" t="inlineStr">
        <is>
          <t>PP</t>
        </is>
      </c>
      <c r="C34" t="inlineStr">
        <is>
          <t>推高比价</t>
        </is>
      </c>
      <c r="D34" s="23" t="inlineStr">
        <is>
          <t>A</t>
        </is>
      </c>
      <c r="E34" s="4" t="inlineStr">
        <is>
          <t>PP 周评：地缘博弈推升成本，聚丙烯价格宽幅上涨</t>
        </is>
      </c>
      <c r="F34" s="2" t="inlineStr">
        <is>
          <t>隆众资讯《PP周评（20260828-0903）》</t>
        </is>
      </c>
    </row>
    <row r="35">
      <c r="A35" s="7" t="inlineStr">
        <is>
          <t>2026-09-23</t>
        </is>
      </c>
      <c r="B35" t="inlineStr">
        <is>
          <t>PP</t>
        </is>
      </c>
      <c r="C35" t="inlineStr">
        <is>
          <t>压低比价</t>
        </is>
      </c>
      <c r="D35" s="23" t="inlineStr">
        <is>
          <t>A</t>
        </is>
      </c>
      <c r="E35" s="4" t="inlineStr">
        <is>
          <t>PP 日评：中东局势缓和，聚丙烯价格回落</t>
        </is>
      </c>
      <c r="F35" s="2" t="inlineStr">
        <is>
          <t>隆众资讯《PP日评（20260923）》</t>
        </is>
      </c>
    </row>
    <row r="36">
      <c r="A36" s="7" t="inlineStr">
        <is>
          <t>2026-10-08</t>
        </is>
      </c>
      <c r="B36" t="inlineStr">
        <is>
          <t>BOTH</t>
        </is>
      </c>
      <c r="C36" t="inlineStr">
        <is>
          <t>方向不定</t>
        </is>
      </c>
      <c r="D36" s="23" t="inlineStr">
        <is>
          <t>A</t>
        </is>
      </c>
      <c r="E36" s="4" t="inlineStr">
        <is>
          <t>国庆节后跳空上行：L +6.6%、PP +6.5%，两者同向</t>
        </is>
      </c>
      <c r="F36" s="2" t="inlineStr">
        <is>
          <t>期货行情（可复核）</t>
        </is>
      </c>
    </row>
    <row r="37">
      <c r="A37" s="7" t="inlineStr">
        <is>
          <t>2026-10-15</t>
        </is>
      </c>
      <c r="B37" t="inlineStr">
        <is>
          <t>PE</t>
        </is>
      </c>
      <c r="C37" t="inlineStr">
        <is>
          <t>压低比价</t>
        </is>
      </c>
      <c r="D37" s="23" t="inlineStr">
        <is>
          <t>A</t>
        </is>
      </c>
      <c r="E37" s="4" t="inlineStr">
        <is>
          <t>PE 周评：聚乙烯市场现货价格整体上涨；同期 PP 日评显示高价成交受阻、高位回落</t>
        </is>
      </c>
      <c r="F37" s="2" t="inlineStr">
        <is>
          <t>隆众资讯《PE周评（20261009-1015）》《PP日评（20261016）》</t>
        </is>
      </c>
    </row>
    <row r="38">
      <c r="A38" s="7" t="inlineStr">
        <is>
          <t>2026-10-16</t>
        </is>
      </c>
      <c r="B38" t="inlineStr">
        <is>
          <t>PE</t>
        </is>
      </c>
      <c r="C38" t="inlineStr">
        <is>
          <t>压低比价</t>
        </is>
      </c>
      <c r="D38" s="23" t="inlineStr">
        <is>
          <t>A</t>
        </is>
      </c>
      <c r="E38" s="4" t="inlineStr">
        <is>
          <t>聚乙烯：供需格局转松，价格承压下行；PP 端为供应收缩、库存低位</t>
        </is>
      </c>
      <c r="F38" s="2" t="inlineStr">
        <is>
          <t>隆众资讯《聚乙烯》栏目（2026-10-16）；《隆众聚焦·供应收缩产业链库存低位》</t>
        </is>
      </c>
    </row>
  </sheetData>
  <autoFilter ref="A4:F38"/>
  <mergeCells count="2">
    <mergeCell ref="A2:F2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10" customWidth="1" min="3" max="3"/>
    <col width="56" customWidth="1" min="4" max="4"/>
  </cols>
  <sheetData>
    <row r="1">
      <c r="A1" s="1" t="inlineStr">
        <is>
          <t>数据来源与可得性</t>
        </is>
      </c>
    </row>
    <row r="2" ht="30" customHeight="1">
      <c r="A2" s="2" t="inlineStr">
        <is>
          <t>每个字段的来源、口径与已知问题；缺什么、为什么缺，都写在这里。</t>
        </is>
      </c>
    </row>
    <row r="4" ht="28" customHeight="1">
      <c r="A4" s="6" t="inlineStr">
        <is>
          <t>项目</t>
        </is>
      </c>
      <c r="B4" s="6" t="inlineStr">
        <is>
          <t>内容</t>
        </is>
      </c>
      <c r="C4" s="6" t="inlineStr">
        <is>
          <t>状态</t>
        </is>
      </c>
      <c r="D4" s="6" t="inlineStr">
        <is>
          <t>备注</t>
        </is>
      </c>
    </row>
    <row r="5" ht="34" customHeight="1">
      <c r="A5" s="13" t="inlineStr">
        <is>
          <t>接口地址</t>
        </is>
      </c>
      <c r="B5" s="4" t="inlineStr">
        <is>
          <t>https://stock2.finance.sina.com.cn/futures/api/jsonp.php/var%20_{SYM}=/InnerFuturesNewService.getDailyKLine?symbol={SYM}</t>
        </is>
      </c>
      <c r="C5" s="24" t="inlineStr">
        <is>
          <t>可用</t>
        </is>
      </c>
      <c r="D5" s="2" t="inlineStr">
        <is>
          <t>SYM 取 PP0 / L0 为主连</t>
        </is>
      </c>
    </row>
    <row r="6">
      <c r="A6" s="13" t="inlineStr">
        <is>
          <t>实时快照</t>
        </is>
      </c>
      <c r="B6" s="4" t="inlineStr">
        <is>
          <t>https://hq.sinajs.cn/list=nf_L0,nf_PP0</t>
        </is>
      </c>
      <c r="C6" s="24" t="inlineStr">
        <is>
          <t>可用</t>
        </is>
      </c>
      <c r="D6" s="2" t="inlineStr">
        <is>
          <t>需 Referer: finance.sina.com.cn，GBK 解码</t>
        </is>
      </c>
    </row>
    <row r="7">
      <c r="A7" s="13" t="inlineStr">
        <is>
          <t>价格类型</t>
        </is>
      </c>
      <c r="B7" s="4" t="inlineStr">
        <is>
          <t>期货主力连续日线（未复权）</t>
        </is>
      </c>
      <c r="C7" s="24" t="inlineStr">
        <is>
          <t>可用</t>
        </is>
      </c>
      <c r="D7" s="2" t="inlineStr">
        <is>
          <t>非结算价；收盘价口径</t>
        </is>
      </c>
    </row>
    <row r="8">
      <c r="A8" s="13" t="inlineStr">
        <is>
          <t>单位</t>
        </is>
      </c>
      <c r="B8" s="4" t="inlineStr">
        <is>
          <t>元/吨</t>
        </is>
      </c>
      <c r="C8" s="24" t="inlineStr">
        <is>
          <t>可用</t>
        </is>
      </c>
      <c r="D8" s="2" t="inlineStr">
        <is>
          <t>两侧一致</t>
        </is>
      </c>
    </row>
    <row r="9">
      <c r="A9" s="13" t="inlineStr">
        <is>
          <t>成交量/持仓量</t>
        </is>
      </c>
      <c r="B9" s="4" t="inlineStr">
        <is>
          <t>接口返回</t>
        </is>
      </c>
      <c r="C9" s="24" t="inlineStr">
        <is>
          <t>可用</t>
        </is>
      </c>
      <c r="D9" s="2" t="inlineStr">
        <is>
          <t>用于判定主力合约</t>
        </is>
      </c>
    </row>
    <row r="10">
      <c r="A10" s="13" t="inlineStr">
        <is>
          <t>合约面板</t>
        </is>
      </c>
      <c r="B10" s="4" t="inlineStr">
        <is>
          <t>单合约日线（L/PP 各月份）</t>
        </is>
      </c>
      <c r="C10" s="24" t="inlineStr">
        <is>
          <t>可用</t>
        </is>
      </c>
      <c r="D10" s="2" t="inlineStr">
        <is>
          <t>用于换月识别与交叉校验</t>
        </is>
      </c>
    </row>
    <row r="11">
      <c r="A11" s="13" t="inlineStr">
        <is>
          <t>A 侧覆盖</t>
        </is>
      </c>
      <c r="B11" s="4" t="inlineStr">
        <is>
          <t>2014-02-28 → 2026-10-20</t>
        </is>
      </c>
      <c r="C11" s="24" t="inlineStr">
        <is>
          <t>可用</t>
        </is>
      </c>
      <c r="D11" s="2" t="inlineStr">
        <is>
          <t>3071 个交易日</t>
        </is>
      </c>
    </row>
    <row r="12">
      <c r="A12" s="13" t="inlineStr">
        <is>
          <t>B 侧覆盖</t>
        </is>
      </c>
      <c r="B12" s="4" t="inlineStr">
        <is>
          <t>2007-07-31 → 2026-10-20</t>
        </is>
      </c>
      <c r="C12" s="24" t="inlineStr">
        <is>
          <t>可用</t>
        </is>
      </c>
      <c r="D12" s="2" t="inlineStr">
        <is>
          <t>4674 个交易日</t>
        </is>
      </c>
    </row>
    <row r="13">
      <c r="A13" s="13" t="inlineStr">
        <is>
          <t>共同样本</t>
        </is>
      </c>
      <c r="B13" s="4" t="inlineStr">
        <is>
          <t>2014-02-28 → 2026-10-20</t>
        </is>
      </c>
      <c r="C13" s="24" t="inlineStr">
        <is>
          <t>可用</t>
        </is>
      </c>
      <c r="D13" s="2" t="inlineStr">
        <is>
          <t>N=3069；A 独有 2 天、B 独有 1605 天</t>
        </is>
      </c>
    </row>
    <row r="14">
      <c r="A14" s="13" t="inlineStr">
        <is>
          <t>OHLC 矛盾</t>
        </is>
      </c>
      <c r="B14" s="4" t="inlineStr">
        <is>
          <t>A: 1 处；B: 0 处</t>
        </is>
      </c>
      <c r="C14" s="25" t="inlineStr">
        <is>
          <t>已标注</t>
        </is>
      </c>
      <c r="D14" s="2" t="inlineStr">
        <is>
          <t>收盘价仍在高低区间内，不影响比价</t>
        </is>
      </c>
    </row>
    <row r="15">
      <c r="A15" s="13" t="inlineStr">
        <is>
          <t>单日涨跌 &gt;15%</t>
        </is>
      </c>
      <c r="B15" s="4" t="inlineStr">
        <is>
          <t>A: 0 处；B: 1 处</t>
        </is>
      </c>
      <c r="C15" s="25" t="inlineStr">
        <is>
          <t>已标注</t>
        </is>
      </c>
      <c r="D15" s="2" t="inlineStr">
        <is>
          <t>集中在 2008/2015 极端行情</t>
        </is>
      </c>
    </row>
    <row r="16">
      <c r="A16" s="13" t="inlineStr">
        <is>
          <t>零成交日</t>
        </is>
      </c>
      <c r="B16" s="4" t="inlineStr">
        <is>
          <t>A: 3 天；B: 4 天</t>
        </is>
      </c>
      <c r="C16" s="25" t="inlineStr">
        <is>
          <t>已标注</t>
        </is>
      </c>
      <c r="D16" s="2" t="inlineStr">
        <is>
          <t>多为节假日前后，价格仍有效</t>
        </is>
      </c>
    </row>
    <row r="17">
      <c r="A17" s="13" t="inlineStr">
        <is>
          <t>现货价格</t>
        </is>
      </c>
      <c r="B17" s="4" t="inlineStr">
        <is>
          <t>隆众资讯 华东 PP 拉丝 / LLDPE 膜料</t>
        </is>
      </c>
      <c r="C17" s="26" t="inlineStr">
        <is>
          <t>未纳入</t>
        </is>
      </c>
      <c r="D17" s="2" t="inlineStr">
        <is>
          <t>现货为付费数据，本次分析统一使用期货口径，未与现货混用</t>
        </is>
      </c>
    </row>
    <row r="18">
      <c r="A18" s="13" t="inlineStr">
        <is>
          <t>产能/开工/库存</t>
        </is>
      </c>
      <c r="B18" s="4" t="inlineStr">
        <is>
          <t>隆众资讯 数据终端</t>
        </is>
      </c>
      <c r="C18" s="26" t="inlineStr">
        <is>
          <t>未纳入</t>
        </is>
      </c>
      <c r="D18" s="2" t="inlineStr">
        <is>
          <t>本轮未取得可核对的量化序列，报告中不作量化引用</t>
        </is>
      </c>
    </row>
    <row r="19" ht="34" customHeight="1">
      <c r="A19" s="13" t="inlineStr">
        <is>
          <t>末端混合报价</t>
        </is>
      </c>
      <c r="B19" s="4" t="inlineStr">
        <is>
          <t>数据末端连续序列可能来自临近换月的混合路径</t>
        </is>
      </c>
      <c r="C19" s="26" t="inlineStr">
        <is>
          <t>已披露</t>
        </is>
      </c>
      <c r="D19" s="2" t="inlineStr">
        <is>
          <t>当日连续序列持仓/成交高于任一挂牌合约，说明其为多合约混合报价；比价水平不受影响（约 1.07），但不宜用末端单日做精细判断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2026-10-21T01:38:40Z</dcterms:created>
  <dcterms:modified xmlns:dcterms="http://purl.org/dc/terms/" xmlns:xsi="http://www.w3.org/2001/XMLSchema-instance" xsi:type="dcterms:W3CDTF">2026-10-21T01:38:42Z</dcterms:modified>
</cp:coreProperties>
</file>
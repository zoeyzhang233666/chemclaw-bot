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封面与口径" sheetId="1" state="visible" r:id="rId1"/>
    <sheet xmlns:r="http://schemas.openxmlformats.org/officeDocument/2006/relationships" name="01日度价格" sheetId="2" state="visible" r:id="rId2"/>
    <sheet xmlns:r="http://schemas.openxmlformats.org/officeDocument/2006/relationships" name="02周度面板" sheetId="3" state="visible" r:id="rId3"/>
    <sheet xmlns:r="http://schemas.openxmlformats.org/officeDocument/2006/relationships" name="03月度面板" sheetId="4" state="visible" r:id="rId4"/>
    <sheet xmlns:r="http://schemas.openxmlformats.org/officeDocument/2006/relationships" name="04周次映射规则" sheetId="5" state="visible" r:id="rId5"/>
    <sheet xmlns:r="http://schemas.openxmlformats.org/officeDocument/2006/relationships" name="05周度统计" sheetId="6" state="visible" r:id="rId6"/>
    <sheet xmlns:r="http://schemas.openxmlformats.org/officeDocument/2006/relationships" name="06月度统计" sheetId="7" state="visible" r:id="rId7"/>
    <sheet xmlns:r="http://schemas.openxmlformats.org/officeDocument/2006/relationships" name="07归一化面板" sheetId="8" state="visible" r:id="rId8"/>
    <sheet xmlns:r="http://schemas.openxmlformats.org/officeDocument/2006/relationships" name="08当前年位置" sheetId="9" state="visible" r:id="rId9"/>
    <sheet xmlns:r="http://schemas.openxmlformats.org/officeDocument/2006/relationships" name="09异常年证据" sheetId="10" state="visible" r:id="rId10"/>
    <sheet xmlns:r="http://schemas.openxmlformats.org/officeDocument/2006/relationships" name="10样本覆盖" sheetId="11" state="visible" r:id="rId11"/>
    <sheet xmlns:r="http://schemas.openxmlformats.org/officeDocument/2006/relationships" name="11数据缺口" sheetId="12" state="visible" r:id="rId12"/>
    <sheet xmlns:r="http://schemas.openxmlformats.org/officeDocument/2006/relationships" name="12来源与复现" sheetId="13" state="visible" r:id="rId13"/>
  </sheets>
  <definedNames>
    <definedName name="_xlnm._FilterDatabase" localSheetId="1" hidden="1">'01日度价格'!$A$3:$I$1086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0D1117"/>
      <sz val="14"/>
    </font>
    <font>
      <i val="1"/>
      <color rgb="00808080"/>
      <sz val="9"/>
    </font>
    <font>
      <b val="1"/>
      <color rgb="001F3A5F"/>
      <sz val="11"/>
    </font>
    <font>
      <b val="1"/>
      <color rgb="00FFFFFF"/>
      <sz val="10"/>
    </font>
    <font>
      <color rgb="000563C1"/>
      <sz val="9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3A5F"/>
      </patternFill>
    </fill>
    <fill>
      <patternFill patternType="solid">
        <fgColor rgb="00FDE2CC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0" fillId="0" borderId="1" pivotButton="0" quotePrefix="0" xfId="0"/>
    <xf numFmtId="0" fontId="0" fillId="0" borderId="0" applyAlignment="1" pivotButton="0" quotePrefix="0" xfId="0">
      <alignment horizontal="left"/>
    </xf>
    <xf numFmtId="0" fontId="6" fillId="4" borderId="0" pivotButton="0" quotePrefix="0" xfId="0"/>
    <xf numFmtId="3" fontId="0" fillId="4" borderId="1" pivotButton="0" quotePrefix="0" xfId="0"/>
    <xf numFmtId="0" fontId="0" fillId="4" borderId="1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6" fontId="0" fillId="2" borderId="1" pivotButton="0" quotePrefix="0" xfId="0"/>
    <xf numFmtId="2" fontId="0" fillId="0" borderId="1" pivotButton="0" quotePrefix="0" xfId="0"/>
    <xf numFmtId="166" fontId="0" fillId="0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6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周度价格：各年份轨迹叠加</a:t>
            </a:r>
          </a:p>
        </rich>
      </tx>
    </title>
    <plotArea>
      <lineChart>
        <grouping val="standard"/>
        <ser>
          <idx val="0"/>
          <order val="0"/>
          <tx>
            <strRef>
              <f>'02周度面板'!B3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'02周度面板'!$C$3:$BA$3</f>
            </numRef>
          </val>
        </ser>
        <ser>
          <idx val="1"/>
          <order val="1"/>
          <tx>
            <strRef>
              <f>'02周度面板'!B4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'02周度面板'!$C$4:$BA$4</f>
            </numRef>
          </val>
        </ser>
        <ser>
          <idx val="2"/>
          <order val="2"/>
          <tx>
            <strRef>
              <f>'02周度面板'!B5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'02周度面板'!$C$5:$BA$5</f>
            </numRef>
          </val>
        </ser>
        <ser>
          <idx val="3"/>
          <order val="3"/>
          <tx>
            <strRef>
              <f>'02周度面板'!B6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'02周度面板'!$C$6:$BA$6</f>
            </numRef>
          </val>
        </ser>
        <ser>
          <idx val="4"/>
          <order val="4"/>
          <tx>
            <strRef>
              <f>'02周度面板'!B7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'02周度面板'!$C$7:$BA$7</f>
            </numRef>
          </val>
        </ser>
        <ser>
          <idx val="5"/>
          <order val="5"/>
          <tx>
            <strRef>
              <f>'02周度面板'!B8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'02周度面板'!$C$8:$BA$8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ISO 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100ppi.com/news/detail-20220817-2246847.html" TargetMode="External" Id="rId1"/><Relationship Type="http://schemas.openxmlformats.org/officeDocument/2006/relationships/hyperlink" Target="https://www.100ppi.com/news/detail-20220818-2248551.html" TargetMode="External" Id="rId2"/><Relationship Type="http://schemas.openxmlformats.org/officeDocument/2006/relationships/hyperlink" Target="https://www.100ppi.com/news/detail-20220819-2250235.html" TargetMode="External" Id="rId3"/><Relationship Type="http://schemas.openxmlformats.org/officeDocument/2006/relationships/hyperlink" Target="https://www.100ppi.com/news/detail-20220822-2253307.html" TargetMode="External" Id="rId4"/><Relationship Type="http://schemas.openxmlformats.org/officeDocument/2006/relationships/hyperlink" Target="https://www.100ppi.com/news/detail-20220823-2255137.html" TargetMode="External" Id="rId5"/><Relationship Type="http://schemas.openxmlformats.org/officeDocument/2006/relationships/hyperlink" Target="https://www.100ppi.com/news/detail-20220824-2256779.html" TargetMode="External" Id="rId6"/><Relationship Type="http://schemas.openxmlformats.org/officeDocument/2006/relationships/hyperlink" Target="https://www.100ppi.com/news/detail-20220825-2258482.html" TargetMode="External" Id="rId7"/><Relationship Type="http://schemas.openxmlformats.org/officeDocument/2006/relationships/hyperlink" Target="https://www.100ppi.com/news/detail-20220826-2260191.html" TargetMode="External" Id="rId8"/><Relationship Type="http://schemas.openxmlformats.org/officeDocument/2006/relationships/hyperlink" Target="https://www.100ppi.com/news/detail-20220829-2263271.html" TargetMode="External" Id="rId9"/><Relationship Type="http://schemas.openxmlformats.org/officeDocument/2006/relationships/hyperlink" Target="https://www.100ppi.com/news/detail-20220830-2265052.html" TargetMode="External" Id="rId10"/><Relationship Type="http://schemas.openxmlformats.org/officeDocument/2006/relationships/hyperlink" Target="https://www.100ppi.com/news/detail-20220831-2266741.html" TargetMode="External" Id="rId11"/><Relationship Type="http://schemas.openxmlformats.org/officeDocument/2006/relationships/hyperlink" Target="https://www.100ppi.com/news/detail-20220901-2268454.html" TargetMode="External" Id="rId12"/><Relationship Type="http://schemas.openxmlformats.org/officeDocument/2006/relationships/hyperlink" Target="https://www.100ppi.com/news/detail-20220902-2270149.html" TargetMode="External" Id="rId13"/><Relationship Type="http://schemas.openxmlformats.org/officeDocument/2006/relationships/hyperlink" Target="https://www.100ppi.com/news/detail-20220905-2273276.html" TargetMode="External" Id="rId14"/><Relationship Type="http://schemas.openxmlformats.org/officeDocument/2006/relationships/hyperlink" Target="https://www.100ppi.com/news/detail-20220906-2275113.html" TargetMode="External" Id="rId15"/><Relationship Type="http://schemas.openxmlformats.org/officeDocument/2006/relationships/hyperlink" Target="https://www.100ppi.com/news/detail-20220907-2276828.html" TargetMode="External" Id="rId16"/><Relationship Type="http://schemas.openxmlformats.org/officeDocument/2006/relationships/hyperlink" Target="https://www.100ppi.com/news/detail-20220908-2278462.html" TargetMode="External" Id="rId17"/><Relationship Type="http://schemas.openxmlformats.org/officeDocument/2006/relationships/hyperlink" Target="https://www.100ppi.com/news/detail-20220909-2280300.html" TargetMode="External" Id="rId18"/><Relationship Type="http://schemas.openxmlformats.org/officeDocument/2006/relationships/hyperlink" Target="https://www.100ppi.com/news/detail-20220912-2282011.html" TargetMode="External" Id="rId19"/><Relationship Type="http://schemas.openxmlformats.org/officeDocument/2006/relationships/hyperlink" Target="https://www.100ppi.com/news/detail-20220914-2285791.html" TargetMode="External" Id="rId20"/><Relationship Type="http://schemas.openxmlformats.org/officeDocument/2006/relationships/hyperlink" Target="https://www.100ppi.com/news/detail-20220915-2287598.html" TargetMode="External" Id="rId21"/><Relationship Type="http://schemas.openxmlformats.org/officeDocument/2006/relationships/hyperlink" Target="https://www.100ppi.com/news/detail-20220916-2289137.html" TargetMode="External" Id="rId22"/><Relationship Type="http://schemas.openxmlformats.org/officeDocument/2006/relationships/hyperlink" Target="https://www.100ppi.com/news/detail-20220919-2292363.html" TargetMode="External" Id="rId23"/><Relationship Type="http://schemas.openxmlformats.org/officeDocument/2006/relationships/hyperlink" Target="https://www.100ppi.com/news/detail-20220920-2294167.html" TargetMode="External" Id="rId24"/><Relationship Type="http://schemas.openxmlformats.org/officeDocument/2006/relationships/hyperlink" Target="https://www.100ppi.com/news/detail-20220921-2295806.html" TargetMode="External" Id="rId25"/><Relationship Type="http://schemas.openxmlformats.org/officeDocument/2006/relationships/hyperlink" Target="https://www.100ppi.com/news/detail-20220922-2297657.html" TargetMode="External" Id="rId26"/><Relationship Type="http://schemas.openxmlformats.org/officeDocument/2006/relationships/hyperlink" Target="https://www.100ppi.com/news/detail-20220923-2299480.html" TargetMode="External" Id="rId27"/><Relationship Type="http://schemas.openxmlformats.org/officeDocument/2006/relationships/hyperlink" Target="https://www.100ppi.com/news/detail-20220926-2302794.html" TargetMode="External" Id="rId28"/><Relationship Type="http://schemas.openxmlformats.org/officeDocument/2006/relationships/hyperlink" Target="https://www.100ppi.com/news/detail-20220927-2304632.html" TargetMode="External" Id="rId29"/><Relationship Type="http://schemas.openxmlformats.org/officeDocument/2006/relationships/hyperlink" Target="https://www.100ppi.com/news/detail-20220928-2306542.html" TargetMode="External" Id="rId30"/><Relationship Type="http://schemas.openxmlformats.org/officeDocument/2006/relationships/hyperlink" Target="https://www.100ppi.com/news/detail-20220929-2308168.html" TargetMode="External" Id="rId31"/><Relationship Type="http://schemas.openxmlformats.org/officeDocument/2006/relationships/hyperlink" Target="https://www.100ppi.com/news/detail-20220930-2309795.html" TargetMode="External" Id="rId32"/><Relationship Type="http://schemas.openxmlformats.org/officeDocument/2006/relationships/hyperlink" Target="https://www.100ppi.com/news/detail-20221008-2314722.html" TargetMode="External" Id="rId33"/><Relationship Type="http://schemas.openxmlformats.org/officeDocument/2006/relationships/hyperlink" Target="https://www.100ppi.com/news/detail-20221009-2316353.html" TargetMode="External" Id="rId34"/><Relationship Type="http://schemas.openxmlformats.org/officeDocument/2006/relationships/hyperlink" Target="https://www.100ppi.com/news/detail-20221011-2320174.html" TargetMode="External" Id="rId35"/><Relationship Type="http://schemas.openxmlformats.org/officeDocument/2006/relationships/hyperlink" Target="https://www.100ppi.com/news/detail-20221012-2321960.html" TargetMode="External" Id="rId36"/><Relationship Type="http://schemas.openxmlformats.org/officeDocument/2006/relationships/hyperlink" Target="https://www.100ppi.com/news/detail-20221013-2323585.html" TargetMode="External" Id="rId37"/><Relationship Type="http://schemas.openxmlformats.org/officeDocument/2006/relationships/hyperlink" Target="https://www.100ppi.com/news/detail-20221014-2325432.html" TargetMode="External" Id="rId38"/><Relationship Type="http://schemas.openxmlformats.org/officeDocument/2006/relationships/hyperlink" Target="https://www.100ppi.com/news/detail-20221017-2328574.html" TargetMode="External" Id="rId39"/><Relationship Type="http://schemas.openxmlformats.org/officeDocument/2006/relationships/hyperlink" Target="https://www.100ppi.com/news/detail-20221018-2330228.html" TargetMode="External" Id="rId40"/><Relationship Type="http://schemas.openxmlformats.org/officeDocument/2006/relationships/hyperlink" Target="https://www.100ppi.com/news/detail-20221019-2332014.html" TargetMode="External" Id="rId41"/><Relationship Type="http://schemas.openxmlformats.org/officeDocument/2006/relationships/hyperlink" Target="https://www.100ppi.com/news/detail-20221020-2333769.html" TargetMode="External" Id="rId42"/><Relationship Type="http://schemas.openxmlformats.org/officeDocument/2006/relationships/hyperlink" Target="https://www.100ppi.com/news/detail-20221021-2335622.html" TargetMode="External" Id="rId43"/><Relationship Type="http://schemas.openxmlformats.org/officeDocument/2006/relationships/hyperlink" Target="https://www.100ppi.com/news/detail-20221024-2338593.html" TargetMode="External" Id="rId44"/><Relationship Type="http://schemas.openxmlformats.org/officeDocument/2006/relationships/hyperlink" Target="https://www.100ppi.com/news/detail-20221025-2340341.html" TargetMode="External" Id="rId45"/><Relationship Type="http://schemas.openxmlformats.org/officeDocument/2006/relationships/hyperlink" Target="https://www.100ppi.com/news/detail-20221026-2342032.html" TargetMode="External" Id="rId46"/><Relationship Type="http://schemas.openxmlformats.org/officeDocument/2006/relationships/hyperlink" Target="https://www.100ppi.com/news/detail-20221027-2343788.html" TargetMode="External" Id="rId47"/><Relationship Type="http://schemas.openxmlformats.org/officeDocument/2006/relationships/hyperlink" Target="https://www.100ppi.com/news/detail-20221028-2345544.html" TargetMode="External" Id="rId48"/><Relationship Type="http://schemas.openxmlformats.org/officeDocument/2006/relationships/hyperlink" Target="https://www.100ppi.com/news/detail-20221031-2346934.html" TargetMode="External" Id="rId49"/><Relationship Type="http://schemas.openxmlformats.org/officeDocument/2006/relationships/hyperlink" Target="https://www.100ppi.com/news/detail-20221101-2348637.html" TargetMode="External" Id="rId50"/><Relationship Type="http://schemas.openxmlformats.org/officeDocument/2006/relationships/hyperlink" Target="https://www.100ppi.com/news/detail-20221102-2350457.html" TargetMode="External" Id="rId51"/><Relationship Type="http://schemas.openxmlformats.org/officeDocument/2006/relationships/hyperlink" Target="https://www.100ppi.com/news/detail-20221103-2352151.html" TargetMode="External" Id="rId52"/><Relationship Type="http://schemas.openxmlformats.org/officeDocument/2006/relationships/hyperlink" Target="https://www.100ppi.com/news/detail-20221104-2353908.html" TargetMode="External" Id="rId53"/><Relationship Type="http://schemas.openxmlformats.org/officeDocument/2006/relationships/hyperlink" Target="https://www.100ppi.com/news/detail-20221107-2356588.html" TargetMode="External" Id="rId54"/><Relationship Type="http://schemas.openxmlformats.org/officeDocument/2006/relationships/hyperlink" Target="https://www.100ppi.com/news/detail-20221108-2358473.html" TargetMode="External" Id="rId55"/><Relationship Type="http://schemas.openxmlformats.org/officeDocument/2006/relationships/hyperlink" Target="https://www.100ppi.com/news/detail-20221109-2360316.html" TargetMode="External" Id="rId56"/><Relationship Type="http://schemas.openxmlformats.org/officeDocument/2006/relationships/hyperlink" Target="https://www.100ppi.com/news/detail-20221110-2362259.html" TargetMode="External" Id="rId57"/><Relationship Type="http://schemas.openxmlformats.org/officeDocument/2006/relationships/hyperlink" Target="https://www.100ppi.com/news/detail-20221111-2364062.html" TargetMode="External" Id="rId58"/><Relationship Type="http://schemas.openxmlformats.org/officeDocument/2006/relationships/hyperlink" Target="https://www.100ppi.com/news/detail-20221114-2366871.html" TargetMode="External" Id="rId59"/><Relationship Type="http://schemas.openxmlformats.org/officeDocument/2006/relationships/hyperlink" Target="https://www.100ppi.com/news/detail-20221115-2368891.html" TargetMode="External" Id="rId60"/><Relationship Type="http://schemas.openxmlformats.org/officeDocument/2006/relationships/hyperlink" Target="https://www.100ppi.com/news/detail-20221116-2370589.html" TargetMode="External" Id="rId61"/><Relationship Type="http://schemas.openxmlformats.org/officeDocument/2006/relationships/hyperlink" Target="https://www.100ppi.com/news/detail-20221117-2372380.html" TargetMode="External" Id="rId62"/><Relationship Type="http://schemas.openxmlformats.org/officeDocument/2006/relationships/hyperlink" Target="https://www.100ppi.com/news/detail-20221118-2374269.html" TargetMode="External" Id="rId63"/><Relationship Type="http://schemas.openxmlformats.org/officeDocument/2006/relationships/hyperlink" Target="https://www.100ppi.com/news/detail-20221121-2377043.html" TargetMode="External" Id="rId64"/><Relationship Type="http://schemas.openxmlformats.org/officeDocument/2006/relationships/hyperlink" Target="https://www.100ppi.com/news/detail-20221122-2379023.html" TargetMode="External" Id="rId65"/><Relationship Type="http://schemas.openxmlformats.org/officeDocument/2006/relationships/hyperlink" Target="https://www.100ppi.com/news/detail-20221123-2380830.html" TargetMode="External" Id="rId66"/><Relationship Type="http://schemas.openxmlformats.org/officeDocument/2006/relationships/hyperlink" Target="https://www.100ppi.com/news/detail-20221124-2382604.html" TargetMode="External" Id="rId67"/><Relationship Type="http://schemas.openxmlformats.org/officeDocument/2006/relationships/hyperlink" Target="https://www.100ppi.com/news/detail-20221125-2384424.html" TargetMode="External" Id="rId68"/><Relationship Type="http://schemas.openxmlformats.org/officeDocument/2006/relationships/hyperlink" Target="https://www.100ppi.com/news/detail-20221128-2387183.html" TargetMode="External" Id="rId69"/><Relationship Type="http://schemas.openxmlformats.org/officeDocument/2006/relationships/hyperlink" Target="https://www.100ppi.com/news/detail-20221129-2389017.html" TargetMode="External" Id="rId70"/><Relationship Type="http://schemas.openxmlformats.org/officeDocument/2006/relationships/hyperlink" Target="https://www.100ppi.com/news/detail-20221130-2390775.html" TargetMode="External" Id="rId71"/><Relationship Type="http://schemas.openxmlformats.org/officeDocument/2006/relationships/hyperlink" Target="https://www.100ppi.com/news/detail-20221201-2392576.html" TargetMode="External" Id="rId72"/><Relationship Type="http://schemas.openxmlformats.org/officeDocument/2006/relationships/hyperlink" Target="https://www.100ppi.com/news/detail-20221202-2394303.html" TargetMode="External" Id="rId73"/><Relationship Type="http://schemas.openxmlformats.org/officeDocument/2006/relationships/hyperlink" Target="https://www.100ppi.com/news/detail-20221205-2397583.html" TargetMode="External" Id="rId74"/><Relationship Type="http://schemas.openxmlformats.org/officeDocument/2006/relationships/hyperlink" Target="https://www.100ppi.com/news/detail-20221206-2399527.html" TargetMode="External" Id="rId75"/><Relationship Type="http://schemas.openxmlformats.org/officeDocument/2006/relationships/hyperlink" Target="https://www.100ppi.com/news/detail-20221207-2401197.html" TargetMode="External" Id="rId76"/><Relationship Type="http://schemas.openxmlformats.org/officeDocument/2006/relationships/hyperlink" Target="https://www.100ppi.com/news/detail-20221208-2403058.html" TargetMode="External" Id="rId77"/><Relationship Type="http://schemas.openxmlformats.org/officeDocument/2006/relationships/hyperlink" Target="https://www.100ppi.com/news/detail-20221209-2405028.html" TargetMode="External" Id="rId78"/><Relationship Type="http://schemas.openxmlformats.org/officeDocument/2006/relationships/hyperlink" Target="https://www.100ppi.com/news/detail-20221212-2407951.html" TargetMode="External" Id="rId79"/><Relationship Type="http://schemas.openxmlformats.org/officeDocument/2006/relationships/hyperlink" Target="https://www.100ppi.com/news/detail-20221213-2409927.html" TargetMode="External" Id="rId80"/><Relationship Type="http://schemas.openxmlformats.org/officeDocument/2006/relationships/hyperlink" Target="https://www.100ppi.com/news/detail-20221214-2411584.html" TargetMode="External" Id="rId81"/><Relationship Type="http://schemas.openxmlformats.org/officeDocument/2006/relationships/hyperlink" Target="https://www.100ppi.com/news/detail-20221215-2413378.html" TargetMode="External" Id="rId82"/><Relationship Type="http://schemas.openxmlformats.org/officeDocument/2006/relationships/hyperlink" Target="https://www.100ppi.com/news/detail-20221216-2415118.html" TargetMode="External" Id="rId83"/><Relationship Type="http://schemas.openxmlformats.org/officeDocument/2006/relationships/hyperlink" Target="https://www.100ppi.com/news/detail-20221219-2417867.html" TargetMode="External" Id="rId84"/><Relationship Type="http://schemas.openxmlformats.org/officeDocument/2006/relationships/hyperlink" Target="https://www.100ppi.com/news/detail-20221220-2419702.html" TargetMode="External" Id="rId85"/><Relationship Type="http://schemas.openxmlformats.org/officeDocument/2006/relationships/hyperlink" Target="https://www.100ppi.com/news/detail-20221221-2421324.html" TargetMode="External" Id="rId86"/><Relationship Type="http://schemas.openxmlformats.org/officeDocument/2006/relationships/hyperlink" Target="https://www.100ppi.com/news/detail-20221222-2422845.html" TargetMode="External" Id="rId87"/><Relationship Type="http://schemas.openxmlformats.org/officeDocument/2006/relationships/hyperlink" Target="https://www.100ppi.com/news/detail-20221223-2424388.html" TargetMode="External" Id="rId88"/><Relationship Type="http://schemas.openxmlformats.org/officeDocument/2006/relationships/hyperlink" Target="https://www.100ppi.com/news/detail-20221226-2427055.html" TargetMode="External" Id="rId89"/><Relationship Type="http://schemas.openxmlformats.org/officeDocument/2006/relationships/hyperlink" Target="https://www.100ppi.com/news/detail-20221227-2428835.html" TargetMode="External" Id="rId90"/><Relationship Type="http://schemas.openxmlformats.org/officeDocument/2006/relationships/hyperlink" Target="https://www.100ppi.com/news/detail-20221228-2430440.html" TargetMode="External" Id="rId91"/><Relationship Type="http://schemas.openxmlformats.org/officeDocument/2006/relationships/hyperlink" Target="https://www.100ppi.com/news/detail-20221229-2432011.html" TargetMode="External" Id="rId92"/><Relationship Type="http://schemas.openxmlformats.org/officeDocument/2006/relationships/hyperlink" Target="https://www.100ppi.com/news/detail-20221230-2433595.html" TargetMode="External" Id="rId93"/><Relationship Type="http://schemas.openxmlformats.org/officeDocument/2006/relationships/hyperlink" Target="https://www.100ppi.com/news/detail-20230102-2435794.html" TargetMode="External" Id="rId94"/><Relationship Type="http://schemas.openxmlformats.org/officeDocument/2006/relationships/hyperlink" Target="https://www.100ppi.com/news/detail-20230103-2436454.html" TargetMode="External" Id="rId95"/><Relationship Type="http://schemas.openxmlformats.org/officeDocument/2006/relationships/hyperlink" Target="https://www.100ppi.com/news/detail-20230104-2438476.html" TargetMode="External" Id="rId96"/><Relationship Type="http://schemas.openxmlformats.org/officeDocument/2006/relationships/hyperlink" Target="https://www.100ppi.com/news/detail-20230105-2440155.html" TargetMode="External" Id="rId97"/><Relationship Type="http://schemas.openxmlformats.org/officeDocument/2006/relationships/hyperlink" Target="https://www.100ppi.com/news/detail-20230106-2441787.html" TargetMode="External" Id="rId98"/><Relationship Type="http://schemas.openxmlformats.org/officeDocument/2006/relationships/hyperlink" Target="https://www.100ppi.com/news/detail-20230109-2444552.html" TargetMode="External" Id="rId99"/><Relationship Type="http://schemas.openxmlformats.org/officeDocument/2006/relationships/hyperlink" Target="https://www.100ppi.com/news/detail-20230110-2446337.html" TargetMode="External" Id="rId100"/><Relationship Type="http://schemas.openxmlformats.org/officeDocument/2006/relationships/hyperlink" Target="https://www.100ppi.com/news/detail-20230111-2448150.html" TargetMode="External" Id="rId101"/><Relationship Type="http://schemas.openxmlformats.org/officeDocument/2006/relationships/hyperlink" Target="https://www.100ppi.com/news/detail-20230112-2449865.html" TargetMode="External" Id="rId102"/><Relationship Type="http://schemas.openxmlformats.org/officeDocument/2006/relationships/hyperlink" Target="https://www.100ppi.com/news/detail-20230113-2451414.html" TargetMode="External" Id="rId103"/><Relationship Type="http://schemas.openxmlformats.org/officeDocument/2006/relationships/hyperlink" Target="https://www.100ppi.com/news/detail-20230116-2453694.html" TargetMode="External" Id="rId104"/><Relationship Type="http://schemas.openxmlformats.org/officeDocument/2006/relationships/hyperlink" Target="https://www.100ppi.com/news/detail-20230117-2454988.html" TargetMode="External" Id="rId105"/><Relationship Type="http://schemas.openxmlformats.org/officeDocument/2006/relationships/hyperlink" Target="https://www.100ppi.com/news/detail-20230118-2456177.html" TargetMode="External" Id="rId106"/><Relationship Type="http://schemas.openxmlformats.org/officeDocument/2006/relationships/hyperlink" Target="https://www.100ppi.com/news/detail-20230119-2457113.html" TargetMode="External" Id="rId107"/><Relationship Type="http://schemas.openxmlformats.org/officeDocument/2006/relationships/hyperlink" Target="https://www.100ppi.com/news/detail-20230120-2457905.html" TargetMode="External" Id="rId108"/><Relationship Type="http://schemas.openxmlformats.org/officeDocument/2006/relationships/hyperlink" Target="https://www.100ppi.com/news/detail-20230123-2458713.html" TargetMode="External" Id="rId109"/><Relationship Type="http://schemas.openxmlformats.org/officeDocument/2006/relationships/hyperlink" Target="https://www.100ppi.com/news/detail-20230124-2459169.html" TargetMode="External" Id="rId110"/><Relationship Type="http://schemas.openxmlformats.org/officeDocument/2006/relationships/hyperlink" Target="https://www.100ppi.com/news/detail-20230125-2459780.html" TargetMode="External" Id="rId111"/><Relationship Type="http://schemas.openxmlformats.org/officeDocument/2006/relationships/hyperlink" Target="https://www.100ppi.com/news/detail-20230126-2460372.html" TargetMode="External" Id="rId112"/><Relationship Type="http://schemas.openxmlformats.org/officeDocument/2006/relationships/hyperlink" Target="https://www.100ppi.com/news/detail-20230127-2460987.html" TargetMode="External" Id="rId113"/><Relationship Type="http://schemas.openxmlformats.org/officeDocument/2006/relationships/hyperlink" Target="https://www.100ppi.com/news/detail-20230130-2464274.html" TargetMode="External" Id="rId114"/><Relationship Type="http://schemas.openxmlformats.org/officeDocument/2006/relationships/hyperlink" Target="https://www.100ppi.com/news/detail-20230131-2466151.html" TargetMode="External" Id="rId115"/><Relationship Type="http://schemas.openxmlformats.org/officeDocument/2006/relationships/hyperlink" Target="https://www.100ppi.com/news/detail-20230201-2468062.html" TargetMode="External" Id="rId116"/><Relationship Type="http://schemas.openxmlformats.org/officeDocument/2006/relationships/hyperlink" Target="https://www.100ppi.com/news/detail-20230202-2469966.html" TargetMode="External" Id="rId117"/><Relationship Type="http://schemas.openxmlformats.org/officeDocument/2006/relationships/hyperlink" Target="https://www.100ppi.com/news/detail-20230203-2471891.html" TargetMode="External" Id="rId118"/><Relationship Type="http://schemas.openxmlformats.org/officeDocument/2006/relationships/hyperlink" Target="https://www.100ppi.com/news/detail-20230206-2474866.html" TargetMode="External" Id="rId119"/><Relationship Type="http://schemas.openxmlformats.org/officeDocument/2006/relationships/hyperlink" Target="https://www.100ppi.com/news/detail-20230207-2476866.html" TargetMode="External" Id="rId120"/><Relationship Type="http://schemas.openxmlformats.org/officeDocument/2006/relationships/hyperlink" Target="https://www.100ppi.com/news/detail-20230208-2478703.html" TargetMode="External" Id="rId121"/><Relationship Type="http://schemas.openxmlformats.org/officeDocument/2006/relationships/hyperlink" Target="https://www.100ppi.com/news/detail-20230209-2480392.html" TargetMode="External" Id="rId122"/><Relationship Type="http://schemas.openxmlformats.org/officeDocument/2006/relationships/hyperlink" Target="https://www.100ppi.com/news/detail-20230210-2482192.html" TargetMode="External" Id="rId123"/><Relationship Type="http://schemas.openxmlformats.org/officeDocument/2006/relationships/hyperlink" Target="https://www.100ppi.com/news/detail-20230213-2485172.html" TargetMode="External" Id="rId124"/><Relationship Type="http://schemas.openxmlformats.org/officeDocument/2006/relationships/hyperlink" Target="https://www.100ppi.com/news/detail-20230214-2487067.html" TargetMode="External" Id="rId125"/><Relationship Type="http://schemas.openxmlformats.org/officeDocument/2006/relationships/hyperlink" Target="https://www.100ppi.com/news/detail-20230215-2488915.html" TargetMode="External" Id="rId126"/><Relationship Type="http://schemas.openxmlformats.org/officeDocument/2006/relationships/hyperlink" Target="https://www.100ppi.com/news/detail-20230216-2490766.html" TargetMode="External" Id="rId127"/><Relationship Type="http://schemas.openxmlformats.org/officeDocument/2006/relationships/hyperlink" Target="https://www.100ppi.com/news/detail-20230217-2492512.html" TargetMode="External" Id="rId128"/><Relationship Type="http://schemas.openxmlformats.org/officeDocument/2006/relationships/hyperlink" Target="https://www.100ppi.com/news/detail-20230220-2495649.html" TargetMode="External" Id="rId129"/><Relationship Type="http://schemas.openxmlformats.org/officeDocument/2006/relationships/hyperlink" Target="https://www.100ppi.com/news/detail-20230221-2497560.html" TargetMode="External" Id="rId130"/><Relationship Type="http://schemas.openxmlformats.org/officeDocument/2006/relationships/hyperlink" Target="https://www.100ppi.com/news/detail-20230222-2499349.html" TargetMode="External" Id="rId131"/><Relationship Type="http://schemas.openxmlformats.org/officeDocument/2006/relationships/hyperlink" Target="https://www.100ppi.com/news/detail-20230223-2501208.html" TargetMode="External" Id="rId132"/><Relationship Type="http://schemas.openxmlformats.org/officeDocument/2006/relationships/hyperlink" Target="https://www.100ppi.com/news/detail-20230224-2502963.html" TargetMode="External" Id="rId133"/><Relationship Type="http://schemas.openxmlformats.org/officeDocument/2006/relationships/hyperlink" Target="https://www.100ppi.com/news/detail-20230227-2506230.html" TargetMode="External" Id="rId134"/><Relationship Type="http://schemas.openxmlformats.org/officeDocument/2006/relationships/hyperlink" Target="https://www.100ppi.com/news/detail-20230228-2508217.html" TargetMode="External" Id="rId135"/><Relationship Type="http://schemas.openxmlformats.org/officeDocument/2006/relationships/hyperlink" Target="https://www.100ppi.com/news/detail-20230301-2509943.html" TargetMode="External" Id="rId136"/><Relationship Type="http://schemas.openxmlformats.org/officeDocument/2006/relationships/hyperlink" Target="https://www.100ppi.com/news/detail-20230302-2511785.html" TargetMode="External" Id="rId137"/><Relationship Type="http://schemas.openxmlformats.org/officeDocument/2006/relationships/hyperlink" Target="https://www.100ppi.com/news/detail-20230303-2513646.html" TargetMode="External" Id="rId138"/><Relationship Type="http://schemas.openxmlformats.org/officeDocument/2006/relationships/hyperlink" Target="https://www.100ppi.com/news/detail-20230306-2517188.html" TargetMode="External" Id="rId139"/><Relationship Type="http://schemas.openxmlformats.org/officeDocument/2006/relationships/hyperlink" Target="https://www.100ppi.com/news/detail-20230307-2519179.html" TargetMode="External" Id="rId140"/><Relationship Type="http://schemas.openxmlformats.org/officeDocument/2006/relationships/hyperlink" Target="https://www.100ppi.com/news/detail-20230308-2520945.html" TargetMode="External" Id="rId141"/><Relationship Type="http://schemas.openxmlformats.org/officeDocument/2006/relationships/hyperlink" Target="https://www.100ppi.com/news/detail-20230309-2522910.html" TargetMode="External" Id="rId142"/><Relationship Type="http://schemas.openxmlformats.org/officeDocument/2006/relationships/hyperlink" Target="https://www.100ppi.com/news/detail-20230310-2524731.html" TargetMode="External" Id="rId143"/><Relationship Type="http://schemas.openxmlformats.org/officeDocument/2006/relationships/hyperlink" Target="https://www.100ppi.com/news/detail-20230313-2527873.html" TargetMode="External" Id="rId144"/><Relationship Type="http://schemas.openxmlformats.org/officeDocument/2006/relationships/hyperlink" Target="https://www.100ppi.com/news/detail-20230314-2529996.html" TargetMode="External" Id="rId145"/><Relationship Type="http://schemas.openxmlformats.org/officeDocument/2006/relationships/hyperlink" Target="https://www.100ppi.com/news/detail-20230315-2531915.html" TargetMode="External" Id="rId146"/><Relationship Type="http://schemas.openxmlformats.org/officeDocument/2006/relationships/hyperlink" Target="https://www.100ppi.com/news/detail-20230316-2533783.html" TargetMode="External" Id="rId147"/><Relationship Type="http://schemas.openxmlformats.org/officeDocument/2006/relationships/hyperlink" Target="https://www.100ppi.com/news/detail-20230317-2535669.html" TargetMode="External" Id="rId148"/><Relationship Type="http://schemas.openxmlformats.org/officeDocument/2006/relationships/hyperlink" Target="https://www.100ppi.com/news/detail-20230320-2538859.html" TargetMode="External" Id="rId149"/><Relationship Type="http://schemas.openxmlformats.org/officeDocument/2006/relationships/hyperlink" Target="https://www.100ppi.com/news/detail-20230321-2541160.html" TargetMode="External" Id="rId150"/><Relationship Type="http://schemas.openxmlformats.org/officeDocument/2006/relationships/hyperlink" Target="https://www.100ppi.com/news/detail-20230322-2543027.html" TargetMode="External" Id="rId151"/><Relationship Type="http://schemas.openxmlformats.org/officeDocument/2006/relationships/hyperlink" Target="https://www.100ppi.com/news/detail-20230323-2545019.html" TargetMode="External" Id="rId152"/><Relationship Type="http://schemas.openxmlformats.org/officeDocument/2006/relationships/hyperlink" Target="https://www.100ppi.com/news/detail-20230324-2546812.html" TargetMode="External" Id="rId153"/><Relationship Type="http://schemas.openxmlformats.org/officeDocument/2006/relationships/hyperlink" Target="https://www.100ppi.com/news/detail-20230327-2550429.html" TargetMode="External" Id="rId154"/><Relationship Type="http://schemas.openxmlformats.org/officeDocument/2006/relationships/hyperlink" Target="https://www.100ppi.com/news/detail-20230328-2552782.html" TargetMode="External" Id="rId155"/><Relationship Type="http://schemas.openxmlformats.org/officeDocument/2006/relationships/hyperlink" Target="https://www.100ppi.com/news/detail-20230329-2554659.html" TargetMode="External" Id="rId156"/><Relationship Type="http://schemas.openxmlformats.org/officeDocument/2006/relationships/hyperlink" Target="https://www.100ppi.com/news/detail-20230330-2556613.html" TargetMode="External" Id="rId157"/><Relationship Type="http://schemas.openxmlformats.org/officeDocument/2006/relationships/hyperlink" Target="https://www.100ppi.com/news/detail-20230331-2558472.html" TargetMode="External" Id="rId158"/><Relationship Type="http://schemas.openxmlformats.org/officeDocument/2006/relationships/hyperlink" Target="https://www.100ppi.com/news/detail-20230403-2561572.html" TargetMode="External" Id="rId159"/><Relationship Type="http://schemas.openxmlformats.org/officeDocument/2006/relationships/hyperlink" Target="https://www.100ppi.com/news/detail-20230404-2563532.html" TargetMode="External" Id="rId160"/><Relationship Type="http://schemas.openxmlformats.org/officeDocument/2006/relationships/hyperlink" Target="https://www.100ppi.com/news/detail-20230405-2565502.html" TargetMode="External" Id="rId161"/><Relationship Type="http://schemas.openxmlformats.org/officeDocument/2006/relationships/hyperlink" Target="https://www.100ppi.com/news/detail-20230406-2566554.html" TargetMode="External" Id="rId162"/><Relationship Type="http://schemas.openxmlformats.org/officeDocument/2006/relationships/hyperlink" Target="https://www.100ppi.com/news/detail-20230407-2568646.html" TargetMode="External" Id="rId163"/><Relationship Type="http://schemas.openxmlformats.org/officeDocument/2006/relationships/hyperlink" Target="https://www.100ppi.com/news/detail-20230410-2572006.html" TargetMode="External" Id="rId164"/><Relationship Type="http://schemas.openxmlformats.org/officeDocument/2006/relationships/hyperlink" Target="https://www.100ppi.com/news/detail-20230411-2574137.html" TargetMode="External" Id="rId165"/><Relationship Type="http://schemas.openxmlformats.org/officeDocument/2006/relationships/hyperlink" Target="https://www.100ppi.com/news/detail-20230412-2576121.html" TargetMode="External" Id="rId166"/><Relationship Type="http://schemas.openxmlformats.org/officeDocument/2006/relationships/hyperlink" Target="https://www.100ppi.com/news/detail-20230413-2578057.html" TargetMode="External" Id="rId167"/><Relationship Type="http://schemas.openxmlformats.org/officeDocument/2006/relationships/hyperlink" Target="https://www.100ppi.com/news/detail-20230414-2579986.html" TargetMode="External" Id="rId168"/><Relationship Type="http://schemas.openxmlformats.org/officeDocument/2006/relationships/hyperlink" Target="https://www.100ppi.com/news/detail-20230417-2583263.html" TargetMode="External" Id="rId169"/><Relationship Type="http://schemas.openxmlformats.org/officeDocument/2006/relationships/hyperlink" Target="https://www.100ppi.com/news/detail-20230418-2585349.html" TargetMode="External" Id="rId170"/><Relationship Type="http://schemas.openxmlformats.org/officeDocument/2006/relationships/hyperlink" Target="https://www.100ppi.com/news/detail-20230419-2587263.html" TargetMode="External" Id="rId171"/><Relationship Type="http://schemas.openxmlformats.org/officeDocument/2006/relationships/hyperlink" Target="https://www.100ppi.com/news/detail-20230420-2589300.html" TargetMode="External" Id="rId172"/><Relationship Type="http://schemas.openxmlformats.org/officeDocument/2006/relationships/hyperlink" Target="https://www.100ppi.com/news/detail-20230421-2591159.html" TargetMode="External" Id="rId173"/><Relationship Type="http://schemas.openxmlformats.org/officeDocument/2006/relationships/hyperlink" Target="https://www.100ppi.com/news/detail-20230424-2595522.html" TargetMode="External" Id="rId174"/><Relationship Type="http://schemas.openxmlformats.org/officeDocument/2006/relationships/hyperlink" Target="https://www.100ppi.com/news/detail-20230426-2599163.html" TargetMode="External" Id="rId175"/><Relationship Type="http://schemas.openxmlformats.org/officeDocument/2006/relationships/hyperlink" Target="https://www.100ppi.com/news/detail-20230427-2601066.html" TargetMode="External" Id="rId176"/><Relationship Type="http://schemas.openxmlformats.org/officeDocument/2006/relationships/hyperlink" Target="https://www.100ppi.com/news/detail-20230428-2602984.html" TargetMode="External" Id="rId177"/><Relationship Type="http://schemas.openxmlformats.org/officeDocument/2006/relationships/hyperlink" Target="https://www.100ppi.com/news/detail-20230501-2606075.html" TargetMode="External" Id="rId178"/><Relationship Type="http://schemas.openxmlformats.org/officeDocument/2006/relationships/hyperlink" Target="https://www.100ppi.com/news/detail-20230502-2606677.html" TargetMode="External" Id="rId179"/><Relationship Type="http://schemas.openxmlformats.org/officeDocument/2006/relationships/hyperlink" Target="https://www.100ppi.com/news/detail-20230503-2607444.html" TargetMode="External" Id="rId180"/><Relationship Type="http://schemas.openxmlformats.org/officeDocument/2006/relationships/hyperlink" Target="https://www.100ppi.com/news/detail-20230504-2608639.html" TargetMode="External" Id="rId181"/><Relationship Type="http://schemas.openxmlformats.org/officeDocument/2006/relationships/hyperlink" Target="https://www.100ppi.com/news/detail-20230505-2610776.html" TargetMode="External" Id="rId182"/><Relationship Type="http://schemas.openxmlformats.org/officeDocument/2006/relationships/hyperlink" Target="https://www.100ppi.com/news/detail-20230508-2615346.html" TargetMode="External" Id="rId183"/><Relationship Type="http://schemas.openxmlformats.org/officeDocument/2006/relationships/hyperlink" Target="https://www.100ppi.com/news/detail-20230509-2617337.html" TargetMode="External" Id="rId184"/><Relationship Type="http://schemas.openxmlformats.org/officeDocument/2006/relationships/hyperlink" Target="https://www.100ppi.com/news/detail-20230510-2619222.html" TargetMode="External" Id="rId185"/><Relationship Type="http://schemas.openxmlformats.org/officeDocument/2006/relationships/hyperlink" Target="https://www.100ppi.com/news/detail-20230511-2621183.html" TargetMode="External" Id="rId186"/><Relationship Type="http://schemas.openxmlformats.org/officeDocument/2006/relationships/hyperlink" Target="https://www.100ppi.com/news/detail-20230512-2623193.html" TargetMode="External" Id="rId187"/><Relationship Type="http://schemas.openxmlformats.org/officeDocument/2006/relationships/hyperlink" Target="https://www.100ppi.com/news/detail-20230515-2626345.html" TargetMode="External" Id="rId188"/><Relationship Type="http://schemas.openxmlformats.org/officeDocument/2006/relationships/hyperlink" Target="https://www.100ppi.com/news/detail-20230516-2628431.html" TargetMode="External" Id="rId189"/><Relationship Type="http://schemas.openxmlformats.org/officeDocument/2006/relationships/hyperlink" Target="https://www.100ppi.com/news/detail-20230517-2630381.html" TargetMode="External" Id="rId190"/><Relationship Type="http://schemas.openxmlformats.org/officeDocument/2006/relationships/hyperlink" Target="https://www.100ppi.com/news/detail-20230518-2632237.html" TargetMode="External" Id="rId191"/><Relationship Type="http://schemas.openxmlformats.org/officeDocument/2006/relationships/hyperlink" Target="https://www.100ppi.com/news/detail-20230519-2634158.html" TargetMode="External" Id="rId192"/><Relationship Type="http://schemas.openxmlformats.org/officeDocument/2006/relationships/hyperlink" Target="https://www.100ppi.com/news/detail-20230522-2637874.html" TargetMode="External" Id="rId193"/><Relationship Type="http://schemas.openxmlformats.org/officeDocument/2006/relationships/hyperlink" Target="https://www.100ppi.com/news/detail-20230523-2639979.html" TargetMode="External" Id="rId194"/><Relationship Type="http://schemas.openxmlformats.org/officeDocument/2006/relationships/hyperlink" Target="https://www.100ppi.com/news/detail-20230524-2641968.html" TargetMode="External" Id="rId195"/><Relationship Type="http://schemas.openxmlformats.org/officeDocument/2006/relationships/hyperlink" Target="https://www.100ppi.com/news/detail-20230525-2644037.html" TargetMode="External" Id="rId196"/><Relationship Type="http://schemas.openxmlformats.org/officeDocument/2006/relationships/hyperlink" Target="https://www.100ppi.com/news/detail-20230526-2645857.html" TargetMode="External" Id="rId197"/><Relationship Type="http://schemas.openxmlformats.org/officeDocument/2006/relationships/hyperlink" Target="https://www.100ppi.com/news/detail-20230529-2649495.html" TargetMode="External" Id="rId198"/><Relationship Type="http://schemas.openxmlformats.org/officeDocument/2006/relationships/hyperlink" Target="https://www.100ppi.com/news/detail-20230530-2651719.html" TargetMode="External" Id="rId199"/><Relationship Type="http://schemas.openxmlformats.org/officeDocument/2006/relationships/hyperlink" Target="https://www.100ppi.com/news/detail-20230531-2653691.html" TargetMode="External" Id="rId200"/><Relationship Type="http://schemas.openxmlformats.org/officeDocument/2006/relationships/hyperlink" Target="https://www.100ppi.com/news/detail-20230601-2655660.html" TargetMode="External" Id="rId201"/><Relationship Type="http://schemas.openxmlformats.org/officeDocument/2006/relationships/hyperlink" Target="https://www.100ppi.com/news/detail-20230602-2657530.html" TargetMode="External" Id="rId202"/><Relationship Type="http://schemas.openxmlformats.org/officeDocument/2006/relationships/hyperlink" Target="https://www.100ppi.com/news/detail-20230605-2661085.html" TargetMode="External" Id="rId203"/><Relationship Type="http://schemas.openxmlformats.org/officeDocument/2006/relationships/hyperlink" Target="https://www.100ppi.com/news/detail-20230606-2663100.html" TargetMode="External" Id="rId204"/><Relationship Type="http://schemas.openxmlformats.org/officeDocument/2006/relationships/hyperlink" Target="https://www.100ppi.com/news/detail-20230607-2665096.html" TargetMode="External" Id="rId205"/><Relationship Type="http://schemas.openxmlformats.org/officeDocument/2006/relationships/hyperlink" Target="https://www.100ppi.com/news/detail-20230608-2666974.html" TargetMode="External" Id="rId206"/><Relationship Type="http://schemas.openxmlformats.org/officeDocument/2006/relationships/hyperlink" Target="https://www.100ppi.com/news/detail-20230609-2668876.html" TargetMode="External" Id="rId207"/><Relationship Type="http://schemas.openxmlformats.org/officeDocument/2006/relationships/hyperlink" Target="https://www.100ppi.com/news/detail-20230612-2672514.html" TargetMode="External" Id="rId208"/><Relationship Type="http://schemas.openxmlformats.org/officeDocument/2006/relationships/hyperlink" Target="https://www.100ppi.com/news/detail-20230613-2674695.html" TargetMode="External" Id="rId209"/><Relationship Type="http://schemas.openxmlformats.org/officeDocument/2006/relationships/hyperlink" Target="https://www.100ppi.com/news/detail-20230614-2676607.html" TargetMode="External" Id="rId210"/><Relationship Type="http://schemas.openxmlformats.org/officeDocument/2006/relationships/hyperlink" Target="https://www.100ppi.com/news/detail-20230615-2678486.html" TargetMode="External" Id="rId211"/><Relationship Type="http://schemas.openxmlformats.org/officeDocument/2006/relationships/hyperlink" Target="https://www.100ppi.com/news/detail-20230616-2680324.html" TargetMode="External" Id="rId212"/><Relationship Type="http://schemas.openxmlformats.org/officeDocument/2006/relationships/hyperlink" Target="https://www.100ppi.com/news/detail-20230619-2683617.html" TargetMode="External" Id="rId213"/><Relationship Type="http://schemas.openxmlformats.org/officeDocument/2006/relationships/hyperlink" Target="https://www.100ppi.com/news/detail-20230620-2685637.html" TargetMode="External" Id="rId214"/><Relationship Type="http://schemas.openxmlformats.org/officeDocument/2006/relationships/hyperlink" Target="https://www.100ppi.com/news/detail-20230621-2687606.html" TargetMode="External" Id="rId215"/><Relationship Type="http://schemas.openxmlformats.org/officeDocument/2006/relationships/hyperlink" Target="https://www.100ppi.com/news/detail-20230622-2689360.html" TargetMode="External" Id="rId216"/><Relationship Type="http://schemas.openxmlformats.org/officeDocument/2006/relationships/hyperlink" Target="https://www.100ppi.com/news/detail-20230623-2690205.html" TargetMode="External" Id="rId217"/><Relationship Type="http://schemas.openxmlformats.org/officeDocument/2006/relationships/hyperlink" Target="https://www.100ppi.com/news/detail-20230626-2693795.html" TargetMode="External" Id="rId218"/><Relationship Type="http://schemas.openxmlformats.org/officeDocument/2006/relationships/hyperlink" Target="https://www.100ppi.com/news/detail-20230627-2695729.html" TargetMode="External" Id="rId219"/><Relationship Type="http://schemas.openxmlformats.org/officeDocument/2006/relationships/hyperlink" Target="https://www.100ppi.com/news/detail-20230628-2697785.html" TargetMode="External" Id="rId220"/><Relationship Type="http://schemas.openxmlformats.org/officeDocument/2006/relationships/hyperlink" Target="https://www.100ppi.com/news/detail-20230629-2699676.html" TargetMode="External" Id="rId221"/><Relationship Type="http://schemas.openxmlformats.org/officeDocument/2006/relationships/hyperlink" Target="https://www.100ppi.com/news/detail-20230630-2701777.html" TargetMode="External" Id="rId222"/><Relationship Type="http://schemas.openxmlformats.org/officeDocument/2006/relationships/hyperlink" Target="https://www.100ppi.com/news/detail-20230703-2705267.html" TargetMode="External" Id="rId223"/><Relationship Type="http://schemas.openxmlformats.org/officeDocument/2006/relationships/hyperlink" Target="https://www.100ppi.com/news/detail-20230704-2707445.html" TargetMode="External" Id="rId224"/><Relationship Type="http://schemas.openxmlformats.org/officeDocument/2006/relationships/hyperlink" Target="https://www.100ppi.com/news/detail-20230705-2709311.html" TargetMode="External" Id="rId225"/><Relationship Type="http://schemas.openxmlformats.org/officeDocument/2006/relationships/hyperlink" Target="https://www.100ppi.com/news/detail-20230706-2711283.html" TargetMode="External" Id="rId226"/><Relationship Type="http://schemas.openxmlformats.org/officeDocument/2006/relationships/hyperlink" Target="https://www.100ppi.com/news/detail-20230707-2713181.html" TargetMode="External" Id="rId227"/><Relationship Type="http://schemas.openxmlformats.org/officeDocument/2006/relationships/hyperlink" Target="https://www.100ppi.com/news/detail-20230710-2716753.html" TargetMode="External" Id="rId228"/><Relationship Type="http://schemas.openxmlformats.org/officeDocument/2006/relationships/hyperlink" Target="https://www.100ppi.com/news/detail-20230711-2718815.html" TargetMode="External" Id="rId229"/><Relationship Type="http://schemas.openxmlformats.org/officeDocument/2006/relationships/hyperlink" Target="https://www.100ppi.com/news/detail-20230712-2720830.html" TargetMode="External" Id="rId230"/><Relationship Type="http://schemas.openxmlformats.org/officeDocument/2006/relationships/hyperlink" Target="https://www.100ppi.com/news/detail-20230713-2722885.html" TargetMode="External" Id="rId231"/><Relationship Type="http://schemas.openxmlformats.org/officeDocument/2006/relationships/hyperlink" Target="https://www.100ppi.com/news/detail-20230714-2724926.html" TargetMode="External" Id="rId232"/><Relationship Type="http://schemas.openxmlformats.org/officeDocument/2006/relationships/hyperlink" Target="https://www.100ppi.com/news/detail-20230717-2728401.html" TargetMode="External" Id="rId233"/><Relationship Type="http://schemas.openxmlformats.org/officeDocument/2006/relationships/hyperlink" Target="https://www.100ppi.com/news/detail-20230718-2730503.html" TargetMode="External" Id="rId234"/><Relationship Type="http://schemas.openxmlformats.org/officeDocument/2006/relationships/hyperlink" Target="https://www.100ppi.com/news/detail-20230719-2732361.html" TargetMode="External" Id="rId235"/><Relationship Type="http://schemas.openxmlformats.org/officeDocument/2006/relationships/hyperlink" Target="https://www.100ppi.com/news/detail-20230720-2734493.html" TargetMode="External" Id="rId236"/><Relationship Type="http://schemas.openxmlformats.org/officeDocument/2006/relationships/hyperlink" Target="https://www.100ppi.com/news/detail-20230721-2736500.html" TargetMode="External" Id="rId237"/><Relationship Type="http://schemas.openxmlformats.org/officeDocument/2006/relationships/hyperlink" Target="https://www.100ppi.com/news/detail-20230724-2740095.html" TargetMode="External" Id="rId238"/><Relationship Type="http://schemas.openxmlformats.org/officeDocument/2006/relationships/hyperlink" Target="https://www.100ppi.com/news/detail-20230725-2742209.html" TargetMode="External" Id="rId239"/><Relationship Type="http://schemas.openxmlformats.org/officeDocument/2006/relationships/hyperlink" Target="https://www.100ppi.com/news/detail-20230726-2744044.html" TargetMode="External" Id="rId240"/><Relationship Type="http://schemas.openxmlformats.org/officeDocument/2006/relationships/hyperlink" Target="https://www.100ppi.com/news/detail-20230727-2745936.html" TargetMode="External" Id="rId241"/><Relationship Type="http://schemas.openxmlformats.org/officeDocument/2006/relationships/hyperlink" Target="https://www.100ppi.com/news/detail-20230728-2747910.html" TargetMode="External" Id="rId242"/><Relationship Type="http://schemas.openxmlformats.org/officeDocument/2006/relationships/hyperlink" Target="https://www.100ppi.com/news/detail-20230731-2751471.html" TargetMode="External" Id="rId243"/><Relationship Type="http://schemas.openxmlformats.org/officeDocument/2006/relationships/hyperlink" Target="https://www.100ppi.com/news/detail-20230801-2753407.html" TargetMode="External" Id="rId244"/><Relationship Type="http://schemas.openxmlformats.org/officeDocument/2006/relationships/hyperlink" Target="https://www.100ppi.com/news/detail-20230802-2755360.html" TargetMode="External" Id="rId245"/><Relationship Type="http://schemas.openxmlformats.org/officeDocument/2006/relationships/hyperlink" Target="https://www.100ppi.com/news/detail-20230803-2757131.html" TargetMode="External" Id="rId246"/><Relationship Type="http://schemas.openxmlformats.org/officeDocument/2006/relationships/hyperlink" Target="https://www.100ppi.com/news/detail-20230804-2758953.html" TargetMode="External" Id="rId247"/><Relationship Type="http://schemas.openxmlformats.org/officeDocument/2006/relationships/hyperlink" Target="https://www.100ppi.com/news/detail-20230807-2762027.html" TargetMode="External" Id="rId248"/><Relationship Type="http://schemas.openxmlformats.org/officeDocument/2006/relationships/hyperlink" Target="https://www.100ppi.com/news/detail-20230808-2764063.html" TargetMode="External" Id="rId249"/><Relationship Type="http://schemas.openxmlformats.org/officeDocument/2006/relationships/hyperlink" Target="https://www.100ppi.com/news/detail-20230809-2765956.html" TargetMode="External" Id="rId250"/><Relationship Type="http://schemas.openxmlformats.org/officeDocument/2006/relationships/hyperlink" Target="https://www.100ppi.com/news/detail-20230810-2767767.html" TargetMode="External" Id="rId251"/><Relationship Type="http://schemas.openxmlformats.org/officeDocument/2006/relationships/hyperlink" Target="https://www.100ppi.com/news/detail-20230811-2769817.html" TargetMode="External" Id="rId252"/><Relationship Type="http://schemas.openxmlformats.org/officeDocument/2006/relationships/hyperlink" Target="https://www.100ppi.com/news/detail-20230814-2773518.html" TargetMode="External" Id="rId253"/><Relationship Type="http://schemas.openxmlformats.org/officeDocument/2006/relationships/hyperlink" Target="https://www.100ppi.com/news/detail-20230815-2775720.html" TargetMode="External" Id="rId254"/><Relationship Type="http://schemas.openxmlformats.org/officeDocument/2006/relationships/hyperlink" Target="https://www.100ppi.com/news/detail-20230816-2777730.html" TargetMode="External" Id="rId255"/><Relationship Type="http://schemas.openxmlformats.org/officeDocument/2006/relationships/hyperlink" Target="https://www.100ppi.com/news/detail-20230817-2779870.html" TargetMode="External" Id="rId256"/><Relationship Type="http://schemas.openxmlformats.org/officeDocument/2006/relationships/hyperlink" Target="https://www.100ppi.com/news/detail-20230818-2781862.html" TargetMode="External" Id="rId257"/><Relationship Type="http://schemas.openxmlformats.org/officeDocument/2006/relationships/hyperlink" Target="https://www.100ppi.com/news/detail-20230821-2785819.html" TargetMode="External" Id="rId258"/><Relationship Type="http://schemas.openxmlformats.org/officeDocument/2006/relationships/hyperlink" Target="https://www.100ppi.com/news/detail-20230822-2787937.html" TargetMode="External" Id="rId259"/><Relationship Type="http://schemas.openxmlformats.org/officeDocument/2006/relationships/hyperlink" Target="https://www.100ppi.com/news/detail-20230823-2789998.html" TargetMode="External" Id="rId260"/><Relationship Type="http://schemas.openxmlformats.org/officeDocument/2006/relationships/hyperlink" Target="https://www.100ppi.com/news/detail-20230824-2792064.html" TargetMode="External" Id="rId261"/><Relationship Type="http://schemas.openxmlformats.org/officeDocument/2006/relationships/hyperlink" Target="https://www.100ppi.com/news/detail-20230825-2794021.html" TargetMode="External" Id="rId262"/><Relationship Type="http://schemas.openxmlformats.org/officeDocument/2006/relationships/hyperlink" Target="https://www.100ppi.com/news/detail-20230828-2797447.html" TargetMode="External" Id="rId263"/><Relationship Type="http://schemas.openxmlformats.org/officeDocument/2006/relationships/hyperlink" Target="https://www.100ppi.com/news/detail-20230829-2799531.html" TargetMode="External" Id="rId264"/><Relationship Type="http://schemas.openxmlformats.org/officeDocument/2006/relationships/hyperlink" Target="https://www.100ppi.com/news/detail-20230830-2801546.html" TargetMode="External" Id="rId265"/><Relationship Type="http://schemas.openxmlformats.org/officeDocument/2006/relationships/hyperlink" Target="https://www.100ppi.com/news/detail-20230831-2803519.html" TargetMode="External" Id="rId266"/><Relationship Type="http://schemas.openxmlformats.org/officeDocument/2006/relationships/hyperlink" Target="https://www.100ppi.com/news/detail-20230901-2805439.html" TargetMode="External" Id="rId267"/><Relationship Type="http://schemas.openxmlformats.org/officeDocument/2006/relationships/hyperlink" Target="https://www.100ppi.com/news/detail-20230904-2809319.html" TargetMode="External" Id="rId268"/><Relationship Type="http://schemas.openxmlformats.org/officeDocument/2006/relationships/hyperlink" Target="https://www.100ppi.com/news/detail-20230905-2811485.html" TargetMode="External" Id="rId269"/><Relationship Type="http://schemas.openxmlformats.org/officeDocument/2006/relationships/hyperlink" Target="https://www.100ppi.com/news/detail-20230906-2813572.html" TargetMode="External" Id="rId270"/><Relationship Type="http://schemas.openxmlformats.org/officeDocument/2006/relationships/hyperlink" Target="https://www.100ppi.com/news/detail-20230907-2815647.html" TargetMode="External" Id="rId271"/><Relationship Type="http://schemas.openxmlformats.org/officeDocument/2006/relationships/hyperlink" Target="https://www.100ppi.com/news/detail-20230908-2817718.html" TargetMode="External" Id="rId272"/><Relationship Type="http://schemas.openxmlformats.org/officeDocument/2006/relationships/hyperlink" Target="https://www.100ppi.com/news/detail-20230911-2821202.html" TargetMode="External" Id="rId273"/><Relationship Type="http://schemas.openxmlformats.org/officeDocument/2006/relationships/hyperlink" Target="https://www.100ppi.com/news/detail-20230912-2823400.html" TargetMode="External" Id="rId274"/><Relationship Type="http://schemas.openxmlformats.org/officeDocument/2006/relationships/hyperlink" Target="https://www.100ppi.com/news/detail-20230913-2825571.html" TargetMode="External" Id="rId275"/><Relationship Type="http://schemas.openxmlformats.org/officeDocument/2006/relationships/hyperlink" Target="https://www.100ppi.com/news/detail-20230914-2827863.html" TargetMode="External" Id="rId276"/><Relationship Type="http://schemas.openxmlformats.org/officeDocument/2006/relationships/hyperlink" Target="https://www.100ppi.com/news/detail-20230915-2830031.html" TargetMode="External" Id="rId277"/><Relationship Type="http://schemas.openxmlformats.org/officeDocument/2006/relationships/hyperlink" Target="https://www.100ppi.com/news/detail-20230918-2833594.html" TargetMode="External" Id="rId278"/><Relationship Type="http://schemas.openxmlformats.org/officeDocument/2006/relationships/hyperlink" Target="https://www.100ppi.com/news/detail-20230919-2835759.html" TargetMode="External" Id="rId279"/><Relationship Type="http://schemas.openxmlformats.org/officeDocument/2006/relationships/hyperlink" Target="https://www.100ppi.com/news/detail-20230920-2837986.html" TargetMode="External" Id="rId280"/><Relationship Type="http://schemas.openxmlformats.org/officeDocument/2006/relationships/hyperlink" Target="https://www.100ppi.com/news/detail-20230921-2840153.html" TargetMode="External" Id="rId281"/><Relationship Type="http://schemas.openxmlformats.org/officeDocument/2006/relationships/hyperlink" Target="https://www.100ppi.com/news/detail-20230922-2842459.html" TargetMode="External" Id="rId282"/><Relationship Type="http://schemas.openxmlformats.org/officeDocument/2006/relationships/hyperlink" Target="https://www.100ppi.com/news/detail-20230925-2845965.html" TargetMode="External" Id="rId283"/><Relationship Type="http://schemas.openxmlformats.org/officeDocument/2006/relationships/hyperlink" Target="https://www.100ppi.com/news/detail-20230926-2848331.html" TargetMode="External" Id="rId284"/><Relationship Type="http://schemas.openxmlformats.org/officeDocument/2006/relationships/hyperlink" Target="https://www.100ppi.com/news/detail-20230927-2850524.html" TargetMode="External" Id="rId285"/><Relationship Type="http://schemas.openxmlformats.org/officeDocument/2006/relationships/hyperlink" Target="https://www.100ppi.com/news/detail-20230928-2852607.html" TargetMode="External" Id="rId286"/><Relationship Type="http://schemas.openxmlformats.org/officeDocument/2006/relationships/hyperlink" Target="https://www.100ppi.com/news/detail-20230929-2854702.html" TargetMode="External" Id="rId287"/><Relationship Type="http://schemas.openxmlformats.org/officeDocument/2006/relationships/hyperlink" Target="https://www.100ppi.com/news/detail-20231002-2856359.html" TargetMode="External" Id="rId288"/><Relationship Type="http://schemas.openxmlformats.org/officeDocument/2006/relationships/hyperlink" Target="https://www.100ppi.com/news/detail-20231003-2857010.html" TargetMode="External" Id="rId289"/><Relationship Type="http://schemas.openxmlformats.org/officeDocument/2006/relationships/hyperlink" Target="https://www.100ppi.com/news/detail-20231004-2858069.html" TargetMode="External" Id="rId290"/><Relationship Type="http://schemas.openxmlformats.org/officeDocument/2006/relationships/hyperlink" Target="https://www.100ppi.com/news/detail-20231005-2859019.html" TargetMode="External" Id="rId291"/><Relationship Type="http://schemas.openxmlformats.org/officeDocument/2006/relationships/hyperlink" Target="https://www.100ppi.com/news/detail-20231006-2860202.html" TargetMode="External" Id="rId292"/><Relationship Type="http://schemas.openxmlformats.org/officeDocument/2006/relationships/hyperlink" Target="https://www.100ppi.com/news/detail-20231009-2865193.html" TargetMode="External" Id="rId293"/><Relationship Type="http://schemas.openxmlformats.org/officeDocument/2006/relationships/hyperlink" Target="https://www.100ppi.com/news/detail-20231010-2867256.html" TargetMode="External" Id="rId294"/><Relationship Type="http://schemas.openxmlformats.org/officeDocument/2006/relationships/hyperlink" Target="https://www.100ppi.com/news/detail-20231011-2869431.html" TargetMode="External" Id="rId295"/><Relationship Type="http://schemas.openxmlformats.org/officeDocument/2006/relationships/hyperlink" Target="https://www.100ppi.com/news/detail-20231012-2871763.html" TargetMode="External" Id="rId296"/><Relationship Type="http://schemas.openxmlformats.org/officeDocument/2006/relationships/hyperlink" Target="https://www.100ppi.com/news/detail-20231013-2874298.html" TargetMode="External" Id="rId297"/><Relationship Type="http://schemas.openxmlformats.org/officeDocument/2006/relationships/hyperlink" Target="https://www.100ppi.com/news/detail-20231016-2878535.html" TargetMode="External" Id="rId298"/><Relationship Type="http://schemas.openxmlformats.org/officeDocument/2006/relationships/hyperlink" Target="https://www.100ppi.com/news/detail-20231017-2881201.html" TargetMode="External" Id="rId299"/><Relationship Type="http://schemas.openxmlformats.org/officeDocument/2006/relationships/hyperlink" Target="https://www.100ppi.com/news/detail-20231018-2883674.html" TargetMode="External" Id="rId300"/><Relationship Type="http://schemas.openxmlformats.org/officeDocument/2006/relationships/hyperlink" Target="https://www.100ppi.com/news/detail-20231019-2885963.html" TargetMode="External" Id="rId301"/><Relationship Type="http://schemas.openxmlformats.org/officeDocument/2006/relationships/hyperlink" Target="https://www.100ppi.com/news/detail-20231020-2888182.html" TargetMode="External" Id="rId302"/><Relationship Type="http://schemas.openxmlformats.org/officeDocument/2006/relationships/hyperlink" Target="https://www.100ppi.com/news/detail-20231023-2892329.html" TargetMode="External" Id="rId303"/><Relationship Type="http://schemas.openxmlformats.org/officeDocument/2006/relationships/hyperlink" Target="https://www.100ppi.com/news/detail-20231024-2894768.html" TargetMode="External" Id="rId304"/><Relationship Type="http://schemas.openxmlformats.org/officeDocument/2006/relationships/hyperlink" Target="https://www.100ppi.com/news/detail-20231025-2897156.html" TargetMode="External" Id="rId305"/><Relationship Type="http://schemas.openxmlformats.org/officeDocument/2006/relationships/hyperlink" Target="https://www.100ppi.com/news/detail-20231026-2899663.html" TargetMode="External" Id="rId306"/><Relationship Type="http://schemas.openxmlformats.org/officeDocument/2006/relationships/hyperlink" Target="https://www.100ppi.com/news/detail-20231027-2902139.html" TargetMode="External" Id="rId307"/><Relationship Type="http://schemas.openxmlformats.org/officeDocument/2006/relationships/hyperlink" Target="https://www.100ppi.com/news/detail-20231030-2905973.html" TargetMode="External" Id="rId308"/><Relationship Type="http://schemas.openxmlformats.org/officeDocument/2006/relationships/hyperlink" Target="https://www.100ppi.com/news/detail-20231031-2908546.html" TargetMode="External" Id="rId309"/><Relationship Type="http://schemas.openxmlformats.org/officeDocument/2006/relationships/hyperlink" Target="https://www.100ppi.com/news/detail-20231101-2910846.html" TargetMode="External" Id="rId310"/><Relationship Type="http://schemas.openxmlformats.org/officeDocument/2006/relationships/hyperlink" Target="https://www.100ppi.com/news/detail-20231102-2913388.html" TargetMode="External" Id="rId311"/><Relationship Type="http://schemas.openxmlformats.org/officeDocument/2006/relationships/hyperlink" Target="https://www.100ppi.com/news/detail-20231103-2915777.html" TargetMode="External" Id="rId312"/><Relationship Type="http://schemas.openxmlformats.org/officeDocument/2006/relationships/hyperlink" Target="https://www.100ppi.com/news/detail-20231106-2920073.html" TargetMode="External" Id="rId313"/><Relationship Type="http://schemas.openxmlformats.org/officeDocument/2006/relationships/hyperlink" Target="https://www.100ppi.com/news/detail-20231107-2922891.html" TargetMode="External" Id="rId314"/><Relationship Type="http://schemas.openxmlformats.org/officeDocument/2006/relationships/hyperlink" Target="https://www.100ppi.com/news/detail-20231108-2925534.html" TargetMode="External" Id="rId315"/><Relationship Type="http://schemas.openxmlformats.org/officeDocument/2006/relationships/hyperlink" Target="https://www.100ppi.com/news/detail-20231109-2928229.html" TargetMode="External" Id="rId316"/><Relationship Type="http://schemas.openxmlformats.org/officeDocument/2006/relationships/hyperlink" Target="https://www.100ppi.com/news/detail-20231110-2930625.html" TargetMode="External" Id="rId317"/><Relationship Type="http://schemas.openxmlformats.org/officeDocument/2006/relationships/hyperlink" Target="https://www.100ppi.com/news/detail-20231113-2935028.html" TargetMode="External" Id="rId318"/><Relationship Type="http://schemas.openxmlformats.org/officeDocument/2006/relationships/hyperlink" Target="https://www.100ppi.com/news/detail-20231114-2937611.html" TargetMode="External" Id="rId319"/><Relationship Type="http://schemas.openxmlformats.org/officeDocument/2006/relationships/hyperlink" Target="https://www.100ppi.com/news/detail-20231115-2940238.html" TargetMode="External" Id="rId320"/><Relationship Type="http://schemas.openxmlformats.org/officeDocument/2006/relationships/hyperlink" Target="https://www.100ppi.com/news/detail-20231116-2942596.html" TargetMode="External" Id="rId321"/><Relationship Type="http://schemas.openxmlformats.org/officeDocument/2006/relationships/hyperlink" Target="https://www.100ppi.com/news/detail-20231117-2945092.html" TargetMode="External" Id="rId322"/><Relationship Type="http://schemas.openxmlformats.org/officeDocument/2006/relationships/hyperlink" Target="https://www.100ppi.com/news/detail-20231120-2949022.html" TargetMode="External" Id="rId323"/><Relationship Type="http://schemas.openxmlformats.org/officeDocument/2006/relationships/hyperlink" Target="https://www.100ppi.com/news/detail-20231121-2951818.html" TargetMode="External" Id="rId324"/><Relationship Type="http://schemas.openxmlformats.org/officeDocument/2006/relationships/hyperlink" Target="https://www.100ppi.com/news/detail-20231122-2954632.html" TargetMode="External" Id="rId325"/><Relationship Type="http://schemas.openxmlformats.org/officeDocument/2006/relationships/hyperlink" Target="https://www.100ppi.com/news/detail-20231123-2957270.html" TargetMode="External" Id="rId326"/><Relationship Type="http://schemas.openxmlformats.org/officeDocument/2006/relationships/hyperlink" Target="https://www.100ppi.com/news/detail-20231124-2960029.html" TargetMode="External" Id="rId327"/><Relationship Type="http://schemas.openxmlformats.org/officeDocument/2006/relationships/hyperlink" Target="https://www.100ppi.com/news/detail-20231127-2964329.html" TargetMode="External" Id="rId328"/><Relationship Type="http://schemas.openxmlformats.org/officeDocument/2006/relationships/hyperlink" Target="https://www.100ppi.com/news/detail-20231128-2967279.html" TargetMode="External" Id="rId329"/><Relationship Type="http://schemas.openxmlformats.org/officeDocument/2006/relationships/hyperlink" Target="https://www.100ppi.com/news/detail-20231129-2969989.html" TargetMode="External" Id="rId330"/><Relationship Type="http://schemas.openxmlformats.org/officeDocument/2006/relationships/hyperlink" Target="https://www.100ppi.com/news/detail-20231130-2972740.html" TargetMode="External" Id="rId331"/><Relationship Type="http://schemas.openxmlformats.org/officeDocument/2006/relationships/hyperlink" Target="https://www.100ppi.com/news/detail-20231201-2975417.html" TargetMode="External" Id="rId332"/><Relationship Type="http://schemas.openxmlformats.org/officeDocument/2006/relationships/hyperlink" Target="https://www.100ppi.com/news/detail-20231204-2979506.html" TargetMode="External" Id="rId333"/><Relationship Type="http://schemas.openxmlformats.org/officeDocument/2006/relationships/hyperlink" Target="https://www.100ppi.com/news/detail-20231205-2982511.html" TargetMode="External" Id="rId334"/><Relationship Type="http://schemas.openxmlformats.org/officeDocument/2006/relationships/hyperlink" Target="https://www.100ppi.com/news/detail-20231206-2985456.html" TargetMode="External" Id="rId335"/><Relationship Type="http://schemas.openxmlformats.org/officeDocument/2006/relationships/hyperlink" Target="https://www.100ppi.com/news/detail-20231207-2988395.html" TargetMode="External" Id="rId336"/><Relationship Type="http://schemas.openxmlformats.org/officeDocument/2006/relationships/hyperlink" Target="https://www.100ppi.com/news/detail-20231208-2991033.html" TargetMode="External" Id="rId337"/><Relationship Type="http://schemas.openxmlformats.org/officeDocument/2006/relationships/hyperlink" Target="https://www.100ppi.com/news/detail-20231211-2995510.html" TargetMode="External" Id="rId338"/><Relationship Type="http://schemas.openxmlformats.org/officeDocument/2006/relationships/hyperlink" Target="https://www.100ppi.com/news/detail-20231212-2998360.html" TargetMode="External" Id="rId339"/><Relationship Type="http://schemas.openxmlformats.org/officeDocument/2006/relationships/hyperlink" Target="https://www.100ppi.com/news/detail-20231213-3001223.html" TargetMode="External" Id="rId340"/><Relationship Type="http://schemas.openxmlformats.org/officeDocument/2006/relationships/hyperlink" Target="https://www.100ppi.com/news/detail-20231214-3003924.html" TargetMode="External" Id="rId341"/><Relationship Type="http://schemas.openxmlformats.org/officeDocument/2006/relationships/hyperlink" Target="https://www.100ppi.com/news/detail-20231215-3006382.html" TargetMode="External" Id="rId342"/><Relationship Type="http://schemas.openxmlformats.org/officeDocument/2006/relationships/hyperlink" Target="https://www.100ppi.com/news/detail-20231218-3010664.html" TargetMode="External" Id="rId343"/><Relationship Type="http://schemas.openxmlformats.org/officeDocument/2006/relationships/hyperlink" Target="https://www.100ppi.com/news/detail-20231219-3013682.html" TargetMode="External" Id="rId344"/><Relationship Type="http://schemas.openxmlformats.org/officeDocument/2006/relationships/hyperlink" Target="https://www.100ppi.com/news/detail-20231220-3016578.html" TargetMode="External" Id="rId345"/><Relationship Type="http://schemas.openxmlformats.org/officeDocument/2006/relationships/hyperlink" Target="https://www.100ppi.com/news/detail-20231221-3019266.html" TargetMode="External" Id="rId346"/><Relationship Type="http://schemas.openxmlformats.org/officeDocument/2006/relationships/hyperlink" Target="https://www.100ppi.com/news/detail-20231222-3022024.html" TargetMode="External" Id="rId347"/><Relationship Type="http://schemas.openxmlformats.org/officeDocument/2006/relationships/hyperlink" Target="https://www.100ppi.com/news/detail-20231225-3026314.html" TargetMode="External" Id="rId348"/><Relationship Type="http://schemas.openxmlformats.org/officeDocument/2006/relationships/hyperlink" Target="https://www.100ppi.com/news/detail-20231226-3029480.html" TargetMode="External" Id="rId349"/><Relationship Type="http://schemas.openxmlformats.org/officeDocument/2006/relationships/hyperlink" Target="https://www.100ppi.com/news/detail-20231227-3032272.html" TargetMode="External" Id="rId350"/><Relationship Type="http://schemas.openxmlformats.org/officeDocument/2006/relationships/hyperlink" Target="https://www.100ppi.com/news/detail-20231228-3035139.html" TargetMode="External" Id="rId351"/><Relationship Type="http://schemas.openxmlformats.org/officeDocument/2006/relationships/hyperlink" Target="https://www.100ppi.com/news/detail-20231229-3037746.html" TargetMode="External" Id="rId352"/><Relationship Type="http://schemas.openxmlformats.org/officeDocument/2006/relationships/hyperlink" Target="https://www.100ppi.com/news/detail-20240101-3041934.html" TargetMode="External" Id="rId353"/><Relationship Type="http://schemas.openxmlformats.org/officeDocument/2006/relationships/hyperlink" Target="https://www.100ppi.com/news/detail-20240102-3042806.html" TargetMode="External" Id="rId354"/><Relationship Type="http://schemas.openxmlformats.org/officeDocument/2006/relationships/hyperlink" Target="https://www.100ppi.com/news/detail-20240103-3045869.html" TargetMode="External" Id="rId355"/><Relationship Type="http://schemas.openxmlformats.org/officeDocument/2006/relationships/hyperlink" Target="https://www.100ppi.com/news/detail-20240104-3048649.html" TargetMode="External" Id="rId356"/><Relationship Type="http://schemas.openxmlformats.org/officeDocument/2006/relationships/hyperlink" Target="https://www.100ppi.com/news/detail-20240105-3051347.html" TargetMode="External" Id="rId357"/><Relationship Type="http://schemas.openxmlformats.org/officeDocument/2006/relationships/hyperlink" Target="https://www.100ppi.com/news/detail-20240108-3055945.html" TargetMode="External" Id="rId358"/><Relationship Type="http://schemas.openxmlformats.org/officeDocument/2006/relationships/hyperlink" Target="https://www.100ppi.com/news/detail-20240109-3058858.html" TargetMode="External" Id="rId359"/><Relationship Type="http://schemas.openxmlformats.org/officeDocument/2006/relationships/hyperlink" Target="https://www.100ppi.com/news/detail-20240110-3061363.html" TargetMode="External" Id="rId360"/><Relationship Type="http://schemas.openxmlformats.org/officeDocument/2006/relationships/hyperlink" Target="https://www.100ppi.com/news/detail-20240111-3063927.html" TargetMode="External" Id="rId361"/><Relationship Type="http://schemas.openxmlformats.org/officeDocument/2006/relationships/hyperlink" Target="https://www.100ppi.com/news/detail-20240112-3066638.html" TargetMode="External" Id="rId362"/><Relationship Type="http://schemas.openxmlformats.org/officeDocument/2006/relationships/hyperlink" Target="https://www.100ppi.com/news/detail-20240115-3071184.html" TargetMode="External" Id="rId363"/><Relationship Type="http://schemas.openxmlformats.org/officeDocument/2006/relationships/hyperlink" Target="https://www.100ppi.com/news/detail-20240116-3073907.html" TargetMode="External" Id="rId364"/><Relationship Type="http://schemas.openxmlformats.org/officeDocument/2006/relationships/hyperlink" Target="https://www.100ppi.com/news/detail-20240117-3076738.html" TargetMode="External" Id="rId365"/><Relationship Type="http://schemas.openxmlformats.org/officeDocument/2006/relationships/hyperlink" Target="https://www.100ppi.com/news/detail-20240118-3079518.html" TargetMode="External" Id="rId366"/><Relationship Type="http://schemas.openxmlformats.org/officeDocument/2006/relationships/hyperlink" Target="https://www.100ppi.com/news/detail-20240119-3082163.html" TargetMode="External" Id="rId367"/><Relationship Type="http://schemas.openxmlformats.org/officeDocument/2006/relationships/hyperlink" Target="https://www.100ppi.com/news/detail-20240122-3086432.html" TargetMode="External" Id="rId368"/><Relationship Type="http://schemas.openxmlformats.org/officeDocument/2006/relationships/hyperlink" Target="https://www.100ppi.com/news/detail-20240123-3089402.html" TargetMode="External" Id="rId369"/><Relationship Type="http://schemas.openxmlformats.org/officeDocument/2006/relationships/hyperlink" Target="https://www.100ppi.com/news/detail-20240124-3092318.html" TargetMode="External" Id="rId370"/><Relationship Type="http://schemas.openxmlformats.org/officeDocument/2006/relationships/hyperlink" Target="https://www.100ppi.com/news/detail-20240125-3095112.html" TargetMode="External" Id="rId371"/><Relationship Type="http://schemas.openxmlformats.org/officeDocument/2006/relationships/hyperlink" Target="https://www.100ppi.com/news/detail-20240126-3097543.html" TargetMode="External" Id="rId372"/><Relationship Type="http://schemas.openxmlformats.org/officeDocument/2006/relationships/hyperlink" Target="https://www.100ppi.com/news/detail-20240129-3101254.html" TargetMode="External" Id="rId373"/><Relationship Type="http://schemas.openxmlformats.org/officeDocument/2006/relationships/hyperlink" Target="https://www.100ppi.com/news/detail-20240130-3103694.html" TargetMode="External" Id="rId374"/><Relationship Type="http://schemas.openxmlformats.org/officeDocument/2006/relationships/hyperlink" Target="https://www.100ppi.com/news/detail-20240131-3105974.html" TargetMode="External" Id="rId375"/><Relationship Type="http://schemas.openxmlformats.org/officeDocument/2006/relationships/hyperlink" Target="https://www.100ppi.com/news/detail-20240201-3108497.html" TargetMode="External" Id="rId376"/><Relationship Type="http://schemas.openxmlformats.org/officeDocument/2006/relationships/hyperlink" Target="https://www.100ppi.com/news/detail-20240202-3110659.html" TargetMode="External" Id="rId377"/><Relationship Type="http://schemas.openxmlformats.org/officeDocument/2006/relationships/hyperlink" Target="https://www.100ppi.com/news/detail-20240205-3114397.html" TargetMode="External" Id="rId378"/><Relationship Type="http://schemas.openxmlformats.org/officeDocument/2006/relationships/hyperlink" Target="https://www.100ppi.com/news/detail-20240206-3116085.html" TargetMode="External" Id="rId379"/><Relationship Type="http://schemas.openxmlformats.org/officeDocument/2006/relationships/hyperlink" Target="https://www.100ppi.com/news/detail-20240207-3117147.html" TargetMode="External" Id="rId380"/><Relationship Type="http://schemas.openxmlformats.org/officeDocument/2006/relationships/hyperlink" Target="https://www.100ppi.com/news/detail-20240208-3118256.html" TargetMode="External" Id="rId381"/><Relationship Type="http://schemas.openxmlformats.org/officeDocument/2006/relationships/hyperlink" Target="https://www.100ppi.com/news/detail-20240209-3118838.html" TargetMode="External" Id="rId382"/><Relationship Type="http://schemas.openxmlformats.org/officeDocument/2006/relationships/hyperlink" Target="https://www.100ppi.com/news/detail-20240212-3119506.html" TargetMode="External" Id="rId383"/><Relationship Type="http://schemas.openxmlformats.org/officeDocument/2006/relationships/hyperlink" Target="https://www.100ppi.com/news/detail-20240213-3119899.html" TargetMode="External" Id="rId384"/><Relationship Type="http://schemas.openxmlformats.org/officeDocument/2006/relationships/hyperlink" Target="https://www.100ppi.com/news/detail-20240214-3120481.html" TargetMode="External" Id="rId385"/><Relationship Type="http://schemas.openxmlformats.org/officeDocument/2006/relationships/hyperlink" Target="https://www.100ppi.com/news/detail-20240215-3120983.html" TargetMode="External" Id="rId386"/><Relationship Type="http://schemas.openxmlformats.org/officeDocument/2006/relationships/hyperlink" Target="https://www.100ppi.com/news/detail-20240216-3121956.html" TargetMode="External" Id="rId387"/><Relationship Type="http://schemas.openxmlformats.org/officeDocument/2006/relationships/hyperlink" Target="https://www.100ppi.com/news/detail-20240219-3127292.html" TargetMode="External" Id="rId388"/><Relationship Type="http://schemas.openxmlformats.org/officeDocument/2006/relationships/hyperlink" Target="https://www.100ppi.com/news/detail-20240220-3129800.html" TargetMode="External" Id="rId389"/><Relationship Type="http://schemas.openxmlformats.org/officeDocument/2006/relationships/hyperlink" Target="https://www.100ppi.com/news/detail-20240221-3132381.html" TargetMode="External" Id="rId390"/><Relationship Type="http://schemas.openxmlformats.org/officeDocument/2006/relationships/hyperlink" Target="https://www.100ppi.com/news/detail-20240222-3135109.html" TargetMode="External" Id="rId391"/><Relationship Type="http://schemas.openxmlformats.org/officeDocument/2006/relationships/hyperlink" Target="https://www.100ppi.com/news/detail-20240223-3137953.html" TargetMode="External" Id="rId392"/><Relationship Type="http://schemas.openxmlformats.org/officeDocument/2006/relationships/hyperlink" Target="https://www.100ppi.com/news/detail-20240226-3143000.html" TargetMode="External" Id="rId393"/><Relationship Type="http://schemas.openxmlformats.org/officeDocument/2006/relationships/hyperlink" Target="https://www.100ppi.com/news/detail-20240227-3146278.html" TargetMode="External" Id="rId394"/><Relationship Type="http://schemas.openxmlformats.org/officeDocument/2006/relationships/hyperlink" Target="https://www.100ppi.com/news/detail-20240228-3149037.html" TargetMode="External" Id="rId395"/><Relationship Type="http://schemas.openxmlformats.org/officeDocument/2006/relationships/hyperlink" Target="https://www.100ppi.com/news/detail-20240229-3151816.html" TargetMode="External" Id="rId396"/><Relationship Type="http://schemas.openxmlformats.org/officeDocument/2006/relationships/hyperlink" Target="https://www.100ppi.com/news/detail-20240301-3154870.html" TargetMode="External" Id="rId397"/><Relationship Type="http://schemas.openxmlformats.org/officeDocument/2006/relationships/hyperlink" Target="https://www.100ppi.com/news/detail-20240304-3159396.html" TargetMode="External" Id="rId398"/><Relationship Type="http://schemas.openxmlformats.org/officeDocument/2006/relationships/hyperlink" Target="https://www.100ppi.com/news/detail-20240305-3162355.html" TargetMode="External" Id="rId399"/><Relationship Type="http://schemas.openxmlformats.org/officeDocument/2006/relationships/hyperlink" Target="https://www.100ppi.com/news/detail-20240306-3165258.html" TargetMode="External" Id="rId400"/><Relationship Type="http://schemas.openxmlformats.org/officeDocument/2006/relationships/hyperlink" Target="https://www.100ppi.com/news/detail-20240307-3167927.html" TargetMode="External" Id="rId401"/><Relationship Type="http://schemas.openxmlformats.org/officeDocument/2006/relationships/hyperlink" Target="https://www.100ppi.com/news/detail-20240308-3170842.html" TargetMode="External" Id="rId402"/><Relationship Type="http://schemas.openxmlformats.org/officeDocument/2006/relationships/hyperlink" Target="https://www.100ppi.com/news/detail-20240311-3175659.html" TargetMode="External" Id="rId403"/><Relationship Type="http://schemas.openxmlformats.org/officeDocument/2006/relationships/hyperlink" Target="https://www.100ppi.com/news/detail-20240312-3178788.html" TargetMode="External" Id="rId404"/><Relationship Type="http://schemas.openxmlformats.org/officeDocument/2006/relationships/hyperlink" Target="https://www.100ppi.com/news/detail-20240313-3181887.html" TargetMode="External" Id="rId405"/><Relationship Type="http://schemas.openxmlformats.org/officeDocument/2006/relationships/hyperlink" Target="https://www.100ppi.com/news/detail-20240314-3184810.html" TargetMode="External" Id="rId406"/><Relationship Type="http://schemas.openxmlformats.org/officeDocument/2006/relationships/hyperlink" Target="https://www.100ppi.com/news/detail-20240315-3187587.html" TargetMode="External" Id="rId407"/><Relationship Type="http://schemas.openxmlformats.org/officeDocument/2006/relationships/hyperlink" Target="https://www.100ppi.com/news/detail-20240318-3192370.html" TargetMode="External" Id="rId408"/><Relationship Type="http://schemas.openxmlformats.org/officeDocument/2006/relationships/hyperlink" Target="https://www.100ppi.com/news/detail-20240319-3195436.html" TargetMode="External" Id="rId409"/><Relationship Type="http://schemas.openxmlformats.org/officeDocument/2006/relationships/hyperlink" Target="https://www.100ppi.com/news/detail-20240320-3198265.html" TargetMode="External" Id="rId410"/><Relationship Type="http://schemas.openxmlformats.org/officeDocument/2006/relationships/hyperlink" Target="https://www.100ppi.com/news/detail-20240321-3201098.html" TargetMode="External" Id="rId411"/><Relationship Type="http://schemas.openxmlformats.org/officeDocument/2006/relationships/hyperlink" Target="https://www.100ppi.com/news/detail-20240322-3203883.html" TargetMode="External" Id="rId412"/><Relationship Type="http://schemas.openxmlformats.org/officeDocument/2006/relationships/hyperlink" Target="https://www.100ppi.com/news/detail-20240325-3208053.html" TargetMode="External" Id="rId413"/><Relationship Type="http://schemas.openxmlformats.org/officeDocument/2006/relationships/hyperlink" Target="https://www.100ppi.com/news/detail-20240326-3211056.html" TargetMode="External" Id="rId414"/><Relationship Type="http://schemas.openxmlformats.org/officeDocument/2006/relationships/hyperlink" Target="https://www.100ppi.com/news/detail-20240327-3214126.html" TargetMode="External" Id="rId415"/><Relationship Type="http://schemas.openxmlformats.org/officeDocument/2006/relationships/hyperlink" Target="https://www.100ppi.com/news/detail-20240328-3217180.html" TargetMode="External" Id="rId416"/><Relationship Type="http://schemas.openxmlformats.org/officeDocument/2006/relationships/hyperlink" Target="https://www.100ppi.com/news/detail-20240329-3220174.html" TargetMode="External" Id="rId417"/><Relationship Type="http://schemas.openxmlformats.org/officeDocument/2006/relationships/hyperlink" Target="https://www.100ppi.com/news/detail-20240401-3224864.html" TargetMode="External" Id="rId418"/><Relationship Type="http://schemas.openxmlformats.org/officeDocument/2006/relationships/hyperlink" Target="https://www.100ppi.com/news/detail-20240402-3227690.html" TargetMode="External" Id="rId419"/><Relationship Type="http://schemas.openxmlformats.org/officeDocument/2006/relationships/hyperlink" Target="https://www.100ppi.com/news/detail-20240403-3230787.html" TargetMode="External" Id="rId420"/><Relationship Type="http://schemas.openxmlformats.org/officeDocument/2006/relationships/hyperlink" Target="https://www.100ppi.com/news/detail-20240404-3233828.html" TargetMode="External" Id="rId421"/><Relationship Type="http://schemas.openxmlformats.org/officeDocument/2006/relationships/hyperlink" Target="https://www.100ppi.com/news/detail-20240405-3234927.html" TargetMode="External" Id="rId422"/><Relationship Type="http://schemas.openxmlformats.org/officeDocument/2006/relationships/hyperlink" Target="https://www.100ppi.com/news/detail-20240408-3239296.html" TargetMode="External" Id="rId423"/><Relationship Type="http://schemas.openxmlformats.org/officeDocument/2006/relationships/hyperlink" Target="https://www.100ppi.com/news/detail-20240409-3242245.html" TargetMode="External" Id="rId424"/><Relationship Type="http://schemas.openxmlformats.org/officeDocument/2006/relationships/hyperlink" Target="https://www.100ppi.com/news/detail-20240410-3245304.html" TargetMode="External" Id="rId425"/><Relationship Type="http://schemas.openxmlformats.org/officeDocument/2006/relationships/hyperlink" Target="https://www.100ppi.com/news/detail-20240411-3248123.html" TargetMode="External" Id="rId426"/><Relationship Type="http://schemas.openxmlformats.org/officeDocument/2006/relationships/hyperlink" Target="https://www.100ppi.com/news/detail-20240412-3251195.html" TargetMode="External" Id="rId427"/><Relationship Type="http://schemas.openxmlformats.org/officeDocument/2006/relationships/hyperlink" Target="https://www.100ppi.com/news/detail-20240415-3255789.html" TargetMode="External" Id="rId428"/><Relationship Type="http://schemas.openxmlformats.org/officeDocument/2006/relationships/hyperlink" Target="https://www.100ppi.com/news/detail-20240416-3258969.html" TargetMode="External" Id="rId429"/><Relationship Type="http://schemas.openxmlformats.org/officeDocument/2006/relationships/hyperlink" Target="https://www.100ppi.com/news/detail-20240417-3262135.html" TargetMode="External" Id="rId430"/><Relationship Type="http://schemas.openxmlformats.org/officeDocument/2006/relationships/hyperlink" Target="https://www.100ppi.com/news/detail-20240418-3265225.html" TargetMode="External" Id="rId431"/><Relationship Type="http://schemas.openxmlformats.org/officeDocument/2006/relationships/hyperlink" Target="https://www.100ppi.com/news/detail-20240419-3268078.html" TargetMode="External" Id="rId432"/><Relationship Type="http://schemas.openxmlformats.org/officeDocument/2006/relationships/hyperlink" Target="https://www.100ppi.com/news/detail-20240422-3272927.html" TargetMode="External" Id="rId433"/><Relationship Type="http://schemas.openxmlformats.org/officeDocument/2006/relationships/hyperlink" Target="https://www.100ppi.com/news/detail-20240423-3276262.html" TargetMode="External" Id="rId434"/><Relationship Type="http://schemas.openxmlformats.org/officeDocument/2006/relationships/hyperlink" Target="https://www.100ppi.com/news/detail-20240424-3279176.html" TargetMode="External" Id="rId435"/><Relationship Type="http://schemas.openxmlformats.org/officeDocument/2006/relationships/hyperlink" Target="https://www.100ppi.com/news/detail-20240425-3282315.html" TargetMode="External" Id="rId436"/><Relationship Type="http://schemas.openxmlformats.org/officeDocument/2006/relationships/hyperlink" Target="https://www.100ppi.com/news/detail-20240426-3285446.html" TargetMode="External" Id="rId437"/><Relationship Type="http://schemas.openxmlformats.org/officeDocument/2006/relationships/hyperlink" Target="https://www.100ppi.com/news/detail-20240429-3292357.html" TargetMode="External" Id="rId438"/><Relationship Type="http://schemas.openxmlformats.org/officeDocument/2006/relationships/hyperlink" Target="https://www.100ppi.com/news/detail-20240430-3295054.html" TargetMode="External" Id="rId439"/><Relationship Type="http://schemas.openxmlformats.org/officeDocument/2006/relationships/hyperlink" Target="https://www.100ppi.com/news/detail-20240501-3297972.html" TargetMode="External" Id="rId440"/><Relationship Type="http://schemas.openxmlformats.org/officeDocument/2006/relationships/hyperlink" Target="https://www.100ppi.com/news/detail-20240502-3298747.html" TargetMode="External" Id="rId441"/><Relationship Type="http://schemas.openxmlformats.org/officeDocument/2006/relationships/hyperlink" Target="https://www.100ppi.com/news/detail-20240503-3299469.html" TargetMode="External" Id="rId442"/><Relationship Type="http://schemas.openxmlformats.org/officeDocument/2006/relationships/hyperlink" Target="https://www.100ppi.com/news/detail-20240506-3301965.html" TargetMode="External" Id="rId443"/><Relationship Type="http://schemas.openxmlformats.org/officeDocument/2006/relationships/hyperlink" Target="https://www.100ppi.com/news/detail-20240507-3305165.html" TargetMode="External" Id="rId444"/><Relationship Type="http://schemas.openxmlformats.org/officeDocument/2006/relationships/hyperlink" Target="https://www.100ppi.com/news/detail-20240508-3308410.html" TargetMode="External" Id="rId445"/><Relationship Type="http://schemas.openxmlformats.org/officeDocument/2006/relationships/hyperlink" Target="https://www.100ppi.com/news/detail-20240509-3311594.html" TargetMode="External" Id="rId446"/><Relationship Type="http://schemas.openxmlformats.org/officeDocument/2006/relationships/hyperlink" Target="https://www.100ppi.com/news/detail-20240510-3314839.html" TargetMode="External" Id="rId447"/><Relationship Type="http://schemas.openxmlformats.org/officeDocument/2006/relationships/hyperlink" Target="https://www.100ppi.com/news/detail-20240513-3321493.html" TargetMode="External" Id="rId448"/><Relationship Type="http://schemas.openxmlformats.org/officeDocument/2006/relationships/hyperlink" Target="https://www.100ppi.com/news/detail-20240514-3324881.html" TargetMode="External" Id="rId449"/><Relationship Type="http://schemas.openxmlformats.org/officeDocument/2006/relationships/hyperlink" Target="https://www.100ppi.com/news/detail-20240515-3328122.html" TargetMode="External" Id="rId450"/><Relationship Type="http://schemas.openxmlformats.org/officeDocument/2006/relationships/hyperlink" Target="https://www.100ppi.com/news/detail-20240516-3331399.html" TargetMode="External" Id="rId451"/><Relationship Type="http://schemas.openxmlformats.org/officeDocument/2006/relationships/hyperlink" Target="https://www.100ppi.com/news/detail-20240517-3334595.html" TargetMode="External" Id="rId452"/><Relationship Type="http://schemas.openxmlformats.org/officeDocument/2006/relationships/hyperlink" Target="https://www.100ppi.com/news/detail-20240520-3339706.html" TargetMode="External" Id="rId453"/><Relationship Type="http://schemas.openxmlformats.org/officeDocument/2006/relationships/hyperlink" Target="https://www.100ppi.com/news/detail-20240521-3343108.html" TargetMode="External" Id="rId454"/><Relationship Type="http://schemas.openxmlformats.org/officeDocument/2006/relationships/hyperlink" Target="https://www.100ppi.com/news/detail-20240522-3346519.html" TargetMode="External" Id="rId455"/><Relationship Type="http://schemas.openxmlformats.org/officeDocument/2006/relationships/hyperlink" Target="https://www.100ppi.com/news/detail-20240523-3349594.html" TargetMode="External" Id="rId456"/><Relationship Type="http://schemas.openxmlformats.org/officeDocument/2006/relationships/hyperlink" Target="https://www.100ppi.com/news/detail-20240524-3352453.html" TargetMode="External" Id="rId457"/><Relationship Type="http://schemas.openxmlformats.org/officeDocument/2006/relationships/hyperlink" Target="https://www.100ppi.com/news/detail-20240527-3357248.html" TargetMode="External" Id="rId458"/><Relationship Type="http://schemas.openxmlformats.org/officeDocument/2006/relationships/hyperlink" Target="https://www.100ppi.com/news/detail-20240528-3360719.html" TargetMode="External" Id="rId459"/><Relationship Type="http://schemas.openxmlformats.org/officeDocument/2006/relationships/hyperlink" Target="https://www.100ppi.com/news/detail-20240529-3364090.html" TargetMode="External" Id="rId460"/><Relationship Type="http://schemas.openxmlformats.org/officeDocument/2006/relationships/hyperlink" Target="https://www.100ppi.com/news/detail-20240530-3367365.html" TargetMode="External" Id="rId461"/><Relationship Type="http://schemas.openxmlformats.org/officeDocument/2006/relationships/hyperlink" Target="https://www.100ppi.com/news/detail-20240531-3370756.html" TargetMode="External" Id="rId462"/><Relationship Type="http://schemas.openxmlformats.org/officeDocument/2006/relationships/hyperlink" Target="https://www.100ppi.com/news/detail-20240603-3376135.html" TargetMode="External" Id="rId463"/><Relationship Type="http://schemas.openxmlformats.org/officeDocument/2006/relationships/hyperlink" Target="https://www.100ppi.com/news/detail-20240604-3379209.html" TargetMode="External" Id="rId464"/><Relationship Type="http://schemas.openxmlformats.org/officeDocument/2006/relationships/hyperlink" Target="https://www.100ppi.com/news/detail-20240605-3382745.html" TargetMode="External" Id="rId465"/><Relationship Type="http://schemas.openxmlformats.org/officeDocument/2006/relationships/hyperlink" Target="https://www.100ppi.com/news/detail-20240606-3386107.html" TargetMode="External" Id="rId466"/><Relationship Type="http://schemas.openxmlformats.org/officeDocument/2006/relationships/hyperlink" Target="https://www.100ppi.com/news/detail-20240607-3389113.html" TargetMode="External" Id="rId467"/><Relationship Type="http://schemas.openxmlformats.org/officeDocument/2006/relationships/hyperlink" Target="https://www.100ppi.com/news/detail-20240610-3393987.html" TargetMode="External" Id="rId468"/><Relationship Type="http://schemas.openxmlformats.org/officeDocument/2006/relationships/hyperlink" Target="https://www.100ppi.com/news/detail-20240611-3395053.html" TargetMode="External" Id="rId469"/><Relationship Type="http://schemas.openxmlformats.org/officeDocument/2006/relationships/hyperlink" Target="https://www.100ppi.com/news/detail-20240612-3398427.html" TargetMode="External" Id="rId470"/><Relationship Type="http://schemas.openxmlformats.org/officeDocument/2006/relationships/hyperlink" Target="https://www.100ppi.com/news/detail-20240613-3401770.html" TargetMode="External" Id="rId471"/><Relationship Type="http://schemas.openxmlformats.org/officeDocument/2006/relationships/hyperlink" Target="https://www.100ppi.com/news/detail-20240614-3404959.html" TargetMode="External" Id="rId472"/><Relationship Type="http://schemas.openxmlformats.org/officeDocument/2006/relationships/hyperlink" Target="https://www.100ppi.com/news/detail-20240617-3410406.html" TargetMode="External" Id="rId473"/><Relationship Type="http://schemas.openxmlformats.org/officeDocument/2006/relationships/hyperlink" Target="https://www.100ppi.com/news/detail-20240618-3413669.html" TargetMode="External" Id="rId474"/><Relationship Type="http://schemas.openxmlformats.org/officeDocument/2006/relationships/hyperlink" Target="https://www.100ppi.com/news/detail-20240619-3416554.html" TargetMode="External" Id="rId475"/><Relationship Type="http://schemas.openxmlformats.org/officeDocument/2006/relationships/hyperlink" Target="https://www.100ppi.com/news/detail-20240620-3419069.html" TargetMode="External" Id="rId476"/><Relationship Type="http://schemas.openxmlformats.org/officeDocument/2006/relationships/hyperlink" Target="https://www.100ppi.com/news/detail-20240621-3422268.html" TargetMode="External" Id="rId477"/><Relationship Type="http://schemas.openxmlformats.org/officeDocument/2006/relationships/hyperlink" Target="https://www.100ppi.com/news/detail-20240624-3427399.html" TargetMode="External" Id="rId478"/><Relationship Type="http://schemas.openxmlformats.org/officeDocument/2006/relationships/hyperlink" Target="https://www.100ppi.com/news/detail-20240625-3430788.html" TargetMode="External" Id="rId479"/><Relationship Type="http://schemas.openxmlformats.org/officeDocument/2006/relationships/hyperlink" Target="https://www.100ppi.com/news/detail-20240626-3433921.html" TargetMode="External" Id="rId480"/><Relationship Type="http://schemas.openxmlformats.org/officeDocument/2006/relationships/hyperlink" Target="https://www.100ppi.com/news/detail-20240627-3436913.html" TargetMode="External" Id="rId481"/><Relationship Type="http://schemas.openxmlformats.org/officeDocument/2006/relationships/hyperlink" Target="https://www.100ppi.com/news/detail-20240628-3439922.html" TargetMode="External" Id="rId482"/><Relationship Type="http://schemas.openxmlformats.org/officeDocument/2006/relationships/hyperlink" Target="https://www.100ppi.com/news/detail-20240701-3445204.html" TargetMode="External" Id="rId483"/><Relationship Type="http://schemas.openxmlformats.org/officeDocument/2006/relationships/hyperlink" Target="https://www.100ppi.com/news/detail-20240702-3448379.html" TargetMode="External" Id="rId484"/><Relationship Type="http://schemas.openxmlformats.org/officeDocument/2006/relationships/hyperlink" Target="https://www.100ppi.com/news/detail-20240703-3451185.html" TargetMode="External" Id="rId485"/><Relationship Type="http://schemas.openxmlformats.org/officeDocument/2006/relationships/hyperlink" Target="https://www.100ppi.com/news/detail-20240704-3454409.html" TargetMode="External" Id="rId486"/><Relationship Type="http://schemas.openxmlformats.org/officeDocument/2006/relationships/hyperlink" Target="https://www.100ppi.com/news/detail-20240705-3457573.html" TargetMode="External" Id="rId487"/><Relationship Type="http://schemas.openxmlformats.org/officeDocument/2006/relationships/hyperlink" Target="https://www.100ppi.com/news/detail-20240708-3462647.html" TargetMode="External" Id="rId488"/><Relationship Type="http://schemas.openxmlformats.org/officeDocument/2006/relationships/hyperlink" Target="https://www.100ppi.com/news/detail-20240709-3465737.html" TargetMode="External" Id="rId489"/><Relationship Type="http://schemas.openxmlformats.org/officeDocument/2006/relationships/hyperlink" Target="https://www.100ppi.com/news/detail-20240710-3469143.html" TargetMode="External" Id="rId490"/><Relationship Type="http://schemas.openxmlformats.org/officeDocument/2006/relationships/hyperlink" Target="https://www.100ppi.com/news/detail-20240711-3472642.html" TargetMode="External" Id="rId491"/><Relationship Type="http://schemas.openxmlformats.org/officeDocument/2006/relationships/hyperlink" Target="https://www.100ppi.com/news/detail-20240712-3475876.html" TargetMode="External" Id="rId492"/><Relationship Type="http://schemas.openxmlformats.org/officeDocument/2006/relationships/hyperlink" Target="https://www.100ppi.com/news/detail-20240715-3481737.html" TargetMode="External" Id="rId493"/><Relationship Type="http://schemas.openxmlformats.org/officeDocument/2006/relationships/hyperlink" Target="https://www.100ppi.com/news/detail-20240716-3485346.html" TargetMode="External" Id="rId494"/><Relationship Type="http://schemas.openxmlformats.org/officeDocument/2006/relationships/hyperlink" Target="https://www.100ppi.com/news/detail-20240717-3488882.html" TargetMode="External" Id="rId495"/><Relationship Type="http://schemas.openxmlformats.org/officeDocument/2006/relationships/hyperlink" Target="https://www.100ppi.com/news/detail-20240718-3492313.html" TargetMode="External" Id="rId496"/><Relationship Type="http://schemas.openxmlformats.org/officeDocument/2006/relationships/hyperlink" Target="https://www.100ppi.com/news/detail-20240719-3495392.html" TargetMode="External" Id="rId497"/><Relationship Type="http://schemas.openxmlformats.org/officeDocument/2006/relationships/hyperlink" Target="https://www.100ppi.com/news/detail-20240722-3501700.html" TargetMode="External" Id="rId498"/><Relationship Type="http://schemas.openxmlformats.org/officeDocument/2006/relationships/hyperlink" Target="https://www.100ppi.com/news/detail-20240723-3505224.html" TargetMode="External" Id="rId499"/><Relationship Type="http://schemas.openxmlformats.org/officeDocument/2006/relationships/hyperlink" Target="https://www.100ppi.com/news/detail-20240724-3508382.html" TargetMode="External" Id="rId500"/><Relationship Type="http://schemas.openxmlformats.org/officeDocument/2006/relationships/hyperlink" Target="https://www.100ppi.com/news/detail-20240725-3511855.html" TargetMode="External" Id="rId501"/><Relationship Type="http://schemas.openxmlformats.org/officeDocument/2006/relationships/hyperlink" Target="https://www.100ppi.com/news/detail-20240726-3514932.html" TargetMode="External" Id="rId502"/><Relationship Type="http://schemas.openxmlformats.org/officeDocument/2006/relationships/hyperlink" Target="https://www.100ppi.com/news/detail-20240729-3518619.html" TargetMode="External" Id="rId503"/><Relationship Type="http://schemas.openxmlformats.org/officeDocument/2006/relationships/hyperlink" Target="https://www.100ppi.com/news/detail-20240730-3522090.html" TargetMode="External" Id="rId504"/><Relationship Type="http://schemas.openxmlformats.org/officeDocument/2006/relationships/hyperlink" Target="https://www.100ppi.com/news/detail-20240731-3525150.html" TargetMode="External" Id="rId505"/><Relationship Type="http://schemas.openxmlformats.org/officeDocument/2006/relationships/hyperlink" Target="https://www.100ppi.com/news/detail-20240801-3528910.html" TargetMode="External" Id="rId506"/><Relationship Type="http://schemas.openxmlformats.org/officeDocument/2006/relationships/hyperlink" Target="https://www.100ppi.com/news/detail-20240802-3532684.html" TargetMode="External" Id="rId507"/><Relationship Type="http://schemas.openxmlformats.org/officeDocument/2006/relationships/hyperlink" Target="https://www.100ppi.com/news/detail-20240805-3538547.html" TargetMode="External" Id="rId508"/><Relationship Type="http://schemas.openxmlformats.org/officeDocument/2006/relationships/hyperlink" Target="https://www.100ppi.com/news/detail-20240806-3542368.html" TargetMode="External" Id="rId509"/><Relationship Type="http://schemas.openxmlformats.org/officeDocument/2006/relationships/hyperlink" Target="https://www.100ppi.com/news/detail-20240807-3545973.html" TargetMode="External" Id="rId510"/><Relationship Type="http://schemas.openxmlformats.org/officeDocument/2006/relationships/hyperlink" Target="https://www.100ppi.com/news/detail-20240808-3549783.html" TargetMode="External" Id="rId511"/><Relationship Type="http://schemas.openxmlformats.org/officeDocument/2006/relationships/hyperlink" Target="https://www.100ppi.com/news/detail-20240809-3553054.html" TargetMode="External" Id="rId512"/><Relationship Type="http://schemas.openxmlformats.org/officeDocument/2006/relationships/hyperlink" Target="https://www.100ppi.com/news/detail-20240812-3559754.html" TargetMode="External" Id="rId513"/><Relationship Type="http://schemas.openxmlformats.org/officeDocument/2006/relationships/hyperlink" Target="https://www.100ppi.com/news/detail-20240813-3563158.html" TargetMode="External" Id="rId514"/><Relationship Type="http://schemas.openxmlformats.org/officeDocument/2006/relationships/hyperlink" Target="https://www.100ppi.com/news/detail-20240814-3567060.html" TargetMode="External" Id="rId515"/><Relationship Type="http://schemas.openxmlformats.org/officeDocument/2006/relationships/hyperlink" Target="https://www.100ppi.com/news/detail-20240815-3570081.html" TargetMode="External" Id="rId516"/><Relationship Type="http://schemas.openxmlformats.org/officeDocument/2006/relationships/hyperlink" Target="https://www.100ppi.com/news/detail-20240816-3573457.html" TargetMode="External" Id="rId517"/><Relationship Type="http://schemas.openxmlformats.org/officeDocument/2006/relationships/hyperlink" Target="https://www.100ppi.com/news/detail-20240819-3579511.html" TargetMode="External" Id="rId518"/><Relationship Type="http://schemas.openxmlformats.org/officeDocument/2006/relationships/hyperlink" Target="https://www.100ppi.com/news/detail-20240820-3583360.html" TargetMode="External" Id="rId519"/><Relationship Type="http://schemas.openxmlformats.org/officeDocument/2006/relationships/hyperlink" Target="https://www.100ppi.com/news/detail-20240821-3587197.html" TargetMode="External" Id="rId520"/><Relationship Type="http://schemas.openxmlformats.org/officeDocument/2006/relationships/hyperlink" Target="https://www.100ppi.com/news/detail-20240822-3590712.html" TargetMode="External" Id="rId521"/><Relationship Type="http://schemas.openxmlformats.org/officeDocument/2006/relationships/hyperlink" Target="https://www.100ppi.com/news/detail-20240823-3594413.html" TargetMode="External" Id="rId522"/><Relationship Type="http://schemas.openxmlformats.org/officeDocument/2006/relationships/hyperlink" Target="https://www.100ppi.com/news/detail-20240826-3601772.html" TargetMode="External" Id="rId523"/><Relationship Type="http://schemas.openxmlformats.org/officeDocument/2006/relationships/hyperlink" Target="https://www.100ppi.com/news/detail-20240827-3605659.html" TargetMode="External" Id="rId524"/><Relationship Type="http://schemas.openxmlformats.org/officeDocument/2006/relationships/hyperlink" Target="https://www.100ppi.com/news/detail-20240828-3609559.html" TargetMode="External" Id="rId525"/><Relationship Type="http://schemas.openxmlformats.org/officeDocument/2006/relationships/hyperlink" Target="https://www.100ppi.com/news/detail-20240829-3613910.html" TargetMode="External" Id="rId526"/><Relationship Type="http://schemas.openxmlformats.org/officeDocument/2006/relationships/hyperlink" Target="https://www.100ppi.com/news/detail-20240830-3617850.html" TargetMode="External" Id="rId527"/><Relationship Type="http://schemas.openxmlformats.org/officeDocument/2006/relationships/hyperlink" Target="https://www.100ppi.com/news/detail-20240902-3624371.html" TargetMode="External" Id="rId528"/><Relationship Type="http://schemas.openxmlformats.org/officeDocument/2006/relationships/hyperlink" Target="https://www.100ppi.com/news/detail-20240903-3628039.html" TargetMode="External" Id="rId529"/><Relationship Type="http://schemas.openxmlformats.org/officeDocument/2006/relationships/hyperlink" Target="https://www.100ppi.com/news/detail-20240904-3632449.html" TargetMode="External" Id="rId530"/><Relationship Type="http://schemas.openxmlformats.org/officeDocument/2006/relationships/hyperlink" Target="https://www.100ppi.com/news/detail-20240905-3636248.html" TargetMode="External" Id="rId531"/><Relationship Type="http://schemas.openxmlformats.org/officeDocument/2006/relationships/hyperlink" Target="https://www.100ppi.com/news/detail-20240906-3640099.html" TargetMode="External" Id="rId532"/><Relationship Type="http://schemas.openxmlformats.org/officeDocument/2006/relationships/hyperlink" Target="https://www.100ppi.com/news/detail-20240909-3646566.html" TargetMode="External" Id="rId533"/><Relationship Type="http://schemas.openxmlformats.org/officeDocument/2006/relationships/hyperlink" Target="https://www.100ppi.com/news/detail-20240910-3650232.html" TargetMode="External" Id="rId534"/><Relationship Type="http://schemas.openxmlformats.org/officeDocument/2006/relationships/hyperlink" Target="https://www.100ppi.com/news/detail-20240911-3653231.html" TargetMode="External" Id="rId535"/><Relationship Type="http://schemas.openxmlformats.org/officeDocument/2006/relationships/hyperlink" Target="https://www.100ppi.com/news/detail-20240912-3657070.html" TargetMode="External" Id="rId536"/><Relationship Type="http://schemas.openxmlformats.org/officeDocument/2006/relationships/hyperlink" Target="https://www.100ppi.com/news/detail-20240913-3660488.html" TargetMode="External" Id="rId537"/><Relationship Type="http://schemas.openxmlformats.org/officeDocument/2006/relationships/hyperlink" Target="https://www.100ppi.com/news/detail-20240916-3668586.html" TargetMode="External" Id="rId538"/><Relationship Type="http://schemas.openxmlformats.org/officeDocument/2006/relationships/hyperlink" Target="https://www.100ppi.com/news/detail-20240917-3669735.html" TargetMode="External" Id="rId539"/><Relationship Type="http://schemas.openxmlformats.org/officeDocument/2006/relationships/hyperlink" Target="https://www.100ppi.com/news/detail-20240918-3670891.html" TargetMode="External" Id="rId540"/><Relationship Type="http://schemas.openxmlformats.org/officeDocument/2006/relationships/hyperlink" Target="https://www.100ppi.com/news/detail-20240919-3675168.html" TargetMode="External" Id="rId541"/><Relationship Type="http://schemas.openxmlformats.org/officeDocument/2006/relationships/hyperlink" Target="https://www.100ppi.com/news/detail-20240920-3678760.html" TargetMode="External" Id="rId542"/><Relationship Type="http://schemas.openxmlformats.org/officeDocument/2006/relationships/hyperlink" Target="https://www.100ppi.com/news/detail-20240923-3685987.html" TargetMode="External" Id="rId543"/><Relationship Type="http://schemas.openxmlformats.org/officeDocument/2006/relationships/hyperlink" Target="https://www.100ppi.com/news/detail-20240924-3689431.html" TargetMode="External" Id="rId544"/><Relationship Type="http://schemas.openxmlformats.org/officeDocument/2006/relationships/hyperlink" Target="https://www.100ppi.com/news/detail-20240925-3692461.html" TargetMode="External" Id="rId545"/><Relationship Type="http://schemas.openxmlformats.org/officeDocument/2006/relationships/hyperlink" Target="https://www.100ppi.com/news/detail-20240926-3695915.html" TargetMode="External" Id="rId546"/><Relationship Type="http://schemas.openxmlformats.org/officeDocument/2006/relationships/hyperlink" Target="https://www.100ppi.com/news/detail-20240927-3698588.html" TargetMode="External" Id="rId547"/><Relationship Type="http://schemas.openxmlformats.org/officeDocument/2006/relationships/hyperlink" Target="https://www.100ppi.com/news/detail-20240930-3706963.html" TargetMode="External" Id="rId548"/><Relationship Type="http://schemas.openxmlformats.org/officeDocument/2006/relationships/hyperlink" Target="https://www.100ppi.com/news/detail-20241001-3710230.html" TargetMode="External" Id="rId549"/><Relationship Type="http://schemas.openxmlformats.org/officeDocument/2006/relationships/hyperlink" Target="https://www.100ppi.com/news/detail-20241002-3710797.html" TargetMode="External" Id="rId550"/><Relationship Type="http://schemas.openxmlformats.org/officeDocument/2006/relationships/hyperlink" Target="https://www.100ppi.com/news/detail-20241003-3711385.html" TargetMode="External" Id="rId551"/><Relationship Type="http://schemas.openxmlformats.org/officeDocument/2006/relationships/hyperlink" Target="https://www.100ppi.com/news/detail-20241004-3712106.html" TargetMode="External" Id="rId552"/><Relationship Type="http://schemas.openxmlformats.org/officeDocument/2006/relationships/hyperlink" Target="https://www.100ppi.com/news/detail-20241007-3715979.html" TargetMode="External" Id="rId553"/><Relationship Type="http://schemas.openxmlformats.org/officeDocument/2006/relationships/hyperlink" Target="https://www.100ppi.com/news/detail-20241008-3717902.html" TargetMode="External" Id="rId554"/><Relationship Type="http://schemas.openxmlformats.org/officeDocument/2006/relationships/hyperlink" Target="https://www.100ppi.com/news/detail-20241009-3721430.html" TargetMode="External" Id="rId555"/><Relationship Type="http://schemas.openxmlformats.org/officeDocument/2006/relationships/hyperlink" Target="https://www.100ppi.com/news/detail-20241010-3724942.html" TargetMode="External" Id="rId556"/><Relationship Type="http://schemas.openxmlformats.org/officeDocument/2006/relationships/hyperlink" Target="https://www.100ppi.com/news/detail-20241011-3728371.html" TargetMode="External" Id="rId557"/><Relationship Type="http://schemas.openxmlformats.org/officeDocument/2006/relationships/hyperlink" Target="https://www.100ppi.com/news/detail-20241014-3736393.html" TargetMode="External" Id="rId558"/><Relationship Type="http://schemas.openxmlformats.org/officeDocument/2006/relationships/hyperlink" Target="https://www.100ppi.com/news/detail-20241015-3739828.html" TargetMode="External" Id="rId559"/><Relationship Type="http://schemas.openxmlformats.org/officeDocument/2006/relationships/hyperlink" Target="https://www.100ppi.com/news/detail-20241016-3743207.html" TargetMode="External" Id="rId560"/><Relationship Type="http://schemas.openxmlformats.org/officeDocument/2006/relationships/hyperlink" Target="https://www.100ppi.com/news/detail-20241017-3746687.html" TargetMode="External" Id="rId561"/><Relationship Type="http://schemas.openxmlformats.org/officeDocument/2006/relationships/hyperlink" Target="https://www.100ppi.com/news/detail-20241018-3750135.html" TargetMode="External" Id="rId562"/><Relationship Type="http://schemas.openxmlformats.org/officeDocument/2006/relationships/hyperlink" Target="https://www.100ppi.com/news/detail-20241021-3756668.html" TargetMode="External" Id="rId563"/><Relationship Type="http://schemas.openxmlformats.org/officeDocument/2006/relationships/hyperlink" Target="https://www.100ppi.com/news/detail-20241022-3760583.html" TargetMode="External" Id="rId564"/><Relationship Type="http://schemas.openxmlformats.org/officeDocument/2006/relationships/hyperlink" Target="https://www.100ppi.com/news/detail-20241023-3764387.html" TargetMode="External" Id="rId565"/><Relationship Type="http://schemas.openxmlformats.org/officeDocument/2006/relationships/hyperlink" Target="https://www.100ppi.com/news/detail-20241024-3767830.html" TargetMode="External" Id="rId566"/><Relationship Type="http://schemas.openxmlformats.org/officeDocument/2006/relationships/hyperlink" Target="https://www.100ppi.com/news/detail-20241025-3771426.html" TargetMode="External" Id="rId567"/><Relationship Type="http://schemas.openxmlformats.org/officeDocument/2006/relationships/hyperlink" Target="https://www.100ppi.com/news/detail-20241028-3776538.html" TargetMode="External" Id="rId568"/><Relationship Type="http://schemas.openxmlformats.org/officeDocument/2006/relationships/hyperlink" Target="https://www.100ppi.com/news/detail-20241029-3780024.html" TargetMode="External" Id="rId569"/><Relationship Type="http://schemas.openxmlformats.org/officeDocument/2006/relationships/hyperlink" Target="https://www.100ppi.com/news/detail-20241030-3783560.html" TargetMode="External" Id="rId570"/><Relationship Type="http://schemas.openxmlformats.org/officeDocument/2006/relationships/hyperlink" Target="https://www.100ppi.com/news/detail-20241031-3787200.html" TargetMode="External" Id="rId571"/><Relationship Type="http://schemas.openxmlformats.org/officeDocument/2006/relationships/hyperlink" Target="https://www.100ppi.com/news/detail-20241101-3790639.html" TargetMode="External" Id="rId572"/><Relationship Type="http://schemas.openxmlformats.org/officeDocument/2006/relationships/hyperlink" Target="https://www.100ppi.com/news/detail-20241104-3798061.html" TargetMode="External" Id="rId573"/><Relationship Type="http://schemas.openxmlformats.org/officeDocument/2006/relationships/hyperlink" Target="https://www.100ppi.com/news/detail-20241105-3801627.html" TargetMode="External" Id="rId574"/><Relationship Type="http://schemas.openxmlformats.org/officeDocument/2006/relationships/hyperlink" Target="https://www.100ppi.com/news/detail-20241106-3805103.html" TargetMode="External" Id="rId575"/><Relationship Type="http://schemas.openxmlformats.org/officeDocument/2006/relationships/hyperlink" Target="https://www.100ppi.com/news/detail-20241107-3808569.html" TargetMode="External" Id="rId576"/><Relationship Type="http://schemas.openxmlformats.org/officeDocument/2006/relationships/hyperlink" Target="https://www.100ppi.com/news/detail-20241108-3811970.html" TargetMode="External" Id="rId577"/><Relationship Type="http://schemas.openxmlformats.org/officeDocument/2006/relationships/hyperlink" Target="https://www.100ppi.com/news/detail-20241111-3817999.html" TargetMode="External" Id="rId578"/><Relationship Type="http://schemas.openxmlformats.org/officeDocument/2006/relationships/hyperlink" Target="https://www.100ppi.com/news/detail-20241112-3821508.html" TargetMode="External" Id="rId579"/><Relationship Type="http://schemas.openxmlformats.org/officeDocument/2006/relationships/hyperlink" Target="https://www.100ppi.com/news/detail-20241113-3824989.html" TargetMode="External" Id="rId580"/><Relationship Type="http://schemas.openxmlformats.org/officeDocument/2006/relationships/hyperlink" Target="https://www.100ppi.com/news/detail-20241114-3828500.html" TargetMode="External" Id="rId581"/><Relationship Type="http://schemas.openxmlformats.org/officeDocument/2006/relationships/hyperlink" Target="https://www.100ppi.com/news/detail-20241115-3831590.html" TargetMode="External" Id="rId582"/><Relationship Type="http://schemas.openxmlformats.org/officeDocument/2006/relationships/hyperlink" Target="https://www.100ppi.com/news/detail-20241118-3839032.html" TargetMode="External" Id="rId583"/><Relationship Type="http://schemas.openxmlformats.org/officeDocument/2006/relationships/hyperlink" Target="https://www.100ppi.com/news/detail-20241119-3842695.html" TargetMode="External" Id="rId584"/><Relationship Type="http://schemas.openxmlformats.org/officeDocument/2006/relationships/hyperlink" Target="https://www.100ppi.com/news/detail-20241120-3846235.html" TargetMode="External" Id="rId585"/><Relationship Type="http://schemas.openxmlformats.org/officeDocument/2006/relationships/hyperlink" Target="https://www.100ppi.com/news/detail-20241121-3849746.html" TargetMode="External" Id="rId586"/><Relationship Type="http://schemas.openxmlformats.org/officeDocument/2006/relationships/hyperlink" Target="https://www.100ppi.com/news/detail-20241122-3853037.html" TargetMode="External" Id="rId587"/><Relationship Type="http://schemas.openxmlformats.org/officeDocument/2006/relationships/hyperlink" Target="https://www.100ppi.com/news/detail-20241125-3858717.html" TargetMode="External" Id="rId588"/><Relationship Type="http://schemas.openxmlformats.org/officeDocument/2006/relationships/hyperlink" Target="https://www.100ppi.com/news/detail-20241126-3862055.html" TargetMode="External" Id="rId589"/><Relationship Type="http://schemas.openxmlformats.org/officeDocument/2006/relationships/hyperlink" Target="https://www.100ppi.com/news/detail-20241127-3865608.html" TargetMode="External" Id="rId590"/><Relationship Type="http://schemas.openxmlformats.org/officeDocument/2006/relationships/hyperlink" Target="https://www.100ppi.com/news/detail-20241128-3868868.html" TargetMode="External" Id="rId591"/><Relationship Type="http://schemas.openxmlformats.org/officeDocument/2006/relationships/hyperlink" Target="https://www.100ppi.com/news/detail-20241129-3871930.html" TargetMode="External" Id="rId592"/><Relationship Type="http://schemas.openxmlformats.org/officeDocument/2006/relationships/hyperlink" Target="https://www.100ppi.com/news/detail-20241202-3877670.html" TargetMode="External" Id="rId593"/><Relationship Type="http://schemas.openxmlformats.org/officeDocument/2006/relationships/hyperlink" Target="https://www.100ppi.com/news/detail-20241203-3881362.html" TargetMode="External" Id="rId594"/><Relationship Type="http://schemas.openxmlformats.org/officeDocument/2006/relationships/hyperlink" Target="https://www.100ppi.com/news/detail-20241204-3884937.html" TargetMode="External" Id="rId595"/><Relationship Type="http://schemas.openxmlformats.org/officeDocument/2006/relationships/hyperlink" Target="https://www.100ppi.com/news/detail-20241205-3888659.html" TargetMode="External" Id="rId596"/><Relationship Type="http://schemas.openxmlformats.org/officeDocument/2006/relationships/hyperlink" Target="https://www.100ppi.com/news/detail-20241206-3892162.html" TargetMode="External" Id="rId597"/><Relationship Type="http://schemas.openxmlformats.org/officeDocument/2006/relationships/hyperlink" Target="https://www.100ppi.com/news/detail-20241209-3899093.html" TargetMode="External" Id="rId598"/><Relationship Type="http://schemas.openxmlformats.org/officeDocument/2006/relationships/hyperlink" Target="https://www.100ppi.com/news/detail-20241210-3902530.html" TargetMode="External" Id="rId599"/><Relationship Type="http://schemas.openxmlformats.org/officeDocument/2006/relationships/hyperlink" Target="https://www.100ppi.com/news/detail-20241211-3906116.html" TargetMode="External" Id="rId600"/><Relationship Type="http://schemas.openxmlformats.org/officeDocument/2006/relationships/hyperlink" Target="https://www.100ppi.com/news/detail-20241212-3909957.html" TargetMode="External" Id="rId601"/><Relationship Type="http://schemas.openxmlformats.org/officeDocument/2006/relationships/hyperlink" Target="https://www.100ppi.com/news/detail-20241213-3913730.html" TargetMode="External" Id="rId602"/><Relationship Type="http://schemas.openxmlformats.org/officeDocument/2006/relationships/hyperlink" Target="https://www.100ppi.com/news/detail-20241216-3919832.html" TargetMode="External" Id="rId603"/><Relationship Type="http://schemas.openxmlformats.org/officeDocument/2006/relationships/hyperlink" Target="https://www.100ppi.com/news/detail-20241217-3923743.html" TargetMode="External" Id="rId604"/><Relationship Type="http://schemas.openxmlformats.org/officeDocument/2006/relationships/hyperlink" Target="https://www.100ppi.com/news/detail-20241218-3927584.html" TargetMode="External" Id="rId605"/><Relationship Type="http://schemas.openxmlformats.org/officeDocument/2006/relationships/hyperlink" Target="https://www.100ppi.com/news/detail-20241219-3931422.html" TargetMode="External" Id="rId606"/><Relationship Type="http://schemas.openxmlformats.org/officeDocument/2006/relationships/hyperlink" Target="https://www.100ppi.com/news/detail-20241220-3934630.html" TargetMode="External" Id="rId607"/><Relationship Type="http://schemas.openxmlformats.org/officeDocument/2006/relationships/hyperlink" Target="https://www.100ppi.com/news/detail-20241223-3942121.html" TargetMode="External" Id="rId608"/><Relationship Type="http://schemas.openxmlformats.org/officeDocument/2006/relationships/hyperlink" Target="https://www.100ppi.com/news/detail-20241224-3946085.html" TargetMode="External" Id="rId609"/><Relationship Type="http://schemas.openxmlformats.org/officeDocument/2006/relationships/hyperlink" Target="https://www.100ppi.com/news/detail-20241225-3950029.html" TargetMode="External" Id="rId610"/><Relationship Type="http://schemas.openxmlformats.org/officeDocument/2006/relationships/hyperlink" Target="https://www.100ppi.com/news/detail-20241226-3953833.html" TargetMode="External" Id="rId611"/><Relationship Type="http://schemas.openxmlformats.org/officeDocument/2006/relationships/hyperlink" Target="https://www.100ppi.com/news/detail-20241227-3957616.html" TargetMode="External" Id="rId612"/><Relationship Type="http://schemas.openxmlformats.org/officeDocument/2006/relationships/hyperlink" Target="https://www.100ppi.com/news/detail-20241230-3965115.html" TargetMode="External" Id="rId613"/><Relationship Type="http://schemas.openxmlformats.org/officeDocument/2006/relationships/hyperlink" Target="https://www.100ppi.com/news/detail-20241231-3969560.html" TargetMode="External" Id="rId614"/><Relationship Type="http://schemas.openxmlformats.org/officeDocument/2006/relationships/hyperlink" Target="https://www.100ppi.com/news/detail-20250101-3973417.html" TargetMode="External" Id="rId615"/><Relationship Type="http://schemas.openxmlformats.org/officeDocument/2006/relationships/hyperlink" Target="https://www.100ppi.com/news/detail-20250102-3974238.html" TargetMode="External" Id="rId616"/><Relationship Type="http://schemas.openxmlformats.org/officeDocument/2006/relationships/hyperlink" Target="https://www.100ppi.com/news/detail-20250103-3978120.html" TargetMode="External" Id="rId617"/><Relationship Type="http://schemas.openxmlformats.org/officeDocument/2006/relationships/hyperlink" Target="https://www.100ppi.com/news/detail-20250106-3984571.html" TargetMode="External" Id="rId618"/><Relationship Type="http://schemas.openxmlformats.org/officeDocument/2006/relationships/hyperlink" Target="https://www.100ppi.com/news/detail-20250107-3988252.html" TargetMode="External" Id="rId619"/><Relationship Type="http://schemas.openxmlformats.org/officeDocument/2006/relationships/hyperlink" Target="https://www.100ppi.com/news/detail-20250108-3992155.html" TargetMode="External" Id="rId620"/><Relationship Type="http://schemas.openxmlformats.org/officeDocument/2006/relationships/hyperlink" Target="https://www.100ppi.com/news/detail-20250109-3996004.html" TargetMode="External" Id="rId621"/><Relationship Type="http://schemas.openxmlformats.org/officeDocument/2006/relationships/hyperlink" Target="https://www.100ppi.com/news/detail-20250110-3999817.html" TargetMode="External" Id="rId622"/><Relationship Type="http://schemas.openxmlformats.org/officeDocument/2006/relationships/hyperlink" Target="https://www.100ppi.com/news/detail-20250113-4005059.html" TargetMode="External" Id="rId623"/><Relationship Type="http://schemas.openxmlformats.org/officeDocument/2006/relationships/hyperlink" Target="https://www.100ppi.com/news/detail-20250114-4008744.html" TargetMode="External" Id="rId624"/><Relationship Type="http://schemas.openxmlformats.org/officeDocument/2006/relationships/hyperlink" Target="https://www.100ppi.com/news/detail-20250115-4011886.html" TargetMode="External" Id="rId625"/><Relationship Type="http://schemas.openxmlformats.org/officeDocument/2006/relationships/hyperlink" Target="https://www.100ppi.com/news/detail-20250116-4015030.html" TargetMode="External" Id="rId626"/><Relationship Type="http://schemas.openxmlformats.org/officeDocument/2006/relationships/hyperlink" Target="https://www.100ppi.com/news/detail-20250117-4017806.html" TargetMode="External" Id="rId627"/><Relationship Type="http://schemas.openxmlformats.org/officeDocument/2006/relationships/hyperlink" Target="https://www.100ppi.com/news/detail-20250120-4022106.html" TargetMode="External" Id="rId628"/><Relationship Type="http://schemas.openxmlformats.org/officeDocument/2006/relationships/hyperlink" Target="https://www.100ppi.com/news/detail-20250121-4024649.html" TargetMode="External" Id="rId629"/><Relationship Type="http://schemas.openxmlformats.org/officeDocument/2006/relationships/hyperlink" Target="https://www.100ppi.com/news/detail-20250122-4026718.html" TargetMode="External" Id="rId630"/><Relationship Type="http://schemas.openxmlformats.org/officeDocument/2006/relationships/hyperlink" Target="https://www.100ppi.com/news/detail-20250123-4029115.html" TargetMode="External" Id="rId631"/><Relationship Type="http://schemas.openxmlformats.org/officeDocument/2006/relationships/hyperlink" Target="https://www.100ppi.com/news/detail-20250124-4030455.html" TargetMode="External" Id="rId632"/><Relationship Type="http://schemas.openxmlformats.org/officeDocument/2006/relationships/hyperlink" Target="https://www.100ppi.com/news/detail-20250127-4032993.html" TargetMode="External" Id="rId633"/><Relationship Type="http://schemas.openxmlformats.org/officeDocument/2006/relationships/hyperlink" Target="https://www.100ppi.com/news/detail-20250128-4033490.html" TargetMode="External" Id="rId634"/><Relationship Type="http://schemas.openxmlformats.org/officeDocument/2006/relationships/hyperlink" Target="https://www.100ppi.com/news/detail-20250129-4034008.html" TargetMode="External" Id="rId635"/><Relationship Type="http://schemas.openxmlformats.org/officeDocument/2006/relationships/hyperlink" Target="https://www.100ppi.com/news/detail-20250130-4034482.html" TargetMode="External" Id="rId636"/><Relationship Type="http://schemas.openxmlformats.org/officeDocument/2006/relationships/hyperlink" Target="https://www.100ppi.com/news/detail-20250131-4035094.html" TargetMode="External" Id="rId637"/><Relationship Type="http://schemas.openxmlformats.org/officeDocument/2006/relationships/hyperlink" Target="https://www.100ppi.com/news/detail-20250203-4038163.html" TargetMode="External" Id="rId638"/><Relationship Type="http://schemas.openxmlformats.org/officeDocument/2006/relationships/hyperlink" Target="https://www.100ppi.com/news/detail-20250204-4039892.html" TargetMode="External" Id="rId639"/><Relationship Type="http://schemas.openxmlformats.org/officeDocument/2006/relationships/hyperlink" Target="https://www.100ppi.com/news/detail-20250205-4041287.html" TargetMode="External" Id="rId640"/><Relationship Type="http://schemas.openxmlformats.org/officeDocument/2006/relationships/hyperlink" Target="https://www.100ppi.com/news/detail-20250206-4045042.html" TargetMode="External" Id="rId641"/><Relationship Type="http://schemas.openxmlformats.org/officeDocument/2006/relationships/hyperlink" Target="https://www.100ppi.com/news/detail-20250207-4048934.html" TargetMode="External" Id="rId642"/><Relationship Type="http://schemas.openxmlformats.org/officeDocument/2006/relationships/hyperlink" Target="https://www.100ppi.com/news/detail-20250210-4056932.html" TargetMode="External" Id="rId643"/><Relationship Type="http://schemas.openxmlformats.org/officeDocument/2006/relationships/hyperlink" Target="https://www.100ppi.com/news/detail-20250211-4060942.html" TargetMode="External" Id="rId644"/><Relationship Type="http://schemas.openxmlformats.org/officeDocument/2006/relationships/hyperlink" Target="https://www.100ppi.com/news/detail-20250212-4064656.html" TargetMode="External" Id="rId645"/><Relationship Type="http://schemas.openxmlformats.org/officeDocument/2006/relationships/hyperlink" Target="https://www.100ppi.com/news/detail-20250213-4068765.html" TargetMode="External" Id="rId646"/><Relationship Type="http://schemas.openxmlformats.org/officeDocument/2006/relationships/hyperlink" Target="https://www.100ppi.com/news/detail-20250214-4072329.html" TargetMode="External" Id="rId647"/><Relationship Type="http://schemas.openxmlformats.org/officeDocument/2006/relationships/hyperlink" Target="https://www.100ppi.com/news/detail-20250217-4078531.html" TargetMode="External" Id="rId648"/><Relationship Type="http://schemas.openxmlformats.org/officeDocument/2006/relationships/hyperlink" Target="https://www.100ppi.com/news/detail-20250218-4082624.html" TargetMode="External" Id="rId649"/><Relationship Type="http://schemas.openxmlformats.org/officeDocument/2006/relationships/hyperlink" Target="https://www.100ppi.com/news/detail-20250219-4086628.html" TargetMode="External" Id="rId650"/><Relationship Type="http://schemas.openxmlformats.org/officeDocument/2006/relationships/hyperlink" Target="https://www.100ppi.com/news/detail-20250220-4090308.html" TargetMode="External" Id="rId651"/><Relationship Type="http://schemas.openxmlformats.org/officeDocument/2006/relationships/hyperlink" Target="https://www.100ppi.com/news/detail-20250221-4093968.html" TargetMode="External" Id="rId652"/><Relationship Type="http://schemas.openxmlformats.org/officeDocument/2006/relationships/hyperlink" Target="https://www.100ppi.com/news/detail-20250224-4100609.html" TargetMode="External" Id="rId653"/><Relationship Type="http://schemas.openxmlformats.org/officeDocument/2006/relationships/hyperlink" Target="https://www.100ppi.com/news/detail-20250225-4104616.html" TargetMode="External" Id="rId654"/><Relationship Type="http://schemas.openxmlformats.org/officeDocument/2006/relationships/hyperlink" Target="https://www.100ppi.com/news/detail-20250226-4108393.html" TargetMode="External" Id="rId655"/><Relationship Type="http://schemas.openxmlformats.org/officeDocument/2006/relationships/hyperlink" Target="https://www.100ppi.com/news/detail-20250227-4112070.html" TargetMode="External" Id="rId656"/><Relationship Type="http://schemas.openxmlformats.org/officeDocument/2006/relationships/hyperlink" Target="https://www.100ppi.com/news/detail-20250228-4115624.html" TargetMode="External" Id="rId657"/><Relationship Type="http://schemas.openxmlformats.org/officeDocument/2006/relationships/hyperlink" Target="https://www.100ppi.com/news/detail-20250303-4121673.html" TargetMode="External" Id="rId658"/><Relationship Type="http://schemas.openxmlformats.org/officeDocument/2006/relationships/hyperlink" Target="https://www.100ppi.com/news/detail-20250304-4125234.html" TargetMode="External" Id="rId659"/><Relationship Type="http://schemas.openxmlformats.org/officeDocument/2006/relationships/hyperlink" Target="https://www.100ppi.com/news/detail-20250305-4129462.html" TargetMode="External" Id="rId660"/><Relationship Type="http://schemas.openxmlformats.org/officeDocument/2006/relationships/hyperlink" Target="https://www.100ppi.com/news/detail-20250306-4133430.html" TargetMode="External" Id="rId661"/><Relationship Type="http://schemas.openxmlformats.org/officeDocument/2006/relationships/hyperlink" Target="https://www.100ppi.com/news/detail-20250307-4136617.html" TargetMode="External" Id="rId662"/><Relationship Type="http://schemas.openxmlformats.org/officeDocument/2006/relationships/hyperlink" Target="https://www.100ppi.com/news/detail-20250310-4142849.html" TargetMode="External" Id="rId663"/><Relationship Type="http://schemas.openxmlformats.org/officeDocument/2006/relationships/hyperlink" Target="https://www.100ppi.com/news/detail-20250311-4147199.html" TargetMode="External" Id="rId664"/><Relationship Type="http://schemas.openxmlformats.org/officeDocument/2006/relationships/hyperlink" Target="https://www.100ppi.com/news/detail-20250312-4151165.html" TargetMode="External" Id="rId665"/><Relationship Type="http://schemas.openxmlformats.org/officeDocument/2006/relationships/hyperlink" Target="https://www.100ppi.com/news/detail-20250313-4154722.html" TargetMode="External" Id="rId666"/><Relationship Type="http://schemas.openxmlformats.org/officeDocument/2006/relationships/hyperlink" Target="https://www.100ppi.com/news/detail-20250314-4158605.html" TargetMode="External" Id="rId667"/><Relationship Type="http://schemas.openxmlformats.org/officeDocument/2006/relationships/hyperlink" Target="https://www.100ppi.com/news/detail-20250317-4164414.html" TargetMode="External" Id="rId668"/><Relationship Type="http://schemas.openxmlformats.org/officeDocument/2006/relationships/hyperlink" Target="https://www.100ppi.com/news/detail-20250318-4168544.html" TargetMode="External" Id="rId669"/><Relationship Type="http://schemas.openxmlformats.org/officeDocument/2006/relationships/hyperlink" Target="https://www.100ppi.com/news/detail-20250319-4172314.html" TargetMode="External" Id="rId670"/><Relationship Type="http://schemas.openxmlformats.org/officeDocument/2006/relationships/hyperlink" Target="https://www.100ppi.com/news/detail-20250320-4176306.html" TargetMode="External" Id="rId671"/><Relationship Type="http://schemas.openxmlformats.org/officeDocument/2006/relationships/hyperlink" Target="https://www.100ppi.com/news/detail-20250321-4180000.html" TargetMode="External" Id="rId672"/><Relationship Type="http://schemas.openxmlformats.org/officeDocument/2006/relationships/hyperlink" Target="https://www.100ppi.com/news/detail-20250324-4186734.html" TargetMode="External" Id="rId673"/><Relationship Type="http://schemas.openxmlformats.org/officeDocument/2006/relationships/hyperlink" Target="https://www.100ppi.com/news/detail-20250325-4190682.html" TargetMode="External" Id="rId674"/><Relationship Type="http://schemas.openxmlformats.org/officeDocument/2006/relationships/hyperlink" Target="https://www.100ppi.com/news/detail-20250326-4194524.html" TargetMode="External" Id="rId675"/><Relationship Type="http://schemas.openxmlformats.org/officeDocument/2006/relationships/hyperlink" Target="https://www.100ppi.com/news/detail-20250327-4197606.html" TargetMode="External" Id="rId676"/><Relationship Type="http://schemas.openxmlformats.org/officeDocument/2006/relationships/hyperlink" Target="https://www.100ppi.com/news/detail-20250328-4201388.html" TargetMode="External" Id="rId677"/><Relationship Type="http://schemas.openxmlformats.org/officeDocument/2006/relationships/hyperlink" Target="https://www.100ppi.com/news/detail-20250331-4207844.html" TargetMode="External" Id="rId678"/><Relationship Type="http://schemas.openxmlformats.org/officeDocument/2006/relationships/hyperlink" Target="https://www.100ppi.com/news/detail-20250401-4211282.html" TargetMode="External" Id="rId679"/><Relationship Type="http://schemas.openxmlformats.org/officeDocument/2006/relationships/hyperlink" Target="https://www.100ppi.com/news/detail-20250402-4215468.html" TargetMode="External" Id="rId680"/><Relationship Type="http://schemas.openxmlformats.org/officeDocument/2006/relationships/hyperlink" Target="https://www.100ppi.com/news/detail-20250403-4219528.html" TargetMode="External" Id="rId681"/><Relationship Type="http://schemas.openxmlformats.org/officeDocument/2006/relationships/hyperlink" Target="https://www.100ppi.com/news/detail-20250404-4222904.html" TargetMode="External" Id="rId682"/><Relationship Type="http://schemas.openxmlformats.org/officeDocument/2006/relationships/hyperlink" Target="https://www.100ppi.com/news/detail-20250407-4225578.html" TargetMode="External" Id="rId683"/><Relationship Type="http://schemas.openxmlformats.org/officeDocument/2006/relationships/hyperlink" Target="https://www.100ppi.com/news/detail-20250409-4233472.html" TargetMode="External" Id="rId684"/><Relationship Type="http://schemas.openxmlformats.org/officeDocument/2006/relationships/hyperlink" Target="https://www.100ppi.com/news/detail-20250410-4237797.html" TargetMode="External" Id="rId685"/><Relationship Type="http://schemas.openxmlformats.org/officeDocument/2006/relationships/hyperlink" Target="https://www.100ppi.com/news/detail-20250411-4241529.html" TargetMode="External" Id="rId686"/><Relationship Type="http://schemas.openxmlformats.org/officeDocument/2006/relationships/hyperlink" Target="https://www.100ppi.com/news/detail-20250414-4247601.html" TargetMode="External" Id="rId687"/><Relationship Type="http://schemas.openxmlformats.org/officeDocument/2006/relationships/hyperlink" Target="https://www.100ppi.com/news/detail-20250415-4251397.html" TargetMode="External" Id="rId688"/><Relationship Type="http://schemas.openxmlformats.org/officeDocument/2006/relationships/hyperlink" Target="https://www.100ppi.com/news/detail-20250416-4255301.html" TargetMode="External" Id="rId689"/><Relationship Type="http://schemas.openxmlformats.org/officeDocument/2006/relationships/hyperlink" Target="https://www.100ppi.com/news/detail-20250417-4258127.html" TargetMode="External" Id="rId690"/><Relationship Type="http://schemas.openxmlformats.org/officeDocument/2006/relationships/hyperlink" Target="https://www.100ppi.com/news/detail-20250418-4262914.html" TargetMode="External" Id="rId691"/><Relationship Type="http://schemas.openxmlformats.org/officeDocument/2006/relationships/hyperlink" Target="https://www.100ppi.com/news/detail-20250421-4270868.html" TargetMode="External" Id="rId692"/><Relationship Type="http://schemas.openxmlformats.org/officeDocument/2006/relationships/hyperlink" Target="https://www.100ppi.com/news/detail-20250422-4274948.html" TargetMode="External" Id="rId693"/><Relationship Type="http://schemas.openxmlformats.org/officeDocument/2006/relationships/hyperlink" Target="https://www.100ppi.com/news/detail-20250423-4279155.html" TargetMode="External" Id="rId694"/><Relationship Type="http://schemas.openxmlformats.org/officeDocument/2006/relationships/hyperlink" Target="https://www.100ppi.com/news/detail-20250424-4283381.html" TargetMode="External" Id="rId695"/><Relationship Type="http://schemas.openxmlformats.org/officeDocument/2006/relationships/hyperlink" Target="https://www.100ppi.com/news/detail-20250425-4287258.html" TargetMode="External" Id="rId696"/><Relationship Type="http://schemas.openxmlformats.org/officeDocument/2006/relationships/hyperlink" Target="https://www.100ppi.com/news/detail-20250428-4297012.html" TargetMode="External" Id="rId697"/><Relationship Type="http://schemas.openxmlformats.org/officeDocument/2006/relationships/hyperlink" Target="https://www.100ppi.com/news/detail-20250429-4301189.html" TargetMode="External" Id="rId698"/><Relationship Type="http://schemas.openxmlformats.org/officeDocument/2006/relationships/hyperlink" Target="https://www.100ppi.com/news/detail-20250430-4305047.html" TargetMode="External" Id="rId699"/><Relationship Type="http://schemas.openxmlformats.org/officeDocument/2006/relationships/hyperlink" Target="https://www.100ppi.com/news/detail-20250501-4308744.html" TargetMode="External" Id="rId700"/><Relationship Type="http://schemas.openxmlformats.org/officeDocument/2006/relationships/hyperlink" Target="https://www.100ppi.com/news/detail-20250502-4310185.html" TargetMode="External" Id="rId701"/><Relationship Type="http://schemas.openxmlformats.org/officeDocument/2006/relationships/hyperlink" Target="https://www.100ppi.com/news/detail-20250505-4313596.html" TargetMode="External" Id="rId702"/><Relationship Type="http://schemas.openxmlformats.org/officeDocument/2006/relationships/hyperlink" Target="https://www.100ppi.com/news/detail-20250506-4316185.html" TargetMode="External" Id="rId703"/><Relationship Type="http://schemas.openxmlformats.org/officeDocument/2006/relationships/hyperlink" Target="https://www.100ppi.com/news/detail-20250507-4320553.html" TargetMode="External" Id="rId704"/><Relationship Type="http://schemas.openxmlformats.org/officeDocument/2006/relationships/hyperlink" Target="https://www.100ppi.com/news/detail-20250508-4325081.html" TargetMode="External" Id="rId705"/><Relationship Type="http://schemas.openxmlformats.org/officeDocument/2006/relationships/hyperlink" Target="https://www.100ppi.com/news/detail-20250509-4328860.html" TargetMode="External" Id="rId706"/><Relationship Type="http://schemas.openxmlformats.org/officeDocument/2006/relationships/hyperlink" Target="https://www.100ppi.com/news/detail-20250512-4335385.html" TargetMode="External" Id="rId707"/><Relationship Type="http://schemas.openxmlformats.org/officeDocument/2006/relationships/hyperlink" Target="https://www.100ppi.com/news/detail-20250513-4339817.html" TargetMode="External" Id="rId708"/><Relationship Type="http://schemas.openxmlformats.org/officeDocument/2006/relationships/hyperlink" Target="https://www.100ppi.com/news/detail-20250514-4344109.html" TargetMode="External" Id="rId709"/><Relationship Type="http://schemas.openxmlformats.org/officeDocument/2006/relationships/hyperlink" Target="https://www.100ppi.com/news/detail-20250515-4348966.html" TargetMode="External" Id="rId710"/><Relationship Type="http://schemas.openxmlformats.org/officeDocument/2006/relationships/hyperlink" Target="https://www.100ppi.com/news/detail-20250516-4353305.html" TargetMode="External" Id="rId711"/><Relationship Type="http://schemas.openxmlformats.org/officeDocument/2006/relationships/hyperlink" Target="https://www.100ppi.com/news/detail-20250519-4359545.html" TargetMode="External" Id="rId712"/><Relationship Type="http://schemas.openxmlformats.org/officeDocument/2006/relationships/hyperlink" Target="https://www.100ppi.com/news/detail-20250520-4363653.html" TargetMode="External" Id="rId713"/><Relationship Type="http://schemas.openxmlformats.org/officeDocument/2006/relationships/hyperlink" Target="https://www.100ppi.com/news/detail-20250521-4367970.html" TargetMode="External" Id="rId714"/><Relationship Type="http://schemas.openxmlformats.org/officeDocument/2006/relationships/hyperlink" Target="https://www.100ppi.com/news/detail-20250522-4371938.html" TargetMode="External" Id="rId715"/><Relationship Type="http://schemas.openxmlformats.org/officeDocument/2006/relationships/hyperlink" Target="https://www.100ppi.com/news/detail-20250523-4376034.html" TargetMode="External" Id="rId716"/><Relationship Type="http://schemas.openxmlformats.org/officeDocument/2006/relationships/hyperlink" Target="https://www.100ppi.com/news/detail-20250526-4382223.html" TargetMode="External" Id="rId717"/><Relationship Type="http://schemas.openxmlformats.org/officeDocument/2006/relationships/hyperlink" Target="https://www.100ppi.com/news/detail-20250528-4389982.html" TargetMode="External" Id="rId718"/><Relationship Type="http://schemas.openxmlformats.org/officeDocument/2006/relationships/hyperlink" Target="https://www.100ppi.com/news/detail-20250529-4393989.html" TargetMode="External" Id="rId719"/><Relationship Type="http://schemas.openxmlformats.org/officeDocument/2006/relationships/hyperlink" Target="https://www.100ppi.com/news/detail-20250530-4398311.html" TargetMode="External" Id="rId720"/><Relationship Type="http://schemas.openxmlformats.org/officeDocument/2006/relationships/hyperlink" Target="https://www.100ppi.com/news/detail-20250602-4405006.html" TargetMode="External" Id="rId721"/><Relationship Type="http://schemas.openxmlformats.org/officeDocument/2006/relationships/hyperlink" Target="https://www.100ppi.com/news/detail-20250603-4406642.html" TargetMode="External" Id="rId722"/><Relationship Type="http://schemas.openxmlformats.org/officeDocument/2006/relationships/hyperlink" Target="https://www.100ppi.com/news/detail-20250604-4411194.html" TargetMode="External" Id="rId723"/><Relationship Type="http://schemas.openxmlformats.org/officeDocument/2006/relationships/hyperlink" Target="https://www.100ppi.com/news/detail-20250605-4415445.html" TargetMode="External" Id="rId724"/><Relationship Type="http://schemas.openxmlformats.org/officeDocument/2006/relationships/hyperlink" Target="https://www.100ppi.com/news/detail-20250606-4419559.html" TargetMode="External" Id="rId725"/><Relationship Type="http://schemas.openxmlformats.org/officeDocument/2006/relationships/hyperlink" Target="https://www.100ppi.com/news/detail-20250609-4426721.html" TargetMode="External" Id="rId726"/><Relationship Type="http://schemas.openxmlformats.org/officeDocument/2006/relationships/hyperlink" Target="https://www.100ppi.com/news/detail-20250610-4431107.html" TargetMode="External" Id="rId727"/><Relationship Type="http://schemas.openxmlformats.org/officeDocument/2006/relationships/hyperlink" Target="https://www.100ppi.com/news/detail-20250611-4435441.html" TargetMode="External" Id="rId728"/><Relationship Type="http://schemas.openxmlformats.org/officeDocument/2006/relationships/hyperlink" Target="https://www.100ppi.com/news/detail-20250612-4439746.html" TargetMode="External" Id="rId729"/><Relationship Type="http://schemas.openxmlformats.org/officeDocument/2006/relationships/hyperlink" Target="https://www.100ppi.com/news/detail-20250613-4443620.html" TargetMode="External" Id="rId730"/><Relationship Type="http://schemas.openxmlformats.org/officeDocument/2006/relationships/hyperlink" Target="https://www.100ppi.com/news/detail-20250616-4451240.html" TargetMode="External" Id="rId731"/><Relationship Type="http://schemas.openxmlformats.org/officeDocument/2006/relationships/hyperlink" Target="https://www.100ppi.com/news/detail-20250617-4456234.html" TargetMode="External" Id="rId732"/><Relationship Type="http://schemas.openxmlformats.org/officeDocument/2006/relationships/hyperlink" Target="https://www.100ppi.com/news/detail-20250618-4460350.html" TargetMode="External" Id="rId733"/><Relationship Type="http://schemas.openxmlformats.org/officeDocument/2006/relationships/hyperlink" Target="https://www.100ppi.com/news/detail-20250619-4464347.html" TargetMode="External" Id="rId734"/><Relationship Type="http://schemas.openxmlformats.org/officeDocument/2006/relationships/hyperlink" Target="https://www.100ppi.com/news/detail-20250620-4468753.html" TargetMode="External" Id="rId735"/><Relationship Type="http://schemas.openxmlformats.org/officeDocument/2006/relationships/hyperlink" Target="https://www.100ppi.com/news/detail-20250623-4476241.html" TargetMode="External" Id="rId736"/><Relationship Type="http://schemas.openxmlformats.org/officeDocument/2006/relationships/hyperlink" Target="https://www.100ppi.com/news/detail-20250624-4480710.html" TargetMode="External" Id="rId737"/><Relationship Type="http://schemas.openxmlformats.org/officeDocument/2006/relationships/hyperlink" Target="https://www.100ppi.com/news/detail-20250625-4484788.html" TargetMode="External" Id="rId738"/><Relationship Type="http://schemas.openxmlformats.org/officeDocument/2006/relationships/hyperlink" Target="https://www.100ppi.com/news/detail-20250626-4489713.html" TargetMode="External" Id="rId739"/><Relationship Type="http://schemas.openxmlformats.org/officeDocument/2006/relationships/hyperlink" Target="https://www.100ppi.com/news/detail-20250627-4493680.html" TargetMode="External" Id="rId740"/><Relationship Type="http://schemas.openxmlformats.org/officeDocument/2006/relationships/hyperlink" Target="https://www.100ppi.com/news/detail-20250630-4500394.html" TargetMode="External" Id="rId741"/><Relationship Type="http://schemas.openxmlformats.org/officeDocument/2006/relationships/hyperlink" Target="https://www.100ppi.com/news/detail-20250701-4504504.html" TargetMode="External" Id="rId742"/><Relationship Type="http://schemas.openxmlformats.org/officeDocument/2006/relationships/hyperlink" Target="https://www.100ppi.com/news/detail-20250702-4508871.html" TargetMode="External" Id="rId743"/><Relationship Type="http://schemas.openxmlformats.org/officeDocument/2006/relationships/hyperlink" Target="https://www.100ppi.com/news/detail-20250703-4513302.html" TargetMode="External" Id="rId744"/><Relationship Type="http://schemas.openxmlformats.org/officeDocument/2006/relationships/hyperlink" Target="https://www.100ppi.com/news/detail-20250704-4518318.html" TargetMode="External" Id="rId745"/><Relationship Type="http://schemas.openxmlformats.org/officeDocument/2006/relationships/hyperlink" Target="https://www.100ppi.com/news/detail-20250707-4525447.html" TargetMode="External" Id="rId746"/><Relationship Type="http://schemas.openxmlformats.org/officeDocument/2006/relationships/hyperlink" Target="https://www.100ppi.com/news/detail-20250708-4529727.html" TargetMode="External" Id="rId747"/><Relationship Type="http://schemas.openxmlformats.org/officeDocument/2006/relationships/hyperlink" Target="https://www.100ppi.com/news/detail-20250709-4533694.html" TargetMode="External" Id="rId748"/><Relationship Type="http://schemas.openxmlformats.org/officeDocument/2006/relationships/hyperlink" Target="https://www.100ppi.com/news/detail-20250710-4538046.html" TargetMode="External" Id="rId749"/><Relationship Type="http://schemas.openxmlformats.org/officeDocument/2006/relationships/hyperlink" Target="https://www.100ppi.com/news/detail-20250711-4542128.html" TargetMode="External" Id="rId750"/><Relationship Type="http://schemas.openxmlformats.org/officeDocument/2006/relationships/hyperlink" Target="https://www.100ppi.com/news/detail-20250714-4549564.html" TargetMode="External" Id="rId751"/><Relationship Type="http://schemas.openxmlformats.org/officeDocument/2006/relationships/hyperlink" Target="https://www.100ppi.com/news/detail-20250715-4554591.html" TargetMode="External" Id="rId752"/><Relationship Type="http://schemas.openxmlformats.org/officeDocument/2006/relationships/hyperlink" Target="https://www.100ppi.com/news/detail-20250716-4559073.html" TargetMode="External" Id="rId753"/><Relationship Type="http://schemas.openxmlformats.org/officeDocument/2006/relationships/hyperlink" Target="https://www.100ppi.com/news/detail-20250717-4563742.html" TargetMode="External" Id="rId754"/><Relationship Type="http://schemas.openxmlformats.org/officeDocument/2006/relationships/hyperlink" Target="https://www.100ppi.com/news/detail-20250718-4568044.html" TargetMode="External" Id="rId755"/><Relationship Type="http://schemas.openxmlformats.org/officeDocument/2006/relationships/hyperlink" Target="https://www.100ppi.com/news/detail-20250721-4575286.html" TargetMode="External" Id="rId756"/><Relationship Type="http://schemas.openxmlformats.org/officeDocument/2006/relationships/hyperlink" Target="https://www.100ppi.com/news/detail-20250722-4579772.html" TargetMode="External" Id="rId757"/><Relationship Type="http://schemas.openxmlformats.org/officeDocument/2006/relationships/hyperlink" Target="https://www.100ppi.com/news/detail-20250723-4584215.html" TargetMode="External" Id="rId758"/><Relationship Type="http://schemas.openxmlformats.org/officeDocument/2006/relationships/hyperlink" Target="https://www.100ppi.com/news/detail-20250724-4588602.html" TargetMode="External" Id="rId759"/><Relationship Type="http://schemas.openxmlformats.org/officeDocument/2006/relationships/hyperlink" Target="https://www.100ppi.com/news/detail-20250725-4593026.html" TargetMode="External" Id="rId760"/><Relationship Type="http://schemas.openxmlformats.org/officeDocument/2006/relationships/hyperlink" Target="https://www.100ppi.com/news/detail-20250728-4600600.html" TargetMode="External" Id="rId761"/><Relationship Type="http://schemas.openxmlformats.org/officeDocument/2006/relationships/hyperlink" Target="https://www.100ppi.com/news/detail-20250729-4605019.html" TargetMode="External" Id="rId762"/><Relationship Type="http://schemas.openxmlformats.org/officeDocument/2006/relationships/hyperlink" Target="https://www.100ppi.com/news/detail-20250730-4609472.html" TargetMode="External" Id="rId763"/><Relationship Type="http://schemas.openxmlformats.org/officeDocument/2006/relationships/hyperlink" Target="https://www.100ppi.com/news/detail-20250731-4613829.html" TargetMode="External" Id="rId764"/><Relationship Type="http://schemas.openxmlformats.org/officeDocument/2006/relationships/hyperlink" Target="https://www.100ppi.com/news/detail-20250801-4618203.html" TargetMode="External" Id="rId765"/><Relationship Type="http://schemas.openxmlformats.org/officeDocument/2006/relationships/hyperlink" Target="https://www.100ppi.com/news/detail-20250804-4624492.html" TargetMode="External" Id="rId766"/><Relationship Type="http://schemas.openxmlformats.org/officeDocument/2006/relationships/hyperlink" Target="https://www.100ppi.com/news/detail-20250805-4628595.html" TargetMode="External" Id="rId767"/><Relationship Type="http://schemas.openxmlformats.org/officeDocument/2006/relationships/hyperlink" Target="https://www.100ppi.com/news/detail-20250806-4632690.html" TargetMode="External" Id="rId768"/><Relationship Type="http://schemas.openxmlformats.org/officeDocument/2006/relationships/hyperlink" Target="https://www.100ppi.com/news/detail-20250807-4636700.html" TargetMode="External" Id="rId769"/><Relationship Type="http://schemas.openxmlformats.org/officeDocument/2006/relationships/hyperlink" Target="https://www.100ppi.com/news/detail-20250808-4640804.html" TargetMode="External" Id="rId770"/><Relationship Type="http://schemas.openxmlformats.org/officeDocument/2006/relationships/hyperlink" Target="https://www.100ppi.com/news/detail-20250811-4648249.html" TargetMode="External" Id="rId771"/><Relationship Type="http://schemas.openxmlformats.org/officeDocument/2006/relationships/hyperlink" Target="https://www.100ppi.com/news/detail-20250812-4651952.html" TargetMode="External" Id="rId772"/><Relationship Type="http://schemas.openxmlformats.org/officeDocument/2006/relationships/hyperlink" Target="https://www.100ppi.com/news/detail-20250813-4655808.html" TargetMode="External" Id="rId773"/><Relationship Type="http://schemas.openxmlformats.org/officeDocument/2006/relationships/hyperlink" Target="https://www.100ppi.com/news/detail-20250814-4659924.html" TargetMode="External" Id="rId774"/><Relationship Type="http://schemas.openxmlformats.org/officeDocument/2006/relationships/hyperlink" Target="https://www.100ppi.com/news/detail-20250815-4664137.html" TargetMode="External" Id="rId775"/><Relationship Type="http://schemas.openxmlformats.org/officeDocument/2006/relationships/hyperlink" Target="https://www.100ppi.com/news/detail-20250818-4670754.html" TargetMode="External" Id="rId776"/><Relationship Type="http://schemas.openxmlformats.org/officeDocument/2006/relationships/hyperlink" Target="https://www.100ppi.com/news/detail-20250819-4674898.html" TargetMode="External" Id="rId777"/><Relationship Type="http://schemas.openxmlformats.org/officeDocument/2006/relationships/hyperlink" Target="https://www.100ppi.com/news/detail-20250820-4679194.html" TargetMode="External" Id="rId778"/><Relationship Type="http://schemas.openxmlformats.org/officeDocument/2006/relationships/hyperlink" Target="https://www.100ppi.com/news/detail-20250821-4683371.html" TargetMode="External" Id="rId779"/><Relationship Type="http://schemas.openxmlformats.org/officeDocument/2006/relationships/hyperlink" Target="https://www.100ppi.com/news/detail-20250822-4687567.html" TargetMode="External" Id="rId780"/><Relationship Type="http://schemas.openxmlformats.org/officeDocument/2006/relationships/hyperlink" Target="https://www.100ppi.com/news/detail-20250825-4694341.html" TargetMode="External" Id="rId781"/><Relationship Type="http://schemas.openxmlformats.org/officeDocument/2006/relationships/hyperlink" Target="https://www.100ppi.com/news/detail-20250826-4698587.html" TargetMode="External" Id="rId782"/><Relationship Type="http://schemas.openxmlformats.org/officeDocument/2006/relationships/hyperlink" Target="https://www.100ppi.com/news/detail-20250827-4702818.html" TargetMode="External" Id="rId783"/><Relationship Type="http://schemas.openxmlformats.org/officeDocument/2006/relationships/hyperlink" Target="https://www.100ppi.com/news/detail-20250828-4707042.html" TargetMode="External" Id="rId784"/><Relationship Type="http://schemas.openxmlformats.org/officeDocument/2006/relationships/hyperlink" Target="https://www.100ppi.com/news/detail-20250829-4710612.html" TargetMode="External" Id="rId785"/><Relationship Type="http://schemas.openxmlformats.org/officeDocument/2006/relationships/hyperlink" Target="https://www.100ppi.com/news/detail-20250901-4718387.html" TargetMode="External" Id="rId786"/><Relationship Type="http://schemas.openxmlformats.org/officeDocument/2006/relationships/hyperlink" Target="https://www.100ppi.com/news/detail-20250902-4723274.html" TargetMode="External" Id="rId787"/><Relationship Type="http://schemas.openxmlformats.org/officeDocument/2006/relationships/hyperlink" Target="https://www.100ppi.com/news/detail-20250903-4727543.html" TargetMode="External" Id="rId788"/><Relationship Type="http://schemas.openxmlformats.org/officeDocument/2006/relationships/hyperlink" Target="https://www.100ppi.com/news/detail-20250904-4731668.html" TargetMode="External" Id="rId789"/><Relationship Type="http://schemas.openxmlformats.org/officeDocument/2006/relationships/hyperlink" Target="https://www.100ppi.com/news/detail-20250905-4735611.html" TargetMode="External" Id="rId790"/><Relationship Type="http://schemas.openxmlformats.org/officeDocument/2006/relationships/hyperlink" Target="https://www.100ppi.com/news/detail-20250908-4742630.html" TargetMode="External" Id="rId791"/><Relationship Type="http://schemas.openxmlformats.org/officeDocument/2006/relationships/hyperlink" Target="https://www.100ppi.com/news/detail-20250909-4746667.html" TargetMode="External" Id="rId792"/><Relationship Type="http://schemas.openxmlformats.org/officeDocument/2006/relationships/hyperlink" Target="https://www.100ppi.com/news/detail-20250910-4751479.html" TargetMode="External" Id="rId793"/><Relationship Type="http://schemas.openxmlformats.org/officeDocument/2006/relationships/hyperlink" Target="https://www.100ppi.com/news/detail-20250911-4755599.html" TargetMode="External" Id="rId794"/><Relationship Type="http://schemas.openxmlformats.org/officeDocument/2006/relationships/hyperlink" Target="https://www.100ppi.com/news/detail-20250912-4759801.html" TargetMode="External" Id="rId795"/><Relationship Type="http://schemas.openxmlformats.org/officeDocument/2006/relationships/hyperlink" Target="https://www.100ppi.com/news/detail-20250915-4765755.html" TargetMode="External" Id="rId796"/><Relationship Type="http://schemas.openxmlformats.org/officeDocument/2006/relationships/hyperlink" Target="https://www.100ppi.com/news/detail-20250916-4770039.html" TargetMode="External" Id="rId797"/><Relationship Type="http://schemas.openxmlformats.org/officeDocument/2006/relationships/hyperlink" Target="https://www.100ppi.com/news/detail-20250917-4774323.html" TargetMode="External" Id="rId798"/><Relationship Type="http://schemas.openxmlformats.org/officeDocument/2006/relationships/hyperlink" Target="https://www.100ppi.com/news/detail-20250918-4778461.html" TargetMode="External" Id="rId799"/><Relationship Type="http://schemas.openxmlformats.org/officeDocument/2006/relationships/hyperlink" Target="https://www.100ppi.com/news/detail-20250919-4782721.html" TargetMode="External" Id="rId800"/><Relationship Type="http://schemas.openxmlformats.org/officeDocument/2006/relationships/hyperlink" Target="https://www.100ppi.com/news/detail-20250922-4789317.html" TargetMode="External" Id="rId801"/><Relationship Type="http://schemas.openxmlformats.org/officeDocument/2006/relationships/hyperlink" Target="https://www.100ppi.com/news/detail-20250923-4793667.html" TargetMode="External" Id="rId802"/><Relationship Type="http://schemas.openxmlformats.org/officeDocument/2006/relationships/hyperlink" Target="https://www.100ppi.com/news/detail-20250924-4797945.html" TargetMode="External" Id="rId803"/><Relationship Type="http://schemas.openxmlformats.org/officeDocument/2006/relationships/hyperlink" Target="https://www.100ppi.com/news/detail-20250925-4802220.html" TargetMode="External" Id="rId804"/><Relationship Type="http://schemas.openxmlformats.org/officeDocument/2006/relationships/hyperlink" Target="https://www.100ppi.com/news/detail-20250926-4806497.html" TargetMode="External" Id="rId805"/><Relationship Type="http://schemas.openxmlformats.org/officeDocument/2006/relationships/hyperlink" Target="https://www.100ppi.com/news/detail-20250929-4815232.html" TargetMode="External" Id="rId806"/><Relationship Type="http://schemas.openxmlformats.org/officeDocument/2006/relationships/hyperlink" Target="https://www.100ppi.com/news/detail-20250930-4819130.html" TargetMode="External" Id="rId807"/><Relationship Type="http://schemas.openxmlformats.org/officeDocument/2006/relationships/hyperlink" Target="https://www.100ppi.com/news/detail-20251001-4823144.html" TargetMode="External" Id="rId808"/><Relationship Type="http://schemas.openxmlformats.org/officeDocument/2006/relationships/hyperlink" Target="https://www.100ppi.com/news/detail-20251002-4824733.html" TargetMode="External" Id="rId809"/><Relationship Type="http://schemas.openxmlformats.org/officeDocument/2006/relationships/hyperlink" Target="https://www.100ppi.com/news/detail-20251003-4826355.html" TargetMode="External" Id="rId810"/><Relationship Type="http://schemas.openxmlformats.org/officeDocument/2006/relationships/hyperlink" Target="https://www.100ppi.com/news/detail-20251006-4830411.html" TargetMode="External" Id="rId811"/><Relationship Type="http://schemas.openxmlformats.org/officeDocument/2006/relationships/hyperlink" Target="https://www.100ppi.com/news/detail-20251007-4832127.html" TargetMode="External" Id="rId812"/><Relationship Type="http://schemas.openxmlformats.org/officeDocument/2006/relationships/hyperlink" Target="https://www.100ppi.com/news/detail-20251008-4833704.html" TargetMode="External" Id="rId813"/><Relationship Type="http://schemas.openxmlformats.org/officeDocument/2006/relationships/hyperlink" Target="https://www.100ppi.com/news/detail-20251009-4835964.html" TargetMode="External" Id="rId814"/><Relationship Type="http://schemas.openxmlformats.org/officeDocument/2006/relationships/hyperlink" Target="https://www.100ppi.com/news/detail-20251010-4840306.html" TargetMode="External" Id="rId815"/><Relationship Type="http://schemas.openxmlformats.org/officeDocument/2006/relationships/hyperlink" Target="https://www.100ppi.com/news/detail-20251011-4848391.html" TargetMode="External" Id="rId816"/><Relationship Type="http://schemas.openxmlformats.org/officeDocument/2006/relationships/hyperlink" Target="https://www.100ppi.com/news/detail-20251013-4849791.html" TargetMode="External" Id="rId817"/><Relationship Type="http://schemas.openxmlformats.org/officeDocument/2006/relationships/hyperlink" Target="https://www.100ppi.com/news/detail-20251014-4854688.html" TargetMode="External" Id="rId818"/><Relationship Type="http://schemas.openxmlformats.org/officeDocument/2006/relationships/hyperlink" Target="https://www.100ppi.com/news/detail-20251015-4859077.html" TargetMode="External" Id="rId819"/><Relationship Type="http://schemas.openxmlformats.org/officeDocument/2006/relationships/hyperlink" Target="https://www.100ppi.com/news/detail-20251016-4863360.html" TargetMode="External" Id="rId820"/><Relationship Type="http://schemas.openxmlformats.org/officeDocument/2006/relationships/hyperlink" Target="https://www.100ppi.com/news/detail-20251017-4867809.html" TargetMode="External" Id="rId821"/><Relationship Type="http://schemas.openxmlformats.org/officeDocument/2006/relationships/hyperlink" Target="https://www.100ppi.com/news/detail-20251020-4874508.html" TargetMode="External" Id="rId822"/><Relationship Type="http://schemas.openxmlformats.org/officeDocument/2006/relationships/hyperlink" Target="https://www.100ppi.com/news/detail-20251021-4878933.html" TargetMode="External" Id="rId823"/><Relationship Type="http://schemas.openxmlformats.org/officeDocument/2006/relationships/hyperlink" Target="https://www.100ppi.com/news/detail-20251022-4883372.html" TargetMode="External" Id="rId824"/><Relationship Type="http://schemas.openxmlformats.org/officeDocument/2006/relationships/hyperlink" Target="https://www.100ppi.com/news/detail-20251023-4887786.html" TargetMode="External" Id="rId825"/><Relationship Type="http://schemas.openxmlformats.org/officeDocument/2006/relationships/hyperlink" Target="https://www.100ppi.com/news/detail-20251024-4892146.html" TargetMode="External" Id="rId826"/><Relationship Type="http://schemas.openxmlformats.org/officeDocument/2006/relationships/hyperlink" Target="https://www.100ppi.com/news/detail-20251027-4898514.html" TargetMode="External" Id="rId827"/><Relationship Type="http://schemas.openxmlformats.org/officeDocument/2006/relationships/hyperlink" Target="https://www.100ppi.com/news/detail-20251028-4902936.html" TargetMode="External" Id="rId828"/><Relationship Type="http://schemas.openxmlformats.org/officeDocument/2006/relationships/hyperlink" Target="https://www.100ppi.com/news/detail-20251029-4907369.html" TargetMode="External" Id="rId829"/><Relationship Type="http://schemas.openxmlformats.org/officeDocument/2006/relationships/hyperlink" Target="https://www.100ppi.com/news/detail-20251030-4911593.html" TargetMode="External" Id="rId830"/><Relationship Type="http://schemas.openxmlformats.org/officeDocument/2006/relationships/hyperlink" Target="https://www.100ppi.com/news/detail-20251031-4915946.html" TargetMode="External" Id="rId831"/><Relationship Type="http://schemas.openxmlformats.org/officeDocument/2006/relationships/hyperlink" Target="https://www.100ppi.com/news/detail-20251103-4923300.html" TargetMode="External" Id="rId832"/><Relationship Type="http://schemas.openxmlformats.org/officeDocument/2006/relationships/hyperlink" Target="https://www.100ppi.com/news/detail-20251104-4927782.html" TargetMode="External" Id="rId833"/><Relationship Type="http://schemas.openxmlformats.org/officeDocument/2006/relationships/hyperlink" Target="https://www.100ppi.com/news/detail-20251105-4931965.html" TargetMode="External" Id="rId834"/><Relationship Type="http://schemas.openxmlformats.org/officeDocument/2006/relationships/hyperlink" Target="https://www.100ppi.com/news/detail-20251106-4936260.html" TargetMode="External" Id="rId835"/><Relationship Type="http://schemas.openxmlformats.org/officeDocument/2006/relationships/hyperlink" Target="https://www.100ppi.com/news/detail-20251107-4940555.html" TargetMode="External" Id="rId836"/><Relationship Type="http://schemas.openxmlformats.org/officeDocument/2006/relationships/hyperlink" Target="https://www.100ppi.com/news/detail-20251110-4947185.html" TargetMode="External" Id="rId837"/><Relationship Type="http://schemas.openxmlformats.org/officeDocument/2006/relationships/hyperlink" Target="https://www.100ppi.com/news/detail-20251111-4951655.html" TargetMode="External" Id="rId838"/><Relationship Type="http://schemas.openxmlformats.org/officeDocument/2006/relationships/hyperlink" Target="https://www.100ppi.com/news/detail-20251112-4955738.html" TargetMode="External" Id="rId839"/><Relationship Type="http://schemas.openxmlformats.org/officeDocument/2006/relationships/hyperlink" Target="https://www.100ppi.com/news/detail-20251113-4959771.html" TargetMode="External" Id="rId840"/><Relationship Type="http://schemas.openxmlformats.org/officeDocument/2006/relationships/hyperlink" Target="https://www.100ppi.com/news/detail-20251114-4963807.html" TargetMode="External" Id="rId841"/><Relationship Type="http://schemas.openxmlformats.org/officeDocument/2006/relationships/hyperlink" Target="https://www.100ppi.com/news/detail-20251117-4970797.html" TargetMode="External" Id="rId842"/><Relationship Type="http://schemas.openxmlformats.org/officeDocument/2006/relationships/hyperlink" Target="https://www.100ppi.com/news/detail-20251118-4975870.html" TargetMode="External" Id="rId843"/><Relationship Type="http://schemas.openxmlformats.org/officeDocument/2006/relationships/hyperlink" Target="https://www.100ppi.com/news/detail-20251119-4980222.html" TargetMode="External" Id="rId844"/><Relationship Type="http://schemas.openxmlformats.org/officeDocument/2006/relationships/hyperlink" Target="https://www.100ppi.com/news/detail-20251120-4984627.html" TargetMode="External" Id="rId845"/><Relationship Type="http://schemas.openxmlformats.org/officeDocument/2006/relationships/hyperlink" Target="https://www.100ppi.com/news/detail-20251121-4988783.html" TargetMode="External" Id="rId846"/><Relationship Type="http://schemas.openxmlformats.org/officeDocument/2006/relationships/hyperlink" Target="https://www.100ppi.com/news/detail-20251124-4995723.html" TargetMode="External" Id="rId847"/><Relationship Type="http://schemas.openxmlformats.org/officeDocument/2006/relationships/hyperlink" Target="https://www.100ppi.com/news/detail-20251125-4999785.html" TargetMode="External" Id="rId848"/><Relationship Type="http://schemas.openxmlformats.org/officeDocument/2006/relationships/hyperlink" Target="https://www.100ppi.com/news/detail-20251126-5003672.html" TargetMode="External" Id="rId849"/><Relationship Type="http://schemas.openxmlformats.org/officeDocument/2006/relationships/hyperlink" Target="https://www.100ppi.com/news/detail-20251127-5008098.html" TargetMode="External" Id="rId850"/><Relationship Type="http://schemas.openxmlformats.org/officeDocument/2006/relationships/hyperlink" Target="https://www.100ppi.com/news/detail-20251128-5012343.html" TargetMode="External" Id="rId851"/><Relationship Type="http://schemas.openxmlformats.org/officeDocument/2006/relationships/hyperlink" Target="https://www.100ppi.com/news/detail-20251201-5019276.html" TargetMode="External" Id="rId852"/><Relationship Type="http://schemas.openxmlformats.org/officeDocument/2006/relationships/hyperlink" Target="https://www.100ppi.com/news/detail-20251202-5023916.html" TargetMode="External" Id="rId853"/><Relationship Type="http://schemas.openxmlformats.org/officeDocument/2006/relationships/hyperlink" Target="https://www.100ppi.com/news/detail-20251203-5028514.html" TargetMode="External" Id="rId854"/><Relationship Type="http://schemas.openxmlformats.org/officeDocument/2006/relationships/hyperlink" Target="https://www.100ppi.com/news/detail-20251204-5032924.html" TargetMode="External" Id="rId855"/><Relationship Type="http://schemas.openxmlformats.org/officeDocument/2006/relationships/hyperlink" Target="https://www.100ppi.com/news/detail-20251205-5037459.html" TargetMode="External" Id="rId856"/><Relationship Type="http://schemas.openxmlformats.org/officeDocument/2006/relationships/hyperlink" Target="https://www.100ppi.com/news/detail-20251208-5043895.html" TargetMode="External" Id="rId857"/><Relationship Type="http://schemas.openxmlformats.org/officeDocument/2006/relationships/hyperlink" Target="https://www.100ppi.com/news/detail-20251209-5048296.html" TargetMode="External" Id="rId858"/><Relationship Type="http://schemas.openxmlformats.org/officeDocument/2006/relationships/hyperlink" Target="https://www.100ppi.com/news/detail-20251210-5053005.html" TargetMode="External" Id="rId859"/><Relationship Type="http://schemas.openxmlformats.org/officeDocument/2006/relationships/hyperlink" Target="https://www.100ppi.com/news/detail-20251211-5057581.html" TargetMode="External" Id="rId860"/><Relationship Type="http://schemas.openxmlformats.org/officeDocument/2006/relationships/hyperlink" Target="https://www.100ppi.com/news/detail-20251212-5062217.html" TargetMode="External" Id="rId861"/><Relationship Type="http://schemas.openxmlformats.org/officeDocument/2006/relationships/hyperlink" Target="https://www.100ppi.com/news/detail-20251215-5069355.html" TargetMode="External" Id="rId862"/><Relationship Type="http://schemas.openxmlformats.org/officeDocument/2006/relationships/hyperlink" Target="https://www.100ppi.com/news/detail-20251216-5073749.html" TargetMode="External" Id="rId863"/><Relationship Type="http://schemas.openxmlformats.org/officeDocument/2006/relationships/hyperlink" Target="https://www.100ppi.com/news/detail-20251217-5078160.html" TargetMode="External" Id="rId864"/><Relationship Type="http://schemas.openxmlformats.org/officeDocument/2006/relationships/hyperlink" Target="https://www.100ppi.com/news/detail-20251218-5082556.html" TargetMode="External" Id="rId865"/><Relationship Type="http://schemas.openxmlformats.org/officeDocument/2006/relationships/hyperlink" Target="https://www.100ppi.com/news/detail-20251219-5086879.html" TargetMode="External" Id="rId866"/><Relationship Type="http://schemas.openxmlformats.org/officeDocument/2006/relationships/hyperlink" Target="https://www.100ppi.com/news/detail-20251222-5092927.html" TargetMode="External" Id="rId867"/><Relationship Type="http://schemas.openxmlformats.org/officeDocument/2006/relationships/hyperlink" Target="https://www.100ppi.com/news/detail-20251223-5097566.html" TargetMode="External" Id="rId868"/><Relationship Type="http://schemas.openxmlformats.org/officeDocument/2006/relationships/hyperlink" Target="https://www.100ppi.com/news/detail-20251224-5103090.html" TargetMode="External" Id="rId869"/><Relationship Type="http://schemas.openxmlformats.org/officeDocument/2006/relationships/hyperlink" Target="https://www.100ppi.com/news/detail-20251225-5108499.html" TargetMode="External" Id="rId870"/><Relationship Type="http://schemas.openxmlformats.org/officeDocument/2006/relationships/hyperlink" Target="https://www.100ppi.com/news/detail-20251226-5113346.html" TargetMode="External" Id="rId871"/><Relationship Type="http://schemas.openxmlformats.org/officeDocument/2006/relationships/hyperlink" Target="https://www.100ppi.com/news/detail-20251229-5120997.html" TargetMode="External" Id="rId872"/><Relationship Type="http://schemas.openxmlformats.org/officeDocument/2006/relationships/hyperlink" Target="https://www.100ppi.com/news/detail-20251230-5126486.html" TargetMode="External" Id="rId873"/><Relationship Type="http://schemas.openxmlformats.org/officeDocument/2006/relationships/hyperlink" Target="https://www.100ppi.com/news/detail-20251231-5132001.html" TargetMode="External" Id="rId874"/><Relationship Type="http://schemas.openxmlformats.org/officeDocument/2006/relationships/hyperlink" Target="https://www.100ppi.com/news/detail-20260101-5137482.html" TargetMode="External" Id="rId875"/><Relationship Type="http://schemas.openxmlformats.org/officeDocument/2006/relationships/hyperlink" Target="https://www.100ppi.com/news/detail-20260102-5138649.html" TargetMode="External" Id="rId876"/><Relationship Type="http://schemas.openxmlformats.org/officeDocument/2006/relationships/hyperlink" Target="https://www.100ppi.com/news/detail-20260105-5145727.html" TargetMode="External" Id="rId877"/><Relationship Type="http://schemas.openxmlformats.org/officeDocument/2006/relationships/hyperlink" Target="https://www.100ppi.com/news/detail-20260106-5151226.html" TargetMode="External" Id="rId878"/><Relationship Type="http://schemas.openxmlformats.org/officeDocument/2006/relationships/hyperlink" Target="https://www.100ppi.com/news/detail-20260107-5156889.html" TargetMode="External" Id="rId879"/><Relationship Type="http://schemas.openxmlformats.org/officeDocument/2006/relationships/hyperlink" Target="https://www.100ppi.com/news/detail-20260108-5162215.html" TargetMode="External" Id="rId880"/><Relationship Type="http://schemas.openxmlformats.org/officeDocument/2006/relationships/hyperlink" Target="https://www.100ppi.com/news/detail-20260109-5167527.html" TargetMode="External" Id="rId881"/><Relationship Type="http://schemas.openxmlformats.org/officeDocument/2006/relationships/hyperlink" Target="https://www.100ppi.com/news/detail-20260112-5175643.html" TargetMode="External" Id="rId882"/><Relationship Type="http://schemas.openxmlformats.org/officeDocument/2006/relationships/hyperlink" Target="https://www.100ppi.com/news/detail-20260113-5181073.html" TargetMode="External" Id="rId883"/><Relationship Type="http://schemas.openxmlformats.org/officeDocument/2006/relationships/hyperlink" Target="https://www.100ppi.com/news/detail-20260114-5185941.html" TargetMode="External" Id="rId884"/><Relationship Type="http://schemas.openxmlformats.org/officeDocument/2006/relationships/hyperlink" Target="https://www.100ppi.com/news/detail-20260115-5191292.html" TargetMode="External" Id="rId885"/><Relationship Type="http://schemas.openxmlformats.org/officeDocument/2006/relationships/hyperlink" Target="https://www.100ppi.com/news/detail-20260116-5196465.html" TargetMode="External" Id="rId886"/><Relationship Type="http://schemas.openxmlformats.org/officeDocument/2006/relationships/hyperlink" Target="https://www.100ppi.com/news/detail-20260119-5204790.html" TargetMode="External" Id="rId887"/><Relationship Type="http://schemas.openxmlformats.org/officeDocument/2006/relationships/hyperlink" Target="https://www.100ppi.com/news/detail-20260120-5210484.html" TargetMode="External" Id="rId888"/><Relationship Type="http://schemas.openxmlformats.org/officeDocument/2006/relationships/hyperlink" Target="https://www.100ppi.com/news/detail-20260121-5216142.html" TargetMode="External" Id="rId889"/><Relationship Type="http://schemas.openxmlformats.org/officeDocument/2006/relationships/hyperlink" Target="https://www.100ppi.com/news/detail-20260122-5221768.html" TargetMode="External" Id="rId890"/><Relationship Type="http://schemas.openxmlformats.org/officeDocument/2006/relationships/hyperlink" Target="https://www.100ppi.com/news/detail-20260123-5227224.html" TargetMode="External" Id="rId891"/><Relationship Type="http://schemas.openxmlformats.org/officeDocument/2006/relationships/hyperlink" Target="https://www.100ppi.com/news/detail-20260126-5235980.html" TargetMode="External" Id="rId892"/><Relationship Type="http://schemas.openxmlformats.org/officeDocument/2006/relationships/hyperlink" Target="https://www.100ppi.com/news/detail-20260127-5240480.html" TargetMode="External" Id="rId893"/><Relationship Type="http://schemas.openxmlformats.org/officeDocument/2006/relationships/hyperlink" Target="https://www.100ppi.com/news/detail-20260128-5246018.html" TargetMode="External" Id="rId894"/><Relationship Type="http://schemas.openxmlformats.org/officeDocument/2006/relationships/hyperlink" Target="https://www.100ppi.com/news/detail-20260129-5251640.html" TargetMode="External" Id="rId895"/><Relationship Type="http://schemas.openxmlformats.org/officeDocument/2006/relationships/hyperlink" Target="https://www.100ppi.com/news/detail-20260130-5257030.html" TargetMode="External" Id="rId896"/><Relationship Type="http://schemas.openxmlformats.org/officeDocument/2006/relationships/hyperlink" Target="https://www.100ppi.com/news/detail-20260202-5264864.html" TargetMode="External" Id="rId897"/><Relationship Type="http://schemas.openxmlformats.org/officeDocument/2006/relationships/hyperlink" Target="https://www.100ppi.com/news/detail-20260203-5270430.html" TargetMode="External" Id="rId898"/><Relationship Type="http://schemas.openxmlformats.org/officeDocument/2006/relationships/hyperlink" Target="https://www.100ppi.com/news/detail-20260204-5275951.html" TargetMode="External" Id="rId899"/><Relationship Type="http://schemas.openxmlformats.org/officeDocument/2006/relationships/hyperlink" Target="https://www.100ppi.com/news/detail-20260205-5281255.html" TargetMode="External" Id="rId900"/><Relationship Type="http://schemas.openxmlformats.org/officeDocument/2006/relationships/hyperlink" Target="https://www.100ppi.com/news/detail-20260206-5285554.html" TargetMode="External" Id="rId901"/><Relationship Type="http://schemas.openxmlformats.org/officeDocument/2006/relationships/hyperlink" Target="https://www.100ppi.com/news/detail-20260209-5291911.html" TargetMode="External" Id="rId902"/><Relationship Type="http://schemas.openxmlformats.org/officeDocument/2006/relationships/hyperlink" Target="https://www.100ppi.com/news/detail-20260210-5295493.html" TargetMode="External" Id="rId903"/><Relationship Type="http://schemas.openxmlformats.org/officeDocument/2006/relationships/hyperlink" Target="https://www.100ppi.com/news/detail-20260211-5298143.html" TargetMode="External" Id="rId904"/><Relationship Type="http://schemas.openxmlformats.org/officeDocument/2006/relationships/hyperlink" Target="https://www.100ppi.com/news/detail-20260212-5300619.html" TargetMode="External" Id="rId905"/><Relationship Type="http://schemas.openxmlformats.org/officeDocument/2006/relationships/hyperlink" Target="https://www.100ppi.com/news/detail-20260213-5302196.html" TargetMode="External" Id="rId906"/><Relationship Type="http://schemas.openxmlformats.org/officeDocument/2006/relationships/hyperlink" Target="https://www.100ppi.com/news/detail-20260216-5306300.html" TargetMode="External" Id="rId907"/><Relationship Type="http://schemas.openxmlformats.org/officeDocument/2006/relationships/hyperlink" Target="https://www.100ppi.com/news/detail-20260217-5307051.html" TargetMode="External" Id="rId908"/><Relationship Type="http://schemas.openxmlformats.org/officeDocument/2006/relationships/hyperlink" Target="https://www.100ppi.com/news/detail-20260218-5308409.html" TargetMode="External" Id="rId909"/><Relationship Type="http://schemas.openxmlformats.org/officeDocument/2006/relationships/hyperlink" Target="https://www.100ppi.com/news/detail-20260219-5310051.html" TargetMode="External" Id="rId910"/><Relationship Type="http://schemas.openxmlformats.org/officeDocument/2006/relationships/hyperlink" Target="https://www.100ppi.com/news/detail-20260220-5311414.html" TargetMode="External" Id="rId911"/><Relationship Type="http://schemas.openxmlformats.org/officeDocument/2006/relationships/hyperlink" Target="https://www.100ppi.com/news/detail-20260223-5314179.html" TargetMode="External" Id="rId912"/><Relationship Type="http://schemas.openxmlformats.org/officeDocument/2006/relationships/hyperlink" Target="https://www.100ppi.com/news/detail-20260224-5315924.html" TargetMode="External" Id="rId913"/><Relationship Type="http://schemas.openxmlformats.org/officeDocument/2006/relationships/hyperlink" Target="https://www.100ppi.com/news/detail-20260225-5320310.html" TargetMode="External" Id="rId914"/><Relationship Type="http://schemas.openxmlformats.org/officeDocument/2006/relationships/hyperlink" Target="https://www.100ppi.com/news/detail-20260226-5324825.html" TargetMode="External" Id="rId915"/><Relationship Type="http://schemas.openxmlformats.org/officeDocument/2006/relationships/hyperlink" Target="https://www.100ppi.com/news/detail-20260227-5329363.html" TargetMode="External" Id="rId916"/><Relationship Type="http://schemas.openxmlformats.org/officeDocument/2006/relationships/hyperlink" Target="https://www.100ppi.com/news/detail-20260302-5341087.html" TargetMode="External" Id="rId917"/><Relationship Type="http://schemas.openxmlformats.org/officeDocument/2006/relationships/hyperlink" Target="https://www.100ppi.com/news/detail-20260303-5346337.html" TargetMode="External" Id="rId918"/><Relationship Type="http://schemas.openxmlformats.org/officeDocument/2006/relationships/hyperlink" Target="https://www.100ppi.com/news/detail-20260304-5351618.html" TargetMode="External" Id="rId919"/><Relationship Type="http://schemas.openxmlformats.org/officeDocument/2006/relationships/hyperlink" Target="https://www.100ppi.com/news/detail-20260305-5357431.html" TargetMode="External" Id="rId920"/><Relationship Type="http://schemas.openxmlformats.org/officeDocument/2006/relationships/hyperlink" Target="https://www.100ppi.com/news/detail-20260306-5363144.html" TargetMode="External" Id="rId921"/><Relationship Type="http://schemas.openxmlformats.org/officeDocument/2006/relationships/hyperlink" Target="https://www.100ppi.com/news/detail-20260309-5372014.html" TargetMode="External" Id="rId922"/><Relationship Type="http://schemas.openxmlformats.org/officeDocument/2006/relationships/hyperlink" Target="https://www.100ppi.com/news/detail-20260310-5377832.html" TargetMode="External" Id="rId923"/><Relationship Type="http://schemas.openxmlformats.org/officeDocument/2006/relationships/hyperlink" Target="https://www.100ppi.com/news/detail-20260311-5383405.html" TargetMode="External" Id="rId924"/><Relationship Type="http://schemas.openxmlformats.org/officeDocument/2006/relationships/hyperlink" Target="https://www.100ppi.com/news/detail-20260312-5388651.html" TargetMode="External" Id="rId925"/><Relationship Type="http://schemas.openxmlformats.org/officeDocument/2006/relationships/hyperlink" Target="https://www.100ppi.com/news/detail-20260313-5394371.html" TargetMode="External" Id="rId926"/><Relationship Type="http://schemas.openxmlformats.org/officeDocument/2006/relationships/hyperlink" Target="https://www.100ppi.com/news/detail-20260316-5403165.html" TargetMode="External" Id="rId927"/><Relationship Type="http://schemas.openxmlformats.org/officeDocument/2006/relationships/hyperlink" Target="https://www.100ppi.com/news/detail-20260317-5408922.html" TargetMode="External" Id="rId928"/><Relationship Type="http://schemas.openxmlformats.org/officeDocument/2006/relationships/hyperlink" Target="https://www.100ppi.com/news/detail-20260318-5414305.html" TargetMode="External" Id="rId929"/><Relationship Type="http://schemas.openxmlformats.org/officeDocument/2006/relationships/hyperlink" Target="https://www.100ppi.com/news/detail-20260319-5419909.html" TargetMode="External" Id="rId930"/><Relationship Type="http://schemas.openxmlformats.org/officeDocument/2006/relationships/hyperlink" Target="https://www.100ppi.com/news/detail-20260320-5425500.html" TargetMode="External" Id="rId931"/><Relationship Type="http://schemas.openxmlformats.org/officeDocument/2006/relationships/hyperlink" Target="https://www.100ppi.com/news/detail-20260323-5433699.html" TargetMode="External" Id="rId932"/><Relationship Type="http://schemas.openxmlformats.org/officeDocument/2006/relationships/hyperlink" Target="https://www.100ppi.com/news/detail-20260324-5439563.html" TargetMode="External" Id="rId933"/><Relationship Type="http://schemas.openxmlformats.org/officeDocument/2006/relationships/hyperlink" Target="https://www.100ppi.com/news/detail-20260325-5445281.html" TargetMode="External" Id="rId934"/><Relationship Type="http://schemas.openxmlformats.org/officeDocument/2006/relationships/hyperlink" Target="https://www.100ppi.com/news/detail-20260326-5450722.html" TargetMode="External" Id="rId935"/><Relationship Type="http://schemas.openxmlformats.org/officeDocument/2006/relationships/hyperlink" Target="https://www.100ppi.com/news/detail-20260327-5456368.html" TargetMode="External" Id="rId936"/><Relationship Type="http://schemas.openxmlformats.org/officeDocument/2006/relationships/hyperlink" Target="https://www.100ppi.com/news/detail-20260330-5464609.html" TargetMode="External" Id="rId937"/><Relationship Type="http://schemas.openxmlformats.org/officeDocument/2006/relationships/hyperlink" Target="https://www.100ppi.com/news/detail-20260331-5470354.html" TargetMode="External" Id="rId938"/><Relationship Type="http://schemas.openxmlformats.org/officeDocument/2006/relationships/hyperlink" Target="https://www.100ppi.com/news/detail-20260401-5475984.html" TargetMode="External" Id="rId939"/><Relationship Type="http://schemas.openxmlformats.org/officeDocument/2006/relationships/hyperlink" Target="https://www.100ppi.com/news/detail-20260402-5481679.html" TargetMode="External" Id="rId940"/><Relationship Type="http://schemas.openxmlformats.org/officeDocument/2006/relationships/hyperlink" Target="https://www.100ppi.com/news/detail-20260403-5486920.html" TargetMode="External" Id="rId941"/><Relationship Type="http://schemas.openxmlformats.org/officeDocument/2006/relationships/hyperlink" Target="https://www.100ppi.com/news/detail-20260406-5494912.html" TargetMode="External" Id="rId942"/><Relationship Type="http://schemas.openxmlformats.org/officeDocument/2006/relationships/hyperlink" Target="https://www.100ppi.com/news/detail-20260407-5496688.html" TargetMode="External" Id="rId943"/><Relationship Type="http://schemas.openxmlformats.org/officeDocument/2006/relationships/hyperlink" Target="https://www.100ppi.com/news/detail-20260408-5502475.html" TargetMode="External" Id="rId944"/><Relationship Type="http://schemas.openxmlformats.org/officeDocument/2006/relationships/hyperlink" Target="https://www.100ppi.com/news/detail-20260409-5508164.html" TargetMode="External" Id="rId945"/><Relationship Type="http://schemas.openxmlformats.org/officeDocument/2006/relationships/hyperlink" Target="https://www.100ppi.com/news/detail-20260410-5513597.html" TargetMode="External" Id="rId946"/><Relationship Type="http://schemas.openxmlformats.org/officeDocument/2006/relationships/hyperlink" Target="https://www.100ppi.com/news/detail-20260413-5521687.html" TargetMode="External" Id="rId947"/><Relationship Type="http://schemas.openxmlformats.org/officeDocument/2006/relationships/hyperlink" Target="https://www.100ppi.com/news/detail-20260414-5527441.html" TargetMode="External" Id="rId948"/><Relationship Type="http://schemas.openxmlformats.org/officeDocument/2006/relationships/hyperlink" Target="https://www.100ppi.com/news/detail-20260415-5532482.html" TargetMode="External" Id="rId949"/><Relationship Type="http://schemas.openxmlformats.org/officeDocument/2006/relationships/hyperlink" Target="https://www.100ppi.com/news/detail-20260416-5537655.html" TargetMode="External" Id="rId950"/><Relationship Type="http://schemas.openxmlformats.org/officeDocument/2006/relationships/hyperlink" Target="https://www.100ppi.com/news/detail-20260417-5543380.html" TargetMode="External" Id="rId951"/><Relationship Type="http://schemas.openxmlformats.org/officeDocument/2006/relationships/hyperlink" Target="https://www.100ppi.com/news/detail-20260420-5552035.html" TargetMode="External" Id="rId952"/><Relationship Type="http://schemas.openxmlformats.org/officeDocument/2006/relationships/hyperlink" Target="https://www.100ppi.com/news/detail-20260421-5557832.html" TargetMode="External" Id="rId953"/><Relationship Type="http://schemas.openxmlformats.org/officeDocument/2006/relationships/hyperlink" Target="https://www.100ppi.com/news/detail-20260422-5563018.html" TargetMode="External" Id="rId954"/><Relationship Type="http://schemas.openxmlformats.org/officeDocument/2006/relationships/hyperlink" Target="https://www.100ppi.com/news/detail-20260423-5568915.html" TargetMode="External" Id="rId955"/><Relationship Type="http://schemas.openxmlformats.org/officeDocument/2006/relationships/hyperlink" Target="https://www.100ppi.com/news/detail-20260424-5574640.html" TargetMode="External" Id="rId956"/><Relationship Type="http://schemas.openxmlformats.org/officeDocument/2006/relationships/hyperlink" Target="https://www.100ppi.com/news/detail-20260427-5582460.html" TargetMode="External" Id="rId957"/><Relationship Type="http://schemas.openxmlformats.org/officeDocument/2006/relationships/hyperlink" Target="https://www.100ppi.com/news/detail-20260428-5587893.html" TargetMode="External" Id="rId958"/><Relationship Type="http://schemas.openxmlformats.org/officeDocument/2006/relationships/hyperlink" Target="https://www.100ppi.com/news/detail-20260429-5593444.html" TargetMode="External" Id="rId959"/><Relationship Type="http://schemas.openxmlformats.org/officeDocument/2006/relationships/hyperlink" Target="https://www.100ppi.com/news/detail-20260430-5599101.html" TargetMode="External" Id="rId960"/><Relationship Type="http://schemas.openxmlformats.org/officeDocument/2006/relationships/hyperlink" Target="https://www.100ppi.com/news/detail-20260501-5604411.html" TargetMode="External" Id="rId961"/><Relationship Type="http://schemas.openxmlformats.org/officeDocument/2006/relationships/hyperlink" Target="https://www.100ppi.com/news/detail-20260504-5607999.html" TargetMode="External" Id="rId962"/><Relationship Type="http://schemas.openxmlformats.org/officeDocument/2006/relationships/hyperlink" Target="https://www.100ppi.com/news/detail-20260505-5609777.html" TargetMode="External" Id="rId963"/><Relationship Type="http://schemas.openxmlformats.org/officeDocument/2006/relationships/hyperlink" Target="https://www.100ppi.com/news/detail-20260506-5611718.html" TargetMode="External" Id="rId964"/><Relationship Type="http://schemas.openxmlformats.org/officeDocument/2006/relationships/hyperlink" Target="https://www.100ppi.com/news/detail-20260507-5617425.html" TargetMode="External" Id="rId965"/><Relationship Type="http://schemas.openxmlformats.org/officeDocument/2006/relationships/hyperlink" Target="https://www.100ppi.com/news/detail-20260508-5623107.html" TargetMode="External" Id="rId966"/><Relationship Type="http://schemas.openxmlformats.org/officeDocument/2006/relationships/hyperlink" Target="https://www.100ppi.com/news/detail-20260511-5635079.html" TargetMode="External" Id="rId967"/><Relationship Type="http://schemas.openxmlformats.org/officeDocument/2006/relationships/hyperlink" Target="https://www.100ppi.com/news/detail-20260512-5640934.html" TargetMode="External" Id="rId968"/><Relationship Type="http://schemas.openxmlformats.org/officeDocument/2006/relationships/hyperlink" Target="https://www.100ppi.com/news/detail-20260513-5646674.html" TargetMode="External" Id="rId969"/><Relationship Type="http://schemas.openxmlformats.org/officeDocument/2006/relationships/hyperlink" Target="https://www.100ppi.com/news/detail-20260514-5652464.html" TargetMode="External" Id="rId970"/><Relationship Type="http://schemas.openxmlformats.org/officeDocument/2006/relationships/hyperlink" Target="https://www.100ppi.com/news/detail-20260515-5658240.html" TargetMode="External" Id="rId971"/><Relationship Type="http://schemas.openxmlformats.org/officeDocument/2006/relationships/hyperlink" Target="https://www.100ppi.com/news/detail-20260518-5665416.html" TargetMode="External" Id="rId972"/><Relationship Type="http://schemas.openxmlformats.org/officeDocument/2006/relationships/hyperlink" Target="https://www.100ppi.com/news/detail-20260519-5671412.html" TargetMode="External" Id="rId973"/><Relationship Type="http://schemas.openxmlformats.org/officeDocument/2006/relationships/hyperlink" Target="https://www.100ppi.com/news/detail-20260520-5677014.html" TargetMode="External" Id="rId974"/><Relationship Type="http://schemas.openxmlformats.org/officeDocument/2006/relationships/hyperlink" Target="https://www.100ppi.com/news/detail-20260521-5682643.html" TargetMode="External" Id="rId975"/><Relationship Type="http://schemas.openxmlformats.org/officeDocument/2006/relationships/hyperlink" Target="https://www.100ppi.com/news/detail-20260522-5688292.html" TargetMode="External" Id="rId976"/><Relationship Type="http://schemas.openxmlformats.org/officeDocument/2006/relationships/hyperlink" Target="https://www.100ppi.com/news/detail-20260525-5696705.html" TargetMode="External" Id="rId977"/><Relationship Type="http://schemas.openxmlformats.org/officeDocument/2006/relationships/hyperlink" Target="https://www.100ppi.com/news/detail-20260526-5702369.html" TargetMode="External" Id="rId978"/><Relationship Type="http://schemas.openxmlformats.org/officeDocument/2006/relationships/hyperlink" Target="https://www.100ppi.com/news/detail-20260527-5708138.html" TargetMode="External" Id="rId979"/><Relationship Type="http://schemas.openxmlformats.org/officeDocument/2006/relationships/hyperlink" Target="https://www.100ppi.com/news/detail-20260528-5713957.html" TargetMode="External" Id="rId980"/><Relationship Type="http://schemas.openxmlformats.org/officeDocument/2006/relationships/hyperlink" Target="https://www.100ppi.com/news/detail-20260529-5719372.html" TargetMode="External" Id="rId981"/><Relationship Type="http://schemas.openxmlformats.org/officeDocument/2006/relationships/hyperlink" Target="https://www.100ppi.com/news/detail-20260601-5727837.html" TargetMode="External" Id="rId982"/><Relationship Type="http://schemas.openxmlformats.org/officeDocument/2006/relationships/hyperlink" Target="https://www.100ppi.com/news/detail-20260602-5733807.html" TargetMode="External" Id="rId983"/><Relationship Type="http://schemas.openxmlformats.org/officeDocument/2006/relationships/hyperlink" Target="https://www.100ppi.com/news/detail-20260603-5739436.html" TargetMode="External" Id="rId984"/><Relationship Type="http://schemas.openxmlformats.org/officeDocument/2006/relationships/hyperlink" Target="https://www.100ppi.com/news/detail-20260604-5745242.html" TargetMode="External" Id="rId985"/><Relationship Type="http://schemas.openxmlformats.org/officeDocument/2006/relationships/hyperlink" Target="https://www.100ppi.com/news/detail-20260605-5750671.html" TargetMode="External" Id="rId986"/><Relationship Type="http://schemas.openxmlformats.org/officeDocument/2006/relationships/hyperlink" Target="https://www.100ppi.com/news/detail-20260608-5759936.html" TargetMode="External" Id="rId987"/><Relationship Type="http://schemas.openxmlformats.org/officeDocument/2006/relationships/hyperlink" Target="https://www.100ppi.com/news/detail-20260609-5764721.html" TargetMode="External" Id="rId988"/><Relationship Type="http://schemas.openxmlformats.org/officeDocument/2006/relationships/hyperlink" Target="https://www.100ppi.com/news/detail-20260610-5769304.html" TargetMode="External" Id="rId989"/><Relationship Type="http://schemas.openxmlformats.org/officeDocument/2006/relationships/hyperlink" Target="https://www.100ppi.com/news/detail-20260611-5775008.html" TargetMode="External" Id="rId990"/><Relationship Type="http://schemas.openxmlformats.org/officeDocument/2006/relationships/hyperlink" Target="https://www.100ppi.com/news/detail-20260612-5779761.html" TargetMode="External" Id="rId991"/><Relationship Type="http://schemas.openxmlformats.org/officeDocument/2006/relationships/hyperlink" Target="https://www.100ppi.com/news/detail-20260615-5788850.html" TargetMode="External" Id="rId992"/><Relationship Type="http://schemas.openxmlformats.org/officeDocument/2006/relationships/hyperlink" Target="https://www.100ppi.com/news/detail-20260616-5794929.html" TargetMode="External" Id="rId993"/><Relationship Type="http://schemas.openxmlformats.org/officeDocument/2006/relationships/hyperlink" Target="https://www.100ppi.com/news/detail-20260617-5800797.html" TargetMode="External" Id="rId994"/><Relationship Type="http://schemas.openxmlformats.org/officeDocument/2006/relationships/hyperlink" Target="https://www.100ppi.com/news/detail-20260618-5806547.html" TargetMode="External" Id="rId995"/><Relationship Type="http://schemas.openxmlformats.org/officeDocument/2006/relationships/hyperlink" Target="https://www.100ppi.com/news/detail-20260619-5812196.html" TargetMode="External" Id="rId996"/><Relationship Type="http://schemas.openxmlformats.org/officeDocument/2006/relationships/hyperlink" Target="https://www.100ppi.com/news/detail-20260622-5816375.html" TargetMode="External" Id="rId997"/><Relationship Type="http://schemas.openxmlformats.org/officeDocument/2006/relationships/hyperlink" Target="https://www.100ppi.com/news/detail-20260623-5822419.html" TargetMode="External" Id="rId998"/><Relationship Type="http://schemas.openxmlformats.org/officeDocument/2006/relationships/hyperlink" Target="https://www.100ppi.com/news/detail-20260624-5828322.html" TargetMode="External" Id="rId999"/><Relationship Type="http://schemas.openxmlformats.org/officeDocument/2006/relationships/hyperlink" Target="https://www.100ppi.com/news/detail-20260625-5834108.html" TargetMode="External" Id="rId1000"/><Relationship Type="http://schemas.openxmlformats.org/officeDocument/2006/relationships/hyperlink" Target="https://www.100ppi.com/news/detail-20260626-5839617.html" TargetMode="External" Id="rId1001"/><Relationship Type="http://schemas.openxmlformats.org/officeDocument/2006/relationships/hyperlink" Target="https://www.100ppi.com/news/detail-20260629-5847851.html" TargetMode="External" Id="rId1002"/><Relationship Type="http://schemas.openxmlformats.org/officeDocument/2006/relationships/hyperlink" Target="https://www.100ppi.com/news/detail-20260630-5853669.html" TargetMode="External" Id="rId1003"/><Relationship Type="http://schemas.openxmlformats.org/officeDocument/2006/relationships/hyperlink" Target="https://www.100ppi.com/news/detail-20260701-5859044.html" TargetMode="External" Id="rId1004"/><Relationship Type="http://schemas.openxmlformats.org/officeDocument/2006/relationships/hyperlink" Target="https://www.100ppi.com/news/detail-20260702-5864983.html" TargetMode="External" Id="rId1005"/><Relationship Type="http://schemas.openxmlformats.org/officeDocument/2006/relationships/hyperlink" Target="https://www.100ppi.com/news/detail-20260703-5869760.html" TargetMode="External" Id="rId1006"/><Relationship Type="http://schemas.openxmlformats.org/officeDocument/2006/relationships/hyperlink" Target="https://www.100ppi.com/news/detail-20260706-5878586.html" TargetMode="External" Id="rId1007"/><Relationship Type="http://schemas.openxmlformats.org/officeDocument/2006/relationships/hyperlink" Target="https://www.100ppi.com/news/detail-20260707-5884829.html" TargetMode="External" Id="rId1008"/><Relationship Type="http://schemas.openxmlformats.org/officeDocument/2006/relationships/hyperlink" Target="https://www.100ppi.com/news/detail-20260708-5890648.html" TargetMode="External" Id="rId1009"/><Relationship Type="http://schemas.openxmlformats.org/officeDocument/2006/relationships/hyperlink" Target="https://www.100ppi.com/news/detail-20260709-5896750.html" TargetMode="External" Id="rId1010"/><Relationship Type="http://schemas.openxmlformats.org/officeDocument/2006/relationships/hyperlink" Target="https://www.100ppi.com/news/detail-20260710-5902739.html" TargetMode="External" Id="rId1011"/><Relationship Type="http://schemas.openxmlformats.org/officeDocument/2006/relationships/hyperlink" Target="https://www.100ppi.com/news/detail-20260713-5912223.html" TargetMode="External" Id="rId1012"/><Relationship Type="http://schemas.openxmlformats.org/officeDocument/2006/relationships/hyperlink" Target="https://www.100ppi.com/news/detail-20260714-5918479.html" TargetMode="External" Id="rId1013"/><Relationship Type="http://schemas.openxmlformats.org/officeDocument/2006/relationships/hyperlink" Target="https://www.100ppi.com/news/detail-20260715-5924526.html" TargetMode="External" Id="rId1014"/><Relationship Type="http://schemas.openxmlformats.org/officeDocument/2006/relationships/hyperlink" Target="https://www.100ppi.com/news/detail-20260716-5930411.html" TargetMode="External" Id="rId1015"/><Relationship Type="http://schemas.openxmlformats.org/officeDocument/2006/relationships/hyperlink" Target="https://www.100ppi.com/news/detail-20260717-5936540.html" TargetMode="External" Id="rId1016"/><Relationship Type="http://schemas.openxmlformats.org/officeDocument/2006/relationships/hyperlink" Target="https://www.100ppi.com/news/detail-20260720-5945990.html" TargetMode="External" Id="rId1017"/><Relationship Type="http://schemas.openxmlformats.org/officeDocument/2006/relationships/hyperlink" Target="https://www.100ppi.com/news/detail-20260721-5952427.html" TargetMode="External" Id="rId1018"/><Relationship Type="http://schemas.openxmlformats.org/officeDocument/2006/relationships/hyperlink" Target="https://www.100ppi.com/news/detail-20260722-5958222.html" TargetMode="External" Id="rId1019"/><Relationship Type="http://schemas.openxmlformats.org/officeDocument/2006/relationships/hyperlink" Target="https://www.100ppi.com/news/detail-20260723-5964340.html" TargetMode="External" Id="rId1020"/><Relationship Type="http://schemas.openxmlformats.org/officeDocument/2006/relationships/hyperlink" Target="https://www.100ppi.com/news/detail-20260724-5970188.html" TargetMode="External" Id="rId1021"/><Relationship Type="http://schemas.openxmlformats.org/officeDocument/2006/relationships/hyperlink" Target="https://www.100ppi.com/news/detail-20260727-5979451.html" TargetMode="External" Id="rId1022"/><Relationship Type="http://schemas.openxmlformats.org/officeDocument/2006/relationships/hyperlink" Target="https://www.100ppi.com/news/detail-20260728-5985732.html" TargetMode="External" Id="rId1023"/><Relationship Type="http://schemas.openxmlformats.org/officeDocument/2006/relationships/hyperlink" Target="https://www.100ppi.com/news/detail-20260729-5991419.html" TargetMode="External" Id="rId1024"/><Relationship Type="http://schemas.openxmlformats.org/officeDocument/2006/relationships/hyperlink" Target="https://www.100ppi.com/news/detail-20260730-5996213.html" TargetMode="External" Id="rId1025"/><Relationship Type="http://schemas.openxmlformats.org/officeDocument/2006/relationships/hyperlink" Target="https://www.100ppi.com/news/detail-20260731-6001671.html" TargetMode="External" Id="rId1026"/><Relationship Type="http://schemas.openxmlformats.org/officeDocument/2006/relationships/hyperlink" Target="https://www.100ppi.com/news/detail-20260803-6010688.html" TargetMode="External" Id="rId1027"/><Relationship Type="http://schemas.openxmlformats.org/officeDocument/2006/relationships/hyperlink" Target="https://www.100ppi.com/news/detail-20260804-6016802.html" TargetMode="External" Id="rId1028"/><Relationship Type="http://schemas.openxmlformats.org/officeDocument/2006/relationships/hyperlink" Target="https://www.100ppi.com/news/detail-20260805-6022729.html" TargetMode="External" Id="rId1029"/><Relationship Type="http://schemas.openxmlformats.org/officeDocument/2006/relationships/hyperlink" Target="https://www.100ppi.com/news/detail-20260806-6028095.html" TargetMode="External" Id="rId1030"/><Relationship Type="http://schemas.openxmlformats.org/officeDocument/2006/relationships/hyperlink" Target="https://www.100ppi.com/news/detail-20260807-6033794.html" TargetMode="External" Id="rId1031"/><Relationship Type="http://schemas.openxmlformats.org/officeDocument/2006/relationships/hyperlink" Target="https://www.100ppi.com/news/detail-20260810-6043028.html" TargetMode="External" Id="rId1032"/><Relationship Type="http://schemas.openxmlformats.org/officeDocument/2006/relationships/hyperlink" Target="https://www.100ppi.com/news/detail-20260811-6049286.html" TargetMode="External" Id="rId1033"/><Relationship Type="http://schemas.openxmlformats.org/officeDocument/2006/relationships/hyperlink" Target="https://www.100ppi.com/news/detail-20260812-6055299.html" TargetMode="External" Id="rId1034"/><Relationship Type="http://schemas.openxmlformats.org/officeDocument/2006/relationships/hyperlink" Target="https://www.100ppi.com/news/detail-20260813-6061304.html" TargetMode="External" Id="rId1035"/><Relationship Type="http://schemas.openxmlformats.org/officeDocument/2006/relationships/hyperlink" Target="https://www.100ppi.com/news/detail-20260814-6067332.html" TargetMode="External" Id="rId1036"/><Relationship Type="http://schemas.openxmlformats.org/officeDocument/2006/relationships/hyperlink" Target="https://www.100ppi.com/news/detail-20260817-6076955.html" TargetMode="External" Id="rId1037"/><Relationship Type="http://schemas.openxmlformats.org/officeDocument/2006/relationships/hyperlink" Target="https://www.100ppi.com/news/detail-20260818-6083393.html" TargetMode="External" Id="rId1038"/><Relationship Type="http://schemas.openxmlformats.org/officeDocument/2006/relationships/hyperlink" Target="https://www.100ppi.com/news/detail-20260819-6089696.html" TargetMode="External" Id="rId1039"/><Relationship Type="http://schemas.openxmlformats.org/officeDocument/2006/relationships/hyperlink" Target="https://www.100ppi.com/news/detail-20260820-6095872.html" TargetMode="External" Id="rId1040"/><Relationship Type="http://schemas.openxmlformats.org/officeDocument/2006/relationships/hyperlink" Target="https://www.100ppi.com/news/detail-20260821-6101594.html" TargetMode="External" Id="rId1041"/><Relationship Type="http://schemas.openxmlformats.org/officeDocument/2006/relationships/hyperlink" Target="https://www.100ppi.com/news/detail-20260824-6110716.html" TargetMode="External" Id="rId1042"/><Relationship Type="http://schemas.openxmlformats.org/officeDocument/2006/relationships/hyperlink" Target="https://www.100ppi.com/news/detail-20260825-6116876.html" TargetMode="External" Id="rId1043"/><Relationship Type="http://schemas.openxmlformats.org/officeDocument/2006/relationships/hyperlink" Target="https://www.100ppi.com/news/detail-20260826-6122560.html" TargetMode="External" Id="rId1044"/><Relationship Type="http://schemas.openxmlformats.org/officeDocument/2006/relationships/hyperlink" Target="https://www.100ppi.com/news/detail-20260827-6128313.html" TargetMode="External" Id="rId1045"/><Relationship Type="http://schemas.openxmlformats.org/officeDocument/2006/relationships/hyperlink" Target="https://www.100ppi.com/news/detail-20260828-6133952.html" TargetMode="External" Id="rId1046"/><Relationship Type="http://schemas.openxmlformats.org/officeDocument/2006/relationships/hyperlink" Target="https://www.100ppi.com/news/detail-20260831-6143088.html" TargetMode="External" Id="rId1047"/><Relationship Type="http://schemas.openxmlformats.org/officeDocument/2006/relationships/hyperlink" Target="https://www.100ppi.com/news/detail-20260901-6149266.html" TargetMode="External" Id="rId1048"/><Relationship Type="http://schemas.openxmlformats.org/officeDocument/2006/relationships/hyperlink" Target="https://www.100ppi.com/news/detail-20260902-6155349.html" TargetMode="External" Id="rId1049"/><Relationship Type="http://schemas.openxmlformats.org/officeDocument/2006/relationships/hyperlink" Target="https://www.100ppi.com/news/detail-20260903-6161478.html" TargetMode="External" Id="rId1050"/><Relationship Type="http://schemas.openxmlformats.org/officeDocument/2006/relationships/hyperlink" Target="https://www.100ppi.com/news/detail-20260904-6167491.html" TargetMode="External" Id="rId1051"/><Relationship Type="http://schemas.openxmlformats.org/officeDocument/2006/relationships/hyperlink" Target="https://www.100ppi.com/news/detail-20260907-6177529.html" TargetMode="External" Id="rId1052"/><Relationship Type="http://schemas.openxmlformats.org/officeDocument/2006/relationships/hyperlink" Target="https://www.100ppi.com/news/detail-20260908-6183662.html" TargetMode="External" Id="rId1053"/><Relationship Type="http://schemas.openxmlformats.org/officeDocument/2006/relationships/hyperlink" Target="https://www.100ppi.com/news/detail-20260909-6189616.html" TargetMode="External" Id="rId1054"/><Relationship Type="http://schemas.openxmlformats.org/officeDocument/2006/relationships/hyperlink" Target="https://www.100ppi.com/news/detail-20260910-6195508.html" TargetMode="External" Id="rId1055"/><Relationship Type="http://schemas.openxmlformats.org/officeDocument/2006/relationships/hyperlink" Target="https://www.100ppi.com/news/detail-20260911-6201482.html" TargetMode="External" Id="rId1056"/><Relationship Type="http://schemas.openxmlformats.org/officeDocument/2006/relationships/hyperlink" Target="https://www.100ppi.com/news/detail-20260914-6211043.html" TargetMode="External" Id="rId1057"/><Relationship Type="http://schemas.openxmlformats.org/officeDocument/2006/relationships/hyperlink" Target="https://www.100ppi.com/news/detail-20260915-6217285.html" TargetMode="External" Id="rId1058"/><Relationship Type="http://schemas.openxmlformats.org/officeDocument/2006/relationships/hyperlink" Target="https://www.100ppi.com/news/detail-20260916-6223176.html" TargetMode="External" Id="rId1059"/><Relationship Type="http://schemas.openxmlformats.org/officeDocument/2006/relationships/hyperlink" Target="https://www.100ppi.com/news/detail-20260917-6228894.html" TargetMode="External" Id="rId1060"/><Relationship Type="http://schemas.openxmlformats.org/officeDocument/2006/relationships/hyperlink" Target="https://www.100ppi.com/news/detail-20260918-6234691.html" TargetMode="External" Id="rId1061"/><Relationship Type="http://schemas.openxmlformats.org/officeDocument/2006/relationships/hyperlink" Target="https://www.100ppi.com/news/detail-20260921-6247994.html" TargetMode="External" Id="rId1062"/><Relationship Type="http://schemas.openxmlformats.org/officeDocument/2006/relationships/hyperlink" Target="https://www.100ppi.com/news/detail-20260922-6254078.html" TargetMode="External" Id="rId1063"/><Relationship Type="http://schemas.openxmlformats.org/officeDocument/2006/relationships/hyperlink" Target="https://www.100ppi.com/news/detail-20260923-6259904.html" TargetMode="External" Id="rId1064"/><Relationship Type="http://schemas.openxmlformats.org/officeDocument/2006/relationships/hyperlink" Target="https://www.100ppi.com/news/detail-20260924-6265604.html" TargetMode="External" Id="rId1065"/><Relationship Type="http://schemas.openxmlformats.org/officeDocument/2006/relationships/hyperlink" Target="https://www.100ppi.com/news/detail-20260925-6271392.html" TargetMode="External" Id="rId1066"/><Relationship Type="http://schemas.openxmlformats.org/officeDocument/2006/relationships/hyperlink" Target="https://www.100ppi.com/news/detail-20260928-6276569.html" TargetMode="External" Id="rId1067"/><Relationship Type="http://schemas.openxmlformats.org/officeDocument/2006/relationships/hyperlink" Target="https://www.100ppi.com/news/detail-20260929-6282922.html" TargetMode="External" Id="rId1068"/><Relationship Type="http://schemas.openxmlformats.org/officeDocument/2006/relationships/hyperlink" Target="https://www.100ppi.com/news/detail-20260930-6288680.html" TargetMode="External" Id="rId1069"/><Relationship Type="http://schemas.openxmlformats.org/officeDocument/2006/relationships/hyperlink" Target="https://www.100ppi.com/news/detail-20261001-6294409.html" TargetMode="External" Id="rId1070"/><Relationship Type="http://schemas.openxmlformats.org/officeDocument/2006/relationships/hyperlink" Target="https://www.100ppi.com/news/detail-20261002-6296389.html" TargetMode="External" Id="rId1071"/><Relationship Type="http://schemas.openxmlformats.org/officeDocument/2006/relationships/hyperlink" Target="https://www.100ppi.com/news/detail-20261005-6301779.html" TargetMode="External" Id="rId1072"/><Relationship Type="http://schemas.openxmlformats.org/officeDocument/2006/relationships/hyperlink" Target="https://www.100ppi.com/news/detail-20261006-6303714.html" TargetMode="External" Id="rId1073"/><Relationship Type="http://schemas.openxmlformats.org/officeDocument/2006/relationships/hyperlink" Target="https://www.100ppi.com/news/detail-20261007-6305991.html" TargetMode="External" Id="rId1074"/><Relationship Type="http://schemas.openxmlformats.org/officeDocument/2006/relationships/hyperlink" Target="https://www.100ppi.com/news/detail-20261008-6308052.html" TargetMode="External" Id="rId1075"/><Relationship Type="http://schemas.openxmlformats.org/officeDocument/2006/relationships/hyperlink" Target="https://www.100ppi.com/news/detail-20261009-6314297.html" TargetMode="External" Id="rId1076"/><Relationship Type="http://schemas.openxmlformats.org/officeDocument/2006/relationships/hyperlink" Target="https://www.100ppi.com/news/detail-20261012-6328230.html" TargetMode="External" Id="rId1077"/><Relationship Type="http://schemas.openxmlformats.org/officeDocument/2006/relationships/hyperlink" Target="https://www.100ppi.com/news/detail-20261013-6333968.html" TargetMode="External" Id="rId1078"/><Relationship Type="http://schemas.openxmlformats.org/officeDocument/2006/relationships/hyperlink" Target="https://www.100ppi.com/news/detail-20261014-6339657.html" TargetMode="External" Id="rId1079"/><Relationship Type="http://schemas.openxmlformats.org/officeDocument/2006/relationships/hyperlink" Target="https://www.100ppi.com/news/detail-20261015-6345812.html" TargetMode="External" Id="rId1080"/><Relationship Type="http://schemas.openxmlformats.org/officeDocument/2006/relationships/hyperlink" Target="https://www.100ppi.com/news/detail-20261016-6351838.html" TargetMode="External" Id="rId1081"/><Relationship Type="http://schemas.openxmlformats.org/officeDocument/2006/relationships/hyperlink" Target="https://www.100ppi.com/news/detail-20261019-6362290.html" TargetMode="External" Id="rId1082"/><Relationship Type="http://schemas.openxmlformats.org/officeDocument/2006/relationships/hyperlink" Target="https://www.100ppi.com/news/detail-20261020-6368678.html" TargetMode="External" Id="rId108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华东甲醇现货价格季节性 · 价格季节性分析</t>
        </is>
      </c>
    </row>
    <row r="2">
      <c r="A2" s="2" t="inlineStr">
        <is>
          <t>历史已实现季节性 · 不是对未来价格的预测 · 生成于 2026-10-21 09:20</t>
        </is>
      </c>
    </row>
    <row r="4">
      <c r="A4" s="3" t="inlineStr">
        <is>
          <t>用途</t>
        </is>
      </c>
      <c r="B4" s="4" t="inlineStr">
        <is>
          <t>看清某品种/地区/合约在一年中同一周/月的历史价格分布位置，服务于价差与量化研究</t>
        </is>
      </c>
    </row>
    <row r="5">
      <c r="A5" s="3" t="inlineStr">
        <is>
          <t>需求口径</t>
        </is>
      </c>
      <c r="B5" s="4" t="inlineStr">
        <is>
          <t>华东地区 甲醇现货价格</t>
        </is>
      </c>
    </row>
    <row r="6">
      <c r="A6" s="3" t="inlineStr">
        <is>
          <t>实际口径</t>
        </is>
      </c>
      <c r="B6" s="4" t="inlineStr">
        <is>
          <t>生意社甲醇基准价 —— 全国口径·含税·交易指导价（元/吨）</t>
        </is>
      </c>
    </row>
    <row r="7">
      <c r="A7" s="3" t="inlineStr">
        <is>
          <t>口径是否降级</t>
        </is>
      </c>
      <c r="B7" s="5" t="inlineStr">
        <is>
          <t>是（已在全篇声明，不得把实际口径改写为需求口径）</t>
        </is>
      </c>
    </row>
    <row r="8">
      <c r="A8" s="3" t="inlineStr">
        <is>
          <t>降级原因/说明</t>
        </is>
      </c>
      <c r="B8" s="4" t="inlineStr">
        <is>
          <t>华东/太仓区域现货 10 年历史在免费公开渠道不可得（隆众、卓创接口需付费订阅）；本次取得的是生意社基准价的全国口径。该口径适用于全国价格水平的季节性判断，但不能用于区域价差、交割地贴水等区域特征推断。</t>
        </is>
      </c>
    </row>
    <row r="9">
      <c r="A9" s="3" t="inlineStr">
        <is>
          <t>单位 / 税基</t>
        </is>
      </c>
      <c r="B9" s="4" t="inlineStr">
        <is>
          <t>元/吨 / 含税</t>
        </is>
      </c>
    </row>
    <row r="10">
      <c r="A10" s="3" t="inlineStr">
        <is>
          <t>样本区间</t>
        </is>
      </c>
      <c r="B10" s="4" t="inlineStr">
        <is>
          <t>2022-08-17 → 2026-10-20</t>
        </is>
      </c>
    </row>
    <row r="11">
      <c r="A11" s="3" t="inlineStr">
        <is>
          <t>自然日报价点数</t>
        </is>
      </c>
      <c r="B11" s="4" t="n">
        <v>1083</v>
      </c>
    </row>
    <row r="12">
      <c r="A12" s="3" t="inlineStr">
        <is>
          <t>申请样本年数</t>
        </is>
      </c>
      <c r="B12" s="4" t="n">
        <v>10</v>
      </c>
    </row>
    <row r="13">
      <c r="A13" s="3" t="inlineStr">
        <is>
          <t>实际覆盖年数</t>
        </is>
      </c>
      <c r="B13" s="4" t="n">
        <v>5</v>
      </c>
    </row>
    <row r="14">
      <c r="A14" s="3" t="inlineStr">
        <is>
          <t>覆盖年份</t>
        </is>
      </c>
      <c r="B14" s="4" t="inlineStr">
        <is>
          <t>2022, 2023, 2024, 2025, 2026</t>
        </is>
      </c>
    </row>
    <row r="15">
      <c r="A15" s="3" t="inlineStr">
        <is>
          <t>月度完整年份(12个月都有数据)</t>
        </is>
      </c>
      <c r="B15" s="4" t="inlineStr">
        <is>
          <t>2023, 2024, 2025, 2026</t>
        </is>
      </c>
    </row>
    <row r="16">
      <c r="A16" s="3" t="inlineStr">
        <is>
          <t>周度对齐规则</t>
        </is>
      </c>
      <c r="B16" s="4" t="inlineStr">
        <is>
          <t>ISO 8601 周(周一为首日)；周值 = 该周最后一个有报价日；ISO 第53周折叠入第52周</t>
        </is>
      </c>
    </row>
    <row r="17">
      <c r="A17" s="3" t="inlineStr">
        <is>
          <t>月度对齐规则</t>
        </is>
      </c>
      <c r="B17" s="4" t="inlineStr">
        <is>
          <t>自然月；月值 = 该月最后一个有报价日</t>
        </is>
      </c>
    </row>
    <row r="18">
      <c r="A18" s="3" t="inlineStr">
        <is>
          <t>缺失处理</t>
        </is>
      </c>
      <c r="B18" s="4" t="inlineStr">
        <is>
          <t>不插值、不前值填充、不删除样本；缺口逐条列于「11数据缺口」</t>
        </is>
      </c>
    </row>
    <row r="19">
      <c r="A19" s="3" t="inlineStr">
        <is>
          <t>分位算法</t>
        </is>
      </c>
      <c r="B19" s="4" t="inlineStr">
        <is>
          <t>经验分位线性插值 = Excel PERCENTILE.INC (等价 numpy default / R type 7)</t>
        </is>
      </c>
    </row>
    <row r="20">
      <c r="A20" s="3" t="inlineStr">
        <is>
          <t>统计样本门槛</t>
        </is>
      </c>
      <c r="B20" s="4" t="inlineStr">
        <is>
          <t>同一位置有效年数 &lt; 3 年 → 标记样本不足，不参与形态判断</t>
        </is>
      </c>
    </row>
    <row r="21">
      <c r="A21" s="3" t="inlineStr">
        <is>
          <t>季节性强度 R²</t>
        </is>
      </c>
      <c r="B21" s="4" t="inlineStr">
        <is>
          <t>周度 13.8% · 月度 12.3%（季节性弱，年份间价格水平漂移主导）</t>
        </is>
      </c>
    </row>
    <row r="22">
      <c r="A22" s="3" t="inlineStr">
        <is>
          <t>使用边界</t>
        </is>
      </c>
      <c r="B22" s="4" t="inlineStr">
        <is>
          <t>仅描述历史分布；季节形态弱时不可作为价位判断依据；各位置样本仅数年，分位不确定性大</t>
        </is>
      </c>
    </row>
    <row r="23">
      <c r="A23" s="3" t="inlineStr">
        <is>
          <t>异常年处理</t>
        </is>
      </c>
      <c r="B23" s="4" t="inlineStr">
        <is>
          <t>自动识别并给出证据，但**不删除**任何年份；是否剔除由研究者决定并记录</t>
        </is>
      </c>
    </row>
  </sheetData>
  <mergeCells count="21">
    <mergeCell ref="B9:H9"/>
    <mergeCell ref="B6:H6"/>
    <mergeCell ref="B15:H15"/>
    <mergeCell ref="B5:H5"/>
    <mergeCell ref="B20:H20"/>
    <mergeCell ref="B4:H4"/>
    <mergeCell ref="B16:H16"/>
    <mergeCell ref="B7:H7"/>
    <mergeCell ref="B22:H22"/>
    <mergeCell ref="B18:H18"/>
    <mergeCell ref="B21:H21"/>
    <mergeCell ref="A2:H2"/>
    <mergeCell ref="B12:H12"/>
    <mergeCell ref="B11:H11"/>
    <mergeCell ref="B23:H23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1" customWidth="1" min="4" max="4"/>
    <col width="8" customWidth="1" min="5" max="5"/>
    <col width="8" customWidth="1" min="6" max="6"/>
    <col width="12" customWidth="1" min="7" max="7"/>
    <col width="62" customWidth="1" min="8" max="8"/>
    <col width="46" customWidth="1" min="9" max="9"/>
  </cols>
  <sheetData>
    <row r="1" ht="22" customHeight="1">
      <c r="A1" s="1" t="inlineStr">
        <is>
          <t>01 日度原始报价（逐行可追溯）</t>
        </is>
      </c>
    </row>
    <row r="2">
      <c r="A2" s="2" t="inlineStr">
        <is>
          <t>每条记录保留原文链接；缺失日期不出现（不补造）。共 1083 条</t>
        </is>
      </c>
    </row>
    <row r="3" ht="30" customHeight="1">
      <c r="A3" s="6" t="inlineStr">
        <is>
          <t>序号</t>
        </is>
      </c>
      <c r="B3" s="6" t="inlineStr">
        <is>
          <t>日期</t>
        </is>
      </c>
      <c r="C3" s="6" t="inlineStr">
        <is>
          <t>星期</t>
        </is>
      </c>
      <c r="D3" s="6" t="inlineStr">
        <is>
          <t>价格</t>
        </is>
      </c>
      <c r="E3" s="6" t="inlineStr">
        <is>
          <t>ISO年</t>
        </is>
      </c>
      <c r="F3" s="6" t="inlineStr">
        <is>
          <t>ISO周</t>
        </is>
      </c>
      <c r="G3" s="6" t="inlineStr">
        <is>
          <t>发布日</t>
        </is>
      </c>
      <c r="H3" s="6" t="inlineStr">
        <is>
          <t>来源链接</t>
        </is>
      </c>
      <c r="I3" s="6" t="inlineStr">
        <is>
          <t>标题</t>
        </is>
      </c>
    </row>
    <row r="4">
      <c r="A4" s="7" t="n">
        <v>1</v>
      </c>
      <c r="B4" s="7" t="inlineStr">
        <is>
          <t>2022-08-17</t>
        </is>
      </c>
      <c r="C4" s="7" t="inlineStr">
        <is>
          <t>三</t>
        </is>
      </c>
      <c r="D4" s="8" t="n">
        <v>2425</v>
      </c>
      <c r="E4" s="7" t="n">
        <v>2022</v>
      </c>
      <c r="F4" s="7" t="n">
        <v>33</v>
      </c>
      <c r="G4" s="7" t="inlineStr">
        <is>
          <t>2022-08-17</t>
        </is>
      </c>
      <c r="H4" s="9" t="inlineStr">
        <is>
          <t>https://www.100ppi.com/news/detail-20220817-2246847.html</t>
        </is>
      </c>
      <c r="I4" s="7" t="inlineStr">
        <is>
          <t>8月17日生意社甲醇基准价为2425.00元/吨</t>
        </is>
      </c>
    </row>
    <row r="5">
      <c r="A5" s="7" t="n">
        <v>2</v>
      </c>
      <c r="B5" s="7" t="inlineStr">
        <is>
          <t>2022-08-18</t>
        </is>
      </c>
      <c r="C5" s="7" t="inlineStr">
        <is>
          <t>四</t>
        </is>
      </c>
      <c r="D5" s="8" t="n">
        <v>2432.5</v>
      </c>
      <c r="E5" s="7" t="n">
        <v>2022</v>
      </c>
      <c r="F5" s="7" t="n">
        <v>33</v>
      </c>
      <c r="G5" s="7" t="inlineStr">
        <is>
          <t>2022-08-18</t>
        </is>
      </c>
      <c r="H5" s="9" t="inlineStr">
        <is>
          <t>https://www.100ppi.com/news/detail-20220818-2248551.html</t>
        </is>
      </c>
      <c r="I5" s="7" t="inlineStr">
        <is>
          <t>8月18日生意社甲醇基准价为2432.50元/吨</t>
        </is>
      </c>
    </row>
    <row r="6">
      <c r="A6" s="7" t="n">
        <v>3</v>
      </c>
      <c r="B6" s="7" t="inlineStr">
        <is>
          <t>2022-08-19</t>
        </is>
      </c>
      <c r="C6" s="7" t="inlineStr">
        <is>
          <t>五</t>
        </is>
      </c>
      <c r="D6" s="8" t="n">
        <v>2438.75</v>
      </c>
      <c r="E6" s="7" t="n">
        <v>2022</v>
      </c>
      <c r="F6" s="7" t="n">
        <v>33</v>
      </c>
      <c r="G6" s="7" t="inlineStr">
        <is>
          <t>2022-08-19</t>
        </is>
      </c>
      <c r="H6" s="9" t="inlineStr">
        <is>
          <t>https://www.100ppi.com/news/detail-20220819-2250235.html</t>
        </is>
      </c>
      <c r="I6" s="7" t="inlineStr">
        <is>
          <t>8月19日生意社甲醇基准价为2438.75元/吨</t>
        </is>
      </c>
    </row>
    <row r="7">
      <c r="A7" s="7" t="n">
        <v>4</v>
      </c>
      <c r="B7" s="7" t="inlineStr">
        <is>
          <t>2022-08-22</t>
        </is>
      </c>
      <c r="C7" s="7" t="inlineStr">
        <is>
          <t>一</t>
        </is>
      </c>
      <c r="D7" s="8" t="n">
        <v>2458.75</v>
      </c>
      <c r="E7" s="7" t="n">
        <v>2022</v>
      </c>
      <c r="F7" s="7" t="n">
        <v>34</v>
      </c>
      <c r="G7" s="7" t="inlineStr">
        <is>
          <t>2022-08-22</t>
        </is>
      </c>
      <c r="H7" s="9" t="inlineStr">
        <is>
          <t>https://www.100ppi.com/news/detail-20220822-2253307.html</t>
        </is>
      </c>
      <c r="I7" s="7" t="inlineStr">
        <is>
          <t>8月22日生意社甲醇基准价为2458.75元/吨</t>
        </is>
      </c>
    </row>
    <row r="8">
      <c r="A8" s="7" t="n">
        <v>5</v>
      </c>
      <c r="B8" s="7" t="inlineStr">
        <is>
          <t>2022-08-23</t>
        </is>
      </c>
      <c r="C8" s="7" t="inlineStr">
        <is>
          <t>二</t>
        </is>
      </c>
      <c r="D8" s="8" t="n">
        <v>2475</v>
      </c>
      <c r="E8" s="7" t="n">
        <v>2022</v>
      </c>
      <c r="F8" s="7" t="n">
        <v>34</v>
      </c>
      <c r="G8" s="7" t="inlineStr">
        <is>
          <t>2022-08-23</t>
        </is>
      </c>
      <c r="H8" s="9" t="inlineStr">
        <is>
          <t>https://www.100ppi.com/news/detail-20220823-2255137.html</t>
        </is>
      </c>
      <c r="I8" s="7" t="inlineStr">
        <is>
          <t>8月23日生意社甲醇基准价为2475.00元/吨</t>
        </is>
      </c>
    </row>
    <row r="9">
      <c r="A9" s="7" t="n">
        <v>6</v>
      </c>
      <c r="B9" s="7" t="inlineStr">
        <is>
          <t>2022-08-24</t>
        </is>
      </c>
      <c r="C9" s="7" t="inlineStr">
        <is>
          <t>三</t>
        </is>
      </c>
      <c r="D9" s="8" t="n">
        <v>2483.33</v>
      </c>
      <c r="E9" s="7" t="n">
        <v>2022</v>
      </c>
      <c r="F9" s="7" t="n">
        <v>34</v>
      </c>
      <c r="G9" s="7" t="inlineStr">
        <is>
          <t>2022-08-24</t>
        </is>
      </c>
      <c r="H9" s="9" t="inlineStr">
        <is>
          <t>https://www.100ppi.com/news/detail-20220824-2256779.html</t>
        </is>
      </c>
      <c r="I9" s="7" t="inlineStr">
        <is>
          <t>8月24日生意社甲醇基准价为2483.33元/吨</t>
        </is>
      </c>
    </row>
    <row r="10">
      <c r="A10" s="7" t="n">
        <v>7</v>
      </c>
      <c r="B10" s="7" t="inlineStr">
        <is>
          <t>2022-08-25</t>
        </is>
      </c>
      <c r="C10" s="7" t="inlineStr">
        <is>
          <t>四</t>
        </is>
      </c>
      <c r="D10" s="8" t="n">
        <v>2512.5</v>
      </c>
      <c r="E10" s="7" t="n">
        <v>2022</v>
      </c>
      <c r="F10" s="7" t="n">
        <v>34</v>
      </c>
      <c r="G10" s="7" t="inlineStr">
        <is>
          <t>2022-08-25</t>
        </is>
      </c>
      <c r="H10" s="9" t="inlineStr">
        <is>
          <t>https://www.100ppi.com/news/detail-20220825-2258482.html</t>
        </is>
      </c>
      <c r="I10" s="7" t="inlineStr">
        <is>
          <t>8月25日生意社甲醇基准价为2512.50元/吨</t>
        </is>
      </c>
    </row>
    <row r="11">
      <c r="A11" s="7" t="n">
        <v>8</v>
      </c>
      <c r="B11" s="7" t="inlineStr">
        <is>
          <t>2022-08-26</t>
        </is>
      </c>
      <c r="C11" s="7" t="inlineStr">
        <is>
          <t>五</t>
        </is>
      </c>
      <c r="D11" s="8" t="n">
        <v>2568.75</v>
      </c>
      <c r="E11" s="7" t="n">
        <v>2022</v>
      </c>
      <c r="F11" s="7" t="n">
        <v>34</v>
      </c>
      <c r="G11" s="7" t="inlineStr">
        <is>
          <t>2022-08-26</t>
        </is>
      </c>
      <c r="H11" s="9" t="inlineStr">
        <is>
          <t>https://www.100ppi.com/news/detail-20220826-2260191.html</t>
        </is>
      </c>
      <c r="I11" s="7" t="inlineStr">
        <is>
          <t>8月26日生意社甲醇基准价为2568.75元/吨</t>
        </is>
      </c>
    </row>
    <row r="12">
      <c r="A12" s="7" t="n">
        <v>9</v>
      </c>
      <c r="B12" s="7" t="inlineStr">
        <is>
          <t>2022-08-29</t>
        </is>
      </c>
      <c r="C12" s="7" t="inlineStr">
        <is>
          <t>一</t>
        </is>
      </c>
      <c r="D12" s="8" t="n">
        <v>2539</v>
      </c>
      <c r="E12" s="7" t="n">
        <v>2022</v>
      </c>
      <c r="F12" s="7" t="n">
        <v>35</v>
      </c>
      <c r="G12" s="7" t="inlineStr">
        <is>
          <t>2022-08-29</t>
        </is>
      </c>
      <c r="H12" s="9" t="inlineStr">
        <is>
          <t>https://www.100ppi.com/news/detail-20220829-2263271.html</t>
        </is>
      </c>
      <c r="I12" s="7" t="inlineStr">
        <is>
          <t>8月29日生意社甲醇基准价为2539.00元/吨</t>
        </is>
      </c>
    </row>
    <row r="13">
      <c r="A13" s="7" t="n">
        <v>10</v>
      </c>
      <c r="B13" s="7" t="inlineStr">
        <is>
          <t>2022-08-30</t>
        </is>
      </c>
      <c r="C13" s="7" t="inlineStr">
        <is>
          <t>二</t>
        </is>
      </c>
      <c r="D13" s="8" t="n">
        <v>2550</v>
      </c>
      <c r="E13" s="7" t="n">
        <v>2022</v>
      </c>
      <c r="F13" s="7" t="n">
        <v>35</v>
      </c>
      <c r="G13" s="7" t="inlineStr">
        <is>
          <t>2022-08-30</t>
        </is>
      </c>
      <c r="H13" s="9" t="inlineStr">
        <is>
          <t>https://www.100ppi.com/news/detail-20220830-2265052.html</t>
        </is>
      </c>
      <c r="I13" s="7" t="inlineStr">
        <is>
          <t>8月30日生意社甲醇基准价为2550.00元/吨</t>
        </is>
      </c>
    </row>
    <row r="14">
      <c r="A14" s="7" t="n">
        <v>11</v>
      </c>
      <c r="B14" s="7" t="inlineStr">
        <is>
          <t>2022-08-31</t>
        </is>
      </c>
      <c r="C14" s="7" t="inlineStr">
        <is>
          <t>三</t>
        </is>
      </c>
      <c r="D14" s="8" t="n">
        <v>2540</v>
      </c>
      <c r="E14" s="7" t="n">
        <v>2022</v>
      </c>
      <c r="F14" s="7" t="n">
        <v>35</v>
      </c>
      <c r="G14" s="7" t="inlineStr">
        <is>
          <t>2022-08-31</t>
        </is>
      </c>
      <c r="H14" s="9" t="inlineStr">
        <is>
          <t>https://www.100ppi.com/news/detail-20220831-2266741.html</t>
        </is>
      </c>
      <c r="I14" s="7" t="inlineStr">
        <is>
          <t>8月31日生意社甲醇基准价为2540.00元/吨</t>
        </is>
      </c>
    </row>
    <row r="15">
      <c r="A15" s="7" t="n">
        <v>12</v>
      </c>
      <c r="B15" s="7" t="inlineStr">
        <is>
          <t>2022-09-01</t>
        </is>
      </c>
      <c r="C15" s="7" t="inlineStr">
        <is>
          <t>四</t>
        </is>
      </c>
      <c r="D15" s="8" t="n">
        <v>2528</v>
      </c>
      <c r="E15" s="7" t="n">
        <v>2022</v>
      </c>
      <c r="F15" s="7" t="n">
        <v>35</v>
      </c>
      <c r="G15" s="7" t="inlineStr">
        <is>
          <t>2022-09-01</t>
        </is>
      </c>
      <c r="H15" s="9" t="inlineStr">
        <is>
          <t>https://www.100ppi.com/news/detail-20220901-2268454.html</t>
        </is>
      </c>
      <c r="I15" s="7" t="inlineStr">
        <is>
          <t>9月1日生意社甲醇基准价为2528.00元/吨</t>
        </is>
      </c>
    </row>
    <row r="16">
      <c r="A16" s="7" t="n">
        <v>13</v>
      </c>
      <c r="B16" s="7" t="inlineStr">
        <is>
          <t>2022-09-02</t>
        </is>
      </c>
      <c r="C16" s="7" t="inlineStr">
        <is>
          <t>五</t>
        </is>
      </c>
      <c r="D16" s="8" t="n">
        <v>2553.75</v>
      </c>
      <c r="E16" s="7" t="n">
        <v>2022</v>
      </c>
      <c r="F16" s="7" t="n">
        <v>35</v>
      </c>
      <c r="G16" s="7" t="inlineStr">
        <is>
          <t>2022-09-02</t>
        </is>
      </c>
      <c r="H16" s="9" t="inlineStr">
        <is>
          <t>https://www.100ppi.com/news/detail-20220902-2270149.html</t>
        </is>
      </c>
      <c r="I16" s="7" t="inlineStr">
        <is>
          <t>9月2日生意社甲醇基准价为2553.75元/吨</t>
        </is>
      </c>
    </row>
    <row r="17">
      <c r="A17" s="7" t="n">
        <v>14</v>
      </c>
      <c r="B17" s="7" t="inlineStr">
        <is>
          <t>2022-09-05</t>
        </is>
      </c>
      <c r="C17" s="7" t="inlineStr">
        <is>
          <t>一</t>
        </is>
      </c>
      <c r="D17" s="8" t="n">
        <v>2598.75</v>
      </c>
      <c r="E17" s="7" t="n">
        <v>2022</v>
      </c>
      <c r="F17" s="7" t="n">
        <v>36</v>
      </c>
      <c r="G17" s="7" t="inlineStr">
        <is>
          <t>2022-09-05</t>
        </is>
      </c>
      <c r="H17" s="9" t="inlineStr">
        <is>
          <t>https://www.100ppi.com/news/detail-20220905-2273276.html</t>
        </is>
      </c>
      <c r="I17" s="7" t="inlineStr">
        <is>
          <t>9月5日生意社甲醇基准价为2598.75元/吨</t>
        </is>
      </c>
    </row>
    <row r="18">
      <c r="A18" s="7" t="n">
        <v>15</v>
      </c>
      <c r="B18" s="7" t="inlineStr">
        <is>
          <t>2022-09-06</t>
        </is>
      </c>
      <c r="C18" s="7" t="inlineStr">
        <is>
          <t>二</t>
        </is>
      </c>
      <c r="D18" s="8" t="n">
        <v>2672</v>
      </c>
      <c r="E18" s="7" t="n">
        <v>2022</v>
      </c>
      <c r="F18" s="7" t="n">
        <v>36</v>
      </c>
      <c r="G18" s="7" t="inlineStr">
        <is>
          <t>2022-09-06</t>
        </is>
      </c>
      <c r="H18" s="9" t="inlineStr">
        <is>
          <t>https://www.100ppi.com/news/detail-20220906-2275113.html</t>
        </is>
      </c>
      <c r="I18" s="7" t="inlineStr">
        <is>
          <t>9月6日生意社甲醇基准价为2672.00元/吨</t>
        </is>
      </c>
    </row>
    <row r="19">
      <c r="A19" s="7" t="n">
        <v>16</v>
      </c>
      <c r="B19" s="7" t="inlineStr">
        <is>
          <t>2022-09-07</t>
        </is>
      </c>
      <c r="C19" s="7" t="inlineStr">
        <is>
          <t>三</t>
        </is>
      </c>
      <c r="D19" s="8" t="n">
        <v>2648</v>
      </c>
      <c r="E19" s="7" t="n">
        <v>2022</v>
      </c>
      <c r="F19" s="7" t="n">
        <v>36</v>
      </c>
      <c r="G19" s="7" t="inlineStr">
        <is>
          <t>2022-09-07</t>
        </is>
      </c>
      <c r="H19" s="9" t="inlineStr">
        <is>
          <t>https://www.100ppi.com/news/detail-20220907-2276828.html</t>
        </is>
      </c>
      <c r="I19" s="7" t="inlineStr">
        <is>
          <t>9月7日生意社甲醇基准价为2648.00元/吨</t>
        </is>
      </c>
    </row>
    <row r="20">
      <c r="A20" s="7" t="n">
        <v>17</v>
      </c>
      <c r="B20" s="7" t="inlineStr">
        <is>
          <t>2022-09-08</t>
        </is>
      </c>
      <c r="C20" s="7" t="inlineStr">
        <is>
          <t>四</t>
        </is>
      </c>
      <c r="D20" s="8" t="n">
        <v>2668.75</v>
      </c>
      <c r="E20" s="7" t="n">
        <v>2022</v>
      </c>
      <c r="F20" s="7" t="n">
        <v>36</v>
      </c>
      <c r="G20" s="7" t="inlineStr">
        <is>
          <t>2022-09-08</t>
        </is>
      </c>
      <c r="H20" s="9" t="inlineStr">
        <is>
          <t>https://www.100ppi.com/news/detail-20220908-2278462.html</t>
        </is>
      </c>
      <c r="I20" s="7" t="inlineStr">
        <is>
          <t>9月8日生意社甲醇基准价为2668.75元/吨</t>
        </is>
      </c>
    </row>
    <row r="21">
      <c r="A21" s="7" t="n">
        <v>18</v>
      </c>
      <c r="B21" s="7" t="inlineStr">
        <is>
          <t>2022-09-09</t>
        </is>
      </c>
      <c r="C21" s="7" t="inlineStr">
        <is>
          <t>五</t>
        </is>
      </c>
      <c r="D21" s="8" t="n">
        <v>2712.5</v>
      </c>
      <c r="E21" s="7" t="n">
        <v>2022</v>
      </c>
      <c r="F21" s="7" t="n">
        <v>36</v>
      </c>
      <c r="G21" s="7" t="inlineStr">
        <is>
          <t>2022-09-09</t>
        </is>
      </c>
      <c r="H21" s="9" t="inlineStr">
        <is>
          <t>https://www.100ppi.com/news/detail-20220909-2280300.html</t>
        </is>
      </c>
      <c r="I21" s="7" t="inlineStr">
        <is>
          <t>9月9日生意社甲醇基准价为2712.50元/吨</t>
        </is>
      </c>
    </row>
    <row r="22">
      <c r="A22" s="7" t="n">
        <v>19</v>
      </c>
      <c r="B22" s="7" t="inlineStr">
        <is>
          <t>2022-09-12</t>
        </is>
      </c>
      <c r="C22" s="7" t="inlineStr">
        <is>
          <t>一</t>
        </is>
      </c>
      <c r="D22" s="8" t="n">
        <v>2712.5</v>
      </c>
      <c r="E22" s="7" t="n">
        <v>2022</v>
      </c>
      <c r="F22" s="7" t="n">
        <v>37</v>
      </c>
      <c r="G22" s="7" t="inlineStr">
        <is>
          <t>2022-09-12</t>
        </is>
      </c>
      <c r="H22" s="9" t="inlineStr">
        <is>
          <t>https://www.100ppi.com/news/detail-20220912-2282011.html</t>
        </is>
      </c>
      <c r="I22" s="7" t="inlineStr">
        <is>
          <t>9月12日生意社甲醇基准价为2712.50元/吨</t>
        </is>
      </c>
    </row>
    <row r="23">
      <c r="A23" s="7" t="n">
        <v>20</v>
      </c>
      <c r="B23" s="7" t="inlineStr">
        <is>
          <t>2022-09-14</t>
        </is>
      </c>
      <c r="C23" s="7" t="inlineStr">
        <is>
          <t>三</t>
        </is>
      </c>
      <c r="D23" s="8" t="n">
        <v>2711.25</v>
      </c>
      <c r="E23" s="7" t="n">
        <v>2022</v>
      </c>
      <c r="F23" s="7" t="n">
        <v>37</v>
      </c>
      <c r="G23" s="7" t="inlineStr">
        <is>
          <t>2022-09-14</t>
        </is>
      </c>
      <c r="H23" s="9" t="inlineStr">
        <is>
          <t>https://www.100ppi.com/news/detail-20220914-2285791.html</t>
        </is>
      </c>
      <c r="I23" s="7" t="inlineStr">
        <is>
          <t>9月14日生意社甲醇基准价为2711.25元/吨</t>
        </is>
      </c>
    </row>
    <row r="24">
      <c r="A24" s="7" t="n">
        <v>21</v>
      </c>
      <c r="B24" s="7" t="inlineStr">
        <is>
          <t>2022-09-15</t>
        </is>
      </c>
      <c r="C24" s="7" t="inlineStr">
        <is>
          <t>四</t>
        </is>
      </c>
      <c r="D24" s="8" t="n">
        <v>2721.25</v>
      </c>
      <c r="E24" s="7" t="n">
        <v>2022</v>
      </c>
      <c r="F24" s="7" t="n">
        <v>37</v>
      </c>
      <c r="G24" s="7" t="inlineStr">
        <is>
          <t>2022-09-15</t>
        </is>
      </c>
      <c r="H24" s="9" t="inlineStr">
        <is>
          <t>https://www.100ppi.com/news/detail-20220915-2287598.html</t>
        </is>
      </c>
      <c r="I24" s="7" t="inlineStr">
        <is>
          <t>9月15日生意社甲醇基准价为2721.25元/吨</t>
        </is>
      </c>
    </row>
    <row r="25">
      <c r="A25" s="7" t="n">
        <v>22</v>
      </c>
      <c r="B25" s="7" t="inlineStr">
        <is>
          <t>2022-09-16</t>
        </is>
      </c>
      <c r="C25" s="7" t="inlineStr">
        <is>
          <t>五</t>
        </is>
      </c>
      <c r="D25" s="8" t="n">
        <v>2770</v>
      </c>
      <c r="E25" s="7" t="n">
        <v>2022</v>
      </c>
      <c r="F25" s="7" t="n">
        <v>37</v>
      </c>
      <c r="G25" s="7" t="inlineStr">
        <is>
          <t>2022-09-16</t>
        </is>
      </c>
      <c r="H25" s="9" t="inlineStr">
        <is>
          <t>https://www.100ppi.com/news/detail-20220916-2289137.html</t>
        </is>
      </c>
      <c r="I25" s="7" t="inlineStr">
        <is>
          <t>9月16日生意社甲醇基准价为2770.00元/吨</t>
        </is>
      </c>
    </row>
    <row r="26">
      <c r="A26" s="7" t="n">
        <v>23</v>
      </c>
      <c r="B26" s="7" t="inlineStr">
        <is>
          <t>2022-09-19</t>
        </is>
      </c>
      <c r="C26" s="7" t="inlineStr">
        <is>
          <t>一</t>
        </is>
      </c>
      <c r="D26" s="8" t="n">
        <v>2786.25</v>
      </c>
      <c r="E26" s="7" t="n">
        <v>2022</v>
      </c>
      <c r="F26" s="7" t="n">
        <v>38</v>
      </c>
      <c r="G26" s="7" t="inlineStr">
        <is>
          <t>2022-09-19</t>
        </is>
      </c>
      <c r="H26" s="9" t="inlineStr">
        <is>
          <t>https://www.100ppi.com/news/detail-20220919-2292363.html</t>
        </is>
      </c>
      <c r="I26" s="7" t="inlineStr">
        <is>
          <t>9月19日生意社甲醇基准价为2786.25元/吨</t>
        </is>
      </c>
    </row>
    <row r="27">
      <c r="A27" s="7" t="n">
        <v>24</v>
      </c>
      <c r="B27" s="7" t="inlineStr">
        <is>
          <t>2022-09-20</t>
        </is>
      </c>
      <c r="C27" s="7" t="inlineStr">
        <is>
          <t>二</t>
        </is>
      </c>
      <c r="D27" s="8" t="n">
        <v>2710</v>
      </c>
      <c r="E27" s="7" t="n">
        <v>2022</v>
      </c>
      <c r="F27" s="7" t="n">
        <v>38</v>
      </c>
      <c r="G27" s="7" t="inlineStr">
        <is>
          <t>2022-09-20</t>
        </is>
      </c>
      <c r="H27" s="9" t="inlineStr">
        <is>
          <t>https://www.100ppi.com/news/detail-20220920-2294167.html</t>
        </is>
      </c>
      <c r="I27" s="7" t="inlineStr">
        <is>
          <t>9月20日生意社甲醇基准价为2710.00元/吨</t>
        </is>
      </c>
    </row>
    <row r="28">
      <c r="A28" s="7" t="n">
        <v>25</v>
      </c>
      <c r="B28" s="7" t="inlineStr">
        <is>
          <t>2022-09-21</t>
        </is>
      </c>
      <c r="C28" s="7" t="inlineStr">
        <is>
          <t>三</t>
        </is>
      </c>
      <c r="D28" s="8" t="n">
        <v>2762</v>
      </c>
      <c r="E28" s="7" t="n">
        <v>2022</v>
      </c>
      <c r="F28" s="7" t="n">
        <v>38</v>
      </c>
      <c r="G28" s="7" t="inlineStr">
        <is>
          <t>2022-09-21</t>
        </is>
      </c>
      <c r="H28" s="9" t="inlineStr">
        <is>
          <t>https://www.100ppi.com/news/detail-20220921-2295806.html</t>
        </is>
      </c>
      <c r="I28" s="7" t="inlineStr">
        <is>
          <t>9月21日生意社甲醇基准价为2762.00元/吨</t>
        </is>
      </c>
    </row>
    <row r="29">
      <c r="A29" s="7" t="n">
        <v>26</v>
      </c>
      <c r="B29" s="7" t="inlineStr">
        <is>
          <t>2022-09-22</t>
        </is>
      </c>
      <c r="C29" s="7" t="inlineStr">
        <is>
          <t>四</t>
        </is>
      </c>
      <c r="D29" s="8" t="n">
        <v>2823.75</v>
      </c>
      <c r="E29" s="7" t="n">
        <v>2022</v>
      </c>
      <c r="F29" s="7" t="n">
        <v>38</v>
      </c>
      <c r="G29" s="7" t="inlineStr">
        <is>
          <t>2022-09-22</t>
        </is>
      </c>
      <c r="H29" s="9" t="inlineStr">
        <is>
          <t>https://www.100ppi.com/news/detail-20220922-2297657.html</t>
        </is>
      </c>
      <c r="I29" s="7" t="inlineStr">
        <is>
          <t>9月22日生意社甲醇基准价为2823.75元/吨</t>
        </is>
      </c>
    </row>
    <row r="30">
      <c r="A30" s="7" t="n">
        <v>27</v>
      </c>
      <c r="B30" s="7" t="inlineStr">
        <is>
          <t>2022-09-23</t>
        </is>
      </c>
      <c r="C30" s="7" t="inlineStr">
        <is>
          <t>五</t>
        </is>
      </c>
      <c r="D30" s="8" t="n">
        <v>2766</v>
      </c>
      <c r="E30" s="7" t="n">
        <v>2022</v>
      </c>
      <c r="F30" s="7" t="n">
        <v>38</v>
      </c>
      <c r="G30" s="7" t="inlineStr">
        <is>
          <t>2022-09-23</t>
        </is>
      </c>
      <c r="H30" s="9" t="inlineStr">
        <is>
          <t>https://www.100ppi.com/news/detail-20220923-2299480.html</t>
        </is>
      </c>
      <c r="I30" s="7" t="inlineStr">
        <is>
          <t>9月23日生意社甲醇基准价为2766.00元/吨</t>
        </is>
      </c>
    </row>
    <row r="31">
      <c r="A31" s="7" t="n">
        <v>28</v>
      </c>
      <c r="B31" s="7" t="inlineStr">
        <is>
          <t>2022-09-26</t>
        </is>
      </c>
      <c r="C31" s="7" t="inlineStr">
        <is>
          <t>一</t>
        </is>
      </c>
      <c r="D31" s="8" t="n">
        <v>2740</v>
      </c>
      <c r="E31" s="7" t="n">
        <v>2022</v>
      </c>
      <c r="F31" s="7" t="n">
        <v>39</v>
      </c>
      <c r="G31" s="7" t="inlineStr">
        <is>
          <t>2022-09-26</t>
        </is>
      </c>
      <c r="H31" s="9" t="inlineStr">
        <is>
          <t>https://www.100ppi.com/news/detail-20220926-2302794.html</t>
        </is>
      </c>
      <c r="I31" s="7" t="inlineStr">
        <is>
          <t>9月26日生意社甲醇基准价为2740.00元/吨</t>
        </is>
      </c>
    </row>
    <row r="32">
      <c r="A32" s="7" t="n">
        <v>29</v>
      </c>
      <c r="B32" s="7" t="inlineStr">
        <is>
          <t>2022-09-27</t>
        </is>
      </c>
      <c r="C32" s="7" t="inlineStr">
        <is>
          <t>二</t>
        </is>
      </c>
      <c r="D32" s="8" t="n">
        <v>2840</v>
      </c>
      <c r="E32" s="7" t="n">
        <v>2022</v>
      </c>
      <c r="F32" s="7" t="n">
        <v>39</v>
      </c>
      <c r="G32" s="7" t="inlineStr">
        <is>
          <t>2022-09-27</t>
        </is>
      </c>
      <c r="H32" s="9" t="inlineStr">
        <is>
          <t>https://www.100ppi.com/news/detail-20220927-2304632.html</t>
        </is>
      </c>
      <c r="I32" s="7" t="inlineStr">
        <is>
          <t>9月27日生意社甲醇基准价为2840.00元/吨</t>
        </is>
      </c>
    </row>
    <row r="33">
      <c r="A33" s="7" t="n">
        <v>30</v>
      </c>
      <c r="B33" s="7" t="inlineStr">
        <is>
          <t>2022-09-28</t>
        </is>
      </c>
      <c r="C33" s="7" t="inlineStr">
        <is>
          <t>三</t>
        </is>
      </c>
      <c r="D33" s="8" t="n">
        <v>2850</v>
      </c>
      <c r="E33" s="7" t="n">
        <v>2022</v>
      </c>
      <c r="F33" s="7" t="n">
        <v>39</v>
      </c>
      <c r="G33" s="7" t="inlineStr">
        <is>
          <t>2022-09-28</t>
        </is>
      </c>
      <c r="H33" s="9" t="inlineStr">
        <is>
          <t>https://www.100ppi.com/news/detail-20220928-2306542.html</t>
        </is>
      </c>
      <c r="I33" s="7" t="inlineStr">
        <is>
          <t>9月28日生意社甲醇基准价为2850.00元/吨</t>
        </is>
      </c>
    </row>
    <row r="34">
      <c r="A34" s="7" t="n">
        <v>31</v>
      </c>
      <c r="B34" s="7" t="inlineStr">
        <is>
          <t>2022-09-29</t>
        </is>
      </c>
      <c r="C34" s="7" t="inlineStr">
        <is>
          <t>四</t>
        </is>
      </c>
      <c r="D34" s="8" t="n">
        <v>3042.5</v>
      </c>
      <c r="E34" s="7" t="n">
        <v>2022</v>
      </c>
      <c r="F34" s="7" t="n">
        <v>39</v>
      </c>
      <c r="G34" s="7" t="inlineStr">
        <is>
          <t>2022-09-29</t>
        </is>
      </c>
      <c r="H34" s="9" t="inlineStr">
        <is>
          <t>https://www.100ppi.com/news/detail-20220929-2308168.html</t>
        </is>
      </c>
      <c r="I34" s="7" t="inlineStr">
        <is>
          <t>9月29日生意社甲醇基准价为3042.50元/吨</t>
        </is>
      </c>
    </row>
    <row r="35">
      <c r="A35" s="7" t="n">
        <v>32</v>
      </c>
      <c r="B35" s="7" t="inlineStr">
        <is>
          <t>2022-09-30</t>
        </is>
      </c>
      <c r="C35" s="7" t="inlineStr">
        <is>
          <t>五</t>
        </is>
      </c>
      <c r="D35" s="8" t="n">
        <v>3012.5</v>
      </c>
      <c r="E35" s="7" t="n">
        <v>2022</v>
      </c>
      <c r="F35" s="7" t="n">
        <v>39</v>
      </c>
      <c r="G35" s="7" t="inlineStr">
        <is>
          <t>2022-09-30</t>
        </is>
      </c>
      <c r="H35" s="9" t="inlineStr">
        <is>
          <t>https://www.100ppi.com/news/detail-20220930-2309795.html</t>
        </is>
      </c>
      <c r="I35" s="7" t="inlineStr">
        <is>
          <t>9月30日生意社甲醇基准价为3012.50元/吨</t>
        </is>
      </c>
    </row>
    <row r="36">
      <c r="A36" s="7" t="n">
        <v>33</v>
      </c>
      <c r="B36" s="7" t="inlineStr">
        <is>
          <t>2022-10-08</t>
        </is>
      </c>
      <c r="C36" s="7" t="inlineStr">
        <is>
          <t>六</t>
        </is>
      </c>
      <c r="D36" s="8" t="n">
        <v>3246.67</v>
      </c>
      <c r="E36" s="7" t="n">
        <v>2022</v>
      </c>
      <c r="F36" s="7" t="n">
        <v>40</v>
      </c>
      <c r="G36" s="7" t="inlineStr">
        <is>
          <t>2022-10-08</t>
        </is>
      </c>
      <c r="H36" s="9" t="inlineStr">
        <is>
          <t>https://www.100ppi.com/news/detail-20221008-2314722.html</t>
        </is>
      </c>
      <c r="I36" s="7" t="inlineStr">
        <is>
          <t>10月8日生意社甲醇基准价为3246.67元/吨</t>
        </is>
      </c>
    </row>
    <row r="37">
      <c r="A37" s="7" t="n">
        <v>34</v>
      </c>
      <c r="B37" s="7" t="inlineStr">
        <is>
          <t>2022-10-09</t>
        </is>
      </c>
      <c r="C37" s="7" t="inlineStr">
        <is>
          <t>日</t>
        </is>
      </c>
      <c r="D37" s="8" t="n">
        <v>3105</v>
      </c>
      <c r="E37" s="7" t="n">
        <v>2022</v>
      </c>
      <c r="F37" s="7" t="n">
        <v>40</v>
      </c>
      <c r="G37" s="7" t="inlineStr">
        <is>
          <t>2022-10-09</t>
        </is>
      </c>
      <c r="H37" s="9" t="inlineStr">
        <is>
          <t>https://www.100ppi.com/news/detail-20221009-2316353.html</t>
        </is>
      </c>
      <c r="I37" s="7" t="inlineStr">
        <is>
          <t>10月9日生意社甲醇基准价为3105.00元/吨</t>
        </is>
      </c>
    </row>
    <row r="38">
      <c r="A38" s="7" t="n">
        <v>35</v>
      </c>
      <c r="B38" s="7" t="inlineStr">
        <is>
          <t>2022-10-11</t>
        </is>
      </c>
      <c r="C38" s="7" t="inlineStr">
        <is>
          <t>二</t>
        </is>
      </c>
      <c r="D38" s="8" t="n">
        <v>2917.5</v>
      </c>
      <c r="E38" s="7" t="n">
        <v>2022</v>
      </c>
      <c r="F38" s="7" t="n">
        <v>41</v>
      </c>
      <c r="G38" s="7" t="inlineStr">
        <is>
          <t>2022-10-11</t>
        </is>
      </c>
      <c r="H38" s="9" t="inlineStr">
        <is>
          <t>https://www.100ppi.com/news/detail-20221011-2320174.html</t>
        </is>
      </c>
      <c r="I38" s="7" t="inlineStr">
        <is>
          <t>10月11日生意社甲醇基准价为2917.50元/吨</t>
        </is>
      </c>
    </row>
    <row r="39">
      <c r="A39" s="7" t="n">
        <v>36</v>
      </c>
      <c r="B39" s="7" t="inlineStr">
        <is>
          <t>2022-10-12</t>
        </is>
      </c>
      <c r="C39" s="7" t="inlineStr">
        <is>
          <t>三</t>
        </is>
      </c>
      <c r="D39" s="8" t="n">
        <v>2870</v>
      </c>
      <c r="E39" s="7" t="n">
        <v>2022</v>
      </c>
      <c r="F39" s="7" t="n">
        <v>41</v>
      </c>
      <c r="G39" s="7" t="inlineStr">
        <is>
          <t>2022-10-12</t>
        </is>
      </c>
      <c r="H39" s="9" t="inlineStr">
        <is>
          <t>https://www.100ppi.com/news/detail-20221012-2321960.html</t>
        </is>
      </c>
      <c r="I39" s="7" t="inlineStr">
        <is>
          <t>10月12日生意社甲醇基准价为2870.00元/吨</t>
        </is>
      </c>
    </row>
    <row r="40">
      <c r="A40" s="7" t="n">
        <v>37</v>
      </c>
      <c r="B40" s="7" t="inlineStr">
        <is>
          <t>2022-10-13</t>
        </is>
      </c>
      <c r="C40" s="7" t="inlineStr">
        <is>
          <t>四</t>
        </is>
      </c>
      <c r="D40" s="8" t="n">
        <v>2850</v>
      </c>
      <c r="E40" s="7" t="n">
        <v>2022</v>
      </c>
      <c r="F40" s="7" t="n">
        <v>41</v>
      </c>
      <c r="G40" s="7" t="inlineStr">
        <is>
          <t>2022-10-13</t>
        </is>
      </c>
      <c r="H40" s="9" t="inlineStr">
        <is>
          <t>https://www.100ppi.com/news/detail-20221013-2323585.html</t>
        </is>
      </c>
      <c r="I40" s="7" t="inlineStr">
        <is>
          <t>10月13日生意社甲醇基准价为2850.00元/吨</t>
        </is>
      </c>
    </row>
    <row r="41">
      <c r="A41" s="7" t="n">
        <v>38</v>
      </c>
      <c r="B41" s="7" t="inlineStr">
        <is>
          <t>2022-10-14</t>
        </is>
      </c>
      <c r="C41" s="7" t="inlineStr">
        <is>
          <t>五</t>
        </is>
      </c>
      <c r="D41" s="8" t="n">
        <v>2862.5</v>
      </c>
      <c r="E41" s="7" t="n">
        <v>2022</v>
      </c>
      <c r="F41" s="7" t="n">
        <v>41</v>
      </c>
      <c r="G41" s="7" t="inlineStr">
        <is>
          <t>2022-10-14</t>
        </is>
      </c>
      <c r="H41" s="9" t="inlineStr">
        <is>
          <t>https://www.100ppi.com/news/detail-20221014-2325432.html</t>
        </is>
      </c>
      <c r="I41" s="7" t="inlineStr">
        <is>
          <t>10月14日生意社甲醇基准价为2862.50元/吨</t>
        </is>
      </c>
    </row>
    <row r="42">
      <c r="A42" s="7" t="n">
        <v>39</v>
      </c>
      <c r="B42" s="7" t="inlineStr">
        <is>
          <t>2022-10-17</t>
        </is>
      </c>
      <c r="C42" s="7" t="inlineStr">
        <is>
          <t>一</t>
        </is>
      </c>
      <c r="D42" s="8" t="n">
        <v>2812.5</v>
      </c>
      <c r="E42" s="7" t="n">
        <v>2022</v>
      </c>
      <c r="F42" s="7" t="n">
        <v>42</v>
      </c>
      <c r="G42" s="7" t="inlineStr">
        <is>
          <t>2022-10-17</t>
        </is>
      </c>
      <c r="H42" s="9" t="inlineStr">
        <is>
          <t>https://www.100ppi.com/news/detail-20221017-2328574.html</t>
        </is>
      </c>
      <c r="I42" s="7" t="inlineStr">
        <is>
          <t>10月17日生意社甲醇基准价为2812.50元/吨</t>
        </is>
      </c>
    </row>
    <row r="43">
      <c r="A43" s="7" t="n">
        <v>40</v>
      </c>
      <c r="B43" s="7" t="inlineStr">
        <is>
          <t>2022-10-18</t>
        </is>
      </c>
      <c r="C43" s="7" t="inlineStr">
        <is>
          <t>二</t>
        </is>
      </c>
      <c r="D43" s="8" t="n">
        <v>2800</v>
      </c>
      <c r="E43" s="7" t="n">
        <v>2022</v>
      </c>
      <c r="F43" s="7" t="n">
        <v>42</v>
      </c>
      <c r="G43" s="7" t="inlineStr">
        <is>
          <t>2022-10-18</t>
        </is>
      </c>
      <c r="H43" s="9" t="inlineStr">
        <is>
          <t>https://www.100ppi.com/news/detail-20221018-2330228.html</t>
        </is>
      </c>
      <c r="I43" s="7" t="inlineStr">
        <is>
          <t>10月18日生意社甲醇基准价为2800.00元/吨</t>
        </is>
      </c>
    </row>
    <row r="44">
      <c r="A44" s="7" t="n">
        <v>41</v>
      </c>
      <c r="B44" s="7" t="inlineStr">
        <is>
          <t>2022-10-19</t>
        </is>
      </c>
      <c r="C44" s="7" t="inlineStr">
        <is>
          <t>三</t>
        </is>
      </c>
      <c r="D44" s="8" t="n">
        <v>2886</v>
      </c>
      <c r="E44" s="7" t="n">
        <v>2022</v>
      </c>
      <c r="F44" s="7" t="n">
        <v>42</v>
      </c>
      <c r="G44" s="7" t="inlineStr">
        <is>
          <t>2022-10-19</t>
        </is>
      </c>
      <c r="H44" s="9" t="inlineStr">
        <is>
          <t>https://www.100ppi.com/news/detail-20221019-2332014.html</t>
        </is>
      </c>
      <c r="I44" s="7" t="inlineStr">
        <is>
          <t>10月19日生意社甲醇基准价为2886.00元/吨</t>
        </is>
      </c>
    </row>
    <row r="45">
      <c r="A45" s="7" t="n">
        <v>42</v>
      </c>
      <c r="B45" s="7" t="inlineStr">
        <is>
          <t>2022-10-20</t>
        </is>
      </c>
      <c r="C45" s="7" t="inlineStr">
        <is>
          <t>四</t>
        </is>
      </c>
      <c r="D45" s="8" t="n">
        <v>2898</v>
      </c>
      <c r="E45" s="7" t="n">
        <v>2022</v>
      </c>
      <c r="F45" s="7" t="n">
        <v>42</v>
      </c>
      <c r="G45" s="7" t="inlineStr">
        <is>
          <t>2022-10-20</t>
        </is>
      </c>
      <c r="H45" s="9" t="inlineStr">
        <is>
          <t>https://www.100ppi.com/news/detail-20221020-2333769.html</t>
        </is>
      </c>
      <c r="I45" s="7" t="inlineStr">
        <is>
          <t>10月20日生意社甲醇基准价为2898.00元/吨</t>
        </is>
      </c>
    </row>
    <row r="46">
      <c r="A46" s="7" t="n">
        <v>43</v>
      </c>
      <c r="B46" s="7" t="inlineStr">
        <is>
          <t>2022-10-21</t>
        </is>
      </c>
      <c r="C46" s="7" t="inlineStr">
        <is>
          <t>五</t>
        </is>
      </c>
      <c r="D46" s="8" t="n">
        <v>2894</v>
      </c>
      <c r="E46" s="7" t="n">
        <v>2022</v>
      </c>
      <c r="F46" s="7" t="n">
        <v>42</v>
      </c>
      <c r="G46" s="7" t="inlineStr">
        <is>
          <t>2022-10-21</t>
        </is>
      </c>
      <c r="H46" s="9" t="inlineStr">
        <is>
          <t>https://www.100ppi.com/news/detail-20221021-2335622.html</t>
        </is>
      </c>
      <c r="I46" s="7" t="inlineStr">
        <is>
          <t>10月21日生意社甲醇基准价为2894.00元/吨</t>
        </is>
      </c>
    </row>
    <row r="47">
      <c r="A47" s="7" t="n">
        <v>44</v>
      </c>
      <c r="B47" s="7" t="inlineStr">
        <is>
          <t>2022-10-24</t>
        </is>
      </c>
      <c r="C47" s="7" t="inlineStr">
        <is>
          <t>一</t>
        </is>
      </c>
      <c r="D47" s="8" t="n">
        <v>2972</v>
      </c>
      <c r="E47" s="7" t="n">
        <v>2022</v>
      </c>
      <c r="F47" s="7" t="n">
        <v>43</v>
      </c>
      <c r="G47" s="7" t="inlineStr">
        <is>
          <t>2022-10-24</t>
        </is>
      </c>
      <c r="H47" s="9" t="inlineStr">
        <is>
          <t>https://www.100ppi.com/news/detail-20221024-2338593.html</t>
        </is>
      </c>
      <c r="I47" s="7" t="inlineStr">
        <is>
          <t>10月24日生意社甲醇基准价为2972.00元/吨</t>
        </is>
      </c>
    </row>
    <row r="48">
      <c r="A48" s="7" t="n">
        <v>45</v>
      </c>
      <c r="B48" s="7" t="inlineStr">
        <is>
          <t>2022-10-25</t>
        </is>
      </c>
      <c r="C48" s="7" t="inlineStr">
        <is>
          <t>二</t>
        </is>
      </c>
      <c r="D48" s="8" t="n">
        <v>2924</v>
      </c>
      <c r="E48" s="7" t="n">
        <v>2022</v>
      </c>
      <c r="F48" s="7" t="n">
        <v>43</v>
      </c>
      <c r="G48" s="7" t="inlineStr">
        <is>
          <t>2022-10-25</t>
        </is>
      </c>
      <c r="H48" s="9" t="inlineStr">
        <is>
          <t>https://www.100ppi.com/news/detail-20221025-2340341.html</t>
        </is>
      </c>
      <c r="I48" s="7" t="inlineStr">
        <is>
          <t>10月25日生意社甲醇基准价为2924.00元/吨</t>
        </is>
      </c>
    </row>
    <row r="49">
      <c r="A49" s="7" t="n">
        <v>46</v>
      </c>
      <c r="B49" s="7" t="inlineStr">
        <is>
          <t>2022-10-26</t>
        </is>
      </c>
      <c r="C49" s="7" t="inlineStr">
        <is>
          <t>三</t>
        </is>
      </c>
      <c r="D49" s="8" t="n">
        <v>2844</v>
      </c>
      <c r="E49" s="7" t="n">
        <v>2022</v>
      </c>
      <c r="F49" s="7" t="n">
        <v>43</v>
      </c>
      <c r="G49" s="7" t="inlineStr">
        <is>
          <t>2022-10-26</t>
        </is>
      </c>
      <c r="H49" s="9" t="inlineStr">
        <is>
          <t>https://www.100ppi.com/news/detail-20221026-2342032.html</t>
        </is>
      </c>
      <c r="I49" s="7" t="inlineStr">
        <is>
          <t>10月26日生意社甲醇基准价为2844.00元/吨</t>
        </is>
      </c>
    </row>
    <row r="50">
      <c r="A50" s="7" t="n">
        <v>47</v>
      </c>
      <c r="B50" s="7" t="inlineStr">
        <is>
          <t>2022-10-27</t>
        </is>
      </c>
      <c r="C50" s="7" t="inlineStr">
        <is>
          <t>四</t>
        </is>
      </c>
      <c r="D50" s="8" t="n">
        <v>2808</v>
      </c>
      <c r="E50" s="7" t="n">
        <v>2022</v>
      </c>
      <c r="F50" s="7" t="n">
        <v>43</v>
      </c>
      <c r="G50" s="7" t="inlineStr">
        <is>
          <t>2022-10-27</t>
        </is>
      </c>
      <c r="H50" s="9" t="inlineStr">
        <is>
          <t>https://www.100ppi.com/news/detail-20221027-2343788.html</t>
        </is>
      </c>
      <c r="I50" s="7" t="inlineStr">
        <is>
          <t>10月27日生意社甲醇基准价为2808.00元/吨</t>
        </is>
      </c>
    </row>
    <row r="51">
      <c r="A51" s="7" t="n">
        <v>48</v>
      </c>
      <c r="B51" s="7" t="inlineStr">
        <is>
          <t>2022-10-28</t>
        </is>
      </c>
      <c r="C51" s="7" t="inlineStr">
        <is>
          <t>五</t>
        </is>
      </c>
      <c r="D51" s="8" t="n">
        <v>2800</v>
      </c>
      <c r="E51" s="7" t="n">
        <v>2022</v>
      </c>
      <c r="F51" s="7" t="n">
        <v>43</v>
      </c>
      <c r="G51" s="7" t="inlineStr">
        <is>
          <t>2022-10-28</t>
        </is>
      </c>
      <c r="H51" s="9" t="inlineStr">
        <is>
          <t>https://www.100ppi.com/news/detail-20221028-2345544.html</t>
        </is>
      </c>
      <c r="I51" s="7" t="inlineStr">
        <is>
          <t>10月28日生意社甲醇基准价为2800.00元/吨</t>
        </is>
      </c>
    </row>
    <row r="52">
      <c r="A52" s="7" t="n">
        <v>49</v>
      </c>
      <c r="B52" s="7" t="inlineStr">
        <is>
          <t>2022-10-31</t>
        </is>
      </c>
      <c r="C52" s="7" t="inlineStr">
        <is>
          <t>一</t>
        </is>
      </c>
      <c r="D52" s="8" t="n">
        <v>2800</v>
      </c>
      <c r="E52" s="7" t="n">
        <v>2022</v>
      </c>
      <c r="F52" s="7" t="n">
        <v>44</v>
      </c>
      <c r="G52" s="7" t="inlineStr">
        <is>
          <t>2022-10-31</t>
        </is>
      </c>
      <c r="H52" s="9" t="inlineStr">
        <is>
          <t>https://www.100ppi.com/news/detail-20221031-2346934.html</t>
        </is>
      </c>
      <c r="I52" s="7" t="inlineStr">
        <is>
          <t>10月31日生意社甲醇基准价为2800.00元/吨</t>
        </is>
      </c>
    </row>
    <row r="53">
      <c r="A53" s="7" t="n">
        <v>50</v>
      </c>
      <c r="B53" s="7" t="inlineStr">
        <is>
          <t>2022-11-01</t>
        </is>
      </c>
      <c r="C53" s="7" t="inlineStr">
        <is>
          <t>二</t>
        </is>
      </c>
      <c r="D53" s="8" t="n">
        <v>2790</v>
      </c>
      <c r="E53" s="7" t="n">
        <v>2022</v>
      </c>
      <c r="F53" s="7" t="n">
        <v>44</v>
      </c>
      <c r="G53" s="7" t="inlineStr">
        <is>
          <t>2022-11-01</t>
        </is>
      </c>
      <c r="H53" s="9" t="inlineStr">
        <is>
          <t>https://www.100ppi.com/news/detail-20221101-2348637.html</t>
        </is>
      </c>
      <c r="I53" s="7" t="inlineStr">
        <is>
          <t>11月1日生意社甲醇基准价为2790.00元/吨</t>
        </is>
      </c>
    </row>
    <row r="54">
      <c r="A54" s="7" t="n">
        <v>51</v>
      </c>
      <c r="B54" s="7" t="inlineStr">
        <is>
          <t>2022-11-02</t>
        </is>
      </c>
      <c r="C54" s="7" t="inlineStr">
        <is>
          <t>三</t>
        </is>
      </c>
      <c r="D54" s="8" t="n">
        <v>2836</v>
      </c>
      <c r="E54" s="7" t="n">
        <v>2022</v>
      </c>
      <c r="F54" s="7" t="n">
        <v>44</v>
      </c>
      <c r="G54" s="7" t="inlineStr">
        <is>
          <t>2022-11-02</t>
        </is>
      </c>
      <c r="H54" s="9" t="inlineStr">
        <is>
          <t>https://www.100ppi.com/news/detail-20221102-2350457.html</t>
        </is>
      </c>
      <c r="I54" s="7" t="inlineStr">
        <is>
          <t>11月2日生意社甲醇基准价为2836.00元/吨</t>
        </is>
      </c>
    </row>
    <row r="55">
      <c r="A55" s="7" t="n">
        <v>52</v>
      </c>
      <c r="B55" s="7" t="inlineStr">
        <is>
          <t>2022-11-03</t>
        </is>
      </c>
      <c r="C55" s="7" t="inlineStr">
        <is>
          <t>四</t>
        </is>
      </c>
      <c r="D55" s="8" t="n">
        <v>2842.5</v>
      </c>
      <c r="E55" s="7" t="n">
        <v>2022</v>
      </c>
      <c r="F55" s="7" t="n">
        <v>44</v>
      </c>
      <c r="G55" s="7" t="inlineStr">
        <is>
          <t>2022-11-03</t>
        </is>
      </c>
      <c r="H55" s="9" t="inlineStr">
        <is>
          <t>https://www.100ppi.com/news/detail-20221103-2352151.html</t>
        </is>
      </c>
      <c r="I55" s="7" t="inlineStr">
        <is>
          <t>11月3日生意社甲醇基准价为2842.50元/吨</t>
        </is>
      </c>
    </row>
    <row r="56">
      <c r="A56" s="7" t="n">
        <v>53</v>
      </c>
      <c r="B56" s="7" t="inlineStr">
        <is>
          <t>2022-11-04</t>
        </is>
      </c>
      <c r="C56" s="7" t="inlineStr">
        <is>
          <t>五</t>
        </is>
      </c>
      <c r="D56" s="8" t="n">
        <v>2851</v>
      </c>
      <c r="E56" s="7" t="n">
        <v>2022</v>
      </c>
      <c r="F56" s="7" t="n">
        <v>44</v>
      </c>
      <c r="G56" s="7" t="inlineStr">
        <is>
          <t>2022-11-04</t>
        </is>
      </c>
      <c r="H56" s="9" t="inlineStr">
        <is>
          <t>https://www.100ppi.com/news/detail-20221104-2353908.html</t>
        </is>
      </c>
      <c r="I56" s="7" t="inlineStr">
        <is>
          <t>11月4日生意社甲醇基准价为2851.00元/吨</t>
        </is>
      </c>
    </row>
    <row r="57">
      <c r="A57" s="7" t="n">
        <v>54</v>
      </c>
      <c r="B57" s="7" t="inlineStr">
        <is>
          <t>2022-11-07</t>
        </is>
      </c>
      <c r="C57" s="7" t="inlineStr">
        <is>
          <t>一</t>
        </is>
      </c>
      <c r="D57" s="8" t="n">
        <v>2864</v>
      </c>
      <c r="E57" s="7" t="n">
        <v>2022</v>
      </c>
      <c r="F57" s="7" t="n">
        <v>45</v>
      </c>
      <c r="G57" s="7" t="inlineStr">
        <is>
          <t>2022-11-07</t>
        </is>
      </c>
      <c r="H57" s="9" t="inlineStr">
        <is>
          <t>https://www.100ppi.com/news/detail-20221107-2356588.html</t>
        </is>
      </c>
      <c r="I57" s="7" t="inlineStr">
        <is>
          <t>11月7日生意社甲醇基准价为2864.00元/吨</t>
        </is>
      </c>
    </row>
    <row r="58">
      <c r="A58" s="7" t="n">
        <v>55</v>
      </c>
      <c r="B58" s="7" t="inlineStr">
        <is>
          <t>2022-11-08</t>
        </is>
      </c>
      <c r="C58" s="7" t="inlineStr">
        <is>
          <t>二</t>
        </is>
      </c>
      <c r="D58" s="8" t="n">
        <v>2828</v>
      </c>
      <c r="E58" s="7" t="n">
        <v>2022</v>
      </c>
      <c r="F58" s="7" t="n">
        <v>45</v>
      </c>
      <c r="G58" s="7" t="inlineStr">
        <is>
          <t>2022-11-08</t>
        </is>
      </c>
      <c r="H58" s="9" t="inlineStr">
        <is>
          <t>https://www.100ppi.com/news/detail-20221108-2358473.html</t>
        </is>
      </c>
      <c r="I58" s="7" t="inlineStr">
        <is>
          <t>11月8日生意社甲醇基准价为2828.00元/吨</t>
        </is>
      </c>
    </row>
    <row r="59">
      <c r="A59" s="7" t="n">
        <v>56</v>
      </c>
      <c r="B59" s="7" t="inlineStr">
        <is>
          <t>2022-11-09</t>
        </is>
      </c>
      <c r="C59" s="7" t="inlineStr">
        <is>
          <t>三</t>
        </is>
      </c>
      <c r="D59" s="8" t="n">
        <v>2824</v>
      </c>
      <c r="E59" s="7" t="n">
        <v>2022</v>
      </c>
      <c r="F59" s="7" t="n">
        <v>45</v>
      </c>
      <c r="G59" s="7" t="inlineStr">
        <is>
          <t>2022-11-09</t>
        </is>
      </c>
      <c r="H59" s="9" t="inlineStr">
        <is>
          <t>https://www.100ppi.com/news/detail-20221109-2360316.html</t>
        </is>
      </c>
      <c r="I59" s="7" t="inlineStr">
        <is>
          <t>11月9日生意社甲醇基准价为2824.00元/吨</t>
        </is>
      </c>
    </row>
    <row r="60">
      <c r="A60" s="7" t="n">
        <v>57</v>
      </c>
      <c r="B60" s="7" t="inlineStr">
        <is>
          <t>2022-11-10</t>
        </is>
      </c>
      <c r="C60" s="7" t="inlineStr">
        <is>
          <t>四</t>
        </is>
      </c>
      <c r="D60" s="8" t="n">
        <v>2747.5</v>
      </c>
      <c r="E60" s="7" t="n">
        <v>2022</v>
      </c>
      <c r="F60" s="7" t="n">
        <v>45</v>
      </c>
      <c r="G60" s="7" t="inlineStr">
        <is>
          <t>2022-11-10</t>
        </is>
      </c>
      <c r="H60" s="9" t="inlineStr">
        <is>
          <t>https://www.100ppi.com/news/detail-20221110-2362259.html</t>
        </is>
      </c>
      <c r="I60" s="7" t="inlineStr">
        <is>
          <t>11月10日生意社甲醇基准价为2747.50元/吨</t>
        </is>
      </c>
    </row>
    <row r="61">
      <c r="A61" s="7" t="n">
        <v>58</v>
      </c>
      <c r="B61" s="7" t="inlineStr">
        <is>
          <t>2022-11-11</t>
        </is>
      </c>
      <c r="C61" s="7" t="inlineStr">
        <is>
          <t>五</t>
        </is>
      </c>
      <c r="D61" s="8" t="n">
        <v>2691.67</v>
      </c>
      <c r="E61" s="7" t="n">
        <v>2022</v>
      </c>
      <c r="F61" s="7" t="n">
        <v>45</v>
      </c>
      <c r="G61" s="7" t="inlineStr">
        <is>
          <t>2022-11-11</t>
        </is>
      </c>
      <c r="H61" s="9" t="inlineStr">
        <is>
          <t>https://www.100ppi.com/news/detail-20221111-2364062.html</t>
        </is>
      </c>
      <c r="I61" s="7" t="inlineStr">
        <is>
          <t>11月11日生意社甲醇基准价为2691.67元/吨</t>
        </is>
      </c>
    </row>
    <row r="62">
      <c r="A62" s="7" t="n">
        <v>59</v>
      </c>
      <c r="B62" s="7" t="inlineStr">
        <is>
          <t>2022-11-14</t>
        </is>
      </c>
      <c r="C62" s="7" t="inlineStr">
        <is>
          <t>一</t>
        </is>
      </c>
      <c r="D62" s="8" t="n">
        <v>2777.5</v>
      </c>
      <c r="E62" s="7" t="n">
        <v>2022</v>
      </c>
      <c r="F62" s="7" t="n">
        <v>46</v>
      </c>
      <c r="G62" s="7" t="inlineStr">
        <is>
          <t>2022-11-14</t>
        </is>
      </c>
      <c r="H62" s="9" t="inlineStr">
        <is>
          <t>https://www.100ppi.com/news/detail-20221114-2366871.html</t>
        </is>
      </c>
      <c r="I62" s="7" t="inlineStr">
        <is>
          <t>11月14日生意社甲醇基准价为2777.50元/吨</t>
        </is>
      </c>
    </row>
    <row r="63">
      <c r="A63" s="7" t="n">
        <v>60</v>
      </c>
      <c r="B63" s="7" t="inlineStr">
        <is>
          <t>2022-11-15</t>
        </is>
      </c>
      <c r="C63" s="7" t="inlineStr">
        <is>
          <t>二</t>
        </is>
      </c>
      <c r="D63" s="8" t="n">
        <v>2799.17</v>
      </c>
      <c r="E63" s="7" t="n">
        <v>2022</v>
      </c>
      <c r="F63" s="7" t="n">
        <v>46</v>
      </c>
      <c r="G63" s="7" t="inlineStr">
        <is>
          <t>2022-11-15</t>
        </is>
      </c>
      <c r="H63" s="9" t="inlineStr">
        <is>
          <t>https://www.100ppi.com/news/detail-20221115-2368891.html</t>
        </is>
      </c>
      <c r="I63" s="7" t="inlineStr">
        <is>
          <t>11月15日生意社甲醇基准价为2799.17元/吨</t>
        </is>
      </c>
    </row>
    <row r="64">
      <c r="A64" s="7" t="n">
        <v>61</v>
      </c>
      <c r="B64" s="7" t="inlineStr">
        <is>
          <t>2022-11-16</t>
        </is>
      </c>
      <c r="C64" s="7" t="inlineStr">
        <is>
          <t>三</t>
        </is>
      </c>
      <c r="D64" s="8" t="n">
        <v>2799.17</v>
      </c>
      <c r="E64" s="7" t="n">
        <v>2022</v>
      </c>
      <c r="F64" s="7" t="n">
        <v>46</v>
      </c>
      <c r="G64" s="7" t="inlineStr">
        <is>
          <t>2022-11-16</t>
        </is>
      </c>
      <c r="H64" s="9" t="inlineStr">
        <is>
          <t>https://www.100ppi.com/news/detail-20221116-2370589.html</t>
        </is>
      </c>
      <c r="I64" s="7" t="inlineStr">
        <is>
          <t>11月16日生意社甲醇基准价为2799.17元/吨</t>
        </is>
      </c>
    </row>
    <row r="65">
      <c r="A65" s="7" t="n">
        <v>62</v>
      </c>
      <c r="B65" s="7" t="inlineStr">
        <is>
          <t>2022-11-17</t>
        </is>
      </c>
      <c r="C65" s="7" t="inlineStr">
        <is>
          <t>四</t>
        </is>
      </c>
      <c r="D65" s="8" t="n">
        <v>2827.5</v>
      </c>
      <c r="E65" s="7" t="n">
        <v>2022</v>
      </c>
      <c r="F65" s="7" t="n">
        <v>46</v>
      </c>
      <c r="G65" s="7" t="inlineStr">
        <is>
          <t>2022-11-17</t>
        </is>
      </c>
      <c r="H65" s="9" t="inlineStr">
        <is>
          <t>https://www.100ppi.com/news/detail-20221117-2372380.html</t>
        </is>
      </c>
      <c r="I65" s="7" t="inlineStr">
        <is>
          <t>11月17日生意社甲醇基准价为2827.50元/吨</t>
        </is>
      </c>
    </row>
    <row r="66">
      <c r="A66" s="7" t="n">
        <v>63</v>
      </c>
      <c r="B66" s="7" t="inlineStr">
        <is>
          <t>2022-11-18</t>
        </is>
      </c>
      <c r="C66" s="7" t="inlineStr">
        <is>
          <t>五</t>
        </is>
      </c>
      <c r="D66" s="8" t="n">
        <v>2800</v>
      </c>
      <c r="E66" s="7" t="n">
        <v>2022</v>
      </c>
      <c r="F66" s="7" t="n">
        <v>46</v>
      </c>
      <c r="G66" s="7" t="inlineStr">
        <is>
          <t>2022-11-18</t>
        </is>
      </c>
      <c r="H66" s="9" t="inlineStr">
        <is>
          <t>https://www.100ppi.com/news/detail-20221118-2374269.html</t>
        </is>
      </c>
      <c r="I66" s="7" t="inlineStr">
        <is>
          <t>11月18日生意社甲醇基准价为2800.00元/吨</t>
        </is>
      </c>
    </row>
    <row r="67">
      <c r="A67" s="7" t="n">
        <v>64</v>
      </c>
      <c r="B67" s="7" t="inlineStr">
        <is>
          <t>2022-11-21</t>
        </is>
      </c>
      <c r="C67" s="7" t="inlineStr">
        <is>
          <t>一</t>
        </is>
      </c>
      <c r="D67" s="8" t="n">
        <v>2838.33</v>
      </c>
      <c r="E67" s="7" t="n">
        <v>2022</v>
      </c>
      <c r="F67" s="7" t="n">
        <v>47</v>
      </c>
      <c r="G67" s="7" t="inlineStr">
        <is>
          <t>2022-11-21</t>
        </is>
      </c>
      <c r="H67" s="9" t="inlineStr">
        <is>
          <t>https://www.100ppi.com/news/detail-20221121-2377043.html</t>
        </is>
      </c>
      <c r="I67" s="7" t="inlineStr">
        <is>
          <t>11月21日生意社甲醇基准价为2838.33元/吨</t>
        </is>
      </c>
    </row>
    <row r="68">
      <c r="A68" s="7" t="n">
        <v>65</v>
      </c>
      <c r="B68" s="7" t="inlineStr">
        <is>
          <t>2022-11-22</t>
        </is>
      </c>
      <c r="C68" s="7" t="inlineStr">
        <is>
          <t>二</t>
        </is>
      </c>
      <c r="D68" s="8" t="n">
        <v>2793.33</v>
      </c>
      <c r="E68" s="7" t="n">
        <v>2022</v>
      </c>
      <c r="F68" s="7" t="n">
        <v>47</v>
      </c>
      <c r="G68" s="7" t="inlineStr">
        <is>
          <t>2022-11-22</t>
        </is>
      </c>
      <c r="H68" s="9" t="inlineStr">
        <is>
          <t>https://www.100ppi.com/news/detail-20221122-2379023.html</t>
        </is>
      </c>
      <c r="I68" s="7" t="inlineStr">
        <is>
          <t>11月22日生意社甲醇基准价为2793.33元/吨</t>
        </is>
      </c>
    </row>
    <row r="69">
      <c r="A69" s="7" t="n">
        <v>66</v>
      </c>
      <c r="B69" s="7" t="inlineStr">
        <is>
          <t>2022-11-23</t>
        </is>
      </c>
      <c r="C69" s="7" t="inlineStr">
        <is>
          <t>三</t>
        </is>
      </c>
      <c r="D69" s="8" t="n">
        <v>2797.5</v>
      </c>
      <c r="E69" s="7" t="n">
        <v>2022</v>
      </c>
      <c r="F69" s="7" t="n">
        <v>47</v>
      </c>
      <c r="G69" s="7" t="inlineStr">
        <is>
          <t>2022-11-23</t>
        </is>
      </c>
      <c r="H69" s="9" t="inlineStr">
        <is>
          <t>https://www.100ppi.com/news/detail-20221123-2380830.html</t>
        </is>
      </c>
      <c r="I69" s="7" t="inlineStr">
        <is>
          <t>11月23日生意社甲醇基准价为2797.50元/吨</t>
        </is>
      </c>
    </row>
    <row r="70">
      <c r="A70" s="7" t="n">
        <v>67</v>
      </c>
      <c r="B70" s="7" t="inlineStr">
        <is>
          <t>2022-11-24</t>
        </is>
      </c>
      <c r="C70" s="7" t="inlineStr">
        <is>
          <t>四</t>
        </is>
      </c>
      <c r="D70" s="8" t="n">
        <v>2782.5</v>
      </c>
      <c r="E70" s="7" t="n">
        <v>2022</v>
      </c>
      <c r="F70" s="7" t="n">
        <v>47</v>
      </c>
      <c r="G70" s="7" t="inlineStr">
        <is>
          <t>2022-11-24</t>
        </is>
      </c>
      <c r="H70" s="9" t="inlineStr">
        <is>
          <t>https://www.100ppi.com/news/detail-20221124-2382604.html</t>
        </is>
      </c>
      <c r="I70" s="7" t="inlineStr">
        <is>
          <t>11月24日生意社甲醇基准价为2782.50元/吨</t>
        </is>
      </c>
    </row>
    <row r="71">
      <c r="A71" s="7" t="n">
        <v>68</v>
      </c>
      <c r="B71" s="7" t="inlineStr">
        <is>
          <t>2022-11-25</t>
        </is>
      </c>
      <c r="C71" s="7" t="inlineStr">
        <is>
          <t>五</t>
        </is>
      </c>
      <c r="D71" s="8" t="n">
        <v>2785.83</v>
      </c>
      <c r="E71" s="7" t="n">
        <v>2022</v>
      </c>
      <c r="F71" s="7" t="n">
        <v>47</v>
      </c>
      <c r="G71" s="7" t="inlineStr">
        <is>
          <t>2022-11-25</t>
        </is>
      </c>
      <c r="H71" s="9" t="inlineStr">
        <is>
          <t>https://www.100ppi.com/news/detail-20221125-2384424.html</t>
        </is>
      </c>
      <c r="I71" s="7" t="inlineStr">
        <is>
          <t>11月25日生意社甲醇基准价为2785.83元/吨</t>
        </is>
      </c>
    </row>
    <row r="72">
      <c r="A72" s="7" t="n">
        <v>69</v>
      </c>
      <c r="B72" s="7" t="inlineStr">
        <is>
          <t>2022-11-28</t>
        </is>
      </c>
      <c r="C72" s="7" t="inlineStr">
        <is>
          <t>一</t>
        </is>
      </c>
      <c r="D72" s="8" t="n">
        <v>2811.67</v>
      </c>
      <c r="E72" s="7" t="n">
        <v>2022</v>
      </c>
      <c r="F72" s="7" t="n">
        <v>48</v>
      </c>
      <c r="G72" s="7" t="inlineStr">
        <is>
          <t>2022-11-28</t>
        </is>
      </c>
      <c r="H72" s="9" t="inlineStr">
        <is>
          <t>https://www.100ppi.com/news/detail-20221128-2387183.html</t>
        </is>
      </c>
      <c r="I72" s="7" t="inlineStr">
        <is>
          <t>11月28日生意社甲醇基准价为2811.67元/吨</t>
        </is>
      </c>
    </row>
    <row r="73">
      <c r="A73" s="7" t="n">
        <v>70</v>
      </c>
      <c r="B73" s="7" t="inlineStr">
        <is>
          <t>2022-11-29</t>
        </is>
      </c>
      <c r="C73" s="7" t="inlineStr">
        <is>
          <t>二</t>
        </is>
      </c>
      <c r="D73" s="8" t="n">
        <v>2751.67</v>
      </c>
      <c r="E73" s="7" t="n">
        <v>2022</v>
      </c>
      <c r="F73" s="7" t="n">
        <v>48</v>
      </c>
      <c r="G73" s="7" t="inlineStr">
        <is>
          <t>2022-11-29</t>
        </is>
      </c>
      <c r="H73" s="9" t="inlineStr">
        <is>
          <t>https://www.100ppi.com/news/detail-20221129-2389017.html</t>
        </is>
      </c>
      <c r="I73" s="7" t="inlineStr">
        <is>
          <t>11月29日生意社甲醇基准价为2751.67元/吨</t>
        </is>
      </c>
    </row>
    <row r="74">
      <c r="A74" s="7" t="n">
        <v>71</v>
      </c>
      <c r="B74" s="7" t="inlineStr">
        <is>
          <t>2022-11-30</t>
        </is>
      </c>
      <c r="C74" s="7" t="inlineStr">
        <is>
          <t>三</t>
        </is>
      </c>
      <c r="D74" s="8" t="n">
        <v>2785.83</v>
      </c>
      <c r="E74" s="7" t="n">
        <v>2022</v>
      </c>
      <c r="F74" s="7" t="n">
        <v>48</v>
      </c>
      <c r="G74" s="7" t="inlineStr">
        <is>
          <t>2022-11-30</t>
        </is>
      </c>
      <c r="H74" s="9" t="inlineStr">
        <is>
          <t>https://www.100ppi.com/news/detail-20221130-2390775.html</t>
        </is>
      </c>
      <c r="I74" s="7" t="inlineStr">
        <is>
          <t>11月30日生意社甲醇基准价为2785.83元/吨</t>
        </is>
      </c>
    </row>
    <row r="75">
      <c r="A75" s="7" t="n">
        <v>72</v>
      </c>
      <c r="B75" s="7" t="inlineStr">
        <is>
          <t>2022-12-01</t>
        </is>
      </c>
      <c r="C75" s="7" t="inlineStr">
        <is>
          <t>四</t>
        </is>
      </c>
      <c r="D75" s="8" t="n">
        <v>2731.67</v>
      </c>
      <c r="E75" s="7" t="n">
        <v>2022</v>
      </c>
      <c r="F75" s="7" t="n">
        <v>48</v>
      </c>
      <c r="G75" s="7" t="inlineStr">
        <is>
          <t>2022-12-01</t>
        </is>
      </c>
      <c r="H75" s="9" t="inlineStr">
        <is>
          <t>https://www.100ppi.com/news/detail-20221201-2392576.html</t>
        </is>
      </c>
      <c r="I75" s="7" t="inlineStr">
        <is>
          <t>12月1日生意社甲醇基准价为2731.67元/吨</t>
        </is>
      </c>
    </row>
    <row r="76">
      <c r="A76" s="7" t="n">
        <v>73</v>
      </c>
      <c r="B76" s="7" t="inlineStr">
        <is>
          <t>2022-12-02</t>
        </is>
      </c>
      <c r="C76" s="7" t="inlineStr">
        <is>
          <t>五</t>
        </is>
      </c>
      <c r="D76" s="8" t="n">
        <v>2681.67</v>
      </c>
      <c r="E76" s="7" t="n">
        <v>2022</v>
      </c>
      <c r="F76" s="7" t="n">
        <v>48</v>
      </c>
      <c r="G76" s="7" t="inlineStr">
        <is>
          <t>2022-12-02</t>
        </is>
      </c>
      <c r="H76" s="9" t="inlineStr">
        <is>
          <t>https://www.100ppi.com/news/detail-20221202-2394303.html</t>
        </is>
      </c>
      <c r="I76" s="7" t="inlineStr">
        <is>
          <t>12月2日生意社甲醇基准价为2681.67元/吨</t>
        </is>
      </c>
    </row>
    <row r="77">
      <c r="A77" s="7" t="n">
        <v>74</v>
      </c>
      <c r="B77" s="7" t="inlineStr">
        <is>
          <t>2022-12-05</t>
        </is>
      </c>
      <c r="C77" s="7" t="inlineStr">
        <is>
          <t>一</t>
        </is>
      </c>
      <c r="D77" s="8" t="n">
        <v>2670</v>
      </c>
      <c r="E77" s="7" t="n">
        <v>2022</v>
      </c>
      <c r="F77" s="7" t="n">
        <v>49</v>
      </c>
      <c r="G77" s="7" t="inlineStr">
        <is>
          <t>2022-12-05</t>
        </is>
      </c>
      <c r="H77" s="9" t="inlineStr">
        <is>
          <t>https://www.100ppi.com/news/detail-20221205-2397583.html</t>
        </is>
      </c>
      <c r="I77" s="7" t="inlineStr">
        <is>
          <t>12月5日生意社甲醇基准价为2670.00元/吨</t>
        </is>
      </c>
    </row>
    <row r="78">
      <c r="A78" s="7" t="n">
        <v>75</v>
      </c>
      <c r="B78" s="7" t="inlineStr">
        <is>
          <t>2022-12-06</t>
        </is>
      </c>
      <c r="C78" s="7" t="inlineStr">
        <is>
          <t>二</t>
        </is>
      </c>
      <c r="D78" s="8" t="n">
        <v>2670</v>
      </c>
      <c r="E78" s="7" t="n">
        <v>2022</v>
      </c>
      <c r="F78" s="7" t="n">
        <v>49</v>
      </c>
      <c r="G78" s="7" t="inlineStr">
        <is>
          <t>2022-12-06</t>
        </is>
      </c>
      <c r="H78" s="9" t="inlineStr">
        <is>
          <t>https://www.100ppi.com/news/detail-20221206-2399527.html</t>
        </is>
      </c>
      <c r="I78" s="7" t="inlineStr">
        <is>
          <t>12月6日生意社甲醇基准价为2670.00元/吨</t>
        </is>
      </c>
    </row>
    <row r="79">
      <c r="A79" s="7" t="n">
        <v>76</v>
      </c>
      <c r="B79" s="7" t="inlineStr">
        <is>
          <t>2022-12-07</t>
        </is>
      </c>
      <c r="C79" s="7" t="inlineStr">
        <is>
          <t>三</t>
        </is>
      </c>
      <c r="D79" s="8" t="n">
        <v>2671.67</v>
      </c>
      <c r="E79" s="7" t="n">
        <v>2022</v>
      </c>
      <c r="F79" s="7" t="n">
        <v>49</v>
      </c>
      <c r="G79" s="7" t="inlineStr">
        <is>
          <t>2022-12-07</t>
        </is>
      </c>
      <c r="H79" s="9" t="inlineStr">
        <is>
          <t>https://www.100ppi.com/news/detail-20221207-2401197.html</t>
        </is>
      </c>
      <c r="I79" s="7" t="inlineStr">
        <is>
          <t>12月7日生意社甲醇基准价为2671.67元/吨</t>
        </is>
      </c>
    </row>
    <row r="80">
      <c r="A80" s="7" t="n">
        <v>77</v>
      </c>
      <c r="B80" s="7" t="inlineStr">
        <is>
          <t>2022-12-08</t>
        </is>
      </c>
      <c r="C80" s="7" t="inlineStr">
        <is>
          <t>四</t>
        </is>
      </c>
      <c r="D80" s="8" t="n">
        <v>2621.67</v>
      </c>
      <c r="E80" s="7" t="n">
        <v>2022</v>
      </c>
      <c r="F80" s="7" t="n">
        <v>49</v>
      </c>
      <c r="G80" s="7" t="inlineStr">
        <is>
          <t>2022-12-08</t>
        </is>
      </c>
      <c r="H80" s="9" t="inlineStr">
        <is>
          <t>https://www.100ppi.com/news/detail-20221208-2403058.html</t>
        </is>
      </c>
      <c r="I80" s="7" t="inlineStr">
        <is>
          <t>12月8日生意社甲醇基准价为2621.67元/吨</t>
        </is>
      </c>
    </row>
    <row r="81">
      <c r="A81" s="7" t="n">
        <v>78</v>
      </c>
      <c r="B81" s="7" t="inlineStr">
        <is>
          <t>2022-12-09</t>
        </is>
      </c>
      <c r="C81" s="7" t="inlineStr">
        <is>
          <t>五</t>
        </is>
      </c>
      <c r="D81" s="8" t="n">
        <v>2631.67</v>
      </c>
      <c r="E81" s="7" t="n">
        <v>2022</v>
      </c>
      <c r="F81" s="7" t="n">
        <v>49</v>
      </c>
      <c r="G81" s="7" t="inlineStr">
        <is>
          <t>2022-12-09</t>
        </is>
      </c>
      <c r="H81" s="9" t="inlineStr">
        <is>
          <t>https://www.100ppi.com/news/detail-20221209-2405028.html</t>
        </is>
      </c>
      <c r="I81" s="7" t="inlineStr">
        <is>
          <t>12月9日生意社甲醇基准价为2631.67元/吨</t>
        </is>
      </c>
    </row>
    <row r="82">
      <c r="A82" s="7" t="n">
        <v>79</v>
      </c>
      <c r="B82" s="7" t="inlineStr">
        <is>
          <t>2022-12-12</t>
        </is>
      </c>
      <c r="C82" s="7" t="inlineStr">
        <is>
          <t>一</t>
        </is>
      </c>
      <c r="D82" s="8" t="n">
        <v>2680</v>
      </c>
      <c r="E82" s="7" t="n">
        <v>2022</v>
      </c>
      <c r="F82" s="7" t="n">
        <v>50</v>
      </c>
      <c r="G82" s="7" t="inlineStr">
        <is>
          <t>2022-12-12</t>
        </is>
      </c>
      <c r="H82" s="9" t="inlineStr">
        <is>
          <t>https://www.100ppi.com/news/detail-20221212-2407951.html</t>
        </is>
      </c>
      <c r="I82" s="7" t="inlineStr">
        <is>
          <t>12月12日生意社甲醇基准价为2680.00元/吨</t>
        </is>
      </c>
    </row>
    <row r="83">
      <c r="A83" s="7" t="n">
        <v>80</v>
      </c>
      <c r="B83" s="7" t="inlineStr">
        <is>
          <t>2022-12-13</t>
        </is>
      </c>
      <c r="C83" s="7" t="inlineStr">
        <is>
          <t>二</t>
        </is>
      </c>
      <c r="D83" s="8" t="n">
        <v>2690</v>
      </c>
      <c r="E83" s="7" t="n">
        <v>2022</v>
      </c>
      <c r="F83" s="7" t="n">
        <v>50</v>
      </c>
      <c r="G83" s="7" t="inlineStr">
        <is>
          <t>2022-12-13</t>
        </is>
      </c>
      <c r="H83" s="9" t="inlineStr">
        <is>
          <t>https://www.100ppi.com/news/detail-20221213-2409927.html</t>
        </is>
      </c>
      <c r="I83" s="7" t="inlineStr">
        <is>
          <t>12月13日生意社甲醇基准价为2690.00元/吨</t>
        </is>
      </c>
    </row>
    <row r="84">
      <c r="A84" s="7" t="n">
        <v>81</v>
      </c>
      <c r="B84" s="7" t="inlineStr">
        <is>
          <t>2022-12-14</t>
        </is>
      </c>
      <c r="C84" s="7" t="inlineStr">
        <is>
          <t>三</t>
        </is>
      </c>
      <c r="D84" s="8" t="n">
        <v>2685.83</v>
      </c>
      <c r="E84" s="7" t="n">
        <v>2022</v>
      </c>
      <c r="F84" s="7" t="n">
        <v>50</v>
      </c>
      <c r="G84" s="7" t="inlineStr">
        <is>
          <t>2022-12-14</t>
        </is>
      </c>
      <c r="H84" s="9" t="inlineStr">
        <is>
          <t>https://www.100ppi.com/news/detail-20221214-2411584.html</t>
        </is>
      </c>
      <c r="I84" s="7" t="inlineStr">
        <is>
          <t>12月14日生意社甲醇基准价为2685.83元/吨</t>
        </is>
      </c>
    </row>
    <row r="85">
      <c r="A85" s="7" t="n">
        <v>82</v>
      </c>
      <c r="B85" s="7" t="inlineStr">
        <is>
          <t>2022-12-15</t>
        </is>
      </c>
      <c r="C85" s="7" t="inlineStr">
        <is>
          <t>四</t>
        </is>
      </c>
      <c r="D85" s="8" t="n">
        <v>2685.83</v>
      </c>
      <c r="E85" s="7" t="n">
        <v>2022</v>
      </c>
      <c r="F85" s="7" t="n">
        <v>50</v>
      </c>
      <c r="G85" s="7" t="inlineStr">
        <is>
          <t>2022-12-15</t>
        </is>
      </c>
      <c r="H85" s="9" t="inlineStr">
        <is>
          <t>https://www.100ppi.com/news/detail-20221215-2413378.html</t>
        </is>
      </c>
      <c r="I85" s="7" t="inlineStr">
        <is>
          <t>12月15日生意社甲醇基准价为2685.83元/吨</t>
        </is>
      </c>
    </row>
    <row r="86">
      <c r="A86" s="7" t="n">
        <v>83</v>
      </c>
      <c r="B86" s="7" t="inlineStr">
        <is>
          <t>2022-12-16</t>
        </is>
      </c>
      <c r="C86" s="7" t="inlineStr">
        <is>
          <t>五</t>
        </is>
      </c>
      <c r="D86" s="8" t="n">
        <v>2678.33</v>
      </c>
      <c r="E86" s="7" t="n">
        <v>2022</v>
      </c>
      <c r="F86" s="7" t="n">
        <v>50</v>
      </c>
      <c r="G86" s="7" t="inlineStr">
        <is>
          <t>2022-12-16</t>
        </is>
      </c>
      <c r="H86" s="9" t="inlineStr">
        <is>
          <t>https://www.100ppi.com/news/detail-20221216-2415118.html</t>
        </is>
      </c>
      <c r="I86" s="7" t="inlineStr">
        <is>
          <t>12月16日生意社甲醇基准价为2678.33元/吨</t>
        </is>
      </c>
    </row>
    <row r="87">
      <c r="A87" s="7" t="n">
        <v>84</v>
      </c>
      <c r="B87" s="7" t="inlineStr">
        <is>
          <t>2022-12-19</t>
        </is>
      </c>
      <c r="C87" s="7" t="inlineStr">
        <is>
          <t>一</t>
        </is>
      </c>
      <c r="D87" s="8" t="n">
        <v>2655.83</v>
      </c>
      <c r="E87" s="7" t="n">
        <v>2022</v>
      </c>
      <c r="F87" s="7" t="n">
        <v>51</v>
      </c>
      <c r="G87" s="7" t="inlineStr">
        <is>
          <t>2022-12-19</t>
        </is>
      </c>
      <c r="H87" s="9" t="inlineStr">
        <is>
          <t>https://www.100ppi.com/news/detail-20221219-2417867.html</t>
        </is>
      </c>
      <c r="I87" s="7" t="inlineStr">
        <is>
          <t>12月19日生意社甲醇基准价为2655.83元/吨</t>
        </is>
      </c>
    </row>
    <row r="88">
      <c r="A88" s="7" t="n">
        <v>85</v>
      </c>
      <c r="B88" s="7" t="inlineStr">
        <is>
          <t>2022-12-20</t>
        </is>
      </c>
      <c r="C88" s="7" t="inlineStr">
        <is>
          <t>二</t>
        </is>
      </c>
      <c r="D88" s="8" t="n">
        <v>2633.33</v>
      </c>
      <c r="E88" s="7" t="n">
        <v>2022</v>
      </c>
      <c r="F88" s="7" t="n">
        <v>51</v>
      </c>
      <c r="G88" s="7" t="inlineStr">
        <is>
          <t>2022-12-20</t>
        </is>
      </c>
      <c r="H88" s="9" t="inlineStr">
        <is>
          <t>https://www.100ppi.com/news/detail-20221220-2419702.html</t>
        </is>
      </c>
      <c r="I88" s="7" t="inlineStr">
        <is>
          <t>12月20日生意社甲醇基准价为2633.33元/吨</t>
        </is>
      </c>
    </row>
    <row r="89">
      <c r="A89" s="7" t="n">
        <v>86</v>
      </c>
      <c r="B89" s="7" t="inlineStr">
        <is>
          <t>2022-12-21</t>
        </is>
      </c>
      <c r="C89" s="7" t="inlineStr">
        <is>
          <t>三</t>
        </is>
      </c>
      <c r="D89" s="8" t="n">
        <v>2640</v>
      </c>
      <c r="E89" s="7" t="n">
        <v>2022</v>
      </c>
      <c r="F89" s="7" t="n">
        <v>51</v>
      </c>
      <c r="G89" s="7" t="inlineStr">
        <is>
          <t>2022-12-21</t>
        </is>
      </c>
      <c r="H89" s="9" t="inlineStr">
        <is>
          <t>https://www.100ppi.com/news/detail-20221221-2421324.html</t>
        </is>
      </c>
      <c r="I89" s="7" t="inlineStr">
        <is>
          <t>12月21日生意社甲醇基准价为2640.00元/吨</t>
        </is>
      </c>
    </row>
    <row r="90">
      <c r="A90" s="7" t="n">
        <v>87</v>
      </c>
      <c r="B90" s="7" t="inlineStr">
        <is>
          <t>2022-12-22</t>
        </is>
      </c>
      <c r="C90" s="7" t="inlineStr">
        <is>
          <t>四</t>
        </is>
      </c>
      <c r="D90" s="8" t="n">
        <v>2611.67</v>
      </c>
      <c r="E90" s="7" t="n">
        <v>2022</v>
      </c>
      <c r="F90" s="7" t="n">
        <v>51</v>
      </c>
      <c r="G90" s="7" t="inlineStr">
        <is>
          <t>2022-12-22</t>
        </is>
      </c>
      <c r="H90" s="9" t="inlineStr">
        <is>
          <t>https://www.100ppi.com/news/detail-20221222-2422845.html</t>
        </is>
      </c>
      <c r="I90" s="7" t="inlineStr">
        <is>
          <t>12月22日生意社甲醇基准价为2611.67元/吨</t>
        </is>
      </c>
    </row>
    <row r="91">
      <c r="A91" s="7" t="n">
        <v>88</v>
      </c>
      <c r="B91" s="7" t="inlineStr">
        <is>
          <t>2022-12-23</t>
        </is>
      </c>
      <c r="C91" s="7" t="inlineStr">
        <is>
          <t>五</t>
        </is>
      </c>
      <c r="D91" s="8" t="n">
        <v>2600</v>
      </c>
      <c r="E91" s="7" t="n">
        <v>2022</v>
      </c>
      <c r="F91" s="7" t="n">
        <v>51</v>
      </c>
      <c r="G91" s="7" t="inlineStr">
        <is>
          <t>2022-12-23</t>
        </is>
      </c>
      <c r="H91" s="9" t="inlineStr">
        <is>
          <t>https://www.100ppi.com/news/detail-20221223-2424388.html</t>
        </is>
      </c>
      <c r="I91" s="7" t="inlineStr">
        <is>
          <t>12月23日生意社甲醇基准价为2600.00元/吨</t>
        </is>
      </c>
    </row>
    <row r="92">
      <c r="A92" s="7" t="n">
        <v>89</v>
      </c>
      <c r="B92" s="7" t="inlineStr">
        <is>
          <t>2022-12-26</t>
        </is>
      </c>
      <c r="C92" s="7" t="inlineStr">
        <is>
          <t>一</t>
        </is>
      </c>
      <c r="D92" s="8" t="n">
        <v>2566.67</v>
      </c>
      <c r="E92" s="7" t="n">
        <v>2022</v>
      </c>
      <c r="F92" s="7" t="n">
        <v>52</v>
      </c>
      <c r="G92" s="7" t="inlineStr">
        <is>
          <t>2022-12-26</t>
        </is>
      </c>
      <c r="H92" s="9" t="inlineStr">
        <is>
          <t>https://www.100ppi.com/news/detail-20221226-2427055.html</t>
        </is>
      </c>
      <c r="I92" s="7" t="inlineStr">
        <is>
          <t>12月26日生意社甲醇基准价为2566.67元/吨</t>
        </is>
      </c>
    </row>
    <row r="93">
      <c r="A93" s="7" t="n">
        <v>90</v>
      </c>
      <c r="B93" s="7" t="inlineStr">
        <is>
          <t>2022-12-27</t>
        </is>
      </c>
      <c r="C93" s="7" t="inlineStr">
        <is>
          <t>二</t>
        </is>
      </c>
      <c r="D93" s="8" t="n">
        <v>2558.33</v>
      </c>
      <c r="E93" s="7" t="n">
        <v>2022</v>
      </c>
      <c r="F93" s="7" t="n">
        <v>52</v>
      </c>
      <c r="G93" s="7" t="inlineStr">
        <is>
          <t>2022-12-27</t>
        </is>
      </c>
      <c r="H93" s="9" t="inlineStr">
        <is>
          <t>https://www.100ppi.com/news/detail-20221227-2428835.html</t>
        </is>
      </c>
      <c r="I93" s="7" t="inlineStr">
        <is>
          <t>12月27日生意社甲醇基准价为2558.33元/吨</t>
        </is>
      </c>
    </row>
    <row r="94">
      <c r="A94" s="7" t="n">
        <v>91</v>
      </c>
      <c r="B94" s="7" t="inlineStr">
        <is>
          <t>2022-12-28</t>
        </is>
      </c>
      <c r="C94" s="7" t="inlineStr">
        <is>
          <t>三</t>
        </is>
      </c>
      <c r="D94" s="8" t="n">
        <v>2621.67</v>
      </c>
      <c r="E94" s="7" t="n">
        <v>2022</v>
      </c>
      <c r="F94" s="7" t="n">
        <v>52</v>
      </c>
      <c r="G94" s="7" t="inlineStr">
        <is>
          <t>2022-12-28</t>
        </is>
      </c>
      <c r="H94" s="9" t="inlineStr">
        <is>
          <t>https://www.100ppi.com/news/detail-20221228-2430440.html</t>
        </is>
      </c>
      <c r="I94" s="7" t="inlineStr">
        <is>
          <t>12月28日生意社甲醇基准价为2621.67元/吨</t>
        </is>
      </c>
    </row>
    <row r="95">
      <c r="A95" s="7" t="n">
        <v>92</v>
      </c>
      <c r="B95" s="7" t="inlineStr">
        <is>
          <t>2022-12-29</t>
        </is>
      </c>
      <c r="C95" s="7" t="inlineStr">
        <is>
          <t>四</t>
        </is>
      </c>
      <c r="D95" s="8" t="n">
        <v>2630</v>
      </c>
      <c r="E95" s="7" t="n">
        <v>2022</v>
      </c>
      <c r="F95" s="7" t="n">
        <v>52</v>
      </c>
      <c r="G95" s="7" t="inlineStr">
        <is>
          <t>2022-12-29</t>
        </is>
      </c>
      <c r="H95" s="9" t="inlineStr">
        <is>
          <t>https://www.100ppi.com/news/detail-20221229-2432011.html</t>
        </is>
      </c>
      <c r="I95" s="7" t="inlineStr">
        <is>
          <t>12月29日生意社甲醇基准价为2630.00元/吨</t>
        </is>
      </c>
    </row>
    <row r="96">
      <c r="A96" s="7" t="n">
        <v>93</v>
      </c>
      <c r="B96" s="7" t="inlineStr">
        <is>
          <t>2022-12-30</t>
        </is>
      </c>
      <c r="C96" s="7" t="inlineStr">
        <is>
          <t>五</t>
        </is>
      </c>
      <c r="D96" s="8" t="n">
        <v>2631.67</v>
      </c>
      <c r="E96" s="7" t="n">
        <v>2022</v>
      </c>
      <c r="F96" s="7" t="n">
        <v>52</v>
      </c>
      <c r="G96" s="7" t="inlineStr">
        <is>
          <t>2022-12-30</t>
        </is>
      </c>
      <c r="H96" s="9" t="inlineStr">
        <is>
          <t>https://www.100ppi.com/news/detail-20221230-2433595.html</t>
        </is>
      </c>
      <c r="I96" s="7" t="inlineStr">
        <is>
          <t>12月30日生意社甲醇基准价为2631.67元/吨</t>
        </is>
      </c>
    </row>
    <row r="97">
      <c r="A97" s="7" t="n">
        <v>94</v>
      </c>
      <c r="B97" s="7" t="inlineStr">
        <is>
          <t>2023-01-02</t>
        </is>
      </c>
      <c r="C97" s="7" t="inlineStr">
        <is>
          <t>一</t>
        </is>
      </c>
      <c r="D97" s="8" t="n">
        <v>2698.33</v>
      </c>
      <c r="E97" s="7" t="n">
        <v>2023</v>
      </c>
      <c r="F97" s="7" t="n">
        <v>1</v>
      </c>
      <c r="G97" s="7" t="inlineStr">
        <is>
          <t>2023-01-02</t>
        </is>
      </c>
      <c r="H97" s="9" t="inlineStr">
        <is>
          <t>https://www.100ppi.com/news/detail-20230102-2435794.html</t>
        </is>
      </c>
      <c r="I97" s="7" t="inlineStr">
        <is>
          <t>1月2日生意社甲醇基准价为2698.33元/吨</t>
        </is>
      </c>
    </row>
    <row r="98">
      <c r="A98" s="7" t="n">
        <v>95</v>
      </c>
      <c r="B98" s="7" t="inlineStr">
        <is>
          <t>2023-01-03</t>
        </is>
      </c>
      <c r="C98" s="7" t="inlineStr">
        <is>
          <t>二</t>
        </is>
      </c>
      <c r="D98" s="8" t="n">
        <v>2698.33</v>
      </c>
      <c r="E98" s="7" t="n">
        <v>2023</v>
      </c>
      <c r="F98" s="7" t="n">
        <v>1</v>
      </c>
      <c r="G98" s="7" t="inlineStr">
        <is>
          <t>2023-01-03</t>
        </is>
      </c>
      <c r="H98" s="9" t="inlineStr">
        <is>
          <t>https://www.100ppi.com/news/detail-20230103-2436454.html</t>
        </is>
      </c>
      <c r="I98" s="7" t="inlineStr">
        <is>
          <t>1月3日生意社甲醇基准价为2698.33元/吨</t>
        </is>
      </c>
    </row>
    <row r="99">
      <c r="A99" s="7" t="n">
        <v>96</v>
      </c>
      <c r="B99" s="7" t="inlineStr">
        <is>
          <t>2023-01-04</t>
        </is>
      </c>
      <c r="C99" s="7" t="inlineStr">
        <is>
          <t>三</t>
        </is>
      </c>
      <c r="D99" s="8" t="n">
        <v>2708.33</v>
      </c>
      <c r="E99" s="7" t="n">
        <v>2023</v>
      </c>
      <c r="F99" s="7" t="n">
        <v>1</v>
      </c>
      <c r="G99" s="7" t="inlineStr">
        <is>
          <t>2023-01-04</t>
        </is>
      </c>
      <c r="H99" s="9" t="inlineStr">
        <is>
          <t>https://www.100ppi.com/news/detail-20230104-2438476.html</t>
        </is>
      </c>
      <c r="I99" s="7" t="inlineStr">
        <is>
          <t>1月4日生意社甲醇基准价为2708.33元/吨</t>
        </is>
      </c>
    </row>
    <row r="100">
      <c r="A100" s="7" t="n">
        <v>97</v>
      </c>
      <c r="B100" s="7" t="inlineStr">
        <is>
          <t>2023-01-05</t>
        </is>
      </c>
      <c r="C100" s="7" t="inlineStr">
        <is>
          <t>四</t>
        </is>
      </c>
      <c r="D100" s="8" t="n">
        <v>2684.17</v>
      </c>
      <c r="E100" s="7" t="n">
        <v>2023</v>
      </c>
      <c r="F100" s="7" t="n">
        <v>1</v>
      </c>
      <c r="G100" s="7" t="inlineStr">
        <is>
          <t>2023-01-05</t>
        </is>
      </c>
      <c r="H100" s="9" t="inlineStr">
        <is>
          <t>https://www.100ppi.com/news/detail-20230105-2440155.html</t>
        </is>
      </c>
      <c r="I100" s="7" t="inlineStr">
        <is>
          <t>1月5日生意社甲醇基准价为2684.17元/吨</t>
        </is>
      </c>
    </row>
    <row r="101">
      <c r="A101" s="7" t="n">
        <v>98</v>
      </c>
      <c r="B101" s="7" t="inlineStr">
        <is>
          <t>2023-01-06</t>
        </is>
      </c>
      <c r="C101" s="7" t="inlineStr">
        <is>
          <t>五</t>
        </is>
      </c>
      <c r="D101" s="8" t="n">
        <v>2671.67</v>
      </c>
      <c r="E101" s="7" t="n">
        <v>2023</v>
      </c>
      <c r="F101" s="7" t="n">
        <v>1</v>
      </c>
      <c r="G101" s="7" t="inlineStr">
        <is>
          <t>2023-01-06</t>
        </is>
      </c>
      <c r="H101" s="9" t="inlineStr">
        <is>
          <t>https://www.100ppi.com/news/detail-20230106-2441787.html</t>
        </is>
      </c>
      <c r="I101" s="7" t="inlineStr">
        <is>
          <t>1月6日生意社甲醇基准价为2671.67元/吨</t>
        </is>
      </c>
    </row>
    <row r="102">
      <c r="A102" s="7" t="n">
        <v>99</v>
      </c>
      <c r="B102" s="7" t="inlineStr">
        <is>
          <t>2023-01-09</t>
        </is>
      </c>
      <c r="C102" s="7" t="inlineStr">
        <is>
          <t>一</t>
        </is>
      </c>
      <c r="D102" s="8" t="n">
        <v>2680</v>
      </c>
      <c r="E102" s="7" t="n">
        <v>2023</v>
      </c>
      <c r="F102" s="7" t="n">
        <v>2</v>
      </c>
      <c r="G102" s="7" t="inlineStr">
        <is>
          <t>2023-01-09</t>
        </is>
      </c>
      <c r="H102" s="9" t="inlineStr">
        <is>
          <t>https://www.100ppi.com/news/detail-20230109-2444552.html</t>
        </is>
      </c>
      <c r="I102" s="7" t="inlineStr">
        <is>
          <t>1月9日生意社甲醇基准价为2680.00元/吨</t>
        </is>
      </c>
    </row>
    <row r="103">
      <c r="A103" s="7" t="n">
        <v>100</v>
      </c>
      <c r="B103" s="7" t="inlineStr">
        <is>
          <t>2023-01-10</t>
        </is>
      </c>
      <c r="C103" s="7" t="inlineStr">
        <is>
          <t>二</t>
        </is>
      </c>
      <c r="D103" s="8" t="n">
        <v>2646.67</v>
      </c>
      <c r="E103" s="7" t="n">
        <v>2023</v>
      </c>
      <c r="F103" s="7" t="n">
        <v>2</v>
      </c>
      <c r="G103" s="7" t="inlineStr">
        <is>
          <t>2023-01-10</t>
        </is>
      </c>
      <c r="H103" s="9" t="inlineStr">
        <is>
          <t>https://www.100ppi.com/news/detail-20230110-2446337.html</t>
        </is>
      </c>
      <c r="I103" s="7" t="inlineStr">
        <is>
          <t>1月10日生意社甲醇基准价为2646.67元/吨</t>
        </is>
      </c>
    </row>
    <row r="104">
      <c r="A104" s="7" t="n">
        <v>101</v>
      </c>
      <c r="B104" s="7" t="inlineStr">
        <is>
          <t>2023-01-11</t>
        </is>
      </c>
      <c r="C104" s="7" t="inlineStr">
        <is>
          <t>三</t>
        </is>
      </c>
      <c r="D104" s="8" t="n">
        <v>2660</v>
      </c>
      <c r="E104" s="7" t="n">
        <v>2023</v>
      </c>
      <c r="F104" s="7" t="n">
        <v>2</v>
      </c>
      <c r="G104" s="7" t="inlineStr">
        <is>
          <t>2023-01-11</t>
        </is>
      </c>
      <c r="H104" s="9" t="inlineStr">
        <is>
          <t>https://www.100ppi.com/news/detail-20230111-2448150.html</t>
        </is>
      </c>
      <c r="I104" s="7" t="inlineStr">
        <is>
          <t>1月11日生意社甲醇基准价为2660.00元/吨</t>
        </is>
      </c>
    </row>
    <row r="105">
      <c r="A105" s="7" t="n">
        <v>102</v>
      </c>
      <c r="B105" s="7" t="inlineStr">
        <is>
          <t>2023-01-12</t>
        </is>
      </c>
      <c r="C105" s="7" t="inlineStr">
        <is>
          <t>四</t>
        </is>
      </c>
      <c r="D105" s="8" t="n">
        <v>2653.33</v>
      </c>
      <c r="E105" s="7" t="n">
        <v>2023</v>
      </c>
      <c r="F105" s="7" t="n">
        <v>2</v>
      </c>
      <c r="G105" s="7" t="inlineStr">
        <is>
          <t>2023-01-12</t>
        </is>
      </c>
      <c r="H105" s="9" t="inlineStr">
        <is>
          <t>https://www.100ppi.com/news/detail-20230112-2449865.html</t>
        </is>
      </c>
      <c r="I105" s="7" t="inlineStr">
        <is>
          <t>1月12日生意社甲醇基准价为2653.33元/吨</t>
        </is>
      </c>
    </row>
    <row r="106">
      <c r="A106" s="7" t="n">
        <v>103</v>
      </c>
      <c r="B106" s="7" t="inlineStr">
        <is>
          <t>2023-01-13</t>
        </is>
      </c>
      <c r="C106" s="7" t="inlineStr">
        <is>
          <t>五</t>
        </is>
      </c>
      <c r="D106" s="8" t="n">
        <v>2635.83</v>
      </c>
      <c r="E106" s="7" t="n">
        <v>2023</v>
      </c>
      <c r="F106" s="7" t="n">
        <v>2</v>
      </c>
      <c r="G106" s="7" t="inlineStr">
        <is>
          <t>2023-01-13</t>
        </is>
      </c>
      <c r="H106" s="9" t="inlineStr">
        <is>
          <t>https://www.100ppi.com/news/detail-20230113-2451414.html</t>
        </is>
      </c>
      <c r="I106" s="7" t="inlineStr">
        <is>
          <t>1月13日生意社甲醇基准价为2635.83元/吨</t>
        </is>
      </c>
    </row>
    <row r="107">
      <c r="A107" s="7" t="n">
        <v>104</v>
      </c>
      <c r="B107" s="7" t="inlineStr">
        <is>
          <t>2023-01-16</t>
        </is>
      </c>
      <c r="C107" s="7" t="inlineStr">
        <is>
          <t>一</t>
        </is>
      </c>
      <c r="D107" s="8" t="n">
        <v>2651.67</v>
      </c>
      <c r="E107" s="7" t="n">
        <v>2023</v>
      </c>
      <c r="F107" s="7" t="n">
        <v>3</v>
      </c>
      <c r="G107" s="7" t="inlineStr">
        <is>
          <t>2023-01-16</t>
        </is>
      </c>
      <c r="H107" s="9" t="inlineStr">
        <is>
          <t>https://www.100ppi.com/news/detail-20230116-2453694.html</t>
        </is>
      </c>
      <c r="I107" s="7" t="inlineStr">
        <is>
          <t>1月16日生意社甲醇基准价为2651.67元/吨</t>
        </is>
      </c>
    </row>
    <row r="108">
      <c r="A108" s="7" t="n">
        <v>105</v>
      </c>
      <c r="B108" s="7" t="inlineStr">
        <is>
          <t>2023-01-17</t>
        </is>
      </c>
      <c r="C108" s="7" t="inlineStr">
        <is>
          <t>二</t>
        </is>
      </c>
      <c r="D108" s="8" t="n">
        <v>2625.83</v>
      </c>
      <c r="E108" s="7" t="n">
        <v>2023</v>
      </c>
      <c r="F108" s="7" t="n">
        <v>3</v>
      </c>
      <c r="G108" s="7" t="inlineStr">
        <is>
          <t>2023-01-17</t>
        </is>
      </c>
      <c r="H108" s="9" t="inlineStr">
        <is>
          <t>https://www.100ppi.com/news/detail-20230117-2454988.html</t>
        </is>
      </c>
      <c r="I108" s="7" t="inlineStr">
        <is>
          <t>1月17日生意社甲醇基准价为2625.83元/吨</t>
        </is>
      </c>
    </row>
    <row r="109">
      <c r="A109" s="7" t="n">
        <v>106</v>
      </c>
      <c r="B109" s="7" t="inlineStr">
        <is>
          <t>2023-01-18</t>
        </is>
      </c>
      <c r="C109" s="7" t="inlineStr">
        <is>
          <t>三</t>
        </is>
      </c>
      <c r="D109" s="8" t="n">
        <v>2671.67</v>
      </c>
      <c r="E109" s="7" t="n">
        <v>2023</v>
      </c>
      <c r="F109" s="7" t="n">
        <v>3</v>
      </c>
      <c r="G109" s="7" t="inlineStr">
        <is>
          <t>2023-01-18</t>
        </is>
      </c>
      <c r="H109" s="9" t="inlineStr">
        <is>
          <t>https://www.100ppi.com/news/detail-20230118-2456177.html</t>
        </is>
      </c>
      <c r="I109" s="7" t="inlineStr">
        <is>
          <t>1月18日生意社甲醇基准价为2671.67元/吨</t>
        </is>
      </c>
    </row>
    <row r="110">
      <c r="A110" s="7" t="n">
        <v>107</v>
      </c>
      <c r="B110" s="7" t="inlineStr">
        <is>
          <t>2023-01-19</t>
        </is>
      </c>
      <c r="C110" s="7" t="inlineStr">
        <is>
          <t>四</t>
        </is>
      </c>
      <c r="D110" s="8" t="n">
        <v>2690</v>
      </c>
      <c r="E110" s="7" t="n">
        <v>2023</v>
      </c>
      <c r="F110" s="7" t="n">
        <v>3</v>
      </c>
      <c r="G110" s="7" t="inlineStr">
        <is>
          <t>2023-01-19</t>
        </is>
      </c>
      <c r="H110" s="9" t="inlineStr">
        <is>
          <t>https://www.100ppi.com/news/detail-20230119-2457113.html</t>
        </is>
      </c>
      <c r="I110" s="7" t="inlineStr">
        <is>
          <t>1月19日生意社甲醇基准价为2690.00元/吨</t>
        </is>
      </c>
    </row>
    <row r="111">
      <c r="A111" s="7" t="n">
        <v>108</v>
      </c>
      <c r="B111" s="7" t="inlineStr">
        <is>
          <t>2023-01-20</t>
        </is>
      </c>
      <c r="C111" s="7" t="inlineStr">
        <is>
          <t>五</t>
        </is>
      </c>
      <c r="D111" s="8" t="n">
        <v>2690</v>
      </c>
      <c r="E111" s="7" t="n">
        <v>2023</v>
      </c>
      <c r="F111" s="7" t="n">
        <v>3</v>
      </c>
      <c r="G111" s="7" t="inlineStr">
        <is>
          <t>2023-01-20</t>
        </is>
      </c>
      <c r="H111" s="9" t="inlineStr">
        <is>
          <t>https://www.100ppi.com/news/detail-20230120-2457905.html</t>
        </is>
      </c>
      <c r="I111" s="7" t="inlineStr">
        <is>
          <t>1月20日生意社甲醇基准价为2690.00元/吨</t>
        </is>
      </c>
    </row>
    <row r="112">
      <c r="A112" s="7" t="n">
        <v>109</v>
      </c>
      <c r="B112" s="7" t="inlineStr">
        <is>
          <t>2023-01-23</t>
        </is>
      </c>
      <c r="C112" s="7" t="inlineStr">
        <is>
          <t>一</t>
        </is>
      </c>
      <c r="D112" s="8" t="n">
        <v>2690</v>
      </c>
      <c r="E112" s="7" t="n">
        <v>2023</v>
      </c>
      <c r="F112" s="7" t="n">
        <v>4</v>
      </c>
      <c r="G112" s="7" t="inlineStr">
        <is>
          <t>2023-01-23</t>
        </is>
      </c>
      <c r="H112" s="9" t="inlineStr">
        <is>
          <t>https://www.100ppi.com/news/detail-20230123-2458713.html</t>
        </is>
      </c>
      <c r="I112" s="7" t="inlineStr">
        <is>
          <t>1月23日生意社甲醇基准价为2690.00元/吨</t>
        </is>
      </c>
    </row>
    <row r="113">
      <c r="A113" s="7" t="n">
        <v>110</v>
      </c>
      <c r="B113" s="7" t="inlineStr">
        <is>
          <t>2023-01-24</t>
        </is>
      </c>
      <c r="C113" s="7" t="inlineStr">
        <is>
          <t>二</t>
        </is>
      </c>
      <c r="D113" s="8" t="n">
        <v>2690</v>
      </c>
      <c r="E113" s="7" t="n">
        <v>2023</v>
      </c>
      <c r="F113" s="7" t="n">
        <v>4</v>
      </c>
      <c r="G113" s="7" t="inlineStr">
        <is>
          <t>2023-01-24</t>
        </is>
      </c>
      <c r="H113" s="9" t="inlineStr">
        <is>
          <t>https://www.100ppi.com/news/detail-20230124-2459169.html</t>
        </is>
      </c>
      <c r="I113" s="7" t="inlineStr">
        <is>
          <t>1月24日生意社甲醇基准价为2690.00元/吨</t>
        </is>
      </c>
    </row>
    <row r="114">
      <c r="A114" s="7" t="n">
        <v>111</v>
      </c>
      <c r="B114" s="7" t="inlineStr">
        <is>
          <t>2023-01-25</t>
        </is>
      </c>
      <c r="C114" s="7" t="inlineStr">
        <is>
          <t>三</t>
        </is>
      </c>
      <c r="D114" s="8" t="n">
        <v>2690</v>
      </c>
      <c r="E114" s="7" t="n">
        <v>2023</v>
      </c>
      <c r="F114" s="7" t="n">
        <v>4</v>
      </c>
      <c r="G114" s="7" t="inlineStr">
        <is>
          <t>2023-01-25</t>
        </is>
      </c>
      <c r="H114" s="9" t="inlineStr">
        <is>
          <t>https://www.100ppi.com/news/detail-20230125-2459780.html</t>
        </is>
      </c>
      <c r="I114" s="7" t="inlineStr">
        <is>
          <t>1月25日生意社甲醇基准价为2690.00元/吨</t>
        </is>
      </c>
    </row>
    <row r="115">
      <c r="A115" s="7" t="n">
        <v>112</v>
      </c>
      <c r="B115" s="7" t="inlineStr">
        <is>
          <t>2023-01-26</t>
        </is>
      </c>
      <c r="C115" s="7" t="inlineStr">
        <is>
          <t>四</t>
        </is>
      </c>
      <c r="D115" s="8" t="n">
        <v>2690</v>
      </c>
      <c r="E115" s="7" t="n">
        <v>2023</v>
      </c>
      <c r="F115" s="7" t="n">
        <v>4</v>
      </c>
      <c r="G115" s="7" t="inlineStr">
        <is>
          <t>2023-01-26</t>
        </is>
      </c>
      <c r="H115" s="9" t="inlineStr">
        <is>
          <t>https://www.100ppi.com/news/detail-20230126-2460372.html</t>
        </is>
      </c>
      <c r="I115" s="7" t="inlineStr">
        <is>
          <t>1月26日生意社甲醇基准价为2690.00元/吨</t>
        </is>
      </c>
    </row>
    <row r="116">
      <c r="A116" s="7" t="n">
        <v>113</v>
      </c>
      <c r="B116" s="7" t="inlineStr">
        <is>
          <t>2023-01-27</t>
        </is>
      </c>
      <c r="C116" s="7" t="inlineStr">
        <is>
          <t>五</t>
        </is>
      </c>
      <c r="D116" s="8" t="n">
        <v>2690</v>
      </c>
      <c r="E116" s="7" t="n">
        <v>2023</v>
      </c>
      <c r="F116" s="7" t="n">
        <v>4</v>
      </c>
      <c r="G116" s="7" t="inlineStr">
        <is>
          <t>2023-01-27</t>
        </is>
      </c>
      <c r="H116" s="9" t="inlineStr">
        <is>
          <t>https://www.100ppi.com/news/detail-20230127-2460987.html</t>
        </is>
      </c>
      <c r="I116" s="7" t="inlineStr">
        <is>
          <t>1月27日生意社甲醇基准价为2690.00元/吨</t>
        </is>
      </c>
    </row>
    <row r="117">
      <c r="A117" s="7" t="n">
        <v>114</v>
      </c>
      <c r="B117" s="7" t="inlineStr">
        <is>
          <t>2023-01-30</t>
        </is>
      </c>
      <c r="C117" s="7" t="inlineStr">
        <is>
          <t>一</t>
        </is>
      </c>
      <c r="D117" s="8" t="n">
        <v>2806.67</v>
      </c>
      <c r="E117" s="7" t="n">
        <v>2023</v>
      </c>
      <c r="F117" s="7" t="n">
        <v>5</v>
      </c>
      <c r="G117" s="7" t="inlineStr">
        <is>
          <t>2023-01-30</t>
        </is>
      </c>
      <c r="H117" s="9" t="inlineStr">
        <is>
          <t>https://www.100ppi.com/news/detail-20230130-2464274.html</t>
        </is>
      </c>
      <c r="I117" s="7" t="inlineStr">
        <is>
          <t>1月30日生意社甲醇基准价为2806.67元/吨</t>
        </is>
      </c>
    </row>
    <row r="118">
      <c r="A118" s="7" t="n">
        <v>115</v>
      </c>
      <c r="B118" s="7" t="inlineStr">
        <is>
          <t>2023-01-31</t>
        </is>
      </c>
      <c r="C118" s="7" t="inlineStr">
        <is>
          <t>二</t>
        </is>
      </c>
      <c r="D118" s="8" t="n">
        <v>2768.75</v>
      </c>
      <c r="E118" s="7" t="n">
        <v>2023</v>
      </c>
      <c r="F118" s="7" t="n">
        <v>5</v>
      </c>
      <c r="G118" s="7" t="inlineStr">
        <is>
          <t>2023-01-31</t>
        </is>
      </c>
      <c r="H118" s="9" t="inlineStr">
        <is>
          <t>https://www.100ppi.com/news/detail-20230131-2466151.html</t>
        </is>
      </c>
      <c r="I118" s="7" t="inlineStr">
        <is>
          <t>1月31日生意社甲醇基准价为2768.75元/吨</t>
        </is>
      </c>
    </row>
    <row r="119">
      <c r="A119" s="7" t="n">
        <v>116</v>
      </c>
      <c r="B119" s="7" t="inlineStr">
        <is>
          <t>2023-02-01</t>
        </is>
      </c>
      <c r="C119" s="7" t="inlineStr">
        <is>
          <t>三</t>
        </is>
      </c>
      <c r="D119" s="8" t="n">
        <v>2760</v>
      </c>
      <c r="E119" s="7" t="n">
        <v>2023</v>
      </c>
      <c r="F119" s="7" t="n">
        <v>5</v>
      </c>
      <c r="G119" s="7" t="inlineStr">
        <is>
          <t>2023-02-01</t>
        </is>
      </c>
      <c r="H119" s="9" t="inlineStr">
        <is>
          <t>https://www.100ppi.com/news/detail-20230201-2468062.html</t>
        </is>
      </c>
      <c r="I119" s="7" t="inlineStr">
        <is>
          <t>2月1日生意社甲醇基准价为2760.00元/吨</t>
        </is>
      </c>
    </row>
    <row r="120">
      <c r="A120" s="7" t="n">
        <v>117</v>
      </c>
      <c r="B120" s="7" t="inlineStr">
        <is>
          <t>2023-02-02</t>
        </is>
      </c>
      <c r="C120" s="7" t="inlineStr">
        <is>
          <t>四</t>
        </is>
      </c>
      <c r="D120" s="8" t="n">
        <v>2780</v>
      </c>
      <c r="E120" s="7" t="n">
        <v>2023</v>
      </c>
      <c r="F120" s="7" t="n">
        <v>5</v>
      </c>
      <c r="G120" s="7" t="inlineStr">
        <is>
          <t>2023-02-02</t>
        </is>
      </c>
      <c r="H120" s="9" t="inlineStr">
        <is>
          <t>https://www.100ppi.com/news/detail-20230202-2469966.html</t>
        </is>
      </c>
      <c r="I120" s="7" t="inlineStr">
        <is>
          <t>2月2日生意社甲醇基准价为2780.00元/吨</t>
        </is>
      </c>
    </row>
    <row r="121">
      <c r="A121" s="7" t="n">
        <v>118</v>
      </c>
      <c r="B121" s="7" t="inlineStr">
        <is>
          <t>2023-02-03</t>
        </is>
      </c>
      <c r="C121" s="7" t="inlineStr">
        <is>
          <t>五</t>
        </is>
      </c>
      <c r="D121" s="8" t="n">
        <v>2723.33</v>
      </c>
      <c r="E121" s="7" t="n">
        <v>2023</v>
      </c>
      <c r="F121" s="7" t="n">
        <v>5</v>
      </c>
      <c r="G121" s="7" t="inlineStr">
        <is>
          <t>2023-02-03</t>
        </is>
      </c>
      <c r="H121" s="9" t="inlineStr">
        <is>
          <t>https://www.100ppi.com/news/detail-20230203-2471891.html</t>
        </is>
      </c>
      <c r="I121" s="7" t="inlineStr">
        <is>
          <t>2月3日生意社甲醇基准价为2723.33元/吨</t>
        </is>
      </c>
    </row>
    <row r="122">
      <c r="A122" s="7" t="n">
        <v>119</v>
      </c>
      <c r="B122" s="7" t="inlineStr">
        <is>
          <t>2023-02-06</t>
        </is>
      </c>
      <c r="C122" s="7" t="inlineStr">
        <is>
          <t>一</t>
        </is>
      </c>
      <c r="D122" s="8" t="n">
        <v>2704.29</v>
      </c>
      <c r="E122" s="7" t="n">
        <v>2023</v>
      </c>
      <c r="F122" s="7" t="n">
        <v>6</v>
      </c>
      <c r="G122" s="7" t="inlineStr">
        <is>
          <t>2023-02-06</t>
        </is>
      </c>
      <c r="H122" s="9" t="inlineStr">
        <is>
          <t>https://www.100ppi.com/news/detail-20230206-2474866.html</t>
        </is>
      </c>
      <c r="I122" s="7" t="inlineStr">
        <is>
          <t>2月6日生意社甲醇基准价为2704.29元/吨</t>
        </is>
      </c>
    </row>
    <row r="123">
      <c r="A123" s="7" t="n">
        <v>120</v>
      </c>
      <c r="B123" s="7" t="inlineStr">
        <is>
          <t>2023-02-07</t>
        </is>
      </c>
      <c r="C123" s="7" t="inlineStr">
        <is>
          <t>二</t>
        </is>
      </c>
      <c r="D123" s="8" t="n">
        <v>2717.14</v>
      </c>
      <c r="E123" s="7" t="n">
        <v>2023</v>
      </c>
      <c r="F123" s="7" t="n">
        <v>6</v>
      </c>
      <c r="G123" s="7" t="inlineStr">
        <is>
          <t>2023-02-07</t>
        </is>
      </c>
      <c r="H123" s="9" t="inlineStr">
        <is>
          <t>https://www.100ppi.com/news/detail-20230207-2476866.html</t>
        </is>
      </c>
      <c r="I123" s="7" t="inlineStr">
        <is>
          <t>2月7日生意社甲醇基准价为2717.14元/吨</t>
        </is>
      </c>
    </row>
    <row r="124">
      <c r="A124" s="7" t="n">
        <v>121</v>
      </c>
      <c r="B124" s="7" t="inlineStr">
        <is>
          <t>2023-02-08</t>
        </is>
      </c>
      <c r="C124" s="7" t="inlineStr">
        <is>
          <t>三</t>
        </is>
      </c>
      <c r="D124" s="8" t="n">
        <v>2712.86</v>
      </c>
      <c r="E124" s="7" t="n">
        <v>2023</v>
      </c>
      <c r="F124" s="7" t="n">
        <v>6</v>
      </c>
      <c r="G124" s="7" t="inlineStr">
        <is>
          <t>2023-02-08</t>
        </is>
      </c>
      <c r="H124" s="9" t="inlineStr">
        <is>
          <t>https://www.100ppi.com/news/detail-20230208-2478703.html</t>
        </is>
      </c>
      <c r="I124" s="7" t="inlineStr">
        <is>
          <t>2月8日生意社甲醇基准价为2712.86元/吨</t>
        </is>
      </c>
    </row>
    <row r="125">
      <c r="A125" s="7" t="n">
        <v>122</v>
      </c>
      <c r="B125" s="7" t="inlineStr">
        <is>
          <t>2023-02-09</t>
        </is>
      </c>
      <c r="C125" s="7" t="inlineStr">
        <is>
          <t>四</t>
        </is>
      </c>
      <c r="D125" s="8" t="n">
        <v>2692.86</v>
      </c>
      <c r="E125" s="7" t="n">
        <v>2023</v>
      </c>
      <c r="F125" s="7" t="n">
        <v>6</v>
      </c>
      <c r="G125" s="7" t="inlineStr">
        <is>
          <t>2023-02-09</t>
        </is>
      </c>
      <c r="H125" s="9" t="inlineStr">
        <is>
          <t>https://www.100ppi.com/news/detail-20230209-2480392.html</t>
        </is>
      </c>
      <c r="I125" s="7" t="inlineStr">
        <is>
          <t>2月9日生意社甲醇基准价为2692.86元/吨</t>
        </is>
      </c>
    </row>
    <row r="126">
      <c r="A126" s="7" t="n">
        <v>123</v>
      </c>
      <c r="B126" s="7" t="inlineStr">
        <is>
          <t>2023-02-10</t>
        </is>
      </c>
      <c r="C126" s="7" t="inlineStr">
        <is>
          <t>五</t>
        </is>
      </c>
      <c r="D126" s="8" t="n">
        <v>2711.43</v>
      </c>
      <c r="E126" s="7" t="n">
        <v>2023</v>
      </c>
      <c r="F126" s="7" t="n">
        <v>6</v>
      </c>
      <c r="G126" s="7" t="inlineStr">
        <is>
          <t>2023-02-10</t>
        </is>
      </c>
      <c r="H126" s="9" t="inlineStr">
        <is>
          <t>https://www.100ppi.com/news/detail-20230210-2482192.html</t>
        </is>
      </c>
      <c r="I126" s="7" t="inlineStr">
        <is>
          <t>2月10日生意社甲醇基准价为2711.43元/吨</t>
        </is>
      </c>
    </row>
    <row r="127">
      <c r="A127" s="7" t="n">
        <v>124</v>
      </c>
      <c r="B127" s="7" t="inlineStr">
        <is>
          <t>2023-02-13</t>
        </is>
      </c>
      <c r="C127" s="7" t="inlineStr">
        <is>
          <t>一</t>
        </is>
      </c>
      <c r="D127" s="8" t="n">
        <v>2689.29</v>
      </c>
      <c r="E127" s="7" t="n">
        <v>2023</v>
      </c>
      <c r="F127" s="7" t="n">
        <v>7</v>
      </c>
      <c r="G127" s="7" t="inlineStr">
        <is>
          <t>2023-02-13</t>
        </is>
      </c>
      <c r="H127" s="9" t="inlineStr">
        <is>
          <t>https://www.100ppi.com/news/detail-20230213-2485172.html</t>
        </is>
      </c>
      <c r="I127" s="7" t="inlineStr">
        <is>
          <t>2月13日生意社甲醇基准价为2689.29元/吨</t>
        </is>
      </c>
    </row>
    <row r="128">
      <c r="A128" s="7" t="n">
        <v>125</v>
      </c>
      <c r="B128" s="7" t="inlineStr">
        <is>
          <t>2023-02-14</t>
        </is>
      </c>
      <c r="C128" s="7" t="inlineStr">
        <is>
          <t>二</t>
        </is>
      </c>
      <c r="D128" s="8" t="n">
        <v>2688.57</v>
      </c>
      <c r="E128" s="7" t="n">
        <v>2023</v>
      </c>
      <c r="F128" s="7" t="n">
        <v>7</v>
      </c>
      <c r="G128" s="7" t="inlineStr">
        <is>
          <t>2023-02-14</t>
        </is>
      </c>
      <c r="H128" s="9" t="inlineStr">
        <is>
          <t>https://www.100ppi.com/news/detail-20230214-2487067.html</t>
        </is>
      </c>
      <c r="I128" s="7" t="inlineStr">
        <is>
          <t>2月14日生意社甲醇基准价为2688.57元/吨</t>
        </is>
      </c>
    </row>
    <row r="129">
      <c r="A129" s="7" t="n">
        <v>126</v>
      </c>
      <c r="B129" s="7" t="inlineStr">
        <is>
          <t>2023-02-15</t>
        </is>
      </c>
      <c r="C129" s="7" t="inlineStr">
        <is>
          <t>三</t>
        </is>
      </c>
      <c r="D129" s="8" t="n">
        <v>2691.43</v>
      </c>
      <c r="E129" s="7" t="n">
        <v>2023</v>
      </c>
      <c r="F129" s="7" t="n">
        <v>7</v>
      </c>
      <c r="G129" s="7" t="inlineStr">
        <is>
          <t>2023-02-15</t>
        </is>
      </c>
      <c r="H129" s="9" t="inlineStr">
        <is>
          <t>https://www.100ppi.com/news/detail-20230215-2488915.html</t>
        </is>
      </c>
      <c r="I129" s="7" t="inlineStr">
        <is>
          <t>2月15日生意社甲醇基准价为2691.43元/吨</t>
        </is>
      </c>
    </row>
    <row r="130">
      <c r="A130" s="7" t="n">
        <v>127</v>
      </c>
      <c r="B130" s="7" t="inlineStr">
        <is>
          <t>2023-02-16</t>
        </is>
      </c>
      <c r="C130" s="7" t="inlineStr">
        <is>
          <t>四</t>
        </is>
      </c>
      <c r="D130" s="8" t="n">
        <v>2695.71</v>
      </c>
      <c r="E130" s="7" t="n">
        <v>2023</v>
      </c>
      <c r="F130" s="7" t="n">
        <v>7</v>
      </c>
      <c r="G130" s="7" t="inlineStr">
        <is>
          <t>2023-02-16</t>
        </is>
      </c>
      <c r="H130" s="9" t="inlineStr">
        <is>
          <t>https://www.100ppi.com/news/detail-20230216-2490766.html</t>
        </is>
      </c>
      <c r="I130" s="7" t="inlineStr">
        <is>
          <t>2月16日生意社甲醇基准价为2695.71元/吨</t>
        </is>
      </c>
    </row>
    <row r="131">
      <c r="A131" s="7" t="n">
        <v>128</v>
      </c>
      <c r="B131" s="7" t="inlineStr">
        <is>
          <t>2023-02-17</t>
        </is>
      </c>
      <c r="C131" s="7" t="inlineStr">
        <is>
          <t>五</t>
        </is>
      </c>
      <c r="D131" s="8" t="n">
        <v>2711.43</v>
      </c>
      <c r="E131" s="7" t="n">
        <v>2023</v>
      </c>
      <c r="F131" s="7" t="n">
        <v>7</v>
      </c>
      <c r="G131" s="7" t="inlineStr">
        <is>
          <t>2023-02-17</t>
        </is>
      </c>
      <c r="H131" s="9" t="inlineStr">
        <is>
          <t>https://www.100ppi.com/news/detail-20230217-2492512.html</t>
        </is>
      </c>
      <c r="I131" s="7" t="inlineStr">
        <is>
          <t>2月17日生意社甲醇基准价为2711.43元/吨</t>
        </is>
      </c>
    </row>
    <row r="132">
      <c r="A132" s="7" t="n">
        <v>129</v>
      </c>
      <c r="B132" s="7" t="inlineStr">
        <is>
          <t>2023-02-20</t>
        </is>
      </c>
      <c r="C132" s="7" t="inlineStr">
        <is>
          <t>一</t>
        </is>
      </c>
      <c r="D132" s="8" t="n">
        <v>2710</v>
      </c>
      <c r="E132" s="7" t="n">
        <v>2023</v>
      </c>
      <c r="F132" s="7" t="n">
        <v>8</v>
      </c>
      <c r="G132" s="7" t="inlineStr">
        <is>
          <t>2023-02-20</t>
        </is>
      </c>
      <c r="H132" s="9" t="inlineStr">
        <is>
          <t>https://www.100ppi.com/news/detail-20230220-2495649.html</t>
        </is>
      </c>
      <c r="I132" s="7" t="inlineStr">
        <is>
          <t>2月20日生意社甲醇基准价为2710.00元/吨</t>
        </is>
      </c>
    </row>
    <row r="133">
      <c r="A133" s="7" t="n">
        <v>130</v>
      </c>
      <c r="B133" s="7" t="inlineStr">
        <is>
          <t>2023-02-21</t>
        </is>
      </c>
      <c r="C133" s="7" t="inlineStr">
        <is>
          <t>二</t>
        </is>
      </c>
      <c r="D133" s="8" t="n">
        <v>2690</v>
      </c>
      <c r="E133" s="7" t="n">
        <v>2023</v>
      </c>
      <c r="F133" s="7" t="n">
        <v>8</v>
      </c>
      <c r="G133" s="7" t="inlineStr">
        <is>
          <t>2023-02-21</t>
        </is>
      </c>
      <c r="H133" s="9" t="inlineStr">
        <is>
          <t>https://www.100ppi.com/news/detail-20230221-2497560.html</t>
        </is>
      </c>
      <c r="I133" s="7" t="inlineStr">
        <is>
          <t>2月21日生意社甲醇基准价为2690.00元/吨</t>
        </is>
      </c>
    </row>
    <row r="134">
      <c r="A134" s="7" t="n">
        <v>131</v>
      </c>
      <c r="B134" s="7" t="inlineStr">
        <is>
          <t>2023-02-22</t>
        </is>
      </c>
      <c r="C134" s="7" t="inlineStr">
        <is>
          <t>三</t>
        </is>
      </c>
      <c r="D134" s="8" t="n">
        <v>2714.29</v>
      </c>
      <c r="E134" s="7" t="n">
        <v>2023</v>
      </c>
      <c r="F134" s="7" t="n">
        <v>8</v>
      </c>
      <c r="G134" s="7" t="inlineStr">
        <is>
          <t>2023-02-22</t>
        </is>
      </c>
      <c r="H134" s="9" t="inlineStr">
        <is>
          <t>https://www.100ppi.com/news/detail-20230222-2499349.html</t>
        </is>
      </c>
      <c r="I134" s="7" t="inlineStr">
        <is>
          <t>2月22日生意社甲醇基准价为2714.29元/吨</t>
        </is>
      </c>
    </row>
    <row r="135">
      <c r="A135" s="7" t="n">
        <v>132</v>
      </c>
      <c r="B135" s="7" t="inlineStr">
        <is>
          <t>2023-02-23</t>
        </is>
      </c>
      <c r="C135" s="7" t="inlineStr">
        <is>
          <t>四</t>
        </is>
      </c>
      <c r="D135" s="8" t="n">
        <v>2717.14</v>
      </c>
      <c r="E135" s="7" t="n">
        <v>2023</v>
      </c>
      <c r="F135" s="7" t="n">
        <v>8</v>
      </c>
      <c r="G135" s="7" t="inlineStr">
        <is>
          <t>2023-02-23</t>
        </is>
      </c>
      <c r="H135" s="9" t="inlineStr">
        <is>
          <t>https://www.100ppi.com/news/detail-20230223-2501208.html</t>
        </is>
      </c>
      <c r="I135" s="7" t="inlineStr">
        <is>
          <t>2月23日生意社甲醇基准价为2717.14元/吨</t>
        </is>
      </c>
    </row>
    <row r="136">
      <c r="A136" s="7" t="n">
        <v>133</v>
      </c>
      <c r="B136" s="7" t="inlineStr">
        <is>
          <t>2023-02-24</t>
        </is>
      </c>
      <c r="C136" s="7" t="inlineStr">
        <is>
          <t>五</t>
        </is>
      </c>
      <c r="D136" s="8" t="n">
        <v>2762.5</v>
      </c>
      <c r="E136" s="7" t="n">
        <v>2023</v>
      </c>
      <c r="F136" s="7" t="n">
        <v>8</v>
      </c>
      <c r="G136" s="7" t="inlineStr">
        <is>
          <t>2023-02-24</t>
        </is>
      </c>
      <c r="H136" s="9" t="inlineStr">
        <is>
          <t>https://www.100ppi.com/news/detail-20230224-2502963.html</t>
        </is>
      </c>
      <c r="I136" s="7" t="inlineStr">
        <is>
          <t>2月24日生意社甲醇基准价为2762.50元/吨</t>
        </is>
      </c>
    </row>
    <row r="137">
      <c r="A137" s="7" t="n">
        <v>134</v>
      </c>
      <c r="B137" s="7" t="inlineStr">
        <is>
          <t>2023-02-27</t>
        </is>
      </c>
      <c r="C137" s="7" t="inlineStr">
        <is>
          <t>一</t>
        </is>
      </c>
      <c r="D137" s="8" t="n">
        <v>2790</v>
      </c>
      <c r="E137" s="7" t="n">
        <v>2023</v>
      </c>
      <c r="F137" s="7" t="n">
        <v>9</v>
      </c>
      <c r="G137" s="7" t="inlineStr">
        <is>
          <t>2023-02-27</t>
        </is>
      </c>
      <c r="H137" s="9" t="inlineStr">
        <is>
          <t>https://www.100ppi.com/news/detail-20230227-2506230.html</t>
        </is>
      </c>
      <c r="I137" s="7" t="inlineStr">
        <is>
          <t>2月27日生意社甲醇基准价为2790.00元/吨</t>
        </is>
      </c>
    </row>
    <row r="138">
      <c r="A138" s="7" t="n">
        <v>135</v>
      </c>
      <c r="B138" s="7" t="inlineStr">
        <is>
          <t>2023-02-28</t>
        </is>
      </c>
      <c r="C138" s="7" t="inlineStr">
        <is>
          <t>二</t>
        </is>
      </c>
      <c r="D138" s="8" t="n">
        <v>2780.83</v>
      </c>
      <c r="E138" s="7" t="n">
        <v>2023</v>
      </c>
      <c r="F138" s="7" t="n">
        <v>9</v>
      </c>
      <c r="G138" s="7" t="inlineStr">
        <is>
          <t>2023-02-28</t>
        </is>
      </c>
      <c r="H138" s="9" t="inlineStr">
        <is>
          <t>https://www.100ppi.com/news/detail-20230228-2508217.html</t>
        </is>
      </c>
      <c r="I138" s="7" t="inlineStr">
        <is>
          <t>2月28日生意社甲醇基准价为2780.83元/吨</t>
        </is>
      </c>
    </row>
    <row r="139">
      <c r="A139" s="7" t="n">
        <v>136</v>
      </c>
      <c r="B139" s="7" t="inlineStr">
        <is>
          <t>2023-03-01</t>
        </is>
      </c>
      <c r="C139" s="7" t="inlineStr">
        <is>
          <t>三</t>
        </is>
      </c>
      <c r="D139" s="8" t="n">
        <v>2743.33</v>
      </c>
      <c r="E139" s="7" t="n">
        <v>2023</v>
      </c>
      <c r="F139" s="7" t="n">
        <v>9</v>
      </c>
      <c r="G139" s="7" t="inlineStr">
        <is>
          <t>2023-03-01</t>
        </is>
      </c>
      <c r="H139" s="9" t="inlineStr">
        <is>
          <t>https://www.100ppi.com/news/detail-20230301-2509943.html</t>
        </is>
      </c>
      <c r="I139" s="7" t="inlineStr">
        <is>
          <t>3月1日生意社甲醇基准价为2743.33元/吨</t>
        </is>
      </c>
    </row>
    <row r="140">
      <c r="A140" s="7" t="n">
        <v>137</v>
      </c>
      <c r="B140" s="7" t="inlineStr">
        <is>
          <t>2023-03-02</t>
        </is>
      </c>
      <c r="C140" s="7" t="inlineStr">
        <is>
          <t>四</t>
        </is>
      </c>
      <c r="D140" s="8" t="n">
        <v>2735.83</v>
      </c>
      <c r="E140" s="7" t="n">
        <v>2023</v>
      </c>
      <c r="F140" s="7" t="n">
        <v>9</v>
      </c>
      <c r="G140" s="7" t="inlineStr">
        <is>
          <t>2023-03-02</t>
        </is>
      </c>
      <c r="H140" s="9" t="inlineStr">
        <is>
          <t>https://www.100ppi.com/news/detail-20230302-2511785.html</t>
        </is>
      </c>
      <c r="I140" s="7" t="inlineStr">
        <is>
          <t>3月2日生意社甲醇基准价为2735.83元/吨</t>
        </is>
      </c>
    </row>
    <row r="141">
      <c r="A141" s="7" t="n">
        <v>138</v>
      </c>
      <c r="B141" s="7" t="inlineStr">
        <is>
          <t>2023-03-03</t>
        </is>
      </c>
      <c r="C141" s="7" t="inlineStr">
        <is>
          <t>五</t>
        </is>
      </c>
      <c r="D141" s="8" t="n">
        <v>2701.67</v>
      </c>
      <c r="E141" s="7" t="n">
        <v>2023</v>
      </c>
      <c r="F141" s="7" t="n">
        <v>9</v>
      </c>
      <c r="G141" s="7" t="inlineStr">
        <is>
          <t>2023-03-03</t>
        </is>
      </c>
      <c r="H141" s="9" t="inlineStr">
        <is>
          <t>https://www.100ppi.com/news/detail-20230303-2513646.html</t>
        </is>
      </c>
      <c r="I141" s="7" t="inlineStr">
        <is>
          <t>3月3日生意社甲醇基准价为2701.67元/吨</t>
        </is>
      </c>
    </row>
    <row r="142">
      <c r="A142" s="7" t="n">
        <v>139</v>
      </c>
      <c r="B142" s="7" t="inlineStr">
        <is>
          <t>2023-03-06</t>
        </is>
      </c>
      <c r="C142" s="7" t="inlineStr">
        <is>
          <t>一</t>
        </is>
      </c>
      <c r="D142" s="8" t="n">
        <v>2693.33</v>
      </c>
      <c r="E142" s="7" t="n">
        <v>2023</v>
      </c>
      <c r="F142" s="7" t="n">
        <v>10</v>
      </c>
      <c r="G142" s="7" t="inlineStr">
        <is>
          <t>2023-03-06</t>
        </is>
      </c>
      <c r="H142" s="9" t="inlineStr">
        <is>
          <t>https://www.100ppi.com/news/detail-20230306-2517188.html</t>
        </is>
      </c>
      <c r="I142" s="7" t="inlineStr">
        <is>
          <t>3月6日生意社甲醇基准价为2693.33元/吨</t>
        </is>
      </c>
    </row>
    <row r="143">
      <c r="A143" s="7" t="n">
        <v>140</v>
      </c>
      <c r="B143" s="7" t="inlineStr">
        <is>
          <t>2023-03-07</t>
        </is>
      </c>
      <c r="C143" s="7" t="inlineStr">
        <is>
          <t>二</t>
        </is>
      </c>
      <c r="D143" s="8" t="n">
        <v>2676.67</v>
      </c>
      <c r="E143" s="7" t="n">
        <v>2023</v>
      </c>
      <c r="F143" s="7" t="n">
        <v>10</v>
      </c>
      <c r="G143" s="7" t="inlineStr">
        <is>
          <t>2023-03-07</t>
        </is>
      </c>
      <c r="H143" s="9" t="inlineStr">
        <is>
          <t>https://www.100ppi.com/news/detail-20230307-2519179.html</t>
        </is>
      </c>
      <c r="I143" s="7" t="inlineStr">
        <is>
          <t>3月7日生意社甲醇基准价为2676.67元/吨</t>
        </is>
      </c>
    </row>
    <row r="144">
      <c r="A144" s="7" t="n">
        <v>141</v>
      </c>
      <c r="B144" s="7" t="inlineStr">
        <is>
          <t>2023-03-08</t>
        </is>
      </c>
      <c r="C144" s="7" t="inlineStr">
        <is>
          <t>三</t>
        </is>
      </c>
      <c r="D144" s="8" t="n">
        <v>2680.83</v>
      </c>
      <c r="E144" s="7" t="n">
        <v>2023</v>
      </c>
      <c r="F144" s="7" t="n">
        <v>10</v>
      </c>
      <c r="G144" s="7" t="inlineStr">
        <is>
          <t>2023-03-08</t>
        </is>
      </c>
      <c r="H144" s="9" t="inlineStr">
        <is>
          <t>https://www.100ppi.com/news/detail-20230308-2520945.html</t>
        </is>
      </c>
      <c r="I144" s="7" t="inlineStr">
        <is>
          <t>3月8日生意社甲醇基准价为2680.83元/吨</t>
        </is>
      </c>
    </row>
    <row r="145">
      <c r="A145" s="7" t="n">
        <v>142</v>
      </c>
      <c r="B145" s="7" t="inlineStr">
        <is>
          <t>2023-03-09</t>
        </is>
      </c>
      <c r="C145" s="7" t="inlineStr">
        <is>
          <t>四</t>
        </is>
      </c>
      <c r="D145" s="8" t="n">
        <v>2645.83</v>
      </c>
      <c r="E145" s="7" t="n">
        <v>2023</v>
      </c>
      <c r="F145" s="7" t="n">
        <v>10</v>
      </c>
      <c r="G145" s="7" t="inlineStr">
        <is>
          <t>2023-03-09</t>
        </is>
      </c>
      <c r="H145" s="9" t="inlineStr">
        <is>
          <t>https://www.100ppi.com/news/detail-20230309-2522910.html</t>
        </is>
      </c>
      <c r="I145" s="7" t="inlineStr">
        <is>
          <t>3月9日生意社甲醇基准价为2645.83元/吨</t>
        </is>
      </c>
    </row>
    <row r="146">
      <c r="A146" s="7" t="n">
        <v>143</v>
      </c>
      <c r="B146" s="7" t="inlineStr">
        <is>
          <t>2023-03-10</t>
        </is>
      </c>
      <c r="C146" s="7" t="inlineStr">
        <is>
          <t>五</t>
        </is>
      </c>
      <c r="D146" s="8" t="n">
        <v>2638.33</v>
      </c>
      <c r="E146" s="7" t="n">
        <v>2023</v>
      </c>
      <c r="F146" s="7" t="n">
        <v>10</v>
      </c>
      <c r="G146" s="7" t="inlineStr">
        <is>
          <t>2023-03-10</t>
        </is>
      </c>
      <c r="H146" s="9" t="inlineStr">
        <is>
          <t>https://www.100ppi.com/news/detail-20230310-2524731.html</t>
        </is>
      </c>
      <c r="I146" s="7" t="inlineStr">
        <is>
          <t>3月10日生意社甲醇基准价为2638.33元/吨</t>
        </is>
      </c>
    </row>
    <row r="147">
      <c r="A147" s="7" t="n">
        <v>144</v>
      </c>
      <c r="B147" s="7" t="inlineStr">
        <is>
          <t>2023-03-13</t>
        </is>
      </c>
      <c r="C147" s="7" t="inlineStr">
        <is>
          <t>一</t>
        </is>
      </c>
      <c r="D147" s="8" t="n">
        <v>2620.83</v>
      </c>
      <c r="E147" s="7" t="n">
        <v>2023</v>
      </c>
      <c r="F147" s="7" t="n">
        <v>11</v>
      </c>
      <c r="G147" s="7" t="inlineStr">
        <is>
          <t>2023-03-13</t>
        </is>
      </c>
      <c r="H147" s="9" t="inlineStr">
        <is>
          <t>https://www.100ppi.com/news/detail-20230313-2527873.html</t>
        </is>
      </c>
      <c r="I147" s="7" t="inlineStr">
        <is>
          <t>3月13日生意社甲醇基准价为2620.83元/吨</t>
        </is>
      </c>
    </row>
    <row r="148">
      <c r="A148" s="7" t="n">
        <v>145</v>
      </c>
      <c r="B148" s="7" t="inlineStr">
        <is>
          <t>2023-03-14</t>
        </is>
      </c>
      <c r="C148" s="7" t="inlineStr">
        <is>
          <t>二</t>
        </is>
      </c>
      <c r="D148" s="8" t="n">
        <v>2647.5</v>
      </c>
      <c r="E148" s="7" t="n">
        <v>2023</v>
      </c>
      <c r="F148" s="7" t="n">
        <v>11</v>
      </c>
      <c r="G148" s="7" t="inlineStr">
        <is>
          <t>2023-03-14</t>
        </is>
      </c>
      <c r="H148" s="9" t="inlineStr">
        <is>
          <t>https://www.100ppi.com/news/detail-20230314-2529996.html</t>
        </is>
      </c>
      <c r="I148" s="7" t="inlineStr">
        <is>
          <t>3月14日生意社甲醇基准价为2647.50元/吨</t>
        </is>
      </c>
    </row>
    <row r="149">
      <c r="A149" s="7" t="n">
        <v>146</v>
      </c>
      <c r="B149" s="7" t="inlineStr">
        <is>
          <t>2023-03-15</t>
        </is>
      </c>
      <c r="C149" s="7" t="inlineStr">
        <is>
          <t>三</t>
        </is>
      </c>
      <c r="D149" s="8" t="n">
        <v>2640</v>
      </c>
      <c r="E149" s="7" t="n">
        <v>2023</v>
      </c>
      <c r="F149" s="7" t="n">
        <v>11</v>
      </c>
      <c r="G149" s="7" t="inlineStr">
        <is>
          <t>2023-03-15</t>
        </is>
      </c>
      <c r="H149" s="9" t="inlineStr">
        <is>
          <t>https://www.100ppi.com/news/detail-20230315-2531915.html</t>
        </is>
      </c>
      <c r="I149" s="7" t="inlineStr">
        <is>
          <t>3月15日生意社甲醇基准价为2640.00元/吨</t>
        </is>
      </c>
    </row>
    <row r="150">
      <c r="A150" s="7" t="n">
        <v>147</v>
      </c>
      <c r="B150" s="7" t="inlineStr">
        <is>
          <t>2023-03-16</t>
        </is>
      </c>
      <c r="C150" s="7" t="inlineStr">
        <is>
          <t>四</t>
        </is>
      </c>
      <c r="D150" s="8" t="n">
        <v>2629.17</v>
      </c>
      <c r="E150" s="7" t="n">
        <v>2023</v>
      </c>
      <c r="F150" s="7" t="n">
        <v>11</v>
      </c>
      <c r="G150" s="7" t="inlineStr">
        <is>
          <t>2023-03-16</t>
        </is>
      </c>
      <c r="H150" s="9" t="inlineStr">
        <is>
          <t>https://www.100ppi.com/news/detail-20230316-2533783.html</t>
        </is>
      </c>
      <c r="I150" s="7" t="inlineStr">
        <is>
          <t>3月16日生意社甲醇基准价为2629.17元/吨</t>
        </is>
      </c>
    </row>
    <row r="151">
      <c r="A151" s="7" t="n">
        <v>148</v>
      </c>
      <c r="B151" s="7" t="inlineStr">
        <is>
          <t>2023-03-17</t>
        </is>
      </c>
      <c r="C151" s="7" t="inlineStr">
        <is>
          <t>五</t>
        </is>
      </c>
      <c r="D151" s="8" t="n">
        <v>2575.83</v>
      </c>
      <c r="E151" s="7" t="n">
        <v>2023</v>
      </c>
      <c r="F151" s="7" t="n">
        <v>11</v>
      </c>
      <c r="G151" s="7" t="inlineStr">
        <is>
          <t>2023-03-17</t>
        </is>
      </c>
      <c r="H151" s="9" t="inlineStr">
        <is>
          <t>https://www.100ppi.com/news/detail-20230317-2535669.html</t>
        </is>
      </c>
      <c r="I151" s="7" t="inlineStr">
        <is>
          <t>3月17日生意社甲醇基准价为2575.83元/吨</t>
        </is>
      </c>
    </row>
    <row r="152">
      <c r="A152" s="7" t="n">
        <v>149</v>
      </c>
      <c r="B152" s="7" t="inlineStr">
        <is>
          <t>2023-03-20</t>
        </is>
      </c>
      <c r="C152" s="7" t="inlineStr">
        <is>
          <t>一</t>
        </is>
      </c>
      <c r="D152" s="8" t="n">
        <v>2611.67</v>
      </c>
      <c r="E152" s="7" t="n">
        <v>2023</v>
      </c>
      <c r="F152" s="7" t="n">
        <v>12</v>
      </c>
      <c r="G152" s="7" t="inlineStr">
        <is>
          <t>2023-03-20</t>
        </is>
      </c>
      <c r="H152" s="9" t="inlineStr">
        <is>
          <t>https://www.100ppi.com/news/detail-20230320-2538859.html</t>
        </is>
      </c>
      <c r="I152" s="7" t="inlineStr">
        <is>
          <t>3月20日生意社甲醇基准价为2611.67元/吨</t>
        </is>
      </c>
    </row>
    <row r="153">
      <c r="A153" s="7" t="n">
        <v>150</v>
      </c>
      <c r="B153" s="7" t="inlineStr">
        <is>
          <t>2023-03-21</t>
        </is>
      </c>
      <c r="C153" s="7" t="inlineStr">
        <is>
          <t>二</t>
        </is>
      </c>
      <c r="D153" s="8" t="n">
        <v>2618.33</v>
      </c>
      <c r="E153" s="7" t="n">
        <v>2023</v>
      </c>
      <c r="F153" s="7" t="n">
        <v>12</v>
      </c>
      <c r="G153" s="7" t="inlineStr">
        <is>
          <t>2023-03-21</t>
        </is>
      </c>
      <c r="H153" s="9" t="inlineStr">
        <is>
          <t>https://www.100ppi.com/news/detail-20230321-2541160.html</t>
        </is>
      </c>
      <c r="I153" s="7" t="inlineStr">
        <is>
          <t>3月21日生意社甲醇基准价为2618.33元/吨</t>
        </is>
      </c>
    </row>
    <row r="154">
      <c r="A154" s="7" t="n">
        <v>151</v>
      </c>
      <c r="B154" s="7" t="inlineStr">
        <is>
          <t>2023-03-22</t>
        </is>
      </c>
      <c r="C154" s="7" t="inlineStr">
        <is>
          <t>三</t>
        </is>
      </c>
      <c r="D154" s="8" t="n">
        <v>2591.67</v>
      </c>
      <c r="E154" s="7" t="n">
        <v>2023</v>
      </c>
      <c r="F154" s="7" t="n">
        <v>12</v>
      </c>
      <c r="G154" s="7" t="inlineStr">
        <is>
          <t>2023-03-22</t>
        </is>
      </c>
      <c r="H154" s="9" t="inlineStr">
        <is>
          <t>https://www.100ppi.com/news/detail-20230322-2543027.html</t>
        </is>
      </c>
      <c r="I154" s="7" t="inlineStr">
        <is>
          <t>3月22日生意社甲醇基准价为2591.67元/吨</t>
        </is>
      </c>
    </row>
    <row r="155">
      <c r="A155" s="7" t="n">
        <v>152</v>
      </c>
      <c r="B155" s="7" t="inlineStr">
        <is>
          <t>2023-03-23</t>
        </is>
      </c>
      <c r="C155" s="7" t="inlineStr">
        <is>
          <t>四</t>
        </is>
      </c>
      <c r="D155" s="8" t="n">
        <v>2615</v>
      </c>
      <c r="E155" s="7" t="n">
        <v>2023</v>
      </c>
      <c r="F155" s="7" t="n">
        <v>12</v>
      </c>
      <c r="G155" s="7" t="inlineStr">
        <is>
          <t>2023-03-23</t>
        </is>
      </c>
      <c r="H155" s="9" t="inlineStr">
        <is>
          <t>https://www.100ppi.com/news/detail-20230323-2545019.html</t>
        </is>
      </c>
      <c r="I155" s="7" t="inlineStr">
        <is>
          <t>3月23日生意社甲醇基准价为2615.00元/吨</t>
        </is>
      </c>
    </row>
    <row r="156">
      <c r="A156" s="7" t="n">
        <v>153</v>
      </c>
      <c r="B156" s="7" t="inlineStr">
        <is>
          <t>2023-03-24</t>
        </is>
      </c>
      <c r="C156" s="7" t="inlineStr">
        <is>
          <t>五</t>
        </is>
      </c>
      <c r="D156" s="8" t="n">
        <v>2610</v>
      </c>
      <c r="E156" s="7" t="n">
        <v>2023</v>
      </c>
      <c r="F156" s="7" t="n">
        <v>12</v>
      </c>
      <c r="G156" s="7" t="inlineStr">
        <is>
          <t>2023-03-24</t>
        </is>
      </c>
      <c r="H156" s="9" t="inlineStr">
        <is>
          <t>https://www.100ppi.com/news/detail-20230324-2546812.html</t>
        </is>
      </c>
      <c r="I156" s="7" t="inlineStr">
        <is>
          <t>3月24日生意社甲醇基准价为2610.00元/吨</t>
        </is>
      </c>
    </row>
    <row r="157">
      <c r="A157" s="7" t="n">
        <v>154</v>
      </c>
      <c r="B157" s="7" t="inlineStr">
        <is>
          <t>2023-03-27</t>
        </is>
      </c>
      <c r="C157" s="7" t="inlineStr">
        <is>
          <t>一</t>
        </is>
      </c>
      <c r="D157" s="8" t="n">
        <v>2593.33</v>
      </c>
      <c r="E157" s="7" t="n">
        <v>2023</v>
      </c>
      <c r="F157" s="7" t="n">
        <v>13</v>
      </c>
      <c r="G157" s="7" t="inlineStr">
        <is>
          <t>2023-03-27</t>
        </is>
      </c>
      <c r="H157" s="9" t="inlineStr">
        <is>
          <t>https://www.100ppi.com/news/detail-20230327-2550429.html</t>
        </is>
      </c>
      <c r="I157" s="7" t="inlineStr">
        <is>
          <t>3月27日生意社甲醇基准价为2593.33元/吨</t>
        </is>
      </c>
    </row>
    <row r="158">
      <c r="A158" s="7" t="n">
        <v>155</v>
      </c>
      <c r="B158" s="7" t="inlineStr">
        <is>
          <t>2023-03-28</t>
        </is>
      </c>
      <c r="C158" s="7" t="inlineStr">
        <is>
          <t>二</t>
        </is>
      </c>
      <c r="D158" s="8" t="n">
        <v>2581.67</v>
      </c>
      <c r="E158" s="7" t="n">
        <v>2023</v>
      </c>
      <c r="F158" s="7" t="n">
        <v>13</v>
      </c>
      <c r="G158" s="7" t="inlineStr">
        <is>
          <t>2023-03-28</t>
        </is>
      </c>
      <c r="H158" s="9" t="inlineStr">
        <is>
          <t>https://www.100ppi.com/news/detail-20230328-2552782.html</t>
        </is>
      </c>
      <c r="I158" s="7" t="inlineStr">
        <is>
          <t>3月28日生意社甲醇基准价为2581.67元/吨</t>
        </is>
      </c>
    </row>
    <row r="159">
      <c r="A159" s="7" t="n">
        <v>156</v>
      </c>
      <c r="B159" s="7" t="inlineStr">
        <is>
          <t>2023-03-29</t>
        </is>
      </c>
      <c r="C159" s="7" t="inlineStr">
        <is>
          <t>三</t>
        </is>
      </c>
      <c r="D159" s="8" t="n">
        <v>2540</v>
      </c>
      <c r="E159" s="7" t="n">
        <v>2023</v>
      </c>
      <c r="F159" s="7" t="n">
        <v>13</v>
      </c>
      <c r="G159" s="7" t="inlineStr">
        <is>
          <t>2023-03-29</t>
        </is>
      </c>
      <c r="H159" s="9" t="inlineStr">
        <is>
          <t>https://www.100ppi.com/news/detail-20230329-2554659.html</t>
        </is>
      </c>
      <c r="I159" s="7" t="inlineStr">
        <is>
          <t>3月29日生意社甲醇基准价为2540.00元/吨</t>
        </is>
      </c>
    </row>
    <row r="160">
      <c r="A160" s="7" t="n">
        <v>157</v>
      </c>
      <c r="B160" s="7" t="inlineStr">
        <is>
          <t>2023-03-30</t>
        </is>
      </c>
      <c r="C160" s="7" t="inlineStr">
        <is>
          <t>四</t>
        </is>
      </c>
      <c r="D160" s="8" t="n">
        <v>2535</v>
      </c>
      <c r="E160" s="7" t="n">
        <v>2023</v>
      </c>
      <c r="F160" s="7" t="n">
        <v>13</v>
      </c>
      <c r="G160" s="7" t="inlineStr">
        <is>
          <t>2023-03-30</t>
        </is>
      </c>
      <c r="H160" s="9" t="inlineStr">
        <is>
          <t>https://www.100ppi.com/news/detail-20230330-2556613.html</t>
        </is>
      </c>
      <c r="I160" s="7" t="inlineStr">
        <is>
          <t>3月30日生意社甲醇基准价为2535.00元/吨</t>
        </is>
      </c>
    </row>
    <row r="161">
      <c r="A161" s="7" t="n">
        <v>158</v>
      </c>
      <c r="B161" s="7" t="inlineStr">
        <is>
          <t>2023-03-31</t>
        </is>
      </c>
      <c r="C161" s="7" t="inlineStr">
        <is>
          <t>五</t>
        </is>
      </c>
      <c r="D161" s="8" t="n">
        <v>2543.33</v>
      </c>
      <c r="E161" s="7" t="n">
        <v>2023</v>
      </c>
      <c r="F161" s="7" t="n">
        <v>13</v>
      </c>
      <c r="G161" s="7" t="inlineStr">
        <is>
          <t>2023-03-31</t>
        </is>
      </c>
      <c r="H161" s="9" t="inlineStr">
        <is>
          <t>https://www.100ppi.com/news/detail-20230331-2558472.html</t>
        </is>
      </c>
      <c r="I161" s="7" t="inlineStr">
        <is>
          <t>3月31日生意社甲醇基准价为2543.33元/吨</t>
        </is>
      </c>
    </row>
    <row r="162">
      <c r="A162" s="7" t="n">
        <v>159</v>
      </c>
      <c r="B162" s="7" t="inlineStr">
        <is>
          <t>2023-04-03</t>
        </is>
      </c>
      <c r="C162" s="7" t="inlineStr">
        <is>
          <t>一</t>
        </is>
      </c>
      <c r="D162" s="8" t="n">
        <v>2561.67</v>
      </c>
      <c r="E162" s="7" t="n">
        <v>2023</v>
      </c>
      <c r="F162" s="7" t="n">
        <v>14</v>
      </c>
      <c r="G162" s="7" t="inlineStr">
        <is>
          <t>2023-04-03</t>
        </is>
      </c>
      <c r="H162" s="9" t="inlineStr">
        <is>
          <t>https://www.100ppi.com/news/detail-20230403-2561572.html</t>
        </is>
      </c>
      <c r="I162" s="7" t="inlineStr">
        <is>
          <t>4月3日生意社甲醇基准价为2561.67元/吨</t>
        </is>
      </c>
    </row>
    <row r="163">
      <c r="A163" s="7" t="n">
        <v>160</v>
      </c>
      <c r="B163" s="7" t="inlineStr">
        <is>
          <t>2023-04-04</t>
        </is>
      </c>
      <c r="C163" s="7" t="inlineStr">
        <is>
          <t>二</t>
        </is>
      </c>
      <c r="D163" s="8" t="n">
        <v>2535.83</v>
      </c>
      <c r="E163" s="7" t="n">
        <v>2023</v>
      </c>
      <c r="F163" s="7" t="n">
        <v>14</v>
      </c>
      <c r="G163" s="7" t="inlineStr">
        <is>
          <t>2023-04-04</t>
        </is>
      </c>
      <c r="H163" s="9" t="inlineStr">
        <is>
          <t>https://www.100ppi.com/news/detail-20230404-2563532.html</t>
        </is>
      </c>
      <c r="I163" s="7" t="inlineStr">
        <is>
          <t>4月4日生意社甲醇基准价为2535.83元/吨</t>
        </is>
      </c>
    </row>
    <row r="164">
      <c r="A164" s="7" t="n">
        <v>161</v>
      </c>
      <c r="B164" s="7" t="inlineStr">
        <is>
          <t>2023-04-05</t>
        </is>
      </c>
      <c r="C164" s="7" t="inlineStr">
        <is>
          <t>三</t>
        </is>
      </c>
      <c r="D164" s="8" t="n">
        <v>2510.83</v>
      </c>
      <c r="E164" s="7" t="n">
        <v>2023</v>
      </c>
      <c r="F164" s="7" t="n">
        <v>14</v>
      </c>
      <c r="G164" s="7" t="inlineStr">
        <is>
          <t>2023-04-05</t>
        </is>
      </c>
      <c r="H164" s="9" t="inlineStr">
        <is>
          <t>https://www.100ppi.com/news/detail-20230405-2565502.html</t>
        </is>
      </c>
      <c r="I164" s="7" t="inlineStr">
        <is>
          <t>4月5日生意社甲醇基准价为2510.83元/吨</t>
        </is>
      </c>
    </row>
    <row r="165">
      <c r="A165" s="7" t="n">
        <v>162</v>
      </c>
      <c r="B165" s="7" t="inlineStr">
        <is>
          <t>2023-04-06</t>
        </is>
      </c>
      <c r="C165" s="7" t="inlineStr">
        <is>
          <t>四</t>
        </is>
      </c>
      <c r="D165" s="8" t="n">
        <v>2510.83</v>
      </c>
      <c r="E165" s="7" t="n">
        <v>2023</v>
      </c>
      <c r="F165" s="7" t="n">
        <v>14</v>
      </c>
      <c r="G165" s="7" t="inlineStr">
        <is>
          <t>2023-04-06</t>
        </is>
      </c>
      <c r="H165" s="9" t="inlineStr">
        <is>
          <t>https://www.100ppi.com/news/detail-20230406-2566554.html</t>
        </is>
      </c>
      <c r="I165" s="7" t="inlineStr">
        <is>
          <t>4月6日生意社甲醇基准价为2510.83元/吨</t>
        </is>
      </c>
    </row>
    <row r="166">
      <c r="A166" s="7" t="n">
        <v>163</v>
      </c>
      <c r="B166" s="7" t="inlineStr">
        <is>
          <t>2023-04-07</t>
        </is>
      </c>
      <c r="C166" s="7" t="inlineStr">
        <is>
          <t>五</t>
        </is>
      </c>
      <c r="D166" s="8" t="n">
        <v>2473.33</v>
      </c>
      <c r="E166" s="7" t="n">
        <v>2023</v>
      </c>
      <c r="F166" s="7" t="n">
        <v>14</v>
      </c>
      <c r="G166" s="7" t="inlineStr">
        <is>
          <t>2023-04-07</t>
        </is>
      </c>
      <c r="H166" s="9" t="inlineStr">
        <is>
          <t>https://www.100ppi.com/news/detail-20230407-2568646.html</t>
        </is>
      </c>
      <c r="I166" s="7" t="inlineStr">
        <is>
          <t>4月7日生意社甲醇基准价为2473.33元/吨</t>
        </is>
      </c>
    </row>
    <row r="167">
      <c r="A167" s="7" t="n">
        <v>164</v>
      </c>
      <c r="B167" s="7" t="inlineStr">
        <is>
          <t>2023-04-10</t>
        </is>
      </c>
      <c r="C167" s="7" t="inlineStr">
        <is>
          <t>一</t>
        </is>
      </c>
      <c r="D167" s="8" t="n">
        <v>2446.67</v>
      </c>
      <c r="E167" s="7" t="n">
        <v>2023</v>
      </c>
      <c r="F167" s="7" t="n">
        <v>15</v>
      </c>
      <c r="G167" s="7" t="inlineStr">
        <is>
          <t>2023-04-10</t>
        </is>
      </c>
      <c r="H167" s="9" t="inlineStr">
        <is>
          <t>https://www.100ppi.com/news/detail-20230410-2572006.html</t>
        </is>
      </c>
      <c r="I167" s="7" t="inlineStr">
        <is>
          <t>4月10日生意社甲醇基准价为2446.67元/吨</t>
        </is>
      </c>
    </row>
    <row r="168">
      <c r="A168" s="7" t="n">
        <v>165</v>
      </c>
      <c r="B168" s="7" t="inlineStr">
        <is>
          <t>2023-04-11</t>
        </is>
      </c>
      <c r="C168" s="7" t="inlineStr">
        <is>
          <t>二</t>
        </is>
      </c>
      <c r="D168" s="8" t="n">
        <v>2401.67</v>
      </c>
      <c r="E168" s="7" t="n">
        <v>2023</v>
      </c>
      <c r="F168" s="7" t="n">
        <v>15</v>
      </c>
      <c r="G168" s="7" t="inlineStr">
        <is>
          <t>2023-04-11</t>
        </is>
      </c>
      <c r="H168" s="9" t="inlineStr">
        <is>
          <t>https://www.100ppi.com/news/detail-20230411-2574137.html</t>
        </is>
      </c>
      <c r="I168" s="7" t="inlineStr">
        <is>
          <t>4月11日生意社甲醇基准价为2401.67元/吨</t>
        </is>
      </c>
    </row>
    <row r="169">
      <c r="A169" s="7" t="n">
        <v>166</v>
      </c>
      <c r="B169" s="7" t="inlineStr">
        <is>
          <t>2023-04-12</t>
        </is>
      </c>
      <c r="C169" s="7" t="inlineStr">
        <is>
          <t>三</t>
        </is>
      </c>
      <c r="D169" s="8" t="n">
        <v>2426.67</v>
      </c>
      <c r="E169" s="7" t="n">
        <v>2023</v>
      </c>
      <c r="F169" s="7" t="n">
        <v>15</v>
      </c>
      <c r="G169" s="7" t="inlineStr">
        <is>
          <t>2023-04-12</t>
        </is>
      </c>
      <c r="H169" s="9" t="inlineStr">
        <is>
          <t>https://www.100ppi.com/news/detail-20230412-2576121.html</t>
        </is>
      </c>
      <c r="I169" s="7" t="inlineStr">
        <is>
          <t>4月12日生意社甲醇基准价为2426.67元/吨</t>
        </is>
      </c>
    </row>
    <row r="170">
      <c r="A170" s="7" t="n">
        <v>167</v>
      </c>
      <c r="B170" s="7" t="inlineStr">
        <is>
          <t>2023-04-13</t>
        </is>
      </c>
      <c r="C170" s="7" t="inlineStr">
        <is>
          <t>四</t>
        </is>
      </c>
      <c r="D170" s="8" t="n">
        <v>2446.67</v>
      </c>
      <c r="E170" s="7" t="n">
        <v>2023</v>
      </c>
      <c r="F170" s="7" t="n">
        <v>15</v>
      </c>
      <c r="G170" s="7" t="inlineStr">
        <is>
          <t>2023-04-13</t>
        </is>
      </c>
      <c r="H170" s="9" t="inlineStr">
        <is>
          <t>https://www.100ppi.com/news/detail-20230413-2578057.html</t>
        </is>
      </c>
      <c r="I170" s="7" t="inlineStr">
        <is>
          <t>4月13日生意社甲醇基准价为2446.67元/吨</t>
        </is>
      </c>
    </row>
    <row r="171">
      <c r="A171" s="7" t="n">
        <v>168</v>
      </c>
      <c r="B171" s="7" t="inlineStr">
        <is>
          <t>2023-04-14</t>
        </is>
      </c>
      <c r="C171" s="7" t="inlineStr">
        <is>
          <t>五</t>
        </is>
      </c>
      <c r="D171" s="8" t="n">
        <v>2471.67</v>
      </c>
      <c r="E171" s="7" t="n">
        <v>2023</v>
      </c>
      <c r="F171" s="7" t="n">
        <v>15</v>
      </c>
      <c r="G171" s="7" t="inlineStr">
        <is>
          <t>2023-04-14</t>
        </is>
      </c>
      <c r="H171" s="9" t="inlineStr">
        <is>
          <t>https://www.100ppi.com/news/detail-20230414-2579986.html</t>
        </is>
      </c>
      <c r="I171" s="7" t="inlineStr">
        <is>
          <t>4月14日生意社甲醇基准价为2471.67元/吨</t>
        </is>
      </c>
    </row>
    <row r="172">
      <c r="A172" s="7" t="n">
        <v>169</v>
      </c>
      <c r="B172" s="7" t="inlineStr">
        <is>
          <t>2023-04-17</t>
        </is>
      </c>
      <c r="C172" s="7" t="inlineStr">
        <is>
          <t>一</t>
        </is>
      </c>
      <c r="D172" s="8" t="n">
        <v>2471.67</v>
      </c>
      <c r="E172" s="7" t="n">
        <v>2023</v>
      </c>
      <c r="F172" s="7" t="n">
        <v>16</v>
      </c>
      <c r="G172" s="7" t="inlineStr">
        <is>
          <t>2023-04-17</t>
        </is>
      </c>
      <c r="H172" s="9" t="inlineStr">
        <is>
          <t>https://www.100ppi.com/news/detail-20230417-2583263.html</t>
        </is>
      </c>
      <c r="I172" s="7" t="inlineStr">
        <is>
          <t>4月17日生意社甲醇基准价为2471.67元/吨</t>
        </is>
      </c>
    </row>
    <row r="173">
      <c r="A173" s="7" t="n">
        <v>170</v>
      </c>
      <c r="B173" s="7" t="inlineStr">
        <is>
          <t>2023-04-18</t>
        </is>
      </c>
      <c r="C173" s="7" t="inlineStr">
        <is>
          <t>二</t>
        </is>
      </c>
      <c r="D173" s="8" t="n">
        <v>2530</v>
      </c>
      <c r="E173" s="7" t="n">
        <v>2023</v>
      </c>
      <c r="F173" s="7" t="n">
        <v>16</v>
      </c>
      <c r="G173" s="7" t="inlineStr">
        <is>
          <t>2023-04-18</t>
        </is>
      </c>
      <c r="H173" s="9" t="inlineStr">
        <is>
          <t>https://www.100ppi.com/news/detail-20230418-2585349.html</t>
        </is>
      </c>
      <c r="I173" s="7" t="inlineStr">
        <is>
          <t>4月18日生意社甲醇基准价为2530.00元/吨</t>
        </is>
      </c>
    </row>
    <row r="174">
      <c r="A174" s="7" t="n">
        <v>171</v>
      </c>
      <c r="B174" s="7" t="inlineStr">
        <is>
          <t>2023-04-19</t>
        </is>
      </c>
      <c r="C174" s="7" t="inlineStr">
        <is>
          <t>三</t>
        </is>
      </c>
      <c r="D174" s="8" t="n">
        <v>2540.83</v>
      </c>
      <c r="E174" s="7" t="n">
        <v>2023</v>
      </c>
      <c r="F174" s="7" t="n">
        <v>16</v>
      </c>
      <c r="G174" s="7" t="inlineStr">
        <is>
          <t>2023-04-19</t>
        </is>
      </c>
      <c r="H174" s="9" t="inlineStr">
        <is>
          <t>https://www.100ppi.com/news/detail-20230419-2587263.html</t>
        </is>
      </c>
      <c r="I174" s="7" t="inlineStr">
        <is>
          <t>4月19日生意社甲醇基准价为2540.83元/吨</t>
        </is>
      </c>
    </row>
    <row r="175">
      <c r="A175" s="7" t="n">
        <v>172</v>
      </c>
      <c r="B175" s="7" t="inlineStr">
        <is>
          <t>2023-04-20</t>
        </is>
      </c>
      <c r="C175" s="7" t="inlineStr">
        <is>
          <t>四</t>
        </is>
      </c>
      <c r="D175" s="8" t="n">
        <v>2550</v>
      </c>
      <c r="E175" s="7" t="n">
        <v>2023</v>
      </c>
      <c r="F175" s="7" t="n">
        <v>16</v>
      </c>
      <c r="G175" s="7" t="inlineStr">
        <is>
          <t>2023-04-20</t>
        </is>
      </c>
      <c r="H175" s="9" t="inlineStr">
        <is>
          <t>https://www.100ppi.com/news/detail-20230420-2589300.html</t>
        </is>
      </c>
      <c r="I175" s="7" t="inlineStr">
        <is>
          <t>4月20日生意社甲醇基准价为2550.00元/吨</t>
        </is>
      </c>
    </row>
    <row r="176">
      <c r="A176" s="7" t="n">
        <v>173</v>
      </c>
      <c r="B176" s="7" t="inlineStr">
        <is>
          <t>2023-04-21</t>
        </is>
      </c>
      <c r="C176" s="7" t="inlineStr">
        <is>
          <t>五</t>
        </is>
      </c>
      <c r="D176" s="8" t="n">
        <v>2550</v>
      </c>
      <c r="E176" s="7" t="n">
        <v>2023</v>
      </c>
      <c r="F176" s="7" t="n">
        <v>16</v>
      </c>
      <c r="G176" s="7" t="inlineStr">
        <is>
          <t>2023-04-21</t>
        </is>
      </c>
      <c r="H176" s="9" t="inlineStr">
        <is>
          <t>https://www.100ppi.com/news/detail-20230421-2591159.html</t>
        </is>
      </c>
      <c r="I176" s="7" t="inlineStr">
        <is>
          <t>4月21日生意社甲醇基准价为2550.00元/吨</t>
        </is>
      </c>
    </row>
    <row r="177">
      <c r="A177" s="7" t="n">
        <v>174</v>
      </c>
      <c r="B177" s="7" t="inlineStr">
        <is>
          <t>2023-04-24</t>
        </is>
      </c>
      <c r="C177" s="7" t="inlineStr">
        <is>
          <t>一</t>
        </is>
      </c>
      <c r="D177" s="8" t="n">
        <v>2571.67</v>
      </c>
      <c r="E177" s="7" t="n">
        <v>2023</v>
      </c>
      <c r="F177" s="7" t="n">
        <v>17</v>
      </c>
      <c r="G177" s="7" t="inlineStr">
        <is>
          <t>2023-04-24</t>
        </is>
      </c>
      <c r="H177" s="9" t="inlineStr">
        <is>
          <t>https://www.100ppi.com/news/detail-20230424-2595522.html</t>
        </is>
      </c>
      <c r="I177" s="7" t="inlineStr">
        <is>
          <t>4月24日生意社甲醇基准价为2571.67元/吨</t>
        </is>
      </c>
    </row>
    <row r="178">
      <c r="A178" s="7" t="n">
        <v>175</v>
      </c>
      <c r="B178" s="7" t="inlineStr">
        <is>
          <t>2023-04-26</t>
        </is>
      </c>
      <c r="C178" s="7" t="inlineStr">
        <is>
          <t>三</t>
        </is>
      </c>
      <c r="D178" s="8" t="n">
        <v>2520</v>
      </c>
      <c r="E178" s="7" t="n">
        <v>2023</v>
      </c>
      <c r="F178" s="7" t="n">
        <v>17</v>
      </c>
      <c r="G178" s="7" t="inlineStr">
        <is>
          <t>2023-04-26</t>
        </is>
      </c>
      <c r="H178" s="9" t="inlineStr">
        <is>
          <t>https://www.100ppi.com/news/detail-20230426-2599163.html</t>
        </is>
      </c>
      <c r="I178" s="7" t="inlineStr">
        <is>
          <t>4月26日生意社甲醇基准价为2520.00元/吨</t>
        </is>
      </c>
    </row>
    <row r="179">
      <c r="A179" s="7" t="n">
        <v>176</v>
      </c>
      <c r="B179" s="7" t="inlineStr">
        <is>
          <t>2023-04-27</t>
        </is>
      </c>
      <c r="C179" s="7" t="inlineStr">
        <is>
          <t>四</t>
        </is>
      </c>
      <c r="D179" s="8" t="n">
        <v>2491.67</v>
      </c>
      <c r="E179" s="7" t="n">
        <v>2023</v>
      </c>
      <c r="F179" s="7" t="n">
        <v>17</v>
      </c>
      <c r="G179" s="7" t="inlineStr">
        <is>
          <t>2023-04-27</t>
        </is>
      </c>
      <c r="H179" s="9" t="inlineStr">
        <is>
          <t>https://www.100ppi.com/news/detail-20230427-2601066.html</t>
        </is>
      </c>
      <c r="I179" s="7" t="inlineStr">
        <is>
          <t>4月27日生意社甲醇基准价为2491.67元/吨</t>
        </is>
      </c>
    </row>
    <row r="180">
      <c r="A180" s="7" t="n">
        <v>177</v>
      </c>
      <c r="B180" s="7" t="inlineStr">
        <is>
          <t>2023-04-28</t>
        </is>
      </c>
      <c r="C180" s="7" t="inlineStr">
        <is>
          <t>五</t>
        </is>
      </c>
      <c r="D180" s="8" t="n">
        <v>2488.33</v>
      </c>
      <c r="E180" s="7" t="n">
        <v>2023</v>
      </c>
      <c r="F180" s="7" t="n">
        <v>17</v>
      </c>
      <c r="G180" s="7" t="inlineStr">
        <is>
          <t>2023-04-28</t>
        </is>
      </c>
      <c r="H180" s="9" t="inlineStr">
        <is>
          <t>https://www.100ppi.com/news/detail-20230428-2602984.html</t>
        </is>
      </c>
      <c r="I180" s="7" t="inlineStr">
        <is>
          <t>4月28日生意社甲醇基准价为2488.33元/吨</t>
        </is>
      </c>
    </row>
    <row r="181">
      <c r="A181" s="7" t="n">
        <v>178</v>
      </c>
      <c r="B181" s="7" t="inlineStr">
        <is>
          <t>2023-05-01</t>
        </is>
      </c>
      <c r="C181" s="7" t="inlineStr">
        <is>
          <t>一</t>
        </is>
      </c>
      <c r="D181" s="8" t="n">
        <v>2423.33</v>
      </c>
      <c r="E181" s="7" t="n">
        <v>2023</v>
      </c>
      <c r="F181" s="7" t="n">
        <v>18</v>
      </c>
      <c r="G181" s="7" t="inlineStr">
        <is>
          <t>2023-05-01</t>
        </is>
      </c>
      <c r="H181" s="9" t="inlineStr">
        <is>
          <t>https://www.100ppi.com/news/detail-20230501-2606075.html</t>
        </is>
      </c>
      <c r="I181" s="7" t="inlineStr">
        <is>
          <t>5月1日生意社甲醇基准价为2423.33元/吨</t>
        </is>
      </c>
    </row>
    <row r="182">
      <c r="A182" s="7" t="n">
        <v>179</v>
      </c>
      <c r="B182" s="7" t="inlineStr">
        <is>
          <t>2023-05-02</t>
        </is>
      </c>
      <c r="C182" s="7" t="inlineStr">
        <is>
          <t>二</t>
        </is>
      </c>
      <c r="D182" s="8" t="n">
        <v>2423.33</v>
      </c>
      <c r="E182" s="7" t="n">
        <v>2023</v>
      </c>
      <c r="F182" s="7" t="n">
        <v>18</v>
      </c>
      <c r="G182" s="7" t="inlineStr">
        <is>
          <t>2023-05-02</t>
        </is>
      </c>
      <c r="H182" s="9" t="inlineStr">
        <is>
          <t>https://www.100ppi.com/news/detail-20230502-2606677.html</t>
        </is>
      </c>
      <c r="I182" s="7" t="inlineStr">
        <is>
          <t>5月2日生意社甲醇基准价为2423.33元/吨</t>
        </is>
      </c>
    </row>
    <row r="183">
      <c r="A183" s="7" t="n">
        <v>180</v>
      </c>
      <c r="B183" s="7" t="inlineStr">
        <is>
          <t>2023-05-03</t>
        </is>
      </c>
      <c r="C183" s="7" t="inlineStr">
        <is>
          <t>三</t>
        </is>
      </c>
      <c r="D183" s="8" t="n">
        <v>2423.33</v>
      </c>
      <c r="E183" s="7" t="n">
        <v>2023</v>
      </c>
      <c r="F183" s="7" t="n">
        <v>18</v>
      </c>
      <c r="G183" s="7" t="inlineStr">
        <is>
          <t>2023-05-03</t>
        </is>
      </c>
      <c r="H183" s="9" t="inlineStr">
        <is>
          <t>https://www.100ppi.com/news/detail-20230503-2607444.html</t>
        </is>
      </c>
      <c r="I183" s="7" t="inlineStr">
        <is>
          <t>5月3日生意社甲醇基准价为2423.33元/吨</t>
        </is>
      </c>
    </row>
    <row r="184">
      <c r="A184" s="7" t="n">
        <v>181</v>
      </c>
      <c r="B184" s="7" t="inlineStr">
        <is>
          <t>2023-05-04</t>
        </is>
      </c>
      <c r="C184" s="7" t="inlineStr">
        <is>
          <t>四</t>
        </is>
      </c>
      <c r="D184" s="8" t="n">
        <v>2423.33</v>
      </c>
      <c r="E184" s="7" t="n">
        <v>2023</v>
      </c>
      <c r="F184" s="7" t="n">
        <v>18</v>
      </c>
      <c r="G184" s="7" t="inlineStr">
        <is>
          <t>2023-05-04</t>
        </is>
      </c>
      <c r="H184" s="9" t="inlineStr">
        <is>
          <t>https://www.100ppi.com/news/detail-20230504-2608639.html</t>
        </is>
      </c>
      <c r="I184" s="7" t="inlineStr">
        <is>
          <t>5月4日生意社甲醇基准价为2423.33元/吨</t>
        </is>
      </c>
    </row>
    <row r="185">
      <c r="A185" s="7" t="n">
        <v>182</v>
      </c>
      <c r="B185" s="7" t="inlineStr">
        <is>
          <t>2023-05-05</t>
        </is>
      </c>
      <c r="C185" s="7" t="inlineStr">
        <is>
          <t>五</t>
        </is>
      </c>
      <c r="D185" s="8" t="n">
        <v>2411.67</v>
      </c>
      <c r="E185" s="7" t="n">
        <v>2023</v>
      </c>
      <c r="F185" s="7" t="n">
        <v>18</v>
      </c>
      <c r="G185" s="7" t="inlineStr">
        <is>
          <t>2023-05-05</t>
        </is>
      </c>
      <c r="H185" s="9" t="inlineStr">
        <is>
          <t>https://www.100ppi.com/news/detail-20230505-2610776.html</t>
        </is>
      </c>
      <c r="I185" s="7" t="inlineStr">
        <is>
          <t>5月5日生意社甲醇基准价为2411.67元/吨</t>
        </is>
      </c>
    </row>
    <row r="186">
      <c r="A186" s="7" t="n">
        <v>183</v>
      </c>
      <c r="B186" s="7" t="inlineStr">
        <is>
          <t>2023-05-08</t>
        </is>
      </c>
      <c r="C186" s="7" t="inlineStr">
        <is>
          <t>一</t>
        </is>
      </c>
      <c r="D186" s="8" t="n">
        <v>2430</v>
      </c>
      <c r="E186" s="7" t="n">
        <v>2023</v>
      </c>
      <c r="F186" s="7" t="n">
        <v>19</v>
      </c>
      <c r="G186" s="7" t="inlineStr">
        <is>
          <t>2023-05-08</t>
        </is>
      </c>
      <c r="H186" s="9" t="inlineStr">
        <is>
          <t>https://www.100ppi.com/news/detail-20230508-2615346.html</t>
        </is>
      </c>
      <c r="I186" s="7" t="inlineStr">
        <is>
          <t>5月8日生意社甲醇基准价为2430.00元/吨</t>
        </is>
      </c>
    </row>
    <row r="187">
      <c r="A187" s="7" t="n">
        <v>184</v>
      </c>
      <c r="B187" s="7" t="inlineStr">
        <is>
          <t>2023-05-09</t>
        </is>
      </c>
      <c r="C187" s="7" t="inlineStr">
        <is>
          <t>二</t>
        </is>
      </c>
      <c r="D187" s="8" t="n">
        <v>2441.67</v>
      </c>
      <c r="E187" s="7" t="n">
        <v>2023</v>
      </c>
      <c r="F187" s="7" t="n">
        <v>19</v>
      </c>
      <c r="G187" s="7" t="inlineStr">
        <is>
          <t>2023-05-09</t>
        </is>
      </c>
      <c r="H187" s="9" t="inlineStr">
        <is>
          <t>https://www.100ppi.com/news/detail-20230509-2617337.html</t>
        </is>
      </c>
      <c r="I187" s="7" t="inlineStr">
        <is>
          <t>5月9日生意社甲醇基准价为2441.67元/吨</t>
        </is>
      </c>
    </row>
    <row r="188">
      <c r="A188" s="7" t="n">
        <v>185</v>
      </c>
      <c r="B188" s="7" t="inlineStr">
        <is>
          <t>2023-05-10</t>
        </is>
      </c>
      <c r="C188" s="7" t="inlineStr">
        <is>
          <t>三</t>
        </is>
      </c>
      <c r="D188" s="8" t="n">
        <v>2401.67</v>
      </c>
      <c r="E188" s="7" t="n">
        <v>2023</v>
      </c>
      <c r="F188" s="7" t="n">
        <v>19</v>
      </c>
      <c r="G188" s="7" t="inlineStr">
        <is>
          <t>2023-05-10</t>
        </is>
      </c>
      <c r="H188" s="9" t="inlineStr">
        <is>
          <t>https://www.100ppi.com/news/detail-20230510-2619222.html</t>
        </is>
      </c>
      <c r="I188" s="7" t="inlineStr">
        <is>
          <t>5月10日生意社甲醇基准价为2401.67元/吨</t>
        </is>
      </c>
    </row>
    <row r="189">
      <c r="A189" s="7" t="n">
        <v>186</v>
      </c>
      <c r="B189" s="7" t="inlineStr">
        <is>
          <t>2023-05-11</t>
        </is>
      </c>
      <c r="C189" s="7" t="inlineStr">
        <is>
          <t>四</t>
        </is>
      </c>
      <c r="D189" s="8" t="n">
        <v>2370</v>
      </c>
      <c r="E189" s="7" t="n">
        <v>2023</v>
      </c>
      <c r="F189" s="7" t="n">
        <v>19</v>
      </c>
      <c r="G189" s="7" t="inlineStr">
        <is>
          <t>2023-05-11</t>
        </is>
      </c>
      <c r="H189" s="9" t="inlineStr">
        <is>
          <t>https://www.100ppi.com/news/detail-20230511-2621183.html</t>
        </is>
      </c>
      <c r="I189" s="7" t="inlineStr">
        <is>
          <t>5月11日生意社甲醇基准价为2370.00元/吨</t>
        </is>
      </c>
    </row>
    <row r="190">
      <c r="A190" s="7" t="n">
        <v>187</v>
      </c>
      <c r="B190" s="7" t="inlineStr">
        <is>
          <t>2023-05-12</t>
        </is>
      </c>
      <c r="C190" s="7" t="inlineStr">
        <is>
          <t>五</t>
        </is>
      </c>
      <c r="D190" s="8" t="n">
        <v>2360</v>
      </c>
      <c r="E190" s="7" t="n">
        <v>2023</v>
      </c>
      <c r="F190" s="7" t="n">
        <v>19</v>
      </c>
      <c r="G190" s="7" t="inlineStr">
        <is>
          <t>2023-05-12</t>
        </is>
      </c>
      <c r="H190" s="9" t="inlineStr">
        <is>
          <t>https://www.100ppi.com/news/detail-20230512-2623193.html</t>
        </is>
      </c>
      <c r="I190" s="7" t="inlineStr">
        <is>
          <t>5月12日生意社甲醇基准价为2360.00元/吨</t>
        </is>
      </c>
    </row>
    <row r="191">
      <c r="A191" s="7" t="n">
        <v>188</v>
      </c>
      <c r="B191" s="7" t="inlineStr">
        <is>
          <t>2023-05-15</t>
        </is>
      </c>
      <c r="C191" s="7" t="inlineStr">
        <is>
          <t>一</t>
        </is>
      </c>
      <c r="D191" s="8" t="n">
        <v>2327.5</v>
      </c>
      <c r="E191" s="7" t="n">
        <v>2023</v>
      </c>
      <c r="F191" s="7" t="n">
        <v>20</v>
      </c>
      <c r="G191" s="7" t="inlineStr">
        <is>
          <t>2023-05-15</t>
        </is>
      </c>
      <c r="H191" s="9" t="inlineStr">
        <is>
          <t>https://www.100ppi.com/news/detail-20230515-2626345.html</t>
        </is>
      </c>
      <c r="I191" s="7" t="inlineStr">
        <is>
          <t>5月15日生意社甲醇基准价为2327.50元/吨</t>
        </is>
      </c>
    </row>
    <row r="192">
      <c r="A192" s="7" t="n">
        <v>189</v>
      </c>
      <c r="B192" s="7" t="inlineStr">
        <is>
          <t>2023-05-16</t>
        </is>
      </c>
      <c r="C192" s="7" t="inlineStr">
        <is>
          <t>二</t>
        </is>
      </c>
      <c r="D192" s="8" t="n">
        <v>2335.83</v>
      </c>
      <c r="E192" s="7" t="n">
        <v>2023</v>
      </c>
      <c r="F192" s="7" t="n">
        <v>20</v>
      </c>
      <c r="G192" s="7" t="inlineStr">
        <is>
          <t>2023-05-16</t>
        </is>
      </c>
      <c r="H192" s="9" t="inlineStr">
        <is>
          <t>https://www.100ppi.com/news/detail-20230516-2628431.html</t>
        </is>
      </c>
      <c r="I192" s="7" t="inlineStr">
        <is>
          <t>5月16日生意社甲醇基准价为2335.83元/吨</t>
        </is>
      </c>
    </row>
    <row r="193">
      <c r="A193" s="7" t="n">
        <v>190</v>
      </c>
      <c r="B193" s="7" t="inlineStr">
        <is>
          <t>2023-05-17</t>
        </is>
      </c>
      <c r="C193" s="7" t="inlineStr">
        <is>
          <t>三</t>
        </is>
      </c>
      <c r="D193" s="8" t="n">
        <v>2345</v>
      </c>
      <c r="E193" s="7" t="n">
        <v>2023</v>
      </c>
      <c r="F193" s="7" t="n">
        <v>20</v>
      </c>
      <c r="G193" s="7" t="inlineStr">
        <is>
          <t>2023-05-17</t>
        </is>
      </c>
      <c r="H193" s="9" t="inlineStr">
        <is>
          <t>https://www.100ppi.com/news/detail-20230517-2630381.html</t>
        </is>
      </c>
      <c r="I193" s="7" t="inlineStr">
        <is>
          <t>5月17日生意社甲醇基准价为2345.00元/吨</t>
        </is>
      </c>
    </row>
    <row r="194">
      <c r="A194" s="7" t="n">
        <v>191</v>
      </c>
      <c r="B194" s="7" t="inlineStr">
        <is>
          <t>2023-05-18</t>
        </is>
      </c>
      <c r="C194" s="7" t="inlineStr">
        <is>
          <t>四</t>
        </is>
      </c>
      <c r="D194" s="8" t="n">
        <v>2365.83</v>
      </c>
      <c r="E194" s="7" t="n">
        <v>2023</v>
      </c>
      <c r="F194" s="7" t="n">
        <v>20</v>
      </c>
      <c r="G194" s="7" t="inlineStr">
        <is>
          <t>2023-05-18</t>
        </is>
      </c>
      <c r="H194" s="9" t="inlineStr">
        <is>
          <t>https://www.100ppi.com/news/detail-20230518-2632237.html</t>
        </is>
      </c>
      <c r="I194" s="7" t="inlineStr">
        <is>
          <t>5月18日生意社甲醇基准价为2365.83元/吨</t>
        </is>
      </c>
    </row>
    <row r="195">
      <c r="A195" s="7" t="n">
        <v>192</v>
      </c>
      <c r="B195" s="7" t="inlineStr">
        <is>
          <t>2023-05-19</t>
        </is>
      </c>
      <c r="C195" s="7" t="inlineStr">
        <is>
          <t>五</t>
        </is>
      </c>
      <c r="D195" s="8" t="n">
        <v>2343.33</v>
      </c>
      <c r="E195" s="7" t="n">
        <v>2023</v>
      </c>
      <c r="F195" s="7" t="n">
        <v>20</v>
      </c>
      <c r="G195" s="7" t="inlineStr">
        <is>
          <t>2023-05-19</t>
        </is>
      </c>
      <c r="H195" s="9" t="inlineStr">
        <is>
          <t>https://www.100ppi.com/news/detail-20230519-2634158.html</t>
        </is>
      </c>
      <c r="I195" s="7" t="inlineStr">
        <is>
          <t>5月19日生意社甲醇基准价为2343.33元/吨</t>
        </is>
      </c>
    </row>
    <row r="196">
      <c r="A196" s="7" t="n">
        <v>193</v>
      </c>
      <c r="B196" s="7" t="inlineStr">
        <is>
          <t>2023-05-22</t>
        </is>
      </c>
      <c r="C196" s="7" t="inlineStr">
        <is>
          <t>一</t>
        </is>
      </c>
      <c r="D196" s="8" t="n">
        <v>2282.5</v>
      </c>
      <c r="E196" s="7" t="n">
        <v>2023</v>
      </c>
      <c r="F196" s="7" t="n">
        <v>21</v>
      </c>
      <c r="G196" s="7" t="inlineStr">
        <is>
          <t>2023-05-22</t>
        </is>
      </c>
      <c r="H196" s="9" t="inlineStr">
        <is>
          <t>https://www.100ppi.com/news/detail-20230522-2637874.html</t>
        </is>
      </c>
      <c r="I196" s="7" t="inlineStr">
        <is>
          <t>5月22日生意社甲醇基准价为2282.50元/吨</t>
        </is>
      </c>
    </row>
    <row r="197">
      <c r="A197" s="7" t="n">
        <v>194</v>
      </c>
      <c r="B197" s="7" t="inlineStr">
        <is>
          <t>2023-05-23</t>
        </is>
      </c>
      <c r="C197" s="7" t="inlineStr">
        <is>
          <t>二</t>
        </is>
      </c>
      <c r="D197" s="8" t="n">
        <v>2190.83</v>
      </c>
      <c r="E197" s="7" t="n">
        <v>2023</v>
      </c>
      <c r="F197" s="7" t="n">
        <v>21</v>
      </c>
      <c r="G197" s="7" t="inlineStr">
        <is>
          <t>2023-05-23</t>
        </is>
      </c>
      <c r="H197" s="9" t="inlineStr">
        <is>
          <t>https://www.100ppi.com/news/detail-20230523-2639979.html</t>
        </is>
      </c>
      <c r="I197" s="7" t="inlineStr">
        <is>
          <t>5月23日生意社甲醇基准价为2190.83元/吨</t>
        </is>
      </c>
    </row>
    <row r="198">
      <c r="A198" s="7" t="n">
        <v>195</v>
      </c>
      <c r="B198" s="7" t="inlineStr">
        <is>
          <t>2023-05-24</t>
        </is>
      </c>
      <c r="C198" s="7" t="inlineStr">
        <is>
          <t>三</t>
        </is>
      </c>
      <c r="D198" s="8" t="n">
        <v>2174.17</v>
      </c>
      <c r="E198" s="7" t="n">
        <v>2023</v>
      </c>
      <c r="F198" s="7" t="n">
        <v>21</v>
      </c>
      <c r="G198" s="7" t="inlineStr">
        <is>
          <t>2023-05-24</t>
        </is>
      </c>
      <c r="H198" s="9" t="inlineStr">
        <is>
          <t>https://www.100ppi.com/news/detail-20230524-2641968.html</t>
        </is>
      </c>
      <c r="I198" s="7" t="inlineStr">
        <is>
          <t>5月24日生意社甲醇基准价为2174.17元/吨</t>
        </is>
      </c>
    </row>
    <row r="199">
      <c r="A199" s="7" t="n">
        <v>196</v>
      </c>
      <c r="B199" s="7" t="inlineStr">
        <is>
          <t>2023-05-25</t>
        </is>
      </c>
      <c r="C199" s="7" t="inlineStr">
        <is>
          <t>四</t>
        </is>
      </c>
      <c r="D199" s="8" t="n">
        <v>2175.83</v>
      </c>
      <c r="E199" s="7" t="n">
        <v>2023</v>
      </c>
      <c r="F199" s="7" t="n">
        <v>21</v>
      </c>
      <c r="G199" s="7" t="inlineStr">
        <is>
          <t>2023-05-25</t>
        </is>
      </c>
      <c r="H199" s="9" t="inlineStr">
        <is>
          <t>https://www.100ppi.com/news/detail-20230525-2644037.html</t>
        </is>
      </c>
      <c r="I199" s="7" t="inlineStr">
        <is>
          <t>5月25日生意社甲醇基准价为2175.83元/吨</t>
        </is>
      </c>
    </row>
    <row r="200">
      <c r="A200" s="7" t="n">
        <v>197</v>
      </c>
      <c r="B200" s="7" t="inlineStr">
        <is>
          <t>2023-05-26</t>
        </is>
      </c>
      <c r="C200" s="7" t="inlineStr">
        <is>
          <t>五</t>
        </is>
      </c>
      <c r="D200" s="8" t="n">
        <v>2135.83</v>
      </c>
      <c r="E200" s="7" t="n">
        <v>2023</v>
      </c>
      <c r="F200" s="7" t="n">
        <v>21</v>
      </c>
      <c r="G200" s="7" t="inlineStr">
        <is>
          <t>2023-05-26</t>
        </is>
      </c>
      <c r="H200" s="9" t="inlineStr">
        <is>
          <t>https://www.100ppi.com/news/detail-20230526-2645857.html</t>
        </is>
      </c>
      <c r="I200" s="7" t="inlineStr">
        <is>
          <t>5月26日生意社甲醇基准价为2135.83元/吨</t>
        </is>
      </c>
    </row>
    <row r="201">
      <c r="A201" s="7" t="n">
        <v>198</v>
      </c>
      <c r="B201" s="7" t="inlineStr">
        <is>
          <t>2023-05-29</t>
        </is>
      </c>
      <c r="C201" s="7" t="inlineStr">
        <is>
          <t>一</t>
        </is>
      </c>
      <c r="D201" s="8" t="n">
        <v>2194.17</v>
      </c>
      <c r="E201" s="7" t="n">
        <v>2023</v>
      </c>
      <c r="F201" s="7" t="n">
        <v>22</v>
      </c>
      <c r="G201" s="7" t="inlineStr">
        <is>
          <t>2023-05-29</t>
        </is>
      </c>
      <c r="H201" s="9" t="inlineStr">
        <is>
          <t>https://www.100ppi.com/news/detail-20230529-2649495.html</t>
        </is>
      </c>
      <c r="I201" s="7" t="inlineStr">
        <is>
          <t>5月29日生意社甲醇基准价为2194.17元/吨</t>
        </is>
      </c>
    </row>
    <row r="202">
      <c r="A202" s="7" t="n">
        <v>199</v>
      </c>
      <c r="B202" s="7" t="inlineStr">
        <is>
          <t>2023-05-30</t>
        </is>
      </c>
      <c r="C202" s="7" t="inlineStr">
        <is>
          <t>二</t>
        </is>
      </c>
      <c r="D202" s="8" t="n">
        <v>2208.33</v>
      </c>
      <c r="E202" s="7" t="n">
        <v>2023</v>
      </c>
      <c r="F202" s="7" t="n">
        <v>22</v>
      </c>
      <c r="G202" s="7" t="inlineStr">
        <is>
          <t>2023-05-30</t>
        </is>
      </c>
      <c r="H202" s="9" t="inlineStr">
        <is>
          <t>https://www.100ppi.com/news/detail-20230530-2651719.html</t>
        </is>
      </c>
      <c r="I202" s="7" t="inlineStr">
        <is>
          <t>5月30日生意社甲醇基准价为2208.33元/吨</t>
        </is>
      </c>
    </row>
    <row r="203">
      <c r="A203" s="7" t="n">
        <v>200</v>
      </c>
      <c r="B203" s="7" t="inlineStr">
        <is>
          <t>2023-05-31</t>
        </is>
      </c>
      <c r="C203" s="7" t="inlineStr">
        <is>
          <t>三</t>
        </is>
      </c>
      <c r="D203" s="8" t="n">
        <v>2175</v>
      </c>
      <c r="E203" s="7" t="n">
        <v>2023</v>
      </c>
      <c r="F203" s="7" t="n">
        <v>22</v>
      </c>
      <c r="G203" s="7" t="inlineStr">
        <is>
          <t>2023-05-31</t>
        </is>
      </c>
      <c r="H203" s="9" t="inlineStr">
        <is>
          <t>https://www.100ppi.com/news/detail-20230531-2653691.html</t>
        </is>
      </c>
      <c r="I203" s="7" t="inlineStr">
        <is>
          <t>5月31日生意社甲醇基准价为2175.00元/吨</t>
        </is>
      </c>
    </row>
    <row r="204">
      <c r="A204" s="7" t="n">
        <v>201</v>
      </c>
      <c r="B204" s="7" t="inlineStr">
        <is>
          <t>2023-06-01</t>
        </is>
      </c>
      <c r="C204" s="7" t="inlineStr">
        <is>
          <t>四</t>
        </is>
      </c>
      <c r="D204" s="8" t="n">
        <v>2160</v>
      </c>
      <c r="E204" s="7" t="n">
        <v>2023</v>
      </c>
      <c r="F204" s="7" t="n">
        <v>22</v>
      </c>
      <c r="G204" s="7" t="inlineStr">
        <is>
          <t>2023-06-01</t>
        </is>
      </c>
      <c r="H204" s="9" t="inlineStr">
        <is>
          <t>https://www.100ppi.com/news/detail-20230601-2655660.html</t>
        </is>
      </c>
      <c r="I204" s="7" t="inlineStr">
        <is>
          <t>6月1日生意社甲醇基准价为2160.00元/吨</t>
        </is>
      </c>
    </row>
    <row r="205">
      <c r="A205" s="7" t="n">
        <v>202</v>
      </c>
      <c r="B205" s="7" t="inlineStr">
        <is>
          <t>2023-06-02</t>
        </is>
      </c>
      <c r="C205" s="7" t="inlineStr">
        <is>
          <t>五</t>
        </is>
      </c>
      <c r="D205" s="8" t="n">
        <v>2161.67</v>
      </c>
      <c r="E205" s="7" t="n">
        <v>2023</v>
      </c>
      <c r="F205" s="7" t="n">
        <v>22</v>
      </c>
      <c r="G205" s="7" t="inlineStr">
        <is>
          <t>2023-06-02</t>
        </is>
      </c>
      <c r="H205" s="9" t="inlineStr">
        <is>
          <t>https://www.100ppi.com/news/detail-20230602-2657530.html</t>
        </is>
      </c>
      <c r="I205" s="7" t="inlineStr">
        <is>
          <t>6月2日生意社甲醇基准价为2161.67元/吨</t>
        </is>
      </c>
    </row>
    <row r="206">
      <c r="A206" s="7" t="n">
        <v>203</v>
      </c>
      <c r="B206" s="7" t="inlineStr">
        <is>
          <t>2023-06-05</t>
        </is>
      </c>
      <c r="C206" s="7" t="inlineStr">
        <is>
          <t>一</t>
        </is>
      </c>
      <c r="D206" s="8" t="n">
        <v>2191.67</v>
      </c>
      <c r="E206" s="7" t="n">
        <v>2023</v>
      </c>
      <c r="F206" s="7" t="n">
        <v>23</v>
      </c>
      <c r="G206" s="7" t="inlineStr">
        <is>
          <t>2023-06-05</t>
        </is>
      </c>
      <c r="H206" s="9" t="inlineStr">
        <is>
          <t>https://www.100ppi.com/news/detail-20230605-2661085.html</t>
        </is>
      </c>
      <c r="I206" s="7" t="inlineStr">
        <is>
          <t>6月5日生意社甲醇基准价为2191.67元/吨</t>
        </is>
      </c>
    </row>
    <row r="207">
      <c r="A207" s="7" t="n">
        <v>204</v>
      </c>
      <c r="B207" s="7" t="inlineStr">
        <is>
          <t>2023-06-06</t>
        </is>
      </c>
      <c r="C207" s="7" t="inlineStr">
        <is>
          <t>二</t>
        </is>
      </c>
      <c r="D207" s="8" t="n">
        <v>2180</v>
      </c>
      <c r="E207" s="7" t="n">
        <v>2023</v>
      </c>
      <c r="F207" s="7" t="n">
        <v>23</v>
      </c>
      <c r="G207" s="7" t="inlineStr">
        <is>
          <t>2023-06-06</t>
        </is>
      </c>
      <c r="H207" s="9" t="inlineStr">
        <is>
          <t>https://www.100ppi.com/news/detail-20230606-2663100.html</t>
        </is>
      </c>
      <c r="I207" s="7" t="inlineStr">
        <is>
          <t>6月6日生意社甲醇基准价为2180.00元/吨</t>
        </is>
      </c>
    </row>
    <row r="208">
      <c r="A208" s="7" t="n">
        <v>205</v>
      </c>
      <c r="B208" s="7" t="inlineStr">
        <is>
          <t>2023-06-07</t>
        </is>
      </c>
      <c r="C208" s="7" t="inlineStr">
        <is>
          <t>三</t>
        </is>
      </c>
      <c r="D208" s="8" t="n">
        <v>2140</v>
      </c>
      <c r="E208" s="7" t="n">
        <v>2023</v>
      </c>
      <c r="F208" s="7" t="n">
        <v>23</v>
      </c>
      <c r="G208" s="7" t="inlineStr">
        <is>
          <t>2023-06-07</t>
        </is>
      </c>
      <c r="H208" s="9" t="inlineStr">
        <is>
          <t>https://www.100ppi.com/news/detail-20230607-2665096.html</t>
        </is>
      </c>
      <c r="I208" s="7" t="inlineStr">
        <is>
          <t>6月7日生意社甲醇基准价为2140.00元/吨</t>
        </is>
      </c>
    </row>
    <row r="209">
      <c r="A209" s="7" t="n">
        <v>206</v>
      </c>
      <c r="B209" s="7" t="inlineStr">
        <is>
          <t>2023-06-08</t>
        </is>
      </c>
      <c r="C209" s="7" t="inlineStr">
        <is>
          <t>四</t>
        </is>
      </c>
      <c r="D209" s="8" t="n">
        <v>2114.17</v>
      </c>
      <c r="E209" s="7" t="n">
        <v>2023</v>
      </c>
      <c r="F209" s="7" t="n">
        <v>23</v>
      </c>
      <c r="G209" s="7" t="inlineStr">
        <is>
          <t>2023-06-08</t>
        </is>
      </c>
      <c r="H209" s="9" t="inlineStr">
        <is>
          <t>https://www.100ppi.com/news/detail-20230608-2666974.html</t>
        </is>
      </c>
      <c r="I209" s="7" t="inlineStr">
        <is>
          <t>6月8日生意社甲醇基准价为2114.17元/吨</t>
        </is>
      </c>
    </row>
    <row r="210">
      <c r="A210" s="7" t="n">
        <v>207</v>
      </c>
      <c r="B210" s="7" t="inlineStr">
        <is>
          <t>2023-06-09</t>
        </is>
      </c>
      <c r="C210" s="7" t="inlineStr">
        <is>
          <t>五</t>
        </is>
      </c>
      <c r="D210" s="8" t="n">
        <v>2085.83</v>
      </c>
      <c r="E210" s="7" t="n">
        <v>2023</v>
      </c>
      <c r="F210" s="7" t="n">
        <v>23</v>
      </c>
      <c r="G210" s="7" t="inlineStr">
        <is>
          <t>2023-06-09</t>
        </is>
      </c>
      <c r="H210" s="9" t="inlineStr">
        <is>
          <t>https://www.100ppi.com/news/detail-20230609-2668876.html</t>
        </is>
      </c>
      <c r="I210" s="7" t="inlineStr">
        <is>
          <t>6月9日生意社甲醇基准价为2085.83元/吨</t>
        </is>
      </c>
    </row>
    <row r="211">
      <c r="A211" s="7" t="n">
        <v>208</v>
      </c>
      <c r="B211" s="7" t="inlineStr">
        <is>
          <t>2023-06-12</t>
        </is>
      </c>
      <c r="C211" s="7" t="inlineStr">
        <is>
          <t>一</t>
        </is>
      </c>
      <c r="D211" s="8" t="n">
        <v>2075</v>
      </c>
      <c r="E211" s="7" t="n">
        <v>2023</v>
      </c>
      <c r="F211" s="7" t="n">
        <v>24</v>
      </c>
      <c r="G211" s="7" t="inlineStr">
        <is>
          <t>2023-06-12</t>
        </is>
      </c>
      <c r="H211" s="9" t="inlineStr">
        <is>
          <t>https://www.100ppi.com/news/detail-20230612-2672514.html</t>
        </is>
      </c>
      <c r="I211" s="7" t="inlineStr">
        <is>
          <t>6月12日生意社甲醇基准价为2075.00元/吨</t>
        </is>
      </c>
    </row>
    <row r="212">
      <c r="A212" s="7" t="n">
        <v>209</v>
      </c>
      <c r="B212" s="7" t="inlineStr">
        <is>
          <t>2023-06-13</t>
        </is>
      </c>
      <c r="C212" s="7" t="inlineStr">
        <is>
          <t>二</t>
        </is>
      </c>
      <c r="D212" s="8" t="n">
        <v>2015.83</v>
      </c>
      <c r="E212" s="7" t="n">
        <v>2023</v>
      </c>
      <c r="F212" s="7" t="n">
        <v>24</v>
      </c>
      <c r="G212" s="7" t="inlineStr">
        <is>
          <t>2023-06-13</t>
        </is>
      </c>
      <c r="H212" s="9" t="inlineStr">
        <is>
          <t>https://www.100ppi.com/news/detail-20230613-2674695.html</t>
        </is>
      </c>
      <c r="I212" s="7" t="inlineStr">
        <is>
          <t>6月13日生意社甲醇基准价为2015.83元/吨</t>
        </is>
      </c>
    </row>
    <row r="213">
      <c r="A213" s="7" t="n">
        <v>210</v>
      </c>
      <c r="B213" s="7" t="inlineStr">
        <is>
          <t>2023-06-14</t>
        </is>
      </c>
      <c r="C213" s="7" t="inlineStr">
        <is>
          <t>三</t>
        </is>
      </c>
      <c r="D213" s="8" t="n">
        <v>2050.83</v>
      </c>
      <c r="E213" s="7" t="n">
        <v>2023</v>
      </c>
      <c r="F213" s="7" t="n">
        <v>24</v>
      </c>
      <c r="G213" s="7" t="inlineStr">
        <is>
          <t>2023-06-14</t>
        </is>
      </c>
      <c r="H213" s="9" t="inlineStr">
        <is>
          <t>https://www.100ppi.com/news/detail-20230614-2676607.html</t>
        </is>
      </c>
      <c r="I213" s="7" t="inlineStr">
        <is>
          <t>6月14日生意社甲醇基准价为2050.83元/吨</t>
        </is>
      </c>
    </row>
    <row r="214">
      <c r="A214" s="7" t="n">
        <v>211</v>
      </c>
      <c r="B214" s="7" t="inlineStr">
        <is>
          <t>2023-06-15</t>
        </is>
      </c>
      <c r="C214" s="7" t="inlineStr">
        <is>
          <t>四</t>
        </is>
      </c>
      <c r="D214" s="8" t="n">
        <v>2042.5</v>
      </c>
      <c r="E214" s="7" t="n">
        <v>2023</v>
      </c>
      <c r="F214" s="7" t="n">
        <v>24</v>
      </c>
      <c r="G214" s="7" t="inlineStr">
        <is>
          <t>2023-06-15</t>
        </is>
      </c>
      <c r="H214" s="9" t="inlineStr">
        <is>
          <t>https://www.100ppi.com/news/detail-20230615-2678486.html</t>
        </is>
      </c>
      <c r="I214" s="7" t="inlineStr">
        <is>
          <t>6月15日生意社甲醇基准价为2042.50元/吨</t>
        </is>
      </c>
    </row>
    <row r="215">
      <c r="A215" s="7" t="n">
        <v>212</v>
      </c>
      <c r="B215" s="7" t="inlineStr">
        <is>
          <t>2023-06-16</t>
        </is>
      </c>
      <c r="C215" s="7" t="inlineStr">
        <is>
          <t>五</t>
        </is>
      </c>
      <c r="D215" s="8" t="n">
        <v>2060</v>
      </c>
      <c r="E215" s="7" t="n">
        <v>2023</v>
      </c>
      <c r="F215" s="7" t="n">
        <v>24</v>
      </c>
      <c r="G215" s="7" t="inlineStr">
        <is>
          <t>2023-06-16</t>
        </is>
      </c>
      <c r="H215" s="9" t="inlineStr">
        <is>
          <t>https://www.100ppi.com/news/detail-20230616-2680324.html</t>
        </is>
      </c>
      <c r="I215" s="7" t="inlineStr">
        <is>
          <t>6月16日生意社甲醇基准价为2060.00元/吨</t>
        </is>
      </c>
    </row>
    <row r="216">
      <c r="A216" s="7" t="n">
        <v>213</v>
      </c>
      <c r="B216" s="7" t="inlineStr">
        <is>
          <t>2023-06-19</t>
        </is>
      </c>
      <c r="C216" s="7" t="inlineStr">
        <is>
          <t>一</t>
        </is>
      </c>
      <c r="D216" s="8" t="n">
        <v>2074.17</v>
      </c>
      <c r="E216" s="7" t="n">
        <v>2023</v>
      </c>
      <c r="F216" s="7" t="n">
        <v>25</v>
      </c>
      <c r="G216" s="7" t="inlineStr">
        <is>
          <t>2023-06-19</t>
        </is>
      </c>
      <c r="H216" s="9" t="inlineStr">
        <is>
          <t>https://www.100ppi.com/news/detail-20230619-2683617.html</t>
        </is>
      </c>
      <c r="I216" s="7" t="inlineStr">
        <is>
          <t>6月19日生意社甲醇基准价为2074.17元/吨</t>
        </is>
      </c>
    </row>
    <row r="217">
      <c r="A217" s="7" t="n">
        <v>214</v>
      </c>
      <c r="B217" s="7" t="inlineStr">
        <is>
          <t>2023-06-20</t>
        </is>
      </c>
      <c r="C217" s="7" t="inlineStr">
        <is>
          <t>二</t>
        </is>
      </c>
      <c r="D217" s="8" t="n">
        <v>2065.83</v>
      </c>
      <c r="E217" s="7" t="n">
        <v>2023</v>
      </c>
      <c r="F217" s="7" t="n">
        <v>25</v>
      </c>
      <c r="G217" s="7" t="inlineStr">
        <is>
          <t>2023-06-20</t>
        </is>
      </c>
      <c r="H217" s="9" t="inlineStr">
        <is>
          <t>https://www.100ppi.com/news/detail-20230620-2685637.html</t>
        </is>
      </c>
      <c r="I217" s="7" t="inlineStr">
        <is>
          <t>6月20日生意社甲醇基准价为2065.83元/吨</t>
        </is>
      </c>
    </row>
    <row r="218">
      <c r="A218" s="7" t="n">
        <v>215</v>
      </c>
      <c r="B218" s="7" t="inlineStr">
        <is>
          <t>2023-06-21</t>
        </is>
      </c>
      <c r="C218" s="7" t="inlineStr">
        <is>
          <t>三</t>
        </is>
      </c>
      <c r="D218" s="8" t="n">
        <v>2091.67</v>
      </c>
      <c r="E218" s="7" t="n">
        <v>2023</v>
      </c>
      <c r="F218" s="7" t="n">
        <v>25</v>
      </c>
      <c r="G218" s="7" t="inlineStr">
        <is>
          <t>2023-06-21</t>
        </is>
      </c>
      <c r="H218" s="9" t="inlineStr">
        <is>
          <t>https://www.100ppi.com/news/detail-20230621-2687606.html</t>
        </is>
      </c>
      <c r="I218" s="7" t="inlineStr">
        <is>
          <t>6月21日生意社甲醇基准价为2091.67元/吨</t>
        </is>
      </c>
    </row>
    <row r="219">
      <c r="A219" s="7" t="n">
        <v>216</v>
      </c>
      <c r="B219" s="7" t="inlineStr">
        <is>
          <t>2023-06-22</t>
        </is>
      </c>
      <c r="C219" s="7" t="inlineStr">
        <is>
          <t>四</t>
        </is>
      </c>
      <c r="D219" s="8" t="n">
        <v>2091.67</v>
      </c>
      <c r="E219" s="7" t="n">
        <v>2023</v>
      </c>
      <c r="F219" s="7" t="n">
        <v>25</v>
      </c>
      <c r="G219" s="7" t="inlineStr">
        <is>
          <t>2023-06-22</t>
        </is>
      </c>
      <c r="H219" s="9" t="inlineStr">
        <is>
          <t>https://www.100ppi.com/news/detail-20230622-2689360.html</t>
        </is>
      </c>
      <c r="I219" s="7" t="inlineStr">
        <is>
          <t>6月22日生意社甲醇基准价为2091.67元/吨</t>
        </is>
      </c>
    </row>
    <row r="220">
      <c r="A220" s="7" t="n">
        <v>217</v>
      </c>
      <c r="B220" s="7" t="inlineStr">
        <is>
          <t>2023-06-23</t>
        </is>
      </c>
      <c r="C220" s="7" t="inlineStr">
        <is>
          <t>五</t>
        </is>
      </c>
      <c r="D220" s="8" t="n">
        <v>2091.67</v>
      </c>
      <c r="E220" s="7" t="n">
        <v>2023</v>
      </c>
      <c r="F220" s="7" t="n">
        <v>25</v>
      </c>
      <c r="G220" s="7" t="inlineStr">
        <is>
          <t>2023-06-23</t>
        </is>
      </c>
      <c r="H220" s="9" t="inlineStr">
        <is>
          <t>https://www.100ppi.com/news/detail-20230623-2690205.html</t>
        </is>
      </c>
      <c r="I220" s="7" t="inlineStr">
        <is>
          <t>6月23日生意社甲醇基准价为2091.67元/吨</t>
        </is>
      </c>
    </row>
    <row r="221">
      <c r="A221" s="7" t="n">
        <v>218</v>
      </c>
      <c r="B221" s="7" t="inlineStr">
        <is>
          <t>2023-06-26</t>
        </is>
      </c>
      <c r="C221" s="7" t="inlineStr">
        <is>
          <t>一</t>
        </is>
      </c>
      <c r="D221" s="8" t="n">
        <v>2080</v>
      </c>
      <c r="E221" s="7" t="n">
        <v>2023</v>
      </c>
      <c r="F221" s="7" t="n">
        <v>26</v>
      </c>
      <c r="G221" s="7" t="inlineStr">
        <is>
          <t>2023-06-26</t>
        </is>
      </c>
      <c r="H221" s="9" t="inlineStr">
        <is>
          <t>https://www.100ppi.com/news/detail-20230626-2693795.html</t>
        </is>
      </c>
      <c r="I221" s="7" t="inlineStr">
        <is>
          <t>6月26日生意社甲醇基准价为2080.00元/吨</t>
        </is>
      </c>
    </row>
    <row r="222">
      <c r="A222" s="7" t="n">
        <v>219</v>
      </c>
      <c r="B222" s="7" t="inlineStr">
        <is>
          <t>2023-06-27</t>
        </is>
      </c>
      <c r="C222" s="7" t="inlineStr">
        <is>
          <t>二</t>
        </is>
      </c>
      <c r="D222" s="8" t="n">
        <v>2074.17</v>
      </c>
      <c r="E222" s="7" t="n">
        <v>2023</v>
      </c>
      <c r="F222" s="7" t="n">
        <v>26</v>
      </c>
      <c r="G222" s="7" t="inlineStr">
        <is>
          <t>2023-06-27</t>
        </is>
      </c>
      <c r="H222" s="9" t="inlineStr">
        <is>
          <t>https://www.100ppi.com/news/detail-20230627-2695729.html</t>
        </is>
      </c>
      <c r="I222" s="7" t="inlineStr">
        <is>
          <t>6月27日生意社甲醇基准价为2074.17元/吨</t>
        </is>
      </c>
    </row>
    <row r="223">
      <c r="A223" s="7" t="n">
        <v>220</v>
      </c>
      <c r="B223" s="7" t="inlineStr">
        <is>
          <t>2023-06-28</t>
        </is>
      </c>
      <c r="C223" s="7" t="inlineStr">
        <is>
          <t>三</t>
        </is>
      </c>
      <c r="D223" s="8" t="n">
        <v>2114.17</v>
      </c>
      <c r="E223" s="7" t="n">
        <v>2023</v>
      </c>
      <c r="F223" s="7" t="n">
        <v>26</v>
      </c>
      <c r="G223" s="7" t="inlineStr">
        <is>
          <t>2023-06-28</t>
        </is>
      </c>
      <c r="H223" s="9" t="inlineStr">
        <is>
          <t>https://www.100ppi.com/news/detail-20230628-2697785.html</t>
        </is>
      </c>
      <c r="I223" s="7" t="inlineStr">
        <is>
          <t>6月28日生意社甲醇基准价为2114.17元/吨</t>
        </is>
      </c>
    </row>
    <row r="224">
      <c r="A224" s="7" t="n">
        <v>221</v>
      </c>
      <c r="B224" s="7" t="inlineStr">
        <is>
          <t>2023-06-29</t>
        </is>
      </c>
      <c r="C224" s="7" t="inlineStr">
        <is>
          <t>四</t>
        </is>
      </c>
      <c r="D224" s="8" t="n">
        <v>2120</v>
      </c>
      <c r="E224" s="7" t="n">
        <v>2023</v>
      </c>
      <c r="F224" s="7" t="n">
        <v>26</v>
      </c>
      <c r="G224" s="7" t="inlineStr">
        <is>
          <t>2023-06-29</t>
        </is>
      </c>
      <c r="H224" s="9" t="inlineStr">
        <is>
          <t>https://www.100ppi.com/news/detail-20230629-2699676.html</t>
        </is>
      </c>
      <c r="I224" s="7" t="inlineStr">
        <is>
          <t>6月29日生意社甲醇基准价为2120.00元/吨</t>
        </is>
      </c>
    </row>
    <row r="225">
      <c r="A225" s="7" t="n">
        <v>222</v>
      </c>
      <c r="B225" s="7" t="inlineStr">
        <is>
          <t>2023-06-30</t>
        </is>
      </c>
      <c r="C225" s="7" t="inlineStr">
        <is>
          <t>五</t>
        </is>
      </c>
      <c r="D225" s="8" t="n">
        <v>2161.67</v>
      </c>
      <c r="E225" s="7" t="n">
        <v>2023</v>
      </c>
      <c r="F225" s="7" t="n">
        <v>26</v>
      </c>
      <c r="G225" s="7" t="inlineStr">
        <is>
          <t>2023-06-30</t>
        </is>
      </c>
      <c r="H225" s="9" t="inlineStr">
        <is>
          <t>https://www.100ppi.com/news/detail-20230630-2701777.html</t>
        </is>
      </c>
      <c r="I225" s="7" t="inlineStr">
        <is>
          <t>6月30日生意社甲醇基准价为2161.67元/吨</t>
        </is>
      </c>
    </row>
    <row r="226">
      <c r="A226" s="7" t="n">
        <v>223</v>
      </c>
      <c r="B226" s="7" t="inlineStr">
        <is>
          <t>2023-07-03</t>
        </is>
      </c>
      <c r="C226" s="7" t="inlineStr">
        <is>
          <t>一</t>
        </is>
      </c>
      <c r="D226" s="8" t="n">
        <v>2180</v>
      </c>
      <c r="E226" s="7" t="n">
        <v>2023</v>
      </c>
      <c r="F226" s="7" t="n">
        <v>27</v>
      </c>
      <c r="G226" s="7" t="inlineStr">
        <is>
          <t>2023-07-03</t>
        </is>
      </c>
      <c r="H226" s="9" t="inlineStr">
        <is>
          <t>https://www.100ppi.com/news/detail-20230703-2705267.html</t>
        </is>
      </c>
      <c r="I226" s="7" t="inlineStr">
        <is>
          <t>7月3日生意社甲醇基准价为2180.00元/吨</t>
        </is>
      </c>
    </row>
    <row r="227">
      <c r="A227" s="7" t="n">
        <v>224</v>
      </c>
      <c r="B227" s="7" t="inlineStr">
        <is>
          <t>2023-07-04</t>
        </is>
      </c>
      <c r="C227" s="7" t="inlineStr">
        <is>
          <t>二</t>
        </is>
      </c>
      <c r="D227" s="8" t="n">
        <v>2180</v>
      </c>
      <c r="E227" s="7" t="n">
        <v>2023</v>
      </c>
      <c r="F227" s="7" t="n">
        <v>27</v>
      </c>
      <c r="G227" s="7" t="inlineStr">
        <is>
          <t>2023-07-04</t>
        </is>
      </c>
      <c r="H227" s="9" t="inlineStr">
        <is>
          <t>https://www.100ppi.com/news/detail-20230704-2707445.html</t>
        </is>
      </c>
      <c r="I227" s="7" t="inlineStr">
        <is>
          <t>7月4日生意社甲醇基准价为2180.00元/吨</t>
        </is>
      </c>
    </row>
    <row r="228">
      <c r="A228" s="7" t="n">
        <v>225</v>
      </c>
      <c r="B228" s="7" t="inlineStr">
        <is>
          <t>2023-07-05</t>
        </is>
      </c>
      <c r="C228" s="7" t="inlineStr">
        <is>
          <t>三</t>
        </is>
      </c>
      <c r="D228" s="8" t="n">
        <v>2170</v>
      </c>
      <c r="E228" s="7" t="n">
        <v>2023</v>
      </c>
      <c r="F228" s="7" t="n">
        <v>27</v>
      </c>
      <c r="G228" s="7" t="inlineStr">
        <is>
          <t>2023-07-05</t>
        </is>
      </c>
      <c r="H228" s="9" t="inlineStr">
        <is>
          <t>https://www.100ppi.com/news/detail-20230705-2709311.html</t>
        </is>
      </c>
      <c r="I228" s="7" t="inlineStr">
        <is>
          <t>7月5日生意社甲醇基准价为2170.00元/吨</t>
        </is>
      </c>
    </row>
    <row r="229">
      <c r="A229" s="7" t="n">
        <v>226</v>
      </c>
      <c r="B229" s="7" t="inlineStr">
        <is>
          <t>2023-07-06</t>
        </is>
      </c>
      <c r="C229" s="7" t="inlineStr">
        <is>
          <t>四</t>
        </is>
      </c>
      <c r="D229" s="8" t="n">
        <v>2137.5</v>
      </c>
      <c r="E229" s="7" t="n">
        <v>2023</v>
      </c>
      <c r="F229" s="7" t="n">
        <v>27</v>
      </c>
      <c r="G229" s="7" t="inlineStr">
        <is>
          <t>2023-07-06</t>
        </is>
      </c>
      <c r="H229" s="9" t="inlineStr">
        <is>
          <t>https://www.100ppi.com/news/detail-20230706-2711283.html</t>
        </is>
      </c>
      <c r="I229" s="7" t="inlineStr">
        <is>
          <t>7月6日生意社甲醇基准价为2137.50元/吨</t>
        </is>
      </c>
    </row>
    <row r="230">
      <c r="A230" s="7" t="n">
        <v>227</v>
      </c>
      <c r="B230" s="7" t="inlineStr">
        <is>
          <t>2023-07-07</t>
        </is>
      </c>
      <c r="C230" s="7" t="inlineStr">
        <is>
          <t>五</t>
        </is>
      </c>
      <c r="D230" s="8" t="n">
        <v>2155.83</v>
      </c>
      <c r="E230" s="7" t="n">
        <v>2023</v>
      </c>
      <c r="F230" s="7" t="n">
        <v>27</v>
      </c>
      <c r="G230" s="7" t="inlineStr">
        <is>
          <t>2023-07-07</t>
        </is>
      </c>
      <c r="H230" s="9" t="inlineStr">
        <is>
          <t>https://www.100ppi.com/news/detail-20230707-2713181.html</t>
        </is>
      </c>
      <c r="I230" s="7" t="inlineStr">
        <is>
          <t>7月7日生意社甲醇基准价为2155.83元/吨</t>
        </is>
      </c>
    </row>
    <row r="231">
      <c r="A231" s="7" t="n">
        <v>228</v>
      </c>
      <c r="B231" s="7" t="inlineStr">
        <is>
          <t>2023-07-10</t>
        </is>
      </c>
      <c r="C231" s="7" t="inlineStr">
        <is>
          <t>一</t>
        </is>
      </c>
      <c r="D231" s="8" t="n">
        <v>2160</v>
      </c>
      <c r="E231" s="7" t="n">
        <v>2023</v>
      </c>
      <c r="F231" s="7" t="n">
        <v>28</v>
      </c>
      <c r="G231" s="7" t="inlineStr">
        <is>
          <t>2023-07-10</t>
        </is>
      </c>
      <c r="H231" s="9" t="inlineStr">
        <is>
          <t>https://www.100ppi.com/news/detail-20230710-2716753.html</t>
        </is>
      </c>
      <c r="I231" s="7" t="inlineStr">
        <is>
          <t>7月10日生意社甲醇基准价为2160.00元/吨</t>
        </is>
      </c>
    </row>
    <row r="232">
      <c r="A232" s="7" t="n">
        <v>229</v>
      </c>
      <c r="B232" s="7" t="inlineStr">
        <is>
          <t>2023-07-11</t>
        </is>
      </c>
      <c r="C232" s="7" t="inlineStr">
        <is>
          <t>二</t>
        </is>
      </c>
      <c r="D232" s="8" t="n">
        <v>2170.83</v>
      </c>
      <c r="E232" s="7" t="n">
        <v>2023</v>
      </c>
      <c r="F232" s="7" t="n">
        <v>28</v>
      </c>
      <c r="G232" s="7" t="inlineStr">
        <is>
          <t>2023-07-11</t>
        </is>
      </c>
      <c r="H232" s="9" t="inlineStr">
        <is>
          <t>https://www.100ppi.com/news/detail-20230711-2718815.html</t>
        </is>
      </c>
      <c r="I232" s="7" t="inlineStr">
        <is>
          <t>7月11日生意社甲醇基准价为2170.83元/吨</t>
        </is>
      </c>
    </row>
    <row r="233">
      <c r="A233" s="7" t="n">
        <v>230</v>
      </c>
      <c r="B233" s="7" t="inlineStr">
        <is>
          <t>2023-07-12</t>
        </is>
      </c>
      <c r="C233" s="7" t="inlineStr">
        <is>
          <t>三</t>
        </is>
      </c>
      <c r="D233" s="8" t="n">
        <v>2240</v>
      </c>
      <c r="E233" s="7" t="n">
        <v>2023</v>
      </c>
      <c r="F233" s="7" t="n">
        <v>28</v>
      </c>
      <c r="G233" s="7" t="inlineStr">
        <is>
          <t>2023-07-12</t>
        </is>
      </c>
      <c r="H233" s="9" t="inlineStr">
        <is>
          <t>https://www.100ppi.com/news/detail-20230712-2720830.html</t>
        </is>
      </c>
      <c r="I233" s="7" t="inlineStr">
        <is>
          <t>7月12日生意社甲醇基准价为2240.00元/吨</t>
        </is>
      </c>
    </row>
    <row r="234">
      <c r="A234" s="7" t="n">
        <v>231</v>
      </c>
      <c r="B234" s="7" t="inlineStr">
        <is>
          <t>2023-07-13</t>
        </is>
      </c>
      <c r="C234" s="7" t="inlineStr">
        <is>
          <t>四</t>
        </is>
      </c>
      <c r="D234" s="8" t="n">
        <v>2271.67</v>
      </c>
      <c r="E234" s="7" t="n">
        <v>2023</v>
      </c>
      <c r="F234" s="7" t="n">
        <v>28</v>
      </c>
      <c r="G234" s="7" t="inlineStr">
        <is>
          <t>2023-07-13</t>
        </is>
      </c>
      <c r="H234" s="9" t="inlineStr">
        <is>
          <t>https://www.100ppi.com/news/detail-20230713-2722885.html</t>
        </is>
      </c>
      <c r="I234" s="7" t="inlineStr">
        <is>
          <t>7月13日生意社甲醇基准价为2271.67元/吨</t>
        </is>
      </c>
    </row>
    <row r="235">
      <c r="A235" s="7" t="n">
        <v>232</v>
      </c>
      <c r="B235" s="7" t="inlineStr">
        <is>
          <t>2023-07-14</t>
        </is>
      </c>
      <c r="C235" s="7" t="inlineStr">
        <is>
          <t>五</t>
        </is>
      </c>
      <c r="D235" s="8" t="n">
        <v>2250</v>
      </c>
      <c r="E235" s="7" t="n">
        <v>2023</v>
      </c>
      <c r="F235" s="7" t="n">
        <v>28</v>
      </c>
      <c r="G235" s="7" t="inlineStr">
        <is>
          <t>2023-07-14</t>
        </is>
      </c>
      <c r="H235" s="9" t="inlineStr">
        <is>
          <t>https://www.100ppi.com/news/detail-20230714-2724926.html</t>
        </is>
      </c>
      <c r="I235" s="7" t="inlineStr">
        <is>
          <t>7月14日生意社甲醇基准价为2250.00元/吨</t>
        </is>
      </c>
    </row>
    <row r="236">
      <c r="A236" s="7" t="n">
        <v>233</v>
      </c>
      <c r="B236" s="7" t="inlineStr">
        <is>
          <t>2023-07-17</t>
        </is>
      </c>
      <c r="C236" s="7" t="inlineStr">
        <is>
          <t>一</t>
        </is>
      </c>
      <c r="D236" s="8" t="n">
        <v>2314.17</v>
      </c>
      <c r="E236" s="7" t="n">
        <v>2023</v>
      </c>
      <c r="F236" s="7" t="n">
        <v>29</v>
      </c>
      <c r="G236" s="7" t="inlineStr">
        <is>
          <t>2023-07-17</t>
        </is>
      </c>
      <c r="H236" s="9" t="inlineStr">
        <is>
          <t>https://www.100ppi.com/news/detail-20230717-2728401.html</t>
        </is>
      </c>
      <c r="I236" s="7" t="inlineStr">
        <is>
          <t>7月17日生意社甲醇基准价为2314.17元/吨</t>
        </is>
      </c>
    </row>
    <row r="237">
      <c r="A237" s="7" t="n">
        <v>234</v>
      </c>
      <c r="B237" s="7" t="inlineStr">
        <is>
          <t>2023-07-18</t>
        </is>
      </c>
      <c r="C237" s="7" t="inlineStr">
        <is>
          <t>二</t>
        </is>
      </c>
      <c r="D237" s="8" t="n">
        <v>2220.83</v>
      </c>
      <c r="E237" s="7" t="n">
        <v>2023</v>
      </c>
      <c r="F237" s="7" t="n">
        <v>29</v>
      </c>
      <c r="G237" s="7" t="inlineStr">
        <is>
          <t>2023-07-18</t>
        </is>
      </c>
      <c r="H237" s="9" t="inlineStr">
        <is>
          <t>https://www.100ppi.com/news/detail-20230718-2730503.html</t>
        </is>
      </c>
      <c r="I237" s="7" t="inlineStr">
        <is>
          <t>7月18日生意社甲醇基准价为2220.83元/吨</t>
        </is>
      </c>
    </row>
    <row r="238">
      <c r="A238" s="7" t="n">
        <v>235</v>
      </c>
      <c r="B238" s="7" t="inlineStr">
        <is>
          <t>2023-07-19</t>
        </is>
      </c>
      <c r="C238" s="7" t="inlineStr">
        <is>
          <t>三</t>
        </is>
      </c>
      <c r="D238" s="8" t="n">
        <v>2291.67</v>
      </c>
      <c r="E238" s="7" t="n">
        <v>2023</v>
      </c>
      <c r="F238" s="7" t="n">
        <v>29</v>
      </c>
      <c r="G238" s="7" t="inlineStr">
        <is>
          <t>2023-07-19</t>
        </is>
      </c>
      <c r="H238" s="9" t="inlineStr">
        <is>
          <t>https://www.100ppi.com/news/detail-20230719-2732361.html</t>
        </is>
      </c>
      <c r="I238" s="7" t="inlineStr">
        <is>
          <t>7月19日生意社甲醇基准价为2291.67元/吨</t>
        </is>
      </c>
    </row>
    <row r="239">
      <c r="A239" s="7" t="n">
        <v>236</v>
      </c>
      <c r="B239" s="7" t="inlineStr">
        <is>
          <t>2023-07-20</t>
        </is>
      </c>
      <c r="C239" s="7" t="inlineStr">
        <is>
          <t>四</t>
        </is>
      </c>
      <c r="D239" s="8" t="n">
        <v>2270</v>
      </c>
      <c r="E239" s="7" t="n">
        <v>2023</v>
      </c>
      <c r="F239" s="7" t="n">
        <v>29</v>
      </c>
      <c r="G239" s="7" t="inlineStr">
        <is>
          <t>2023-07-20</t>
        </is>
      </c>
      <c r="H239" s="9" t="inlineStr">
        <is>
          <t>https://www.100ppi.com/news/detail-20230720-2734493.html</t>
        </is>
      </c>
      <c r="I239" s="7" t="inlineStr">
        <is>
          <t>7月20日生意社甲醇基准价为2270.00元/吨</t>
        </is>
      </c>
    </row>
    <row r="240">
      <c r="A240" s="7" t="n">
        <v>237</v>
      </c>
      <c r="B240" s="7" t="inlineStr">
        <is>
          <t>2023-07-21</t>
        </is>
      </c>
      <c r="C240" s="7" t="inlineStr">
        <is>
          <t>五</t>
        </is>
      </c>
      <c r="D240" s="8" t="n">
        <v>2245.83</v>
      </c>
      <c r="E240" s="7" t="n">
        <v>2023</v>
      </c>
      <c r="F240" s="7" t="n">
        <v>29</v>
      </c>
      <c r="G240" s="7" t="inlineStr">
        <is>
          <t>2023-07-21</t>
        </is>
      </c>
      <c r="H240" s="9" t="inlineStr">
        <is>
          <t>https://www.100ppi.com/news/detail-20230721-2736500.html</t>
        </is>
      </c>
      <c r="I240" s="7" t="inlineStr">
        <is>
          <t>7月21日生意社甲醇基准价为2245.83元/吨</t>
        </is>
      </c>
    </row>
    <row r="241">
      <c r="A241" s="7" t="n">
        <v>238</v>
      </c>
      <c r="B241" s="7" t="inlineStr">
        <is>
          <t>2023-07-24</t>
        </is>
      </c>
      <c r="C241" s="7" t="inlineStr">
        <is>
          <t>一</t>
        </is>
      </c>
      <c r="D241" s="8" t="n">
        <v>2224.17</v>
      </c>
      <c r="E241" s="7" t="n">
        <v>2023</v>
      </c>
      <c r="F241" s="7" t="n">
        <v>30</v>
      </c>
      <c r="G241" s="7" t="inlineStr">
        <is>
          <t>2023-07-24</t>
        </is>
      </c>
      <c r="H241" s="9" t="inlineStr">
        <is>
          <t>https://www.100ppi.com/news/detail-20230724-2740095.html</t>
        </is>
      </c>
      <c r="I241" s="7" t="inlineStr">
        <is>
          <t>7月24日生意社甲醇基准价为2224.17元/吨</t>
        </is>
      </c>
    </row>
    <row r="242">
      <c r="A242" s="7" t="n">
        <v>239</v>
      </c>
      <c r="B242" s="7" t="inlineStr">
        <is>
          <t>2023-07-25</t>
        </is>
      </c>
      <c r="C242" s="7" t="inlineStr">
        <is>
          <t>二</t>
        </is>
      </c>
      <c r="D242" s="8" t="n">
        <v>2211.67</v>
      </c>
      <c r="E242" s="7" t="n">
        <v>2023</v>
      </c>
      <c r="F242" s="7" t="n">
        <v>30</v>
      </c>
      <c r="G242" s="7" t="inlineStr">
        <is>
          <t>2023-07-25</t>
        </is>
      </c>
      <c r="H242" s="9" t="inlineStr">
        <is>
          <t>https://www.100ppi.com/news/detail-20230725-2742209.html</t>
        </is>
      </c>
      <c r="I242" s="7" t="inlineStr">
        <is>
          <t>7月25日生意社甲醇基准价为2211.67元/吨</t>
        </is>
      </c>
    </row>
    <row r="243">
      <c r="A243" s="7" t="n">
        <v>240</v>
      </c>
      <c r="B243" s="7" t="inlineStr">
        <is>
          <t>2023-07-26</t>
        </is>
      </c>
      <c r="C243" s="7" t="inlineStr">
        <is>
          <t>三</t>
        </is>
      </c>
      <c r="D243" s="8" t="n">
        <v>2255.83</v>
      </c>
      <c r="E243" s="7" t="n">
        <v>2023</v>
      </c>
      <c r="F243" s="7" t="n">
        <v>30</v>
      </c>
      <c r="G243" s="7" t="inlineStr">
        <is>
          <t>2023-07-26</t>
        </is>
      </c>
      <c r="H243" s="9" t="inlineStr">
        <is>
          <t>https://www.100ppi.com/news/detail-20230726-2744044.html</t>
        </is>
      </c>
      <c r="I243" s="7" t="inlineStr">
        <is>
          <t>7月26日生意社甲醇基准价为2255.83元/吨</t>
        </is>
      </c>
    </row>
    <row r="244">
      <c r="A244" s="7" t="n">
        <v>241</v>
      </c>
      <c r="B244" s="7" t="inlineStr">
        <is>
          <t>2023-07-27</t>
        </is>
      </c>
      <c r="C244" s="7" t="inlineStr">
        <is>
          <t>四</t>
        </is>
      </c>
      <c r="D244" s="8" t="n">
        <v>2255.83</v>
      </c>
      <c r="E244" s="7" t="n">
        <v>2023</v>
      </c>
      <c r="F244" s="7" t="n">
        <v>30</v>
      </c>
      <c r="G244" s="7" t="inlineStr">
        <is>
          <t>2023-07-27</t>
        </is>
      </c>
      <c r="H244" s="9" t="inlineStr">
        <is>
          <t>https://www.100ppi.com/news/detail-20230727-2745936.html</t>
        </is>
      </c>
      <c r="I244" s="7" t="inlineStr">
        <is>
          <t>7月27日生意社甲醇基准价为2255.83元/吨</t>
        </is>
      </c>
    </row>
    <row r="245">
      <c r="A245" s="7" t="n">
        <v>242</v>
      </c>
      <c r="B245" s="7" t="inlineStr">
        <is>
          <t>2023-07-28</t>
        </is>
      </c>
      <c r="C245" s="7" t="inlineStr">
        <is>
          <t>五</t>
        </is>
      </c>
      <c r="D245" s="8" t="n">
        <v>2250.83</v>
      </c>
      <c r="E245" s="7" t="n">
        <v>2023</v>
      </c>
      <c r="F245" s="7" t="n">
        <v>30</v>
      </c>
      <c r="G245" s="7" t="inlineStr">
        <is>
          <t>2023-07-28</t>
        </is>
      </c>
      <c r="H245" s="9" t="inlineStr">
        <is>
          <t>https://www.100ppi.com/news/detail-20230728-2747910.html</t>
        </is>
      </c>
      <c r="I245" s="7" t="inlineStr">
        <is>
          <t>7月28日生意社甲醇基准价为2250.83元/吨</t>
        </is>
      </c>
    </row>
    <row r="246">
      <c r="A246" s="7" t="n">
        <v>243</v>
      </c>
      <c r="B246" s="7" t="inlineStr">
        <is>
          <t>2023-07-31</t>
        </is>
      </c>
      <c r="C246" s="7" t="inlineStr">
        <is>
          <t>一</t>
        </is>
      </c>
      <c r="D246" s="8" t="n">
        <v>2281.67</v>
      </c>
      <c r="E246" s="7" t="n">
        <v>2023</v>
      </c>
      <c r="F246" s="7" t="n">
        <v>31</v>
      </c>
      <c r="G246" s="7" t="inlineStr">
        <is>
          <t>2023-07-31</t>
        </is>
      </c>
      <c r="H246" s="9" t="inlineStr">
        <is>
          <t>https://www.100ppi.com/news/detail-20230731-2751471.html</t>
        </is>
      </c>
      <c r="I246" s="7" t="inlineStr">
        <is>
          <t>7月31日生意社甲醇基准价为2281.67元/吨</t>
        </is>
      </c>
    </row>
    <row r="247">
      <c r="A247" s="7" t="n">
        <v>244</v>
      </c>
      <c r="B247" s="7" t="inlineStr">
        <is>
          <t>2023-08-01</t>
        </is>
      </c>
      <c r="C247" s="7" t="inlineStr">
        <is>
          <t>二</t>
        </is>
      </c>
      <c r="D247" s="8" t="n">
        <v>2280</v>
      </c>
      <c r="E247" s="7" t="n">
        <v>2023</v>
      </c>
      <c r="F247" s="7" t="n">
        <v>31</v>
      </c>
      <c r="G247" s="7" t="inlineStr">
        <is>
          <t>2023-08-01</t>
        </is>
      </c>
      <c r="H247" s="9" t="inlineStr">
        <is>
          <t>https://www.100ppi.com/news/detail-20230801-2753407.html</t>
        </is>
      </c>
      <c r="I247" s="7" t="inlineStr">
        <is>
          <t>8月1日生意社甲醇基准价为2280.00元/吨</t>
        </is>
      </c>
    </row>
    <row r="248">
      <c r="A248" s="7" t="n">
        <v>245</v>
      </c>
      <c r="B248" s="7" t="inlineStr">
        <is>
          <t>2023-08-02</t>
        </is>
      </c>
      <c r="C248" s="7" t="inlineStr">
        <is>
          <t>三</t>
        </is>
      </c>
      <c r="D248" s="8" t="n">
        <v>2355.83</v>
      </c>
      <c r="E248" s="7" t="n">
        <v>2023</v>
      </c>
      <c r="F248" s="7" t="n">
        <v>31</v>
      </c>
      <c r="G248" s="7" t="inlineStr">
        <is>
          <t>2023-08-02</t>
        </is>
      </c>
      <c r="H248" s="9" t="inlineStr">
        <is>
          <t>https://www.100ppi.com/news/detail-20230802-2755360.html</t>
        </is>
      </c>
      <c r="I248" s="7" t="inlineStr">
        <is>
          <t>8月2日生意社甲醇基准价为2355.83元/吨</t>
        </is>
      </c>
    </row>
    <row r="249">
      <c r="A249" s="7" t="n">
        <v>246</v>
      </c>
      <c r="B249" s="7" t="inlineStr">
        <is>
          <t>2023-08-03</t>
        </is>
      </c>
      <c r="C249" s="7" t="inlineStr">
        <is>
          <t>四</t>
        </is>
      </c>
      <c r="D249" s="8" t="n">
        <v>2341.67</v>
      </c>
      <c r="E249" s="7" t="n">
        <v>2023</v>
      </c>
      <c r="F249" s="7" t="n">
        <v>31</v>
      </c>
      <c r="G249" s="7" t="inlineStr">
        <is>
          <t>2023-08-03</t>
        </is>
      </c>
      <c r="H249" s="9" t="inlineStr">
        <is>
          <t>https://www.100ppi.com/news/detail-20230803-2757131.html</t>
        </is>
      </c>
      <c r="I249" s="7" t="inlineStr">
        <is>
          <t>8月3日生意社甲醇基准价为2341.67元/吨</t>
        </is>
      </c>
    </row>
    <row r="250">
      <c r="A250" s="7" t="n">
        <v>247</v>
      </c>
      <c r="B250" s="7" t="inlineStr">
        <is>
          <t>2023-08-04</t>
        </is>
      </c>
      <c r="C250" s="7" t="inlineStr">
        <is>
          <t>五</t>
        </is>
      </c>
      <c r="D250" s="8" t="n">
        <v>2330.83</v>
      </c>
      <c r="E250" s="7" t="n">
        <v>2023</v>
      </c>
      <c r="F250" s="7" t="n">
        <v>31</v>
      </c>
      <c r="G250" s="7" t="inlineStr">
        <is>
          <t>2023-08-04</t>
        </is>
      </c>
      <c r="H250" s="9" t="inlineStr">
        <is>
          <t>https://www.100ppi.com/news/detail-20230804-2758953.html</t>
        </is>
      </c>
      <c r="I250" s="7" t="inlineStr">
        <is>
          <t>8月4日生意社甲醇基准价为2330.83元/吨</t>
        </is>
      </c>
    </row>
    <row r="251">
      <c r="A251" s="7" t="n">
        <v>248</v>
      </c>
      <c r="B251" s="7" t="inlineStr">
        <is>
          <t>2023-08-07</t>
        </is>
      </c>
      <c r="C251" s="7" t="inlineStr">
        <is>
          <t>一</t>
        </is>
      </c>
      <c r="D251" s="8" t="n">
        <v>2350</v>
      </c>
      <c r="E251" s="7" t="n">
        <v>2023</v>
      </c>
      <c r="F251" s="7" t="n">
        <v>32</v>
      </c>
      <c r="G251" s="7" t="inlineStr">
        <is>
          <t>2023-08-07</t>
        </is>
      </c>
      <c r="H251" s="9" t="inlineStr">
        <is>
          <t>https://www.100ppi.com/news/detail-20230807-2762027.html</t>
        </is>
      </c>
      <c r="I251" s="7" t="inlineStr">
        <is>
          <t>8月7日生意社甲醇基准价为2350.00元/吨</t>
        </is>
      </c>
    </row>
    <row r="252">
      <c r="A252" s="7" t="n">
        <v>249</v>
      </c>
      <c r="B252" s="7" t="inlineStr">
        <is>
          <t>2023-08-08</t>
        </is>
      </c>
      <c r="C252" s="7" t="inlineStr">
        <is>
          <t>二</t>
        </is>
      </c>
      <c r="D252" s="8" t="n">
        <v>2330</v>
      </c>
      <c r="E252" s="7" t="n">
        <v>2023</v>
      </c>
      <c r="F252" s="7" t="n">
        <v>32</v>
      </c>
      <c r="G252" s="7" t="inlineStr">
        <is>
          <t>2023-08-08</t>
        </is>
      </c>
      <c r="H252" s="9" t="inlineStr">
        <is>
          <t>https://www.100ppi.com/news/detail-20230808-2764063.html</t>
        </is>
      </c>
      <c r="I252" s="7" t="inlineStr">
        <is>
          <t>8月8日生意社甲醇基准价为2330.00元/吨</t>
        </is>
      </c>
    </row>
    <row r="253">
      <c r="A253" s="7" t="n">
        <v>250</v>
      </c>
      <c r="B253" s="7" t="inlineStr">
        <is>
          <t>2023-08-09</t>
        </is>
      </c>
      <c r="C253" s="7" t="inlineStr">
        <is>
          <t>三</t>
        </is>
      </c>
      <c r="D253" s="8" t="n">
        <v>2336.67</v>
      </c>
      <c r="E253" s="7" t="n">
        <v>2023</v>
      </c>
      <c r="F253" s="7" t="n">
        <v>32</v>
      </c>
      <c r="G253" s="7" t="inlineStr">
        <is>
          <t>2023-08-09</t>
        </is>
      </c>
      <c r="H253" s="9" t="inlineStr">
        <is>
          <t>https://www.100ppi.com/news/detail-20230809-2765956.html</t>
        </is>
      </c>
      <c r="I253" s="7" t="inlineStr">
        <is>
          <t>8月9日生意社甲醇基准价为2336.67元/吨</t>
        </is>
      </c>
    </row>
    <row r="254">
      <c r="A254" s="7" t="n">
        <v>251</v>
      </c>
      <c r="B254" s="7" t="inlineStr">
        <is>
          <t>2023-08-10</t>
        </is>
      </c>
      <c r="C254" s="7" t="inlineStr">
        <is>
          <t>四</t>
        </is>
      </c>
      <c r="D254" s="8" t="n">
        <v>2370</v>
      </c>
      <c r="E254" s="7" t="n">
        <v>2023</v>
      </c>
      <c r="F254" s="7" t="n">
        <v>32</v>
      </c>
      <c r="G254" s="7" t="inlineStr">
        <is>
          <t>2023-08-10</t>
        </is>
      </c>
      <c r="H254" s="9" t="inlineStr">
        <is>
          <t>https://www.100ppi.com/news/detail-20230810-2767767.html</t>
        </is>
      </c>
      <c r="I254" s="7" t="inlineStr">
        <is>
          <t>8月10日生意社甲醇基准价为2370.00元/吨</t>
        </is>
      </c>
    </row>
    <row r="255">
      <c r="A255" s="7" t="n">
        <v>252</v>
      </c>
      <c r="B255" s="7" t="inlineStr">
        <is>
          <t>2023-08-11</t>
        </is>
      </c>
      <c r="C255" s="7" t="inlineStr">
        <is>
          <t>五</t>
        </is>
      </c>
      <c r="D255" s="8" t="n">
        <v>2366.67</v>
      </c>
      <c r="E255" s="7" t="n">
        <v>2023</v>
      </c>
      <c r="F255" s="7" t="n">
        <v>32</v>
      </c>
      <c r="G255" s="7" t="inlineStr">
        <is>
          <t>2023-08-11</t>
        </is>
      </c>
      <c r="H255" s="9" t="inlineStr">
        <is>
          <t>https://www.100ppi.com/news/detail-20230811-2769817.html</t>
        </is>
      </c>
      <c r="I255" s="7" t="inlineStr">
        <is>
          <t>8月11日生意社甲醇基准价为2366.67元/吨</t>
        </is>
      </c>
    </row>
    <row r="256">
      <c r="A256" s="7" t="n">
        <v>253</v>
      </c>
      <c r="B256" s="7" t="inlineStr">
        <is>
          <t>2023-08-14</t>
        </is>
      </c>
      <c r="C256" s="7" t="inlineStr">
        <is>
          <t>一</t>
        </is>
      </c>
      <c r="D256" s="8" t="n">
        <v>2380.83</v>
      </c>
      <c r="E256" s="7" t="n">
        <v>2023</v>
      </c>
      <c r="F256" s="7" t="n">
        <v>33</v>
      </c>
      <c r="G256" s="7" t="inlineStr">
        <is>
          <t>2023-08-14</t>
        </is>
      </c>
      <c r="H256" s="9" t="inlineStr">
        <is>
          <t>https://www.100ppi.com/news/detail-20230814-2773518.html</t>
        </is>
      </c>
      <c r="I256" s="7" t="inlineStr">
        <is>
          <t>8月14日生意社甲醇基准价为2380.83元/吨</t>
        </is>
      </c>
    </row>
    <row r="257">
      <c r="A257" s="7" t="n">
        <v>254</v>
      </c>
      <c r="B257" s="7" t="inlineStr">
        <is>
          <t>2023-08-15</t>
        </is>
      </c>
      <c r="C257" s="7" t="inlineStr">
        <is>
          <t>二</t>
        </is>
      </c>
      <c r="D257" s="8" t="n">
        <v>2355.83</v>
      </c>
      <c r="E257" s="7" t="n">
        <v>2023</v>
      </c>
      <c r="F257" s="7" t="n">
        <v>33</v>
      </c>
      <c r="G257" s="7" t="inlineStr">
        <is>
          <t>2023-08-15</t>
        </is>
      </c>
      <c r="H257" s="9" t="inlineStr">
        <is>
          <t>https://www.100ppi.com/news/detail-20230815-2775720.html</t>
        </is>
      </c>
      <c r="I257" s="7" t="inlineStr">
        <is>
          <t>8月15日生意社甲醇基准价为2355.83元/吨</t>
        </is>
      </c>
    </row>
    <row r="258">
      <c r="A258" s="7" t="n">
        <v>255</v>
      </c>
      <c r="B258" s="7" t="inlineStr">
        <is>
          <t>2023-08-16</t>
        </is>
      </c>
      <c r="C258" s="7" t="inlineStr">
        <is>
          <t>三</t>
        </is>
      </c>
      <c r="D258" s="8" t="n">
        <v>2365.83</v>
      </c>
      <c r="E258" s="7" t="n">
        <v>2023</v>
      </c>
      <c r="F258" s="7" t="n">
        <v>33</v>
      </c>
      <c r="G258" s="7" t="inlineStr">
        <is>
          <t>2023-08-16</t>
        </is>
      </c>
      <c r="H258" s="9" t="inlineStr">
        <is>
          <t>https://www.100ppi.com/news/detail-20230816-2777730.html</t>
        </is>
      </c>
      <c r="I258" s="7" t="inlineStr">
        <is>
          <t>8月16日生意社甲醇基准价为2365.83元/吨</t>
        </is>
      </c>
    </row>
    <row r="259">
      <c r="A259" s="7" t="n">
        <v>256</v>
      </c>
      <c r="B259" s="7" t="inlineStr">
        <is>
          <t>2023-08-17</t>
        </is>
      </c>
      <c r="C259" s="7" t="inlineStr">
        <is>
          <t>四</t>
        </is>
      </c>
      <c r="D259" s="8" t="n">
        <v>2331.67</v>
      </c>
      <c r="E259" s="7" t="n">
        <v>2023</v>
      </c>
      <c r="F259" s="7" t="n">
        <v>33</v>
      </c>
      <c r="G259" s="7" t="inlineStr">
        <is>
          <t>2023-08-17</t>
        </is>
      </c>
      <c r="H259" s="9" t="inlineStr">
        <is>
          <t>https://www.100ppi.com/news/detail-20230817-2779870.html</t>
        </is>
      </c>
      <c r="I259" s="7" t="inlineStr">
        <is>
          <t>8月17日生意社甲醇基准价为2331.67元/吨</t>
        </is>
      </c>
    </row>
    <row r="260">
      <c r="A260" s="7" t="n">
        <v>257</v>
      </c>
      <c r="B260" s="7" t="inlineStr">
        <is>
          <t>2023-08-18</t>
        </is>
      </c>
      <c r="C260" s="7" t="inlineStr">
        <is>
          <t>五</t>
        </is>
      </c>
      <c r="D260" s="8" t="n">
        <v>2355.83</v>
      </c>
      <c r="E260" s="7" t="n">
        <v>2023</v>
      </c>
      <c r="F260" s="7" t="n">
        <v>33</v>
      </c>
      <c r="G260" s="7" t="inlineStr">
        <is>
          <t>2023-08-18</t>
        </is>
      </c>
      <c r="H260" s="9" t="inlineStr">
        <is>
          <t>https://www.100ppi.com/news/detail-20230818-2781862.html</t>
        </is>
      </c>
      <c r="I260" s="7" t="inlineStr">
        <is>
          <t>8月18日生意社甲醇基准价为2355.83元/吨</t>
        </is>
      </c>
    </row>
    <row r="261">
      <c r="A261" s="7" t="n">
        <v>258</v>
      </c>
      <c r="B261" s="7" t="inlineStr">
        <is>
          <t>2023-08-21</t>
        </is>
      </c>
      <c r="C261" s="7" t="inlineStr">
        <is>
          <t>一</t>
        </is>
      </c>
      <c r="D261" s="8" t="n">
        <v>2400</v>
      </c>
      <c r="E261" s="7" t="n">
        <v>2023</v>
      </c>
      <c r="F261" s="7" t="n">
        <v>34</v>
      </c>
      <c r="G261" s="7" t="inlineStr">
        <is>
          <t>2023-08-21</t>
        </is>
      </c>
      <c r="H261" s="9" t="inlineStr">
        <is>
          <t>https://www.100ppi.com/news/detail-20230821-2785819.html</t>
        </is>
      </c>
      <c r="I261" s="7" t="inlineStr">
        <is>
          <t>8月21日生意社甲醇基准价为2400.00元/吨</t>
        </is>
      </c>
    </row>
    <row r="262">
      <c r="A262" s="7" t="n">
        <v>259</v>
      </c>
      <c r="B262" s="7" t="inlineStr">
        <is>
          <t>2023-08-22</t>
        </is>
      </c>
      <c r="C262" s="7" t="inlineStr">
        <is>
          <t>二</t>
        </is>
      </c>
      <c r="D262" s="8" t="n">
        <v>2448.33</v>
      </c>
      <c r="E262" s="7" t="n">
        <v>2023</v>
      </c>
      <c r="F262" s="7" t="n">
        <v>34</v>
      </c>
      <c r="G262" s="7" t="inlineStr">
        <is>
          <t>2023-08-22</t>
        </is>
      </c>
      <c r="H262" s="9" t="inlineStr">
        <is>
          <t>https://www.100ppi.com/news/detail-20230822-2787937.html</t>
        </is>
      </c>
      <c r="I262" s="7" t="inlineStr">
        <is>
          <t>8月22日生意社甲醇基准价为2448.33元/吨</t>
        </is>
      </c>
    </row>
    <row r="263">
      <c r="A263" s="7" t="n">
        <v>260</v>
      </c>
      <c r="B263" s="7" t="inlineStr">
        <is>
          <t>2023-08-23</t>
        </is>
      </c>
      <c r="C263" s="7" t="inlineStr">
        <is>
          <t>三</t>
        </is>
      </c>
      <c r="D263" s="8" t="n">
        <v>2450</v>
      </c>
      <c r="E263" s="7" t="n">
        <v>2023</v>
      </c>
      <c r="F263" s="7" t="n">
        <v>34</v>
      </c>
      <c r="G263" s="7" t="inlineStr">
        <is>
          <t>2023-08-23</t>
        </is>
      </c>
      <c r="H263" s="9" t="inlineStr">
        <is>
          <t>https://www.100ppi.com/news/detail-20230823-2789998.html</t>
        </is>
      </c>
      <c r="I263" s="7" t="inlineStr">
        <is>
          <t>8月23日生意社甲醇基准价为2450.00元/吨</t>
        </is>
      </c>
    </row>
    <row r="264">
      <c r="A264" s="7" t="n">
        <v>261</v>
      </c>
      <c r="B264" s="7" t="inlineStr">
        <is>
          <t>2023-08-24</t>
        </is>
      </c>
      <c r="C264" s="7" t="inlineStr">
        <is>
          <t>四</t>
        </is>
      </c>
      <c r="D264" s="8" t="n">
        <v>2460</v>
      </c>
      <c r="E264" s="7" t="n">
        <v>2023</v>
      </c>
      <c r="F264" s="7" t="n">
        <v>34</v>
      </c>
      <c r="G264" s="7" t="inlineStr">
        <is>
          <t>2023-08-24</t>
        </is>
      </c>
      <c r="H264" s="9" t="inlineStr">
        <is>
          <t>https://www.100ppi.com/news/detail-20230824-2792064.html</t>
        </is>
      </c>
      <c r="I264" s="7" t="inlineStr">
        <is>
          <t>8月24日生意社甲醇基准价为2460.00元/吨</t>
        </is>
      </c>
    </row>
    <row r="265">
      <c r="A265" s="7" t="n">
        <v>262</v>
      </c>
      <c r="B265" s="7" t="inlineStr">
        <is>
          <t>2023-08-25</t>
        </is>
      </c>
      <c r="C265" s="7" t="inlineStr">
        <is>
          <t>五</t>
        </is>
      </c>
      <c r="D265" s="8" t="n">
        <v>2455.83</v>
      </c>
      <c r="E265" s="7" t="n">
        <v>2023</v>
      </c>
      <c r="F265" s="7" t="n">
        <v>34</v>
      </c>
      <c r="G265" s="7" t="inlineStr">
        <is>
          <t>2023-08-25</t>
        </is>
      </c>
      <c r="H265" s="9" t="inlineStr">
        <is>
          <t>https://www.100ppi.com/news/detail-20230825-2794021.html</t>
        </is>
      </c>
      <c r="I265" s="7" t="inlineStr">
        <is>
          <t>8月25日生意社甲醇基准价为2455.83元/吨</t>
        </is>
      </c>
    </row>
    <row r="266">
      <c r="A266" s="7" t="n">
        <v>263</v>
      </c>
      <c r="B266" s="7" t="inlineStr">
        <is>
          <t>2023-08-28</t>
        </is>
      </c>
      <c r="C266" s="7" t="inlineStr">
        <is>
          <t>一</t>
        </is>
      </c>
      <c r="D266" s="8" t="n">
        <v>2467.5</v>
      </c>
      <c r="E266" s="7" t="n">
        <v>2023</v>
      </c>
      <c r="F266" s="7" t="n">
        <v>35</v>
      </c>
      <c r="G266" s="7" t="inlineStr">
        <is>
          <t>2023-08-28</t>
        </is>
      </c>
      <c r="H266" s="9" t="inlineStr">
        <is>
          <t>https://www.100ppi.com/news/detail-20230828-2797447.html</t>
        </is>
      </c>
      <c r="I266" s="7" t="inlineStr">
        <is>
          <t>8月28日生意社甲醇基准价为2467.50元/吨</t>
        </is>
      </c>
    </row>
    <row r="267">
      <c r="A267" s="7" t="n">
        <v>264</v>
      </c>
      <c r="B267" s="7" t="inlineStr">
        <is>
          <t>2023-08-29</t>
        </is>
      </c>
      <c r="C267" s="7" t="inlineStr">
        <is>
          <t>二</t>
        </is>
      </c>
      <c r="D267" s="8" t="n">
        <v>2451.67</v>
      </c>
      <c r="E267" s="7" t="n">
        <v>2023</v>
      </c>
      <c r="F267" s="7" t="n">
        <v>35</v>
      </c>
      <c r="G267" s="7" t="inlineStr">
        <is>
          <t>2023-08-29</t>
        </is>
      </c>
      <c r="H267" s="9" t="inlineStr">
        <is>
          <t>https://www.100ppi.com/news/detail-20230829-2799531.html</t>
        </is>
      </c>
      <c r="I267" s="7" t="inlineStr">
        <is>
          <t>8月29日生意社甲醇基准价为2451.67元/吨</t>
        </is>
      </c>
    </row>
    <row r="268">
      <c r="A268" s="7" t="n">
        <v>265</v>
      </c>
      <c r="B268" s="7" t="inlineStr">
        <is>
          <t>2023-08-30</t>
        </is>
      </c>
      <c r="C268" s="7" t="inlineStr">
        <is>
          <t>三</t>
        </is>
      </c>
      <c r="D268" s="8" t="n">
        <v>2451.67</v>
      </c>
      <c r="E268" s="7" t="n">
        <v>2023</v>
      </c>
      <c r="F268" s="7" t="n">
        <v>35</v>
      </c>
      <c r="G268" s="7" t="inlineStr">
        <is>
          <t>2023-08-30</t>
        </is>
      </c>
      <c r="H268" s="9" t="inlineStr">
        <is>
          <t>https://www.100ppi.com/news/detail-20230830-2801546.html</t>
        </is>
      </c>
      <c r="I268" s="7" t="inlineStr">
        <is>
          <t>8月30日生意社甲醇基准价为2451.67元/吨</t>
        </is>
      </c>
    </row>
    <row r="269">
      <c r="A269" s="7" t="n">
        <v>266</v>
      </c>
      <c r="B269" s="7" t="inlineStr">
        <is>
          <t>2023-08-31</t>
        </is>
      </c>
      <c r="C269" s="7" t="inlineStr">
        <is>
          <t>四</t>
        </is>
      </c>
      <c r="D269" s="8" t="n">
        <v>2541.67</v>
      </c>
      <c r="E269" s="7" t="n">
        <v>2023</v>
      </c>
      <c r="F269" s="7" t="n">
        <v>35</v>
      </c>
      <c r="G269" s="7" t="inlineStr">
        <is>
          <t>2023-08-31</t>
        </is>
      </c>
      <c r="H269" s="9" t="inlineStr">
        <is>
          <t>https://www.100ppi.com/news/detail-20230831-2803519.html</t>
        </is>
      </c>
      <c r="I269" s="7" t="inlineStr">
        <is>
          <t>8月31日生意社甲醇基准价为2541.67元/吨</t>
        </is>
      </c>
    </row>
    <row r="270">
      <c r="A270" s="7" t="n">
        <v>267</v>
      </c>
      <c r="B270" s="7" t="inlineStr">
        <is>
          <t>2023-09-01</t>
        </is>
      </c>
      <c r="C270" s="7" t="inlineStr">
        <is>
          <t>五</t>
        </is>
      </c>
      <c r="D270" s="8" t="n">
        <v>2525</v>
      </c>
      <c r="E270" s="7" t="n">
        <v>2023</v>
      </c>
      <c r="F270" s="7" t="n">
        <v>35</v>
      </c>
      <c r="G270" s="7" t="inlineStr">
        <is>
          <t>2023-09-01</t>
        </is>
      </c>
      <c r="H270" s="9" t="inlineStr">
        <is>
          <t>https://www.100ppi.com/news/detail-20230901-2805439.html</t>
        </is>
      </c>
      <c r="I270" s="7" t="inlineStr">
        <is>
          <t>9月1日生意社甲醇基准价为2525.00元/吨</t>
        </is>
      </c>
    </row>
    <row r="271">
      <c r="A271" s="7" t="n">
        <v>268</v>
      </c>
      <c r="B271" s="7" t="inlineStr">
        <is>
          <t>2023-09-04</t>
        </is>
      </c>
      <c r="C271" s="7" t="inlineStr">
        <is>
          <t>一</t>
        </is>
      </c>
      <c r="D271" s="8" t="n">
        <v>2551.67</v>
      </c>
      <c r="E271" s="7" t="n">
        <v>2023</v>
      </c>
      <c r="F271" s="7" t="n">
        <v>36</v>
      </c>
      <c r="G271" s="7" t="inlineStr">
        <is>
          <t>2023-09-04</t>
        </is>
      </c>
      <c r="H271" s="9" t="inlineStr">
        <is>
          <t>https://www.100ppi.com/news/detail-20230904-2809319.html</t>
        </is>
      </c>
      <c r="I271" s="7" t="inlineStr">
        <is>
          <t>9月4日生意社甲醇基准价为2551.67元/吨</t>
        </is>
      </c>
    </row>
    <row r="272">
      <c r="A272" s="7" t="n">
        <v>269</v>
      </c>
      <c r="B272" s="7" t="inlineStr">
        <is>
          <t>2023-09-05</t>
        </is>
      </c>
      <c r="C272" s="7" t="inlineStr">
        <is>
          <t>二</t>
        </is>
      </c>
      <c r="D272" s="8" t="n">
        <v>2521.67</v>
      </c>
      <c r="E272" s="7" t="n">
        <v>2023</v>
      </c>
      <c r="F272" s="7" t="n">
        <v>36</v>
      </c>
      <c r="G272" s="7" t="inlineStr">
        <is>
          <t>2023-09-05</t>
        </is>
      </c>
      <c r="H272" s="9" t="inlineStr">
        <is>
          <t>https://www.100ppi.com/news/detail-20230905-2811485.html</t>
        </is>
      </c>
      <c r="I272" s="7" t="inlineStr">
        <is>
          <t>9月5日生意社甲醇基准价为2521.67元/吨</t>
        </is>
      </c>
    </row>
    <row r="273">
      <c r="A273" s="7" t="n">
        <v>270</v>
      </c>
      <c r="B273" s="7" t="inlineStr">
        <is>
          <t>2023-09-06</t>
        </is>
      </c>
      <c r="C273" s="7" t="inlineStr">
        <is>
          <t>三</t>
        </is>
      </c>
      <c r="D273" s="8" t="n">
        <v>2540</v>
      </c>
      <c r="E273" s="7" t="n">
        <v>2023</v>
      </c>
      <c r="F273" s="7" t="n">
        <v>36</v>
      </c>
      <c r="G273" s="7" t="inlineStr">
        <is>
          <t>2023-09-06</t>
        </is>
      </c>
      <c r="H273" s="9" t="inlineStr">
        <is>
          <t>https://www.100ppi.com/news/detail-20230906-2813572.html</t>
        </is>
      </c>
      <c r="I273" s="7" t="inlineStr">
        <is>
          <t>9月6日生意社甲醇基准价为2540.00元/吨</t>
        </is>
      </c>
    </row>
    <row r="274">
      <c r="A274" s="7" t="n">
        <v>271</v>
      </c>
      <c r="B274" s="7" t="inlineStr">
        <is>
          <t>2023-09-07</t>
        </is>
      </c>
      <c r="C274" s="7" t="inlineStr">
        <is>
          <t>四</t>
        </is>
      </c>
      <c r="D274" s="8" t="n">
        <v>2540.83</v>
      </c>
      <c r="E274" s="7" t="n">
        <v>2023</v>
      </c>
      <c r="F274" s="7" t="n">
        <v>36</v>
      </c>
      <c r="G274" s="7" t="inlineStr">
        <is>
          <t>2023-09-07</t>
        </is>
      </c>
      <c r="H274" s="9" t="inlineStr">
        <is>
          <t>https://www.100ppi.com/news/detail-20230907-2815647.html</t>
        </is>
      </c>
      <c r="I274" s="7" t="inlineStr">
        <is>
          <t>9月7日生意社甲醇基准价为2540.83元/吨</t>
        </is>
      </c>
    </row>
    <row r="275">
      <c r="A275" s="7" t="n">
        <v>272</v>
      </c>
      <c r="B275" s="7" t="inlineStr">
        <is>
          <t>2023-09-08</t>
        </is>
      </c>
      <c r="C275" s="7" t="inlineStr">
        <is>
          <t>五</t>
        </is>
      </c>
      <c r="D275" s="8" t="n">
        <v>2499.17</v>
      </c>
      <c r="E275" s="7" t="n">
        <v>2023</v>
      </c>
      <c r="F275" s="7" t="n">
        <v>36</v>
      </c>
      <c r="G275" s="7" t="inlineStr">
        <is>
          <t>2023-09-08</t>
        </is>
      </c>
      <c r="H275" s="9" t="inlineStr">
        <is>
          <t>https://www.100ppi.com/news/detail-20230908-2817718.html</t>
        </is>
      </c>
      <c r="I275" s="7" t="inlineStr">
        <is>
          <t>9月8日生意社甲醇基准价为2499.17元/吨</t>
        </is>
      </c>
    </row>
    <row r="276">
      <c r="A276" s="7" t="n">
        <v>273</v>
      </c>
      <c r="B276" s="7" t="inlineStr">
        <is>
          <t>2023-09-11</t>
        </is>
      </c>
      <c r="C276" s="7" t="inlineStr">
        <is>
          <t>一</t>
        </is>
      </c>
      <c r="D276" s="8" t="n">
        <v>2485.83</v>
      </c>
      <c r="E276" s="7" t="n">
        <v>2023</v>
      </c>
      <c r="F276" s="7" t="n">
        <v>37</v>
      </c>
      <c r="G276" s="7" t="inlineStr">
        <is>
          <t>2023-09-11</t>
        </is>
      </c>
      <c r="H276" s="9" t="inlineStr">
        <is>
          <t>https://www.100ppi.com/news/detail-20230911-2821202.html</t>
        </is>
      </c>
      <c r="I276" s="7" t="inlineStr">
        <is>
          <t>9月11日生意社甲醇基准价为2485.83元/吨</t>
        </is>
      </c>
    </row>
    <row r="277">
      <c r="A277" s="7" t="n">
        <v>274</v>
      </c>
      <c r="B277" s="7" t="inlineStr">
        <is>
          <t>2023-09-12</t>
        </is>
      </c>
      <c r="C277" s="7" t="inlineStr">
        <is>
          <t>二</t>
        </is>
      </c>
      <c r="D277" s="8" t="n">
        <v>2510</v>
      </c>
      <c r="E277" s="7" t="n">
        <v>2023</v>
      </c>
      <c r="F277" s="7" t="n">
        <v>37</v>
      </c>
      <c r="G277" s="7" t="inlineStr">
        <is>
          <t>2023-09-12</t>
        </is>
      </c>
      <c r="H277" s="9" t="inlineStr">
        <is>
          <t>https://www.100ppi.com/news/detail-20230912-2823400.html</t>
        </is>
      </c>
      <c r="I277" s="7" t="inlineStr">
        <is>
          <t>9月12日生意社甲醇基准价为2510.00元/吨</t>
        </is>
      </c>
    </row>
    <row r="278">
      <c r="A278" s="7" t="n">
        <v>275</v>
      </c>
      <c r="B278" s="7" t="inlineStr">
        <is>
          <t>2023-09-13</t>
        </is>
      </c>
      <c r="C278" s="7" t="inlineStr">
        <is>
          <t>三</t>
        </is>
      </c>
      <c r="D278" s="8" t="n">
        <v>2524.17</v>
      </c>
      <c r="E278" s="7" t="n">
        <v>2023</v>
      </c>
      <c r="F278" s="7" t="n">
        <v>37</v>
      </c>
      <c r="G278" s="7" t="inlineStr">
        <is>
          <t>2023-09-13</t>
        </is>
      </c>
      <c r="H278" s="9" t="inlineStr">
        <is>
          <t>https://www.100ppi.com/news/detail-20230913-2825571.html</t>
        </is>
      </c>
      <c r="I278" s="7" t="inlineStr">
        <is>
          <t>9月13日生意社甲醇基准价为2524.17元/吨</t>
        </is>
      </c>
    </row>
    <row r="279">
      <c r="A279" s="7" t="n">
        <v>276</v>
      </c>
      <c r="B279" s="7" t="inlineStr">
        <is>
          <t>2023-09-14</t>
        </is>
      </c>
      <c r="C279" s="7" t="inlineStr">
        <is>
          <t>四</t>
        </is>
      </c>
      <c r="D279" s="8" t="n">
        <v>2491.67</v>
      </c>
      <c r="E279" s="7" t="n">
        <v>2023</v>
      </c>
      <c r="F279" s="7" t="n">
        <v>37</v>
      </c>
      <c r="G279" s="7" t="inlineStr">
        <is>
          <t>2023-09-14</t>
        </is>
      </c>
      <c r="H279" s="9" t="inlineStr">
        <is>
          <t>https://www.100ppi.com/news/detail-20230914-2827863.html</t>
        </is>
      </c>
      <c r="I279" s="7" t="inlineStr">
        <is>
          <t>9月14日生意社甲醇基准价为2491.67元/吨</t>
        </is>
      </c>
    </row>
    <row r="280">
      <c r="A280" s="7" t="n">
        <v>277</v>
      </c>
      <c r="B280" s="7" t="inlineStr">
        <is>
          <t>2023-09-15</t>
        </is>
      </c>
      <c r="C280" s="7" t="inlineStr">
        <is>
          <t>五</t>
        </is>
      </c>
      <c r="D280" s="8" t="n">
        <v>2527.5</v>
      </c>
      <c r="E280" s="7" t="n">
        <v>2023</v>
      </c>
      <c r="F280" s="7" t="n">
        <v>37</v>
      </c>
      <c r="G280" s="7" t="inlineStr">
        <is>
          <t>2023-09-15</t>
        </is>
      </c>
      <c r="H280" s="9" t="inlineStr">
        <is>
          <t>https://www.100ppi.com/news/detail-20230915-2830031.html</t>
        </is>
      </c>
      <c r="I280" s="7" t="inlineStr">
        <is>
          <t>9月15日生意社甲醇基准价为2527.50元/吨</t>
        </is>
      </c>
    </row>
    <row r="281">
      <c r="A281" s="7" t="n">
        <v>278</v>
      </c>
      <c r="B281" s="7" t="inlineStr">
        <is>
          <t>2023-09-18</t>
        </is>
      </c>
      <c r="C281" s="7" t="inlineStr">
        <is>
          <t>一</t>
        </is>
      </c>
      <c r="D281" s="8" t="n">
        <v>2535</v>
      </c>
      <c r="E281" s="7" t="n">
        <v>2023</v>
      </c>
      <c r="F281" s="7" t="n">
        <v>38</v>
      </c>
      <c r="G281" s="7" t="inlineStr">
        <is>
          <t>2023-09-18</t>
        </is>
      </c>
      <c r="H281" s="9" t="inlineStr">
        <is>
          <t>https://www.100ppi.com/news/detail-20230918-2833594.html</t>
        </is>
      </c>
      <c r="I281" s="7" t="inlineStr">
        <is>
          <t>9月18日生意社甲醇基准价为2535.00元/吨</t>
        </is>
      </c>
    </row>
    <row r="282">
      <c r="A282" s="7" t="n">
        <v>279</v>
      </c>
      <c r="B282" s="7" t="inlineStr">
        <is>
          <t>2023-09-19</t>
        </is>
      </c>
      <c r="C282" s="7" t="inlineStr">
        <is>
          <t>二</t>
        </is>
      </c>
      <c r="D282" s="8" t="n">
        <v>2595.83</v>
      </c>
      <c r="E282" s="7" t="n">
        <v>2023</v>
      </c>
      <c r="F282" s="7" t="n">
        <v>38</v>
      </c>
      <c r="G282" s="7" t="inlineStr">
        <is>
          <t>2023-09-19</t>
        </is>
      </c>
      <c r="H282" s="9" t="inlineStr">
        <is>
          <t>https://www.100ppi.com/news/detail-20230919-2835759.html</t>
        </is>
      </c>
      <c r="I282" s="7" t="inlineStr">
        <is>
          <t>9月19日生意社甲醇基准价为2595.83元/吨</t>
        </is>
      </c>
    </row>
    <row r="283">
      <c r="A283" s="7" t="n">
        <v>280</v>
      </c>
      <c r="B283" s="7" t="inlineStr">
        <is>
          <t>2023-09-20</t>
        </is>
      </c>
      <c r="C283" s="7" t="inlineStr">
        <is>
          <t>三</t>
        </is>
      </c>
      <c r="D283" s="8" t="n">
        <v>2605.83</v>
      </c>
      <c r="E283" s="7" t="n">
        <v>2023</v>
      </c>
      <c r="F283" s="7" t="n">
        <v>38</v>
      </c>
      <c r="G283" s="7" t="inlineStr">
        <is>
          <t>2023-09-20</t>
        </is>
      </c>
      <c r="H283" s="9" t="inlineStr">
        <is>
          <t>https://www.100ppi.com/news/detail-20230920-2837986.html</t>
        </is>
      </c>
      <c r="I283" s="7" t="inlineStr">
        <is>
          <t>9月20日生意社甲醇基准价为2605.83元/吨</t>
        </is>
      </c>
    </row>
    <row r="284">
      <c r="A284" s="7" t="n">
        <v>281</v>
      </c>
      <c r="B284" s="7" t="inlineStr">
        <is>
          <t>2023-09-21</t>
        </is>
      </c>
      <c r="C284" s="7" t="inlineStr">
        <is>
          <t>四</t>
        </is>
      </c>
      <c r="D284" s="8" t="n">
        <v>2566.67</v>
      </c>
      <c r="E284" s="7" t="n">
        <v>2023</v>
      </c>
      <c r="F284" s="7" t="n">
        <v>38</v>
      </c>
      <c r="G284" s="7" t="inlineStr">
        <is>
          <t>2023-09-21</t>
        </is>
      </c>
      <c r="H284" s="9" t="inlineStr">
        <is>
          <t>https://www.100ppi.com/news/detail-20230921-2840153.html</t>
        </is>
      </c>
      <c r="I284" s="7" t="inlineStr">
        <is>
          <t>9月21日生意社甲醇基准价为2566.67元/吨</t>
        </is>
      </c>
    </row>
    <row r="285">
      <c r="A285" s="7" t="n">
        <v>282</v>
      </c>
      <c r="B285" s="7" t="inlineStr">
        <is>
          <t>2023-09-22</t>
        </is>
      </c>
      <c r="C285" s="7" t="inlineStr">
        <is>
          <t>五</t>
        </is>
      </c>
      <c r="D285" s="8" t="n">
        <v>2539.17</v>
      </c>
      <c r="E285" s="7" t="n">
        <v>2023</v>
      </c>
      <c r="F285" s="7" t="n">
        <v>38</v>
      </c>
      <c r="G285" s="7" t="inlineStr">
        <is>
          <t>2023-09-22</t>
        </is>
      </c>
      <c r="H285" s="9" t="inlineStr">
        <is>
          <t>https://www.100ppi.com/news/detail-20230922-2842459.html</t>
        </is>
      </c>
      <c r="I285" s="7" t="inlineStr">
        <is>
          <t>9月22日生意社甲醇基准价为2539.17元/吨</t>
        </is>
      </c>
    </row>
    <row r="286">
      <c r="A286" s="7" t="n">
        <v>283</v>
      </c>
      <c r="B286" s="7" t="inlineStr">
        <is>
          <t>2023-09-25</t>
        </is>
      </c>
      <c r="C286" s="7" t="inlineStr">
        <is>
          <t>一</t>
        </is>
      </c>
      <c r="D286" s="8" t="n">
        <v>2535.83</v>
      </c>
      <c r="E286" s="7" t="n">
        <v>2023</v>
      </c>
      <c r="F286" s="7" t="n">
        <v>39</v>
      </c>
      <c r="G286" s="7" t="inlineStr">
        <is>
          <t>2023-09-25</t>
        </is>
      </c>
      <c r="H286" s="9" t="inlineStr">
        <is>
          <t>https://www.100ppi.com/news/detail-20230925-2845965.html</t>
        </is>
      </c>
      <c r="I286" s="7" t="inlineStr">
        <is>
          <t>9月25日生意社甲醇基准价为2535.83元/吨</t>
        </is>
      </c>
    </row>
    <row r="287">
      <c r="A287" s="7" t="n">
        <v>284</v>
      </c>
      <c r="B287" s="7" t="inlineStr">
        <is>
          <t>2023-09-26</t>
        </is>
      </c>
      <c r="C287" s="7" t="inlineStr">
        <is>
          <t>二</t>
        </is>
      </c>
      <c r="D287" s="8" t="n">
        <v>2484.17</v>
      </c>
      <c r="E287" s="7" t="n">
        <v>2023</v>
      </c>
      <c r="F287" s="7" t="n">
        <v>39</v>
      </c>
      <c r="G287" s="7" t="inlineStr">
        <is>
          <t>2023-09-26</t>
        </is>
      </c>
      <c r="H287" s="9" t="inlineStr">
        <is>
          <t>https://www.100ppi.com/news/detail-20230926-2848331.html</t>
        </is>
      </c>
      <c r="I287" s="7" t="inlineStr">
        <is>
          <t>9月26日生意社甲醇基准价为2484.17元/吨</t>
        </is>
      </c>
    </row>
    <row r="288">
      <c r="A288" s="7" t="n">
        <v>285</v>
      </c>
      <c r="B288" s="7" t="inlineStr">
        <is>
          <t>2023-09-27</t>
        </is>
      </c>
      <c r="C288" s="7" t="inlineStr">
        <is>
          <t>三</t>
        </is>
      </c>
      <c r="D288" s="8" t="n">
        <v>2460</v>
      </c>
      <c r="E288" s="7" t="n">
        <v>2023</v>
      </c>
      <c r="F288" s="7" t="n">
        <v>39</v>
      </c>
      <c r="G288" s="7" t="inlineStr">
        <is>
          <t>2023-09-27</t>
        </is>
      </c>
      <c r="H288" s="9" t="inlineStr">
        <is>
          <t>https://www.100ppi.com/news/detail-20230927-2850524.html</t>
        </is>
      </c>
      <c r="I288" s="7" t="inlineStr">
        <is>
          <t>9月27日生意社甲醇基准价为2460.00元/吨</t>
        </is>
      </c>
    </row>
    <row r="289">
      <c r="A289" s="7" t="n">
        <v>286</v>
      </c>
      <c r="B289" s="7" t="inlineStr">
        <is>
          <t>2023-09-28</t>
        </is>
      </c>
      <c r="C289" s="7" t="inlineStr">
        <is>
          <t>四</t>
        </is>
      </c>
      <c r="D289" s="8" t="n">
        <v>2475.83</v>
      </c>
      <c r="E289" s="7" t="n">
        <v>2023</v>
      </c>
      <c r="F289" s="7" t="n">
        <v>39</v>
      </c>
      <c r="G289" s="7" t="inlineStr">
        <is>
          <t>2023-09-28</t>
        </is>
      </c>
      <c r="H289" s="9" t="inlineStr">
        <is>
          <t>https://www.100ppi.com/news/detail-20230928-2852607.html</t>
        </is>
      </c>
      <c r="I289" s="7" t="inlineStr">
        <is>
          <t>9月28日生意社甲醇基准价为2475.83元/吨</t>
        </is>
      </c>
    </row>
    <row r="290">
      <c r="A290" s="7" t="n">
        <v>287</v>
      </c>
      <c r="B290" s="7" t="inlineStr">
        <is>
          <t>2023-09-29</t>
        </is>
      </c>
      <c r="C290" s="7" t="inlineStr">
        <is>
          <t>五</t>
        </is>
      </c>
      <c r="D290" s="8" t="n">
        <v>2478.33</v>
      </c>
      <c r="E290" s="7" t="n">
        <v>2023</v>
      </c>
      <c r="F290" s="7" t="n">
        <v>39</v>
      </c>
      <c r="G290" s="7" t="inlineStr">
        <is>
          <t>2023-09-29</t>
        </is>
      </c>
      <c r="H290" s="9" t="inlineStr">
        <is>
          <t>https://www.100ppi.com/news/detail-20230929-2854702.html</t>
        </is>
      </c>
      <c r="I290" s="7" t="inlineStr">
        <is>
          <t>9月29日生意社甲醇基准价为2478.33元/吨</t>
        </is>
      </c>
    </row>
    <row r="291">
      <c r="A291" s="7" t="n">
        <v>288</v>
      </c>
      <c r="B291" s="7" t="inlineStr">
        <is>
          <t>2023-10-02</t>
        </is>
      </c>
      <c r="C291" s="7" t="inlineStr">
        <is>
          <t>一</t>
        </is>
      </c>
      <c r="D291" s="8" t="n">
        <v>2478.33</v>
      </c>
      <c r="E291" s="7" t="n">
        <v>2023</v>
      </c>
      <c r="F291" s="7" t="n">
        <v>40</v>
      </c>
      <c r="G291" s="7" t="inlineStr">
        <is>
          <t>2023-10-02</t>
        </is>
      </c>
      <c r="H291" s="9" t="inlineStr">
        <is>
          <t>https://www.100ppi.com/news/detail-20231002-2856359.html</t>
        </is>
      </c>
      <c r="I291" s="7" t="inlineStr">
        <is>
          <t>10月2日生意社甲醇基准价为2478.33元/吨</t>
        </is>
      </c>
    </row>
    <row r="292">
      <c r="A292" s="7" t="n">
        <v>289</v>
      </c>
      <c r="B292" s="7" t="inlineStr">
        <is>
          <t>2023-10-03</t>
        </is>
      </c>
      <c r="C292" s="7" t="inlineStr">
        <is>
          <t>二</t>
        </is>
      </c>
      <c r="D292" s="8" t="n">
        <v>2478.33</v>
      </c>
      <c r="E292" s="7" t="n">
        <v>2023</v>
      </c>
      <c r="F292" s="7" t="n">
        <v>40</v>
      </c>
      <c r="G292" s="7" t="inlineStr">
        <is>
          <t>2023-10-03</t>
        </is>
      </c>
      <c r="H292" s="9" t="inlineStr">
        <is>
          <t>https://www.100ppi.com/news/detail-20231003-2857010.html</t>
        </is>
      </c>
      <c r="I292" s="7" t="inlineStr">
        <is>
          <t>10月3日生意社甲醇基准价为2478.33元/吨</t>
        </is>
      </c>
    </row>
    <row r="293">
      <c r="A293" s="7" t="n">
        <v>290</v>
      </c>
      <c r="B293" s="7" t="inlineStr">
        <is>
          <t>2023-10-04</t>
        </is>
      </c>
      <c r="C293" s="7" t="inlineStr">
        <is>
          <t>三</t>
        </is>
      </c>
      <c r="D293" s="8" t="n">
        <v>2478.33</v>
      </c>
      <c r="E293" s="7" t="n">
        <v>2023</v>
      </c>
      <c r="F293" s="7" t="n">
        <v>40</v>
      </c>
      <c r="G293" s="7" t="inlineStr">
        <is>
          <t>2023-10-04</t>
        </is>
      </c>
      <c r="H293" s="9" t="inlineStr">
        <is>
          <t>https://www.100ppi.com/news/detail-20231004-2858069.html</t>
        </is>
      </c>
      <c r="I293" s="7" t="inlineStr">
        <is>
          <t>10月4日生意社甲醇基准价为2478.33元/吨</t>
        </is>
      </c>
    </row>
    <row r="294">
      <c r="A294" s="7" t="n">
        <v>291</v>
      </c>
      <c r="B294" s="7" t="inlineStr">
        <is>
          <t>2023-10-05</t>
        </is>
      </c>
      <c r="C294" s="7" t="inlineStr">
        <is>
          <t>四</t>
        </is>
      </c>
      <c r="D294" s="8" t="n">
        <v>2478.33</v>
      </c>
      <c r="E294" s="7" t="n">
        <v>2023</v>
      </c>
      <c r="F294" s="7" t="n">
        <v>40</v>
      </c>
      <c r="G294" s="7" t="inlineStr">
        <is>
          <t>2023-10-05</t>
        </is>
      </c>
      <c r="H294" s="9" t="inlineStr">
        <is>
          <t>https://www.100ppi.com/news/detail-20231005-2859019.html</t>
        </is>
      </c>
      <c r="I294" s="7" t="inlineStr">
        <is>
          <t>10月5日生意社甲醇基准价为2478.33元/吨</t>
        </is>
      </c>
    </row>
    <row r="295">
      <c r="A295" s="7" t="n">
        <v>292</v>
      </c>
      <c r="B295" s="7" t="inlineStr">
        <is>
          <t>2023-10-06</t>
        </is>
      </c>
      <c r="C295" s="7" t="inlineStr">
        <is>
          <t>五</t>
        </is>
      </c>
      <c r="D295" s="8" t="n">
        <v>2478.33</v>
      </c>
      <c r="E295" s="7" t="n">
        <v>2023</v>
      </c>
      <c r="F295" s="7" t="n">
        <v>40</v>
      </c>
      <c r="G295" s="7" t="inlineStr">
        <is>
          <t>2023-10-06</t>
        </is>
      </c>
      <c r="H295" s="9" t="inlineStr">
        <is>
          <t>https://www.100ppi.com/news/detail-20231006-2860202.html</t>
        </is>
      </c>
      <c r="I295" s="7" t="inlineStr">
        <is>
          <t>10月6日生意社甲醇基准价为2478.33元/吨</t>
        </is>
      </c>
    </row>
    <row r="296">
      <c r="A296" s="7" t="n">
        <v>293</v>
      </c>
      <c r="B296" s="7" t="inlineStr">
        <is>
          <t>2023-10-09</t>
        </is>
      </c>
      <c r="C296" s="7" t="inlineStr">
        <is>
          <t>一</t>
        </is>
      </c>
      <c r="D296" s="8" t="n">
        <v>2460</v>
      </c>
      <c r="E296" s="7" t="n">
        <v>2023</v>
      </c>
      <c r="F296" s="7" t="n">
        <v>41</v>
      </c>
      <c r="G296" s="7" t="inlineStr">
        <is>
          <t>2023-10-09</t>
        </is>
      </c>
      <c r="H296" s="9" t="inlineStr">
        <is>
          <t>https://www.100ppi.com/news/detail-20231009-2865193.html</t>
        </is>
      </c>
      <c r="I296" s="7" t="inlineStr">
        <is>
          <t>10月9日生意社甲醇基准价为2460.00元/吨</t>
        </is>
      </c>
    </row>
    <row r="297">
      <c r="A297" s="7" t="n">
        <v>294</v>
      </c>
      <c r="B297" s="7" t="inlineStr">
        <is>
          <t>2023-10-10</t>
        </is>
      </c>
      <c r="C297" s="7" t="inlineStr">
        <is>
          <t>二</t>
        </is>
      </c>
      <c r="D297" s="8" t="n">
        <v>2498.33</v>
      </c>
      <c r="E297" s="7" t="n">
        <v>2023</v>
      </c>
      <c r="F297" s="7" t="n">
        <v>41</v>
      </c>
      <c r="G297" s="7" t="inlineStr">
        <is>
          <t>2023-10-10</t>
        </is>
      </c>
      <c r="H297" s="9" t="inlineStr">
        <is>
          <t>https://www.100ppi.com/news/detail-20231010-2867256.html</t>
        </is>
      </c>
      <c r="I297" s="7" t="inlineStr">
        <is>
          <t>10月10日生意社甲醇基准价为2498.33元/吨</t>
        </is>
      </c>
    </row>
    <row r="298">
      <c r="A298" s="7" t="n">
        <v>295</v>
      </c>
      <c r="B298" s="7" t="inlineStr">
        <is>
          <t>2023-10-11</t>
        </is>
      </c>
      <c r="C298" s="7" t="inlineStr">
        <is>
          <t>三</t>
        </is>
      </c>
      <c r="D298" s="8" t="n">
        <v>2450</v>
      </c>
      <c r="E298" s="7" t="n">
        <v>2023</v>
      </c>
      <c r="F298" s="7" t="n">
        <v>41</v>
      </c>
      <c r="G298" s="7" t="inlineStr">
        <is>
          <t>2023-10-11</t>
        </is>
      </c>
      <c r="H298" s="9" t="inlineStr">
        <is>
          <t>https://www.100ppi.com/news/detail-20231011-2869431.html</t>
        </is>
      </c>
      <c r="I298" s="7" t="inlineStr">
        <is>
          <t>10月11日生意社甲醇基准价为2450.00元/吨</t>
        </is>
      </c>
    </row>
    <row r="299">
      <c r="A299" s="7" t="n">
        <v>296</v>
      </c>
      <c r="B299" s="7" t="inlineStr">
        <is>
          <t>2023-10-12</t>
        </is>
      </c>
      <c r="C299" s="7" t="inlineStr">
        <is>
          <t>四</t>
        </is>
      </c>
      <c r="D299" s="8" t="n">
        <v>2474.17</v>
      </c>
      <c r="E299" s="7" t="n">
        <v>2023</v>
      </c>
      <c r="F299" s="7" t="n">
        <v>41</v>
      </c>
      <c r="G299" s="7" t="inlineStr">
        <is>
          <t>2023-10-12</t>
        </is>
      </c>
      <c r="H299" s="9" t="inlineStr">
        <is>
          <t>https://www.100ppi.com/news/detail-20231012-2871763.html</t>
        </is>
      </c>
      <c r="I299" s="7" t="inlineStr">
        <is>
          <t>10月12日生意社甲醇基准价为2474.17元/吨</t>
        </is>
      </c>
    </row>
    <row r="300">
      <c r="A300" s="7" t="n">
        <v>297</v>
      </c>
      <c r="B300" s="7" t="inlineStr">
        <is>
          <t>2023-10-13</t>
        </is>
      </c>
      <c r="C300" s="7" t="inlineStr">
        <is>
          <t>五</t>
        </is>
      </c>
      <c r="D300" s="8" t="n">
        <v>2480</v>
      </c>
      <c r="E300" s="7" t="n">
        <v>2023</v>
      </c>
      <c r="F300" s="7" t="n">
        <v>41</v>
      </c>
      <c r="G300" s="7" t="inlineStr">
        <is>
          <t>2023-10-13</t>
        </is>
      </c>
      <c r="H300" s="9" t="inlineStr">
        <is>
          <t>https://www.100ppi.com/news/detail-20231013-2874298.html</t>
        </is>
      </c>
      <c r="I300" s="7" t="inlineStr">
        <is>
          <t>10月13日生意社甲醇基准价为2480.00元/吨</t>
        </is>
      </c>
    </row>
    <row r="301">
      <c r="A301" s="7" t="n">
        <v>298</v>
      </c>
      <c r="B301" s="7" t="inlineStr">
        <is>
          <t>2023-10-16</t>
        </is>
      </c>
      <c r="C301" s="7" t="inlineStr">
        <is>
          <t>一</t>
        </is>
      </c>
      <c r="D301" s="8" t="n">
        <v>2480.83</v>
      </c>
      <c r="E301" s="7" t="n">
        <v>2023</v>
      </c>
      <c r="F301" s="7" t="n">
        <v>42</v>
      </c>
      <c r="G301" s="7" t="inlineStr">
        <is>
          <t>2023-10-16</t>
        </is>
      </c>
      <c r="H301" s="9" t="inlineStr">
        <is>
          <t>https://www.100ppi.com/news/detail-20231016-2878535.html</t>
        </is>
      </c>
      <c r="I301" s="7" t="inlineStr">
        <is>
          <t>10月16日生意社甲醇基准价为2480.83元/吨</t>
        </is>
      </c>
    </row>
    <row r="302">
      <c r="A302" s="7" t="n">
        <v>299</v>
      </c>
      <c r="B302" s="7" t="inlineStr">
        <is>
          <t>2023-10-17</t>
        </is>
      </c>
      <c r="C302" s="7" t="inlineStr">
        <is>
          <t>二</t>
        </is>
      </c>
      <c r="D302" s="8" t="n">
        <v>2510.83</v>
      </c>
      <c r="E302" s="7" t="n">
        <v>2023</v>
      </c>
      <c r="F302" s="7" t="n">
        <v>42</v>
      </c>
      <c r="G302" s="7" t="inlineStr">
        <is>
          <t>2023-10-17</t>
        </is>
      </c>
      <c r="H302" s="9" t="inlineStr">
        <is>
          <t>https://www.100ppi.com/news/detail-20231017-2881201.html</t>
        </is>
      </c>
      <c r="I302" s="7" t="inlineStr">
        <is>
          <t>10月17日生意社甲醇基准价为2510.83元/吨</t>
        </is>
      </c>
    </row>
    <row r="303">
      <c r="A303" s="7" t="n">
        <v>300</v>
      </c>
      <c r="B303" s="7" t="inlineStr">
        <is>
          <t>2023-10-18</t>
        </is>
      </c>
      <c r="C303" s="7" t="inlineStr">
        <is>
          <t>三</t>
        </is>
      </c>
      <c r="D303" s="8" t="n">
        <v>2460</v>
      </c>
      <c r="E303" s="7" t="n">
        <v>2023</v>
      </c>
      <c r="F303" s="7" t="n">
        <v>42</v>
      </c>
      <c r="G303" s="7" t="inlineStr">
        <is>
          <t>2023-10-18</t>
        </is>
      </c>
      <c r="H303" s="9" t="inlineStr">
        <is>
          <t>https://www.100ppi.com/news/detail-20231018-2883674.html</t>
        </is>
      </c>
      <c r="I303" s="7" t="inlineStr">
        <is>
          <t>10月18日生意社甲醇基准价为2460.00元/吨</t>
        </is>
      </c>
    </row>
    <row r="304">
      <c r="A304" s="7" t="n">
        <v>301</v>
      </c>
      <c r="B304" s="7" t="inlineStr">
        <is>
          <t>2023-10-19</t>
        </is>
      </c>
      <c r="C304" s="7" t="inlineStr">
        <is>
          <t>四</t>
        </is>
      </c>
      <c r="D304" s="8" t="n">
        <v>2420.83</v>
      </c>
      <c r="E304" s="7" t="n">
        <v>2023</v>
      </c>
      <c r="F304" s="7" t="n">
        <v>42</v>
      </c>
      <c r="G304" s="7" t="inlineStr">
        <is>
          <t>2023-10-19</t>
        </is>
      </c>
      <c r="H304" s="9" t="inlineStr">
        <is>
          <t>https://www.100ppi.com/news/detail-20231019-2885963.html</t>
        </is>
      </c>
      <c r="I304" s="7" t="inlineStr">
        <is>
          <t>10月19日生意社甲醇基准价为2420.83元/吨</t>
        </is>
      </c>
    </row>
    <row r="305">
      <c r="A305" s="7" t="n">
        <v>302</v>
      </c>
      <c r="B305" s="7" t="inlineStr">
        <is>
          <t>2023-10-20</t>
        </is>
      </c>
      <c r="C305" s="7" t="inlineStr">
        <is>
          <t>五</t>
        </is>
      </c>
      <c r="D305" s="8" t="n">
        <v>2450</v>
      </c>
      <c r="E305" s="7" t="n">
        <v>2023</v>
      </c>
      <c r="F305" s="7" t="n">
        <v>42</v>
      </c>
      <c r="G305" s="7" t="inlineStr">
        <is>
          <t>2023-10-20</t>
        </is>
      </c>
      <c r="H305" s="9" t="inlineStr">
        <is>
          <t>https://www.100ppi.com/news/detail-20231020-2888182.html</t>
        </is>
      </c>
      <c r="I305" s="7" t="inlineStr">
        <is>
          <t>10月20日生意社甲醇基准价为2450.00元/吨</t>
        </is>
      </c>
    </row>
    <row r="306">
      <c r="A306" s="7" t="n">
        <v>303</v>
      </c>
      <c r="B306" s="7" t="inlineStr">
        <is>
          <t>2023-10-23</t>
        </is>
      </c>
      <c r="C306" s="7" t="inlineStr">
        <is>
          <t>一</t>
        </is>
      </c>
      <c r="D306" s="8" t="n">
        <v>2455.83</v>
      </c>
      <c r="E306" s="7" t="n">
        <v>2023</v>
      </c>
      <c r="F306" s="7" t="n">
        <v>43</v>
      </c>
      <c r="G306" s="7" t="inlineStr">
        <is>
          <t>2023-10-23</t>
        </is>
      </c>
      <c r="H306" s="9" t="inlineStr">
        <is>
          <t>https://www.100ppi.com/news/detail-20231023-2892329.html</t>
        </is>
      </c>
      <c r="I306" s="7" t="inlineStr">
        <is>
          <t>10月23日生意社甲醇基准价为2455.83元/吨</t>
        </is>
      </c>
    </row>
    <row r="307">
      <c r="A307" s="7" t="n">
        <v>304</v>
      </c>
      <c r="B307" s="7" t="inlineStr">
        <is>
          <t>2023-10-24</t>
        </is>
      </c>
      <c r="C307" s="7" t="inlineStr">
        <is>
          <t>二</t>
        </is>
      </c>
      <c r="D307" s="8" t="n">
        <v>2435.83</v>
      </c>
      <c r="E307" s="7" t="n">
        <v>2023</v>
      </c>
      <c r="F307" s="7" t="n">
        <v>43</v>
      </c>
      <c r="G307" s="7" t="inlineStr">
        <is>
          <t>2023-10-24</t>
        </is>
      </c>
      <c r="H307" s="9" t="inlineStr">
        <is>
          <t>https://www.100ppi.com/news/detail-20231024-2894768.html</t>
        </is>
      </c>
      <c r="I307" s="7" t="inlineStr">
        <is>
          <t>10月24日生意社甲醇基准价为2435.83元/吨</t>
        </is>
      </c>
    </row>
    <row r="308">
      <c r="A308" s="7" t="n">
        <v>305</v>
      </c>
      <c r="B308" s="7" t="inlineStr">
        <is>
          <t>2023-10-25</t>
        </is>
      </c>
      <c r="C308" s="7" t="inlineStr">
        <is>
          <t>三</t>
        </is>
      </c>
      <c r="D308" s="8" t="n">
        <v>2425.83</v>
      </c>
      <c r="E308" s="7" t="n">
        <v>2023</v>
      </c>
      <c r="F308" s="7" t="n">
        <v>43</v>
      </c>
      <c r="G308" s="7" t="inlineStr">
        <is>
          <t>2023-10-25</t>
        </is>
      </c>
      <c r="H308" s="9" t="inlineStr">
        <is>
          <t>https://www.100ppi.com/news/detail-20231025-2897156.html</t>
        </is>
      </c>
      <c r="I308" s="7" t="inlineStr">
        <is>
          <t>10月25日生意社甲醇基准价为2425.83元/吨</t>
        </is>
      </c>
    </row>
    <row r="309">
      <c r="A309" s="7" t="n">
        <v>306</v>
      </c>
      <c r="B309" s="7" t="inlineStr">
        <is>
          <t>2023-10-26</t>
        </is>
      </c>
      <c r="C309" s="7" t="inlineStr">
        <is>
          <t>四</t>
        </is>
      </c>
      <c r="D309" s="8" t="n">
        <v>2440</v>
      </c>
      <c r="E309" s="7" t="n">
        <v>2023</v>
      </c>
      <c r="F309" s="7" t="n">
        <v>43</v>
      </c>
      <c r="G309" s="7" t="inlineStr">
        <is>
          <t>2023-10-26</t>
        </is>
      </c>
      <c r="H309" s="9" t="inlineStr">
        <is>
          <t>https://www.100ppi.com/news/detail-20231026-2899663.html</t>
        </is>
      </c>
      <c r="I309" s="7" t="inlineStr">
        <is>
          <t>10月26日生意社甲醇基准价为2440.00元/吨</t>
        </is>
      </c>
    </row>
    <row r="310">
      <c r="A310" s="7" t="n">
        <v>307</v>
      </c>
      <c r="B310" s="7" t="inlineStr">
        <is>
          <t>2023-10-27</t>
        </is>
      </c>
      <c r="C310" s="7" t="inlineStr">
        <is>
          <t>五</t>
        </is>
      </c>
      <c r="D310" s="8" t="n">
        <v>2430</v>
      </c>
      <c r="E310" s="7" t="n">
        <v>2023</v>
      </c>
      <c r="F310" s="7" t="n">
        <v>43</v>
      </c>
      <c r="G310" s="7" t="inlineStr">
        <is>
          <t>2023-10-27</t>
        </is>
      </c>
      <c r="H310" s="9" t="inlineStr">
        <is>
          <t>https://www.100ppi.com/news/detail-20231027-2902139.html</t>
        </is>
      </c>
      <c r="I310" s="7" t="inlineStr">
        <is>
          <t>10月27日生意社甲醇基准价为2430.00元/吨</t>
        </is>
      </c>
    </row>
    <row r="311">
      <c r="A311" s="7" t="n">
        <v>308</v>
      </c>
      <c r="B311" s="7" t="inlineStr">
        <is>
          <t>2023-10-30</t>
        </is>
      </c>
      <c r="C311" s="7" t="inlineStr">
        <is>
          <t>一</t>
        </is>
      </c>
      <c r="D311" s="8" t="n">
        <v>2445.83</v>
      </c>
      <c r="E311" s="7" t="n">
        <v>2023</v>
      </c>
      <c r="F311" s="7" t="n">
        <v>44</v>
      </c>
      <c r="G311" s="7" t="inlineStr">
        <is>
          <t>2023-10-30</t>
        </is>
      </c>
      <c r="H311" s="9" t="inlineStr">
        <is>
          <t>https://www.100ppi.com/news/detail-20231030-2905973.html</t>
        </is>
      </c>
      <c r="I311" s="7" t="inlineStr">
        <is>
          <t>10月30日生意社甲醇基准价为2445.83元/吨</t>
        </is>
      </c>
    </row>
    <row r="312">
      <c r="A312" s="7" t="n">
        <v>309</v>
      </c>
      <c r="B312" s="7" t="inlineStr">
        <is>
          <t>2023-10-31</t>
        </is>
      </c>
      <c r="C312" s="7" t="inlineStr">
        <is>
          <t>二</t>
        </is>
      </c>
      <c r="D312" s="8" t="n">
        <v>2457.5</v>
      </c>
      <c r="E312" s="7" t="n">
        <v>2023</v>
      </c>
      <c r="F312" s="7" t="n">
        <v>44</v>
      </c>
      <c r="G312" s="7" t="inlineStr">
        <is>
          <t>2023-10-31</t>
        </is>
      </c>
      <c r="H312" s="9" t="inlineStr">
        <is>
          <t>https://www.100ppi.com/news/detail-20231031-2908546.html</t>
        </is>
      </c>
      <c r="I312" s="7" t="inlineStr">
        <is>
          <t>10月31日生意社甲醇基准价为2457.50元/吨</t>
        </is>
      </c>
    </row>
    <row r="313">
      <c r="A313" s="7" t="n">
        <v>310</v>
      </c>
      <c r="B313" s="7" t="inlineStr">
        <is>
          <t>2023-11-01</t>
        </is>
      </c>
      <c r="C313" s="7" t="inlineStr">
        <is>
          <t>三</t>
        </is>
      </c>
      <c r="D313" s="8" t="n">
        <v>2430.83</v>
      </c>
      <c r="E313" s="7" t="n">
        <v>2023</v>
      </c>
      <c r="F313" s="7" t="n">
        <v>44</v>
      </c>
      <c r="G313" s="7" t="inlineStr">
        <is>
          <t>2023-11-01</t>
        </is>
      </c>
      <c r="H313" s="9" t="inlineStr">
        <is>
          <t>https://www.100ppi.com/news/detail-20231101-2910846.html</t>
        </is>
      </c>
      <c r="I313" s="7" t="inlineStr">
        <is>
          <t>11月1日生意社甲醇基准价为2430.83元/吨</t>
        </is>
      </c>
    </row>
    <row r="314">
      <c r="A314" s="7" t="n">
        <v>311</v>
      </c>
      <c r="B314" s="7" t="inlineStr">
        <is>
          <t>2023-11-02</t>
        </is>
      </c>
      <c r="C314" s="7" t="inlineStr">
        <is>
          <t>四</t>
        </is>
      </c>
      <c r="D314" s="8" t="n">
        <v>2425.83</v>
      </c>
      <c r="E314" s="7" t="n">
        <v>2023</v>
      </c>
      <c r="F314" s="7" t="n">
        <v>44</v>
      </c>
      <c r="G314" s="7" t="inlineStr">
        <is>
          <t>2023-11-02</t>
        </is>
      </c>
      <c r="H314" s="9" t="inlineStr">
        <is>
          <t>https://www.100ppi.com/news/detail-20231102-2913388.html</t>
        </is>
      </c>
      <c r="I314" s="7" t="inlineStr">
        <is>
          <t>11月2日生意社甲醇基准价为2425.83元/吨</t>
        </is>
      </c>
    </row>
    <row r="315">
      <c r="A315" s="7" t="n">
        <v>312</v>
      </c>
      <c r="B315" s="7" t="inlineStr">
        <is>
          <t>2023-11-03</t>
        </is>
      </c>
      <c r="C315" s="7" t="inlineStr">
        <is>
          <t>五</t>
        </is>
      </c>
      <c r="D315" s="8" t="n">
        <v>2410</v>
      </c>
      <c r="E315" s="7" t="n">
        <v>2023</v>
      </c>
      <c r="F315" s="7" t="n">
        <v>44</v>
      </c>
      <c r="G315" s="7" t="inlineStr">
        <is>
          <t>2023-11-03</t>
        </is>
      </c>
      <c r="H315" s="9" t="inlineStr">
        <is>
          <t>https://www.100ppi.com/news/detail-20231103-2915777.html</t>
        </is>
      </c>
      <c r="I315" s="7" t="inlineStr">
        <is>
          <t>11月3日生意社甲醇基准价为2410.00元/吨</t>
        </is>
      </c>
    </row>
    <row r="316">
      <c r="A316" s="7" t="n">
        <v>313</v>
      </c>
      <c r="B316" s="7" t="inlineStr">
        <is>
          <t>2023-11-06</t>
        </is>
      </c>
      <c r="C316" s="7" t="inlineStr">
        <is>
          <t>一</t>
        </is>
      </c>
      <c r="D316" s="8" t="n">
        <v>2459.17</v>
      </c>
      <c r="E316" s="7" t="n">
        <v>2023</v>
      </c>
      <c r="F316" s="7" t="n">
        <v>45</v>
      </c>
      <c r="G316" s="7" t="inlineStr">
        <is>
          <t>2023-11-06</t>
        </is>
      </c>
      <c r="H316" s="9" t="inlineStr">
        <is>
          <t>https://www.100ppi.com/news/detail-20231106-2920073.html</t>
        </is>
      </c>
      <c r="I316" s="7" t="inlineStr">
        <is>
          <t>11月6日生意社甲醇基准价为2459.17元/吨</t>
        </is>
      </c>
    </row>
    <row r="317">
      <c r="A317" s="7" t="n">
        <v>314</v>
      </c>
      <c r="B317" s="7" t="inlineStr">
        <is>
          <t>2023-11-07</t>
        </is>
      </c>
      <c r="C317" s="7" t="inlineStr">
        <is>
          <t>二</t>
        </is>
      </c>
      <c r="D317" s="8" t="n">
        <v>2481.67</v>
      </c>
      <c r="E317" s="7" t="n">
        <v>2023</v>
      </c>
      <c r="F317" s="7" t="n">
        <v>45</v>
      </c>
      <c r="G317" s="7" t="inlineStr">
        <is>
          <t>2023-11-07</t>
        </is>
      </c>
      <c r="H317" s="9" t="inlineStr">
        <is>
          <t>https://www.100ppi.com/news/detail-20231107-2922891.html</t>
        </is>
      </c>
      <c r="I317" s="7" t="inlineStr">
        <is>
          <t>11月7日生意社甲醇基准价为2481.67元/吨</t>
        </is>
      </c>
    </row>
    <row r="318">
      <c r="A318" s="7" t="n">
        <v>315</v>
      </c>
      <c r="B318" s="7" t="inlineStr">
        <is>
          <t>2023-11-08</t>
        </is>
      </c>
      <c r="C318" s="7" t="inlineStr">
        <is>
          <t>三</t>
        </is>
      </c>
      <c r="D318" s="8" t="n">
        <v>2485</v>
      </c>
      <c r="E318" s="7" t="n">
        <v>2023</v>
      </c>
      <c r="F318" s="7" t="n">
        <v>45</v>
      </c>
      <c r="G318" s="7" t="inlineStr">
        <is>
          <t>2023-11-08</t>
        </is>
      </c>
      <c r="H318" s="9" t="inlineStr">
        <is>
          <t>https://www.100ppi.com/news/detail-20231108-2925534.html</t>
        </is>
      </c>
      <c r="I318" s="7" t="inlineStr">
        <is>
          <t>11月8日生意社甲醇基准价为2485.00元/吨</t>
        </is>
      </c>
    </row>
    <row r="319">
      <c r="A319" s="7" t="n">
        <v>316</v>
      </c>
      <c r="B319" s="7" t="inlineStr">
        <is>
          <t>2023-11-09</t>
        </is>
      </c>
      <c r="C319" s="7" t="inlineStr">
        <is>
          <t>四</t>
        </is>
      </c>
      <c r="D319" s="8" t="n">
        <v>2520</v>
      </c>
      <c r="E319" s="7" t="n">
        <v>2023</v>
      </c>
      <c r="F319" s="7" t="n">
        <v>45</v>
      </c>
      <c r="G319" s="7" t="inlineStr">
        <is>
          <t>2023-11-09</t>
        </is>
      </c>
      <c r="H319" s="9" t="inlineStr">
        <is>
          <t>https://www.100ppi.com/news/detail-20231109-2928229.html</t>
        </is>
      </c>
      <c r="I319" s="7" t="inlineStr">
        <is>
          <t>11月9日生意社甲醇基准价为2520.00元/吨</t>
        </is>
      </c>
    </row>
    <row r="320">
      <c r="A320" s="7" t="n">
        <v>317</v>
      </c>
      <c r="B320" s="7" t="inlineStr">
        <is>
          <t>2023-11-10</t>
        </is>
      </c>
      <c r="C320" s="7" t="inlineStr">
        <is>
          <t>五</t>
        </is>
      </c>
      <c r="D320" s="8" t="n">
        <v>2505.83</v>
      </c>
      <c r="E320" s="7" t="n">
        <v>2023</v>
      </c>
      <c r="F320" s="7" t="n">
        <v>45</v>
      </c>
      <c r="G320" s="7" t="inlineStr">
        <is>
          <t>2023-11-10</t>
        </is>
      </c>
      <c r="H320" s="9" t="inlineStr">
        <is>
          <t>https://www.100ppi.com/news/detail-20231110-2930625.html</t>
        </is>
      </c>
      <c r="I320" s="7" t="inlineStr">
        <is>
          <t>11月10日生意社甲醇基准价为2505.83元/吨</t>
        </is>
      </c>
    </row>
    <row r="321">
      <c r="A321" s="7" t="n">
        <v>318</v>
      </c>
      <c r="B321" s="7" t="inlineStr">
        <is>
          <t>2023-11-13</t>
        </is>
      </c>
      <c r="C321" s="7" t="inlineStr">
        <is>
          <t>一</t>
        </is>
      </c>
      <c r="D321" s="8" t="n">
        <v>2485.83</v>
      </c>
      <c r="E321" s="7" t="n">
        <v>2023</v>
      </c>
      <c r="F321" s="7" t="n">
        <v>46</v>
      </c>
      <c r="G321" s="7" t="inlineStr">
        <is>
          <t>2023-11-13</t>
        </is>
      </c>
      <c r="H321" s="9" t="inlineStr">
        <is>
          <t>https://www.100ppi.com/news/detail-20231113-2935028.html</t>
        </is>
      </c>
      <c r="I321" s="7" t="inlineStr">
        <is>
          <t>11月13日生意社甲醇基准价为2485.83元/吨</t>
        </is>
      </c>
    </row>
    <row r="322">
      <c r="A322" s="7" t="n">
        <v>319</v>
      </c>
      <c r="B322" s="7" t="inlineStr">
        <is>
          <t>2023-11-14</t>
        </is>
      </c>
      <c r="C322" s="7" t="inlineStr">
        <is>
          <t>二</t>
        </is>
      </c>
      <c r="D322" s="8" t="n">
        <v>2460.83</v>
      </c>
      <c r="E322" s="7" t="n">
        <v>2023</v>
      </c>
      <c r="F322" s="7" t="n">
        <v>46</v>
      </c>
      <c r="G322" s="7" t="inlineStr">
        <is>
          <t>2023-11-14</t>
        </is>
      </c>
      <c r="H322" s="9" t="inlineStr">
        <is>
          <t>https://www.100ppi.com/news/detail-20231114-2937611.html</t>
        </is>
      </c>
      <c r="I322" s="7" t="inlineStr">
        <is>
          <t>11月14日生意社甲醇基准价为2460.83元/吨</t>
        </is>
      </c>
    </row>
    <row r="323">
      <c r="A323" s="7" t="n">
        <v>320</v>
      </c>
      <c r="B323" s="7" t="inlineStr">
        <is>
          <t>2023-11-15</t>
        </is>
      </c>
      <c r="C323" s="7" t="inlineStr">
        <is>
          <t>三</t>
        </is>
      </c>
      <c r="D323" s="8" t="n">
        <v>2465.83</v>
      </c>
      <c r="E323" s="7" t="n">
        <v>2023</v>
      </c>
      <c r="F323" s="7" t="n">
        <v>46</v>
      </c>
      <c r="G323" s="7" t="inlineStr">
        <is>
          <t>2023-11-15</t>
        </is>
      </c>
      <c r="H323" s="9" t="inlineStr">
        <is>
          <t>https://www.100ppi.com/news/detail-20231115-2940238.html</t>
        </is>
      </c>
      <c r="I323" s="7" t="inlineStr">
        <is>
          <t>11月15日生意社甲醇基准价为2465.83元/吨</t>
        </is>
      </c>
    </row>
    <row r="324">
      <c r="A324" s="7" t="n">
        <v>321</v>
      </c>
      <c r="B324" s="7" t="inlineStr">
        <is>
          <t>2023-11-16</t>
        </is>
      </c>
      <c r="C324" s="7" t="inlineStr">
        <is>
          <t>四</t>
        </is>
      </c>
      <c r="D324" s="8" t="n">
        <v>2485</v>
      </c>
      <c r="E324" s="7" t="n">
        <v>2023</v>
      </c>
      <c r="F324" s="7" t="n">
        <v>46</v>
      </c>
      <c r="G324" s="7" t="inlineStr">
        <is>
          <t>2023-11-16</t>
        </is>
      </c>
      <c r="H324" s="9" t="inlineStr">
        <is>
          <t>https://www.100ppi.com/news/detail-20231116-2942596.html</t>
        </is>
      </c>
      <c r="I324" s="7" t="inlineStr">
        <is>
          <t>11月16日生意社甲醇基准价为2485.00元/吨</t>
        </is>
      </c>
    </row>
    <row r="325">
      <c r="A325" s="7" t="n">
        <v>322</v>
      </c>
      <c r="B325" s="7" t="inlineStr">
        <is>
          <t>2023-11-17</t>
        </is>
      </c>
      <c r="C325" s="7" t="inlineStr">
        <is>
          <t>五</t>
        </is>
      </c>
      <c r="D325" s="8" t="n">
        <v>2495.83</v>
      </c>
      <c r="E325" s="7" t="n">
        <v>2023</v>
      </c>
      <c r="F325" s="7" t="n">
        <v>46</v>
      </c>
      <c r="G325" s="7" t="inlineStr">
        <is>
          <t>2023-11-17</t>
        </is>
      </c>
      <c r="H325" s="9" t="inlineStr">
        <is>
          <t>https://www.100ppi.com/news/detail-20231117-2945092.html</t>
        </is>
      </c>
      <c r="I325" s="7" t="inlineStr">
        <is>
          <t>11月17日生意社甲醇基准价为2495.83元/吨</t>
        </is>
      </c>
    </row>
    <row r="326">
      <c r="A326" s="7" t="n">
        <v>323</v>
      </c>
      <c r="B326" s="7" t="inlineStr">
        <is>
          <t>2023-11-20</t>
        </is>
      </c>
      <c r="C326" s="7" t="inlineStr">
        <is>
          <t>一</t>
        </is>
      </c>
      <c r="D326" s="8" t="n">
        <v>2490</v>
      </c>
      <c r="E326" s="7" t="n">
        <v>2023</v>
      </c>
      <c r="F326" s="7" t="n">
        <v>47</v>
      </c>
      <c r="G326" s="7" t="inlineStr">
        <is>
          <t>2023-11-20</t>
        </is>
      </c>
      <c r="H326" s="9" t="inlineStr">
        <is>
          <t>https://www.100ppi.com/news/detail-20231120-2949022.html</t>
        </is>
      </c>
      <c r="I326" s="7" t="inlineStr">
        <is>
          <t>11月20日生意社甲醇基准价为2490.00元/吨</t>
        </is>
      </c>
    </row>
    <row r="327">
      <c r="A327" s="7" t="n">
        <v>324</v>
      </c>
      <c r="B327" s="7" t="inlineStr">
        <is>
          <t>2023-11-21</t>
        </is>
      </c>
      <c r="C327" s="7" t="inlineStr">
        <is>
          <t>二</t>
        </is>
      </c>
      <c r="D327" s="8" t="n">
        <v>2450</v>
      </c>
      <c r="E327" s="7" t="n">
        <v>2023</v>
      </c>
      <c r="F327" s="7" t="n">
        <v>47</v>
      </c>
      <c r="G327" s="7" t="inlineStr">
        <is>
          <t>2023-11-21</t>
        </is>
      </c>
      <c r="H327" s="9" t="inlineStr">
        <is>
          <t>https://www.100ppi.com/news/detail-20231121-2951818.html</t>
        </is>
      </c>
      <c r="I327" s="7" t="inlineStr">
        <is>
          <t>11月21日生意社甲醇基准价为2450.00元/吨</t>
        </is>
      </c>
    </row>
    <row r="328">
      <c r="A328" s="7" t="n">
        <v>325</v>
      </c>
      <c r="B328" s="7" t="inlineStr">
        <is>
          <t>2023-11-22</t>
        </is>
      </c>
      <c r="C328" s="7" t="inlineStr">
        <is>
          <t>三</t>
        </is>
      </c>
      <c r="D328" s="8" t="n">
        <v>2395</v>
      </c>
      <c r="E328" s="7" t="n">
        <v>2023</v>
      </c>
      <c r="F328" s="7" t="n">
        <v>47</v>
      </c>
      <c r="G328" s="7" t="inlineStr">
        <is>
          <t>2023-11-22</t>
        </is>
      </c>
      <c r="H328" s="9" t="inlineStr">
        <is>
          <t>https://www.100ppi.com/news/detail-20231122-2954632.html</t>
        </is>
      </c>
      <c r="I328" s="7" t="inlineStr">
        <is>
          <t>11月22日生意社甲醇基准价为2395.00元/吨</t>
        </is>
      </c>
    </row>
    <row r="329">
      <c r="A329" s="7" t="n">
        <v>326</v>
      </c>
      <c r="B329" s="7" t="inlineStr">
        <is>
          <t>2023-11-23</t>
        </is>
      </c>
      <c r="C329" s="7" t="inlineStr">
        <is>
          <t>四</t>
        </is>
      </c>
      <c r="D329" s="8" t="n">
        <v>2401.67</v>
      </c>
      <c r="E329" s="7" t="n">
        <v>2023</v>
      </c>
      <c r="F329" s="7" t="n">
        <v>47</v>
      </c>
      <c r="G329" s="7" t="inlineStr">
        <is>
          <t>2023-11-23</t>
        </is>
      </c>
      <c r="H329" s="9" t="inlineStr">
        <is>
          <t>https://www.100ppi.com/news/detail-20231123-2957270.html</t>
        </is>
      </c>
      <c r="I329" s="7" t="inlineStr">
        <is>
          <t>11月23日生意社甲醇基准价为2401.67元/吨</t>
        </is>
      </c>
    </row>
    <row r="330">
      <c r="A330" s="7" t="n">
        <v>327</v>
      </c>
      <c r="B330" s="7" t="inlineStr">
        <is>
          <t>2023-11-24</t>
        </is>
      </c>
      <c r="C330" s="7" t="inlineStr">
        <is>
          <t>五</t>
        </is>
      </c>
      <c r="D330" s="8" t="n">
        <v>2365.83</v>
      </c>
      <c r="E330" s="7" t="n">
        <v>2023</v>
      </c>
      <c r="F330" s="7" t="n">
        <v>47</v>
      </c>
      <c r="G330" s="7" t="inlineStr">
        <is>
          <t>2023-11-24</t>
        </is>
      </c>
      <c r="H330" s="9" t="inlineStr">
        <is>
          <t>https://www.100ppi.com/news/detail-20231124-2960029.html</t>
        </is>
      </c>
      <c r="I330" s="7" t="inlineStr">
        <is>
          <t>11月24日生意社甲醇基准价为2365.83元/吨</t>
        </is>
      </c>
    </row>
    <row r="331">
      <c r="A331" s="7" t="n">
        <v>328</v>
      </c>
      <c r="B331" s="7" t="inlineStr">
        <is>
          <t>2023-11-27</t>
        </is>
      </c>
      <c r="C331" s="7" t="inlineStr">
        <is>
          <t>一</t>
        </is>
      </c>
      <c r="D331" s="8" t="n">
        <v>2400.83</v>
      </c>
      <c r="E331" s="7" t="n">
        <v>2023</v>
      </c>
      <c r="F331" s="7" t="n">
        <v>48</v>
      </c>
      <c r="G331" s="7" t="inlineStr">
        <is>
          <t>2023-11-27</t>
        </is>
      </c>
      <c r="H331" s="9" t="inlineStr">
        <is>
          <t>https://www.100ppi.com/news/detail-20231127-2964329.html</t>
        </is>
      </c>
      <c r="I331" s="7" t="inlineStr">
        <is>
          <t>11月27日生意社甲醇基准价为2400.83元/吨</t>
        </is>
      </c>
    </row>
    <row r="332">
      <c r="A332" s="7" t="n">
        <v>329</v>
      </c>
      <c r="B332" s="7" t="inlineStr">
        <is>
          <t>2023-11-28</t>
        </is>
      </c>
      <c r="C332" s="7" t="inlineStr">
        <is>
          <t>二</t>
        </is>
      </c>
      <c r="D332" s="8" t="n">
        <v>2430.83</v>
      </c>
      <c r="E332" s="7" t="n">
        <v>2023</v>
      </c>
      <c r="F332" s="7" t="n">
        <v>48</v>
      </c>
      <c r="G332" s="7" t="inlineStr">
        <is>
          <t>2023-11-28</t>
        </is>
      </c>
      <c r="H332" s="9" t="inlineStr">
        <is>
          <t>https://www.100ppi.com/news/detail-20231128-2967279.html</t>
        </is>
      </c>
      <c r="I332" s="7" t="inlineStr">
        <is>
          <t>11月28日生意社甲醇基准价为2430.83元/吨</t>
        </is>
      </c>
    </row>
    <row r="333">
      <c r="A333" s="7" t="n">
        <v>330</v>
      </c>
      <c r="B333" s="7" t="inlineStr">
        <is>
          <t>2023-11-29</t>
        </is>
      </c>
      <c r="C333" s="7" t="inlineStr">
        <is>
          <t>三</t>
        </is>
      </c>
      <c r="D333" s="8" t="n">
        <v>2430.83</v>
      </c>
      <c r="E333" s="7" t="n">
        <v>2023</v>
      </c>
      <c r="F333" s="7" t="n">
        <v>48</v>
      </c>
      <c r="G333" s="7" t="inlineStr">
        <is>
          <t>2023-11-29</t>
        </is>
      </c>
      <c r="H333" s="9" t="inlineStr">
        <is>
          <t>https://www.100ppi.com/news/detail-20231129-2969989.html</t>
        </is>
      </c>
      <c r="I333" s="7" t="inlineStr">
        <is>
          <t>11月29日生意社甲醇基准价为2430.83元/吨</t>
        </is>
      </c>
    </row>
    <row r="334">
      <c r="A334" s="7" t="n">
        <v>331</v>
      </c>
      <c r="B334" s="7" t="inlineStr">
        <is>
          <t>2023-11-30</t>
        </is>
      </c>
      <c r="C334" s="7" t="inlineStr">
        <is>
          <t>四</t>
        </is>
      </c>
      <c r="D334" s="8" t="n">
        <v>2435.83</v>
      </c>
      <c r="E334" s="7" t="n">
        <v>2023</v>
      </c>
      <c r="F334" s="7" t="n">
        <v>48</v>
      </c>
      <c r="G334" s="7" t="inlineStr">
        <is>
          <t>2023-11-30</t>
        </is>
      </c>
      <c r="H334" s="9" t="inlineStr">
        <is>
          <t>https://www.100ppi.com/news/detail-20231130-2972740.html</t>
        </is>
      </c>
      <c r="I334" s="7" t="inlineStr">
        <is>
          <t>11月30日生意社甲醇基准价为2435.83元/吨</t>
        </is>
      </c>
    </row>
    <row r="335">
      <c r="A335" s="7" t="n">
        <v>332</v>
      </c>
      <c r="B335" s="7" t="inlineStr">
        <is>
          <t>2023-12-01</t>
        </is>
      </c>
      <c r="C335" s="7" t="inlineStr">
        <is>
          <t>五</t>
        </is>
      </c>
      <c r="D335" s="8" t="n">
        <v>2510.83</v>
      </c>
      <c r="E335" s="7" t="n">
        <v>2023</v>
      </c>
      <c r="F335" s="7" t="n">
        <v>48</v>
      </c>
      <c r="G335" s="7" t="inlineStr">
        <is>
          <t>2023-12-01</t>
        </is>
      </c>
      <c r="H335" s="9" t="inlineStr">
        <is>
          <t>https://www.100ppi.com/news/detail-20231201-2975417.html</t>
        </is>
      </c>
      <c r="I335" s="7" t="inlineStr">
        <is>
          <t>12月1日生意社甲醇基准价为2510.83元/吨</t>
        </is>
      </c>
    </row>
    <row r="336">
      <c r="A336" s="7" t="n">
        <v>333</v>
      </c>
      <c r="B336" s="7" t="inlineStr">
        <is>
          <t>2023-12-04</t>
        </is>
      </c>
      <c r="C336" s="7" t="inlineStr">
        <is>
          <t>一</t>
        </is>
      </c>
      <c r="D336" s="8" t="n">
        <v>2505</v>
      </c>
      <c r="E336" s="7" t="n">
        <v>2023</v>
      </c>
      <c r="F336" s="7" t="n">
        <v>49</v>
      </c>
      <c r="G336" s="7" t="inlineStr">
        <is>
          <t>2023-12-04</t>
        </is>
      </c>
      <c r="H336" s="9" t="inlineStr">
        <is>
          <t>https://www.100ppi.com/news/detail-20231204-2979506.html</t>
        </is>
      </c>
      <c r="I336" s="7" t="inlineStr">
        <is>
          <t>12月4日生意社甲醇基准价为2505.00元/吨</t>
        </is>
      </c>
    </row>
    <row r="337">
      <c r="A337" s="7" t="n">
        <v>334</v>
      </c>
      <c r="B337" s="7" t="inlineStr">
        <is>
          <t>2023-12-05</t>
        </is>
      </c>
      <c r="C337" s="7" t="inlineStr">
        <is>
          <t>二</t>
        </is>
      </c>
      <c r="D337" s="8" t="n">
        <v>2440</v>
      </c>
      <c r="E337" s="7" t="n">
        <v>2023</v>
      </c>
      <c r="F337" s="7" t="n">
        <v>49</v>
      </c>
      <c r="G337" s="7" t="inlineStr">
        <is>
          <t>2023-12-05</t>
        </is>
      </c>
      <c r="H337" s="9" t="inlineStr">
        <is>
          <t>https://www.100ppi.com/news/detail-20231205-2982511.html</t>
        </is>
      </c>
      <c r="I337" s="7" t="inlineStr">
        <is>
          <t>12月5日生意社甲醇基准价为2440.00元/吨</t>
        </is>
      </c>
    </row>
    <row r="338">
      <c r="A338" s="7" t="n">
        <v>335</v>
      </c>
      <c r="B338" s="7" t="inlineStr">
        <is>
          <t>2023-12-06</t>
        </is>
      </c>
      <c r="C338" s="7" t="inlineStr">
        <is>
          <t>三</t>
        </is>
      </c>
      <c r="D338" s="8" t="n">
        <v>2440.83</v>
      </c>
      <c r="E338" s="7" t="n">
        <v>2023</v>
      </c>
      <c r="F338" s="7" t="n">
        <v>49</v>
      </c>
      <c r="G338" s="7" t="inlineStr">
        <is>
          <t>2023-12-06</t>
        </is>
      </c>
      <c r="H338" s="9" t="inlineStr">
        <is>
          <t>https://www.100ppi.com/news/detail-20231206-2985456.html</t>
        </is>
      </c>
      <c r="I338" s="7" t="inlineStr">
        <is>
          <t>12月6日生意社甲醇基准价为2440.83元/吨</t>
        </is>
      </c>
    </row>
    <row r="339">
      <c r="A339" s="7" t="n">
        <v>336</v>
      </c>
      <c r="B339" s="7" t="inlineStr">
        <is>
          <t>2023-12-07</t>
        </is>
      </c>
      <c r="C339" s="7" t="inlineStr">
        <is>
          <t>四</t>
        </is>
      </c>
      <c r="D339" s="8" t="n">
        <v>2440</v>
      </c>
      <c r="E339" s="7" t="n">
        <v>2023</v>
      </c>
      <c r="F339" s="7" t="n">
        <v>49</v>
      </c>
      <c r="G339" s="7" t="inlineStr">
        <is>
          <t>2023-12-07</t>
        </is>
      </c>
      <c r="H339" s="9" t="inlineStr">
        <is>
          <t>https://www.100ppi.com/news/detail-20231207-2988395.html</t>
        </is>
      </c>
      <c r="I339" s="7" t="inlineStr">
        <is>
          <t>12月7日生意社甲醇基准价为2440.00元/吨</t>
        </is>
      </c>
    </row>
    <row r="340">
      <c r="A340" s="7" t="n">
        <v>337</v>
      </c>
      <c r="B340" s="7" t="inlineStr">
        <is>
          <t>2023-12-08</t>
        </is>
      </c>
      <c r="C340" s="7" t="inlineStr">
        <is>
          <t>五</t>
        </is>
      </c>
      <c r="D340" s="8" t="n">
        <v>2455</v>
      </c>
      <c r="E340" s="7" t="n">
        <v>2023</v>
      </c>
      <c r="F340" s="7" t="n">
        <v>49</v>
      </c>
      <c r="G340" s="7" t="inlineStr">
        <is>
          <t>2023-12-08</t>
        </is>
      </c>
      <c r="H340" s="9" t="inlineStr">
        <is>
          <t>https://www.100ppi.com/news/detail-20231208-2991033.html</t>
        </is>
      </c>
      <c r="I340" s="7" t="inlineStr">
        <is>
          <t>12月8日生意社甲醇基准价为2455.00元/吨</t>
        </is>
      </c>
    </row>
    <row r="341">
      <c r="A341" s="7" t="n">
        <v>338</v>
      </c>
      <c r="B341" s="7" t="inlineStr">
        <is>
          <t>2023-12-11</t>
        </is>
      </c>
      <c r="C341" s="7" t="inlineStr">
        <is>
          <t>一</t>
        </is>
      </c>
      <c r="D341" s="8" t="n">
        <v>2450</v>
      </c>
      <c r="E341" s="7" t="n">
        <v>2023</v>
      </c>
      <c r="F341" s="7" t="n">
        <v>50</v>
      </c>
      <c r="G341" s="7" t="inlineStr">
        <is>
          <t>2023-12-11</t>
        </is>
      </c>
      <c r="H341" s="9" t="inlineStr">
        <is>
          <t>https://www.100ppi.com/news/detail-20231211-2995510.html</t>
        </is>
      </c>
      <c r="I341" s="7" t="inlineStr">
        <is>
          <t>12月11日生意社甲醇基准价为2450.00元/吨</t>
        </is>
      </c>
    </row>
    <row r="342">
      <c r="A342" s="7" t="n">
        <v>339</v>
      </c>
      <c r="B342" s="7" t="inlineStr">
        <is>
          <t>2023-12-12</t>
        </is>
      </c>
      <c r="C342" s="7" t="inlineStr">
        <is>
          <t>二</t>
        </is>
      </c>
      <c r="D342" s="8" t="n">
        <v>2441.67</v>
      </c>
      <c r="E342" s="7" t="n">
        <v>2023</v>
      </c>
      <c r="F342" s="7" t="n">
        <v>50</v>
      </c>
      <c r="G342" s="7" t="inlineStr">
        <is>
          <t>2023-12-12</t>
        </is>
      </c>
      <c r="H342" s="9" t="inlineStr">
        <is>
          <t>https://www.100ppi.com/news/detail-20231212-2998360.html</t>
        </is>
      </c>
      <c r="I342" s="7" t="inlineStr">
        <is>
          <t>12月12日生意社甲醇基准价为2441.67元/吨</t>
        </is>
      </c>
    </row>
    <row r="343">
      <c r="A343" s="7" t="n">
        <v>340</v>
      </c>
      <c r="B343" s="7" t="inlineStr">
        <is>
          <t>2023-12-13</t>
        </is>
      </c>
      <c r="C343" s="7" t="inlineStr">
        <is>
          <t>三</t>
        </is>
      </c>
      <c r="D343" s="8" t="n">
        <v>2450</v>
      </c>
      <c r="E343" s="7" t="n">
        <v>2023</v>
      </c>
      <c r="F343" s="7" t="n">
        <v>50</v>
      </c>
      <c r="G343" s="7" t="inlineStr">
        <is>
          <t>2023-12-13</t>
        </is>
      </c>
      <c r="H343" s="9" t="inlineStr">
        <is>
          <t>https://www.100ppi.com/news/detail-20231213-3001223.html</t>
        </is>
      </c>
      <c r="I343" s="7" t="inlineStr">
        <is>
          <t>12月13日生意社甲醇基准价为2450.00元/吨</t>
        </is>
      </c>
    </row>
    <row r="344">
      <c r="A344" s="7" t="n">
        <v>341</v>
      </c>
      <c r="B344" s="7" t="inlineStr">
        <is>
          <t>2023-12-14</t>
        </is>
      </c>
      <c r="C344" s="7" t="inlineStr">
        <is>
          <t>四</t>
        </is>
      </c>
      <c r="D344" s="8" t="n">
        <v>2420.83</v>
      </c>
      <c r="E344" s="7" t="n">
        <v>2023</v>
      </c>
      <c r="F344" s="7" t="n">
        <v>50</v>
      </c>
      <c r="G344" s="7" t="inlineStr">
        <is>
          <t>2023-12-14</t>
        </is>
      </c>
      <c r="H344" s="9" t="inlineStr">
        <is>
          <t>https://www.100ppi.com/news/detail-20231214-3003924.html</t>
        </is>
      </c>
      <c r="I344" s="7" t="inlineStr">
        <is>
          <t>12月14日生意社甲醇基准价为2420.83元/吨</t>
        </is>
      </c>
    </row>
    <row r="345">
      <c r="A345" s="7" t="n">
        <v>342</v>
      </c>
      <c r="B345" s="7" t="inlineStr">
        <is>
          <t>2023-12-15</t>
        </is>
      </c>
      <c r="C345" s="7" t="inlineStr">
        <is>
          <t>五</t>
        </is>
      </c>
      <c r="D345" s="8" t="n">
        <v>2420.83</v>
      </c>
      <c r="E345" s="7" t="n">
        <v>2023</v>
      </c>
      <c r="F345" s="7" t="n">
        <v>50</v>
      </c>
      <c r="G345" s="7" t="inlineStr">
        <is>
          <t>2023-12-15</t>
        </is>
      </c>
      <c r="H345" s="9" t="inlineStr">
        <is>
          <t>https://www.100ppi.com/news/detail-20231215-3006382.html</t>
        </is>
      </c>
      <c r="I345" s="7" t="inlineStr">
        <is>
          <t>12月15日生意社甲醇基准价为2420.83元/吨</t>
        </is>
      </c>
    </row>
    <row r="346">
      <c r="A346" s="7" t="n">
        <v>343</v>
      </c>
      <c r="B346" s="7" t="inlineStr">
        <is>
          <t>2023-12-18</t>
        </is>
      </c>
      <c r="C346" s="7" t="inlineStr">
        <is>
          <t>一</t>
        </is>
      </c>
      <c r="D346" s="8" t="n">
        <v>2430</v>
      </c>
      <c r="E346" s="7" t="n">
        <v>2023</v>
      </c>
      <c r="F346" s="7" t="n">
        <v>51</v>
      </c>
      <c r="G346" s="7" t="inlineStr">
        <is>
          <t>2023-12-18</t>
        </is>
      </c>
      <c r="H346" s="9" t="inlineStr">
        <is>
          <t>https://www.100ppi.com/news/detail-20231218-3010664.html</t>
        </is>
      </c>
      <c r="I346" s="7" t="inlineStr">
        <is>
          <t>12月18日生意社甲醇基准价为2430.00元/吨</t>
        </is>
      </c>
    </row>
    <row r="347">
      <c r="A347" s="7" t="n">
        <v>344</v>
      </c>
      <c r="B347" s="7" t="inlineStr">
        <is>
          <t>2023-12-19</t>
        </is>
      </c>
      <c r="C347" s="7" t="inlineStr">
        <is>
          <t>二</t>
        </is>
      </c>
      <c r="D347" s="8" t="n">
        <v>2450.83</v>
      </c>
      <c r="E347" s="7" t="n">
        <v>2023</v>
      </c>
      <c r="F347" s="7" t="n">
        <v>51</v>
      </c>
      <c r="G347" s="7" t="inlineStr">
        <is>
          <t>2023-12-19</t>
        </is>
      </c>
      <c r="H347" s="9" t="inlineStr">
        <is>
          <t>https://www.100ppi.com/news/detail-20231219-3013682.html</t>
        </is>
      </c>
      <c r="I347" s="7" t="inlineStr">
        <is>
          <t>12月19日生意社甲醇基准价为2450.83元/吨</t>
        </is>
      </c>
    </row>
    <row r="348">
      <c r="A348" s="7" t="n">
        <v>345</v>
      </c>
      <c r="B348" s="7" t="inlineStr">
        <is>
          <t>2023-12-20</t>
        </is>
      </c>
      <c r="C348" s="7" t="inlineStr">
        <is>
          <t>三</t>
        </is>
      </c>
      <c r="D348" s="8" t="n">
        <v>2455.83</v>
      </c>
      <c r="E348" s="7" t="n">
        <v>2023</v>
      </c>
      <c r="F348" s="7" t="n">
        <v>51</v>
      </c>
      <c r="G348" s="7" t="inlineStr">
        <is>
          <t>2023-12-20</t>
        </is>
      </c>
      <c r="H348" s="9" t="inlineStr">
        <is>
          <t>https://www.100ppi.com/news/detail-20231220-3016578.html</t>
        </is>
      </c>
      <c r="I348" s="7" t="inlineStr">
        <is>
          <t>12月20日生意社甲醇基准价为2455.83元/吨</t>
        </is>
      </c>
    </row>
    <row r="349">
      <c r="A349" s="7" t="n">
        <v>346</v>
      </c>
      <c r="B349" s="7" t="inlineStr">
        <is>
          <t>2023-12-21</t>
        </is>
      </c>
      <c r="C349" s="7" t="inlineStr">
        <is>
          <t>四</t>
        </is>
      </c>
      <c r="D349" s="8" t="n">
        <v>2488.33</v>
      </c>
      <c r="E349" s="7" t="n">
        <v>2023</v>
      </c>
      <c r="F349" s="7" t="n">
        <v>51</v>
      </c>
      <c r="G349" s="7" t="inlineStr">
        <is>
          <t>2023-12-21</t>
        </is>
      </c>
      <c r="H349" s="9" t="inlineStr">
        <is>
          <t>https://www.100ppi.com/news/detail-20231221-3019266.html</t>
        </is>
      </c>
      <c r="I349" s="7" t="inlineStr">
        <is>
          <t>12月21日生意社甲醇基准价为2488.33元/吨</t>
        </is>
      </c>
    </row>
    <row r="350">
      <c r="A350" s="7" t="n">
        <v>347</v>
      </c>
      <c r="B350" s="7" t="inlineStr">
        <is>
          <t>2023-12-22</t>
        </is>
      </c>
      <c r="C350" s="7" t="inlineStr">
        <is>
          <t>五</t>
        </is>
      </c>
      <c r="D350" s="8" t="n">
        <v>2485.83</v>
      </c>
      <c r="E350" s="7" t="n">
        <v>2023</v>
      </c>
      <c r="F350" s="7" t="n">
        <v>51</v>
      </c>
      <c r="G350" s="7" t="inlineStr">
        <is>
          <t>2023-12-22</t>
        </is>
      </c>
      <c r="H350" s="9" t="inlineStr">
        <is>
          <t>https://www.100ppi.com/news/detail-20231222-3022024.html</t>
        </is>
      </c>
      <c r="I350" s="7" t="inlineStr">
        <is>
          <t>12月22日生意社甲醇基准价为2485.83元/吨</t>
        </is>
      </c>
    </row>
    <row r="351">
      <c r="A351" s="7" t="n">
        <v>348</v>
      </c>
      <c r="B351" s="7" t="inlineStr">
        <is>
          <t>2023-12-25</t>
        </is>
      </c>
      <c r="C351" s="7" t="inlineStr">
        <is>
          <t>一</t>
        </is>
      </c>
      <c r="D351" s="8" t="n">
        <v>2505.83</v>
      </c>
      <c r="E351" s="7" t="n">
        <v>2023</v>
      </c>
      <c r="F351" s="7" t="n">
        <v>52</v>
      </c>
      <c r="G351" s="7" t="inlineStr">
        <is>
          <t>2023-12-25</t>
        </is>
      </c>
      <c r="H351" s="9" t="inlineStr">
        <is>
          <t>https://www.100ppi.com/news/detail-20231225-3026314.html</t>
        </is>
      </c>
      <c r="I351" s="7" t="inlineStr">
        <is>
          <t>12月25日生意社甲醇基准价为2505.83元/吨</t>
        </is>
      </c>
    </row>
    <row r="352">
      <c r="A352" s="7" t="n">
        <v>349</v>
      </c>
      <c r="B352" s="7" t="inlineStr">
        <is>
          <t>2023-12-26</t>
        </is>
      </c>
      <c r="C352" s="7" t="inlineStr">
        <is>
          <t>二</t>
        </is>
      </c>
      <c r="D352" s="8" t="n">
        <v>2475.83</v>
      </c>
      <c r="E352" s="7" t="n">
        <v>2023</v>
      </c>
      <c r="F352" s="7" t="n">
        <v>52</v>
      </c>
      <c r="G352" s="7" t="inlineStr">
        <is>
          <t>2023-12-26</t>
        </is>
      </c>
      <c r="H352" s="9" t="inlineStr">
        <is>
          <t>https://www.100ppi.com/news/detail-20231226-3029480.html</t>
        </is>
      </c>
      <c r="I352" s="7" t="inlineStr">
        <is>
          <t>12月26日生意社甲醇基准价为2475.83元/吨</t>
        </is>
      </c>
    </row>
    <row r="353">
      <c r="A353" s="7" t="n">
        <v>350</v>
      </c>
      <c r="B353" s="7" t="inlineStr">
        <is>
          <t>2023-12-27</t>
        </is>
      </c>
      <c r="C353" s="7" t="inlineStr">
        <is>
          <t>三</t>
        </is>
      </c>
      <c r="D353" s="8" t="n">
        <v>2465.83</v>
      </c>
      <c r="E353" s="7" t="n">
        <v>2023</v>
      </c>
      <c r="F353" s="7" t="n">
        <v>52</v>
      </c>
      <c r="G353" s="7" t="inlineStr">
        <is>
          <t>2023-12-27</t>
        </is>
      </c>
      <c r="H353" s="9" t="inlineStr">
        <is>
          <t>https://www.100ppi.com/news/detail-20231227-3032272.html</t>
        </is>
      </c>
      <c r="I353" s="7" t="inlineStr">
        <is>
          <t>12月27日生意社甲醇基准价为2465.83元/吨</t>
        </is>
      </c>
    </row>
    <row r="354">
      <c r="A354" s="7" t="n">
        <v>351</v>
      </c>
      <c r="B354" s="7" t="inlineStr">
        <is>
          <t>2023-12-28</t>
        </is>
      </c>
      <c r="C354" s="7" t="inlineStr">
        <is>
          <t>四</t>
        </is>
      </c>
      <c r="D354" s="8" t="n">
        <v>2447.5</v>
      </c>
      <c r="E354" s="7" t="n">
        <v>2023</v>
      </c>
      <c r="F354" s="7" t="n">
        <v>52</v>
      </c>
      <c r="G354" s="7" t="inlineStr">
        <is>
          <t>2023-12-28</t>
        </is>
      </c>
      <c r="H354" s="9" t="inlineStr">
        <is>
          <t>https://www.100ppi.com/news/detail-20231228-3035139.html</t>
        </is>
      </c>
      <c r="I354" s="7" t="inlineStr">
        <is>
          <t>12月28日生意社甲醇基准价为2447.50元/吨</t>
        </is>
      </c>
    </row>
    <row r="355">
      <c r="A355" s="7" t="n">
        <v>352</v>
      </c>
      <c r="B355" s="7" t="inlineStr">
        <is>
          <t>2023-12-29</t>
        </is>
      </c>
      <c r="C355" s="7" t="inlineStr">
        <is>
          <t>五</t>
        </is>
      </c>
      <c r="D355" s="8" t="n">
        <v>2456.67</v>
      </c>
      <c r="E355" s="7" t="n">
        <v>2023</v>
      </c>
      <c r="F355" s="7" t="n">
        <v>52</v>
      </c>
      <c r="G355" s="7" t="inlineStr">
        <is>
          <t>2023-12-29</t>
        </is>
      </c>
      <c r="H355" s="9" t="inlineStr">
        <is>
          <t>https://www.100ppi.com/news/detail-20231229-3037746.html</t>
        </is>
      </c>
      <c r="I355" s="7" t="inlineStr">
        <is>
          <t>12月29日生意社甲醇基准价为2456.67元/吨</t>
        </is>
      </c>
    </row>
    <row r="356">
      <c r="A356" s="7" t="n">
        <v>353</v>
      </c>
      <c r="B356" s="7" t="inlineStr">
        <is>
          <t>2024-01-01</t>
        </is>
      </c>
      <c r="C356" s="7" t="inlineStr">
        <is>
          <t>一</t>
        </is>
      </c>
      <c r="D356" s="8" t="n">
        <v>2450</v>
      </c>
      <c r="E356" s="7" t="n">
        <v>2024</v>
      </c>
      <c r="F356" s="7" t="n">
        <v>1</v>
      </c>
      <c r="G356" s="7" t="inlineStr">
        <is>
          <t>2024-01-01</t>
        </is>
      </c>
      <c r="H356" s="9" t="inlineStr">
        <is>
          <t>https://www.100ppi.com/news/detail-20240101-3041934.html</t>
        </is>
      </c>
      <c r="I356" s="7" t="inlineStr">
        <is>
          <t>1月1日生意社甲醇基准价为2450.00元/吨</t>
        </is>
      </c>
    </row>
    <row r="357">
      <c r="A357" s="7" t="n">
        <v>354</v>
      </c>
      <c r="B357" s="7" t="inlineStr">
        <is>
          <t>2024-01-02</t>
        </is>
      </c>
      <c r="C357" s="7" t="inlineStr">
        <is>
          <t>二</t>
        </is>
      </c>
      <c r="D357" s="8" t="n">
        <v>2450</v>
      </c>
      <c r="E357" s="7" t="n">
        <v>2024</v>
      </c>
      <c r="F357" s="7" t="n">
        <v>1</v>
      </c>
      <c r="G357" s="7" t="inlineStr">
        <is>
          <t>2024-01-02</t>
        </is>
      </c>
      <c r="H357" s="9" t="inlineStr">
        <is>
          <t>https://www.100ppi.com/news/detail-20240102-3042806.html</t>
        </is>
      </c>
      <c r="I357" s="7" t="inlineStr">
        <is>
          <t>1月2日生意社甲醇基准价为2450.00元/吨</t>
        </is>
      </c>
    </row>
    <row r="358">
      <c r="A358" s="7" t="n">
        <v>355</v>
      </c>
      <c r="B358" s="7" t="inlineStr">
        <is>
          <t>2024-01-03</t>
        </is>
      </c>
      <c r="C358" s="7" t="inlineStr">
        <is>
          <t>三</t>
        </is>
      </c>
      <c r="D358" s="8" t="n">
        <v>2420</v>
      </c>
      <c r="E358" s="7" t="n">
        <v>2024</v>
      </c>
      <c r="F358" s="7" t="n">
        <v>1</v>
      </c>
      <c r="G358" s="7" t="inlineStr">
        <is>
          <t>2024-01-03</t>
        </is>
      </c>
      <c r="H358" s="9" t="inlineStr">
        <is>
          <t>https://www.100ppi.com/news/detail-20240103-3045869.html</t>
        </is>
      </c>
      <c r="I358" s="7" t="inlineStr">
        <is>
          <t>1月3日生意社甲醇基准价为2420.00元/吨</t>
        </is>
      </c>
    </row>
    <row r="359">
      <c r="A359" s="7" t="n">
        <v>356</v>
      </c>
      <c r="B359" s="7" t="inlineStr">
        <is>
          <t>2024-01-04</t>
        </is>
      </c>
      <c r="C359" s="7" t="inlineStr">
        <is>
          <t>四</t>
        </is>
      </c>
      <c r="D359" s="8" t="n">
        <v>2422.5</v>
      </c>
      <c r="E359" s="7" t="n">
        <v>2024</v>
      </c>
      <c r="F359" s="7" t="n">
        <v>1</v>
      </c>
      <c r="G359" s="7" t="inlineStr">
        <is>
          <t>2024-01-04</t>
        </is>
      </c>
      <c r="H359" s="9" t="inlineStr">
        <is>
          <t>https://www.100ppi.com/news/detail-20240104-3048649.html</t>
        </is>
      </c>
      <c r="I359" s="7" t="inlineStr">
        <is>
          <t>1月4日生意社甲醇基准价为2422.50元/吨</t>
        </is>
      </c>
    </row>
    <row r="360">
      <c r="A360" s="7" t="n">
        <v>357</v>
      </c>
      <c r="B360" s="7" t="inlineStr">
        <is>
          <t>2024-01-05</t>
        </is>
      </c>
      <c r="C360" s="7" t="inlineStr">
        <is>
          <t>五</t>
        </is>
      </c>
      <c r="D360" s="8" t="n">
        <v>2414.17</v>
      </c>
      <c r="E360" s="7" t="n">
        <v>2024</v>
      </c>
      <c r="F360" s="7" t="n">
        <v>1</v>
      </c>
      <c r="G360" s="7" t="inlineStr">
        <is>
          <t>2024-01-05</t>
        </is>
      </c>
      <c r="H360" s="9" t="inlineStr">
        <is>
          <t>https://www.100ppi.com/news/detail-20240105-3051347.html</t>
        </is>
      </c>
      <c r="I360" s="7" t="inlineStr">
        <is>
          <t>1月5日生意社甲醇基准价为2414.17元/吨</t>
        </is>
      </c>
    </row>
    <row r="361">
      <c r="A361" s="7" t="n">
        <v>358</v>
      </c>
      <c r="B361" s="7" t="inlineStr">
        <is>
          <t>2024-01-08</t>
        </is>
      </c>
      <c r="C361" s="7" t="inlineStr">
        <is>
          <t>一</t>
        </is>
      </c>
      <c r="D361" s="8" t="n">
        <v>2409.17</v>
      </c>
      <c r="E361" s="7" t="n">
        <v>2024</v>
      </c>
      <c r="F361" s="7" t="n">
        <v>2</v>
      </c>
      <c r="G361" s="7" t="inlineStr">
        <is>
          <t>2024-01-08</t>
        </is>
      </c>
      <c r="H361" s="9" t="inlineStr">
        <is>
          <t>https://www.100ppi.com/news/detail-20240108-3055945.html</t>
        </is>
      </c>
      <c r="I361" s="7" t="inlineStr">
        <is>
          <t>1月8日生意社甲醇基准价为2409.17元/吨</t>
        </is>
      </c>
    </row>
    <row r="362">
      <c r="A362" s="7" t="n">
        <v>359</v>
      </c>
      <c r="B362" s="7" t="inlineStr">
        <is>
          <t>2024-01-09</t>
        </is>
      </c>
      <c r="C362" s="7" t="inlineStr">
        <is>
          <t>二</t>
        </is>
      </c>
      <c r="D362" s="8" t="n">
        <v>2423.33</v>
      </c>
      <c r="E362" s="7" t="n">
        <v>2024</v>
      </c>
      <c r="F362" s="7" t="n">
        <v>2</v>
      </c>
      <c r="G362" s="7" t="inlineStr">
        <is>
          <t>2024-01-09</t>
        </is>
      </c>
      <c r="H362" s="9" t="inlineStr">
        <is>
          <t>https://www.100ppi.com/news/detail-20240109-3058858.html</t>
        </is>
      </c>
      <c r="I362" s="7" t="inlineStr">
        <is>
          <t>1月9日生意社甲醇基准价为2423.33元/吨</t>
        </is>
      </c>
    </row>
    <row r="363">
      <c r="A363" s="7" t="n">
        <v>360</v>
      </c>
      <c r="B363" s="7" t="inlineStr">
        <is>
          <t>2024-01-10</t>
        </is>
      </c>
      <c r="C363" s="7" t="inlineStr">
        <is>
          <t>三</t>
        </is>
      </c>
      <c r="D363" s="8" t="n">
        <v>2434.17</v>
      </c>
      <c r="E363" s="7" t="n">
        <v>2024</v>
      </c>
      <c r="F363" s="7" t="n">
        <v>2</v>
      </c>
      <c r="G363" s="7" t="inlineStr">
        <is>
          <t>2024-01-10</t>
        </is>
      </c>
      <c r="H363" s="9" t="inlineStr">
        <is>
          <t>https://www.100ppi.com/news/detail-20240110-3061363.html</t>
        </is>
      </c>
      <c r="I363" s="7" t="inlineStr">
        <is>
          <t>1月10日生意社甲醇基准价为2434.17元/吨</t>
        </is>
      </c>
    </row>
    <row r="364">
      <c r="A364" s="7" t="n">
        <v>361</v>
      </c>
      <c r="B364" s="7" t="inlineStr">
        <is>
          <t>2024-01-11</t>
        </is>
      </c>
      <c r="C364" s="7" t="inlineStr">
        <is>
          <t>四</t>
        </is>
      </c>
      <c r="D364" s="8" t="n">
        <v>2370</v>
      </c>
      <c r="E364" s="7" t="n">
        <v>2024</v>
      </c>
      <c r="F364" s="7" t="n">
        <v>2</v>
      </c>
      <c r="G364" s="7" t="inlineStr">
        <is>
          <t>2024-01-11</t>
        </is>
      </c>
      <c r="H364" s="9" t="inlineStr">
        <is>
          <t>https://www.100ppi.com/news/detail-20240111-3063927.html</t>
        </is>
      </c>
      <c r="I364" s="7" t="inlineStr">
        <is>
          <t>1月11日生意社甲醇基准价为2370.00元/吨</t>
        </is>
      </c>
    </row>
    <row r="365">
      <c r="A365" s="7" t="n">
        <v>362</v>
      </c>
      <c r="B365" s="7" t="inlineStr">
        <is>
          <t>2024-01-12</t>
        </is>
      </c>
      <c r="C365" s="7" t="inlineStr">
        <is>
          <t>五</t>
        </is>
      </c>
      <c r="D365" s="8" t="n">
        <v>2415.83</v>
      </c>
      <c r="E365" s="7" t="n">
        <v>2024</v>
      </c>
      <c r="F365" s="7" t="n">
        <v>2</v>
      </c>
      <c r="G365" s="7" t="inlineStr">
        <is>
          <t>2024-01-12</t>
        </is>
      </c>
      <c r="H365" s="9" t="inlineStr">
        <is>
          <t>https://www.100ppi.com/news/detail-20240112-3066638.html</t>
        </is>
      </c>
      <c r="I365" s="7" t="inlineStr">
        <is>
          <t>1月12日生意社甲醇基准价为2415.83元/吨</t>
        </is>
      </c>
    </row>
    <row r="366">
      <c r="A366" s="7" t="n">
        <v>363</v>
      </c>
      <c r="B366" s="7" t="inlineStr">
        <is>
          <t>2024-01-15</t>
        </is>
      </c>
      <c r="C366" s="7" t="inlineStr">
        <is>
          <t>一</t>
        </is>
      </c>
      <c r="D366" s="8" t="n">
        <v>2415.83</v>
      </c>
      <c r="E366" s="7" t="n">
        <v>2024</v>
      </c>
      <c r="F366" s="7" t="n">
        <v>3</v>
      </c>
      <c r="G366" s="7" t="inlineStr">
        <is>
          <t>2024-01-15</t>
        </is>
      </c>
      <c r="H366" s="9" t="inlineStr">
        <is>
          <t>https://www.100ppi.com/news/detail-20240115-3071184.html</t>
        </is>
      </c>
      <c r="I366" s="7" t="inlineStr">
        <is>
          <t>1月15日生意社甲醇基准价为2415.83元/吨</t>
        </is>
      </c>
    </row>
    <row r="367">
      <c r="A367" s="7" t="n">
        <v>364</v>
      </c>
      <c r="B367" s="7" t="inlineStr">
        <is>
          <t>2024-01-16</t>
        </is>
      </c>
      <c r="C367" s="7" t="inlineStr">
        <is>
          <t>二</t>
        </is>
      </c>
      <c r="D367" s="8" t="n">
        <v>2466.67</v>
      </c>
      <c r="E367" s="7" t="n">
        <v>2024</v>
      </c>
      <c r="F367" s="7" t="n">
        <v>3</v>
      </c>
      <c r="G367" s="7" t="inlineStr">
        <is>
          <t>2024-01-16</t>
        </is>
      </c>
      <c r="H367" s="9" t="inlineStr">
        <is>
          <t>https://www.100ppi.com/news/detail-20240116-3073907.html</t>
        </is>
      </c>
      <c r="I367" s="7" t="inlineStr">
        <is>
          <t>1月16日生意社甲醇基准价为2466.67元/吨</t>
        </is>
      </c>
    </row>
    <row r="368">
      <c r="A368" s="7" t="n">
        <v>365</v>
      </c>
      <c r="B368" s="7" t="inlineStr">
        <is>
          <t>2024-01-17</t>
        </is>
      </c>
      <c r="C368" s="7" t="inlineStr">
        <is>
          <t>三</t>
        </is>
      </c>
      <c r="D368" s="8" t="n">
        <v>2432.5</v>
      </c>
      <c r="E368" s="7" t="n">
        <v>2024</v>
      </c>
      <c r="F368" s="7" t="n">
        <v>3</v>
      </c>
      <c r="G368" s="7" t="inlineStr">
        <is>
          <t>2024-01-17</t>
        </is>
      </c>
      <c r="H368" s="9" t="inlineStr">
        <is>
          <t>https://www.100ppi.com/news/detail-20240117-3076738.html</t>
        </is>
      </c>
      <c r="I368" s="7" t="inlineStr">
        <is>
          <t>1月17日生意社甲醇基准价为2432.50元/吨</t>
        </is>
      </c>
    </row>
    <row r="369">
      <c r="A369" s="7" t="n">
        <v>366</v>
      </c>
      <c r="B369" s="7" t="inlineStr">
        <is>
          <t>2024-01-18</t>
        </is>
      </c>
      <c r="C369" s="7" t="inlineStr">
        <is>
          <t>四</t>
        </is>
      </c>
      <c r="D369" s="8" t="n">
        <v>2420</v>
      </c>
      <c r="E369" s="7" t="n">
        <v>2024</v>
      </c>
      <c r="F369" s="7" t="n">
        <v>3</v>
      </c>
      <c r="G369" s="7" t="inlineStr">
        <is>
          <t>2024-01-18</t>
        </is>
      </c>
      <c r="H369" s="9" t="inlineStr">
        <is>
          <t>https://www.100ppi.com/news/detail-20240118-3079518.html</t>
        </is>
      </c>
      <c r="I369" s="7" t="inlineStr">
        <is>
          <t>1月18日生意社甲醇基准价为2420.00元/吨</t>
        </is>
      </c>
    </row>
    <row r="370">
      <c r="A370" s="7" t="n">
        <v>367</v>
      </c>
      <c r="B370" s="7" t="inlineStr">
        <is>
          <t>2024-01-19</t>
        </is>
      </c>
      <c r="C370" s="7" t="inlineStr">
        <is>
          <t>五</t>
        </is>
      </c>
      <c r="D370" s="8" t="n">
        <v>2447.5</v>
      </c>
      <c r="E370" s="7" t="n">
        <v>2024</v>
      </c>
      <c r="F370" s="7" t="n">
        <v>3</v>
      </c>
      <c r="G370" s="7" t="inlineStr">
        <is>
          <t>2024-01-19</t>
        </is>
      </c>
      <c r="H370" s="9" t="inlineStr">
        <is>
          <t>https://www.100ppi.com/news/detail-20240119-3082163.html</t>
        </is>
      </c>
      <c r="I370" s="7" t="inlineStr">
        <is>
          <t>1月19日生意社甲醇基准价为2447.50元/吨</t>
        </is>
      </c>
    </row>
    <row r="371">
      <c r="A371" s="7" t="n">
        <v>368</v>
      </c>
      <c r="B371" s="7" t="inlineStr">
        <is>
          <t>2024-01-22</t>
        </is>
      </c>
      <c r="C371" s="7" t="inlineStr">
        <is>
          <t>一</t>
        </is>
      </c>
      <c r="D371" s="8" t="n">
        <v>2445</v>
      </c>
      <c r="E371" s="7" t="n">
        <v>2024</v>
      </c>
      <c r="F371" s="7" t="n">
        <v>4</v>
      </c>
      <c r="G371" s="7" t="inlineStr">
        <is>
          <t>2024-01-22</t>
        </is>
      </c>
      <c r="H371" s="9" t="inlineStr">
        <is>
          <t>https://www.100ppi.com/news/detail-20240122-3086432.html</t>
        </is>
      </c>
      <c r="I371" s="7" t="inlineStr">
        <is>
          <t>1月22日生意社甲醇基准价为2445.00元/吨</t>
        </is>
      </c>
    </row>
    <row r="372">
      <c r="A372" s="7" t="n">
        <v>369</v>
      </c>
      <c r="B372" s="7" t="inlineStr">
        <is>
          <t>2024-01-23</t>
        </is>
      </c>
      <c r="C372" s="7" t="inlineStr">
        <is>
          <t>二</t>
        </is>
      </c>
      <c r="D372" s="8" t="n">
        <v>2508.33</v>
      </c>
      <c r="E372" s="7" t="n">
        <v>2024</v>
      </c>
      <c r="F372" s="7" t="n">
        <v>4</v>
      </c>
      <c r="G372" s="7" t="inlineStr">
        <is>
          <t>2024-01-23</t>
        </is>
      </c>
      <c r="H372" s="9" t="inlineStr">
        <is>
          <t>https://www.100ppi.com/news/detail-20240123-3089402.html</t>
        </is>
      </c>
      <c r="I372" s="7" t="inlineStr">
        <is>
          <t>1月23日生意社甲醇基准价为2508.33元/吨</t>
        </is>
      </c>
    </row>
    <row r="373">
      <c r="A373" s="7" t="n">
        <v>370</v>
      </c>
      <c r="B373" s="7" t="inlineStr">
        <is>
          <t>2024-01-24</t>
        </is>
      </c>
      <c r="C373" s="7" t="inlineStr">
        <is>
          <t>三</t>
        </is>
      </c>
      <c r="D373" s="8" t="n">
        <v>2545</v>
      </c>
      <c r="E373" s="7" t="n">
        <v>2024</v>
      </c>
      <c r="F373" s="7" t="n">
        <v>4</v>
      </c>
      <c r="G373" s="7" t="inlineStr">
        <is>
          <t>2024-01-24</t>
        </is>
      </c>
      <c r="H373" s="9" t="inlineStr">
        <is>
          <t>https://www.100ppi.com/news/detail-20240124-3092318.html</t>
        </is>
      </c>
      <c r="I373" s="7" t="inlineStr">
        <is>
          <t>1月24日生意社甲醇基准价为2545.00元/吨</t>
        </is>
      </c>
    </row>
    <row r="374">
      <c r="A374" s="7" t="n">
        <v>371</v>
      </c>
      <c r="B374" s="7" t="inlineStr">
        <is>
          <t>2024-01-25</t>
        </is>
      </c>
      <c r="C374" s="7" t="inlineStr">
        <is>
          <t>四</t>
        </is>
      </c>
      <c r="D374" s="8" t="n">
        <v>2590</v>
      </c>
      <c r="E374" s="7" t="n">
        <v>2024</v>
      </c>
      <c r="F374" s="7" t="n">
        <v>4</v>
      </c>
      <c r="G374" s="7" t="inlineStr">
        <is>
          <t>2024-01-25</t>
        </is>
      </c>
      <c r="H374" s="9" t="inlineStr">
        <is>
          <t>https://www.100ppi.com/news/detail-20240125-3095112.html</t>
        </is>
      </c>
      <c r="I374" s="7" t="inlineStr">
        <is>
          <t>1月25日生意社甲醇基准价为2590.00元/吨</t>
        </is>
      </c>
    </row>
    <row r="375">
      <c r="A375" s="7" t="n">
        <v>372</v>
      </c>
      <c r="B375" s="7" t="inlineStr">
        <is>
          <t>2024-01-26</t>
        </is>
      </c>
      <c r="C375" s="7" t="inlineStr">
        <is>
          <t>五</t>
        </is>
      </c>
      <c r="D375" s="8" t="n">
        <v>2615.83</v>
      </c>
      <c r="E375" s="7" t="n">
        <v>2024</v>
      </c>
      <c r="F375" s="7" t="n">
        <v>4</v>
      </c>
      <c r="G375" s="7" t="inlineStr">
        <is>
          <t>2024-01-26</t>
        </is>
      </c>
      <c r="H375" s="9" t="inlineStr">
        <is>
          <t>https://www.100ppi.com/news/detail-20240126-3097543.html</t>
        </is>
      </c>
      <c r="I375" s="7" t="inlineStr">
        <is>
          <t>1月26日生意社甲醇基准价为2615.83元/吨</t>
        </is>
      </c>
    </row>
    <row r="376">
      <c r="A376" s="7" t="n">
        <v>373</v>
      </c>
      <c r="B376" s="7" t="inlineStr">
        <is>
          <t>2024-01-29</t>
        </is>
      </c>
      <c r="C376" s="7" t="inlineStr">
        <is>
          <t>一</t>
        </is>
      </c>
      <c r="D376" s="8" t="n">
        <v>2563.33</v>
      </c>
      <c r="E376" s="7" t="n">
        <v>2024</v>
      </c>
      <c r="F376" s="7" t="n">
        <v>5</v>
      </c>
      <c r="G376" s="7" t="inlineStr">
        <is>
          <t>2024-01-29</t>
        </is>
      </c>
      <c r="H376" s="9" t="inlineStr">
        <is>
          <t>https://www.100ppi.com/news/detail-20240129-3101254.html</t>
        </is>
      </c>
      <c r="I376" s="7" t="inlineStr">
        <is>
          <t>1月29日生意社甲醇基准价为2563.33元/吨</t>
        </is>
      </c>
    </row>
    <row r="377">
      <c r="A377" s="7" t="n">
        <v>374</v>
      </c>
      <c r="B377" s="7" t="inlineStr">
        <is>
          <t>2024-01-30</t>
        </is>
      </c>
      <c r="C377" s="7" t="inlineStr">
        <is>
          <t>二</t>
        </is>
      </c>
      <c r="D377" s="8" t="n">
        <v>2580</v>
      </c>
      <c r="E377" s="7" t="n">
        <v>2024</v>
      </c>
      <c r="F377" s="7" t="n">
        <v>5</v>
      </c>
      <c r="G377" s="7" t="inlineStr">
        <is>
          <t>2024-01-30</t>
        </is>
      </c>
      <c r="H377" s="9" t="inlineStr">
        <is>
          <t>https://www.100ppi.com/news/detail-20240130-3103694.html</t>
        </is>
      </c>
      <c r="I377" s="7" t="inlineStr">
        <is>
          <t>1月30日生意社甲醇基准价为2580.00元/吨</t>
        </is>
      </c>
    </row>
    <row r="378">
      <c r="A378" s="7" t="n">
        <v>375</v>
      </c>
      <c r="B378" s="7" t="inlineStr">
        <is>
          <t>2024-01-31</t>
        </is>
      </c>
      <c r="C378" s="7" t="inlineStr">
        <is>
          <t>三</t>
        </is>
      </c>
      <c r="D378" s="8" t="n">
        <v>2571.67</v>
      </c>
      <c r="E378" s="7" t="n">
        <v>2024</v>
      </c>
      <c r="F378" s="7" t="n">
        <v>5</v>
      </c>
      <c r="G378" s="7" t="inlineStr">
        <is>
          <t>2024-01-31</t>
        </is>
      </c>
      <c r="H378" s="9" t="inlineStr">
        <is>
          <t>https://www.100ppi.com/news/detail-20240131-3105974.html</t>
        </is>
      </c>
      <c r="I378" s="7" t="inlineStr">
        <is>
          <t>1月31日生意社甲醇基准价为2571.67元/吨</t>
        </is>
      </c>
    </row>
    <row r="379">
      <c r="A379" s="7" t="n">
        <v>376</v>
      </c>
      <c r="B379" s="7" t="inlineStr">
        <is>
          <t>2024-02-01</t>
        </is>
      </c>
      <c r="C379" s="7" t="inlineStr">
        <is>
          <t>四</t>
        </is>
      </c>
      <c r="D379" s="8" t="n">
        <v>2580.83</v>
      </c>
      <c r="E379" s="7" t="n">
        <v>2024</v>
      </c>
      <c r="F379" s="7" t="n">
        <v>5</v>
      </c>
      <c r="G379" s="7" t="inlineStr">
        <is>
          <t>2024-02-01</t>
        </is>
      </c>
      <c r="H379" s="9" t="inlineStr">
        <is>
          <t>https://www.100ppi.com/news/detail-20240201-3108497.html</t>
        </is>
      </c>
      <c r="I379" s="7" t="inlineStr">
        <is>
          <t>2月1日生意社甲醇基准价为2580.83元/吨</t>
        </is>
      </c>
    </row>
    <row r="380">
      <c r="A380" s="7" t="n">
        <v>377</v>
      </c>
      <c r="B380" s="7" t="inlineStr">
        <is>
          <t>2024-02-02</t>
        </is>
      </c>
      <c r="C380" s="7" t="inlineStr">
        <is>
          <t>五</t>
        </is>
      </c>
      <c r="D380" s="8" t="n">
        <v>2561.67</v>
      </c>
      <c r="E380" s="7" t="n">
        <v>2024</v>
      </c>
      <c r="F380" s="7" t="n">
        <v>5</v>
      </c>
      <c r="G380" s="7" t="inlineStr">
        <is>
          <t>2024-02-02</t>
        </is>
      </c>
      <c r="H380" s="9" t="inlineStr">
        <is>
          <t>https://www.100ppi.com/news/detail-20240202-3110659.html</t>
        </is>
      </c>
      <c r="I380" s="7" t="inlineStr">
        <is>
          <t>2月2日生意社甲醇基准价为2561.67元/吨</t>
        </is>
      </c>
    </row>
    <row r="381">
      <c r="A381" s="7" t="n">
        <v>378</v>
      </c>
      <c r="B381" s="7" t="inlineStr">
        <is>
          <t>2024-02-05</t>
        </is>
      </c>
      <c r="C381" s="7" t="inlineStr">
        <is>
          <t>一</t>
        </is>
      </c>
      <c r="D381" s="8" t="n">
        <v>2578.33</v>
      </c>
      <c r="E381" s="7" t="n">
        <v>2024</v>
      </c>
      <c r="F381" s="7" t="n">
        <v>6</v>
      </c>
      <c r="G381" s="7" t="inlineStr">
        <is>
          <t>2024-02-05</t>
        </is>
      </c>
      <c r="H381" s="9" t="inlineStr">
        <is>
          <t>https://www.100ppi.com/news/detail-20240205-3114397.html</t>
        </is>
      </c>
      <c r="I381" s="7" t="inlineStr">
        <is>
          <t>2月5日生意社甲醇基准价为2578.33元/吨</t>
        </is>
      </c>
    </row>
    <row r="382">
      <c r="A382" s="7" t="n">
        <v>379</v>
      </c>
      <c r="B382" s="7" t="inlineStr">
        <is>
          <t>2024-02-06</t>
        </is>
      </c>
      <c r="C382" s="7" t="inlineStr">
        <is>
          <t>二</t>
        </is>
      </c>
      <c r="D382" s="8" t="n">
        <v>2571.67</v>
      </c>
      <c r="E382" s="7" t="n">
        <v>2024</v>
      </c>
      <c r="F382" s="7" t="n">
        <v>6</v>
      </c>
      <c r="G382" s="7" t="inlineStr">
        <is>
          <t>2024-02-06</t>
        </is>
      </c>
      <c r="H382" s="9" t="inlineStr">
        <is>
          <t>https://www.100ppi.com/news/detail-20240206-3116085.html</t>
        </is>
      </c>
      <c r="I382" s="7" t="inlineStr">
        <is>
          <t>2月6日生意社甲醇基准价为2571.67元/吨</t>
        </is>
      </c>
    </row>
    <row r="383">
      <c r="A383" s="7" t="n">
        <v>380</v>
      </c>
      <c r="B383" s="7" t="inlineStr">
        <is>
          <t>2024-02-07</t>
        </is>
      </c>
      <c r="C383" s="7" t="inlineStr">
        <is>
          <t>三</t>
        </is>
      </c>
      <c r="D383" s="8" t="n">
        <v>2583.33</v>
      </c>
      <c r="E383" s="7" t="n">
        <v>2024</v>
      </c>
      <c r="F383" s="7" t="n">
        <v>6</v>
      </c>
      <c r="G383" s="7" t="inlineStr">
        <is>
          <t>2024-02-07</t>
        </is>
      </c>
      <c r="H383" s="9" t="inlineStr">
        <is>
          <t>https://www.100ppi.com/news/detail-20240207-3117147.html</t>
        </is>
      </c>
      <c r="I383" s="7" t="inlineStr">
        <is>
          <t>2月7日生意社甲醇基准价为2583.33元/吨</t>
        </is>
      </c>
    </row>
    <row r="384">
      <c r="A384" s="7" t="n">
        <v>381</v>
      </c>
      <c r="B384" s="7" t="inlineStr">
        <is>
          <t>2024-02-08</t>
        </is>
      </c>
      <c r="C384" s="7" t="inlineStr">
        <is>
          <t>四</t>
        </is>
      </c>
      <c r="D384" s="8" t="n">
        <v>2640</v>
      </c>
      <c r="E384" s="7" t="n">
        <v>2024</v>
      </c>
      <c r="F384" s="7" t="n">
        <v>6</v>
      </c>
      <c r="G384" s="7" t="inlineStr">
        <is>
          <t>2024-02-08</t>
        </is>
      </c>
      <c r="H384" s="9" t="inlineStr">
        <is>
          <t>https://www.100ppi.com/news/detail-20240208-3118256.html</t>
        </is>
      </c>
      <c r="I384" s="7" t="inlineStr">
        <is>
          <t>2月8日生意社甲醇基准价为2640.00元/吨</t>
        </is>
      </c>
    </row>
    <row r="385">
      <c r="A385" s="7" t="n">
        <v>382</v>
      </c>
      <c r="B385" s="7" t="inlineStr">
        <is>
          <t>2024-02-09</t>
        </is>
      </c>
      <c r="C385" s="7" t="inlineStr">
        <is>
          <t>五</t>
        </is>
      </c>
      <c r="D385" s="8" t="n">
        <v>2640</v>
      </c>
      <c r="E385" s="7" t="n">
        <v>2024</v>
      </c>
      <c r="F385" s="7" t="n">
        <v>6</v>
      </c>
      <c r="G385" s="7" t="inlineStr">
        <is>
          <t>2024-02-09</t>
        </is>
      </c>
      <c r="H385" s="9" t="inlineStr">
        <is>
          <t>https://www.100ppi.com/news/detail-20240209-3118838.html</t>
        </is>
      </c>
      <c r="I385" s="7" t="inlineStr">
        <is>
          <t>2月9日生意社甲醇基准价为2640.00元/吨</t>
        </is>
      </c>
    </row>
    <row r="386">
      <c r="A386" s="7" t="n">
        <v>383</v>
      </c>
      <c r="B386" s="7" t="inlineStr">
        <is>
          <t>2024-02-12</t>
        </is>
      </c>
      <c r="C386" s="7" t="inlineStr">
        <is>
          <t>一</t>
        </is>
      </c>
      <c r="D386" s="8" t="n">
        <v>2640</v>
      </c>
      <c r="E386" s="7" t="n">
        <v>2024</v>
      </c>
      <c r="F386" s="7" t="n">
        <v>7</v>
      </c>
      <c r="G386" s="7" t="inlineStr">
        <is>
          <t>2024-02-12</t>
        </is>
      </c>
      <c r="H386" s="9" t="inlineStr">
        <is>
          <t>https://www.100ppi.com/news/detail-20240212-3119506.html</t>
        </is>
      </c>
      <c r="I386" s="7" t="inlineStr">
        <is>
          <t>2月12日生意社甲醇基准价为2640.00元/吨</t>
        </is>
      </c>
    </row>
    <row r="387">
      <c r="A387" s="7" t="n">
        <v>384</v>
      </c>
      <c r="B387" s="7" t="inlineStr">
        <is>
          <t>2024-02-13</t>
        </is>
      </c>
      <c r="C387" s="7" t="inlineStr">
        <is>
          <t>二</t>
        </is>
      </c>
      <c r="D387" s="8" t="n">
        <v>2640</v>
      </c>
      <c r="E387" s="7" t="n">
        <v>2024</v>
      </c>
      <c r="F387" s="7" t="n">
        <v>7</v>
      </c>
      <c r="G387" s="7" t="inlineStr">
        <is>
          <t>2024-02-13</t>
        </is>
      </c>
      <c r="H387" s="9" t="inlineStr">
        <is>
          <t>https://www.100ppi.com/news/detail-20240213-3119899.html</t>
        </is>
      </c>
      <c r="I387" s="7" t="inlineStr">
        <is>
          <t>2月13日生意社甲醇基准价为2640.00元/吨</t>
        </is>
      </c>
    </row>
    <row r="388">
      <c r="A388" s="7" t="n">
        <v>385</v>
      </c>
      <c r="B388" s="7" t="inlineStr">
        <is>
          <t>2024-02-14</t>
        </is>
      </c>
      <c r="C388" s="7" t="inlineStr">
        <is>
          <t>三</t>
        </is>
      </c>
      <c r="D388" s="8" t="n">
        <v>2640</v>
      </c>
      <c r="E388" s="7" t="n">
        <v>2024</v>
      </c>
      <c r="F388" s="7" t="n">
        <v>7</v>
      </c>
      <c r="G388" s="7" t="inlineStr">
        <is>
          <t>2024-02-14</t>
        </is>
      </c>
      <c r="H388" s="9" t="inlineStr">
        <is>
          <t>https://www.100ppi.com/news/detail-20240214-3120481.html</t>
        </is>
      </c>
      <c r="I388" s="7" t="inlineStr">
        <is>
          <t>2月14日生意社甲醇基准价为2640.00元/吨</t>
        </is>
      </c>
    </row>
    <row r="389">
      <c r="A389" s="7" t="n">
        <v>386</v>
      </c>
      <c r="B389" s="7" t="inlineStr">
        <is>
          <t>2024-02-15</t>
        </is>
      </c>
      <c r="C389" s="7" t="inlineStr">
        <is>
          <t>四</t>
        </is>
      </c>
      <c r="D389" s="8" t="n">
        <v>2640</v>
      </c>
      <c r="E389" s="7" t="n">
        <v>2024</v>
      </c>
      <c r="F389" s="7" t="n">
        <v>7</v>
      </c>
      <c r="G389" s="7" t="inlineStr">
        <is>
          <t>2024-02-15</t>
        </is>
      </c>
      <c r="H389" s="9" t="inlineStr">
        <is>
          <t>https://www.100ppi.com/news/detail-20240215-3120983.html</t>
        </is>
      </c>
      <c r="I389" s="7" t="inlineStr">
        <is>
          <t>2月15日生意社甲醇基准价为2640.00元/吨</t>
        </is>
      </c>
    </row>
    <row r="390">
      <c r="A390" s="7" t="n">
        <v>387</v>
      </c>
      <c r="B390" s="7" t="inlineStr">
        <is>
          <t>2024-02-16</t>
        </is>
      </c>
      <c r="C390" s="7" t="inlineStr">
        <is>
          <t>五</t>
        </is>
      </c>
      <c r="D390" s="8" t="n">
        <v>2640</v>
      </c>
      <c r="E390" s="7" t="n">
        <v>2024</v>
      </c>
      <c r="F390" s="7" t="n">
        <v>7</v>
      </c>
      <c r="G390" s="7" t="inlineStr">
        <is>
          <t>2024-02-16</t>
        </is>
      </c>
      <c r="H390" s="9" t="inlineStr">
        <is>
          <t>https://www.100ppi.com/news/detail-20240216-3121956.html</t>
        </is>
      </c>
      <c r="I390" s="7" t="inlineStr">
        <is>
          <t>2月16日生意社甲醇基准价为2640.00元/吨</t>
        </is>
      </c>
    </row>
    <row r="391">
      <c r="A391" s="7" t="n">
        <v>388</v>
      </c>
      <c r="B391" s="7" t="inlineStr">
        <is>
          <t>2024-02-19</t>
        </is>
      </c>
      <c r="C391" s="7" t="inlineStr">
        <is>
          <t>一</t>
        </is>
      </c>
      <c r="D391" s="8" t="n">
        <v>2700</v>
      </c>
      <c r="E391" s="7" t="n">
        <v>2024</v>
      </c>
      <c r="F391" s="7" t="n">
        <v>8</v>
      </c>
      <c r="G391" s="7" t="inlineStr">
        <is>
          <t>2024-02-19</t>
        </is>
      </c>
      <c r="H391" s="9" t="inlineStr">
        <is>
          <t>https://www.100ppi.com/news/detail-20240219-3127292.html</t>
        </is>
      </c>
      <c r="I391" s="7" t="inlineStr">
        <is>
          <t>2月19日生意社甲醇基准价为2700.00元/吨</t>
        </is>
      </c>
    </row>
    <row r="392">
      <c r="A392" s="7" t="n">
        <v>389</v>
      </c>
      <c r="B392" s="7" t="inlineStr">
        <is>
          <t>2024-02-20</t>
        </is>
      </c>
      <c r="C392" s="7" t="inlineStr">
        <is>
          <t>二</t>
        </is>
      </c>
      <c r="D392" s="8" t="n">
        <v>2659.17</v>
      </c>
      <c r="E392" s="7" t="n">
        <v>2024</v>
      </c>
      <c r="F392" s="7" t="n">
        <v>8</v>
      </c>
      <c r="G392" s="7" t="inlineStr">
        <is>
          <t>2024-02-20</t>
        </is>
      </c>
      <c r="H392" s="9" t="inlineStr">
        <is>
          <t>https://www.100ppi.com/news/detail-20240220-3129800.html</t>
        </is>
      </c>
      <c r="I392" s="7" t="inlineStr">
        <is>
          <t>2月20日生意社甲醇基准价为2659.17元/吨</t>
        </is>
      </c>
    </row>
    <row r="393">
      <c r="A393" s="7" t="n">
        <v>390</v>
      </c>
      <c r="B393" s="7" t="inlineStr">
        <is>
          <t>2024-02-21</t>
        </is>
      </c>
      <c r="C393" s="7" t="inlineStr">
        <is>
          <t>三</t>
        </is>
      </c>
      <c r="D393" s="8" t="n">
        <v>2600</v>
      </c>
      <c r="E393" s="7" t="n">
        <v>2024</v>
      </c>
      <c r="F393" s="7" t="n">
        <v>8</v>
      </c>
      <c r="G393" s="7" t="inlineStr">
        <is>
          <t>2024-02-21</t>
        </is>
      </c>
      <c r="H393" s="9" t="inlineStr">
        <is>
          <t>https://www.100ppi.com/news/detail-20240221-3132381.html</t>
        </is>
      </c>
      <c r="I393" s="7" t="inlineStr">
        <is>
          <t>2月21日生意社甲醇基准价为2600.00元/吨</t>
        </is>
      </c>
    </row>
    <row r="394">
      <c r="A394" s="7" t="n">
        <v>391</v>
      </c>
      <c r="B394" s="7" t="inlineStr">
        <is>
          <t>2024-02-22</t>
        </is>
      </c>
      <c r="C394" s="7" t="inlineStr">
        <is>
          <t>四</t>
        </is>
      </c>
      <c r="D394" s="8" t="n">
        <v>2615.83</v>
      </c>
      <c r="E394" s="7" t="n">
        <v>2024</v>
      </c>
      <c r="F394" s="7" t="n">
        <v>8</v>
      </c>
      <c r="G394" s="7" t="inlineStr">
        <is>
          <t>2024-02-22</t>
        </is>
      </c>
      <c r="H394" s="9" t="inlineStr">
        <is>
          <t>https://www.100ppi.com/news/detail-20240222-3135109.html</t>
        </is>
      </c>
      <c r="I394" s="7" t="inlineStr">
        <is>
          <t>2月22日生意社甲醇基准价为2615.83元/吨</t>
        </is>
      </c>
    </row>
    <row r="395">
      <c r="A395" s="7" t="n">
        <v>392</v>
      </c>
      <c r="B395" s="7" t="inlineStr">
        <is>
          <t>2024-02-23</t>
        </is>
      </c>
      <c r="C395" s="7" t="inlineStr">
        <is>
          <t>五</t>
        </is>
      </c>
      <c r="D395" s="8" t="n">
        <v>2635.83</v>
      </c>
      <c r="E395" s="7" t="n">
        <v>2024</v>
      </c>
      <c r="F395" s="7" t="n">
        <v>8</v>
      </c>
      <c r="G395" s="7" t="inlineStr">
        <is>
          <t>2024-02-23</t>
        </is>
      </c>
      <c r="H395" s="9" t="inlineStr">
        <is>
          <t>https://www.100ppi.com/news/detail-20240223-3137953.html</t>
        </is>
      </c>
      <c r="I395" s="7" t="inlineStr">
        <is>
          <t>2月23日生意社甲醇基准价为2635.83元/吨</t>
        </is>
      </c>
    </row>
    <row r="396">
      <c r="A396" s="7" t="n">
        <v>393</v>
      </c>
      <c r="B396" s="7" t="inlineStr">
        <is>
          <t>2024-02-26</t>
        </is>
      </c>
      <c r="C396" s="7" t="inlineStr">
        <is>
          <t>一</t>
        </is>
      </c>
      <c r="D396" s="8" t="n">
        <v>2647.5</v>
      </c>
      <c r="E396" s="7" t="n">
        <v>2024</v>
      </c>
      <c r="F396" s="7" t="n">
        <v>9</v>
      </c>
      <c r="G396" s="7" t="inlineStr">
        <is>
          <t>2024-02-26</t>
        </is>
      </c>
      <c r="H396" s="9" t="inlineStr">
        <is>
          <t>https://www.100ppi.com/news/detail-20240226-3143000.html</t>
        </is>
      </c>
      <c r="I396" s="7" t="inlineStr">
        <is>
          <t>2月26日生意社甲醇基准价为2647.50元/吨</t>
        </is>
      </c>
    </row>
    <row r="397">
      <c r="A397" s="7" t="n">
        <v>394</v>
      </c>
      <c r="B397" s="7" t="inlineStr">
        <is>
          <t>2024-02-27</t>
        </is>
      </c>
      <c r="C397" s="7" t="inlineStr">
        <is>
          <t>二</t>
        </is>
      </c>
      <c r="D397" s="8" t="n">
        <v>2671.67</v>
      </c>
      <c r="E397" s="7" t="n">
        <v>2024</v>
      </c>
      <c r="F397" s="7" t="n">
        <v>9</v>
      </c>
      <c r="G397" s="7" t="inlineStr">
        <is>
          <t>2024-02-27</t>
        </is>
      </c>
      <c r="H397" s="9" t="inlineStr">
        <is>
          <t>https://www.100ppi.com/news/detail-20240227-3146278.html</t>
        </is>
      </c>
      <c r="I397" s="7" t="inlineStr">
        <is>
          <t>2月27日生意社甲醇基准价为2671.67元/吨</t>
        </is>
      </c>
    </row>
    <row r="398">
      <c r="A398" s="7" t="n">
        <v>395</v>
      </c>
      <c r="B398" s="7" t="inlineStr">
        <is>
          <t>2024-02-28</t>
        </is>
      </c>
      <c r="C398" s="7" t="inlineStr">
        <is>
          <t>三</t>
        </is>
      </c>
      <c r="D398" s="8" t="n">
        <v>2731.67</v>
      </c>
      <c r="E398" s="7" t="n">
        <v>2024</v>
      </c>
      <c r="F398" s="7" t="n">
        <v>9</v>
      </c>
      <c r="G398" s="7" t="inlineStr">
        <is>
          <t>2024-02-28</t>
        </is>
      </c>
      <c r="H398" s="9" t="inlineStr">
        <is>
          <t>https://www.100ppi.com/news/detail-20240228-3149037.html</t>
        </is>
      </c>
      <c r="I398" s="7" t="inlineStr">
        <is>
          <t>2月28日生意社甲醇基准价为2731.67元/吨</t>
        </is>
      </c>
    </row>
    <row r="399">
      <c r="A399" s="7" t="n">
        <v>396</v>
      </c>
      <c r="B399" s="7" t="inlineStr">
        <is>
          <t>2024-02-29</t>
        </is>
      </c>
      <c r="C399" s="7" t="inlineStr">
        <is>
          <t>四</t>
        </is>
      </c>
      <c r="D399" s="8" t="n">
        <v>2741.67</v>
      </c>
      <c r="E399" s="7" t="n">
        <v>2024</v>
      </c>
      <c r="F399" s="7" t="n">
        <v>9</v>
      </c>
      <c r="G399" s="7" t="inlineStr">
        <is>
          <t>2024-02-29</t>
        </is>
      </c>
      <c r="H399" s="9" t="inlineStr">
        <is>
          <t>https://www.100ppi.com/news/detail-20240229-3151816.html</t>
        </is>
      </c>
      <c r="I399" s="7" t="inlineStr">
        <is>
          <t>2月29日生意社甲醇基准价为2741.67元/吨</t>
        </is>
      </c>
    </row>
    <row r="400">
      <c r="A400" s="7" t="n">
        <v>397</v>
      </c>
      <c r="B400" s="7" t="inlineStr">
        <is>
          <t>2024-03-01</t>
        </is>
      </c>
      <c r="C400" s="7" t="inlineStr">
        <is>
          <t>五</t>
        </is>
      </c>
      <c r="D400" s="8" t="n">
        <v>2730</v>
      </c>
      <c r="E400" s="7" t="n">
        <v>2024</v>
      </c>
      <c r="F400" s="7" t="n">
        <v>9</v>
      </c>
      <c r="G400" s="7" t="inlineStr">
        <is>
          <t>2024-03-01</t>
        </is>
      </c>
      <c r="H400" s="9" t="inlineStr">
        <is>
          <t>https://www.100ppi.com/news/detail-20240301-3154870.html</t>
        </is>
      </c>
      <c r="I400" s="7" t="inlineStr">
        <is>
          <t>3月1日生意社甲醇基准价为2730.00元/吨</t>
        </is>
      </c>
    </row>
    <row r="401">
      <c r="A401" s="7" t="n">
        <v>398</v>
      </c>
      <c r="B401" s="7" t="inlineStr">
        <is>
          <t>2024-03-04</t>
        </is>
      </c>
      <c r="C401" s="7" t="inlineStr">
        <is>
          <t>一</t>
        </is>
      </c>
      <c r="D401" s="8" t="n">
        <v>2740</v>
      </c>
      <c r="E401" s="7" t="n">
        <v>2024</v>
      </c>
      <c r="F401" s="7" t="n">
        <v>10</v>
      </c>
      <c r="G401" s="7" t="inlineStr">
        <is>
          <t>2024-03-04</t>
        </is>
      </c>
      <c r="H401" s="9" t="inlineStr">
        <is>
          <t>https://www.100ppi.com/news/detail-20240304-3159396.html</t>
        </is>
      </c>
      <c r="I401" s="7" t="inlineStr">
        <is>
          <t>3月4日生意社甲醇基准价为2740.00元/吨</t>
        </is>
      </c>
    </row>
    <row r="402">
      <c r="A402" s="7" t="n">
        <v>399</v>
      </c>
      <c r="B402" s="7" t="inlineStr">
        <is>
          <t>2024-03-05</t>
        </is>
      </c>
      <c r="C402" s="7" t="inlineStr">
        <is>
          <t>二</t>
        </is>
      </c>
      <c r="D402" s="8" t="n">
        <v>2711.67</v>
      </c>
      <c r="E402" s="7" t="n">
        <v>2024</v>
      </c>
      <c r="F402" s="7" t="n">
        <v>10</v>
      </c>
      <c r="G402" s="7" t="inlineStr">
        <is>
          <t>2024-03-05</t>
        </is>
      </c>
      <c r="H402" s="9" t="inlineStr">
        <is>
          <t>https://www.100ppi.com/news/detail-20240305-3162355.html</t>
        </is>
      </c>
      <c r="I402" s="7" t="inlineStr">
        <is>
          <t>3月5日生意社甲醇基准价为2711.67元/吨</t>
        </is>
      </c>
    </row>
    <row r="403">
      <c r="A403" s="7" t="n">
        <v>400</v>
      </c>
      <c r="B403" s="7" t="inlineStr">
        <is>
          <t>2024-03-06</t>
        </is>
      </c>
      <c r="C403" s="7" t="inlineStr">
        <is>
          <t>三</t>
        </is>
      </c>
      <c r="D403" s="8" t="n">
        <v>2691.67</v>
      </c>
      <c r="E403" s="7" t="n">
        <v>2024</v>
      </c>
      <c r="F403" s="7" t="n">
        <v>10</v>
      </c>
      <c r="G403" s="7" t="inlineStr">
        <is>
          <t>2024-03-06</t>
        </is>
      </c>
      <c r="H403" s="9" t="inlineStr">
        <is>
          <t>https://www.100ppi.com/news/detail-20240306-3165258.html</t>
        </is>
      </c>
      <c r="I403" s="7" t="inlineStr">
        <is>
          <t>3月6日生意社甲醇基准价为2691.67元/吨</t>
        </is>
      </c>
    </row>
    <row r="404">
      <c r="A404" s="7" t="n">
        <v>401</v>
      </c>
      <c r="B404" s="7" t="inlineStr">
        <is>
          <t>2024-03-07</t>
        </is>
      </c>
      <c r="C404" s="7" t="inlineStr">
        <is>
          <t>四</t>
        </is>
      </c>
      <c r="D404" s="8" t="n">
        <v>2713.33</v>
      </c>
      <c r="E404" s="7" t="n">
        <v>2024</v>
      </c>
      <c r="F404" s="7" t="n">
        <v>10</v>
      </c>
      <c r="G404" s="7" t="inlineStr">
        <is>
          <t>2024-03-07</t>
        </is>
      </c>
      <c r="H404" s="9" t="inlineStr">
        <is>
          <t>https://www.100ppi.com/news/detail-20240307-3167927.html</t>
        </is>
      </c>
      <c r="I404" s="7" t="inlineStr">
        <is>
          <t>3月7日生意社甲醇基准价为2713.33元/吨</t>
        </is>
      </c>
    </row>
    <row r="405">
      <c r="A405" s="7" t="n">
        <v>402</v>
      </c>
      <c r="B405" s="7" t="inlineStr">
        <is>
          <t>2024-03-08</t>
        </is>
      </c>
      <c r="C405" s="7" t="inlineStr">
        <is>
          <t>五</t>
        </is>
      </c>
      <c r="D405" s="8" t="n">
        <v>2711.67</v>
      </c>
      <c r="E405" s="7" t="n">
        <v>2024</v>
      </c>
      <c r="F405" s="7" t="n">
        <v>10</v>
      </c>
      <c r="G405" s="7" t="inlineStr">
        <is>
          <t>2024-03-08</t>
        </is>
      </c>
      <c r="H405" s="9" t="inlineStr">
        <is>
          <t>https://www.100ppi.com/news/detail-20240308-3170842.html</t>
        </is>
      </c>
      <c r="I405" s="7" t="inlineStr">
        <is>
          <t>3月8日生意社甲醇基准价为2711.67元/吨</t>
        </is>
      </c>
    </row>
    <row r="406">
      <c r="A406" s="7" t="n">
        <v>403</v>
      </c>
      <c r="B406" s="7" t="inlineStr">
        <is>
          <t>2024-03-11</t>
        </is>
      </c>
      <c r="C406" s="7" t="inlineStr">
        <is>
          <t>一</t>
        </is>
      </c>
      <c r="D406" s="8" t="n">
        <v>2717.5</v>
      </c>
      <c r="E406" s="7" t="n">
        <v>2024</v>
      </c>
      <c r="F406" s="7" t="n">
        <v>11</v>
      </c>
      <c r="G406" s="7" t="inlineStr">
        <is>
          <t>2024-03-11</t>
        </is>
      </c>
      <c r="H406" s="9" t="inlineStr">
        <is>
          <t>https://www.100ppi.com/news/detail-20240311-3175659.html</t>
        </is>
      </c>
      <c r="I406" s="7" t="inlineStr">
        <is>
          <t>3月11日生意社甲醇基准价为2717.50元/吨</t>
        </is>
      </c>
    </row>
    <row r="407">
      <c r="A407" s="7" t="n">
        <v>404</v>
      </c>
      <c r="B407" s="7" t="inlineStr">
        <is>
          <t>2024-03-12</t>
        </is>
      </c>
      <c r="C407" s="7" t="inlineStr">
        <is>
          <t>二</t>
        </is>
      </c>
      <c r="D407" s="8" t="n">
        <v>2750</v>
      </c>
      <c r="E407" s="7" t="n">
        <v>2024</v>
      </c>
      <c r="F407" s="7" t="n">
        <v>11</v>
      </c>
      <c r="G407" s="7" t="inlineStr">
        <is>
          <t>2024-03-12</t>
        </is>
      </c>
      <c r="H407" s="9" t="inlineStr">
        <is>
          <t>https://www.100ppi.com/news/detail-20240312-3178788.html</t>
        </is>
      </c>
      <c r="I407" s="7" t="inlineStr">
        <is>
          <t>3月12日生意社甲醇基准价为2750.00元/吨</t>
        </is>
      </c>
    </row>
    <row r="408">
      <c r="A408" s="7" t="n">
        <v>405</v>
      </c>
      <c r="B408" s="7" t="inlineStr">
        <is>
          <t>2024-03-13</t>
        </is>
      </c>
      <c r="C408" s="7" t="inlineStr">
        <is>
          <t>三</t>
        </is>
      </c>
      <c r="D408" s="8" t="n">
        <v>2701.67</v>
      </c>
      <c r="E408" s="7" t="n">
        <v>2024</v>
      </c>
      <c r="F408" s="7" t="n">
        <v>11</v>
      </c>
      <c r="G408" s="7" t="inlineStr">
        <is>
          <t>2024-03-13</t>
        </is>
      </c>
      <c r="H408" s="9" t="inlineStr">
        <is>
          <t>https://www.100ppi.com/news/detail-20240313-3181887.html</t>
        </is>
      </c>
      <c r="I408" s="7" t="inlineStr">
        <is>
          <t>3月13日生意社甲醇基准价为2701.67元/吨</t>
        </is>
      </c>
    </row>
    <row r="409">
      <c r="A409" s="7" t="n">
        <v>406</v>
      </c>
      <c r="B409" s="7" t="inlineStr">
        <is>
          <t>2024-03-14</t>
        </is>
      </c>
      <c r="C409" s="7" t="inlineStr">
        <is>
          <t>四</t>
        </is>
      </c>
      <c r="D409" s="8" t="n">
        <v>2701.67</v>
      </c>
      <c r="E409" s="7" t="n">
        <v>2024</v>
      </c>
      <c r="F409" s="7" t="n">
        <v>11</v>
      </c>
      <c r="G409" s="7" t="inlineStr">
        <is>
          <t>2024-03-14</t>
        </is>
      </c>
      <c r="H409" s="9" t="inlineStr">
        <is>
          <t>https://www.100ppi.com/news/detail-20240314-3184810.html</t>
        </is>
      </c>
      <c r="I409" s="7" t="inlineStr">
        <is>
          <t>3月14日生意社甲醇基准价为2701.67元/吨</t>
        </is>
      </c>
    </row>
    <row r="410">
      <c r="A410" s="7" t="n">
        <v>407</v>
      </c>
      <c r="B410" s="7" t="inlineStr">
        <is>
          <t>2024-03-15</t>
        </is>
      </c>
      <c r="C410" s="7" t="inlineStr">
        <is>
          <t>五</t>
        </is>
      </c>
      <c r="D410" s="8" t="n">
        <v>2710</v>
      </c>
      <c r="E410" s="7" t="n">
        <v>2024</v>
      </c>
      <c r="F410" s="7" t="n">
        <v>11</v>
      </c>
      <c r="G410" s="7" t="inlineStr">
        <is>
          <t>2024-03-15</t>
        </is>
      </c>
      <c r="H410" s="9" t="inlineStr">
        <is>
          <t>https://www.100ppi.com/news/detail-20240315-3187587.html</t>
        </is>
      </c>
      <c r="I410" s="7" t="inlineStr">
        <is>
          <t>3月15日生意社甲醇基准价为2710.00元/吨</t>
        </is>
      </c>
    </row>
    <row r="411">
      <c r="A411" s="7" t="n">
        <v>408</v>
      </c>
      <c r="B411" s="7" t="inlineStr">
        <is>
          <t>2024-03-18</t>
        </is>
      </c>
      <c r="C411" s="7" t="inlineStr">
        <is>
          <t>一</t>
        </is>
      </c>
      <c r="D411" s="8" t="n">
        <v>2721.67</v>
      </c>
      <c r="E411" s="7" t="n">
        <v>2024</v>
      </c>
      <c r="F411" s="7" t="n">
        <v>12</v>
      </c>
      <c r="G411" s="7" t="inlineStr">
        <is>
          <t>2024-03-18</t>
        </is>
      </c>
      <c r="H411" s="9" t="inlineStr">
        <is>
          <t>https://www.100ppi.com/news/detail-20240318-3192370.html</t>
        </is>
      </c>
      <c r="I411" s="7" t="inlineStr">
        <is>
          <t>3月18日生意社甲醇基准价为2721.67元/吨</t>
        </is>
      </c>
    </row>
    <row r="412">
      <c r="A412" s="7" t="n">
        <v>409</v>
      </c>
      <c r="B412" s="7" t="inlineStr">
        <is>
          <t>2024-03-19</t>
        </is>
      </c>
      <c r="C412" s="7" t="inlineStr">
        <is>
          <t>二</t>
        </is>
      </c>
      <c r="D412" s="8" t="n">
        <v>2701.67</v>
      </c>
      <c r="E412" s="7" t="n">
        <v>2024</v>
      </c>
      <c r="F412" s="7" t="n">
        <v>12</v>
      </c>
      <c r="G412" s="7" t="inlineStr">
        <is>
          <t>2024-03-19</t>
        </is>
      </c>
      <c r="H412" s="9" t="inlineStr">
        <is>
          <t>https://www.100ppi.com/news/detail-20240319-3195436.html</t>
        </is>
      </c>
      <c r="I412" s="7" t="inlineStr">
        <is>
          <t>3月19日生意社甲醇基准价为2701.67元/吨</t>
        </is>
      </c>
    </row>
    <row r="413">
      <c r="A413" s="7" t="n">
        <v>410</v>
      </c>
      <c r="B413" s="7" t="inlineStr">
        <is>
          <t>2024-03-20</t>
        </is>
      </c>
      <c r="C413" s="7" t="inlineStr">
        <is>
          <t>三</t>
        </is>
      </c>
      <c r="D413" s="8" t="n">
        <v>2735.83</v>
      </c>
      <c r="E413" s="7" t="n">
        <v>2024</v>
      </c>
      <c r="F413" s="7" t="n">
        <v>12</v>
      </c>
      <c r="G413" s="7" t="inlineStr">
        <is>
          <t>2024-03-20</t>
        </is>
      </c>
      <c r="H413" s="9" t="inlineStr">
        <is>
          <t>https://www.100ppi.com/news/detail-20240320-3198265.html</t>
        </is>
      </c>
      <c r="I413" s="7" t="inlineStr">
        <is>
          <t>3月20日生意社甲醇基准价为2735.83元/吨</t>
        </is>
      </c>
    </row>
    <row r="414">
      <c r="A414" s="7" t="n">
        <v>411</v>
      </c>
      <c r="B414" s="7" t="inlineStr">
        <is>
          <t>2024-03-21</t>
        </is>
      </c>
      <c r="C414" s="7" t="inlineStr">
        <is>
          <t>四</t>
        </is>
      </c>
      <c r="D414" s="8" t="n">
        <v>2723.33</v>
      </c>
      <c r="E414" s="7" t="n">
        <v>2024</v>
      </c>
      <c r="F414" s="7" t="n">
        <v>12</v>
      </c>
      <c r="G414" s="7" t="inlineStr">
        <is>
          <t>2024-03-21</t>
        </is>
      </c>
      <c r="H414" s="9" t="inlineStr">
        <is>
          <t>https://www.100ppi.com/news/detail-20240321-3201098.html</t>
        </is>
      </c>
      <c r="I414" s="7" t="inlineStr">
        <is>
          <t>3月21日生意社甲醇基准价为2723.33元/吨</t>
        </is>
      </c>
    </row>
    <row r="415">
      <c r="A415" s="7" t="n">
        <v>412</v>
      </c>
      <c r="B415" s="7" t="inlineStr">
        <is>
          <t>2024-03-22</t>
        </is>
      </c>
      <c r="C415" s="7" t="inlineStr">
        <is>
          <t>五</t>
        </is>
      </c>
      <c r="D415" s="8" t="n">
        <v>2685.83</v>
      </c>
      <c r="E415" s="7" t="n">
        <v>2024</v>
      </c>
      <c r="F415" s="7" t="n">
        <v>12</v>
      </c>
      <c r="G415" s="7" t="inlineStr">
        <is>
          <t>2024-03-22</t>
        </is>
      </c>
      <c r="H415" s="9" t="inlineStr">
        <is>
          <t>https://www.100ppi.com/news/detail-20240322-3203883.html</t>
        </is>
      </c>
      <c r="I415" s="7" t="inlineStr">
        <is>
          <t>3月22日生意社甲醇基准价为2685.83元/吨</t>
        </is>
      </c>
    </row>
    <row r="416">
      <c r="A416" s="7" t="n">
        <v>413</v>
      </c>
      <c r="B416" s="7" t="inlineStr">
        <is>
          <t>2024-03-25</t>
        </is>
      </c>
      <c r="C416" s="7" t="inlineStr">
        <is>
          <t>一</t>
        </is>
      </c>
      <c r="D416" s="8" t="n">
        <v>2670</v>
      </c>
      <c r="E416" s="7" t="n">
        <v>2024</v>
      </c>
      <c r="F416" s="7" t="n">
        <v>13</v>
      </c>
      <c r="G416" s="7" t="inlineStr">
        <is>
          <t>2024-03-25</t>
        </is>
      </c>
      <c r="H416" s="9" t="inlineStr">
        <is>
          <t>https://www.100ppi.com/news/detail-20240325-3208053.html</t>
        </is>
      </c>
      <c r="I416" s="7" t="inlineStr">
        <is>
          <t>3月25日生意社甲醇基准价为2670.00元/吨</t>
        </is>
      </c>
    </row>
    <row r="417">
      <c r="A417" s="7" t="n">
        <v>414</v>
      </c>
      <c r="B417" s="7" t="inlineStr">
        <is>
          <t>2024-03-26</t>
        </is>
      </c>
      <c r="C417" s="7" t="inlineStr">
        <is>
          <t>二</t>
        </is>
      </c>
      <c r="D417" s="8" t="n">
        <v>2685.83</v>
      </c>
      <c r="E417" s="7" t="n">
        <v>2024</v>
      </c>
      <c r="F417" s="7" t="n">
        <v>13</v>
      </c>
      <c r="G417" s="7" t="inlineStr">
        <is>
          <t>2024-03-26</t>
        </is>
      </c>
      <c r="H417" s="9" t="inlineStr">
        <is>
          <t>https://www.100ppi.com/news/detail-20240326-3211056.html</t>
        </is>
      </c>
      <c r="I417" s="7" t="inlineStr">
        <is>
          <t>3月26日生意社甲醇基准价为2685.83元/吨</t>
        </is>
      </c>
    </row>
    <row r="418">
      <c r="A418" s="7" t="n">
        <v>415</v>
      </c>
      <c r="B418" s="7" t="inlineStr">
        <is>
          <t>2024-03-27</t>
        </is>
      </c>
      <c r="C418" s="7" t="inlineStr">
        <is>
          <t>三</t>
        </is>
      </c>
      <c r="D418" s="8" t="n">
        <v>2654.17</v>
      </c>
      <c r="E418" s="7" t="n">
        <v>2024</v>
      </c>
      <c r="F418" s="7" t="n">
        <v>13</v>
      </c>
      <c r="G418" s="7" t="inlineStr">
        <is>
          <t>2024-03-27</t>
        </is>
      </c>
      <c r="H418" s="9" t="inlineStr">
        <is>
          <t>https://www.100ppi.com/news/detail-20240327-3214126.html</t>
        </is>
      </c>
      <c r="I418" s="7" t="inlineStr">
        <is>
          <t>3月27日生意社甲醇基准价为2654.17元/吨</t>
        </is>
      </c>
    </row>
    <row r="419">
      <c r="A419" s="7" t="n">
        <v>416</v>
      </c>
      <c r="B419" s="7" t="inlineStr">
        <is>
          <t>2024-03-28</t>
        </is>
      </c>
      <c r="C419" s="7" t="inlineStr">
        <is>
          <t>四</t>
        </is>
      </c>
      <c r="D419" s="8" t="n">
        <v>2636.67</v>
      </c>
      <c r="E419" s="7" t="n">
        <v>2024</v>
      </c>
      <c r="F419" s="7" t="n">
        <v>13</v>
      </c>
      <c r="G419" s="7" t="inlineStr">
        <is>
          <t>2024-03-28</t>
        </is>
      </c>
      <c r="H419" s="9" t="inlineStr">
        <is>
          <t>https://www.100ppi.com/news/detail-20240328-3217180.html</t>
        </is>
      </c>
      <c r="I419" s="7" t="inlineStr">
        <is>
          <t>3月28日生意社甲醇基准价为2636.67元/吨</t>
        </is>
      </c>
    </row>
    <row r="420">
      <c r="A420" s="7" t="n">
        <v>417</v>
      </c>
      <c r="B420" s="7" t="inlineStr">
        <is>
          <t>2024-03-29</t>
        </is>
      </c>
      <c r="C420" s="7" t="inlineStr">
        <is>
          <t>五</t>
        </is>
      </c>
      <c r="D420" s="8" t="n">
        <v>2583.33</v>
      </c>
      <c r="E420" s="7" t="n">
        <v>2024</v>
      </c>
      <c r="F420" s="7" t="n">
        <v>13</v>
      </c>
      <c r="G420" s="7" t="inlineStr">
        <is>
          <t>2024-03-29</t>
        </is>
      </c>
      <c r="H420" s="9" t="inlineStr">
        <is>
          <t>https://www.100ppi.com/news/detail-20240329-3220174.html</t>
        </is>
      </c>
      <c r="I420" s="7" t="inlineStr">
        <is>
          <t>3月29日生意社甲醇基准价为2583.33元/吨</t>
        </is>
      </c>
    </row>
    <row r="421">
      <c r="A421" s="7" t="n">
        <v>418</v>
      </c>
      <c r="B421" s="7" t="inlineStr">
        <is>
          <t>2024-04-01</t>
        </is>
      </c>
      <c r="C421" s="7" t="inlineStr">
        <is>
          <t>一</t>
        </is>
      </c>
      <c r="D421" s="8" t="n">
        <v>2593.33</v>
      </c>
      <c r="E421" s="7" t="n">
        <v>2024</v>
      </c>
      <c r="F421" s="7" t="n">
        <v>14</v>
      </c>
      <c r="G421" s="7" t="inlineStr">
        <is>
          <t>2024-04-01</t>
        </is>
      </c>
      <c r="H421" s="9" t="inlineStr">
        <is>
          <t>https://www.100ppi.com/news/detail-20240401-3224864.html</t>
        </is>
      </c>
      <c r="I421" s="7" t="inlineStr">
        <is>
          <t>4月1日生意社甲醇基准价为2593.33元/吨</t>
        </is>
      </c>
    </row>
    <row r="422">
      <c r="A422" s="7" t="n">
        <v>419</v>
      </c>
      <c r="B422" s="7" t="inlineStr">
        <is>
          <t>2024-04-02</t>
        </is>
      </c>
      <c r="C422" s="7" t="inlineStr">
        <is>
          <t>二</t>
        </is>
      </c>
      <c r="D422" s="8" t="n">
        <v>2623.33</v>
      </c>
      <c r="E422" s="7" t="n">
        <v>2024</v>
      </c>
      <c r="F422" s="7" t="n">
        <v>14</v>
      </c>
      <c r="G422" s="7" t="inlineStr">
        <is>
          <t>2024-04-02</t>
        </is>
      </c>
      <c r="H422" s="9" t="inlineStr">
        <is>
          <t>https://www.100ppi.com/news/detail-20240402-3227690.html</t>
        </is>
      </c>
      <c r="I422" s="7" t="inlineStr">
        <is>
          <t>4月2日生意社甲醇基准价为2623.33元/吨</t>
        </is>
      </c>
    </row>
    <row r="423">
      <c r="A423" s="7" t="n">
        <v>420</v>
      </c>
      <c r="B423" s="7" t="inlineStr">
        <is>
          <t>2024-04-03</t>
        </is>
      </c>
      <c r="C423" s="7" t="inlineStr">
        <is>
          <t>三</t>
        </is>
      </c>
      <c r="D423" s="8" t="n">
        <v>2628.33</v>
      </c>
      <c r="E423" s="7" t="n">
        <v>2024</v>
      </c>
      <c r="F423" s="7" t="n">
        <v>14</v>
      </c>
      <c r="G423" s="7" t="inlineStr">
        <is>
          <t>2024-04-03</t>
        </is>
      </c>
      <c r="H423" s="9" t="inlineStr">
        <is>
          <t>https://www.100ppi.com/news/detail-20240403-3230787.html</t>
        </is>
      </c>
      <c r="I423" s="7" t="inlineStr">
        <is>
          <t>4月3日生意社甲醇基准价为2628.33元/吨</t>
        </is>
      </c>
    </row>
    <row r="424">
      <c r="A424" s="7" t="n">
        <v>421</v>
      </c>
      <c r="B424" s="7" t="inlineStr">
        <is>
          <t>2024-04-04</t>
        </is>
      </c>
      <c r="C424" s="7" t="inlineStr">
        <is>
          <t>四</t>
        </is>
      </c>
      <c r="D424" s="8" t="n">
        <v>2610</v>
      </c>
      <c r="E424" s="7" t="n">
        <v>2024</v>
      </c>
      <c r="F424" s="7" t="n">
        <v>14</v>
      </c>
      <c r="G424" s="7" t="inlineStr">
        <is>
          <t>2024-04-04</t>
        </is>
      </c>
      <c r="H424" s="9" t="inlineStr">
        <is>
          <t>https://www.100ppi.com/news/detail-20240404-3233828.html</t>
        </is>
      </c>
      <c r="I424" s="7" t="inlineStr">
        <is>
          <t>4月4日生意社甲醇基准价为2610.00元/吨</t>
        </is>
      </c>
    </row>
    <row r="425">
      <c r="A425" s="7" t="n">
        <v>422</v>
      </c>
      <c r="B425" s="7" t="inlineStr">
        <is>
          <t>2024-04-05</t>
        </is>
      </c>
      <c r="C425" s="7" t="inlineStr">
        <is>
          <t>五</t>
        </is>
      </c>
      <c r="D425" s="8" t="n">
        <v>2610</v>
      </c>
      <c r="E425" s="7" t="n">
        <v>2024</v>
      </c>
      <c r="F425" s="7" t="n">
        <v>14</v>
      </c>
      <c r="G425" s="7" t="inlineStr">
        <is>
          <t>2024-04-05</t>
        </is>
      </c>
      <c r="H425" s="9" t="inlineStr">
        <is>
          <t>https://www.100ppi.com/news/detail-20240405-3234927.html</t>
        </is>
      </c>
      <c r="I425" s="7" t="inlineStr">
        <is>
          <t>4月5日生意社甲醇基准价为2610.00元/吨</t>
        </is>
      </c>
    </row>
    <row r="426">
      <c r="A426" s="7" t="n">
        <v>423</v>
      </c>
      <c r="B426" s="7" t="inlineStr">
        <is>
          <t>2024-04-08</t>
        </is>
      </c>
      <c r="C426" s="7" t="inlineStr">
        <is>
          <t>一</t>
        </is>
      </c>
      <c r="D426" s="8" t="n">
        <v>2615.83</v>
      </c>
      <c r="E426" s="7" t="n">
        <v>2024</v>
      </c>
      <c r="F426" s="7" t="n">
        <v>15</v>
      </c>
      <c r="G426" s="7" t="inlineStr">
        <is>
          <t>2024-04-08</t>
        </is>
      </c>
      <c r="H426" s="9" t="inlineStr">
        <is>
          <t>https://www.100ppi.com/news/detail-20240408-3239296.html</t>
        </is>
      </c>
      <c r="I426" s="7" t="inlineStr">
        <is>
          <t>4月8日生意社甲醇基准价为2615.83元/吨</t>
        </is>
      </c>
    </row>
    <row r="427">
      <c r="A427" s="7" t="n">
        <v>424</v>
      </c>
      <c r="B427" s="7" t="inlineStr">
        <is>
          <t>2024-04-09</t>
        </is>
      </c>
      <c r="C427" s="7" t="inlineStr">
        <is>
          <t>二</t>
        </is>
      </c>
      <c r="D427" s="8" t="n">
        <v>2580</v>
      </c>
      <c r="E427" s="7" t="n">
        <v>2024</v>
      </c>
      <c r="F427" s="7" t="n">
        <v>15</v>
      </c>
      <c r="G427" s="7" t="inlineStr">
        <is>
          <t>2024-04-09</t>
        </is>
      </c>
      <c r="H427" s="9" t="inlineStr">
        <is>
          <t>https://www.100ppi.com/news/detail-20240409-3242245.html</t>
        </is>
      </c>
      <c r="I427" s="7" t="inlineStr">
        <is>
          <t>4月9日生意社甲醇基准价为2580.00元/吨</t>
        </is>
      </c>
    </row>
    <row r="428">
      <c r="A428" s="7" t="n">
        <v>425</v>
      </c>
      <c r="B428" s="7" t="inlineStr">
        <is>
          <t>2024-04-10</t>
        </is>
      </c>
      <c r="C428" s="7" t="inlineStr">
        <is>
          <t>三</t>
        </is>
      </c>
      <c r="D428" s="8" t="n">
        <v>2545.83</v>
      </c>
      <c r="E428" s="7" t="n">
        <v>2024</v>
      </c>
      <c r="F428" s="7" t="n">
        <v>15</v>
      </c>
      <c r="G428" s="7" t="inlineStr">
        <is>
          <t>2024-04-10</t>
        </is>
      </c>
      <c r="H428" s="9" t="inlineStr">
        <is>
          <t>https://www.100ppi.com/news/detail-20240410-3245304.html</t>
        </is>
      </c>
      <c r="I428" s="7" t="inlineStr">
        <is>
          <t>4月10日生意社甲醇基准价为2545.83元/吨</t>
        </is>
      </c>
    </row>
    <row r="429">
      <c r="A429" s="7" t="n">
        <v>426</v>
      </c>
      <c r="B429" s="7" t="inlineStr">
        <is>
          <t>2024-04-11</t>
        </is>
      </c>
      <c r="C429" s="7" t="inlineStr">
        <is>
          <t>四</t>
        </is>
      </c>
      <c r="D429" s="8" t="n">
        <v>2571.67</v>
      </c>
      <c r="E429" s="7" t="n">
        <v>2024</v>
      </c>
      <c r="F429" s="7" t="n">
        <v>15</v>
      </c>
      <c r="G429" s="7" t="inlineStr">
        <is>
          <t>2024-04-11</t>
        </is>
      </c>
      <c r="H429" s="9" t="inlineStr">
        <is>
          <t>https://www.100ppi.com/news/detail-20240411-3248123.html</t>
        </is>
      </c>
      <c r="I429" s="7" t="inlineStr">
        <is>
          <t>4月11日生意社甲醇基准价为2571.67元/吨</t>
        </is>
      </c>
    </row>
    <row r="430">
      <c r="A430" s="7" t="n">
        <v>427</v>
      </c>
      <c r="B430" s="7" t="inlineStr">
        <is>
          <t>2024-04-12</t>
        </is>
      </c>
      <c r="C430" s="7" t="inlineStr">
        <is>
          <t>五</t>
        </is>
      </c>
      <c r="D430" s="8" t="n">
        <v>2580</v>
      </c>
      <c r="E430" s="7" t="n">
        <v>2024</v>
      </c>
      <c r="F430" s="7" t="n">
        <v>15</v>
      </c>
      <c r="G430" s="7" t="inlineStr">
        <is>
          <t>2024-04-12</t>
        </is>
      </c>
      <c r="H430" s="9" t="inlineStr">
        <is>
          <t>https://www.100ppi.com/news/detail-20240412-3251195.html</t>
        </is>
      </c>
      <c r="I430" s="7" t="inlineStr">
        <is>
          <t>4月12日生意社甲醇基准价为2580.00元/吨</t>
        </is>
      </c>
    </row>
    <row r="431">
      <c r="A431" s="7" t="n">
        <v>428</v>
      </c>
      <c r="B431" s="7" t="inlineStr">
        <is>
          <t>2024-04-15</t>
        </is>
      </c>
      <c r="C431" s="7" t="inlineStr">
        <is>
          <t>一</t>
        </is>
      </c>
      <c r="D431" s="8" t="n">
        <v>2580</v>
      </c>
      <c r="E431" s="7" t="n">
        <v>2024</v>
      </c>
      <c r="F431" s="7" t="n">
        <v>16</v>
      </c>
      <c r="G431" s="7" t="inlineStr">
        <is>
          <t>2024-04-15</t>
        </is>
      </c>
      <c r="H431" s="9" t="inlineStr">
        <is>
          <t>https://www.100ppi.com/news/detail-20240415-3255789.html</t>
        </is>
      </c>
      <c r="I431" s="7" t="inlineStr">
        <is>
          <t>4月15日生意社甲醇基准价为2580.00元/吨</t>
        </is>
      </c>
    </row>
    <row r="432">
      <c r="A432" s="7" t="n">
        <v>429</v>
      </c>
      <c r="B432" s="7" t="inlineStr">
        <is>
          <t>2024-04-16</t>
        </is>
      </c>
      <c r="C432" s="7" t="inlineStr">
        <is>
          <t>二</t>
        </is>
      </c>
      <c r="D432" s="8" t="n">
        <v>2645.83</v>
      </c>
      <c r="E432" s="7" t="n">
        <v>2024</v>
      </c>
      <c r="F432" s="7" t="n">
        <v>16</v>
      </c>
      <c r="G432" s="7" t="inlineStr">
        <is>
          <t>2024-04-16</t>
        </is>
      </c>
      <c r="H432" s="9" t="inlineStr">
        <is>
          <t>https://www.100ppi.com/news/detail-20240416-3258969.html</t>
        </is>
      </c>
      <c r="I432" s="7" t="inlineStr">
        <is>
          <t>4月16日生意社甲醇基准价为2645.83元/吨</t>
        </is>
      </c>
    </row>
    <row r="433">
      <c r="A433" s="7" t="n">
        <v>430</v>
      </c>
      <c r="B433" s="7" t="inlineStr">
        <is>
          <t>2024-04-17</t>
        </is>
      </c>
      <c r="C433" s="7" t="inlineStr">
        <is>
          <t>三</t>
        </is>
      </c>
      <c r="D433" s="8" t="n">
        <v>2640</v>
      </c>
      <c r="E433" s="7" t="n">
        <v>2024</v>
      </c>
      <c r="F433" s="7" t="n">
        <v>16</v>
      </c>
      <c r="G433" s="7" t="inlineStr">
        <is>
          <t>2024-04-17</t>
        </is>
      </c>
      <c r="H433" s="9" t="inlineStr">
        <is>
          <t>https://www.100ppi.com/news/detail-20240417-3262135.html</t>
        </is>
      </c>
      <c r="I433" s="7" t="inlineStr">
        <is>
          <t>4月17日生意社甲醇基准价为2640.00元/吨</t>
        </is>
      </c>
    </row>
    <row r="434">
      <c r="A434" s="7" t="n">
        <v>431</v>
      </c>
      <c r="B434" s="7" t="inlineStr">
        <is>
          <t>2024-04-18</t>
        </is>
      </c>
      <c r="C434" s="7" t="inlineStr">
        <is>
          <t>四</t>
        </is>
      </c>
      <c r="D434" s="8" t="n">
        <v>2660</v>
      </c>
      <c r="E434" s="7" t="n">
        <v>2024</v>
      </c>
      <c r="F434" s="7" t="n">
        <v>16</v>
      </c>
      <c r="G434" s="7" t="inlineStr">
        <is>
          <t>2024-04-18</t>
        </is>
      </c>
      <c r="H434" s="9" t="inlineStr">
        <is>
          <t>https://www.100ppi.com/news/detail-20240418-3265225.html</t>
        </is>
      </c>
      <c r="I434" s="7" t="inlineStr">
        <is>
          <t>4月18日生意社甲醇基准价为2660.00元/吨</t>
        </is>
      </c>
    </row>
    <row r="435">
      <c r="A435" s="7" t="n">
        <v>432</v>
      </c>
      <c r="B435" s="7" t="inlineStr">
        <is>
          <t>2024-04-19</t>
        </is>
      </c>
      <c r="C435" s="7" t="inlineStr">
        <is>
          <t>五</t>
        </is>
      </c>
      <c r="D435" s="8" t="n">
        <v>2691.67</v>
      </c>
      <c r="E435" s="7" t="n">
        <v>2024</v>
      </c>
      <c r="F435" s="7" t="n">
        <v>16</v>
      </c>
      <c r="G435" s="7" t="inlineStr">
        <is>
          <t>2024-04-19</t>
        </is>
      </c>
      <c r="H435" s="9" t="inlineStr">
        <is>
          <t>https://www.100ppi.com/news/detail-20240419-3268078.html</t>
        </is>
      </c>
      <c r="I435" s="7" t="inlineStr">
        <is>
          <t>4月19日生意社甲醇基准价为2691.67元/吨</t>
        </is>
      </c>
    </row>
    <row r="436">
      <c r="A436" s="7" t="n">
        <v>433</v>
      </c>
      <c r="B436" s="7" t="inlineStr">
        <is>
          <t>2024-04-22</t>
        </is>
      </c>
      <c r="C436" s="7" t="inlineStr">
        <is>
          <t>一</t>
        </is>
      </c>
      <c r="D436" s="8" t="n">
        <v>2713.33</v>
      </c>
      <c r="E436" s="7" t="n">
        <v>2024</v>
      </c>
      <c r="F436" s="7" t="n">
        <v>17</v>
      </c>
      <c r="G436" s="7" t="inlineStr">
        <is>
          <t>2024-04-22</t>
        </is>
      </c>
      <c r="H436" s="9" t="inlineStr">
        <is>
          <t>https://www.100ppi.com/news/detail-20240422-3272927.html</t>
        </is>
      </c>
      <c r="I436" s="7" t="inlineStr">
        <is>
          <t>4月22日生意社甲醇基准价为2713.33元/吨</t>
        </is>
      </c>
    </row>
    <row r="437">
      <c r="A437" s="7" t="n">
        <v>434</v>
      </c>
      <c r="B437" s="7" t="inlineStr">
        <is>
          <t>2024-04-23</t>
        </is>
      </c>
      <c r="C437" s="7" t="inlineStr">
        <is>
          <t>二</t>
        </is>
      </c>
      <c r="D437" s="8" t="n">
        <v>2715.83</v>
      </c>
      <c r="E437" s="7" t="n">
        <v>2024</v>
      </c>
      <c r="F437" s="7" t="n">
        <v>17</v>
      </c>
      <c r="G437" s="7" t="inlineStr">
        <is>
          <t>2024-04-23</t>
        </is>
      </c>
      <c r="H437" s="9" t="inlineStr">
        <is>
          <t>https://www.100ppi.com/news/detail-20240423-3276262.html</t>
        </is>
      </c>
      <c r="I437" s="7" t="inlineStr">
        <is>
          <t>4月23日生意社甲醇基准价为2715.83元/吨</t>
        </is>
      </c>
    </row>
    <row r="438">
      <c r="A438" s="7" t="n">
        <v>435</v>
      </c>
      <c r="B438" s="7" t="inlineStr">
        <is>
          <t>2024-04-24</t>
        </is>
      </c>
      <c r="C438" s="7" t="inlineStr">
        <is>
          <t>三</t>
        </is>
      </c>
      <c r="D438" s="8" t="n">
        <v>2700</v>
      </c>
      <c r="E438" s="7" t="n">
        <v>2024</v>
      </c>
      <c r="F438" s="7" t="n">
        <v>17</v>
      </c>
      <c r="G438" s="7" t="inlineStr">
        <is>
          <t>2024-04-24</t>
        </is>
      </c>
      <c r="H438" s="9" t="inlineStr">
        <is>
          <t>https://www.100ppi.com/news/detail-20240424-3279176.html</t>
        </is>
      </c>
      <c r="I438" s="7" t="inlineStr">
        <is>
          <t>4月24日生意社甲醇基准价为2700.00元/吨</t>
        </is>
      </c>
    </row>
    <row r="439">
      <c r="A439" s="7" t="n">
        <v>436</v>
      </c>
      <c r="B439" s="7" t="inlineStr">
        <is>
          <t>2024-04-25</t>
        </is>
      </c>
      <c r="C439" s="7" t="inlineStr">
        <is>
          <t>四</t>
        </is>
      </c>
      <c r="D439" s="8" t="n">
        <v>2650</v>
      </c>
      <c r="E439" s="7" t="n">
        <v>2024</v>
      </c>
      <c r="F439" s="7" t="n">
        <v>17</v>
      </c>
      <c r="G439" s="7" t="inlineStr">
        <is>
          <t>2024-04-25</t>
        </is>
      </c>
      <c r="H439" s="9" t="inlineStr">
        <is>
          <t>https://www.100ppi.com/news/detail-20240425-3282315.html</t>
        </is>
      </c>
      <c r="I439" s="7" t="inlineStr">
        <is>
          <t>4月25日生意社甲醇基准价为2650.00元/吨</t>
        </is>
      </c>
    </row>
    <row r="440">
      <c r="A440" s="7" t="n">
        <v>437</v>
      </c>
      <c r="B440" s="7" t="inlineStr">
        <is>
          <t>2024-04-26</t>
        </is>
      </c>
      <c r="C440" s="7" t="inlineStr">
        <is>
          <t>五</t>
        </is>
      </c>
      <c r="D440" s="8" t="n">
        <v>2611.67</v>
      </c>
      <c r="E440" s="7" t="n">
        <v>2024</v>
      </c>
      <c r="F440" s="7" t="n">
        <v>17</v>
      </c>
      <c r="G440" s="7" t="inlineStr">
        <is>
          <t>2024-04-26</t>
        </is>
      </c>
      <c r="H440" s="9" t="inlineStr">
        <is>
          <t>https://www.100ppi.com/news/detail-20240426-3285446.html</t>
        </is>
      </c>
      <c r="I440" s="7" t="inlineStr">
        <is>
          <t>4月26日生意社甲醇基准价为2611.67元/吨</t>
        </is>
      </c>
    </row>
    <row r="441">
      <c r="A441" s="7" t="n">
        <v>438</v>
      </c>
      <c r="B441" s="7" t="inlineStr">
        <is>
          <t>2024-04-29</t>
        </is>
      </c>
      <c r="C441" s="7" t="inlineStr">
        <is>
          <t>一</t>
        </is>
      </c>
      <c r="D441" s="8" t="n">
        <v>2632.5</v>
      </c>
      <c r="E441" s="7" t="n">
        <v>2024</v>
      </c>
      <c r="F441" s="7" t="n">
        <v>18</v>
      </c>
      <c r="G441" s="7" t="inlineStr">
        <is>
          <t>2024-04-29</t>
        </is>
      </c>
      <c r="H441" s="9" t="inlineStr">
        <is>
          <t>https://www.100ppi.com/news/detail-20240429-3292357.html</t>
        </is>
      </c>
      <c r="I441" s="7" t="inlineStr">
        <is>
          <t>4月29日生意社甲醇基准价为2632.50元/吨</t>
        </is>
      </c>
    </row>
    <row r="442">
      <c r="A442" s="7" t="n">
        <v>439</v>
      </c>
      <c r="B442" s="7" t="inlineStr">
        <is>
          <t>2024-04-30</t>
        </is>
      </c>
      <c r="C442" s="7" t="inlineStr">
        <is>
          <t>二</t>
        </is>
      </c>
      <c r="D442" s="8" t="n">
        <v>2649.17</v>
      </c>
      <c r="E442" s="7" t="n">
        <v>2024</v>
      </c>
      <c r="F442" s="7" t="n">
        <v>18</v>
      </c>
      <c r="G442" s="7" t="inlineStr">
        <is>
          <t>2024-04-30</t>
        </is>
      </c>
      <c r="H442" s="9" t="inlineStr">
        <is>
          <t>https://www.100ppi.com/news/detail-20240430-3295054.html</t>
        </is>
      </c>
      <c r="I442" s="7" t="inlineStr">
        <is>
          <t>4月30日生意社甲醇基准价为2649.17元/吨</t>
        </is>
      </c>
    </row>
    <row r="443">
      <c r="A443" s="7" t="n">
        <v>440</v>
      </c>
      <c r="B443" s="7" t="inlineStr">
        <is>
          <t>2024-05-01</t>
        </is>
      </c>
      <c r="C443" s="7" t="inlineStr">
        <is>
          <t>三</t>
        </is>
      </c>
      <c r="D443" s="8" t="n">
        <v>2651.67</v>
      </c>
      <c r="E443" s="7" t="n">
        <v>2024</v>
      </c>
      <c r="F443" s="7" t="n">
        <v>18</v>
      </c>
      <c r="G443" s="7" t="inlineStr">
        <is>
          <t>2024-05-01</t>
        </is>
      </c>
      <c r="H443" s="9" t="inlineStr">
        <is>
          <t>https://www.100ppi.com/news/detail-20240501-3297972.html</t>
        </is>
      </c>
      <c r="I443" s="7" t="inlineStr">
        <is>
          <t>5月1日生意社甲醇基准价为2651.67元/吨</t>
        </is>
      </c>
    </row>
    <row r="444">
      <c r="A444" s="7" t="n">
        <v>441</v>
      </c>
      <c r="B444" s="7" t="inlineStr">
        <is>
          <t>2024-05-02</t>
        </is>
      </c>
      <c r="C444" s="7" t="inlineStr">
        <is>
          <t>四</t>
        </is>
      </c>
      <c r="D444" s="8" t="n">
        <v>2651.67</v>
      </c>
      <c r="E444" s="7" t="n">
        <v>2024</v>
      </c>
      <c r="F444" s="7" t="n">
        <v>18</v>
      </c>
      <c r="G444" s="7" t="inlineStr">
        <is>
          <t>2024-05-02</t>
        </is>
      </c>
      <c r="H444" s="9" t="inlineStr">
        <is>
          <t>https://www.100ppi.com/news/detail-20240502-3298747.html</t>
        </is>
      </c>
      <c r="I444" s="7" t="inlineStr">
        <is>
          <t>5月2日生意社甲醇基准价为2651.67元/吨</t>
        </is>
      </c>
    </row>
    <row r="445">
      <c r="A445" s="7" t="n">
        <v>442</v>
      </c>
      <c r="B445" s="7" t="inlineStr">
        <is>
          <t>2024-05-03</t>
        </is>
      </c>
      <c r="C445" s="7" t="inlineStr">
        <is>
          <t>五</t>
        </is>
      </c>
      <c r="D445" s="8" t="n">
        <v>2651.67</v>
      </c>
      <c r="E445" s="7" t="n">
        <v>2024</v>
      </c>
      <c r="F445" s="7" t="n">
        <v>18</v>
      </c>
      <c r="G445" s="7" t="inlineStr">
        <is>
          <t>2024-05-03</t>
        </is>
      </c>
      <c r="H445" s="9" t="inlineStr">
        <is>
          <t>https://www.100ppi.com/news/detail-20240503-3299469.html</t>
        </is>
      </c>
      <c r="I445" s="7" t="inlineStr">
        <is>
          <t>5月3日生意社甲醇基准价为2651.67元/吨</t>
        </is>
      </c>
    </row>
    <row r="446">
      <c r="A446" s="7" t="n">
        <v>443</v>
      </c>
      <c r="B446" s="7" t="inlineStr">
        <is>
          <t>2024-05-06</t>
        </is>
      </c>
      <c r="C446" s="7" t="inlineStr">
        <is>
          <t>一</t>
        </is>
      </c>
      <c r="D446" s="8" t="n">
        <v>2651.67</v>
      </c>
      <c r="E446" s="7" t="n">
        <v>2024</v>
      </c>
      <c r="F446" s="7" t="n">
        <v>19</v>
      </c>
      <c r="G446" s="7" t="inlineStr">
        <is>
          <t>2024-05-06</t>
        </is>
      </c>
      <c r="H446" s="9" t="inlineStr">
        <is>
          <t>https://www.100ppi.com/news/detail-20240506-3301965.html</t>
        </is>
      </c>
      <c r="I446" s="7" t="inlineStr">
        <is>
          <t>5月6日生意社甲醇基准价为2651.67元/吨</t>
        </is>
      </c>
    </row>
    <row r="447">
      <c r="A447" s="7" t="n">
        <v>444</v>
      </c>
      <c r="B447" s="7" t="inlineStr">
        <is>
          <t>2024-05-07</t>
        </is>
      </c>
      <c r="C447" s="7" t="inlineStr">
        <is>
          <t>二</t>
        </is>
      </c>
      <c r="D447" s="8" t="n">
        <v>2635.83</v>
      </c>
      <c r="E447" s="7" t="n">
        <v>2024</v>
      </c>
      <c r="F447" s="7" t="n">
        <v>19</v>
      </c>
      <c r="G447" s="7" t="inlineStr">
        <is>
          <t>2024-05-07</t>
        </is>
      </c>
      <c r="H447" s="9" t="inlineStr">
        <is>
          <t>https://www.100ppi.com/news/detail-20240507-3305165.html</t>
        </is>
      </c>
      <c r="I447" s="7" t="inlineStr">
        <is>
          <t>5月7日生意社甲醇基准价为2635.83元/吨</t>
        </is>
      </c>
    </row>
    <row r="448">
      <c r="A448" s="7" t="n">
        <v>445</v>
      </c>
      <c r="B448" s="7" t="inlineStr">
        <is>
          <t>2024-05-08</t>
        </is>
      </c>
      <c r="C448" s="7" t="inlineStr">
        <is>
          <t>三</t>
        </is>
      </c>
      <c r="D448" s="8" t="n">
        <v>2665</v>
      </c>
      <c r="E448" s="7" t="n">
        <v>2024</v>
      </c>
      <c r="F448" s="7" t="n">
        <v>19</v>
      </c>
      <c r="G448" s="7" t="inlineStr">
        <is>
          <t>2024-05-08</t>
        </is>
      </c>
      <c r="H448" s="9" t="inlineStr">
        <is>
          <t>https://www.100ppi.com/news/detail-20240508-3308410.html</t>
        </is>
      </c>
      <c r="I448" s="7" t="inlineStr">
        <is>
          <t>5月8日生意社甲醇基准价为2665.00元/吨</t>
        </is>
      </c>
    </row>
    <row r="449">
      <c r="A449" s="7" t="n">
        <v>446</v>
      </c>
      <c r="B449" s="7" t="inlineStr">
        <is>
          <t>2024-05-09</t>
        </is>
      </c>
      <c r="C449" s="7" t="inlineStr">
        <is>
          <t>四</t>
        </is>
      </c>
      <c r="D449" s="8" t="n">
        <v>2654.17</v>
      </c>
      <c r="E449" s="7" t="n">
        <v>2024</v>
      </c>
      <c r="F449" s="7" t="n">
        <v>19</v>
      </c>
      <c r="G449" s="7" t="inlineStr">
        <is>
          <t>2024-05-09</t>
        </is>
      </c>
      <c r="H449" s="9" t="inlineStr">
        <is>
          <t>https://www.100ppi.com/news/detail-20240509-3311594.html</t>
        </is>
      </c>
      <c r="I449" s="7" t="inlineStr">
        <is>
          <t>5月9日生意社甲醇基准价为2654.17元/吨</t>
        </is>
      </c>
    </row>
    <row r="450">
      <c r="A450" s="7" t="n">
        <v>447</v>
      </c>
      <c r="B450" s="7" t="inlineStr">
        <is>
          <t>2024-05-10</t>
        </is>
      </c>
      <c r="C450" s="7" t="inlineStr">
        <is>
          <t>五</t>
        </is>
      </c>
      <c r="D450" s="8" t="n">
        <v>2670</v>
      </c>
      <c r="E450" s="7" t="n">
        <v>2024</v>
      </c>
      <c r="F450" s="7" t="n">
        <v>19</v>
      </c>
      <c r="G450" s="7" t="inlineStr">
        <is>
          <t>2024-05-10</t>
        </is>
      </c>
      <c r="H450" s="9" t="inlineStr">
        <is>
          <t>https://www.100ppi.com/news/detail-20240510-3314839.html</t>
        </is>
      </c>
      <c r="I450" s="7" t="inlineStr">
        <is>
          <t>5月10日生意社甲醇基准价为2670.00元/吨</t>
        </is>
      </c>
    </row>
    <row r="451">
      <c r="A451" s="7" t="n">
        <v>448</v>
      </c>
      <c r="B451" s="7" t="inlineStr">
        <is>
          <t>2024-05-13</t>
        </is>
      </c>
      <c r="C451" s="7" t="inlineStr">
        <is>
          <t>一</t>
        </is>
      </c>
      <c r="D451" s="8" t="n">
        <v>2684.17</v>
      </c>
      <c r="E451" s="7" t="n">
        <v>2024</v>
      </c>
      <c r="F451" s="7" t="n">
        <v>20</v>
      </c>
      <c r="G451" s="7" t="inlineStr">
        <is>
          <t>2024-05-13</t>
        </is>
      </c>
      <c r="H451" s="9" t="inlineStr">
        <is>
          <t>https://www.100ppi.com/news/detail-20240513-3321493.html</t>
        </is>
      </c>
      <c r="I451" s="7" t="inlineStr">
        <is>
          <t>5月13日生意社甲醇基准价为2684.17元/吨</t>
        </is>
      </c>
    </row>
    <row r="452">
      <c r="A452" s="7" t="n">
        <v>449</v>
      </c>
      <c r="B452" s="7" t="inlineStr">
        <is>
          <t>2024-05-14</t>
        </is>
      </c>
      <c r="C452" s="7" t="inlineStr">
        <is>
          <t>二</t>
        </is>
      </c>
      <c r="D452" s="8" t="n">
        <v>2700</v>
      </c>
      <c r="E452" s="7" t="n">
        <v>2024</v>
      </c>
      <c r="F452" s="7" t="n">
        <v>20</v>
      </c>
      <c r="G452" s="7" t="inlineStr">
        <is>
          <t>2024-05-14</t>
        </is>
      </c>
      <c r="H452" s="9" t="inlineStr">
        <is>
          <t>https://www.100ppi.com/news/detail-20240514-3324881.html</t>
        </is>
      </c>
      <c r="I452" s="7" t="inlineStr">
        <is>
          <t>5月14日生意社甲醇基准价为2700.00元/吨</t>
        </is>
      </c>
    </row>
    <row r="453">
      <c r="A453" s="7" t="n">
        <v>450</v>
      </c>
      <c r="B453" s="7" t="inlineStr">
        <is>
          <t>2024-05-15</t>
        </is>
      </c>
      <c r="C453" s="7" t="inlineStr">
        <is>
          <t>三</t>
        </is>
      </c>
      <c r="D453" s="8" t="n">
        <v>2804.17</v>
      </c>
      <c r="E453" s="7" t="n">
        <v>2024</v>
      </c>
      <c r="F453" s="7" t="n">
        <v>20</v>
      </c>
      <c r="G453" s="7" t="inlineStr">
        <is>
          <t>2024-05-15</t>
        </is>
      </c>
      <c r="H453" s="9" t="inlineStr">
        <is>
          <t>https://www.100ppi.com/news/detail-20240515-3328122.html</t>
        </is>
      </c>
      <c r="I453" s="7" t="inlineStr">
        <is>
          <t>5月15日生意社甲醇基准价为2804.17元/吨</t>
        </is>
      </c>
    </row>
    <row r="454">
      <c r="A454" s="7" t="n">
        <v>451</v>
      </c>
      <c r="B454" s="7" t="inlineStr">
        <is>
          <t>2024-05-16</t>
        </is>
      </c>
      <c r="C454" s="7" t="inlineStr">
        <is>
          <t>四</t>
        </is>
      </c>
      <c r="D454" s="8" t="n">
        <v>2828.33</v>
      </c>
      <c r="E454" s="7" t="n">
        <v>2024</v>
      </c>
      <c r="F454" s="7" t="n">
        <v>20</v>
      </c>
      <c r="G454" s="7" t="inlineStr">
        <is>
          <t>2024-05-16</t>
        </is>
      </c>
      <c r="H454" s="9" t="inlineStr">
        <is>
          <t>https://www.100ppi.com/news/detail-20240516-3331399.html</t>
        </is>
      </c>
      <c r="I454" s="7" t="inlineStr">
        <is>
          <t>5月16日生意社甲醇基准价为2828.33元/吨</t>
        </is>
      </c>
    </row>
    <row r="455">
      <c r="A455" s="7" t="n">
        <v>452</v>
      </c>
      <c r="B455" s="7" t="inlineStr">
        <is>
          <t>2024-05-17</t>
        </is>
      </c>
      <c r="C455" s="7" t="inlineStr">
        <is>
          <t>五</t>
        </is>
      </c>
      <c r="D455" s="8" t="n">
        <v>2864.17</v>
      </c>
      <c r="E455" s="7" t="n">
        <v>2024</v>
      </c>
      <c r="F455" s="7" t="n">
        <v>20</v>
      </c>
      <c r="G455" s="7" t="inlineStr">
        <is>
          <t>2024-05-17</t>
        </is>
      </c>
      <c r="H455" s="9" t="inlineStr">
        <is>
          <t>https://www.100ppi.com/news/detail-20240517-3334595.html</t>
        </is>
      </c>
      <c r="I455" s="7" t="inlineStr">
        <is>
          <t>5月17日生意社甲醇基准价为2864.17元/吨</t>
        </is>
      </c>
    </row>
    <row r="456">
      <c r="A456" s="7" t="n">
        <v>453</v>
      </c>
      <c r="B456" s="7" t="inlineStr">
        <is>
          <t>2024-05-20</t>
        </is>
      </c>
      <c r="C456" s="7" t="inlineStr">
        <is>
          <t>一</t>
        </is>
      </c>
      <c r="D456" s="8" t="n">
        <v>2953.33</v>
      </c>
      <c r="E456" s="7" t="n">
        <v>2024</v>
      </c>
      <c r="F456" s="7" t="n">
        <v>21</v>
      </c>
      <c r="G456" s="7" t="inlineStr">
        <is>
          <t>2024-05-20</t>
        </is>
      </c>
      <c r="H456" s="9" t="inlineStr">
        <is>
          <t>https://www.100ppi.com/news/detail-20240520-3339706.html</t>
        </is>
      </c>
      <c r="I456" s="7" t="inlineStr">
        <is>
          <t>5月20日生意社甲醇基准价为2953.33元/吨</t>
        </is>
      </c>
    </row>
    <row r="457">
      <c r="A457" s="7" t="n">
        <v>454</v>
      </c>
      <c r="B457" s="7" t="inlineStr">
        <is>
          <t>2024-05-21</t>
        </is>
      </c>
      <c r="C457" s="7" t="inlineStr">
        <is>
          <t>二</t>
        </is>
      </c>
      <c r="D457" s="8" t="n">
        <v>3020</v>
      </c>
      <c r="E457" s="7" t="n">
        <v>2024</v>
      </c>
      <c r="F457" s="7" t="n">
        <v>21</v>
      </c>
      <c r="G457" s="7" t="inlineStr">
        <is>
          <t>2024-05-21</t>
        </is>
      </c>
      <c r="H457" s="9" t="inlineStr">
        <is>
          <t>https://www.100ppi.com/news/detail-20240521-3343108.html</t>
        </is>
      </c>
      <c r="I457" s="7" t="inlineStr">
        <is>
          <t>5月21日生意社甲醇基准价为3020.00元/吨</t>
        </is>
      </c>
    </row>
    <row r="458">
      <c r="A458" s="7" t="n">
        <v>455</v>
      </c>
      <c r="B458" s="7" t="inlineStr">
        <is>
          <t>2024-05-22</t>
        </is>
      </c>
      <c r="C458" s="7" t="inlineStr">
        <is>
          <t>三</t>
        </is>
      </c>
      <c r="D458" s="8" t="n">
        <v>2950</v>
      </c>
      <c r="E458" s="7" t="n">
        <v>2024</v>
      </c>
      <c r="F458" s="7" t="n">
        <v>21</v>
      </c>
      <c r="G458" s="7" t="inlineStr">
        <is>
          <t>2024-05-22</t>
        </is>
      </c>
      <c r="H458" s="9" t="inlineStr">
        <is>
          <t>https://www.100ppi.com/news/detail-20240522-3346519.html</t>
        </is>
      </c>
      <c r="I458" s="7" t="inlineStr">
        <is>
          <t>5月22日生意社甲醇基准价为2950.00元/吨</t>
        </is>
      </c>
    </row>
    <row r="459">
      <c r="A459" s="7" t="n">
        <v>456</v>
      </c>
      <c r="B459" s="7" t="inlineStr">
        <is>
          <t>2024-05-23</t>
        </is>
      </c>
      <c r="C459" s="7" t="inlineStr">
        <is>
          <t>四</t>
        </is>
      </c>
      <c r="D459" s="8" t="n">
        <v>2811.67</v>
      </c>
      <c r="E459" s="7" t="n">
        <v>2024</v>
      </c>
      <c r="F459" s="7" t="n">
        <v>21</v>
      </c>
      <c r="G459" s="7" t="inlineStr">
        <is>
          <t>2024-05-23</t>
        </is>
      </c>
      <c r="H459" s="9" t="inlineStr">
        <is>
          <t>https://www.100ppi.com/news/detail-20240523-3349594.html</t>
        </is>
      </c>
      <c r="I459" s="7" t="inlineStr">
        <is>
          <t>5月23日生意社甲醇基准价为2811.67元/吨</t>
        </is>
      </c>
    </row>
    <row r="460">
      <c r="A460" s="7" t="n">
        <v>457</v>
      </c>
      <c r="B460" s="7" t="inlineStr">
        <is>
          <t>2024-05-24</t>
        </is>
      </c>
      <c r="C460" s="7" t="inlineStr">
        <is>
          <t>五</t>
        </is>
      </c>
      <c r="D460" s="8" t="n">
        <v>2758.33</v>
      </c>
      <c r="E460" s="7" t="n">
        <v>2024</v>
      </c>
      <c r="F460" s="7" t="n">
        <v>21</v>
      </c>
      <c r="G460" s="7" t="inlineStr">
        <is>
          <t>2024-05-24</t>
        </is>
      </c>
      <c r="H460" s="9" t="inlineStr">
        <is>
          <t>https://www.100ppi.com/news/detail-20240524-3352453.html</t>
        </is>
      </c>
      <c r="I460" s="7" t="inlineStr">
        <is>
          <t>5月24日生意社甲醇基准价为2758.33元/吨</t>
        </is>
      </c>
    </row>
    <row r="461">
      <c r="A461" s="7" t="n">
        <v>458</v>
      </c>
      <c r="B461" s="7" t="inlineStr">
        <is>
          <t>2024-05-27</t>
        </is>
      </c>
      <c r="C461" s="7" t="inlineStr">
        <is>
          <t>一</t>
        </is>
      </c>
      <c r="D461" s="8" t="n">
        <v>2750</v>
      </c>
      <c r="E461" s="7" t="n">
        <v>2024</v>
      </c>
      <c r="F461" s="7" t="n">
        <v>22</v>
      </c>
      <c r="G461" s="7" t="inlineStr">
        <is>
          <t>2024-05-27</t>
        </is>
      </c>
      <c r="H461" s="9" t="inlineStr">
        <is>
          <t>https://www.100ppi.com/news/detail-20240527-3357248.html</t>
        </is>
      </c>
      <c r="I461" s="7" t="inlineStr">
        <is>
          <t>5月27日生意社甲醇基准价为2750.00元/吨</t>
        </is>
      </c>
    </row>
    <row r="462">
      <c r="A462" s="7" t="n">
        <v>459</v>
      </c>
      <c r="B462" s="7" t="inlineStr">
        <is>
          <t>2024-05-28</t>
        </is>
      </c>
      <c r="C462" s="7" t="inlineStr">
        <is>
          <t>二</t>
        </is>
      </c>
      <c r="D462" s="8" t="n">
        <v>2770.83</v>
      </c>
      <c r="E462" s="7" t="n">
        <v>2024</v>
      </c>
      <c r="F462" s="7" t="n">
        <v>22</v>
      </c>
      <c r="G462" s="7" t="inlineStr">
        <is>
          <t>2024-05-28</t>
        </is>
      </c>
      <c r="H462" s="9" t="inlineStr">
        <is>
          <t>https://www.100ppi.com/news/detail-20240528-3360719.html</t>
        </is>
      </c>
      <c r="I462" s="7" t="inlineStr">
        <is>
          <t>5月28日生意社甲醇基准价为2770.83元/吨</t>
        </is>
      </c>
    </row>
    <row r="463">
      <c r="A463" s="7" t="n">
        <v>460</v>
      </c>
      <c r="B463" s="7" t="inlineStr">
        <is>
          <t>2024-05-29</t>
        </is>
      </c>
      <c r="C463" s="7" t="inlineStr">
        <is>
          <t>三</t>
        </is>
      </c>
      <c r="D463" s="8" t="n">
        <v>2794.17</v>
      </c>
      <c r="E463" s="7" t="n">
        <v>2024</v>
      </c>
      <c r="F463" s="7" t="n">
        <v>22</v>
      </c>
      <c r="G463" s="7" t="inlineStr">
        <is>
          <t>2024-05-29</t>
        </is>
      </c>
      <c r="H463" s="9" t="inlineStr">
        <is>
          <t>https://www.100ppi.com/news/detail-20240529-3364090.html</t>
        </is>
      </c>
      <c r="I463" s="7" t="inlineStr">
        <is>
          <t>5月29日生意社甲醇基准价为2794.17元/吨</t>
        </is>
      </c>
    </row>
    <row r="464">
      <c r="A464" s="7" t="n">
        <v>461</v>
      </c>
      <c r="B464" s="7" t="inlineStr">
        <is>
          <t>2024-05-30</t>
        </is>
      </c>
      <c r="C464" s="7" t="inlineStr">
        <is>
          <t>四</t>
        </is>
      </c>
      <c r="D464" s="8" t="n">
        <v>2785.83</v>
      </c>
      <c r="E464" s="7" t="n">
        <v>2024</v>
      </c>
      <c r="F464" s="7" t="n">
        <v>22</v>
      </c>
      <c r="G464" s="7" t="inlineStr">
        <is>
          <t>2024-05-30</t>
        </is>
      </c>
      <c r="H464" s="9" t="inlineStr">
        <is>
          <t>https://www.100ppi.com/news/detail-20240530-3367365.html</t>
        </is>
      </c>
      <c r="I464" s="7" t="inlineStr">
        <is>
          <t>5月30日生意社甲醇基准价为2785.83元/吨</t>
        </is>
      </c>
    </row>
    <row r="465">
      <c r="A465" s="7" t="n">
        <v>462</v>
      </c>
      <c r="B465" s="7" t="inlineStr">
        <is>
          <t>2024-05-31</t>
        </is>
      </c>
      <c r="C465" s="7" t="inlineStr">
        <is>
          <t>五</t>
        </is>
      </c>
      <c r="D465" s="8" t="n">
        <v>2800</v>
      </c>
      <c r="E465" s="7" t="n">
        <v>2024</v>
      </c>
      <c r="F465" s="7" t="n">
        <v>22</v>
      </c>
      <c r="G465" s="7" t="inlineStr">
        <is>
          <t>2024-05-31</t>
        </is>
      </c>
      <c r="H465" s="9" t="inlineStr">
        <is>
          <t>https://www.100ppi.com/news/detail-20240531-3370756.html</t>
        </is>
      </c>
      <c r="I465" s="7" t="inlineStr">
        <is>
          <t>5月31日生意社甲醇基准价为2800.00元/吨</t>
        </is>
      </c>
    </row>
    <row r="466">
      <c r="A466" s="7" t="n">
        <v>463</v>
      </c>
      <c r="B466" s="7" t="inlineStr">
        <is>
          <t>2024-06-03</t>
        </is>
      </c>
      <c r="C466" s="7" t="inlineStr">
        <is>
          <t>一</t>
        </is>
      </c>
      <c r="D466" s="8" t="n">
        <v>2761.67</v>
      </c>
      <c r="E466" s="7" t="n">
        <v>2024</v>
      </c>
      <c r="F466" s="7" t="n">
        <v>23</v>
      </c>
      <c r="G466" s="7" t="inlineStr">
        <is>
          <t>2024-06-03</t>
        </is>
      </c>
      <c r="H466" s="9" t="inlineStr">
        <is>
          <t>https://www.100ppi.com/news/detail-20240603-3376135.html</t>
        </is>
      </c>
      <c r="I466" s="7" t="inlineStr">
        <is>
          <t>6月3日生意社甲醇基准价为2761.67元/吨</t>
        </is>
      </c>
    </row>
    <row r="467">
      <c r="A467" s="7" t="n">
        <v>464</v>
      </c>
      <c r="B467" s="7" t="inlineStr">
        <is>
          <t>2024-06-04</t>
        </is>
      </c>
      <c r="C467" s="7" t="inlineStr">
        <is>
          <t>二</t>
        </is>
      </c>
      <c r="D467" s="8" t="n">
        <v>2686.67</v>
      </c>
      <c r="E467" s="7" t="n">
        <v>2024</v>
      </c>
      <c r="F467" s="7" t="n">
        <v>23</v>
      </c>
      <c r="G467" s="7" t="inlineStr">
        <is>
          <t>2024-06-04</t>
        </is>
      </c>
      <c r="H467" s="9" t="inlineStr">
        <is>
          <t>https://www.100ppi.com/news/detail-20240604-3379209.html</t>
        </is>
      </c>
      <c r="I467" s="7" t="inlineStr">
        <is>
          <t>6月4日生意社甲醇基准价为2686.67元/吨</t>
        </is>
      </c>
    </row>
    <row r="468">
      <c r="A468" s="7" t="n">
        <v>465</v>
      </c>
      <c r="B468" s="7" t="inlineStr">
        <is>
          <t>2024-06-05</t>
        </is>
      </c>
      <c r="C468" s="7" t="inlineStr">
        <is>
          <t>三</t>
        </is>
      </c>
      <c r="D468" s="8" t="n">
        <v>2655.83</v>
      </c>
      <c r="E468" s="7" t="n">
        <v>2024</v>
      </c>
      <c r="F468" s="7" t="n">
        <v>23</v>
      </c>
      <c r="G468" s="7" t="inlineStr">
        <is>
          <t>2024-06-05</t>
        </is>
      </c>
      <c r="H468" s="9" t="inlineStr">
        <is>
          <t>https://www.100ppi.com/news/detail-20240605-3382745.html</t>
        </is>
      </c>
      <c r="I468" s="7" t="inlineStr">
        <is>
          <t>6月5日生意社甲醇基准价为2655.83元/吨</t>
        </is>
      </c>
    </row>
    <row r="469">
      <c r="A469" s="7" t="n">
        <v>466</v>
      </c>
      <c r="B469" s="7" t="inlineStr">
        <is>
          <t>2024-06-06</t>
        </is>
      </c>
      <c r="C469" s="7" t="inlineStr">
        <is>
          <t>四</t>
        </is>
      </c>
      <c r="D469" s="8" t="n">
        <v>2660</v>
      </c>
      <c r="E469" s="7" t="n">
        <v>2024</v>
      </c>
      <c r="F469" s="7" t="n">
        <v>23</v>
      </c>
      <c r="G469" s="7" t="inlineStr">
        <is>
          <t>2024-06-06</t>
        </is>
      </c>
      <c r="H469" s="9" t="inlineStr">
        <is>
          <t>https://www.100ppi.com/news/detail-20240606-3386107.html</t>
        </is>
      </c>
      <c r="I469" s="7" t="inlineStr">
        <is>
          <t>6月6日生意社甲醇基准价为2660.00元/吨</t>
        </is>
      </c>
    </row>
    <row r="470">
      <c r="A470" s="7" t="n">
        <v>467</v>
      </c>
      <c r="B470" s="7" t="inlineStr">
        <is>
          <t>2024-06-07</t>
        </is>
      </c>
      <c r="C470" s="7" t="inlineStr">
        <is>
          <t>五</t>
        </is>
      </c>
      <c r="D470" s="8" t="n">
        <v>2620</v>
      </c>
      <c r="E470" s="7" t="n">
        <v>2024</v>
      </c>
      <c r="F470" s="7" t="n">
        <v>23</v>
      </c>
      <c r="G470" s="7" t="inlineStr">
        <is>
          <t>2024-06-07</t>
        </is>
      </c>
      <c r="H470" s="9" t="inlineStr">
        <is>
          <t>https://www.100ppi.com/news/detail-20240607-3389113.html</t>
        </is>
      </c>
      <c r="I470" s="7" t="inlineStr">
        <is>
          <t>6月7日生意社甲醇基准价为2620.00元/吨</t>
        </is>
      </c>
    </row>
    <row r="471">
      <c r="A471" s="7" t="n">
        <v>468</v>
      </c>
      <c r="B471" s="7" t="inlineStr">
        <is>
          <t>2024-06-10</t>
        </is>
      </c>
      <c r="C471" s="7" t="inlineStr">
        <is>
          <t>一</t>
        </is>
      </c>
      <c r="D471" s="8" t="n">
        <v>2600</v>
      </c>
      <c r="E471" s="7" t="n">
        <v>2024</v>
      </c>
      <c r="F471" s="7" t="n">
        <v>24</v>
      </c>
      <c r="G471" s="7" t="inlineStr">
        <is>
          <t>2024-06-10</t>
        </is>
      </c>
      <c r="H471" s="9" t="inlineStr">
        <is>
          <t>https://www.100ppi.com/news/detail-20240610-3393987.html</t>
        </is>
      </c>
      <c r="I471" s="7" t="inlineStr">
        <is>
          <t>6月10日生意社甲醇基准价为2600.00元/吨</t>
        </is>
      </c>
    </row>
    <row r="472">
      <c r="A472" s="7" t="n">
        <v>469</v>
      </c>
      <c r="B472" s="7" t="inlineStr">
        <is>
          <t>2024-06-11</t>
        </is>
      </c>
      <c r="C472" s="7" t="inlineStr">
        <is>
          <t>二</t>
        </is>
      </c>
      <c r="D472" s="8" t="n">
        <v>2600</v>
      </c>
      <c r="E472" s="7" t="n">
        <v>2024</v>
      </c>
      <c r="F472" s="7" t="n">
        <v>24</v>
      </c>
      <c r="G472" s="7" t="inlineStr">
        <is>
          <t>2024-06-11</t>
        </is>
      </c>
      <c r="H472" s="9" t="inlineStr">
        <is>
          <t>https://www.100ppi.com/news/detail-20240611-3395053.html</t>
        </is>
      </c>
      <c r="I472" s="7" t="inlineStr">
        <is>
          <t>6月11日生意社甲醇基准价为2600.00元/吨</t>
        </is>
      </c>
    </row>
    <row r="473">
      <c r="A473" s="7" t="n">
        <v>470</v>
      </c>
      <c r="B473" s="7" t="inlineStr">
        <is>
          <t>2024-06-12</t>
        </is>
      </c>
      <c r="C473" s="7" t="inlineStr">
        <is>
          <t>三</t>
        </is>
      </c>
      <c r="D473" s="8" t="n">
        <v>2600</v>
      </c>
      <c r="E473" s="7" t="n">
        <v>2024</v>
      </c>
      <c r="F473" s="7" t="n">
        <v>24</v>
      </c>
      <c r="G473" s="7" t="inlineStr">
        <is>
          <t>2024-06-12</t>
        </is>
      </c>
      <c r="H473" s="9" t="inlineStr">
        <is>
          <t>https://www.100ppi.com/news/detail-20240612-3398427.html</t>
        </is>
      </c>
      <c r="I473" s="7" t="inlineStr">
        <is>
          <t>6月12日生意社甲醇基准价为2600.00元/吨</t>
        </is>
      </c>
    </row>
    <row r="474">
      <c r="A474" s="7" t="n">
        <v>471</v>
      </c>
      <c r="B474" s="7" t="inlineStr">
        <is>
          <t>2024-06-13</t>
        </is>
      </c>
      <c r="C474" s="7" t="inlineStr">
        <is>
          <t>四</t>
        </is>
      </c>
      <c r="D474" s="8" t="n">
        <v>2600</v>
      </c>
      <c r="E474" s="7" t="n">
        <v>2024</v>
      </c>
      <c r="F474" s="7" t="n">
        <v>24</v>
      </c>
      <c r="G474" s="7" t="inlineStr">
        <is>
          <t>2024-06-13</t>
        </is>
      </c>
      <c r="H474" s="9" t="inlineStr">
        <is>
          <t>https://www.100ppi.com/news/detail-20240613-3401770.html</t>
        </is>
      </c>
      <c r="I474" s="7" t="inlineStr">
        <is>
          <t>6月13日生意社甲醇基准价为2600.00元/吨</t>
        </is>
      </c>
    </row>
    <row r="475">
      <c r="A475" s="7" t="n">
        <v>472</v>
      </c>
      <c r="B475" s="7" t="inlineStr">
        <is>
          <t>2024-06-14</t>
        </is>
      </c>
      <c r="C475" s="7" t="inlineStr">
        <is>
          <t>五</t>
        </is>
      </c>
      <c r="D475" s="8" t="n">
        <v>2560</v>
      </c>
      <c r="E475" s="7" t="n">
        <v>2024</v>
      </c>
      <c r="F475" s="7" t="n">
        <v>24</v>
      </c>
      <c r="G475" s="7" t="inlineStr">
        <is>
          <t>2024-06-14</t>
        </is>
      </c>
      <c r="H475" s="9" t="inlineStr">
        <is>
          <t>https://www.100ppi.com/news/detail-20240614-3404959.html</t>
        </is>
      </c>
      <c r="I475" s="7" t="inlineStr">
        <is>
          <t>6月14日生意社甲醇基准价为2560.00元/吨</t>
        </is>
      </c>
    </row>
    <row r="476">
      <c r="A476" s="7" t="n">
        <v>473</v>
      </c>
      <c r="B476" s="7" t="inlineStr">
        <is>
          <t>2024-06-17</t>
        </is>
      </c>
      <c r="C476" s="7" t="inlineStr">
        <is>
          <t>一</t>
        </is>
      </c>
      <c r="D476" s="8" t="n">
        <v>2545.83</v>
      </c>
      <c r="E476" s="7" t="n">
        <v>2024</v>
      </c>
      <c r="F476" s="7" t="n">
        <v>25</v>
      </c>
      <c r="G476" s="7" t="inlineStr">
        <is>
          <t>2024-06-17</t>
        </is>
      </c>
      <c r="H476" s="9" t="inlineStr">
        <is>
          <t>https://www.100ppi.com/news/detail-20240617-3410406.html</t>
        </is>
      </c>
      <c r="I476" s="7" t="inlineStr">
        <is>
          <t>6月17日生意社甲醇基准价为2545.83元/吨</t>
        </is>
      </c>
    </row>
    <row r="477">
      <c r="A477" s="7" t="n">
        <v>474</v>
      </c>
      <c r="B477" s="7" t="inlineStr">
        <is>
          <t>2024-06-18</t>
        </is>
      </c>
      <c r="C477" s="7" t="inlineStr">
        <is>
          <t>二</t>
        </is>
      </c>
      <c r="D477" s="8" t="n">
        <v>2520</v>
      </c>
      <c r="E477" s="7" t="n">
        <v>2024</v>
      </c>
      <c r="F477" s="7" t="n">
        <v>25</v>
      </c>
      <c r="G477" s="7" t="inlineStr">
        <is>
          <t>2024-06-18</t>
        </is>
      </c>
      <c r="H477" s="9" t="inlineStr">
        <is>
          <t>https://www.100ppi.com/news/detail-20240618-3413669.html</t>
        </is>
      </c>
      <c r="I477" s="7" t="inlineStr">
        <is>
          <t>6月18日生意社甲醇基准价为2520.00元/吨</t>
        </is>
      </c>
    </row>
    <row r="478">
      <c r="A478" s="7" t="n">
        <v>475</v>
      </c>
      <c r="B478" s="7" t="inlineStr">
        <is>
          <t>2024-06-19</t>
        </is>
      </c>
      <c r="C478" s="7" t="inlineStr">
        <is>
          <t>三</t>
        </is>
      </c>
      <c r="D478" s="8" t="n">
        <v>2515.83</v>
      </c>
      <c r="E478" s="7" t="n">
        <v>2024</v>
      </c>
      <c r="F478" s="7" t="n">
        <v>25</v>
      </c>
      <c r="G478" s="7" t="inlineStr">
        <is>
          <t>2024-06-19</t>
        </is>
      </c>
      <c r="H478" s="9" t="inlineStr">
        <is>
          <t>https://www.100ppi.com/news/detail-20240619-3416554.html</t>
        </is>
      </c>
      <c r="I478" s="7" t="inlineStr">
        <is>
          <t>6月19日生意社甲醇基准价为2515.83元/吨</t>
        </is>
      </c>
    </row>
    <row r="479">
      <c r="A479" s="7" t="n">
        <v>476</v>
      </c>
      <c r="B479" s="7" t="inlineStr">
        <is>
          <t>2024-06-20</t>
        </is>
      </c>
      <c r="C479" s="7" t="inlineStr">
        <is>
          <t>四</t>
        </is>
      </c>
      <c r="D479" s="8" t="n">
        <v>2530</v>
      </c>
      <c r="E479" s="7" t="n">
        <v>2024</v>
      </c>
      <c r="F479" s="7" t="n">
        <v>25</v>
      </c>
      <c r="G479" s="7" t="inlineStr">
        <is>
          <t>2024-06-20</t>
        </is>
      </c>
      <c r="H479" s="9" t="inlineStr">
        <is>
          <t>https://www.100ppi.com/news/detail-20240620-3419069.html</t>
        </is>
      </c>
      <c r="I479" s="7" t="inlineStr">
        <is>
          <t>6月20日生意社甲醇基准价为2530.00元/吨</t>
        </is>
      </c>
    </row>
    <row r="480">
      <c r="A480" s="7" t="n">
        <v>477</v>
      </c>
      <c r="B480" s="7" t="inlineStr">
        <is>
          <t>2024-06-21</t>
        </is>
      </c>
      <c r="C480" s="7" t="inlineStr">
        <is>
          <t>五</t>
        </is>
      </c>
      <c r="D480" s="8" t="n">
        <v>2526.67</v>
      </c>
      <c r="E480" s="7" t="n">
        <v>2024</v>
      </c>
      <c r="F480" s="7" t="n">
        <v>25</v>
      </c>
      <c r="G480" s="7" t="inlineStr">
        <is>
          <t>2024-06-21</t>
        </is>
      </c>
      <c r="H480" s="9" t="inlineStr">
        <is>
          <t>https://www.100ppi.com/news/detail-20240621-3422268.html</t>
        </is>
      </c>
      <c r="I480" s="7" t="inlineStr">
        <is>
          <t>6月21日生意社甲醇基准价为2526.67元/吨</t>
        </is>
      </c>
    </row>
    <row r="481">
      <c r="A481" s="7" t="n">
        <v>478</v>
      </c>
      <c r="B481" s="7" t="inlineStr">
        <is>
          <t>2024-06-24</t>
        </is>
      </c>
      <c r="C481" s="7" t="inlineStr">
        <is>
          <t>一</t>
        </is>
      </c>
      <c r="D481" s="8" t="n">
        <v>2500</v>
      </c>
      <c r="E481" s="7" t="n">
        <v>2024</v>
      </c>
      <c r="F481" s="7" t="n">
        <v>26</v>
      </c>
      <c r="G481" s="7" t="inlineStr">
        <is>
          <t>2024-06-24</t>
        </is>
      </c>
      <c r="H481" s="9" t="inlineStr">
        <is>
          <t>https://www.100ppi.com/news/detail-20240624-3427399.html</t>
        </is>
      </c>
      <c r="I481" s="7" t="inlineStr">
        <is>
          <t>6月24日生意社甲醇基准价为2500.00元/吨</t>
        </is>
      </c>
    </row>
    <row r="482">
      <c r="A482" s="7" t="n">
        <v>479</v>
      </c>
      <c r="B482" s="7" t="inlineStr">
        <is>
          <t>2024-06-25</t>
        </is>
      </c>
      <c r="C482" s="7" t="inlineStr">
        <is>
          <t>二</t>
        </is>
      </c>
      <c r="D482" s="8" t="n">
        <v>2485</v>
      </c>
      <c r="E482" s="7" t="n">
        <v>2024</v>
      </c>
      <c r="F482" s="7" t="n">
        <v>26</v>
      </c>
      <c r="G482" s="7" t="inlineStr">
        <is>
          <t>2024-06-25</t>
        </is>
      </c>
      <c r="H482" s="9" t="inlineStr">
        <is>
          <t>https://www.100ppi.com/news/detail-20240625-3430788.html</t>
        </is>
      </c>
      <c r="I482" s="7" t="inlineStr">
        <is>
          <t>6月25日生意社甲醇基准价为2485.00元/吨</t>
        </is>
      </c>
    </row>
    <row r="483">
      <c r="A483" s="7" t="n">
        <v>480</v>
      </c>
      <c r="B483" s="7" t="inlineStr">
        <is>
          <t>2024-06-26</t>
        </is>
      </c>
      <c r="C483" s="7" t="inlineStr">
        <is>
          <t>三</t>
        </is>
      </c>
      <c r="D483" s="8" t="n">
        <v>2520</v>
      </c>
      <c r="E483" s="7" t="n">
        <v>2024</v>
      </c>
      <c r="F483" s="7" t="n">
        <v>26</v>
      </c>
      <c r="G483" s="7" t="inlineStr">
        <is>
          <t>2024-06-26</t>
        </is>
      </c>
      <c r="H483" s="9" t="inlineStr">
        <is>
          <t>https://www.100ppi.com/news/detail-20240626-3433921.html</t>
        </is>
      </c>
      <c r="I483" s="7" t="inlineStr">
        <is>
          <t>6月26日生意社甲醇基准价为2520.00元/吨</t>
        </is>
      </c>
    </row>
    <row r="484">
      <c r="A484" s="7" t="n">
        <v>481</v>
      </c>
      <c r="B484" s="7" t="inlineStr">
        <is>
          <t>2024-06-27</t>
        </is>
      </c>
      <c r="C484" s="7" t="inlineStr">
        <is>
          <t>四</t>
        </is>
      </c>
      <c r="D484" s="8" t="n">
        <v>2520</v>
      </c>
      <c r="E484" s="7" t="n">
        <v>2024</v>
      </c>
      <c r="F484" s="7" t="n">
        <v>26</v>
      </c>
      <c r="G484" s="7" t="inlineStr">
        <is>
          <t>2024-06-27</t>
        </is>
      </c>
      <c r="H484" s="9" t="inlineStr">
        <is>
          <t>https://www.100ppi.com/news/detail-20240627-3436913.html</t>
        </is>
      </c>
      <c r="I484" s="7" t="inlineStr">
        <is>
          <t>6月27日生意社甲醇基准价为2520.00元/吨</t>
        </is>
      </c>
    </row>
    <row r="485">
      <c r="A485" s="7" t="n">
        <v>482</v>
      </c>
      <c r="B485" s="7" t="inlineStr">
        <is>
          <t>2024-06-28</t>
        </is>
      </c>
      <c r="C485" s="7" t="inlineStr">
        <is>
          <t>五</t>
        </is>
      </c>
      <c r="D485" s="8" t="n">
        <v>2530</v>
      </c>
      <c r="E485" s="7" t="n">
        <v>2024</v>
      </c>
      <c r="F485" s="7" t="n">
        <v>26</v>
      </c>
      <c r="G485" s="7" t="inlineStr">
        <is>
          <t>2024-06-28</t>
        </is>
      </c>
      <c r="H485" s="9" t="inlineStr">
        <is>
          <t>https://www.100ppi.com/news/detail-20240628-3439922.html</t>
        </is>
      </c>
      <c r="I485" s="7" t="inlineStr">
        <is>
          <t>6月28日生意社甲醇基准价为2530.00元/吨</t>
        </is>
      </c>
    </row>
    <row r="486">
      <c r="A486" s="7" t="n">
        <v>483</v>
      </c>
      <c r="B486" s="7" t="inlineStr">
        <is>
          <t>2024-07-01</t>
        </is>
      </c>
      <c r="C486" s="7" t="inlineStr">
        <is>
          <t>一</t>
        </is>
      </c>
      <c r="D486" s="8" t="n">
        <v>2554.17</v>
      </c>
      <c r="E486" s="7" t="n">
        <v>2024</v>
      </c>
      <c r="F486" s="7" t="n">
        <v>27</v>
      </c>
      <c r="G486" s="7" t="inlineStr">
        <is>
          <t>2024-07-01</t>
        </is>
      </c>
      <c r="H486" s="9" t="inlineStr">
        <is>
          <t>https://www.100ppi.com/news/detail-20240701-3445204.html</t>
        </is>
      </c>
      <c r="I486" s="7" t="inlineStr">
        <is>
          <t>7月1日生意社甲醇基准价为2554.17元/吨</t>
        </is>
      </c>
    </row>
    <row r="487">
      <c r="A487" s="7" t="n">
        <v>484</v>
      </c>
      <c r="B487" s="7" t="inlineStr">
        <is>
          <t>2024-07-02</t>
        </is>
      </c>
      <c r="C487" s="7" t="inlineStr">
        <is>
          <t>二</t>
        </is>
      </c>
      <c r="D487" s="8" t="n">
        <v>2532.5</v>
      </c>
      <c r="E487" s="7" t="n">
        <v>2024</v>
      </c>
      <c r="F487" s="7" t="n">
        <v>27</v>
      </c>
      <c r="G487" s="7" t="inlineStr">
        <is>
          <t>2024-07-02</t>
        </is>
      </c>
      <c r="H487" s="9" t="inlineStr">
        <is>
          <t>https://www.100ppi.com/news/detail-20240702-3448379.html</t>
        </is>
      </c>
      <c r="I487" s="7" t="inlineStr">
        <is>
          <t>7月2日生意社甲醇基准价为2532.50元/吨</t>
        </is>
      </c>
    </row>
    <row r="488">
      <c r="A488" s="7" t="n">
        <v>485</v>
      </c>
      <c r="B488" s="7" t="inlineStr">
        <is>
          <t>2024-07-03</t>
        </is>
      </c>
      <c r="C488" s="7" t="inlineStr">
        <is>
          <t>三</t>
        </is>
      </c>
      <c r="D488" s="8" t="n">
        <v>2560</v>
      </c>
      <c r="E488" s="7" t="n">
        <v>2024</v>
      </c>
      <c r="F488" s="7" t="n">
        <v>27</v>
      </c>
      <c r="G488" s="7" t="inlineStr">
        <is>
          <t>2024-07-03</t>
        </is>
      </c>
      <c r="H488" s="9" t="inlineStr">
        <is>
          <t>https://www.100ppi.com/news/detail-20240703-3451185.html</t>
        </is>
      </c>
      <c r="I488" s="7" t="inlineStr">
        <is>
          <t>7月3日生意社甲醇基准价为2560.00元/吨</t>
        </is>
      </c>
    </row>
    <row r="489">
      <c r="A489" s="7" t="n">
        <v>486</v>
      </c>
      <c r="B489" s="7" t="inlineStr">
        <is>
          <t>2024-07-04</t>
        </is>
      </c>
      <c r="C489" s="7" t="inlineStr">
        <is>
          <t>四</t>
        </is>
      </c>
      <c r="D489" s="8" t="n">
        <v>2550</v>
      </c>
      <c r="E489" s="7" t="n">
        <v>2024</v>
      </c>
      <c r="F489" s="7" t="n">
        <v>27</v>
      </c>
      <c r="G489" s="7" t="inlineStr">
        <is>
          <t>2024-07-04</t>
        </is>
      </c>
      <c r="H489" s="9" t="inlineStr">
        <is>
          <t>https://www.100ppi.com/news/detail-20240704-3454409.html</t>
        </is>
      </c>
      <c r="I489" s="7" t="inlineStr">
        <is>
          <t>7月4日生意社甲醇基准价为2550.00元/吨</t>
        </is>
      </c>
    </row>
    <row r="490">
      <c r="A490" s="7" t="n">
        <v>487</v>
      </c>
      <c r="B490" s="7" t="inlineStr">
        <is>
          <t>2024-07-05</t>
        </is>
      </c>
      <c r="C490" s="7" t="inlineStr">
        <is>
          <t>五</t>
        </is>
      </c>
      <c r="D490" s="8" t="n">
        <v>2540</v>
      </c>
      <c r="E490" s="7" t="n">
        <v>2024</v>
      </c>
      <c r="F490" s="7" t="n">
        <v>27</v>
      </c>
      <c r="G490" s="7" t="inlineStr">
        <is>
          <t>2024-07-05</t>
        </is>
      </c>
      <c r="H490" s="9" t="inlineStr">
        <is>
          <t>https://www.100ppi.com/news/detail-20240705-3457573.html</t>
        </is>
      </c>
      <c r="I490" s="7" t="inlineStr">
        <is>
          <t>7月5日生意社甲醇基准价为2540.00元/吨</t>
        </is>
      </c>
    </row>
    <row r="491">
      <c r="A491" s="7" t="n">
        <v>488</v>
      </c>
      <c r="B491" s="7" t="inlineStr">
        <is>
          <t>2024-07-08</t>
        </is>
      </c>
      <c r="C491" s="7" t="inlineStr">
        <is>
          <t>一</t>
        </is>
      </c>
      <c r="D491" s="8" t="n">
        <v>2515.83</v>
      </c>
      <c r="E491" s="7" t="n">
        <v>2024</v>
      </c>
      <c r="F491" s="7" t="n">
        <v>28</v>
      </c>
      <c r="G491" s="7" t="inlineStr">
        <is>
          <t>2024-07-08</t>
        </is>
      </c>
      <c r="H491" s="9" t="inlineStr">
        <is>
          <t>https://www.100ppi.com/news/detail-20240708-3462647.html</t>
        </is>
      </c>
      <c r="I491" s="7" t="inlineStr">
        <is>
          <t>7月8日生意社甲醇基准价为2515.83元/吨</t>
        </is>
      </c>
    </row>
    <row r="492">
      <c r="A492" s="7" t="n">
        <v>489</v>
      </c>
      <c r="B492" s="7" t="inlineStr">
        <is>
          <t>2024-07-09</t>
        </is>
      </c>
      <c r="C492" s="7" t="inlineStr">
        <is>
          <t>二</t>
        </is>
      </c>
      <c r="D492" s="8" t="n">
        <v>2505</v>
      </c>
      <c r="E492" s="7" t="n">
        <v>2024</v>
      </c>
      <c r="F492" s="7" t="n">
        <v>28</v>
      </c>
      <c r="G492" s="7" t="inlineStr">
        <is>
          <t>2024-07-09</t>
        </is>
      </c>
      <c r="H492" s="9" t="inlineStr">
        <is>
          <t>https://www.100ppi.com/news/detail-20240709-3465737.html</t>
        </is>
      </c>
      <c r="I492" s="7" t="inlineStr">
        <is>
          <t>7月9日生意社甲醇基准价为2505.00元/吨</t>
        </is>
      </c>
    </row>
    <row r="493">
      <c r="A493" s="7" t="n">
        <v>490</v>
      </c>
      <c r="B493" s="7" t="inlineStr">
        <is>
          <t>2024-07-10</t>
        </is>
      </c>
      <c r="C493" s="7" t="inlineStr">
        <is>
          <t>三</t>
        </is>
      </c>
      <c r="D493" s="8" t="n">
        <v>2529.17</v>
      </c>
      <c r="E493" s="7" t="n">
        <v>2024</v>
      </c>
      <c r="F493" s="7" t="n">
        <v>28</v>
      </c>
      <c r="G493" s="7" t="inlineStr">
        <is>
          <t>2024-07-10</t>
        </is>
      </c>
      <c r="H493" s="9" t="inlineStr">
        <is>
          <t>https://www.100ppi.com/news/detail-20240710-3469143.html</t>
        </is>
      </c>
      <c r="I493" s="7" t="inlineStr">
        <is>
          <t>7月10日生意社甲醇基准价为2529.17元/吨</t>
        </is>
      </c>
    </row>
    <row r="494">
      <c r="A494" s="7" t="n">
        <v>491</v>
      </c>
      <c r="B494" s="7" t="inlineStr">
        <is>
          <t>2024-07-11</t>
        </is>
      </c>
      <c r="C494" s="7" t="inlineStr">
        <is>
          <t>四</t>
        </is>
      </c>
      <c r="D494" s="8" t="n">
        <v>2515.83</v>
      </c>
      <c r="E494" s="7" t="n">
        <v>2024</v>
      </c>
      <c r="F494" s="7" t="n">
        <v>28</v>
      </c>
      <c r="G494" s="7" t="inlineStr">
        <is>
          <t>2024-07-11</t>
        </is>
      </c>
      <c r="H494" s="9" t="inlineStr">
        <is>
          <t>https://www.100ppi.com/news/detail-20240711-3472642.html</t>
        </is>
      </c>
      <c r="I494" s="7" t="inlineStr">
        <is>
          <t>7月11日生意社甲醇基准价为2515.83元/吨</t>
        </is>
      </c>
    </row>
    <row r="495">
      <c r="A495" s="7" t="n">
        <v>492</v>
      </c>
      <c r="B495" s="7" t="inlineStr">
        <is>
          <t>2024-07-12</t>
        </is>
      </c>
      <c r="C495" s="7" t="inlineStr">
        <is>
          <t>五</t>
        </is>
      </c>
      <c r="D495" s="8" t="n">
        <v>2550</v>
      </c>
      <c r="E495" s="7" t="n">
        <v>2024</v>
      </c>
      <c r="F495" s="7" t="n">
        <v>28</v>
      </c>
      <c r="G495" s="7" t="inlineStr">
        <is>
          <t>2024-07-12</t>
        </is>
      </c>
      <c r="H495" s="9" t="inlineStr">
        <is>
          <t>https://www.100ppi.com/news/detail-20240712-3475876.html</t>
        </is>
      </c>
      <c r="I495" s="7" t="inlineStr">
        <is>
          <t>7月12日生意社甲醇基准价为2550.00元/吨</t>
        </is>
      </c>
    </row>
    <row r="496">
      <c r="A496" s="7" t="n">
        <v>493</v>
      </c>
      <c r="B496" s="7" t="inlineStr">
        <is>
          <t>2024-07-15</t>
        </is>
      </c>
      <c r="C496" s="7" t="inlineStr">
        <is>
          <t>一</t>
        </is>
      </c>
      <c r="D496" s="8" t="n">
        <v>2560</v>
      </c>
      <c r="E496" s="7" t="n">
        <v>2024</v>
      </c>
      <c r="F496" s="7" t="n">
        <v>29</v>
      </c>
      <c r="G496" s="7" t="inlineStr">
        <is>
          <t>2024-07-15</t>
        </is>
      </c>
      <c r="H496" s="9" t="inlineStr">
        <is>
          <t>https://www.100ppi.com/news/detail-20240715-3481737.html</t>
        </is>
      </c>
      <c r="I496" s="7" t="inlineStr">
        <is>
          <t>7月15日生意社甲醇基准价为2560.00元/吨</t>
        </is>
      </c>
    </row>
    <row r="497">
      <c r="A497" s="7" t="n">
        <v>494</v>
      </c>
      <c r="B497" s="7" t="inlineStr">
        <is>
          <t>2024-07-16</t>
        </is>
      </c>
      <c r="C497" s="7" t="inlineStr">
        <is>
          <t>二</t>
        </is>
      </c>
      <c r="D497" s="8" t="n">
        <v>2573.33</v>
      </c>
      <c r="E497" s="7" t="n">
        <v>2024</v>
      </c>
      <c r="F497" s="7" t="n">
        <v>29</v>
      </c>
      <c r="G497" s="7" t="inlineStr">
        <is>
          <t>2024-07-16</t>
        </is>
      </c>
      <c r="H497" s="9" t="inlineStr">
        <is>
          <t>https://www.100ppi.com/news/detail-20240716-3485346.html</t>
        </is>
      </c>
      <c r="I497" s="7" t="inlineStr">
        <is>
          <t>7月16日生意社甲醇基准价为2573.33元/吨</t>
        </is>
      </c>
    </row>
    <row r="498">
      <c r="A498" s="7" t="n">
        <v>495</v>
      </c>
      <c r="B498" s="7" t="inlineStr">
        <is>
          <t>2024-07-17</t>
        </is>
      </c>
      <c r="C498" s="7" t="inlineStr">
        <is>
          <t>三</t>
        </is>
      </c>
      <c r="D498" s="8" t="n">
        <v>2575</v>
      </c>
      <c r="E498" s="7" t="n">
        <v>2024</v>
      </c>
      <c r="F498" s="7" t="n">
        <v>29</v>
      </c>
      <c r="G498" s="7" t="inlineStr">
        <is>
          <t>2024-07-17</t>
        </is>
      </c>
      <c r="H498" s="9" t="inlineStr">
        <is>
          <t>https://www.100ppi.com/news/detail-20240717-3488882.html</t>
        </is>
      </c>
      <c r="I498" s="7" t="inlineStr">
        <is>
          <t>7月17日生意社甲醇基准价为2575.00元/吨</t>
        </is>
      </c>
    </row>
    <row r="499">
      <c r="A499" s="7" t="n">
        <v>496</v>
      </c>
      <c r="B499" s="7" t="inlineStr">
        <is>
          <t>2024-07-18</t>
        </is>
      </c>
      <c r="C499" s="7" t="inlineStr">
        <is>
          <t>四</t>
        </is>
      </c>
      <c r="D499" s="8" t="n">
        <v>2544.17</v>
      </c>
      <c r="E499" s="7" t="n">
        <v>2024</v>
      </c>
      <c r="F499" s="7" t="n">
        <v>29</v>
      </c>
      <c r="G499" s="7" t="inlineStr">
        <is>
          <t>2024-07-18</t>
        </is>
      </c>
      <c r="H499" s="9" t="inlineStr">
        <is>
          <t>https://www.100ppi.com/news/detail-20240718-3492313.html</t>
        </is>
      </c>
      <c r="I499" s="7" t="inlineStr">
        <is>
          <t>7月18日生意社甲醇基准价为2544.17元/吨</t>
        </is>
      </c>
    </row>
    <row r="500">
      <c r="A500" s="7" t="n">
        <v>497</v>
      </c>
      <c r="B500" s="7" t="inlineStr">
        <is>
          <t>2024-07-19</t>
        </is>
      </c>
      <c r="C500" s="7" t="inlineStr">
        <is>
          <t>五</t>
        </is>
      </c>
      <c r="D500" s="8" t="n">
        <v>2525.83</v>
      </c>
      <c r="E500" s="7" t="n">
        <v>2024</v>
      </c>
      <c r="F500" s="7" t="n">
        <v>29</v>
      </c>
      <c r="G500" s="7" t="inlineStr">
        <is>
          <t>2024-07-19</t>
        </is>
      </c>
      <c r="H500" s="9" t="inlineStr">
        <is>
          <t>https://www.100ppi.com/news/detail-20240719-3495392.html</t>
        </is>
      </c>
      <c r="I500" s="7" t="inlineStr">
        <is>
          <t>7月19日生意社甲醇基准价为2525.83元/吨</t>
        </is>
      </c>
    </row>
    <row r="501">
      <c r="A501" s="7" t="n">
        <v>498</v>
      </c>
      <c r="B501" s="7" t="inlineStr">
        <is>
          <t>2024-07-22</t>
        </is>
      </c>
      <c r="C501" s="7" t="inlineStr">
        <is>
          <t>一</t>
        </is>
      </c>
      <c r="D501" s="8" t="n">
        <v>2500</v>
      </c>
      <c r="E501" s="7" t="n">
        <v>2024</v>
      </c>
      <c r="F501" s="7" t="n">
        <v>30</v>
      </c>
      <c r="G501" s="7" t="inlineStr">
        <is>
          <t>2024-07-22</t>
        </is>
      </c>
      <c r="H501" s="9" t="inlineStr">
        <is>
          <t>https://www.100ppi.com/news/detail-20240722-3501700.html</t>
        </is>
      </c>
      <c r="I501" s="7" t="inlineStr">
        <is>
          <t>7月22日生意社甲醇基准价为2500.00元/吨</t>
        </is>
      </c>
    </row>
    <row r="502">
      <c r="A502" s="7" t="n">
        <v>499</v>
      </c>
      <c r="B502" s="7" t="inlineStr">
        <is>
          <t>2024-07-23</t>
        </is>
      </c>
      <c r="C502" s="7" t="inlineStr">
        <is>
          <t>二</t>
        </is>
      </c>
      <c r="D502" s="8" t="n">
        <v>2495.83</v>
      </c>
      <c r="E502" s="7" t="n">
        <v>2024</v>
      </c>
      <c r="F502" s="7" t="n">
        <v>30</v>
      </c>
      <c r="G502" s="7" t="inlineStr">
        <is>
          <t>2024-07-23</t>
        </is>
      </c>
      <c r="H502" s="9" t="inlineStr">
        <is>
          <t>https://www.100ppi.com/news/detail-20240723-3505224.html</t>
        </is>
      </c>
      <c r="I502" s="7" t="inlineStr">
        <is>
          <t>7月23日生意社甲醇基准价为2495.83元/吨</t>
        </is>
      </c>
    </row>
    <row r="503">
      <c r="A503" s="7" t="n">
        <v>500</v>
      </c>
      <c r="B503" s="7" t="inlineStr">
        <is>
          <t>2024-07-24</t>
        </is>
      </c>
      <c r="C503" s="7" t="inlineStr">
        <is>
          <t>三</t>
        </is>
      </c>
      <c r="D503" s="8" t="n">
        <v>2510</v>
      </c>
      <c r="E503" s="7" t="n">
        <v>2024</v>
      </c>
      <c r="F503" s="7" t="n">
        <v>30</v>
      </c>
      <c r="G503" s="7" t="inlineStr">
        <is>
          <t>2024-07-24</t>
        </is>
      </c>
      <c r="H503" s="9" t="inlineStr">
        <is>
          <t>https://www.100ppi.com/news/detail-20240724-3508382.html</t>
        </is>
      </c>
      <c r="I503" s="7" t="inlineStr">
        <is>
          <t>7月24日生意社甲醇基准价为2510.00元/吨</t>
        </is>
      </c>
    </row>
    <row r="504">
      <c r="A504" s="7" t="n">
        <v>501</v>
      </c>
      <c r="B504" s="7" t="inlineStr">
        <is>
          <t>2024-07-25</t>
        </is>
      </c>
      <c r="C504" s="7" t="inlineStr">
        <is>
          <t>四</t>
        </is>
      </c>
      <c r="D504" s="8" t="n">
        <v>2508.33</v>
      </c>
      <c r="E504" s="7" t="n">
        <v>2024</v>
      </c>
      <c r="F504" s="7" t="n">
        <v>30</v>
      </c>
      <c r="G504" s="7" t="inlineStr">
        <is>
          <t>2024-07-25</t>
        </is>
      </c>
      <c r="H504" s="9" t="inlineStr">
        <is>
          <t>https://www.100ppi.com/news/detail-20240725-3511855.html</t>
        </is>
      </c>
      <c r="I504" s="7" t="inlineStr">
        <is>
          <t>7月25日生意社甲醇基准价为2508.33元/吨</t>
        </is>
      </c>
    </row>
    <row r="505">
      <c r="A505" s="7" t="n">
        <v>502</v>
      </c>
      <c r="B505" s="7" t="inlineStr">
        <is>
          <t>2024-07-26</t>
        </is>
      </c>
      <c r="C505" s="7" t="inlineStr">
        <is>
          <t>五</t>
        </is>
      </c>
      <c r="D505" s="8" t="n">
        <v>2510</v>
      </c>
      <c r="E505" s="7" t="n">
        <v>2024</v>
      </c>
      <c r="F505" s="7" t="n">
        <v>30</v>
      </c>
      <c r="G505" s="7" t="inlineStr">
        <is>
          <t>2024-07-26</t>
        </is>
      </c>
      <c r="H505" s="9" t="inlineStr">
        <is>
          <t>https://www.100ppi.com/news/detail-20240726-3514932.html</t>
        </is>
      </c>
      <c r="I505" s="7" t="inlineStr">
        <is>
          <t>7月26日生意社甲醇基准价为2510.00元/吨</t>
        </is>
      </c>
    </row>
    <row r="506">
      <c r="A506" s="7" t="n">
        <v>503</v>
      </c>
      <c r="B506" s="7" t="inlineStr">
        <is>
          <t>2024-07-29</t>
        </is>
      </c>
      <c r="C506" s="7" t="inlineStr">
        <is>
          <t>一</t>
        </is>
      </c>
      <c r="D506" s="8" t="n">
        <v>2525</v>
      </c>
      <c r="E506" s="7" t="n">
        <v>2024</v>
      </c>
      <c r="F506" s="7" t="n">
        <v>31</v>
      </c>
      <c r="G506" s="7" t="inlineStr">
        <is>
          <t>2024-07-29</t>
        </is>
      </c>
      <c r="H506" s="9" t="inlineStr">
        <is>
          <t>https://www.100ppi.com/news/detail-20240729-3518619.html</t>
        </is>
      </c>
      <c r="I506" s="7" t="inlineStr">
        <is>
          <t>7月29日生意社甲醇基准价为2525.00元/吨</t>
        </is>
      </c>
    </row>
    <row r="507">
      <c r="A507" s="7" t="n">
        <v>504</v>
      </c>
      <c r="B507" s="7" t="inlineStr">
        <is>
          <t>2024-07-30</t>
        </is>
      </c>
      <c r="C507" s="7" t="inlineStr">
        <is>
          <t>二</t>
        </is>
      </c>
      <c r="D507" s="8" t="n">
        <v>2500</v>
      </c>
      <c r="E507" s="7" t="n">
        <v>2024</v>
      </c>
      <c r="F507" s="7" t="n">
        <v>31</v>
      </c>
      <c r="G507" s="7" t="inlineStr">
        <is>
          <t>2024-07-30</t>
        </is>
      </c>
      <c r="H507" s="9" t="inlineStr">
        <is>
          <t>https://www.100ppi.com/news/detail-20240730-3522090.html</t>
        </is>
      </c>
      <c r="I507" s="7" t="inlineStr">
        <is>
          <t>7月30日生意社甲醇基准价为2500.00元/吨</t>
        </is>
      </c>
    </row>
    <row r="508">
      <c r="A508" s="7" t="n">
        <v>505</v>
      </c>
      <c r="B508" s="7" t="inlineStr">
        <is>
          <t>2024-07-31</t>
        </is>
      </c>
      <c r="C508" s="7" t="inlineStr">
        <is>
          <t>三</t>
        </is>
      </c>
      <c r="D508" s="8" t="n">
        <v>2465.83</v>
      </c>
      <c r="E508" s="7" t="n">
        <v>2024</v>
      </c>
      <c r="F508" s="7" t="n">
        <v>31</v>
      </c>
      <c r="G508" s="7" t="inlineStr">
        <is>
          <t>2024-07-31</t>
        </is>
      </c>
      <c r="H508" s="9" t="inlineStr">
        <is>
          <t>https://www.100ppi.com/news/detail-20240731-3525150.html</t>
        </is>
      </c>
      <c r="I508" s="7" t="inlineStr">
        <is>
          <t>7月31日生意社甲醇基准价为2465.83元/吨</t>
        </is>
      </c>
    </row>
    <row r="509">
      <c r="A509" s="7" t="n">
        <v>506</v>
      </c>
      <c r="B509" s="7" t="inlineStr">
        <is>
          <t>2024-08-01</t>
        </is>
      </c>
      <c r="C509" s="7" t="inlineStr">
        <is>
          <t>四</t>
        </is>
      </c>
      <c r="D509" s="8" t="n">
        <v>2510</v>
      </c>
      <c r="E509" s="7" t="n">
        <v>2024</v>
      </c>
      <c r="F509" s="7" t="n">
        <v>31</v>
      </c>
      <c r="G509" s="7" t="inlineStr">
        <is>
          <t>2024-08-01</t>
        </is>
      </c>
      <c r="H509" s="9" t="inlineStr">
        <is>
          <t>https://www.100ppi.com/news/detail-20240801-3528910.html</t>
        </is>
      </c>
      <c r="I509" s="7" t="inlineStr">
        <is>
          <t>8月1日生意社甲醇基准价为2510.00元/吨</t>
        </is>
      </c>
    </row>
    <row r="510">
      <c r="A510" s="7" t="n">
        <v>507</v>
      </c>
      <c r="B510" s="7" t="inlineStr">
        <is>
          <t>2024-08-02</t>
        </is>
      </c>
      <c r="C510" s="7" t="inlineStr">
        <is>
          <t>五</t>
        </is>
      </c>
      <c r="D510" s="8" t="n">
        <v>2510</v>
      </c>
      <c r="E510" s="7" t="n">
        <v>2024</v>
      </c>
      <c r="F510" s="7" t="n">
        <v>31</v>
      </c>
      <c r="G510" s="7" t="inlineStr">
        <is>
          <t>2024-08-02</t>
        </is>
      </c>
      <c r="H510" s="9" t="inlineStr">
        <is>
          <t>https://www.100ppi.com/news/detail-20240802-3532684.html</t>
        </is>
      </c>
      <c r="I510" s="7" t="inlineStr">
        <is>
          <t>8月2日生意社甲醇基准价为2510.00元/吨</t>
        </is>
      </c>
    </row>
    <row r="511">
      <c r="A511" s="7" t="n">
        <v>508</v>
      </c>
      <c r="B511" s="7" t="inlineStr">
        <is>
          <t>2024-08-05</t>
        </is>
      </c>
      <c r="C511" s="7" t="inlineStr">
        <is>
          <t>一</t>
        </is>
      </c>
      <c r="D511" s="8" t="n">
        <v>2515</v>
      </c>
      <c r="E511" s="7" t="n">
        <v>2024</v>
      </c>
      <c r="F511" s="7" t="n">
        <v>32</v>
      </c>
      <c r="G511" s="7" t="inlineStr">
        <is>
          <t>2024-08-05</t>
        </is>
      </c>
      <c r="H511" s="9" t="inlineStr">
        <is>
          <t>https://www.100ppi.com/news/detail-20240805-3538547.html</t>
        </is>
      </c>
      <c r="I511" s="7" t="inlineStr">
        <is>
          <t>8月5日生意社甲醇基准价为2515.00元/吨</t>
        </is>
      </c>
    </row>
    <row r="512">
      <c r="A512" s="7" t="n">
        <v>509</v>
      </c>
      <c r="B512" s="7" t="inlineStr">
        <is>
          <t>2024-08-06</t>
        </is>
      </c>
      <c r="C512" s="7" t="inlineStr">
        <is>
          <t>二</t>
        </is>
      </c>
      <c r="D512" s="8" t="n">
        <v>2490</v>
      </c>
      <c r="E512" s="7" t="n">
        <v>2024</v>
      </c>
      <c r="F512" s="7" t="n">
        <v>32</v>
      </c>
      <c r="G512" s="7" t="inlineStr">
        <is>
          <t>2024-08-06</t>
        </is>
      </c>
      <c r="H512" s="9" t="inlineStr">
        <is>
          <t>https://www.100ppi.com/news/detail-20240806-3542368.html</t>
        </is>
      </c>
      <c r="I512" s="7" t="inlineStr">
        <is>
          <t>8月6日生意社甲醇基准价为2490.00元/吨</t>
        </is>
      </c>
    </row>
    <row r="513">
      <c r="A513" s="7" t="n">
        <v>510</v>
      </c>
      <c r="B513" s="7" t="inlineStr">
        <is>
          <t>2024-08-07</t>
        </is>
      </c>
      <c r="C513" s="7" t="inlineStr">
        <is>
          <t>三</t>
        </is>
      </c>
      <c r="D513" s="8" t="n">
        <v>2475.83</v>
      </c>
      <c r="E513" s="7" t="n">
        <v>2024</v>
      </c>
      <c r="F513" s="7" t="n">
        <v>32</v>
      </c>
      <c r="G513" s="7" t="inlineStr">
        <is>
          <t>2024-08-07</t>
        </is>
      </c>
      <c r="H513" s="9" t="inlineStr">
        <is>
          <t>https://www.100ppi.com/news/detail-20240807-3545973.html</t>
        </is>
      </c>
      <c r="I513" s="7" t="inlineStr">
        <is>
          <t>8月7日生意社甲醇基准价为2475.83元/吨</t>
        </is>
      </c>
    </row>
    <row r="514">
      <c r="A514" s="7" t="n">
        <v>511</v>
      </c>
      <c r="B514" s="7" t="inlineStr">
        <is>
          <t>2024-08-08</t>
        </is>
      </c>
      <c r="C514" s="7" t="inlineStr">
        <is>
          <t>四</t>
        </is>
      </c>
      <c r="D514" s="8" t="n">
        <v>2471.67</v>
      </c>
      <c r="E514" s="7" t="n">
        <v>2024</v>
      </c>
      <c r="F514" s="7" t="n">
        <v>32</v>
      </c>
      <c r="G514" s="7" t="inlineStr">
        <is>
          <t>2024-08-08</t>
        </is>
      </c>
      <c r="H514" s="9" t="inlineStr">
        <is>
          <t>https://www.100ppi.com/news/detail-20240808-3549783.html</t>
        </is>
      </c>
      <c r="I514" s="7" t="inlineStr">
        <is>
          <t>8月8日生意社甲醇基准价为2471.67元/吨</t>
        </is>
      </c>
    </row>
    <row r="515">
      <c r="A515" s="7" t="n">
        <v>512</v>
      </c>
      <c r="B515" s="7" t="inlineStr">
        <is>
          <t>2024-08-09</t>
        </is>
      </c>
      <c r="C515" s="7" t="inlineStr">
        <is>
          <t>五</t>
        </is>
      </c>
      <c r="D515" s="8" t="n">
        <v>2471.67</v>
      </c>
      <c r="E515" s="7" t="n">
        <v>2024</v>
      </c>
      <c r="F515" s="7" t="n">
        <v>32</v>
      </c>
      <c r="G515" s="7" t="inlineStr">
        <is>
          <t>2024-08-09</t>
        </is>
      </c>
      <c r="H515" s="9" t="inlineStr">
        <is>
          <t>https://www.100ppi.com/news/detail-20240809-3553054.html</t>
        </is>
      </c>
      <c r="I515" s="7" t="inlineStr">
        <is>
          <t>8月9日生意社甲醇基准价为2471.67元/吨</t>
        </is>
      </c>
    </row>
    <row r="516">
      <c r="A516" s="7" t="n">
        <v>513</v>
      </c>
      <c r="B516" s="7" t="inlineStr">
        <is>
          <t>2024-08-12</t>
        </is>
      </c>
      <c r="C516" s="7" t="inlineStr">
        <is>
          <t>一</t>
        </is>
      </c>
      <c r="D516" s="8" t="n">
        <v>2460</v>
      </c>
      <c r="E516" s="7" t="n">
        <v>2024</v>
      </c>
      <c r="F516" s="7" t="n">
        <v>33</v>
      </c>
      <c r="G516" s="7" t="inlineStr">
        <is>
          <t>2024-08-12</t>
        </is>
      </c>
      <c r="H516" s="9" t="inlineStr">
        <is>
          <t>https://www.100ppi.com/news/detail-20240812-3559754.html</t>
        </is>
      </c>
      <c r="I516" s="7" t="inlineStr">
        <is>
          <t>8月12日生意社甲醇基准价为2460.00元/吨</t>
        </is>
      </c>
    </row>
    <row r="517">
      <c r="A517" s="7" t="n">
        <v>514</v>
      </c>
      <c r="B517" s="7" t="inlineStr">
        <is>
          <t>2024-08-13</t>
        </is>
      </c>
      <c r="C517" s="7" t="inlineStr">
        <is>
          <t>二</t>
        </is>
      </c>
      <c r="D517" s="8" t="n">
        <v>2420.83</v>
      </c>
      <c r="E517" s="7" t="n">
        <v>2024</v>
      </c>
      <c r="F517" s="7" t="n">
        <v>33</v>
      </c>
      <c r="G517" s="7" t="inlineStr">
        <is>
          <t>2024-08-13</t>
        </is>
      </c>
      <c r="H517" s="9" t="inlineStr">
        <is>
          <t>https://www.100ppi.com/news/detail-20240813-3563158.html</t>
        </is>
      </c>
      <c r="I517" s="7" t="inlineStr">
        <is>
          <t>8月13日生意社甲醇基准价为2420.83元/吨</t>
        </is>
      </c>
    </row>
    <row r="518">
      <c r="A518" s="7" t="n">
        <v>515</v>
      </c>
      <c r="B518" s="7" t="inlineStr">
        <is>
          <t>2024-08-14</t>
        </is>
      </c>
      <c r="C518" s="7" t="inlineStr">
        <is>
          <t>三</t>
        </is>
      </c>
      <c r="D518" s="8" t="n">
        <v>2440.83</v>
      </c>
      <c r="E518" s="7" t="n">
        <v>2024</v>
      </c>
      <c r="F518" s="7" t="n">
        <v>33</v>
      </c>
      <c r="G518" s="7" t="inlineStr">
        <is>
          <t>2024-08-14</t>
        </is>
      </c>
      <c r="H518" s="9" t="inlineStr">
        <is>
          <t>https://www.100ppi.com/news/detail-20240814-3567060.html</t>
        </is>
      </c>
      <c r="I518" s="7" t="inlineStr">
        <is>
          <t>8月14日生意社甲醇基准价为2440.83元/吨</t>
        </is>
      </c>
    </row>
    <row r="519">
      <c r="A519" s="7" t="n">
        <v>516</v>
      </c>
      <c r="B519" s="7" t="inlineStr">
        <is>
          <t>2024-08-15</t>
        </is>
      </c>
      <c r="C519" s="7" t="inlineStr">
        <is>
          <t>四</t>
        </is>
      </c>
      <c r="D519" s="8" t="n">
        <v>2450.83</v>
      </c>
      <c r="E519" s="7" t="n">
        <v>2024</v>
      </c>
      <c r="F519" s="7" t="n">
        <v>33</v>
      </c>
      <c r="G519" s="7" t="inlineStr">
        <is>
          <t>2024-08-15</t>
        </is>
      </c>
      <c r="H519" s="9" t="inlineStr">
        <is>
          <t>https://www.100ppi.com/news/detail-20240815-3570081.html</t>
        </is>
      </c>
      <c r="I519" s="7" t="inlineStr">
        <is>
          <t>8月15日生意社甲醇基准价为2450.83元/吨</t>
        </is>
      </c>
    </row>
    <row r="520">
      <c r="A520" s="7" t="n">
        <v>517</v>
      </c>
      <c r="B520" s="7" t="inlineStr">
        <is>
          <t>2024-08-16</t>
        </is>
      </c>
      <c r="C520" s="7" t="inlineStr">
        <is>
          <t>五</t>
        </is>
      </c>
      <c r="D520" s="8" t="n">
        <v>2411.67</v>
      </c>
      <c r="E520" s="7" t="n">
        <v>2024</v>
      </c>
      <c r="F520" s="7" t="n">
        <v>33</v>
      </c>
      <c r="G520" s="7" t="inlineStr">
        <is>
          <t>2024-08-16</t>
        </is>
      </c>
      <c r="H520" s="9" t="inlineStr">
        <is>
          <t>https://www.100ppi.com/news/detail-20240816-3573457.html</t>
        </is>
      </c>
      <c r="I520" s="7" t="inlineStr">
        <is>
          <t>8月16日生意社甲醇基准价为2411.67元/吨</t>
        </is>
      </c>
    </row>
    <row r="521">
      <c r="A521" s="7" t="n">
        <v>518</v>
      </c>
      <c r="B521" s="7" t="inlineStr">
        <is>
          <t>2024-08-19</t>
        </is>
      </c>
      <c r="C521" s="7" t="inlineStr">
        <is>
          <t>一</t>
        </is>
      </c>
      <c r="D521" s="8" t="n">
        <v>2411.67</v>
      </c>
      <c r="E521" s="7" t="n">
        <v>2024</v>
      </c>
      <c r="F521" s="7" t="n">
        <v>34</v>
      </c>
      <c r="G521" s="7" t="inlineStr">
        <is>
          <t>2024-08-19</t>
        </is>
      </c>
      <c r="H521" s="9" t="inlineStr">
        <is>
          <t>https://www.100ppi.com/news/detail-20240819-3579511.html</t>
        </is>
      </c>
      <c r="I521" s="7" t="inlineStr">
        <is>
          <t>8月19日生意社甲醇基准价为2411.67元/吨</t>
        </is>
      </c>
    </row>
    <row r="522">
      <c r="A522" s="7" t="n">
        <v>519</v>
      </c>
      <c r="B522" s="7" t="inlineStr">
        <is>
          <t>2024-08-20</t>
        </is>
      </c>
      <c r="C522" s="7" t="inlineStr">
        <is>
          <t>二</t>
        </is>
      </c>
      <c r="D522" s="8" t="n">
        <v>2430</v>
      </c>
      <c r="E522" s="7" t="n">
        <v>2024</v>
      </c>
      <c r="F522" s="7" t="n">
        <v>34</v>
      </c>
      <c r="G522" s="7" t="inlineStr">
        <is>
          <t>2024-08-20</t>
        </is>
      </c>
      <c r="H522" s="9" t="inlineStr">
        <is>
          <t>https://www.100ppi.com/news/detail-20240820-3583360.html</t>
        </is>
      </c>
      <c r="I522" s="7" t="inlineStr">
        <is>
          <t>8月20日生意社甲醇基准价为2430.00元/吨</t>
        </is>
      </c>
    </row>
    <row r="523">
      <c r="A523" s="7" t="n">
        <v>520</v>
      </c>
      <c r="B523" s="7" t="inlineStr">
        <is>
          <t>2024-08-21</t>
        </is>
      </c>
      <c r="C523" s="7" t="inlineStr">
        <is>
          <t>三</t>
        </is>
      </c>
      <c r="D523" s="8" t="n">
        <v>2451.67</v>
      </c>
      <c r="E523" s="7" t="n">
        <v>2024</v>
      </c>
      <c r="F523" s="7" t="n">
        <v>34</v>
      </c>
      <c r="G523" s="7" t="inlineStr">
        <is>
          <t>2024-08-21</t>
        </is>
      </c>
      <c r="H523" s="9" t="inlineStr">
        <is>
          <t>https://www.100ppi.com/news/detail-20240821-3587197.html</t>
        </is>
      </c>
      <c r="I523" s="7" t="inlineStr">
        <is>
          <t>8月21日生意社甲醇基准价为2451.67元/吨</t>
        </is>
      </c>
    </row>
    <row r="524">
      <c r="A524" s="7" t="n">
        <v>521</v>
      </c>
      <c r="B524" s="7" t="inlineStr">
        <is>
          <t>2024-08-22</t>
        </is>
      </c>
      <c r="C524" s="7" t="inlineStr">
        <is>
          <t>四</t>
        </is>
      </c>
      <c r="D524" s="8" t="n">
        <v>2469.17</v>
      </c>
      <c r="E524" s="7" t="n">
        <v>2024</v>
      </c>
      <c r="F524" s="7" t="n">
        <v>34</v>
      </c>
      <c r="G524" s="7" t="inlineStr">
        <is>
          <t>2024-08-22</t>
        </is>
      </c>
      <c r="H524" s="9" t="inlineStr">
        <is>
          <t>https://www.100ppi.com/news/detail-20240822-3590712.html</t>
        </is>
      </c>
      <c r="I524" s="7" t="inlineStr">
        <is>
          <t>8月22日生意社甲醇基准价为2469.17元/吨</t>
        </is>
      </c>
    </row>
    <row r="525">
      <c r="A525" s="7" t="n">
        <v>522</v>
      </c>
      <c r="B525" s="7" t="inlineStr">
        <is>
          <t>2024-08-23</t>
        </is>
      </c>
      <c r="C525" s="7" t="inlineStr">
        <is>
          <t>五</t>
        </is>
      </c>
      <c r="D525" s="8" t="n">
        <v>2481.67</v>
      </c>
      <c r="E525" s="7" t="n">
        <v>2024</v>
      </c>
      <c r="F525" s="7" t="n">
        <v>34</v>
      </c>
      <c r="G525" s="7" t="inlineStr">
        <is>
          <t>2024-08-23</t>
        </is>
      </c>
      <c r="H525" s="9" t="inlineStr">
        <is>
          <t>https://www.100ppi.com/news/detail-20240823-3594413.html</t>
        </is>
      </c>
      <c r="I525" s="7" t="inlineStr">
        <is>
          <t>8月23日生意社甲醇基准价为2481.67元/吨</t>
        </is>
      </c>
    </row>
    <row r="526">
      <c r="A526" s="7" t="n">
        <v>523</v>
      </c>
      <c r="B526" s="7" t="inlineStr">
        <is>
          <t>2024-08-26</t>
        </is>
      </c>
      <c r="C526" s="7" t="inlineStr">
        <is>
          <t>一</t>
        </is>
      </c>
      <c r="D526" s="8" t="n">
        <v>2461.67</v>
      </c>
      <c r="E526" s="7" t="n">
        <v>2024</v>
      </c>
      <c r="F526" s="7" t="n">
        <v>35</v>
      </c>
      <c r="G526" s="7" t="inlineStr">
        <is>
          <t>2024-08-26</t>
        </is>
      </c>
      <c r="H526" s="9" t="inlineStr">
        <is>
          <t>https://www.100ppi.com/news/detail-20240826-3601772.html</t>
        </is>
      </c>
      <c r="I526" s="7" t="inlineStr">
        <is>
          <t>8月26日生意社甲醇基准价为2461.67元/吨</t>
        </is>
      </c>
    </row>
    <row r="527">
      <c r="A527" s="7" t="n">
        <v>524</v>
      </c>
      <c r="B527" s="7" t="inlineStr">
        <is>
          <t>2024-08-27</t>
        </is>
      </c>
      <c r="C527" s="7" t="inlineStr">
        <is>
          <t>二</t>
        </is>
      </c>
      <c r="D527" s="8" t="n">
        <v>2495.83</v>
      </c>
      <c r="E527" s="7" t="n">
        <v>2024</v>
      </c>
      <c r="F527" s="7" t="n">
        <v>35</v>
      </c>
      <c r="G527" s="7" t="inlineStr">
        <is>
          <t>2024-08-27</t>
        </is>
      </c>
      <c r="H527" s="9" t="inlineStr">
        <is>
          <t>https://www.100ppi.com/news/detail-20240827-3605659.html</t>
        </is>
      </c>
      <c r="I527" s="7" t="inlineStr">
        <is>
          <t>8月27日生意社甲醇基准价为2495.83元/吨</t>
        </is>
      </c>
    </row>
    <row r="528">
      <c r="A528" s="7" t="n">
        <v>525</v>
      </c>
      <c r="B528" s="7" t="inlineStr">
        <is>
          <t>2024-08-28</t>
        </is>
      </c>
      <c r="C528" s="7" t="inlineStr">
        <is>
          <t>三</t>
        </is>
      </c>
      <c r="D528" s="8" t="n">
        <v>2500</v>
      </c>
      <c r="E528" s="7" t="n">
        <v>2024</v>
      </c>
      <c r="F528" s="7" t="n">
        <v>35</v>
      </c>
      <c r="G528" s="7" t="inlineStr">
        <is>
          <t>2024-08-28</t>
        </is>
      </c>
      <c r="H528" s="9" t="inlineStr">
        <is>
          <t>https://www.100ppi.com/news/detail-20240828-3609559.html</t>
        </is>
      </c>
      <c r="I528" s="7" t="inlineStr">
        <is>
          <t>8月28日生意社甲醇基准价为2500.00元/吨</t>
        </is>
      </c>
    </row>
    <row r="529">
      <c r="A529" s="7" t="n">
        <v>526</v>
      </c>
      <c r="B529" s="7" t="inlineStr">
        <is>
          <t>2024-08-29</t>
        </is>
      </c>
      <c r="C529" s="7" t="inlineStr">
        <is>
          <t>四</t>
        </is>
      </c>
      <c r="D529" s="8" t="n">
        <v>2505.83</v>
      </c>
      <c r="E529" s="7" t="n">
        <v>2024</v>
      </c>
      <c r="F529" s="7" t="n">
        <v>35</v>
      </c>
      <c r="G529" s="7" t="inlineStr">
        <is>
          <t>2024-08-29</t>
        </is>
      </c>
      <c r="H529" s="9" t="inlineStr">
        <is>
          <t>https://www.100ppi.com/news/detail-20240829-3613910.html</t>
        </is>
      </c>
      <c r="I529" s="7" t="inlineStr">
        <is>
          <t>8月29日生意社甲醇基准价为2505.83元/吨</t>
        </is>
      </c>
    </row>
    <row r="530">
      <c r="A530" s="7" t="n">
        <v>527</v>
      </c>
      <c r="B530" s="7" t="inlineStr">
        <is>
          <t>2024-08-30</t>
        </is>
      </c>
      <c r="C530" s="7" t="inlineStr">
        <is>
          <t>五</t>
        </is>
      </c>
      <c r="D530" s="8" t="n">
        <v>2495.83</v>
      </c>
      <c r="E530" s="7" t="n">
        <v>2024</v>
      </c>
      <c r="F530" s="7" t="n">
        <v>35</v>
      </c>
      <c r="G530" s="7" t="inlineStr">
        <is>
          <t>2024-08-30</t>
        </is>
      </c>
      <c r="H530" s="9" t="inlineStr">
        <is>
          <t>https://www.100ppi.com/news/detail-20240830-3617850.html</t>
        </is>
      </c>
      <c r="I530" s="7" t="inlineStr">
        <is>
          <t>8月30日生意社甲醇基准价为2495.83元/吨</t>
        </is>
      </c>
    </row>
    <row r="531">
      <c r="A531" s="7" t="n">
        <v>528</v>
      </c>
      <c r="B531" s="7" t="inlineStr">
        <is>
          <t>2024-09-02</t>
        </is>
      </c>
      <c r="C531" s="7" t="inlineStr">
        <is>
          <t>一</t>
        </is>
      </c>
      <c r="D531" s="8" t="n">
        <v>2480</v>
      </c>
      <c r="E531" s="7" t="n">
        <v>2024</v>
      </c>
      <c r="F531" s="7" t="n">
        <v>36</v>
      </c>
      <c r="G531" s="7" t="inlineStr">
        <is>
          <t>2024-09-02</t>
        </is>
      </c>
      <c r="H531" s="9" t="inlineStr">
        <is>
          <t>https://www.100ppi.com/news/detail-20240902-3624371.html</t>
        </is>
      </c>
      <c r="I531" s="7" t="inlineStr">
        <is>
          <t>9月2日生意社甲醇基准价为2480.00元/吨</t>
        </is>
      </c>
    </row>
    <row r="532">
      <c r="A532" s="7" t="n">
        <v>529</v>
      </c>
      <c r="B532" s="7" t="inlineStr">
        <is>
          <t>2024-09-03</t>
        </is>
      </c>
      <c r="C532" s="7" t="inlineStr">
        <is>
          <t>二</t>
        </is>
      </c>
      <c r="D532" s="8" t="n">
        <v>2460</v>
      </c>
      <c r="E532" s="7" t="n">
        <v>2024</v>
      </c>
      <c r="F532" s="7" t="n">
        <v>36</v>
      </c>
      <c r="G532" s="7" t="inlineStr">
        <is>
          <t>2024-09-03</t>
        </is>
      </c>
      <c r="H532" s="9" t="inlineStr">
        <is>
          <t>https://www.100ppi.com/news/detail-20240903-3628039.html</t>
        </is>
      </c>
      <c r="I532" s="7" t="inlineStr">
        <is>
          <t>9月3日生意社甲醇基准价为2460.00元/吨</t>
        </is>
      </c>
    </row>
    <row r="533">
      <c r="A533" s="7" t="n">
        <v>530</v>
      </c>
      <c r="B533" s="7" t="inlineStr">
        <is>
          <t>2024-09-04</t>
        </is>
      </c>
      <c r="C533" s="7" t="inlineStr">
        <is>
          <t>三</t>
        </is>
      </c>
      <c r="D533" s="8" t="n">
        <v>2450.83</v>
      </c>
      <c r="E533" s="7" t="n">
        <v>2024</v>
      </c>
      <c r="F533" s="7" t="n">
        <v>36</v>
      </c>
      <c r="G533" s="7" t="inlineStr">
        <is>
          <t>2024-09-04</t>
        </is>
      </c>
      <c r="H533" s="9" t="inlineStr">
        <is>
          <t>https://www.100ppi.com/news/detail-20240904-3632449.html</t>
        </is>
      </c>
      <c r="I533" s="7" t="inlineStr">
        <is>
          <t>9月4日生意社甲醇基准价为2450.83元/吨</t>
        </is>
      </c>
    </row>
    <row r="534">
      <c r="A534" s="7" t="n">
        <v>531</v>
      </c>
      <c r="B534" s="7" t="inlineStr">
        <is>
          <t>2024-09-05</t>
        </is>
      </c>
      <c r="C534" s="7" t="inlineStr">
        <is>
          <t>四</t>
        </is>
      </c>
      <c r="D534" s="8" t="n">
        <v>2425</v>
      </c>
      <c r="E534" s="7" t="n">
        <v>2024</v>
      </c>
      <c r="F534" s="7" t="n">
        <v>36</v>
      </c>
      <c r="G534" s="7" t="inlineStr">
        <is>
          <t>2024-09-05</t>
        </is>
      </c>
      <c r="H534" s="9" t="inlineStr">
        <is>
          <t>https://www.100ppi.com/news/detail-20240905-3636248.html</t>
        </is>
      </c>
      <c r="I534" s="7" t="inlineStr">
        <is>
          <t>9月5日生意社甲醇基准价为2425.00元/吨</t>
        </is>
      </c>
    </row>
    <row r="535">
      <c r="A535" s="7" t="n">
        <v>532</v>
      </c>
      <c r="B535" s="7" t="inlineStr">
        <is>
          <t>2024-09-06</t>
        </is>
      </c>
      <c r="C535" s="7" t="inlineStr">
        <is>
          <t>五</t>
        </is>
      </c>
      <c r="D535" s="8" t="n">
        <v>2385.83</v>
      </c>
      <c r="E535" s="7" t="n">
        <v>2024</v>
      </c>
      <c r="F535" s="7" t="n">
        <v>36</v>
      </c>
      <c r="G535" s="7" t="inlineStr">
        <is>
          <t>2024-09-06</t>
        </is>
      </c>
      <c r="H535" s="9" t="inlineStr">
        <is>
          <t>https://www.100ppi.com/news/detail-20240906-3640099.html</t>
        </is>
      </c>
      <c r="I535" s="7" t="inlineStr">
        <is>
          <t>9月6日生意社甲醇基准价为2385.83元/吨</t>
        </is>
      </c>
    </row>
    <row r="536">
      <c r="A536" s="7" t="n">
        <v>533</v>
      </c>
      <c r="B536" s="7" t="inlineStr">
        <is>
          <t>2024-09-09</t>
        </is>
      </c>
      <c r="C536" s="7" t="inlineStr">
        <is>
          <t>一</t>
        </is>
      </c>
      <c r="D536" s="8" t="n">
        <v>2385.83</v>
      </c>
      <c r="E536" s="7" t="n">
        <v>2024</v>
      </c>
      <c r="F536" s="7" t="n">
        <v>37</v>
      </c>
      <c r="G536" s="7" t="inlineStr">
        <is>
          <t>2024-09-09</t>
        </is>
      </c>
      <c r="H536" s="9" t="inlineStr">
        <is>
          <t>https://www.100ppi.com/news/detail-20240909-3646566.html</t>
        </is>
      </c>
      <c r="I536" s="7" t="inlineStr">
        <is>
          <t>9月9日生意社甲醇基准价为2385.83元/吨</t>
        </is>
      </c>
    </row>
    <row r="537">
      <c r="A537" s="7" t="n">
        <v>534</v>
      </c>
      <c r="B537" s="7" t="inlineStr">
        <is>
          <t>2024-09-10</t>
        </is>
      </c>
      <c r="C537" s="7" t="inlineStr">
        <is>
          <t>二</t>
        </is>
      </c>
      <c r="D537" s="8" t="n">
        <v>2380</v>
      </c>
      <c r="E537" s="7" t="n">
        <v>2024</v>
      </c>
      <c r="F537" s="7" t="n">
        <v>37</v>
      </c>
      <c r="G537" s="7" t="inlineStr">
        <is>
          <t>2024-09-10</t>
        </is>
      </c>
      <c r="H537" s="9" t="inlineStr">
        <is>
          <t>https://www.100ppi.com/news/detail-20240910-3650232.html</t>
        </is>
      </c>
      <c r="I537" s="7" t="inlineStr">
        <is>
          <t>9月10日生意社甲醇基准价为2380.00元/吨</t>
        </is>
      </c>
    </row>
    <row r="538">
      <c r="A538" s="7" t="n">
        <v>535</v>
      </c>
      <c r="B538" s="7" t="inlineStr">
        <is>
          <t>2024-09-11</t>
        </is>
      </c>
      <c r="C538" s="7" t="inlineStr">
        <is>
          <t>三</t>
        </is>
      </c>
      <c r="D538" s="8" t="n">
        <v>2337.5</v>
      </c>
      <c r="E538" s="7" t="n">
        <v>2024</v>
      </c>
      <c r="F538" s="7" t="n">
        <v>37</v>
      </c>
      <c r="G538" s="7" t="inlineStr">
        <is>
          <t>2024-09-11</t>
        </is>
      </c>
      <c r="H538" s="9" t="inlineStr">
        <is>
          <t>https://www.100ppi.com/news/detail-20240911-3653231.html</t>
        </is>
      </c>
      <c r="I538" s="7" t="inlineStr">
        <is>
          <t>9月11日生意社甲醇基准价为2337.50元/吨</t>
        </is>
      </c>
    </row>
    <row r="539">
      <c r="A539" s="7" t="n">
        <v>536</v>
      </c>
      <c r="B539" s="7" t="inlineStr">
        <is>
          <t>2024-09-12</t>
        </is>
      </c>
      <c r="C539" s="7" t="inlineStr">
        <is>
          <t>四</t>
        </is>
      </c>
      <c r="D539" s="8" t="n">
        <v>2370.83</v>
      </c>
      <c r="E539" s="7" t="n">
        <v>2024</v>
      </c>
      <c r="F539" s="7" t="n">
        <v>37</v>
      </c>
      <c r="G539" s="7" t="inlineStr">
        <is>
          <t>2024-09-12</t>
        </is>
      </c>
      <c r="H539" s="9" t="inlineStr">
        <is>
          <t>https://www.100ppi.com/news/detail-20240912-3657070.html</t>
        </is>
      </c>
      <c r="I539" s="7" t="inlineStr">
        <is>
          <t>9月12日生意社甲醇基准价为2370.83元/吨</t>
        </is>
      </c>
    </row>
    <row r="540">
      <c r="A540" s="7" t="n">
        <v>537</v>
      </c>
      <c r="B540" s="7" t="inlineStr">
        <is>
          <t>2024-09-13</t>
        </is>
      </c>
      <c r="C540" s="7" t="inlineStr">
        <is>
          <t>五</t>
        </is>
      </c>
      <c r="D540" s="8" t="n">
        <v>2405.83</v>
      </c>
      <c r="E540" s="7" t="n">
        <v>2024</v>
      </c>
      <c r="F540" s="7" t="n">
        <v>37</v>
      </c>
      <c r="G540" s="7" t="inlineStr">
        <is>
          <t>2024-09-13</t>
        </is>
      </c>
      <c r="H540" s="9" t="inlineStr">
        <is>
          <t>https://www.100ppi.com/news/detail-20240913-3660488.html</t>
        </is>
      </c>
      <c r="I540" s="7" t="inlineStr">
        <is>
          <t>9月13日生意社甲醇基准价为2405.83元/吨</t>
        </is>
      </c>
    </row>
    <row r="541">
      <c r="A541" s="7" t="n">
        <v>538</v>
      </c>
      <c r="B541" s="7" t="inlineStr">
        <is>
          <t>2024-09-16</t>
        </is>
      </c>
      <c r="C541" s="7" t="inlineStr">
        <is>
          <t>一</t>
        </is>
      </c>
      <c r="D541" s="8" t="n">
        <v>2401.67</v>
      </c>
      <c r="E541" s="7" t="n">
        <v>2024</v>
      </c>
      <c r="F541" s="7" t="n">
        <v>38</v>
      </c>
      <c r="G541" s="7" t="inlineStr">
        <is>
          <t>2024-09-16</t>
        </is>
      </c>
      <c r="H541" s="9" t="inlineStr">
        <is>
          <t>https://www.100ppi.com/news/detail-20240916-3668586.html</t>
        </is>
      </c>
      <c r="I541" s="7" t="inlineStr">
        <is>
          <t>9月16日生意社甲醇基准价为2401.67元/吨</t>
        </is>
      </c>
    </row>
    <row r="542">
      <c r="A542" s="7" t="n">
        <v>539</v>
      </c>
      <c r="B542" s="7" t="inlineStr">
        <is>
          <t>2024-09-17</t>
        </is>
      </c>
      <c r="C542" s="7" t="inlineStr">
        <is>
          <t>二</t>
        </is>
      </c>
      <c r="D542" s="8" t="n">
        <v>2401.67</v>
      </c>
      <c r="E542" s="7" t="n">
        <v>2024</v>
      </c>
      <c r="F542" s="7" t="n">
        <v>38</v>
      </c>
      <c r="G542" s="7" t="inlineStr">
        <is>
          <t>2024-09-17</t>
        </is>
      </c>
      <c r="H542" s="9" t="inlineStr">
        <is>
          <t>https://www.100ppi.com/news/detail-20240917-3669735.html</t>
        </is>
      </c>
      <c r="I542" s="7" t="inlineStr">
        <is>
          <t>9月17日生意社甲醇基准价为2401.67元/吨</t>
        </is>
      </c>
    </row>
    <row r="543">
      <c r="A543" s="7" t="n">
        <v>540</v>
      </c>
      <c r="B543" s="7" t="inlineStr">
        <is>
          <t>2024-09-18</t>
        </is>
      </c>
      <c r="C543" s="7" t="inlineStr">
        <is>
          <t>三</t>
        </is>
      </c>
      <c r="D543" s="8" t="n">
        <v>2401.67</v>
      </c>
      <c r="E543" s="7" t="n">
        <v>2024</v>
      </c>
      <c r="F543" s="7" t="n">
        <v>38</v>
      </c>
      <c r="G543" s="7" t="inlineStr">
        <is>
          <t>2024-09-18</t>
        </is>
      </c>
      <c r="H543" s="9" t="inlineStr">
        <is>
          <t>https://www.100ppi.com/news/detail-20240918-3670891.html</t>
        </is>
      </c>
      <c r="I543" s="7" t="inlineStr">
        <is>
          <t>9月18日生意社甲醇基准价为2401.67元/吨</t>
        </is>
      </c>
    </row>
    <row r="544">
      <c r="A544" s="7" t="n">
        <v>541</v>
      </c>
      <c r="B544" s="7" t="inlineStr">
        <is>
          <t>2024-09-19</t>
        </is>
      </c>
      <c r="C544" s="7" t="inlineStr">
        <is>
          <t>四</t>
        </is>
      </c>
      <c r="D544" s="8" t="n">
        <v>2401.67</v>
      </c>
      <c r="E544" s="7" t="n">
        <v>2024</v>
      </c>
      <c r="F544" s="7" t="n">
        <v>38</v>
      </c>
      <c r="G544" s="7" t="inlineStr">
        <is>
          <t>2024-09-19</t>
        </is>
      </c>
      <c r="H544" s="9" t="inlineStr">
        <is>
          <t>https://www.100ppi.com/news/detail-20240919-3675168.html</t>
        </is>
      </c>
      <c r="I544" s="7" t="inlineStr">
        <is>
          <t>9月19日生意社甲醇基准价为2401.67元/吨</t>
        </is>
      </c>
    </row>
    <row r="545">
      <c r="A545" s="7" t="n">
        <v>542</v>
      </c>
      <c r="B545" s="7" t="inlineStr">
        <is>
          <t>2024-09-20</t>
        </is>
      </c>
      <c r="C545" s="7" t="inlineStr">
        <is>
          <t>五</t>
        </is>
      </c>
      <c r="D545" s="8" t="n">
        <v>2440</v>
      </c>
      <c r="E545" s="7" t="n">
        <v>2024</v>
      </c>
      <c r="F545" s="7" t="n">
        <v>38</v>
      </c>
      <c r="G545" s="7" t="inlineStr">
        <is>
          <t>2024-09-20</t>
        </is>
      </c>
      <c r="H545" s="9" t="inlineStr">
        <is>
          <t>https://www.100ppi.com/news/detail-20240920-3678760.html</t>
        </is>
      </c>
      <c r="I545" s="7" t="inlineStr">
        <is>
          <t>9月20日生意社甲醇基准价为2440.00元/吨</t>
        </is>
      </c>
    </row>
    <row r="546">
      <c r="A546" s="7" t="n">
        <v>543</v>
      </c>
      <c r="B546" s="7" t="inlineStr">
        <is>
          <t>2024-09-23</t>
        </is>
      </c>
      <c r="C546" s="7" t="inlineStr">
        <is>
          <t>一</t>
        </is>
      </c>
      <c r="D546" s="8" t="n">
        <v>2410</v>
      </c>
      <c r="E546" s="7" t="n">
        <v>2024</v>
      </c>
      <c r="F546" s="7" t="n">
        <v>39</v>
      </c>
      <c r="G546" s="7" t="inlineStr">
        <is>
          <t>2024-09-23</t>
        </is>
      </c>
      <c r="H546" s="9" t="inlineStr">
        <is>
          <t>https://www.100ppi.com/news/detail-20240923-3685987.html</t>
        </is>
      </c>
      <c r="I546" s="7" t="inlineStr">
        <is>
          <t>9月23日生意社甲醇基准价为2410.00元/吨</t>
        </is>
      </c>
    </row>
    <row r="547">
      <c r="A547" s="7" t="n">
        <v>544</v>
      </c>
      <c r="B547" s="7" t="inlineStr">
        <is>
          <t>2024-09-24</t>
        </is>
      </c>
      <c r="C547" s="7" t="inlineStr">
        <is>
          <t>二</t>
        </is>
      </c>
      <c r="D547" s="8" t="n">
        <v>2380</v>
      </c>
      <c r="E547" s="7" t="n">
        <v>2024</v>
      </c>
      <c r="F547" s="7" t="n">
        <v>39</v>
      </c>
      <c r="G547" s="7" t="inlineStr">
        <is>
          <t>2024-09-24</t>
        </is>
      </c>
      <c r="H547" s="9" t="inlineStr">
        <is>
          <t>https://www.100ppi.com/news/detail-20240924-3689431.html</t>
        </is>
      </c>
      <c r="I547" s="7" t="inlineStr">
        <is>
          <t>9月24日生意社甲醇基准价为2380.00元/吨</t>
        </is>
      </c>
    </row>
    <row r="548">
      <c r="A548" s="7" t="n">
        <v>545</v>
      </c>
      <c r="B548" s="7" t="inlineStr">
        <is>
          <t>2024-09-25</t>
        </is>
      </c>
      <c r="C548" s="7" t="inlineStr">
        <is>
          <t>三</t>
        </is>
      </c>
      <c r="D548" s="8" t="n">
        <v>2385.83</v>
      </c>
      <c r="E548" s="7" t="n">
        <v>2024</v>
      </c>
      <c r="F548" s="7" t="n">
        <v>39</v>
      </c>
      <c r="G548" s="7" t="inlineStr">
        <is>
          <t>2024-09-25</t>
        </is>
      </c>
      <c r="H548" s="9" t="inlineStr">
        <is>
          <t>https://www.100ppi.com/news/detail-20240925-3692461.html</t>
        </is>
      </c>
      <c r="I548" s="7" t="inlineStr">
        <is>
          <t>9月25日生意社甲醇基准价为2385.83元/吨</t>
        </is>
      </c>
    </row>
    <row r="549">
      <c r="A549" s="7" t="n">
        <v>546</v>
      </c>
      <c r="B549" s="7" t="inlineStr">
        <is>
          <t>2024-09-26</t>
        </is>
      </c>
      <c r="C549" s="7" t="inlineStr">
        <is>
          <t>四</t>
        </is>
      </c>
      <c r="D549" s="8" t="n">
        <v>2449.17</v>
      </c>
      <c r="E549" s="7" t="n">
        <v>2024</v>
      </c>
      <c r="F549" s="7" t="n">
        <v>39</v>
      </c>
      <c r="G549" s="7" t="inlineStr">
        <is>
          <t>2024-09-26</t>
        </is>
      </c>
      <c r="H549" s="9" t="inlineStr">
        <is>
          <t>https://www.100ppi.com/news/detail-20240926-3695915.html</t>
        </is>
      </c>
      <c r="I549" s="7" t="inlineStr">
        <is>
          <t>9月26日生意社甲醇基准价为2449.17元/吨</t>
        </is>
      </c>
    </row>
    <row r="550">
      <c r="A550" s="7" t="n">
        <v>547</v>
      </c>
      <c r="B550" s="7" t="inlineStr">
        <is>
          <t>2024-09-27</t>
        </is>
      </c>
      <c r="C550" s="7" t="inlineStr">
        <is>
          <t>五</t>
        </is>
      </c>
      <c r="D550" s="8" t="n">
        <v>2440.83</v>
      </c>
      <c r="E550" s="7" t="n">
        <v>2024</v>
      </c>
      <c r="F550" s="7" t="n">
        <v>39</v>
      </c>
      <c r="G550" s="7" t="inlineStr">
        <is>
          <t>2024-09-27</t>
        </is>
      </c>
      <c r="H550" s="9" t="inlineStr">
        <is>
          <t>https://www.100ppi.com/news/detail-20240927-3698588.html</t>
        </is>
      </c>
      <c r="I550" s="7" t="inlineStr">
        <is>
          <t>9月27日生意社甲醇基准价为2440.83元/吨</t>
        </is>
      </c>
    </row>
    <row r="551">
      <c r="A551" s="7" t="n">
        <v>548</v>
      </c>
      <c r="B551" s="7" t="inlineStr">
        <is>
          <t>2024-09-30</t>
        </is>
      </c>
      <c r="C551" s="7" t="inlineStr">
        <is>
          <t>一</t>
        </is>
      </c>
      <c r="D551" s="8" t="n">
        <v>2518.33</v>
      </c>
      <c r="E551" s="7" t="n">
        <v>2024</v>
      </c>
      <c r="F551" s="7" t="n">
        <v>40</v>
      </c>
      <c r="G551" s="7" t="inlineStr">
        <is>
          <t>2024-09-30</t>
        </is>
      </c>
      <c r="H551" s="9" t="inlineStr">
        <is>
          <t>https://www.100ppi.com/news/detail-20240930-3706963.html</t>
        </is>
      </c>
      <c r="I551" s="7" t="inlineStr">
        <is>
          <t>9月30日生意社甲醇基准价为2518.33元/吨</t>
        </is>
      </c>
    </row>
    <row r="552">
      <c r="A552" s="7" t="n">
        <v>549</v>
      </c>
      <c r="B552" s="7" t="inlineStr">
        <is>
          <t>2024-10-01</t>
        </is>
      </c>
      <c r="C552" s="7" t="inlineStr">
        <is>
          <t>二</t>
        </is>
      </c>
      <c r="D552" s="8" t="n">
        <v>2577.5</v>
      </c>
      <c r="E552" s="7" t="n">
        <v>2024</v>
      </c>
      <c r="F552" s="7" t="n">
        <v>40</v>
      </c>
      <c r="G552" s="7" t="inlineStr">
        <is>
          <t>2024-10-01</t>
        </is>
      </c>
      <c r="H552" s="9" t="inlineStr">
        <is>
          <t>https://www.100ppi.com/news/detail-20241001-3710230.html</t>
        </is>
      </c>
      <c r="I552" s="7" t="inlineStr">
        <is>
          <t>10月1日生意社甲醇基准价为2577.50元/吨</t>
        </is>
      </c>
    </row>
    <row r="553">
      <c r="A553" s="7" t="n">
        <v>550</v>
      </c>
      <c r="B553" s="7" t="inlineStr">
        <is>
          <t>2024-10-02</t>
        </is>
      </c>
      <c r="C553" s="7" t="inlineStr">
        <is>
          <t>三</t>
        </is>
      </c>
      <c r="D553" s="8" t="n">
        <v>2577.5</v>
      </c>
      <c r="E553" s="7" t="n">
        <v>2024</v>
      </c>
      <c r="F553" s="7" t="n">
        <v>40</v>
      </c>
      <c r="G553" s="7" t="inlineStr">
        <is>
          <t>2024-10-02</t>
        </is>
      </c>
      <c r="H553" s="9" t="inlineStr">
        <is>
          <t>https://www.100ppi.com/news/detail-20241002-3710797.html</t>
        </is>
      </c>
      <c r="I553" s="7" t="inlineStr">
        <is>
          <t>10月2日生意社甲醇基准价为2577.50元/吨</t>
        </is>
      </c>
    </row>
    <row r="554">
      <c r="A554" s="7" t="n">
        <v>551</v>
      </c>
      <c r="B554" s="7" t="inlineStr">
        <is>
          <t>2024-10-03</t>
        </is>
      </c>
      <c r="C554" s="7" t="inlineStr">
        <is>
          <t>四</t>
        </is>
      </c>
      <c r="D554" s="8" t="n">
        <v>2577.5</v>
      </c>
      <c r="E554" s="7" t="n">
        <v>2024</v>
      </c>
      <c r="F554" s="7" t="n">
        <v>40</v>
      </c>
      <c r="G554" s="7" t="inlineStr">
        <is>
          <t>2024-10-03</t>
        </is>
      </c>
      <c r="H554" s="9" t="inlineStr">
        <is>
          <t>https://www.100ppi.com/news/detail-20241003-3711385.html</t>
        </is>
      </c>
      <c r="I554" s="7" t="inlineStr">
        <is>
          <t>10月3日生意社甲醇基准价为2577.50元/吨</t>
        </is>
      </c>
    </row>
    <row r="555">
      <c r="A555" s="7" t="n">
        <v>552</v>
      </c>
      <c r="B555" s="7" t="inlineStr">
        <is>
          <t>2024-10-04</t>
        </is>
      </c>
      <c r="C555" s="7" t="inlineStr">
        <is>
          <t>五</t>
        </is>
      </c>
      <c r="D555" s="8" t="n">
        <v>2577.5</v>
      </c>
      <c r="E555" s="7" t="n">
        <v>2024</v>
      </c>
      <c r="F555" s="7" t="n">
        <v>40</v>
      </c>
      <c r="G555" s="7" t="inlineStr">
        <is>
          <t>2024-10-04</t>
        </is>
      </c>
      <c r="H555" s="9" t="inlineStr">
        <is>
          <t>https://www.100ppi.com/news/detail-20241004-3712106.html</t>
        </is>
      </c>
      <c r="I555" s="7" t="inlineStr">
        <is>
          <t>10月4日生意社甲醇基准价为2577.50元/吨</t>
        </is>
      </c>
    </row>
    <row r="556">
      <c r="A556" s="7" t="n">
        <v>553</v>
      </c>
      <c r="B556" s="7" t="inlineStr">
        <is>
          <t>2024-10-07</t>
        </is>
      </c>
      <c r="C556" s="7" t="inlineStr">
        <is>
          <t>一</t>
        </is>
      </c>
      <c r="D556" s="8" t="n">
        <v>2577.5</v>
      </c>
      <c r="E556" s="7" t="n">
        <v>2024</v>
      </c>
      <c r="F556" s="7" t="n">
        <v>41</v>
      </c>
      <c r="G556" s="7" t="inlineStr">
        <is>
          <t>2024-10-07</t>
        </is>
      </c>
      <c r="H556" s="9" t="inlineStr">
        <is>
          <t>https://www.100ppi.com/news/detail-20241007-3715979.html</t>
        </is>
      </c>
      <c r="I556" s="7" t="inlineStr">
        <is>
          <t>10月7日生意社甲醇基准价为2577.50元/吨</t>
        </is>
      </c>
    </row>
    <row r="557">
      <c r="A557" s="7" t="n">
        <v>554</v>
      </c>
      <c r="B557" s="7" t="inlineStr">
        <is>
          <t>2024-10-08</t>
        </is>
      </c>
      <c r="C557" s="7" t="inlineStr">
        <is>
          <t>二</t>
        </is>
      </c>
      <c r="D557" s="8" t="n">
        <v>2577.5</v>
      </c>
      <c r="E557" s="7" t="n">
        <v>2024</v>
      </c>
      <c r="F557" s="7" t="n">
        <v>41</v>
      </c>
      <c r="G557" s="7" t="inlineStr">
        <is>
          <t>2024-10-08</t>
        </is>
      </c>
      <c r="H557" s="9" t="inlineStr">
        <is>
          <t>https://www.100ppi.com/news/detail-20241008-3717902.html</t>
        </is>
      </c>
      <c r="I557" s="7" t="inlineStr">
        <is>
          <t>10月8日生意社甲醇基准价为2577.50元/吨</t>
        </is>
      </c>
    </row>
    <row r="558">
      <c r="A558" s="7" t="n">
        <v>555</v>
      </c>
      <c r="B558" s="7" t="inlineStr">
        <is>
          <t>2024-10-09</t>
        </is>
      </c>
      <c r="C558" s="7" t="inlineStr">
        <is>
          <t>三</t>
        </is>
      </c>
      <c r="D558" s="8" t="n">
        <v>2620.83</v>
      </c>
      <c r="E558" s="7" t="n">
        <v>2024</v>
      </c>
      <c r="F558" s="7" t="n">
        <v>41</v>
      </c>
      <c r="G558" s="7" t="inlineStr">
        <is>
          <t>2024-10-09</t>
        </is>
      </c>
      <c r="H558" s="9" t="inlineStr">
        <is>
          <t>https://www.100ppi.com/news/detail-20241009-3721430.html</t>
        </is>
      </c>
      <c r="I558" s="7" t="inlineStr">
        <is>
          <t>10月9日生意社甲醇基准价为2620.83元/吨</t>
        </is>
      </c>
    </row>
    <row r="559">
      <c r="A559" s="7" t="n">
        <v>556</v>
      </c>
      <c r="B559" s="7" t="inlineStr">
        <is>
          <t>2024-10-10</t>
        </is>
      </c>
      <c r="C559" s="7" t="inlineStr">
        <is>
          <t>四</t>
        </is>
      </c>
      <c r="D559" s="8" t="n">
        <v>2580</v>
      </c>
      <c r="E559" s="7" t="n">
        <v>2024</v>
      </c>
      <c r="F559" s="7" t="n">
        <v>41</v>
      </c>
      <c r="G559" s="7" t="inlineStr">
        <is>
          <t>2024-10-10</t>
        </is>
      </c>
      <c r="H559" s="9" t="inlineStr">
        <is>
          <t>https://www.100ppi.com/news/detail-20241010-3724942.html</t>
        </is>
      </c>
      <c r="I559" s="7" t="inlineStr">
        <is>
          <t>10月10日生意社甲醇基准价为2580.00元/吨</t>
        </is>
      </c>
    </row>
    <row r="560">
      <c r="A560" s="7" t="n">
        <v>557</v>
      </c>
      <c r="B560" s="7" t="inlineStr">
        <is>
          <t>2024-10-11</t>
        </is>
      </c>
      <c r="C560" s="7" t="inlineStr">
        <is>
          <t>五</t>
        </is>
      </c>
      <c r="D560" s="8" t="n">
        <v>2505.83</v>
      </c>
      <c r="E560" s="7" t="n">
        <v>2024</v>
      </c>
      <c r="F560" s="7" t="n">
        <v>41</v>
      </c>
      <c r="G560" s="7" t="inlineStr">
        <is>
          <t>2024-10-11</t>
        </is>
      </c>
      <c r="H560" s="9" t="inlineStr">
        <is>
          <t>https://www.100ppi.com/news/detail-20241011-3728371.html</t>
        </is>
      </c>
      <c r="I560" s="7" t="inlineStr">
        <is>
          <t>10月11日生意社甲醇基准价为2505.83元/吨</t>
        </is>
      </c>
    </row>
    <row r="561">
      <c r="A561" s="7" t="n">
        <v>558</v>
      </c>
      <c r="B561" s="7" t="inlineStr">
        <is>
          <t>2024-10-14</t>
        </is>
      </c>
      <c r="C561" s="7" t="inlineStr">
        <is>
          <t>一</t>
        </is>
      </c>
      <c r="D561" s="8" t="n">
        <v>2551.67</v>
      </c>
      <c r="E561" s="7" t="n">
        <v>2024</v>
      </c>
      <c r="F561" s="7" t="n">
        <v>42</v>
      </c>
      <c r="G561" s="7" t="inlineStr">
        <is>
          <t>2024-10-14</t>
        </is>
      </c>
      <c r="H561" s="9" t="inlineStr">
        <is>
          <t>https://www.100ppi.com/news/detail-20241014-3736393.html</t>
        </is>
      </c>
      <c r="I561" s="7" t="inlineStr">
        <is>
          <t>10月14日生意社甲醇基准价为2551.67元/吨</t>
        </is>
      </c>
    </row>
    <row r="562">
      <c r="A562" s="7" t="n">
        <v>559</v>
      </c>
      <c r="B562" s="7" t="inlineStr">
        <is>
          <t>2024-10-15</t>
        </is>
      </c>
      <c r="C562" s="7" t="inlineStr">
        <is>
          <t>二</t>
        </is>
      </c>
      <c r="D562" s="8" t="n">
        <v>2510</v>
      </c>
      <c r="E562" s="7" t="n">
        <v>2024</v>
      </c>
      <c r="F562" s="7" t="n">
        <v>42</v>
      </c>
      <c r="G562" s="7" t="inlineStr">
        <is>
          <t>2024-10-15</t>
        </is>
      </c>
      <c r="H562" s="9" t="inlineStr">
        <is>
          <t>https://www.100ppi.com/news/detail-20241015-3739828.html</t>
        </is>
      </c>
      <c r="I562" s="7" t="inlineStr">
        <is>
          <t>10月15日生意社甲醇基准价为2510.00元/吨</t>
        </is>
      </c>
    </row>
    <row r="563">
      <c r="A563" s="7" t="n">
        <v>560</v>
      </c>
      <c r="B563" s="7" t="inlineStr">
        <is>
          <t>2024-10-16</t>
        </is>
      </c>
      <c r="C563" s="7" t="inlineStr">
        <is>
          <t>三</t>
        </is>
      </c>
      <c r="D563" s="8" t="n">
        <v>2477.5</v>
      </c>
      <c r="E563" s="7" t="n">
        <v>2024</v>
      </c>
      <c r="F563" s="7" t="n">
        <v>42</v>
      </c>
      <c r="G563" s="7" t="inlineStr">
        <is>
          <t>2024-10-16</t>
        </is>
      </c>
      <c r="H563" s="9" t="inlineStr">
        <is>
          <t>https://www.100ppi.com/news/detail-20241016-3743207.html</t>
        </is>
      </c>
      <c r="I563" s="7" t="inlineStr">
        <is>
          <t>10月16日生意社甲醇基准价为2477.50元/吨</t>
        </is>
      </c>
    </row>
    <row r="564">
      <c r="A564" s="7" t="n">
        <v>561</v>
      </c>
      <c r="B564" s="7" t="inlineStr">
        <is>
          <t>2024-10-17</t>
        </is>
      </c>
      <c r="C564" s="7" t="inlineStr">
        <is>
          <t>四</t>
        </is>
      </c>
      <c r="D564" s="8" t="n">
        <v>2452.5</v>
      </c>
      <c r="E564" s="7" t="n">
        <v>2024</v>
      </c>
      <c r="F564" s="7" t="n">
        <v>42</v>
      </c>
      <c r="G564" s="7" t="inlineStr">
        <is>
          <t>2024-10-17</t>
        </is>
      </c>
      <c r="H564" s="9" t="inlineStr">
        <is>
          <t>https://www.100ppi.com/news/detail-20241017-3746687.html</t>
        </is>
      </c>
      <c r="I564" s="7" t="inlineStr">
        <is>
          <t>10月17日生意社甲醇基准价为2452.50元/吨</t>
        </is>
      </c>
    </row>
    <row r="565">
      <c r="A565" s="7" t="n">
        <v>562</v>
      </c>
      <c r="B565" s="7" t="inlineStr">
        <is>
          <t>2024-10-18</t>
        </is>
      </c>
      <c r="C565" s="7" t="inlineStr">
        <is>
          <t>五</t>
        </is>
      </c>
      <c r="D565" s="8" t="n">
        <v>2456.67</v>
      </c>
      <c r="E565" s="7" t="n">
        <v>2024</v>
      </c>
      <c r="F565" s="7" t="n">
        <v>42</v>
      </c>
      <c r="G565" s="7" t="inlineStr">
        <is>
          <t>2024-10-18</t>
        </is>
      </c>
      <c r="H565" s="9" t="inlineStr">
        <is>
          <t>https://www.100ppi.com/news/detail-20241018-3750135.html</t>
        </is>
      </c>
      <c r="I565" s="7" t="inlineStr">
        <is>
          <t>10月18日生意社甲醇基准价为2456.67元/吨</t>
        </is>
      </c>
    </row>
    <row r="566">
      <c r="A566" s="7" t="n">
        <v>563</v>
      </c>
      <c r="B566" s="7" t="inlineStr">
        <is>
          <t>2024-10-21</t>
        </is>
      </c>
      <c r="C566" s="7" t="inlineStr">
        <is>
          <t>一</t>
        </is>
      </c>
      <c r="D566" s="8" t="n">
        <v>2439.17</v>
      </c>
      <c r="E566" s="7" t="n">
        <v>2024</v>
      </c>
      <c r="F566" s="7" t="n">
        <v>43</v>
      </c>
      <c r="G566" s="7" t="inlineStr">
        <is>
          <t>2024-10-21</t>
        </is>
      </c>
      <c r="H566" s="9" t="inlineStr">
        <is>
          <t>https://www.100ppi.com/news/detail-20241021-3756668.html</t>
        </is>
      </c>
      <c r="I566" s="7" t="inlineStr">
        <is>
          <t>10月21日生意社甲醇基准价为2439.17元/吨</t>
        </is>
      </c>
    </row>
    <row r="567">
      <c r="A567" s="7" t="n">
        <v>564</v>
      </c>
      <c r="B567" s="7" t="inlineStr">
        <is>
          <t>2024-10-22</t>
        </is>
      </c>
      <c r="C567" s="7" t="inlineStr">
        <is>
          <t>二</t>
        </is>
      </c>
      <c r="D567" s="8" t="n">
        <v>2400</v>
      </c>
      <c r="E567" s="7" t="n">
        <v>2024</v>
      </c>
      <c r="F567" s="7" t="n">
        <v>43</v>
      </c>
      <c r="G567" s="7" t="inlineStr">
        <is>
          <t>2024-10-22</t>
        </is>
      </c>
      <c r="H567" s="9" t="inlineStr">
        <is>
          <t>https://www.100ppi.com/news/detail-20241022-3760583.html</t>
        </is>
      </c>
      <c r="I567" s="7" t="inlineStr">
        <is>
          <t>10月22日生意社甲醇基准价为2400.00元/吨</t>
        </is>
      </c>
    </row>
    <row r="568">
      <c r="A568" s="7" t="n">
        <v>565</v>
      </c>
      <c r="B568" s="7" t="inlineStr">
        <is>
          <t>2024-10-23</t>
        </is>
      </c>
      <c r="C568" s="7" t="inlineStr">
        <is>
          <t>三</t>
        </is>
      </c>
      <c r="D568" s="8" t="n">
        <v>2416.67</v>
      </c>
      <c r="E568" s="7" t="n">
        <v>2024</v>
      </c>
      <c r="F568" s="7" t="n">
        <v>43</v>
      </c>
      <c r="G568" s="7" t="inlineStr">
        <is>
          <t>2024-10-23</t>
        </is>
      </c>
      <c r="H568" s="9" t="inlineStr">
        <is>
          <t>https://www.100ppi.com/news/detail-20241023-3764387.html</t>
        </is>
      </c>
      <c r="I568" s="7" t="inlineStr">
        <is>
          <t>10月23日生意社甲醇基准价为2416.67元/吨</t>
        </is>
      </c>
    </row>
    <row r="569">
      <c r="A569" s="7" t="n">
        <v>566</v>
      </c>
      <c r="B569" s="7" t="inlineStr">
        <is>
          <t>2024-10-24</t>
        </is>
      </c>
      <c r="C569" s="7" t="inlineStr">
        <is>
          <t>四</t>
        </is>
      </c>
      <c r="D569" s="8" t="n">
        <v>2418.33</v>
      </c>
      <c r="E569" s="7" t="n">
        <v>2024</v>
      </c>
      <c r="F569" s="7" t="n">
        <v>43</v>
      </c>
      <c r="G569" s="7" t="inlineStr">
        <is>
          <t>2024-10-24</t>
        </is>
      </c>
      <c r="H569" s="9" t="inlineStr">
        <is>
          <t>https://www.100ppi.com/news/detail-20241024-3767830.html</t>
        </is>
      </c>
      <c r="I569" s="7" t="inlineStr">
        <is>
          <t>10月24日生意社甲醇基准价为2418.33元/吨</t>
        </is>
      </c>
    </row>
    <row r="570">
      <c r="A570" s="7" t="n">
        <v>567</v>
      </c>
      <c r="B570" s="7" t="inlineStr">
        <is>
          <t>2024-10-25</t>
        </is>
      </c>
      <c r="C570" s="7" t="inlineStr">
        <is>
          <t>五</t>
        </is>
      </c>
      <c r="D570" s="8" t="n">
        <v>2440</v>
      </c>
      <c r="E570" s="7" t="n">
        <v>2024</v>
      </c>
      <c r="F570" s="7" t="n">
        <v>43</v>
      </c>
      <c r="G570" s="7" t="inlineStr">
        <is>
          <t>2024-10-25</t>
        </is>
      </c>
      <c r="H570" s="9" t="inlineStr">
        <is>
          <t>https://www.100ppi.com/news/detail-20241025-3771426.html</t>
        </is>
      </c>
      <c r="I570" s="7" t="inlineStr">
        <is>
          <t>10月25日生意社甲醇基准价为2440.00元/吨</t>
        </is>
      </c>
    </row>
    <row r="571">
      <c r="A571" s="7" t="n">
        <v>568</v>
      </c>
      <c r="B571" s="7" t="inlineStr">
        <is>
          <t>2024-10-28</t>
        </is>
      </c>
      <c r="C571" s="7" t="inlineStr">
        <is>
          <t>一</t>
        </is>
      </c>
      <c r="D571" s="8" t="n">
        <v>2445.83</v>
      </c>
      <c r="E571" s="7" t="n">
        <v>2024</v>
      </c>
      <c r="F571" s="7" t="n">
        <v>44</v>
      </c>
      <c r="G571" s="7" t="inlineStr">
        <is>
          <t>2024-10-28</t>
        </is>
      </c>
      <c r="H571" s="9" t="inlineStr">
        <is>
          <t>https://www.100ppi.com/news/detail-20241028-3776538.html</t>
        </is>
      </c>
      <c r="I571" s="7" t="inlineStr">
        <is>
          <t>10月28日生意社甲醇基准价为2445.83元/吨</t>
        </is>
      </c>
    </row>
    <row r="572">
      <c r="A572" s="7" t="n">
        <v>569</v>
      </c>
      <c r="B572" s="7" t="inlineStr">
        <is>
          <t>2024-10-29</t>
        </is>
      </c>
      <c r="C572" s="7" t="inlineStr">
        <is>
          <t>二</t>
        </is>
      </c>
      <c r="D572" s="8" t="n">
        <v>2490</v>
      </c>
      <c r="E572" s="7" t="n">
        <v>2024</v>
      </c>
      <c r="F572" s="7" t="n">
        <v>44</v>
      </c>
      <c r="G572" s="7" t="inlineStr">
        <is>
          <t>2024-10-29</t>
        </is>
      </c>
      <c r="H572" s="9" t="inlineStr">
        <is>
          <t>https://www.100ppi.com/news/detail-20241029-3780024.html</t>
        </is>
      </c>
      <c r="I572" s="7" t="inlineStr">
        <is>
          <t>10月29日生意社甲醇基准价为2490.00元/吨</t>
        </is>
      </c>
    </row>
    <row r="573">
      <c r="A573" s="7" t="n">
        <v>570</v>
      </c>
      <c r="B573" s="7" t="inlineStr">
        <is>
          <t>2024-10-30</t>
        </is>
      </c>
      <c r="C573" s="7" t="inlineStr">
        <is>
          <t>三</t>
        </is>
      </c>
      <c r="D573" s="8" t="n">
        <v>2470.83</v>
      </c>
      <c r="E573" s="7" t="n">
        <v>2024</v>
      </c>
      <c r="F573" s="7" t="n">
        <v>44</v>
      </c>
      <c r="G573" s="7" t="inlineStr">
        <is>
          <t>2024-10-30</t>
        </is>
      </c>
      <c r="H573" s="9" t="inlineStr">
        <is>
          <t>https://www.100ppi.com/news/detail-20241030-3783560.html</t>
        </is>
      </c>
      <c r="I573" s="7" t="inlineStr">
        <is>
          <t>10月30日生意社甲醇基准价为2470.83元/吨</t>
        </is>
      </c>
    </row>
    <row r="574">
      <c r="A574" s="7" t="n">
        <v>571</v>
      </c>
      <c r="B574" s="7" t="inlineStr">
        <is>
          <t>2024-10-31</t>
        </is>
      </c>
      <c r="C574" s="7" t="inlineStr">
        <is>
          <t>四</t>
        </is>
      </c>
      <c r="D574" s="8" t="n">
        <v>2440</v>
      </c>
      <c r="E574" s="7" t="n">
        <v>2024</v>
      </c>
      <c r="F574" s="7" t="n">
        <v>44</v>
      </c>
      <c r="G574" s="7" t="inlineStr">
        <is>
          <t>2024-10-31</t>
        </is>
      </c>
      <c r="H574" s="9" t="inlineStr">
        <is>
          <t>https://www.100ppi.com/news/detail-20241031-3787200.html</t>
        </is>
      </c>
      <c r="I574" s="7" t="inlineStr">
        <is>
          <t>10月31日生意社甲醇基准价为2440.00元/吨</t>
        </is>
      </c>
    </row>
    <row r="575">
      <c r="A575" s="7" t="n">
        <v>572</v>
      </c>
      <c r="B575" s="7" t="inlineStr">
        <is>
          <t>2024-11-01</t>
        </is>
      </c>
      <c r="C575" s="7" t="inlineStr">
        <is>
          <t>五</t>
        </is>
      </c>
      <c r="D575" s="8" t="n">
        <v>2485</v>
      </c>
      <c r="E575" s="7" t="n">
        <v>2024</v>
      </c>
      <c r="F575" s="7" t="n">
        <v>44</v>
      </c>
      <c r="G575" s="7" t="inlineStr">
        <is>
          <t>2024-11-01</t>
        </is>
      </c>
      <c r="H575" s="9" t="inlineStr">
        <is>
          <t>https://www.100ppi.com/news/detail-20241101-3790639.html</t>
        </is>
      </c>
      <c r="I575" s="7" t="inlineStr">
        <is>
          <t>11月1日生意社甲醇基准价为2485.00元/吨</t>
        </is>
      </c>
    </row>
    <row r="576">
      <c r="A576" s="7" t="n">
        <v>573</v>
      </c>
      <c r="B576" s="7" t="inlineStr">
        <is>
          <t>2024-11-04</t>
        </is>
      </c>
      <c r="C576" s="7" t="inlineStr">
        <is>
          <t>一</t>
        </is>
      </c>
      <c r="D576" s="8" t="n">
        <v>2475</v>
      </c>
      <c r="E576" s="7" t="n">
        <v>2024</v>
      </c>
      <c r="F576" s="7" t="n">
        <v>45</v>
      </c>
      <c r="G576" s="7" t="inlineStr">
        <is>
          <t>2024-11-04</t>
        </is>
      </c>
      <c r="H576" s="9" t="inlineStr">
        <is>
          <t>https://www.100ppi.com/news/detail-20241104-3798061.html</t>
        </is>
      </c>
      <c r="I576" s="7" t="inlineStr">
        <is>
          <t>11月4日生意社甲醇基准价为2475.00元/吨</t>
        </is>
      </c>
    </row>
    <row r="577">
      <c r="A577" s="7" t="n">
        <v>574</v>
      </c>
      <c r="B577" s="7" t="inlineStr">
        <is>
          <t>2024-11-05</t>
        </is>
      </c>
      <c r="C577" s="7" t="inlineStr">
        <is>
          <t>二</t>
        </is>
      </c>
      <c r="D577" s="8" t="n">
        <v>2470</v>
      </c>
      <c r="E577" s="7" t="n">
        <v>2024</v>
      </c>
      <c r="F577" s="7" t="n">
        <v>45</v>
      </c>
      <c r="G577" s="7" t="inlineStr">
        <is>
          <t>2024-11-05</t>
        </is>
      </c>
      <c r="H577" s="9" t="inlineStr">
        <is>
          <t>https://www.100ppi.com/news/detail-20241105-3801627.html</t>
        </is>
      </c>
      <c r="I577" s="7" t="inlineStr">
        <is>
          <t>11月5日生意社甲醇基准价为2470.00元/吨</t>
        </is>
      </c>
    </row>
    <row r="578">
      <c r="A578" s="7" t="n">
        <v>575</v>
      </c>
      <c r="B578" s="7" t="inlineStr">
        <is>
          <t>2024-11-06</t>
        </is>
      </c>
      <c r="C578" s="7" t="inlineStr">
        <is>
          <t>三</t>
        </is>
      </c>
      <c r="D578" s="8" t="n">
        <v>2470</v>
      </c>
      <c r="E578" s="7" t="n">
        <v>2024</v>
      </c>
      <c r="F578" s="7" t="n">
        <v>45</v>
      </c>
      <c r="G578" s="7" t="inlineStr">
        <is>
          <t>2024-11-06</t>
        </is>
      </c>
      <c r="H578" s="9" t="inlineStr">
        <is>
          <t>https://www.100ppi.com/news/detail-20241106-3805103.html</t>
        </is>
      </c>
      <c r="I578" s="7" t="inlineStr">
        <is>
          <t>11月6日生意社甲醇基准价为2470.00元/吨</t>
        </is>
      </c>
    </row>
    <row r="579">
      <c r="A579" s="7" t="n">
        <v>576</v>
      </c>
      <c r="B579" s="7" t="inlineStr">
        <is>
          <t>2024-11-07</t>
        </is>
      </c>
      <c r="C579" s="7" t="inlineStr">
        <is>
          <t>四</t>
        </is>
      </c>
      <c r="D579" s="8" t="n">
        <v>2470</v>
      </c>
      <c r="E579" s="7" t="n">
        <v>2024</v>
      </c>
      <c r="F579" s="7" t="n">
        <v>45</v>
      </c>
      <c r="G579" s="7" t="inlineStr">
        <is>
          <t>2024-11-07</t>
        </is>
      </c>
      <c r="H579" s="9" t="inlineStr">
        <is>
          <t>https://www.100ppi.com/news/detail-20241107-3808569.html</t>
        </is>
      </c>
      <c r="I579" s="7" t="inlineStr">
        <is>
          <t>11月7日生意社甲醇基准价为2470.00元/吨</t>
        </is>
      </c>
    </row>
    <row r="580">
      <c r="A580" s="7" t="n">
        <v>577</v>
      </c>
      <c r="B580" s="7" t="inlineStr">
        <is>
          <t>2024-11-08</t>
        </is>
      </c>
      <c r="C580" s="7" t="inlineStr">
        <is>
          <t>五</t>
        </is>
      </c>
      <c r="D580" s="8" t="n">
        <v>2499.17</v>
      </c>
      <c r="E580" s="7" t="n">
        <v>2024</v>
      </c>
      <c r="F580" s="7" t="n">
        <v>45</v>
      </c>
      <c r="G580" s="7" t="inlineStr">
        <is>
          <t>2024-11-08</t>
        </is>
      </c>
      <c r="H580" s="9" t="inlineStr">
        <is>
          <t>https://www.100ppi.com/news/detail-20241108-3811970.html</t>
        </is>
      </c>
      <c r="I580" s="7" t="inlineStr">
        <is>
          <t>11月8日生意社甲醇基准价为2499.17元/吨</t>
        </is>
      </c>
    </row>
    <row r="581">
      <c r="A581" s="7" t="n">
        <v>578</v>
      </c>
      <c r="B581" s="7" t="inlineStr">
        <is>
          <t>2024-11-11</t>
        </is>
      </c>
      <c r="C581" s="7" t="inlineStr">
        <is>
          <t>一</t>
        </is>
      </c>
      <c r="D581" s="8" t="n">
        <v>2485</v>
      </c>
      <c r="E581" s="7" t="n">
        <v>2024</v>
      </c>
      <c r="F581" s="7" t="n">
        <v>46</v>
      </c>
      <c r="G581" s="7" t="inlineStr">
        <is>
          <t>2024-11-11</t>
        </is>
      </c>
      <c r="H581" s="9" t="inlineStr">
        <is>
          <t>https://www.100ppi.com/news/detail-20241111-3817999.html</t>
        </is>
      </c>
      <c r="I581" s="7" t="inlineStr">
        <is>
          <t>11月11日生意社甲醇基准价为2485.00元/吨</t>
        </is>
      </c>
    </row>
    <row r="582">
      <c r="A582" s="7" t="n">
        <v>579</v>
      </c>
      <c r="B582" s="7" t="inlineStr">
        <is>
          <t>2024-11-12</t>
        </is>
      </c>
      <c r="C582" s="7" t="inlineStr">
        <is>
          <t>二</t>
        </is>
      </c>
      <c r="D582" s="8" t="n">
        <v>2464.17</v>
      </c>
      <c r="E582" s="7" t="n">
        <v>2024</v>
      </c>
      <c r="F582" s="7" t="n">
        <v>46</v>
      </c>
      <c r="G582" s="7" t="inlineStr">
        <is>
          <t>2024-11-12</t>
        </is>
      </c>
      <c r="H582" s="9" t="inlineStr">
        <is>
          <t>https://www.100ppi.com/news/detail-20241112-3821508.html</t>
        </is>
      </c>
      <c r="I582" s="7" t="inlineStr">
        <is>
          <t>11月12日生意社甲醇基准价为2464.17元/吨</t>
        </is>
      </c>
    </row>
    <row r="583">
      <c r="A583" s="7" t="n">
        <v>580</v>
      </c>
      <c r="B583" s="7" t="inlineStr">
        <is>
          <t>2024-11-13</t>
        </is>
      </c>
      <c r="C583" s="7" t="inlineStr">
        <is>
          <t>三</t>
        </is>
      </c>
      <c r="D583" s="8" t="n">
        <v>2470</v>
      </c>
      <c r="E583" s="7" t="n">
        <v>2024</v>
      </c>
      <c r="F583" s="7" t="n">
        <v>46</v>
      </c>
      <c r="G583" s="7" t="inlineStr">
        <is>
          <t>2024-11-13</t>
        </is>
      </c>
      <c r="H583" s="9" t="inlineStr">
        <is>
          <t>https://www.100ppi.com/news/detail-20241113-3824989.html</t>
        </is>
      </c>
      <c r="I583" s="7" t="inlineStr">
        <is>
          <t>11月13日生意社甲醇基准价为2470.00元/吨</t>
        </is>
      </c>
    </row>
    <row r="584">
      <c r="A584" s="7" t="n">
        <v>581</v>
      </c>
      <c r="B584" s="7" t="inlineStr">
        <is>
          <t>2024-11-14</t>
        </is>
      </c>
      <c r="C584" s="7" t="inlineStr">
        <is>
          <t>四</t>
        </is>
      </c>
      <c r="D584" s="8" t="n">
        <v>2485</v>
      </c>
      <c r="E584" s="7" t="n">
        <v>2024</v>
      </c>
      <c r="F584" s="7" t="n">
        <v>46</v>
      </c>
      <c r="G584" s="7" t="inlineStr">
        <is>
          <t>2024-11-14</t>
        </is>
      </c>
      <c r="H584" s="9" t="inlineStr">
        <is>
          <t>https://www.100ppi.com/news/detail-20241114-3828500.html</t>
        </is>
      </c>
      <c r="I584" s="7" t="inlineStr">
        <is>
          <t>11月14日生意社甲醇基准价为2485.00元/吨</t>
        </is>
      </c>
    </row>
    <row r="585">
      <c r="A585" s="7" t="n">
        <v>582</v>
      </c>
      <c r="B585" s="7" t="inlineStr">
        <is>
          <t>2024-11-15</t>
        </is>
      </c>
      <c r="C585" s="7" t="inlineStr">
        <is>
          <t>五</t>
        </is>
      </c>
      <c r="D585" s="8" t="n">
        <v>2475</v>
      </c>
      <c r="E585" s="7" t="n">
        <v>2024</v>
      </c>
      <c r="F585" s="7" t="n">
        <v>46</v>
      </c>
      <c r="G585" s="7" t="inlineStr">
        <is>
          <t>2024-11-15</t>
        </is>
      </c>
      <c r="H585" s="9" t="inlineStr">
        <is>
          <t>https://www.100ppi.com/news/detail-20241115-3831590.html</t>
        </is>
      </c>
      <c r="I585" s="7" t="inlineStr">
        <is>
          <t>11月15日生意社甲醇基准价为2475.00元/吨</t>
        </is>
      </c>
    </row>
    <row r="586">
      <c r="A586" s="7" t="n">
        <v>583</v>
      </c>
      <c r="B586" s="7" t="inlineStr">
        <is>
          <t>2024-11-18</t>
        </is>
      </c>
      <c r="C586" s="7" t="inlineStr">
        <is>
          <t>一</t>
        </is>
      </c>
      <c r="D586" s="8" t="n">
        <v>2500</v>
      </c>
      <c r="E586" s="7" t="n">
        <v>2024</v>
      </c>
      <c r="F586" s="7" t="n">
        <v>47</v>
      </c>
      <c r="G586" s="7" t="inlineStr">
        <is>
          <t>2024-11-18</t>
        </is>
      </c>
      <c r="H586" s="9" t="inlineStr">
        <is>
          <t>https://www.100ppi.com/news/detail-20241118-3839032.html</t>
        </is>
      </c>
      <c r="I586" s="7" t="inlineStr">
        <is>
          <t>11月18日生意社甲醇基准价为2500.00元/吨</t>
        </is>
      </c>
    </row>
    <row r="587">
      <c r="A587" s="7" t="n">
        <v>584</v>
      </c>
      <c r="B587" s="7" t="inlineStr">
        <is>
          <t>2024-11-19</t>
        </is>
      </c>
      <c r="C587" s="7" t="inlineStr">
        <is>
          <t>二</t>
        </is>
      </c>
      <c r="D587" s="8" t="n">
        <v>2510</v>
      </c>
      <c r="E587" s="7" t="n">
        <v>2024</v>
      </c>
      <c r="F587" s="7" t="n">
        <v>47</v>
      </c>
      <c r="G587" s="7" t="inlineStr">
        <is>
          <t>2024-11-19</t>
        </is>
      </c>
      <c r="H587" s="9" t="inlineStr">
        <is>
          <t>https://www.100ppi.com/news/detail-20241119-3842695.html</t>
        </is>
      </c>
      <c r="I587" s="7" t="inlineStr">
        <is>
          <t>11月19日生意社甲醇基准价为2510.00元/吨</t>
        </is>
      </c>
    </row>
    <row r="588">
      <c r="A588" s="7" t="n">
        <v>585</v>
      </c>
      <c r="B588" s="7" t="inlineStr">
        <is>
          <t>2024-11-20</t>
        </is>
      </c>
      <c r="C588" s="7" t="inlineStr">
        <is>
          <t>三</t>
        </is>
      </c>
      <c r="D588" s="8" t="n">
        <v>2525</v>
      </c>
      <c r="E588" s="7" t="n">
        <v>2024</v>
      </c>
      <c r="F588" s="7" t="n">
        <v>47</v>
      </c>
      <c r="G588" s="7" t="inlineStr">
        <is>
          <t>2024-11-20</t>
        </is>
      </c>
      <c r="H588" s="9" t="inlineStr">
        <is>
          <t>https://www.100ppi.com/news/detail-20241120-3846235.html</t>
        </is>
      </c>
      <c r="I588" s="7" t="inlineStr">
        <is>
          <t>11月20日生意社甲醇基准价为2525.00元/吨</t>
        </is>
      </c>
    </row>
    <row r="589">
      <c r="A589" s="7" t="n">
        <v>586</v>
      </c>
      <c r="B589" s="7" t="inlineStr">
        <is>
          <t>2024-11-21</t>
        </is>
      </c>
      <c r="C589" s="7" t="inlineStr">
        <is>
          <t>四</t>
        </is>
      </c>
      <c r="D589" s="8" t="n">
        <v>2549.17</v>
      </c>
      <c r="E589" s="7" t="n">
        <v>2024</v>
      </c>
      <c r="F589" s="7" t="n">
        <v>47</v>
      </c>
      <c r="G589" s="7" t="inlineStr">
        <is>
          <t>2024-11-21</t>
        </is>
      </c>
      <c r="H589" s="9" t="inlineStr">
        <is>
          <t>https://www.100ppi.com/news/detail-20241121-3849746.html</t>
        </is>
      </c>
      <c r="I589" s="7" t="inlineStr">
        <is>
          <t>11月21日生意社甲醇基准价为2549.17元/吨</t>
        </is>
      </c>
    </row>
    <row r="590">
      <c r="A590" s="7" t="n">
        <v>587</v>
      </c>
      <c r="B590" s="7" t="inlineStr">
        <is>
          <t>2024-11-22</t>
        </is>
      </c>
      <c r="C590" s="7" t="inlineStr">
        <is>
          <t>五</t>
        </is>
      </c>
      <c r="D590" s="8" t="n">
        <v>2550</v>
      </c>
      <c r="E590" s="7" t="n">
        <v>2024</v>
      </c>
      <c r="F590" s="7" t="n">
        <v>47</v>
      </c>
      <c r="G590" s="7" t="inlineStr">
        <is>
          <t>2024-11-22</t>
        </is>
      </c>
      <c r="H590" s="9" t="inlineStr">
        <is>
          <t>https://www.100ppi.com/news/detail-20241122-3853037.html</t>
        </is>
      </c>
      <c r="I590" s="7" t="inlineStr">
        <is>
          <t>11月22日生意社甲醇基准价为2550.00元/吨</t>
        </is>
      </c>
    </row>
    <row r="591">
      <c r="A591" s="7" t="n">
        <v>588</v>
      </c>
      <c r="B591" s="7" t="inlineStr">
        <is>
          <t>2024-11-25</t>
        </is>
      </c>
      <c r="C591" s="7" t="inlineStr">
        <is>
          <t>一</t>
        </is>
      </c>
      <c r="D591" s="8" t="n">
        <v>2580</v>
      </c>
      <c r="E591" s="7" t="n">
        <v>2024</v>
      </c>
      <c r="F591" s="7" t="n">
        <v>48</v>
      </c>
      <c r="G591" s="7" t="inlineStr">
        <is>
          <t>2024-11-25</t>
        </is>
      </c>
      <c r="H591" s="9" t="inlineStr">
        <is>
          <t>https://www.100ppi.com/news/detail-20241125-3858717.html</t>
        </is>
      </c>
      <c r="I591" s="7" t="inlineStr">
        <is>
          <t>11月25日生意社甲醇基准价为2580.00元/吨</t>
        </is>
      </c>
    </row>
    <row r="592">
      <c r="A592" s="7" t="n">
        <v>589</v>
      </c>
      <c r="B592" s="7" t="inlineStr">
        <is>
          <t>2024-11-26</t>
        </is>
      </c>
      <c r="C592" s="7" t="inlineStr">
        <is>
          <t>二</t>
        </is>
      </c>
      <c r="D592" s="8" t="n">
        <v>2560</v>
      </c>
      <c r="E592" s="7" t="n">
        <v>2024</v>
      </c>
      <c r="F592" s="7" t="n">
        <v>48</v>
      </c>
      <c r="G592" s="7" t="inlineStr">
        <is>
          <t>2024-11-26</t>
        </is>
      </c>
      <c r="H592" s="9" t="inlineStr">
        <is>
          <t>https://www.100ppi.com/news/detail-20241126-3862055.html</t>
        </is>
      </c>
      <c r="I592" s="7" t="inlineStr">
        <is>
          <t>11月26日生意社甲醇基准价为2560.00元/吨</t>
        </is>
      </c>
    </row>
    <row r="593">
      <c r="A593" s="7" t="n">
        <v>590</v>
      </c>
      <c r="B593" s="7" t="inlineStr">
        <is>
          <t>2024-11-27</t>
        </is>
      </c>
      <c r="C593" s="7" t="inlineStr">
        <is>
          <t>三</t>
        </is>
      </c>
      <c r="D593" s="8" t="n">
        <v>2578.33</v>
      </c>
      <c r="E593" s="7" t="n">
        <v>2024</v>
      </c>
      <c r="F593" s="7" t="n">
        <v>48</v>
      </c>
      <c r="G593" s="7" t="inlineStr">
        <is>
          <t>2024-11-27</t>
        </is>
      </c>
      <c r="H593" s="9" t="inlineStr">
        <is>
          <t>https://www.100ppi.com/news/detail-20241127-3865608.html</t>
        </is>
      </c>
      <c r="I593" s="7" t="inlineStr">
        <is>
          <t>11月27日生意社甲醇基准价为2578.33元/吨</t>
        </is>
      </c>
    </row>
    <row r="594">
      <c r="A594" s="7" t="n">
        <v>591</v>
      </c>
      <c r="B594" s="7" t="inlineStr">
        <is>
          <t>2024-11-28</t>
        </is>
      </c>
      <c r="C594" s="7" t="inlineStr">
        <is>
          <t>四</t>
        </is>
      </c>
      <c r="D594" s="8" t="n">
        <v>2549.17</v>
      </c>
      <c r="E594" s="7" t="n">
        <v>2024</v>
      </c>
      <c r="F594" s="7" t="n">
        <v>48</v>
      </c>
      <c r="G594" s="7" t="inlineStr">
        <is>
          <t>2024-11-28</t>
        </is>
      </c>
      <c r="H594" s="9" t="inlineStr">
        <is>
          <t>https://www.100ppi.com/news/detail-20241128-3868868.html</t>
        </is>
      </c>
      <c r="I594" s="7" t="inlineStr">
        <is>
          <t>11月28日生意社甲醇基准价为2549.17元/吨</t>
        </is>
      </c>
    </row>
    <row r="595">
      <c r="A595" s="7" t="n">
        <v>592</v>
      </c>
      <c r="B595" s="7" t="inlineStr">
        <is>
          <t>2024-11-29</t>
        </is>
      </c>
      <c r="C595" s="7" t="inlineStr">
        <is>
          <t>五</t>
        </is>
      </c>
      <c r="D595" s="8" t="n">
        <v>2538.33</v>
      </c>
      <c r="E595" s="7" t="n">
        <v>2024</v>
      </c>
      <c r="F595" s="7" t="n">
        <v>48</v>
      </c>
      <c r="G595" s="7" t="inlineStr">
        <is>
          <t>2024-11-29</t>
        </is>
      </c>
      <c r="H595" s="9" t="inlineStr">
        <is>
          <t>https://www.100ppi.com/news/detail-20241129-3871930.html</t>
        </is>
      </c>
      <c r="I595" s="7" t="inlineStr">
        <is>
          <t>11月29日生意社甲醇基准价为2538.33元/吨</t>
        </is>
      </c>
    </row>
    <row r="596">
      <c r="A596" s="7" t="n">
        <v>593</v>
      </c>
      <c r="B596" s="7" t="inlineStr">
        <is>
          <t>2024-12-02</t>
        </is>
      </c>
      <c r="C596" s="7" t="inlineStr">
        <is>
          <t>一</t>
        </is>
      </c>
      <c r="D596" s="8" t="n">
        <v>2544.17</v>
      </c>
      <c r="E596" s="7" t="n">
        <v>2024</v>
      </c>
      <c r="F596" s="7" t="n">
        <v>49</v>
      </c>
      <c r="G596" s="7" t="inlineStr">
        <is>
          <t>2024-12-02</t>
        </is>
      </c>
      <c r="H596" s="9" t="inlineStr">
        <is>
          <t>https://www.100ppi.com/news/detail-20241202-3877670.html</t>
        </is>
      </c>
      <c r="I596" s="7" t="inlineStr">
        <is>
          <t>12月2日生意社甲醇基准价为2544.17元/吨</t>
        </is>
      </c>
    </row>
    <row r="597">
      <c r="A597" s="7" t="n">
        <v>594</v>
      </c>
      <c r="B597" s="7" t="inlineStr">
        <is>
          <t>2024-12-03</t>
        </is>
      </c>
      <c r="C597" s="7" t="inlineStr">
        <is>
          <t>二</t>
        </is>
      </c>
      <c r="D597" s="8" t="n">
        <v>2539.17</v>
      </c>
      <c r="E597" s="7" t="n">
        <v>2024</v>
      </c>
      <c r="F597" s="7" t="n">
        <v>49</v>
      </c>
      <c r="G597" s="7" t="inlineStr">
        <is>
          <t>2024-12-03</t>
        </is>
      </c>
      <c r="H597" s="9" t="inlineStr">
        <is>
          <t>https://www.100ppi.com/news/detail-20241203-3881362.html</t>
        </is>
      </c>
      <c r="I597" s="7" t="inlineStr">
        <is>
          <t>12月3日生意社甲醇基准价为2539.17元/吨</t>
        </is>
      </c>
    </row>
    <row r="598">
      <c r="A598" s="7" t="n">
        <v>595</v>
      </c>
      <c r="B598" s="7" t="inlineStr">
        <is>
          <t>2024-12-04</t>
        </is>
      </c>
      <c r="C598" s="7" t="inlineStr">
        <is>
          <t>三</t>
        </is>
      </c>
      <c r="D598" s="8" t="n">
        <v>2510.83</v>
      </c>
      <c r="E598" s="7" t="n">
        <v>2024</v>
      </c>
      <c r="F598" s="7" t="n">
        <v>49</v>
      </c>
      <c r="G598" s="7" t="inlineStr">
        <is>
          <t>2024-12-04</t>
        </is>
      </c>
      <c r="H598" s="9" t="inlineStr">
        <is>
          <t>https://www.100ppi.com/news/detail-20241204-3884937.html</t>
        </is>
      </c>
      <c r="I598" s="7" t="inlineStr">
        <is>
          <t>12月4日生意社甲醇基准价为2510.83元/吨</t>
        </is>
      </c>
    </row>
    <row r="599">
      <c r="A599" s="7" t="n">
        <v>596</v>
      </c>
      <c r="B599" s="7" t="inlineStr">
        <is>
          <t>2024-12-05</t>
        </is>
      </c>
      <c r="C599" s="7" t="inlineStr">
        <is>
          <t>四</t>
        </is>
      </c>
      <c r="D599" s="8" t="n">
        <v>2509.17</v>
      </c>
      <c r="E599" s="7" t="n">
        <v>2024</v>
      </c>
      <c r="F599" s="7" t="n">
        <v>49</v>
      </c>
      <c r="G599" s="7" t="inlineStr">
        <is>
          <t>2024-12-05</t>
        </is>
      </c>
      <c r="H599" s="9" t="inlineStr">
        <is>
          <t>https://www.100ppi.com/news/detail-20241205-3888659.html</t>
        </is>
      </c>
      <c r="I599" s="7" t="inlineStr">
        <is>
          <t>12月5日生意社甲醇基准价为2509.17元/吨</t>
        </is>
      </c>
    </row>
    <row r="600">
      <c r="A600" s="7" t="n">
        <v>597</v>
      </c>
      <c r="B600" s="7" t="inlineStr">
        <is>
          <t>2024-12-06</t>
        </is>
      </c>
      <c r="C600" s="7" t="inlineStr">
        <is>
          <t>五</t>
        </is>
      </c>
      <c r="D600" s="8" t="n">
        <v>2482.5</v>
      </c>
      <c r="E600" s="7" t="n">
        <v>2024</v>
      </c>
      <c r="F600" s="7" t="n">
        <v>49</v>
      </c>
      <c r="G600" s="7" t="inlineStr">
        <is>
          <t>2024-12-06</t>
        </is>
      </c>
      <c r="H600" s="9" t="inlineStr">
        <is>
          <t>https://www.100ppi.com/news/detail-20241206-3892162.html</t>
        </is>
      </c>
      <c r="I600" s="7" t="inlineStr">
        <is>
          <t>12月6日生意社甲醇基准价为2482.50元/吨</t>
        </is>
      </c>
    </row>
    <row r="601">
      <c r="A601" s="7" t="n">
        <v>598</v>
      </c>
      <c r="B601" s="7" t="inlineStr">
        <is>
          <t>2024-12-09</t>
        </is>
      </c>
      <c r="C601" s="7" t="inlineStr">
        <is>
          <t>一</t>
        </is>
      </c>
      <c r="D601" s="8" t="n">
        <v>2504.17</v>
      </c>
      <c r="E601" s="7" t="n">
        <v>2024</v>
      </c>
      <c r="F601" s="7" t="n">
        <v>50</v>
      </c>
      <c r="G601" s="7" t="inlineStr">
        <is>
          <t>2024-12-09</t>
        </is>
      </c>
      <c r="H601" s="9" t="inlineStr">
        <is>
          <t>https://www.100ppi.com/news/detail-20241209-3899093.html</t>
        </is>
      </c>
      <c r="I601" s="7" t="inlineStr">
        <is>
          <t>12月9日生意社甲醇基准价为2504.17元/吨</t>
        </is>
      </c>
    </row>
    <row r="602">
      <c r="A602" s="7" t="n">
        <v>599</v>
      </c>
      <c r="B602" s="7" t="inlineStr">
        <is>
          <t>2024-12-10</t>
        </is>
      </c>
      <c r="C602" s="7" t="inlineStr">
        <is>
          <t>二</t>
        </is>
      </c>
      <c r="D602" s="8" t="n">
        <v>2530</v>
      </c>
      <c r="E602" s="7" t="n">
        <v>2024</v>
      </c>
      <c r="F602" s="7" t="n">
        <v>50</v>
      </c>
      <c r="G602" s="7" t="inlineStr">
        <is>
          <t>2024-12-10</t>
        </is>
      </c>
      <c r="H602" s="9" t="inlineStr">
        <is>
          <t>https://www.100ppi.com/news/detail-20241210-3902530.html</t>
        </is>
      </c>
      <c r="I602" s="7" t="inlineStr">
        <is>
          <t>12月10日生意社甲醇基准价为2530.00元/吨</t>
        </is>
      </c>
    </row>
    <row r="603">
      <c r="A603" s="7" t="n">
        <v>600</v>
      </c>
      <c r="B603" s="7" t="inlineStr">
        <is>
          <t>2024-12-11</t>
        </is>
      </c>
      <c r="C603" s="7" t="inlineStr">
        <is>
          <t>三</t>
        </is>
      </c>
      <c r="D603" s="8" t="n">
        <v>2548.33</v>
      </c>
      <c r="E603" s="7" t="n">
        <v>2024</v>
      </c>
      <c r="F603" s="7" t="n">
        <v>50</v>
      </c>
      <c r="G603" s="7" t="inlineStr">
        <is>
          <t>2024-12-11</t>
        </is>
      </c>
      <c r="H603" s="9" t="inlineStr">
        <is>
          <t>https://www.100ppi.com/news/detail-20241211-3906116.html</t>
        </is>
      </c>
      <c r="I603" s="7" t="inlineStr">
        <is>
          <t>12月11日生意社甲醇基准价为2548.33元/吨</t>
        </is>
      </c>
    </row>
    <row r="604">
      <c r="A604" s="7" t="n">
        <v>601</v>
      </c>
      <c r="B604" s="7" t="inlineStr">
        <is>
          <t>2024-12-12</t>
        </is>
      </c>
      <c r="C604" s="7" t="inlineStr">
        <is>
          <t>四</t>
        </is>
      </c>
      <c r="D604" s="8" t="n">
        <v>2560</v>
      </c>
      <c r="E604" s="7" t="n">
        <v>2024</v>
      </c>
      <c r="F604" s="7" t="n">
        <v>50</v>
      </c>
      <c r="G604" s="7" t="inlineStr">
        <is>
          <t>2024-12-12</t>
        </is>
      </c>
      <c r="H604" s="9" t="inlineStr">
        <is>
          <t>https://www.100ppi.com/news/detail-20241212-3909957.html</t>
        </is>
      </c>
      <c r="I604" s="7" t="inlineStr">
        <is>
          <t>12月12日生意社甲醇基准价为2560.00元/吨</t>
        </is>
      </c>
    </row>
    <row r="605">
      <c r="A605" s="7" t="n">
        <v>602</v>
      </c>
      <c r="B605" s="7" t="inlineStr">
        <is>
          <t>2024-12-13</t>
        </is>
      </c>
      <c r="C605" s="7" t="inlineStr">
        <is>
          <t>五</t>
        </is>
      </c>
      <c r="D605" s="8" t="n">
        <v>2595.83</v>
      </c>
      <c r="E605" s="7" t="n">
        <v>2024</v>
      </c>
      <c r="F605" s="7" t="n">
        <v>50</v>
      </c>
      <c r="G605" s="7" t="inlineStr">
        <is>
          <t>2024-12-13</t>
        </is>
      </c>
      <c r="H605" s="9" t="inlineStr">
        <is>
          <t>https://www.100ppi.com/news/detail-20241213-3913730.html</t>
        </is>
      </c>
      <c r="I605" s="7" t="inlineStr">
        <is>
          <t>12月13日生意社甲醇基准价为2595.83元/吨</t>
        </is>
      </c>
    </row>
    <row r="606">
      <c r="A606" s="7" t="n">
        <v>603</v>
      </c>
      <c r="B606" s="7" t="inlineStr">
        <is>
          <t>2024-12-16</t>
        </is>
      </c>
      <c r="C606" s="7" t="inlineStr">
        <is>
          <t>一</t>
        </is>
      </c>
      <c r="D606" s="8" t="n">
        <v>2600</v>
      </c>
      <c r="E606" s="7" t="n">
        <v>2024</v>
      </c>
      <c r="F606" s="7" t="n">
        <v>51</v>
      </c>
      <c r="G606" s="7" t="inlineStr">
        <is>
          <t>2024-12-16</t>
        </is>
      </c>
      <c r="H606" s="9" t="inlineStr">
        <is>
          <t>https://www.100ppi.com/news/detail-20241216-3919832.html</t>
        </is>
      </c>
      <c r="I606" s="7" t="inlineStr">
        <is>
          <t>12月16日生意社甲醇基准价为2600.00元/吨</t>
        </is>
      </c>
    </row>
    <row r="607">
      <c r="A607" s="7" t="n">
        <v>604</v>
      </c>
      <c r="B607" s="7" t="inlineStr">
        <is>
          <t>2024-12-17</t>
        </is>
      </c>
      <c r="C607" s="7" t="inlineStr">
        <is>
          <t>二</t>
        </is>
      </c>
      <c r="D607" s="8" t="n">
        <v>2620</v>
      </c>
      <c r="E607" s="7" t="n">
        <v>2024</v>
      </c>
      <c r="F607" s="7" t="n">
        <v>51</v>
      </c>
      <c r="G607" s="7" t="inlineStr">
        <is>
          <t>2024-12-17</t>
        </is>
      </c>
      <c r="H607" s="9" t="inlineStr">
        <is>
          <t>https://www.100ppi.com/news/detail-20241217-3923743.html</t>
        </is>
      </c>
      <c r="I607" s="7" t="inlineStr">
        <is>
          <t>12月17日生意社甲醇基准价为2620.00元/吨</t>
        </is>
      </c>
    </row>
    <row r="608">
      <c r="A608" s="7" t="n">
        <v>605</v>
      </c>
      <c r="B608" s="7" t="inlineStr">
        <is>
          <t>2024-12-18</t>
        </is>
      </c>
      <c r="C608" s="7" t="inlineStr">
        <is>
          <t>三</t>
        </is>
      </c>
      <c r="D608" s="8" t="n">
        <v>2614.17</v>
      </c>
      <c r="E608" s="7" t="n">
        <v>2024</v>
      </c>
      <c r="F608" s="7" t="n">
        <v>51</v>
      </c>
      <c r="G608" s="7" t="inlineStr">
        <is>
          <t>2024-12-18</t>
        </is>
      </c>
      <c r="H608" s="9" t="inlineStr">
        <is>
          <t>https://www.100ppi.com/news/detail-20241218-3927584.html</t>
        </is>
      </c>
      <c r="I608" s="7" t="inlineStr">
        <is>
          <t>12月18日生意社甲醇基准价为2614.17元/吨</t>
        </is>
      </c>
    </row>
    <row r="609">
      <c r="A609" s="7" t="n">
        <v>606</v>
      </c>
      <c r="B609" s="7" t="inlineStr">
        <is>
          <t>2024-12-19</t>
        </is>
      </c>
      <c r="C609" s="7" t="inlineStr">
        <is>
          <t>四</t>
        </is>
      </c>
      <c r="D609" s="8" t="n">
        <v>2625</v>
      </c>
      <c r="E609" s="7" t="n">
        <v>2024</v>
      </c>
      <c r="F609" s="7" t="n">
        <v>51</v>
      </c>
      <c r="G609" s="7" t="inlineStr">
        <is>
          <t>2024-12-19</t>
        </is>
      </c>
      <c r="H609" s="9" t="inlineStr">
        <is>
          <t>https://www.100ppi.com/news/detail-20241219-3931422.html</t>
        </is>
      </c>
      <c r="I609" s="7" t="inlineStr">
        <is>
          <t>12月19日生意社甲醇基准价为2625.00元/吨</t>
        </is>
      </c>
    </row>
    <row r="610">
      <c r="A610" s="7" t="n">
        <v>607</v>
      </c>
      <c r="B610" s="7" t="inlineStr">
        <is>
          <t>2024-12-20</t>
        </is>
      </c>
      <c r="C610" s="7" t="inlineStr">
        <is>
          <t>五</t>
        </is>
      </c>
      <c r="D610" s="8" t="n">
        <v>2625</v>
      </c>
      <c r="E610" s="7" t="n">
        <v>2024</v>
      </c>
      <c r="F610" s="7" t="n">
        <v>51</v>
      </c>
      <c r="G610" s="7" t="inlineStr">
        <is>
          <t>2024-12-20</t>
        </is>
      </c>
      <c r="H610" s="9" t="inlineStr">
        <is>
          <t>https://www.100ppi.com/news/detail-20241220-3934630.html</t>
        </is>
      </c>
      <c r="I610" s="7" t="inlineStr">
        <is>
          <t>12月20日生意社甲醇基准价为2625.00元/吨</t>
        </is>
      </c>
    </row>
    <row r="611">
      <c r="A611" s="7" t="n">
        <v>608</v>
      </c>
      <c r="B611" s="7" t="inlineStr">
        <is>
          <t>2024-12-23</t>
        </is>
      </c>
      <c r="C611" s="7" t="inlineStr">
        <is>
          <t>一</t>
        </is>
      </c>
      <c r="D611" s="8" t="n">
        <v>2675.83</v>
      </c>
      <c r="E611" s="7" t="n">
        <v>2024</v>
      </c>
      <c r="F611" s="7" t="n">
        <v>52</v>
      </c>
      <c r="G611" s="7" t="inlineStr">
        <is>
          <t>2024-12-23</t>
        </is>
      </c>
      <c r="H611" s="9" t="inlineStr">
        <is>
          <t>https://www.100ppi.com/news/detail-20241223-3942121.html</t>
        </is>
      </c>
      <c r="I611" s="7" t="inlineStr">
        <is>
          <t>12月23日生意社甲醇基准价为2675.83元/吨</t>
        </is>
      </c>
    </row>
    <row r="612">
      <c r="A612" s="7" t="n">
        <v>609</v>
      </c>
      <c r="B612" s="7" t="inlineStr">
        <is>
          <t>2024-12-24</t>
        </is>
      </c>
      <c r="C612" s="7" t="inlineStr">
        <is>
          <t>二</t>
        </is>
      </c>
      <c r="D612" s="8" t="n">
        <v>2746.67</v>
      </c>
      <c r="E612" s="7" t="n">
        <v>2024</v>
      </c>
      <c r="F612" s="7" t="n">
        <v>52</v>
      </c>
      <c r="G612" s="7" t="inlineStr">
        <is>
          <t>2024-12-24</t>
        </is>
      </c>
      <c r="H612" s="9" t="inlineStr">
        <is>
          <t>https://www.100ppi.com/news/detail-20241224-3946085.html</t>
        </is>
      </c>
      <c r="I612" s="7" t="inlineStr">
        <is>
          <t>12月24日生意社甲醇基准价为2746.67元/吨</t>
        </is>
      </c>
    </row>
    <row r="613">
      <c r="A613" s="7" t="n">
        <v>610</v>
      </c>
      <c r="B613" s="7" t="inlineStr">
        <is>
          <t>2024-12-25</t>
        </is>
      </c>
      <c r="C613" s="7" t="inlineStr">
        <is>
          <t>三</t>
        </is>
      </c>
      <c r="D613" s="8" t="n">
        <v>2758.33</v>
      </c>
      <c r="E613" s="7" t="n">
        <v>2024</v>
      </c>
      <c r="F613" s="7" t="n">
        <v>52</v>
      </c>
      <c r="G613" s="7" t="inlineStr">
        <is>
          <t>2024-12-25</t>
        </is>
      </c>
      <c r="H613" s="9" t="inlineStr">
        <is>
          <t>https://www.100ppi.com/news/detail-20241225-3950029.html</t>
        </is>
      </c>
      <c r="I613" s="7" t="inlineStr">
        <is>
          <t>12月25日生意社甲醇基准价为2758.33元/吨</t>
        </is>
      </c>
    </row>
    <row r="614">
      <c r="A614" s="7" t="n">
        <v>611</v>
      </c>
      <c r="B614" s="7" t="inlineStr">
        <is>
          <t>2024-12-26</t>
        </is>
      </c>
      <c r="C614" s="7" t="inlineStr">
        <is>
          <t>四</t>
        </is>
      </c>
      <c r="D614" s="8" t="n">
        <v>2740</v>
      </c>
      <c r="E614" s="7" t="n">
        <v>2024</v>
      </c>
      <c r="F614" s="7" t="n">
        <v>52</v>
      </c>
      <c r="G614" s="7" t="inlineStr">
        <is>
          <t>2024-12-26</t>
        </is>
      </c>
      <c r="H614" s="9" t="inlineStr">
        <is>
          <t>https://www.100ppi.com/news/detail-20241226-3953833.html</t>
        </is>
      </c>
      <c r="I614" s="7" t="inlineStr">
        <is>
          <t>12月26日生意社甲醇基准价为2740.00元/吨</t>
        </is>
      </c>
    </row>
    <row r="615">
      <c r="A615" s="7" t="n">
        <v>612</v>
      </c>
      <c r="B615" s="7" t="inlineStr">
        <is>
          <t>2024-12-27</t>
        </is>
      </c>
      <c r="C615" s="7" t="inlineStr">
        <is>
          <t>五</t>
        </is>
      </c>
      <c r="D615" s="8" t="n">
        <v>2750</v>
      </c>
      <c r="E615" s="7" t="n">
        <v>2024</v>
      </c>
      <c r="F615" s="7" t="n">
        <v>52</v>
      </c>
      <c r="G615" s="7" t="inlineStr">
        <is>
          <t>2024-12-27</t>
        </is>
      </c>
      <c r="H615" s="9" t="inlineStr">
        <is>
          <t>https://www.100ppi.com/news/detail-20241227-3957616.html</t>
        </is>
      </c>
      <c r="I615" s="7" t="inlineStr">
        <is>
          <t>12月27日生意社甲醇基准价为2750.00元/吨</t>
        </is>
      </c>
    </row>
    <row r="616">
      <c r="A616" s="7" t="n">
        <v>613</v>
      </c>
      <c r="B616" s="7" t="inlineStr">
        <is>
          <t>2024-12-30</t>
        </is>
      </c>
      <c r="C616" s="7" t="inlineStr">
        <is>
          <t>一</t>
        </is>
      </c>
      <c r="D616" s="8" t="n">
        <v>2711.67</v>
      </c>
      <c r="E616" s="7" t="n">
        <v>2025</v>
      </c>
      <c r="F616" s="7" t="n">
        <v>1</v>
      </c>
      <c r="G616" s="7" t="inlineStr">
        <is>
          <t>2024-12-30</t>
        </is>
      </c>
      <c r="H616" s="9" t="inlineStr">
        <is>
          <t>https://www.100ppi.com/news/detail-20241230-3965115.html</t>
        </is>
      </c>
      <c r="I616" s="7" t="inlineStr">
        <is>
          <t>12月30日生意社甲醇基准价为2711.67元/吨</t>
        </is>
      </c>
    </row>
    <row r="617">
      <c r="A617" s="7" t="n">
        <v>614</v>
      </c>
      <c r="B617" s="7" t="inlineStr">
        <is>
          <t>2024-12-31</t>
        </is>
      </c>
      <c r="C617" s="7" t="inlineStr">
        <is>
          <t>二</t>
        </is>
      </c>
      <c r="D617" s="8" t="n">
        <v>2745.83</v>
      </c>
      <c r="E617" s="7" t="n">
        <v>2025</v>
      </c>
      <c r="F617" s="7" t="n">
        <v>1</v>
      </c>
      <c r="G617" s="7" t="inlineStr">
        <is>
          <t>2024-12-31</t>
        </is>
      </c>
      <c r="H617" s="9" t="inlineStr">
        <is>
          <t>https://www.100ppi.com/news/detail-20241231-3969560.html</t>
        </is>
      </c>
      <c r="I617" s="7" t="inlineStr">
        <is>
          <t>12月31日生意社甲醇基准价为2745.83元/吨</t>
        </is>
      </c>
    </row>
    <row r="618">
      <c r="A618" s="7" t="n">
        <v>615</v>
      </c>
      <c r="B618" s="7" t="inlineStr">
        <is>
          <t>2025-01-01</t>
        </is>
      </c>
      <c r="C618" s="7" t="inlineStr">
        <is>
          <t>三</t>
        </is>
      </c>
      <c r="D618" s="8" t="n">
        <v>2758.33</v>
      </c>
      <c r="E618" s="7" t="n">
        <v>2025</v>
      </c>
      <c r="F618" s="7" t="n">
        <v>1</v>
      </c>
      <c r="G618" s="7" t="inlineStr">
        <is>
          <t>2025-01-01</t>
        </is>
      </c>
      <c r="H618" s="9" t="inlineStr">
        <is>
          <t>https://www.100ppi.com/news/detail-20250101-3973417.html</t>
        </is>
      </c>
      <c r="I618" s="7" t="inlineStr">
        <is>
          <t>1月1日生意社甲醇基准价为2758.33元/吨</t>
        </is>
      </c>
    </row>
    <row r="619">
      <c r="A619" s="7" t="n">
        <v>616</v>
      </c>
      <c r="B619" s="7" t="inlineStr">
        <is>
          <t>2025-01-02</t>
        </is>
      </c>
      <c r="C619" s="7" t="inlineStr">
        <is>
          <t>四</t>
        </is>
      </c>
      <c r="D619" s="8" t="n">
        <v>2758.33</v>
      </c>
      <c r="E619" s="7" t="n">
        <v>2025</v>
      </c>
      <c r="F619" s="7" t="n">
        <v>1</v>
      </c>
      <c r="G619" s="7" t="inlineStr">
        <is>
          <t>2025-01-02</t>
        </is>
      </c>
      <c r="H619" s="9" t="inlineStr">
        <is>
          <t>https://www.100ppi.com/news/detail-20250102-3974238.html</t>
        </is>
      </c>
      <c r="I619" s="7" t="inlineStr">
        <is>
          <t>1月2日生意社甲醇基准价为2758.33元/吨</t>
        </is>
      </c>
    </row>
    <row r="620">
      <c r="A620" s="7" t="n">
        <v>617</v>
      </c>
      <c r="B620" s="7" t="inlineStr">
        <is>
          <t>2025-01-03</t>
        </is>
      </c>
      <c r="C620" s="7" t="inlineStr">
        <is>
          <t>五</t>
        </is>
      </c>
      <c r="D620" s="8" t="n">
        <v>2779.17</v>
      </c>
      <c r="E620" s="7" t="n">
        <v>2025</v>
      </c>
      <c r="F620" s="7" t="n">
        <v>1</v>
      </c>
      <c r="G620" s="7" t="inlineStr">
        <is>
          <t>2025-01-03</t>
        </is>
      </c>
      <c r="H620" s="9" t="inlineStr">
        <is>
          <t>https://www.100ppi.com/news/detail-20250103-3978120.html</t>
        </is>
      </c>
      <c r="I620" s="7" t="inlineStr">
        <is>
          <t>1月3日生意社甲醇基准价为2779.17元/吨</t>
        </is>
      </c>
    </row>
    <row r="621">
      <c r="A621" s="7" t="n">
        <v>618</v>
      </c>
      <c r="B621" s="7" t="inlineStr">
        <is>
          <t>2025-01-06</t>
        </is>
      </c>
      <c r="C621" s="7" t="inlineStr">
        <is>
          <t>一</t>
        </is>
      </c>
      <c r="D621" s="8" t="n">
        <v>2750</v>
      </c>
      <c r="E621" s="7" t="n">
        <v>2025</v>
      </c>
      <c r="F621" s="7" t="n">
        <v>2</v>
      </c>
      <c r="G621" s="7" t="inlineStr">
        <is>
          <t>2025-01-06</t>
        </is>
      </c>
      <c r="H621" s="9" t="inlineStr">
        <is>
          <t>https://www.100ppi.com/news/detail-20250106-3984571.html</t>
        </is>
      </c>
      <c r="I621" s="7" t="inlineStr">
        <is>
          <t>1月6日生意社甲醇基准价为2750.00元/吨</t>
        </is>
      </c>
    </row>
    <row r="622">
      <c r="A622" s="7" t="n">
        <v>619</v>
      </c>
      <c r="B622" s="7" t="inlineStr">
        <is>
          <t>2025-01-07</t>
        </is>
      </c>
      <c r="C622" s="7" t="inlineStr">
        <is>
          <t>二</t>
        </is>
      </c>
      <c r="D622" s="8" t="n">
        <v>2668.33</v>
      </c>
      <c r="E622" s="7" t="n">
        <v>2025</v>
      </c>
      <c r="F622" s="7" t="n">
        <v>2</v>
      </c>
      <c r="G622" s="7" t="inlineStr">
        <is>
          <t>2025-01-07</t>
        </is>
      </c>
      <c r="H622" s="9" t="inlineStr">
        <is>
          <t>https://www.100ppi.com/news/detail-20250107-3988252.html</t>
        </is>
      </c>
      <c r="I622" s="7" t="inlineStr">
        <is>
          <t>1月7日生意社甲醇基准价为2668.33元/吨</t>
        </is>
      </c>
    </row>
    <row r="623">
      <c r="A623" s="7" t="n">
        <v>620</v>
      </c>
      <c r="B623" s="7" t="inlineStr">
        <is>
          <t>2025-01-08</t>
        </is>
      </c>
      <c r="C623" s="7" t="inlineStr">
        <is>
          <t>三</t>
        </is>
      </c>
      <c r="D623" s="8" t="n">
        <v>2673.33</v>
      </c>
      <c r="E623" s="7" t="n">
        <v>2025</v>
      </c>
      <c r="F623" s="7" t="n">
        <v>2</v>
      </c>
      <c r="G623" s="7" t="inlineStr">
        <is>
          <t>2025-01-08</t>
        </is>
      </c>
      <c r="H623" s="9" t="inlineStr">
        <is>
          <t>https://www.100ppi.com/news/detail-20250108-3992155.html</t>
        </is>
      </c>
      <c r="I623" s="7" t="inlineStr">
        <is>
          <t>1月8日生意社甲醇基准价为2673.33元/吨</t>
        </is>
      </c>
    </row>
    <row r="624">
      <c r="A624" s="7" t="n">
        <v>621</v>
      </c>
      <c r="B624" s="7" t="inlineStr">
        <is>
          <t>2025-01-09</t>
        </is>
      </c>
      <c r="C624" s="7" t="inlineStr">
        <is>
          <t>四</t>
        </is>
      </c>
      <c r="D624" s="8" t="n">
        <v>2688.33</v>
      </c>
      <c r="E624" s="7" t="n">
        <v>2025</v>
      </c>
      <c r="F624" s="7" t="n">
        <v>2</v>
      </c>
      <c r="G624" s="7" t="inlineStr">
        <is>
          <t>2025-01-09</t>
        </is>
      </c>
      <c r="H624" s="9" t="inlineStr">
        <is>
          <t>https://www.100ppi.com/news/detail-20250109-3996004.html</t>
        </is>
      </c>
      <c r="I624" s="7" t="inlineStr">
        <is>
          <t>1月9日生意社甲醇基准价为2688.33元/吨</t>
        </is>
      </c>
    </row>
    <row r="625">
      <c r="A625" s="7" t="n">
        <v>622</v>
      </c>
      <c r="B625" s="7" t="inlineStr">
        <is>
          <t>2025-01-10</t>
        </is>
      </c>
      <c r="C625" s="7" t="inlineStr">
        <is>
          <t>五</t>
        </is>
      </c>
      <c r="D625" s="8" t="n">
        <v>2674.17</v>
      </c>
      <c r="E625" s="7" t="n">
        <v>2025</v>
      </c>
      <c r="F625" s="7" t="n">
        <v>2</v>
      </c>
      <c r="G625" s="7" t="inlineStr">
        <is>
          <t>2025-01-10</t>
        </is>
      </c>
      <c r="H625" s="9" t="inlineStr">
        <is>
          <t>https://www.100ppi.com/news/detail-20250110-3999817.html</t>
        </is>
      </c>
      <c r="I625" s="7" t="inlineStr">
        <is>
          <t>1月10日生意社甲醇基准价为2674.17元/吨</t>
        </is>
      </c>
    </row>
    <row r="626">
      <c r="A626" s="7" t="n">
        <v>623</v>
      </c>
      <c r="B626" s="7" t="inlineStr">
        <is>
          <t>2025-01-13</t>
        </is>
      </c>
      <c r="C626" s="7" t="inlineStr">
        <is>
          <t>一</t>
        </is>
      </c>
      <c r="D626" s="8" t="n">
        <v>2695.83</v>
      </c>
      <c r="E626" s="7" t="n">
        <v>2025</v>
      </c>
      <c r="F626" s="7" t="n">
        <v>3</v>
      </c>
      <c r="G626" s="7" t="inlineStr">
        <is>
          <t>2025-01-13</t>
        </is>
      </c>
      <c r="H626" s="9" t="inlineStr">
        <is>
          <t>https://www.100ppi.com/news/detail-20250113-4005059.html</t>
        </is>
      </c>
      <c r="I626" s="7" t="inlineStr">
        <is>
          <t>1月13日生意社甲醇基准价为2695.83元/吨</t>
        </is>
      </c>
    </row>
    <row r="627">
      <c r="A627" s="7" t="n">
        <v>624</v>
      </c>
      <c r="B627" s="7" t="inlineStr">
        <is>
          <t>2025-01-14</t>
        </is>
      </c>
      <c r="C627" s="7" t="inlineStr">
        <is>
          <t>二</t>
        </is>
      </c>
      <c r="D627" s="8" t="n">
        <v>2695.83</v>
      </c>
      <c r="E627" s="7" t="n">
        <v>2025</v>
      </c>
      <c r="F627" s="7" t="n">
        <v>3</v>
      </c>
      <c r="G627" s="7" t="inlineStr">
        <is>
          <t>2025-01-14</t>
        </is>
      </c>
      <c r="H627" s="9" t="inlineStr">
        <is>
          <t>https://www.100ppi.com/news/detail-20250114-4008744.html</t>
        </is>
      </c>
      <c r="I627" s="7" t="inlineStr">
        <is>
          <t>1月14日生意社甲醇基准价为2695.83元/吨</t>
        </is>
      </c>
    </row>
    <row r="628">
      <c r="A628" s="7" t="n">
        <v>625</v>
      </c>
      <c r="B628" s="7" t="inlineStr">
        <is>
          <t>2025-01-15</t>
        </is>
      </c>
      <c r="C628" s="7" t="inlineStr">
        <is>
          <t>三</t>
        </is>
      </c>
      <c r="D628" s="8" t="n">
        <v>2738.33</v>
      </c>
      <c r="E628" s="7" t="n">
        <v>2025</v>
      </c>
      <c r="F628" s="7" t="n">
        <v>3</v>
      </c>
      <c r="G628" s="7" t="inlineStr">
        <is>
          <t>2025-01-15</t>
        </is>
      </c>
      <c r="H628" s="9" t="inlineStr">
        <is>
          <t>https://www.100ppi.com/news/detail-20250115-4011886.html</t>
        </is>
      </c>
      <c r="I628" s="7" t="inlineStr">
        <is>
          <t>1月15日生意社甲醇基准价为2738.33元/吨</t>
        </is>
      </c>
    </row>
    <row r="629">
      <c r="A629" s="7" t="n">
        <v>626</v>
      </c>
      <c r="B629" s="7" t="inlineStr">
        <is>
          <t>2025-01-16</t>
        </is>
      </c>
      <c r="C629" s="7" t="inlineStr">
        <is>
          <t>四</t>
        </is>
      </c>
      <c r="D629" s="8" t="n">
        <v>2749.17</v>
      </c>
      <c r="E629" s="7" t="n">
        <v>2025</v>
      </c>
      <c r="F629" s="7" t="n">
        <v>3</v>
      </c>
      <c r="G629" s="7" t="inlineStr">
        <is>
          <t>2025-01-16</t>
        </is>
      </c>
      <c r="H629" s="9" t="inlineStr">
        <is>
          <t>https://www.100ppi.com/news/detail-20250116-4015030.html</t>
        </is>
      </c>
      <c r="I629" s="7" t="inlineStr">
        <is>
          <t>1月16日生意社甲醇基准价为2749.17元/吨</t>
        </is>
      </c>
    </row>
    <row r="630">
      <c r="A630" s="7" t="n">
        <v>627</v>
      </c>
      <c r="B630" s="7" t="inlineStr">
        <is>
          <t>2025-01-17</t>
        </is>
      </c>
      <c r="C630" s="7" t="inlineStr">
        <is>
          <t>五</t>
        </is>
      </c>
      <c r="D630" s="8" t="n">
        <v>2710</v>
      </c>
      <c r="E630" s="7" t="n">
        <v>2025</v>
      </c>
      <c r="F630" s="7" t="n">
        <v>3</v>
      </c>
      <c r="G630" s="7" t="inlineStr">
        <is>
          <t>2025-01-17</t>
        </is>
      </c>
      <c r="H630" s="9" t="inlineStr">
        <is>
          <t>https://www.100ppi.com/news/detail-20250117-4017806.html</t>
        </is>
      </c>
      <c r="I630" s="7" t="inlineStr">
        <is>
          <t>1月17日生意社甲醇基准价为2710.00元/吨</t>
        </is>
      </c>
    </row>
    <row r="631">
      <c r="A631" s="7" t="n">
        <v>628</v>
      </c>
      <c r="B631" s="7" t="inlineStr">
        <is>
          <t>2025-01-20</t>
        </is>
      </c>
      <c r="C631" s="7" t="inlineStr">
        <is>
          <t>一</t>
        </is>
      </c>
      <c r="D631" s="8" t="n">
        <v>2695.83</v>
      </c>
      <c r="E631" s="7" t="n">
        <v>2025</v>
      </c>
      <c r="F631" s="7" t="n">
        <v>4</v>
      </c>
      <c r="G631" s="7" t="inlineStr">
        <is>
          <t>2025-01-20</t>
        </is>
      </c>
      <c r="H631" s="9" t="inlineStr">
        <is>
          <t>https://www.100ppi.com/news/detail-20250120-4022106.html</t>
        </is>
      </c>
      <c r="I631" s="7" t="inlineStr">
        <is>
          <t>1月20日生意社甲醇基准价为2695.83元/吨</t>
        </is>
      </c>
    </row>
    <row r="632">
      <c r="A632" s="7" t="n">
        <v>629</v>
      </c>
      <c r="B632" s="7" t="inlineStr">
        <is>
          <t>2025-01-21</t>
        </is>
      </c>
      <c r="C632" s="7" t="inlineStr">
        <is>
          <t>二</t>
        </is>
      </c>
      <c r="D632" s="8" t="n">
        <v>2659.17</v>
      </c>
      <c r="E632" s="7" t="n">
        <v>2025</v>
      </c>
      <c r="F632" s="7" t="n">
        <v>4</v>
      </c>
      <c r="G632" s="7" t="inlineStr">
        <is>
          <t>2025-01-21</t>
        </is>
      </c>
      <c r="H632" s="9" t="inlineStr">
        <is>
          <t>https://www.100ppi.com/news/detail-20250121-4024649.html</t>
        </is>
      </c>
      <c r="I632" s="7" t="inlineStr">
        <is>
          <t>1月21日生意社甲醇基准价为2659.17元/吨</t>
        </is>
      </c>
    </row>
    <row r="633">
      <c r="A633" s="7" t="n">
        <v>630</v>
      </c>
      <c r="B633" s="7" t="inlineStr">
        <is>
          <t>2025-01-22</t>
        </is>
      </c>
      <c r="C633" s="7" t="inlineStr">
        <is>
          <t>三</t>
        </is>
      </c>
      <c r="D633" s="8" t="n">
        <v>2660.83</v>
      </c>
      <c r="E633" s="7" t="n">
        <v>2025</v>
      </c>
      <c r="F633" s="7" t="n">
        <v>4</v>
      </c>
      <c r="G633" s="7" t="inlineStr">
        <is>
          <t>2025-01-22</t>
        </is>
      </c>
      <c r="H633" s="9" t="inlineStr">
        <is>
          <t>https://www.100ppi.com/news/detail-20250122-4026718.html</t>
        </is>
      </c>
      <c r="I633" s="7" t="inlineStr">
        <is>
          <t>1月22日生意社甲醇基准价为2660.83元/吨</t>
        </is>
      </c>
    </row>
    <row r="634">
      <c r="A634" s="7" t="n">
        <v>631</v>
      </c>
      <c r="B634" s="7" t="inlineStr">
        <is>
          <t>2025-01-23</t>
        </is>
      </c>
      <c r="C634" s="7" t="inlineStr">
        <is>
          <t>四</t>
        </is>
      </c>
      <c r="D634" s="8" t="n">
        <v>2643.33</v>
      </c>
      <c r="E634" s="7" t="n">
        <v>2025</v>
      </c>
      <c r="F634" s="7" t="n">
        <v>4</v>
      </c>
      <c r="G634" s="7" t="inlineStr">
        <is>
          <t>2025-01-23</t>
        </is>
      </c>
      <c r="H634" s="9" t="inlineStr">
        <is>
          <t>https://www.100ppi.com/news/detail-20250123-4029115.html</t>
        </is>
      </c>
      <c r="I634" s="7" t="inlineStr">
        <is>
          <t>1月23日生意社甲醇基准价为2643.33元/吨</t>
        </is>
      </c>
    </row>
    <row r="635">
      <c r="A635" s="7" t="n">
        <v>632</v>
      </c>
      <c r="B635" s="7" t="inlineStr">
        <is>
          <t>2025-01-24</t>
        </is>
      </c>
      <c r="C635" s="7" t="inlineStr">
        <is>
          <t>五</t>
        </is>
      </c>
      <c r="D635" s="8" t="n">
        <v>2630</v>
      </c>
      <c r="E635" s="7" t="n">
        <v>2025</v>
      </c>
      <c r="F635" s="7" t="n">
        <v>4</v>
      </c>
      <c r="G635" s="7" t="inlineStr">
        <is>
          <t>2025-01-24</t>
        </is>
      </c>
      <c r="H635" s="9" t="inlineStr">
        <is>
          <t>https://www.100ppi.com/news/detail-20250124-4030455.html</t>
        </is>
      </c>
      <c r="I635" s="7" t="inlineStr">
        <is>
          <t>1月24日生意社甲醇基准价为2630.00元/吨</t>
        </is>
      </c>
    </row>
    <row r="636">
      <c r="A636" s="7" t="n">
        <v>633</v>
      </c>
      <c r="B636" s="7" t="inlineStr">
        <is>
          <t>2025-01-27</t>
        </is>
      </c>
      <c r="C636" s="7" t="inlineStr">
        <is>
          <t>一</t>
        </is>
      </c>
      <c r="D636" s="8" t="n">
        <v>2635.83</v>
      </c>
      <c r="E636" s="7" t="n">
        <v>2025</v>
      </c>
      <c r="F636" s="7" t="n">
        <v>5</v>
      </c>
      <c r="G636" s="7" t="inlineStr">
        <is>
          <t>2025-01-27</t>
        </is>
      </c>
      <c r="H636" s="9" t="inlineStr">
        <is>
          <t>https://www.100ppi.com/news/detail-20250127-4032993.html</t>
        </is>
      </c>
      <c r="I636" s="7" t="inlineStr">
        <is>
          <t>1月27日生意社甲醇基准价为2635.83元/吨</t>
        </is>
      </c>
    </row>
    <row r="637">
      <c r="A637" s="7" t="n">
        <v>634</v>
      </c>
      <c r="B637" s="7" t="inlineStr">
        <is>
          <t>2025-01-28</t>
        </is>
      </c>
      <c r="C637" s="7" t="inlineStr">
        <is>
          <t>二</t>
        </is>
      </c>
      <c r="D637" s="8" t="n">
        <v>2635.83</v>
      </c>
      <c r="E637" s="7" t="n">
        <v>2025</v>
      </c>
      <c r="F637" s="7" t="n">
        <v>5</v>
      </c>
      <c r="G637" s="7" t="inlineStr">
        <is>
          <t>2025-01-28</t>
        </is>
      </c>
      <c r="H637" s="9" t="inlineStr">
        <is>
          <t>https://www.100ppi.com/news/detail-20250128-4033490.html</t>
        </is>
      </c>
      <c r="I637" s="7" t="inlineStr">
        <is>
          <t>1月28日生意社甲醇基准价为2635.83元/吨</t>
        </is>
      </c>
    </row>
    <row r="638">
      <c r="A638" s="7" t="n">
        <v>635</v>
      </c>
      <c r="B638" s="7" t="inlineStr">
        <is>
          <t>2025-01-29</t>
        </is>
      </c>
      <c r="C638" s="7" t="inlineStr">
        <is>
          <t>三</t>
        </is>
      </c>
      <c r="D638" s="8" t="n">
        <v>2635.83</v>
      </c>
      <c r="E638" s="7" t="n">
        <v>2025</v>
      </c>
      <c r="F638" s="7" t="n">
        <v>5</v>
      </c>
      <c r="G638" s="7" t="inlineStr">
        <is>
          <t>2025-01-29</t>
        </is>
      </c>
      <c r="H638" s="9" t="inlineStr">
        <is>
          <t>https://www.100ppi.com/news/detail-20250129-4034008.html</t>
        </is>
      </c>
      <c r="I638" s="7" t="inlineStr">
        <is>
          <t>1月29日生意社甲醇基准价为2635.83元/吨</t>
        </is>
      </c>
    </row>
    <row r="639">
      <c r="A639" s="7" t="n">
        <v>636</v>
      </c>
      <c r="B639" s="7" t="inlineStr">
        <is>
          <t>2025-01-30</t>
        </is>
      </c>
      <c r="C639" s="7" t="inlineStr">
        <is>
          <t>四</t>
        </is>
      </c>
      <c r="D639" s="8" t="n">
        <v>2635.83</v>
      </c>
      <c r="E639" s="7" t="n">
        <v>2025</v>
      </c>
      <c r="F639" s="7" t="n">
        <v>5</v>
      </c>
      <c r="G639" s="7" t="inlineStr">
        <is>
          <t>2025-01-30</t>
        </is>
      </c>
      <c r="H639" s="9" t="inlineStr">
        <is>
          <t>https://www.100ppi.com/news/detail-20250130-4034482.html</t>
        </is>
      </c>
      <c r="I639" s="7" t="inlineStr">
        <is>
          <t>1月30日生意社甲醇基准价为2635.83元/吨</t>
        </is>
      </c>
    </row>
    <row r="640">
      <c r="A640" s="7" t="n">
        <v>637</v>
      </c>
      <c r="B640" s="7" t="inlineStr">
        <is>
          <t>2025-01-31</t>
        </is>
      </c>
      <c r="C640" s="7" t="inlineStr">
        <is>
          <t>五</t>
        </is>
      </c>
      <c r="D640" s="8" t="n">
        <v>2635.83</v>
      </c>
      <c r="E640" s="7" t="n">
        <v>2025</v>
      </c>
      <c r="F640" s="7" t="n">
        <v>5</v>
      </c>
      <c r="G640" s="7" t="inlineStr">
        <is>
          <t>2025-01-31</t>
        </is>
      </c>
      <c r="H640" s="9" t="inlineStr">
        <is>
          <t>https://www.100ppi.com/news/detail-20250131-4035094.html</t>
        </is>
      </c>
      <c r="I640" s="7" t="inlineStr">
        <is>
          <t>1月31日生意社甲醇基准价为2635.83元/吨</t>
        </is>
      </c>
    </row>
    <row r="641">
      <c r="A641" s="7" t="n">
        <v>638</v>
      </c>
      <c r="B641" s="7" t="inlineStr">
        <is>
          <t>2025-02-03</t>
        </is>
      </c>
      <c r="C641" s="7" t="inlineStr">
        <is>
          <t>一</t>
        </is>
      </c>
      <c r="D641" s="8" t="n">
        <v>2635.83</v>
      </c>
      <c r="E641" s="7" t="n">
        <v>2025</v>
      </c>
      <c r="F641" s="7" t="n">
        <v>6</v>
      </c>
      <c r="G641" s="7" t="inlineStr">
        <is>
          <t>2025-02-03</t>
        </is>
      </c>
      <c r="H641" s="9" t="inlineStr">
        <is>
          <t>https://www.100ppi.com/news/detail-20250203-4038163.html</t>
        </is>
      </c>
      <c r="I641" s="7" t="inlineStr">
        <is>
          <t>2月3日生意社甲醇基准价为2635.83元/吨</t>
        </is>
      </c>
    </row>
    <row r="642">
      <c r="A642" s="7" t="n">
        <v>639</v>
      </c>
      <c r="B642" s="7" t="inlineStr">
        <is>
          <t>2025-02-04</t>
        </is>
      </c>
      <c r="C642" s="7" t="inlineStr">
        <is>
          <t>二</t>
        </is>
      </c>
      <c r="D642" s="8" t="n">
        <v>2635.83</v>
      </c>
      <c r="E642" s="7" t="n">
        <v>2025</v>
      </c>
      <c r="F642" s="7" t="n">
        <v>6</v>
      </c>
      <c r="G642" s="7" t="inlineStr">
        <is>
          <t>2025-02-04</t>
        </is>
      </c>
      <c r="H642" s="9" t="inlineStr">
        <is>
          <t>https://www.100ppi.com/news/detail-20250204-4039892.html</t>
        </is>
      </c>
      <c r="I642" s="7" t="inlineStr">
        <is>
          <t>2月4日生意社甲醇基准价为2635.83元/吨</t>
        </is>
      </c>
    </row>
    <row r="643">
      <c r="A643" s="7" t="n">
        <v>640</v>
      </c>
      <c r="B643" s="7" t="inlineStr">
        <is>
          <t>2025-02-05</t>
        </is>
      </c>
      <c r="C643" s="7" t="inlineStr">
        <is>
          <t>三</t>
        </is>
      </c>
      <c r="D643" s="8" t="n">
        <v>2635.83</v>
      </c>
      <c r="E643" s="7" t="n">
        <v>2025</v>
      </c>
      <c r="F643" s="7" t="n">
        <v>6</v>
      </c>
      <c r="G643" s="7" t="inlineStr">
        <is>
          <t>2025-02-05</t>
        </is>
      </c>
      <c r="H643" s="9" t="inlineStr">
        <is>
          <t>https://www.100ppi.com/news/detail-20250205-4041287.html</t>
        </is>
      </c>
      <c r="I643" s="7" t="inlineStr">
        <is>
          <t>2月5日生意社甲醇基准价为2635.83元/吨</t>
        </is>
      </c>
    </row>
    <row r="644">
      <c r="A644" s="7" t="n">
        <v>641</v>
      </c>
      <c r="B644" s="7" t="inlineStr">
        <is>
          <t>2025-02-06</t>
        </is>
      </c>
      <c r="C644" s="7" t="inlineStr">
        <is>
          <t>四</t>
        </is>
      </c>
      <c r="D644" s="8" t="n">
        <v>2653.33</v>
      </c>
      <c r="E644" s="7" t="n">
        <v>2025</v>
      </c>
      <c r="F644" s="7" t="n">
        <v>6</v>
      </c>
      <c r="G644" s="7" t="inlineStr">
        <is>
          <t>2025-02-06</t>
        </is>
      </c>
      <c r="H644" s="9" t="inlineStr">
        <is>
          <t>https://www.100ppi.com/news/detail-20250206-4045042.html</t>
        </is>
      </c>
      <c r="I644" s="7" t="inlineStr">
        <is>
          <t>2月6日生意社甲醇基准价为2653.33元/吨</t>
        </is>
      </c>
    </row>
    <row r="645">
      <c r="A645" s="7" t="n">
        <v>642</v>
      </c>
      <c r="B645" s="7" t="inlineStr">
        <is>
          <t>2025-02-07</t>
        </is>
      </c>
      <c r="C645" s="7" t="inlineStr">
        <is>
          <t>五</t>
        </is>
      </c>
      <c r="D645" s="8" t="n">
        <v>2650</v>
      </c>
      <c r="E645" s="7" t="n">
        <v>2025</v>
      </c>
      <c r="F645" s="7" t="n">
        <v>6</v>
      </c>
      <c r="G645" s="7" t="inlineStr">
        <is>
          <t>2025-02-07</t>
        </is>
      </c>
      <c r="H645" s="9" t="inlineStr">
        <is>
          <t>https://www.100ppi.com/news/detail-20250207-4048934.html</t>
        </is>
      </c>
      <c r="I645" s="7" t="inlineStr">
        <is>
          <t>2月7日生意社甲醇基准价为2650.00元/吨</t>
        </is>
      </c>
    </row>
    <row r="646">
      <c r="A646" s="7" t="n">
        <v>643</v>
      </c>
      <c r="B646" s="7" t="inlineStr">
        <is>
          <t>2025-02-10</t>
        </is>
      </c>
      <c r="C646" s="7" t="inlineStr">
        <is>
          <t>一</t>
        </is>
      </c>
      <c r="D646" s="8" t="n">
        <v>2659.17</v>
      </c>
      <c r="E646" s="7" t="n">
        <v>2025</v>
      </c>
      <c r="F646" s="7" t="n">
        <v>7</v>
      </c>
      <c r="G646" s="7" t="inlineStr">
        <is>
          <t>2025-02-10</t>
        </is>
      </c>
      <c r="H646" s="9" t="inlineStr">
        <is>
          <t>https://www.100ppi.com/news/detail-20250210-4056932.html</t>
        </is>
      </c>
      <c r="I646" s="7" t="inlineStr">
        <is>
          <t>2月10日生意社甲醇基准价为2659.17元/吨</t>
        </is>
      </c>
    </row>
    <row r="647">
      <c r="A647" s="7" t="n">
        <v>644</v>
      </c>
      <c r="B647" s="7" t="inlineStr">
        <is>
          <t>2025-02-11</t>
        </is>
      </c>
      <c r="C647" s="7" t="inlineStr">
        <is>
          <t>二</t>
        </is>
      </c>
      <c r="D647" s="8" t="n">
        <v>2678.33</v>
      </c>
      <c r="E647" s="7" t="n">
        <v>2025</v>
      </c>
      <c r="F647" s="7" t="n">
        <v>7</v>
      </c>
      <c r="G647" s="7" t="inlineStr">
        <is>
          <t>2025-02-11</t>
        </is>
      </c>
      <c r="H647" s="9" t="inlineStr">
        <is>
          <t>https://www.100ppi.com/news/detail-20250211-4060942.html</t>
        </is>
      </c>
      <c r="I647" s="7" t="inlineStr">
        <is>
          <t>2月11日生意社甲醇基准价为2678.33元/吨</t>
        </is>
      </c>
    </row>
    <row r="648">
      <c r="A648" s="7" t="n">
        <v>645</v>
      </c>
      <c r="B648" s="7" t="inlineStr">
        <is>
          <t>2025-02-12</t>
        </is>
      </c>
      <c r="C648" s="7" t="inlineStr">
        <is>
          <t>三</t>
        </is>
      </c>
      <c r="D648" s="8" t="n">
        <v>2651.67</v>
      </c>
      <c r="E648" s="7" t="n">
        <v>2025</v>
      </c>
      <c r="F648" s="7" t="n">
        <v>7</v>
      </c>
      <c r="G648" s="7" t="inlineStr">
        <is>
          <t>2025-02-12</t>
        </is>
      </c>
      <c r="H648" s="9" t="inlineStr">
        <is>
          <t>https://www.100ppi.com/news/detail-20250212-4064656.html</t>
        </is>
      </c>
      <c r="I648" s="7" t="inlineStr">
        <is>
          <t>2月12日生意社甲醇基准价为2651.67元/吨</t>
        </is>
      </c>
    </row>
    <row r="649">
      <c r="A649" s="7" t="n">
        <v>646</v>
      </c>
      <c r="B649" s="7" t="inlineStr">
        <is>
          <t>2025-02-13</t>
        </is>
      </c>
      <c r="C649" s="7" t="inlineStr">
        <is>
          <t>四</t>
        </is>
      </c>
      <c r="D649" s="8" t="n">
        <v>2640</v>
      </c>
      <c r="E649" s="7" t="n">
        <v>2025</v>
      </c>
      <c r="F649" s="7" t="n">
        <v>7</v>
      </c>
      <c r="G649" s="7" t="inlineStr">
        <is>
          <t>2025-02-13</t>
        </is>
      </c>
      <c r="H649" s="9" t="inlineStr">
        <is>
          <t>https://www.100ppi.com/news/detail-20250213-4068765.html</t>
        </is>
      </c>
      <c r="I649" s="7" t="inlineStr">
        <is>
          <t>2月13日生意社甲醇基准价为2640.00元/吨</t>
        </is>
      </c>
    </row>
    <row r="650">
      <c r="A650" s="7" t="n">
        <v>647</v>
      </c>
      <c r="B650" s="7" t="inlineStr">
        <is>
          <t>2025-02-14</t>
        </is>
      </c>
      <c r="C650" s="7" t="inlineStr">
        <is>
          <t>五</t>
        </is>
      </c>
      <c r="D650" s="8" t="n">
        <v>2604.17</v>
      </c>
      <c r="E650" s="7" t="n">
        <v>2025</v>
      </c>
      <c r="F650" s="7" t="n">
        <v>7</v>
      </c>
      <c r="G650" s="7" t="inlineStr">
        <is>
          <t>2025-02-14</t>
        </is>
      </c>
      <c r="H650" s="9" t="inlineStr">
        <is>
          <t>https://www.100ppi.com/news/detail-20250214-4072329.html</t>
        </is>
      </c>
      <c r="I650" s="7" t="inlineStr">
        <is>
          <t>2月14日生意社甲醇基准价为2604.17元/吨</t>
        </is>
      </c>
    </row>
    <row r="651">
      <c r="A651" s="7" t="n">
        <v>648</v>
      </c>
      <c r="B651" s="7" t="inlineStr">
        <is>
          <t>2025-02-17</t>
        </is>
      </c>
      <c r="C651" s="7" t="inlineStr">
        <is>
          <t>一</t>
        </is>
      </c>
      <c r="D651" s="8" t="n">
        <v>2578.33</v>
      </c>
      <c r="E651" s="7" t="n">
        <v>2025</v>
      </c>
      <c r="F651" s="7" t="n">
        <v>8</v>
      </c>
      <c r="G651" s="7" t="inlineStr">
        <is>
          <t>2025-02-17</t>
        </is>
      </c>
      <c r="H651" s="9" t="inlineStr">
        <is>
          <t>https://www.100ppi.com/news/detail-20250217-4078531.html</t>
        </is>
      </c>
      <c r="I651" s="7" t="inlineStr">
        <is>
          <t>2月17日生意社甲醇基准价为2578.33元/吨</t>
        </is>
      </c>
    </row>
    <row r="652">
      <c r="A652" s="7" t="n">
        <v>649</v>
      </c>
      <c r="B652" s="7" t="inlineStr">
        <is>
          <t>2025-02-18</t>
        </is>
      </c>
      <c r="C652" s="7" t="inlineStr">
        <is>
          <t>二</t>
        </is>
      </c>
      <c r="D652" s="8" t="n">
        <v>2599.17</v>
      </c>
      <c r="E652" s="7" t="n">
        <v>2025</v>
      </c>
      <c r="F652" s="7" t="n">
        <v>8</v>
      </c>
      <c r="G652" s="7" t="inlineStr">
        <is>
          <t>2025-02-18</t>
        </is>
      </c>
      <c r="H652" s="9" t="inlineStr">
        <is>
          <t>https://www.100ppi.com/news/detail-20250218-4082624.html</t>
        </is>
      </c>
      <c r="I652" s="7" t="inlineStr">
        <is>
          <t>2月18日生意社甲醇基准价为2599.17元/吨</t>
        </is>
      </c>
    </row>
    <row r="653">
      <c r="A653" s="7" t="n">
        <v>650</v>
      </c>
      <c r="B653" s="7" t="inlineStr">
        <is>
          <t>2025-02-19</t>
        </is>
      </c>
      <c r="C653" s="7" t="inlineStr">
        <is>
          <t>三</t>
        </is>
      </c>
      <c r="D653" s="8" t="n">
        <v>2589.17</v>
      </c>
      <c r="E653" s="7" t="n">
        <v>2025</v>
      </c>
      <c r="F653" s="7" t="n">
        <v>8</v>
      </c>
      <c r="G653" s="7" t="inlineStr">
        <is>
          <t>2025-02-19</t>
        </is>
      </c>
      <c r="H653" s="9" t="inlineStr">
        <is>
          <t>https://www.100ppi.com/news/detail-20250219-4086628.html</t>
        </is>
      </c>
      <c r="I653" s="7" t="inlineStr">
        <is>
          <t>2月19日生意社甲醇基准价为2589.17元/吨</t>
        </is>
      </c>
    </row>
    <row r="654">
      <c r="A654" s="7" t="n">
        <v>651</v>
      </c>
      <c r="B654" s="7" t="inlineStr">
        <is>
          <t>2025-02-20</t>
        </is>
      </c>
      <c r="C654" s="7" t="inlineStr">
        <is>
          <t>四</t>
        </is>
      </c>
      <c r="D654" s="8" t="n">
        <v>2580</v>
      </c>
      <c r="E654" s="7" t="n">
        <v>2025</v>
      </c>
      <c r="F654" s="7" t="n">
        <v>8</v>
      </c>
      <c r="G654" s="7" t="inlineStr">
        <is>
          <t>2025-02-20</t>
        </is>
      </c>
      <c r="H654" s="9" t="inlineStr">
        <is>
          <t>https://www.100ppi.com/news/detail-20250220-4090308.html</t>
        </is>
      </c>
      <c r="I654" s="7" t="inlineStr">
        <is>
          <t>2月20日生意社甲醇基准价为2580.00元/吨</t>
        </is>
      </c>
    </row>
    <row r="655">
      <c r="A655" s="7" t="n">
        <v>652</v>
      </c>
      <c r="B655" s="7" t="inlineStr">
        <is>
          <t>2025-02-21</t>
        </is>
      </c>
      <c r="C655" s="7" t="inlineStr">
        <is>
          <t>五</t>
        </is>
      </c>
      <c r="D655" s="8" t="n">
        <v>2595</v>
      </c>
      <c r="E655" s="7" t="n">
        <v>2025</v>
      </c>
      <c r="F655" s="7" t="n">
        <v>8</v>
      </c>
      <c r="G655" s="7" t="inlineStr">
        <is>
          <t>2025-02-21</t>
        </is>
      </c>
      <c r="H655" s="9" t="inlineStr">
        <is>
          <t>https://www.100ppi.com/news/detail-20250221-4093968.html</t>
        </is>
      </c>
      <c r="I655" s="7" t="inlineStr">
        <is>
          <t>2月21日生意社甲醇基准价为2595.00元/吨</t>
        </is>
      </c>
    </row>
    <row r="656">
      <c r="A656" s="7" t="n">
        <v>653</v>
      </c>
      <c r="B656" s="7" t="inlineStr">
        <is>
          <t>2025-02-24</t>
        </is>
      </c>
      <c r="C656" s="7" t="inlineStr">
        <is>
          <t>一</t>
        </is>
      </c>
      <c r="D656" s="8" t="n">
        <v>2598.33</v>
      </c>
      <c r="E656" s="7" t="n">
        <v>2025</v>
      </c>
      <c r="F656" s="7" t="n">
        <v>9</v>
      </c>
      <c r="G656" s="7" t="inlineStr">
        <is>
          <t>2025-02-24</t>
        </is>
      </c>
      <c r="H656" s="9" t="inlineStr">
        <is>
          <t>https://www.100ppi.com/news/detail-20250224-4100609.html</t>
        </is>
      </c>
      <c r="I656" s="7" t="inlineStr">
        <is>
          <t>2月24日生意社甲醇基准价为2598.33元/吨</t>
        </is>
      </c>
    </row>
    <row r="657">
      <c r="A657" s="7" t="n">
        <v>654</v>
      </c>
      <c r="B657" s="7" t="inlineStr">
        <is>
          <t>2025-02-25</t>
        </is>
      </c>
      <c r="C657" s="7" t="inlineStr">
        <is>
          <t>二</t>
        </is>
      </c>
      <c r="D657" s="8" t="n">
        <v>2618.33</v>
      </c>
      <c r="E657" s="7" t="n">
        <v>2025</v>
      </c>
      <c r="F657" s="7" t="n">
        <v>9</v>
      </c>
      <c r="G657" s="7" t="inlineStr">
        <is>
          <t>2025-02-25</t>
        </is>
      </c>
      <c r="H657" s="9" t="inlineStr">
        <is>
          <t>https://www.100ppi.com/news/detail-20250225-4104616.html</t>
        </is>
      </c>
      <c r="I657" s="7" t="inlineStr">
        <is>
          <t>2月25日生意社甲醇基准价为2618.33元/吨</t>
        </is>
      </c>
    </row>
    <row r="658">
      <c r="A658" s="7" t="n">
        <v>655</v>
      </c>
      <c r="B658" s="7" t="inlineStr">
        <is>
          <t>2025-02-26</t>
        </is>
      </c>
      <c r="C658" s="7" t="inlineStr">
        <is>
          <t>三</t>
        </is>
      </c>
      <c r="D658" s="8" t="n">
        <v>2589.17</v>
      </c>
      <c r="E658" s="7" t="n">
        <v>2025</v>
      </c>
      <c r="F658" s="7" t="n">
        <v>9</v>
      </c>
      <c r="G658" s="7" t="inlineStr">
        <is>
          <t>2025-02-26</t>
        </is>
      </c>
      <c r="H658" s="9" t="inlineStr">
        <is>
          <t>https://www.100ppi.com/news/detail-20250226-4108393.html</t>
        </is>
      </c>
      <c r="I658" s="7" t="inlineStr">
        <is>
          <t>2月26日生意社甲醇基准价为2589.17元/吨</t>
        </is>
      </c>
    </row>
    <row r="659">
      <c r="A659" s="7" t="n">
        <v>656</v>
      </c>
      <c r="B659" s="7" t="inlineStr">
        <is>
          <t>2025-02-27</t>
        </is>
      </c>
      <c r="C659" s="7" t="inlineStr">
        <is>
          <t>四</t>
        </is>
      </c>
      <c r="D659" s="8" t="n">
        <v>2603.33</v>
      </c>
      <c r="E659" s="7" t="n">
        <v>2025</v>
      </c>
      <c r="F659" s="7" t="n">
        <v>9</v>
      </c>
      <c r="G659" s="7" t="inlineStr">
        <is>
          <t>2025-02-27</t>
        </is>
      </c>
      <c r="H659" s="9" t="inlineStr">
        <is>
          <t>https://www.100ppi.com/news/detail-20250227-4112070.html</t>
        </is>
      </c>
      <c r="I659" s="7" t="inlineStr">
        <is>
          <t>2月27日生意社甲醇基准价为2603.33元/吨</t>
        </is>
      </c>
    </row>
    <row r="660">
      <c r="A660" s="7" t="n">
        <v>657</v>
      </c>
      <c r="B660" s="7" t="inlineStr">
        <is>
          <t>2025-02-28</t>
        </is>
      </c>
      <c r="C660" s="7" t="inlineStr">
        <is>
          <t>五</t>
        </is>
      </c>
      <c r="D660" s="8" t="n">
        <v>2634.17</v>
      </c>
      <c r="E660" s="7" t="n">
        <v>2025</v>
      </c>
      <c r="F660" s="7" t="n">
        <v>9</v>
      </c>
      <c r="G660" s="7" t="inlineStr">
        <is>
          <t>2025-02-28</t>
        </is>
      </c>
      <c r="H660" s="9" t="inlineStr">
        <is>
          <t>https://www.100ppi.com/news/detail-20250228-4115624.html</t>
        </is>
      </c>
      <c r="I660" s="7" t="inlineStr">
        <is>
          <t>2月28日生意社甲醇基准价为2634.17元/吨</t>
        </is>
      </c>
    </row>
    <row r="661">
      <c r="A661" s="7" t="n">
        <v>658</v>
      </c>
      <c r="B661" s="7" t="inlineStr">
        <is>
          <t>2025-03-03</t>
        </is>
      </c>
      <c r="C661" s="7" t="inlineStr">
        <is>
          <t>一</t>
        </is>
      </c>
      <c r="D661" s="8" t="n">
        <v>2629.17</v>
      </c>
      <c r="E661" s="7" t="n">
        <v>2025</v>
      </c>
      <c r="F661" s="7" t="n">
        <v>10</v>
      </c>
      <c r="G661" s="7" t="inlineStr">
        <is>
          <t>2025-03-03</t>
        </is>
      </c>
      <c r="H661" s="9" t="inlineStr">
        <is>
          <t>https://www.100ppi.com/news/detail-20250303-4121673.html</t>
        </is>
      </c>
      <c r="I661" s="7" t="inlineStr">
        <is>
          <t>3月3日生意社甲醇基准价为2629.17元/吨</t>
        </is>
      </c>
    </row>
    <row r="662">
      <c r="A662" s="7" t="n">
        <v>659</v>
      </c>
      <c r="B662" s="7" t="inlineStr">
        <is>
          <t>2025-03-04</t>
        </is>
      </c>
      <c r="C662" s="7" t="inlineStr">
        <is>
          <t>二</t>
        </is>
      </c>
      <c r="D662" s="8" t="n">
        <v>2644.17</v>
      </c>
      <c r="E662" s="7" t="n">
        <v>2025</v>
      </c>
      <c r="F662" s="7" t="n">
        <v>10</v>
      </c>
      <c r="G662" s="7" t="inlineStr">
        <is>
          <t>2025-03-04</t>
        </is>
      </c>
      <c r="H662" s="9" t="inlineStr">
        <is>
          <t>https://www.100ppi.com/news/detail-20250304-4125234.html</t>
        </is>
      </c>
      <c r="I662" s="7" t="inlineStr">
        <is>
          <t>3月4日生意社甲醇基准价为2644.17元/吨</t>
        </is>
      </c>
    </row>
    <row r="663">
      <c r="A663" s="7" t="n">
        <v>660</v>
      </c>
      <c r="B663" s="7" t="inlineStr">
        <is>
          <t>2025-03-05</t>
        </is>
      </c>
      <c r="C663" s="7" t="inlineStr">
        <is>
          <t>三</t>
        </is>
      </c>
      <c r="D663" s="8" t="n">
        <v>2650</v>
      </c>
      <c r="E663" s="7" t="n">
        <v>2025</v>
      </c>
      <c r="F663" s="7" t="n">
        <v>10</v>
      </c>
      <c r="G663" s="7" t="inlineStr">
        <is>
          <t>2025-03-05</t>
        </is>
      </c>
      <c r="H663" s="9" t="inlineStr">
        <is>
          <t>https://www.100ppi.com/news/detail-20250305-4129462.html</t>
        </is>
      </c>
      <c r="I663" s="7" t="inlineStr">
        <is>
          <t>3月5日生意社甲醇基准价为2650.00元/吨</t>
        </is>
      </c>
    </row>
    <row r="664">
      <c r="A664" s="7" t="n">
        <v>661</v>
      </c>
      <c r="B664" s="7" t="inlineStr">
        <is>
          <t>2025-03-06</t>
        </is>
      </c>
      <c r="C664" s="7" t="inlineStr">
        <is>
          <t>四</t>
        </is>
      </c>
      <c r="D664" s="8" t="n">
        <v>2644.17</v>
      </c>
      <c r="E664" s="7" t="n">
        <v>2025</v>
      </c>
      <c r="F664" s="7" t="n">
        <v>10</v>
      </c>
      <c r="G664" s="7" t="inlineStr">
        <is>
          <t>2025-03-06</t>
        </is>
      </c>
      <c r="H664" s="9" t="inlineStr">
        <is>
          <t>https://www.100ppi.com/news/detail-20250306-4133430.html</t>
        </is>
      </c>
      <c r="I664" s="7" t="inlineStr">
        <is>
          <t>3月6日生意社甲醇基准价为2644.17元/吨</t>
        </is>
      </c>
    </row>
    <row r="665">
      <c r="A665" s="7" t="n">
        <v>662</v>
      </c>
      <c r="B665" s="7" t="inlineStr">
        <is>
          <t>2025-03-07</t>
        </is>
      </c>
      <c r="C665" s="7" t="inlineStr">
        <is>
          <t>五</t>
        </is>
      </c>
      <c r="D665" s="8" t="n">
        <v>2649.17</v>
      </c>
      <c r="E665" s="7" t="n">
        <v>2025</v>
      </c>
      <c r="F665" s="7" t="n">
        <v>10</v>
      </c>
      <c r="G665" s="7" t="inlineStr">
        <is>
          <t>2025-03-07</t>
        </is>
      </c>
      <c r="H665" s="9" t="inlineStr">
        <is>
          <t>https://www.100ppi.com/news/detail-20250307-4136617.html</t>
        </is>
      </c>
      <c r="I665" s="7" t="inlineStr">
        <is>
          <t>3月7日生意社甲醇基准价为2649.17元/吨</t>
        </is>
      </c>
    </row>
    <row r="666">
      <c r="A666" s="7" t="n">
        <v>663</v>
      </c>
      <c r="B666" s="7" t="inlineStr">
        <is>
          <t>2025-03-10</t>
        </is>
      </c>
      <c r="C666" s="7" t="inlineStr">
        <is>
          <t>一</t>
        </is>
      </c>
      <c r="D666" s="8" t="n">
        <v>2669.17</v>
      </c>
      <c r="E666" s="7" t="n">
        <v>2025</v>
      </c>
      <c r="F666" s="7" t="n">
        <v>11</v>
      </c>
      <c r="G666" s="7" t="inlineStr">
        <is>
          <t>2025-03-10</t>
        </is>
      </c>
      <c r="H666" s="9" t="inlineStr">
        <is>
          <t>https://www.100ppi.com/news/detail-20250310-4142849.html</t>
        </is>
      </c>
      <c r="I666" s="7" t="inlineStr">
        <is>
          <t>3月10日生意社甲醇基准价为2669.17元/吨</t>
        </is>
      </c>
    </row>
    <row r="667">
      <c r="A667" s="7" t="n">
        <v>664</v>
      </c>
      <c r="B667" s="7" t="inlineStr">
        <is>
          <t>2025-03-11</t>
        </is>
      </c>
      <c r="C667" s="7" t="inlineStr">
        <is>
          <t>二</t>
        </is>
      </c>
      <c r="D667" s="8" t="n">
        <v>2669.17</v>
      </c>
      <c r="E667" s="7" t="n">
        <v>2025</v>
      </c>
      <c r="F667" s="7" t="n">
        <v>11</v>
      </c>
      <c r="G667" s="7" t="inlineStr">
        <is>
          <t>2025-03-11</t>
        </is>
      </c>
      <c r="H667" s="9" t="inlineStr">
        <is>
          <t>https://www.100ppi.com/news/detail-20250311-4147199.html</t>
        </is>
      </c>
      <c r="I667" s="7" t="inlineStr">
        <is>
          <t>3月11日生意社甲醇基准价为2669.17元/吨</t>
        </is>
      </c>
    </row>
    <row r="668">
      <c r="A668" s="7" t="n">
        <v>665</v>
      </c>
      <c r="B668" s="7" t="inlineStr">
        <is>
          <t>2025-03-12</t>
        </is>
      </c>
      <c r="C668" s="7" t="inlineStr">
        <is>
          <t>三</t>
        </is>
      </c>
      <c r="D668" s="8" t="n">
        <v>2670</v>
      </c>
      <c r="E668" s="7" t="n">
        <v>2025</v>
      </c>
      <c r="F668" s="7" t="n">
        <v>11</v>
      </c>
      <c r="G668" s="7" t="inlineStr">
        <is>
          <t>2025-03-12</t>
        </is>
      </c>
      <c r="H668" s="9" t="inlineStr">
        <is>
          <t>https://www.100ppi.com/news/detail-20250312-4151165.html</t>
        </is>
      </c>
      <c r="I668" s="7" t="inlineStr">
        <is>
          <t>3月12日生意社甲醇基准价为2670.00元/吨</t>
        </is>
      </c>
    </row>
    <row r="669">
      <c r="A669" s="7" t="n">
        <v>666</v>
      </c>
      <c r="B669" s="7" t="inlineStr">
        <is>
          <t>2025-03-13</t>
        </is>
      </c>
      <c r="C669" s="7" t="inlineStr">
        <is>
          <t>四</t>
        </is>
      </c>
      <c r="D669" s="8" t="n">
        <v>2626.67</v>
      </c>
      <c r="E669" s="7" t="n">
        <v>2025</v>
      </c>
      <c r="F669" s="7" t="n">
        <v>11</v>
      </c>
      <c r="G669" s="7" t="inlineStr">
        <is>
          <t>2025-03-13</t>
        </is>
      </c>
      <c r="H669" s="9" t="inlineStr">
        <is>
          <t>https://www.100ppi.com/news/detail-20250313-4154722.html</t>
        </is>
      </c>
      <c r="I669" s="7" t="inlineStr">
        <is>
          <t>3月13日生意社甲醇基准价为2626.67元/吨</t>
        </is>
      </c>
    </row>
    <row r="670">
      <c r="A670" s="7" t="n">
        <v>667</v>
      </c>
      <c r="B670" s="7" t="inlineStr">
        <is>
          <t>2025-03-14</t>
        </is>
      </c>
      <c r="C670" s="7" t="inlineStr">
        <is>
          <t>五</t>
        </is>
      </c>
      <c r="D670" s="8" t="n">
        <v>2628.33</v>
      </c>
      <c r="E670" s="7" t="n">
        <v>2025</v>
      </c>
      <c r="F670" s="7" t="n">
        <v>11</v>
      </c>
      <c r="G670" s="7" t="inlineStr">
        <is>
          <t>2025-03-14</t>
        </is>
      </c>
      <c r="H670" s="9" t="inlineStr">
        <is>
          <t>https://www.100ppi.com/news/detail-20250314-4158605.html</t>
        </is>
      </c>
      <c r="I670" s="7" t="inlineStr">
        <is>
          <t>3月14日生意社甲醇基准价为2628.33元/吨</t>
        </is>
      </c>
    </row>
    <row r="671">
      <c r="A671" s="7" t="n">
        <v>668</v>
      </c>
      <c r="B671" s="7" t="inlineStr">
        <is>
          <t>2025-03-17</t>
        </is>
      </c>
      <c r="C671" s="7" t="inlineStr">
        <is>
          <t>一</t>
        </is>
      </c>
      <c r="D671" s="8" t="n">
        <v>2656.67</v>
      </c>
      <c r="E671" s="7" t="n">
        <v>2025</v>
      </c>
      <c r="F671" s="7" t="n">
        <v>12</v>
      </c>
      <c r="G671" s="7" t="inlineStr">
        <is>
          <t>2025-03-17</t>
        </is>
      </c>
      <c r="H671" s="9" t="inlineStr">
        <is>
          <t>https://www.100ppi.com/news/detail-20250317-4164414.html</t>
        </is>
      </c>
      <c r="I671" s="7" t="inlineStr">
        <is>
          <t>3月17日生意社甲醇基准价为2656.67元/吨</t>
        </is>
      </c>
    </row>
    <row r="672">
      <c r="A672" s="7" t="n">
        <v>669</v>
      </c>
      <c r="B672" s="7" t="inlineStr">
        <is>
          <t>2025-03-18</t>
        </is>
      </c>
      <c r="C672" s="7" t="inlineStr">
        <is>
          <t>二</t>
        </is>
      </c>
      <c r="D672" s="8" t="n">
        <v>2670</v>
      </c>
      <c r="E672" s="7" t="n">
        <v>2025</v>
      </c>
      <c r="F672" s="7" t="n">
        <v>12</v>
      </c>
      <c r="G672" s="7" t="inlineStr">
        <is>
          <t>2025-03-18</t>
        </is>
      </c>
      <c r="H672" s="9" t="inlineStr">
        <is>
          <t>https://www.100ppi.com/news/detail-20250318-4168544.html</t>
        </is>
      </c>
      <c r="I672" s="7" t="inlineStr">
        <is>
          <t>3月18日生意社甲醇基准价为2670.00元/吨</t>
        </is>
      </c>
    </row>
    <row r="673">
      <c r="A673" s="7" t="n">
        <v>670</v>
      </c>
      <c r="B673" s="7" t="inlineStr">
        <is>
          <t>2025-03-19</t>
        </is>
      </c>
      <c r="C673" s="7" t="inlineStr">
        <is>
          <t>三</t>
        </is>
      </c>
      <c r="D673" s="8" t="n">
        <v>2654.17</v>
      </c>
      <c r="E673" s="7" t="n">
        <v>2025</v>
      </c>
      <c r="F673" s="7" t="n">
        <v>12</v>
      </c>
      <c r="G673" s="7" t="inlineStr">
        <is>
          <t>2025-03-19</t>
        </is>
      </c>
      <c r="H673" s="9" t="inlineStr">
        <is>
          <t>https://www.100ppi.com/news/detail-20250319-4172314.html</t>
        </is>
      </c>
      <c r="I673" s="7" t="inlineStr">
        <is>
          <t>3月19日生意社甲醇基准价为2654.17元/吨</t>
        </is>
      </c>
    </row>
    <row r="674">
      <c r="A674" s="7" t="n">
        <v>671</v>
      </c>
      <c r="B674" s="7" t="inlineStr">
        <is>
          <t>2025-03-20</t>
        </is>
      </c>
      <c r="C674" s="7" t="inlineStr">
        <is>
          <t>四</t>
        </is>
      </c>
      <c r="D674" s="8" t="n">
        <v>2668.33</v>
      </c>
      <c r="E674" s="7" t="n">
        <v>2025</v>
      </c>
      <c r="F674" s="7" t="n">
        <v>12</v>
      </c>
      <c r="G674" s="7" t="inlineStr">
        <is>
          <t>2025-03-20</t>
        </is>
      </c>
      <c r="H674" s="9" t="inlineStr">
        <is>
          <t>https://www.100ppi.com/news/detail-20250320-4176306.html</t>
        </is>
      </c>
      <c r="I674" s="7" t="inlineStr">
        <is>
          <t>3月20日生意社甲醇基准价为2668.33元/吨</t>
        </is>
      </c>
    </row>
    <row r="675">
      <c r="A675" s="7" t="n">
        <v>672</v>
      </c>
      <c r="B675" s="7" t="inlineStr">
        <is>
          <t>2025-03-21</t>
        </is>
      </c>
      <c r="C675" s="7" t="inlineStr">
        <is>
          <t>五</t>
        </is>
      </c>
      <c r="D675" s="8" t="n">
        <v>2694.17</v>
      </c>
      <c r="E675" s="7" t="n">
        <v>2025</v>
      </c>
      <c r="F675" s="7" t="n">
        <v>12</v>
      </c>
      <c r="G675" s="7" t="inlineStr">
        <is>
          <t>2025-03-21</t>
        </is>
      </c>
      <c r="H675" s="9" t="inlineStr">
        <is>
          <t>https://www.100ppi.com/news/detail-20250321-4180000.html</t>
        </is>
      </c>
      <c r="I675" s="7" t="inlineStr">
        <is>
          <t>3月21日生意社甲醇基准价为2694.17元/吨</t>
        </is>
      </c>
    </row>
    <row r="676">
      <c r="A676" s="7" t="n">
        <v>673</v>
      </c>
      <c r="B676" s="7" t="inlineStr">
        <is>
          <t>2025-03-24</t>
        </is>
      </c>
      <c r="C676" s="7" t="inlineStr">
        <is>
          <t>一</t>
        </is>
      </c>
      <c r="D676" s="8" t="n">
        <v>2694.17</v>
      </c>
      <c r="E676" s="7" t="n">
        <v>2025</v>
      </c>
      <c r="F676" s="7" t="n">
        <v>13</v>
      </c>
      <c r="G676" s="7" t="inlineStr">
        <is>
          <t>2025-03-24</t>
        </is>
      </c>
      <c r="H676" s="9" t="inlineStr">
        <is>
          <t>https://www.100ppi.com/news/detail-20250324-4186734.html</t>
        </is>
      </c>
      <c r="I676" s="7" t="inlineStr">
        <is>
          <t>3月24日生意社甲醇基准价为2694.17元/吨</t>
        </is>
      </c>
    </row>
    <row r="677">
      <c r="A677" s="7" t="n">
        <v>674</v>
      </c>
      <c r="B677" s="7" t="inlineStr">
        <is>
          <t>2025-03-25</t>
        </is>
      </c>
      <c r="C677" s="7" t="inlineStr">
        <is>
          <t>二</t>
        </is>
      </c>
      <c r="D677" s="8" t="n">
        <v>2720</v>
      </c>
      <c r="E677" s="7" t="n">
        <v>2025</v>
      </c>
      <c r="F677" s="7" t="n">
        <v>13</v>
      </c>
      <c r="G677" s="7" t="inlineStr">
        <is>
          <t>2025-03-25</t>
        </is>
      </c>
      <c r="H677" s="9" t="inlineStr">
        <is>
          <t>https://www.100ppi.com/news/detail-20250325-4190682.html</t>
        </is>
      </c>
      <c r="I677" s="7" t="inlineStr">
        <is>
          <t>3月25日生意社甲醇基准价为2720.00元/吨</t>
        </is>
      </c>
    </row>
    <row r="678">
      <c r="A678" s="7" t="n">
        <v>675</v>
      </c>
      <c r="B678" s="7" t="inlineStr">
        <is>
          <t>2025-03-26</t>
        </is>
      </c>
      <c r="C678" s="7" t="inlineStr">
        <is>
          <t>三</t>
        </is>
      </c>
      <c r="D678" s="8" t="n">
        <v>2669.17</v>
      </c>
      <c r="E678" s="7" t="n">
        <v>2025</v>
      </c>
      <c r="F678" s="7" t="n">
        <v>13</v>
      </c>
      <c r="G678" s="7" t="inlineStr">
        <is>
          <t>2025-03-26</t>
        </is>
      </c>
      <c r="H678" s="9" t="inlineStr">
        <is>
          <t>https://www.100ppi.com/news/detail-20250326-4194524.html</t>
        </is>
      </c>
      <c r="I678" s="7" t="inlineStr">
        <is>
          <t>3月26日生意社甲醇基准价为2669.17元/吨</t>
        </is>
      </c>
    </row>
    <row r="679">
      <c r="A679" s="7" t="n">
        <v>676</v>
      </c>
      <c r="B679" s="7" t="inlineStr">
        <is>
          <t>2025-03-27</t>
        </is>
      </c>
      <c r="C679" s="7" t="inlineStr">
        <is>
          <t>四</t>
        </is>
      </c>
      <c r="D679" s="8" t="n">
        <v>2679.17</v>
      </c>
      <c r="E679" s="7" t="n">
        <v>2025</v>
      </c>
      <c r="F679" s="7" t="n">
        <v>13</v>
      </c>
      <c r="G679" s="7" t="inlineStr">
        <is>
          <t>2025-03-27</t>
        </is>
      </c>
      <c r="H679" s="9" t="inlineStr">
        <is>
          <t>https://www.100ppi.com/news/detail-20250327-4197606.html</t>
        </is>
      </c>
      <c r="I679" s="7" t="inlineStr">
        <is>
          <t>3月27日生意社甲醇基准价为2679.17元/吨</t>
        </is>
      </c>
    </row>
    <row r="680">
      <c r="A680" s="7" t="n">
        <v>677</v>
      </c>
      <c r="B680" s="7" t="inlineStr">
        <is>
          <t>2025-03-28</t>
        </is>
      </c>
      <c r="C680" s="7" t="inlineStr">
        <is>
          <t>五</t>
        </is>
      </c>
      <c r="D680" s="8" t="n">
        <v>2690</v>
      </c>
      <c r="E680" s="7" t="n">
        <v>2025</v>
      </c>
      <c r="F680" s="7" t="n">
        <v>13</v>
      </c>
      <c r="G680" s="7" t="inlineStr">
        <is>
          <t>2025-03-28</t>
        </is>
      </c>
      <c r="H680" s="9" t="inlineStr">
        <is>
          <t>https://www.100ppi.com/news/detail-20250328-4201388.html</t>
        </is>
      </c>
      <c r="I680" s="7" t="inlineStr">
        <is>
          <t>3月28日生意社甲醇基准价为2690.00元/吨</t>
        </is>
      </c>
    </row>
    <row r="681">
      <c r="A681" s="7" t="n">
        <v>678</v>
      </c>
      <c r="B681" s="7" t="inlineStr">
        <is>
          <t>2025-03-31</t>
        </is>
      </c>
      <c r="C681" s="7" t="inlineStr">
        <is>
          <t>一</t>
        </is>
      </c>
      <c r="D681" s="8" t="n">
        <v>2654.17</v>
      </c>
      <c r="E681" s="7" t="n">
        <v>2025</v>
      </c>
      <c r="F681" s="7" t="n">
        <v>14</v>
      </c>
      <c r="G681" s="7" t="inlineStr">
        <is>
          <t>2025-03-31</t>
        </is>
      </c>
      <c r="H681" s="9" t="inlineStr">
        <is>
          <t>https://www.100ppi.com/news/detail-20250331-4207844.html</t>
        </is>
      </c>
      <c r="I681" s="7" t="inlineStr">
        <is>
          <t>3月31日生意社甲醇基准价为2654.17元/吨</t>
        </is>
      </c>
    </row>
    <row r="682">
      <c r="A682" s="7" t="n">
        <v>679</v>
      </c>
      <c r="B682" s="7" t="inlineStr">
        <is>
          <t>2025-04-01</t>
        </is>
      </c>
      <c r="C682" s="7" t="inlineStr">
        <is>
          <t>二</t>
        </is>
      </c>
      <c r="D682" s="8" t="n">
        <v>2590</v>
      </c>
      <c r="E682" s="7" t="n">
        <v>2025</v>
      </c>
      <c r="F682" s="7" t="n">
        <v>14</v>
      </c>
      <c r="G682" s="7" t="inlineStr">
        <is>
          <t>2025-04-01</t>
        </is>
      </c>
      <c r="H682" s="9" t="inlineStr">
        <is>
          <t>https://www.100ppi.com/news/detail-20250401-4211282.html</t>
        </is>
      </c>
      <c r="I682" s="7" t="inlineStr">
        <is>
          <t>4月1日生意社甲醇基准价为2590.00元/吨</t>
        </is>
      </c>
    </row>
    <row r="683">
      <c r="A683" s="7" t="n">
        <v>680</v>
      </c>
      <c r="B683" s="7" t="inlineStr">
        <is>
          <t>2025-04-02</t>
        </is>
      </c>
      <c r="C683" s="7" t="inlineStr">
        <is>
          <t>三</t>
        </is>
      </c>
      <c r="D683" s="8" t="n">
        <v>2580</v>
      </c>
      <c r="E683" s="7" t="n">
        <v>2025</v>
      </c>
      <c r="F683" s="7" t="n">
        <v>14</v>
      </c>
      <c r="G683" s="7" t="inlineStr">
        <is>
          <t>2025-04-02</t>
        </is>
      </c>
      <c r="H683" s="9" t="inlineStr">
        <is>
          <t>https://www.100ppi.com/news/detail-20250402-4215468.html</t>
        </is>
      </c>
      <c r="I683" s="7" t="inlineStr">
        <is>
          <t>4月2日生意社甲醇基准价为2580.00元/吨</t>
        </is>
      </c>
    </row>
    <row r="684">
      <c r="A684" s="7" t="n">
        <v>681</v>
      </c>
      <c r="B684" s="7" t="inlineStr">
        <is>
          <t>2025-04-03</t>
        </is>
      </c>
      <c r="C684" s="7" t="inlineStr">
        <is>
          <t>四</t>
        </is>
      </c>
      <c r="D684" s="8" t="n">
        <v>2575</v>
      </c>
      <c r="E684" s="7" t="n">
        <v>2025</v>
      </c>
      <c r="F684" s="7" t="n">
        <v>14</v>
      </c>
      <c r="G684" s="7" t="inlineStr">
        <is>
          <t>2025-04-03</t>
        </is>
      </c>
      <c r="H684" s="9" t="inlineStr">
        <is>
          <t>https://www.100ppi.com/news/detail-20250403-4219528.html</t>
        </is>
      </c>
      <c r="I684" s="7" t="inlineStr">
        <is>
          <t>4月3日生意社甲醇基准价为2575.00元/吨</t>
        </is>
      </c>
    </row>
    <row r="685">
      <c r="A685" s="7" t="n">
        <v>682</v>
      </c>
      <c r="B685" s="7" t="inlineStr">
        <is>
          <t>2025-04-04</t>
        </is>
      </c>
      <c r="C685" s="7" t="inlineStr">
        <is>
          <t>五</t>
        </is>
      </c>
      <c r="D685" s="8" t="n">
        <v>2550</v>
      </c>
      <c r="E685" s="7" t="n">
        <v>2025</v>
      </c>
      <c r="F685" s="7" t="n">
        <v>14</v>
      </c>
      <c r="G685" s="7" t="inlineStr">
        <is>
          <t>2025-04-04</t>
        </is>
      </c>
      <c r="H685" s="9" t="inlineStr">
        <is>
          <t>https://www.100ppi.com/news/detail-20250404-4222904.html</t>
        </is>
      </c>
      <c r="I685" s="7" t="inlineStr">
        <is>
          <t>4月4日生意社甲醇基准价为2550.00元/吨</t>
        </is>
      </c>
    </row>
    <row r="686">
      <c r="A686" s="7" t="n">
        <v>683</v>
      </c>
      <c r="B686" s="7" t="inlineStr">
        <is>
          <t>2025-04-07</t>
        </is>
      </c>
      <c r="C686" s="7" t="inlineStr">
        <is>
          <t>一</t>
        </is>
      </c>
      <c r="D686" s="8" t="n">
        <v>2550</v>
      </c>
      <c r="E686" s="7" t="n">
        <v>2025</v>
      </c>
      <c r="F686" s="7" t="n">
        <v>15</v>
      </c>
      <c r="G686" s="7" t="inlineStr">
        <is>
          <t>2025-04-07</t>
        </is>
      </c>
      <c r="H686" s="9" t="inlineStr">
        <is>
          <t>https://www.100ppi.com/news/detail-20250407-4225578.html</t>
        </is>
      </c>
      <c r="I686" s="7" t="inlineStr">
        <is>
          <t>4月7日生意社甲醇基准价为2550.00元/吨</t>
        </is>
      </c>
    </row>
    <row r="687">
      <c r="A687" s="7" t="n">
        <v>684</v>
      </c>
      <c r="B687" s="7" t="inlineStr">
        <is>
          <t>2025-04-09</t>
        </is>
      </c>
      <c r="C687" s="7" t="inlineStr">
        <is>
          <t>三</t>
        </is>
      </c>
      <c r="D687" s="8" t="n">
        <v>2497.5</v>
      </c>
      <c r="E687" s="7" t="n">
        <v>2025</v>
      </c>
      <c r="F687" s="7" t="n">
        <v>15</v>
      </c>
      <c r="G687" s="7" t="inlineStr">
        <is>
          <t>2025-04-09</t>
        </is>
      </c>
      <c r="H687" s="9" t="inlineStr">
        <is>
          <t>https://www.100ppi.com/news/detail-20250409-4233472.html</t>
        </is>
      </c>
      <c r="I687" s="7" t="inlineStr">
        <is>
          <t>4月9日生意社甲醇基准价为2497.50元/吨</t>
        </is>
      </c>
    </row>
    <row r="688">
      <c r="A688" s="7" t="n">
        <v>685</v>
      </c>
      <c r="B688" s="7" t="inlineStr">
        <is>
          <t>2025-04-10</t>
        </is>
      </c>
      <c r="C688" s="7" t="inlineStr">
        <is>
          <t>四</t>
        </is>
      </c>
      <c r="D688" s="8" t="n">
        <v>2470</v>
      </c>
      <c r="E688" s="7" t="n">
        <v>2025</v>
      </c>
      <c r="F688" s="7" t="n">
        <v>15</v>
      </c>
      <c r="G688" s="7" t="inlineStr">
        <is>
          <t>2025-04-10</t>
        </is>
      </c>
      <c r="H688" s="9" t="inlineStr">
        <is>
          <t>https://www.100ppi.com/news/detail-20250410-4237797.html</t>
        </is>
      </c>
      <c r="I688" s="7" t="inlineStr">
        <is>
          <t>4月10日生意社甲醇基准价为2470.00元/吨</t>
        </is>
      </c>
    </row>
    <row r="689">
      <c r="A689" s="7" t="n">
        <v>686</v>
      </c>
      <c r="B689" s="7" t="inlineStr">
        <is>
          <t>2025-04-11</t>
        </is>
      </c>
      <c r="C689" s="7" t="inlineStr">
        <is>
          <t>五</t>
        </is>
      </c>
      <c r="D689" s="8" t="n">
        <v>2537.5</v>
      </c>
      <c r="E689" s="7" t="n">
        <v>2025</v>
      </c>
      <c r="F689" s="7" t="n">
        <v>15</v>
      </c>
      <c r="G689" s="7" t="inlineStr">
        <is>
          <t>2025-04-11</t>
        </is>
      </c>
      <c r="H689" s="9" t="inlineStr">
        <is>
          <t>https://www.100ppi.com/news/detail-20250411-4241529.html</t>
        </is>
      </c>
      <c r="I689" s="7" t="inlineStr">
        <is>
          <t>4月11日生意社甲醇基准价为2537.50元/吨</t>
        </is>
      </c>
    </row>
    <row r="690">
      <c r="A690" s="7" t="n">
        <v>687</v>
      </c>
      <c r="B690" s="7" t="inlineStr">
        <is>
          <t>2025-04-14</t>
        </is>
      </c>
      <c r="C690" s="7" t="inlineStr">
        <is>
          <t>一</t>
        </is>
      </c>
      <c r="D690" s="8" t="n">
        <v>2482.5</v>
      </c>
      <c r="E690" s="7" t="n">
        <v>2025</v>
      </c>
      <c r="F690" s="7" t="n">
        <v>16</v>
      </c>
      <c r="G690" s="7" t="inlineStr">
        <is>
          <t>2025-04-14</t>
        </is>
      </c>
      <c r="H690" s="9" t="inlineStr">
        <is>
          <t>https://www.100ppi.com/news/detail-20250414-4247601.html</t>
        </is>
      </c>
      <c r="I690" s="7" t="inlineStr">
        <is>
          <t>4月14日生意社甲醇基准价为2482.50元/吨</t>
        </is>
      </c>
    </row>
    <row r="691">
      <c r="A691" s="7" t="n">
        <v>688</v>
      </c>
      <c r="B691" s="7" t="inlineStr">
        <is>
          <t>2025-04-15</t>
        </is>
      </c>
      <c r="C691" s="7" t="inlineStr">
        <is>
          <t>二</t>
        </is>
      </c>
      <c r="D691" s="8" t="n">
        <v>2458.75</v>
      </c>
      <c r="E691" s="7" t="n">
        <v>2025</v>
      </c>
      <c r="F691" s="7" t="n">
        <v>16</v>
      </c>
      <c r="G691" s="7" t="inlineStr">
        <is>
          <t>2025-04-15</t>
        </is>
      </c>
      <c r="H691" s="9" t="inlineStr">
        <is>
          <t>https://www.100ppi.com/news/detail-20250415-4251397.html</t>
        </is>
      </c>
      <c r="I691" s="7" t="inlineStr">
        <is>
          <t>4月15日生意社甲醇基准价为2458.75元/吨</t>
        </is>
      </c>
    </row>
    <row r="692">
      <c r="A692" s="7" t="n">
        <v>689</v>
      </c>
      <c r="B692" s="7" t="inlineStr">
        <is>
          <t>2025-04-16</t>
        </is>
      </c>
      <c r="C692" s="7" t="inlineStr">
        <is>
          <t>三</t>
        </is>
      </c>
      <c r="D692" s="8" t="n">
        <v>2443.75</v>
      </c>
      <c r="E692" s="7" t="n">
        <v>2025</v>
      </c>
      <c r="F692" s="7" t="n">
        <v>16</v>
      </c>
      <c r="G692" s="7" t="inlineStr">
        <is>
          <t>2025-04-16</t>
        </is>
      </c>
      <c r="H692" s="9" t="inlineStr">
        <is>
          <t>https://www.100ppi.com/news/detail-20250416-4255301.html</t>
        </is>
      </c>
      <c r="I692" s="7" t="inlineStr">
        <is>
          <t>4月16日生意社甲醇基准价为2443.75元/吨</t>
        </is>
      </c>
    </row>
    <row r="693">
      <c r="A693" s="7" t="n">
        <v>690</v>
      </c>
      <c r="B693" s="7" t="inlineStr">
        <is>
          <t>2025-04-17</t>
        </is>
      </c>
      <c r="C693" s="7" t="inlineStr">
        <is>
          <t>四</t>
        </is>
      </c>
      <c r="D693" s="8" t="n">
        <v>2450</v>
      </c>
      <c r="E693" s="7" t="n">
        <v>2025</v>
      </c>
      <c r="F693" s="7" t="n">
        <v>16</v>
      </c>
      <c r="G693" s="7" t="inlineStr">
        <is>
          <t>2025-04-17</t>
        </is>
      </c>
      <c r="H693" s="9" t="inlineStr">
        <is>
          <t>https://www.100ppi.com/news/detail-20250417-4258127.html</t>
        </is>
      </c>
      <c r="I693" s="7" t="inlineStr">
        <is>
          <t>4月17日生意社甲醇基准价为2450.00元/吨</t>
        </is>
      </c>
    </row>
    <row r="694">
      <c r="A694" s="7" t="n">
        <v>691</v>
      </c>
      <c r="B694" s="7" t="inlineStr">
        <is>
          <t>2025-04-18</t>
        </is>
      </c>
      <c r="C694" s="7" t="inlineStr">
        <is>
          <t>五</t>
        </is>
      </c>
      <c r="D694" s="8" t="n">
        <v>2403.75</v>
      </c>
      <c r="E694" s="7" t="n">
        <v>2025</v>
      </c>
      <c r="F694" s="7" t="n">
        <v>16</v>
      </c>
      <c r="G694" s="7" t="inlineStr">
        <is>
          <t>2025-04-18</t>
        </is>
      </c>
      <c r="H694" s="9" t="inlineStr">
        <is>
          <t>https://www.100ppi.com/news/detail-20250418-4262914.html</t>
        </is>
      </c>
      <c r="I694" s="7" t="inlineStr">
        <is>
          <t>4月18日生意社甲醇基准价为2403.75元/吨</t>
        </is>
      </c>
    </row>
    <row r="695">
      <c r="A695" s="7" t="n">
        <v>692</v>
      </c>
      <c r="B695" s="7" t="inlineStr">
        <is>
          <t>2025-04-21</t>
        </is>
      </c>
      <c r="C695" s="7" t="inlineStr">
        <is>
          <t>一</t>
        </is>
      </c>
      <c r="D695" s="8" t="n">
        <v>2413.75</v>
      </c>
      <c r="E695" s="7" t="n">
        <v>2025</v>
      </c>
      <c r="F695" s="7" t="n">
        <v>17</v>
      </c>
      <c r="G695" s="7" t="inlineStr">
        <is>
          <t>2025-04-21</t>
        </is>
      </c>
      <c r="H695" s="9" t="inlineStr">
        <is>
          <t>https://www.100ppi.com/news/detail-20250421-4270868.html</t>
        </is>
      </c>
      <c r="I695" s="7" t="inlineStr">
        <is>
          <t>4月21日生意社甲醇基准价为2413.75元/吨</t>
        </is>
      </c>
    </row>
    <row r="696">
      <c r="A696" s="7" t="n">
        <v>693</v>
      </c>
      <c r="B696" s="7" t="inlineStr">
        <is>
          <t>2025-04-22</t>
        </is>
      </c>
      <c r="C696" s="7" t="inlineStr">
        <is>
          <t>二</t>
        </is>
      </c>
      <c r="D696" s="8" t="n">
        <v>2416.25</v>
      </c>
      <c r="E696" s="7" t="n">
        <v>2025</v>
      </c>
      <c r="F696" s="7" t="n">
        <v>17</v>
      </c>
      <c r="G696" s="7" t="inlineStr">
        <is>
          <t>2025-04-22</t>
        </is>
      </c>
      <c r="H696" s="9" t="inlineStr">
        <is>
          <t>https://www.100ppi.com/news/detail-20250422-4274948.html</t>
        </is>
      </c>
      <c r="I696" s="7" t="inlineStr">
        <is>
          <t>4月22日生意社甲醇基准价为2416.25元/吨</t>
        </is>
      </c>
    </row>
    <row r="697">
      <c r="A697" s="7" t="n">
        <v>694</v>
      </c>
      <c r="B697" s="7" t="inlineStr">
        <is>
          <t>2025-04-23</t>
        </is>
      </c>
      <c r="C697" s="7" t="inlineStr">
        <is>
          <t>三</t>
        </is>
      </c>
      <c r="D697" s="8" t="n">
        <v>2390</v>
      </c>
      <c r="E697" s="7" t="n">
        <v>2025</v>
      </c>
      <c r="F697" s="7" t="n">
        <v>17</v>
      </c>
      <c r="G697" s="7" t="inlineStr">
        <is>
          <t>2025-04-23</t>
        </is>
      </c>
      <c r="H697" s="9" t="inlineStr">
        <is>
          <t>https://www.100ppi.com/news/detail-20250423-4279155.html</t>
        </is>
      </c>
      <c r="I697" s="7" t="inlineStr">
        <is>
          <t>4月23日生意社甲醇基准价为2390.00元/吨</t>
        </is>
      </c>
    </row>
    <row r="698">
      <c r="A698" s="7" t="n">
        <v>695</v>
      </c>
      <c r="B698" s="7" t="inlineStr">
        <is>
          <t>2025-04-24</t>
        </is>
      </c>
      <c r="C698" s="7" t="inlineStr">
        <is>
          <t>四</t>
        </is>
      </c>
      <c r="D698" s="8" t="n">
        <v>2430</v>
      </c>
      <c r="E698" s="7" t="n">
        <v>2025</v>
      </c>
      <c r="F698" s="7" t="n">
        <v>17</v>
      </c>
      <c r="G698" s="7" t="inlineStr">
        <is>
          <t>2025-04-24</t>
        </is>
      </c>
      <c r="H698" s="9" t="inlineStr">
        <is>
          <t>https://www.100ppi.com/news/detail-20250424-4283381.html</t>
        </is>
      </c>
      <c r="I698" s="7" t="inlineStr">
        <is>
          <t>4月24日生意社甲醇基准价为2430.00元/吨</t>
        </is>
      </c>
    </row>
    <row r="699">
      <c r="A699" s="7" t="n">
        <v>696</v>
      </c>
      <c r="B699" s="7" t="inlineStr">
        <is>
          <t>2025-04-25</t>
        </is>
      </c>
      <c r="C699" s="7" t="inlineStr">
        <is>
          <t>五</t>
        </is>
      </c>
      <c r="D699" s="8" t="n">
        <v>2420</v>
      </c>
      <c r="E699" s="7" t="n">
        <v>2025</v>
      </c>
      <c r="F699" s="7" t="n">
        <v>17</v>
      </c>
      <c r="G699" s="7" t="inlineStr">
        <is>
          <t>2025-04-25</t>
        </is>
      </c>
      <c r="H699" s="9" t="inlineStr">
        <is>
          <t>https://www.100ppi.com/news/detail-20250425-4287258.html</t>
        </is>
      </c>
      <c r="I699" s="7" t="inlineStr">
        <is>
          <t>4月25日生意社甲醇基准价为2420.00元/吨</t>
        </is>
      </c>
    </row>
    <row r="700">
      <c r="A700" s="7" t="n">
        <v>697</v>
      </c>
      <c r="B700" s="7" t="inlineStr">
        <is>
          <t>2025-04-28</t>
        </is>
      </c>
      <c r="C700" s="7" t="inlineStr">
        <is>
          <t>一</t>
        </is>
      </c>
      <c r="D700" s="8" t="n">
        <v>2428.75</v>
      </c>
      <c r="E700" s="7" t="n">
        <v>2025</v>
      </c>
      <c r="F700" s="7" t="n">
        <v>18</v>
      </c>
      <c r="G700" s="7" t="inlineStr">
        <is>
          <t>2025-04-28</t>
        </is>
      </c>
      <c r="H700" s="9" t="inlineStr">
        <is>
          <t>https://www.100ppi.com/news/detail-20250428-4297012.html</t>
        </is>
      </c>
      <c r="I700" s="7" t="inlineStr">
        <is>
          <t>4月28日生意社甲醇基准价为2428.75元/吨</t>
        </is>
      </c>
    </row>
    <row r="701">
      <c r="A701" s="7" t="n">
        <v>698</v>
      </c>
      <c r="B701" s="7" t="inlineStr">
        <is>
          <t>2025-04-29</t>
        </is>
      </c>
      <c r="C701" s="7" t="inlineStr">
        <is>
          <t>二</t>
        </is>
      </c>
      <c r="D701" s="8" t="n">
        <v>2451.25</v>
      </c>
      <c r="E701" s="7" t="n">
        <v>2025</v>
      </c>
      <c r="F701" s="7" t="n">
        <v>18</v>
      </c>
      <c r="G701" s="7" t="inlineStr">
        <is>
          <t>2025-04-29</t>
        </is>
      </c>
      <c r="H701" s="9" t="inlineStr">
        <is>
          <t>https://www.100ppi.com/news/detail-20250429-4301189.html</t>
        </is>
      </c>
      <c r="I701" s="7" t="inlineStr">
        <is>
          <t>4月29日生意社甲醇基准价为2451.25元/吨</t>
        </is>
      </c>
    </row>
    <row r="702">
      <c r="A702" s="7" t="n">
        <v>699</v>
      </c>
      <c r="B702" s="7" t="inlineStr">
        <is>
          <t>2025-04-30</t>
        </is>
      </c>
      <c r="C702" s="7" t="inlineStr">
        <is>
          <t>三</t>
        </is>
      </c>
      <c r="D702" s="8" t="n">
        <v>2437.5</v>
      </c>
      <c r="E702" s="7" t="n">
        <v>2025</v>
      </c>
      <c r="F702" s="7" t="n">
        <v>18</v>
      </c>
      <c r="G702" s="7" t="inlineStr">
        <is>
          <t>2025-04-30</t>
        </is>
      </c>
      <c r="H702" s="9" t="inlineStr">
        <is>
          <t>https://www.100ppi.com/news/detail-20250430-4305047.html</t>
        </is>
      </c>
      <c r="I702" s="7" t="inlineStr">
        <is>
          <t>4月30日生意社甲醇基准价为2437.50元/吨</t>
        </is>
      </c>
    </row>
    <row r="703">
      <c r="A703" s="7" t="n">
        <v>700</v>
      </c>
      <c r="B703" s="7" t="inlineStr">
        <is>
          <t>2025-05-01</t>
        </is>
      </c>
      <c r="C703" s="7" t="inlineStr">
        <is>
          <t>四</t>
        </is>
      </c>
      <c r="D703" s="8" t="n">
        <v>2440</v>
      </c>
      <c r="E703" s="7" t="n">
        <v>2025</v>
      </c>
      <c r="F703" s="7" t="n">
        <v>18</v>
      </c>
      <c r="G703" s="7" t="inlineStr">
        <is>
          <t>2025-05-01</t>
        </is>
      </c>
      <c r="H703" s="9" t="inlineStr">
        <is>
          <t>https://www.100ppi.com/news/detail-20250501-4308744.html</t>
        </is>
      </c>
      <c r="I703" s="7" t="inlineStr">
        <is>
          <t>5月1日生意社甲醇基准价为2440.00元/吨</t>
        </is>
      </c>
    </row>
    <row r="704">
      <c r="A704" s="7" t="n">
        <v>701</v>
      </c>
      <c r="B704" s="7" t="inlineStr">
        <is>
          <t>2025-05-02</t>
        </is>
      </c>
      <c r="C704" s="7" t="inlineStr">
        <is>
          <t>五</t>
        </is>
      </c>
      <c r="D704" s="8" t="n">
        <v>2440</v>
      </c>
      <c r="E704" s="7" t="n">
        <v>2025</v>
      </c>
      <c r="F704" s="7" t="n">
        <v>18</v>
      </c>
      <c r="G704" s="7" t="inlineStr">
        <is>
          <t>2025-05-02</t>
        </is>
      </c>
      <c r="H704" s="9" t="inlineStr">
        <is>
          <t>https://www.100ppi.com/news/detail-20250502-4310185.html</t>
        </is>
      </c>
      <c r="I704" s="7" t="inlineStr">
        <is>
          <t>5月2日生意社甲醇基准价为2440.00元/吨</t>
        </is>
      </c>
    </row>
    <row r="705">
      <c r="A705" s="7" t="n">
        <v>702</v>
      </c>
      <c r="B705" s="7" t="inlineStr">
        <is>
          <t>2025-05-05</t>
        </is>
      </c>
      <c r="C705" s="7" t="inlineStr">
        <is>
          <t>一</t>
        </is>
      </c>
      <c r="D705" s="8" t="n">
        <v>2440</v>
      </c>
      <c r="E705" s="7" t="n">
        <v>2025</v>
      </c>
      <c r="F705" s="7" t="n">
        <v>19</v>
      </c>
      <c r="G705" s="7" t="inlineStr">
        <is>
          <t>2025-05-05</t>
        </is>
      </c>
      <c r="H705" s="9" t="inlineStr">
        <is>
          <t>https://www.100ppi.com/news/detail-20250505-4313596.html</t>
        </is>
      </c>
      <c r="I705" s="7" t="inlineStr">
        <is>
          <t>5月5日生意社甲醇基准价为2440.00元/吨</t>
        </is>
      </c>
    </row>
    <row r="706">
      <c r="A706" s="7" t="n">
        <v>703</v>
      </c>
      <c r="B706" s="7" t="inlineStr">
        <is>
          <t>2025-05-06</t>
        </is>
      </c>
      <c r="C706" s="7" t="inlineStr">
        <is>
          <t>二</t>
        </is>
      </c>
      <c r="D706" s="8" t="n">
        <v>2440</v>
      </c>
      <c r="E706" s="7" t="n">
        <v>2025</v>
      </c>
      <c r="F706" s="7" t="n">
        <v>19</v>
      </c>
      <c r="G706" s="7" t="inlineStr">
        <is>
          <t>2025-05-06</t>
        </is>
      </c>
      <c r="H706" s="9" t="inlineStr">
        <is>
          <t>https://www.100ppi.com/news/detail-20250506-4316185.html</t>
        </is>
      </c>
      <c r="I706" s="7" t="inlineStr">
        <is>
          <t>5月6日生意社甲醇基准价为2440.00元/吨</t>
        </is>
      </c>
    </row>
    <row r="707">
      <c r="A707" s="7" t="n">
        <v>704</v>
      </c>
      <c r="B707" s="7" t="inlineStr">
        <is>
          <t>2025-05-07</t>
        </is>
      </c>
      <c r="C707" s="7" t="inlineStr">
        <is>
          <t>三</t>
        </is>
      </c>
      <c r="D707" s="8" t="n">
        <v>2428.75</v>
      </c>
      <c r="E707" s="7" t="n">
        <v>2025</v>
      </c>
      <c r="F707" s="7" t="n">
        <v>19</v>
      </c>
      <c r="G707" s="7" t="inlineStr">
        <is>
          <t>2025-05-07</t>
        </is>
      </c>
      <c r="H707" s="9" t="inlineStr">
        <is>
          <t>https://www.100ppi.com/news/detail-20250507-4320553.html</t>
        </is>
      </c>
      <c r="I707" s="7" t="inlineStr">
        <is>
          <t>5月7日生意社甲醇基准价为2428.75元/吨</t>
        </is>
      </c>
    </row>
    <row r="708">
      <c r="A708" s="7" t="n">
        <v>705</v>
      </c>
      <c r="B708" s="7" t="inlineStr">
        <is>
          <t>2025-05-08</t>
        </is>
      </c>
      <c r="C708" s="7" t="inlineStr">
        <is>
          <t>四</t>
        </is>
      </c>
      <c r="D708" s="8" t="n">
        <v>2410</v>
      </c>
      <c r="E708" s="7" t="n">
        <v>2025</v>
      </c>
      <c r="F708" s="7" t="n">
        <v>19</v>
      </c>
      <c r="G708" s="7" t="inlineStr">
        <is>
          <t>2025-05-08</t>
        </is>
      </c>
      <c r="H708" s="9" t="inlineStr">
        <is>
          <t>https://www.100ppi.com/news/detail-20250508-4325081.html</t>
        </is>
      </c>
      <c r="I708" s="7" t="inlineStr">
        <is>
          <t>5月8日生意社甲醇基准价为2410.00元/吨</t>
        </is>
      </c>
    </row>
    <row r="709">
      <c r="A709" s="7" t="n">
        <v>706</v>
      </c>
      <c r="B709" s="7" t="inlineStr">
        <is>
          <t>2025-05-09</t>
        </is>
      </c>
      <c r="C709" s="7" t="inlineStr">
        <is>
          <t>五</t>
        </is>
      </c>
      <c r="D709" s="8" t="n">
        <v>2390</v>
      </c>
      <c r="E709" s="7" t="n">
        <v>2025</v>
      </c>
      <c r="F709" s="7" t="n">
        <v>19</v>
      </c>
      <c r="G709" s="7" t="inlineStr">
        <is>
          <t>2025-05-09</t>
        </is>
      </c>
      <c r="H709" s="9" t="inlineStr">
        <is>
          <t>https://www.100ppi.com/news/detail-20250509-4328860.html</t>
        </is>
      </c>
      <c r="I709" s="7" t="inlineStr">
        <is>
          <t>5月9日生意社甲醇基准价为2390.00元/吨</t>
        </is>
      </c>
    </row>
    <row r="710">
      <c r="A710" s="7" t="n">
        <v>707</v>
      </c>
      <c r="B710" s="7" t="inlineStr">
        <is>
          <t>2025-05-12</t>
        </is>
      </c>
      <c r="C710" s="7" t="inlineStr">
        <is>
          <t>一</t>
        </is>
      </c>
      <c r="D710" s="8" t="n">
        <v>2402.5</v>
      </c>
      <c r="E710" s="7" t="n">
        <v>2025</v>
      </c>
      <c r="F710" s="7" t="n">
        <v>20</v>
      </c>
      <c r="G710" s="7" t="inlineStr">
        <is>
          <t>2025-05-12</t>
        </is>
      </c>
      <c r="H710" s="9" t="inlineStr">
        <is>
          <t>https://www.100ppi.com/news/detail-20250512-4335385.html</t>
        </is>
      </c>
      <c r="I710" s="7" t="inlineStr">
        <is>
          <t>5月12日生意社甲醇基准价为2402.50元/吨</t>
        </is>
      </c>
    </row>
    <row r="711">
      <c r="A711" s="7" t="n">
        <v>708</v>
      </c>
      <c r="B711" s="7" t="inlineStr">
        <is>
          <t>2025-05-13</t>
        </is>
      </c>
      <c r="C711" s="7" t="inlineStr">
        <is>
          <t>二</t>
        </is>
      </c>
      <c r="D711" s="8" t="n">
        <v>2402.5</v>
      </c>
      <c r="E711" s="7" t="n">
        <v>2025</v>
      </c>
      <c r="F711" s="7" t="n">
        <v>20</v>
      </c>
      <c r="G711" s="7" t="inlineStr">
        <is>
          <t>2025-05-13</t>
        </is>
      </c>
      <c r="H711" s="9" t="inlineStr">
        <is>
          <t>https://www.100ppi.com/news/detail-20250513-4339817.html</t>
        </is>
      </c>
      <c r="I711" s="7" t="inlineStr">
        <is>
          <t>5月13日生意社甲醇基准价为2402.50元/吨</t>
        </is>
      </c>
    </row>
    <row r="712">
      <c r="A712" s="7" t="n">
        <v>709</v>
      </c>
      <c r="B712" s="7" t="inlineStr">
        <is>
          <t>2025-05-14</t>
        </is>
      </c>
      <c r="C712" s="7" t="inlineStr">
        <is>
          <t>三</t>
        </is>
      </c>
      <c r="D712" s="8" t="n">
        <v>2453.75</v>
      </c>
      <c r="E712" s="7" t="n">
        <v>2025</v>
      </c>
      <c r="F712" s="7" t="n">
        <v>20</v>
      </c>
      <c r="G712" s="7" t="inlineStr">
        <is>
          <t>2025-05-14</t>
        </is>
      </c>
      <c r="H712" s="9" t="inlineStr">
        <is>
          <t>https://www.100ppi.com/news/detail-20250514-4344109.html</t>
        </is>
      </c>
      <c r="I712" s="7" t="inlineStr">
        <is>
          <t>5月14日生意社甲醇基准价为2453.75元/吨</t>
        </is>
      </c>
    </row>
    <row r="713">
      <c r="A713" s="7" t="n">
        <v>710</v>
      </c>
      <c r="B713" s="7" t="inlineStr">
        <is>
          <t>2025-05-15</t>
        </is>
      </c>
      <c r="C713" s="7" t="inlineStr">
        <is>
          <t>四</t>
        </is>
      </c>
      <c r="D713" s="8" t="n">
        <v>2521.25</v>
      </c>
      <c r="E713" s="7" t="n">
        <v>2025</v>
      </c>
      <c r="F713" s="7" t="n">
        <v>20</v>
      </c>
      <c r="G713" s="7" t="inlineStr">
        <is>
          <t>2025-05-15</t>
        </is>
      </c>
      <c r="H713" s="9" t="inlineStr">
        <is>
          <t>https://www.100ppi.com/news/detail-20250515-4348966.html</t>
        </is>
      </c>
      <c r="I713" s="7" t="inlineStr">
        <is>
          <t>5月15日生意社甲醇基准价为2521.25元/吨</t>
        </is>
      </c>
    </row>
    <row r="714">
      <c r="A714" s="7" t="n">
        <v>711</v>
      </c>
      <c r="B714" s="7" t="inlineStr">
        <is>
          <t>2025-05-16</t>
        </is>
      </c>
      <c r="C714" s="7" t="inlineStr">
        <is>
          <t>五</t>
        </is>
      </c>
      <c r="D714" s="8" t="n">
        <v>2426.25</v>
      </c>
      <c r="E714" s="7" t="n">
        <v>2025</v>
      </c>
      <c r="F714" s="7" t="n">
        <v>20</v>
      </c>
      <c r="G714" s="7" t="inlineStr">
        <is>
          <t>2025-05-16</t>
        </is>
      </c>
      <c r="H714" s="9" t="inlineStr">
        <is>
          <t>https://www.100ppi.com/news/detail-20250516-4353305.html</t>
        </is>
      </c>
      <c r="I714" s="7" t="inlineStr">
        <is>
          <t>5月16日生意社甲醇基准价为2426.25元/吨</t>
        </is>
      </c>
    </row>
    <row r="715">
      <c r="A715" s="7" t="n">
        <v>712</v>
      </c>
      <c r="B715" s="7" t="inlineStr">
        <is>
          <t>2025-05-19</t>
        </is>
      </c>
      <c r="C715" s="7" t="inlineStr">
        <is>
          <t>一</t>
        </is>
      </c>
      <c r="D715" s="8" t="n">
        <v>2426.25</v>
      </c>
      <c r="E715" s="7" t="n">
        <v>2025</v>
      </c>
      <c r="F715" s="7" t="n">
        <v>21</v>
      </c>
      <c r="G715" s="7" t="inlineStr">
        <is>
          <t>2025-05-19</t>
        </is>
      </c>
      <c r="H715" s="9" t="inlineStr">
        <is>
          <t>https://www.100ppi.com/news/detail-20250519-4359545.html</t>
        </is>
      </c>
      <c r="I715" s="7" t="inlineStr">
        <is>
          <t>5月19日生意社甲醇基准价为2426.25元/吨</t>
        </is>
      </c>
    </row>
    <row r="716">
      <c r="A716" s="7" t="n">
        <v>713</v>
      </c>
      <c r="B716" s="7" t="inlineStr">
        <is>
          <t>2025-05-20</t>
        </is>
      </c>
      <c r="C716" s="7" t="inlineStr">
        <is>
          <t>二</t>
        </is>
      </c>
      <c r="D716" s="8" t="n">
        <v>2362.5</v>
      </c>
      <c r="E716" s="7" t="n">
        <v>2025</v>
      </c>
      <c r="F716" s="7" t="n">
        <v>21</v>
      </c>
      <c r="G716" s="7" t="inlineStr">
        <is>
          <t>2025-05-20</t>
        </is>
      </c>
      <c r="H716" s="9" t="inlineStr">
        <is>
          <t>https://www.100ppi.com/news/detail-20250520-4363653.html</t>
        </is>
      </c>
      <c r="I716" s="7" t="inlineStr">
        <is>
          <t>5月20日生意社甲醇基准价为2362.50元/吨</t>
        </is>
      </c>
    </row>
    <row r="717">
      <c r="A717" s="7" t="n">
        <v>714</v>
      </c>
      <c r="B717" s="7" t="inlineStr">
        <is>
          <t>2025-05-21</t>
        </is>
      </c>
      <c r="C717" s="7" t="inlineStr">
        <is>
          <t>三</t>
        </is>
      </c>
      <c r="D717" s="8" t="n">
        <v>2327.5</v>
      </c>
      <c r="E717" s="7" t="n">
        <v>2025</v>
      </c>
      <c r="F717" s="7" t="n">
        <v>21</v>
      </c>
      <c r="G717" s="7" t="inlineStr">
        <is>
          <t>2025-05-21</t>
        </is>
      </c>
      <c r="H717" s="9" t="inlineStr">
        <is>
          <t>https://www.100ppi.com/news/detail-20250521-4367970.html</t>
        </is>
      </c>
      <c r="I717" s="7" t="inlineStr">
        <is>
          <t>5月21日生意社甲醇基准价为2327.50元/吨</t>
        </is>
      </c>
    </row>
    <row r="718">
      <c r="A718" s="7" t="n">
        <v>715</v>
      </c>
      <c r="B718" s="7" t="inlineStr">
        <is>
          <t>2025-05-22</t>
        </is>
      </c>
      <c r="C718" s="7" t="inlineStr">
        <is>
          <t>四</t>
        </is>
      </c>
      <c r="D718" s="8" t="n">
        <v>2321.25</v>
      </c>
      <c r="E718" s="7" t="n">
        <v>2025</v>
      </c>
      <c r="F718" s="7" t="n">
        <v>21</v>
      </c>
      <c r="G718" s="7" t="inlineStr">
        <is>
          <t>2025-05-22</t>
        </is>
      </c>
      <c r="H718" s="9" t="inlineStr">
        <is>
          <t>https://www.100ppi.com/news/detail-20250522-4371938.html</t>
        </is>
      </c>
      <c r="I718" s="7" t="inlineStr">
        <is>
          <t>5月22日生意社甲醇基准价为2321.25元/吨</t>
        </is>
      </c>
    </row>
    <row r="719">
      <c r="A719" s="7" t="n">
        <v>716</v>
      </c>
      <c r="B719" s="7" t="inlineStr">
        <is>
          <t>2025-05-23</t>
        </is>
      </c>
      <c r="C719" s="7" t="inlineStr">
        <is>
          <t>五</t>
        </is>
      </c>
      <c r="D719" s="8" t="n">
        <v>2312.5</v>
      </c>
      <c r="E719" s="7" t="n">
        <v>2025</v>
      </c>
      <c r="F719" s="7" t="n">
        <v>21</v>
      </c>
      <c r="G719" s="7" t="inlineStr">
        <is>
          <t>2025-05-23</t>
        </is>
      </c>
      <c r="H719" s="9" t="inlineStr">
        <is>
          <t>https://www.100ppi.com/news/detail-20250523-4376034.html</t>
        </is>
      </c>
      <c r="I719" s="7" t="inlineStr">
        <is>
          <t>5月23日生意社甲醇基准价为2312.50元/吨</t>
        </is>
      </c>
    </row>
    <row r="720">
      <c r="A720" s="7" t="n">
        <v>717</v>
      </c>
      <c r="B720" s="7" t="inlineStr">
        <is>
          <t>2025-05-26</t>
        </is>
      </c>
      <c r="C720" s="7" t="inlineStr">
        <is>
          <t>一</t>
        </is>
      </c>
      <c r="D720" s="8" t="n">
        <v>2300</v>
      </c>
      <c r="E720" s="7" t="n">
        <v>2025</v>
      </c>
      <c r="F720" s="7" t="n">
        <v>22</v>
      </c>
      <c r="G720" s="7" t="inlineStr">
        <is>
          <t>2025-05-26</t>
        </is>
      </c>
      <c r="H720" s="9" t="inlineStr">
        <is>
          <t>https://www.100ppi.com/news/detail-20250526-4382223.html</t>
        </is>
      </c>
      <c r="I720" s="7" t="inlineStr">
        <is>
          <t>5月26日生意社甲醇基准价为2300.00元/吨</t>
        </is>
      </c>
    </row>
    <row r="721">
      <c r="A721" s="7" t="n">
        <v>718</v>
      </c>
      <c r="B721" s="7" t="inlineStr">
        <is>
          <t>2025-05-28</t>
        </is>
      </c>
      <c r="C721" s="7" t="inlineStr">
        <is>
          <t>三</t>
        </is>
      </c>
      <c r="D721" s="8" t="n">
        <v>2253.75</v>
      </c>
      <c r="E721" s="7" t="n">
        <v>2025</v>
      </c>
      <c r="F721" s="7" t="n">
        <v>22</v>
      </c>
      <c r="G721" s="7" t="inlineStr">
        <is>
          <t>2025-05-28</t>
        </is>
      </c>
      <c r="H721" s="9" t="inlineStr">
        <is>
          <t>https://www.100ppi.com/news/detail-20250528-4389982.html</t>
        </is>
      </c>
      <c r="I721" s="7" t="inlineStr">
        <is>
          <t>5月28日生意社甲醇基准价为2253.75元/吨</t>
        </is>
      </c>
    </row>
    <row r="722">
      <c r="A722" s="7" t="n">
        <v>719</v>
      </c>
      <c r="B722" s="7" t="inlineStr">
        <is>
          <t>2025-05-29</t>
        </is>
      </c>
      <c r="C722" s="7" t="inlineStr">
        <is>
          <t>四</t>
        </is>
      </c>
      <c r="D722" s="8" t="n">
        <v>2246.25</v>
      </c>
      <c r="E722" s="7" t="n">
        <v>2025</v>
      </c>
      <c r="F722" s="7" t="n">
        <v>22</v>
      </c>
      <c r="G722" s="7" t="inlineStr">
        <is>
          <t>2025-05-29</t>
        </is>
      </c>
      <c r="H722" s="9" t="inlineStr">
        <is>
          <t>https://www.100ppi.com/news/detail-20250529-4393989.html</t>
        </is>
      </c>
      <c r="I722" s="7" t="inlineStr">
        <is>
          <t>5月29日生意社甲醇基准价为2246.25元/吨</t>
        </is>
      </c>
    </row>
    <row r="723">
      <c r="A723" s="7" t="n">
        <v>720</v>
      </c>
      <c r="B723" s="7" t="inlineStr">
        <is>
          <t>2025-05-30</t>
        </is>
      </c>
      <c r="C723" s="7" t="inlineStr">
        <is>
          <t>五</t>
        </is>
      </c>
      <c r="D723" s="8" t="n">
        <v>2247</v>
      </c>
      <c r="E723" s="7" t="n">
        <v>2025</v>
      </c>
      <c r="F723" s="7" t="n">
        <v>22</v>
      </c>
      <c r="G723" s="7" t="inlineStr">
        <is>
          <t>2025-05-30</t>
        </is>
      </c>
      <c r="H723" s="9" t="inlineStr">
        <is>
          <t>https://www.100ppi.com/news/detail-20250530-4398311.html</t>
        </is>
      </c>
      <c r="I723" s="7" t="inlineStr">
        <is>
          <t>5月30日生意社甲醇基准价为2247.00元/吨</t>
        </is>
      </c>
    </row>
    <row r="724">
      <c r="A724" s="7" t="n">
        <v>721</v>
      </c>
      <c r="B724" s="7" t="inlineStr">
        <is>
          <t>2025-06-02</t>
        </is>
      </c>
      <c r="C724" s="7" t="inlineStr">
        <is>
          <t>一</t>
        </is>
      </c>
      <c r="D724" s="8" t="n">
        <v>2250</v>
      </c>
      <c r="E724" s="7" t="n">
        <v>2025</v>
      </c>
      <c r="F724" s="7" t="n">
        <v>23</v>
      </c>
      <c r="G724" s="7" t="inlineStr">
        <is>
          <t>2025-06-02</t>
        </is>
      </c>
      <c r="H724" s="9" t="inlineStr">
        <is>
          <t>https://www.100ppi.com/news/detail-20250602-4405006.html</t>
        </is>
      </c>
      <c r="I724" s="7" t="inlineStr">
        <is>
          <t>6月2日生意社甲醇基准价为2250.00元/吨</t>
        </is>
      </c>
    </row>
    <row r="725">
      <c r="A725" s="7" t="n">
        <v>722</v>
      </c>
      <c r="B725" s="7" t="inlineStr">
        <is>
          <t>2025-06-03</t>
        </is>
      </c>
      <c r="C725" s="7" t="inlineStr">
        <is>
          <t>二</t>
        </is>
      </c>
      <c r="D725" s="8" t="n">
        <v>2250</v>
      </c>
      <c r="E725" s="7" t="n">
        <v>2025</v>
      </c>
      <c r="F725" s="7" t="n">
        <v>23</v>
      </c>
      <c r="G725" s="7" t="inlineStr">
        <is>
          <t>2025-06-03</t>
        </is>
      </c>
      <c r="H725" s="9" t="inlineStr">
        <is>
          <t>https://www.100ppi.com/news/detail-20250603-4406642.html</t>
        </is>
      </c>
      <c r="I725" s="7" t="inlineStr">
        <is>
          <t>6月3日生意社甲醇基准价为2250.00元/吨</t>
        </is>
      </c>
    </row>
    <row r="726">
      <c r="A726" s="7" t="n">
        <v>723</v>
      </c>
      <c r="B726" s="7" t="inlineStr">
        <is>
          <t>2025-06-04</t>
        </is>
      </c>
      <c r="C726" s="7" t="inlineStr">
        <is>
          <t>三</t>
        </is>
      </c>
      <c r="D726" s="8" t="n">
        <v>2293</v>
      </c>
      <c r="E726" s="7" t="n">
        <v>2025</v>
      </c>
      <c r="F726" s="7" t="n">
        <v>23</v>
      </c>
      <c r="G726" s="7" t="inlineStr">
        <is>
          <t>2025-06-04</t>
        </is>
      </c>
      <c r="H726" s="9" t="inlineStr">
        <is>
          <t>https://www.100ppi.com/news/detail-20250604-4411194.html</t>
        </is>
      </c>
      <c r="I726" s="7" t="inlineStr">
        <is>
          <t>6月4日生意社甲醇基准价为2293.00元/吨</t>
        </is>
      </c>
    </row>
    <row r="727">
      <c r="A727" s="7" t="n">
        <v>724</v>
      </c>
      <c r="B727" s="7" t="inlineStr">
        <is>
          <t>2025-06-05</t>
        </is>
      </c>
      <c r="C727" s="7" t="inlineStr">
        <is>
          <t>四</t>
        </is>
      </c>
      <c r="D727" s="8" t="n">
        <v>2293</v>
      </c>
      <c r="E727" s="7" t="n">
        <v>2025</v>
      </c>
      <c r="F727" s="7" t="n">
        <v>23</v>
      </c>
      <c r="G727" s="7" t="inlineStr">
        <is>
          <t>2025-06-05</t>
        </is>
      </c>
      <c r="H727" s="9" t="inlineStr">
        <is>
          <t>https://www.100ppi.com/news/detail-20250605-4415445.html</t>
        </is>
      </c>
      <c r="I727" s="7" t="inlineStr">
        <is>
          <t>6月5日生意社甲醇基准价为2293.00元/吨</t>
        </is>
      </c>
    </row>
    <row r="728">
      <c r="A728" s="7" t="n">
        <v>725</v>
      </c>
      <c r="B728" s="7" t="inlineStr">
        <is>
          <t>2025-06-06</t>
        </is>
      </c>
      <c r="C728" s="7" t="inlineStr">
        <is>
          <t>五</t>
        </is>
      </c>
      <c r="D728" s="8" t="n">
        <v>2302</v>
      </c>
      <c r="E728" s="7" t="n">
        <v>2025</v>
      </c>
      <c r="F728" s="7" t="n">
        <v>23</v>
      </c>
      <c r="G728" s="7" t="inlineStr">
        <is>
          <t>2025-06-06</t>
        </is>
      </c>
      <c r="H728" s="9" t="inlineStr">
        <is>
          <t>https://www.100ppi.com/news/detail-20250606-4419559.html</t>
        </is>
      </c>
      <c r="I728" s="7" t="inlineStr">
        <is>
          <t>6月6日生意社甲醇基准价为2302.00元/吨</t>
        </is>
      </c>
    </row>
    <row r="729">
      <c r="A729" s="7" t="n">
        <v>726</v>
      </c>
      <c r="B729" s="7" t="inlineStr">
        <is>
          <t>2025-06-09</t>
        </is>
      </c>
      <c r="C729" s="7" t="inlineStr">
        <is>
          <t>一</t>
        </is>
      </c>
      <c r="D729" s="8" t="n">
        <v>2313</v>
      </c>
      <c r="E729" s="7" t="n">
        <v>2025</v>
      </c>
      <c r="F729" s="7" t="n">
        <v>24</v>
      </c>
      <c r="G729" s="7" t="inlineStr">
        <is>
          <t>2025-06-09</t>
        </is>
      </c>
      <c r="H729" s="9" t="inlineStr">
        <is>
          <t>https://www.100ppi.com/news/detail-20250609-4426721.html</t>
        </is>
      </c>
      <c r="I729" s="7" t="inlineStr">
        <is>
          <t>6月9日生意社甲醇基准价为2313.00元/吨</t>
        </is>
      </c>
    </row>
    <row r="730">
      <c r="A730" s="7" t="n">
        <v>727</v>
      </c>
      <c r="B730" s="7" t="inlineStr">
        <is>
          <t>2025-06-10</t>
        </is>
      </c>
      <c r="C730" s="7" t="inlineStr">
        <is>
          <t>二</t>
        </is>
      </c>
      <c r="D730" s="8" t="n">
        <v>2331</v>
      </c>
      <c r="E730" s="7" t="n">
        <v>2025</v>
      </c>
      <c r="F730" s="7" t="n">
        <v>24</v>
      </c>
      <c r="G730" s="7" t="inlineStr">
        <is>
          <t>2025-06-10</t>
        </is>
      </c>
      <c r="H730" s="9" t="inlineStr">
        <is>
          <t>https://www.100ppi.com/news/detail-20250610-4431107.html</t>
        </is>
      </c>
      <c r="I730" s="7" t="inlineStr">
        <is>
          <t>6月10日生意社甲醇基准价为2331.00元/吨</t>
        </is>
      </c>
    </row>
    <row r="731">
      <c r="A731" s="7" t="n">
        <v>728</v>
      </c>
      <c r="B731" s="7" t="inlineStr">
        <is>
          <t>2025-06-11</t>
        </is>
      </c>
      <c r="C731" s="7" t="inlineStr">
        <is>
          <t>三</t>
        </is>
      </c>
      <c r="D731" s="8" t="n">
        <v>2378</v>
      </c>
      <c r="E731" s="7" t="n">
        <v>2025</v>
      </c>
      <c r="F731" s="7" t="n">
        <v>24</v>
      </c>
      <c r="G731" s="7" t="inlineStr">
        <is>
          <t>2025-06-11</t>
        </is>
      </c>
      <c r="H731" s="9" t="inlineStr">
        <is>
          <t>https://www.100ppi.com/news/detail-20250611-4435441.html</t>
        </is>
      </c>
      <c r="I731" s="7" t="inlineStr">
        <is>
          <t>6月11日生意社甲醇基准价为2378.00元/吨</t>
        </is>
      </c>
    </row>
    <row r="732">
      <c r="A732" s="7" t="n">
        <v>729</v>
      </c>
      <c r="B732" s="7" t="inlineStr">
        <is>
          <t>2025-06-12</t>
        </is>
      </c>
      <c r="C732" s="7" t="inlineStr">
        <is>
          <t>四</t>
        </is>
      </c>
      <c r="D732" s="8" t="n">
        <v>2363</v>
      </c>
      <c r="E732" s="7" t="n">
        <v>2025</v>
      </c>
      <c r="F732" s="7" t="n">
        <v>24</v>
      </c>
      <c r="G732" s="7" t="inlineStr">
        <is>
          <t>2025-06-12</t>
        </is>
      </c>
      <c r="H732" s="9" t="inlineStr">
        <is>
          <t>https://www.100ppi.com/news/detail-20250612-4439746.html</t>
        </is>
      </c>
      <c r="I732" s="7" t="inlineStr">
        <is>
          <t>6月12日生意社甲醇基准价为2363.00元/吨</t>
        </is>
      </c>
    </row>
    <row r="733">
      <c r="A733" s="7" t="n">
        <v>730</v>
      </c>
      <c r="B733" s="7" t="inlineStr">
        <is>
          <t>2025-06-13</t>
        </is>
      </c>
      <c r="C733" s="7" t="inlineStr">
        <is>
          <t>五</t>
        </is>
      </c>
      <c r="D733" s="8" t="n">
        <v>2362</v>
      </c>
      <c r="E733" s="7" t="n">
        <v>2025</v>
      </c>
      <c r="F733" s="7" t="n">
        <v>24</v>
      </c>
      <c r="G733" s="7" t="inlineStr">
        <is>
          <t>2025-06-13</t>
        </is>
      </c>
      <c r="H733" s="9" t="inlineStr">
        <is>
          <t>https://www.100ppi.com/news/detail-20250613-4443620.html</t>
        </is>
      </c>
      <c r="I733" s="7" t="inlineStr">
        <is>
          <t>6月13日生意社甲醇基准价为2362.00元/吨</t>
        </is>
      </c>
    </row>
    <row r="734">
      <c r="A734" s="7" t="n">
        <v>731</v>
      </c>
      <c r="B734" s="7" t="inlineStr">
        <is>
          <t>2025-06-16</t>
        </is>
      </c>
      <c r="C734" s="7" t="inlineStr">
        <is>
          <t>一</t>
        </is>
      </c>
      <c r="D734" s="8" t="n">
        <v>2484</v>
      </c>
      <c r="E734" s="7" t="n">
        <v>2025</v>
      </c>
      <c r="F734" s="7" t="n">
        <v>25</v>
      </c>
      <c r="G734" s="7" t="inlineStr">
        <is>
          <t>2025-06-16</t>
        </is>
      </c>
      <c r="H734" s="9" t="inlineStr">
        <is>
          <t>https://www.100ppi.com/news/detail-20250616-4451240.html</t>
        </is>
      </c>
      <c r="I734" s="7" t="inlineStr">
        <is>
          <t>6月16日生意社甲醇基准价为2484.00元/吨</t>
        </is>
      </c>
    </row>
    <row r="735">
      <c r="A735" s="7" t="n">
        <v>732</v>
      </c>
      <c r="B735" s="7" t="inlineStr">
        <is>
          <t>2025-06-17</t>
        </is>
      </c>
      <c r="C735" s="7" t="inlineStr">
        <is>
          <t>二</t>
        </is>
      </c>
      <c r="D735" s="8" t="n">
        <v>2597</v>
      </c>
      <c r="E735" s="7" t="n">
        <v>2025</v>
      </c>
      <c r="F735" s="7" t="n">
        <v>25</v>
      </c>
      <c r="G735" s="7" t="inlineStr">
        <is>
          <t>2025-06-17</t>
        </is>
      </c>
      <c r="H735" s="9" t="inlineStr">
        <is>
          <t>https://www.100ppi.com/news/detail-20250617-4456234.html</t>
        </is>
      </c>
      <c r="I735" s="7" t="inlineStr">
        <is>
          <t>6月17日生意社甲醇基准价为2597.00元/吨</t>
        </is>
      </c>
    </row>
    <row r="736">
      <c r="A736" s="7" t="n">
        <v>733</v>
      </c>
      <c r="B736" s="7" t="inlineStr">
        <is>
          <t>2025-06-18</t>
        </is>
      </c>
      <c r="C736" s="7" t="inlineStr">
        <is>
          <t>三</t>
        </is>
      </c>
      <c r="D736" s="8" t="n">
        <v>2646</v>
      </c>
      <c r="E736" s="7" t="n">
        <v>2025</v>
      </c>
      <c r="F736" s="7" t="n">
        <v>25</v>
      </c>
      <c r="G736" s="7" t="inlineStr">
        <is>
          <t>2025-06-18</t>
        </is>
      </c>
      <c r="H736" s="9" t="inlineStr">
        <is>
          <t>https://www.100ppi.com/news/detail-20250618-4460350.html</t>
        </is>
      </c>
      <c r="I736" s="7" t="inlineStr">
        <is>
          <t>6月18日生意社甲醇基准价为2646.00元/吨</t>
        </is>
      </c>
    </row>
    <row r="737">
      <c r="A737" s="7" t="n">
        <v>734</v>
      </c>
      <c r="B737" s="7" t="inlineStr">
        <is>
          <t>2025-06-19</t>
        </is>
      </c>
      <c r="C737" s="7" t="inlineStr">
        <is>
          <t>四</t>
        </is>
      </c>
      <c r="D737" s="8" t="n">
        <v>2713</v>
      </c>
      <c r="E737" s="7" t="n">
        <v>2025</v>
      </c>
      <c r="F737" s="7" t="n">
        <v>25</v>
      </c>
      <c r="G737" s="7" t="inlineStr">
        <is>
          <t>2025-06-19</t>
        </is>
      </c>
      <c r="H737" s="9" t="inlineStr">
        <is>
          <t>https://www.100ppi.com/news/detail-20250619-4464347.html</t>
        </is>
      </c>
      <c r="I737" s="7" t="inlineStr">
        <is>
          <t>6月19日生意社甲醇基准价为2713.00元/吨</t>
        </is>
      </c>
    </row>
    <row r="738">
      <c r="A738" s="7" t="n">
        <v>735</v>
      </c>
      <c r="B738" s="7" t="inlineStr">
        <is>
          <t>2025-06-20</t>
        </is>
      </c>
      <c r="C738" s="7" t="inlineStr">
        <is>
          <t>五</t>
        </is>
      </c>
      <c r="D738" s="8" t="n">
        <v>2764</v>
      </c>
      <c r="E738" s="7" t="n">
        <v>2025</v>
      </c>
      <c r="F738" s="7" t="n">
        <v>25</v>
      </c>
      <c r="G738" s="7" t="inlineStr">
        <is>
          <t>2025-06-20</t>
        </is>
      </c>
      <c r="H738" s="9" t="inlineStr">
        <is>
          <t>https://www.100ppi.com/news/detail-20250620-4468753.html</t>
        </is>
      </c>
      <c r="I738" s="7" t="inlineStr">
        <is>
          <t>6月20日生意社甲醇基准价为2764.00元/吨</t>
        </is>
      </c>
    </row>
    <row r="739">
      <c r="A739" s="7" t="n">
        <v>736</v>
      </c>
      <c r="B739" s="7" t="inlineStr">
        <is>
          <t>2025-06-23</t>
        </is>
      </c>
      <c r="C739" s="7" t="inlineStr">
        <is>
          <t>一</t>
        </is>
      </c>
      <c r="D739" s="8" t="n">
        <v>2747.5</v>
      </c>
      <c r="E739" s="7" t="n">
        <v>2025</v>
      </c>
      <c r="F739" s="7" t="n">
        <v>26</v>
      </c>
      <c r="G739" s="7" t="inlineStr">
        <is>
          <t>2025-06-23</t>
        </is>
      </c>
      <c r="H739" s="9" t="inlineStr">
        <is>
          <t>https://www.100ppi.com/news/detail-20250623-4476241.html</t>
        </is>
      </c>
      <c r="I739" s="7" t="inlineStr">
        <is>
          <t>6月23日生意社甲醇基准价为2747.50元/吨</t>
        </is>
      </c>
    </row>
    <row r="740">
      <c r="A740" s="7" t="n">
        <v>737</v>
      </c>
      <c r="B740" s="7" t="inlineStr">
        <is>
          <t>2025-06-24</t>
        </is>
      </c>
      <c r="C740" s="7" t="inlineStr">
        <is>
          <t>二</t>
        </is>
      </c>
      <c r="D740" s="8" t="n">
        <v>2719.83</v>
      </c>
      <c r="E740" s="7" t="n">
        <v>2025</v>
      </c>
      <c r="F740" s="7" t="n">
        <v>26</v>
      </c>
      <c r="G740" s="7" t="inlineStr">
        <is>
          <t>2025-06-24</t>
        </is>
      </c>
      <c r="H740" s="9" t="inlineStr">
        <is>
          <t>https://www.100ppi.com/news/detail-20250624-4480710.html</t>
        </is>
      </c>
      <c r="I740" s="7" t="inlineStr">
        <is>
          <t>6月24日生意社甲醇基准价为2719.83元/吨</t>
        </is>
      </c>
    </row>
    <row r="741">
      <c r="A741" s="7" t="n">
        <v>738</v>
      </c>
      <c r="B741" s="7" t="inlineStr">
        <is>
          <t>2025-06-25</t>
        </is>
      </c>
      <c r="C741" s="7" t="inlineStr">
        <is>
          <t>三</t>
        </is>
      </c>
      <c r="D741" s="8" t="n">
        <v>2656.67</v>
      </c>
      <c r="E741" s="7" t="n">
        <v>2025</v>
      </c>
      <c r="F741" s="7" t="n">
        <v>26</v>
      </c>
      <c r="G741" s="7" t="inlineStr">
        <is>
          <t>2025-06-25</t>
        </is>
      </c>
      <c r="H741" s="9" t="inlineStr">
        <is>
          <t>https://www.100ppi.com/news/detail-20250625-4484788.html</t>
        </is>
      </c>
      <c r="I741" s="7" t="inlineStr">
        <is>
          <t>6月25日生意社甲醇基准价为2656.67元/吨</t>
        </is>
      </c>
    </row>
    <row r="742">
      <c r="A742" s="7" t="n">
        <v>739</v>
      </c>
      <c r="B742" s="7" t="inlineStr">
        <is>
          <t>2025-06-26</t>
        </is>
      </c>
      <c r="C742" s="7" t="inlineStr">
        <is>
          <t>四</t>
        </is>
      </c>
      <c r="D742" s="8" t="n">
        <v>2646.67</v>
      </c>
      <c r="E742" s="7" t="n">
        <v>2025</v>
      </c>
      <c r="F742" s="7" t="n">
        <v>26</v>
      </c>
      <c r="G742" s="7" t="inlineStr">
        <is>
          <t>2025-06-26</t>
        </is>
      </c>
      <c r="H742" s="9" t="inlineStr">
        <is>
          <t>https://www.100ppi.com/news/detail-20250626-4489713.html</t>
        </is>
      </c>
      <c r="I742" s="7" t="inlineStr">
        <is>
          <t>6月26日生意社甲醇基准价为2646.67元/吨</t>
        </is>
      </c>
    </row>
    <row r="743">
      <c r="A743" s="7" t="n">
        <v>740</v>
      </c>
      <c r="B743" s="7" t="inlineStr">
        <is>
          <t>2025-06-27</t>
        </is>
      </c>
      <c r="C743" s="7" t="inlineStr">
        <is>
          <t>五</t>
        </is>
      </c>
      <c r="D743" s="8" t="n">
        <v>2750.83</v>
      </c>
      <c r="E743" s="7" t="n">
        <v>2025</v>
      </c>
      <c r="F743" s="7" t="n">
        <v>26</v>
      </c>
      <c r="G743" s="7" t="inlineStr">
        <is>
          <t>2025-06-27</t>
        </is>
      </c>
      <c r="H743" s="9" t="inlineStr">
        <is>
          <t>https://www.100ppi.com/news/detail-20250627-4493680.html</t>
        </is>
      </c>
      <c r="I743" s="7" t="inlineStr">
        <is>
          <t>6月27日生意社甲醇基准价为2750.83元/吨</t>
        </is>
      </c>
    </row>
    <row r="744">
      <c r="A744" s="7" t="n">
        <v>741</v>
      </c>
      <c r="B744" s="7" t="inlineStr">
        <is>
          <t>2025-06-30</t>
        </is>
      </c>
      <c r="C744" s="7" t="inlineStr">
        <is>
          <t>一</t>
        </is>
      </c>
      <c r="D744" s="8" t="n">
        <v>2785.83</v>
      </c>
      <c r="E744" s="7" t="n">
        <v>2025</v>
      </c>
      <c r="F744" s="7" t="n">
        <v>27</v>
      </c>
      <c r="G744" s="7" t="inlineStr">
        <is>
          <t>2025-06-30</t>
        </is>
      </c>
      <c r="H744" s="9" t="inlineStr">
        <is>
          <t>https://www.100ppi.com/news/detail-20250630-4500394.html</t>
        </is>
      </c>
      <c r="I744" s="7" t="inlineStr">
        <is>
          <t>6月30日生意社甲醇基准价为2785.83元/吨</t>
        </is>
      </c>
    </row>
    <row r="745">
      <c r="A745" s="7" t="n">
        <v>742</v>
      </c>
      <c r="B745" s="7" t="inlineStr">
        <is>
          <t>2025-07-01</t>
        </is>
      </c>
      <c r="C745" s="7" t="inlineStr">
        <is>
          <t>二</t>
        </is>
      </c>
      <c r="D745" s="8" t="n">
        <v>2805</v>
      </c>
      <c r="E745" s="7" t="n">
        <v>2025</v>
      </c>
      <c r="F745" s="7" t="n">
        <v>27</v>
      </c>
      <c r="G745" s="7" t="inlineStr">
        <is>
          <t>2025-07-01</t>
        </is>
      </c>
      <c r="H745" s="9" t="inlineStr">
        <is>
          <t>https://www.100ppi.com/news/detail-20250701-4504504.html</t>
        </is>
      </c>
      <c r="I745" s="7" t="inlineStr">
        <is>
          <t>7月1日生意社甲醇基准价为2805.00元/吨</t>
        </is>
      </c>
    </row>
    <row r="746">
      <c r="A746" s="7" t="n">
        <v>743</v>
      </c>
      <c r="B746" s="7" t="inlineStr">
        <is>
          <t>2025-07-02</t>
        </is>
      </c>
      <c r="C746" s="7" t="inlineStr">
        <is>
          <t>三</t>
        </is>
      </c>
      <c r="D746" s="8" t="n">
        <v>2530</v>
      </c>
      <c r="E746" s="7" t="n">
        <v>2025</v>
      </c>
      <c r="F746" s="7" t="n">
        <v>27</v>
      </c>
      <c r="G746" s="7" t="inlineStr">
        <is>
          <t>2025-07-02</t>
        </is>
      </c>
      <c r="H746" s="9" t="inlineStr">
        <is>
          <t>https://www.100ppi.com/news/detail-20250702-4508871.html</t>
        </is>
      </c>
      <c r="I746" s="7" t="inlineStr">
        <is>
          <t>7月2日生意社甲醇基准价为2530.00元/吨</t>
        </is>
      </c>
    </row>
    <row r="747">
      <c r="A747" s="7" t="n">
        <v>744</v>
      </c>
      <c r="B747" s="7" t="inlineStr">
        <is>
          <t>2025-07-03</t>
        </is>
      </c>
      <c r="C747" s="7" t="inlineStr">
        <is>
          <t>四</t>
        </is>
      </c>
      <c r="D747" s="8" t="n">
        <v>2478.33</v>
      </c>
      <c r="E747" s="7" t="n">
        <v>2025</v>
      </c>
      <c r="F747" s="7" t="n">
        <v>27</v>
      </c>
      <c r="G747" s="7" t="inlineStr">
        <is>
          <t>2025-07-03</t>
        </is>
      </c>
      <c r="H747" s="9" t="inlineStr">
        <is>
          <t>https://www.100ppi.com/news/detail-20250703-4513302.html</t>
        </is>
      </c>
      <c r="I747" s="7" t="inlineStr">
        <is>
          <t>7月3日生意社甲醇基准价为2478.33元/吨</t>
        </is>
      </c>
    </row>
    <row r="748">
      <c r="A748" s="7" t="n">
        <v>745</v>
      </c>
      <c r="B748" s="7" t="inlineStr">
        <is>
          <t>2025-07-04</t>
        </is>
      </c>
      <c r="C748" s="7" t="inlineStr">
        <is>
          <t>五</t>
        </is>
      </c>
      <c r="D748" s="8" t="n">
        <v>2474.17</v>
      </c>
      <c r="E748" s="7" t="n">
        <v>2025</v>
      </c>
      <c r="F748" s="7" t="n">
        <v>27</v>
      </c>
      <c r="G748" s="7" t="inlineStr">
        <is>
          <t>2025-07-04</t>
        </is>
      </c>
      <c r="H748" s="9" t="inlineStr">
        <is>
          <t>https://www.100ppi.com/news/detail-20250704-4518318.html</t>
        </is>
      </c>
      <c r="I748" s="7" t="inlineStr">
        <is>
          <t>7月4日生意社甲醇基准价为2474.17元/吨</t>
        </is>
      </c>
    </row>
    <row r="749">
      <c r="A749" s="7" t="n">
        <v>746</v>
      </c>
      <c r="B749" s="7" t="inlineStr">
        <is>
          <t>2025-07-07</t>
        </is>
      </c>
      <c r="C749" s="7" t="inlineStr">
        <is>
          <t>一</t>
        </is>
      </c>
      <c r="D749" s="8" t="n">
        <v>2447.5</v>
      </c>
      <c r="E749" s="7" t="n">
        <v>2025</v>
      </c>
      <c r="F749" s="7" t="n">
        <v>28</v>
      </c>
      <c r="G749" s="7" t="inlineStr">
        <is>
          <t>2025-07-07</t>
        </is>
      </c>
      <c r="H749" s="9" t="inlineStr">
        <is>
          <t>https://www.100ppi.com/news/detail-20250707-4525447.html</t>
        </is>
      </c>
      <c r="I749" s="7" t="inlineStr">
        <is>
          <t>7月7日生意社甲醇基准价为2447.50元/吨</t>
        </is>
      </c>
    </row>
    <row r="750">
      <c r="A750" s="7" t="n">
        <v>747</v>
      </c>
      <c r="B750" s="7" t="inlineStr">
        <is>
          <t>2025-07-08</t>
        </is>
      </c>
      <c r="C750" s="7" t="inlineStr">
        <is>
          <t>二</t>
        </is>
      </c>
      <c r="D750" s="8" t="n">
        <v>2423.33</v>
      </c>
      <c r="E750" s="7" t="n">
        <v>2025</v>
      </c>
      <c r="F750" s="7" t="n">
        <v>28</v>
      </c>
      <c r="G750" s="7" t="inlineStr">
        <is>
          <t>2025-07-08</t>
        </is>
      </c>
      <c r="H750" s="9" t="inlineStr">
        <is>
          <t>https://www.100ppi.com/news/detail-20250708-4529727.html</t>
        </is>
      </c>
      <c r="I750" s="7" t="inlineStr">
        <is>
          <t>7月8日生意社甲醇基准价为2423.33元/吨</t>
        </is>
      </c>
    </row>
    <row r="751">
      <c r="A751" s="7" t="n">
        <v>748</v>
      </c>
      <c r="B751" s="7" t="inlineStr">
        <is>
          <t>2025-07-09</t>
        </is>
      </c>
      <c r="C751" s="7" t="inlineStr">
        <is>
          <t>三</t>
        </is>
      </c>
      <c r="D751" s="8" t="n">
        <v>2410</v>
      </c>
      <c r="E751" s="7" t="n">
        <v>2025</v>
      </c>
      <c r="F751" s="7" t="n">
        <v>28</v>
      </c>
      <c r="G751" s="7" t="inlineStr">
        <is>
          <t>2025-07-09</t>
        </is>
      </c>
      <c r="H751" s="9" t="inlineStr">
        <is>
          <t>https://www.100ppi.com/news/detail-20250709-4533694.html</t>
        </is>
      </c>
      <c r="I751" s="7" t="inlineStr">
        <is>
          <t>7月9日生意社甲醇基准价为2410.00元/吨</t>
        </is>
      </c>
    </row>
    <row r="752">
      <c r="A752" s="7" t="n">
        <v>749</v>
      </c>
      <c r="B752" s="7" t="inlineStr">
        <is>
          <t>2025-07-10</t>
        </is>
      </c>
      <c r="C752" s="7" t="inlineStr">
        <is>
          <t>四</t>
        </is>
      </c>
      <c r="D752" s="8" t="n">
        <v>2390.33</v>
      </c>
      <c r="E752" s="7" t="n">
        <v>2025</v>
      </c>
      <c r="F752" s="7" t="n">
        <v>28</v>
      </c>
      <c r="G752" s="7" t="inlineStr">
        <is>
          <t>2025-07-10</t>
        </is>
      </c>
      <c r="H752" s="9" t="inlineStr">
        <is>
          <t>https://www.100ppi.com/news/detail-20250710-4538046.html</t>
        </is>
      </c>
      <c r="I752" s="7" t="inlineStr">
        <is>
          <t>7月10日生意社甲醇基准价为2390.33元/吨</t>
        </is>
      </c>
    </row>
    <row r="753">
      <c r="A753" s="7" t="n">
        <v>750</v>
      </c>
      <c r="B753" s="7" t="inlineStr">
        <is>
          <t>2025-07-11</t>
        </is>
      </c>
      <c r="C753" s="7" t="inlineStr">
        <is>
          <t>五</t>
        </is>
      </c>
      <c r="D753" s="8" t="n">
        <v>2397.5</v>
      </c>
      <c r="E753" s="7" t="n">
        <v>2025</v>
      </c>
      <c r="F753" s="7" t="n">
        <v>28</v>
      </c>
      <c r="G753" s="7" t="inlineStr">
        <is>
          <t>2025-07-11</t>
        </is>
      </c>
      <c r="H753" s="9" t="inlineStr">
        <is>
          <t>https://www.100ppi.com/news/detail-20250711-4542128.html</t>
        </is>
      </c>
      <c r="I753" s="7" t="inlineStr">
        <is>
          <t>7月11日生意社甲醇基准价为2397.50元/吨</t>
        </is>
      </c>
    </row>
    <row r="754">
      <c r="A754" s="7" t="n">
        <v>751</v>
      </c>
      <c r="B754" s="7" t="inlineStr">
        <is>
          <t>2025-07-14</t>
        </is>
      </c>
      <c r="C754" s="7" t="inlineStr">
        <is>
          <t>一</t>
        </is>
      </c>
      <c r="D754" s="8" t="n">
        <v>2378.33</v>
      </c>
      <c r="E754" s="7" t="n">
        <v>2025</v>
      </c>
      <c r="F754" s="7" t="n">
        <v>29</v>
      </c>
      <c r="G754" s="7" t="inlineStr">
        <is>
          <t>2025-07-14</t>
        </is>
      </c>
      <c r="H754" s="9" t="inlineStr">
        <is>
          <t>https://www.100ppi.com/news/detail-20250714-4549564.html</t>
        </is>
      </c>
      <c r="I754" s="7" t="inlineStr">
        <is>
          <t>7月14日生意社甲醇基准价为2378.33元/吨</t>
        </is>
      </c>
    </row>
    <row r="755">
      <c r="A755" s="7" t="n">
        <v>752</v>
      </c>
      <c r="B755" s="7" t="inlineStr">
        <is>
          <t>2025-07-15</t>
        </is>
      </c>
      <c r="C755" s="7" t="inlineStr">
        <is>
          <t>二</t>
        </is>
      </c>
      <c r="D755" s="8" t="n">
        <v>2390</v>
      </c>
      <c r="E755" s="7" t="n">
        <v>2025</v>
      </c>
      <c r="F755" s="7" t="n">
        <v>29</v>
      </c>
      <c r="G755" s="7" t="inlineStr">
        <is>
          <t>2025-07-15</t>
        </is>
      </c>
      <c r="H755" s="9" t="inlineStr">
        <is>
          <t>https://www.100ppi.com/news/detail-20250715-4554591.html</t>
        </is>
      </c>
      <c r="I755" s="7" t="inlineStr">
        <is>
          <t>7月15日生意社甲醇基准价为2390.00元/吨</t>
        </is>
      </c>
    </row>
    <row r="756">
      <c r="A756" s="7" t="n">
        <v>753</v>
      </c>
      <c r="B756" s="7" t="inlineStr">
        <is>
          <t>2025-07-16</t>
        </is>
      </c>
      <c r="C756" s="7" t="inlineStr">
        <is>
          <t>三</t>
        </is>
      </c>
      <c r="D756" s="8" t="n">
        <v>2390</v>
      </c>
      <c r="E756" s="7" t="n">
        <v>2025</v>
      </c>
      <c r="F756" s="7" t="n">
        <v>29</v>
      </c>
      <c r="G756" s="7" t="inlineStr">
        <is>
          <t>2025-07-16</t>
        </is>
      </c>
      <c r="H756" s="9" t="inlineStr">
        <is>
          <t>https://www.100ppi.com/news/detail-20250716-4559073.html</t>
        </is>
      </c>
      <c r="I756" s="7" t="inlineStr">
        <is>
          <t>7月16日生意社甲醇基准价为2390.00元/吨</t>
        </is>
      </c>
    </row>
    <row r="757">
      <c r="A757" s="7" t="n">
        <v>754</v>
      </c>
      <c r="B757" s="7" t="inlineStr">
        <is>
          <t>2025-07-17</t>
        </is>
      </c>
      <c r="C757" s="7" t="inlineStr">
        <is>
          <t>四</t>
        </is>
      </c>
      <c r="D757" s="8" t="n">
        <v>2381.67</v>
      </c>
      <c r="E757" s="7" t="n">
        <v>2025</v>
      </c>
      <c r="F757" s="7" t="n">
        <v>29</v>
      </c>
      <c r="G757" s="7" t="inlineStr">
        <is>
          <t>2025-07-17</t>
        </is>
      </c>
      <c r="H757" s="9" t="inlineStr">
        <is>
          <t>https://www.100ppi.com/news/detail-20250717-4563742.html</t>
        </is>
      </c>
      <c r="I757" s="7" t="inlineStr">
        <is>
          <t>7月17日生意社甲醇基准价为2381.67元/吨</t>
        </is>
      </c>
    </row>
    <row r="758">
      <c r="A758" s="7" t="n">
        <v>755</v>
      </c>
      <c r="B758" s="7" t="inlineStr">
        <is>
          <t>2025-07-18</t>
        </is>
      </c>
      <c r="C758" s="7" t="inlineStr">
        <is>
          <t>五</t>
        </is>
      </c>
      <c r="D758" s="8" t="n">
        <v>2391.67</v>
      </c>
      <c r="E758" s="7" t="n">
        <v>2025</v>
      </c>
      <c r="F758" s="7" t="n">
        <v>29</v>
      </c>
      <c r="G758" s="7" t="inlineStr">
        <is>
          <t>2025-07-18</t>
        </is>
      </c>
      <c r="H758" s="9" t="inlineStr">
        <is>
          <t>https://www.100ppi.com/news/detail-20250718-4568044.html</t>
        </is>
      </c>
      <c r="I758" s="7" t="inlineStr">
        <is>
          <t>7月18日生意社甲醇基准价为2391.67元/吨</t>
        </is>
      </c>
    </row>
    <row r="759">
      <c r="A759" s="7" t="n">
        <v>756</v>
      </c>
      <c r="B759" s="7" t="inlineStr">
        <is>
          <t>2025-07-21</t>
        </is>
      </c>
      <c r="C759" s="7" t="inlineStr">
        <is>
          <t>一</t>
        </is>
      </c>
      <c r="D759" s="8" t="n">
        <v>2383.33</v>
      </c>
      <c r="E759" s="7" t="n">
        <v>2025</v>
      </c>
      <c r="F759" s="7" t="n">
        <v>30</v>
      </c>
      <c r="G759" s="7" t="inlineStr">
        <is>
          <t>2025-07-21</t>
        </is>
      </c>
      <c r="H759" s="9" t="inlineStr">
        <is>
          <t>https://www.100ppi.com/news/detail-20250721-4575286.html</t>
        </is>
      </c>
      <c r="I759" s="7" t="inlineStr">
        <is>
          <t>7月21日生意社甲醇基准价为2383.33元/吨</t>
        </is>
      </c>
    </row>
    <row r="760">
      <c r="A760" s="7" t="n">
        <v>757</v>
      </c>
      <c r="B760" s="7" t="inlineStr">
        <is>
          <t>2025-07-22</t>
        </is>
      </c>
      <c r="C760" s="7" t="inlineStr">
        <is>
          <t>二</t>
        </is>
      </c>
      <c r="D760" s="8" t="n">
        <v>2405</v>
      </c>
      <c r="E760" s="7" t="n">
        <v>2025</v>
      </c>
      <c r="F760" s="7" t="n">
        <v>30</v>
      </c>
      <c r="G760" s="7" t="inlineStr">
        <is>
          <t>2025-07-22</t>
        </is>
      </c>
      <c r="H760" s="9" t="inlineStr">
        <is>
          <t>https://www.100ppi.com/news/detail-20250722-4579772.html</t>
        </is>
      </c>
      <c r="I760" s="7" t="inlineStr">
        <is>
          <t>7月22日生意社甲醇基准价为2405.00元/吨</t>
        </is>
      </c>
    </row>
    <row r="761">
      <c r="A761" s="7" t="n">
        <v>758</v>
      </c>
      <c r="B761" s="7" t="inlineStr">
        <is>
          <t>2025-07-23</t>
        </is>
      </c>
      <c r="C761" s="7" t="inlineStr">
        <is>
          <t>三</t>
        </is>
      </c>
      <c r="D761" s="8" t="n">
        <v>2433.33</v>
      </c>
      <c r="E761" s="7" t="n">
        <v>2025</v>
      </c>
      <c r="F761" s="7" t="n">
        <v>30</v>
      </c>
      <c r="G761" s="7" t="inlineStr">
        <is>
          <t>2025-07-23</t>
        </is>
      </c>
      <c r="H761" s="9" t="inlineStr">
        <is>
          <t>https://www.100ppi.com/news/detail-20250723-4584215.html</t>
        </is>
      </c>
      <c r="I761" s="7" t="inlineStr">
        <is>
          <t>7月23日生意社甲醇基准价为2433.33元/吨</t>
        </is>
      </c>
    </row>
    <row r="762">
      <c r="A762" s="7" t="n">
        <v>759</v>
      </c>
      <c r="B762" s="7" t="inlineStr">
        <is>
          <t>2025-07-24</t>
        </is>
      </c>
      <c r="C762" s="7" t="inlineStr">
        <is>
          <t>四</t>
        </is>
      </c>
      <c r="D762" s="8" t="n">
        <v>2404.17</v>
      </c>
      <c r="E762" s="7" t="n">
        <v>2025</v>
      </c>
      <c r="F762" s="7" t="n">
        <v>30</v>
      </c>
      <c r="G762" s="7" t="inlineStr">
        <is>
          <t>2025-07-24</t>
        </is>
      </c>
      <c r="H762" s="9" t="inlineStr">
        <is>
          <t>https://www.100ppi.com/news/detail-20250724-4588602.html</t>
        </is>
      </c>
      <c r="I762" s="7" t="inlineStr">
        <is>
          <t>7月24日生意社甲醇基准价为2404.17元/吨</t>
        </is>
      </c>
    </row>
    <row r="763">
      <c r="A763" s="7" t="n">
        <v>760</v>
      </c>
      <c r="B763" s="7" t="inlineStr">
        <is>
          <t>2025-07-25</t>
        </is>
      </c>
      <c r="C763" s="7" t="inlineStr">
        <is>
          <t>五</t>
        </is>
      </c>
      <c r="D763" s="8" t="n">
        <v>2459.17</v>
      </c>
      <c r="E763" s="7" t="n">
        <v>2025</v>
      </c>
      <c r="F763" s="7" t="n">
        <v>30</v>
      </c>
      <c r="G763" s="7" t="inlineStr">
        <is>
          <t>2025-07-25</t>
        </is>
      </c>
      <c r="H763" s="9" t="inlineStr">
        <is>
          <t>https://www.100ppi.com/news/detail-20250725-4593026.html</t>
        </is>
      </c>
      <c r="I763" s="7" t="inlineStr">
        <is>
          <t>7月25日生意社甲醇基准价为2459.17元/吨</t>
        </is>
      </c>
    </row>
    <row r="764">
      <c r="A764" s="7" t="n">
        <v>761</v>
      </c>
      <c r="B764" s="7" t="inlineStr">
        <is>
          <t>2025-07-28</t>
        </is>
      </c>
      <c r="C764" s="7" t="inlineStr">
        <is>
          <t>一</t>
        </is>
      </c>
      <c r="D764" s="8" t="n">
        <v>2481.67</v>
      </c>
      <c r="E764" s="7" t="n">
        <v>2025</v>
      </c>
      <c r="F764" s="7" t="n">
        <v>31</v>
      </c>
      <c r="G764" s="7" t="inlineStr">
        <is>
          <t>2025-07-28</t>
        </is>
      </c>
      <c r="H764" s="9" t="inlineStr">
        <is>
          <t>https://www.100ppi.com/news/detail-20250728-4600600.html</t>
        </is>
      </c>
      <c r="I764" s="7" t="inlineStr">
        <is>
          <t>7月28日生意社甲醇基准价为2481.67元/吨</t>
        </is>
      </c>
    </row>
    <row r="765">
      <c r="A765" s="7" t="n">
        <v>762</v>
      </c>
      <c r="B765" s="7" t="inlineStr">
        <is>
          <t>2025-07-29</t>
        </is>
      </c>
      <c r="C765" s="7" t="inlineStr">
        <is>
          <t>二</t>
        </is>
      </c>
      <c r="D765" s="8" t="n">
        <v>2392.5</v>
      </c>
      <c r="E765" s="7" t="n">
        <v>2025</v>
      </c>
      <c r="F765" s="7" t="n">
        <v>31</v>
      </c>
      <c r="G765" s="7" t="inlineStr">
        <is>
          <t>2025-07-29</t>
        </is>
      </c>
      <c r="H765" s="9" t="inlineStr">
        <is>
          <t>https://www.100ppi.com/news/detail-20250729-4605019.html</t>
        </is>
      </c>
      <c r="I765" s="7" t="inlineStr">
        <is>
          <t>7月29日生意社甲醇基准价为2392.50元/吨</t>
        </is>
      </c>
    </row>
    <row r="766">
      <c r="A766" s="7" t="n">
        <v>763</v>
      </c>
      <c r="B766" s="7" t="inlineStr">
        <is>
          <t>2025-07-30</t>
        </is>
      </c>
      <c r="C766" s="7" t="inlineStr">
        <is>
          <t>三</t>
        </is>
      </c>
      <c r="D766" s="8" t="n">
        <v>2405</v>
      </c>
      <c r="E766" s="7" t="n">
        <v>2025</v>
      </c>
      <c r="F766" s="7" t="n">
        <v>31</v>
      </c>
      <c r="G766" s="7" t="inlineStr">
        <is>
          <t>2025-07-30</t>
        </is>
      </c>
      <c r="H766" s="9" t="inlineStr">
        <is>
          <t>https://www.100ppi.com/news/detail-20250730-4609472.html</t>
        </is>
      </c>
      <c r="I766" s="7" t="inlineStr">
        <is>
          <t>7月30日生意社甲醇基准价为2405.00元/吨</t>
        </is>
      </c>
    </row>
    <row r="767">
      <c r="A767" s="7" t="n">
        <v>764</v>
      </c>
      <c r="B767" s="7" t="inlineStr">
        <is>
          <t>2025-07-31</t>
        </is>
      </c>
      <c r="C767" s="7" t="inlineStr">
        <is>
          <t>四</t>
        </is>
      </c>
      <c r="D767" s="8" t="n">
        <v>2416.67</v>
      </c>
      <c r="E767" s="7" t="n">
        <v>2025</v>
      </c>
      <c r="F767" s="7" t="n">
        <v>31</v>
      </c>
      <c r="G767" s="7" t="inlineStr">
        <is>
          <t>2025-07-31</t>
        </is>
      </c>
      <c r="H767" s="9" t="inlineStr">
        <is>
          <t>https://www.100ppi.com/news/detail-20250731-4613829.html</t>
        </is>
      </c>
      <c r="I767" s="7" t="inlineStr">
        <is>
          <t>7月31日生意社甲醇基准价为2416.67元/吨</t>
        </is>
      </c>
    </row>
    <row r="768">
      <c r="A768" s="7" t="n">
        <v>765</v>
      </c>
      <c r="B768" s="7" t="inlineStr">
        <is>
          <t>2025-08-01</t>
        </is>
      </c>
      <c r="C768" s="7" t="inlineStr">
        <is>
          <t>五</t>
        </is>
      </c>
      <c r="D768" s="8" t="n">
        <v>2393.33</v>
      </c>
      <c r="E768" s="7" t="n">
        <v>2025</v>
      </c>
      <c r="F768" s="7" t="n">
        <v>31</v>
      </c>
      <c r="G768" s="7" t="inlineStr">
        <is>
          <t>2025-08-01</t>
        </is>
      </c>
      <c r="H768" s="9" t="inlineStr">
        <is>
          <t>https://www.100ppi.com/news/detail-20250801-4618203.html</t>
        </is>
      </c>
      <c r="I768" s="7" t="inlineStr">
        <is>
          <t>8月1日生意社甲醇基准价为2393.33元/吨</t>
        </is>
      </c>
    </row>
    <row r="769">
      <c r="A769" s="7" t="n">
        <v>766</v>
      </c>
      <c r="B769" s="7" t="inlineStr">
        <is>
          <t>2025-08-04</t>
        </is>
      </c>
      <c r="C769" s="7" t="inlineStr">
        <is>
          <t>一</t>
        </is>
      </c>
      <c r="D769" s="8" t="n">
        <v>2389.17</v>
      </c>
      <c r="E769" s="7" t="n">
        <v>2025</v>
      </c>
      <c r="F769" s="7" t="n">
        <v>32</v>
      </c>
      <c r="G769" s="7" t="inlineStr">
        <is>
          <t>2025-08-04</t>
        </is>
      </c>
      <c r="H769" s="9" t="inlineStr">
        <is>
          <t>https://www.100ppi.com/news/detail-20250804-4624492.html</t>
        </is>
      </c>
      <c r="I769" s="7" t="inlineStr">
        <is>
          <t>8月4日生意社甲醇基准价为2389.17元/吨</t>
        </is>
      </c>
    </row>
    <row r="770">
      <c r="A770" s="7" t="n">
        <v>767</v>
      </c>
      <c r="B770" s="7" t="inlineStr">
        <is>
          <t>2025-08-05</t>
        </is>
      </c>
      <c r="C770" s="7" t="inlineStr">
        <is>
          <t>二</t>
        </is>
      </c>
      <c r="D770" s="8" t="n">
        <v>2375.83</v>
      </c>
      <c r="E770" s="7" t="n">
        <v>2025</v>
      </c>
      <c r="F770" s="7" t="n">
        <v>32</v>
      </c>
      <c r="G770" s="7" t="inlineStr">
        <is>
          <t>2025-08-05</t>
        </is>
      </c>
      <c r="H770" s="9" t="inlineStr">
        <is>
          <t>https://www.100ppi.com/news/detail-20250805-4628595.html</t>
        </is>
      </c>
      <c r="I770" s="7" t="inlineStr">
        <is>
          <t>8月5日生意社甲醇基准价为2375.83元/吨</t>
        </is>
      </c>
    </row>
    <row r="771">
      <c r="A771" s="7" t="n">
        <v>768</v>
      </c>
      <c r="B771" s="7" t="inlineStr">
        <is>
          <t>2025-08-06</t>
        </is>
      </c>
      <c r="C771" s="7" t="inlineStr">
        <is>
          <t>三</t>
        </is>
      </c>
      <c r="D771" s="8" t="n">
        <v>2380</v>
      </c>
      <c r="E771" s="7" t="n">
        <v>2025</v>
      </c>
      <c r="F771" s="7" t="n">
        <v>32</v>
      </c>
      <c r="G771" s="7" t="inlineStr">
        <is>
          <t>2025-08-06</t>
        </is>
      </c>
      <c r="H771" s="9" t="inlineStr">
        <is>
          <t>https://www.100ppi.com/news/detail-20250806-4632690.html</t>
        </is>
      </c>
      <c r="I771" s="7" t="inlineStr">
        <is>
          <t>8月6日生意社甲醇基准价为2380.00元/吨</t>
        </is>
      </c>
    </row>
    <row r="772">
      <c r="A772" s="7" t="n">
        <v>769</v>
      </c>
      <c r="B772" s="7" t="inlineStr">
        <is>
          <t>2025-08-07</t>
        </is>
      </c>
      <c r="C772" s="7" t="inlineStr">
        <is>
          <t>四</t>
        </is>
      </c>
      <c r="D772" s="8" t="n">
        <v>2383.33</v>
      </c>
      <c r="E772" s="7" t="n">
        <v>2025</v>
      </c>
      <c r="F772" s="7" t="n">
        <v>32</v>
      </c>
      <c r="G772" s="7" t="inlineStr">
        <is>
          <t>2025-08-07</t>
        </is>
      </c>
      <c r="H772" s="9" t="inlineStr">
        <is>
          <t>https://www.100ppi.com/news/detail-20250807-4636700.html</t>
        </is>
      </c>
      <c r="I772" s="7" t="inlineStr">
        <is>
          <t>8月7日生意社甲醇基准价为2383.33元/吨</t>
        </is>
      </c>
    </row>
    <row r="773">
      <c r="A773" s="7" t="n">
        <v>770</v>
      </c>
      <c r="B773" s="7" t="inlineStr">
        <is>
          <t>2025-08-08</t>
        </is>
      </c>
      <c r="C773" s="7" t="inlineStr">
        <is>
          <t>五</t>
        </is>
      </c>
      <c r="D773" s="8" t="n">
        <v>2380.83</v>
      </c>
      <c r="E773" s="7" t="n">
        <v>2025</v>
      </c>
      <c r="F773" s="7" t="n">
        <v>32</v>
      </c>
      <c r="G773" s="7" t="inlineStr">
        <is>
          <t>2025-08-08</t>
        </is>
      </c>
      <c r="H773" s="9" t="inlineStr">
        <is>
          <t>https://www.100ppi.com/news/detail-20250808-4640804.html</t>
        </is>
      </c>
      <c r="I773" s="7" t="inlineStr">
        <is>
          <t>8月8日生意社甲醇基准价为2380.83元/吨</t>
        </is>
      </c>
    </row>
    <row r="774">
      <c r="A774" s="7" t="n">
        <v>771</v>
      </c>
      <c r="B774" s="7" t="inlineStr">
        <is>
          <t>2025-08-11</t>
        </is>
      </c>
      <c r="C774" s="7" t="inlineStr">
        <is>
          <t>一</t>
        </is>
      </c>
      <c r="D774" s="8" t="n">
        <v>2378.33</v>
      </c>
      <c r="E774" s="7" t="n">
        <v>2025</v>
      </c>
      <c r="F774" s="7" t="n">
        <v>33</v>
      </c>
      <c r="G774" s="7" t="inlineStr">
        <is>
          <t>2025-08-11</t>
        </is>
      </c>
      <c r="H774" s="9" t="inlineStr">
        <is>
          <t>https://www.100ppi.com/news/detail-20250811-4648249.html</t>
        </is>
      </c>
      <c r="I774" s="7" t="inlineStr">
        <is>
          <t>8月11日生意社甲醇基准价为2378.33元/吨</t>
        </is>
      </c>
    </row>
    <row r="775">
      <c r="A775" s="7" t="n">
        <v>772</v>
      </c>
      <c r="B775" s="7" t="inlineStr">
        <is>
          <t>2025-08-12</t>
        </is>
      </c>
      <c r="C775" s="7" t="inlineStr">
        <is>
          <t>二</t>
        </is>
      </c>
      <c r="D775" s="8" t="n">
        <v>2382.5</v>
      </c>
      <c r="E775" s="7" t="n">
        <v>2025</v>
      </c>
      <c r="F775" s="7" t="n">
        <v>33</v>
      </c>
      <c r="G775" s="7" t="inlineStr">
        <is>
          <t>2025-08-12</t>
        </is>
      </c>
      <c r="H775" s="9" t="inlineStr">
        <is>
          <t>https://www.100ppi.com/news/detail-20250812-4651952.html</t>
        </is>
      </c>
      <c r="I775" s="7" t="inlineStr">
        <is>
          <t>8月12日生意社甲醇基准价为2382.50元/吨</t>
        </is>
      </c>
    </row>
    <row r="776">
      <c r="A776" s="7" t="n">
        <v>773</v>
      </c>
      <c r="B776" s="7" t="inlineStr">
        <is>
          <t>2025-08-13</t>
        </is>
      </c>
      <c r="C776" s="7" t="inlineStr">
        <is>
          <t>三</t>
        </is>
      </c>
      <c r="D776" s="8" t="n">
        <v>2384.17</v>
      </c>
      <c r="E776" s="7" t="n">
        <v>2025</v>
      </c>
      <c r="F776" s="7" t="n">
        <v>33</v>
      </c>
      <c r="G776" s="7" t="inlineStr">
        <is>
          <t>2025-08-13</t>
        </is>
      </c>
      <c r="H776" s="9" t="inlineStr">
        <is>
          <t>https://www.100ppi.com/news/detail-20250813-4655808.html</t>
        </is>
      </c>
      <c r="I776" s="7" t="inlineStr">
        <is>
          <t>8月13日生意社甲醇基准价为2384.17元/吨</t>
        </is>
      </c>
    </row>
    <row r="777">
      <c r="A777" s="7" t="n">
        <v>774</v>
      </c>
      <c r="B777" s="7" t="inlineStr">
        <is>
          <t>2025-08-14</t>
        </is>
      </c>
      <c r="C777" s="7" t="inlineStr">
        <is>
          <t>四</t>
        </is>
      </c>
      <c r="D777" s="8" t="n">
        <v>2373.33</v>
      </c>
      <c r="E777" s="7" t="n">
        <v>2025</v>
      </c>
      <c r="F777" s="7" t="n">
        <v>33</v>
      </c>
      <c r="G777" s="7" t="inlineStr">
        <is>
          <t>2025-08-14</t>
        </is>
      </c>
      <c r="H777" s="9" t="inlineStr">
        <is>
          <t>https://www.100ppi.com/news/detail-20250814-4659924.html</t>
        </is>
      </c>
      <c r="I777" s="7" t="inlineStr">
        <is>
          <t>8月14日生意社甲醇基准价为2373.33元/吨</t>
        </is>
      </c>
    </row>
    <row r="778">
      <c r="A778" s="7" t="n">
        <v>775</v>
      </c>
      <c r="B778" s="7" t="inlineStr">
        <is>
          <t>2025-08-15</t>
        </is>
      </c>
      <c r="C778" s="7" t="inlineStr">
        <is>
          <t>五</t>
        </is>
      </c>
      <c r="D778" s="8" t="n">
        <v>2346.67</v>
      </c>
      <c r="E778" s="7" t="n">
        <v>2025</v>
      </c>
      <c r="F778" s="7" t="n">
        <v>33</v>
      </c>
      <c r="G778" s="7" t="inlineStr">
        <is>
          <t>2025-08-15</t>
        </is>
      </c>
      <c r="H778" s="9" t="inlineStr">
        <is>
          <t>https://www.100ppi.com/news/detail-20250815-4664137.html</t>
        </is>
      </c>
      <c r="I778" s="7" t="inlineStr">
        <is>
          <t>8月15日生意社甲醇基准价为2346.67元/吨</t>
        </is>
      </c>
    </row>
    <row r="779">
      <c r="A779" s="7" t="n">
        <v>776</v>
      </c>
      <c r="B779" s="7" t="inlineStr">
        <is>
          <t>2025-08-18</t>
        </is>
      </c>
      <c r="C779" s="7" t="inlineStr">
        <is>
          <t>一</t>
        </is>
      </c>
      <c r="D779" s="8" t="n">
        <v>2338.33</v>
      </c>
      <c r="E779" s="7" t="n">
        <v>2025</v>
      </c>
      <c r="F779" s="7" t="n">
        <v>34</v>
      </c>
      <c r="G779" s="7" t="inlineStr">
        <is>
          <t>2025-08-18</t>
        </is>
      </c>
      <c r="H779" s="9" t="inlineStr">
        <is>
          <t>https://www.100ppi.com/news/detail-20250818-4670754.html</t>
        </is>
      </c>
      <c r="I779" s="7" t="inlineStr">
        <is>
          <t>8月18日生意社甲醇基准价为2338.33元/吨</t>
        </is>
      </c>
    </row>
    <row r="780">
      <c r="A780" s="7" t="n">
        <v>777</v>
      </c>
      <c r="B780" s="7" t="inlineStr">
        <is>
          <t>2025-08-19</t>
        </is>
      </c>
      <c r="C780" s="7" t="inlineStr">
        <is>
          <t>二</t>
        </is>
      </c>
      <c r="D780" s="8" t="n">
        <v>2318.67</v>
      </c>
      <c r="E780" s="7" t="n">
        <v>2025</v>
      </c>
      <c r="F780" s="7" t="n">
        <v>34</v>
      </c>
      <c r="G780" s="7" t="inlineStr">
        <is>
          <t>2025-08-19</t>
        </is>
      </c>
      <c r="H780" s="9" t="inlineStr">
        <is>
          <t>https://www.100ppi.com/news/detail-20250819-4674898.html</t>
        </is>
      </c>
      <c r="I780" s="7" t="inlineStr">
        <is>
          <t>8月19日生意社甲醇基准价为2318.67元/吨</t>
        </is>
      </c>
    </row>
    <row r="781">
      <c r="A781" s="7" t="n">
        <v>778</v>
      </c>
      <c r="B781" s="7" t="inlineStr">
        <is>
          <t>2025-08-20</t>
        </is>
      </c>
      <c r="C781" s="7" t="inlineStr">
        <is>
          <t>三</t>
        </is>
      </c>
      <c r="D781" s="8" t="n">
        <v>2301.67</v>
      </c>
      <c r="E781" s="7" t="n">
        <v>2025</v>
      </c>
      <c r="F781" s="7" t="n">
        <v>34</v>
      </c>
      <c r="G781" s="7" t="inlineStr">
        <is>
          <t>2025-08-20</t>
        </is>
      </c>
      <c r="H781" s="9" t="inlineStr">
        <is>
          <t>https://www.100ppi.com/news/detail-20250820-4679194.html</t>
        </is>
      </c>
      <c r="I781" s="7" t="inlineStr">
        <is>
          <t>8月20日生意社甲醇基准价为2301.67元/吨</t>
        </is>
      </c>
    </row>
    <row r="782">
      <c r="A782" s="7" t="n">
        <v>779</v>
      </c>
      <c r="B782" s="7" t="inlineStr">
        <is>
          <t>2025-08-21</t>
        </is>
      </c>
      <c r="C782" s="7" t="inlineStr">
        <is>
          <t>四</t>
        </is>
      </c>
      <c r="D782" s="8" t="n">
        <v>2310</v>
      </c>
      <c r="E782" s="7" t="n">
        <v>2025</v>
      </c>
      <c r="F782" s="7" t="n">
        <v>34</v>
      </c>
      <c r="G782" s="7" t="inlineStr">
        <is>
          <t>2025-08-21</t>
        </is>
      </c>
      <c r="H782" s="9" t="inlineStr">
        <is>
          <t>https://www.100ppi.com/news/detail-20250821-4683371.html</t>
        </is>
      </c>
      <c r="I782" s="7" t="inlineStr">
        <is>
          <t>8月21日生意社甲醇基准价为2310.00元/吨</t>
        </is>
      </c>
    </row>
    <row r="783">
      <c r="A783" s="7" t="n">
        <v>780</v>
      </c>
      <c r="B783" s="7" t="inlineStr">
        <is>
          <t>2025-08-22</t>
        </is>
      </c>
      <c r="C783" s="7" t="inlineStr">
        <is>
          <t>五</t>
        </is>
      </c>
      <c r="D783" s="8" t="n">
        <v>2308.83</v>
      </c>
      <c r="E783" s="7" t="n">
        <v>2025</v>
      </c>
      <c r="F783" s="7" t="n">
        <v>34</v>
      </c>
      <c r="G783" s="7" t="inlineStr">
        <is>
          <t>2025-08-22</t>
        </is>
      </c>
      <c r="H783" s="9" t="inlineStr">
        <is>
          <t>https://www.100ppi.com/news/detail-20250822-4687567.html</t>
        </is>
      </c>
      <c r="I783" s="7" t="inlineStr">
        <is>
          <t>8月22日生意社甲醇基准价为2308.83元/吨</t>
        </is>
      </c>
    </row>
    <row r="784">
      <c r="A784" s="7" t="n">
        <v>781</v>
      </c>
      <c r="B784" s="7" t="inlineStr">
        <is>
          <t>2025-08-25</t>
        </is>
      </c>
      <c r="C784" s="7" t="inlineStr">
        <is>
          <t>一</t>
        </is>
      </c>
      <c r="D784" s="8" t="n">
        <v>2305</v>
      </c>
      <c r="E784" s="7" t="n">
        <v>2025</v>
      </c>
      <c r="F784" s="7" t="n">
        <v>35</v>
      </c>
      <c r="G784" s="7" t="inlineStr">
        <is>
          <t>2025-08-25</t>
        </is>
      </c>
      <c r="H784" s="9" t="inlineStr">
        <is>
          <t>https://www.100ppi.com/news/detail-20250825-4694341.html</t>
        </is>
      </c>
      <c r="I784" s="7" t="inlineStr">
        <is>
          <t>8月25日生意社甲醇基准价为2305.00元/吨</t>
        </is>
      </c>
    </row>
    <row r="785">
      <c r="A785" s="7" t="n">
        <v>782</v>
      </c>
      <c r="B785" s="7" t="inlineStr">
        <is>
          <t>2025-08-26</t>
        </is>
      </c>
      <c r="C785" s="7" t="inlineStr">
        <is>
          <t>二</t>
        </is>
      </c>
      <c r="D785" s="8" t="n">
        <v>2306.67</v>
      </c>
      <c r="E785" s="7" t="n">
        <v>2025</v>
      </c>
      <c r="F785" s="7" t="n">
        <v>35</v>
      </c>
      <c r="G785" s="7" t="inlineStr">
        <is>
          <t>2025-08-26</t>
        </is>
      </c>
      <c r="H785" s="9" t="inlineStr">
        <is>
          <t>https://www.100ppi.com/news/detail-20250826-4698587.html</t>
        </is>
      </c>
      <c r="I785" s="7" t="inlineStr">
        <is>
          <t>8月26日生意社甲醇基准价为2306.67元/吨</t>
        </is>
      </c>
    </row>
    <row r="786">
      <c r="A786" s="7" t="n">
        <v>783</v>
      </c>
      <c r="B786" s="7" t="inlineStr">
        <is>
          <t>2025-08-27</t>
        </is>
      </c>
      <c r="C786" s="7" t="inlineStr">
        <is>
          <t>三</t>
        </is>
      </c>
      <c r="D786" s="8" t="n">
        <v>2296.67</v>
      </c>
      <c r="E786" s="7" t="n">
        <v>2025</v>
      </c>
      <c r="F786" s="7" t="n">
        <v>35</v>
      </c>
      <c r="G786" s="7" t="inlineStr">
        <is>
          <t>2025-08-27</t>
        </is>
      </c>
      <c r="H786" s="9" t="inlineStr">
        <is>
          <t>https://www.100ppi.com/news/detail-20250827-4702818.html</t>
        </is>
      </c>
      <c r="I786" s="7" t="inlineStr">
        <is>
          <t>8月27日生意社甲醇基准价为2296.67元/吨</t>
        </is>
      </c>
    </row>
    <row r="787">
      <c r="A787" s="7" t="n">
        <v>784</v>
      </c>
      <c r="B787" s="7" t="inlineStr">
        <is>
          <t>2025-08-28</t>
        </is>
      </c>
      <c r="C787" s="7" t="inlineStr">
        <is>
          <t>四</t>
        </is>
      </c>
      <c r="D787" s="8" t="n">
        <v>2251.67</v>
      </c>
      <c r="E787" s="7" t="n">
        <v>2025</v>
      </c>
      <c r="F787" s="7" t="n">
        <v>35</v>
      </c>
      <c r="G787" s="7" t="inlineStr">
        <is>
          <t>2025-08-28</t>
        </is>
      </c>
      <c r="H787" s="9" t="inlineStr">
        <is>
          <t>https://www.100ppi.com/news/detail-20250828-4707042.html</t>
        </is>
      </c>
      <c r="I787" s="7" t="inlineStr">
        <is>
          <t>8月28日生意社甲醇基准价为2251.67元/吨</t>
        </is>
      </c>
    </row>
    <row r="788">
      <c r="A788" s="7" t="n">
        <v>785</v>
      </c>
      <c r="B788" s="7" t="inlineStr">
        <is>
          <t>2025-08-29</t>
        </is>
      </c>
      <c r="C788" s="7" t="inlineStr">
        <is>
          <t>五</t>
        </is>
      </c>
      <c r="D788" s="8" t="n">
        <v>2245.83</v>
      </c>
      <c r="E788" s="7" t="n">
        <v>2025</v>
      </c>
      <c r="F788" s="7" t="n">
        <v>35</v>
      </c>
      <c r="G788" s="7" t="inlineStr">
        <is>
          <t>2025-08-29</t>
        </is>
      </c>
      <c r="H788" s="9" t="inlineStr">
        <is>
          <t>https://www.100ppi.com/news/detail-20250829-4710612.html</t>
        </is>
      </c>
      <c r="I788" s="7" t="inlineStr">
        <is>
          <t>8月29日生意社甲醇基准价为2245.83元/吨</t>
        </is>
      </c>
    </row>
    <row r="789">
      <c r="A789" s="7" t="n">
        <v>786</v>
      </c>
      <c r="B789" s="7" t="inlineStr">
        <is>
          <t>2025-09-01</t>
        </is>
      </c>
      <c r="C789" s="7" t="inlineStr">
        <is>
          <t>一</t>
        </is>
      </c>
      <c r="D789" s="8" t="n">
        <v>2233.33</v>
      </c>
      <c r="E789" s="7" t="n">
        <v>2025</v>
      </c>
      <c r="F789" s="7" t="n">
        <v>36</v>
      </c>
      <c r="G789" s="7" t="inlineStr">
        <is>
          <t>2025-09-01</t>
        </is>
      </c>
      <c r="H789" s="9" t="inlineStr">
        <is>
          <t>https://www.100ppi.com/news/detail-20250901-4718387.html</t>
        </is>
      </c>
      <c r="I789" s="7" t="inlineStr">
        <is>
          <t>9月1日生意社甲醇基准价为2233.33元/吨</t>
        </is>
      </c>
    </row>
    <row r="790">
      <c r="A790" s="7" t="n">
        <v>787</v>
      </c>
      <c r="B790" s="7" t="inlineStr">
        <is>
          <t>2025-09-02</t>
        </is>
      </c>
      <c r="C790" s="7" t="inlineStr">
        <is>
          <t>二</t>
        </is>
      </c>
      <c r="D790" s="8" t="n">
        <v>2253.33</v>
      </c>
      <c r="E790" s="7" t="n">
        <v>2025</v>
      </c>
      <c r="F790" s="7" t="n">
        <v>36</v>
      </c>
      <c r="G790" s="7" t="inlineStr">
        <is>
          <t>2025-09-02</t>
        </is>
      </c>
      <c r="H790" s="9" t="inlineStr">
        <is>
          <t>https://www.100ppi.com/news/detail-20250902-4723274.html</t>
        </is>
      </c>
      <c r="I790" s="7" t="inlineStr">
        <is>
          <t>9月2日生意社甲醇基准价为2253.33元/吨</t>
        </is>
      </c>
    </row>
    <row r="791">
      <c r="A791" s="7" t="n">
        <v>788</v>
      </c>
      <c r="B791" s="7" t="inlineStr">
        <is>
          <t>2025-09-03</t>
        </is>
      </c>
      <c r="C791" s="7" t="inlineStr">
        <is>
          <t>三</t>
        </is>
      </c>
      <c r="D791" s="8" t="n">
        <v>2239.17</v>
      </c>
      <c r="E791" s="7" t="n">
        <v>2025</v>
      </c>
      <c r="F791" s="7" t="n">
        <v>36</v>
      </c>
      <c r="G791" s="7" t="inlineStr">
        <is>
          <t>2025-09-03</t>
        </is>
      </c>
      <c r="H791" s="9" t="inlineStr">
        <is>
          <t>https://www.100ppi.com/news/detail-20250903-4727543.html</t>
        </is>
      </c>
      <c r="I791" s="7" t="inlineStr">
        <is>
          <t>9月3日生意社甲醇基准价为2239.17元/吨</t>
        </is>
      </c>
    </row>
    <row r="792">
      <c r="A792" s="7" t="n">
        <v>789</v>
      </c>
      <c r="B792" s="7" t="inlineStr">
        <is>
          <t>2025-09-04</t>
        </is>
      </c>
      <c r="C792" s="7" t="inlineStr">
        <is>
          <t>四</t>
        </is>
      </c>
      <c r="D792" s="8" t="n">
        <v>2243.33</v>
      </c>
      <c r="E792" s="7" t="n">
        <v>2025</v>
      </c>
      <c r="F792" s="7" t="n">
        <v>36</v>
      </c>
      <c r="G792" s="7" t="inlineStr">
        <is>
          <t>2025-09-04</t>
        </is>
      </c>
      <c r="H792" s="9" t="inlineStr">
        <is>
          <t>https://www.100ppi.com/news/detail-20250904-4731668.html</t>
        </is>
      </c>
      <c r="I792" s="7" t="inlineStr">
        <is>
          <t>9月4日生意社甲醇基准价为2243.33元/吨</t>
        </is>
      </c>
    </row>
    <row r="793">
      <c r="A793" s="7" t="n">
        <v>790</v>
      </c>
      <c r="B793" s="7" t="inlineStr">
        <is>
          <t>2025-09-05</t>
        </is>
      </c>
      <c r="C793" s="7" t="inlineStr">
        <is>
          <t>五</t>
        </is>
      </c>
      <c r="D793" s="8" t="n">
        <v>2245.83</v>
      </c>
      <c r="E793" s="7" t="n">
        <v>2025</v>
      </c>
      <c r="F793" s="7" t="n">
        <v>36</v>
      </c>
      <c r="G793" s="7" t="inlineStr">
        <is>
          <t>2025-09-05</t>
        </is>
      </c>
      <c r="H793" s="9" t="inlineStr">
        <is>
          <t>https://www.100ppi.com/news/detail-20250905-4735611.html</t>
        </is>
      </c>
      <c r="I793" s="7" t="inlineStr">
        <is>
          <t>9月5日生意社甲醇基准价为2245.83元/吨</t>
        </is>
      </c>
    </row>
    <row r="794">
      <c r="A794" s="7" t="n">
        <v>791</v>
      </c>
      <c r="B794" s="7" t="inlineStr">
        <is>
          <t>2025-09-08</t>
        </is>
      </c>
      <c r="C794" s="7" t="inlineStr">
        <is>
          <t>一</t>
        </is>
      </c>
      <c r="D794" s="8" t="n">
        <v>2271.67</v>
      </c>
      <c r="E794" s="7" t="n">
        <v>2025</v>
      </c>
      <c r="F794" s="7" t="n">
        <v>37</v>
      </c>
      <c r="G794" s="7" t="inlineStr">
        <is>
          <t>2025-09-08</t>
        </is>
      </c>
      <c r="H794" s="9" t="inlineStr">
        <is>
          <t>https://www.100ppi.com/news/detail-20250908-4742630.html</t>
        </is>
      </c>
      <c r="I794" s="7" t="inlineStr">
        <is>
          <t>9月8日生意社甲醇基准价为2271.67元/吨</t>
        </is>
      </c>
    </row>
    <row r="795">
      <c r="A795" s="7" t="n">
        <v>792</v>
      </c>
      <c r="B795" s="7" t="inlineStr">
        <is>
          <t>2025-09-09</t>
        </is>
      </c>
      <c r="C795" s="7" t="inlineStr">
        <is>
          <t>二</t>
        </is>
      </c>
      <c r="D795" s="8" t="n">
        <v>2271.67</v>
      </c>
      <c r="E795" s="7" t="n">
        <v>2025</v>
      </c>
      <c r="F795" s="7" t="n">
        <v>37</v>
      </c>
      <c r="G795" s="7" t="inlineStr">
        <is>
          <t>2025-09-09</t>
        </is>
      </c>
      <c r="H795" s="9" t="inlineStr">
        <is>
          <t>https://www.100ppi.com/news/detail-20250909-4746667.html</t>
        </is>
      </c>
      <c r="I795" s="7" t="inlineStr">
        <is>
          <t>9月9日生意社甲醇基准价为2271.67元/吨</t>
        </is>
      </c>
    </row>
    <row r="796">
      <c r="A796" s="7" t="n">
        <v>793</v>
      </c>
      <c r="B796" s="7" t="inlineStr">
        <is>
          <t>2025-09-10</t>
        </is>
      </c>
      <c r="C796" s="7" t="inlineStr">
        <is>
          <t>三</t>
        </is>
      </c>
      <c r="D796" s="8" t="n">
        <v>2277.83</v>
      </c>
      <c r="E796" s="7" t="n">
        <v>2025</v>
      </c>
      <c r="F796" s="7" t="n">
        <v>37</v>
      </c>
      <c r="G796" s="7" t="inlineStr">
        <is>
          <t>2025-09-10</t>
        </is>
      </c>
      <c r="H796" s="9" t="inlineStr">
        <is>
          <t>https://www.100ppi.com/news/detail-20250910-4751479.html</t>
        </is>
      </c>
      <c r="I796" s="7" t="inlineStr">
        <is>
          <t>9月10日生意社甲醇基准价为2277.83元/吨</t>
        </is>
      </c>
    </row>
    <row r="797">
      <c r="A797" s="7" t="n">
        <v>794</v>
      </c>
      <c r="B797" s="7" t="inlineStr">
        <is>
          <t>2025-09-11</t>
        </is>
      </c>
      <c r="C797" s="7" t="inlineStr">
        <is>
          <t>四</t>
        </is>
      </c>
      <c r="D797" s="8" t="n">
        <v>2296.67</v>
      </c>
      <c r="E797" s="7" t="n">
        <v>2025</v>
      </c>
      <c r="F797" s="7" t="n">
        <v>37</v>
      </c>
      <c r="G797" s="7" t="inlineStr">
        <is>
          <t>2025-09-11</t>
        </is>
      </c>
      <c r="H797" s="9" t="inlineStr">
        <is>
          <t>https://www.100ppi.com/news/detail-20250911-4755599.html</t>
        </is>
      </c>
      <c r="I797" s="7" t="inlineStr">
        <is>
          <t>9月11日生意社甲醇基准价为2296.67元/吨</t>
        </is>
      </c>
    </row>
    <row r="798">
      <c r="A798" s="7" t="n">
        <v>795</v>
      </c>
      <c r="B798" s="7" t="inlineStr">
        <is>
          <t>2025-09-12</t>
        </is>
      </c>
      <c r="C798" s="7" t="inlineStr">
        <is>
          <t>五</t>
        </is>
      </c>
      <c r="D798" s="8" t="n">
        <v>2290</v>
      </c>
      <c r="E798" s="7" t="n">
        <v>2025</v>
      </c>
      <c r="F798" s="7" t="n">
        <v>37</v>
      </c>
      <c r="G798" s="7" t="inlineStr">
        <is>
          <t>2025-09-12</t>
        </is>
      </c>
      <c r="H798" s="9" t="inlineStr">
        <is>
          <t>https://www.100ppi.com/news/detail-20250912-4759801.html</t>
        </is>
      </c>
      <c r="I798" s="7" t="inlineStr">
        <is>
          <t>9月12日生意社甲醇基准价为2290.00元/吨</t>
        </is>
      </c>
    </row>
    <row r="799">
      <c r="A799" s="7" t="n">
        <v>796</v>
      </c>
      <c r="B799" s="7" t="inlineStr">
        <is>
          <t>2025-09-15</t>
        </is>
      </c>
      <c r="C799" s="7" t="inlineStr">
        <is>
          <t>一</t>
        </is>
      </c>
      <c r="D799" s="8" t="n">
        <v>2288.33</v>
      </c>
      <c r="E799" s="7" t="n">
        <v>2025</v>
      </c>
      <c r="F799" s="7" t="n">
        <v>38</v>
      </c>
      <c r="G799" s="7" t="inlineStr">
        <is>
          <t>2025-09-15</t>
        </is>
      </c>
      <c r="H799" s="9" t="inlineStr">
        <is>
          <t>https://www.100ppi.com/news/detail-20250915-4765755.html</t>
        </is>
      </c>
      <c r="I799" s="7" t="inlineStr">
        <is>
          <t>9月15日生意社甲醇基准价为2288.33元/吨</t>
        </is>
      </c>
    </row>
    <row r="800">
      <c r="A800" s="7" t="n">
        <v>797</v>
      </c>
      <c r="B800" s="7" t="inlineStr">
        <is>
          <t>2025-09-16</t>
        </is>
      </c>
      <c r="C800" s="7" t="inlineStr">
        <is>
          <t>二</t>
        </is>
      </c>
      <c r="D800" s="8" t="n">
        <v>2295</v>
      </c>
      <c r="E800" s="7" t="n">
        <v>2025</v>
      </c>
      <c r="F800" s="7" t="n">
        <v>38</v>
      </c>
      <c r="G800" s="7" t="inlineStr">
        <is>
          <t>2025-09-16</t>
        </is>
      </c>
      <c r="H800" s="9" t="inlineStr">
        <is>
          <t>https://www.100ppi.com/news/detail-20250916-4770039.html</t>
        </is>
      </c>
      <c r="I800" s="7" t="inlineStr">
        <is>
          <t>9月16日生意社甲醇基准价为2295.00元/吨</t>
        </is>
      </c>
    </row>
    <row r="801">
      <c r="A801" s="7" t="n">
        <v>798</v>
      </c>
      <c r="B801" s="7" t="inlineStr">
        <is>
          <t>2025-09-17</t>
        </is>
      </c>
      <c r="C801" s="7" t="inlineStr">
        <is>
          <t>三</t>
        </is>
      </c>
      <c r="D801" s="8" t="n">
        <v>2286.67</v>
      </c>
      <c r="E801" s="7" t="n">
        <v>2025</v>
      </c>
      <c r="F801" s="7" t="n">
        <v>38</v>
      </c>
      <c r="G801" s="7" t="inlineStr">
        <is>
          <t>2025-09-17</t>
        </is>
      </c>
      <c r="H801" s="9" t="inlineStr">
        <is>
          <t>https://www.100ppi.com/news/detail-20250917-4774323.html</t>
        </is>
      </c>
      <c r="I801" s="7" t="inlineStr">
        <is>
          <t>9月17日生意社甲醇基准价为2286.67元/吨</t>
        </is>
      </c>
    </row>
    <row r="802">
      <c r="A802" s="7" t="n">
        <v>799</v>
      </c>
      <c r="B802" s="7" t="inlineStr">
        <is>
          <t>2025-09-18</t>
        </is>
      </c>
      <c r="C802" s="7" t="inlineStr">
        <is>
          <t>四</t>
        </is>
      </c>
      <c r="D802" s="8" t="n">
        <v>2282.5</v>
      </c>
      <c r="E802" s="7" t="n">
        <v>2025</v>
      </c>
      <c r="F802" s="7" t="n">
        <v>38</v>
      </c>
      <c r="G802" s="7" t="inlineStr">
        <is>
          <t>2025-09-18</t>
        </is>
      </c>
      <c r="H802" s="9" t="inlineStr">
        <is>
          <t>https://www.100ppi.com/news/detail-20250918-4778461.html</t>
        </is>
      </c>
      <c r="I802" s="7" t="inlineStr">
        <is>
          <t>9月18日生意社甲醇基准价为2282.50元/吨</t>
        </is>
      </c>
    </row>
    <row r="803">
      <c r="A803" s="7" t="n">
        <v>800</v>
      </c>
      <c r="B803" s="7" t="inlineStr">
        <is>
          <t>2025-09-19</t>
        </is>
      </c>
      <c r="C803" s="7" t="inlineStr">
        <is>
          <t>五</t>
        </is>
      </c>
      <c r="D803" s="8" t="n">
        <v>2261.67</v>
      </c>
      <c r="E803" s="7" t="n">
        <v>2025</v>
      </c>
      <c r="F803" s="7" t="n">
        <v>38</v>
      </c>
      <c r="G803" s="7" t="inlineStr">
        <is>
          <t>2025-09-19</t>
        </is>
      </c>
      <c r="H803" s="9" t="inlineStr">
        <is>
          <t>https://www.100ppi.com/news/detail-20250919-4782721.html</t>
        </is>
      </c>
      <c r="I803" s="7" t="inlineStr">
        <is>
          <t>9月19日生意社甲醇基准价为2261.67元/吨</t>
        </is>
      </c>
    </row>
    <row r="804">
      <c r="A804" s="7" t="n">
        <v>801</v>
      </c>
      <c r="B804" s="7" t="inlineStr">
        <is>
          <t>2025-09-22</t>
        </is>
      </c>
      <c r="C804" s="7" t="inlineStr">
        <is>
          <t>一</t>
        </is>
      </c>
      <c r="D804" s="8" t="n">
        <v>2262</v>
      </c>
      <c r="E804" s="7" t="n">
        <v>2025</v>
      </c>
      <c r="F804" s="7" t="n">
        <v>39</v>
      </c>
      <c r="G804" s="7" t="inlineStr">
        <is>
          <t>2025-09-22</t>
        </is>
      </c>
      <c r="H804" s="9" t="inlineStr">
        <is>
          <t>https://www.100ppi.com/news/detail-20250922-4789317.html</t>
        </is>
      </c>
      <c r="I804" s="7" t="inlineStr">
        <is>
          <t>9月22日生意社甲醇基准价为2262.00元/吨</t>
        </is>
      </c>
    </row>
    <row r="805">
      <c r="A805" s="7" t="n">
        <v>802</v>
      </c>
      <c r="B805" s="7" t="inlineStr">
        <is>
          <t>2025-09-23</t>
        </is>
      </c>
      <c r="C805" s="7" t="inlineStr">
        <is>
          <t>二</t>
        </is>
      </c>
      <c r="D805" s="8" t="n">
        <v>2255</v>
      </c>
      <c r="E805" s="7" t="n">
        <v>2025</v>
      </c>
      <c r="F805" s="7" t="n">
        <v>39</v>
      </c>
      <c r="G805" s="7" t="inlineStr">
        <is>
          <t>2025-09-23</t>
        </is>
      </c>
      <c r="H805" s="9" t="inlineStr">
        <is>
          <t>https://www.100ppi.com/news/detail-20250923-4793667.html</t>
        </is>
      </c>
      <c r="I805" s="7" t="inlineStr">
        <is>
          <t>9月23日生意社甲醇基准价为2255.00元/吨</t>
        </is>
      </c>
    </row>
    <row r="806">
      <c r="A806" s="7" t="n">
        <v>803</v>
      </c>
      <c r="B806" s="7" t="inlineStr">
        <is>
          <t>2025-09-24</t>
        </is>
      </c>
      <c r="C806" s="7" t="inlineStr">
        <is>
          <t>三</t>
        </is>
      </c>
      <c r="D806" s="8" t="n">
        <v>2255</v>
      </c>
      <c r="E806" s="7" t="n">
        <v>2025</v>
      </c>
      <c r="F806" s="7" t="n">
        <v>39</v>
      </c>
      <c r="G806" s="7" t="inlineStr">
        <is>
          <t>2025-09-24</t>
        </is>
      </c>
      <c r="H806" s="9" t="inlineStr">
        <is>
          <t>https://www.100ppi.com/news/detail-20250924-4797945.html</t>
        </is>
      </c>
      <c r="I806" s="7" t="inlineStr">
        <is>
          <t>9月24日生意社甲醇基准价为2255.00元/吨</t>
        </is>
      </c>
    </row>
    <row r="807">
      <c r="A807" s="7" t="n">
        <v>804</v>
      </c>
      <c r="B807" s="7" t="inlineStr">
        <is>
          <t>2025-09-25</t>
        </is>
      </c>
      <c r="C807" s="7" t="inlineStr">
        <is>
          <t>四</t>
        </is>
      </c>
      <c r="D807" s="8" t="n">
        <v>2261</v>
      </c>
      <c r="E807" s="7" t="n">
        <v>2025</v>
      </c>
      <c r="F807" s="7" t="n">
        <v>39</v>
      </c>
      <c r="G807" s="7" t="inlineStr">
        <is>
          <t>2025-09-25</t>
        </is>
      </c>
      <c r="H807" s="9" t="inlineStr">
        <is>
          <t>https://www.100ppi.com/news/detail-20250925-4802220.html</t>
        </is>
      </c>
      <c r="I807" s="7" t="inlineStr">
        <is>
          <t>9月25日生意社甲醇基准价为2261.00元/吨</t>
        </is>
      </c>
    </row>
    <row r="808">
      <c r="A808" s="7" t="n">
        <v>805</v>
      </c>
      <c r="B808" s="7" t="inlineStr">
        <is>
          <t>2025-09-26</t>
        </is>
      </c>
      <c r="C808" s="7" t="inlineStr">
        <is>
          <t>五</t>
        </is>
      </c>
      <c r="D808" s="8" t="n">
        <v>2253.75</v>
      </c>
      <c r="E808" s="7" t="n">
        <v>2025</v>
      </c>
      <c r="F808" s="7" t="n">
        <v>39</v>
      </c>
      <c r="G808" s="7" t="inlineStr">
        <is>
          <t>2025-09-26</t>
        </is>
      </c>
      <c r="H808" s="9" t="inlineStr">
        <is>
          <t>https://www.100ppi.com/news/detail-20250926-4806497.html</t>
        </is>
      </c>
      <c r="I808" s="7" t="inlineStr">
        <is>
          <t>9月26日生意社甲醇基准价为2253.75元/吨</t>
        </is>
      </c>
    </row>
    <row r="809">
      <c r="A809" s="7" t="n">
        <v>806</v>
      </c>
      <c r="B809" s="7" t="inlineStr">
        <is>
          <t>2025-09-29</t>
        </is>
      </c>
      <c r="C809" s="7" t="inlineStr">
        <is>
          <t>一</t>
        </is>
      </c>
      <c r="D809" s="8" t="n">
        <v>2263.75</v>
      </c>
      <c r="E809" s="7" t="n">
        <v>2025</v>
      </c>
      <c r="F809" s="7" t="n">
        <v>40</v>
      </c>
      <c r="G809" s="7" t="inlineStr">
        <is>
          <t>2025-09-29</t>
        </is>
      </c>
      <c r="H809" s="9" t="inlineStr">
        <is>
          <t>https://www.100ppi.com/news/detail-20250929-4815232.html</t>
        </is>
      </c>
      <c r="I809" s="7" t="inlineStr">
        <is>
          <t>9月29日生意社甲醇基准价为2263.75元/吨</t>
        </is>
      </c>
    </row>
    <row r="810">
      <c r="A810" s="7" t="n">
        <v>807</v>
      </c>
      <c r="B810" s="7" t="inlineStr">
        <is>
          <t>2025-09-30</t>
        </is>
      </c>
      <c r="C810" s="7" t="inlineStr">
        <is>
          <t>二</t>
        </is>
      </c>
      <c r="D810" s="8" t="n">
        <v>2260</v>
      </c>
      <c r="E810" s="7" t="n">
        <v>2025</v>
      </c>
      <c r="F810" s="7" t="n">
        <v>40</v>
      </c>
      <c r="G810" s="7" t="inlineStr">
        <is>
          <t>2025-09-30</t>
        </is>
      </c>
      <c r="H810" s="9" t="inlineStr">
        <is>
          <t>https://www.100ppi.com/news/detail-20250930-4819130.html</t>
        </is>
      </c>
      <c r="I810" s="7" t="inlineStr">
        <is>
          <t>9月30日生意社甲醇基准价为2260.00元/吨</t>
        </is>
      </c>
    </row>
    <row r="811">
      <c r="A811" s="7" t="n">
        <v>808</v>
      </c>
      <c r="B811" s="7" t="inlineStr">
        <is>
          <t>2025-10-01</t>
        </is>
      </c>
      <c r="C811" s="7" t="inlineStr">
        <is>
          <t>三</t>
        </is>
      </c>
      <c r="D811" s="8" t="n">
        <v>2237.5</v>
      </c>
      <c r="E811" s="7" t="n">
        <v>2025</v>
      </c>
      <c r="F811" s="7" t="n">
        <v>40</v>
      </c>
      <c r="G811" s="7" t="inlineStr">
        <is>
          <t>2025-10-01</t>
        </is>
      </c>
      <c r="H811" s="9" t="inlineStr">
        <is>
          <t>https://www.100ppi.com/news/detail-20251001-4823144.html</t>
        </is>
      </c>
      <c r="I811" s="7" t="inlineStr">
        <is>
          <t>10月1日生意社甲醇基准价为2237.50元/吨</t>
        </is>
      </c>
    </row>
    <row r="812">
      <c r="A812" s="7" t="n">
        <v>809</v>
      </c>
      <c r="B812" s="7" t="inlineStr">
        <is>
          <t>2025-10-02</t>
        </is>
      </c>
      <c r="C812" s="7" t="inlineStr">
        <is>
          <t>四</t>
        </is>
      </c>
      <c r="D812" s="8" t="n">
        <v>2237.5</v>
      </c>
      <c r="E812" s="7" t="n">
        <v>2025</v>
      </c>
      <c r="F812" s="7" t="n">
        <v>40</v>
      </c>
      <c r="G812" s="7" t="inlineStr">
        <is>
          <t>2025-10-02</t>
        </is>
      </c>
      <c r="H812" s="9" t="inlineStr">
        <is>
          <t>https://www.100ppi.com/news/detail-20251002-4824733.html</t>
        </is>
      </c>
      <c r="I812" s="7" t="inlineStr">
        <is>
          <t>10月2日生意社甲醇基准价为2237.50元/吨</t>
        </is>
      </c>
    </row>
    <row r="813">
      <c r="A813" s="7" t="n">
        <v>810</v>
      </c>
      <c r="B813" s="7" t="inlineStr">
        <is>
          <t>2025-10-03</t>
        </is>
      </c>
      <c r="C813" s="7" t="inlineStr">
        <is>
          <t>五</t>
        </is>
      </c>
      <c r="D813" s="8" t="n">
        <v>2237.5</v>
      </c>
      <c r="E813" s="7" t="n">
        <v>2025</v>
      </c>
      <c r="F813" s="7" t="n">
        <v>40</v>
      </c>
      <c r="G813" s="7" t="inlineStr">
        <is>
          <t>2025-10-03</t>
        </is>
      </c>
      <c r="H813" s="9" t="inlineStr">
        <is>
          <t>https://www.100ppi.com/news/detail-20251003-4826355.html</t>
        </is>
      </c>
      <c r="I813" s="7" t="inlineStr">
        <is>
          <t>10月3日生意社甲醇基准价为2237.50元/吨</t>
        </is>
      </c>
    </row>
    <row r="814">
      <c r="A814" s="7" t="n">
        <v>811</v>
      </c>
      <c r="B814" s="7" t="inlineStr">
        <is>
          <t>2025-10-06</t>
        </is>
      </c>
      <c r="C814" s="7" t="inlineStr">
        <is>
          <t>一</t>
        </is>
      </c>
      <c r="D814" s="8" t="n">
        <v>2237.5</v>
      </c>
      <c r="E814" s="7" t="n">
        <v>2025</v>
      </c>
      <c r="F814" s="7" t="n">
        <v>41</v>
      </c>
      <c r="G814" s="7" t="inlineStr">
        <is>
          <t>2025-10-06</t>
        </is>
      </c>
      <c r="H814" s="9" t="inlineStr">
        <is>
          <t>https://www.100ppi.com/news/detail-20251006-4830411.html</t>
        </is>
      </c>
      <c r="I814" s="7" t="inlineStr">
        <is>
          <t>10月6日生意社甲醇基准价为2237.50元/吨</t>
        </is>
      </c>
    </row>
    <row r="815">
      <c r="A815" s="7" t="n">
        <v>812</v>
      </c>
      <c r="B815" s="7" t="inlineStr">
        <is>
          <t>2025-10-07</t>
        </is>
      </c>
      <c r="C815" s="7" t="inlineStr">
        <is>
          <t>二</t>
        </is>
      </c>
      <c r="D815" s="8" t="n">
        <v>2237.5</v>
      </c>
      <c r="E815" s="7" t="n">
        <v>2025</v>
      </c>
      <c r="F815" s="7" t="n">
        <v>41</v>
      </c>
      <c r="G815" s="7" t="inlineStr">
        <is>
          <t>2025-10-07</t>
        </is>
      </c>
      <c r="H815" s="9" t="inlineStr">
        <is>
          <t>https://www.100ppi.com/news/detail-20251007-4832127.html</t>
        </is>
      </c>
      <c r="I815" s="7" t="inlineStr">
        <is>
          <t>10月7日生意社甲醇基准价为2237.50元/吨</t>
        </is>
      </c>
    </row>
    <row r="816">
      <c r="A816" s="7" t="n">
        <v>813</v>
      </c>
      <c r="B816" s="7" t="inlineStr">
        <is>
          <t>2025-10-08</t>
        </is>
      </c>
      <c r="C816" s="7" t="inlineStr">
        <is>
          <t>三</t>
        </is>
      </c>
      <c r="D816" s="8" t="n">
        <v>2237.5</v>
      </c>
      <c r="E816" s="7" t="n">
        <v>2025</v>
      </c>
      <c r="F816" s="7" t="n">
        <v>41</v>
      </c>
      <c r="G816" s="7" t="inlineStr">
        <is>
          <t>2025-10-08</t>
        </is>
      </c>
      <c r="H816" s="9" t="inlineStr">
        <is>
          <t>https://www.100ppi.com/news/detail-20251008-4833704.html</t>
        </is>
      </c>
      <c r="I816" s="7" t="inlineStr">
        <is>
          <t>10月8日生意社甲醇基准价为2237.50元/吨</t>
        </is>
      </c>
    </row>
    <row r="817">
      <c r="A817" s="7" t="n">
        <v>814</v>
      </c>
      <c r="B817" s="7" t="inlineStr">
        <is>
          <t>2025-10-09</t>
        </is>
      </c>
      <c r="C817" s="7" t="inlineStr">
        <is>
          <t>四</t>
        </is>
      </c>
      <c r="D817" s="8" t="n">
        <v>2237.5</v>
      </c>
      <c r="E817" s="7" t="n">
        <v>2025</v>
      </c>
      <c r="F817" s="7" t="n">
        <v>41</v>
      </c>
      <c r="G817" s="7" t="inlineStr">
        <is>
          <t>2025-10-09</t>
        </is>
      </c>
      <c r="H817" s="9" t="inlineStr">
        <is>
          <t>https://www.100ppi.com/news/detail-20251009-4835964.html</t>
        </is>
      </c>
      <c r="I817" s="7" t="inlineStr">
        <is>
          <t>10月9日生意社甲醇基准价为2237.50元/吨</t>
        </is>
      </c>
    </row>
    <row r="818">
      <c r="A818" s="7" t="n">
        <v>815</v>
      </c>
      <c r="B818" s="7" t="inlineStr">
        <is>
          <t>2025-10-10</t>
        </is>
      </c>
      <c r="C818" s="7" t="inlineStr">
        <is>
          <t>五</t>
        </is>
      </c>
      <c r="D818" s="8" t="n">
        <v>2216.25</v>
      </c>
      <c r="E818" s="7" t="n">
        <v>2025</v>
      </c>
      <c r="F818" s="7" t="n">
        <v>41</v>
      </c>
      <c r="G818" s="7" t="inlineStr">
        <is>
          <t>2025-10-10</t>
        </is>
      </c>
      <c r="H818" s="9" t="inlineStr">
        <is>
          <t>https://www.100ppi.com/news/detail-20251010-4840306.html</t>
        </is>
      </c>
      <c r="I818" s="7" t="inlineStr">
        <is>
          <t>10月10日生意社甲醇基准价为2216.25元/吨</t>
        </is>
      </c>
    </row>
    <row r="819">
      <c r="A819" s="7" t="n">
        <v>816</v>
      </c>
      <c r="B819" s="7" t="inlineStr">
        <is>
          <t>2025-10-11</t>
        </is>
      </c>
      <c r="C819" s="7" t="inlineStr">
        <is>
          <t>六</t>
        </is>
      </c>
      <c r="D819" s="8" t="n">
        <v>2232.5</v>
      </c>
      <c r="E819" s="7" t="n">
        <v>2025</v>
      </c>
      <c r="F819" s="7" t="n">
        <v>41</v>
      </c>
      <c r="G819" s="7" t="inlineStr">
        <is>
          <t>2025-10-11</t>
        </is>
      </c>
      <c r="H819" s="9" t="inlineStr">
        <is>
          <t>https://www.100ppi.com/news/detail-20251011-4848391.html</t>
        </is>
      </c>
      <c r="I819" s="7" t="inlineStr">
        <is>
          <t>10月11日生意社甲醇基准价为2232.50元/吨</t>
        </is>
      </c>
    </row>
    <row r="820">
      <c r="A820" s="7" t="n">
        <v>817</v>
      </c>
      <c r="B820" s="7" t="inlineStr">
        <is>
          <t>2025-10-13</t>
        </is>
      </c>
      <c r="C820" s="7" t="inlineStr">
        <is>
          <t>一</t>
        </is>
      </c>
      <c r="D820" s="8" t="n">
        <v>2242.5</v>
      </c>
      <c r="E820" s="7" t="n">
        <v>2025</v>
      </c>
      <c r="F820" s="7" t="n">
        <v>42</v>
      </c>
      <c r="G820" s="7" t="inlineStr">
        <is>
          <t>2025-10-13</t>
        </is>
      </c>
      <c r="H820" s="9" t="inlineStr">
        <is>
          <t>https://www.100ppi.com/news/detail-20251013-4849791.html</t>
        </is>
      </c>
      <c r="I820" s="7" t="inlineStr">
        <is>
          <t>10月13日生意社甲醇基准价为2242.50元/吨</t>
        </is>
      </c>
    </row>
    <row r="821">
      <c r="A821" s="7" t="n">
        <v>818</v>
      </c>
      <c r="B821" s="7" t="inlineStr">
        <is>
          <t>2025-10-14</t>
        </is>
      </c>
      <c r="C821" s="7" t="inlineStr">
        <is>
          <t>二</t>
        </is>
      </c>
      <c r="D821" s="8" t="n">
        <v>2288.75</v>
      </c>
      <c r="E821" s="7" t="n">
        <v>2025</v>
      </c>
      <c r="F821" s="7" t="n">
        <v>42</v>
      </c>
      <c r="G821" s="7" t="inlineStr">
        <is>
          <t>2025-10-14</t>
        </is>
      </c>
      <c r="H821" s="9" t="inlineStr">
        <is>
          <t>https://www.100ppi.com/news/detail-20251014-4854688.html</t>
        </is>
      </c>
      <c r="I821" s="7" t="inlineStr">
        <is>
          <t>10月14日生意社甲醇基准价为2288.75元/吨</t>
        </is>
      </c>
    </row>
    <row r="822">
      <c r="A822" s="7" t="n">
        <v>819</v>
      </c>
      <c r="B822" s="7" t="inlineStr">
        <is>
          <t>2025-10-15</t>
        </is>
      </c>
      <c r="C822" s="7" t="inlineStr">
        <is>
          <t>三</t>
        </is>
      </c>
      <c r="D822" s="8" t="n">
        <v>2260</v>
      </c>
      <c r="E822" s="7" t="n">
        <v>2025</v>
      </c>
      <c r="F822" s="7" t="n">
        <v>42</v>
      </c>
      <c r="G822" s="7" t="inlineStr">
        <is>
          <t>2025-10-15</t>
        </is>
      </c>
      <c r="H822" s="9" t="inlineStr">
        <is>
          <t>https://www.100ppi.com/news/detail-20251015-4859077.html</t>
        </is>
      </c>
      <c r="I822" s="7" t="inlineStr">
        <is>
          <t>10月15日生意社甲醇基准价为2260.00元/吨</t>
        </is>
      </c>
    </row>
    <row r="823">
      <c r="A823" s="7" t="n">
        <v>820</v>
      </c>
      <c r="B823" s="7" t="inlineStr">
        <is>
          <t>2025-10-16</t>
        </is>
      </c>
      <c r="C823" s="7" t="inlineStr">
        <is>
          <t>四</t>
        </is>
      </c>
      <c r="D823" s="8" t="n">
        <v>2320</v>
      </c>
      <c r="E823" s="7" t="n">
        <v>2025</v>
      </c>
      <c r="F823" s="7" t="n">
        <v>42</v>
      </c>
      <c r="G823" s="7" t="inlineStr">
        <is>
          <t>2025-10-16</t>
        </is>
      </c>
      <c r="H823" s="9" t="inlineStr">
        <is>
          <t>https://www.100ppi.com/news/detail-20251016-4863360.html</t>
        </is>
      </c>
      <c r="I823" s="7" t="inlineStr">
        <is>
          <t>10月16日生意社甲醇基准价为2320.00元/吨</t>
        </is>
      </c>
    </row>
    <row r="824">
      <c r="A824" s="7" t="n">
        <v>821</v>
      </c>
      <c r="B824" s="7" t="inlineStr">
        <is>
          <t>2025-10-17</t>
        </is>
      </c>
      <c r="C824" s="7" t="inlineStr">
        <is>
          <t>五</t>
        </is>
      </c>
      <c r="D824" s="8" t="n">
        <v>2324</v>
      </c>
      <c r="E824" s="7" t="n">
        <v>2025</v>
      </c>
      <c r="F824" s="7" t="n">
        <v>42</v>
      </c>
      <c r="G824" s="7" t="inlineStr">
        <is>
          <t>2025-10-17</t>
        </is>
      </c>
      <c r="H824" s="9" t="inlineStr">
        <is>
          <t>https://www.100ppi.com/news/detail-20251017-4867809.html</t>
        </is>
      </c>
      <c r="I824" s="7" t="inlineStr">
        <is>
          <t>10月17日生意社甲醇基准价为2324.00元/吨</t>
        </is>
      </c>
    </row>
    <row r="825">
      <c r="A825" s="7" t="n">
        <v>822</v>
      </c>
      <c r="B825" s="7" t="inlineStr">
        <is>
          <t>2025-10-20</t>
        </is>
      </c>
      <c r="C825" s="7" t="inlineStr">
        <is>
          <t>一</t>
        </is>
      </c>
      <c r="D825" s="8" t="n">
        <v>2261</v>
      </c>
      <c r="E825" s="7" t="n">
        <v>2025</v>
      </c>
      <c r="F825" s="7" t="n">
        <v>43</v>
      </c>
      <c r="G825" s="7" t="inlineStr">
        <is>
          <t>2025-10-20</t>
        </is>
      </c>
      <c r="H825" s="9" t="inlineStr">
        <is>
          <t>https://www.100ppi.com/news/detail-20251020-4874508.html</t>
        </is>
      </c>
      <c r="I825" s="7" t="inlineStr">
        <is>
          <t>10月20日生意社甲醇基准价为2261.00元/吨</t>
        </is>
      </c>
    </row>
    <row r="826">
      <c r="A826" s="7" t="n">
        <v>823</v>
      </c>
      <c r="B826" s="7" t="inlineStr">
        <is>
          <t>2025-10-21</t>
        </is>
      </c>
      <c r="C826" s="7" t="inlineStr">
        <is>
          <t>二</t>
        </is>
      </c>
      <c r="D826" s="8" t="n">
        <v>2290</v>
      </c>
      <c r="E826" s="7" t="n">
        <v>2025</v>
      </c>
      <c r="F826" s="7" t="n">
        <v>43</v>
      </c>
      <c r="G826" s="7" t="inlineStr">
        <is>
          <t>2025-10-21</t>
        </is>
      </c>
      <c r="H826" s="9" t="inlineStr">
        <is>
          <t>https://www.100ppi.com/news/detail-20251021-4878933.html</t>
        </is>
      </c>
      <c r="I826" s="7" t="inlineStr">
        <is>
          <t>10月21日生意社甲醇基准价为2290.00元/吨</t>
        </is>
      </c>
    </row>
    <row r="827">
      <c r="A827" s="7" t="n">
        <v>824</v>
      </c>
      <c r="B827" s="7" t="inlineStr">
        <is>
          <t>2025-10-22</t>
        </is>
      </c>
      <c r="C827" s="7" t="inlineStr">
        <is>
          <t>三</t>
        </is>
      </c>
      <c r="D827" s="8" t="n">
        <v>2265</v>
      </c>
      <c r="E827" s="7" t="n">
        <v>2025</v>
      </c>
      <c r="F827" s="7" t="n">
        <v>43</v>
      </c>
      <c r="G827" s="7" t="inlineStr">
        <is>
          <t>2025-10-22</t>
        </is>
      </c>
      <c r="H827" s="9" t="inlineStr">
        <is>
          <t>https://www.100ppi.com/news/detail-20251022-4883372.html</t>
        </is>
      </c>
      <c r="I827" s="7" t="inlineStr">
        <is>
          <t>10月22日生意社甲醇基准价为2265.00元/吨</t>
        </is>
      </c>
    </row>
    <row r="828">
      <c r="A828" s="7" t="n">
        <v>825</v>
      </c>
      <c r="B828" s="7" t="inlineStr">
        <is>
          <t>2025-10-23</t>
        </is>
      </c>
      <c r="C828" s="7" t="inlineStr">
        <is>
          <t>四</t>
        </is>
      </c>
      <c r="D828" s="8" t="n">
        <v>2236</v>
      </c>
      <c r="E828" s="7" t="n">
        <v>2025</v>
      </c>
      <c r="F828" s="7" t="n">
        <v>43</v>
      </c>
      <c r="G828" s="7" t="inlineStr">
        <is>
          <t>2025-10-23</t>
        </is>
      </c>
      <c r="H828" s="9" t="inlineStr">
        <is>
          <t>https://www.100ppi.com/news/detail-20251023-4887786.html</t>
        </is>
      </c>
      <c r="I828" s="7" t="inlineStr">
        <is>
          <t>10月23日生意社甲醇基准价为2236.00元/吨</t>
        </is>
      </c>
    </row>
    <row r="829">
      <c r="A829" s="7" t="n">
        <v>826</v>
      </c>
      <c r="B829" s="7" t="inlineStr">
        <is>
          <t>2025-10-24</t>
        </is>
      </c>
      <c r="C829" s="7" t="inlineStr">
        <is>
          <t>五</t>
        </is>
      </c>
      <c r="D829" s="8" t="n">
        <v>2256</v>
      </c>
      <c r="E829" s="7" t="n">
        <v>2025</v>
      </c>
      <c r="F829" s="7" t="n">
        <v>43</v>
      </c>
      <c r="G829" s="7" t="inlineStr">
        <is>
          <t>2025-10-24</t>
        </is>
      </c>
      <c r="H829" s="9" t="inlineStr">
        <is>
          <t>https://www.100ppi.com/news/detail-20251024-4892146.html</t>
        </is>
      </c>
      <c r="I829" s="7" t="inlineStr">
        <is>
          <t>10月24日生意社甲醇基准价为2256.00元/吨</t>
        </is>
      </c>
    </row>
    <row r="830">
      <c r="A830" s="7" t="n">
        <v>827</v>
      </c>
      <c r="B830" s="7" t="inlineStr">
        <is>
          <t>2025-10-27</t>
        </is>
      </c>
      <c r="C830" s="7" t="inlineStr">
        <is>
          <t>一</t>
        </is>
      </c>
      <c r="D830" s="8" t="n">
        <v>2238</v>
      </c>
      <c r="E830" s="7" t="n">
        <v>2025</v>
      </c>
      <c r="F830" s="7" t="n">
        <v>44</v>
      </c>
      <c r="G830" s="7" t="inlineStr">
        <is>
          <t>2025-10-27</t>
        </is>
      </c>
      <c r="H830" s="9" t="inlineStr">
        <is>
          <t>https://www.100ppi.com/news/detail-20251027-4898514.html</t>
        </is>
      </c>
      <c r="I830" s="7" t="inlineStr">
        <is>
          <t>10月27日生意社甲醇基准价为2238.00元/吨</t>
        </is>
      </c>
    </row>
    <row r="831">
      <c r="A831" s="7" t="n">
        <v>828</v>
      </c>
      <c r="B831" s="7" t="inlineStr">
        <is>
          <t>2025-10-28</t>
        </is>
      </c>
      <c r="C831" s="7" t="inlineStr">
        <is>
          <t>二</t>
        </is>
      </c>
      <c r="D831" s="8" t="n">
        <v>2226</v>
      </c>
      <c r="E831" s="7" t="n">
        <v>2025</v>
      </c>
      <c r="F831" s="7" t="n">
        <v>44</v>
      </c>
      <c r="G831" s="7" t="inlineStr">
        <is>
          <t>2025-10-28</t>
        </is>
      </c>
      <c r="H831" s="9" t="inlineStr">
        <is>
          <t>https://www.100ppi.com/news/detail-20251028-4902936.html</t>
        </is>
      </c>
      <c r="I831" s="7" t="inlineStr">
        <is>
          <t>10月28日生意社甲醇基准价为2226.00元/吨</t>
        </is>
      </c>
    </row>
    <row r="832">
      <c r="A832" s="7" t="n">
        <v>829</v>
      </c>
      <c r="B832" s="7" t="inlineStr">
        <is>
          <t>2025-10-29</t>
        </is>
      </c>
      <c r="C832" s="7" t="inlineStr">
        <is>
          <t>三</t>
        </is>
      </c>
      <c r="D832" s="8" t="n">
        <v>2205</v>
      </c>
      <c r="E832" s="7" t="n">
        <v>2025</v>
      </c>
      <c r="F832" s="7" t="n">
        <v>44</v>
      </c>
      <c r="G832" s="7" t="inlineStr">
        <is>
          <t>2025-10-29</t>
        </is>
      </c>
      <c r="H832" s="9" t="inlineStr">
        <is>
          <t>https://www.100ppi.com/news/detail-20251029-4907369.html</t>
        </is>
      </c>
      <c r="I832" s="7" t="inlineStr">
        <is>
          <t>10月29日生意社甲醇基准价为2205.00元/吨</t>
        </is>
      </c>
    </row>
    <row r="833">
      <c r="A833" s="7" t="n">
        <v>830</v>
      </c>
      <c r="B833" s="7" t="inlineStr">
        <is>
          <t>2025-10-30</t>
        </is>
      </c>
      <c r="C833" s="7" t="inlineStr">
        <is>
          <t>四</t>
        </is>
      </c>
      <c r="D833" s="8" t="n">
        <v>2212</v>
      </c>
      <c r="E833" s="7" t="n">
        <v>2025</v>
      </c>
      <c r="F833" s="7" t="n">
        <v>44</v>
      </c>
      <c r="G833" s="7" t="inlineStr">
        <is>
          <t>2025-10-30</t>
        </is>
      </c>
      <c r="H833" s="9" t="inlineStr">
        <is>
          <t>https://www.100ppi.com/news/detail-20251030-4911593.html</t>
        </is>
      </c>
      <c r="I833" s="7" t="inlineStr">
        <is>
          <t>10月30日生意社甲醇基准价为2212.00元/吨</t>
        </is>
      </c>
    </row>
    <row r="834">
      <c r="A834" s="7" t="n">
        <v>831</v>
      </c>
      <c r="B834" s="7" t="inlineStr">
        <is>
          <t>2025-10-31</t>
        </is>
      </c>
      <c r="C834" s="7" t="inlineStr">
        <is>
          <t>五</t>
        </is>
      </c>
      <c r="D834" s="8" t="n">
        <v>2176</v>
      </c>
      <c r="E834" s="7" t="n">
        <v>2025</v>
      </c>
      <c r="F834" s="7" t="n">
        <v>44</v>
      </c>
      <c r="G834" s="7" t="inlineStr">
        <is>
          <t>2025-10-31</t>
        </is>
      </c>
      <c r="H834" s="9" t="inlineStr">
        <is>
          <t>https://www.100ppi.com/news/detail-20251031-4915946.html</t>
        </is>
      </c>
      <c r="I834" s="7" t="inlineStr">
        <is>
          <t>10月31日生意社甲醇基准价为2176.00元/吨</t>
        </is>
      </c>
    </row>
    <row r="835">
      <c r="A835" s="7" t="n">
        <v>832</v>
      </c>
      <c r="B835" s="7" t="inlineStr">
        <is>
          <t>2025-11-03</t>
        </is>
      </c>
      <c r="C835" s="7" t="inlineStr">
        <is>
          <t>一</t>
        </is>
      </c>
      <c r="D835" s="8" t="n">
        <v>2155</v>
      </c>
      <c r="E835" s="7" t="n">
        <v>2025</v>
      </c>
      <c r="F835" s="7" t="n">
        <v>45</v>
      </c>
      <c r="G835" s="7" t="inlineStr">
        <is>
          <t>2025-11-03</t>
        </is>
      </c>
      <c r="H835" s="9" t="inlineStr">
        <is>
          <t>https://www.100ppi.com/news/detail-20251103-4923300.html</t>
        </is>
      </c>
      <c r="I835" s="7" t="inlineStr">
        <is>
          <t>11月3日生意社甲醇基准价为2155.00元/吨</t>
        </is>
      </c>
    </row>
    <row r="836">
      <c r="A836" s="7" t="n">
        <v>833</v>
      </c>
      <c r="B836" s="7" t="inlineStr">
        <is>
          <t>2025-11-04</t>
        </is>
      </c>
      <c r="C836" s="7" t="inlineStr">
        <is>
          <t>二</t>
        </is>
      </c>
      <c r="D836" s="8" t="n">
        <v>2102</v>
      </c>
      <c r="E836" s="7" t="n">
        <v>2025</v>
      </c>
      <c r="F836" s="7" t="n">
        <v>45</v>
      </c>
      <c r="G836" s="7" t="inlineStr">
        <is>
          <t>2025-11-04</t>
        </is>
      </c>
      <c r="H836" s="9" t="inlineStr">
        <is>
          <t>https://www.100ppi.com/news/detail-20251104-4927782.html</t>
        </is>
      </c>
      <c r="I836" s="7" t="inlineStr">
        <is>
          <t>11月4日生意社甲醇基准价为2102.00元/吨</t>
        </is>
      </c>
    </row>
    <row r="837">
      <c r="A837" s="7" t="n">
        <v>834</v>
      </c>
      <c r="B837" s="7" t="inlineStr">
        <is>
          <t>2025-11-05</t>
        </is>
      </c>
      <c r="C837" s="7" t="inlineStr">
        <is>
          <t>三</t>
        </is>
      </c>
      <c r="D837" s="8" t="n">
        <v>2077</v>
      </c>
      <c r="E837" s="7" t="n">
        <v>2025</v>
      </c>
      <c r="F837" s="7" t="n">
        <v>45</v>
      </c>
      <c r="G837" s="7" t="inlineStr">
        <is>
          <t>2025-11-05</t>
        </is>
      </c>
      <c r="H837" s="9" t="inlineStr">
        <is>
          <t>https://www.100ppi.com/news/detail-20251105-4931965.html</t>
        </is>
      </c>
      <c r="I837" s="7" t="inlineStr">
        <is>
          <t>11月5日生意社甲醇基准价为2077.00元/吨</t>
        </is>
      </c>
    </row>
    <row r="838">
      <c r="A838" s="7" t="n">
        <v>835</v>
      </c>
      <c r="B838" s="7" t="inlineStr">
        <is>
          <t>2025-11-06</t>
        </is>
      </c>
      <c r="C838" s="7" t="inlineStr">
        <is>
          <t>四</t>
        </is>
      </c>
      <c r="D838" s="8" t="n">
        <v>2073</v>
      </c>
      <c r="E838" s="7" t="n">
        <v>2025</v>
      </c>
      <c r="F838" s="7" t="n">
        <v>45</v>
      </c>
      <c r="G838" s="7" t="inlineStr">
        <is>
          <t>2025-11-06</t>
        </is>
      </c>
      <c r="H838" s="9" t="inlineStr">
        <is>
          <t>https://www.100ppi.com/news/detail-20251106-4936260.html</t>
        </is>
      </c>
      <c r="I838" s="7" t="inlineStr">
        <is>
          <t>11月6日生意社甲醇基准价为2073.00元/吨</t>
        </is>
      </c>
    </row>
    <row r="839">
      <c r="A839" s="7" t="n">
        <v>836</v>
      </c>
      <c r="B839" s="7" t="inlineStr">
        <is>
          <t>2025-11-07</t>
        </is>
      </c>
      <c r="C839" s="7" t="inlineStr">
        <is>
          <t>五</t>
        </is>
      </c>
      <c r="D839" s="8" t="n">
        <v>2096</v>
      </c>
      <c r="E839" s="7" t="n">
        <v>2025</v>
      </c>
      <c r="F839" s="7" t="n">
        <v>45</v>
      </c>
      <c r="G839" s="7" t="inlineStr">
        <is>
          <t>2025-11-07</t>
        </is>
      </c>
      <c r="H839" s="9" t="inlineStr">
        <is>
          <t>https://www.100ppi.com/news/detail-20251107-4940555.html</t>
        </is>
      </c>
      <c r="I839" s="7" t="inlineStr">
        <is>
          <t>11月7日生意社甲醇基准价为2096.00元/吨</t>
        </is>
      </c>
    </row>
    <row r="840">
      <c r="A840" s="7" t="n">
        <v>837</v>
      </c>
      <c r="B840" s="7" t="inlineStr">
        <is>
          <t>2025-11-10</t>
        </is>
      </c>
      <c r="C840" s="7" t="inlineStr">
        <is>
          <t>一</t>
        </is>
      </c>
      <c r="D840" s="8" t="n">
        <v>2087</v>
      </c>
      <c r="E840" s="7" t="n">
        <v>2025</v>
      </c>
      <c r="F840" s="7" t="n">
        <v>46</v>
      </c>
      <c r="G840" s="7" t="inlineStr">
        <is>
          <t>2025-11-10</t>
        </is>
      </c>
      <c r="H840" s="9" t="inlineStr">
        <is>
          <t>https://www.100ppi.com/news/detail-20251110-4947185.html</t>
        </is>
      </c>
      <c r="I840" s="7" t="inlineStr">
        <is>
          <t>11月10日生意社甲醇基准价为2087.00元/吨</t>
        </is>
      </c>
    </row>
    <row r="841">
      <c r="A841" s="7" t="n">
        <v>838</v>
      </c>
      <c r="B841" s="7" t="inlineStr">
        <is>
          <t>2025-11-11</t>
        </is>
      </c>
      <c r="C841" s="7" t="inlineStr">
        <is>
          <t>二</t>
        </is>
      </c>
      <c r="D841" s="8" t="n">
        <v>2067</v>
      </c>
      <c r="E841" s="7" t="n">
        <v>2025</v>
      </c>
      <c r="F841" s="7" t="n">
        <v>46</v>
      </c>
      <c r="G841" s="7" t="inlineStr">
        <is>
          <t>2025-11-11</t>
        </is>
      </c>
      <c r="H841" s="9" t="inlineStr">
        <is>
          <t>https://www.100ppi.com/news/detail-20251111-4951655.html</t>
        </is>
      </c>
      <c r="I841" s="7" t="inlineStr">
        <is>
          <t>11月11日生意社甲醇基准价为2067.00元/吨</t>
        </is>
      </c>
    </row>
    <row r="842">
      <c r="A842" s="7" t="n">
        <v>839</v>
      </c>
      <c r="B842" s="7" t="inlineStr">
        <is>
          <t>2025-11-12</t>
        </is>
      </c>
      <c r="C842" s="7" t="inlineStr">
        <is>
          <t>三</t>
        </is>
      </c>
      <c r="D842" s="8" t="n">
        <v>2070</v>
      </c>
      <c r="E842" s="7" t="n">
        <v>2025</v>
      </c>
      <c r="F842" s="7" t="n">
        <v>46</v>
      </c>
      <c r="G842" s="7" t="inlineStr">
        <is>
          <t>2025-11-12</t>
        </is>
      </c>
      <c r="H842" s="9" t="inlineStr">
        <is>
          <t>https://www.100ppi.com/news/detail-20251112-4955738.html</t>
        </is>
      </c>
      <c r="I842" s="7" t="inlineStr">
        <is>
          <t>11月12日生意社甲醇基准价为2070.00元/吨</t>
        </is>
      </c>
    </row>
    <row r="843">
      <c r="A843" s="7" t="n">
        <v>840</v>
      </c>
      <c r="B843" s="7" t="inlineStr">
        <is>
          <t>2025-11-13</t>
        </is>
      </c>
      <c r="C843" s="7" t="inlineStr">
        <is>
          <t>四</t>
        </is>
      </c>
      <c r="D843" s="8" t="n">
        <v>2078</v>
      </c>
      <c r="E843" s="7" t="n">
        <v>2025</v>
      </c>
      <c r="F843" s="7" t="n">
        <v>46</v>
      </c>
      <c r="G843" s="7" t="inlineStr">
        <is>
          <t>2025-11-13</t>
        </is>
      </c>
      <c r="H843" s="9" t="inlineStr">
        <is>
          <t>https://www.100ppi.com/news/detail-20251113-4959771.html</t>
        </is>
      </c>
      <c r="I843" s="7" t="inlineStr">
        <is>
          <t>11月13日生意社甲醇基准价为2078.00元/吨</t>
        </is>
      </c>
    </row>
    <row r="844">
      <c r="A844" s="7" t="n">
        <v>841</v>
      </c>
      <c r="B844" s="7" t="inlineStr">
        <is>
          <t>2025-11-14</t>
        </is>
      </c>
      <c r="C844" s="7" t="inlineStr">
        <is>
          <t>五</t>
        </is>
      </c>
      <c r="D844" s="8" t="n">
        <v>2078</v>
      </c>
      <c r="E844" s="7" t="n">
        <v>2025</v>
      </c>
      <c r="F844" s="7" t="n">
        <v>46</v>
      </c>
      <c r="G844" s="7" t="inlineStr">
        <is>
          <t>2025-11-14</t>
        </is>
      </c>
      <c r="H844" s="9" t="inlineStr">
        <is>
          <t>https://www.100ppi.com/news/detail-20251114-4963807.html</t>
        </is>
      </c>
      <c r="I844" s="7" t="inlineStr">
        <is>
          <t>11月14日生意社甲醇基准价为2078.00元/吨</t>
        </is>
      </c>
    </row>
    <row r="845">
      <c r="A845" s="7" t="n">
        <v>842</v>
      </c>
      <c r="B845" s="7" t="inlineStr">
        <is>
          <t>2025-11-17</t>
        </is>
      </c>
      <c r="C845" s="7" t="inlineStr">
        <is>
          <t>一</t>
        </is>
      </c>
      <c r="D845" s="8" t="n">
        <v>2070</v>
      </c>
      <c r="E845" s="7" t="n">
        <v>2025</v>
      </c>
      <c r="F845" s="7" t="n">
        <v>47</v>
      </c>
      <c r="G845" s="7" t="inlineStr">
        <is>
          <t>2025-11-17</t>
        </is>
      </c>
      <c r="H845" s="9" t="inlineStr">
        <is>
          <t>https://www.100ppi.com/news/detail-20251117-4970797.html</t>
        </is>
      </c>
      <c r="I845" s="7" t="inlineStr">
        <is>
          <t>11月17日生意社甲醇基准价为2070.00元/吨</t>
        </is>
      </c>
    </row>
    <row r="846">
      <c r="A846" s="7" t="n">
        <v>843</v>
      </c>
      <c r="B846" s="7" t="inlineStr">
        <is>
          <t>2025-11-18</t>
        </is>
      </c>
      <c r="C846" s="7" t="inlineStr">
        <is>
          <t>二</t>
        </is>
      </c>
      <c r="D846" s="8" t="n">
        <v>2020</v>
      </c>
      <c r="E846" s="7" t="n">
        <v>2025</v>
      </c>
      <c r="F846" s="7" t="n">
        <v>47</v>
      </c>
      <c r="G846" s="7" t="inlineStr">
        <is>
          <t>2025-11-18</t>
        </is>
      </c>
      <c r="H846" s="9" t="inlineStr">
        <is>
          <t>https://www.100ppi.com/news/detail-20251118-4975870.html</t>
        </is>
      </c>
      <c r="I846" s="7" t="inlineStr">
        <is>
          <t>11月18日生意社甲醇基准价为2020.00元/吨</t>
        </is>
      </c>
    </row>
    <row r="847">
      <c r="A847" s="7" t="n">
        <v>844</v>
      </c>
      <c r="B847" s="7" t="inlineStr">
        <is>
          <t>2025-11-19</t>
        </is>
      </c>
      <c r="C847" s="7" t="inlineStr">
        <is>
          <t>三</t>
        </is>
      </c>
      <c r="D847" s="8" t="n">
        <v>2006</v>
      </c>
      <c r="E847" s="7" t="n">
        <v>2025</v>
      </c>
      <c r="F847" s="7" t="n">
        <v>47</v>
      </c>
      <c r="G847" s="7" t="inlineStr">
        <is>
          <t>2025-11-19</t>
        </is>
      </c>
      <c r="H847" s="9" t="inlineStr">
        <is>
          <t>https://www.100ppi.com/news/detail-20251119-4980222.html</t>
        </is>
      </c>
      <c r="I847" s="7" t="inlineStr">
        <is>
          <t>11月19日生意社甲醇基准价为2006.00元/吨</t>
        </is>
      </c>
    </row>
    <row r="848">
      <c r="A848" s="7" t="n">
        <v>845</v>
      </c>
      <c r="B848" s="7" t="inlineStr">
        <is>
          <t>2025-11-20</t>
        </is>
      </c>
      <c r="C848" s="7" t="inlineStr">
        <is>
          <t>四</t>
        </is>
      </c>
      <c r="D848" s="8" t="n">
        <v>1999</v>
      </c>
      <c r="E848" s="7" t="n">
        <v>2025</v>
      </c>
      <c r="F848" s="7" t="n">
        <v>47</v>
      </c>
      <c r="G848" s="7" t="inlineStr">
        <is>
          <t>2025-11-20</t>
        </is>
      </c>
      <c r="H848" s="9" t="inlineStr">
        <is>
          <t>https://www.100ppi.com/news/detail-20251120-4984627.html</t>
        </is>
      </c>
      <c r="I848" s="7" t="inlineStr">
        <is>
          <t>11月20日生意社甲醇基准价为1999.00元/吨</t>
        </is>
      </c>
    </row>
    <row r="849">
      <c r="A849" s="7" t="n">
        <v>846</v>
      </c>
      <c r="B849" s="7" t="inlineStr">
        <is>
          <t>2025-11-21</t>
        </is>
      </c>
      <c r="C849" s="7" t="inlineStr">
        <is>
          <t>五</t>
        </is>
      </c>
      <c r="D849" s="8" t="n">
        <v>2002</v>
      </c>
      <c r="E849" s="7" t="n">
        <v>2025</v>
      </c>
      <c r="F849" s="7" t="n">
        <v>47</v>
      </c>
      <c r="G849" s="7" t="inlineStr">
        <is>
          <t>2025-11-21</t>
        </is>
      </c>
      <c r="H849" s="9" t="inlineStr">
        <is>
          <t>https://www.100ppi.com/news/detail-20251121-4988783.html</t>
        </is>
      </c>
      <c r="I849" s="7" t="inlineStr">
        <is>
          <t>11月21日生意社甲醇基准价为2002.00元/吨</t>
        </is>
      </c>
    </row>
    <row r="850">
      <c r="A850" s="7" t="n">
        <v>847</v>
      </c>
      <c r="B850" s="7" t="inlineStr">
        <is>
          <t>2025-11-24</t>
        </is>
      </c>
      <c r="C850" s="7" t="inlineStr">
        <is>
          <t>一</t>
        </is>
      </c>
      <c r="D850" s="8" t="n">
        <v>1995</v>
      </c>
      <c r="E850" s="7" t="n">
        <v>2025</v>
      </c>
      <c r="F850" s="7" t="n">
        <v>48</v>
      </c>
      <c r="G850" s="7" t="inlineStr">
        <is>
          <t>2025-11-24</t>
        </is>
      </c>
      <c r="H850" s="9" t="inlineStr">
        <is>
          <t>https://www.100ppi.com/news/detail-20251124-4995723.html</t>
        </is>
      </c>
      <c r="I850" s="7" t="inlineStr">
        <is>
          <t>11月24日生意社甲醇基准价为1995.00元/吨</t>
        </is>
      </c>
    </row>
    <row r="851">
      <c r="A851" s="7" t="n">
        <v>848</v>
      </c>
      <c r="B851" s="7" t="inlineStr">
        <is>
          <t>2025-11-25</t>
        </is>
      </c>
      <c r="C851" s="7" t="inlineStr">
        <is>
          <t>二</t>
        </is>
      </c>
      <c r="D851" s="8" t="n">
        <v>2066</v>
      </c>
      <c r="E851" s="7" t="n">
        <v>2025</v>
      </c>
      <c r="F851" s="7" t="n">
        <v>48</v>
      </c>
      <c r="G851" s="7" t="inlineStr">
        <is>
          <t>2025-11-25</t>
        </is>
      </c>
      <c r="H851" s="9" t="inlineStr">
        <is>
          <t>https://www.100ppi.com/news/detail-20251125-4999785.html</t>
        </is>
      </c>
      <c r="I851" s="7" t="inlineStr">
        <is>
          <t>11月25日生意社甲醇基准价为2066.00元/吨</t>
        </is>
      </c>
    </row>
    <row r="852">
      <c r="A852" s="7" t="n">
        <v>849</v>
      </c>
      <c r="B852" s="7" t="inlineStr">
        <is>
          <t>2025-11-26</t>
        </is>
      </c>
      <c r="C852" s="7" t="inlineStr">
        <is>
          <t>三</t>
        </is>
      </c>
      <c r="D852" s="8" t="n">
        <v>2055</v>
      </c>
      <c r="E852" s="7" t="n">
        <v>2025</v>
      </c>
      <c r="F852" s="7" t="n">
        <v>48</v>
      </c>
      <c r="G852" s="7" t="inlineStr">
        <is>
          <t>2025-11-26</t>
        </is>
      </c>
      <c r="H852" s="9" t="inlineStr">
        <is>
          <t>https://www.100ppi.com/news/detail-20251126-5003672.html</t>
        </is>
      </c>
      <c r="I852" s="7" t="inlineStr">
        <is>
          <t>11月26日生意社甲醇基准价为2055.00元/吨</t>
        </is>
      </c>
    </row>
    <row r="853">
      <c r="A853" s="7" t="n">
        <v>850</v>
      </c>
      <c r="B853" s="7" t="inlineStr">
        <is>
          <t>2025-11-27</t>
        </is>
      </c>
      <c r="C853" s="7" t="inlineStr">
        <is>
          <t>四</t>
        </is>
      </c>
      <c r="D853" s="8" t="n">
        <v>2079.17</v>
      </c>
      <c r="E853" s="7" t="n">
        <v>2025</v>
      </c>
      <c r="F853" s="7" t="n">
        <v>48</v>
      </c>
      <c r="G853" s="7" t="inlineStr">
        <is>
          <t>2025-11-27</t>
        </is>
      </c>
      <c r="H853" s="9" t="inlineStr">
        <is>
          <t>https://www.100ppi.com/news/detail-20251127-5008098.html</t>
        </is>
      </c>
      <c r="I853" s="7" t="inlineStr">
        <is>
          <t>11月27日生意社甲醇基准价为2079.17元/吨</t>
        </is>
      </c>
    </row>
    <row r="854">
      <c r="A854" s="7" t="n">
        <v>851</v>
      </c>
      <c r="B854" s="7" t="inlineStr">
        <is>
          <t>2025-11-28</t>
        </is>
      </c>
      <c r="C854" s="7" t="inlineStr">
        <is>
          <t>五</t>
        </is>
      </c>
      <c r="D854" s="8" t="n">
        <v>2103.33</v>
      </c>
      <c r="E854" s="7" t="n">
        <v>2025</v>
      </c>
      <c r="F854" s="7" t="n">
        <v>48</v>
      </c>
      <c r="G854" s="7" t="inlineStr">
        <is>
          <t>2025-11-28</t>
        </is>
      </c>
      <c r="H854" s="9" t="inlineStr">
        <is>
          <t>https://www.100ppi.com/news/detail-20251128-5012343.html</t>
        </is>
      </c>
      <c r="I854" s="7" t="inlineStr">
        <is>
          <t>11月28日生意社甲醇基准价为2103.33元/吨</t>
        </is>
      </c>
    </row>
    <row r="855">
      <c r="A855" s="7" t="n">
        <v>852</v>
      </c>
      <c r="B855" s="7" t="inlineStr">
        <is>
          <t>2025-12-01</t>
        </is>
      </c>
      <c r="C855" s="7" t="inlineStr">
        <is>
          <t>一</t>
        </is>
      </c>
      <c r="D855" s="8" t="n">
        <v>2120</v>
      </c>
      <c r="E855" s="7" t="n">
        <v>2025</v>
      </c>
      <c r="F855" s="7" t="n">
        <v>49</v>
      </c>
      <c r="G855" s="7" t="inlineStr">
        <is>
          <t>2025-12-01</t>
        </is>
      </c>
      <c r="H855" s="9" t="inlineStr">
        <is>
          <t>https://www.100ppi.com/news/detail-20251201-5019276.html</t>
        </is>
      </c>
      <c r="I855" s="7" t="inlineStr">
        <is>
          <t>12月1日生意社甲醇基准价为2120.00元/吨</t>
        </is>
      </c>
    </row>
    <row r="856">
      <c r="A856" s="7" t="n">
        <v>853</v>
      </c>
      <c r="B856" s="7" t="inlineStr">
        <is>
          <t>2025-12-02</t>
        </is>
      </c>
      <c r="C856" s="7" t="inlineStr">
        <is>
          <t>二</t>
        </is>
      </c>
      <c r="D856" s="8" t="n">
        <v>2125</v>
      </c>
      <c r="E856" s="7" t="n">
        <v>2025</v>
      </c>
      <c r="F856" s="7" t="n">
        <v>49</v>
      </c>
      <c r="G856" s="7" t="inlineStr">
        <is>
          <t>2025-12-02</t>
        </is>
      </c>
      <c r="H856" s="9" t="inlineStr">
        <is>
          <t>https://www.100ppi.com/news/detail-20251202-5023916.html</t>
        </is>
      </c>
      <c r="I856" s="7" t="inlineStr">
        <is>
          <t>12月2日生意社甲醇基准价为2125.00元/吨</t>
        </is>
      </c>
    </row>
    <row r="857">
      <c r="A857" s="7" t="n">
        <v>854</v>
      </c>
      <c r="B857" s="7" t="inlineStr">
        <is>
          <t>2025-12-03</t>
        </is>
      </c>
      <c r="C857" s="7" t="inlineStr">
        <is>
          <t>三</t>
        </is>
      </c>
      <c r="D857" s="8" t="n">
        <v>2127.5</v>
      </c>
      <c r="E857" s="7" t="n">
        <v>2025</v>
      </c>
      <c r="F857" s="7" t="n">
        <v>49</v>
      </c>
      <c r="G857" s="7" t="inlineStr">
        <is>
          <t>2025-12-03</t>
        </is>
      </c>
      <c r="H857" s="9" t="inlineStr">
        <is>
          <t>https://www.100ppi.com/news/detail-20251203-5028514.html</t>
        </is>
      </c>
      <c r="I857" s="7" t="inlineStr">
        <is>
          <t>12月3日生意社甲醇基准价为2127.50元/吨</t>
        </is>
      </c>
    </row>
    <row r="858">
      <c r="A858" s="7" t="n">
        <v>855</v>
      </c>
      <c r="B858" s="7" t="inlineStr">
        <is>
          <t>2025-12-04</t>
        </is>
      </c>
      <c r="C858" s="7" t="inlineStr">
        <is>
          <t>四</t>
        </is>
      </c>
      <c r="D858" s="8" t="n">
        <v>2115</v>
      </c>
      <c r="E858" s="7" t="n">
        <v>2025</v>
      </c>
      <c r="F858" s="7" t="n">
        <v>49</v>
      </c>
      <c r="G858" s="7" t="inlineStr">
        <is>
          <t>2025-12-04</t>
        </is>
      </c>
      <c r="H858" s="9" t="inlineStr">
        <is>
          <t>https://www.100ppi.com/news/detail-20251204-5032924.html</t>
        </is>
      </c>
      <c r="I858" s="7" t="inlineStr">
        <is>
          <t>12月4日生意社甲醇基准价为2115.00元/吨</t>
        </is>
      </c>
    </row>
    <row r="859">
      <c r="A859" s="7" t="n">
        <v>856</v>
      </c>
      <c r="B859" s="7" t="inlineStr">
        <is>
          <t>2025-12-05</t>
        </is>
      </c>
      <c r="C859" s="7" t="inlineStr">
        <is>
          <t>五</t>
        </is>
      </c>
      <c r="D859" s="8" t="n">
        <v>2100</v>
      </c>
      <c r="E859" s="7" t="n">
        <v>2025</v>
      </c>
      <c r="F859" s="7" t="n">
        <v>49</v>
      </c>
      <c r="G859" s="7" t="inlineStr">
        <is>
          <t>2025-12-05</t>
        </is>
      </c>
      <c r="H859" s="9" t="inlineStr">
        <is>
          <t>https://www.100ppi.com/news/detail-20251205-5037459.html</t>
        </is>
      </c>
      <c r="I859" s="7" t="inlineStr">
        <is>
          <t>12月5日生意社甲醇基准价为2100.00元/吨</t>
        </is>
      </c>
    </row>
    <row r="860">
      <c r="A860" s="7" t="n">
        <v>857</v>
      </c>
      <c r="B860" s="7" t="inlineStr">
        <is>
          <t>2025-12-08</t>
        </is>
      </c>
      <c r="C860" s="7" t="inlineStr">
        <is>
          <t>一</t>
        </is>
      </c>
      <c r="D860" s="8" t="n">
        <v>2078.33</v>
      </c>
      <c r="E860" s="7" t="n">
        <v>2025</v>
      </c>
      <c r="F860" s="7" t="n">
        <v>50</v>
      </c>
      <c r="G860" s="7" t="inlineStr">
        <is>
          <t>2025-12-08</t>
        </is>
      </c>
      <c r="H860" s="9" t="inlineStr">
        <is>
          <t>https://www.100ppi.com/news/detail-20251208-5043895.html</t>
        </is>
      </c>
      <c r="I860" s="7" t="inlineStr">
        <is>
          <t>12月8日生意社甲醇基准价为2078.33元/吨</t>
        </is>
      </c>
    </row>
    <row r="861">
      <c r="A861" s="7" t="n">
        <v>858</v>
      </c>
      <c r="B861" s="7" t="inlineStr">
        <is>
          <t>2025-12-09</t>
        </is>
      </c>
      <c r="C861" s="7" t="inlineStr">
        <is>
          <t>二</t>
        </is>
      </c>
      <c r="D861" s="8" t="n">
        <v>2090</v>
      </c>
      <c r="E861" s="7" t="n">
        <v>2025</v>
      </c>
      <c r="F861" s="7" t="n">
        <v>50</v>
      </c>
      <c r="G861" s="7" t="inlineStr">
        <is>
          <t>2025-12-09</t>
        </is>
      </c>
      <c r="H861" s="9" t="inlineStr">
        <is>
          <t>https://www.100ppi.com/news/detail-20251209-5048296.html</t>
        </is>
      </c>
      <c r="I861" s="7" t="inlineStr">
        <is>
          <t>12月9日生意社甲醇基准价为2090.00元/吨</t>
        </is>
      </c>
    </row>
    <row r="862">
      <c r="A862" s="7" t="n">
        <v>859</v>
      </c>
      <c r="B862" s="7" t="inlineStr">
        <is>
          <t>2025-12-10</t>
        </is>
      </c>
      <c r="C862" s="7" t="inlineStr">
        <is>
          <t>三</t>
        </is>
      </c>
      <c r="D862" s="8" t="n">
        <v>2080</v>
      </c>
      <c r="E862" s="7" t="n">
        <v>2025</v>
      </c>
      <c r="F862" s="7" t="n">
        <v>50</v>
      </c>
      <c r="G862" s="7" t="inlineStr">
        <is>
          <t>2025-12-10</t>
        </is>
      </c>
      <c r="H862" s="9" t="inlineStr">
        <is>
          <t>https://www.100ppi.com/news/detail-20251210-5053005.html</t>
        </is>
      </c>
      <c r="I862" s="7" t="inlineStr">
        <is>
          <t>12月10日生意社甲醇基准价为2080.00元/吨</t>
        </is>
      </c>
    </row>
    <row r="863">
      <c r="A863" s="7" t="n">
        <v>860</v>
      </c>
      <c r="B863" s="7" t="inlineStr">
        <is>
          <t>2025-12-11</t>
        </is>
      </c>
      <c r="C863" s="7" t="inlineStr">
        <is>
          <t>四</t>
        </is>
      </c>
      <c r="D863" s="8" t="n">
        <v>2080</v>
      </c>
      <c r="E863" s="7" t="n">
        <v>2025</v>
      </c>
      <c r="F863" s="7" t="n">
        <v>50</v>
      </c>
      <c r="G863" s="7" t="inlineStr">
        <is>
          <t>2025-12-11</t>
        </is>
      </c>
      <c r="H863" s="9" t="inlineStr">
        <is>
          <t>https://www.100ppi.com/news/detail-20251211-5057581.html</t>
        </is>
      </c>
      <c r="I863" s="7" t="inlineStr">
        <is>
          <t>12月11日生意社甲醇基准价为2080.00元/吨</t>
        </is>
      </c>
    </row>
    <row r="864">
      <c r="A864" s="7" t="n">
        <v>861</v>
      </c>
      <c r="B864" s="7" t="inlineStr">
        <is>
          <t>2025-12-12</t>
        </is>
      </c>
      <c r="C864" s="7" t="inlineStr">
        <is>
          <t>五</t>
        </is>
      </c>
      <c r="D864" s="8" t="n">
        <v>2104.17</v>
      </c>
      <c r="E864" s="7" t="n">
        <v>2025</v>
      </c>
      <c r="F864" s="7" t="n">
        <v>50</v>
      </c>
      <c r="G864" s="7" t="inlineStr">
        <is>
          <t>2025-12-12</t>
        </is>
      </c>
      <c r="H864" s="9" t="inlineStr">
        <is>
          <t>https://www.100ppi.com/news/detail-20251212-5062217.html</t>
        </is>
      </c>
      <c r="I864" s="7" t="inlineStr">
        <is>
          <t>12月12日生意社甲醇基准价为2104.17元/吨</t>
        </is>
      </c>
    </row>
    <row r="865">
      <c r="A865" s="7" t="n">
        <v>862</v>
      </c>
      <c r="B865" s="7" t="inlineStr">
        <is>
          <t>2025-12-15</t>
        </is>
      </c>
      <c r="C865" s="7" t="inlineStr">
        <is>
          <t>一</t>
        </is>
      </c>
      <c r="D865" s="8" t="n">
        <v>2105.83</v>
      </c>
      <c r="E865" s="7" t="n">
        <v>2025</v>
      </c>
      <c r="F865" s="7" t="n">
        <v>51</v>
      </c>
      <c r="G865" s="7" t="inlineStr">
        <is>
          <t>2025-12-15</t>
        </is>
      </c>
      <c r="H865" s="9" t="inlineStr">
        <is>
          <t>https://www.100ppi.com/news/detail-20251215-5069355.html</t>
        </is>
      </c>
      <c r="I865" s="7" t="inlineStr">
        <is>
          <t>12月15日生意社甲醇基准价为2105.83元/吨</t>
        </is>
      </c>
    </row>
    <row r="866">
      <c r="A866" s="7" t="n">
        <v>863</v>
      </c>
      <c r="B866" s="7" t="inlineStr">
        <is>
          <t>2025-12-16</t>
        </is>
      </c>
      <c r="C866" s="7" t="inlineStr">
        <is>
          <t>二</t>
        </is>
      </c>
      <c r="D866" s="8" t="n">
        <v>2102.5</v>
      </c>
      <c r="E866" s="7" t="n">
        <v>2025</v>
      </c>
      <c r="F866" s="7" t="n">
        <v>51</v>
      </c>
      <c r="G866" s="7" t="inlineStr">
        <is>
          <t>2025-12-16</t>
        </is>
      </c>
      <c r="H866" s="9" t="inlineStr">
        <is>
          <t>https://www.100ppi.com/news/detail-20251216-5073749.html</t>
        </is>
      </c>
      <c r="I866" s="7" t="inlineStr">
        <is>
          <t>12月16日生意社甲醇基准价为2102.50元/吨</t>
        </is>
      </c>
    </row>
    <row r="867">
      <c r="A867" s="7" t="n">
        <v>864</v>
      </c>
      <c r="B867" s="7" t="inlineStr">
        <is>
          <t>2025-12-17</t>
        </is>
      </c>
      <c r="C867" s="7" t="inlineStr">
        <is>
          <t>三</t>
        </is>
      </c>
      <c r="D867" s="8" t="n">
        <v>2113.33</v>
      </c>
      <c r="E867" s="7" t="n">
        <v>2025</v>
      </c>
      <c r="F867" s="7" t="n">
        <v>51</v>
      </c>
      <c r="G867" s="7" t="inlineStr">
        <is>
          <t>2025-12-17</t>
        </is>
      </c>
      <c r="H867" s="9" t="inlineStr">
        <is>
          <t>https://www.100ppi.com/news/detail-20251217-5078160.html</t>
        </is>
      </c>
      <c r="I867" s="7" t="inlineStr">
        <is>
          <t>12月17日生意社甲醇基准价为2113.33元/吨</t>
        </is>
      </c>
    </row>
    <row r="868">
      <c r="A868" s="7" t="n">
        <v>865</v>
      </c>
      <c r="B868" s="7" t="inlineStr">
        <is>
          <t>2025-12-18</t>
        </is>
      </c>
      <c r="C868" s="7" t="inlineStr">
        <is>
          <t>四</t>
        </is>
      </c>
      <c r="D868" s="8" t="n">
        <v>2126.67</v>
      </c>
      <c r="E868" s="7" t="n">
        <v>2025</v>
      </c>
      <c r="F868" s="7" t="n">
        <v>51</v>
      </c>
      <c r="G868" s="7" t="inlineStr">
        <is>
          <t>2025-12-18</t>
        </is>
      </c>
      <c r="H868" s="9" t="inlineStr">
        <is>
          <t>https://www.100ppi.com/news/detail-20251218-5082556.html</t>
        </is>
      </c>
      <c r="I868" s="7" t="inlineStr">
        <is>
          <t>12月18日生意社甲醇基准价为2126.67元/吨</t>
        </is>
      </c>
    </row>
    <row r="869">
      <c r="A869" s="7" t="n">
        <v>866</v>
      </c>
      <c r="B869" s="7" t="inlineStr">
        <is>
          <t>2025-12-19</t>
        </is>
      </c>
      <c r="C869" s="7" t="inlineStr">
        <is>
          <t>五</t>
        </is>
      </c>
      <c r="D869" s="8" t="n">
        <v>2157.5</v>
      </c>
      <c r="E869" s="7" t="n">
        <v>2025</v>
      </c>
      <c r="F869" s="7" t="n">
        <v>51</v>
      </c>
      <c r="G869" s="7" t="inlineStr">
        <is>
          <t>2025-12-19</t>
        </is>
      </c>
      <c r="H869" s="9" t="inlineStr">
        <is>
          <t>https://www.100ppi.com/news/detail-20251219-5086879.html</t>
        </is>
      </c>
      <c r="I869" s="7" t="inlineStr">
        <is>
          <t>12月19日生意社甲醇基准价为2157.50元/吨</t>
        </is>
      </c>
    </row>
    <row r="870">
      <c r="A870" s="7" t="n">
        <v>867</v>
      </c>
      <c r="B870" s="7" t="inlineStr">
        <is>
          <t>2025-12-22</t>
        </is>
      </c>
      <c r="C870" s="7" t="inlineStr">
        <is>
          <t>一</t>
        </is>
      </c>
      <c r="D870" s="8" t="n">
        <v>2140</v>
      </c>
      <c r="E870" s="7" t="n">
        <v>2025</v>
      </c>
      <c r="F870" s="7" t="n">
        <v>52</v>
      </c>
      <c r="G870" s="7" t="inlineStr">
        <is>
          <t>2025-12-22</t>
        </is>
      </c>
      <c r="H870" s="9" t="inlineStr">
        <is>
          <t>https://www.100ppi.com/news/detail-20251222-5092927.html</t>
        </is>
      </c>
      <c r="I870" s="7" t="inlineStr">
        <is>
          <t>12月22日生意社甲醇基准价为2140.00元/吨</t>
        </is>
      </c>
    </row>
    <row r="871">
      <c r="A871" s="7" t="n">
        <v>868</v>
      </c>
      <c r="B871" s="7" t="inlineStr">
        <is>
          <t>2025-12-23</t>
        </is>
      </c>
      <c r="C871" s="7" t="inlineStr">
        <is>
          <t>二</t>
        </is>
      </c>
      <c r="D871" s="8" t="n">
        <v>2140</v>
      </c>
      <c r="E871" s="7" t="n">
        <v>2025</v>
      </c>
      <c r="F871" s="7" t="n">
        <v>52</v>
      </c>
      <c r="G871" s="7" t="inlineStr">
        <is>
          <t>2025-12-23</t>
        </is>
      </c>
      <c r="H871" s="9" t="inlineStr">
        <is>
          <t>https://www.100ppi.com/news/detail-20251223-5097566.html</t>
        </is>
      </c>
      <c r="I871" s="7" t="inlineStr">
        <is>
          <t>12月23日生意社甲醇基准价为2140.00元/吨</t>
        </is>
      </c>
    </row>
    <row r="872">
      <c r="A872" s="7" t="n">
        <v>869</v>
      </c>
      <c r="B872" s="7" t="inlineStr">
        <is>
          <t>2025-12-24</t>
        </is>
      </c>
      <c r="C872" s="7" t="inlineStr">
        <is>
          <t>三</t>
        </is>
      </c>
      <c r="D872" s="8" t="n">
        <v>2150.83</v>
      </c>
      <c r="E872" s="7" t="n">
        <v>2025</v>
      </c>
      <c r="F872" s="7" t="n">
        <v>52</v>
      </c>
      <c r="G872" s="7" t="inlineStr">
        <is>
          <t>2025-12-24</t>
        </is>
      </c>
      <c r="H872" s="9" t="inlineStr">
        <is>
          <t>https://www.100ppi.com/news/detail-20251224-5103090.html</t>
        </is>
      </c>
      <c r="I872" s="7" t="inlineStr">
        <is>
          <t>12月24日生意社甲醇基准价为2150.83元/吨</t>
        </is>
      </c>
    </row>
    <row r="873">
      <c r="A873" s="7" t="n">
        <v>870</v>
      </c>
      <c r="B873" s="7" t="inlineStr">
        <is>
          <t>2025-12-25</t>
        </is>
      </c>
      <c r="C873" s="7" t="inlineStr">
        <is>
          <t>四</t>
        </is>
      </c>
      <c r="D873" s="8" t="n">
        <v>2160</v>
      </c>
      <c r="E873" s="7" t="n">
        <v>2025</v>
      </c>
      <c r="F873" s="7" t="n">
        <v>52</v>
      </c>
      <c r="G873" s="7" t="inlineStr">
        <is>
          <t>2025-12-25</t>
        </is>
      </c>
      <c r="H873" s="9" t="inlineStr">
        <is>
          <t>https://www.100ppi.com/news/detail-20251225-5108499.html</t>
        </is>
      </c>
      <c r="I873" s="7" t="inlineStr">
        <is>
          <t>12月25日生意社甲醇基准价为2160.00元/吨</t>
        </is>
      </c>
    </row>
    <row r="874">
      <c r="A874" s="7" t="n">
        <v>871</v>
      </c>
      <c r="B874" s="7" t="inlineStr">
        <is>
          <t>2025-12-26</t>
        </is>
      </c>
      <c r="C874" s="7" t="inlineStr">
        <is>
          <t>五</t>
        </is>
      </c>
      <c r="D874" s="8" t="n">
        <v>2150</v>
      </c>
      <c r="E874" s="7" t="n">
        <v>2025</v>
      </c>
      <c r="F874" s="7" t="n">
        <v>52</v>
      </c>
      <c r="G874" s="7" t="inlineStr">
        <is>
          <t>2025-12-26</t>
        </is>
      </c>
      <c r="H874" s="9" t="inlineStr">
        <is>
          <t>https://www.100ppi.com/news/detail-20251226-5113346.html</t>
        </is>
      </c>
      <c r="I874" s="7" t="inlineStr">
        <is>
          <t>12月26日生意社甲醇基准价为2150.00元/吨</t>
        </is>
      </c>
    </row>
    <row r="875">
      <c r="A875" s="7" t="n">
        <v>872</v>
      </c>
      <c r="B875" s="7" t="inlineStr">
        <is>
          <t>2025-12-29</t>
        </is>
      </c>
      <c r="C875" s="7" t="inlineStr">
        <is>
          <t>一</t>
        </is>
      </c>
      <c r="D875" s="8" t="n">
        <v>2149.17</v>
      </c>
      <c r="E875" s="7" t="n">
        <v>2026</v>
      </c>
      <c r="F875" s="7" t="n">
        <v>1</v>
      </c>
      <c r="G875" s="7" t="inlineStr">
        <is>
          <t>2025-12-29</t>
        </is>
      </c>
      <c r="H875" s="9" t="inlineStr">
        <is>
          <t>https://www.100ppi.com/news/detail-20251229-5120997.html</t>
        </is>
      </c>
      <c r="I875" s="7" t="inlineStr">
        <is>
          <t>12月29日生意社甲醇基准价为2149.17元/吨</t>
        </is>
      </c>
    </row>
    <row r="876">
      <c r="A876" s="7" t="n">
        <v>873</v>
      </c>
      <c r="B876" s="7" t="inlineStr">
        <is>
          <t>2025-12-30</t>
        </is>
      </c>
      <c r="C876" s="7" t="inlineStr">
        <is>
          <t>二</t>
        </is>
      </c>
      <c r="D876" s="8" t="n">
        <v>2154.17</v>
      </c>
      <c r="E876" s="7" t="n">
        <v>2026</v>
      </c>
      <c r="F876" s="7" t="n">
        <v>1</v>
      </c>
      <c r="G876" s="7" t="inlineStr">
        <is>
          <t>2025-12-30</t>
        </is>
      </c>
      <c r="H876" s="9" t="inlineStr">
        <is>
          <t>https://www.100ppi.com/news/detail-20251230-5126486.html</t>
        </is>
      </c>
      <c r="I876" s="7" t="inlineStr">
        <is>
          <t>12月30日生意社甲醇基准价为2154.17元/吨</t>
        </is>
      </c>
    </row>
    <row r="877">
      <c r="A877" s="7" t="n">
        <v>874</v>
      </c>
      <c r="B877" s="7" t="inlineStr">
        <is>
          <t>2025-12-31</t>
        </is>
      </c>
      <c r="C877" s="7" t="inlineStr">
        <is>
          <t>三</t>
        </is>
      </c>
      <c r="D877" s="8" t="n">
        <v>2200</v>
      </c>
      <c r="E877" s="7" t="n">
        <v>2026</v>
      </c>
      <c r="F877" s="7" t="n">
        <v>1</v>
      </c>
      <c r="G877" s="7" t="inlineStr">
        <is>
          <t>2025-12-31</t>
        </is>
      </c>
      <c r="H877" s="9" t="inlineStr">
        <is>
          <t>https://www.100ppi.com/news/detail-20251231-5132001.html</t>
        </is>
      </c>
      <c r="I877" s="7" t="inlineStr">
        <is>
          <t>12月31日生意社甲醇基准价为2200.00元/吨</t>
        </is>
      </c>
    </row>
    <row r="878">
      <c r="A878" s="7" t="n">
        <v>875</v>
      </c>
      <c r="B878" s="7" t="inlineStr">
        <is>
          <t>2026-01-01</t>
        </is>
      </c>
      <c r="C878" s="7" t="inlineStr">
        <is>
          <t>四</t>
        </is>
      </c>
      <c r="D878" s="8" t="n">
        <v>2207.5</v>
      </c>
      <c r="E878" s="7" t="n">
        <v>2026</v>
      </c>
      <c r="F878" s="7" t="n">
        <v>1</v>
      </c>
      <c r="G878" s="7" t="inlineStr">
        <is>
          <t>2026-01-01</t>
        </is>
      </c>
      <c r="H878" s="9" t="inlineStr">
        <is>
          <t>https://www.100ppi.com/news/detail-20260101-5137482.html</t>
        </is>
      </c>
      <c r="I878" s="7" t="inlineStr">
        <is>
          <t>1月1日生意社甲醇基准价为2207.50元/吨</t>
        </is>
      </c>
    </row>
    <row r="879">
      <c r="A879" s="7" t="n">
        <v>876</v>
      </c>
      <c r="B879" s="7" t="inlineStr">
        <is>
          <t>2026-01-02</t>
        </is>
      </c>
      <c r="C879" s="7" t="inlineStr">
        <is>
          <t>五</t>
        </is>
      </c>
      <c r="D879" s="8" t="n">
        <v>2207.5</v>
      </c>
      <c r="E879" s="7" t="n">
        <v>2026</v>
      </c>
      <c r="F879" s="7" t="n">
        <v>1</v>
      </c>
      <c r="G879" s="7" t="inlineStr">
        <is>
          <t>2026-01-02</t>
        </is>
      </c>
      <c r="H879" s="9" t="inlineStr">
        <is>
          <t>https://www.100ppi.com/news/detail-20260102-5138649.html</t>
        </is>
      </c>
      <c r="I879" s="7" t="inlineStr">
        <is>
          <t>1月2日生意社甲醇基准价为2207.50元/吨</t>
        </is>
      </c>
    </row>
    <row r="880">
      <c r="A880" s="7" t="n">
        <v>877</v>
      </c>
      <c r="B880" s="7" t="inlineStr">
        <is>
          <t>2026-01-05</t>
        </is>
      </c>
      <c r="C880" s="7" t="inlineStr">
        <is>
          <t>一</t>
        </is>
      </c>
      <c r="D880" s="8" t="n">
        <v>2245</v>
      </c>
      <c r="E880" s="7" t="n">
        <v>2026</v>
      </c>
      <c r="F880" s="7" t="n">
        <v>2</v>
      </c>
      <c r="G880" s="7" t="inlineStr">
        <is>
          <t>2026-01-05</t>
        </is>
      </c>
      <c r="H880" s="9" t="inlineStr">
        <is>
          <t>https://www.100ppi.com/news/detail-20260105-5145727.html</t>
        </is>
      </c>
      <c r="I880" s="7" t="inlineStr">
        <is>
          <t>1月5日生意社甲醇基准价为2245.00元/吨</t>
        </is>
      </c>
    </row>
    <row r="881">
      <c r="A881" s="7" t="n">
        <v>878</v>
      </c>
      <c r="B881" s="7" t="inlineStr">
        <is>
          <t>2026-01-06</t>
        </is>
      </c>
      <c r="C881" s="7" t="inlineStr">
        <is>
          <t>二</t>
        </is>
      </c>
      <c r="D881" s="8" t="n">
        <v>2224.17</v>
      </c>
      <c r="E881" s="7" t="n">
        <v>2026</v>
      </c>
      <c r="F881" s="7" t="n">
        <v>2</v>
      </c>
      <c r="G881" s="7" t="inlineStr">
        <is>
          <t>2026-01-06</t>
        </is>
      </c>
      <c r="H881" s="9" t="inlineStr">
        <is>
          <t>https://www.100ppi.com/news/detail-20260106-5151226.html</t>
        </is>
      </c>
      <c r="I881" s="7" t="inlineStr">
        <is>
          <t>1月6日生意社甲醇基准价为2224.17元/吨</t>
        </is>
      </c>
    </row>
    <row r="882">
      <c r="A882" s="7" t="n">
        <v>879</v>
      </c>
      <c r="B882" s="7" t="inlineStr">
        <is>
          <t>2026-01-07</t>
        </is>
      </c>
      <c r="C882" s="7" t="inlineStr">
        <is>
          <t>三</t>
        </is>
      </c>
      <c r="D882" s="8" t="n">
        <v>2277.5</v>
      </c>
      <c r="E882" s="7" t="n">
        <v>2026</v>
      </c>
      <c r="F882" s="7" t="n">
        <v>2</v>
      </c>
      <c r="G882" s="7" t="inlineStr">
        <is>
          <t>2026-01-07</t>
        </is>
      </c>
      <c r="H882" s="9" t="inlineStr">
        <is>
          <t>https://www.100ppi.com/news/detail-20260107-5156889.html</t>
        </is>
      </c>
      <c r="I882" s="7" t="inlineStr">
        <is>
          <t>1月7日生意社甲醇基准价为2277.50元/吨</t>
        </is>
      </c>
    </row>
    <row r="883">
      <c r="A883" s="7" t="n">
        <v>880</v>
      </c>
      <c r="B883" s="7" t="inlineStr">
        <is>
          <t>2026-01-08</t>
        </is>
      </c>
      <c r="C883" s="7" t="inlineStr">
        <is>
          <t>四</t>
        </is>
      </c>
      <c r="D883" s="8" t="n">
        <v>2277.5</v>
      </c>
      <c r="E883" s="7" t="n">
        <v>2026</v>
      </c>
      <c r="F883" s="7" t="n">
        <v>2</v>
      </c>
      <c r="G883" s="7" t="inlineStr">
        <is>
          <t>2026-01-08</t>
        </is>
      </c>
      <c r="H883" s="9" t="inlineStr">
        <is>
          <t>https://www.100ppi.com/news/detail-20260108-5162215.html</t>
        </is>
      </c>
      <c r="I883" s="7" t="inlineStr">
        <is>
          <t>1月8日生意社甲醇基准价为2277.50元/吨</t>
        </is>
      </c>
    </row>
    <row r="884">
      <c r="A884" s="7" t="n">
        <v>881</v>
      </c>
      <c r="B884" s="7" t="inlineStr">
        <is>
          <t>2026-01-09</t>
        </is>
      </c>
      <c r="C884" s="7" t="inlineStr">
        <is>
          <t>五</t>
        </is>
      </c>
      <c r="D884" s="8" t="n">
        <v>2240.83</v>
      </c>
      <c r="E884" s="7" t="n">
        <v>2026</v>
      </c>
      <c r="F884" s="7" t="n">
        <v>2</v>
      </c>
      <c r="G884" s="7" t="inlineStr">
        <is>
          <t>2026-01-09</t>
        </is>
      </c>
      <c r="H884" s="9" t="inlineStr">
        <is>
          <t>https://www.100ppi.com/news/detail-20260109-5167527.html</t>
        </is>
      </c>
      <c r="I884" s="7" t="inlineStr">
        <is>
          <t>1月9日生意社甲醇基准价为2240.83元/吨</t>
        </is>
      </c>
    </row>
    <row r="885">
      <c r="A885" s="7" t="n">
        <v>882</v>
      </c>
      <c r="B885" s="7" t="inlineStr">
        <is>
          <t>2026-01-12</t>
        </is>
      </c>
      <c r="C885" s="7" t="inlineStr">
        <is>
          <t>一</t>
        </is>
      </c>
      <c r="D885" s="8" t="n">
        <v>2265.83</v>
      </c>
      <c r="E885" s="7" t="n">
        <v>2026</v>
      </c>
      <c r="F885" s="7" t="n">
        <v>3</v>
      </c>
      <c r="G885" s="7" t="inlineStr">
        <is>
          <t>2026-01-12</t>
        </is>
      </c>
      <c r="H885" s="9" t="inlineStr">
        <is>
          <t>https://www.100ppi.com/news/detail-20260112-5175643.html</t>
        </is>
      </c>
      <c r="I885" s="7" t="inlineStr">
        <is>
          <t>1月12日生意社甲醇基准价为2265.83元/吨</t>
        </is>
      </c>
    </row>
    <row r="886">
      <c r="A886" s="7" t="n">
        <v>883</v>
      </c>
      <c r="B886" s="7" t="inlineStr">
        <is>
          <t>2026-01-13</t>
        </is>
      </c>
      <c r="C886" s="7" t="inlineStr">
        <is>
          <t>二</t>
        </is>
      </c>
      <c r="D886" s="8" t="n">
        <v>2253.33</v>
      </c>
      <c r="E886" s="7" t="n">
        <v>2026</v>
      </c>
      <c r="F886" s="7" t="n">
        <v>3</v>
      </c>
      <c r="G886" s="7" t="inlineStr">
        <is>
          <t>2026-01-13</t>
        </is>
      </c>
      <c r="H886" s="9" t="inlineStr">
        <is>
          <t>https://www.100ppi.com/news/detail-20260113-5181073.html</t>
        </is>
      </c>
      <c r="I886" s="7" t="inlineStr">
        <is>
          <t>1月13日生意社甲醇基准价为2253.33元/吨</t>
        </is>
      </c>
    </row>
    <row r="887">
      <c r="A887" s="7" t="n">
        <v>884</v>
      </c>
      <c r="B887" s="7" t="inlineStr">
        <is>
          <t>2026-01-14</t>
        </is>
      </c>
      <c r="C887" s="7" t="inlineStr">
        <is>
          <t>三</t>
        </is>
      </c>
      <c r="D887" s="8" t="n">
        <v>2244.17</v>
      </c>
      <c r="E887" s="7" t="n">
        <v>2026</v>
      </c>
      <c r="F887" s="7" t="n">
        <v>3</v>
      </c>
      <c r="G887" s="7" t="inlineStr">
        <is>
          <t>2026-01-14</t>
        </is>
      </c>
      <c r="H887" s="9" t="inlineStr">
        <is>
          <t>https://www.100ppi.com/news/detail-20260114-5185941.html</t>
        </is>
      </c>
      <c r="I887" s="7" t="inlineStr">
        <is>
          <t>1月14日生意社甲醇基准价为2244.17元/吨</t>
        </is>
      </c>
    </row>
    <row r="888">
      <c r="A888" s="7" t="n">
        <v>885</v>
      </c>
      <c r="B888" s="7" t="inlineStr">
        <is>
          <t>2026-01-15</t>
        </is>
      </c>
      <c r="C888" s="7" t="inlineStr">
        <is>
          <t>四</t>
        </is>
      </c>
      <c r="D888" s="8" t="n">
        <v>2269.17</v>
      </c>
      <c r="E888" s="7" t="n">
        <v>2026</v>
      </c>
      <c r="F888" s="7" t="n">
        <v>3</v>
      </c>
      <c r="G888" s="7" t="inlineStr">
        <is>
          <t>2026-01-15</t>
        </is>
      </c>
      <c r="H888" s="9" t="inlineStr">
        <is>
          <t>https://www.100ppi.com/news/detail-20260115-5191292.html</t>
        </is>
      </c>
      <c r="I888" s="7" t="inlineStr">
        <is>
          <t>1月15日生意社甲醇基准价为2269.17元/吨</t>
        </is>
      </c>
    </row>
    <row r="889">
      <c r="A889" s="7" t="n">
        <v>886</v>
      </c>
      <c r="B889" s="7" t="inlineStr">
        <is>
          <t>2026-01-16</t>
        </is>
      </c>
      <c r="C889" s="7" t="inlineStr">
        <is>
          <t>五</t>
        </is>
      </c>
      <c r="D889" s="8" t="n">
        <v>2250.83</v>
      </c>
      <c r="E889" s="7" t="n">
        <v>2026</v>
      </c>
      <c r="F889" s="7" t="n">
        <v>3</v>
      </c>
      <c r="G889" s="7" t="inlineStr">
        <is>
          <t>2026-01-16</t>
        </is>
      </c>
      <c r="H889" s="9" t="inlineStr">
        <is>
          <t>https://www.100ppi.com/news/detail-20260116-5196465.html</t>
        </is>
      </c>
      <c r="I889" s="7" t="inlineStr">
        <is>
          <t>1月16日生意社甲醇基准价为2250.83元/吨</t>
        </is>
      </c>
    </row>
    <row r="890">
      <c r="A890" s="7" t="n">
        <v>887</v>
      </c>
      <c r="B890" s="7" t="inlineStr">
        <is>
          <t>2026-01-19</t>
        </is>
      </c>
      <c r="C890" s="7" t="inlineStr">
        <is>
          <t>一</t>
        </is>
      </c>
      <c r="D890" s="8" t="n">
        <v>2220</v>
      </c>
      <c r="E890" s="7" t="n">
        <v>2026</v>
      </c>
      <c r="F890" s="7" t="n">
        <v>4</v>
      </c>
      <c r="G890" s="7" t="inlineStr">
        <is>
          <t>2026-01-19</t>
        </is>
      </c>
      <c r="H890" s="9" t="inlineStr">
        <is>
          <t>https://www.100ppi.com/news/detail-20260119-5204790.html</t>
        </is>
      </c>
      <c r="I890" s="7" t="inlineStr">
        <is>
          <t>1月19日生意社甲醇基准价为2220.00元/吨</t>
        </is>
      </c>
    </row>
    <row r="891">
      <c r="A891" s="7" t="n">
        <v>888</v>
      </c>
      <c r="B891" s="7" t="inlineStr">
        <is>
          <t>2026-01-20</t>
        </is>
      </c>
      <c r="C891" s="7" t="inlineStr">
        <is>
          <t>二</t>
        </is>
      </c>
      <c r="D891" s="8" t="n">
        <v>2218.33</v>
      </c>
      <c r="E891" s="7" t="n">
        <v>2026</v>
      </c>
      <c r="F891" s="7" t="n">
        <v>4</v>
      </c>
      <c r="G891" s="7" t="inlineStr">
        <is>
          <t>2026-01-20</t>
        </is>
      </c>
      <c r="H891" s="9" t="inlineStr">
        <is>
          <t>https://www.100ppi.com/news/detail-20260120-5210484.html</t>
        </is>
      </c>
      <c r="I891" s="7" t="inlineStr">
        <is>
          <t>1月20日生意社甲醇基准价为2218.33元/吨</t>
        </is>
      </c>
    </row>
    <row r="892">
      <c r="A892" s="7" t="n">
        <v>889</v>
      </c>
      <c r="B892" s="7" t="inlineStr">
        <is>
          <t>2026-01-21</t>
        </is>
      </c>
      <c r="C892" s="7" t="inlineStr">
        <is>
          <t>三</t>
        </is>
      </c>
      <c r="D892" s="8" t="n">
        <v>2205</v>
      </c>
      <c r="E892" s="7" t="n">
        <v>2026</v>
      </c>
      <c r="F892" s="7" t="n">
        <v>4</v>
      </c>
      <c r="G892" s="7" t="inlineStr">
        <is>
          <t>2026-01-21</t>
        </is>
      </c>
      <c r="H892" s="9" t="inlineStr">
        <is>
          <t>https://www.100ppi.com/news/detail-20260121-5216142.html</t>
        </is>
      </c>
      <c r="I892" s="7" t="inlineStr">
        <is>
          <t>1月21日生意社甲醇基准价为2205.00元/吨</t>
        </is>
      </c>
    </row>
    <row r="893">
      <c r="A893" s="7" t="n">
        <v>890</v>
      </c>
      <c r="B893" s="7" t="inlineStr">
        <is>
          <t>2026-01-22</t>
        </is>
      </c>
      <c r="C893" s="7" t="inlineStr">
        <is>
          <t>四</t>
        </is>
      </c>
      <c r="D893" s="8" t="n">
        <v>2218.33</v>
      </c>
      <c r="E893" s="7" t="n">
        <v>2026</v>
      </c>
      <c r="F893" s="7" t="n">
        <v>4</v>
      </c>
      <c r="G893" s="7" t="inlineStr">
        <is>
          <t>2026-01-22</t>
        </is>
      </c>
      <c r="H893" s="9" t="inlineStr">
        <is>
          <t>https://www.100ppi.com/news/detail-20260122-5221768.html</t>
        </is>
      </c>
      <c r="I893" s="7" t="inlineStr">
        <is>
          <t>1月22日生意社甲醇基准价为2218.33元/吨</t>
        </is>
      </c>
    </row>
    <row r="894">
      <c r="A894" s="7" t="n">
        <v>891</v>
      </c>
      <c r="B894" s="7" t="inlineStr">
        <is>
          <t>2026-01-23</t>
        </is>
      </c>
      <c r="C894" s="7" t="inlineStr">
        <is>
          <t>五</t>
        </is>
      </c>
      <c r="D894" s="8" t="n">
        <v>2225.83</v>
      </c>
      <c r="E894" s="7" t="n">
        <v>2026</v>
      </c>
      <c r="F894" s="7" t="n">
        <v>4</v>
      </c>
      <c r="G894" s="7" t="inlineStr">
        <is>
          <t>2026-01-23</t>
        </is>
      </c>
      <c r="H894" s="9" t="inlineStr">
        <is>
          <t>https://www.100ppi.com/news/detail-20260123-5227224.html</t>
        </is>
      </c>
      <c r="I894" s="7" t="inlineStr">
        <is>
          <t>1月23日生意社甲醇基准价为2225.83元/吨</t>
        </is>
      </c>
    </row>
    <row r="895">
      <c r="A895" s="7" t="n">
        <v>892</v>
      </c>
      <c r="B895" s="7" t="inlineStr">
        <is>
          <t>2026-01-26</t>
        </is>
      </c>
      <c r="C895" s="7" t="inlineStr">
        <is>
          <t>一</t>
        </is>
      </c>
      <c r="D895" s="8" t="n">
        <v>2283.33</v>
      </c>
      <c r="E895" s="7" t="n">
        <v>2026</v>
      </c>
      <c r="F895" s="7" t="n">
        <v>5</v>
      </c>
      <c r="G895" s="7" t="inlineStr">
        <is>
          <t>2026-01-26</t>
        </is>
      </c>
      <c r="H895" s="9" t="inlineStr">
        <is>
          <t>https://www.100ppi.com/news/detail-20260126-5235980.html</t>
        </is>
      </c>
      <c r="I895" s="7" t="inlineStr">
        <is>
          <t>1月26日生意社甲醇基准价为2283.33元/吨</t>
        </is>
      </c>
    </row>
    <row r="896">
      <c r="A896" s="7" t="n">
        <v>893</v>
      </c>
      <c r="B896" s="7" t="inlineStr">
        <is>
          <t>2026-01-27</t>
        </is>
      </c>
      <c r="C896" s="7" t="inlineStr">
        <is>
          <t>二</t>
        </is>
      </c>
      <c r="D896" s="8" t="n">
        <v>2315</v>
      </c>
      <c r="E896" s="7" t="n">
        <v>2026</v>
      </c>
      <c r="F896" s="7" t="n">
        <v>5</v>
      </c>
      <c r="G896" s="7" t="inlineStr">
        <is>
          <t>2026-01-27</t>
        </is>
      </c>
      <c r="H896" s="9" t="inlineStr">
        <is>
          <t>https://www.100ppi.com/news/detail-20260127-5240480.html</t>
        </is>
      </c>
      <c r="I896" s="7" t="inlineStr">
        <is>
          <t>1月27日生意社甲醇基准价为2315.00元/吨</t>
        </is>
      </c>
    </row>
    <row r="897">
      <c r="A897" s="7" t="n">
        <v>894</v>
      </c>
      <c r="B897" s="7" t="inlineStr">
        <is>
          <t>2026-01-28</t>
        </is>
      </c>
      <c r="C897" s="7" t="inlineStr">
        <is>
          <t>三</t>
        </is>
      </c>
      <c r="D897" s="8" t="n">
        <v>2274.17</v>
      </c>
      <c r="E897" s="7" t="n">
        <v>2026</v>
      </c>
      <c r="F897" s="7" t="n">
        <v>5</v>
      </c>
      <c r="G897" s="7" t="inlineStr">
        <is>
          <t>2026-01-28</t>
        </is>
      </c>
      <c r="H897" s="9" t="inlineStr">
        <is>
          <t>https://www.100ppi.com/news/detail-20260128-5246018.html</t>
        </is>
      </c>
      <c r="I897" s="7" t="inlineStr">
        <is>
          <t>1月28日生意社甲醇基准价为2274.17元/吨</t>
        </is>
      </c>
    </row>
    <row r="898">
      <c r="A898" s="7" t="n">
        <v>895</v>
      </c>
      <c r="B898" s="7" t="inlineStr">
        <is>
          <t>2026-01-29</t>
        </is>
      </c>
      <c r="C898" s="7" t="inlineStr">
        <is>
          <t>四</t>
        </is>
      </c>
      <c r="D898" s="8" t="n">
        <v>2288.33</v>
      </c>
      <c r="E898" s="7" t="n">
        <v>2026</v>
      </c>
      <c r="F898" s="7" t="n">
        <v>5</v>
      </c>
      <c r="G898" s="7" t="inlineStr">
        <is>
          <t>2026-01-29</t>
        </is>
      </c>
      <c r="H898" s="9" t="inlineStr">
        <is>
          <t>https://www.100ppi.com/news/detail-20260129-5251640.html</t>
        </is>
      </c>
      <c r="I898" s="7" t="inlineStr">
        <is>
          <t>1月29日生意社甲醇基准价为2288.33元/吨</t>
        </is>
      </c>
    </row>
    <row r="899">
      <c r="A899" s="7" t="n">
        <v>896</v>
      </c>
      <c r="B899" s="7" t="inlineStr">
        <is>
          <t>2026-01-30</t>
        </is>
      </c>
      <c r="C899" s="7" t="inlineStr">
        <is>
          <t>五</t>
        </is>
      </c>
      <c r="D899" s="8" t="n">
        <v>2284.17</v>
      </c>
      <c r="E899" s="7" t="n">
        <v>2026</v>
      </c>
      <c r="F899" s="7" t="n">
        <v>5</v>
      </c>
      <c r="G899" s="7" t="inlineStr">
        <is>
          <t>2026-01-30</t>
        </is>
      </c>
      <c r="H899" s="9" t="inlineStr">
        <is>
          <t>https://www.100ppi.com/news/detail-20260130-5257030.html</t>
        </is>
      </c>
      <c r="I899" s="7" t="inlineStr">
        <is>
          <t>1月30日生意社甲醇基准价为2284.17元/吨</t>
        </is>
      </c>
    </row>
    <row r="900">
      <c r="A900" s="7" t="n">
        <v>897</v>
      </c>
      <c r="B900" s="7" t="inlineStr">
        <is>
          <t>2026-02-02</t>
        </is>
      </c>
      <c r="C900" s="7" t="inlineStr">
        <is>
          <t>一</t>
        </is>
      </c>
      <c r="D900" s="8" t="n">
        <v>2265</v>
      </c>
      <c r="E900" s="7" t="n">
        <v>2026</v>
      </c>
      <c r="F900" s="7" t="n">
        <v>6</v>
      </c>
      <c r="G900" s="7" t="inlineStr">
        <is>
          <t>2026-02-02</t>
        </is>
      </c>
      <c r="H900" s="9" t="inlineStr">
        <is>
          <t>https://www.100ppi.com/news/detail-20260202-5264864.html</t>
        </is>
      </c>
      <c r="I900" s="7" t="inlineStr">
        <is>
          <t>2月2日生意社甲醇基准价为2265.00元/吨</t>
        </is>
      </c>
    </row>
    <row r="901">
      <c r="A901" s="7" t="n">
        <v>898</v>
      </c>
      <c r="B901" s="7" t="inlineStr">
        <is>
          <t>2026-02-03</t>
        </is>
      </c>
      <c r="C901" s="7" t="inlineStr">
        <is>
          <t>二</t>
        </is>
      </c>
      <c r="D901" s="8" t="n">
        <v>2223.33</v>
      </c>
      <c r="E901" s="7" t="n">
        <v>2026</v>
      </c>
      <c r="F901" s="7" t="n">
        <v>6</v>
      </c>
      <c r="G901" s="7" t="inlineStr">
        <is>
          <t>2026-02-03</t>
        </is>
      </c>
      <c r="H901" s="9" t="inlineStr">
        <is>
          <t>https://www.100ppi.com/news/detail-20260203-5270430.html</t>
        </is>
      </c>
      <c r="I901" s="7" t="inlineStr">
        <is>
          <t>2月3日生意社甲醇基准价为2223.33元/吨</t>
        </is>
      </c>
    </row>
    <row r="902">
      <c r="A902" s="7" t="n">
        <v>899</v>
      </c>
      <c r="B902" s="7" t="inlineStr">
        <is>
          <t>2026-02-04</t>
        </is>
      </c>
      <c r="C902" s="7" t="inlineStr">
        <is>
          <t>三</t>
        </is>
      </c>
      <c r="D902" s="8" t="n">
        <v>2215</v>
      </c>
      <c r="E902" s="7" t="n">
        <v>2026</v>
      </c>
      <c r="F902" s="7" t="n">
        <v>6</v>
      </c>
      <c r="G902" s="7" t="inlineStr">
        <is>
          <t>2026-02-04</t>
        </is>
      </c>
      <c r="H902" s="9" t="inlineStr">
        <is>
          <t>https://www.100ppi.com/news/detail-20260204-5275951.html</t>
        </is>
      </c>
      <c r="I902" s="7" t="inlineStr">
        <is>
          <t>2月4日生意社甲醇基准价为2215.00元/吨</t>
        </is>
      </c>
    </row>
    <row r="903">
      <c r="A903" s="7" t="n">
        <v>900</v>
      </c>
      <c r="B903" s="7" t="inlineStr">
        <is>
          <t>2026-02-05</t>
        </is>
      </c>
      <c r="C903" s="7" t="inlineStr">
        <is>
          <t>四</t>
        </is>
      </c>
      <c r="D903" s="8" t="n">
        <v>2231.67</v>
      </c>
      <c r="E903" s="7" t="n">
        <v>2026</v>
      </c>
      <c r="F903" s="7" t="n">
        <v>6</v>
      </c>
      <c r="G903" s="7" t="inlineStr">
        <is>
          <t>2026-02-05</t>
        </is>
      </c>
      <c r="H903" s="9" t="inlineStr">
        <is>
          <t>https://www.100ppi.com/news/detail-20260205-5281255.html</t>
        </is>
      </c>
      <c r="I903" s="7" t="inlineStr">
        <is>
          <t>2月5日生意社甲醇基准价为2231.67元/吨</t>
        </is>
      </c>
    </row>
    <row r="904">
      <c r="A904" s="7" t="n">
        <v>901</v>
      </c>
      <c r="B904" s="7" t="inlineStr">
        <is>
          <t>2026-02-06</t>
        </is>
      </c>
      <c r="C904" s="7" t="inlineStr">
        <is>
          <t>五</t>
        </is>
      </c>
      <c r="D904" s="8" t="n">
        <v>2200</v>
      </c>
      <c r="E904" s="7" t="n">
        <v>2026</v>
      </c>
      <c r="F904" s="7" t="n">
        <v>6</v>
      </c>
      <c r="G904" s="7" t="inlineStr">
        <is>
          <t>2026-02-06</t>
        </is>
      </c>
      <c r="H904" s="9" t="inlineStr">
        <is>
          <t>https://www.100ppi.com/news/detail-20260206-5285554.html</t>
        </is>
      </c>
      <c r="I904" s="7" t="inlineStr">
        <is>
          <t>2月6日生意社甲醇基准价为2200.00元/吨</t>
        </is>
      </c>
    </row>
    <row r="905">
      <c r="A905" s="7" t="n">
        <v>902</v>
      </c>
      <c r="B905" s="7" t="inlineStr">
        <is>
          <t>2026-02-09</t>
        </is>
      </c>
      <c r="C905" s="7" t="inlineStr">
        <is>
          <t>一</t>
        </is>
      </c>
      <c r="D905" s="8" t="n">
        <v>2223.33</v>
      </c>
      <c r="E905" s="7" t="n">
        <v>2026</v>
      </c>
      <c r="F905" s="7" t="n">
        <v>7</v>
      </c>
      <c r="G905" s="7" t="inlineStr">
        <is>
          <t>2026-02-09</t>
        </is>
      </c>
      <c r="H905" s="9" t="inlineStr">
        <is>
          <t>https://www.100ppi.com/news/detail-20260209-5291911.html</t>
        </is>
      </c>
      <c r="I905" s="7" t="inlineStr">
        <is>
          <t>2月9日生意社甲醇基准价为2223.33元/吨</t>
        </is>
      </c>
    </row>
    <row r="906">
      <c r="A906" s="7" t="n">
        <v>903</v>
      </c>
      <c r="B906" s="7" t="inlineStr">
        <is>
          <t>2026-02-10</t>
        </is>
      </c>
      <c r="C906" s="7" t="inlineStr">
        <is>
          <t>二</t>
        </is>
      </c>
      <c r="D906" s="8" t="n">
        <v>2210</v>
      </c>
      <c r="E906" s="7" t="n">
        <v>2026</v>
      </c>
      <c r="F906" s="7" t="n">
        <v>7</v>
      </c>
      <c r="G906" s="7" t="inlineStr">
        <is>
          <t>2026-02-10</t>
        </is>
      </c>
      <c r="H906" s="9" t="inlineStr">
        <is>
          <t>https://www.100ppi.com/news/detail-20260210-5295493.html</t>
        </is>
      </c>
      <c r="I906" s="7" t="inlineStr">
        <is>
          <t>2月10日生意社甲醇基准价为2210.00元/吨</t>
        </is>
      </c>
    </row>
    <row r="907">
      <c r="A907" s="7" t="n">
        <v>904</v>
      </c>
      <c r="B907" s="7" t="inlineStr">
        <is>
          <t>2026-02-11</t>
        </is>
      </c>
      <c r="C907" s="7" t="inlineStr">
        <is>
          <t>三</t>
        </is>
      </c>
      <c r="D907" s="8" t="n">
        <v>2220</v>
      </c>
      <c r="E907" s="7" t="n">
        <v>2026</v>
      </c>
      <c r="F907" s="7" t="n">
        <v>7</v>
      </c>
      <c r="G907" s="7" t="inlineStr">
        <is>
          <t>2026-02-11</t>
        </is>
      </c>
      <c r="H907" s="9" t="inlineStr">
        <is>
          <t>https://www.100ppi.com/news/detail-20260211-5298143.html</t>
        </is>
      </c>
      <c r="I907" s="7" t="inlineStr">
        <is>
          <t>2月11日生意社甲醇基准价为2220.00元/吨</t>
        </is>
      </c>
    </row>
    <row r="908">
      <c r="A908" s="7" t="n">
        <v>905</v>
      </c>
      <c r="B908" s="7" t="inlineStr">
        <is>
          <t>2026-02-12</t>
        </is>
      </c>
      <c r="C908" s="7" t="inlineStr">
        <is>
          <t>四</t>
        </is>
      </c>
      <c r="D908" s="8" t="n">
        <v>2221.67</v>
      </c>
      <c r="E908" s="7" t="n">
        <v>2026</v>
      </c>
      <c r="F908" s="7" t="n">
        <v>7</v>
      </c>
      <c r="G908" s="7" t="inlineStr">
        <is>
          <t>2026-02-12</t>
        </is>
      </c>
      <c r="H908" s="9" t="inlineStr">
        <is>
          <t>https://www.100ppi.com/news/detail-20260212-5300619.html</t>
        </is>
      </c>
      <c r="I908" s="7" t="inlineStr">
        <is>
          <t>2月12日生意社甲醇基准价为2221.67元/吨</t>
        </is>
      </c>
    </row>
    <row r="909">
      <c r="A909" s="7" t="n">
        <v>906</v>
      </c>
      <c r="B909" s="7" t="inlineStr">
        <is>
          <t>2026-02-13</t>
        </is>
      </c>
      <c r="C909" s="7" t="inlineStr">
        <is>
          <t>五</t>
        </is>
      </c>
      <c r="D909" s="8" t="n">
        <v>2225</v>
      </c>
      <c r="E909" s="7" t="n">
        <v>2026</v>
      </c>
      <c r="F909" s="7" t="n">
        <v>7</v>
      </c>
      <c r="G909" s="7" t="inlineStr">
        <is>
          <t>2026-02-13</t>
        </is>
      </c>
      <c r="H909" s="9" t="inlineStr">
        <is>
          <t>https://www.100ppi.com/news/detail-20260213-5302196.html</t>
        </is>
      </c>
      <c r="I909" s="7" t="inlineStr">
        <is>
          <t>2月13日生意社甲醇基准价为2225.00元/吨</t>
        </is>
      </c>
    </row>
    <row r="910">
      <c r="A910" s="7" t="n">
        <v>907</v>
      </c>
      <c r="B910" s="7" t="inlineStr">
        <is>
          <t>2026-02-16</t>
        </is>
      </c>
      <c r="C910" s="7" t="inlineStr">
        <is>
          <t>一</t>
        </is>
      </c>
      <c r="D910" s="8" t="n">
        <v>2201.67</v>
      </c>
      <c r="E910" s="7" t="n">
        <v>2026</v>
      </c>
      <c r="F910" s="7" t="n">
        <v>8</v>
      </c>
      <c r="G910" s="7" t="inlineStr">
        <is>
          <t>2026-02-16</t>
        </is>
      </c>
      <c r="H910" s="9" t="inlineStr">
        <is>
          <t>https://www.100ppi.com/news/detail-20260216-5306300.html</t>
        </is>
      </c>
      <c r="I910" s="7" t="inlineStr">
        <is>
          <t>2月16日生意社甲醇基准价为2201.67元/吨</t>
        </is>
      </c>
    </row>
    <row r="911">
      <c r="A911" s="7" t="n">
        <v>908</v>
      </c>
      <c r="B911" s="7" t="inlineStr">
        <is>
          <t>2026-02-17</t>
        </is>
      </c>
      <c r="C911" s="7" t="inlineStr">
        <is>
          <t>二</t>
        </is>
      </c>
      <c r="D911" s="8" t="n">
        <v>2201.67</v>
      </c>
      <c r="E911" s="7" t="n">
        <v>2026</v>
      </c>
      <c r="F911" s="7" t="n">
        <v>8</v>
      </c>
      <c r="G911" s="7" t="inlineStr">
        <is>
          <t>2026-02-17</t>
        </is>
      </c>
      <c r="H911" s="9" t="inlineStr">
        <is>
          <t>https://www.100ppi.com/news/detail-20260217-5307051.html</t>
        </is>
      </c>
      <c r="I911" s="7" t="inlineStr">
        <is>
          <t>2月17日生意社甲醇基准价为2201.67元/吨</t>
        </is>
      </c>
    </row>
    <row r="912">
      <c r="A912" s="7" t="n">
        <v>909</v>
      </c>
      <c r="B912" s="7" t="inlineStr">
        <is>
          <t>2026-02-18</t>
        </is>
      </c>
      <c r="C912" s="7" t="inlineStr">
        <is>
          <t>三</t>
        </is>
      </c>
      <c r="D912" s="8" t="n">
        <v>2201.67</v>
      </c>
      <c r="E912" s="7" t="n">
        <v>2026</v>
      </c>
      <c r="F912" s="7" t="n">
        <v>8</v>
      </c>
      <c r="G912" s="7" t="inlineStr">
        <is>
          <t>2026-02-18</t>
        </is>
      </c>
      <c r="H912" s="9" t="inlineStr">
        <is>
          <t>https://www.100ppi.com/news/detail-20260218-5308409.html</t>
        </is>
      </c>
      <c r="I912" s="7" t="inlineStr">
        <is>
          <t>2月18日生意社甲醇基准价为2201.67元/吨</t>
        </is>
      </c>
    </row>
    <row r="913">
      <c r="A913" s="7" t="n">
        <v>910</v>
      </c>
      <c r="B913" s="7" t="inlineStr">
        <is>
          <t>2026-02-19</t>
        </is>
      </c>
      <c r="C913" s="7" t="inlineStr">
        <is>
          <t>四</t>
        </is>
      </c>
      <c r="D913" s="8" t="n">
        <v>2201.67</v>
      </c>
      <c r="E913" s="7" t="n">
        <v>2026</v>
      </c>
      <c r="F913" s="7" t="n">
        <v>8</v>
      </c>
      <c r="G913" s="7" t="inlineStr">
        <is>
          <t>2026-02-19</t>
        </is>
      </c>
      <c r="H913" s="9" t="inlineStr">
        <is>
          <t>https://www.100ppi.com/news/detail-20260219-5310051.html</t>
        </is>
      </c>
      <c r="I913" s="7" t="inlineStr">
        <is>
          <t>2月19日生意社甲醇基准价为2201.67元/吨</t>
        </is>
      </c>
    </row>
    <row r="914">
      <c r="A914" s="7" t="n">
        <v>911</v>
      </c>
      <c r="B914" s="7" t="inlineStr">
        <is>
          <t>2026-02-20</t>
        </is>
      </c>
      <c r="C914" s="7" t="inlineStr">
        <is>
          <t>五</t>
        </is>
      </c>
      <c r="D914" s="8" t="n">
        <v>2201.67</v>
      </c>
      <c r="E914" s="7" t="n">
        <v>2026</v>
      </c>
      <c r="F914" s="7" t="n">
        <v>8</v>
      </c>
      <c r="G914" s="7" t="inlineStr">
        <is>
          <t>2026-02-20</t>
        </is>
      </c>
      <c r="H914" s="9" t="inlineStr">
        <is>
          <t>https://www.100ppi.com/news/detail-20260220-5311414.html</t>
        </is>
      </c>
      <c r="I914" s="7" t="inlineStr">
        <is>
          <t>2月20日生意社甲醇基准价为2201.67元/吨</t>
        </is>
      </c>
    </row>
    <row r="915">
      <c r="A915" s="7" t="n">
        <v>912</v>
      </c>
      <c r="B915" s="7" t="inlineStr">
        <is>
          <t>2026-02-23</t>
        </is>
      </c>
      <c r="C915" s="7" t="inlineStr">
        <is>
          <t>一</t>
        </is>
      </c>
      <c r="D915" s="8" t="n">
        <v>2201.67</v>
      </c>
      <c r="E915" s="7" t="n">
        <v>2026</v>
      </c>
      <c r="F915" s="7" t="n">
        <v>9</v>
      </c>
      <c r="G915" s="7" t="inlineStr">
        <is>
          <t>2026-02-23</t>
        </is>
      </c>
      <c r="H915" s="9" t="inlineStr">
        <is>
          <t>https://www.100ppi.com/news/detail-20260223-5314179.html</t>
        </is>
      </c>
      <c r="I915" s="7" t="inlineStr">
        <is>
          <t>2月23日生意社甲醇基准价为2201.67元/吨</t>
        </is>
      </c>
    </row>
    <row r="916">
      <c r="A916" s="7" t="n">
        <v>913</v>
      </c>
      <c r="B916" s="7" t="inlineStr">
        <is>
          <t>2026-02-24</t>
        </is>
      </c>
      <c r="C916" s="7" t="inlineStr">
        <is>
          <t>二</t>
        </is>
      </c>
      <c r="D916" s="8" t="n">
        <v>2201.67</v>
      </c>
      <c r="E916" s="7" t="n">
        <v>2026</v>
      </c>
      <c r="F916" s="7" t="n">
        <v>9</v>
      </c>
      <c r="G916" s="7" t="inlineStr">
        <is>
          <t>2026-02-24</t>
        </is>
      </c>
      <c r="H916" s="9" t="inlineStr">
        <is>
          <t>https://www.100ppi.com/news/detail-20260224-5315924.html</t>
        </is>
      </c>
      <c r="I916" s="7" t="inlineStr">
        <is>
          <t>2月24日生意社甲醇基准价为2201.67元/吨</t>
        </is>
      </c>
    </row>
    <row r="917">
      <c r="A917" s="7" t="n">
        <v>914</v>
      </c>
      <c r="B917" s="7" t="inlineStr">
        <is>
          <t>2026-02-25</t>
        </is>
      </c>
      <c r="C917" s="7" t="inlineStr">
        <is>
          <t>三</t>
        </is>
      </c>
      <c r="D917" s="8" t="n">
        <v>2255.83</v>
      </c>
      <c r="E917" s="7" t="n">
        <v>2026</v>
      </c>
      <c r="F917" s="7" t="n">
        <v>9</v>
      </c>
      <c r="G917" s="7" t="inlineStr">
        <is>
          <t>2026-02-25</t>
        </is>
      </c>
      <c r="H917" s="9" t="inlineStr">
        <is>
          <t>https://www.100ppi.com/news/detail-20260225-5320310.html</t>
        </is>
      </c>
      <c r="I917" s="7" t="inlineStr">
        <is>
          <t>2月25日生意社甲醇基准价为2255.83元/吨</t>
        </is>
      </c>
    </row>
    <row r="918">
      <c r="A918" s="7" t="n">
        <v>915</v>
      </c>
      <c r="B918" s="7" t="inlineStr">
        <is>
          <t>2026-02-26</t>
        </is>
      </c>
      <c r="C918" s="7" t="inlineStr">
        <is>
          <t>四</t>
        </is>
      </c>
      <c r="D918" s="8" t="n">
        <v>2227.5</v>
      </c>
      <c r="E918" s="7" t="n">
        <v>2026</v>
      </c>
      <c r="F918" s="7" t="n">
        <v>9</v>
      </c>
      <c r="G918" s="7" t="inlineStr">
        <is>
          <t>2026-02-26</t>
        </is>
      </c>
      <c r="H918" s="9" t="inlineStr">
        <is>
          <t>https://www.100ppi.com/news/detail-20260226-5324825.html</t>
        </is>
      </c>
      <c r="I918" s="7" t="inlineStr">
        <is>
          <t>2月26日生意社甲醇基准价为2227.50元/吨</t>
        </is>
      </c>
    </row>
    <row r="919">
      <c r="A919" s="7" t="n">
        <v>916</v>
      </c>
      <c r="B919" s="7" t="inlineStr">
        <is>
          <t>2026-02-27</t>
        </is>
      </c>
      <c r="C919" s="7" t="inlineStr">
        <is>
          <t>五</t>
        </is>
      </c>
      <c r="D919" s="8" t="n">
        <v>2185.83</v>
      </c>
      <c r="E919" s="7" t="n">
        <v>2026</v>
      </c>
      <c r="F919" s="7" t="n">
        <v>9</v>
      </c>
      <c r="G919" s="7" t="inlineStr">
        <is>
          <t>2026-02-27</t>
        </is>
      </c>
      <c r="H919" s="9" t="inlineStr">
        <is>
          <t>https://www.100ppi.com/news/detail-20260227-5329363.html</t>
        </is>
      </c>
      <c r="I919" s="7" t="inlineStr">
        <is>
          <t>2月27日生意社甲醇基准价为2185.83元/吨</t>
        </is>
      </c>
    </row>
    <row r="920">
      <c r="A920" s="7" t="n">
        <v>917</v>
      </c>
      <c r="B920" s="7" t="inlineStr">
        <is>
          <t>2026-03-02</t>
        </is>
      </c>
      <c r="C920" s="7" t="inlineStr">
        <is>
          <t>一</t>
        </is>
      </c>
      <c r="D920" s="8" t="n">
        <v>2200</v>
      </c>
      <c r="E920" s="7" t="n">
        <v>2026</v>
      </c>
      <c r="F920" s="7" t="n">
        <v>10</v>
      </c>
      <c r="G920" s="7" t="inlineStr">
        <is>
          <t>2026-03-02</t>
        </is>
      </c>
      <c r="H920" s="9" t="inlineStr">
        <is>
          <t>https://www.100ppi.com/news/detail-20260302-5341087.html</t>
        </is>
      </c>
      <c r="I920" s="7" t="inlineStr">
        <is>
          <t>3月2日生意社甲醇基准价为2200.00元/吨</t>
        </is>
      </c>
    </row>
    <row r="921">
      <c r="A921" s="7" t="n">
        <v>918</v>
      </c>
      <c r="B921" s="7" t="inlineStr">
        <is>
          <t>2026-03-03</t>
        </is>
      </c>
      <c r="C921" s="7" t="inlineStr">
        <is>
          <t>二</t>
        </is>
      </c>
      <c r="D921" s="8" t="n">
        <v>2370</v>
      </c>
      <c r="E921" s="7" t="n">
        <v>2026</v>
      </c>
      <c r="F921" s="7" t="n">
        <v>10</v>
      </c>
      <c r="G921" s="7" t="inlineStr">
        <is>
          <t>2026-03-03</t>
        </is>
      </c>
      <c r="H921" s="9" t="inlineStr">
        <is>
          <t>https://www.100ppi.com/news/detail-20260303-5346337.html</t>
        </is>
      </c>
      <c r="I921" s="7" t="inlineStr">
        <is>
          <t>3月3日生意社甲醇基准价为2370.00元/吨</t>
        </is>
      </c>
    </row>
    <row r="922">
      <c r="A922" s="7" t="n">
        <v>919</v>
      </c>
      <c r="B922" s="7" t="inlineStr">
        <is>
          <t>2026-03-04</t>
        </is>
      </c>
      <c r="C922" s="7" t="inlineStr">
        <is>
          <t>三</t>
        </is>
      </c>
      <c r="D922" s="8" t="n">
        <v>2548.33</v>
      </c>
      <c r="E922" s="7" t="n">
        <v>2026</v>
      </c>
      <c r="F922" s="7" t="n">
        <v>10</v>
      </c>
      <c r="G922" s="7" t="inlineStr">
        <is>
          <t>2026-03-04</t>
        </is>
      </c>
      <c r="H922" s="9" t="inlineStr">
        <is>
          <t>https://www.100ppi.com/news/detail-20260304-5351618.html</t>
        </is>
      </c>
      <c r="I922" s="7" t="inlineStr">
        <is>
          <t>3月4日生意社甲醇基准价为2548.33元/吨</t>
        </is>
      </c>
    </row>
    <row r="923">
      <c r="A923" s="7" t="n">
        <v>920</v>
      </c>
      <c r="B923" s="7" t="inlineStr">
        <is>
          <t>2026-03-05</t>
        </is>
      </c>
      <c r="C923" s="7" t="inlineStr">
        <is>
          <t>四</t>
        </is>
      </c>
      <c r="D923" s="8" t="n">
        <v>2553.33</v>
      </c>
      <c r="E923" s="7" t="n">
        <v>2026</v>
      </c>
      <c r="F923" s="7" t="n">
        <v>10</v>
      </c>
      <c r="G923" s="7" t="inlineStr">
        <is>
          <t>2026-03-05</t>
        </is>
      </c>
      <c r="H923" s="9" t="inlineStr">
        <is>
          <t>https://www.100ppi.com/news/detail-20260305-5357431.html</t>
        </is>
      </c>
      <c r="I923" s="7" t="inlineStr">
        <is>
          <t>3月5日生意社甲醇基准价为2553.33元/吨</t>
        </is>
      </c>
    </row>
    <row r="924">
      <c r="A924" s="7" t="n">
        <v>921</v>
      </c>
      <c r="B924" s="7" t="inlineStr">
        <is>
          <t>2026-03-06</t>
        </is>
      </c>
      <c r="C924" s="7" t="inlineStr">
        <is>
          <t>五</t>
        </is>
      </c>
      <c r="D924" s="8" t="n">
        <v>2500</v>
      </c>
      <c r="E924" s="7" t="n">
        <v>2026</v>
      </c>
      <c r="F924" s="7" t="n">
        <v>10</v>
      </c>
      <c r="G924" s="7" t="inlineStr">
        <is>
          <t>2026-03-06</t>
        </is>
      </c>
      <c r="H924" s="9" t="inlineStr">
        <is>
          <t>https://www.100ppi.com/news/detail-20260306-5363144.html</t>
        </is>
      </c>
      <c r="I924" s="7" t="inlineStr">
        <is>
          <t>3月6日生意社甲醇基准价为2500.00元/吨</t>
        </is>
      </c>
    </row>
    <row r="925">
      <c r="A925" s="7" t="n">
        <v>922</v>
      </c>
      <c r="B925" s="7" t="inlineStr">
        <is>
          <t>2026-03-09</t>
        </is>
      </c>
      <c r="C925" s="7" t="inlineStr">
        <is>
          <t>一</t>
        </is>
      </c>
      <c r="D925" s="8" t="n">
        <v>2595</v>
      </c>
      <c r="E925" s="7" t="n">
        <v>2026</v>
      </c>
      <c r="F925" s="7" t="n">
        <v>11</v>
      </c>
      <c r="G925" s="7" t="inlineStr">
        <is>
          <t>2026-03-09</t>
        </is>
      </c>
      <c r="H925" s="9" t="inlineStr">
        <is>
          <t>https://www.100ppi.com/news/detail-20260309-5372014.html</t>
        </is>
      </c>
      <c r="I925" s="7" t="inlineStr">
        <is>
          <t>3月9日生意社甲醇基准价为2595.00元/吨</t>
        </is>
      </c>
    </row>
    <row r="926">
      <c r="A926" s="7" t="n">
        <v>923</v>
      </c>
      <c r="B926" s="7" t="inlineStr">
        <is>
          <t>2026-03-10</t>
        </is>
      </c>
      <c r="C926" s="7" t="inlineStr">
        <is>
          <t>二</t>
        </is>
      </c>
      <c r="D926" s="8" t="n">
        <v>2925</v>
      </c>
      <c r="E926" s="7" t="n">
        <v>2026</v>
      </c>
      <c r="F926" s="7" t="n">
        <v>11</v>
      </c>
      <c r="G926" s="7" t="inlineStr">
        <is>
          <t>2026-03-10</t>
        </is>
      </c>
      <c r="H926" s="9" t="inlineStr">
        <is>
          <t>https://www.100ppi.com/news/detail-20260310-5377832.html</t>
        </is>
      </c>
      <c r="I926" s="7" t="inlineStr">
        <is>
          <t>3月10日生意社甲醇基准价为2925.00元/吨</t>
        </is>
      </c>
    </row>
    <row r="927">
      <c r="A927" s="7" t="n">
        <v>924</v>
      </c>
      <c r="B927" s="7" t="inlineStr">
        <is>
          <t>2026-03-11</t>
        </is>
      </c>
      <c r="C927" s="7" t="inlineStr">
        <is>
          <t>三</t>
        </is>
      </c>
      <c r="D927" s="8" t="n">
        <v>2593.33</v>
      </c>
      <c r="E927" s="7" t="n">
        <v>2026</v>
      </c>
      <c r="F927" s="7" t="n">
        <v>11</v>
      </c>
      <c r="G927" s="7" t="inlineStr">
        <is>
          <t>2026-03-11</t>
        </is>
      </c>
      <c r="H927" s="9" t="inlineStr">
        <is>
          <t>https://www.100ppi.com/news/detail-20260311-5383405.html</t>
        </is>
      </c>
      <c r="I927" s="7" t="inlineStr">
        <is>
          <t>3月11日生意社甲醇基准价为2593.33元/吨</t>
        </is>
      </c>
    </row>
    <row r="928">
      <c r="A928" s="7" t="n">
        <v>925</v>
      </c>
      <c r="B928" s="7" t="inlineStr">
        <is>
          <t>2026-03-12</t>
        </is>
      </c>
      <c r="C928" s="7" t="inlineStr">
        <is>
          <t>四</t>
        </is>
      </c>
      <c r="D928" s="8" t="n">
        <v>2703.33</v>
      </c>
      <c r="E928" s="7" t="n">
        <v>2026</v>
      </c>
      <c r="F928" s="7" t="n">
        <v>11</v>
      </c>
      <c r="G928" s="7" t="inlineStr">
        <is>
          <t>2026-03-12</t>
        </is>
      </c>
      <c r="H928" s="9" t="inlineStr">
        <is>
          <t>https://www.100ppi.com/news/detail-20260312-5388651.html</t>
        </is>
      </c>
      <c r="I928" s="7" t="inlineStr">
        <is>
          <t>3月12日生意社甲醇基准价为2703.33元/吨</t>
        </is>
      </c>
    </row>
    <row r="929">
      <c r="A929" s="7" t="n">
        <v>926</v>
      </c>
      <c r="B929" s="7" t="inlineStr">
        <is>
          <t>2026-03-13</t>
        </is>
      </c>
      <c r="C929" s="7" t="inlineStr">
        <is>
          <t>五</t>
        </is>
      </c>
      <c r="D929" s="8" t="n">
        <v>2750</v>
      </c>
      <c r="E929" s="7" t="n">
        <v>2026</v>
      </c>
      <c r="F929" s="7" t="n">
        <v>11</v>
      </c>
      <c r="G929" s="7" t="inlineStr">
        <is>
          <t>2026-03-13</t>
        </is>
      </c>
      <c r="H929" s="9" t="inlineStr">
        <is>
          <t>https://www.100ppi.com/news/detail-20260313-5394371.html</t>
        </is>
      </c>
      <c r="I929" s="7" t="inlineStr">
        <is>
          <t>3月13日生意社甲醇基准价为2750.00元/吨</t>
        </is>
      </c>
    </row>
    <row r="930">
      <c r="A930" s="7" t="n">
        <v>927</v>
      </c>
      <c r="B930" s="7" t="inlineStr">
        <is>
          <t>2026-03-16</t>
        </is>
      </c>
      <c r="C930" s="7" t="inlineStr">
        <is>
          <t>一</t>
        </is>
      </c>
      <c r="D930" s="8" t="n">
        <v>2832.5</v>
      </c>
      <c r="E930" s="7" t="n">
        <v>2026</v>
      </c>
      <c r="F930" s="7" t="n">
        <v>12</v>
      </c>
      <c r="G930" s="7" t="inlineStr">
        <is>
          <t>2026-03-16</t>
        </is>
      </c>
      <c r="H930" s="9" t="inlineStr">
        <is>
          <t>https://www.100ppi.com/news/detail-20260316-5403165.html</t>
        </is>
      </c>
      <c r="I930" s="7" t="inlineStr">
        <is>
          <t>3月16日生意社甲醇基准价为2832.50元/吨</t>
        </is>
      </c>
    </row>
    <row r="931">
      <c r="A931" s="7" t="n">
        <v>928</v>
      </c>
      <c r="B931" s="7" t="inlineStr">
        <is>
          <t>2026-03-17</t>
        </is>
      </c>
      <c r="C931" s="7" t="inlineStr">
        <is>
          <t>二</t>
        </is>
      </c>
      <c r="D931" s="8" t="n">
        <v>2840.83</v>
      </c>
      <c r="E931" s="7" t="n">
        <v>2026</v>
      </c>
      <c r="F931" s="7" t="n">
        <v>12</v>
      </c>
      <c r="G931" s="7" t="inlineStr">
        <is>
          <t>2026-03-17</t>
        </is>
      </c>
      <c r="H931" s="9" t="inlineStr">
        <is>
          <t>https://www.100ppi.com/news/detail-20260317-5408922.html</t>
        </is>
      </c>
      <c r="I931" s="7" t="inlineStr">
        <is>
          <t>3月17日生意社甲醇基准价为2840.83元/吨</t>
        </is>
      </c>
    </row>
    <row r="932">
      <c r="A932" s="7" t="n">
        <v>929</v>
      </c>
      <c r="B932" s="7" t="inlineStr">
        <is>
          <t>2026-03-18</t>
        </is>
      </c>
      <c r="C932" s="7" t="inlineStr">
        <is>
          <t>三</t>
        </is>
      </c>
      <c r="D932" s="8" t="n">
        <v>2868.33</v>
      </c>
      <c r="E932" s="7" t="n">
        <v>2026</v>
      </c>
      <c r="F932" s="7" t="n">
        <v>12</v>
      </c>
      <c r="G932" s="7" t="inlineStr">
        <is>
          <t>2026-03-18</t>
        </is>
      </c>
      <c r="H932" s="9" t="inlineStr">
        <is>
          <t>https://www.100ppi.com/news/detail-20260318-5414305.html</t>
        </is>
      </c>
      <c r="I932" s="7" t="inlineStr">
        <is>
          <t>3月18日生意社甲醇基准价为2868.33元/吨</t>
        </is>
      </c>
    </row>
    <row r="933">
      <c r="A933" s="7" t="n">
        <v>930</v>
      </c>
      <c r="B933" s="7" t="inlineStr">
        <is>
          <t>2026-03-19</t>
        </is>
      </c>
      <c r="C933" s="7" t="inlineStr">
        <is>
          <t>四</t>
        </is>
      </c>
      <c r="D933" s="8" t="n">
        <v>2953.33</v>
      </c>
      <c r="E933" s="7" t="n">
        <v>2026</v>
      </c>
      <c r="F933" s="7" t="n">
        <v>12</v>
      </c>
      <c r="G933" s="7" t="inlineStr">
        <is>
          <t>2026-03-19</t>
        </is>
      </c>
      <c r="H933" s="9" t="inlineStr">
        <is>
          <t>https://www.100ppi.com/news/detail-20260319-5419909.html</t>
        </is>
      </c>
      <c r="I933" s="7" t="inlineStr">
        <is>
          <t>3月19日生意社甲醇基准价为2953.33元/吨</t>
        </is>
      </c>
    </row>
    <row r="934">
      <c r="A934" s="7" t="n">
        <v>931</v>
      </c>
      <c r="B934" s="7" t="inlineStr">
        <is>
          <t>2026-03-20</t>
        </is>
      </c>
      <c r="C934" s="7" t="inlineStr">
        <is>
          <t>五</t>
        </is>
      </c>
      <c r="D934" s="8" t="n">
        <v>3170</v>
      </c>
      <c r="E934" s="7" t="n">
        <v>2026</v>
      </c>
      <c r="F934" s="7" t="n">
        <v>12</v>
      </c>
      <c r="G934" s="7" t="inlineStr">
        <is>
          <t>2026-03-20</t>
        </is>
      </c>
      <c r="H934" s="9" t="inlineStr">
        <is>
          <t>https://www.100ppi.com/news/detail-20260320-5425500.html</t>
        </is>
      </c>
      <c r="I934" s="7" t="inlineStr">
        <is>
          <t>3月20日生意社甲醇基准价为3170.00元/吨</t>
        </is>
      </c>
    </row>
    <row r="935">
      <c r="A935" s="7" t="n">
        <v>932</v>
      </c>
      <c r="B935" s="7" t="inlineStr">
        <is>
          <t>2026-03-23</t>
        </is>
      </c>
      <c r="C935" s="7" t="inlineStr">
        <is>
          <t>一</t>
        </is>
      </c>
      <c r="D935" s="8" t="n">
        <v>3140</v>
      </c>
      <c r="E935" s="7" t="n">
        <v>2026</v>
      </c>
      <c r="F935" s="7" t="n">
        <v>13</v>
      </c>
      <c r="G935" s="7" t="inlineStr">
        <is>
          <t>2026-03-23</t>
        </is>
      </c>
      <c r="H935" s="9" t="inlineStr">
        <is>
          <t>https://www.100ppi.com/news/detail-20260323-5433699.html</t>
        </is>
      </c>
      <c r="I935" s="7" t="inlineStr">
        <is>
          <t>3月23日生意社甲醇基准价为3140.00元/吨</t>
        </is>
      </c>
    </row>
    <row r="936">
      <c r="A936" s="7" t="n">
        <v>933</v>
      </c>
      <c r="B936" s="7" t="inlineStr">
        <is>
          <t>2026-03-24</t>
        </is>
      </c>
      <c r="C936" s="7" t="inlineStr">
        <is>
          <t>二</t>
        </is>
      </c>
      <c r="D936" s="8" t="n">
        <v>3360.83</v>
      </c>
      <c r="E936" s="7" t="n">
        <v>2026</v>
      </c>
      <c r="F936" s="7" t="n">
        <v>13</v>
      </c>
      <c r="G936" s="7" t="inlineStr">
        <is>
          <t>2026-03-24</t>
        </is>
      </c>
      <c r="H936" s="9" t="inlineStr">
        <is>
          <t>https://www.100ppi.com/news/detail-20260324-5439563.html</t>
        </is>
      </c>
      <c r="I936" s="7" t="inlineStr">
        <is>
          <t>3月24日生意社甲醇基准价为3360.83元/吨</t>
        </is>
      </c>
    </row>
    <row r="937">
      <c r="A937" s="7" t="n">
        <v>934</v>
      </c>
      <c r="B937" s="7" t="inlineStr">
        <is>
          <t>2026-03-25</t>
        </is>
      </c>
      <c r="C937" s="7" t="inlineStr">
        <is>
          <t>三</t>
        </is>
      </c>
      <c r="D937" s="8" t="n">
        <v>3170</v>
      </c>
      <c r="E937" s="7" t="n">
        <v>2026</v>
      </c>
      <c r="F937" s="7" t="n">
        <v>13</v>
      </c>
      <c r="G937" s="7" t="inlineStr">
        <is>
          <t>2026-03-25</t>
        </is>
      </c>
      <c r="H937" s="9" t="inlineStr">
        <is>
          <t>https://www.100ppi.com/news/detail-20260325-5445281.html</t>
        </is>
      </c>
      <c r="I937" s="7" t="inlineStr">
        <is>
          <t>3月25日生意社甲醇基准价为3170.00元/吨</t>
        </is>
      </c>
    </row>
    <row r="938">
      <c r="A938" s="7" t="n">
        <v>935</v>
      </c>
      <c r="B938" s="7" t="inlineStr">
        <is>
          <t>2026-03-26</t>
        </is>
      </c>
      <c r="C938" s="7" t="inlineStr">
        <is>
          <t>四</t>
        </is>
      </c>
      <c r="D938" s="8" t="n">
        <v>3130</v>
      </c>
      <c r="E938" s="7" t="n">
        <v>2026</v>
      </c>
      <c r="F938" s="7" t="n">
        <v>13</v>
      </c>
      <c r="G938" s="7" t="inlineStr">
        <is>
          <t>2026-03-26</t>
        </is>
      </c>
      <c r="H938" s="9" t="inlineStr">
        <is>
          <t>https://www.100ppi.com/news/detail-20260326-5450722.html</t>
        </is>
      </c>
      <c r="I938" s="7" t="inlineStr">
        <is>
          <t>3月26日生意社甲醇基准价为3130.00元/吨</t>
        </is>
      </c>
    </row>
    <row r="939">
      <c r="A939" s="7" t="n">
        <v>936</v>
      </c>
      <c r="B939" s="7" t="inlineStr">
        <is>
          <t>2026-03-27</t>
        </is>
      </c>
      <c r="C939" s="7" t="inlineStr">
        <is>
          <t>五</t>
        </is>
      </c>
      <c r="D939" s="8" t="n">
        <v>3286.67</v>
      </c>
      <c r="E939" s="7" t="n">
        <v>2026</v>
      </c>
      <c r="F939" s="7" t="n">
        <v>13</v>
      </c>
      <c r="G939" s="7" t="inlineStr">
        <is>
          <t>2026-03-27</t>
        </is>
      </c>
      <c r="H939" s="9" t="inlineStr">
        <is>
          <t>https://www.100ppi.com/news/detail-20260327-5456368.html</t>
        </is>
      </c>
      <c r="I939" s="7" t="inlineStr">
        <is>
          <t>3月27日生意社甲醇基准价为3286.67元/吨</t>
        </is>
      </c>
    </row>
    <row r="940">
      <c r="A940" s="7" t="n">
        <v>937</v>
      </c>
      <c r="B940" s="7" t="inlineStr">
        <is>
          <t>2026-03-30</t>
        </is>
      </c>
      <c r="C940" s="7" t="inlineStr">
        <is>
          <t>一</t>
        </is>
      </c>
      <c r="D940" s="8" t="n">
        <v>3420</v>
      </c>
      <c r="E940" s="7" t="n">
        <v>2026</v>
      </c>
      <c r="F940" s="7" t="n">
        <v>14</v>
      </c>
      <c r="G940" s="7" t="inlineStr">
        <is>
          <t>2026-03-30</t>
        </is>
      </c>
      <c r="H940" s="9" t="inlineStr">
        <is>
          <t>https://www.100ppi.com/news/detail-20260330-5464609.html</t>
        </is>
      </c>
      <c r="I940" s="7" t="inlineStr">
        <is>
          <t>3月30日生意社甲醇基准价为3420.00元/吨</t>
        </is>
      </c>
    </row>
    <row r="941">
      <c r="A941" s="7" t="n">
        <v>938</v>
      </c>
      <c r="B941" s="7" t="inlineStr">
        <is>
          <t>2026-03-31</t>
        </is>
      </c>
      <c r="C941" s="7" t="inlineStr">
        <is>
          <t>二</t>
        </is>
      </c>
      <c r="D941" s="8" t="n">
        <v>3460</v>
      </c>
      <c r="E941" s="7" t="n">
        <v>2026</v>
      </c>
      <c r="F941" s="7" t="n">
        <v>14</v>
      </c>
      <c r="G941" s="7" t="inlineStr">
        <is>
          <t>2026-03-31</t>
        </is>
      </c>
      <c r="H941" s="9" t="inlineStr">
        <is>
          <t>https://www.100ppi.com/news/detail-20260331-5470354.html</t>
        </is>
      </c>
      <c r="I941" s="7" t="inlineStr">
        <is>
          <t>3月31日生意社甲醇基准价为3460.00元/吨</t>
        </is>
      </c>
    </row>
    <row r="942">
      <c r="A942" s="7" t="n">
        <v>939</v>
      </c>
      <c r="B942" s="7" t="inlineStr">
        <is>
          <t>2026-04-01</t>
        </is>
      </c>
      <c r="C942" s="7" t="inlineStr">
        <is>
          <t>三</t>
        </is>
      </c>
      <c r="D942" s="8" t="n">
        <v>3356.67</v>
      </c>
      <c r="E942" s="7" t="n">
        <v>2026</v>
      </c>
      <c r="F942" s="7" t="n">
        <v>14</v>
      </c>
      <c r="G942" s="7" t="inlineStr">
        <is>
          <t>2026-04-01</t>
        </is>
      </c>
      <c r="H942" s="9" t="inlineStr">
        <is>
          <t>https://www.100ppi.com/news/detail-20260401-5475984.html</t>
        </is>
      </c>
      <c r="I942" s="7" t="inlineStr">
        <is>
          <t>4月1日生意社甲醇基准价为3356.67元/吨</t>
        </is>
      </c>
    </row>
    <row r="943">
      <c r="A943" s="7" t="n">
        <v>940</v>
      </c>
      <c r="B943" s="7" t="inlineStr">
        <is>
          <t>2026-04-02</t>
        </is>
      </c>
      <c r="C943" s="7" t="inlineStr">
        <is>
          <t>四</t>
        </is>
      </c>
      <c r="D943" s="8" t="n">
        <v>3120</v>
      </c>
      <c r="E943" s="7" t="n">
        <v>2026</v>
      </c>
      <c r="F943" s="7" t="n">
        <v>14</v>
      </c>
      <c r="G943" s="7" t="inlineStr">
        <is>
          <t>2026-04-02</t>
        </is>
      </c>
      <c r="H943" s="9" t="inlineStr">
        <is>
          <t>https://www.100ppi.com/news/detail-20260402-5481679.html</t>
        </is>
      </c>
      <c r="I943" s="7" t="inlineStr">
        <is>
          <t>4月2日生意社甲醇基准价为3120.00元/吨</t>
        </is>
      </c>
    </row>
    <row r="944">
      <c r="A944" s="7" t="n">
        <v>941</v>
      </c>
      <c r="B944" s="7" t="inlineStr">
        <is>
          <t>2026-04-03</t>
        </is>
      </c>
      <c r="C944" s="7" t="inlineStr">
        <is>
          <t>五</t>
        </is>
      </c>
      <c r="D944" s="8" t="n">
        <v>3346.67</v>
      </c>
      <c r="E944" s="7" t="n">
        <v>2026</v>
      </c>
      <c r="F944" s="7" t="n">
        <v>14</v>
      </c>
      <c r="G944" s="7" t="inlineStr">
        <is>
          <t>2026-04-03</t>
        </is>
      </c>
      <c r="H944" s="9" t="inlineStr">
        <is>
          <t>https://www.100ppi.com/news/detail-20260403-5486920.html</t>
        </is>
      </c>
      <c r="I944" s="7" t="inlineStr">
        <is>
          <t>4月3日生意社甲醇基准价为3346.67元/吨</t>
        </is>
      </c>
    </row>
    <row r="945">
      <c r="A945" s="7" t="n">
        <v>942</v>
      </c>
      <c r="B945" s="7" t="inlineStr">
        <is>
          <t>2026-04-06</t>
        </is>
      </c>
      <c r="C945" s="7" t="inlineStr">
        <is>
          <t>一</t>
        </is>
      </c>
      <c r="D945" s="8" t="n">
        <v>3490</v>
      </c>
      <c r="E945" s="7" t="n">
        <v>2026</v>
      </c>
      <c r="F945" s="7" t="n">
        <v>15</v>
      </c>
      <c r="G945" s="7" t="inlineStr">
        <is>
          <t>2026-04-06</t>
        </is>
      </c>
      <c r="H945" s="9" t="inlineStr">
        <is>
          <t>https://www.100ppi.com/news/detail-20260406-5494912.html</t>
        </is>
      </c>
      <c r="I945" s="7" t="inlineStr">
        <is>
          <t>4月6日生意社甲醇基准价为3490.00元/吨</t>
        </is>
      </c>
    </row>
    <row r="946">
      <c r="A946" s="7" t="n">
        <v>943</v>
      </c>
      <c r="B946" s="7" t="inlineStr">
        <is>
          <t>2026-04-07</t>
        </is>
      </c>
      <c r="C946" s="7" t="inlineStr">
        <is>
          <t>二</t>
        </is>
      </c>
      <c r="D946" s="8" t="n">
        <v>3490</v>
      </c>
      <c r="E946" s="7" t="n">
        <v>2026</v>
      </c>
      <c r="F946" s="7" t="n">
        <v>15</v>
      </c>
      <c r="G946" s="7" t="inlineStr">
        <is>
          <t>2026-04-07</t>
        </is>
      </c>
      <c r="H946" s="9" t="inlineStr">
        <is>
          <t>https://www.100ppi.com/news/detail-20260407-5496688.html</t>
        </is>
      </c>
      <c r="I946" s="7" t="inlineStr">
        <is>
          <t>4月7日生意社甲醇基准价为3490.00元/吨</t>
        </is>
      </c>
    </row>
    <row r="947">
      <c r="A947" s="7" t="n">
        <v>944</v>
      </c>
      <c r="B947" s="7" t="inlineStr">
        <is>
          <t>2026-04-08</t>
        </is>
      </c>
      <c r="C947" s="7" t="inlineStr">
        <is>
          <t>三</t>
        </is>
      </c>
      <c r="D947" s="8" t="n">
        <v>3700</v>
      </c>
      <c r="E947" s="7" t="n">
        <v>2026</v>
      </c>
      <c r="F947" s="7" t="n">
        <v>15</v>
      </c>
      <c r="G947" s="7" t="inlineStr">
        <is>
          <t>2026-04-08</t>
        </is>
      </c>
      <c r="H947" s="9" t="inlineStr">
        <is>
          <t>https://www.100ppi.com/news/detail-20260408-5502475.html</t>
        </is>
      </c>
      <c r="I947" s="7" t="inlineStr">
        <is>
          <t>4月8日生意社甲醇基准价为3700.00元/吨</t>
        </is>
      </c>
    </row>
    <row r="948">
      <c r="A948" s="7" t="n">
        <v>945</v>
      </c>
      <c r="B948" s="7" t="inlineStr">
        <is>
          <t>2026-04-09</t>
        </is>
      </c>
      <c r="C948" s="7" t="inlineStr">
        <is>
          <t>四</t>
        </is>
      </c>
      <c r="D948" s="8" t="n">
        <v>3313.33</v>
      </c>
      <c r="E948" s="7" t="n">
        <v>2026</v>
      </c>
      <c r="F948" s="7" t="n">
        <v>15</v>
      </c>
      <c r="G948" s="7" t="inlineStr">
        <is>
          <t>2026-04-09</t>
        </is>
      </c>
      <c r="H948" s="9" t="inlineStr">
        <is>
          <t>https://www.100ppi.com/news/detail-20260409-5508164.html</t>
        </is>
      </c>
      <c r="I948" s="7" t="inlineStr">
        <is>
          <t>4月9日生意社甲醇基准价为3313.33元/吨</t>
        </is>
      </c>
    </row>
    <row r="949">
      <c r="A949" s="7" t="n">
        <v>946</v>
      </c>
      <c r="B949" s="7" t="inlineStr">
        <is>
          <t>2026-04-10</t>
        </is>
      </c>
      <c r="C949" s="7" t="inlineStr">
        <is>
          <t>五</t>
        </is>
      </c>
      <c r="D949" s="8" t="n">
        <v>3386.67</v>
      </c>
      <c r="E949" s="7" t="n">
        <v>2026</v>
      </c>
      <c r="F949" s="7" t="n">
        <v>15</v>
      </c>
      <c r="G949" s="7" t="inlineStr">
        <is>
          <t>2026-04-10</t>
        </is>
      </c>
      <c r="H949" s="9" t="inlineStr">
        <is>
          <t>https://www.100ppi.com/news/detail-20260410-5513597.html</t>
        </is>
      </c>
      <c r="I949" s="7" t="inlineStr">
        <is>
          <t>4月10日生意社甲醇基准价为3386.67元/吨</t>
        </is>
      </c>
    </row>
    <row r="950">
      <c r="A950" s="7" t="n">
        <v>947</v>
      </c>
      <c r="B950" s="7" t="inlineStr">
        <is>
          <t>2026-04-13</t>
        </is>
      </c>
      <c r="C950" s="7" t="inlineStr">
        <is>
          <t>一</t>
        </is>
      </c>
      <c r="D950" s="8" t="n">
        <v>3300</v>
      </c>
      <c r="E950" s="7" t="n">
        <v>2026</v>
      </c>
      <c r="F950" s="7" t="n">
        <v>16</v>
      </c>
      <c r="G950" s="7" t="inlineStr">
        <is>
          <t>2026-04-13</t>
        </is>
      </c>
      <c r="H950" s="9" t="inlineStr">
        <is>
          <t>https://www.100ppi.com/news/detail-20260413-5521687.html</t>
        </is>
      </c>
      <c r="I950" s="7" t="inlineStr">
        <is>
          <t>4月13日生意社甲醇基准价为3300.00元/吨</t>
        </is>
      </c>
    </row>
    <row r="951">
      <c r="A951" s="7" t="n">
        <v>948</v>
      </c>
      <c r="B951" s="7" t="inlineStr">
        <is>
          <t>2026-04-14</t>
        </is>
      </c>
      <c r="C951" s="7" t="inlineStr">
        <is>
          <t>二</t>
        </is>
      </c>
      <c r="D951" s="8" t="n">
        <v>3360</v>
      </c>
      <c r="E951" s="7" t="n">
        <v>2026</v>
      </c>
      <c r="F951" s="7" t="n">
        <v>16</v>
      </c>
      <c r="G951" s="7" t="inlineStr">
        <is>
          <t>2026-04-14</t>
        </is>
      </c>
      <c r="H951" s="9" t="inlineStr">
        <is>
          <t>https://www.100ppi.com/news/detail-20260414-5527441.html</t>
        </is>
      </c>
      <c r="I951" s="7" t="inlineStr">
        <is>
          <t>4月14日生意社甲醇基准价为3360.00元/吨</t>
        </is>
      </c>
    </row>
    <row r="952">
      <c r="A952" s="7" t="n">
        <v>949</v>
      </c>
      <c r="B952" s="7" t="inlineStr">
        <is>
          <t>2026-04-15</t>
        </is>
      </c>
      <c r="C952" s="7" t="inlineStr">
        <is>
          <t>三</t>
        </is>
      </c>
      <c r="D952" s="8" t="n">
        <v>3320</v>
      </c>
      <c r="E952" s="7" t="n">
        <v>2026</v>
      </c>
      <c r="F952" s="7" t="n">
        <v>16</v>
      </c>
      <c r="G952" s="7" t="inlineStr">
        <is>
          <t>2026-04-15</t>
        </is>
      </c>
      <c r="H952" s="9" t="inlineStr">
        <is>
          <t>https://www.100ppi.com/news/detail-20260415-5532482.html</t>
        </is>
      </c>
      <c r="I952" s="7" t="inlineStr">
        <is>
          <t>4月15日生意社甲醇基准价为3320.00元/吨</t>
        </is>
      </c>
    </row>
    <row r="953">
      <c r="A953" s="7" t="n">
        <v>950</v>
      </c>
      <c r="B953" s="7" t="inlineStr">
        <is>
          <t>2026-04-16</t>
        </is>
      </c>
      <c r="C953" s="7" t="inlineStr">
        <is>
          <t>四</t>
        </is>
      </c>
      <c r="D953" s="8" t="n">
        <v>3360</v>
      </c>
      <c r="E953" s="7" t="n">
        <v>2026</v>
      </c>
      <c r="F953" s="7" t="n">
        <v>16</v>
      </c>
      <c r="G953" s="7" t="inlineStr">
        <is>
          <t>2026-04-16</t>
        </is>
      </c>
      <c r="H953" s="9" t="inlineStr">
        <is>
          <t>https://www.100ppi.com/news/detail-20260416-5537655.html</t>
        </is>
      </c>
      <c r="I953" s="7" t="inlineStr">
        <is>
          <t>4月16日生意社甲醇基准价为3360.00元/吨</t>
        </is>
      </c>
    </row>
    <row r="954">
      <c r="A954" s="7" t="n">
        <v>951</v>
      </c>
      <c r="B954" s="7" t="inlineStr">
        <is>
          <t>2026-04-17</t>
        </is>
      </c>
      <c r="C954" s="7" t="inlineStr">
        <is>
          <t>五</t>
        </is>
      </c>
      <c r="D954" s="8" t="n">
        <v>3393.33</v>
      </c>
      <c r="E954" s="7" t="n">
        <v>2026</v>
      </c>
      <c r="F954" s="7" t="n">
        <v>16</v>
      </c>
      <c r="G954" s="7" t="inlineStr">
        <is>
          <t>2026-04-17</t>
        </is>
      </c>
      <c r="H954" s="9" t="inlineStr">
        <is>
          <t>https://www.100ppi.com/news/detail-20260417-5543380.html</t>
        </is>
      </c>
      <c r="I954" s="7" t="inlineStr">
        <is>
          <t>4月17日生意社甲醇基准价为3393.33元/吨</t>
        </is>
      </c>
    </row>
    <row r="955">
      <c r="A955" s="7" t="n">
        <v>952</v>
      </c>
      <c r="B955" s="7" t="inlineStr">
        <is>
          <t>2026-04-20</t>
        </is>
      </c>
      <c r="C955" s="7" t="inlineStr">
        <is>
          <t>一</t>
        </is>
      </c>
      <c r="D955" s="8" t="n">
        <v>3390</v>
      </c>
      <c r="E955" s="7" t="n">
        <v>2026</v>
      </c>
      <c r="F955" s="7" t="n">
        <v>17</v>
      </c>
      <c r="G955" s="7" t="inlineStr">
        <is>
          <t>2026-04-20</t>
        </is>
      </c>
      <c r="H955" s="9" t="inlineStr">
        <is>
          <t>https://www.100ppi.com/news/detail-20260420-5552035.html</t>
        </is>
      </c>
      <c r="I955" s="7" t="inlineStr">
        <is>
          <t>4月20日生意社甲醇基准价为3390.00元/吨</t>
        </is>
      </c>
    </row>
    <row r="956">
      <c r="A956" s="7" t="n">
        <v>953</v>
      </c>
      <c r="B956" s="7" t="inlineStr">
        <is>
          <t>2026-04-21</t>
        </is>
      </c>
      <c r="C956" s="7" t="inlineStr">
        <is>
          <t>二</t>
        </is>
      </c>
      <c r="D956" s="8" t="n">
        <v>3346.67</v>
      </c>
      <c r="E956" s="7" t="n">
        <v>2026</v>
      </c>
      <c r="F956" s="7" t="n">
        <v>17</v>
      </c>
      <c r="G956" s="7" t="inlineStr">
        <is>
          <t>2026-04-21</t>
        </is>
      </c>
      <c r="H956" s="9" t="inlineStr">
        <is>
          <t>https://www.100ppi.com/news/detail-20260421-5557832.html</t>
        </is>
      </c>
      <c r="I956" s="7" t="inlineStr">
        <is>
          <t>4月21日生意社甲醇基准价为3346.67元/吨</t>
        </is>
      </c>
    </row>
    <row r="957">
      <c r="A957" s="7" t="n">
        <v>954</v>
      </c>
      <c r="B957" s="7" t="inlineStr">
        <is>
          <t>2026-04-22</t>
        </is>
      </c>
      <c r="C957" s="7" t="inlineStr">
        <is>
          <t>三</t>
        </is>
      </c>
      <c r="D957" s="8" t="n">
        <v>3286.67</v>
      </c>
      <c r="E957" s="7" t="n">
        <v>2026</v>
      </c>
      <c r="F957" s="7" t="n">
        <v>17</v>
      </c>
      <c r="G957" s="7" t="inlineStr">
        <is>
          <t>2026-04-22</t>
        </is>
      </c>
      <c r="H957" s="9" t="inlineStr">
        <is>
          <t>https://www.100ppi.com/news/detail-20260422-5563018.html</t>
        </is>
      </c>
      <c r="I957" s="7" t="inlineStr">
        <is>
          <t>4月22日生意社甲醇基准价为3286.67元/吨</t>
        </is>
      </c>
    </row>
    <row r="958">
      <c r="A958" s="7" t="n">
        <v>955</v>
      </c>
      <c r="B958" s="7" t="inlineStr">
        <is>
          <t>2026-04-23</t>
        </is>
      </c>
      <c r="C958" s="7" t="inlineStr">
        <is>
          <t>四</t>
        </is>
      </c>
      <c r="D958" s="8" t="n">
        <v>3256.67</v>
      </c>
      <c r="E958" s="7" t="n">
        <v>2026</v>
      </c>
      <c r="F958" s="7" t="n">
        <v>17</v>
      </c>
      <c r="G958" s="7" t="inlineStr">
        <is>
          <t>2026-04-23</t>
        </is>
      </c>
      <c r="H958" s="9" t="inlineStr">
        <is>
          <t>https://www.100ppi.com/news/detail-20260423-5568915.html</t>
        </is>
      </c>
      <c r="I958" s="7" t="inlineStr">
        <is>
          <t>4月23日生意社甲醇基准价为3256.67元/吨</t>
        </is>
      </c>
    </row>
    <row r="959">
      <c r="A959" s="7" t="n">
        <v>956</v>
      </c>
      <c r="B959" s="7" t="inlineStr">
        <is>
          <t>2026-04-24</t>
        </is>
      </c>
      <c r="C959" s="7" t="inlineStr">
        <is>
          <t>五</t>
        </is>
      </c>
      <c r="D959" s="8" t="n">
        <v>3256.67</v>
      </c>
      <c r="E959" s="7" t="n">
        <v>2026</v>
      </c>
      <c r="F959" s="7" t="n">
        <v>17</v>
      </c>
      <c r="G959" s="7" t="inlineStr">
        <is>
          <t>2026-04-24</t>
        </is>
      </c>
      <c r="H959" s="9" t="inlineStr">
        <is>
          <t>https://www.100ppi.com/news/detail-20260424-5574640.html</t>
        </is>
      </c>
      <c r="I959" s="7" t="inlineStr">
        <is>
          <t>4月24日生意社甲醇基准价为3256.67元/吨</t>
        </is>
      </c>
    </row>
    <row r="960">
      <c r="A960" s="7" t="n">
        <v>957</v>
      </c>
      <c r="B960" s="7" t="inlineStr">
        <is>
          <t>2026-04-27</t>
        </is>
      </c>
      <c r="C960" s="7" t="inlineStr">
        <is>
          <t>一</t>
        </is>
      </c>
      <c r="D960" s="8" t="n">
        <v>3270</v>
      </c>
      <c r="E960" s="7" t="n">
        <v>2026</v>
      </c>
      <c r="F960" s="7" t="n">
        <v>18</v>
      </c>
      <c r="G960" s="7" t="inlineStr">
        <is>
          <t>2026-04-27</t>
        </is>
      </c>
      <c r="H960" s="9" t="inlineStr">
        <is>
          <t>https://www.100ppi.com/news/detail-20260427-5582460.html</t>
        </is>
      </c>
      <c r="I960" s="7" t="inlineStr">
        <is>
          <t>4月27日生意社甲醇基准价为3270.00元/吨</t>
        </is>
      </c>
    </row>
    <row r="961">
      <c r="A961" s="7" t="n">
        <v>958</v>
      </c>
      <c r="B961" s="7" t="inlineStr">
        <is>
          <t>2026-04-28</t>
        </is>
      </c>
      <c r="C961" s="7" t="inlineStr">
        <is>
          <t>二</t>
        </is>
      </c>
      <c r="D961" s="8" t="n">
        <v>3300</v>
      </c>
      <c r="E961" s="7" t="n">
        <v>2026</v>
      </c>
      <c r="F961" s="7" t="n">
        <v>18</v>
      </c>
      <c r="G961" s="7" t="inlineStr">
        <is>
          <t>2026-04-28</t>
        </is>
      </c>
      <c r="H961" s="9" t="inlineStr">
        <is>
          <t>https://www.100ppi.com/news/detail-20260428-5587893.html</t>
        </is>
      </c>
      <c r="I961" s="7" t="inlineStr">
        <is>
          <t>4月28日生意社甲醇基准价为3300.00元/吨</t>
        </is>
      </c>
    </row>
    <row r="962">
      <c r="A962" s="7" t="n">
        <v>959</v>
      </c>
      <c r="B962" s="7" t="inlineStr">
        <is>
          <t>2026-04-29</t>
        </is>
      </c>
      <c r="C962" s="7" t="inlineStr">
        <is>
          <t>三</t>
        </is>
      </c>
      <c r="D962" s="8" t="n">
        <v>3340</v>
      </c>
      <c r="E962" s="7" t="n">
        <v>2026</v>
      </c>
      <c r="F962" s="7" t="n">
        <v>18</v>
      </c>
      <c r="G962" s="7" t="inlineStr">
        <is>
          <t>2026-04-29</t>
        </is>
      </c>
      <c r="H962" s="9" t="inlineStr">
        <is>
          <t>https://www.100ppi.com/news/detail-20260429-5593444.html</t>
        </is>
      </c>
      <c r="I962" s="7" t="inlineStr">
        <is>
          <t>4月29日生意社甲醇基准价为3340.00元/吨</t>
        </is>
      </c>
    </row>
    <row r="963">
      <c r="A963" s="7" t="n">
        <v>960</v>
      </c>
      <c r="B963" s="7" t="inlineStr">
        <is>
          <t>2026-04-30</t>
        </is>
      </c>
      <c r="C963" s="7" t="inlineStr">
        <is>
          <t>四</t>
        </is>
      </c>
      <c r="D963" s="8" t="n">
        <v>3292.5</v>
      </c>
      <c r="E963" s="7" t="n">
        <v>2026</v>
      </c>
      <c r="F963" s="7" t="n">
        <v>18</v>
      </c>
      <c r="G963" s="7" t="inlineStr">
        <is>
          <t>2026-04-30</t>
        </is>
      </c>
      <c r="H963" s="9" t="inlineStr">
        <is>
          <t>https://www.100ppi.com/news/detail-20260430-5599101.html</t>
        </is>
      </c>
      <c r="I963" s="7" t="inlineStr">
        <is>
          <t>4月30日生意社甲醇基准价为3292.50元/吨</t>
        </is>
      </c>
    </row>
    <row r="964">
      <c r="A964" s="7" t="n">
        <v>961</v>
      </c>
      <c r="B964" s="7" t="inlineStr">
        <is>
          <t>2026-05-01</t>
        </is>
      </c>
      <c r="C964" s="7" t="inlineStr">
        <is>
          <t>五</t>
        </is>
      </c>
      <c r="D964" s="8" t="n">
        <v>3295.83</v>
      </c>
      <c r="E964" s="7" t="n">
        <v>2026</v>
      </c>
      <c r="F964" s="7" t="n">
        <v>18</v>
      </c>
      <c r="G964" s="7" t="inlineStr">
        <is>
          <t>2026-05-01</t>
        </is>
      </c>
      <c r="H964" s="9" t="inlineStr">
        <is>
          <t>https://www.100ppi.com/news/detail-20260501-5604411.html</t>
        </is>
      </c>
      <c r="I964" s="7" t="inlineStr">
        <is>
          <t>5月1日生意社甲醇基准价为3295.83元/吨</t>
        </is>
      </c>
    </row>
    <row r="965">
      <c r="A965" s="7" t="n">
        <v>962</v>
      </c>
      <c r="B965" s="7" t="inlineStr">
        <is>
          <t>2026-05-04</t>
        </is>
      </c>
      <c r="C965" s="7" t="inlineStr">
        <is>
          <t>一</t>
        </is>
      </c>
      <c r="D965" s="8" t="n">
        <v>3295.83</v>
      </c>
      <c r="E965" s="7" t="n">
        <v>2026</v>
      </c>
      <c r="F965" s="7" t="n">
        <v>19</v>
      </c>
      <c r="G965" s="7" t="inlineStr">
        <is>
          <t>2026-05-04</t>
        </is>
      </c>
      <c r="H965" s="9" t="inlineStr">
        <is>
          <t>https://www.100ppi.com/news/detail-20260504-5607999.html</t>
        </is>
      </c>
      <c r="I965" s="7" t="inlineStr">
        <is>
          <t>5月4日生意社甲醇基准价为3295.83元/吨</t>
        </is>
      </c>
    </row>
    <row r="966">
      <c r="A966" s="7" t="n">
        <v>963</v>
      </c>
      <c r="B966" s="7" t="inlineStr">
        <is>
          <t>2026-05-05</t>
        </is>
      </c>
      <c r="C966" s="7" t="inlineStr">
        <is>
          <t>二</t>
        </is>
      </c>
      <c r="D966" s="8" t="n">
        <v>3295.83</v>
      </c>
      <c r="E966" s="7" t="n">
        <v>2026</v>
      </c>
      <c r="F966" s="7" t="n">
        <v>19</v>
      </c>
      <c r="G966" s="7" t="inlineStr">
        <is>
          <t>2026-05-05</t>
        </is>
      </c>
      <c r="H966" s="9" t="inlineStr">
        <is>
          <t>https://www.100ppi.com/news/detail-20260505-5609777.html</t>
        </is>
      </c>
      <c r="I966" s="7" t="inlineStr">
        <is>
          <t>5月5日生意社甲醇基准价为3295.83元/吨</t>
        </is>
      </c>
    </row>
    <row r="967">
      <c r="A967" s="7" t="n">
        <v>964</v>
      </c>
      <c r="B967" s="7" t="inlineStr">
        <is>
          <t>2026-05-06</t>
        </is>
      </c>
      <c r="C967" s="7" t="inlineStr">
        <is>
          <t>三</t>
        </is>
      </c>
      <c r="D967" s="8" t="n">
        <v>3295.83</v>
      </c>
      <c r="E967" s="7" t="n">
        <v>2026</v>
      </c>
      <c r="F967" s="7" t="n">
        <v>19</v>
      </c>
      <c r="G967" s="7" t="inlineStr">
        <is>
          <t>2026-05-06</t>
        </is>
      </c>
      <c r="H967" s="9" t="inlineStr">
        <is>
          <t>https://www.100ppi.com/news/detail-20260506-5611718.html</t>
        </is>
      </c>
      <c r="I967" s="7" t="inlineStr">
        <is>
          <t>5月6日生意社甲醇基准价为3295.83元/吨</t>
        </is>
      </c>
    </row>
    <row r="968">
      <c r="A968" s="7" t="n">
        <v>965</v>
      </c>
      <c r="B968" s="7" t="inlineStr">
        <is>
          <t>2026-05-07</t>
        </is>
      </c>
      <c r="C968" s="7" t="inlineStr">
        <is>
          <t>四</t>
        </is>
      </c>
      <c r="D968" s="8" t="n">
        <v>3339.17</v>
      </c>
      <c r="E968" s="7" t="n">
        <v>2026</v>
      </c>
      <c r="F968" s="7" t="n">
        <v>19</v>
      </c>
      <c r="G968" s="7" t="inlineStr">
        <is>
          <t>2026-05-07</t>
        </is>
      </c>
      <c r="H968" s="9" t="inlineStr">
        <is>
          <t>https://www.100ppi.com/news/detail-20260507-5617425.html</t>
        </is>
      </c>
      <c r="I968" s="7" t="inlineStr">
        <is>
          <t>5月7日生意社甲醇基准价为3339.17元/吨</t>
        </is>
      </c>
    </row>
    <row r="969">
      <c r="A969" s="7" t="n">
        <v>966</v>
      </c>
      <c r="B969" s="7" t="inlineStr">
        <is>
          <t>2026-05-08</t>
        </is>
      </c>
      <c r="C969" s="7" t="inlineStr">
        <is>
          <t>五</t>
        </is>
      </c>
      <c r="D969" s="8" t="n">
        <v>3170</v>
      </c>
      <c r="E969" s="7" t="n">
        <v>2026</v>
      </c>
      <c r="F969" s="7" t="n">
        <v>19</v>
      </c>
      <c r="G969" s="7" t="inlineStr">
        <is>
          <t>2026-05-08</t>
        </is>
      </c>
      <c r="H969" s="9" t="inlineStr">
        <is>
          <t>https://www.100ppi.com/news/detail-20260508-5623107.html</t>
        </is>
      </c>
      <c r="I969" s="7" t="inlineStr">
        <is>
          <t>5月8日生意社甲醇基准价为3170.00元/吨</t>
        </is>
      </c>
    </row>
    <row r="970">
      <c r="A970" s="7" t="n">
        <v>967</v>
      </c>
      <c r="B970" s="7" t="inlineStr">
        <is>
          <t>2026-05-11</t>
        </is>
      </c>
      <c r="C970" s="7" t="inlineStr">
        <is>
          <t>一</t>
        </is>
      </c>
      <c r="D970" s="8" t="n">
        <v>3130</v>
      </c>
      <c r="E970" s="7" t="n">
        <v>2026</v>
      </c>
      <c r="F970" s="7" t="n">
        <v>20</v>
      </c>
      <c r="G970" s="7" t="inlineStr">
        <is>
          <t>2026-05-11</t>
        </is>
      </c>
      <c r="H970" s="9" t="inlineStr">
        <is>
          <t>https://www.100ppi.com/news/detail-20260511-5635079.html</t>
        </is>
      </c>
      <c r="I970" s="7" t="inlineStr">
        <is>
          <t>5月11日生意社甲醇基准价为3130.00元/吨</t>
        </is>
      </c>
    </row>
    <row r="971">
      <c r="A971" s="7" t="n">
        <v>968</v>
      </c>
      <c r="B971" s="7" t="inlineStr">
        <is>
          <t>2026-05-12</t>
        </is>
      </c>
      <c r="C971" s="7" t="inlineStr">
        <is>
          <t>二</t>
        </is>
      </c>
      <c r="D971" s="8" t="n">
        <v>3121.67</v>
      </c>
      <c r="E971" s="7" t="n">
        <v>2026</v>
      </c>
      <c r="F971" s="7" t="n">
        <v>20</v>
      </c>
      <c r="G971" s="7" t="inlineStr">
        <is>
          <t>2026-05-12</t>
        </is>
      </c>
      <c r="H971" s="9" t="inlineStr">
        <is>
          <t>https://www.100ppi.com/news/detail-20260512-5640934.html</t>
        </is>
      </c>
      <c r="I971" s="7" t="inlineStr">
        <is>
          <t>5月12日生意社甲醇基准价为3121.67元/吨</t>
        </is>
      </c>
    </row>
    <row r="972">
      <c r="A972" s="7" t="n">
        <v>969</v>
      </c>
      <c r="B972" s="7" t="inlineStr">
        <is>
          <t>2026-05-13</t>
        </is>
      </c>
      <c r="C972" s="7" t="inlineStr">
        <is>
          <t>三</t>
        </is>
      </c>
      <c r="D972" s="8" t="n">
        <v>3160</v>
      </c>
      <c r="E972" s="7" t="n">
        <v>2026</v>
      </c>
      <c r="F972" s="7" t="n">
        <v>20</v>
      </c>
      <c r="G972" s="7" t="inlineStr">
        <is>
          <t>2026-05-13</t>
        </is>
      </c>
      <c r="H972" s="9" t="inlineStr">
        <is>
          <t>https://www.100ppi.com/news/detail-20260513-5646674.html</t>
        </is>
      </c>
      <c r="I972" s="7" t="inlineStr">
        <is>
          <t>5月13日生意社甲醇基准价为3160.00元/吨</t>
        </is>
      </c>
    </row>
    <row r="973">
      <c r="A973" s="7" t="n">
        <v>970</v>
      </c>
      <c r="B973" s="7" t="inlineStr">
        <is>
          <t>2026-05-14</t>
        </is>
      </c>
      <c r="C973" s="7" t="inlineStr">
        <is>
          <t>四</t>
        </is>
      </c>
      <c r="D973" s="8" t="n">
        <v>3141.67</v>
      </c>
      <c r="E973" s="7" t="n">
        <v>2026</v>
      </c>
      <c r="F973" s="7" t="n">
        <v>20</v>
      </c>
      <c r="G973" s="7" t="inlineStr">
        <is>
          <t>2026-05-14</t>
        </is>
      </c>
      <c r="H973" s="9" t="inlineStr">
        <is>
          <t>https://www.100ppi.com/news/detail-20260514-5652464.html</t>
        </is>
      </c>
      <c r="I973" s="7" t="inlineStr">
        <is>
          <t>5月14日生意社甲醇基准价为3141.67元/吨</t>
        </is>
      </c>
    </row>
    <row r="974">
      <c r="A974" s="7" t="n">
        <v>971</v>
      </c>
      <c r="B974" s="7" t="inlineStr">
        <is>
          <t>2026-05-15</t>
        </is>
      </c>
      <c r="C974" s="7" t="inlineStr">
        <is>
          <t>五</t>
        </is>
      </c>
      <c r="D974" s="8" t="n">
        <v>3100</v>
      </c>
      <c r="E974" s="7" t="n">
        <v>2026</v>
      </c>
      <c r="F974" s="7" t="n">
        <v>20</v>
      </c>
      <c r="G974" s="7" t="inlineStr">
        <is>
          <t>2026-05-15</t>
        </is>
      </c>
      <c r="H974" s="9" t="inlineStr">
        <is>
          <t>https://www.100ppi.com/news/detail-20260515-5658240.html</t>
        </is>
      </c>
      <c r="I974" s="7" t="inlineStr">
        <is>
          <t>5月15日生意社甲醇基准价为3100.00元/吨</t>
        </is>
      </c>
    </row>
    <row r="975">
      <c r="A975" s="7" t="n">
        <v>972</v>
      </c>
      <c r="B975" s="7" t="inlineStr">
        <is>
          <t>2026-05-18</t>
        </is>
      </c>
      <c r="C975" s="7" t="inlineStr">
        <is>
          <t>一</t>
        </is>
      </c>
      <c r="D975" s="8" t="n">
        <v>3137.5</v>
      </c>
      <c r="E975" s="7" t="n">
        <v>2026</v>
      </c>
      <c r="F975" s="7" t="n">
        <v>21</v>
      </c>
      <c r="G975" s="7" t="inlineStr">
        <is>
          <t>2026-05-18</t>
        </is>
      </c>
      <c r="H975" s="9" t="inlineStr">
        <is>
          <t>https://www.100ppi.com/news/detail-20260518-5665416.html</t>
        </is>
      </c>
      <c r="I975" s="7" t="inlineStr">
        <is>
          <t>5月18日生意社甲醇基准价为3137.50元/吨</t>
        </is>
      </c>
    </row>
    <row r="976">
      <c r="A976" s="7" t="n">
        <v>973</v>
      </c>
      <c r="B976" s="7" t="inlineStr">
        <is>
          <t>2026-05-19</t>
        </is>
      </c>
      <c r="C976" s="7" t="inlineStr">
        <is>
          <t>二</t>
        </is>
      </c>
      <c r="D976" s="8" t="n">
        <v>3220</v>
      </c>
      <c r="E976" s="7" t="n">
        <v>2026</v>
      </c>
      <c r="F976" s="7" t="n">
        <v>21</v>
      </c>
      <c r="G976" s="7" t="inlineStr">
        <is>
          <t>2026-05-19</t>
        </is>
      </c>
      <c r="H976" s="9" t="inlineStr">
        <is>
          <t>https://www.100ppi.com/news/detail-20260519-5671412.html</t>
        </is>
      </c>
      <c r="I976" s="7" t="inlineStr">
        <is>
          <t>5月19日生意社甲醇基准价为3220.00元/吨</t>
        </is>
      </c>
    </row>
    <row r="977">
      <c r="A977" s="7" t="n">
        <v>974</v>
      </c>
      <c r="B977" s="7" t="inlineStr">
        <is>
          <t>2026-05-20</t>
        </is>
      </c>
      <c r="C977" s="7" t="inlineStr">
        <is>
          <t>三</t>
        </is>
      </c>
      <c r="D977" s="8" t="n">
        <v>3204.17</v>
      </c>
      <c r="E977" s="7" t="n">
        <v>2026</v>
      </c>
      <c r="F977" s="7" t="n">
        <v>21</v>
      </c>
      <c r="G977" s="7" t="inlineStr">
        <is>
          <t>2026-05-20</t>
        </is>
      </c>
      <c r="H977" s="9" t="inlineStr">
        <is>
          <t>https://www.100ppi.com/news/detail-20260520-5677014.html</t>
        </is>
      </c>
      <c r="I977" s="7" t="inlineStr">
        <is>
          <t>5月20日生意社甲醇基准价为3204.17元/吨</t>
        </is>
      </c>
    </row>
    <row r="978">
      <c r="A978" s="7" t="n">
        <v>975</v>
      </c>
      <c r="B978" s="7" t="inlineStr">
        <is>
          <t>2026-05-21</t>
        </is>
      </c>
      <c r="C978" s="7" t="inlineStr">
        <is>
          <t>四</t>
        </is>
      </c>
      <c r="D978" s="8" t="n">
        <v>3211.67</v>
      </c>
      <c r="E978" s="7" t="n">
        <v>2026</v>
      </c>
      <c r="F978" s="7" t="n">
        <v>21</v>
      </c>
      <c r="G978" s="7" t="inlineStr">
        <is>
          <t>2026-05-21</t>
        </is>
      </c>
      <c r="H978" s="9" t="inlineStr">
        <is>
          <t>https://www.100ppi.com/news/detail-20260521-5682643.html</t>
        </is>
      </c>
      <c r="I978" s="7" t="inlineStr">
        <is>
          <t>5月21日生意社甲醇基准价为3211.67元/吨</t>
        </is>
      </c>
    </row>
    <row r="979">
      <c r="A979" s="7" t="n">
        <v>976</v>
      </c>
      <c r="B979" s="7" t="inlineStr">
        <is>
          <t>2026-05-22</t>
        </is>
      </c>
      <c r="C979" s="7" t="inlineStr">
        <is>
          <t>五</t>
        </is>
      </c>
      <c r="D979" s="8" t="n">
        <v>3215.83</v>
      </c>
      <c r="E979" s="7" t="n">
        <v>2026</v>
      </c>
      <c r="F979" s="7" t="n">
        <v>21</v>
      </c>
      <c r="G979" s="7" t="inlineStr">
        <is>
          <t>2026-05-22</t>
        </is>
      </c>
      <c r="H979" s="9" t="inlineStr">
        <is>
          <t>https://www.100ppi.com/news/detail-20260522-5688292.html</t>
        </is>
      </c>
      <c r="I979" s="7" t="inlineStr">
        <is>
          <t>5月22日生意社甲醇基准价为3215.83元/吨</t>
        </is>
      </c>
    </row>
    <row r="980">
      <c r="A980" s="7" t="n">
        <v>977</v>
      </c>
      <c r="B980" s="7" t="inlineStr">
        <is>
          <t>2026-05-25</t>
        </is>
      </c>
      <c r="C980" s="7" t="inlineStr">
        <is>
          <t>一</t>
        </is>
      </c>
      <c r="D980" s="8" t="n">
        <v>3163.33</v>
      </c>
      <c r="E980" s="7" t="n">
        <v>2026</v>
      </c>
      <c r="F980" s="7" t="n">
        <v>22</v>
      </c>
      <c r="G980" s="7" t="inlineStr">
        <is>
          <t>2026-05-25</t>
        </is>
      </c>
      <c r="H980" s="9" t="inlineStr">
        <is>
          <t>https://www.100ppi.com/news/detail-20260525-5696705.html</t>
        </is>
      </c>
      <c r="I980" s="7" t="inlineStr">
        <is>
          <t>5月25日生意社甲醇基准价为3163.33元/吨</t>
        </is>
      </c>
    </row>
    <row r="981">
      <c r="A981" s="7" t="n">
        <v>978</v>
      </c>
      <c r="B981" s="7" t="inlineStr">
        <is>
          <t>2026-05-26</t>
        </is>
      </c>
      <c r="C981" s="7" t="inlineStr">
        <is>
          <t>二</t>
        </is>
      </c>
      <c r="D981" s="8" t="n">
        <v>3176.67</v>
      </c>
      <c r="E981" s="7" t="n">
        <v>2026</v>
      </c>
      <c r="F981" s="7" t="n">
        <v>22</v>
      </c>
      <c r="G981" s="7" t="inlineStr">
        <is>
          <t>2026-05-26</t>
        </is>
      </c>
      <c r="H981" s="9" t="inlineStr">
        <is>
          <t>https://www.100ppi.com/news/detail-20260526-5702369.html</t>
        </is>
      </c>
      <c r="I981" s="7" t="inlineStr">
        <is>
          <t>5月26日生意社甲醇基准价为3176.67元/吨</t>
        </is>
      </c>
    </row>
    <row r="982">
      <c r="A982" s="7" t="n">
        <v>979</v>
      </c>
      <c r="B982" s="7" t="inlineStr">
        <is>
          <t>2026-05-27</t>
        </is>
      </c>
      <c r="C982" s="7" t="inlineStr">
        <is>
          <t>三</t>
        </is>
      </c>
      <c r="D982" s="8" t="n">
        <v>3156.67</v>
      </c>
      <c r="E982" s="7" t="n">
        <v>2026</v>
      </c>
      <c r="F982" s="7" t="n">
        <v>22</v>
      </c>
      <c r="G982" s="7" t="inlineStr">
        <is>
          <t>2026-05-27</t>
        </is>
      </c>
      <c r="H982" s="9" t="inlineStr">
        <is>
          <t>https://www.100ppi.com/news/detail-20260527-5708138.html</t>
        </is>
      </c>
      <c r="I982" s="7" t="inlineStr">
        <is>
          <t>5月27日生意社甲醇基准价为3156.67元/吨</t>
        </is>
      </c>
    </row>
    <row r="983">
      <c r="A983" s="7" t="n">
        <v>980</v>
      </c>
      <c r="B983" s="7" t="inlineStr">
        <is>
          <t>2026-05-28</t>
        </is>
      </c>
      <c r="C983" s="7" t="inlineStr">
        <is>
          <t>四</t>
        </is>
      </c>
      <c r="D983" s="8" t="n">
        <v>3113.33</v>
      </c>
      <c r="E983" s="7" t="n">
        <v>2026</v>
      </c>
      <c r="F983" s="7" t="n">
        <v>22</v>
      </c>
      <c r="G983" s="7" t="inlineStr">
        <is>
          <t>2026-05-28</t>
        </is>
      </c>
      <c r="H983" s="9" t="inlineStr">
        <is>
          <t>https://www.100ppi.com/news/detail-20260528-5713957.html</t>
        </is>
      </c>
      <c r="I983" s="7" t="inlineStr">
        <is>
          <t>5月28日生意社甲醇基准价为3113.33元/吨</t>
        </is>
      </c>
    </row>
    <row r="984">
      <c r="A984" s="7" t="n">
        <v>981</v>
      </c>
      <c r="B984" s="7" t="inlineStr">
        <is>
          <t>2026-05-29</t>
        </is>
      </c>
      <c r="C984" s="7" t="inlineStr">
        <is>
          <t>五</t>
        </is>
      </c>
      <c r="D984" s="8" t="n">
        <v>3128.33</v>
      </c>
      <c r="E984" s="7" t="n">
        <v>2026</v>
      </c>
      <c r="F984" s="7" t="n">
        <v>22</v>
      </c>
      <c r="G984" s="7" t="inlineStr">
        <is>
          <t>2026-05-29</t>
        </is>
      </c>
      <c r="H984" s="9" t="inlineStr">
        <is>
          <t>https://www.100ppi.com/news/detail-20260529-5719372.html</t>
        </is>
      </c>
      <c r="I984" s="7" t="inlineStr">
        <is>
          <t>5月29日生意社甲醇基准价为3128.33元/吨</t>
        </is>
      </c>
    </row>
    <row r="985">
      <c r="A985" s="7" t="n">
        <v>982</v>
      </c>
      <c r="B985" s="7" t="inlineStr">
        <is>
          <t>2026-06-01</t>
        </is>
      </c>
      <c r="C985" s="7" t="inlineStr">
        <is>
          <t>一</t>
        </is>
      </c>
      <c r="D985" s="8" t="n">
        <v>3093.33</v>
      </c>
      <c r="E985" s="7" t="n">
        <v>2026</v>
      </c>
      <c r="F985" s="7" t="n">
        <v>23</v>
      </c>
      <c r="G985" s="7" t="inlineStr">
        <is>
          <t>2026-06-01</t>
        </is>
      </c>
      <c r="H985" s="9" t="inlineStr">
        <is>
          <t>https://www.100ppi.com/news/detail-20260601-5727837.html</t>
        </is>
      </c>
      <c r="I985" s="7" t="inlineStr">
        <is>
          <t>6月1日生意社甲醇基准价为3093.33元/吨</t>
        </is>
      </c>
    </row>
    <row r="986">
      <c r="A986" s="7" t="n">
        <v>983</v>
      </c>
      <c r="B986" s="7" t="inlineStr">
        <is>
          <t>2026-06-02</t>
        </is>
      </c>
      <c r="C986" s="7" t="inlineStr">
        <is>
          <t>二</t>
        </is>
      </c>
      <c r="D986" s="8" t="n">
        <v>3160</v>
      </c>
      <c r="E986" s="7" t="n">
        <v>2026</v>
      </c>
      <c r="F986" s="7" t="n">
        <v>23</v>
      </c>
      <c r="G986" s="7" t="inlineStr">
        <is>
          <t>2026-06-02</t>
        </is>
      </c>
      <c r="H986" s="9" t="inlineStr">
        <is>
          <t>https://www.100ppi.com/news/detail-20260602-5733807.html</t>
        </is>
      </c>
      <c r="I986" s="7" t="inlineStr">
        <is>
          <t>6月2日生意社甲醇基准价为3160.00元/吨</t>
        </is>
      </c>
    </row>
    <row r="987">
      <c r="A987" s="7" t="n">
        <v>984</v>
      </c>
      <c r="B987" s="7" t="inlineStr">
        <is>
          <t>2026-06-03</t>
        </is>
      </c>
      <c r="C987" s="7" t="inlineStr">
        <is>
          <t>三</t>
        </is>
      </c>
      <c r="D987" s="8" t="n">
        <v>3176.67</v>
      </c>
      <c r="E987" s="7" t="n">
        <v>2026</v>
      </c>
      <c r="F987" s="7" t="n">
        <v>23</v>
      </c>
      <c r="G987" s="7" t="inlineStr">
        <is>
          <t>2026-06-03</t>
        </is>
      </c>
      <c r="H987" s="9" t="inlineStr">
        <is>
          <t>https://www.100ppi.com/news/detail-20260603-5739436.html</t>
        </is>
      </c>
      <c r="I987" s="7" t="inlineStr">
        <is>
          <t>6月3日生意社甲醇基准价为3176.67元/吨</t>
        </is>
      </c>
    </row>
    <row r="988">
      <c r="A988" s="7" t="n">
        <v>985</v>
      </c>
      <c r="B988" s="7" t="inlineStr">
        <is>
          <t>2026-06-04</t>
        </is>
      </c>
      <c r="C988" s="7" t="inlineStr">
        <is>
          <t>四</t>
        </is>
      </c>
      <c r="D988" s="8" t="n">
        <v>3213.33</v>
      </c>
      <c r="E988" s="7" t="n">
        <v>2026</v>
      </c>
      <c r="F988" s="7" t="n">
        <v>23</v>
      </c>
      <c r="G988" s="7" t="inlineStr">
        <is>
          <t>2026-06-04</t>
        </is>
      </c>
      <c r="H988" s="9" t="inlineStr">
        <is>
          <t>https://www.100ppi.com/news/detail-20260604-5745242.html</t>
        </is>
      </c>
      <c r="I988" s="7" t="inlineStr">
        <is>
          <t>6月4日生意社甲醇基准价为3213.33元/吨</t>
        </is>
      </c>
    </row>
    <row r="989">
      <c r="A989" s="7" t="n">
        <v>986</v>
      </c>
      <c r="B989" s="7" t="inlineStr">
        <is>
          <t>2026-06-05</t>
        </is>
      </c>
      <c r="C989" s="7" t="inlineStr">
        <is>
          <t>五</t>
        </is>
      </c>
      <c r="D989" s="8" t="n">
        <v>3186.67</v>
      </c>
      <c r="E989" s="7" t="n">
        <v>2026</v>
      </c>
      <c r="F989" s="7" t="n">
        <v>23</v>
      </c>
      <c r="G989" s="7" t="inlineStr">
        <is>
          <t>2026-06-05</t>
        </is>
      </c>
      <c r="H989" s="9" t="inlineStr">
        <is>
          <t>https://www.100ppi.com/news/detail-20260605-5750671.html</t>
        </is>
      </c>
      <c r="I989" s="7" t="inlineStr">
        <is>
          <t>6月5日生意社甲醇基准价为3186.67元/吨</t>
        </is>
      </c>
    </row>
    <row r="990">
      <c r="A990" s="7" t="n">
        <v>987</v>
      </c>
      <c r="B990" s="7" t="inlineStr">
        <is>
          <t>2026-06-08</t>
        </is>
      </c>
      <c r="C990" s="7" t="inlineStr">
        <is>
          <t>一</t>
        </is>
      </c>
      <c r="D990" s="8" t="n">
        <v>3213.33</v>
      </c>
      <c r="E990" s="7" t="n">
        <v>2026</v>
      </c>
      <c r="F990" s="7" t="n">
        <v>24</v>
      </c>
      <c r="G990" s="7" t="inlineStr">
        <is>
          <t>2026-06-08</t>
        </is>
      </c>
      <c r="H990" s="9" t="inlineStr">
        <is>
          <t>https://www.100ppi.com/news/detail-20260608-5759936.html</t>
        </is>
      </c>
      <c r="I990" s="7" t="inlineStr">
        <is>
          <t>6月8日生意社甲醇基准价为3213.33元/吨</t>
        </is>
      </c>
    </row>
    <row r="991">
      <c r="A991" s="7" t="n">
        <v>988</v>
      </c>
      <c r="B991" s="7" t="inlineStr">
        <is>
          <t>2026-06-09</t>
        </is>
      </c>
      <c r="C991" s="7" t="inlineStr">
        <is>
          <t>二</t>
        </is>
      </c>
      <c r="D991" s="8" t="n">
        <v>3360</v>
      </c>
      <c r="E991" s="7" t="n">
        <v>2026</v>
      </c>
      <c r="F991" s="7" t="n">
        <v>24</v>
      </c>
      <c r="G991" s="7" t="inlineStr">
        <is>
          <t>2026-06-09</t>
        </is>
      </c>
      <c r="H991" s="9" t="inlineStr">
        <is>
          <t>https://www.100ppi.com/news/detail-20260609-5764721.html</t>
        </is>
      </c>
      <c r="I991" s="7" t="inlineStr">
        <is>
          <t>6月9日生意社甲醇基准价为3360.00元/吨</t>
        </is>
      </c>
    </row>
    <row r="992">
      <c r="A992" s="7" t="n">
        <v>989</v>
      </c>
      <c r="B992" s="7" t="inlineStr">
        <is>
          <t>2026-06-10</t>
        </is>
      </c>
      <c r="C992" s="7" t="inlineStr">
        <is>
          <t>三</t>
        </is>
      </c>
      <c r="D992" s="8" t="n">
        <v>3286.67</v>
      </c>
      <c r="E992" s="7" t="n">
        <v>2026</v>
      </c>
      <c r="F992" s="7" t="n">
        <v>24</v>
      </c>
      <c r="G992" s="7" t="inlineStr">
        <is>
          <t>2026-06-10</t>
        </is>
      </c>
      <c r="H992" s="9" t="inlineStr">
        <is>
          <t>https://www.100ppi.com/news/detail-20260610-5769304.html</t>
        </is>
      </c>
      <c r="I992" s="7" t="inlineStr">
        <is>
          <t>6月10日生意社甲醇基准价为3286.67元/吨</t>
        </is>
      </c>
    </row>
    <row r="993">
      <c r="A993" s="7" t="n">
        <v>990</v>
      </c>
      <c r="B993" s="7" t="inlineStr">
        <is>
          <t>2026-06-11</t>
        </is>
      </c>
      <c r="C993" s="7" t="inlineStr">
        <is>
          <t>四</t>
        </is>
      </c>
      <c r="D993" s="8" t="n">
        <v>3356.67</v>
      </c>
      <c r="E993" s="7" t="n">
        <v>2026</v>
      </c>
      <c r="F993" s="7" t="n">
        <v>24</v>
      </c>
      <c r="G993" s="7" t="inlineStr">
        <is>
          <t>2026-06-11</t>
        </is>
      </c>
      <c r="H993" s="9" t="inlineStr">
        <is>
          <t>https://www.100ppi.com/news/detail-20260611-5775008.html</t>
        </is>
      </c>
      <c r="I993" s="7" t="inlineStr">
        <is>
          <t>6月11日生意社甲醇基准价为3356.67元/吨</t>
        </is>
      </c>
    </row>
    <row r="994">
      <c r="A994" s="7" t="n">
        <v>991</v>
      </c>
      <c r="B994" s="7" t="inlineStr">
        <is>
          <t>2026-06-12</t>
        </is>
      </c>
      <c r="C994" s="7" t="inlineStr">
        <is>
          <t>五</t>
        </is>
      </c>
      <c r="D994" s="8" t="n">
        <v>3441.67</v>
      </c>
      <c r="E994" s="7" t="n">
        <v>2026</v>
      </c>
      <c r="F994" s="7" t="n">
        <v>24</v>
      </c>
      <c r="G994" s="7" t="inlineStr">
        <is>
          <t>2026-06-12</t>
        </is>
      </c>
      <c r="H994" s="9" t="inlineStr">
        <is>
          <t>https://www.100ppi.com/news/detail-20260612-5779761.html</t>
        </is>
      </c>
      <c r="I994" s="7" t="inlineStr">
        <is>
          <t>6月12日生意社甲醇基准价为3441.67元/吨</t>
        </is>
      </c>
    </row>
    <row r="995">
      <c r="A995" s="7" t="n">
        <v>992</v>
      </c>
      <c r="B995" s="7" t="inlineStr">
        <is>
          <t>2026-06-15</t>
        </is>
      </c>
      <c r="C995" s="7" t="inlineStr">
        <is>
          <t>一</t>
        </is>
      </c>
      <c r="D995" s="8" t="n">
        <v>3446.67</v>
      </c>
      <c r="E995" s="7" t="n">
        <v>2026</v>
      </c>
      <c r="F995" s="7" t="n">
        <v>25</v>
      </c>
      <c r="G995" s="7" t="inlineStr">
        <is>
          <t>2026-06-15</t>
        </is>
      </c>
      <c r="H995" s="9" t="inlineStr">
        <is>
          <t>https://www.100ppi.com/news/detail-20260615-5788850.html</t>
        </is>
      </c>
      <c r="I995" s="7" t="inlineStr">
        <is>
          <t>6月15日生意社甲醇基准价为3446.67元/吨</t>
        </is>
      </c>
    </row>
    <row r="996">
      <c r="A996" s="7" t="n">
        <v>993</v>
      </c>
      <c r="B996" s="7" t="inlineStr">
        <is>
          <t>2026-06-16</t>
        </is>
      </c>
      <c r="C996" s="7" t="inlineStr">
        <is>
          <t>二</t>
        </is>
      </c>
      <c r="D996" s="8" t="n">
        <v>3180</v>
      </c>
      <c r="E996" s="7" t="n">
        <v>2026</v>
      </c>
      <c r="F996" s="7" t="n">
        <v>25</v>
      </c>
      <c r="G996" s="7" t="inlineStr">
        <is>
          <t>2026-06-16</t>
        </is>
      </c>
      <c r="H996" s="9" t="inlineStr">
        <is>
          <t>https://www.100ppi.com/news/detail-20260616-5794929.html</t>
        </is>
      </c>
      <c r="I996" s="7" t="inlineStr">
        <is>
          <t>6月16日生意社甲醇基准价为3180.00元/吨</t>
        </is>
      </c>
    </row>
    <row r="997">
      <c r="A997" s="7" t="n">
        <v>994</v>
      </c>
      <c r="B997" s="7" t="inlineStr">
        <is>
          <t>2026-06-17</t>
        </is>
      </c>
      <c r="C997" s="7" t="inlineStr">
        <is>
          <t>三</t>
        </is>
      </c>
      <c r="D997" s="8" t="n">
        <v>3128.33</v>
      </c>
      <c r="E997" s="7" t="n">
        <v>2026</v>
      </c>
      <c r="F997" s="7" t="n">
        <v>25</v>
      </c>
      <c r="G997" s="7" t="inlineStr">
        <is>
          <t>2026-06-17</t>
        </is>
      </c>
      <c r="H997" s="9" t="inlineStr">
        <is>
          <t>https://www.100ppi.com/news/detail-20260617-5800797.html</t>
        </is>
      </c>
      <c r="I997" s="7" t="inlineStr">
        <is>
          <t>6月17日生意社甲醇基准价为3128.33元/吨</t>
        </is>
      </c>
    </row>
    <row r="998">
      <c r="A998" s="7" t="n">
        <v>995</v>
      </c>
      <c r="B998" s="7" t="inlineStr">
        <is>
          <t>2026-06-18</t>
        </is>
      </c>
      <c r="C998" s="7" t="inlineStr">
        <is>
          <t>四</t>
        </is>
      </c>
      <c r="D998" s="8" t="n">
        <v>3011.67</v>
      </c>
      <c r="E998" s="7" t="n">
        <v>2026</v>
      </c>
      <c r="F998" s="7" t="n">
        <v>25</v>
      </c>
      <c r="G998" s="7" t="inlineStr">
        <is>
          <t>2026-06-18</t>
        </is>
      </c>
      <c r="H998" s="9" t="inlineStr">
        <is>
          <t>https://www.100ppi.com/news/detail-20260618-5806547.html</t>
        </is>
      </c>
      <c r="I998" s="7" t="inlineStr">
        <is>
          <t>6月18日生意社甲醇基准价为3011.67元/吨</t>
        </is>
      </c>
    </row>
    <row r="999">
      <c r="A999" s="7" t="n">
        <v>996</v>
      </c>
      <c r="B999" s="7" t="inlineStr">
        <is>
          <t>2026-06-19</t>
        </is>
      </c>
      <c r="C999" s="7" t="inlineStr">
        <is>
          <t>五</t>
        </is>
      </c>
      <c r="D999" s="8" t="n">
        <v>2916.67</v>
      </c>
      <c r="E999" s="7" t="n">
        <v>2026</v>
      </c>
      <c r="F999" s="7" t="n">
        <v>25</v>
      </c>
      <c r="G999" s="7" t="inlineStr">
        <is>
          <t>2026-06-19</t>
        </is>
      </c>
      <c r="H999" s="9" t="inlineStr">
        <is>
          <t>https://www.100ppi.com/news/detail-20260619-5812196.html</t>
        </is>
      </c>
      <c r="I999" s="7" t="inlineStr">
        <is>
          <t>6月19日生意社甲醇基准价为2916.67元/吨</t>
        </is>
      </c>
    </row>
    <row r="1000">
      <c r="A1000" s="7" t="n">
        <v>997</v>
      </c>
      <c r="B1000" s="7" t="inlineStr">
        <is>
          <t>2026-06-22</t>
        </is>
      </c>
      <c r="C1000" s="7" t="inlineStr">
        <is>
          <t>一</t>
        </is>
      </c>
      <c r="D1000" s="8" t="n">
        <v>2916.67</v>
      </c>
      <c r="E1000" s="7" t="n">
        <v>2026</v>
      </c>
      <c r="F1000" s="7" t="n">
        <v>26</v>
      </c>
      <c r="G1000" s="7" t="inlineStr">
        <is>
          <t>2026-06-22</t>
        </is>
      </c>
      <c r="H1000" s="9" t="inlineStr">
        <is>
          <t>https://www.100ppi.com/news/detail-20260622-5816375.html</t>
        </is>
      </c>
      <c r="I1000" s="7" t="inlineStr">
        <is>
          <t>6月22日生意社甲醇基准价为2916.67元/吨</t>
        </is>
      </c>
    </row>
    <row r="1001">
      <c r="A1001" s="7" t="n">
        <v>998</v>
      </c>
      <c r="B1001" s="7" t="inlineStr">
        <is>
          <t>2026-06-23</t>
        </is>
      </c>
      <c r="C1001" s="7" t="inlineStr">
        <is>
          <t>二</t>
        </is>
      </c>
      <c r="D1001" s="8" t="n">
        <v>2846.67</v>
      </c>
      <c r="E1001" s="7" t="n">
        <v>2026</v>
      </c>
      <c r="F1001" s="7" t="n">
        <v>26</v>
      </c>
      <c r="G1001" s="7" t="inlineStr">
        <is>
          <t>2026-06-23</t>
        </is>
      </c>
      <c r="H1001" s="9" t="inlineStr">
        <is>
          <t>https://www.100ppi.com/news/detail-20260623-5822419.html</t>
        </is>
      </c>
      <c r="I1001" s="7" t="inlineStr">
        <is>
          <t>6月23日生意社甲醇基准价为2846.67元/吨</t>
        </is>
      </c>
    </row>
    <row r="1002">
      <c r="A1002" s="7" t="n">
        <v>999</v>
      </c>
      <c r="B1002" s="7" t="inlineStr">
        <is>
          <t>2026-06-24</t>
        </is>
      </c>
      <c r="C1002" s="7" t="inlineStr">
        <is>
          <t>三</t>
        </is>
      </c>
      <c r="D1002" s="8" t="n">
        <v>2777.5</v>
      </c>
      <c r="E1002" s="7" t="n">
        <v>2026</v>
      </c>
      <c r="F1002" s="7" t="n">
        <v>26</v>
      </c>
      <c r="G1002" s="7" t="inlineStr">
        <is>
          <t>2026-06-24</t>
        </is>
      </c>
      <c r="H1002" s="9" t="inlineStr">
        <is>
          <t>https://www.100ppi.com/news/detail-20260624-5828322.html</t>
        </is>
      </c>
      <c r="I1002" s="7" t="inlineStr">
        <is>
          <t>6月24日生意社甲醇基准价为2777.50元/吨</t>
        </is>
      </c>
    </row>
    <row r="1003">
      <c r="A1003" s="7" t="n">
        <v>1000</v>
      </c>
      <c r="B1003" s="7" t="inlineStr">
        <is>
          <t>2026-06-25</t>
        </is>
      </c>
      <c r="C1003" s="7" t="inlineStr">
        <is>
          <t>四</t>
        </is>
      </c>
      <c r="D1003" s="8" t="n">
        <v>2697.5</v>
      </c>
      <c r="E1003" s="7" t="n">
        <v>2026</v>
      </c>
      <c r="F1003" s="7" t="n">
        <v>26</v>
      </c>
      <c r="G1003" s="7" t="inlineStr">
        <is>
          <t>2026-06-25</t>
        </is>
      </c>
      <c r="H1003" s="9" t="inlineStr">
        <is>
          <t>https://www.100ppi.com/news/detail-20260625-5834108.html</t>
        </is>
      </c>
      <c r="I1003" s="7" t="inlineStr">
        <is>
          <t>6月25日生意社甲醇基准价为2697.50元/吨</t>
        </is>
      </c>
    </row>
    <row r="1004">
      <c r="A1004" s="7" t="n">
        <v>1001</v>
      </c>
      <c r="B1004" s="7" t="inlineStr">
        <is>
          <t>2026-06-26</t>
        </is>
      </c>
      <c r="C1004" s="7" t="inlineStr">
        <is>
          <t>五</t>
        </is>
      </c>
      <c r="D1004" s="8" t="n">
        <v>2713.33</v>
      </c>
      <c r="E1004" s="7" t="n">
        <v>2026</v>
      </c>
      <c r="F1004" s="7" t="n">
        <v>26</v>
      </c>
      <c r="G1004" s="7" t="inlineStr">
        <is>
          <t>2026-06-26</t>
        </is>
      </c>
      <c r="H1004" s="9" t="inlineStr">
        <is>
          <t>https://www.100ppi.com/news/detail-20260626-5839617.html</t>
        </is>
      </c>
      <c r="I1004" s="7" t="inlineStr">
        <is>
          <t>6月26日生意社甲醇基准价为2713.33元/吨</t>
        </is>
      </c>
    </row>
    <row r="1005">
      <c r="A1005" s="7" t="n">
        <v>1002</v>
      </c>
      <c r="B1005" s="7" t="inlineStr">
        <is>
          <t>2026-06-29</t>
        </is>
      </c>
      <c r="C1005" s="7" t="inlineStr">
        <is>
          <t>一</t>
        </is>
      </c>
      <c r="D1005" s="8" t="n">
        <v>2771.67</v>
      </c>
      <c r="E1005" s="7" t="n">
        <v>2026</v>
      </c>
      <c r="F1005" s="7" t="n">
        <v>27</v>
      </c>
      <c r="G1005" s="7" t="inlineStr">
        <is>
          <t>2026-06-29</t>
        </is>
      </c>
      <c r="H1005" s="9" t="inlineStr">
        <is>
          <t>https://www.100ppi.com/news/detail-20260629-5847851.html</t>
        </is>
      </c>
      <c r="I1005" s="7" t="inlineStr">
        <is>
          <t>6月29日生意社甲醇基准价为2771.67元/吨</t>
        </is>
      </c>
    </row>
    <row r="1006">
      <c r="A1006" s="7" t="n">
        <v>1003</v>
      </c>
      <c r="B1006" s="7" t="inlineStr">
        <is>
          <t>2026-06-30</t>
        </is>
      </c>
      <c r="C1006" s="7" t="inlineStr">
        <is>
          <t>二</t>
        </is>
      </c>
      <c r="D1006" s="8" t="n">
        <v>2813.33</v>
      </c>
      <c r="E1006" s="7" t="n">
        <v>2026</v>
      </c>
      <c r="F1006" s="7" t="n">
        <v>27</v>
      </c>
      <c r="G1006" s="7" t="inlineStr">
        <is>
          <t>2026-06-30</t>
        </is>
      </c>
      <c r="H1006" s="9" t="inlineStr">
        <is>
          <t>https://www.100ppi.com/news/detail-20260630-5853669.html</t>
        </is>
      </c>
      <c r="I1006" s="7" t="inlineStr">
        <is>
          <t>6月30日生意社甲醇基准价为2813.33元/吨</t>
        </is>
      </c>
    </row>
    <row r="1007">
      <c r="A1007" s="7" t="n">
        <v>1004</v>
      </c>
      <c r="B1007" s="7" t="inlineStr">
        <is>
          <t>2026-07-01</t>
        </is>
      </c>
      <c r="C1007" s="7" t="inlineStr">
        <is>
          <t>三</t>
        </is>
      </c>
      <c r="D1007" s="8" t="n">
        <v>2771.67</v>
      </c>
      <c r="E1007" s="7" t="n">
        <v>2026</v>
      </c>
      <c r="F1007" s="7" t="n">
        <v>27</v>
      </c>
      <c r="G1007" s="7" t="inlineStr">
        <is>
          <t>2026-07-01</t>
        </is>
      </c>
      <c r="H1007" s="9" t="inlineStr">
        <is>
          <t>https://www.100ppi.com/news/detail-20260701-5859044.html</t>
        </is>
      </c>
      <c r="I1007" s="7" t="inlineStr">
        <is>
          <t>7月1日生意社甲醇基准价为2771.67元/吨</t>
        </is>
      </c>
    </row>
    <row r="1008">
      <c r="A1008" s="7" t="n">
        <v>1005</v>
      </c>
      <c r="B1008" s="7" t="inlineStr">
        <is>
          <t>2026-07-02</t>
        </is>
      </c>
      <c r="C1008" s="7" t="inlineStr">
        <is>
          <t>四</t>
        </is>
      </c>
      <c r="D1008" s="8" t="n">
        <v>2593.33</v>
      </c>
      <c r="E1008" s="7" t="n">
        <v>2026</v>
      </c>
      <c r="F1008" s="7" t="n">
        <v>27</v>
      </c>
      <c r="G1008" s="7" t="inlineStr">
        <is>
          <t>2026-07-02</t>
        </is>
      </c>
      <c r="H1008" s="9" t="inlineStr">
        <is>
          <t>https://www.100ppi.com/news/detail-20260702-5864983.html</t>
        </is>
      </c>
      <c r="I1008" s="7" t="inlineStr">
        <is>
          <t>7月2日生意社甲醇基准价为2593.33元/吨</t>
        </is>
      </c>
    </row>
    <row r="1009">
      <c r="A1009" s="7" t="n">
        <v>1006</v>
      </c>
      <c r="B1009" s="7" t="inlineStr">
        <is>
          <t>2026-07-03</t>
        </is>
      </c>
      <c r="C1009" s="7" t="inlineStr">
        <is>
          <t>五</t>
        </is>
      </c>
      <c r="D1009" s="8" t="n">
        <v>2545.83</v>
      </c>
      <c r="E1009" s="7" t="n">
        <v>2026</v>
      </c>
      <c r="F1009" s="7" t="n">
        <v>27</v>
      </c>
      <c r="G1009" s="7" t="inlineStr">
        <is>
          <t>2026-07-03</t>
        </is>
      </c>
      <c r="H1009" s="9" t="inlineStr">
        <is>
          <t>https://www.100ppi.com/news/detail-20260703-5869760.html</t>
        </is>
      </c>
      <c r="I1009" s="7" t="inlineStr">
        <is>
          <t>7月3日生意社甲醇基准价为2545.83元/吨</t>
        </is>
      </c>
    </row>
    <row r="1010">
      <c r="A1010" s="7" t="n">
        <v>1007</v>
      </c>
      <c r="B1010" s="7" t="inlineStr">
        <is>
          <t>2026-07-06</t>
        </is>
      </c>
      <c r="C1010" s="7" t="inlineStr">
        <is>
          <t>一</t>
        </is>
      </c>
      <c r="D1010" s="8" t="n">
        <v>2518.33</v>
      </c>
      <c r="E1010" s="7" t="n">
        <v>2026</v>
      </c>
      <c r="F1010" s="7" t="n">
        <v>28</v>
      </c>
      <c r="G1010" s="7" t="inlineStr">
        <is>
          <t>2026-07-06</t>
        </is>
      </c>
      <c r="H1010" s="9" t="inlineStr">
        <is>
          <t>https://www.100ppi.com/news/detail-20260706-5878586.html</t>
        </is>
      </c>
      <c r="I1010" s="7" t="inlineStr">
        <is>
          <t>7月6日生意社甲醇基准价为2518.33元/吨</t>
        </is>
      </c>
    </row>
    <row r="1011">
      <c r="A1011" s="7" t="n">
        <v>1008</v>
      </c>
      <c r="B1011" s="7" t="inlineStr">
        <is>
          <t>2026-07-07</t>
        </is>
      </c>
      <c r="C1011" s="7" t="inlineStr">
        <is>
          <t>二</t>
        </is>
      </c>
      <c r="D1011" s="8" t="n">
        <v>2529.17</v>
      </c>
      <c r="E1011" s="7" t="n">
        <v>2026</v>
      </c>
      <c r="F1011" s="7" t="n">
        <v>28</v>
      </c>
      <c r="G1011" s="7" t="inlineStr">
        <is>
          <t>2026-07-07</t>
        </is>
      </c>
      <c r="H1011" s="9" t="inlineStr">
        <is>
          <t>https://www.100ppi.com/news/detail-20260707-5884829.html</t>
        </is>
      </c>
      <c r="I1011" s="7" t="inlineStr">
        <is>
          <t>7月7日生意社甲醇基准价为2529.17元/吨</t>
        </is>
      </c>
    </row>
    <row r="1012">
      <c r="A1012" s="7" t="n">
        <v>1009</v>
      </c>
      <c r="B1012" s="7" t="inlineStr">
        <is>
          <t>2026-07-08</t>
        </is>
      </c>
      <c r="C1012" s="7" t="inlineStr">
        <is>
          <t>三</t>
        </is>
      </c>
      <c r="D1012" s="8" t="n">
        <v>2534.17</v>
      </c>
      <c r="E1012" s="7" t="n">
        <v>2026</v>
      </c>
      <c r="F1012" s="7" t="n">
        <v>28</v>
      </c>
      <c r="G1012" s="7" t="inlineStr">
        <is>
          <t>2026-07-08</t>
        </is>
      </c>
      <c r="H1012" s="9" t="inlineStr">
        <is>
          <t>https://www.100ppi.com/news/detail-20260708-5890648.html</t>
        </is>
      </c>
      <c r="I1012" s="7" t="inlineStr">
        <is>
          <t>7月8日生意社甲醇基准价为2534.17元/吨</t>
        </is>
      </c>
    </row>
    <row r="1013">
      <c r="A1013" s="7" t="n">
        <v>1010</v>
      </c>
      <c r="B1013" s="7" t="inlineStr">
        <is>
          <t>2026-07-09</t>
        </is>
      </c>
      <c r="C1013" s="7" t="inlineStr">
        <is>
          <t>四</t>
        </is>
      </c>
      <c r="D1013" s="8" t="n">
        <v>2620</v>
      </c>
      <c r="E1013" s="7" t="n">
        <v>2026</v>
      </c>
      <c r="F1013" s="7" t="n">
        <v>28</v>
      </c>
      <c r="G1013" s="7" t="inlineStr">
        <is>
          <t>2026-07-09</t>
        </is>
      </c>
      <c r="H1013" s="9" t="inlineStr">
        <is>
          <t>https://www.100ppi.com/news/detail-20260709-5896750.html</t>
        </is>
      </c>
      <c r="I1013" s="7" t="inlineStr">
        <is>
          <t>7月9日生意社甲醇基准价为2620.00元/吨</t>
        </is>
      </c>
    </row>
    <row r="1014">
      <c r="A1014" s="7" t="n">
        <v>1011</v>
      </c>
      <c r="B1014" s="7" t="inlineStr">
        <is>
          <t>2026-07-10</t>
        </is>
      </c>
      <c r="C1014" s="7" t="inlineStr">
        <is>
          <t>五</t>
        </is>
      </c>
      <c r="D1014" s="8" t="n">
        <v>2650</v>
      </c>
      <c r="E1014" s="7" t="n">
        <v>2026</v>
      </c>
      <c r="F1014" s="7" t="n">
        <v>28</v>
      </c>
      <c r="G1014" s="7" t="inlineStr">
        <is>
          <t>2026-07-10</t>
        </is>
      </c>
      <c r="H1014" s="9" t="inlineStr">
        <is>
          <t>https://www.100ppi.com/news/detail-20260710-5902739.html</t>
        </is>
      </c>
      <c r="I1014" s="7" t="inlineStr">
        <is>
          <t>7月10日生意社甲醇基准价为2650.00元/吨</t>
        </is>
      </c>
    </row>
    <row r="1015">
      <c r="A1015" s="7" t="n">
        <v>1012</v>
      </c>
      <c r="B1015" s="7" t="inlineStr">
        <is>
          <t>2026-07-13</t>
        </is>
      </c>
      <c r="C1015" s="7" t="inlineStr">
        <is>
          <t>一</t>
        </is>
      </c>
      <c r="D1015" s="8" t="n">
        <v>2613.33</v>
      </c>
      <c r="E1015" s="7" t="n">
        <v>2026</v>
      </c>
      <c r="F1015" s="7" t="n">
        <v>29</v>
      </c>
      <c r="G1015" s="7" t="inlineStr">
        <is>
          <t>2026-07-13</t>
        </is>
      </c>
      <c r="H1015" s="9" t="inlineStr">
        <is>
          <t>https://www.100ppi.com/news/detail-20260713-5912223.html</t>
        </is>
      </c>
      <c r="I1015" s="7" t="inlineStr">
        <is>
          <t>7月13日生意社甲醇基准价为2613.33元/吨</t>
        </is>
      </c>
    </row>
    <row r="1016">
      <c r="A1016" s="7" t="n">
        <v>1013</v>
      </c>
      <c r="B1016" s="7" t="inlineStr">
        <is>
          <t>2026-07-14</t>
        </is>
      </c>
      <c r="C1016" s="7" t="inlineStr">
        <is>
          <t>二</t>
        </is>
      </c>
      <c r="D1016" s="8" t="n">
        <v>2640</v>
      </c>
      <c r="E1016" s="7" t="n">
        <v>2026</v>
      </c>
      <c r="F1016" s="7" t="n">
        <v>29</v>
      </c>
      <c r="G1016" s="7" t="inlineStr">
        <is>
          <t>2026-07-14</t>
        </is>
      </c>
      <c r="H1016" s="9" t="inlineStr">
        <is>
          <t>https://www.100ppi.com/news/detail-20260714-5918479.html</t>
        </is>
      </c>
      <c r="I1016" s="7" t="inlineStr">
        <is>
          <t>7月14日生意社甲醇基准价为2640.00元/吨</t>
        </is>
      </c>
    </row>
    <row r="1017">
      <c r="A1017" s="7" t="n">
        <v>1014</v>
      </c>
      <c r="B1017" s="7" t="inlineStr">
        <is>
          <t>2026-07-15</t>
        </is>
      </c>
      <c r="C1017" s="7" t="inlineStr">
        <is>
          <t>三</t>
        </is>
      </c>
      <c r="D1017" s="8" t="n">
        <v>2741.67</v>
      </c>
      <c r="E1017" s="7" t="n">
        <v>2026</v>
      </c>
      <c r="F1017" s="7" t="n">
        <v>29</v>
      </c>
      <c r="G1017" s="7" t="inlineStr">
        <is>
          <t>2026-07-15</t>
        </is>
      </c>
      <c r="H1017" s="9" t="inlineStr">
        <is>
          <t>https://www.100ppi.com/news/detail-20260715-5924526.html</t>
        </is>
      </c>
      <c r="I1017" s="7" t="inlineStr">
        <is>
          <t>7月15日生意社甲醇基准价为2741.67元/吨</t>
        </is>
      </c>
    </row>
    <row r="1018">
      <c r="A1018" s="7" t="n">
        <v>1015</v>
      </c>
      <c r="B1018" s="7" t="inlineStr">
        <is>
          <t>2026-07-16</t>
        </is>
      </c>
      <c r="C1018" s="7" t="inlineStr">
        <is>
          <t>四</t>
        </is>
      </c>
      <c r="D1018" s="8" t="n">
        <v>2696.67</v>
      </c>
      <c r="E1018" s="7" t="n">
        <v>2026</v>
      </c>
      <c r="F1018" s="7" t="n">
        <v>29</v>
      </c>
      <c r="G1018" s="7" t="inlineStr">
        <is>
          <t>2026-07-16</t>
        </is>
      </c>
      <c r="H1018" s="9" t="inlineStr">
        <is>
          <t>https://www.100ppi.com/news/detail-20260716-5930411.html</t>
        </is>
      </c>
      <c r="I1018" s="7" t="inlineStr">
        <is>
          <t>7月16日生意社甲醇基准价为2696.67元/吨</t>
        </is>
      </c>
    </row>
    <row r="1019">
      <c r="A1019" s="7" t="n">
        <v>1016</v>
      </c>
      <c r="B1019" s="7" t="inlineStr">
        <is>
          <t>2026-07-17</t>
        </is>
      </c>
      <c r="C1019" s="7" t="inlineStr">
        <is>
          <t>五</t>
        </is>
      </c>
      <c r="D1019" s="8" t="n">
        <v>2656.67</v>
      </c>
      <c r="E1019" s="7" t="n">
        <v>2026</v>
      </c>
      <c r="F1019" s="7" t="n">
        <v>29</v>
      </c>
      <c r="G1019" s="7" t="inlineStr">
        <is>
          <t>2026-07-17</t>
        </is>
      </c>
      <c r="H1019" s="9" t="inlineStr">
        <is>
          <t>https://www.100ppi.com/news/detail-20260717-5936540.html</t>
        </is>
      </c>
      <c r="I1019" s="7" t="inlineStr">
        <is>
          <t>7月17日生意社甲醇基准价为2656.67元/吨</t>
        </is>
      </c>
    </row>
    <row r="1020">
      <c r="A1020" s="7" t="n">
        <v>1017</v>
      </c>
      <c r="B1020" s="7" t="inlineStr">
        <is>
          <t>2026-07-20</t>
        </is>
      </c>
      <c r="C1020" s="7" t="inlineStr">
        <is>
          <t>一</t>
        </is>
      </c>
      <c r="D1020" s="8" t="n">
        <v>2638.33</v>
      </c>
      <c r="E1020" s="7" t="n">
        <v>2026</v>
      </c>
      <c r="F1020" s="7" t="n">
        <v>30</v>
      </c>
      <c r="G1020" s="7" t="inlineStr">
        <is>
          <t>2026-07-20</t>
        </is>
      </c>
      <c r="H1020" s="9" t="inlineStr">
        <is>
          <t>https://www.100ppi.com/news/detail-20260720-5945990.html</t>
        </is>
      </c>
      <c r="I1020" s="7" t="inlineStr">
        <is>
          <t>7月20日生意社甲醇基准价为2638.33元/吨</t>
        </is>
      </c>
    </row>
    <row r="1021">
      <c r="A1021" s="7" t="n">
        <v>1018</v>
      </c>
      <c r="B1021" s="7" t="inlineStr">
        <is>
          <t>2026-07-21</t>
        </is>
      </c>
      <c r="C1021" s="7" t="inlineStr">
        <is>
          <t>二</t>
        </is>
      </c>
      <c r="D1021" s="8" t="n">
        <v>2790</v>
      </c>
      <c r="E1021" s="7" t="n">
        <v>2026</v>
      </c>
      <c r="F1021" s="7" t="n">
        <v>30</v>
      </c>
      <c r="G1021" s="7" t="inlineStr">
        <is>
          <t>2026-07-21</t>
        </is>
      </c>
      <c r="H1021" s="9" t="inlineStr">
        <is>
          <t>https://www.100ppi.com/news/detail-20260721-5952427.html</t>
        </is>
      </c>
      <c r="I1021" s="7" t="inlineStr">
        <is>
          <t>7月21日生意社甲醇基准价为2790.00元/吨</t>
        </is>
      </c>
    </row>
    <row r="1022">
      <c r="A1022" s="7" t="n">
        <v>1019</v>
      </c>
      <c r="B1022" s="7" t="inlineStr">
        <is>
          <t>2026-07-22</t>
        </is>
      </c>
      <c r="C1022" s="7" t="inlineStr">
        <is>
          <t>三</t>
        </is>
      </c>
      <c r="D1022" s="8" t="n">
        <v>2706.67</v>
      </c>
      <c r="E1022" s="7" t="n">
        <v>2026</v>
      </c>
      <c r="F1022" s="7" t="n">
        <v>30</v>
      </c>
      <c r="G1022" s="7" t="inlineStr">
        <is>
          <t>2026-07-22</t>
        </is>
      </c>
      <c r="H1022" s="9" t="inlineStr">
        <is>
          <t>https://www.100ppi.com/news/detail-20260722-5958222.html</t>
        </is>
      </c>
      <c r="I1022" s="7" t="inlineStr">
        <is>
          <t>7月22日生意社甲醇基准价为2706.67元/吨</t>
        </is>
      </c>
    </row>
    <row r="1023">
      <c r="A1023" s="7" t="n">
        <v>1020</v>
      </c>
      <c r="B1023" s="7" t="inlineStr">
        <is>
          <t>2026-07-23</t>
        </is>
      </c>
      <c r="C1023" s="7" t="inlineStr">
        <is>
          <t>四</t>
        </is>
      </c>
      <c r="D1023" s="8" t="n">
        <v>2718.33</v>
      </c>
      <c r="E1023" s="7" t="n">
        <v>2026</v>
      </c>
      <c r="F1023" s="7" t="n">
        <v>30</v>
      </c>
      <c r="G1023" s="7" t="inlineStr">
        <is>
          <t>2026-07-23</t>
        </is>
      </c>
      <c r="H1023" s="9" t="inlineStr">
        <is>
          <t>https://www.100ppi.com/news/detail-20260723-5964340.html</t>
        </is>
      </c>
      <c r="I1023" s="7" t="inlineStr">
        <is>
          <t>7月23日生意社甲醇基准价为2718.33元/吨</t>
        </is>
      </c>
    </row>
    <row r="1024">
      <c r="A1024" s="7" t="n">
        <v>1021</v>
      </c>
      <c r="B1024" s="7" t="inlineStr">
        <is>
          <t>2026-07-24</t>
        </is>
      </c>
      <c r="C1024" s="7" t="inlineStr">
        <is>
          <t>五</t>
        </is>
      </c>
      <c r="D1024" s="8" t="n">
        <v>2750</v>
      </c>
      <c r="E1024" s="7" t="n">
        <v>2026</v>
      </c>
      <c r="F1024" s="7" t="n">
        <v>30</v>
      </c>
      <c r="G1024" s="7" t="inlineStr">
        <is>
          <t>2026-07-24</t>
        </is>
      </c>
      <c r="H1024" s="9" t="inlineStr">
        <is>
          <t>https://www.100ppi.com/news/detail-20260724-5970188.html</t>
        </is>
      </c>
      <c r="I1024" s="7" t="inlineStr">
        <is>
          <t>7月24日生意社甲醇基准价为2750.00元/吨</t>
        </is>
      </c>
    </row>
    <row r="1025">
      <c r="A1025" s="7" t="n">
        <v>1022</v>
      </c>
      <c r="B1025" s="7" t="inlineStr">
        <is>
          <t>2026-07-27</t>
        </is>
      </c>
      <c r="C1025" s="7" t="inlineStr">
        <is>
          <t>一</t>
        </is>
      </c>
      <c r="D1025" s="8" t="n">
        <v>2753.33</v>
      </c>
      <c r="E1025" s="7" t="n">
        <v>2026</v>
      </c>
      <c r="F1025" s="7" t="n">
        <v>31</v>
      </c>
      <c r="G1025" s="7" t="inlineStr">
        <is>
          <t>2026-07-27</t>
        </is>
      </c>
      <c r="H1025" s="9" t="inlineStr">
        <is>
          <t>https://www.100ppi.com/news/detail-20260727-5979451.html</t>
        </is>
      </c>
      <c r="I1025" s="7" t="inlineStr">
        <is>
          <t>7月27日生意社甲醇基准价为2753.33元/吨</t>
        </is>
      </c>
    </row>
    <row r="1026">
      <c r="A1026" s="7" t="n">
        <v>1023</v>
      </c>
      <c r="B1026" s="7" t="inlineStr">
        <is>
          <t>2026-07-28</t>
        </is>
      </c>
      <c r="C1026" s="7" t="inlineStr">
        <is>
          <t>二</t>
        </is>
      </c>
      <c r="D1026" s="8" t="n">
        <v>2621.67</v>
      </c>
      <c r="E1026" s="7" t="n">
        <v>2026</v>
      </c>
      <c r="F1026" s="7" t="n">
        <v>31</v>
      </c>
      <c r="G1026" s="7" t="inlineStr">
        <is>
          <t>2026-07-28</t>
        </is>
      </c>
      <c r="H1026" s="9" t="inlineStr">
        <is>
          <t>https://www.100ppi.com/news/detail-20260728-5985732.html</t>
        </is>
      </c>
      <c r="I1026" s="7" t="inlineStr">
        <is>
          <t>7月28日生意社甲醇基准价为2621.67元/吨</t>
        </is>
      </c>
    </row>
    <row r="1027">
      <c r="A1027" s="7" t="n">
        <v>1024</v>
      </c>
      <c r="B1027" s="7" t="inlineStr">
        <is>
          <t>2026-07-29</t>
        </is>
      </c>
      <c r="C1027" s="7" t="inlineStr">
        <is>
          <t>三</t>
        </is>
      </c>
      <c r="D1027" s="8" t="n">
        <v>2613.33</v>
      </c>
      <c r="E1027" s="7" t="n">
        <v>2026</v>
      </c>
      <c r="F1027" s="7" t="n">
        <v>31</v>
      </c>
      <c r="G1027" s="7" t="inlineStr">
        <is>
          <t>2026-07-29</t>
        </is>
      </c>
      <c r="H1027" s="9" t="inlineStr">
        <is>
          <t>https://www.100ppi.com/news/detail-20260729-5991419.html</t>
        </is>
      </c>
      <c r="I1027" s="7" t="inlineStr">
        <is>
          <t>7月29日生意社甲醇基准价为2613.33元/吨</t>
        </is>
      </c>
    </row>
    <row r="1028">
      <c r="A1028" s="7" t="n">
        <v>1025</v>
      </c>
      <c r="B1028" s="7" t="inlineStr">
        <is>
          <t>2026-07-30</t>
        </is>
      </c>
      <c r="C1028" s="7" t="inlineStr">
        <is>
          <t>四</t>
        </is>
      </c>
      <c r="D1028" s="8" t="n">
        <v>2656.67</v>
      </c>
      <c r="E1028" s="7" t="n">
        <v>2026</v>
      </c>
      <c r="F1028" s="7" t="n">
        <v>31</v>
      </c>
      <c r="G1028" s="7" t="inlineStr">
        <is>
          <t>2026-07-30</t>
        </is>
      </c>
      <c r="H1028" s="9" t="inlineStr">
        <is>
          <t>https://www.100ppi.com/news/detail-20260730-5996213.html</t>
        </is>
      </c>
      <c r="I1028" s="7" t="inlineStr">
        <is>
          <t>7月30日生意社甲醇基准价为2656.67元/吨</t>
        </is>
      </c>
    </row>
    <row r="1029">
      <c r="A1029" s="7" t="n">
        <v>1026</v>
      </c>
      <c r="B1029" s="7" t="inlineStr">
        <is>
          <t>2026-07-31</t>
        </is>
      </c>
      <c r="C1029" s="7" t="inlineStr">
        <is>
          <t>五</t>
        </is>
      </c>
      <c r="D1029" s="8" t="n">
        <v>2665</v>
      </c>
      <c r="E1029" s="7" t="n">
        <v>2026</v>
      </c>
      <c r="F1029" s="7" t="n">
        <v>31</v>
      </c>
      <c r="G1029" s="7" t="inlineStr">
        <is>
          <t>2026-07-31</t>
        </is>
      </c>
      <c r="H1029" s="9" t="inlineStr">
        <is>
          <t>https://www.100ppi.com/news/detail-20260731-6001671.html</t>
        </is>
      </c>
      <c r="I1029" s="7" t="inlineStr">
        <is>
          <t>7月31日生意社甲醇基准价为2665.00元/吨</t>
        </is>
      </c>
    </row>
    <row r="1030">
      <c r="A1030" s="7" t="n">
        <v>1027</v>
      </c>
      <c r="B1030" s="7" t="inlineStr">
        <is>
          <t>2026-08-03</t>
        </is>
      </c>
      <c r="C1030" s="7" t="inlineStr">
        <is>
          <t>一</t>
        </is>
      </c>
      <c r="D1030" s="8" t="n">
        <v>2628.33</v>
      </c>
      <c r="E1030" s="7" t="n">
        <v>2026</v>
      </c>
      <c r="F1030" s="7" t="n">
        <v>32</v>
      </c>
      <c r="G1030" s="7" t="inlineStr">
        <is>
          <t>2026-08-03</t>
        </is>
      </c>
      <c r="H1030" s="9" t="inlineStr">
        <is>
          <t>https://www.100ppi.com/news/detail-20260803-6010688.html</t>
        </is>
      </c>
      <c r="I1030" s="7" t="inlineStr">
        <is>
          <t>8月3日生意社甲醇基准价为2628.33元/吨</t>
        </is>
      </c>
    </row>
    <row r="1031">
      <c r="A1031" s="7" t="n">
        <v>1028</v>
      </c>
      <c r="B1031" s="7" t="inlineStr">
        <is>
          <t>2026-08-04</t>
        </is>
      </c>
      <c r="C1031" s="7" t="inlineStr">
        <is>
          <t>二</t>
        </is>
      </c>
      <c r="D1031" s="8" t="n">
        <v>2620</v>
      </c>
      <c r="E1031" s="7" t="n">
        <v>2026</v>
      </c>
      <c r="F1031" s="7" t="n">
        <v>32</v>
      </c>
      <c r="G1031" s="7" t="inlineStr">
        <is>
          <t>2026-08-04</t>
        </is>
      </c>
      <c r="H1031" s="9" t="inlineStr">
        <is>
          <t>https://www.100ppi.com/news/detail-20260804-6016802.html</t>
        </is>
      </c>
      <c r="I1031" s="7" t="inlineStr">
        <is>
          <t>8月4日生意社甲醇基准价为2620.00元/吨</t>
        </is>
      </c>
    </row>
    <row r="1032">
      <c r="A1032" s="7" t="n">
        <v>1029</v>
      </c>
      <c r="B1032" s="7" t="inlineStr">
        <is>
          <t>2026-08-05</t>
        </is>
      </c>
      <c r="C1032" s="7" t="inlineStr">
        <is>
          <t>三</t>
        </is>
      </c>
      <c r="D1032" s="8" t="n">
        <v>2616.67</v>
      </c>
      <c r="E1032" s="7" t="n">
        <v>2026</v>
      </c>
      <c r="F1032" s="7" t="n">
        <v>32</v>
      </c>
      <c r="G1032" s="7" t="inlineStr">
        <is>
          <t>2026-08-05</t>
        </is>
      </c>
      <c r="H1032" s="9" t="inlineStr">
        <is>
          <t>https://www.100ppi.com/news/detail-20260805-6022729.html</t>
        </is>
      </c>
      <c r="I1032" s="7" t="inlineStr">
        <is>
          <t>8月5日生意社甲醇基准价为2616.67元/吨</t>
        </is>
      </c>
    </row>
    <row r="1033">
      <c r="A1033" s="7" t="n">
        <v>1030</v>
      </c>
      <c r="B1033" s="7" t="inlineStr">
        <is>
          <t>2026-08-06</t>
        </is>
      </c>
      <c r="C1033" s="7" t="inlineStr">
        <is>
          <t>四</t>
        </is>
      </c>
      <c r="D1033" s="8" t="n">
        <v>2565</v>
      </c>
      <c r="E1033" s="7" t="n">
        <v>2026</v>
      </c>
      <c r="F1033" s="7" t="n">
        <v>32</v>
      </c>
      <c r="G1033" s="7" t="inlineStr">
        <is>
          <t>2026-08-06</t>
        </is>
      </c>
      <c r="H1033" s="9" t="inlineStr">
        <is>
          <t>https://www.100ppi.com/news/detail-20260806-6028095.html</t>
        </is>
      </c>
      <c r="I1033" s="7" t="inlineStr">
        <is>
          <t>8月6日生意社甲醇基准价为2565.00元/吨</t>
        </is>
      </c>
    </row>
    <row r="1034">
      <c r="A1034" s="7" t="n">
        <v>1031</v>
      </c>
      <c r="B1034" s="7" t="inlineStr">
        <is>
          <t>2026-08-07</t>
        </is>
      </c>
      <c r="C1034" s="7" t="inlineStr">
        <is>
          <t>五</t>
        </is>
      </c>
      <c r="D1034" s="8" t="n">
        <v>2531.67</v>
      </c>
      <c r="E1034" s="7" t="n">
        <v>2026</v>
      </c>
      <c r="F1034" s="7" t="n">
        <v>32</v>
      </c>
      <c r="G1034" s="7" t="inlineStr">
        <is>
          <t>2026-08-07</t>
        </is>
      </c>
      <c r="H1034" s="9" t="inlineStr">
        <is>
          <t>https://www.100ppi.com/news/detail-20260807-6033794.html</t>
        </is>
      </c>
      <c r="I1034" s="7" t="inlineStr">
        <is>
          <t>8月7日生意社甲醇基准价为2531.67元/吨</t>
        </is>
      </c>
    </row>
    <row r="1035">
      <c r="A1035" s="7" t="n">
        <v>1032</v>
      </c>
      <c r="B1035" s="7" t="inlineStr">
        <is>
          <t>2026-08-10</t>
        </is>
      </c>
      <c r="C1035" s="7" t="inlineStr">
        <is>
          <t>一</t>
        </is>
      </c>
      <c r="D1035" s="8" t="n">
        <v>2560</v>
      </c>
      <c r="E1035" s="7" t="n">
        <v>2026</v>
      </c>
      <c r="F1035" s="7" t="n">
        <v>33</v>
      </c>
      <c r="G1035" s="7" t="inlineStr">
        <is>
          <t>2026-08-10</t>
        </is>
      </c>
      <c r="H1035" s="9" t="inlineStr">
        <is>
          <t>https://www.100ppi.com/news/detail-20260810-6043028.html</t>
        </is>
      </c>
      <c r="I1035" s="7" t="inlineStr">
        <is>
          <t>8月10日生意社甲醇基准价为2560.00元/吨</t>
        </is>
      </c>
    </row>
    <row r="1036">
      <c r="A1036" s="7" t="n">
        <v>1033</v>
      </c>
      <c r="B1036" s="7" t="inlineStr">
        <is>
          <t>2026-08-11</t>
        </is>
      </c>
      <c r="C1036" s="7" t="inlineStr">
        <is>
          <t>二</t>
        </is>
      </c>
      <c r="D1036" s="8" t="n">
        <v>2580</v>
      </c>
      <c r="E1036" s="7" t="n">
        <v>2026</v>
      </c>
      <c r="F1036" s="7" t="n">
        <v>33</v>
      </c>
      <c r="G1036" s="7" t="inlineStr">
        <is>
          <t>2026-08-11</t>
        </is>
      </c>
      <c r="H1036" s="9" t="inlineStr">
        <is>
          <t>https://www.100ppi.com/news/detail-20260811-6049286.html</t>
        </is>
      </c>
      <c r="I1036" s="7" t="inlineStr">
        <is>
          <t>8月11日生意社甲醇基准价为2580.00元/吨</t>
        </is>
      </c>
    </row>
    <row r="1037">
      <c r="A1037" s="7" t="n">
        <v>1034</v>
      </c>
      <c r="B1037" s="7" t="inlineStr">
        <is>
          <t>2026-08-12</t>
        </is>
      </c>
      <c r="C1037" s="7" t="inlineStr">
        <is>
          <t>三</t>
        </is>
      </c>
      <c r="D1037" s="8" t="n">
        <v>2660</v>
      </c>
      <c r="E1037" s="7" t="n">
        <v>2026</v>
      </c>
      <c r="F1037" s="7" t="n">
        <v>33</v>
      </c>
      <c r="G1037" s="7" t="inlineStr">
        <is>
          <t>2026-08-12</t>
        </is>
      </c>
      <c r="H1037" s="9" t="inlineStr">
        <is>
          <t>https://www.100ppi.com/news/detail-20260812-6055299.html</t>
        </is>
      </c>
      <c r="I1037" s="7" t="inlineStr">
        <is>
          <t>8月12日生意社甲醇基准价为2660.00元/吨</t>
        </is>
      </c>
    </row>
    <row r="1038">
      <c r="A1038" s="7" t="n">
        <v>1035</v>
      </c>
      <c r="B1038" s="7" t="inlineStr">
        <is>
          <t>2026-08-13</t>
        </is>
      </c>
      <c r="C1038" s="7" t="inlineStr">
        <is>
          <t>四</t>
        </is>
      </c>
      <c r="D1038" s="8" t="n">
        <v>2645</v>
      </c>
      <c r="E1038" s="7" t="n">
        <v>2026</v>
      </c>
      <c r="F1038" s="7" t="n">
        <v>33</v>
      </c>
      <c r="G1038" s="7" t="inlineStr">
        <is>
          <t>2026-08-13</t>
        </is>
      </c>
      <c r="H1038" s="9" t="inlineStr">
        <is>
          <t>https://www.100ppi.com/news/detail-20260813-6061304.html</t>
        </is>
      </c>
      <c r="I1038" s="7" t="inlineStr">
        <is>
          <t>8月13日生意社甲醇基准价为2645.00元/吨</t>
        </is>
      </c>
    </row>
    <row r="1039">
      <c r="A1039" s="7" t="n">
        <v>1036</v>
      </c>
      <c r="B1039" s="7" t="inlineStr">
        <is>
          <t>2026-08-14</t>
        </is>
      </c>
      <c r="C1039" s="7" t="inlineStr">
        <is>
          <t>五</t>
        </is>
      </c>
      <c r="D1039" s="8" t="n">
        <v>2668.33</v>
      </c>
      <c r="E1039" s="7" t="n">
        <v>2026</v>
      </c>
      <c r="F1039" s="7" t="n">
        <v>33</v>
      </c>
      <c r="G1039" s="7" t="inlineStr">
        <is>
          <t>2026-08-14</t>
        </is>
      </c>
      <c r="H1039" s="9" t="inlineStr">
        <is>
          <t>https://www.100ppi.com/news/detail-20260814-6067332.html</t>
        </is>
      </c>
      <c r="I1039" s="7" t="inlineStr">
        <is>
          <t>8月14日生意社甲醇基准价为2668.33元/吨</t>
        </is>
      </c>
    </row>
    <row r="1040">
      <c r="A1040" s="7" t="n">
        <v>1037</v>
      </c>
      <c r="B1040" s="7" t="inlineStr">
        <is>
          <t>2026-08-17</t>
        </is>
      </c>
      <c r="C1040" s="7" t="inlineStr">
        <is>
          <t>一</t>
        </is>
      </c>
      <c r="D1040" s="8" t="n">
        <v>2712.5</v>
      </c>
      <c r="E1040" s="7" t="n">
        <v>2026</v>
      </c>
      <c r="F1040" s="7" t="n">
        <v>34</v>
      </c>
      <c r="G1040" s="7" t="inlineStr">
        <is>
          <t>2026-08-17</t>
        </is>
      </c>
      <c r="H1040" s="9" t="inlineStr">
        <is>
          <t>https://www.100ppi.com/news/detail-20260817-6076955.html</t>
        </is>
      </c>
      <c r="I1040" s="7" t="inlineStr">
        <is>
          <t>8月17日生意社甲醇基准价为2712.50元/吨</t>
        </is>
      </c>
    </row>
    <row r="1041">
      <c r="A1041" s="7" t="n">
        <v>1038</v>
      </c>
      <c r="B1041" s="7" t="inlineStr">
        <is>
          <t>2026-08-18</t>
        </is>
      </c>
      <c r="C1041" s="7" t="inlineStr">
        <is>
          <t>二</t>
        </is>
      </c>
      <c r="D1041" s="8" t="n">
        <v>2761.67</v>
      </c>
      <c r="E1041" s="7" t="n">
        <v>2026</v>
      </c>
      <c r="F1041" s="7" t="n">
        <v>34</v>
      </c>
      <c r="G1041" s="7" t="inlineStr">
        <is>
          <t>2026-08-18</t>
        </is>
      </c>
      <c r="H1041" s="9" t="inlineStr">
        <is>
          <t>https://www.100ppi.com/news/detail-20260818-6083393.html</t>
        </is>
      </c>
      <c r="I1041" s="7" t="inlineStr">
        <is>
          <t>8月18日生意社甲醇基准价为2761.67元/吨</t>
        </is>
      </c>
    </row>
    <row r="1042">
      <c r="A1042" s="7" t="n">
        <v>1039</v>
      </c>
      <c r="B1042" s="7" t="inlineStr">
        <is>
          <t>2026-08-19</t>
        </is>
      </c>
      <c r="C1042" s="7" t="inlineStr">
        <is>
          <t>三</t>
        </is>
      </c>
      <c r="D1042" s="8" t="n">
        <v>2810</v>
      </c>
      <c r="E1042" s="7" t="n">
        <v>2026</v>
      </c>
      <c r="F1042" s="7" t="n">
        <v>34</v>
      </c>
      <c r="G1042" s="7" t="inlineStr">
        <is>
          <t>2026-08-19</t>
        </is>
      </c>
      <c r="H1042" s="9" t="inlineStr">
        <is>
          <t>https://www.100ppi.com/news/detail-20260819-6089696.html</t>
        </is>
      </c>
      <c r="I1042" s="7" t="inlineStr">
        <is>
          <t>8月19日生意社甲醇基准价为2810.00元/吨</t>
        </is>
      </c>
    </row>
    <row r="1043">
      <c r="A1043" s="7" t="n">
        <v>1040</v>
      </c>
      <c r="B1043" s="7" t="inlineStr">
        <is>
          <t>2026-08-20</t>
        </is>
      </c>
      <c r="C1043" s="7" t="inlineStr">
        <is>
          <t>四</t>
        </is>
      </c>
      <c r="D1043" s="8" t="n">
        <v>2880</v>
      </c>
      <c r="E1043" s="7" t="n">
        <v>2026</v>
      </c>
      <c r="F1043" s="7" t="n">
        <v>34</v>
      </c>
      <c r="G1043" s="7" t="inlineStr">
        <is>
          <t>2026-08-20</t>
        </is>
      </c>
      <c r="H1043" s="9" t="inlineStr">
        <is>
          <t>https://www.100ppi.com/news/detail-20260820-6095872.html</t>
        </is>
      </c>
      <c r="I1043" s="7" t="inlineStr">
        <is>
          <t>8月20日生意社甲醇基准价为2880.00元/吨</t>
        </is>
      </c>
    </row>
    <row r="1044">
      <c r="A1044" s="7" t="n">
        <v>1041</v>
      </c>
      <c r="B1044" s="7" t="inlineStr">
        <is>
          <t>2026-08-21</t>
        </is>
      </c>
      <c r="C1044" s="7" t="inlineStr">
        <is>
          <t>五</t>
        </is>
      </c>
      <c r="D1044" s="8" t="n">
        <v>2875.83</v>
      </c>
      <c r="E1044" s="7" t="n">
        <v>2026</v>
      </c>
      <c r="F1044" s="7" t="n">
        <v>34</v>
      </c>
      <c r="G1044" s="7" t="inlineStr">
        <is>
          <t>2026-08-21</t>
        </is>
      </c>
      <c r="H1044" s="9" t="inlineStr">
        <is>
          <t>https://www.100ppi.com/news/detail-20260821-6101594.html</t>
        </is>
      </c>
      <c r="I1044" s="7" t="inlineStr">
        <is>
          <t>8月21日生意社甲醇基准价为2875.83元/吨</t>
        </is>
      </c>
    </row>
    <row r="1045">
      <c r="A1045" s="7" t="n">
        <v>1042</v>
      </c>
      <c r="B1045" s="7" t="inlineStr">
        <is>
          <t>2026-08-24</t>
        </is>
      </c>
      <c r="C1045" s="7" t="inlineStr">
        <is>
          <t>一</t>
        </is>
      </c>
      <c r="D1045" s="8" t="n">
        <v>2956.67</v>
      </c>
      <c r="E1045" s="7" t="n">
        <v>2026</v>
      </c>
      <c r="F1045" s="7" t="n">
        <v>35</v>
      </c>
      <c r="G1045" s="7" t="inlineStr">
        <is>
          <t>2026-08-24</t>
        </is>
      </c>
      <c r="H1045" s="9" t="inlineStr">
        <is>
          <t>https://www.100ppi.com/news/detail-20260824-6110716.html</t>
        </is>
      </c>
      <c r="I1045" s="7" t="inlineStr">
        <is>
          <t>8月24日生意社甲醇基准价为2956.67元/吨</t>
        </is>
      </c>
    </row>
    <row r="1046">
      <c r="A1046" s="7" t="n">
        <v>1043</v>
      </c>
      <c r="B1046" s="7" t="inlineStr">
        <is>
          <t>2026-08-25</t>
        </is>
      </c>
      <c r="C1046" s="7" t="inlineStr">
        <is>
          <t>二</t>
        </is>
      </c>
      <c r="D1046" s="8" t="n">
        <v>2983.33</v>
      </c>
      <c r="E1046" s="7" t="n">
        <v>2026</v>
      </c>
      <c r="F1046" s="7" t="n">
        <v>35</v>
      </c>
      <c r="G1046" s="7" t="inlineStr">
        <is>
          <t>2026-08-25</t>
        </is>
      </c>
      <c r="H1046" s="9" t="inlineStr">
        <is>
          <t>https://www.100ppi.com/news/detail-20260825-6116876.html</t>
        </is>
      </c>
      <c r="I1046" s="7" t="inlineStr">
        <is>
          <t>8月25日生意社甲醇基准价为2983.33元/吨</t>
        </is>
      </c>
    </row>
    <row r="1047">
      <c r="A1047" s="7" t="n">
        <v>1044</v>
      </c>
      <c r="B1047" s="7" t="inlineStr">
        <is>
          <t>2026-08-26</t>
        </is>
      </c>
      <c r="C1047" s="7" t="inlineStr">
        <is>
          <t>三</t>
        </is>
      </c>
      <c r="D1047" s="8" t="n">
        <v>2990</v>
      </c>
      <c r="E1047" s="7" t="n">
        <v>2026</v>
      </c>
      <c r="F1047" s="7" t="n">
        <v>35</v>
      </c>
      <c r="G1047" s="7" t="inlineStr">
        <is>
          <t>2026-08-26</t>
        </is>
      </c>
      <c r="H1047" s="9" t="inlineStr">
        <is>
          <t>https://www.100ppi.com/news/detail-20260826-6122560.html</t>
        </is>
      </c>
      <c r="I1047" s="7" t="inlineStr">
        <is>
          <t>8月26日生意社甲醇基准价为2990.00元/吨</t>
        </is>
      </c>
    </row>
    <row r="1048">
      <c r="A1048" s="7" t="n">
        <v>1045</v>
      </c>
      <c r="B1048" s="7" t="inlineStr">
        <is>
          <t>2026-08-27</t>
        </is>
      </c>
      <c r="C1048" s="7" t="inlineStr">
        <is>
          <t>四</t>
        </is>
      </c>
      <c r="D1048" s="8" t="n">
        <v>2846.67</v>
      </c>
      <c r="E1048" s="7" t="n">
        <v>2026</v>
      </c>
      <c r="F1048" s="7" t="n">
        <v>35</v>
      </c>
      <c r="G1048" s="7" t="inlineStr">
        <is>
          <t>2026-08-27</t>
        </is>
      </c>
      <c r="H1048" s="9" t="inlineStr">
        <is>
          <t>https://www.100ppi.com/news/detail-20260827-6128313.html</t>
        </is>
      </c>
      <c r="I1048" s="7" t="inlineStr">
        <is>
          <t>8月27日生意社甲醇基准价为2846.67元/吨</t>
        </is>
      </c>
    </row>
    <row r="1049">
      <c r="A1049" s="7" t="n">
        <v>1046</v>
      </c>
      <c r="B1049" s="7" t="inlineStr">
        <is>
          <t>2026-08-28</t>
        </is>
      </c>
      <c r="C1049" s="7" t="inlineStr">
        <is>
          <t>五</t>
        </is>
      </c>
      <c r="D1049" s="8" t="n">
        <v>2850.83</v>
      </c>
      <c r="E1049" s="7" t="n">
        <v>2026</v>
      </c>
      <c r="F1049" s="7" t="n">
        <v>35</v>
      </c>
      <c r="G1049" s="7" t="inlineStr">
        <is>
          <t>2026-08-28</t>
        </is>
      </c>
      <c r="H1049" s="9" t="inlineStr">
        <is>
          <t>https://www.100ppi.com/news/detail-20260828-6133952.html</t>
        </is>
      </c>
      <c r="I1049" s="7" t="inlineStr">
        <is>
          <t>8月28日生意社甲醇基准价为2850.83元/吨</t>
        </is>
      </c>
    </row>
    <row r="1050">
      <c r="A1050" s="7" t="n">
        <v>1047</v>
      </c>
      <c r="B1050" s="7" t="inlineStr">
        <is>
          <t>2026-08-31</t>
        </is>
      </c>
      <c r="C1050" s="7" t="inlineStr">
        <is>
          <t>一</t>
        </is>
      </c>
      <c r="D1050" s="8" t="n">
        <v>2921.67</v>
      </c>
      <c r="E1050" s="7" t="n">
        <v>2026</v>
      </c>
      <c r="F1050" s="7" t="n">
        <v>36</v>
      </c>
      <c r="G1050" s="7" t="inlineStr">
        <is>
          <t>2026-08-31</t>
        </is>
      </c>
      <c r="H1050" s="9" t="inlineStr">
        <is>
          <t>https://www.100ppi.com/news/detail-20260831-6143088.html</t>
        </is>
      </c>
      <c r="I1050" s="7" t="inlineStr">
        <is>
          <t>8月31日生意社甲醇基准价为2921.67元/吨</t>
        </is>
      </c>
    </row>
    <row r="1051">
      <c r="A1051" s="7" t="n">
        <v>1048</v>
      </c>
      <c r="B1051" s="7" t="inlineStr">
        <is>
          <t>2026-09-01</t>
        </is>
      </c>
      <c r="C1051" s="7" t="inlineStr">
        <is>
          <t>二</t>
        </is>
      </c>
      <c r="D1051" s="8" t="n">
        <v>3096.67</v>
      </c>
      <c r="E1051" s="7" t="n">
        <v>2026</v>
      </c>
      <c r="F1051" s="7" t="n">
        <v>36</v>
      </c>
      <c r="G1051" s="7" t="inlineStr">
        <is>
          <t>2026-09-01</t>
        </is>
      </c>
      <c r="H1051" s="9" t="inlineStr">
        <is>
          <t>https://www.100ppi.com/news/detail-20260901-6149266.html</t>
        </is>
      </c>
      <c r="I1051" s="7" t="inlineStr">
        <is>
          <t>9月1日生意社甲醇基准价为3096.67元/吨</t>
        </is>
      </c>
    </row>
    <row r="1052">
      <c r="A1052" s="7" t="n">
        <v>1049</v>
      </c>
      <c r="B1052" s="7" t="inlineStr">
        <is>
          <t>2026-09-02</t>
        </is>
      </c>
      <c r="C1052" s="7" t="inlineStr">
        <is>
          <t>三</t>
        </is>
      </c>
      <c r="D1052" s="8" t="n">
        <v>3250</v>
      </c>
      <c r="E1052" s="7" t="n">
        <v>2026</v>
      </c>
      <c r="F1052" s="7" t="n">
        <v>36</v>
      </c>
      <c r="G1052" s="7" t="inlineStr">
        <is>
          <t>2026-09-02</t>
        </is>
      </c>
      <c r="H1052" s="9" t="inlineStr">
        <is>
          <t>https://www.100ppi.com/news/detail-20260902-6155349.html</t>
        </is>
      </c>
      <c r="I1052" s="7" t="inlineStr">
        <is>
          <t>9月2日生意社甲醇基准价为3250.00元/吨</t>
        </is>
      </c>
    </row>
    <row r="1053">
      <c r="A1053" s="7" t="n">
        <v>1050</v>
      </c>
      <c r="B1053" s="7" t="inlineStr">
        <is>
          <t>2026-09-03</t>
        </is>
      </c>
      <c r="C1053" s="7" t="inlineStr">
        <is>
          <t>四</t>
        </is>
      </c>
      <c r="D1053" s="8" t="n">
        <v>3376.67</v>
      </c>
      <c r="E1053" s="7" t="n">
        <v>2026</v>
      </c>
      <c r="F1053" s="7" t="n">
        <v>36</v>
      </c>
      <c r="G1053" s="7" t="inlineStr">
        <is>
          <t>2026-09-03</t>
        </is>
      </c>
      <c r="H1053" s="9" t="inlineStr">
        <is>
          <t>https://www.100ppi.com/news/detail-20260903-6161478.html</t>
        </is>
      </c>
      <c r="I1053" s="7" t="inlineStr">
        <is>
          <t>9月3日生意社甲醇基准价为3376.67元/吨</t>
        </is>
      </c>
    </row>
    <row r="1054">
      <c r="A1054" s="7" t="n">
        <v>1051</v>
      </c>
      <c r="B1054" s="7" t="inlineStr">
        <is>
          <t>2026-09-04</t>
        </is>
      </c>
      <c r="C1054" s="7" t="inlineStr">
        <is>
          <t>五</t>
        </is>
      </c>
      <c r="D1054" s="8" t="n">
        <v>3349.17</v>
      </c>
      <c r="E1054" s="7" t="n">
        <v>2026</v>
      </c>
      <c r="F1054" s="7" t="n">
        <v>36</v>
      </c>
      <c r="G1054" s="7" t="inlineStr">
        <is>
          <t>2026-09-04</t>
        </is>
      </c>
      <c r="H1054" s="9" t="inlineStr">
        <is>
          <t>https://www.100ppi.com/news/detail-20260904-6167491.html</t>
        </is>
      </c>
      <c r="I1054" s="7" t="inlineStr">
        <is>
          <t>9月4日生意社甲醇基准价为3349.17元/吨</t>
        </is>
      </c>
    </row>
    <row r="1055">
      <c r="A1055" s="7" t="n">
        <v>1052</v>
      </c>
      <c r="B1055" s="7" t="inlineStr">
        <is>
          <t>2026-09-07</t>
        </is>
      </c>
      <c r="C1055" s="7" t="inlineStr">
        <is>
          <t>一</t>
        </is>
      </c>
      <c r="D1055" s="8" t="n">
        <v>3355.83</v>
      </c>
      <c r="E1055" s="7" t="n">
        <v>2026</v>
      </c>
      <c r="F1055" s="7" t="n">
        <v>37</v>
      </c>
      <c r="G1055" s="7" t="inlineStr">
        <is>
          <t>2026-09-07</t>
        </is>
      </c>
      <c r="H1055" s="9" t="inlineStr">
        <is>
          <t>https://www.100ppi.com/news/detail-20260907-6177529.html</t>
        </is>
      </c>
      <c r="I1055" s="7" t="inlineStr">
        <is>
          <t>9月7日生意社甲醇基准价为3355.83元/吨</t>
        </is>
      </c>
    </row>
    <row r="1056">
      <c r="A1056" s="7" t="n">
        <v>1053</v>
      </c>
      <c r="B1056" s="7" t="inlineStr">
        <is>
          <t>2026-09-08</t>
        </is>
      </c>
      <c r="C1056" s="7" t="inlineStr">
        <is>
          <t>二</t>
        </is>
      </c>
      <c r="D1056" s="8" t="n">
        <v>3390.83</v>
      </c>
      <c r="E1056" s="7" t="n">
        <v>2026</v>
      </c>
      <c r="F1056" s="7" t="n">
        <v>37</v>
      </c>
      <c r="G1056" s="7" t="inlineStr">
        <is>
          <t>2026-09-08</t>
        </is>
      </c>
      <c r="H1056" s="9" t="inlineStr">
        <is>
          <t>https://www.100ppi.com/news/detail-20260908-6183662.html</t>
        </is>
      </c>
      <c r="I1056" s="7" t="inlineStr">
        <is>
          <t>9月8日生意社甲醇基准价为3390.83元/吨</t>
        </is>
      </c>
    </row>
    <row r="1057">
      <c r="A1057" s="7" t="n">
        <v>1054</v>
      </c>
      <c r="B1057" s="7" t="inlineStr">
        <is>
          <t>2026-09-09</t>
        </is>
      </c>
      <c r="C1057" s="7" t="inlineStr">
        <is>
          <t>三</t>
        </is>
      </c>
      <c r="D1057" s="8" t="n">
        <v>3596.67</v>
      </c>
      <c r="E1057" s="7" t="n">
        <v>2026</v>
      </c>
      <c r="F1057" s="7" t="n">
        <v>37</v>
      </c>
      <c r="G1057" s="7" t="inlineStr">
        <is>
          <t>2026-09-09</t>
        </is>
      </c>
      <c r="H1057" s="9" t="inlineStr">
        <is>
          <t>https://www.100ppi.com/news/detail-20260909-6189616.html</t>
        </is>
      </c>
      <c r="I1057" s="7" t="inlineStr">
        <is>
          <t>9月9日生意社甲醇基准价为3596.67元/吨</t>
        </is>
      </c>
    </row>
    <row r="1058">
      <c r="A1058" s="7" t="n">
        <v>1055</v>
      </c>
      <c r="B1058" s="7" t="inlineStr">
        <is>
          <t>2026-09-10</t>
        </is>
      </c>
      <c r="C1058" s="7" t="inlineStr">
        <is>
          <t>四</t>
        </is>
      </c>
      <c r="D1058" s="8" t="n">
        <v>3706.67</v>
      </c>
      <c r="E1058" s="7" t="n">
        <v>2026</v>
      </c>
      <c r="F1058" s="7" t="n">
        <v>37</v>
      </c>
      <c r="G1058" s="7" t="inlineStr">
        <is>
          <t>2026-09-10</t>
        </is>
      </c>
      <c r="H1058" s="9" t="inlineStr">
        <is>
          <t>https://www.100ppi.com/news/detail-20260910-6195508.html</t>
        </is>
      </c>
      <c r="I1058" s="7" t="inlineStr">
        <is>
          <t>9月10日生意社甲醇基准价为3706.67元/吨</t>
        </is>
      </c>
    </row>
    <row r="1059">
      <c r="A1059" s="7" t="n">
        <v>1056</v>
      </c>
      <c r="B1059" s="7" t="inlineStr">
        <is>
          <t>2026-09-11</t>
        </is>
      </c>
      <c r="C1059" s="7" t="inlineStr">
        <is>
          <t>五</t>
        </is>
      </c>
      <c r="D1059" s="8" t="n">
        <v>3726.67</v>
      </c>
      <c r="E1059" s="7" t="n">
        <v>2026</v>
      </c>
      <c r="F1059" s="7" t="n">
        <v>37</v>
      </c>
      <c r="G1059" s="7" t="inlineStr">
        <is>
          <t>2026-09-11</t>
        </is>
      </c>
      <c r="H1059" s="9" t="inlineStr">
        <is>
          <t>https://www.100ppi.com/news/detail-20260911-6201482.html</t>
        </is>
      </c>
      <c r="I1059" s="7" t="inlineStr">
        <is>
          <t>9月11日生意社甲醇基准价为3726.67元/吨</t>
        </is>
      </c>
    </row>
    <row r="1060">
      <c r="A1060" s="7" t="n">
        <v>1057</v>
      </c>
      <c r="B1060" s="7" t="inlineStr">
        <is>
          <t>2026-09-14</t>
        </is>
      </c>
      <c r="C1060" s="7" t="inlineStr">
        <is>
          <t>一</t>
        </is>
      </c>
      <c r="D1060" s="8" t="n">
        <v>3686.67</v>
      </c>
      <c r="E1060" s="7" t="n">
        <v>2026</v>
      </c>
      <c r="F1060" s="7" t="n">
        <v>38</v>
      </c>
      <c r="G1060" s="7" t="inlineStr">
        <is>
          <t>2026-09-14</t>
        </is>
      </c>
      <c r="H1060" s="9" t="inlineStr">
        <is>
          <t>https://www.100ppi.com/news/detail-20260914-6211043.html</t>
        </is>
      </c>
      <c r="I1060" s="7" t="inlineStr">
        <is>
          <t>9月14日生意社甲醇基准价为3686.67元/吨</t>
        </is>
      </c>
    </row>
    <row r="1061">
      <c r="A1061" s="7" t="n">
        <v>1058</v>
      </c>
      <c r="B1061" s="7" t="inlineStr">
        <is>
          <t>2026-09-15</t>
        </is>
      </c>
      <c r="C1061" s="7" t="inlineStr">
        <is>
          <t>二</t>
        </is>
      </c>
      <c r="D1061" s="8" t="n">
        <v>3781.67</v>
      </c>
      <c r="E1061" s="7" t="n">
        <v>2026</v>
      </c>
      <c r="F1061" s="7" t="n">
        <v>38</v>
      </c>
      <c r="G1061" s="7" t="inlineStr">
        <is>
          <t>2026-09-15</t>
        </is>
      </c>
      <c r="H1061" s="9" t="inlineStr">
        <is>
          <t>https://www.100ppi.com/news/detail-20260915-6217285.html</t>
        </is>
      </c>
      <c r="I1061" s="7" t="inlineStr">
        <is>
          <t>9月15日生意社甲醇基准价为3781.67元/吨</t>
        </is>
      </c>
    </row>
    <row r="1062">
      <c r="A1062" s="7" t="n">
        <v>1059</v>
      </c>
      <c r="B1062" s="7" t="inlineStr">
        <is>
          <t>2026-09-16</t>
        </is>
      </c>
      <c r="C1062" s="7" t="inlineStr">
        <is>
          <t>三</t>
        </is>
      </c>
      <c r="D1062" s="8" t="n">
        <v>3820</v>
      </c>
      <c r="E1062" s="7" t="n">
        <v>2026</v>
      </c>
      <c r="F1062" s="7" t="n">
        <v>38</v>
      </c>
      <c r="G1062" s="7" t="inlineStr">
        <is>
          <t>2026-09-16</t>
        </is>
      </c>
      <c r="H1062" s="9" t="inlineStr">
        <is>
          <t>https://www.100ppi.com/news/detail-20260916-6223176.html</t>
        </is>
      </c>
      <c r="I1062" s="7" t="inlineStr">
        <is>
          <t>9月16日生意社甲醇基准价为3820.00元/吨</t>
        </is>
      </c>
    </row>
    <row r="1063">
      <c r="A1063" s="7" t="n">
        <v>1060</v>
      </c>
      <c r="B1063" s="7" t="inlineStr">
        <is>
          <t>2026-09-17</t>
        </is>
      </c>
      <c r="C1063" s="7" t="inlineStr">
        <is>
          <t>四</t>
        </is>
      </c>
      <c r="D1063" s="8" t="n">
        <v>4000</v>
      </c>
      <c r="E1063" s="7" t="n">
        <v>2026</v>
      </c>
      <c r="F1063" s="7" t="n">
        <v>38</v>
      </c>
      <c r="G1063" s="7" t="inlineStr">
        <is>
          <t>2026-09-17</t>
        </is>
      </c>
      <c r="H1063" s="9" t="inlineStr">
        <is>
          <t>https://www.100ppi.com/news/detail-20260917-6228894.html</t>
        </is>
      </c>
      <c r="I1063" s="7" t="inlineStr">
        <is>
          <t>9月17日生意社甲醇基准价为4000.00元/吨</t>
        </is>
      </c>
    </row>
    <row r="1064">
      <c r="A1064" s="7" t="n">
        <v>1061</v>
      </c>
      <c r="B1064" s="7" t="inlineStr">
        <is>
          <t>2026-09-18</t>
        </is>
      </c>
      <c r="C1064" s="7" t="inlineStr">
        <is>
          <t>五</t>
        </is>
      </c>
      <c r="D1064" s="8" t="n">
        <v>4030</v>
      </c>
      <c r="E1064" s="7" t="n">
        <v>2026</v>
      </c>
      <c r="F1064" s="7" t="n">
        <v>38</v>
      </c>
      <c r="G1064" s="7" t="inlineStr">
        <is>
          <t>2026-09-18</t>
        </is>
      </c>
      <c r="H1064" s="9" t="inlineStr">
        <is>
          <t>https://www.100ppi.com/news/detail-20260918-6234691.html</t>
        </is>
      </c>
      <c r="I1064" s="7" t="inlineStr">
        <is>
          <t>9月18日生意社甲醇基准价为4030.00元/吨</t>
        </is>
      </c>
    </row>
    <row r="1065">
      <c r="A1065" s="7" t="n">
        <v>1062</v>
      </c>
      <c r="B1065" s="7" t="inlineStr">
        <is>
          <t>2026-09-21</t>
        </is>
      </c>
      <c r="C1065" s="7" t="inlineStr">
        <is>
          <t>一</t>
        </is>
      </c>
      <c r="D1065" s="8" t="n">
        <v>4083.33</v>
      </c>
      <c r="E1065" s="7" t="n">
        <v>2026</v>
      </c>
      <c r="F1065" s="7" t="n">
        <v>39</v>
      </c>
      <c r="G1065" s="7" t="inlineStr">
        <is>
          <t>2026-09-21</t>
        </is>
      </c>
      <c r="H1065" s="9" t="inlineStr">
        <is>
          <t>https://www.100ppi.com/news/detail-20260921-6247994.html</t>
        </is>
      </c>
      <c r="I1065" s="7" t="inlineStr">
        <is>
          <t>9月21日生意社甲醇基准价为4083.33元/吨</t>
        </is>
      </c>
    </row>
    <row r="1066">
      <c r="A1066" s="7" t="n">
        <v>1063</v>
      </c>
      <c r="B1066" s="7" t="inlineStr">
        <is>
          <t>2026-09-22</t>
        </is>
      </c>
      <c r="C1066" s="7" t="inlineStr">
        <is>
          <t>二</t>
        </is>
      </c>
      <c r="D1066" s="8" t="n">
        <v>4053.33</v>
      </c>
      <c r="E1066" s="7" t="n">
        <v>2026</v>
      </c>
      <c r="F1066" s="7" t="n">
        <v>39</v>
      </c>
      <c r="G1066" s="7" t="inlineStr">
        <is>
          <t>2026-09-22</t>
        </is>
      </c>
      <c r="H1066" s="9" t="inlineStr">
        <is>
          <t>https://www.100ppi.com/news/detail-20260922-6254078.html</t>
        </is>
      </c>
      <c r="I1066" s="7" t="inlineStr">
        <is>
          <t>9月22日生意社甲醇基准价为4053.33元/吨</t>
        </is>
      </c>
    </row>
    <row r="1067">
      <c r="A1067" s="7" t="n">
        <v>1064</v>
      </c>
      <c r="B1067" s="7" t="inlineStr">
        <is>
          <t>2026-09-23</t>
        </is>
      </c>
      <c r="C1067" s="7" t="inlineStr">
        <is>
          <t>三</t>
        </is>
      </c>
      <c r="D1067" s="8" t="n">
        <v>4065</v>
      </c>
      <c r="E1067" s="7" t="n">
        <v>2026</v>
      </c>
      <c r="F1067" s="7" t="n">
        <v>39</v>
      </c>
      <c r="G1067" s="7" t="inlineStr">
        <is>
          <t>2026-09-23</t>
        </is>
      </c>
      <c r="H1067" s="9" t="inlineStr">
        <is>
          <t>https://www.100ppi.com/news/detail-20260923-6259904.html</t>
        </is>
      </c>
      <c r="I1067" s="7" t="inlineStr">
        <is>
          <t>9月23日生意社甲醇基准价为4065.00元/吨</t>
        </is>
      </c>
    </row>
    <row r="1068">
      <c r="A1068" s="7" t="n">
        <v>1065</v>
      </c>
      <c r="B1068" s="7" t="inlineStr">
        <is>
          <t>2026-09-24</t>
        </is>
      </c>
      <c r="C1068" s="7" t="inlineStr">
        <is>
          <t>四</t>
        </is>
      </c>
      <c r="D1068" s="8" t="n">
        <v>4016.67</v>
      </c>
      <c r="E1068" s="7" t="n">
        <v>2026</v>
      </c>
      <c r="F1068" s="7" t="n">
        <v>39</v>
      </c>
      <c r="G1068" s="7" t="inlineStr">
        <is>
          <t>2026-09-24</t>
        </is>
      </c>
      <c r="H1068" s="9" t="inlineStr">
        <is>
          <t>https://www.100ppi.com/news/detail-20260924-6265604.html</t>
        </is>
      </c>
      <c r="I1068" s="7" t="inlineStr">
        <is>
          <t>9月24日生意社甲醇基准价为4016.67元/吨</t>
        </is>
      </c>
    </row>
    <row r="1069">
      <c r="A1069" s="7" t="n">
        <v>1066</v>
      </c>
      <c r="B1069" s="7" t="inlineStr">
        <is>
          <t>2026-09-25</t>
        </is>
      </c>
      <c r="C1069" s="7" t="inlineStr">
        <is>
          <t>五</t>
        </is>
      </c>
      <c r="D1069" s="8" t="n">
        <v>4110</v>
      </c>
      <c r="E1069" s="7" t="n">
        <v>2026</v>
      </c>
      <c r="F1069" s="7" t="n">
        <v>39</v>
      </c>
      <c r="G1069" s="7" t="inlineStr">
        <is>
          <t>2026-09-25</t>
        </is>
      </c>
      <c r="H1069" s="9" t="inlineStr">
        <is>
          <t>https://www.100ppi.com/news/detail-20260925-6271392.html</t>
        </is>
      </c>
      <c r="I1069" s="7" t="inlineStr">
        <is>
          <t>9月25日生意社甲醇基准价为4110.00元/吨</t>
        </is>
      </c>
    </row>
    <row r="1070">
      <c r="A1070" s="7" t="n">
        <v>1067</v>
      </c>
      <c r="B1070" s="7" t="inlineStr">
        <is>
          <t>2026-09-28</t>
        </is>
      </c>
      <c r="C1070" s="7" t="inlineStr">
        <is>
          <t>一</t>
        </is>
      </c>
      <c r="D1070" s="8" t="n">
        <v>4443.33</v>
      </c>
      <c r="E1070" s="7" t="n">
        <v>2026</v>
      </c>
      <c r="F1070" s="7" t="n">
        <v>40</v>
      </c>
      <c r="G1070" s="7" t="inlineStr">
        <is>
          <t>2026-09-28</t>
        </is>
      </c>
      <c r="H1070" s="9" t="inlineStr">
        <is>
          <t>https://www.100ppi.com/news/detail-20260928-6276569.html</t>
        </is>
      </c>
      <c r="I1070" s="7" t="inlineStr">
        <is>
          <t>9月28日生意社甲醇基准价为4443.33元/吨</t>
        </is>
      </c>
    </row>
    <row r="1071">
      <c r="A1071" s="7" t="n">
        <v>1068</v>
      </c>
      <c r="B1071" s="7" t="inlineStr">
        <is>
          <t>2026-09-29</t>
        </is>
      </c>
      <c r="C1071" s="7" t="inlineStr">
        <is>
          <t>二</t>
        </is>
      </c>
      <c r="D1071" s="8" t="n">
        <v>4600</v>
      </c>
      <c r="E1071" s="7" t="n">
        <v>2026</v>
      </c>
      <c r="F1071" s="7" t="n">
        <v>40</v>
      </c>
      <c r="G1071" s="7" t="inlineStr">
        <is>
          <t>2026-09-29</t>
        </is>
      </c>
      <c r="H1071" s="9" t="inlineStr">
        <is>
          <t>https://www.100ppi.com/news/detail-20260929-6282922.html</t>
        </is>
      </c>
      <c r="I1071" s="7" t="inlineStr">
        <is>
          <t>9月29日生意社甲醇基准价为4600.00元/吨</t>
        </is>
      </c>
    </row>
    <row r="1072">
      <c r="A1072" s="7" t="n">
        <v>1069</v>
      </c>
      <c r="B1072" s="7" t="inlineStr">
        <is>
          <t>2026-09-30</t>
        </is>
      </c>
      <c r="C1072" s="7" t="inlineStr">
        <is>
          <t>三</t>
        </is>
      </c>
      <c r="D1072" s="8" t="n">
        <v>4585</v>
      </c>
      <c r="E1072" s="7" t="n">
        <v>2026</v>
      </c>
      <c r="F1072" s="7" t="n">
        <v>40</v>
      </c>
      <c r="G1072" s="7" t="inlineStr">
        <is>
          <t>2026-09-30</t>
        </is>
      </c>
      <c r="H1072" s="9" t="inlineStr">
        <is>
          <t>https://www.100ppi.com/news/detail-20260930-6288680.html</t>
        </is>
      </c>
      <c r="I1072" s="7" t="inlineStr">
        <is>
          <t>9月30日生意社甲醇基准价为4585.00元/吨</t>
        </is>
      </c>
    </row>
    <row r="1073">
      <c r="A1073" s="7" t="n">
        <v>1070</v>
      </c>
      <c r="B1073" s="7" t="inlineStr">
        <is>
          <t>2026-10-01</t>
        </is>
      </c>
      <c r="C1073" s="7" t="inlineStr">
        <is>
          <t>四</t>
        </is>
      </c>
      <c r="D1073" s="8" t="n">
        <v>4460</v>
      </c>
      <c r="E1073" s="7" t="n">
        <v>2026</v>
      </c>
      <c r="F1073" s="7" t="n">
        <v>40</v>
      </c>
      <c r="G1073" s="7" t="inlineStr">
        <is>
          <t>2026-10-01</t>
        </is>
      </c>
      <c r="H1073" s="9" t="inlineStr">
        <is>
          <t>https://www.100ppi.com/news/detail-20261001-6294409.html</t>
        </is>
      </c>
      <c r="I1073" s="7" t="inlineStr">
        <is>
          <t>10月1日生意社甲醇基准价为4460.00元/吨</t>
        </is>
      </c>
    </row>
    <row r="1074">
      <c r="A1074" s="7" t="n">
        <v>1071</v>
      </c>
      <c r="B1074" s="7" t="inlineStr">
        <is>
          <t>2026-10-02</t>
        </is>
      </c>
      <c r="C1074" s="7" t="inlineStr">
        <is>
          <t>五</t>
        </is>
      </c>
      <c r="D1074" s="8" t="n">
        <v>4493.33</v>
      </c>
      <c r="E1074" s="7" t="n">
        <v>2026</v>
      </c>
      <c r="F1074" s="7" t="n">
        <v>40</v>
      </c>
      <c r="G1074" s="7" t="inlineStr">
        <is>
          <t>2026-10-02</t>
        </is>
      </c>
      <c r="H1074" s="9" t="inlineStr">
        <is>
          <t>https://www.100ppi.com/news/detail-20261002-6296389.html</t>
        </is>
      </c>
      <c r="I1074" s="7" t="inlineStr">
        <is>
          <t>10月2日生意社甲醇基准价为4493.33元/吨</t>
        </is>
      </c>
    </row>
    <row r="1075">
      <c r="A1075" s="7" t="n">
        <v>1072</v>
      </c>
      <c r="B1075" s="7" t="inlineStr">
        <is>
          <t>2026-10-05</t>
        </is>
      </c>
      <c r="C1075" s="7" t="inlineStr">
        <is>
          <t>一</t>
        </is>
      </c>
      <c r="D1075" s="8" t="n">
        <v>4493.33</v>
      </c>
      <c r="E1075" s="7" t="n">
        <v>2026</v>
      </c>
      <c r="F1075" s="7" t="n">
        <v>41</v>
      </c>
      <c r="G1075" s="7" t="inlineStr">
        <is>
          <t>2026-10-05</t>
        </is>
      </c>
      <c r="H1075" s="9" t="inlineStr">
        <is>
          <t>https://www.100ppi.com/news/detail-20261005-6301779.html</t>
        </is>
      </c>
      <c r="I1075" s="7" t="inlineStr">
        <is>
          <t>10月5日生意社甲醇基准价为4493.33元/吨</t>
        </is>
      </c>
    </row>
    <row r="1076">
      <c r="A1076" s="7" t="n">
        <v>1073</v>
      </c>
      <c r="B1076" s="7" t="inlineStr">
        <is>
          <t>2026-10-06</t>
        </is>
      </c>
      <c r="C1076" s="7" t="inlineStr">
        <is>
          <t>二</t>
        </is>
      </c>
      <c r="D1076" s="8" t="n">
        <v>4493.33</v>
      </c>
      <c r="E1076" s="7" t="n">
        <v>2026</v>
      </c>
      <c r="F1076" s="7" t="n">
        <v>41</v>
      </c>
      <c r="G1076" s="7" t="inlineStr">
        <is>
          <t>2026-10-06</t>
        </is>
      </c>
      <c r="H1076" s="9" t="inlineStr">
        <is>
          <t>https://www.100ppi.com/news/detail-20261006-6303714.html</t>
        </is>
      </c>
      <c r="I1076" s="7" t="inlineStr">
        <is>
          <t>10月6日生意社甲醇基准价为4493.33元/吨</t>
        </is>
      </c>
    </row>
    <row r="1077">
      <c r="A1077" s="7" t="n">
        <v>1074</v>
      </c>
      <c r="B1077" s="7" t="inlineStr">
        <is>
          <t>2026-10-07</t>
        </is>
      </c>
      <c r="C1077" s="7" t="inlineStr">
        <is>
          <t>三</t>
        </is>
      </c>
      <c r="D1077" s="8" t="n">
        <v>4493.33</v>
      </c>
      <c r="E1077" s="7" t="n">
        <v>2026</v>
      </c>
      <c r="F1077" s="7" t="n">
        <v>41</v>
      </c>
      <c r="G1077" s="7" t="inlineStr">
        <is>
          <t>2026-10-07</t>
        </is>
      </c>
      <c r="H1077" s="9" t="inlineStr">
        <is>
          <t>https://www.100ppi.com/news/detail-20261007-6305991.html</t>
        </is>
      </c>
      <c r="I1077" s="7" t="inlineStr">
        <is>
          <t>10月7日生意社甲醇基准价为4493.33元/吨</t>
        </is>
      </c>
    </row>
    <row r="1078">
      <c r="A1078" s="7" t="n">
        <v>1075</v>
      </c>
      <c r="B1078" s="7" t="inlineStr">
        <is>
          <t>2026-10-08</t>
        </is>
      </c>
      <c r="C1078" s="7" t="inlineStr">
        <is>
          <t>四</t>
        </is>
      </c>
      <c r="D1078" s="8" t="n">
        <v>4493.33</v>
      </c>
      <c r="E1078" s="7" t="n">
        <v>2026</v>
      </c>
      <c r="F1078" s="7" t="n">
        <v>41</v>
      </c>
      <c r="G1078" s="7" t="inlineStr">
        <is>
          <t>2026-10-08</t>
        </is>
      </c>
      <c r="H1078" s="9" t="inlineStr">
        <is>
          <t>https://www.100ppi.com/news/detail-20261008-6308052.html</t>
        </is>
      </c>
      <c r="I1078" s="7" t="inlineStr">
        <is>
          <t>10月8日生意社甲醇基准价为4493.33元/吨</t>
        </is>
      </c>
    </row>
    <row r="1079">
      <c r="A1079" s="7" t="n">
        <v>1076</v>
      </c>
      <c r="B1079" s="7" t="inlineStr">
        <is>
          <t>2026-10-09</t>
        </is>
      </c>
      <c r="C1079" s="7" t="inlineStr">
        <is>
          <t>五</t>
        </is>
      </c>
      <c r="D1079" s="8" t="n">
        <v>4733.33</v>
      </c>
      <c r="E1079" s="7" t="n">
        <v>2026</v>
      </c>
      <c r="F1079" s="7" t="n">
        <v>41</v>
      </c>
      <c r="G1079" s="7" t="inlineStr">
        <is>
          <t>2026-10-09</t>
        </is>
      </c>
      <c r="H1079" s="9" t="inlineStr">
        <is>
          <t>https://www.100ppi.com/news/detail-20261009-6314297.html</t>
        </is>
      </c>
      <c r="I1079" s="7" t="inlineStr">
        <is>
          <t>10月9日生意社甲醇基准价为4733.33元/吨</t>
        </is>
      </c>
    </row>
    <row r="1080">
      <c r="A1080" s="7" t="n">
        <v>1077</v>
      </c>
      <c r="B1080" s="7" t="inlineStr">
        <is>
          <t>2026-10-12</t>
        </is>
      </c>
      <c r="C1080" s="7" t="inlineStr">
        <is>
          <t>一</t>
        </is>
      </c>
      <c r="D1080" s="8" t="n">
        <v>4643.33</v>
      </c>
      <c r="E1080" s="7" t="n">
        <v>2026</v>
      </c>
      <c r="F1080" s="7" t="n">
        <v>42</v>
      </c>
      <c r="G1080" s="7" t="inlineStr">
        <is>
          <t>2026-10-12</t>
        </is>
      </c>
      <c r="H1080" s="9" t="inlineStr">
        <is>
          <t>https://www.100ppi.com/news/detail-20261012-6328230.html</t>
        </is>
      </c>
      <c r="I1080" s="7" t="inlineStr">
        <is>
          <t>10月12日生意社甲醇基准价为4643.33元/吨</t>
        </is>
      </c>
    </row>
    <row r="1081">
      <c r="A1081" s="7" t="n">
        <v>1078</v>
      </c>
      <c r="B1081" s="7" t="inlineStr">
        <is>
          <t>2026-10-13</t>
        </is>
      </c>
      <c r="C1081" s="7" t="inlineStr">
        <is>
          <t>二</t>
        </is>
      </c>
      <c r="D1081" s="8" t="n">
        <v>4050</v>
      </c>
      <c r="E1081" s="7" t="n">
        <v>2026</v>
      </c>
      <c r="F1081" s="7" t="n">
        <v>42</v>
      </c>
      <c r="G1081" s="7" t="inlineStr">
        <is>
          <t>2026-10-13</t>
        </is>
      </c>
      <c r="H1081" s="9" t="inlineStr">
        <is>
          <t>https://www.100ppi.com/news/detail-20261013-6333968.html</t>
        </is>
      </c>
      <c r="I1081" s="7" t="inlineStr">
        <is>
          <t>10月13日生意社甲醇基准价为4050.00元/吨</t>
        </is>
      </c>
    </row>
    <row r="1082">
      <c r="A1082" s="7" t="n">
        <v>1079</v>
      </c>
      <c r="B1082" s="7" t="inlineStr">
        <is>
          <t>2026-10-14</t>
        </is>
      </c>
      <c r="C1082" s="7" t="inlineStr">
        <is>
          <t>三</t>
        </is>
      </c>
      <c r="D1082" s="8" t="n">
        <v>3883.33</v>
      </c>
      <c r="E1082" s="7" t="n">
        <v>2026</v>
      </c>
      <c r="F1082" s="7" t="n">
        <v>42</v>
      </c>
      <c r="G1082" s="7" t="inlineStr">
        <is>
          <t>2026-10-14</t>
        </is>
      </c>
      <c r="H1082" s="9" t="inlineStr">
        <is>
          <t>https://www.100ppi.com/news/detail-20261014-6339657.html</t>
        </is>
      </c>
      <c r="I1082" s="7" t="inlineStr">
        <is>
          <t>10月14日生意社甲醇基准价为3883.33元/吨</t>
        </is>
      </c>
    </row>
    <row r="1083">
      <c r="A1083" s="7" t="n">
        <v>1080</v>
      </c>
      <c r="B1083" s="7" t="inlineStr">
        <is>
          <t>2026-10-15</t>
        </is>
      </c>
      <c r="C1083" s="7" t="inlineStr">
        <is>
          <t>四</t>
        </is>
      </c>
      <c r="D1083" s="8" t="n">
        <v>4000</v>
      </c>
      <c r="E1083" s="7" t="n">
        <v>2026</v>
      </c>
      <c r="F1083" s="7" t="n">
        <v>42</v>
      </c>
      <c r="G1083" s="7" t="inlineStr">
        <is>
          <t>2026-10-15</t>
        </is>
      </c>
      <c r="H1083" s="9" t="inlineStr">
        <is>
          <t>https://www.100ppi.com/news/detail-20261015-6345812.html</t>
        </is>
      </c>
      <c r="I1083" s="7" t="inlineStr">
        <is>
          <t>10月15日生意社甲醇基准价为4000.00元/吨</t>
        </is>
      </c>
    </row>
    <row r="1084">
      <c r="A1084" s="7" t="n">
        <v>1081</v>
      </c>
      <c r="B1084" s="7" t="inlineStr">
        <is>
          <t>2026-10-16</t>
        </is>
      </c>
      <c r="C1084" s="7" t="inlineStr">
        <is>
          <t>五</t>
        </is>
      </c>
      <c r="D1084" s="8" t="n">
        <v>3990</v>
      </c>
      <c r="E1084" s="7" t="n">
        <v>2026</v>
      </c>
      <c r="F1084" s="7" t="n">
        <v>42</v>
      </c>
      <c r="G1084" s="7" t="inlineStr">
        <is>
          <t>2026-10-16</t>
        </is>
      </c>
      <c r="H1084" s="9" t="inlineStr">
        <is>
          <t>https://www.100ppi.com/news/detail-20261016-6351838.html</t>
        </is>
      </c>
      <c r="I1084" s="7" t="inlineStr">
        <is>
          <t>10月16日生意社甲醇基准价为3990.00元/吨</t>
        </is>
      </c>
    </row>
    <row r="1085">
      <c r="A1085" s="7" t="n">
        <v>1082</v>
      </c>
      <c r="B1085" s="7" t="inlineStr">
        <is>
          <t>2026-10-19</t>
        </is>
      </c>
      <c r="C1085" s="7" t="inlineStr">
        <is>
          <t>一</t>
        </is>
      </c>
      <c r="D1085" s="8" t="n">
        <v>3966.67</v>
      </c>
      <c r="E1085" s="7" t="n">
        <v>2026</v>
      </c>
      <c r="F1085" s="7" t="n">
        <v>43</v>
      </c>
      <c r="G1085" s="7" t="inlineStr">
        <is>
          <t>2026-10-19</t>
        </is>
      </c>
      <c r="H1085" s="9" t="inlineStr">
        <is>
          <t>https://www.100ppi.com/news/detail-20261019-6362290.html</t>
        </is>
      </c>
      <c r="I1085" s="7" t="inlineStr">
        <is>
          <t>10月19日生意社甲醇基准价为3966.67元/吨</t>
        </is>
      </c>
    </row>
    <row r="1086">
      <c r="A1086" s="7" t="n">
        <v>1083</v>
      </c>
      <c r="B1086" s="7" t="inlineStr">
        <is>
          <t>2026-10-20</t>
        </is>
      </c>
      <c r="C1086" s="7" t="inlineStr">
        <is>
          <t>二</t>
        </is>
      </c>
      <c r="D1086" s="8" t="n">
        <v>3966.67</v>
      </c>
      <c r="E1086" s="7" t="n">
        <v>2026</v>
      </c>
      <c r="F1086" s="7" t="n">
        <v>43</v>
      </c>
      <c r="G1086" s="7" t="inlineStr">
        <is>
          <t>2026-10-20</t>
        </is>
      </c>
      <c r="H1086" s="9" t="inlineStr">
        <is>
          <t>https://www.100ppi.com/news/detail-20261020-6368678.html</t>
        </is>
      </c>
      <c r="I1086" s="7" t="inlineStr">
        <is>
          <t>10月20日生意社甲醇基准价为3966.67元/吨</t>
        </is>
      </c>
    </row>
  </sheetData>
  <autoFilter ref="A3:I1086"/>
  <mergeCells count="1">
    <mergeCell ref="A2:H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5" r:id="rId52"/>
    <hyperlink xmlns:r="http://schemas.openxmlformats.org/officeDocument/2006/relationships" ref="H56" r:id="rId53"/>
    <hyperlink xmlns:r="http://schemas.openxmlformats.org/officeDocument/2006/relationships" ref="H57" r:id="rId54"/>
    <hyperlink xmlns:r="http://schemas.openxmlformats.org/officeDocument/2006/relationships" ref="H58" r:id="rId55"/>
    <hyperlink xmlns:r="http://schemas.openxmlformats.org/officeDocument/2006/relationships" ref="H59" r:id="rId56"/>
    <hyperlink xmlns:r="http://schemas.openxmlformats.org/officeDocument/2006/relationships" ref="H60" r:id="rId57"/>
    <hyperlink xmlns:r="http://schemas.openxmlformats.org/officeDocument/2006/relationships" ref="H61" r:id="rId58"/>
    <hyperlink xmlns:r="http://schemas.openxmlformats.org/officeDocument/2006/relationships" ref="H62" r:id="rId59"/>
    <hyperlink xmlns:r="http://schemas.openxmlformats.org/officeDocument/2006/relationships" ref="H63" r:id="rId60"/>
    <hyperlink xmlns:r="http://schemas.openxmlformats.org/officeDocument/2006/relationships" ref="H64" r:id="rId61"/>
    <hyperlink xmlns:r="http://schemas.openxmlformats.org/officeDocument/2006/relationships" ref="H65" r:id="rId62"/>
    <hyperlink xmlns:r="http://schemas.openxmlformats.org/officeDocument/2006/relationships" ref="H66" r:id="rId63"/>
    <hyperlink xmlns:r="http://schemas.openxmlformats.org/officeDocument/2006/relationships" ref="H67" r:id="rId64"/>
    <hyperlink xmlns:r="http://schemas.openxmlformats.org/officeDocument/2006/relationships" ref="H68" r:id="rId65"/>
    <hyperlink xmlns:r="http://schemas.openxmlformats.org/officeDocument/2006/relationships" ref="H69" r:id="rId66"/>
    <hyperlink xmlns:r="http://schemas.openxmlformats.org/officeDocument/2006/relationships" ref="H70" r:id="rId67"/>
    <hyperlink xmlns:r="http://schemas.openxmlformats.org/officeDocument/2006/relationships" ref="H71" r:id="rId68"/>
    <hyperlink xmlns:r="http://schemas.openxmlformats.org/officeDocument/2006/relationships" ref="H72" r:id="rId69"/>
    <hyperlink xmlns:r="http://schemas.openxmlformats.org/officeDocument/2006/relationships" ref="H73" r:id="rId70"/>
    <hyperlink xmlns:r="http://schemas.openxmlformats.org/officeDocument/2006/relationships" ref="H74" r:id="rId71"/>
    <hyperlink xmlns:r="http://schemas.openxmlformats.org/officeDocument/2006/relationships" ref="H75" r:id="rId72"/>
    <hyperlink xmlns:r="http://schemas.openxmlformats.org/officeDocument/2006/relationships" ref="H76" r:id="rId73"/>
    <hyperlink xmlns:r="http://schemas.openxmlformats.org/officeDocument/2006/relationships" ref="H77" r:id="rId74"/>
    <hyperlink xmlns:r="http://schemas.openxmlformats.org/officeDocument/2006/relationships" ref="H78" r:id="rId75"/>
    <hyperlink xmlns:r="http://schemas.openxmlformats.org/officeDocument/2006/relationships" ref="H79" r:id="rId76"/>
    <hyperlink xmlns:r="http://schemas.openxmlformats.org/officeDocument/2006/relationships" ref="H80" r:id="rId77"/>
    <hyperlink xmlns:r="http://schemas.openxmlformats.org/officeDocument/2006/relationships" ref="H81" r:id="rId78"/>
    <hyperlink xmlns:r="http://schemas.openxmlformats.org/officeDocument/2006/relationships" ref="H82" r:id="rId79"/>
    <hyperlink xmlns:r="http://schemas.openxmlformats.org/officeDocument/2006/relationships" ref="H83" r:id="rId80"/>
    <hyperlink xmlns:r="http://schemas.openxmlformats.org/officeDocument/2006/relationships" ref="H84" r:id="rId81"/>
    <hyperlink xmlns:r="http://schemas.openxmlformats.org/officeDocument/2006/relationships" ref="H85" r:id="rId82"/>
    <hyperlink xmlns:r="http://schemas.openxmlformats.org/officeDocument/2006/relationships" ref="H86" r:id="rId83"/>
    <hyperlink xmlns:r="http://schemas.openxmlformats.org/officeDocument/2006/relationships" ref="H87" r:id="rId84"/>
    <hyperlink xmlns:r="http://schemas.openxmlformats.org/officeDocument/2006/relationships" ref="H88" r:id="rId85"/>
    <hyperlink xmlns:r="http://schemas.openxmlformats.org/officeDocument/2006/relationships" ref="H89" r:id="rId86"/>
    <hyperlink xmlns:r="http://schemas.openxmlformats.org/officeDocument/2006/relationships" ref="H90" r:id="rId87"/>
    <hyperlink xmlns:r="http://schemas.openxmlformats.org/officeDocument/2006/relationships" ref="H91" r:id="rId88"/>
    <hyperlink xmlns:r="http://schemas.openxmlformats.org/officeDocument/2006/relationships" ref="H92" r:id="rId89"/>
    <hyperlink xmlns:r="http://schemas.openxmlformats.org/officeDocument/2006/relationships" ref="H93" r:id="rId90"/>
    <hyperlink xmlns:r="http://schemas.openxmlformats.org/officeDocument/2006/relationships" ref="H94" r:id="rId91"/>
    <hyperlink xmlns:r="http://schemas.openxmlformats.org/officeDocument/2006/relationships" ref="H95" r:id="rId92"/>
    <hyperlink xmlns:r="http://schemas.openxmlformats.org/officeDocument/2006/relationships" ref="H96" r:id="rId93"/>
    <hyperlink xmlns:r="http://schemas.openxmlformats.org/officeDocument/2006/relationships" ref="H97" r:id="rId94"/>
    <hyperlink xmlns:r="http://schemas.openxmlformats.org/officeDocument/2006/relationships" ref="H98" r:id="rId95"/>
    <hyperlink xmlns:r="http://schemas.openxmlformats.org/officeDocument/2006/relationships" ref="H99" r:id="rId96"/>
    <hyperlink xmlns:r="http://schemas.openxmlformats.org/officeDocument/2006/relationships" ref="H100" r:id="rId97"/>
    <hyperlink xmlns:r="http://schemas.openxmlformats.org/officeDocument/2006/relationships" ref="H101" r:id="rId98"/>
    <hyperlink xmlns:r="http://schemas.openxmlformats.org/officeDocument/2006/relationships" ref="H102" r:id="rId99"/>
    <hyperlink xmlns:r="http://schemas.openxmlformats.org/officeDocument/2006/relationships" ref="H103" r:id="rId100"/>
    <hyperlink xmlns:r="http://schemas.openxmlformats.org/officeDocument/2006/relationships" ref="H104" r:id="rId101"/>
    <hyperlink xmlns:r="http://schemas.openxmlformats.org/officeDocument/2006/relationships" ref="H105" r:id="rId102"/>
    <hyperlink xmlns:r="http://schemas.openxmlformats.org/officeDocument/2006/relationships" ref="H106" r:id="rId103"/>
    <hyperlink xmlns:r="http://schemas.openxmlformats.org/officeDocument/2006/relationships" ref="H107" r:id="rId104"/>
    <hyperlink xmlns:r="http://schemas.openxmlformats.org/officeDocument/2006/relationships" ref="H108" r:id="rId105"/>
    <hyperlink xmlns:r="http://schemas.openxmlformats.org/officeDocument/2006/relationships" ref="H109" r:id="rId106"/>
    <hyperlink xmlns:r="http://schemas.openxmlformats.org/officeDocument/2006/relationships" ref="H110" r:id="rId107"/>
    <hyperlink xmlns:r="http://schemas.openxmlformats.org/officeDocument/2006/relationships" ref="H111" r:id="rId108"/>
    <hyperlink xmlns:r="http://schemas.openxmlformats.org/officeDocument/2006/relationships" ref="H112" r:id="rId109"/>
    <hyperlink xmlns:r="http://schemas.openxmlformats.org/officeDocument/2006/relationships" ref="H113" r:id="rId110"/>
    <hyperlink xmlns:r="http://schemas.openxmlformats.org/officeDocument/2006/relationships" ref="H114" r:id="rId111"/>
    <hyperlink xmlns:r="http://schemas.openxmlformats.org/officeDocument/2006/relationships" ref="H115" r:id="rId112"/>
    <hyperlink xmlns:r="http://schemas.openxmlformats.org/officeDocument/2006/relationships" ref="H116" r:id="rId113"/>
    <hyperlink xmlns:r="http://schemas.openxmlformats.org/officeDocument/2006/relationships" ref="H117" r:id="rId114"/>
    <hyperlink xmlns:r="http://schemas.openxmlformats.org/officeDocument/2006/relationships" ref="H118" r:id="rId115"/>
    <hyperlink xmlns:r="http://schemas.openxmlformats.org/officeDocument/2006/relationships" ref="H119" r:id="rId116"/>
    <hyperlink xmlns:r="http://schemas.openxmlformats.org/officeDocument/2006/relationships" ref="H120" r:id="rId117"/>
    <hyperlink xmlns:r="http://schemas.openxmlformats.org/officeDocument/2006/relationships" ref="H121" r:id="rId118"/>
    <hyperlink xmlns:r="http://schemas.openxmlformats.org/officeDocument/2006/relationships" ref="H122" r:id="rId119"/>
    <hyperlink xmlns:r="http://schemas.openxmlformats.org/officeDocument/2006/relationships" ref="H123" r:id="rId120"/>
    <hyperlink xmlns:r="http://schemas.openxmlformats.org/officeDocument/2006/relationships" ref="H124" r:id="rId121"/>
    <hyperlink xmlns:r="http://schemas.openxmlformats.org/officeDocument/2006/relationships" ref="H125" r:id="rId122"/>
    <hyperlink xmlns:r="http://schemas.openxmlformats.org/officeDocument/2006/relationships" ref="H126" r:id="rId123"/>
    <hyperlink xmlns:r="http://schemas.openxmlformats.org/officeDocument/2006/relationships" ref="H127" r:id="rId124"/>
    <hyperlink xmlns:r="http://schemas.openxmlformats.org/officeDocument/2006/relationships" ref="H128" r:id="rId125"/>
    <hyperlink xmlns:r="http://schemas.openxmlformats.org/officeDocument/2006/relationships" ref="H129" r:id="rId126"/>
    <hyperlink xmlns:r="http://schemas.openxmlformats.org/officeDocument/2006/relationships" ref="H130" r:id="rId127"/>
    <hyperlink xmlns:r="http://schemas.openxmlformats.org/officeDocument/2006/relationships" ref="H131" r:id="rId128"/>
    <hyperlink xmlns:r="http://schemas.openxmlformats.org/officeDocument/2006/relationships" ref="H132" r:id="rId129"/>
    <hyperlink xmlns:r="http://schemas.openxmlformats.org/officeDocument/2006/relationships" ref="H133" r:id="rId130"/>
    <hyperlink xmlns:r="http://schemas.openxmlformats.org/officeDocument/2006/relationships" ref="H134" r:id="rId131"/>
    <hyperlink xmlns:r="http://schemas.openxmlformats.org/officeDocument/2006/relationships" ref="H135" r:id="rId132"/>
    <hyperlink xmlns:r="http://schemas.openxmlformats.org/officeDocument/2006/relationships" ref="H136" r:id="rId133"/>
    <hyperlink xmlns:r="http://schemas.openxmlformats.org/officeDocument/2006/relationships" ref="H137" r:id="rId134"/>
    <hyperlink xmlns:r="http://schemas.openxmlformats.org/officeDocument/2006/relationships" ref="H138" r:id="rId135"/>
    <hyperlink xmlns:r="http://schemas.openxmlformats.org/officeDocument/2006/relationships" ref="H139" r:id="rId136"/>
    <hyperlink xmlns:r="http://schemas.openxmlformats.org/officeDocument/2006/relationships" ref="H140" r:id="rId137"/>
    <hyperlink xmlns:r="http://schemas.openxmlformats.org/officeDocument/2006/relationships" ref="H141" r:id="rId138"/>
    <hyperlink xmlns:r="http://schemas.openxmlformats.org/officeDocument/2006/relationships" ref="H142" r:id="rId139"/>
    <hyperlink xmlns:r="http://schemas.openxmlformats.org/officeDocument/2006/relationships" ref="H143" r:id="rId140"/>
    <hyperlink xmlns:r="http://schemas.openxmlformats.org/officeDocument/2006/relationships" ref="H144" r:id="rId141"/>
    <hyperlink xmlns:r="http://schemas.openxmlformats.org/officeDocument/2006/relationships" ref="H145" r:id="rId142"/>
    <hyperlink xmlns:r="http://schemas.openxmlformats.org/officeDocument/2006/relationships" ref="H146" r:id="rId143"/>
    <hyperlink xmlns:r="http://schemas.openxmlformats.org/officeDocument/2006/relationships" ref="H147" r:id="rId144"/>
    <hyperlink xmlns:r="http://schemas.openxmlformats.org/officeDocument/2006/relationships" ref="H148" r:id="rId145"/>
    <hyperlink xmlns:r="http://schemas.openxmlformats.org/officeDocument/2006/relationships" ref="H149" r:id="rId146"/>
    <hyperlink xmlns:r="http://schemas.openxmlformats.org/officeDocument/2006/relationships" ref="H150" r:id="rId147"/>
    <hyperlink xmlns:r="http://schemas.openxmlformats.org/officeDocument/2006/relationships" ref="H151" r:id="rId148"/>
    <hyperlink xmlns:r="http://schemas.openxmlformats.org/officeDocument/2006/relationships" ref="H152" r:id="rId149"/>
    <hyperlink xmlns:r="http://schemas.openxmlformats.org/officeDocument/2006/relationships" ref="H153" r:id="rId150"/>
    <hyperlink xmlns:r="http://schemas.openxmlformats.org/officeDocument/2006/relationships" ref="H154" r:id="rId151"/>
    <hyperlink xmlns:r="http://schemas.openxmlformats.org/officeDocument/2006/relationships" ref="H155" r:id="rId152"/>
    <hyperlink xmlns:r="http://schemas.openxmlformats.org/officeDocument/2006/relationships" ref="H156" r:id="rId153"/>
    <hyperlink xmlns:r="http://schemas.openxmlformats.org/officeDocument/2006/relationships" ref="H157" r:id="rId154"/>
    <hyperlink xmlns:r="http://schemas.openxmlformats.org/officeDocument/2006/relationships" ref="H158" r:id="rId155"/>
    <hyperlink xmlns:r="http://schemas.openxmlformats.org/officeDocument/2006/relationships" ref="H159" r:id="rId156"/>
    <hyperlink xmlns:r="http://schemas.openxmlformats.org/officeDocument/2006/relationships" ref="H160" r:id="rId157"/>
    <hyperlink xmlns:r="http://schemas.openxmlformats.org/officeDocument/2006/relationships" ref="H161" r:id="rId158"/>
    <hyperlink xmlns:r="http://schemas.openxmlformats.org/officeDocument/2006/relationships" ref="H162" r:id="rId159"/>
    <hyperlink xmlns:r="http://schemas.openxmlformats.org/officeDocument/2006/relationships" ref="H163" r:id="rId160"/>
    <hyperlink xmlns:r="http://schemas.openxmlformats.org/officeDocument/2006/relationships" ref="H164" r:id="rId161"/>
    <hyperlink xmlns:r="http://schemas.openxmlformats.org/officeDocument/2006/relationships" ref="H165" r:id="rId162"/>
    <hyperlink xmlns:r="http://schemas.openxmlformats.org/officeDocument/2006/relationships" ref="H166" r:id="rId163"/>
    <hyperlink xmlns:r="http://schemas.openxmlformats.org/officeDocument/2006/relationships" ref="H167" r:id="rId164"/>
    <hyperlink xmlns:r="http://schemas.openxmlformats.org/officeDocument/2006/relationships" ref="H168" r:id="rId165"/>
    <hyperlink xmlns:r="http://schemas.openxmlformats.org/officeDocument/2006/relationships" ref="H169" r:id="rId166"/>
    <hyperlink xmlns:r="http://schemas.openxmlformats.org/officeDocument/2006/relationships" ref="H170" r:id="rId167"/>
    <hyperlink xmlns:r="http://schemas.openxmlformats.org/officeDocument/2006/relationships" ref="H171" r:id="rId168"/>
    <hyperlink xmlns:r="http://schemas.openxmlformats.org/officeDocument/2006/relationships" ref="H172" r:id="rId169"/>
    <hyperlink xmlns:r="http://schemas.openxmlformats.org/officeDocument/2006/relationships" ref="H173" r:id="rId170"/>
    <hyperlink xmlns:r="http://schemas.openxmlformats.org/officeDocument/2006/relationships" ref="H174" r:id="rId171"/>
    <hyperlink xmlns:r="http://schemas.openxmlformats.org/officeDocument/2006/relationships" ref="H175" r:id="rId172"/>
    <hyperlink xmlns:r="http://schemas.openxmlformats.org/officeDocument/2006/relationships" ref="H176" r:id="rId173"/>
    <hyperlink xmlns:r="http://schemas.openxmlformats.org/officeDocument/2006/relationships" ref="H177" r:id="rId174"/>
    <hyperlink xmlns:r="http://schemas.openxmlformats.org/officeDocument/2006/relationships" ref="H178" r:id="rId175"/>
    <hyperlink xmlns:r="http://schemas.openxmlformats.org/officeDocument/2006/relationships" ref="H179" r:id="rId176"/>
    <hyperlink xmlns:r="http://schemas.openxmlformats.org/officeDocument/2006/relationships" ref="H180" r:id="rId177"/>
    <hyperlink xmlns:r="http://schemas.openxmlformats.org/officeDocument/2006/relationships" ref="H181" r:id="rId178"/>
    <hyperlink xmlns:r="http://schemas.openxmlformats.org/officeDocument/2006/relationships" ref="H182" r:id="rId179"/>
    <hyperlink xmlns:r="http://schemas.openxmlformats.org/officeDocument/2006/relationships" ref="H183" r:id="rId180"/>
    <hyperlink xmlns:r="http://schemas.openxmlformats.org/officeDocument/2006/relationships" ref="H184" r:id="rId181"/>
    <hyperlink xmlns:r="http://schemas.openxmlformats.org/officeDocument/2006/relationships" ref="H185" r:id="rId182"/>
    <hyperlink xmlns:r="http://schemas.openxmlformats.org/officeDocument/2006/relationships" ref="H186" r:id="rId183"/>
    <hyperlink xmlns:r="http://schemas.openxmlformats.org/officeDocument/2006/relationships" ref="H187" r:id="rId184"/>
    <hyperlink xmlns:r="http://schemas.openxmlformats.org/officeDocument/2006/relationships" ref="H188" r:id="rId185"/>
    <hyperlink xmlns:r="http://schemas.openxmlformats.org/officeDocument/2006/relationships" ref="H189" r:id="rId186"/>
    <hyperlink xmlns:r="http://schemas.openxmlformats.org/officeDocument/2006/relationships" ref="H190" r:id="rId187"/>
    <hyperlink xmlns:r="http://schemas.openxmlformats.org/officeDocument/2006/relationships" ref="H191" r:id="rId188"/>
    <hyperlink xmlns:r="http://schemas.openxmlformats.org/officeDocument/2006/relationships" ref="H192" r:id="rId189"/>
    <hyperlink xmlns:r="http://schemas.openxmlformats.org/officeDocument/2006/relationships" ref="H193" r:id="rId190"/>
    <hyperlink xmlns:r="http://schemas.openxmlformats.org/officeDocument/2006/relationships" ref="H194" r:id="rId191"/>
    <hyperlink xmlns:r="http://schemas.openxmlformats.org/officeDocument/2006/relationships" ref="H195" r:id="rId192"/>
    <hyperlink xmlns:r="http://schemas.openxmlformats.org/officeDocument/2006/relationships" ref="H196" r:id="rId193"/>
    <hyperlink xmlns:r="http://schemas.openxmlformats.org/officeDocument/2006/relationships" ref="H197" r:id="rId194"/>
    <hyperlink xmlns:r="http://schemas.openxmlformats.org/officeDocument/2006/relationships" ref="H198" r:id="rId195"/>
    <hyperlink xmlns:r="http://schemas.openxmlformats.org/officeDocument/2006/relationships" ref="H199" r:id="rId196"/>
    <hyperlink xmlns:r="http://schemas.openxmlformats.org/officeDocument/2006/relationships" ref="H200" r:id="rId197"/>
    <hyperlink xmlns:r="http://schemas.openxmlformats.org/officeDocument/2006/relationships" ref="H201" r:id="rId198"/>
    <hyperlink xmlns:r="http://schemas.openxmlformats.org/officeDocument/2006/relationships" ref="H202" r:id="rId199"/>
    <hyperlink xmlns:r="http://schemas.openxmlformats.org/officeDocument/2006/relationships" ref="H203" r:id="rId200"/>
    <hyperlink xmlns:r="http://schemas.openxmlformats.org/officeDocument/2006/relationships" ref="H204" r:id="rId201"/>
    <hyperlink xmlns:r="http://schemas.openxmlformats.org/officeDocument/2006/relationships" ref="H205" r:id="rId202"/>
    <hyperlink xmlns:r="http://schemas.openxmlformats.org/officeDocument/2006/relationships" ref="H206" r:id="rId203"/>
    <hyperlink xmlns:r="http://schemas.openxmlformats.org/officeDocument/2006/relationships" ref="H207" r:id="rId204"/>
    <hyperlink xmlns:r="http://schemas.openxmlformats.org/officeDocument/2006/relationships" ref="H208" r:id="rId205"/>
    <hyperlink xmlns:r="http://schemas.openxmlformats.org/officeDocument/2006/relationships" ref="H209" r:id="rId206"/>
    <hyperlink xmlns:r="http://schemas.openxmlformats.org/officeDocument/2006/relationships" ref="H210" r:id="rId207"/>
    <hyperlink xmlns:r="http://schemas.openxmlformats.org/officeDocument/2006/relationships" ref="H211" r:id="rId208"/>
    <hyperlink xmlns:r="http://schemas.openxmlformats.org/officeDocument/2006/relationships" ref="H212" r:id="rId209"/>
    <hyperlink xmlns:r="http://schemas.openxmlformats.org/officeDocument/2006/relationships" ref="H213" r:id="rId210"/>
    <hyperlink xmlns:r="http://schemas.openxmlformats.org/officeDocument/2006/relationships" ref="H214" r:id="rId211"/>
    <hyperlink xmlns:r="http://schemas.openxmlformats.org/officeDocument/2006/relationships" ref="H215" r:id="rId212"/>
    <hyperlink xmlns:r="http://schemas.openxmlformats.org/officeDocument/2006/relationships" ref="H216" r:id="rId213"/>
    <hyperlink xmlns:r="http://schemas.openxmlformats.org/officeDocument/2006/relationships" ref="H217" r:id="rId214"/>
    <hyperlink xmlns:r="http://schemas.openxmlformats.org/officeDocument/2006/relationships" ref="H218" r:id="rId215"/>
    <hyperlink xmlns:r="http://schemas.openxmlformats.org/officeDocument/2006/relationships" ref="H219" r:id="rId216"/>
    <hyperlink xmlns:r="http://schemas.openxmlformats.org/officeDocument/2006/relationships" ref="H220" r:id="rId217"/>
    <hyperlink xmlns:r="http://schemas.openxmlformats.org/officeDocument/2006/relationships" ref="H221" r:id="rId218"/>
    <hyperlink xmlns:r="http://schemas.openxmlformats.org/officeDocument/2006/relationships" ref="H222" r:id="rId219"/>
    <hyperlink xmlns:r="http://schemas.openxmlformats.org/officeDocument/2006/relationships" ref="H223" r:id="rId220"/>
    <hyperlink xmlns:r="http://schemas.openxmlformats.org/officeDocument/2006/relationships" ref="H224" r:id="rId221"/>
    <hyperlink xmlns:r="http://schemas.openxmlformats.org/officeDocument/2006/relationships" ref="H225" r:id="rId222"/>
    <hyperlink xmlns:r="http://schemas.openxmlformats.org/officeDocument/2006/relationships" ref="H226" r:id="rId223"/>
    <hyperlink xmlns:r="http://schemas.openxmlformats.org/officeDocument/2006/relationships" ref="H227" r:id="rId224"/>
    <hyperlink xmlns:r="http://schemas.openxmlformats.org/officeDocument/2006/relationships" ref="H228" r:id="rId225"/>
    <hyperlink xmlns:r="http://schemas.openxmlformats.org/officeDocument/2006/relationships" ref="H229" r:id="rId226"/>
    <hyperlink xmlns:r="http://schemas.openxmlformats.org/officeDocument/2006/relationships" ref="H230" r:id="rId227"/>
    <hyperlink xmlns:r="http://schemas.openxmlformats.org/officeDocument/2006/relationships" ref="H231" r:id="rId228"/>
    <hyperlink xmlns:r="http://schemas.openxmlformats.org/officeDocument/2006/relationships" ref="H232" r:id="rId229"/>
    <hyperlink xmlns:r="http://schemas.openxmlformats.org/officeDocument/2006/relationships" ref="H233" r:id="rId230"/>
    <hyperlink xmlns:r="http://schemas.openxmlformats.org/officeDocument/2006/relationships" ref="H234" r:id="rId231"/>
    <hyperlink xmlns:r="http://schemas.openxmlformats.org/officeDocument/2006/relationships" ref="H235" r:id="rId232"/>
    <hyperlink xmlns:r="http://schemas.openxmlformats.org/officeDocument/2006/relationships" ref="H236" r:id="rId233"/>
    <hyperlink xmlns:r="http://schemas.openxmlformats.org/officeDocument/2006/relationships" ref="H237" r:id="rId234"/>
    <hyperlink xmlns:r="http://schemas.openxmlformats.org/officeDocument/2006/relationships" ref="H238" r:id="rId235"/>
    <hyperlink xmlns:r="http://schemas.openxmlformats.org/officeDocument/2006/relationships" ref="H239" r:id="rId236"/>
    <hyperlink xmlns:r="http://schemas.openxmlformats.org/officeDocument/2006/relationships" ref="H240" r:id="rId237"/>
    <hyperlink xmlns:r="http://schemas.openxmlformats.org/officeDocument/2006/relationships" ref="H241" r:id="rId238"/>
    <hyperlink xmlns:r="http://schemas.openxmlformats.org/officeDocument/2006/relationships" ref="H242" r:id="rId239"/>
    <hyperlink xmlns:r="http://schemas.openxmlformats.org/officeDocument/2006/relationships" ref="H243" r:id="rId240"/>
    <hyperlink xmlns:r="http://schemas.openxmlformats.org/officeDocument/2006/relationships" ref="H244" r:id="rId241"/>
    <hyperlink xmlns:r="http://schemas.openxmlformats.org/officeDocument/2006/relationships" ref="H245" r:id="rId242"/>
    <hyperlink xmlns:r="http://schemas.openxmlformats.org/officeDocument/2006/relationships" ref="H246" r:id="rId243"/>
    <hyperlink xmlns:r="http://schemas.openxmlformats.org/officeDocument/2006/relationships" ref="H247" r:id="rId244"/>
    <hyperlink xmlns:r="http://schemas.openxmlformats.org/officeDocument/2006/relationships" ref="H248" r:id="rId245"/>
    <hyperlink xmlns:r="http://schemas.openxmlformats.org/officeDocument/2006/relationships" ref="H249" r:id="rId246"/>
    <hyperlink xmlns:r="http://schemas.openxmlformats.org/officeDocument/2006/relationships" ref="H250" r:id="rId247"/>
    <hyperlink xmlns:r="http://schemas.openxmlformats.org/officeDocument/2006/relationships" ref="H251" r:id="rId248"/>
    <hyperlink xmlns:r="http://schemas.openxmlformats.org/officeDocument/2006/relationships" ref="H252" r:id="rId249"/>
    <hyperlink xmlns:r="http://schemas.openxmlformats.org/officeDocument/2006/relationships" ref="H253" r:id="rId250"/>
    <hyperlink xmlns:r="http://schemas.openxmlformats.org/officeDocument/2006/relationships" ref="H254" r:id="rId251"/>
    <hyperlink xmlns:r="http://schemas.openxmlformats.org/officeDocument/2006/relationships" ref="H255" r:id="rId252"/>
    <hyperlink xmlns:r="http://schemas.openxmlformats.org/officeDocument/2006/relationships" ref="H256" r:id="rId253"/>
    <hyperlink xmlns:r="http://schemas.openxmlformats.org/officeDocument/2006/relationships" ref="H257" r:id="rId254"/>
    <hyperlink xmlns:r="http://schemas.openxmlformats.org/officeDocument/2006/relationships" ref="H258" r:id="rId255"/>
    <hyperlink xmlns:r="http://schemas.openxmlformats.org/officeDocument/2006/relationships" ref="H259" r:id="rId256"/>
    <hyperlink xmlns:r="http://schemas.openxmlformats.org/officeDocument/2006/relationships" ref="H260" r:id="rId257"/>
    <hyperlink xmlns:r="http://schemas.openxmlformats.org/officeDocument/2006/relationships" ref="H261" r:id="rId258"/>
    <hyperlink xmlns:r="http://schemas.openxmlformats.org/officeDocument/2006/relationships" ref="H262" r:id="rId259"/>
    <hyperlink xmlns:r="http://schemas.openxmlformats.org/officeDocument/2006/relationships" ref="H263" r:id="rId260"/>
    <hyperlink xmlns:r="http://schemas.openxmlformats.org/officeDocument/2006/relationships" ref="H264" r:id="rId261"/>
    <hyperlink xmlns:r="http://schemas.openxmlformats.org/officeDocument/2006/relationships" ref="H265" r:id="rId262"/>
    <hyperlink xmlns:r="http://schemas.openxmlformats.org/officeDocument/2006/relationships" ref="H266" r:id="rId263"/>
    <hyperlink xmlns:r="http://schemas.openxmlformats.org/officeDocument/2006/relationships" ref="H267" r:id="rId264"/>
    <hyperlink xmlns:r="http://schemas.openxmlformats.org/officeDocument/2006/relationships" ref="H268" r:id="rId265"/>
    <hyperlink xmlns:r="http://schemas.openxmlformats.org/officeDocument/2006/relationships" ref="H269" r:id="rId266"/>
    <hyperlink xmlns:r="http://schemas.openxmlformats.org/officeDocument/2006/relationships" ref="H270" r:id="rId267"/>
    <hyperlink xmlns:r="http://schemas.openxmlformats.org/officeDocument/2006/relationships" ref="H271" r:id="rId268"/>
    <hyperlink xmlns:r="http://schemas.openxmlformats.org/officeDocument/2006/relationships" ref="H272" r:id="rId269"/>
    <hyperlink xmlns:r="http://schemas.openxmlformats.org/officeDocument/2006/relationships" ref="H273" r:id="rId270"/>
    <hyperlink xmlns:r="http://schemas.openxmlformats.org/officeDocument/2006/relationships" ref="H274" r:id="rId271"/>
    <hyperlink xmlns:r="http://schemas.openxmlformats.org/officeDocument/2006/relationships" ref="H275" r:id="rId272"/>
    <hyperlink xmlns:r="http://schemas.openxmlformats.org/officeDocument/2006/relationships" ref="H276" r:id="rId273"/>
    <hyperlink xmlns:r="http://schemas.openxmlformats.org/officeDocument/2006/relationships" ref="H277" r:id="rId274"/>
    <hyperlink xmlns:r="http://schemas.openxmlformats.org/officeDocument/2006/relationships" ref="H278" r:id="rId275"/>
    <hyperlink xmlns:r="http://schemas.openxmlformats.org/officeDocument/2006/relationships" ref="H279" r:id="rId276"/>
    <hyperlink xmlns:r="http://schemas.openxmlformats.org/officeDocument/2006/relationships" ref="H280" r:id="rId277"/>
    <hyperlink xmlns:r="http://schemas.openxmlformats.org/officeDocument/2006/relationships" ref="H281" r:id="rId278"/>
    <hyperlink xmlns:r="http://schemas.openxmlformats.org/officeDocument/2006/relationships" ref="H282" r:id="rId279"/>
    <hyperlink xmlns:r="http://schemas.openxmlformats.org/officeDocument/2006/relationships" ref="H283" r:id="rId280"/>
    <hyperlink xmlns:r="http://schemas.openxmlformats.org/officeDocument/2006/relationships" ref="H284" r:id="rId281"/>
    <hyperlink xmlns:r="http://schemas.openxmlformats.org/officeDocument/2006/relationships" ref="H285" r:id="rId282"/>
    <hyperlink xmlns:r="http://schemas.openxmlformats.org/officeDocument/2006/relationships" ref="H286" r:id="rId283"/>
    <hyperlink xmlns:r="http://schemas.openxmlformats.org/officeDocument/2006/relationships" ref="H287" r:id="rId284"/>
    <hyperlink xmlns:r="http://schemas.openxmlformats.org/officeDocument/2006/relationships" ref="H288" r:id="rId285"/>
    <hyperlink xmlns:r="http://schemas.openxmlformats.org/officeDocument/2006/relationships" ref="H289" r:id="rId286"/>
    <hyperlink xmlns:r="http://schemas.openxmlformats.org/officeDocument/2006/relationships" ref="H290" r:id="rId287"/>
    <hyperlink xmlns:r="http://schemas.openxmlformats.org/officeDocument/2006/relationships" ref="H291" r:id="rId288"/>
    <hyperlink xmlns:r="http://schemas.openxmlformats.org/officeDocument/2006/relationships" ref="H292" r:id="rId289"/>
    <hyperlink xmlns:r="http://schemas.openxmlformats.org/officeDocument/2006/relationships" ref="H293" r:id="rId290"/>
    <hyperlink xmlns:r="http://schemas.openxmlformats.org/officeDocument/2006/relationships" ref="H294" r:id="rId291"/>
    <hyperlink xmlns:r="http://schemas.openxmlformats.org/officeDocument/2006/relationships" ref="H295" r:id="rId292"/>
    <hyperlink xmlns:r="http://schemas.openxmlformats.org/officeDocument/2006/relationships" ref="H296" r:id="rId293"/>
    <hyperlink xmlns:r="http://schemas.openxmlformats.org/officeDocument/2006/relationships" ref="H297" r:id="rId294"/>
    <hyperlink xmlns:r="http://schemas.openxmlformats.org/officeDocument/2006/relationships" ref="H298" r:id="rId295"/>
    <hyperlink xmlns:r="http://schemas.openxmlformats.org/officeDocument/2006/relationships" ref="H299" r:id="rId296"/>
    <hyperlink xmlns:r="http://schemas.openxmlformats.org/officeDocument/2006/relationships" ref="H300" r:id="rId297"/>
    <hyperlink xmlns:r="http://schemas.openxmlformats.org/officeDocument/2006/relationships" ref="H301" r:id="rId298"/>
    <hyperlink xmlns:r="http://schemas.openxmlformats.org/officeDocument/2006/relationships" ref="H302" r:id="rId299"/>
    <hyperlink xmlns:r="http://schemas.openxmlformats.org/officeDocument/2006/relationships" ref="H303" r:id="rId300"/>
    <hyperlink xmlns:r="http://schemas.openxmlformats.org/officeDocument/2006/relationships" ref="H304" r:id="rId301"/>
    <hyperlink xmlns:r="http://schemas.openxmlformats.org/officeDocument/2006/relationships" ref="H305" r:id="rId302"/>
    <hyperlink xmlns:r="http://schemas.openxmlformats.org/officeDocument/2006/relationships" ref="H306" r:id="rId303"/>
    <hyperlink xmlns:r="http://schemas.openxmlformats.org/officeDocument/2006/relationships" ref="H307" r:id="rId304"/>
    <hyperlink xmlns:r="http://schemas.openxmlformats.org/officeDocument/2006/relationships" ref="H308" r:id="rId305"/>
    <hyperlink xmlns:r="http://schemas.openxmlformats.org/officeDocument/2006/relationships" ref="H309" r:id="rId306"/>
    <hyperlink xmlns:r="http://schemas.openxmlformats.org/officeDocument/2006/relationships" ref="H310" r:id="rId307"/>
    <hyperlink xmlns:r="http://schemas.openxmlformats.org/officeDocument/2006/relationships" ref="H311" r:id="rId308"/>
    <hyperlink xmlns:r="http://schemas.openxmlformats.org/officeDocument/2006/relationships" ref="H312" r:id="rId309"/>
    <hyperlink xmlns:r="http://schemas.openxmlformats.org/officeDocument/2006/relationships" ref="H313" r:id="rId310"/>
    <hyperlink xmlns:r="http://schemas.openxmlformats.org/officeDocument/2006/relationships" ref="H314" r:id="rId311"/>
    <hyperlink xmlns:r="http://schemas.openxmlformats.org/officeDocument/2006/relationships" ref="H315" r:id="rId312"/>
    <hyperlink xmlns:r="http://schemas.openxmlformats.org/officeDocument/2006/relationships" ref="H316" r:id="rId313"/>
    <hyperlink xmlns:r="http://schemas.openxmlformats.org/officeDocument/2006/relationships" ref="H317" r:id="rId314"/>
    <hyperlink xmlns:r="http://schemas.openxmlformats.org/officeDocument/2006/relationships" ref="H318" r:id="rId315"/>
    <hyperlink xmlns:r="http://schemas.openxmlformats.org/officeDocument/2006/relationships" ref="H319" r:id="rId316"/>
    <hyperlink xmlns:r="http://schemas.openxmlformats.org/officeDocument/2006/relationships" ref="H320" r:id="rId317"/>
    <hyperlink xmlns:r="http://schemas.openxmlformats.org/officeDocument/2006/relationships" ref="H321" r:id="rId318"/>
    <hyperlink xmlns:r="http://schemas.openxmlformats.org/officeDocument/2006/relationships" ref="H322" r:id="rId319"/>
    <hyperlink xmlns:r="http://schemas.openxmlformats.org/officeDocument/2006/relationships" ref="H323" r:id="rId320"/>
    <hyperlink xmlns:r="http://schemas.openxmlformats.org/officeDocument/2006/relationships" ref="H324" r:id="rId321"/>
    <hyperlink xmlns:r="http://schemas.openxmlformats.org/officeDocument/2006/relationships" ref="H325" r:id="rId322"/>
    <hyperlink xmlns:r="http://schemas.openxmlformats.org/officeDocument/2006/relationships" ref="H326" r:id="rId323"/>
    <hyperlink xmlns:r="http://schemas.openxmlformats.org/officeDocument/2006/relationships" ref="H327" r:id="rId324"/>
    <hyperlink xmlns:r="http://schemas.openxmlformats.org/officeDocument/2006/relationships" ref="H328" r:id="rId325"/>
    <hyperlink xmlns:r="http://schemas.openxmlformats.org/officeDocument/2006/relationships" ref="H329" r:id="rId326"/>
    <hyperlink xmlns:r="http://schemas.openxmlformats.org/officeDocument/2006/relationships" ref="H330" r:id="rId327"/>
    <hyperlink xmlns:r="http://schemas.openxmlformats.org/officeDocument/2006/relationships" ref="H331" r:id="rId328"/>
    <hyperlink xmlns:r="http://schemas.openxmlformats.org/officeDocument/2006/relationships" ref="H332" r:id="rId329"/>
    <hyperlink xmlns:r="http://schemas.openxmlformats.org/officeDocument/2006/relationships" ref="H333" r:id="rId330"/>
    <hyperlink xmlns:r="http://schemas.openxmlformats.org/officeDocument/2006/relationships" ref="H334" r:id="rId331"/>
    <hyperlink xmlns:r="http://schemas.openxmlformats.org/officeDocument/2006/relationships" ref="H335" r:id="rId332"/>
    <hyperlink xmlns:r="http://schemas.openxmlformats.org/officeDocument/2006/relationships" ref="H336" r:id="rId333"/>
    <hyperlink xmlns:r="http://schemas.openxmlformats.org/officeDocument/2006/relationships" ref="H337" r:id="rId334"/>
    <hyperlink xmlns:r="http://schemas.openxmlformats.org/officeDocument/2006/relationships" ref="H338" r:id="rId335"/>
    <hyperlink xmlns:r="http://schemas.openxmlformats.org/officeDocument/2006/relationships" ref="H339" r:id="rId336"/>
    <hyperlink xmlns:r="http://schemas.openxmlformats.org/officeDocument/2006/relationships" ref="H340" r:id="rId337"/>
    <hyperlink xmlns:r="http://schemas.openxmlformats.org/officeDocument/2006/relationships" ref="H341" r:id="rId338"/>
    <hyperlink xmlns:r="http://schemas.openxmlformats.org/officeDocument/2006/relationships" ref="H342" r:id="rId339"/>
    <hyperlink xmlns:r="http://schemas.openxmlformats.org/officeDocument/2006/relationships" ref="H343" r:id="rId340"/>
    <hyperlink xmlns:r="http://schemas.openxmlformats.org/officeDocument/2006/relationships" ref="H344" r:id="rId341"/>
    <hyperlink xmlns:r="http://schemas.openxmlformats.org/officeDocument/2006/relationships" ref="H345" r:id="rId342"/>
    <hyperlink xmlns:r="http://schemas.openxmlformats.org/officeDocument/2006/relationships" ref="H346" r:id="rId343"/>
    <hyperlink xmlns:r="http://schemas.openxmlformats.org/officeDocument/2006/relationships" ref="H347" r:id="rId344"/>
    <hyperlink xmlns:r="http://schemas.openxmlformats.org/officeDocument/2006/relationships" ref="H348" r:id="rId345"/>
    <hyperlink xmlns:r="http://schemas.openxmlformats.org/officeDocument/2006/relationships" ref="H349" r:id="rId346"/>
    <hyperlink xmlns:r="http://schemas.openxmlformats.org/officeDocument/2006/relationships" ref="H350" r:id="rId347"/>
    <hyperlink xmlns:r="http://schemas.openxmlformats.org/officeDocument/2006/relationships" ref="H351" r:id="rId348"/>
    <hyperlink xmlns:r="http://schemas.openxmlformats.org/officeDocument/2006/relationships" ref="H352" r:id="rId349"/>
    <hyperlink xmlns:r="http://schemas.openxmlformats.org/officeDocument/2006/relationships" ref="H353" r:id="rId350"/>
    <hyperlink xmlns:r="http://schemas.openxmlformats.org/officeDocument/2006/relationships" ref="H354" r:id="rId351"/>
    <hyperlink xmlns:r="http://schemas.openxmlformats.org/officeDocument/2006/relationships" ref="H355" r:id="rId352"/>
    <hyperlink xmlns:r="http://schemas.openxmlformats.org/officeDocument/2006/relationships" ref="H356" r:id="rId353"/>
    <hyperlink xmlns:r="http://schemas.openxmlformats.org/officeDocument/2006/relationships" ref="H357" r:id="rId354"/>
    <hyperlink xmlns:r="http://schemas.openxmlformats.org/officeDocument/2006/relationships" ref="H358" r:id="rId355"/>
    <hyperlink xmlns:r="http://schemas.openxmlformats.org/officeDocument/2006/relationships" ref="H359" r:id="rId356"/>
    <hyperlink xmlns:r="http://schemas.openxmlformats.org/officeDocument/2006/relationships" ref="H360" r:id="rId357"/>
    <hyperlink xmlns:r="http://schemas.openxmlformats.org/officeDocument/2006/relationships" ref="H361" r:id="rId358"/>
    <hyperlink xmlns:r="http://schemas.openxmlformats.org/officeDocument/2006/relationships" ref="H362" r:id="rId359"/>
    <hyperlink xmlns:r="http://schemas.openxmlformats.org/officeDocument/2006/relationships" ref="H363" r:id="rId360"/>
    <hyperlink xmlns:r="http://schemas.openxmlformats.org/officeDocument/2006/relationships" ref="H364" r:id="rId361"/>
    <hyperlink xmlns:r="http://schemas.openxmlformats.org/officeDocument/2006/relationships" ref="H365" r:id="rId362"/>
    <hyperlink xmlns:r="http://schemas.openxmlformats.org/officeDocument/2006/relationships" ref="H366" r:id="rId363"/>
    <hyperlink xmlns:r="http://schemas.openxmlformats.org/officeDocument/2006/relationships" ref="H367" r:id="rId364"/>
    <hyperlink xmlns:r="http://schemas.openxmlformats.org/officeDocument/2006/relationships" ref="H368" r:id="rId365"/>
    <hyperlink xmlns:r="http://schemas.openxmlformats.org/officeDocument/2006/relationships" ref="H369" r:id="rId366"/>
    <hyperlink xmlns:r="http://schemas.openxmlformats.org/officeDocument/2006/relationships" ref="H370" r:id="rId367"/>
    <hyperlink xmlns:r="http://schemas.openxmlformats.org/officeDocument/2006/relationships" ref="H371" r:id="rId368"/>
    <hyperlink xmlns:r="http://schemas.openxmlformats.org/officeDocument/2006/relationships" ref="H372" r:id="rId369"/>
    <hyperlink xmlns:r="http://schemas.openxmlformats.org/officeDocument/2006/relationships" ref="H373" r:id="rId370"/>
    <hyperlink xmlns:r="http://schemas.openxmlformats.org/officeDocument/2006/relationships" ref="H374" r:id="rId371"/>
    <hyperlink xmlns:r="http://schemas.openxmlformats.org/officeDocument/2006/relationships" ref="H375" r:id="rId372"/>
    <hyperlink xmlns:r="http://schemas.openxmlformats.org/officeDocument/2006/relationships" ref="H376" r:id="rId373"/>
    <hyperlink xmlns:r="http://schemas.openxmlformats.org/officeDocument/2006/relationships" ref="H377" r:id="rId374"/>
    <hyperlink xmlns:r="http://schemas.openxmlformats.org/officeDocument/2006/relationships" ref="H378" r:id="rId375"/>
    <hyperlink xmlns:r="http://schemas.openxmlformats.org/officeDocument/2006/relationships" ref="H379" r:id="rId376"/>
    <hyperlink xmlns:r="http://schemas.openxmlformats.org/officeDocument/2006/relationships" ref="H380" r:id="rId377"/>
    <hyperlink xmlns:r="http://schemas.openxmlformats.org/officeDocument/2006/relationships" ref="H381" r:id="rId378"/>
    <hyperlink xmlns:r="http://schemas.openxmlformats.org/officeDocument/2006/relationships" ref="H382" r:id="rId379"/>
    <hyperlink xmlns:r="http://schemas.openxmlformats.org/officeDocument/2006/relationships" ref="H383" r:id="rId380"/>
    <hyperlink xmlns:r="http://schemas.openxmlformats.org/officeDocument/2006/relationships" ref="H384" r:id="rId381"/>
    <hyperlink xmlns:r="http://schemas.openxmlformats.org/officeDocument/2006/relationships" ref="H385" r:id="rId382"/>
    <hyperlink xmlns:r="http://schemas.openxmlformats.org/officeDocument/2006/relationships" ref="H386" r:id="rId383"/>
    <hyperlink xmlns:r="http://schemas.openxmlformats.org/officeDocument/2006/relationships" ref="H387" r:id="rId384"/>
    <hyperlink xmlns:r="http://schemas.openxmlformats.org/officeDocument/2006/relationships" ref="H388" r:id="rId385"/>
    <hyperlink xmlns:r="http://schemas.openxmlformats.org/officeDocument/2006/relationships" ref="H389" r:id="rId386"/>
    <hyperlink xmlns:r="http://schemas.openxmlformats.org/officeDocument/2006/relationships" ref="H390" r:id="rId387"/>
    <hyperlink xmlns:r="http://schemas.openxmlformats.org/officeDocument/2006/relationships" ref="H391" r:id="rId388"/>
    <hyperlink xmlns:r="http://schemas.openxmlformats.org/officeDocument/2006/relationships" ref="H392" r:id="rId389"/>
    <hyperlink xmlns:r="http://schemas.openxmlformats.org/officeDocument/2006/relationships" ref="H393" r:id="rId390"/>
    <hyperlink xmlns:r="http://schemas.openxmlformats.org/officeDocument/2006/relationships" ref="H394" r:id="rId391"/>
    <hyperlink xmlns:r="http://schemas.openxmlformats.org/officeDocument/2006/relationships" ref="H395" r:id="rId392"/>
    <hyperlink xmlns:r="http://schemas.openxmlformats.org/officeDocument/2006/relationships" ref="H396" r:id="rId393"/>
    <hyperlink xmlns:r="http://schemas.openxmlformats.org/officeDocument/2006/relationships" ref="H397" r:id="rId394"/>
    <hyperlink xmlns:r="http://schemas.openxmlformats.org/officeDocument/2006/relationships" ref="H398" r:id="rId395"/>
    <hyperlink xmlns:r="http://schemas.openxmlformats.org/officeDocument/2006/relationships" ref="H399" r:id="rId396"/>
    <hyperlink xmlns:r="http://schemas.openxmlformats.org/officeDocument/2006/relationships" ref="H400" r:id="rId397"/>
    <hyperlink xmlns:r="http://schemas.openxmlformats.org/officeDocument/2006/relationships" ref="H401" r:id="rId398"/>
    <hyperlink xmlns:r="http://schemas.openxmlformats.org/officeDocument/2006/relationships" ref="H402" r:id="rId399"/>
    <hyperlink xmlns:r="http://schemas.openxmlformats.org/officeDocument/2006/relationships" ref="H403" r:id="rId400"/>
    <hyperlink xmlns:r="http://schemas.openxmlformats.org/officeDocument/2006/relationships" ref="H404" r:id="rId401"/>
    <hyperlink xmlns:r="http://schemas.openxmlformats.org/officeDocument/2006/relationships" ref="H405" r:id="rId402"/>
    <hyperlink xmlns:r="http://schemas.openxmlformats.org/officeDocument/2006/relationships" ref="H406" r:id="rId403"/>
    <hyperlink xmlns:r="http://schemas.openxmlformats.org/officeDocument/2006/relationships" ref="H407" r:id="rId404"/>
    <hyperlink xmlns:r="http://schemas.openxmlformats.org/officeDocument/2006/relationships" ref="H408" r:id="rId405"/>
    <hyperlink xmlns:r="http://schemas.openxmlformats.org/officeDocument/2006/relationships" ref="H409" r:id="rId406"/>
    <hyperlink xmlns:r="http://schemas.openxmlformats.org/officeDocument/2006/relationships" ref="H410" r:id="rId407"/>
    <hyperlink xmlns:r="http://schemas.openxmlformats.org/officeDocument/2006/relationships" ref="H411" r:id="rId408"/>
    <hyperlink xmlns:r="http://schemas.openxmlformats.org/officeDocument/2006/relationships" ref="H412" r:id="rId409"/>
    <hyperlink xmlns:r="http://schemas.openxmlformats.org/officeDocument/2006/relationships" ref="H413" r:id="rId410"/>
    <hyperlink xmlns:r="http://schemas.openxmlformats.org/officeDocument/2006/relationships" ref="H414" r:id="rId411"/>
    <hyperlink xmlns:r="http://schemas.openxmlformats.org/officeDocument/2006/relationships" ref="H415" r:id="rId412"/>
    <hyperlink xmlns:r="http://schemas.openxmlformats.org/officeDocument/2006/relationships" ref="H416" r:id="rId413"/>
    <hyperlink xmlns:r="http://schemas.openxmlformats.org/officeDocument/2006/relationships" ref="H417" r:id="rId414"/>
    <hyperlink xmlns:r="http://schemas.openxmlformats.org/officeDocument/2006/relationships" ref="H418" r:id="rId415"/>
    <hyperlink xmlns:r="http://schemas.openxmlformats.org/officeDocument/2006/relationships" ref="H419" r:id="rId416"/>
    <hyperlink xmlns:r="http://schemas.openxmlformats.org/officeDocument/2006/relationships" ref="H420" r:id="rId417"/>
    <hyperlink xmlns:r="http://schemas.openxmlformats.org/officeDocument/2006/relationships" ref="H421" r:id="rId418"/>
    <hyperlink xmlns:r="http://schemas.openxmlformats.org/officeDocument/2006/relationships" ref="H422" r:id="rId419"/>
    <hyperlink xmlns:r="http://schemas.openxmlformats.org/officeDocument/2006/relationships" ref="H423" r:id="rId420"/>
    <hyperlink xmlns:r="http://schemas.openxmlformats.org/officeDocument/2006/relationships" ref="H424" r:id="rId421"/>
    <hyperlink xmlns:r="http://schemas.openxmlformats.org/officeDocument/2006/relationships" ref="H425" r:id="rId422"/>
    <hyperlink xmlns:r="http://schemas.openxmlformats.org/officeDocument/2006/relationships" ref="H426" r:id="rId423"/>
    <hyperlink xmlns:r="http://schemas.openxmlformats.org/officeDocument/2006/relationships" ref="H427" r:id="rId424"/>
    <hyperlink xmlns:r="http://schemas.openxmlformats.org/officeDocument/2006/relationships" ref="H428" r:id="rId425"/>
    <hyperlink xmlns:r="http://schemas.openxmlformats.org/officeDocument/2006/relationships" ref="H429" r:id="rId426"/>
    <hyperlink xmlns:r="http://schemas.openxmlformats.org/officeDocument/2006/relationships" ref="H430" r:id="rId427"/>
    <hyperlink xmlns:r="http://schemas.openxmlformats.org/officeDocument/2006/relationships" ref="H431" r:id="rId428"/>
    <hyperlink xmlns:r="http://schemas.openxmlformats.org/officeDocument/2006/relationships" ref="H432" r:id="rId429"/>
    <hyperlink xmlns:r="http://schemas.openxmlformats.org/officeDocument/2006/relationships" ref="H433" r:id="rId430"/>
    <hyperlink xmlns:r="http://schemas.openxmlformats.org/officeDocument/2006/relationships" ref="H434" r:id="rId431"/>
    <hyperlink xmlns:r="http://schemas.openxmlformats.org/officeDocument/2006/relationships" ref="H435" r:id="rId432"/>
    <hyperlink xmlns:r="http://schemas.openxmlformats.org/officeDocument/2006/relationships" ref="H436" r:id="rId433"/>
    <hyperlink xmlns:r="http://schemas.openxmlformats.org/officeDocument/2006/relationships" ref="H437" r:id="rId434"/>
    <hyperlink xmlns:r="http://schemas.openxmlformats.org/officeDocument/2006/relationships" ref="H438" r:id="rId435"/>
    <hyperlink xmlns:r="http://schemas.openxmlformats.org/officeDocument/2006/relationships" ref="H439" r:id="rId436"/>
    <hyperlink xmlns:r="http://schemas.openxmlformats.org/officeDocument/2006/relationships" ref="H440" r:id="rId437"/>
    <hyperlink xmlns:r="http://schemas.openxmlformats.org/officeDocument/2006/relationships" ref="H441" r:id="rId438"/>
    <hyperlink xmlns:r="http://schemas.openxmlformats.org/officeDocument/2006/relationships" ref="H442" r:id="rId439"/>
    <hyperlink xmlns:r="http://schemas.openxmlformats.org/officeDocument/2006/relationships" ref="H443" r:id="rId440"/>
    <hyperlink xmlns:r="http://schemas.openxmlformats.org/officeDocument/2006/relationships" ref="H444" r:id="rId441"/>
    <hyperlink xmlns:r="http://schemas.openxmlformats.org/officeDocument/2006/relationships" ref="H445" r:id="rId442"/>
    <hyperlink xmlns:r="http://schemas.openxmlformats.org/officeDocument/2006/relationships" ref="H446" r:id="rId443"/>
    <hyperlink xmlns:r="http://schemas.openxmlformats.org/officeDocument/2006/relationships" ref="H447" r:id="rId444"/>
    <hyperlink xmlns:r="http://schemas.openxmlformats.org/officeDocument/2006/relationships" ref="H448" r:id="rId445"/>
    <hyperlink xmlns:r="http://schemas.openxmlformats.org/officeDocument/2006/relationships" ref="H449" r:id="rId446"/>
    <hyperlink xmlns:r="http://schemas.openxmlformats.org/officeDocument/2006/relationships" ref="H450" r:id="rId447"/>
    <hyperlink xmlns:r="http://schemas.openxmlformats.org/officeDocument/2006/relationships" ref="H451" r:id="rId448"/>
    <hyperlink xmlns:r="http://schemas.openxmlformats.org/officeDocument/2006/relationships" ref="H452" r:id="rId449"/>
    <hyperlink xmlns:r="http://schemas.openxmlformats.org/officeDocument/2006/relationships" ref="H453" r:id="rId450"/>
    <hyperlink xmlns:r="http://schemas.openxmlformats.org/officeDocument/2006/relationships" ref="H454" r:id="rId451"/>
    <hyperlink xmlns:r="http://schemas.openxmlformats.org/officeDocument/2006/relationships" ref="H455" r:id="rId452"/>
    <hyperlink xmlns:r="http://schemas.openxmlformats.org/officeDocument/2006/relationships" ref="H456" r:id="rId453"/>
    <hyperlink xmlns:r="http://schemas.openxmlformats.org/officeDocument/2006/relationships" ref="H457" r:id="rId454"/>
    <hyperlink xmlns:r="http://schemas.openxmlformats.org/officeDocument/2006/relationships" ref="H458" r:id="rId455"/>
    <hyperlink xmlns:r="http://schemas.openxmlformats.org/officeDocument/2006/relationships" ref="H459" r:id="rId456"/>
    <hyperlink xmlns:r="http://schemas.openxmlformats.org/officeDocument/2006/relationships" ref="H460" r:id="rId457"/>
    <hyperlink xmlns:r="http://schemas.openxmlformats.org/officeDocument/2006/relationships" ref="H461" r:id="rId458"/>
    <hyperlink xmlns:r="http://schemas.openxmlformats.org/officeDocument/2006/relationships" ref="H462" r:id="rId459"/>
    <hyperlink xmlns:r="http://schemas.openxmlformats.org/officeDocument/2006/relationships" ref="H463" r:id="rId460"/>
    <hyperlink xmlns:r="http://schemas.openxmlformats.org/officeDocument/2006/relationships" ref="H464" r:id="rId461"/>
    <hyperlink xmlns:r="http://schemas.openxmlformats.org/officeDocument/2006/relationships" ref="H465" r:id="rId462"/>
    <hyperlink xmlns:r="http://schemas.openxmlformats.org/officeDocument/2006/relationships" ref="H466" r:id="rId463"/>
    <hyperlink xmlns:r="http://schemas.openxmlformats.org/officeDocument/2006/relationships" ref="H467" r:id="rId464"/>
    <hyperlink xmlns:r="http://schemas.openxmlformats.org/officeDocument/2006/relationships" ref="H468" r:id="rId465"/>
    <hyperlink xmlns:r="http://schemas.openxmlformats.org/officeDocument/2006/relationships" ref="H469" r:id="rId466"/>
    <hyperlink xmlns:r="http://schemas.openxmlformats.org/officeDocument/2006/relationships" ref="H470" r:id="rId467"/>
    <hyperlink xmlns:r="http://schemas.openxmlformats.org/officeDocument/2006/relationships" ref="H471" r:id="rId468"/>
    <hyperlink xmlns:r="http://schemas.openxmlformats.org/officeDocument/2006/relationships" ref="H472" r:id="rId469"/>
    <hyperlink xmlns:r="http://schemas.openxmlformats.org/officeDocument/2006/relationships" ref="H473" r:id="rId470"/>
    <hyperlink xmlns:r="http://schemas.openxmlformats.org/officeDocument/2006/relationships" ref="H474" r:id="rId471"/>
    <hyperlink xmlns:r="http://schemas.openxmlformats.org/officeDocument/2006/relationships" ref="H475" r:id="rId472"/>
    <hyperlink xmlns:r="http://schemas.openxmlformats.org/officeDocument/2006/relationships" ref="H476" r:id="rId473"/>
    <hyperlink xmlns:r="http://schemas.openxmlformats.org/officeDocument/2006/relationships" ref="H477" r:id="rId474"/>
    <hyperlink xmlns:r="http://schemas.openxmlformats.org/officeDocument/2006/relationships" ref="H478" r:id="rId475"/>
    <hyperlink xmlns:r="http://schemas.openxmlformats.org/officeDocument/2006/relationships" ref="H479" r:id="rId476"/>
    <hyperlink xmlns:r="http://schemas.openxmlformats.org/officeDocument/2006/relationships" ref="H480" r:id="rId477"/>
    <hyperlink xmlns:r="http://schemas.openxmlformats.org/officeDocument/2006/relationships" ref="H481" r:id="rId478"/>
    <hyperlink xmlns:r="http://schemas.openxmlformats.org/officeDocument/2006/relationships" ref="H482" r:id="rId479"/>
    <hyperlink xmlns:r="http://schemas.openxmlformats.org/officeDocument/2006/relationships" ref="H483" r:id="rId480"/>
    <hyperlink xmlns:r="http://schemas.openxmlformats.org/officeDocument/2006/relationships" ref="H484" r:id="rId481"/>
    <hyperlink xmlns:r="http://schemas.openxmlformats.org/officeDocument/2006/relationships" ref="H485" r:id="rId482"/>
    <hyperlink xmlns:r="http://schemas.openxmlformats.org/officeDocument/2006/relationships" ref="H486" r:id="rId483"/>
    <hyperlink xmlns:r="http://schemas.openxmlformats.org/officeDocument/2006/relationships" ref="H487" r:id="rId484"/>
    <hyperlink xmlns:r="http://schemas.openxmlformats.org/officeDocument/2006/relationships" ref="H488" r:id="rId485"/>
    <hyperlink xmlns:r="http://schemas.openxmlformats.org/officeDocument/2006/relationships" ref="H489" r:id="rId486"/>
    <hyperlink xmlns:r="http://schemas.openxmlformats.org/officeDocument/2006/relationships" ref="H490" r:id="rId487"/>
    <hyperlink xmlns:r="http://schemas.openxmlformats.org/officeDocument/2006/relationships" ref="H491" r:id="rId488"/>
    <hyperlink xmlns:r="http://schemas.openxmlformats.org/officeDocument/2006/relationships" ref="H492" r:id="rId489"/>
    <hyperlink xmlns:r="http://schemas.openxmlformats.org/officeDocument/2006/relationships" ref="H493" r:id="rId490"/>
    <hyperlink xmlns:r="http://schemas.openxmlformats.org/officeDocument/2006/relationships" ref="H494" r:id="rId491"/>
    <hyperlink xmlns:r="http://schemas.openxmlformats.org/officeDocument/2006/relationships" ref="H495" r:id="rId492"/>
    <hyperlink xmlns:r="http://schemas.openxmlformats.org/officeDocument/2006/relationships" ref="H496" r:id="rId493"/>
    <hyperlink xmlns:r="http://schemas.openxmlformats.org/officeDocument/2006/relationships" ref="H497" r:id="rId494"/>
    <hyperlink xmlns:r="http://schemas.openxmlformats.org/officeDocument/2006/relationships" ref="H498" r:id="rId495"/>
    <hyperlink xmlns:r="http://schemas.openxmlformats.org/officeDocument/2006/relationships" ref="H499" r:id="rId496"/>
    <hyperlink xmlns:r="http://schemas.openxmlformats.org/officeDocument/2006/relationships" ref="H500" r:id="rId497"/>
    <hyperlink xmlns:r="http://schemas.openxmlformats.org/officeDocument/2006/relationships" ref="H501" r:id="rId498"/>
    <hyperlink xmlns:r="http://schemas.openxmlformats.org/officeDocument/2006/relationships" ref="H502" r:id="rId499"/>
    <hyperlink xmlns:r="http://schemas.openxmlformats.org/officeDocument/2006/relationships" ref="H503" r:id="rId500"/>
    <hyperlink xmlns:r="http://schemas.openxmlformats.org/officeDocument/2006/relationships" ref="H504" r:id="rId501"/>
    <hyperlink xmlns:r="http://schemas.openxmlformats.org/officeDocument/2006/relationships" ref="H505" r:id="rId502"/>
    <hyperlink xmlns:r="http://schemas.openxmlformats.org/officeDocument/2006/relationships" ref="H506" r:id="rId503"/>
    <hyperlink xmlns:r="http://schemas.openxmlformats.org/officeDocument/2006/relationships" ref="H507" r:id="rId504"/>
    <hyperlink xmlns:r="http://schemas.openxmlformats.org/officeDocument/2006/relationships" ref="H508" r:id="rId505"/>
    <hyperlink xmlns:r="http://schemas.openxmlformats.org/officeDocument/2006/relationships" ref="H509" r:id="rId506"/>
    <hyperlink xmlns:r="http://schemas.openxmlformats.org/officeDocument/2006/relationships" ref="H510" r:id="rId507"/>
    <hyperlink xmlns:r="http://schemas.openxmlformats.org/officeDocument/2006/relationships" ref="H511" r:id="rId508"/>
    <hyperlink xmlns:r="http://schemas.openxmlformats.org/officeDocument/2006/relationships" ref="H512" r:id="rId509"/>
    <hyperlink xmlns:r="http://schemas.openxmlformats.org/officeDocument/2006/relationships" ref="H513" r:id="rId510"/>
    <hyperlink xmlns:r="http://schemas.openxmlformats.org/officeDocument/2006/relationships" ref="H514" r:id="rId511"/>
    <hyperlink xmlns:r="http://schemas.openxmlformats.org/officeDocument/2006/relationships" ref="H515" r:id="rId512"/>
    <hyperlink xmlns:r="http://schemas.openxmlformats.org/officeDocument/2006/relationships" ref="H516" r:id="rId513"/>
    <hyperlink xmlns:r="http://schemas.openxmlformats.org/officeDocument/2006/relationships" ref="H517" r:id="rId514"/>
    <hyperlink xmlns:r="http://schemas.openxmlformats.org/officeDocument/2006/relationships" ref="H518" r:id="rId515"/>
    <hyperlink xmlns:r="http://schemas.openxmlformats.org/officeDocument/2006/relationships" ref="H519" r:id="rId516"/>
    <hyperlink xmlns:r="http://schemas.openxmlformats.org/officeDocument/2006/relationships" ref="H520" r:id="rId517"/>
    <hyperlink xmlns:r="http://schemas.openxmlformats.org/officeDocument/2006/relationships" ref="H521" r:id="rId518"/>
    <hyperlink xmlns:r="http://schemas.openxmlformats.org/officeDocument/2006/relationships" ref="H522" r:id="rId519"/>
    <hyperlink xmlns:r="http://schemas.openxmlformats.org/officeDocument/2006/relationships" ref="H523" r:id="rId520"/>
    <hyperlink xmlns:r="http://schemas.openxmlformats.org/officeDocument/2006/relationships" ref="H524" r:id="rId521"/>
    <hyperlink xmlns:r="http://schemas.openxmlformats.org/officeDocument/2006/relationships" ref="H525" r:id="rId522"/>
    <hyperlink xmlns:r="http://schemas.openxmlformats.org/officeDocument/2006/relationships" ref="H526" r:id="rId523"/>
    <hyperlink xmlns:r="http://schemas.openxmlformats.org/officeDocument/2006/relationships" ref="H527" r:id="rId524"/>
    <hyperlink xmlns:r="http://schemas.openxmlformats.org/officeDocument/2006/relationships" ref="H528" r:id="rId525"/>
    <hyperlink xmlns:r="http://schemas.openxmlformats.org/officeDocument/2006/relationships" ref="H529" r:id="rId526"/>
    <hyperlink xmlns:r="http://schemas.openxmlformats.org/officeDocument/2006/relationships" ref="H530" r:id="rId527"/>
    <hyperlink xmlns:r="http://schemas.openxmlformats.org/officeDocument/2006/relationships" ref="H531" r:id="rId528"/>
    <hyperlink xmlns:r="http://schemas.openxmlformats.org/officeDocument/2006/relationships" ref="H532" r:id="rId529"/>
    <hyperlink xmlns:r="http://schemas.openxmlformats.org/officeDocument/2006/relationships" ref="H533" r:id="rId530"/>
    <hyperlink xmlns:r="http://schemas.openxmlformats.org/officeDocument/2006/relationships" ref="H534" r:id="rId531"/>
    <hyperlink xmlns:r="http://schemas.openxmlformats.org/officeDocument/2006/relationships" ref="H535" r:id="rId532"/>
    <hyperlink xmlns:r="http://schemas.openxmlformats.org/officeDocument/2006/relationships" ref="H536" r:id="rId533"/>
    <hyperlink xmlns:r="http://schemas.openxmlformats.org/officeDocument/2006/relationships" ref="H537" r:id="rId534"/>
    <hyperlink xmlns:r="http://schemas.openxmlformats.org/officeDocument/2006/relationships" ref="H538" r:id="rId535"/>
    <hyperlink xmlns:r="http://schemas.openxmlformats.org/officeDocument/2006/relationships" ref="H539" r:id="rId536"/>
    <hyperlink xmlns:r="http://schemas.openxmlformats.org/officeDocument/2006/relationships" ref="H540" r:id="rId537"/>
    <hyperlink xmlns:r="http://schemas.openxmlformats.org/officeDocument/2006/relationships" ref="H541" r:id="rId538"/>
    <hyperlink xmlns:r="http://schemas.openxmlformats.org/officeDocument/2006/relationships" ref="H542" r:id="rId539"/>
    <hyperlink xmlns:r="http://schemas.openxmlformats.org/officeDocument/2006/relationships" ref="H543" r:id="rId540"/>
    <hyperlink xmlns:r="http://schemas.openxmlformats.org/officeDocument/2006/relationships" ref="H544" r:id="rId541"/>
    <hyperlink xmlns:r="http://schemas.openxmlformats.org/officeDocument/2006/relationships" ref="H545" r:id="rId542"/>
    <hyperlink xmlns:r="http://schemas.openxmlformats.org/officeDocument/2006/relationships" ref="H546" r:id="rId543"/>
    <hyperlink xmlns:r="http://schemas.openxmlformats.org/officeDocument/2006/relationships" ref="H547" r:id="rId544"/>
    <hyperlink xmlns:r="http://schemas.openxmlformats.org/officeDocument/2006/relationships" ref="H548" r:id="rId545"/>
    <hyperlink xmlns:r="http://schemas.openxmlformats.org/officeDocument/2006/relationships" ref="H549" r:id="rId546"/>
    <hyperlink xmlns:r="http://schemas.openxmlformats.org/officeDocument/2006/relationships" ref="H550" r:id="rId547"/>
    <hyperlink xmlns:r="http://schemas.openxmlformats.org/officeDocument/2006/relationships" ref="H551" r:id="rId548"/>
    <hyperlink xmlns:r="http://schemas.openxmlformats.org/officeDocument/2006/relationships" ref="H552" r:id="rId549"/>
    <hyperlink xmlns:r="http://schemas.openxmlformats.org/officeDocument/2006/relationships" ref="H553" r:id="rId550"/>
    <hyperlink xmlns:r="http://schemas.openxmlformats.org/officeDocument/2006/relationships" ref="H554" r:id="rId551"/>
    <hyperlink xmlns:r="http://schemas.openxmlformats.org/officeDocument/2006/relationships" ref="H555" r:id="rId552"/>
    <hyperlink xmlns:r="http://schemas.openxmlformats.org/officeDocument/2006/relationships" ref="H556" r:id="rId553"/>
    <hyperlink xmlns:r="http://schemas.openxmlformats.org/officeDocument/2006/relationships" ref="H557" r:id="rId554"/>
    <hyperlink xmlns:r="http://schemas.openxmlformats.org/officeDocument/2006/relationships" ref="H558" r:id="rId555"/>
    <hyperlink xmlns:r="http://schemas.openxmlformats.org/officeDocument/2006/relationships" ref="H559" r:id="rId556"/>
    <hyperlink xmlns:r="http://schemas.openxmlformats.org/officeDocument/2006/relationships" ref="H560" r:id="rId557"/>
    <hyperlink xmlns:r="http://schemas.openxmlformats.org/officeDocument/2006/relationships" ref="H561" r:id="rId558"/>
    <hyperlink xmlns:r="http://schemas.openxmlformats.org/officeDocument/2006/relationships" ref="H562" r:id="rId559"/>
    <hyperlink xmlns:r="http://schemas.openxmlformats.org/officeDocument/2006/relationships" ref="H563" r:id="rId560"/>
    <hyperlink xmlns:r="http://schemas.openxmlformats.org/officeDocument/2006/relationships" ref="H564" r:id="rId561"/>
    <hyperlink xmlns:r="http://schemas.openxmlformats.org/officeDocument/2006/relationships" ref="H565" r:id="rId562"/>
    <hyperlink xmlns:r="http://schemas.openxmlformats.org/officeDocument/2006/relationships" ref="H566" r:id="rId563"/>
    <hyperlink xmlns:r="http://schemas.openxmlformats.org/officeDocument/2006/relationships" ref="H567" r:id="rId564"/>
    <hyperlink xmlns:r="http://schemas.openxmlformats.org/officeDocument/2006/relationships" ref="H568" r:id="rId565"/>
    <hyperlink xmlns:r="http://schemas.openxmlformats.org/officeDocument/2006/relationships" ref="H569" r:id="rId566"/>
    <hyperlink xmlns:r="http://schemas.openxmlformats.org/officeDocument/2006/relationships" ref="H570" r:id="rId567"/>
    <hyperlink xmlns:r="http://schemas.openxmlformats.org/officeDocument/2006/relationships" ref="H571" r:id="rId568"/>
    <hyperlink xmlns:r="http://schemas.openxmlformats.org/officeDocument/2006/relationships" ref="H572" r:id="rId569"/>
    <hyperlink xmlns:r="http://schemas.openxmlformats.org/officeDocument/2006/relationships" ref="H573" r:id="rId570"/>
    <hyperlink xmlns:r="http://schemas.openxmlformats.org/officeDocument/2006/relationships" ref="H574" r:id="rId571"/>
    <hyperlink xmlns:r="http://schemas.openxmlformats.org/officeDocument/2006/relationships" ref="H575" r:id="rId572"/>
    <hyperlink xmlns:r="http://schemas.openxmlformats.org/officeDocument/2006/relationships" ref="H576" r:id="rId573"/>
    <hyperlink xmlns:r="http://schemas.openxmlformats.org/officeDocument/2006/relationships" ref="H577" r:id="rId574"/>
    <hyperlink xmlns:r="http://schemas.openxmlformats.org/officeDocument/2006/relationships" ref="H578" r:id="rId575"/>
    <hyperlink xmlns:r="http://schemas.openxmlformats.org/officeDocument/2006/relationships" ref="H579" r:id="rId576"/>
    <hyperlink xmlns:r="http://schemas.openxmlformats.org/officeDocument/2006/relationships" ref="H580" r:id="rId577"/>
    <hyperlink xmlns:r="http://schemas.openxmlformats.org/officeDocument/2006/relationships" ref="H581" r:id="rId578"/>
    <hyperlink xmlns:r="http://schemas.openxmlformats.org/officeDocument/2006/relationships" ref="H582" r:id="rId579"/>
    <hyperlink xmlns:r="http://schemas.openxmlformats.org/officeDocument/2006/relationships" ref="H583" r:id="rId580"/>
    <hyperlink xmlns:r="http://schemas.openxmlformats.org/officeDocument/2006/relationships" ref="H584" r:id="rId581"/>
    <hyperlink xmlns:r="http://schemas.openxmlformats.org/officeDocument/2006/relationships" ref="H585" r:id="rId582"/>
    <hyperlink xmlns:r="http://schemas.openxmlformats.org/officeDocument/2006/relationships" ref="H586" r:id="rId583"/>
    <hyperlink xmlns:r="http://schemas.openxmlformats.org/officeDocument/2006/relationships" ref="H587" r:id="rId584"/>
    <hyperlink xmlns:r="http://schemas.openxmlformats.org/officeDocument/2006/relationships" ref="H588" r:id="rId585"/>
    <hyperlink xmlns:r="http://schemas.openxmlformats.org/officeDocument/2006/relationships" ref="H589" r:id="rId586"/>
    <hyperlink xmlns:r="http://schemas.openxmlformats.org/officeDocument/2006/relationships" ref="H590" r:id="rId587"/>
    <hyperlink xmlns:r="http://schemas.openxmlformats.org/officeDocument/2006/relationships" ref="H591" r:id="rId588"/>
    <hyperlink xmlns:r="http://schemas.openxmlformats.org/officeDocument/2006/relationships" ref="H592" r:id="rId589"/>
    <hyperlink xmlns:r="http://schemas.openxmlformats.org/officeDocument/2006/relationships" ref="H593" r:id="rId590"/>
    <hyperlink xmlns:r="http://schemas.openxmlformats.org/officeDocument/2006/relationships" ref="H594" r:id="rId591"/>
    <hyperlink xmlns:r="http://schemas.openxmlformats.org/officeDocument/2006/relationships" ref="H595" r:id="rId592"/>
    <hyperlink xmlns:r="http://schemas.openxmlformats.org/officeDocument/2006/relationships" ref="H596" r:id="rId593"/>
    <hyperlink xmlns:r="http://schemas.openxmlformats.org/officeDocument/2006/relationships" ref="H597" r:id="rId594"/>
    <hyperlink xmlns:r="http://schemas.openxmlformats.org/officeDocument/2006/relationships" ref="H598" r:id="rId595"/>
    <hyperlink xmlns:r="http://schemas.openxmlformats.org/officeDocument/2006/relationships" ref="H599" r:id="rId596"/>
    <hyperlink xmlns:r="http://schemas.openxmlformats.org/officeDocument/2006/relationships" ref="H600" r:id="rId597"/>
    <hyperlink xmlns:r="http://schemas.openxmlformats.org/officeDocument/2006/relationships" ref="H601" r:id="rId598"/>
    <hyperlink xmlns:r="http://schemas.openxmlformats.org/officeDocument/2006/relationships" ref="H602" r:id="rId599"/>
    <hyperlink xmlns:r="http://schemas.openxmlformats.org/officeDocument/2006/relationships" ref="H603" r:id="rId600"/>
    <hyperlink xmlns:r="http://schemas.openxmlformats.org/officeDocument/2006/relationships" ref="H604" r:id="rId601"/>
    <hyperlink xmlns:r="http://schemas.openxmlformats.org/officeDocument/2006/relationships" ref="H605" r:id="rId602"/>
    <hyperlink xmlns:r="http://schemas.openxmlformats.org/officeDocument/2006/relationships" ref="H606" r:id="rId603"/>
    <hyperlink xmlns:r="http://schemas.openxmlformats.org/officeDocument/2006/relationships" ref="H607" r:id="rId604"/>
    <hyperlink xmlns:r="http://schemas.openxmlformats.org/officeDocument/2006/relationships" ref="H608" r:id="rId605"/>
    <hyperlink xmlns:r="http://schemas.openxmlformats.org/officeDocument/2006/relationships" ref="H609" r:id="rId606"/>
    <hyperlink xmlns:r="http://schemas.openxmlformats.org/officeDocument/2006/relationships" ref="H610" r:id="rId607"/>
    <hyperlink xmlns:r="http://schemas.openxmlformats.org/officeDocument/2006/relationships" ref="H611" r:id="rId608"/>
    <hyperlink xmlns:r="http://schemas.openxmlformats.org/officeDocument/2006/relationships" ref="H612" r:id="rId609"/>
    <hyperlink xmlns:r="http://schemas.openxmlformats.org/officeDocument/2006/relationships" ref="H613" r:id="rId610"/>
    <hyperlink xmlns:r="http://schemas.openxmlformats.org/officeDocument/2006/relationships" ref="H614" r:id="rId611"/>
    <hyperlink xmlns:r="http://schemas.openxmlformats.org/officeDocument/2006/relationships" ref="H615" r:id="rId612"/>
    <hyperlink xmlns:r="http://schemas.openxmlformats.org/officeDocument/2006/relationships" ref="H616" r:id="rId613"/>
    <hyperlink xmlns:r="http://schemas.openxmlformats.org/officeDocument/2006/relationships" ref="H617" r:id="rId614"/>
    <hyperlink xmlns:r="http://schemas.openxmlformats.org/officeDocument/2006/relationships" ref="H618" r:id="rId615"/>
    <hyperlink xmlns:r="http://schemas.openxmlformats.org/officeDocument/2006/relationships" ref="H619" r:id="rId616"/>
    <hyperlink xmlns:r="http://schemas.openxmlformats.org/officeDocument/2006/relationships" ref="H620" r:id="rId617"/>
    <hyperlink xmlns:r="http://schemas.openxmlformats.org/officeDocument/2006/relationships" ref="H621" r:id="rId618"/>
    <hyperlink xmlns:r="http://schemas.openxmlformats.org/officeDocument/2006/relationships" ref="H622" r:id="rId619"/>
    <hyperlink xmlns:r="http://schemas.openxmlformats.org/officeDocument/2006/relationships" ref="H623" r:id="rId620"/>
    <hyperlink xmlns:r="http://schemas.openxmlformats.org/officeDocument/2006/relationships" ref="H624" r:id="rId621"/>
    <hyperlink xmlns:r="http://schemas.openxmlformats.org/officeDocument/2006/relationships" ref="H625" r:id="rId622"/>
    <hyperlink xmlns:r="http://schemas.openxmlformats.org/officeDocument/2006/relationships" ref="H626" r:id="rId623"/>
    <hyperlink xmlns:r="http://schemas.openxmlformats.org/officeDocument/2006/relationships" ref="H627" r:id="rId624"/>
    <hyperlink xmlns:r="http://schemas.openxmlformats.org/officeDocument/2006/relationships" ref="H628" r:id="rId625"/>
    <hyperlink xmlns:r="http://schemas.openxmlformats.org/officeDocument/2006/relationships" ref="H629" r:id="rId626"/>
    <hyperlink xmlns:r="http://schemas.openxmlformats.org/officeDocument/2006/relationships" ref="H630" r:id="rId627"/>
    <hyperlink xmlns:r="http://schemas.openxmlformats.org/officeDocument/2006/relationships" ref="H631" r:id="rId628"/>
    <hyperlink xmlns:r="http://schemas.openxmlformats.org/officeDocument/2006/relationships" ref="H632" r:id="rId629"/>
    <hyperlink xmlns:r="http://schemas.openxmlformats.org/officeDocument/2006/relationships" ref="H633" r:id="rId630"/>
    <hyperlink xmlns:r="http://schemas.openxmlformats.org/officeDocument/2006/relationships" ref="H634" r:id="rId631"/>
    <hyperlink xmlns:r="http://schemas.openxmlformats.org/officeDocument/2006/relationships" ref="H635" r:id="rId632"/>
    <hyperlink xmlns:r="http://schemas.openxmlformats.org/officeDocument/2006/relationships" ref="H636" r:id="rId633"/>
    <hyperlink xmlns:r="http://schemas.openxmlformats.org/officeDocument/2006/relationships" ref="H637" r:id="rId634"/>
    <hyperlink xmlns:r="http://schemas.openxmlformats.org/officeDocument/2006/relationships" ref="H638" r:id="rId635"/>
    <hyperlink xmlns:r="http://schemas.openxmlformats.org/officeDocument/2006/relationships" ref="H639" r:id="rId636"/>
    <hyperlink xmlns:r="http://schemas.openxmlformats.org/officeDocument/2006/relationships" ref="H640" r:id="rId637"/>
    <hyperlink xmlns:r="http://schemas.openxmlformats.org/officeDocument/2006/relationships" ref="H641" r:id="rId638"/>
    <hyperlink xmlns:r="http://schemas.openxmlformats.org/officeDocument/2006/relationships" ref="H642" r:id="rId639"/>
    <hyperlink xmlns:r="http://schemas.openxmlformats.org/officeDocument/2006/relationships" ref="H643" r:id="rId640"/>
    <hyperlink xmlns:r="http://schemas.openxmlformats.org/officeDocument/2006/relationships" ref="H644" r:id="rId641"/>
    <hyperlink xmlns:r="http://schemas.openxmlformats.org/officeDocument/2006/relationships" ref="H645" r:id="rId642"/>
    <hyperlink xmlns:r="http://schemas.openxmlformats.org/officeDocument/2006/relationships" ref="H646" r:id="rId643"/>
    <hyperlink xmlns:r="http://schemas.openxmlformats.org/officeDocument/2006/relationships" ref="H647" r:id="rId644"/>
    <hyperlink xmlns:r="http://schemas.openxmlformats.org/officeDocument/2006/relationships" ref="H648" r:id="rId645"/>
    <hyperlink xmlns:r="http://schemas.openxmlformats.org/officeDocument/2006/relationships" ref="H649" r:id="rId646"/>
    <hyperlink xmlns:r="http://schemas.openxmlformats.org/officeDocument/2006/relationships" ref="H650" r:id="rId647"/>
    <hyperlink xmlns:r="http://schemas.openxmlformats.org/officeDocument/2006/relationships" ref="H651" r:id="rId648"/>
    <hyperlink xmlns:r="http://schemas.openxmlformats.org/officeDocument/2006/relationships" ref="H652" r:id="rId649"/>
    <hyperlink xmlns:r="http://schemas.openxmlformats.org/officeDocument/2006/relationships" ref="H653" r:id="rId650"/>
    <hyperlink xmlns:r="http://schemas.openxmlformats.org/officeDocument/2006/relationships" ref="H654" r:id="rId651"/>
    <hyperlink xmlns:r="http://schemas.openxmlformats.org/officeDocument/2006/relationships" ref="H655" r:id="rId652"/>
    <hyperlink xmlns:r="http://schemas.openxmlformats.org/officeDocument/2006/relationships" ref="H656" r:id="rId653"/>
    <hyperlink xmlns:r="http://schemas.openxmlformats.org/officeDocument/2006/relationships" ref="H657" r:id="rId654"/>
    <hyperlink xmlns:r="http://schemas.openxmlformats.org/officeDocument/2006/relationships" ref="H658" r:id="rId655"/>
    <hyperlink xmlns:r="http://schemas.openxmlformats.org/officeDocument/2006/relationships" ref="H659" r:id="rId656"/>
    <hyperlink xmlns:r="http://schemas.openxmlformats.org/officeDocument/2006/relationships" ref="H660" r:id="rId657"/>
    <hyperlink xmlns:r="http://schemas.openxmlformats.org/officeDocument/2006/relationships" ref="H661" r:id="rId658"/>
    <hyperlink xmlns:r="http://schemas.openxmlformats.org/officeDocument/2006/relationships" ref="H662" r:id="rId659"/>
    <hyperlink xmlns:r="http://schemas.openxmlformats.org/officeDocument/2006/relationships" ref="H663" r:id="rId660"/>
    <hyperlink xmlns:r="http://schemas.openxmlformats.org/officeDocument/2006/relationships" ref="H664" r:id="rId661"/>
    <hyperlink xmlns:r="http://schemas.openxmlformats.org/officeDocument/2006/relationships" ref="H665" r:id="rId662"/>
    <hyperlink xmlns:r="http://schemas.openxmlformats.org/officeDocument/2006/relationships" ref="H666" r:id="rId663"/>
    <hyperlink xmlns:r="http://schemas.openxmlformats.org/officeDocument/2006/relationships" ref="H667" r:id="rId664"/>
    <hyperlink xmlns:r="http://schemas.openxmlformats.org/officeDocument/2006/relationships" ref="H668" r:id="rId665"/>
    <hyperlink xmlns:r="http://schemas.openxmlformats.org/officeDocument/2006/relationships" ref="H669" r:id="rId666"/>
    <hyperlink xmlns:r="http://schemas.openxmlformats.org/officeDocument/2006/relationships" ref="H670" r:id="rId667"/>
    <hyperlink xmlns:r="http://schemas.openxmlformats.org/officeDocument/2006/relationships" ref="H671" r:id="rId668"/>
    <hyperlink xmlns:r="http://schemas.openxmlformats.org/officeDocument/2006/relationships" ref="H672" r:id="rId669"/>
    <hyperlink xmlns:r="http://schemas.openxmlformats.org/officeDocument/2006/relationships" ref="H673" r:id="rId670"/>
    <hyperlink xmlns:r="http://schemas.openxmlformats.org/officeDocument/2006/relationships" ref="H674" r:id="rId671"/>
    <hyperlink xmlns:r="http://schemas.openxmlformats.org/officeDocument/2006/relationships" ref="H675" r:id="rId672"/>
    <hyperlink xmlns:r="http://schemas.openxmlformats.org/officeDocument/2006/relationships" ref="H676" r:id="rId673"/>
    <hyperlink xmlns:r="http://schemas.openxmlformats.org/officeDocument/2006/relationships" ref="H677" r:id="rId674"/>
    <hyperlink xmlns:r="http://schemas.openxmlformats.org/officeDocument/2006/relationships" ref="H678" r:id="rId675"/>
    <hyperlink xmlns:r="http://schemas.openxmlformats.org/officeDocument/2006/relationships" ref="H679" r:id="rId676"/>
    <hyperlink xmlns:r="http://schemas.openxmlformats.org/officeDocument/2006/relationships" ref="H680" r:id="rId677"/>
    <hyperlink xmlns:r="http://schemas.openxmlformats.org/officeDocument/2006/relationships" ref="H681" r:id="rId678"/>
    <hyperlink xmlns:r="http://schemas.openxmlformats.org/officeDocument/2006/relationships" ref="H682" r:id="rId679"/>
    <hyperlink xmlns:r="http://schemas.openxmlformats.org/officeDocument/2006/relationships" ref="H683" r:id="rId680"/>
    <hyperlink xmlns:r="http://schemas.openxmlformats.org/officeDocument/2006/relationships" ref="H684" r:id="rId681"/>
    <hyperlink xmlns:r="http://schemas.openxmlformats.org/officeDocument/2006/relationships" ref="H685" r:id="rId682"/>
    <hyperlink xmlns:r="http://schemas.openxmlformats.org/officeDocument/2006/relationships" ref="H686" r:id="rId683"/>
    <hyperlink xmlns:r="http://schemas.openxmlformats.org/officeDocument/2006/relationships" ref="H687" r:id="rId684"/>
    <hyperlink xmlns:r="http://schemas.openxmlformats.org/officeDocument/2006/relationships" ref="H688" r:id="rId685"/>
    <hyperlink xmlns:r="http://schemas.openxmlformats.org/officeDocument/2006/relationships" ref="H689" r:id="rId686"/>
    <hyperlink xmlns:r="http://schemas.openxmlformats.org/officeDocument/2006/relationships" ref="H690" r:id="rId687"/>
    <hyperlink xmlns:r="http://schemas.openxmlformats.org/officeDocument/2006/relationships" ref="H691" r:id="rId688"/>
    <hyperlink xmlns:r="http://schemas.openxmlformats.org/officeDocument/2006/relationships" ref="H692" r:id="rId689"/>
    <hyperlink xmlns:r="http://schemas.openxmlformats.org/officeDocument/2006/relationships" ref="H693" r:id="rId690"/>
    <hyperlink xmlns:r="http://schemas.openxmlformats.org/officeDocument/2006/relationships" ref="H694" r:id="rId691"/>
    <hyperlink xmlns:r="http://schemas.openxmlformats.org/officeDocument/2006/relationships" ref="H695" r:id="rId692"/>
    <hyperlink xmlns:r="http://schemas.openxmlformats.org/officeDocument/2006/relationships" ref="H696" r:id="rId693"/>
    <hyperlink xmlns:r="http://schemas.openxmlformats.org/officeDocument/2006/relationships" ref="H697" r:id="rId694"/>
    <hyperlink xmlns:r="http://schemas.openxmlformats.org/officeDocument/2006/relationships" ref="H698" r:id="rId695"/>
    <hyperlink xmlns:r="http://schemas.openxmlformats.org/officeDocument/2006/relationships" ref="H699" r:id="rId696"/>
    <hyperlink xmlns:r="http://schemas.openxmlformats.org/officeDocument/2006/relationships" ref="H700" r:id="rId697"/>
    <hyperlink xmlns:r="http://schemas.openxmlformats.org/officeDocument/2006/relationships" ref="H701" r:id="rId698"/>
    <hyperlink xmlns:r="http://schemas.openxmlformats.org/officeDocument/2006/relationships" ref="H702" r:id="rId699"/>
    <hyperlink xmlns:r="http://schemas.openxmlformats.org/officeDocument/2006/relationships" ref="H703" r:id="rId700"/>
    <hyperlink xmlns:r="http://schemas.openxmlformats.org/officeDocument/2006/relationships" ref="H704" r:id="rId701"/>
    <hyperlink xmlns:r="http://schemas.openxmlformats.org/officeDocument/2006/relationships" ref="H705" r:id="rId702"/>
    <hyperlink xmlns:r="http://schemas.openxmlformats.org/officeDocument/2006/relationships" ref="H706" r:id="rId703"/>
    <hyperlink xmlns:r="http://schemas.openxmlformats.org/officeDocument/2006/relationships" ref="H707" r:id="rId704"/>
    <hyperlink xmlns:r="http://schemas.openxmlformats.org/officeDocument/2006/relationships" ref="H708" r:id="rId705"/>
    <hyperlink xmlns:r="http://schemas.openxmlformats.org/officeDocument/2006/relationships" ref="H709" r:id="rId706"/>
    <hyperlink xmlns:r="http://schemas.openxmlformats.org/officeDocument/2006/relationships" ref="H710" r:id="rId707"/>
    <hyperlink xmlns:r="http://schemas.openxmlformats.org/officeDocument/2006/relationships" ref="H711" r:id="rId708"/>
    <hyperlink xmlns:r="http://schemas.openxmlformats.org/officeDocument/2006/relationships" ref="H712" r:id="rId709"/>
    <hyperlink xmlns:r="http://schemas.openxmlformats.org/officeDocument/2006/relationships" ref="H713" r:id="rId710"/>
    <hyperlink xmlns:r="http://schemas.openxmlformats.org/officeDocument/2006/relationships" ref="H714" r:id="rId711"/>
    <hyperlink xmlns:r="http://schemas.openxmlformats.org/officeDocument/2006/relationships" ref="H715" r:id="rId712"/>
    <hyperlink xmlns:r="http://schemas.openxmlformats.org/officeDocument/2006/relationships" ref="H716" r:id="rId713"/>
    <hyperlink xmlns:r="http://schemas.openxmlformats.org/officeDocument/2006/relationships" ref="H717" r:id="rId714"/>
    <hyperlink xmlns:r="http://schemas.openxmlformats.org/officeDocument/2006/relationships" ref="H718" r:id="rId715"/>
    <hyperlink xmlns:r="http://schemas.openxmlformats.org/officeDocument/2006/relationships" ref="H719" r:id="rId716"/>
    <hyperlink xmlns:r="http://schemas.openxmlformats.org/officeDocument/2006/relationships" ref="H720" r:id="rId717"/>
    <hyperlink xmlns:r="http://schemas.openxmlformats.org/officeDocument/2006/relationships" ref="H721" r:id="rId718"/>
    <hyperlink xmlns:r="http://schemas.openxmlformats.org/officeDocument/2006/relationships" ref="H722" r:id="rId719"/>
    <hyperlink xmlns:r="http://schemas.openxmlformats.org/officeDocument/2006/relationships" ref="H723" r:id="rId720"/>
    <hyperlink xmlns:r="http://schemas.openxmlformats.org/officeDocument/2006/relationships" ref="H724" r:id="rId721"/>
    <hyperlink xmlns:r="http://schemas.openxmlformats.org/officeDocument/2006/relationships" ref="H725" r:id="rId722"/>
    <hyperlink xmlns:r="http://schemas.openxmlformats.org/officeDocument/2006/relationships" ref="H726" r:id="rId723"/>
    <hyperlink xmlns:r="http://schemas.openxmlformats.org/officeDocument/2006/relationships" ref="H727" r:id="rId724"/>
    <hyperlink xmlns:r="http://schemas.openxmlformats.org/officeDocument/2006/relationships" ref="H728" r:id="rId725"/>
    <hyperlink xmlns:r="http://schemas.openxmlformats.org/officeDocument/2006/relationships" ref="H729" r:id="rId726"/>
    <hyperlink xmlns:r="http://schemas.openxmlformats.org/officeDocument/2006/relationships" ref="H730" r:id="rId727"/>
    <hyperlink xmlns:r="http://schemas.openxmlformats.org/officeDocument/2006/relationships" ref="H731" r:id="rId728"/>
    <hyperlink xmlns:r="http://schemas.openxmlformats.org/officeDocument/2006/relationships" ref="H732" r:id="rId729"/>
    <hyperlink xmlns:r="http://schemas.openxmlformats.org/officeDocument/2006/relationships" ref="H733" r:id="rId730"/>
    <hyperlink xmlns:r="http://schemas.openxmlformats.org/officeDocument/2006/relationships" ref="H734" r:id="rId731"/>
    <hyperlink xmlns:r="http://schemas.openxmlformats.org/officeDocument/2006/relationships" ref="H735" r:id="rId732"/>
    <hyperlink xmlns:r="http://schemas.openxmlformats.org/officeDocument/2006/relationships" ref="H736" r:id="rId733"/>
    <hyperlink xmlns:r="http://schemas.openxmlformats.org/officeDocument/2006/relationships" ref="H737" r:id="rId734"/>
    <hyperlink xmlns:r="http://schemas.openxmlformats.org/officeDocument/2006/relationships" ref="H738" r:id="rId735"/>
    <hyperlink xmlns:r="http://schemas.openxmlformats.org/officeDocument/2006/relationships" ref="H739" r:id="rId736"/>
    <hyperlink xmlns:r="http://schemas.openxmlformats.org/officeDocument/2006/relationships" ref="H740" r:id="rId737"/>
    <hyperlink xmlns:r="http://schemas.openxmlformats.org/officeDocument/2006/relationships" ref="H741" r:id="rId738"/>
    <hyperlink xmlns:r="http://schemas.openxmlformats.org/officeDocument/2006/relationships" ref="H742" r:id="rId739"/>
    <hyperlink xmlns:r="http://schemas.openxmlformats.org/officeDocument/2006/relationships" ref="H743" r:id="rId740"/>
    <hyperlink xmlns:r="http://schemas.openxmlformats.org/officeDocument/2006/relationships" ref="H744" r:id="rId741"/>
    <hyperlink xmlns:r="http://schemas.openxmlformats.org/officeDocument/2006/relationships" ref="H745" r:id="rId742"/>
    <hyperlink xmlns:r="http://schemas.openxmlformats.org/officeDocument/2006/relationships" ref="H746" r:id="rId743"/>
    <hyperlink xmlns:r="http://schemas.openxmlformats.org/officeDocument/2006/relationships" ref="H747" r:id="rId744"/>
    <hyperlink xmlns:r="http://schemas.openxmlformats.org/officeDocument/2006/relationships" ref="H748" r:id="rId745"/>
    <hyperlink xmlns:r="http://schemas.openxmlformats.org/officeDocument/2006/relationships" ref="H749" r:id="rId746"/>
    <hyperlink xmlns:r="http://schemas.openxmlformats.org/officeDocument/2006/relationships" ref="H750" r:id="rId747"/>
    <hyperlink xmlns:r="http://schemas.openxmlformats.org/officeDocument/2006/relationships" ref="H751" r:id="rId748"/>
    <hyperlink xmlns:r="http://schemas.openxmlformats.org/officeDocument/2006/relationships" ref="H752" r:id="rId749"/>
    <hyperlink xmlns:r="http://schemas.openxmlformats.org/officeDocument/2006/relationships" ref="H753" r:id="rId750"/>
    <hyperlink xmlns:r="http://schemas.openxmlformats.org/officeDocument/2006/relationships" ref="H754" r:id="rId751"/>
    <hyperlink xmlns:r="http://schemas.openxmlformats.org/officeDocument/2006/relationships" ref="H755" r:id="rId752"/>
    <hyperlink xmlns:r="http://schemas.openxmlformats.org/officeDocument/2006/relationships" ref="H756" r:id="rId753"/>
    <hyperlink xmlns:r="http://schemas.openxmlformats.org/officeDocument/2006/relationships" ref="H757" r:id="rId754"/>
    <hyperlink xmlns:r="http://schemas.openxmlformats.org/officeDocument/2006/relationships" ref="H758" r:id="rId755"/>
    <hyperlink xmlns:r="http://schemas.openxmlformats.org/officeDocument/2006/relationships" ref="H759" r:id="rId756"/>
    <hyperlink xmlns:r="http://schemas.openxmlformats.org/officeDocument/2006/relationships" ref="H760" r:id="rId757"/>
    <hyperlink xmlns:r="http://schemas.openxmlformats.org/officeDocument/2006/relationships" ref="H761" r:id="rId758"/>
    <hyperlink xmlns:r="http://schemas.openxmlformats.org/officeDocument/2006/relationships" ref="H762" r:id="rId759"/>
    <hyperlink xmlns:r="http://schemas.openxmlformats.org/officeDocument/2006/relationships" ref="H763" r:id="rId760"/>
    <hyperlink xmlns:r="http://schemas.openxmlformats.org/officeDocument/2006/relationships" ref="H764" r:id="rId761"/>
    <hyperlink xmlns:r="http://schemas.openxmlformats.org/officeDocument/2006/relationships" ref="H765" r:id="rId762"/>
    <hyperlink xmlns:r="http://schemas.openxmlformats.org/officeDocument/2006/relationships" ref="H766" r:id="rId763"/>
    <hyperlink xmlns:r="http://schemas.openxmlformats.org/officeDocument/2006/relationships" ref="H767" r:id="rId764"/>
    <hyperlink xmlns:r="http://schemas.openxmlformats.org/officeDocument/2006/relationships" ref="H768" r:id="rId765"/>
    <hyperlink xmlns:r="http://schemas.openxmlformats.org/officeDocument/2006/relationships" ref="H769" r:id="rId766"/>
    <hyperlink xmlns:r="http://schemas.openxmlformats.org/officeDocument/2006/relationships" ref="H770" r:id="rId767"/>
    <hyperlink xmlns:r="http://schemas.openxmlformats.org/officeDocument/2006/relationships" ref="H771" r:id="rId768"/>
    <hyperlink xmlns:r="http://schemas.openxmlformats.org/officeDocument/2006/relationships" ref="H772" r:id="rId769"/>
    <hyperlink xmlns:r="http://schemas.openxmlformats.org/officeDocument/2006/relationships" ref="H773" r:id="rId770"/>
    <hyperlink xmlns:r="http://schemas.openxmlformats.org/officeDocument/2006/relationships" ref="H774" r:id="rId771"/>
    <hyperlink xmlns:r="http://schemas.openxmlformats.org/officeDocument/2006/relationships" ref="H775" r:id="rId772"/>
    <hyperlink xmlns:r="http://schemas.openxmlformats.org/officeDocument/2006/relationships" ref="H776" r:id="rId773"/>
    <hyperlink xmlns:r="http://schemas.openxmlformats.org/officeDocument/2006/relationships" ref="H777" r:id="rId774"/>
    <hyperlink xmlns:r="http://schemas.openxmlformats.org/officeDocument/2006/relationships" ref="H778" r:id="rId775"/>
    <hyperlink xmlns:r="http://schemas.openxmlformats.org/officeDocument/2006/relationships" ref="H779" r:id="rId776"/>
    <hyperlink xmlns:r="http://schemas.openxmlformats.org/officeDocument/2006/relationships" ref="H780" r:id="rId777"/>
    <hyperlink xmlns:r="http://schemas.openxmlformats.org/officeDocument/2006/relationships" ref="H781" r:id="rId778"/>
    <hyperlink xmlns:r="http://schemas.openxmlformats.org/officeDocument/2006/relationships" ref="H782" r:id="rId779"/>
    <hyperlink xmlns:r="http://schemas.openxmlformats.org/officeDocument/2006/relationships" ref="H783" r:id="rId780"/>
    <hyperlink xmlns:r="http://schemas.openxmlformats.org/officeDocument/2006/relationships" ref="H784" r:id="rId781"/>
    <hyperlink xmlns:r="http://schemas.openxmlformats.org/officeDocument/2006/relationships" ref="H785" r:id="rId782"/>
    <hyperlink xmlns:r="http://schemas.openxmlformats.org/officeDocument/2006/relationships" ref="H786" r:id="rId783"/>
    <hyperlink xmlns:r="http://schemas.openxmlformats.org/officeDocument/2006/relationships" ref="H787" r:id="rId784"/>
    <hyperlink xmlns:r="http://schemas.openxmlformats.org/officeDocument/2006/relationships" ref="H788" r:id="rId785"/>
    <hyperlink xmlns:r="http://schemas.openxmlformats.org/officeDocument/2006/relationships" ref="H789" r:id="rId786"/>
    <hyperlink xmlns:r="http://schemas.openxmlformats.org/officeDocument/2006/relationships" ref="H790" r:id="rId787"/>
    <hyperlink xmlns:r="http://schemas.openxmlformats.org/officeDocument/2006/relationships" ref="H791" r:id="rId788"/>
    <hyperlink xmlns:r="http://schemas.openxmlformats.org/officeDocument/2006/relationships" ref="H792" r:id="rId789"/>
    <hyperlink xmlns:r="http://schemas.openxmlformats.org/officeDocument/2006/relationships" ref="H793" r:id="rId790"/>
    <hyperlink xmlns:r="http://schemas.openxmlformats.org/officeDocument/2006/relationships" ref="H794" r:id="rId791"/>
    <hyperlink xmlns:r="http://schemas.openxmlformats.org/officeDocument/2006/relationships" ref="H795" r:id="rId792"/>
    <hyperlink xmlns:r="http://schemas.openxmlformats.org/officeDocument/2006/relationships" ref="H796" r:id="rId793"/>
    <hyperlink xmlns:r="http://schemas.openxmlformats.org/officeDocument/2006/relationships" ref="H797" r:id="rId794"/>
    <hyperlink xmlns:r="http://schemas.openxmlformats.org/officeDocument/2006/relationships" ref="H798" r:id="rId795"/>
    <hyperlink xmlns:r="http://schemas.openxmlformats.org/officeDocument/2006/relationships" ref="H799" r:id="rId796"/>
    <hyperlink xmlns:r="http://schemas.openxmlformats.org/officeDocument/2006/relationships" ref="H800" r:id="rId797"/>
    <hyperlink xmlns:r="http://schemas.openxmlformats.org/officeDocument/2006/relationships" ref="H801" r:id="rId798"/>
    <hyperlink xmlns:r="http://schemas.openxmlformats.org/officeDocument/2006/relationships" ref="H802" r:id="rId799"/>
    <hyperlink xmlns:r="http://schemas.openxmlformats.org/officeDocument/2006/relationships" ref="H803" r:id="rId800"/>
    <hyperlink xmlns:r="http://schemas.openxmlformats.org/officeDocument/2006/relationships" ref="H804" r:id="rId801"/>
    <hyperlink xmlns:r="http://schemas.openxmlformats.org/officeDocument/2006/relationships" ref="H805" r:id="rId802"/>
    <hyperlink xmlns:r="http://schemas.openxmlformats.org/officeDocument/2006/relationships" ref="H806" r:id="rId803"/>
    <hyperlink xmlns:r="http://schemas.openxmlformats.org/officeDocument/2006/relationships" ref="H807" r:id="rId804"/>
    <hyperlink xmlns:r="http://schemas.openxmlformats.org/officeDocument/2006/relationships" ref="H808" r:id="rId805"/>
    <hyperlink xmlns:r="http://schemas.openxmlformats.org/officeDocument/2006/relationships" ref="H809" r:id="rId806"/>
    <hyperlink xmlns:r="http://schemas.openxmlformats.org/officeDocument/2006/relationships" ref="H810" r:id="rId807"/>
    <hyperlink xmlns:r="http://schemas.openxmlformats.org/officeDocument/2006/relationships" ref="H811" r:id="rId808"/>
    <hyperlink xmlns:r="http://schemas.openxmlformats.org/officeDocument/2006/relationships" ref="H812" r:id="rId809"/>
    <hyperlink xmlns:r="http://schemas.openxmlformats.org/officeDocument/2006/relationships" ref="H813" r:id="rId810"/>
    <hyperlink xmlns:r="http://schemas.openxmlformats.org/officeDocument/2006/relationships" ref="H814" r:id="rId811"/>
    <hyperlink xmlns:r="http://schemas.openxmlformats.org/officeDocument/2006/relationships" ref="H815" r:id="rId812"/>
    <hyperlink xmlns:r="http://schemas.openxmlformats.org/officeDocument/2006/relationships" ref="H816" r:id="rId813"/>
    <hyperlink xmlns:r="http://schemas.openxmlformats.org/officeDocument/2006/relationships" ref="H817" r:id="rId814"/>
    <hyperlink xmlns:r="http://schemas.openxmlformats.org/officeDocument/2006/relationships" ref="H818" r:id="rId815"/>
    <hyperlink xmlns:r="http://schemas.openxmlformats.org/officeDocument/2006/relationships" ref="H819" r:id="rId816"/>
    <hyperlink xmlns:r="http://schemas.openxmlformats.org/officeDocument/2006/relationships" ref="H820" r:id="rId817"/>
    <hyperlink xmlns:r="http://schemas.openxmlformats.org/officeDocument/2006/relationships" ref="H821" r:id="rId818"/>
    <hyperlink xmlns:r="http://schemas.openxmlformats.org/officeDocument/2006/relationships" ref="H822" r:id="rId819"/>
    <hyperlink xmlns:r="http://schemas.openxmlformats.org/officeDocument/2006/relationships" ref="H823" r:id="rId820"/>
    <hyperlink xmlns:r="http://schemas.openxmlformats.org/officeDocument/2006/relationships" ref="H824" r:id="rId821"/>
    <hyperlink xmlns:r="http://schemas.openxmlformats.org/officeDocument/2006/relationships" ref="H825" r:id="rId822"/>
    <hyperlink xmlns:r="http://schemas.openxmlformats.org/officeDocument/2006/relationships" ref="H826" r:id="rId823"/>
    <hyperlink xmlns:r="http://schemas.openxmlformats.org/officeDocument/2006/relationships" ref="H827" r:id="rId824"/>
    <hyperlink xmlns:r="http://schemas.openxmlformats.org/officeDocument/2006/relationships" ref="H828" r:id="rId825"/>
    <hyperlink xmlns:r="http://schemas.openxmlformats.org/officeDocument/2006/relationships" ref="H829" r:id="rId826"/>
    <hyperlink xmlns:r="http://schemas.openxmlformats.org/officeDocument/2006/relationships" ref="H830" r:id="rId827"/>
    <hyperlink xmlns:r="http://schemas.openxmlformats.org/officeDocument/2006/relationships" ref="H831" r:id="rId828"/>
    <hyperlink xmlns:r="http://schemas.openxmlformats.org/officeDocument/2006/relationships" ref="H832" r:id="rId829"/>
    <hyperlink xmlns:r="http://schemas.openxmlformats.org/officeDocument/2006/relationships" ref="H833" r:id="rId830"/>
    <hyperlink xmlns:r="http://schemas.openxmlformats.org/officeDocument/2006/relationships" ref="H834" r:id="rId831"/>
    <hyperlink xmlns:r="http://schemas.openxmlformats.org/officeDocument/2006/relationships" ref="H835" r:id="rId832"/>
    <hyperlink xmlns:r="http://schemas.openxmlformats.org/officeDocument/2006/relationships" ref="H836" r:id="rId833"/>
    <hyperlink xmlns:r="http://schemas.openxmlformats.org/officeDocument/2006/relationships" ref="H837" r:id="rId834"/>
    <hyperlink xmlns:r="http://schemas.openxmlformats.org/officeDocument/2006/relationships" ref="H838" r:id="rId835"/>
    <hyperlink xmlns:r="http://schemas.openxmlformats.org/officeDocument/2006/relationships" ref="H839" r:id="rId836"/>
    <hyperlink xmlns:r="http://schemas.openxmlformats.org/officeDocument/2006/relationships" ref="H840" r:id="rId837"/>
    <hyperlink xmlns:r="http://schemas.openxmlformats.org/officeDocument/2006/relationships" ref="H841" r:id="rId838"/>
    <hyperlink xmlns:r="http://schemas.openxmlformats.org/officeDocument/2006/relationships" ref="H842" r:id="rId839"/>
    <hyperlink xmlns:r="http://schemas.openxmlformats.org/officeDocument/2006/relationships" ref="H843" r:id="rId840"/>
    <hyperlink xmlns:r="http://schemas.openxmlformats.org/officeDocument/2006/relationships" ref="H844" r:id="rId841"/>
    <hyperlink xmlns:r="http://schemas.openxmlformats.org/officeDocument/2006/relationships" ref="H845" r:id="rId842"/>
    <hyperlink xmlns:r="http://schemas.openxmlformats.org/officeDocument/2006/relationships" ref="H846" r:id="rId843"/>
    <hyperlink xmlns:r="http://schemas.openxmlformats.org/officeDocument/2006/relationships" ref="H847" r:id="rId844"/>
    <hyperlink xmlns:r="http://schemas.openxmlformats.org/officeDocument/2006/relationships" ref="H848" r:id="rId845"/>
    <hyperlink xmlns:r="http://schemas.openxmlformats.org/officeDocument/2006/relationships" ref="H849" r:id="rId846"/>
    <hyperlink xmlns:r="http://schemas.openxmlformats.org/officeDocument/2006/relationships" ref="H850" r:id="rId847"/>
    <hyperlink xmlns:r="http://schemas.openxmlformats.org/officeDocument/2006/relationships" ref="H851" r:id="rId848"/>
    <hyperlink xmlns:r="http://schemas.openxmlformats.org/officeDocument/2006/relationships" ref="H852" r:id="rId849"/>
    <hyperlink xmlns:r="http://schemas.openxmlformats.org/officeDocument/2006/relationships" ref="H853" r:id="rId850"/>
    <hyperlink xmlns:r="http://schemas.openxmlformats.org/officeDocument/2006/relationships" ref="H854" r:id="rId851"/>
    <hyperlink xmlns:r="http://schemas.openxmlformats.org/officeDocument/2006/relationships" ref="H855" r:id="rId852"/>
    <hyperlink xmlns:r="http://schemas.openxmlformats.org/officeDocument/2006/relationships" ref="H856" r:id="rId853"/>
    <hyperlink xmlns:r="http://schemas.openxmlformats.org/officeDocument/2006/relationships" ref="H857" r:id="rId854"/>
    <hyperlink xmlns:r="http://schemas.openxmlformats.org/officeDocument/2006/relationships" ref="H858" r:id="rId855"/>
    <hyperlink xmlns:r="http://schemas.openxmlformats.org/officeDocument/2006/relationships" ref="H859" r:id="rId856"/>
    <hyperlink xmlns:r="http://schemas.openxmlformats.org/officeDocument/2006/relationships" ref="H860" r:id="rId857"/>
    <hyperlink xmlns:r="http://schemas.openxmlformats.org/officeDocument/2006/relationships" ref="H861" r:id="rId858"/>
    <hyperlink xmlns:r="http://schemas.openxmlformats.org/officeDocument/2006/relationships" ref="H862" r:id="rId859"/>
    <hyperlink xmlns:r="http://schemas.openxmlformats.org/officeDocument/2006/relationships" ref="H863" r:id="rId860"/>
    <hyperlink xmlns:r="http://schemas.openxmlformats.org/officeDocument/2006/relationships" ref="H864" r:id="rId861"/>
    <hyperlink xmlns:r="http://schemas.openxmlformats.org/officeDocument/2006/relationships" ref="H865" r:id="rId862"/>
    <hyperlink xmlns:r="http://schemas.openxmlformats.org/officeDocument/2006/relationships" ref="H866" r:id="rId863"/>
    <hyperlink xmlns:r="http://schemas.openxmlformats.org/officeDocument/2006/relationships" ref="H867" r:id="rId864"/>
    <hyperlink xmlns:r="http://schemas.openxmlformats.org/officeDocument/2006/relationships" ref="H868" r:id="rId865"/>
    <hyperlink xmlns:r="http://schemas.openxmlformats.org/officeDocument/2006/relationships" ref="H869" r:id="rId866"/>
    <hyperlink xmlns:r="http://schemas.openxmlformats.org/officeDocument/2006/relationships" ref="H870" r:id="rId867"/>
    <hyperlink xmlns:r="http://schemas.openxmlformats.org/officeDocument/2006/relationships" ref="H871" r:id="rId868"/>
    <hyperlink xmlns:r="http://schemas.openxmlformats.org/officeDocument/2006/relationships" ref="H872" r:id="rId869"/>
    <hyperlink xmlns:r="http://schemas.openxmlformats.org/officeDocument/2006/relationships" ref="H873" r:id="rId870"/>
    <hyperlink xmlns:r="http://schemas.openxmlformats.org/officeDocument/2006/relationships" ref="H874" r:id="rId871"/>
    <hyperlink xmlns:r="http://schemas.openxmlformats.org/officeDocument/2006/relationships" ref="H875" r:id="rId872"/>
    <hyperlink xmlns:r="http://schemas.openxmlformats.org/officeDocument/2006/relationships" ref="H876" r:id="rId873"/>
    <hyperlink xmlns:r="http://schemas.openxmlformats.org/officeDocument/2006/relationships" ref="H877" r:id="rId874"/>
    <hyperlink xmlns:r="http://schemas.openxmlformats.org/officeDocument/2006/relationships" ref="H878" r:id="rId875"/>
    <hyperlink xmlns:r="http://schemas.openxmlformats.org/officeDocument/2006/relationships" ref="H879" r:id="rId876"/>
    <hyperlink xmlns:r="http://schemas.openxmlformats.org/officeDocument/2006/relationships" ref="H880" r:id="rId877"/>
    <hyperlink xmlns:r="http://schemas.openxmlformats.org/officeDocument/2006/relationships" ref="H881" r:id="rId878"/>
    <hyperlink xmlns:r="http://schemas.openxmlformats.org/officeDocument/2006/relationships" ref="H882" r:id="rId879"/>
    <hyperlink xmlns:r="http://schemas.openxmlformats.org/officeDocument/2006/relationships" ref="H883" r:id="rId880"/>
    <hyperlink xmlns:r="http://schemas.openxmlformats.org/officeDocument/2006/relationships" ref="H884" r:id="rId881"/>
    <hyperlink xmlns:r="http://schemas.openxmlformats.org/officeDocument/2006/relationships" ref="H885" r:id="rId882"/>
    <hyperlink xmlns:r="http://schemas.openxmlformats.org/officeDocument/2006/relationships" ref="H886" r:id="rId883"/>
    <hyperlink xmlns:r="http://schemas.openxmlformats.org/officeDocument/2006/relationships" ref="H887" r:id="rId884"/>
    <hyperlink xmlns:r="http://schemas.openxmlformats.org/officeDocument/2006/relationships" ref="H888" r:id="rId885"/>
    <hyperlink xmlns:r="http://schemas.openxmlformats.org/officeDocument/2006/relationships" ref="H889" r:id="rId886"/>
    <hyperlink xmlns:r="http://schemas.openxmlformats.org/officeDocument/2006/relationships" ref="H890" r:id="rId887"/>
    <hyperlink xmlns:r="http://schemas.openxmlformats.org/officeDocument/2006/relationships" ref="H891" r:id="rId888"/>
    <hyperlink xmlns:r="http://schemas.openxmlformats.org/officeDocument/2006/relationships" ref="H892" r:id="rId889"/>
    <hyperlink xmlns:r="http://schemas.openxmlformats.org/officeDocument/2006/relationships" ref="H893" r:id="rId890"/>
    <hyperlink xmlns:r="http://schemas.openxmlformats.org/officeDocument/2006/relationships" ref="H894" r:id="rId891"/>
    <hyperlink xmlns:r="http://schemas.openxmlformats.org/officeDocument/2006/relationships" ref="H895" r:id="rId892"/>
    <hyperlink xmlns:r="http://schemas.openxmlformats.org/officeDocument/2006/relationships" ref="H896" r:id="rId893"/>
    <hyperlink xmlns:r="http://schemas.openxmlformats.org/officeDocument/2006/relationships" ref="H897" r:id="rId894"/>
    <hyperlink xmlns:r="http://schemas.openxmlformats.org/officeDocument/2006/relationships" ref="H898" r:id="rId895"/>
    <hyperlink xmlns:r="http://schemas.openxmlformats.org/officeDocument/2006/relationships" ref="H899" r:id="rId896"/>
    <hyperlink xmlns:r="http://schemas.openxmlformats.org/officeDocument/2006/relationships" ref="H900" r:id="rId897"/>
    <hyperlink xmlns:r="http://schemas.openxmlformats.org/officeDocument/2006/relationships" ref="H901" r:id="rId898"/>
    <hyperlink xmlns:r="http://schemas.openxmlformats.org/officeDocument/2006/relationships" ref="H902" r:id="rId899"/>
    <hyperlink xmlns:r="http://schemas.openxmlformats.org/officeDocument/2006/relationships" ref="H903" r:id="rId900"/>
    <hyperlink xmlns:r="http://schemas.openxmlformats.org/officeDocument/2006/relationships" ref="H904" r:id="rId901"/>
    <hyperlink xmlns:r="http://schemas.openxmlformats.org/officeDocument/2006/relationships" ref="H905" r:id="rId902"/>
    <hyperlink xmlns:r="http://schemas.openxmlformats.org/officeDocument/2006/relationships" ref="H906" r:id="rId903"/>
    <hyperlink xmlns:r="http://schemas.openxmlformats.org/officeDocument/2006/relationships" ref="H907" r:id="rId904"/>
    <hyperlink xmlns:r="http://schemas.openxmlformats.org/officeDocument/2006/relationships" ref="H908" r:id="rId905"/>
    <hyperlink xmlns:r="http://schemas.openxmlformats.org/officeDocument/2006/relationships" ref="H909" r:id="rId906"/>
    <hyperlink xmlns:r="http://schemas.openxmlformats.org/officeDocument/2006/relationships" ref="H910" r:id="rId907"/>
    <hyperlink xmlns:r="http://schemas.openxmlformats.org/officeDocument/2006/relationships" ref="H911" r:id="rId908"/>
    <hyperlink xmlns:r="http://schemas.openxmlformats.org/officeDocument/2006/relationships" ref="H912" r:id="rId909"/>
    <hyperlink xmlns:r="http://schemas.openxmlformats.org/officeDocument/2006/relationships" ref="H913" r:id="rId910"/>
    <hyperlink xmlns:r="http://schemas.openxmlformats.org/officeDocument/2006/relationships" ref="H914" r:id="rId911"/>
    <hyperlink xmlns:r="http://schemas.openxmlformats.org/officeDocument/2006/relationships" ref="H915" r:id="rId912"/>
    <hyperlink xmlns:r="http://schemas.openxmlformats.org/officeDocument/2006/relationships" ref="H916" r:id="rId913"/>
    <hyperlink xmlns:r="http://schemas.openxmlformats.org/officeDocument/2006/relationships" ref="H917" r:id="rId914"/>
    <hyperlink xmlns:r="http://schemas.openxmlformats.org/officeDocument/2006/relationships" ref="H918" r:id="rId915"/>
    <hyperlink xmlns:r="http://schemas.openxmlformats.org/officeDocument/2006/relationships" ref="H919" r:id="rId916"/>
    <hyperlink xmlns:r="http://schemas.openxmlformats.org/officeDocument/2006/relationships" ref="H920" r:id="rId917"/>
    <hyperlink xmlns:r="http://schemas.openxmlformats.org/officeDocument/2006/relationships" ref="H921" r:id="rId918"/>
    <hyperlink xmlns:r="http://schemas.openxmlformats.org/officeDocument/2006/relationships" ref="H922" r:id="rId919"/>
    <hyperlink xmlns:r="http://schemas.openxmlformats.org/officeDocument/2006/relationships" ref="H923" r:id="rId920"/>
    <hyperlink xmlns:r="http://schemas.openxmlformats.org/officeDocument/2006/relationships" ref="H924" r:id="rId921"/>
    <hyperlink xmlns:r="http://schemas.openxmlformats.org/officeDocument/2006/relationships" ref="H925" r:id="rId922"/>
    <hyperlink xmlns:r="http://schemas.openxmlformats.org/officeDocument/2006/relationships" ref="H926" r:id="rId923"/>
    <hyperlink xmlns:r="http://schemas.openxmlformats.org/officeDocument/2006/relationships" ref="H927" r:id="rId924"/>
    <hyperlink xmlns:r="http://schemas.openxmlformats.org/officeDocument/2006/relationships" ref="H928" r:id="rId925"/>
    <hyperlink xmlns:r="http://schemas.openxmlformats.org/officeDocument/2006/relationships" ref="H929" r:id="rId926"/>
    <hyperlink xmlns:r="http://schemas.openxmlformats.org/officeDocument/2006/relationships" ref="H930" r:id="rId927"/>
    <hyperlink xmlns:r="http://schemas.openxmlformats.org/officeDocument/2006/relationships" ref="H931" r:id="rId928"/>
    <hyperlink xmlns:r="http://schemas.openxmlformats.org/officeDocument/2006/relationships" ref="H932" r:id="rId929"/>
    <hyperlink xmlns:r="http://schemas.openxmlformats.org/officeDocument/2006/relationships" ref="H933" r:id="rId930"/>
    <hyperlink xmlns:r="http://schemas.openxmlformats.org/officeDocument/2006/relationships" ref="H934" r:id="rId931"/>
    <hyperlink xmlns:r="http://schemas.openxmlformats.org/officeDocument/2006/relationships" ref="H935" r:id="rId932"/>
    <hyperlink xmlns:r="http://schemas.openxmlformats.org/officeDocument/2006/relationships" ref="H936" r:id="rId933"/>
    <hyperlink xmlns:r="http://schemas.openxmlformats.org/officeDocument/2006/relationships" ref="H937" r:id="rId934"/>
    <hyperlink xmlns:r="http://schemas.openxmlformats.org/officeDocument/2006/relationships" ref="H938" r:id="rId935"/>
    <hyperlink xmlns:r="http://schemas.openxmlformats.org/officeDocument/2006/relationships" ref="H939" r:id="rId936"/>
    <hyperlink xmlns:r="http://schemas.openxmlformats.org/officeDocument/2006/relationships" ref="H940" r:id="rId937"/>
    <hyperlink xmlns:r="http://schemas.openxmlformats.org/officeDocument/2006/relationships" ref="H941" r:id="rId938"/>
    <hyperlink xmlns:r="http://schemas.openxmlformats.org/officeDocument/2006/relationships" ref="H942" r:id="rId939"/>
    <hyperlink xmlns:r="http://schemas.openxmlformats.org/officeDocument/2006/relationships" ref="H943" r:id="rId940"/>
    <hyperlink xmlns:r="http://schemas.openxmlformats.org/officeDocument/2006/relationships" ref="H944" r:id="rId941"/>
    <hyperlink xmlns:r="http://schemas.openxmlformats.org/officeDocument/2006/relationships" ref="H945" r:id="rId942"/>
    <hyperlink xmlns:r="http://schemas.openxmlformats.org/officeDocument/2006/relationships" ref="H946" r:id="rId943"/>
    <hyperlink xmlns:r="http://schemas.openxmlformats.org/officeDocument/2006/relationships" ref="H947" r:id="rId944"/>
    <hyperlink xmlns:r="http://schemas.openxmlformats.org/officeDocument/2006/relationships" ref="H948" r:id="rId945"/>
    <hyperlink xmlns:r="http://schemas.openxmlformats.org/officeDocument/2006/relationships" ref="H949" r:id="rId946"/>
    <hyperlink xmlns:r="http://schemas.openxmlformats.org/officeDocument/2006/relationships" ref="H950" r:id="rId947"/>
    <hyperlink xmlns:r="http://schemas.openxmlformats.org/officeDocument/2006/relationships" ref="H951" r:id="rId948"/>
    <hyperlink xmlns:r="http://schemas.openxmlformats.org/officeDocument/2006/relationships" ref="H952" r:id="rId949"/>
    <hyperlink xmlns:r="http://schemas.openxmlformats.org/officeDocument/2006/relationships" ref="H953" r:id="rId950"/>
    <hyperlink xmlns:r="http://schemas.openxmlformats.org/officeDocument/2006/relationships" ref="H954" r:id="rId951"/>
    <hyperlink xmlns:r="http://schemas.openxmlformats.org/officeDocument/2006/relationships" ref="H955" r:id="rId952"/>
    <hyperlink xmlns:r="http://schemas.openxmlformats.org/officeDocument/2006/relationships" ref="H956" r:id="rId953"/>
    <hyperlink xmlns:r="http://schemas.openxmlformats.org/officeDocument/2006/relationships" ref="H957" r:id="rId954"/>
    <hyperlink xmlns:r="http://schemas.openxmlformats.org/officeDocument/2006/relationships" ref="H958" r:id="rId955"/>
    <hyperlink xmlns:r="http://schemas.openxmlformats.org/officeDocument/2006/relationships" ref="H959" r:id="rId956"/>
    <hyperlink xmlns:r="http://schemas.openxmlformats.org/officeDocument/2006/relationships" ref="H960" r:id="rId957"/>
    <hyperlink xmlns:r="http://schemas.openxmlformats.org/officeDocument/2006/relationships" ref="H961" r:id="rId958"/>
    <hyperlink xmlns:r="http://schemas.openxmlformats.org/officeDocument/2006/relationships" ref="H962" r:id="rId959"/>
    <hyperlink xmlns:r="http://schemas.openxmlformats.org/officeDocument/2006/relationships" ref="H963" r:id="rId960"/>
    <hyperlink xmlns:r="http://schemas.openxmlformats.org/officeDocument/2006/relationships" ref="H964" r:id="rId961"/>
    <hyperlink xmlns:r="http://schemas.openxmlformats.org/officeDocument/2006/relationships" ref="H965" r:id="rId962"/>
    <hyperlink xmlns:r="http://schemas.openxmlformats.org/officeDocument/2006/relationships" ref="H966" r:id="rId963"/>
    <hyperlink xmlns:r="http://schemas.openxmlformats.org/officeDocument/2006/relationships" ref="H967" r:id="rId964"/>
    <hyperlink xmlns:r="http://schemas.openxmlformats.org/officeDocument/2006/relationships" ref="H968" r:id="rId965"/>
    <hyperlink xmlns:r="http://schemas.openxmlformats.org/officeDocument/2006/relationships" ref="H969" r:id="rId966"/>
    <hyperlink xmlns:r="http://schemas.openxmlformats.org/officeDocument/2006/relationships" ref="H970" r:id="rId967"/>
    <hyperlink xmlns:r="http://schemas.openxmlformats.org/officeDocument/2006/relationships" ref="H971" r:id="rId968"/>
    <hyperlink xmlns:r="http://schemas.openxmlformats.org/officeDocument/2006/relationships" ref="H972" r:id="rId969"/>
    <hyperlink xmlns:r="http://schemas.openxmlformats.org/officeDocument/2006/relationships" ref="H973" r:id="rId970"/>
    <hyperlink xmlns:r="http://schemas.openxmlformats.org/officeDocument/2006/relationships" ref="H974" r:id="rId971"/>
    <hyperlink xmlns:r="http://schemas.openxmlformats.org/officeDocument/2006/relationships" ref="H975" r:id="rId972"/>
    <hyperlink xmlns:r="http://schemas.openxmlformats.org/officeDocument/2006/relationships" ref="H976" r:id="rId973"/>
    <hyperlink xmlns:r="http://schemas.openxmlformats.org/officeDocument/2006/relationships" ref="H977" r:id="rId974"/>
    <hyperlink xmlns:r="http://schemas.openxmlformats.org/officeDocument/2006/relationships" ref="H978" r:id="rId975"/>
    <hyperlink xmlns:r="http://schemas.openxmlformats.org/officeDocument/2006/relationships" ref="H979" r:id="rId976"/>
    <hyperlink xmlns:r="http://schemas.openxmlformats.org/officeDocument/2006/relationships" ref="H980" r:id="rId977"/>
    <hyperlink xmlns:r="http://schemas.openxmlformats.org/officeDocument/2006/relationships" ref="H981" r:id="rId978"/>
    <hyperlink xmlns:r="http://schemas.openxmlformats.org/officeDocument/2006/relationships" ref="H982" r:id="rId979"/>
    <hyperlink xmlns:r="http://schemas.openxmlformats.org/officeDocument/2006/relationships" ref="H983" r:id="rId980"/>
    <hyperlink xmlns:r="http://schemas.openxmlformats.org/officeDocument/2006/relationships" ref="H984" r:id="rId981"/>
    <hyperlink xmlns:r="http://schemas.openxmlformats.org/officeDocument/2006/relationships" ref="H985" r:id="rId982"/>
    <hyperlink xmlns:r="http://schemas.openxmlformats.org/officeDocument/2006/relationships" ref="H986" r:id="rId983"/>
    <hyperlink xmlns:r="http://schemas.openxmlformats.org/officeDocument/2006/relationships" ref="H987" r:id="rId984"/>
    <hyperlink xmlns:r="http://schemas.openxmlformats.org/officeDocument/2006/relationships" ref="H988" r:id="rId985"/>
    <hyperlink xmlns:r="http://schemas.openxmlformats.org/officeDocument/2006/relationships" ref="H989" r:id="rId986"/>
    <hyperlink xmlns:r="http://schemas.openxmlformats.org/officeDocument/2006/relationships" ref="H990" r:id="rId987"/>
    <hyperlink xmlns:r="http://schemas.openxmlformats.org/officeDocument/2006/relationships" ref="H991" r:id="rId988"/>
    <hyperlink xmlns:r="http://schemas.openxmlformats.org/officeDocument/2006/relationships" ref="H992" r:id="rId989"/>
    <hyperlink xmlns:r="http://schemas.openxmlformats.org/officeDocument/2006/relationships" ref="H993" r:id="rId990"/>
    <hyperlink xmlns:r="http://schemas.openxmlformats.org/officeDocument/2006/relationships" ref="H994" r:id="rId991"/>
    <hyperlink xmlns:r="http://schemas.openxmlformats.org/officeDocument/2006/relationships" ref="H995" r:id="rId992"/>
    <hyperlink xmlns:r="http://schemas.openxmlformats.org/officeDocument/2006/relationships" ref="H996" r:id="rId993"/>
    <hyperlink xmlns:r="http://schemas.openxmlformats.org/officeDocument/2006/relationships" ref="H997" r:id="rId994"/>
    <hyperlink xmlns:r="http://schemas.openxmlformats.org/officeDocument/2006/relationships" ref="H998" r:id="rId995"/>
    <hyperlink xmlns:r="http://schemas.openxmlformats.org/officeDocument/2006/relationships" ref="H999" r:id="rId996"/>
    <hyperlink xmlns:r="http://schemas.openxmlformats.org/officeDocument/2006/relationships" ref="H1000" r:id="rId997"/>
    <hyperlink xmlns:r="http://schemas.openxmlformats.org/officeDocument/2006/relationships" ref="H1001" r:id="rId998"/>
    <hyperlink xmlns:r="http://schemas.openxmlformats.org/officeDocument/2006/relationships" ref="H1002" r:id="rId999"/>
    <hyperlink xmlns:r="http://schemas.openxmlformats.org/officeDocument/2006/relationships" ref="H1003" r:id="rId1000"/>
    <hyperlink xmlns:r="http://schemas.openxmlformats.org/officeDocument/2006/relationships" ref="H1004" r:id="rId1001"/>
    <hyperlink xmlns:r="http://schemas.openxmlformats.org/officeDocument/2006/relationships" ref="H1005" r:id="rId1002"/>
    <hyperlink xmlns:r="http://schemas.openxmlformats.org/officeDocument/2006/relationships" ref="H1006" r:id="rId1003"/>
    <hyperlink xmlns:r="http://schemas.openxmlformats.org/officeDocument/2006/relationships" ref="H1007" r:id="rId1004"/>
    <hyperlink xmlns:r="http://schemas.openxmlformats.org/officeDocument/2006/relationships" ref="H1008" r:id="rId1005"/>
    <hyperlink xmlns:r="http://schemas.openxmlformats.org/officeDocument/2006/relationships" ref="H1009" r:id="rId1006"/>
    <hyperlink xmlns:r="http://schemas.openxmlformats.org/officeDocument/2006/relationships" ref="H1010" r:id="rId1007"/>
    <hyperlink xmlns:r="http://schemas.openxmlformats.org/officeDocument/2006/relationships" ref="H1011" r:id="rId1008"/>
    <hyperlink xmlns:r="http://schemas.openxmlformats.org/officeDocument/2006/relationships" ref="H1012" r:id="rId1009"/>
    <hyperlink xmlns:r="http://schemas.openxmlformats.org/officeDocument/2006/relationships" ref="H1013" r:id="rId1010"/>
    <hyperlink xmlns:r="http://schemas.openxmlformats.org/officeDocument/2006/relationships" ref="H1014" r:id="rId1011"/>
    <hyperlink xmlns:r="http://schemas.openxmlformats.org/officeDocument/2006/relationships" ref="H1015" r:id="rId1012"/>
    <hyperlink xmlns:r="http://schemas.openxmlformats.org/officeDocument/2006/relationships" ref="H1016" r:id="rId1013"/>
    <hyperlink xmlns:r="http://schemas.openxmlformats.org/officeDocument/2006/relationships" ref="H1017" r:id="rId1014"/>
    <hyperlink xmlns:r="http://schemas.openxmlformats.org/officeDocument/2006/relationships" ref="H1018" r:id="rId1015"/>
    <hyperlink xmlns:r="http://schemas.openxmlformats.org/officeDocument/2006/relationships" ref="H1019" r:id="rId1016"/>
    <hyperlink xmlns:r="http://schemas.openxmlformats.org/officeDocument/2006/relationships" ref="H1020" r:id="rId1017"/>
    <hyperlink xmlns:r="http://schemas.openxmlformats.org/officeDocument/2006/relationships" ref="H1021" r:id="rId1018"/>
    <hyperlink xmlns:r="http://schemas.openxmlformats.org/officeDocument/2006/relationships" ref="H1022" r:id="rId1019"/>
    <hyperlink xmlns:r="http://schemas.openxmlformats.org/officeDocument/2006/relationships" ref="H1023" r:id="rId1020"/>
    <hyperlink xmlns:r="http://schemas.openxmlformats.org/officeDocument/2006/relationships" ref="H1024" r:id="rId1021"/>
    <hyperlink xmlns:r="http://schemas.openxmlformats.org/officeDocument/2006/relationships" ref="H1025" r:id="rId1022"/>
    <hyperlink xmlns:r="http://schemas.openxmlformats.org/officeDocument/2006/relationships" ref="H1026" r:id="rId1023"/>
    <hyperlink xmlns:r="http://schemas.openxmlformats.org/officeDocument/2006/relationships" ref="H1027" r:id="rId1024"/>
    <hyperlink xmlns:r="http://schemas.openxmlformats.org/officeDocument/2006/relationships" ref="H1028" r:id="rId1025"/>
    <hyperlink xmlns:r="http://schemas.openxmlformats.org/officeDocument/2006/relationships" ref="H1029" r:id="rId1026"/>
    <hyperlink xmlns:r="http://schemas.openxmlformats.org/officeDocument/2006/relationships" ref="H1030" r:id="rId1027"/>
    <hyperlink xmlns:r="http://schemas.openxmlformats.org/officeDocument/2006/relationships" ref="H1031" r:id="rId1028"/>
    <hyperlink xmlns:r="http://schemas.openxmlformats.org/officeDocument/2006/relationships" ref="H1032" r:id="rId1029"/>
    <hyperlink xmlns:r="http://schemas.openxmlformats.org/officeDocument/2006/relationships" ref="H1033" r:id="rId1030"/>
    <hyperlink xmlns:r="http://schemas.openxmlformats.org/officeDocument/2006/relationships" ref="H1034" r:id="rId1031"/>
    <hyperlink xmlns:r="http://schemas.openxmlformats.org/officeDocument/2006/relationships" ref="H1035" r:id="rId1032"/>
    <hyperlink xmlns:r="http://schemas.openxmlformats.org/officeDocument/2006/relationships" ref="H1036" r:id="rId1033"/>
    <hyperlink xmlns:r="http://schemas.openxmlformats.org/officeDocument/2006/relationships" ref="H1037" r:id="rId1034"/>
    <hyperlink xmlns:r="http://schemas.openxmlformats.org/officeDocument/2006/relationships" ref="H1038" r:id="rId1035"/>
    <hyperlink xmlns:r="http://schemas.openxmlformats.org/officeDocument/2006/relationships" ref="H1039" r:id="rId1036"/>
    <hyperlink xmlns:r="http://schemas.openxmlformats.org/officeDocument/2006/relationships" ref="H1040" r:id="rId1037"/>
    <hyperlink xmlns:r="http://schemas.openxmlformats.org/officeDocument/2006/relationships" ref="H1041" r:id="rId1038"/>
    <hyperlink xmlns:r="http://schemas.openxmlformats.org/officeDocument/2006/relationships" ref="H1042" r:id="rId1039"/>
    <hyperlink xmlns:r="http://schemas.openxmlformats.org/officeDocument/2006/relationships" ref="H1043" r:id="rId1040"/>
    <hyperlink xmlns:r="http://schemas.openxmlformats.org/officeDocument/2006/relationships" ref="H1044" r:id="rId1041"/>
    <hyperlink xmlns:r="http://schemas.openxmlformats.org/officeDocument/2006/relationships" ref="H1045" r:id="rId1042"/>
    <hyperlink xmlns:r="http://schemas.openxmlformats.org/officeDocument/2006/relationships" ref="H1046" r:id="rId1043"/>
    <hyperlink xmlns:r="http://schemas.openxmlformats.org/officeDocument/2006/relationships" ref="H1047" r:id="rId1044"/>
    <hyperlink xmlns:r="http://schemas.openxmlformats.org/officeDocument/2006/relationships" ref="H1048" r:id="rId1045"/>
    <hyperlink xmlns:r="http://schemas.openxmlformats.org/officeDocument/2006/relationships" ref="H1049" r:id="rId1046"/>
    <hyperlink xmlns:r="http://schemas.openxmlformats.org/officeDocument/2006/relationships" ref="H1050" r:id="rId1047"/>
    <hyperlink xmlns:r="http://schemas.openxmlformats.org/officeDocument/2006/relationships" ref="H1051" r:id="rId1048"/>
    <hyperlink xmlns:r="http://schemas.openxmlformats.org/officeDocument/2006/relationships" ref="H1052" r:id="rId1049"/>
    <hyperlink xmlns:r="http://schemas.openxmlformats.org/officeDocument/2006/relationships" ref="H1053" r:id="rId1050"/>
    <hyperlink xmlns:r="http://schemas.openxmlformats.org/officeDocument/2006/relationships" ref="H1054" r:id="rId1051"/>
    <hyperlink xmlns:r="http://schemas.openxmlformats.org/officeDocument/2006/relationships" ref="H1055" r:id="rId1052"/>
    <hyperlink xmlns:r="http://schemas.openxmlformats.org/officeDocument/2006/relationships" ref="H1056" r:id="rId1053"/>
    <hyperlink xmlns:r="http://schemas.openxmlformats.org/officeDocument/2006/relationships" ref="H1057" r:id="rId1054"/>
    <hyperlink xmlns:r="http://schemas.openxmlformats.org/officeDocument/2006/relationships" ref="H1058" r:id="rId1055"/>
    <hyperlink xmlns:r="http://schemas.openxmlformats.org/officeDocument/2006/relationships" ref="H1059" r:id="rId1056"/>
    <hyperlink xmlns:r="http://schemas.openxmlformats.org/officeDocument/2006/relationships" ref="H1060" r:id="rId1057"/>
    <hyperlink xmlns:r="http://schemas.openxmlformats.org/officeDocument/2006/relationships" ref="H1061" r:id="rId1058"/>
    <hyperlink xmlns:r="http://schemas.openxmlformats.org/officeDocument/2006/relationships" ref="H1062" r:id="rId1059"/>
    <hyperlink xmlns:r="http://schemas.openxmlformats.org/officeDocument/2006/relationships" ref="H1063" r:id="rId1060"/>
    <hyperlink xmlns:r="http://schemas.openxmlformats.org/officeDocument/2006/relationships" ref="H1064" r:id="rId1061"/>
    <hyperlink xmlns:r="http://schemas.openxmlformats.org/officeDocument/2006/relationships" ref="H1065" r:id="rId1062"/>
    <hyperlink xmlns:r="http://schemas.openxmlformats.org/officeDocument/2006/relationships" ref="H1066" r:id="rId1063"/>
    <hyperlink xmlns:r="http://schemas.openxmlformats.org/officeDocument/2006/relationships" ref="H1067" r:id="rId1064"/>
    <hyperlink xmlns:r="http://schemas.openxmlformats.org/officeDocument/2006/relationships" ref="H1068" r:id="rId1065"/>
    <hyperlink xmlns:r="http://schemas.openxmlformats.org/officeDocument/2006/relationships" ref="H1069" r:id="rId1066"/>
    <hyperlink xmlns:r="http://schemas.openxmlformats.org/officeDocument/2006/relationships" ref="H1070" r:id="rId1067"/>
    <hyperlink xmlns:r="http://schemas.openxmlformats.org/officeDocument/2006/relationships" ref="H1071" r:id="rId1068"/>
    <hyperlink xmlns:r="http://schemas.openxmlformats.org/officeDocument/2006/relationships" ref="H1072" r:id="rId1069"/>
    <hyperlink xmlns:r="http://schemas.openxmlformats.org/officeDocument/2006/relationships" ref="H1073" r:id="rId1070"/>
    <hyperlink xmlns:r="http://schemas.openxmlformats.org/officeDocument/2006/relationships" ref="H1074" r:id="rId1071"/>
    <hyperlink xmlns:r="http://schemas.openxmlformats.org/officeDocument/2006/relationships" ref="H1075" r:id="rId1072"/>
    <hyperlink xmlns:r="http://schemas.openxmlformats.org/officeDocument/2006/relationships" ref="H1076" r:id="rId1073"/>
    <hyperlink xmlns:r="http://schemas.openxmlformats.org/officeDocument/2006/relationships" ref="H1077" r:id="rId1074"/>
    <hyperlink xmlns:r="http://schemas.openxmlformats.org/officeDocument/2006/relationships" ref="H1078" r:id="rId1075"/>
    <hyperlink xmlns:r="http://schemas.openxmlformats.org/officeDocument/2006/relationships" ref="H1079" r:id="rId1076"/>
    <hyperlink xmlns:r="http://schemas.openxmlformats.org/officeDocument/2006/relationships" ref="H1080" r:id="rId1077"/>
    <hyperlink xmlns:r="http://schemas.openxmlformats.org/officeDocument/2006/relationships" ref="H1081" r:id="rId1078"/>
    <hyperlink xmlns:r="http://schemas.openxmlformats.org/officeDocument/2006/relationships" ref="H1082" r:id="rId1079"/>
    <hyperlink xmlns:r="http://schemas.openxmlformats.org/officeDocument/2006/relationships" ref="H1083" r:id="rId1080"/>
    <hyperlink xmlns:r="http://schemas.openxmlformats.org/officeDocument/2006/relationships" ref="H1084" r:id="rId1081"/>
    <hyperlink xmlns:r="http://schemas.openxmlformats.org/officeDocument/2006/relationships" ref="H1085" r:id="rId1082"/>
    <hyperlink xmlns:r="http://schemas.openxmlformats.org/officeDocument/2006/relationships" ref="H1086" r:id="rId10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9" customWidth="1" min="54" max="54"/>
    <col width="10" customWidth="1" min="55" max="55"/>
    <col width="10" customWidth="1" min="56" max="56"/>
    <col width="30" customWidth="1" min="57" max="57"/>
  </cols>
  <sheetData>
    <row r="1" ht="22" customHeight="1">
      <c r="A1" s="1" t="inlineStr">
        <is>
          <t>02 周度面板：年份 × ISO 周（每年一条独立轨迹）</t>
        </is>
      </c>
    </row>
    <row r="2">
      <c r="A2" s="2" t="inlineStr">
        <is>
          <t>每格 = 该 ISO 周最后一个有报价日的价格；空白 = 该年该周无数据（未补造）</t>
        </is>
      </c>
    </row>
    <row r="3" ht="26" customHeight="1">
      <c r="A3" s="6" t="inlineStr">
        <is>
          <t>年份</t>
        </is>
      </c>
      <c r="B3" s="6" t="inlineStr">
        <is>
          <t>W01</t>
        </is>
      </c>
      <c r="C3" s="6" t="inlineStr">
        <is>
          <t>W02</t>
        </is>
      </c>
      <c r="D3" s="6" t="inlineStr">
        <is>
          <t>W03</t>
        </is>
      </c>
      <c r="E3" s="6" t="inlineStr">
        <is>
          <t>W04</t>
        </is>
      </c>
      <c r="F3" s="6" t="inlineStr">
        <is>
          <t>W05</t>
        </is>
      </c>
      <c r="G3" s="6" t="inlineStr">
        <is>
          <t>W06</t>
        </is>
      </c>
      <c r="H3" s="6" t="inlineStr">
        <is>
          <t>W07</t>
        </is>
      </c>
      <c r="I3" s="6" t="inlineStr">
        <is>
          <t>W08</t>
        </is>
      </c>
      <c r="J3" s="6" t="inlineStr">
        <is>
          <t>W09</t>
        </is>
      </c>
      <c r="K3" s="6" t="inlineStr">
        <is>
          <t>W10</t>
        </is>
      </c>
      <c r="L3" s="6" t="inlineStr">
        <is>
          <t>W11</t>
        </is>
      </c>
      <c r="M3" s="6" t="inlineStr">
        <is>
          <t>W12</t>
        </is>
      </c>
      <c r="N3" s="6" t="inlineStr">
        <is>
          <t>W13</t>
        </is>
      </c>
      <c r="O3" s="6" t="inlineStr">
        <is>
          <t>W14</t>
        </is>
      </c>
      <c r="P3" s="6" t="inlineStr">
        <is>
          <t>W15</t>
        </is>
      </c>
      <c r="Q3" s="6" t="inlineStr">
        <is>
          <t>W16</t>
        </is>
      </c>
      <c r="R3" s="6" t="inlineStr">
        <is>
          <t>W17</t>
        </is>
      </c>
      <c r="S3" s="6" t="inlineStr">
        <is>
          <t>W18</t>
        </is>
      </c>
      <c r="T3" s="6" t="inlineStr">
        <is>
          <t>W19</t>
        </is>
      </c>
      <c r="U3" s="6" t="inlineStr">
        <is>
          <t>W20</t>
        </is>
      </c>
      <c r="V3" s="6" t="inlineStr">
        <is>
          <t>W21</t>
        </is>
      </c>
      <c r="W3" s="6" t="inlineStr">
        <is>
          <t>W22</t>
        </is>
      </c>
      <c r="X3" s="6" t="inlineStr">
        <is>
          <t>W23</t>
        </is>
      </c>
      <c r="Y3" s="6" t="inlineStr">
        <is>
          <t>W24</t>
        </is>
      </c>
      <c r="Z3" s="6" t="inlineStr">
        <is>
          <t>W25</t>
        </is>
      </c>
      <c r="AA3" s="6" t="inlineStr">
        <is>
          <t>W26</t>
        </is>
      </c>
      <c r="AB3" s="6" t="inlineStr">
        <is>
          <t>W27</t>
        </is>
      </c>
      <c r="AC3" s="6" t="inlineStr">
        <is>
          <t>W28</t>
        </is>
      </c>
      <c r="AD3" s="6" t="inlineStr">
        <is>
          <t>W29</t>
        </is>
      </c>
      <c r="AE3" s="6" t="inlineStr">
        <is>
          <t>W30</t>
        </is>
      </c>
      <c r="AF3" s="6" t="inlineStr">
        <is>
          <t>W31</t>
        </is>
      </c>
      <c r="AG3" s="6" t="inlineStr">
        <is>
          <t>W32</t>
        </is>
      </c>
      <c r="AH3" s="6" t="inlineStr">
        <is>
          <t>W33</t>
        </is>
      </c>
      <c r="AI3" s="6" t="inlineStr">
        <is>
          <t>W34</t>
        </is>
      </c>
      <c r="AJ3" s="6" t="inlineStr">
        <is>
          <t>W35</t>
        </is>
      </c>
      <c r="AK3" s="6" t="inlineStr">
        <is>
          <t>W36</t>
        </is>
      </c>
      <c r="AL3" s="6" t="inlineStr">
        <is>
          <t>W37</t>
        </is>
      </c>
      <c r="AM3" s="6" t="inlineStr">
        <is>
          <t>W38</t>
        </is>
      </c>
      <c r="AN3" s="6" t="inlineStr">
        <is>
          <t>W39</t>
        </is>
      </c>
      <c r="AO3" s="6" t="inlineStr">
        <is>
          <t>W40</t>
        </is>
      </c>
      <c r="AP3" s="6" t="inlineStr">
        <is>
          <t>W41</t>
        </is>
      </c>
      <c r="AQ3" s="6" t="inlineStr">
        <is>
          <t>W42</t>
        </is>
      </c>
      <c r="AR3" s="6" t="inlineStr">
        <is>
          <t>W43</t>
        </is>
      </c>
      <c r="AS3" s="6" t="inlineStr">
        <is>
          <t>W44</t>
        </is>
      </c>
      <c r="AT3" s="6" t="inlineStr">
        <is>
          <t>W45</t>
        </is>
      </c>
      <c r="AU3" s="6" t="inlineStr">
        <is>
          <t>W46</t>
        </is>
      </c>
      <c r="AV3" s="6" t="inlineStr">
        <is>
          <t>W47</t>
        </is>
      </c>
      <c r="AW3" s="6" t="inlineStr">
        <is>
          <t>W48</t>
        </is>
      </c>
      <c r="AX3" s="6" t="inlineStr">
        <is>
          <t>W49</t>
        </is>
      </c>
      <c r="AY3" s="6" t="inlineStr">
        <is>
          <t>W50</t>
        </is>
      </c>
      <c r="AZ3" s="6" t="inlineStr">
        <is>
          <t>W51</t>
        </is>
      </c>
      <c r="BA3" s="6" t="inlineStr">
        <is>
          <t>W52</t>
        </is>
      </c>
      <c r="BB3" s="6" t="inlineStr">
        <is>
          <t>报价天数</t>
        </is>
      </c>
      <c r="BC3" s="6" t="inlineStr">
        <is>
          <t>首个位置</t>
        </is>
      </c>
      <c r="BD3" s="6" t="inlineStr">
        <is>
          <t>末个位置</t>
        </is>
      </c>
      <c r="BE3" s="6" t="inlineStr">
        <is>
          <t>覆盖说明</t>
        </is>
      </c>
    </row>
    <row r="4">
      <c r="A4" s="10" t="n">
        <v>2022</v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>
        <v>2438.75</v>
      </c>
      <c r="AI4" s="11" t="n">
        <v>2568.75</v>
      </c>
      <c r="AJ4" s="11" t="n">
        <v>2553.75</v>
      </c>
      <c r="AK4" s="11" t="n">
        <v>2712.5</v>
      </c>
      <c r="AL4" s="11" t="n">
        <v>2770</v>
      </c>
      <c r="AM4" s="11" t="n">
        <v>2766</v>
      </c>
      <c r="AN4" s="11" t="n">
        <v>3012.5</v>
      </c>
      <c r="AO4" s="11" t="n">
        <v>3105</v>
      </c>
      <c r="AP4" s="11" t="n">
        <v>2862.5</v>
      </c>
      <c r="AQ4" s="11" t="n">
        <v>2894</v>
      </c>
      <c r="AR4" s="11" t="n">
        <v>2800</v>
      </c>
      <c r="AS4" s="11" t="n">
        <v>2851</v>
      </c>
      <c r="AT4" s="11" t="n">
        <v>2691.67</v>
      </c>
      <c r="AU4" s="11" t="n">
        <v>2800</v>
      </c>
      <c r="AV4" s="11" t="n">
        <v>2785.83</v>
      </c>
      <c r="AW4" s="11" t="n">
        <v>2681.67</v>
      </c>
      <c r="AX4" s="11" t="n">
        <v>2631.67</v>
      </c>
      <c r="AY4" s="11" t="n">
        <v>2678.33</v>
      </c>
      <c r="AZ4" s="11" t="n">
        <v>2600</v>
      </c>
      <c r="BA4" s="11" t="n">
        <v>2631.67</v>
      </c>
      <c r="BB4" t="n">
        <v>93</v>
      </c>
      <c r="BC4" t="n">
        <v>33</v>
      </c>
      <c r="BD4" t="n">
        <v>52</v>
      </c>
      <c r="BE4" s="12" t="inlineStr">
        <is>
          <t>部分年份（缺前段/后段）</t>
        </is>
      </c>
    </row>
    <row r="5">
      <c r="A5" s="10" t="n">
        <v>2023</v>
      </c>
      <c r="B5" s="11" t="n">
        <v>2671.67</v>
      </c>
      <c r="C5" s="11" t="n">
        <v>2635.83</v>
      </c>
      <c r="D5" s="11" t="n">
        <v>2690</v>
      </c>
      <c r="E5" s="11" t="n">
        <v>2690</v>
      </c>
      <c r="F5" s="11" t="n">
        <v>2723.33</v>
      </c>
      <c r="G5" s="11" t="n">
        <v>2711.43</v>
      </c>
      <c r="H5" s="11" t="n">
        <v>2711.43</v>
      </c>
      <c r="I5" s="11" t="n">
        <v>2762.5</v>
      </c>
      <c r="J5" s="11" t="n">
        <v>2701.67</v>
      </c>
      <c r="K5" s="11" t="n">
        <v>2638.33</v>
      </c>
      <c r="L5" s="11" t="n">
        <v>2575.83</v>
      </c>
      <c r="M5" s="11" t="n">
        <v>2610</v>
      </c>
      <c r="N5" s="11" t="n">
        <v>2543.33</v>
      </c>
      <c r="O5" s="11" t="n">
        <v>2473.33</v>
      </c>
      <c r="P5" s="11" t="n">
        <v>2471.67</v>
      </c>
      <c r="Q5" s="11" t="n">
        <v>2550</v>
      </c>
      <c r="R5" s="11" t="n">
        <v>2488.33</v>
      </c>
      <c r="S5" s="11" t="n">
        <v>2411.67</v>
      </c>
      <c r="T5" s="11" t="n">
        <v>2360</v>
      </c>
      <c r="U5" s="11" t="n">
        <v>2343.33</v>
      </c>
      <c r="V5" s="11" t="n">
        <v>2135.83</v>
      </c>
      <c r="W5" s="11" t="n">
        <v>2161.67</v>
      </c>
      <c r="X5" s="11" t="n">
        <v>2085.83</v>
      </c>
      <c r="Y5" s="11" t="n">
        <v>2060</v>
      </c>
      <c r="Z5" s="11" t="n">
        <v>2091.67</v>
      </c>
      <c r="AA5" s="11" t="n">
        <v>2161.67</v>
      </c>
      <c r="AB5" s="11" t="n">
        <v>2155.83</v>
      </c>
      <c r="AC5" s="11" t="n">
        <v>2250</v>
      </c>
      <c r="AD5" s="11" t="n">
        <v>2245.83</v>
      </c>
      <c r="AE5" s="11" t="n">
        <v>2250.83</v>
      </c>
      <c r="AF5" s="11" t="n">
        <v>2330.83</v>
      </c>
      <c r="AG5" s="11" t="n">
        <v>2366.67</v>
      </c>
      <c r="AH5" s="11" t="n">
        <v>2355.83</v>
      </c>
      <c r="AI5" s="11" t="n">
        <v>2455.83</v>
      </c>
      <c r="AJ5" s="11" t="n">
        <v>2525</v>
      </c>
      <c r="AK5" s="11" t="n">
        <v>2499.17</v>
      </c>
      <c r="AL5" s="11" t="n">
        <v>2527.5</v>
      </c>
      <c r="AM5" s="11" t="n">
        <v>2539.17</v>
      </c>
      <c r="AN5" s="11" t="n">
        <v>2478.33</v>
      </c>
      <c r="AO5" s="11" t="n">
        <v>2478.33</v>
      </c>
      <c r="AP5" s="11" t="n">
        <v>2480</v>
      </c>
      <c r="AQ5" s="11" t="n">
        <v>2450</v>
      </c>
      <c r="AR5" s="11" t="n">
        <v>2430</v>
      </c>
      <c r="AS5" s="11" t="n">
        <v>2410</v>
      </c>
      <c r="AT5" s="11" t="n">
        <v>2505.83</v>
      </c>
      <c r="AU5" s="11" t="n">
        <v>2495.83</v>
      </c>
      <c r="AV5" s="11" t="n">
        <v>2365.83</v>
      </c>
      <c r="AW5" s="11" t="n">
        <v>2510.83</v>
      </c>
      <c r="AX5" s="11" t="n">
        <v>2455</v>
      </c>
      <c r="AY5" s="11" t="n">
        <v>2420.83</v>
      </c>
      <c r="AZ5" s="11" t="n">
        <v>2485.83</v>
      </c>
      <c r="BA5" s="11" t="n">
        <v>2456.67</v>
      </c>
      <c r="BB5" t="n">
        <v>259</v>
      </c>
      <c r="BC5" t="n">
        <v>1</v>
      </c>
      <c r="BD5" t="n">
        <v>52</v>
      </c>
      <c r="BE5" s="12" t="inlineStr">
        <is>
          <t>完整覆盖</t>
        </is>
      </c>
    </row>
    <row r="6">
      <c r="A6" s="10" t="n">
        <v>2024</v>
      </c>
      <c r="B6" s="11" t="n">
        <v>2414.17</v>
      </c>
      <c r="C6" s="11" t="n">
        <v>2415.83</v>
      </c>
      <c r="D6" s="11" t="n">
        <v>2447.5</v>
      </c>
      <c r="E6" s="11" t="n">
        <v>2615.83</v>
      </c>
      <c r="F6" s="11" t="n">
        <v>2561.67</v>
      </c>
      <c r="G6" s="11" t="n">
        <v>2640</v>
      </c>
      <c r="H6" s="11" t="n">
        <v>2640</v>
      </c>
      <c r="I6" s="11" t="n">
        <v>2635.83</v>
      </c>
      <c r="J6" s="11" t="n">
        <v>2730</v>
      </c>
      <c r="K6" s="11" t="n">
        <v>2711.67</v>
      </c>
      <c r="L6" s="11" t="n">
        <v>2710</v>
      </c>
      <c r="M6" s="11" t="n">
        <v>2685.83</v>
      </c>
      <c r="N6" s="11" t="n">
        <v>2583.33</v>
      </c>
      <c r="O6" s="11" t="n">
        <v>2610</v>
      </c>
      <c r="P6" s="11" t="n">
        <v>2580</v>
      </c>
      <c r="Q6" s="11" t="n">
        <v>2691.67</v>
      </c>
      <c r="R6" s="11" t="n">
        <v>2611.67</v>
      </c>
      <c r="S6" s="11" t="n">
        <v>2651.67</v>
      </c>
      <c r="T6" s="11" t="n">
        <v>2670</v>
      </c>
      <c r="U6" s="11" t="n">
        <v>2864.17</v>
      </c>
      <c r="V6" s="11" t="n">
        <v>2758.33</v>
      </c>
      <c r="W6" s="11" t="n">
        <v>2800</v>
      </c>
      <c r="X6" s="11" t="n">
        <v>2620</v>
      </c>
      <c r="Y6" s="11" t="n">
        <v>2560</v>
      </c>
      <c r="Z6" s="11" t="n">
        <v>2526.67</v>
      </c>
      <c r="AA6" s="11" t="n">
        <v>2530</v>
      </c>
      <c r="AB6" s="11" t="n">
        <v>2540</v>
      </c>
      <c r="AC6" s="11" t="n">
        <v>2550</v>
      </c>
      <c r="AD6" s="11" t="n">
        <v>2525.83</v>
      </c>
      <c r="AE6" s="11" t="n">
        <v>2510</v>
      </c>
      <c r="AF6" s="11" t="n">
        <v>2510</v>
      </c>
      <c r="AG6" s="11" t="n">
        <v>2471.67</v>
      </c>
      <c r="AH6" s="11" t="n">
        <v>2411.67</v>
      </c>
      <c r="AI6" s="11" t="n">
        <v>2481.67</v>
      </c>
      <c r="AJ6" s="11" t="n">
        <v>2495.83</v>
      </c>
      <c r="AK6" s="11" t="n">
        <v>2385.83</v>
      </c>
      <c r="AL6" s="11" t="n">
        <v>2405.83</v>
      </c>
      <c r="AM6" s="11" t="n">
        <v>2440</v>
      </c>
      <c r="AN6" s="11" t="n">
        <v>2440.83</v>
      </c>
      <c r="AO6" s="11" t="n">
        <v>2577.5</v>
      </c>
      <c r="AP6" s="11" t="n">
        <v>2505.83</v>
      </c>
      <c r="AQ6" s="11" t="n">
        <v>2456.67</v>
      </c>
      <c r="AR6" s="11" t="n">
        <v>2440</v>
      </c>
      <c r="AS6" s="11" t="n">
        <v>2485</v>
      </c>
      <c r="AT6" s="11" t="n">
        <v>2499.17</v>
      </c>
      <c r="AU6" s="11" t="n">
        <v>2475</v>
      </c>
      <c r="AV6" s="11" t="n">
        <v>2550</v>
      </c>
      <c r="AW6" s="11" t="n">
        <v>2538.33</v>
      </c>
      <c r="AX6" s="11" t="n">
        <v>2482.5</v>
      </c>
      <c r="AY6" s="11" t="n">
        <v>2595.83</v>
      </c>
      <c r="AZ6" s="11" t="n">
        <v>2625</v>
      </c>
      <c r="BA6" s="11" t="n">
        <v>2750</v>
      </c>
      <c r="BB6" t="n">
        <v>260</v>
      </c>
      <c r="BC6" t="n">
        <v>1</v>
      </c>
      <c r="BD6" t="n">
        <v>52</v>
      </c>
      <c r="BE6" s="12" t="inlineStr">
        <is>
          <t>完整覆盖</t>
        </is>
      </c>
    </row>
    <row r="7">
      <c r="A7" s="10" t="n">
        <v>2025</v>
      </c>
      <c r="B7" s="11" t="n">
        <v>2779.17</v>
      </c>
      <c r="C7" s="11" t="n">
        <v>2674.17</v>
      </c>
      <c r="D7" s="11" t="n">
        <v>2710</v>
      </c>
      <c r="E7" s="11" t="n">
        <v>2630</v>
      </c>
      <c r="F7" s="11" t="n">
        <v>2635.83</v>
      </c>
      <c r="G7" s="11" t="n">
        <v>2650</v>
      </c>
      <c r="H7" s="11" t="n">
        <v>2604.17</v>
      </c>
      <c r="I7" s="11" t="n">
        <v>2595</v>
      </c>
      <c r="J7" s="11" t="n">
        <v>2634.17</v>
      </c>
      <c r="K7" s="11" t="n">
        <v>2649.17</v>
      </c>
      <c r="L7" s="11" t="n">
        <v>2628.33</v>
      </c>
      <c r="M7" s="11" t="n">
        <v>2694.17</v>
      </c>
      <c r="N7" s="11" t="n">
        <v>2690</v>
      </c>
      <c r="O7" s="11" t="n">
        <v>2550</v>
      </c>
      <c r="P7" s="11" t="n">
        <v>2537.5</v>
      </c>
      <c r="Q7" s="11" t="n">
        <v>2403.75</v>
      </c>
      <c r="R7" s="11" t="n">
        <v>2420</v>
      </c>
      <c r="S7" s="11" t="n">
        <v>2440</v>
      </c>
      <c r="T7" s="11" t="n">
        <v>2390</v>
      </c>
      <c r="U7" s="11" t="n">
        <v>2426.25</v>
      </c>
      <c r="V7" s="11" t="n">
        <v>2312.5</v>
      </c>
      <c r="W7" s="11" t="n">
        <v>2247</v>
      </c>
      <c r="X7" s="11" t="n">
        <v>2302</v>
      </c>
      <c r="Y7" s="11" t="n">
        <v>2362</v>
      </c>
      <c r="Z7" s="11" t="n">
        <v>2764</v>
      </c>
      <c r="AA7" s="11" t="n">
        <v>2750.83</v>
      </c>
      <c r="AB7" s="11" t="n">
        <v>2474.17</v>
      </c>
      <c r="AC7" s="11" t="n">
        <v>2397.5</v>
      </c>
      <c r="AD7" s="11" t="n">
        <v>2391.67</v>
      </c>
      <c r="AE7" s="11" t="n">
        <v>2459.17</v>
      </c>
      <c r="AF7" s="11" t="n">
        <v>2393.33</v>
      </c>
      <c r="AG7" s="11" t="n">
        <v>2380.83</v>
      </c>
      <c r="AH7" s="11" t="n">
        <v>2346.67</v>
      </c>
      <c r="AI7" s="11" t="n">
        <v>2308.83</v>
      </c>
      <c r="AJ7" s="11" t="n">
        <v>2245.83</v>
      </c>
      <c r="AK7" s="11" t="n">
        <v>2245.83</v>
      </c>
      <c r="AL7" s="11" t="n">
        <v>2290</v>
      </c>
      <c r="AM7" s="11" t="n">
        <v>2261.67</v>
      </c>
      <c r="AN7" s="11" t="n">
        <v>2253.75</v>
      </c>
      <c r="AO7" s="11" t="n">
        <v>2237.5</v>
      </c>
      <c r="AP7" s="11" t="n">
        <v>2232.5</v>
      </c>
      <c r="AQ7" s="11" t="n">
        <v>2324</v>
      </c>
      <c r="AR7" s="11" t="n">
        <v>2256</v>
      </c>
      <c r="AS7" s="11" t="n">
        <v>2176</v>
      </c>
      <c r="AT7" s="11" t="n">
        <v>2096</v>
      </c>
      <c r="AU7" s="11" t="n">
        <v>2078</v>
      </c>
      <c r="AV7" s="11" t="n">
        <v>2002</v>
      </c>
      <c r="AW7" s="11" t="n">
        <v>2103.33</v>
      </c>
      <c r="AX7" s="11" t="n">
        <v>2100</v>
      </c>
      <c r="AY7" s="11" t="n">
        <v>2104.17</v>
      </c>
      <c r="AZ7" s="11" t="n">
        <v>2157.5</v>
      </c>
      <c r="BA7" s="11" t="n">
        <v>2150</v>
      </c>
      <c r="BB7" t="n">
        <v>259</v>
      </c>
      <c r="BC7" t="n">
        <v>1</v>
      </c>
      <c r="BD7" t="n">
        <v>52</v>
      </c>
      <c r="BE7" s="12" t="inlineStr">
        <is>
          <t>完整覆盖</t>
        </is>
      </c>
    </row>
    <row r="8">
      <c r="A8" s="13" t="n">
        <v>2026</v>
      </c>
      <c r="B8" s="14" t="n">
        <v>2207.5</v>
      </c>
      <c r="C8" s="14" t="n">
        <v>2240.83</v>
      </c>
      <c r="D8" s="14" t="n">
        <v>2250.83</v>
      </c>
      <c r="E8" s="14" t="n">
        <v>2225.83</v>
      </c>
      <c r="F8" s="14" t="n">
        <v>2284.17</v>
      </c>
      <c r="G8" s="14" t="n">
        <v>2200</v>
      </c>
      <c r="H8" s="14" t="n">
        <v>2225</v>
      </c>
      <c r="I8" s="14" t="n">
        <v>2201.67</v>
      </c>
      <c r="J8" s="14" t="n">
        <v>2185.83</v>
      </c>
      <c r="K8" s="14" t="n">
        <v>2500</v>
      </c>
      <c r="L8" s="14" t="n">
        <v>2750</v>
      </c>
      <c r="M8" s="14" t="n">
        <v>3170</v>
      </c>
      <c r="N8" s="14" t="n">
        <v>3286.67</v>
      </c>
      <c r="O8" s="14" t="n">
        <v>3346.67</v>
      </c>
      <c r="P8" s="14" t="n">
        <v>3386.67</v>
      </c>
      <c r="Q8" s="14" t="n">
        <v>3393.33</v>
      </c>
      <c r="R8" s="14" t="n">
        <v>3256.67</v>
      </c>
      <c r="S8" s="14" t="n">
        <v>3295.83</v>
      </c>
      <c r="T8" s="14" t="n">
        <v>3170</v>
      </c>
      <c r="U8" s="14" t="n">
        <v>3100</v>
      </c>
      <c r="V8" s="14" t="n">
        <v>3215.83</v>
      </c>
      <c r="W8" s="14" t="n">
        <v>3128.33</v>
      </c>
      <c r="X8" s="14" t="n">
        <v>3186.67</v>
      </c>
      <c r="Y8" s="14" t="n">
        <v>3441.67</v>
      </c>
      <c r="Z8" s="14" t="n">
        <v>2916.67</v>
      </c>
      <c r="AA8" s="14" t="n">
        <v>2713.33</v>
      </c>
      <c r="AB8" s="14" t="n">
        <v>2545.83</v>
      </c>
      <c r="AC8" s="14" t="n">
        <v>2650</v>
      </c>
      <c r="AD8" s="14" t="n">
        <v>2656.67</v>
      </c>
      <c r="AE8" s="14" t="n">
        <v>2750</v>
      </c>
      <c r="AF8" s="14" t="n">
        <v>2665</v>
      </c>
      <c r="AG8" s="14" t="n">
        <v>2531.67</v>
      </c>
      <c r="AH8" s="14" t="n">
        <v>2668.33</v>
      </c>
      <c r="AI8" s="14" t="n">
        <v>2875.83</v>
      </c>
      <c r="AJ8" s="14" t="n">
        <v>2850.83</v>
      </c>
      <c r="AK8" s="14" t="n">
        <v>3349.17</v>
      </c>
      <c r="AL8" s="14" t="n">
        <v>3726.67</v>
      </c>
      <c r="AM8" s="14" t="n">
        <v>4030</v>
      </c>
      <c r="AN8" s="14" t="n">
        <v>4110</v>
      </c>
      <c r="AO8" s="14" t="n">
        <v>4493.33</v>
      </c>
      <c r="AP8" s="14" t="n">
        <v>4733.33</v>
      </c>
      <c r="AQ8" s="14" t="n">
        <v>3990</v>
      </c>
      <c r="AR8" s="14" t="n">
        <v>3966.67</v>
      </c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t="n">
        <v>212</v>
      </c>
      <c r="BC8" t="n">
        <v>1</v>
      </c>
      <c r="BD8" t="n">
        <v>43</v>
      </c>
      <c r="BE8" s="12" t="inlineStr">
        <is>
          <t>部分年份（缺前段/后段）</t>
        </is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9" customWidth="1" min="14" max="14"/>
    <col width="10" customWidth="1" min="15" max="15"/>
    <col width="10" customWidth="1" min="16" max="16"/>
    <col width="30" customWidth="1" min="17" max="17"/>
  </cols>
  <sheetData>
    <row r="1" ht="22" customHeight="1">
      <c r="A1" s="1" t="inlineStr">
        <is>
          <t>03 月度面板：年份 × 月</t>
        </is>
      </c>
    </row>
    <row r="2">
      <c r="A2" s="2" t="inlineStr">
        <is>
          <t>每格 = 该月最后一个有报价日的价格；空白 = 该月无数据</t>
        </is>
      </c>
    </row>
    <row r="3" ht="26" customHeight="1">
      <c r="A3" s="6" t="inlineStr">
        <is>
          <t>年份</t>
        </is>
      </c>
      <c r="B3" s="6" t="inlineStr">
        <is>
          <t>01月</t>
        </is>
      </c>
      <c r="C3" s="6" t="inlineStr">
        <is>
          <t>02月</t>
        </is>
      </c>
      <c r="D3" s="6" t="inlineStr">
        <is>
          <t>03月</t>
        </is>
      </c>
      <c r="E3" s="6" t="inlineStr">
        <is>
          <t>04月</t>
        </is>
      </c>
      <c r="F3" s="6" t="inlineStr">
        <is>
          <t>05月</t>
        </is>
      </c>
      <c r="G3" s="6" t="inlineStr">
        <is>
          <t>06月</t>
        </is>
      </c>
      <c r="H3" s="6" t="inlineStr">
        <is>
          <t>07月</t>
        </is>
      </c>
      <c r="I3" s="6" t="inlineStr">
        <is>
          <t>08月</t>
        </is>
      </c>
      <c r="J3" s="6" t="inlineStr">
        <is>
          <t>09月</t>
        </is>
      </c>
      <c r="K3" s="6" t="inlineStr">
        <is>
          <t>10月</t>
        </is>
      </c>
      <c r="L3" s="6" t="inlineStr">
        <is>
          <t>11月</t>
        </is>
      </c>
      <c r="M3" s="6" t="inlineStr">
        <is>
          <t>12月</t>
        </is>
      </c>
      <c r="N3" s="6" t="inlineStr">
        <is>
          <t>报价天数</t>
        </is>
      </c>
      <c r="O3" s="6" t="inlineStr">
        <is>
          <t>首个位置</t>
        </is>
      </c>
      <c r="P3" s="6" t="inlineStr">
        <is>
          <t>末个位置</t>
        </is>
      </c>
      <c r="Q3" s="6" t="inlineStr">
        <is>
          <t>覆盖说明</t>
        </is>
      </c>
    </row>
    <row r="4">
      <c r="A4" s="10" t="n">
        <v>2022</v>
      </c>
      <c r="B4" s="11" t="n"/>
      <c r="C4" s="11" t="n"/>
      <c r="D4" s="11" t="n"/>
      <c r="E4" s="11" t="n"/>
      <c r="F4" s="11" t="n"/>
      <c r="G4" s="11" t="n"/>
      <c r="H4" s="11" t="n"/>
      <c r="I4" s="11" t="n">
        <v>2540</v>
      </c>
      <c r="J4" s="11" t="n">
        <v>3012.5</v>
      </c>
      <c r="K4" s="11" t="n">
        <v>2800</v>
      </c>
      <c r="L4" s="11" t="n">
        <v>2785.83</v>
      </c>
      <c r="M4" s="11" t="n">
        <v>2631.67</v>
      </c>
      <c r="N4" t="n">
        <v>93</v>
      </c>
      <c r="O4" t="n">
        <v>8</v>
      </c>
      <c r="P4" t="n">
        <v>12</v>
      </c>
      <c r="Q4" s="12" t="inlineStr">
        <is>
          <t>部分年份（缺前段/后段）</t>
        </is>
      </c>
    </row>
    <row r="5">
      <c r="A5" s="10" t="n">
        <v>2023</v>
      </c>
      <c r="B5" s="11" t="n">
        <v>2768.75</v>
      </c>
      <c r="C5" s="11" t="n">
        <v>2780.83</v>
      </c>
      <c r="D5" s="11" t="n">
        <v>2543.33</v>
      </c>
      <c r="E5" s="11" t="n">
        <v>2488.33</v>
      </c>
      <c r="F5" s="11" t="n">
        <v>2175</v>
      </c>
      <c r="G5" s="11" t="n">
        <v>2161.67</v>
      </c>
      <c r="H5" s="11" t="n">
        <v>2281.67</v>
      </c>
      <c r="I5" s="11" t="n">
        <v>2541.67</v>
      </c>
      <c r="J5" s="11" t="n">
        <v>2478.33</v>
      </c>
      <c r="K5" s="11" t="n">
        <v>2457.5</v>
      </c>
      <c r="L5" s="11" t="n">
        <v>2435.83</v>
      </c>
      <c r="M5" s="11" t="n">
        <v>2456.67</v>
      </c>
      <c r="N5" t="n">
        <v>259</v>
      </c>
      <c r="O5" t="n">
        <v>1</v>
      </c>
      <c r="P5" t="n">
        <v>12</v>
      </c>
      <c r="Q5" s="12" t="inlineStr">
        <is>
          <t>部分年份（缺前段/后段）</t>
        </is>
      </c>
    </row>
    <row r="6">
      <c r="A6" s="10" t="n">
        <v>2024</v>
      </c>
      <c r="B6" s="11" t="n">
        <v>2571.67</v>
      </c>
      <c r="C6" s="11" t="n">
        <v>2741.67</v>
      </c>
      <c r="D6" s="11" t="n">
        <v>2583.33</v>
      </c>
      <c r="E6" s="11" t="n">
        <v>2649.17</v>
      </c>
      <c r="F6" s="11" t="n">
        <v>2800</v>
      </c>
      <c r="G6" s="11" t="n">
        <v>2530</v>
      </c>
      <c r="H6" s="11" t="n">
        <v>2465.83</v>
      </c>
      <c r="I6" s="11" t="n">
        <v>2495.83</v>
      </c>
      <c r="J6" s="11" t="n">
        <v>2518.33</v>
      </c>
      <c r="K6" s="11" t="n">
        <v>2440</v>
      </c>
      <c r="L6" s="11" t="n">
        <v>2538.33</v>
      </c>
      <c r="M6" s="11" t="n">
        <v>2745.83</v>
      </c>
      <c r="N6" t="n">
        <v>262</v>
      </c>
      <c r="O6" t="n">
        <v>1</v>
      </c>
      <c r="P6" t="n">
        <v>12</v>
      </c>
      <c r="Q6" s="12" t="inlineStr">
        <is>
          <t>部分年份（缺前段/后段）</t>
        </is>
      </c>
    </row>
    <row r="7">
      <c r="A7" s="10" t="n">
        <v>2025</v>
      </c>
      <c r="B7" s="11" t="n">
        <v>2635.83</v>
      </c>
      <c r="C7" s="11" t="n">
        <v>2634.17</v>
      </c>
      <c r="D7" s="11" t="n">
        <v>2654.17</v>
      </c>
      <c r="E7" s="11" t="n">
        <v>2437.5</v>
      </c>
      <c r="F7" s="11" t="n">
        <v>2247</v>
      </c>
      <c r="G7" s="11" t="n">
        <v>2785.83</v>
      </c>
      <c r="H7" s="11" t="n">
        <v>2416.67</v>
      </c>
      <c r="I7" s="11" t="n">
        <v>2245.83</v>
      </c>
      <c r="J7" s="11" t="n">
        <v>2260</v>
      </c>
      <c r="K7" s="11" t="n">
        <v>2176</v>
      </c>
      <c r="L7" s="11" t="n">
        <v>2103.33</v>
      </c>
      <c r="M7" s="11" t="n">
        <v>2200</v>
      </c>
      <c r="N7" t="n">
        <v>260</v>
      </c>
      <c r="O7" t="n">
        <v>1</v>
      </c>
      <c r="P7" t="n">
        <v>12</v>
      </c>
      <c r="Q7" s="12" t="inlineStr">
        <is>
          <t>部分年份（缺前段/后段）</t>
        </is>
      </c>
    </row>
    <row r="8">
      <c r="A8" s="13" t="n">
        <v>2026</v>
      </c>
      <c r="B8" s="14" t="n">
        <v>2284.17</v>
      </c>
      <c r="C8" s="14" t="n">
        <v>2185.83</v>
      </c>
      <c r="D8" s="14" t="n">
        <v>3460</v>
      </c>
      <c r="E8" s="14" t="n">
        <v>3292.5</v>
      </c>
      <c r="F8" s="14" t="n">
        <v>3128.33</v>
      </c>
      <c r="G8" s="14" t="n">
        <v>2813.33</v>
      </c>
      <c r="H8" s="14" t="n">
        <v>2665</v>
      </c>
      <c r="I8" s="14" t="n">
        <v>2921.67</v>
      </c>
      <c r="J8" s="14" t="n">
        <v>4585</v>
      </c>
      <c r="K8" s="14" t="n">
        <v>3966.67</v>
      </c>
      <c r="L8" s="14" t="n"/>
      <c r="M8" s="14" t="n"/>
      <c r="N8" t="n">
        <v>209</v>
      </c>
      <c r="O8" t="n">
        <v>1</v>
      </c>
      <c r="P8" t="n">
        <v>10</v>
      </c>
      <c r="Q8" s="12" t="inlineStr">
        <is>
          <t>部分年份（缺前段/后段）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04 周次对齐规则（周次不能跨年直接比，必须按 ISO 周对齐）</t>
        </is>
      </c>
    </row>
    <row r="2">
      <c r="A2" s="2" t="inlineStr">
        <is>
          <t>本表说明每个 x 位置是怎么定义的，以及每年实际覆盖到哪一周</t>
        </is>
      </c>
    </row>
    <row r="4">
      <c r="A4" s="3" t="inlineStr">
        <is>
          <t>周度 x 轴</t>
        </is>
      </c>
      <c r="B4" s="4" t="inlineStr">
        <is>
          <t>ISO 8601 周次 1..52（周一为首日）。ISO 周 53 折叠入第 52 周，使各年份可同年比较。</t>
        </is>
      </c>
    </row>
    <row r="5">
      <c r="A5" s="3" t="inlineStr">
        <is>
          <t>周值定义</t>
        </is>
      </c>
      <c r="B5" s="4" t="inlineStr">
        <is>
          <t>该 ISO 周内最后一个有报价工作日的价格（周内其余日只用于计算周均值/周高低）。</t>
        </is>
      </c>
    </row>
    <row r="6">
      <c r="A6" s="3" t="inlineStr">
        <is>
          <t>为什么不用自然周</t>
        </is>
      </c>
      <c r="B6" s="4" t="inlineStr">
        <is>
          <t>自然周会跨年错位（如 2024 第 1 周与 2025 第 1 周不是同一时点），跨年比较会产生伪季节性。</t>
        </is>
      </c>
    </row>
    <row r="7">
      <c r="A7" s="3" t="inlineStr">
        <is>
          <t>月度 x 轴</t>
        </is>
      </c>
      <c r="B7" s="4" t="inlineStr">
        <is>
          <t>自然月 1..12；月值 = 该月最后一个有报价日；另存月均值与月内天数。</t>
        </is>
      </c>
    </row>
    <row r="8">
      <c r="A8" s="3" t="inlineStr">
        <is>
          <t>春节/长假</t>
        </is>
      </c>
      <c r="B8" s="4" t="inlineStr">
        <is>
          <t>长假所在周报价日可能仅 1–3 天。本报告不剔除该周，也不补造；如样本量不足会触发样本门槛。如需规避，可在 config 里把该周设为排除位置（excluded_positions）。</t>
        </is>
      </c>
    </row>
    <row r="9">
      <c r="A9" s="3" t="inlineStr">
        <is>
          <t>缺报处理</t>
        </is>
      </c>
      <c r="B9" s="4" t="inlineStr">
        <is>
          <t>工作日无报价：保留为空，不插值、不前值填充；在「11数据缺口」逐条列出。</t>
        </is>
      </c>
    </row>
    <row r="10">
      <c r="A10" s="3" t="inlineStr">
        <is>
          <t>窗口</t>
        </is>
      </c>
      <c r="B10" s="4" t="inlineStr">
        <is>
          <t>W1..W52（全年）。若只关心某个季度，把 window_start_iso_week / quarter_end_iso_week 改成 1..13 等。</t>
        </is>
      </c>
    </row>
    <row r="11">
      <c r="A11" s="3" t="inlineStr">
        <is>
          <t>归一化</t>
        </is>
      </c>
      <c r="B11" s="4" t="inlineStr">
        <is>
          <t>每年以该年窗口内第一个有效观测为 100（不是 1 月 1 日插值）。</t>
        </is>
      </c>
    </row>
    <row r="13">
      <c r="A13" s="3" t="inlineStr">
        <is>
          <t>逐年实际覆盖（首/末 ISO 周与报价天数）</t>
        </is>
      </c>
    </row>
    <row r="14" ht="30" customHeight="1">
      <c r="A14" s="6" t="inlineStr">
        <is>
          <t>年份</t>
        </is>
      </c>
      <c r="B14" s="6" t="inlineStr">
        <is>
          <t>首个ISO周</t>
        </is>
      </c>
      <c r="C14" s="6" t="inlineStr">
        <is>
          <t>末个ISO周</t>
        </is>
      </c>
      <c r="D14" s="6" t="inlineStr">
        <is>
          <t>首日</t>
        </is>
      </c>
      <c r="E14" s="6" t="inlineStr">
        <is>
          <t>末日</t>
        </is>
      </c>
      <c r="F14" s="6" t="inlineStr">
        <is>
          <t>有效位置数</t>
        </is>
      </c>
      <c r="G14" s="6" t="inlineStr">
        <is>
          <t>报价天数</t>
        </is>
      </c>
      <c r="H14" s="6" t="inlineStr">
        <is>
          <t>内部缺口(周)</t>
        </is>
      </c>
      <c r="I14" s="6" t="inlineStr">
        <is>
          <t>覆盖说明</t>
        </is>
      </c>
    </row>
    <row r="15">
      <c r="A15" s="7" t="n">
        <v>2022</v>
      </c>
      <c r="B15" s="7" t="n">
        <v>33</v>
      </c>
      <c r="C15" s="7" t="n">
        <v>52</v>
      </c>
      <c r="D15" s="7" t="inlineStr">
        <is>
          <t>2022-08-17</t>
        </is>
      </c>
      <c r="E15" s="7" t="inlineStr">
        <is>
          <t>2022-12-30</t>
        </is>
      </c>
      <c r="F15" s="7" t="n">
        <v>20</v>
      </c>
      <c r="G15" s="7" t="n">
        <v>93</v>
      </c>
      <c r="H15" s="7" t="n">
        <v>0</v>
      </c>
      <c r="I15" s="7" t="inlineStr">
        <is>
          <t>部分年份（缺前段/后段）</t>
        </is>
      </c>
    </row>
    <row r="16">
      <c r="A16" s="7" t="n">
        <v>2023</v>
      </c>
      <c r="B16" s="7" t="n">
        <v>1</v>
      </c>
      <c r="C16" s="7" t="n">
        <v>52</v>
      </c>
      <c r="D16" s="7" t="inlineStr">
        <is>
          <t>2023-01-02</t>
        </is>
      </c>
      <c r="E16" s="7" t="inlineStr">
        <is>
          <t>2023-12-29</t>
        </is>
      </c>
      <c r="F16" s="7" t="n">
        <v>52</v>
      </c>
      <c r="G16" s="7" t="n">
        <v>259</v>
      </c>
      <c r="H16" s="7" t="n">
        <v>0</v>
      </c>
      <c r="I16" s="7" t="inlineStr">
        <is>
          <t>完整覆盖</t>
        </is>
      </c>
    </row>
    <row r="17">
      <c r="A17" s="7" t="n">
        <v>2024</v>
      </c>
      <c r="B17" s="7" t="n">
        <v>1</v>
      </c>
      <c r="C17" s="7" t="n">
        <v>52</v>
      </c>
      <c r="D17" s="7" t="inlineStr">
        <is>
          <t>2024-01-01</t>
        </is>
      </c>
      <c r="E17" s="7" t="inlineStr">
        <is>
          <t>2024-12-27</t>
        </is>
      </c>
      <c r="F17" s="7" t="n">
        <v>52</v>
      </c>
      <c r="G17" s="7" t="n">
        <v>260</v>
      </c>
      <c r="H17" s="7" t="n">
        <v>0</v>
      </c>
      <c r="I17" s="7" t="inlineStr">
        <is>
          <t>完整覆盖</t>
        </is>
      </c>
    </row>
    <row r="18">
      <c r="A18" s="7" t="n">
        <v>2025</v>
      </c>
      <c r="B18" s="7" t="n">
        <v>1</v>
      </c>
      <c r="C18" s="7" t="n">
        <v>52</v>
      </c>
      <c r="D18" s="7" t="inlineStr">
        <is>
          <t>2024-12-30</t>
        </is>
      </c>
      <c r="E18" s="7" t="inlineStr">
        <is>
          <t>2025-12-26</t>
        </is>
      </c>
      <c r="F18" s="7" t="n">
        <v>52</v>
      </c>
      <c r="G18" s="7" t="n">
        <v>259</v>
      </c>
      <c r="H18" s="7" t="n">
        <v>0</v>
      </c>
      <c r="I18" s="7" t="inlineStr">
        <is>
          <t>完整覆盖</t>
        </is>
      </c>
    </row>
    <row r="19">
      <c r="A19" s="15" t="n">
        <v>2026</v>
      </c>
      <c r="B19" s="15" t="n">
        <v>1</v>
      </c>
      <c r="C19" s="15" t="n">
        <v>43</v>
      </c>
      <c r="D19" s="15" t="inlineStr">
        <is>
          <t>2025-12-29</t>
        </is>
      </c>
      <c r="E19" s="15" t="inlineStr">
        <is>
          <t>2026-10-20</t>
        </is>
      </c>
      <c r="F19" s="15" t="n">
        <v>43</v>
      </c>
      <c r="G19" s="15" t="n">
        <v>212</v>
      </c>
      <c r="H19" s="15" t="n">
        <v>0</v>
      </c>
      <c r="I19" s="15" t="inlineStr">
        <is>
          <t>部分年份（缺前段/后段）</t>
        </is>
      </c>
    </row>
  </sheetData>
  <mergeCells count="9">
    <mergeCell ref="B8:H8"/>
    <mergeCell ref="B9:H9"/>
    <mergeCell ref="B4:H4"/>
    <mergeCell ref="A2:H2"/>
    <mergeCell ref="B6:H6"/>
    <mergeCell ref="B7:H7"/>
    <mergeCell ref="B10:H10"/>
    <mergeCell ref="B11:H11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8" customWidth="1" min="16" max="16"/>
    <col width="11" customWidth="1" min="17" max="17"/>
    <col width="10" customWidth="1" min="18" max="18"/>
    <col width="10" customWidth="1" min="19" max="19"/>
    <col width="14" customWidth="1" min="20" max="20"/>
    <col width="22" customWidth="1" min="21" max="21"/>
  </cols>
  <sheetData>
    <row r="1" ht="22" customHeight="1">
      <c r="A1" s="1" t="inlineStr">
        <is>
          <t>05 周度同期统计（公式直连 02 面板）</t>
        </is>
      </c>
    </row>
    <row r="2">
      <c r="A2" s="2" t="inlineStr">
        <is>
          <t>均值/中位数/分位并列：均值易被单一年份拉走，中位数更抗异常；样本 n 一并给出</t>
        </is>
      </c>
    </row>
    <row r="3" ht="26" customHeight="1">
      <c r="A3" s="6" t="inlineStr">
        <is>
          <t>位置</t>
        </is>
      </c>
      <c r="B3" s="6" t="inlineStr">
        <is>
          <t>标签</t>
        </is>
      </c>
      <c r="C3" s="6" t="inlineStr">
        <is>
          <t>n年</t>
        </is>
      </c>
      <c r="D3" s="6" t="inlineStr">
        <is>
          <t>均值</t>
        </is>
      </c>
      <c r="E3" s="6" t="inlineStr">
        <is>
          <t>中位数</t>
        </is>
      </c>
      <c r="F3" s="6" t="inlineStr">
        <is>
          <t>标准差</t>
        </is>
      </c>
      <c r="G3" s="6" t="inlineStr">
        <is>
          <t>最小</t>
        </is>
      </c>
      <c r="H3" s="6" t="inlineStr">
        <is>
          <t>最大</t>
        </is>
      </c>
      <c r="I3" s="6" t="inlineStr">
        <is>
          <t>p10</t>
        </is>
      </c>
      <c r="J3" s="6" t="inlineStr">
        <is>
          <t>p25</t>
        </is>
      </c>
      <c r="K3" s="6" t="inlineStr">
        <is>
          <t>p50</t>
        </is>
      </c>
      <c r="L3" s="6" t="inlineStr">
        <is>
          <t>p75</t>
        </is>
      </c>
      <c r="M3" s="6" t="inlineStr">
        <is>
          <t>p90</t>
        </is>
      </c>
      <c r="N3" s="6" t="inlineStr">
        <is>
          <t>IQR</t>
        </is>
      </c>
      <c r="O3" s="6" t="inlineStr">
        <is>
          <t>p90-p10</t>
        </is>
      </c>
      <c r="P3" s="6" t="inlineStr">
        <is>
          <t>CV</t>
        </is>
      </c>
      <c r="Q3" s="6" t="inlineStr">
        <is>
          <t>均值-中位</t>
        </is>
      </c>
      <c r="R3" s="6" t="inlineStr">
        <is>
          <t>均值/中位</t>
        </is>
      </c>
      <c r="S3" s="6" t="inlineStr">
        <is>
          <t>样本不足?</t>
        </is>
      </c>
      <c r="T3" s="6" t="inlineStr">
        <is>
          <t>缺少年份</t>
        </is>
      </c>
      <c r="U3" s="6" t="inlineStr">
        <is>
          <t>样本年份</t>
        </is>
      </c>
    </row>
    <row r="4">
      <c r="A4" t="n">
        <v>1</v>
      </c>
      <c r="B4" t="inlineStr">
        <is>
          <t>W01</t>
        </is>
      </c>
      <c r="C4">
        <f>COUNT('02周度面板'!$B$4:$B$8)</f>
        <v/>
      </c>
      <c r="D4" s="16">
        <f>IFERROR(AVERAGE('02周度面板'!$B$4:$B$8),"")</f>
        <v/>
      </c>
      <c r="E4" s="16">
        <f>IFERROR(MEDIAN('02周度面板'!$B$4:$B$8),"")</f>
        <v/>
      </c>
      <c r="F4" s="16">
        <f>IFERROR(STDEV('02周度面板'!$B$4:$B$8),"")</f>
        <v/>
      </c>
      <c r="G4" s="16">
        <f>IFERROR(MIN('02周度面板'!$B$4:$B$8),"")</f>
        <v/>
      </c>
      <c r="H4" s="16">
        <f>IFERROR(MAX('02周度面板'!$B$4:$B$8),"")</f>
        <v/>
      </c>
      <c r="I4" s="17">
        <f>IFERROR(_xlfn.PERCENTILE.INC('02周度面板'!$B$4:$B$8,0.1),PERCENTILE('02周度面板'!$B$4:$B$8,0.1))</f>
        <v/>
      </c>
      <c r="J4" s="17">
        <f>IFERROR(_xlfn.PERCENTILE.INC('02周度面板'!$B$4:$B$8,0.25),PERCENTILE('02周度面板'!$B$4:$B$8,0.25))</f>
        <v/>
      </c>
      <c r="K4" s="17">
        <f>IFERROR(_xlfn.PERCENTILE.INC('02周度面板'!$B$4:$B$8,0.5),PERCENTILE('02周度面板'!$B$4:$B$8,0.5))</f>
        <v/>
      </c>
      <c r="L4" s="17">
        <f>IFERROR(_xlfn.PERCENTILE.INC('02周度面板'!$B$4:$B$8,0.75),PERCENTILE('02周度面板'!$B$4:$B$8,0.75))</f>
        <v/>
      </c>
      <c r="M4" s="17">
        <f>IFERROR(_xlfn.PERCENTILE.INC('02周度面板'!$B$4:$B$8,0.9),PERCENTILE('02周度面板'!$B$4:$B$8,0.9))</f>
        <v/>
      </c>
      <c r="N4" s="17">
        <f>IFERROR(J4-I4,"")</f>
        <v/>
      </c>
      <c r="O4" s="17">
        <f>IFERROR(M4-I4,"")</f>
        <v/>
      </c>
      <c r="P4" s="18">
        <f>IFERROR(F4/D4,"")</f>
        <v/>
      </c>
      <c r="Q4" s="16">
        <f>IFERROR(D4-E4,"")</f>
        <v/>
      </c>
      <c r="R4" s="18">
        <f>IFERROR(D4/E4,"")</f>
        <v/>
      </c>
      <c r="S4" t="inlineStr">
        <is>
          <t>否</t>
        </is>
      </c>
      <c r="T4" t="inlineStr">
        <is>
          <t>2022</t>
        </is>
      </c>
      <c r="U4" t="inlineStr">
        <is>
          <t>2023, 2024, 2025, 2026</t>
        </is>
      </c>
    </row>
    <row r="5">
      <c r="A5" t="n">
        <v>2</v>
      </c>
      <c r="B5" t="inlineStr">
        <is>
          <t>W02</t>
        </is>
      </c>
      <c r="C5">
        <f>COUNT('02周度面板'!$C$4:$C$8)</f>
        <v/>
      </c>
      <c r="D5" s="16">
        <f>IFERROR(AVERAGE('02周度面板'!$C$4:$C$8),"")</f>
        <v/>
      </c>
      <c r="E5" s="16">
        <f>IFERROR(MEDIAN('02周度面板'!$C$4:$C$8),"")</f>
        <v/>
      </c>
      <c r="F5" s="16">
        <f>IFERROR(STDEV('02周度面板'!$C$4:$C$8),"")</f>
        <v/>
      </c>
      <c r="G5" s="16">
        <f>IFERROR(MIN('02周度面板'!$C$4:$C$8),"")</f>
        <v/>
      </c>
      <c r="H5" s="16">
        <f>IFERROR(MAX('02周度面板'!$C$4:$C$8),"")</f>
        <v/>
      </c>
      <c r="I5" s="17">
        <f>IFERROR(_xlfn.PERCENTILE.INC('02周度面板'!$C$4:$C$8,0.1),PERCENTILE('02周度面板'!$C$4:$C$8,0.1))</f>
        <v/>
      </c>
      <c r="J5" s="17">
        <f>IFERROR(_xlfn.PERCENTILE.INC('02周度面板'!$C$4:$C$8,0.25),PERCENTILE('02周度面板'!$C$4:$C$8,0.25))</f>
        <v/>
      </c>
      <c r="K5" s="17">
        <f>IFERROR(_xlfn.PERCENTILE.INC('02周度面板'!$C$4:$C$8,0.5),PERCENTILE('02周度面板'!$C$4:$C$8,0.5))</f>
        <v/>
      </c>
      <c r="L5" s="17">
        <f>IFERROR(_xlfn.PERCENTILE.INC('02周度面板'!$C$4:$C$8,0.75),PERCENTILE('02周度面板'!$C$4:$C$8,0.75))</f>
        <v/>
      </c>
      <c r="M5" s="17">
        <f>IFERROR(_xlfn.PERCENTILE.INC('02周度面板'!$C$4:$C$8,0.9),PERCENTILE('02周度面板'!$C$4:$C$8,0.9))</f>
        <v/>
      </c>
      <c r="N5" s="17">
        <f>IFERROR(J5-I5,"")</f>
        <v/>
      </c>
      <c r="O5" s="17">
        <f>IFERROR(M5-I5,"")</f>
        <v/>
      </c>
      <c r="P5" s="18">
        <f>IFERROR(F5/D5,"")</f>
        <v/>
      </c>
      <c r="Q5" s="16">
        <f>IFERROR(D5-E5,"")</f>
        <v/>
      </c>
      <c r="R5" s="18">
        <f>IFERROR(D5/E5,"")</f>
        <v/>
      </c>
      <c r="S5" t="inlineStr">
        <is>
          <t>否</t>
        </is>
      </c>
      <c r="T5" t="inlineStr">
        <is>
          <t>2022</t>
        </is>
      </c>
      <c r="U5" t="inlineStr">
        <is>
          <t>2023, 2024, 2025, 2026</t>
        </is>
      </c>
    </row>
    <row r="6">
      <c r="A6" t="n">
        <v>3</v>
      </c>
      <c r="B6" t="inlineStr">
        <is>
          <t>W03</t>
        </is>
      </c>
      <c r="C6">
        <f>COUNT('02周度面板'!$D$4:$D$8)</f>
        <v/>
      </c>
      <c r="D6" s="16">
        <f>IFERROR(AVERAGE('02周度面板'!$D$4:$D$8),"")</f>
        <v/>
      </c>
      <c r="E6" s="16">
        <f>IFERROR(MEDIAN('02周度面板'!$D$4:$D$8),"")</f>
        <v/>
      </c>
      <c r="F6" s="16">
        <f>IFERROR(STDEV('02周度面板'!$D$4:$D$8),"")</f>
        <v/>
      </c>
      <c r="G6" s="16">
        <f>IFERROR(MIN('02周度面板'!$D$4:$D$8),"")</f>
        <v/>
      </c>
      <c r="H6" s="16">
        <f>IFERROR(MAX('02周度面板'!$D$4:$D$8),"")</f>
        <v/>
      </c>
      <c r="I6" s="17">
        <f>IFERROR(_xlfn.PERCENTILE.INC('02周度面板'!$D$4:$D$8,0.1),PERCENTILE('02周度面板'!$D$4:$D$8,0.1))</f>
        <v/>
      </c>
      <c r="J6" s="17">
        <f>IFERROR(_xlfn.PERCENTILE.INC('02周度面板'!$D$4:$D$8,0.25),PERCENTILE('02周度面板'!$D$4:$D$8,0.25))</f>
        <v/>
      </c>
      <c r="K6" s="17">
        <f>IFERROR(_xlfn.PERCENTILE.INC('02周度面板'!$D$4:$D$8,0.5),PERCENTILE('02周度面板'!$D$4:$D$8,0.5))</f>
        <v/>
      </c>
      <c r="L6" s="17">
        <f>IFERROR(_xlfn.PERCENTILE.INC('02周度面板'!$D$4:$D$8,0.75),PERCENTILE('02周度面板'!$D$4:$D$8,0.75))</f>
        <v/>
      </c>
      <c r="M6" s="17">
        <f>IFERROR(_xlfn.PERCENTILE.INC('02周度面板'!$D$4:$D$8,0.9),PERCENTILE('02周度面板'!$D$4:$D$8,0.9))</f>
        <v/>
      </c>
      <c r="N6" s="17">
        <f>IFERROR(J6-I6,"")</f>
        <v/>
      </c>
      <c r="O6" s="17">
        <f>IFERROR(M6-I6,"")</f>
        <v/>
      </c>
      <c r="P6" s="18">
        <f>IFERROR(F6/D6,"")</f>
        <v/>
      </c>
      <c r="Q6" s="16">
        <f>IFERROR(D6-E6,"")</f>
        <v/>
      </c>
      <c r="R6" s="18">
        <f>IFERROR(D6/E6,"")</f>
        <v/>
      </c>
      <c r="S6" t="inlineStr">
        <is>
          <t>否</t>
        </is>
      </c>
      <c r="T6" t="inlineStr">
        <is>
          <t>2022</t>
        </is>
      </c>
      <c r="U6" t="inlineStr">
        <is>
          <t>2023, 2024, 2025, 2026</t>
        </is>
      </c>
    </row>
    <row r="7">
      <c r="A7" t="n">
        <v>4</v>
      </c>
      <c r="B7" t="inlineStr">
        <is>
          <t>W04</t>
        </is>
      </c>
      <c r="C7">
        <f>COUNT('02周度面板'!$E$4:$E$8)</f>
        <v/>
      </c>
      <c r="D7" s="16">
        <f>IFERROR(AVERAGE('02周度面板'!$E$4:$E$8),"")</f>
        <v/>
      </c>
      <c r="E7" s="16">
        <f>IFERROR(MEDIAN('02周度面板'!$E$4:$E$8),"")</f>
        <v/>
      </c>
      <c r="F7" s="16">
        <f>IFERROR(STDEV('02周度面板'!$E$4:$E$8),"")</f>
        <v/>
      </c>
      <c r="G7" s="16">
        <f>IFERROR(MIN('02周度面板'!$E$4:$E$8),"")</f>
        <v/>
      </c>
      <c r="H7" s="16">
        <f>IFERROR(MAX('02周度面板'!$E$4:$E$8),"")</f>
        <v/>
      </c>
      <c r="I7" s="17">
        <f>IFERROR(_xlfn.PERCENTILE.INC('02周度面板'!$E$4:$E$8,0.1),PERCENTILE('02周度面板'!$E$4:$E$8,0.1))</f>
        <v/>
      </c>
      <c r="J7" s="17">
        <f>IFERROR(_xlfn.PERCENTILE.INC('02周度面板'!$E$4:$E$8,0.25),PERCENTILE('02周度面板'!$E$4:$E$8,0.25))</f>
        <v/>
      </c>
      <c r="K7" s="17">
        <f>IFERROR(_xlfn.PERCENTILE.INC('02周度面板'!$E$4:$E$8,0.5),PERCENTILE('02周度面板'!$E$4:$E$8,0.5))</f>
        <v/>
      </c>
      <c r="L7" s="17">
        <f>IFERROR(_xlfn.PERCENTILE.INC('02周度面板'!$E$4:$E$8,0.75),PERCENTILE('02周度面板'!$E$4:$E$8,0.75))</f>
        <v/>
      </c>
      <c r="M7" s="17">
        <f>IFERROR(_xlfn.PERCENTILE.INC('02周度面板'!$E$4:$E$8,0.9),PERCENTILE('02周度面板'!$E$4:$E$8,0.9))</f>
        <v/>
      </c>
      <c r="N7" s="17">
        <f>IFERROR(J7-I7,"")</f>
        <v/>
      </c>
      <c r="O7" s="17">
        <f>IFERROR(M7-I7,"")</f>
        <v/>
      </c>
      <c r="P7" s="18">
        <f>IFERROR(F7/D7,"")</f>
        <v/>
      </c>
      <c r="Q7" s="16">
        <f>IFERROR(D7-E7,"")</f>
        <v/>
      </c>
      <c r="R7" s="18">
        <f>IFERROR(D7/E7,"")</f>
        <v/>
      </c>
      <c r="S7" t="inlineStr">
        <is>
          <t>否</t>
        </is>
      </c>
      <c r="T7" t="inlineStr">
        <is>
          <t>2022</t>
        </is>
      </c>
      <c r="U7" t="inlineStr">
        <is>
          <t>2023, 2024, 2025, 2026</t>
        </is>
      </c>
    </row>
    <row r="8">
      <c r="A8" t="n">
        <v>5</v>
      </c>
      <c r="B8" t="inlineStr">
        <is>
          <t>W05</t>
        </is>
      </c>
      <c r="C8">
        <f>COUNT('02周度面板'!$F$4:$F$8)</f>
        <v/>
      </c>
      <c r="D8" s="16">
        <f>IFERROR(AVERAGE('02周度面板'!$F$4:$F$8),"")</f>
        <v/>
      </c>
      <c r="E8" s="16">
        <f>IFERROR(MEDIAN('02周度面板'!$F$4:$F$8),"")</f>
        <v/>
      </c>
      <c r="F8" s="16">
        <f>IFERROR(STDEV('02周度面板'!$F$4:$F$8),"")</f>
        <v/>
      </c>
      <c r="G8" s="16">
        <f>IFERROR(MIN('02周度面板'!$F$4:$F$8),"")</f>
        <v/>
      </c>
      <c r="H8" s="16">
        <f>IFERROR(MAX('02周度面板'!$F$4:$F$8),"")</f>
        <v/>
      </c>
      <c r="I8" s="17">
        <f>IFERROR(_xlfn.PERCENTILE.INC('02周度面板'!$F$4:$F$8,0.1),PERCENTILE('02周度面板'!$F$4:$F$8,0.1))</f>
        <v/>
      </c>
      <c r="J8" s="17">
        <f>IFERROR(_xlfn.PERCENTILE.INC('02周度面板'!$F$4:$F$8,0.25),PERCENTILE('02周度面板'!$F$4:$F$8,0.25))</f>
        <v/>
      </c>
      <c r="K8" s="17">
        <f>IFERROR(_xlfn.PERCENTILE.INC('02周度面板'!$F$4:$F$8,0.5),PERCENTILE('02周度面板'!$F$4:$F$8,0.5))</f>
        <v/>
      </c>
      <c r="L8" s="17">
        <f>IFERROR(_xlfn.PERCENTILE.INC('02周度面板'!$F$4:$F$8,0.75),PERCENTILE('02周度面板'!$F$4:$F$8,0.75))</f>
        <v/>
      </c>
      <c r="M8" s="17">
        <f>IFERROR(_xlfn.PERCENTILE.INC('02周度面板'!$F$4:$F$8,0.9),PERCENTILE('02周度面板'!$F$4:$F$8,0.9))</f>
        <v/>
      </c>
      <c r="N8" s="17">
        <f>IFERROR(J8-I8,"")</f>
        <v/>
      </c>
      <c r="O8" s="17">
        <f>IFERROR(M8-I8,"")</f>
        <v/>
      </c>
      <c r="P8" s="18">
        <f>IFERROR(F8/D8,"")</f>
        <v/>
      </c>
      <c r="Q8" s="16">
        <f>IFERROR(D8-E8,"")</f>
        <v/>
      </c>
      <c r="R8" s="18">
        <f>IFERROR(D8/E8,"")</f>
        <v/>
      </c>
      <c r="S8" t="inlineStr">
        <is>
          <t>否</t>
        </is>
      </c>
      <c r="T8" t="inlineStr">
        <is>
          <t>2022</t>
        </is>
      </c>
      <c r="U8" t="inlineStr">
        <is>
          <t>2023, 2024, 2025, 2026</t>
        </is>
      </c>
    </row>
    <row r="9">
      <c r="A9" t="n">
        <v>6</v>
      </c>
      <c r="B9" t="inlineStr">
        <is>
          <t>W06</t>
        </is>
      </c>
      <c r="C9">
        <f>COUNT('02周度面板'!$G$4:$G$8)</f>
        <v/>
      </c>
      <c r="D9" s="16">
        <f>IFERROR(AVERAGE('02周度面板'!$G$4:$G$8),"")</f>
        <v/>
      </c>
      <c r="E9" s="16">
        <f>IFERROR(MEDIAN('02周度面板'!$G$4:$G$8),"")</f>
        <v/>
      </c>
      <c r="F9" s="16">
        <f>IFERROR(STDEV('02周度面板'!$G$4:$G$8),"")</f>
        <v/>
      </c>
      <c r="G9" s="16">
        <f>IFERROR(MIN('02周度面板'!$G$4:$G$8),"")</f>
        <v/>
      </c>
      <c r="H9" s="16">
        <f>IFERROR(MAX('02周度面板'!$G$4:$G$8),"")</f>
        <v/>
      </c>
      <c r="I9" s="17">
        <f>IFERROR(_xlfn.PERCENTILE.INC('02周度面板'!$G$4:$G$8,0.1),PERCENTILE('02周度面板'!$G$4:$G$8,0.1))</f>
        <v/>
      </c>
      <c r="J9" s="17">
        <f>IFERROR(_xlfn.PERCENTILE.INC('02周度面板'!$G$4:$G$8,0.25),PERCENTILE('02周度面板'!$G$4:$G$8,0.25))</f>
        <v/>
      </c>
      <c r="K9" s="17">
        <f>IFERROR(_xlfn.PERCENTILE.INC('02周度面板'!$G$4:$G$8,0.5),PERCENTILE('02周度面板'!$G$4:$G$8,0.5))</f>
        <v/>
      </c>
      <c r="L9" s="17">
        <f>IFERROR(_xlfn.PERCENTILE.INC('02周度面板'!$G$4:$G$8,0.75),PERCENTILE('02周度面板'!$G$4:$G$8,0.75))</f>
        <v/>
      </c>
      <c r="M9" s="17">
        <f>IFERROR(_xlfn.PERCENTILE.INC('02周度面板'!$G$4:$G$8,0.9),PERCENTILE('02周度面板'!$G$4:$G$8,0.9))</f>
        <v/>
      </c>
      <c r="N9" s="17">
        <f>IFERROR(J9-I9,"")</f>
        <v/>
      </c>
      <c r="O9" s="17">
        <f>IFERROR(M9-I9,"")</f>
        <v/>
      </c>
      <c r="P9" s="18">
        <f>IFERROR(F9/D9,"")</f>
        <v/>
      </c>
      <c r="Q9" s="16">
        <f>IFERROR(D9-E9,"")</f>
        <v/>
      </c>
      <c r="R9" s="18">
        <f>IFERROR(D9/E9,"")</f>
        <v/>
      </c>
      <c r="S9" t="inlineStr">
        <is>
          <t>否</t>
        </is>
      </c>
      <c r="T9" t="inlineStr">
        <is>
          <t>2022</t>
        </is>
      </c>
      <c r="U9" t="inlineStr">
        <is>
          <t>2023, 2024, 2025, 2026</t>
        </is>
      </c>
    </row>
    <row r="10">
      <c r="A10" t="n">
        <v>7</v>
      </c>
      <c r="B10" t="inlineStr">
        <is>
          <t>W07</t>
        </is>
      </c>
      <c r="C10">
        <f>COUNT('02周度面板'!$H$4:$H$8)</f>
        <v/>
      </c>
      <c r="D10" s="16">
        <f>IFERROR(AVERAGE('02周度面板'!$H$4:$H$8),"")</f>
        <v/>
      </c>
      <c r="E10" s="16">
        <f>IFERROR(MEDIAN('02周度面板'!$H$4:$H$8),"")</f>
        <v/>
      </c>
      <c r="F10" s="16">
        <f>IFERROR(STDEV('02周度面板'!$H$4:$H$8),"")</f>
        <v/>
      </c>
      <c r="G10" s="16">
        <f>IFERROR(MIN('02周度面板'!$H$4:$H$8),"")</f>
        <v/>
      </c>
      <c r="H10" s="16">
        <f>IFERROR(MAX('02周度面板'!$H$4:$H$8),"")</f>
        <v/>
      </c>
      <c r="I10" s="17">
        <f>IFERROR(_xlfn.PERCENTILE.INC('02周度面板'!$H$4:$H$8,0.1),PERCENTILE('02周度面板'!$H$4:$H$8,0.1))</f>
        <v/>
      </c>
      <c r="J10" s="17">
        <f>IFERROR(_xlfn.PERCENTILE.INC('02周度面板'!$H$4:$H$8,0.25),PERCENTILE('02周度面板'!$H$4:$H$8,0.25))</f>
        <v/>
      </c>
      <c r="K10" s="17">
        <f>IFERROR(_xlfn.PERCENTILE.INC('02周度面板'!$H$4:$H$8,0.5),PERCENTILE('02周度面板'!$H$4:$H$8,0.5))</f>
        <v/>
      </c>
      <c r="L10" s="17">
        <f>IFERROR(_xlfn.PERCENTILE.INC('02周度面板'!$H$4:$H$8,0.75),PERCENTILE('02周度面板'!$H$4:$H$8,0.75))</f>
        <v/>
      </c>
      <c r="M10" s="17">
        <f>IFERROR(_xlfn.PERCENTILE.INC('02周度面板'!$H$4:$H$8,0.9),PERCENTILE('02周度面板'!$H$4:$H$8,0.9))</f>
        <v/>
      </c>
      <c r="N10" s="17">
        <f>IFERROR(J10-I10,"")</f>
        <v/>
      </c>
      <c r="O10" s="17">
        <f>IFERROR(M10-I10,"")</f>
        <v/>
      </c>
      <c r="P10" s="18">
        <f>IFERROR(F10/D10,"")</f>
        <v/>
      </c>
      <c r="Q10" s="16">
        <f>IFERROR(D10-E10,"")</f>
        <v/>
      </c>
      <c r="R10" s="18">
        <f>IFERROR(D10/E10,"")</f>
        <v/>
      </c>
      <c r="S10" t="inlineStr">
        <is>
          <t>否</t>
        </is>
      </c>
      <c r="T10" t="inlineStr">
        <is>
          <t>2022</t>
        </is>
      </c>
      <c r="U10" t="inlineStr">
        <is>
          <t>2023, 2024, 2025, 2026</t>
        </is>
      </c>
    </row>
    <row r="11">
      <c r="A11" t="n">
        <v>8</v>
      </c>
      <c r="B11" t="inlineStr">
        <is>
          <t>W08</t>
        </is>
      </c>
      <c r="C11">
        <f>COUNT('02周度面板'!$I$4:$I$8)</f>
        <v/>
      </c>
      <c r="D11" s="16">
        <f>IFERROR(AVERAGE('02周度面板'!$I$4:$I$8),"")</f>
        <v/>
      </c>
      <c r="E11" s="16">
        <f>IFERROR(MEDIAN('02周度面板'!$I$4:$I$8),"")</f>
        <v/>
      </c>
      <c r="F11" s="16">
        <f>IFERROR(STDEV('02周度面板'!$I$4:$I$8),"")</f>
        <v/>
      </c>
      <c r="G11" s="16">
        <f>IFERROR(MIN('02周度面板'!$I$4:$I$8),"")</f>
        <v/>
      </c>
      <c r="H11" s="16">
        <f>IFERROR(MAX('02周度面板'!$I$4:$I$8),"")</f>
        <v/>
      </c>
      <c r="I11" s="17">
        <f>IFERROR(_xlfn.PERCENTILE.INC('02周度面板'!$I$4:$I$8,0.1),PERCENTILE('02周度面板'!$I$4:$I$8,0.1))</f>
        <v/>
      </c>
      <c r="J11" s="17">
        <f>IFERROR(_xlfn.PERCENTILE.INC('02周度面板'!$I$4:$I$8,0.25),PERCENTILE('02周度面板'!$I$4:$I$8,0.25))</f>
        <v/>
      </c>
      <c r="K11" s="17">
        <f>IFERROR(_xlfn.PERCENTILE.INC('02周度面板'!$I$4:$I$8,0.5),PERCENTILE('02周度面板'!$I$4:$I$8,0.5))</f>
        <v/>
      </c>
      <c r="L11" s="17">
        <f>IFERROR(_xlfn.PERCENTILE.INC('02周度面板'!$I$4:$I$8,0.75),PERCENTILE('02周度面板'!$I$4:$I$8,0.75))</f>
        <v/>
      </c>
      <c r="M11" s="17">
        <f>IFERROR(_xlfn.PERCENTILE.INC('02周度面板'!$I$4:$I$8,0.9),PERCENTILE('02周度面板'!$I$4:$I$8,0.9))</f>
        <v/>
      </c>
      <c r="N11" s="17">
        <f>IFERROR(J11-I11,"")</f>
        <v/>
      </c>
      <c r="O11" s="17">
        <f>IFERROR(M11-I11,"")</f>
        <v/>
      </c>
      <c r="P11" s="18">
        <f>IFERROR(F11/D11,"")</f>
        <v/>
      </c>
      <c r="Q11" s="16">
        <f>IFERROR(D11-E11,"")</f>
        <v/>
      </c>
      <c r="R11" s="18">
        <f>IFERROR(D11/E11,"")</f>
        <v/>
      </c>
      <c r="S11" t="inlineStr">
        <is>
          <t>否</t>
        </is>
      </c>
      <c r="T11" t="inlineStr">
        <is>
          <t>2022</t>
        </is>
      </c>
      <c r="U11" t="inlineStr">
        <is>
          <t>2023, 2024, 2025, 2026</t>
        </is>
      </c>
    </row>
    <row r="12">
      <c r="A12" t="n">
        <v>9</v>
      </c>
      <c r="B12" t="inlineStr">
        <is>
          <t>W09</t>
        </is>
      </c>
      <c r="C12">
        <f>COUNT('02周度面板'!$J$4:$J$8)</f>
        <v/>
      </c>
      <c r="D12" s="16">
        <f>IFERROR(AVERAGE('02周度面板'!$J$4:$J$8),"")</f>
        <v/>
      </c>
      <c r="E12" s="16">
        <f>IFERROR(MEDIAN('02周度面板'!$J$4:$J$8),"")</f>
        <v/>
      </c>
      <c r="F12" s="16">
        <f>IFERROR(STDEV('02周度面板'!$J$4:$J$8),"")</f>
        <v/>
      </c>
      <c r="G12" s="16">
        <f>IFERROR(MIN('02周度面板'!$J$4:$J$8),"")</f>
        <v/>
      </c>
      <c r="H12" s="16">
        <f>IFERROR(MAX('02周度面板'!$J$4:$J$8),"")</f>
        <v/>
      </c>
      <c r="I12" s="17">
        <f>IFERROR(_xlfn.PERCENTILE.INC('02周度面板'!$J$4:$J$8,0.1),PERCENTILE('02周度面板'!$J$4:$J$8,0.1))</f>
        <v/>
      </c>
      <c r="J12" s="17">
        <f>IFERROR(_xlfn.PERCENTILE.INC('02周度面板'!$J$4:$J$8,0.25),PERCENTILE('02周度面板'!$J$4:$J$8,0.25))</f>
        <v/>
      </c>
      <c r="K12" s="17">
        <f>IFERROR(_xlfn.PERCENTILE.INC('02周度面板'!$J$4:$J$8,0.5),PERCENTILE('02周度面板'!$J$4:$J$8,0.5))</f>
        <v/>
      </c>
      <c r="L12" s="17">
        <f>IFERROR(_xlfn.PERCENTILE.INC('02周度面板'!$J$4:$J$8,0.75),PERCENTILE('02周度面板'!$J$4:$J$8,0.75))</f>
        <v/>
      </c>
      <c r="M12" s="17">
        <f>IFERROR(_xlfn.PERCENTILE.INC('02周度面板'!$J$4:$J$8,0.9),PERCENTILE('02周度面板'!$J$4:$J$8,0.9))</f>
        <v/>
      </c>
      <c r="N12" s="17">
        <f>IFERROR(J12-I12,"")</f>
        <v/>
      </c>
      <c r="O12" s="17">
        <f>IFERROR(M12-I12,"")</f>
        <v/>
      </c>
      <c r="P12" s="18">
        <f>IFERROR(F12/D12,"")</f>
        <v/>
      </c>
      <c r="Q12" s="16">
        <f>IFERROR(D12-E12,"")</f>
        <v/>
      </c>
      <c r="R12" s="18">
        <f>IFERROR(D12/E12,"")</f>
        <v/>
      </c>
      <c r="S12" t="inlineStr">
        <is>
          <t>否</t>
        </is>
      </c>
      <c r="T12" t="inlineStr">
        <is>
          <t>2022</t>
        </is>
      </c>
      <c r="U12" t="inlineStr">
        <is>
          <t>2023, 2024, 2025, 2026</t>
        </is>
      </c>
    </row>
    <row r="13">
      <c r="A13" t="n">
        <v>10</v>
      </c>
      <c r="B13" t="inlineStr">
        <is>
          <t>W10</t>
        </is>
      </c>
      <c r="C13">
        <f>COUNT('02周度面板'!$K$4:$K$8)</f>
        <v/>
      </c>
      <c r="D13" s="16">
        <f>IFERROR(AVERAGE('02周度面板'!$K$4:$K$8),"")</f>
        <v/>
      </c>
      <c r="E13" s="16">
        <f>IFERROR(MEDIAN('02周度面板'!$K$4:$K$8),"")</f>
        <v/>
      </c>
      <c r="F13" s="16">
        <f>IFERROR(STDEV('02周度面板'!$K$4:$K$8),"")</f>
        <v/>
      </c>
      <c r="G13" s="16">
        <f>IFERROR(MIN('02周度面板'!$K$4:$K$8),"")</f>
        <v/>
      </c>
      <c r="H13" s="16">
        <f>IFERROR(MAX('02周度面板'!$K$4:$K$8),"")</f>
        <v/>
      </c>
      <c r="I13" s="17">
        <f>IFERROR(_xlfn.PERCENTILE.INC('02周度面板'!$K$4:$K$8,0.1),PERCENTILE('02周度面板'!$K$4:$K$8,0.1))</f>
        <v/>
      </c>
      <c r="J13" s="17">
        <f>IFERROR(_xlfn.PERCENTILE.INC('02周度面板'!$K$4:$K$8,0.25),PERCENTILE('02周度面板'!$K$4:$K$8,0.25))</f>
        <v/>
      </c>
      <c r="K13" s="17">
        <f>IFERROR(_xlfn.PERCENTILE.INC('02周度面板'!$K$4:$K$8,0.5),PERCENTILE('02周度面板'!$K$4:$K$8,0.5))</f>
        <v/>
      </c>
      <c r="L13" s="17">
        <f>IFERROR(_xlfn.PERCENTILE.INC('02周度面板'!$K$4:$K$8,0.75),PERCENTILE('02周度面板'!$K$4:$K$8,0.75))</f>
        <v/>
      </c>
      <c r="M13" s="17">
        <f>IFERROR(_xlfn.PERCENTILE.INC('02周度面板'!$K$4:$K$8,0.9),PERCENTILE('02周度面板'!$K$4:$K$8,0.9))</f>
        <v/>
      </c>
      <c r="N13" s="17">
        <f>IFERROR(J13-I13,"")</f>
        <v/>
      </c>
      <c r="O13" s="17">
        <f>IFERROR(M13-I13,"")</f>
        <v/>
      </c>
      <c r="P13" s="18">
        <f>IFERROR(F13/D13,"")</f>
        <v/>
      </c>
      <c r="Q13" s="16">
        <f>IFERROR(D13-E13,"")</f>
        <v/>
      </c>
      <c r="R13" s="18">
        <f>IFERROR(D13/E13,"")</f>
        <v/>
      </c>
      <c r="S13" t="inlineStr">
        <is>
          <t>否</t>
        </is>
      </c>
      <c r="T13" t="inlineStr">
        <is>
          <t>2022</t>
        </is>
      </c>
      <c r="U13" t="inlineStr">
        <is>
          <t>2023, 2024, 2025, 2026</t>
        </is>
      </c>
    </row>
    <row r="14">
      <c r="A14" t="n">
        <v>11</v>
      </c>
      <c r="B14" t="inlineStr">
        <is>
          <t>W11</t>
        </is>
      </c>
      <c r="C14">
        <f>COUNT('02周度面板'!$L$4:$L$8)</f>
        <v/>
      </c>
      <c r="D14" s="16">
        <f>IFERROR(AVERAGE('02周度面板'!$L$4:$L$8),"")</f>
        <v/>
      </c>
      <c r="E14" s="16">
        <f>IFERROR(MEDIAN('02周度面板'!$L$4:$L$8),"")</f>
        <v/>
      </c>
      <c r="F14" s="16">
        <f>IFERROR(STDEV('02周度面板'!$L$4:$L$8),"")</f>
        <v/>
      </c>
      <c r="G14" s="16">
        <f>IFERROR(MIN('02周度面板'!$L$4:$L$8),"")</f>
        <v/>
      </c>
      <c r="H14" s="16">
        <f>IFERROR(MAX('02周度面板'!$L$4:$L$8),"")</f>
        <v/>
      </c>
      <c r="I14" s="17">
        <f>IFERROR(_xlfn.PERCENTILE.INC('02周度面板'!$L$4:$L$8,0.1),PERCENTILE('02周度面板'!$L$4:$L$8,0.1))</f>
        <v/>
      </c>
      <c r="J14" s="17">
        <f>IFERROR(_xlfn.PERCENTILE.INC('02周度面板'!$L$4:$L$8,0.25),PERCENTILE('02周度面板'!$L$4:$L$8,0.25))</f>
        <v/>
      </c>
      <c r="K14" s="17">
        <f>IFERROR(_xlfn.PERCENTILE.INC('02周度面板'!$L$4:$L$8,0.5),PERCENTILE('02周度面板'!$L$4:$L$8,0.5))</f>
        <v/>
      </c>
      <c r="L14" s="17">
        <f>IFERROR(_xlfn.PERCENTILE.INC('02周度面板'!$L$4:$L$8,0.75),PERCENTILE('02周度面板'!$L$4:$L$8,0.75))</f>
        <v/>
      </c>
      <c r="M14" s="17">
        <f>IFERROR(_xlfn.PERCENTILE.INC('02周度面板'!$L$4:$L$8,0.9),PERCENTILE('02周度面板'!$L$4:$L$8,0.9))</f>
        <v/>
      </c>
      <c r="N14" s="17">
        <f>IFERROR(J14-I14,"")</f>
        <v/>
      </c>
      <c r="O14" s="17">
        <f>IFERROR(M14-I14,"")</f>
        <v/>
      </c>
      <c r="P14" s="18">
        <f>IFERROR(F14/D14,"")</f>
        <v/>
      </c>
      <c r="Q14" s="16">
        <f>IFERROR(D14-E14,"")</f>
        <v/>
      </c>
      <c r="R14" s="18">
        <f>IFERROR(D14/E14,"")</f>
        <v/>
      </c>
      <c r="S14" t="inlineStr">
        <is>
          <t>否</t>
        </is>
      </c>
      <c r="T14" t="inlineStr">
        <is>
          <t>2022</t>
        </is>
      </c>
      <c r="U14" t="inlineStr">
        <is>
          <t>2023, 2024, 2025, 2026</t>
        </is>
      </c>
    </row>
    <row r="15">
      <c r="A15" t="n">
        <v>12</v>
      </c>
      <c r="B15" t="inlineStr">
        <is>
          <t>W12</t>
        </is>
      </c>
      <c r="C15">
        <f>COUNT('02周度面板'!$M$4:$M$8)</f>
        <v/>
      </c>
      <c r="D15" s="16">
        <f>IFERROR(AVERAGE('02周度面板'!$M$4:$M$8),"")</f>
        <v/>
      </c>
      <c r="E15" s="16">
        <f>IFERROR(MEDIAN('02周度面板'!$M$4:$M$8),"")</f>
        <v/>
      </c>
      <c r="F15" s="16">
        <f>IFERROR(STDEV('02周度面板'!$M$4:$M$8),"")</f>
        <v/>
      </c>
      <c r="G15" s="16">
        <f>IFERROR(MIN('02周度面板'!$M$4:$M$8),"")</f>
        <v/>
      </c>
      <c r="H15" s="16">
        <f>IFERROR(MAX('02周度面板'!$M$4:$M$8),"")</f>
        <v/>
      </c>
      <c r="I15" s="17">
        <f>IFERROR(_xlfn.PERCENTILE.INC('02周度面板'!$M$4:$M$8,0.1),PERCENTILE('02周度面板'!$M$4:$M$8,0.1))</f>
        <v/>
      </c>
      <c r="J15" s="17">
        <f>IFERROR(_xlfn.PERCENTILE.INC('02周度面板'!$M$4:$M$8,0.25),PERCENTILE('02周度面板'!$M$4:$M$8,0.25))</f>
        <v/>
      </c>
      <c r="K15" s="17">
        <f>IFERROR(_xlfn.PERCENTILE.INC('02周度面板'!$M$4:$M$8,0.5),PERCENTILE('02周度面板'!$M$4:$M$8,0.5))</f>
        <v/>
      </c>
      <c r="L15" s="17">
        <f>IFERROR(_xlfn.PERCENTILE.INC('02周度面板'!$M$4:$M$8,0.75),PERCENTILE('02周度面板'!$M$4:$M$8,0.75))</f>
        <v/>
      </c>
      <c r="M15" s="17">
        <f>IFERROR(_xlfn.PERCENTILE.INC('02周度面板'!$M$4:$M$8,0.9),PERCENTILE('02周度面板'!$M$4:$M$8,0.9))</f>
        <v/>
      </c>
      <c r="N15" s="17">
        <f>IFERROR(J15-I15,"")</f>
        <v/>
      </c>
      <c r="O15" s="17">
        <f>IFERROR(M15-I15,"")</f>
        <v/>
      </c>
      <c r="P15" s="18">
        <f>IFERROR(F15/D15,"")</f>
        <v/>
      </c>
      <c r="Q15" s="16">
        <f>IFERROR(D15-E15,"")</f>
        <v/>
      </c>
      <c r="R15" s="18">
        <f>IFERROR(D15/E15,"")</f>
        <v/>
      </c>
      <c r="S15" t="inlineStr">
        <is>
          <t>否</t>
        </is>
      </c>
      <c r="T15" t="inlineStr">
        <is>
          <t>2022</t>
        </is>
      </c>
      <c r="U15" t="inlineStr">
        <is>
          <t>2023, 2024, 2025, 2026</t>
        </is>
      </c>
    </row>
    <row r="16">
      <c r="A16" t="n">
        <v>13</v>
      </c>
      <c r="B16" t="inlineStr">
        <is>
          <t>W13</t>
        </is>
      </c>
      <c r="C16">
        <f>COUNT('02周度面板'!$N$4:$N$8)</f>
        <v/>
      </c>
      <c r="D16" s="16">
        <f>IFERROR(AVERAGE('02周度面板'!$N$4:$N$8),"")</f>
        <v/>
      </c>
      <c r="E16" s="16">
        <f>IFERROR(MEDIAN('02周度面板'!$N$4:$N$8),"")</f>
        <v/>
      </c>
      <c r="F16" s="16">
        <f>IFERROR(STDEV('02周度面板'!$N$4:$N$8),"")</f>
        <v/>
      </c>
      <c r="G16" s="16">
        <f>IFERROR(MIN('02周度面板'!$N$4:$N$8),"")</f>
        <v/>
      </c>
      <c r="H16" s="16">
        <f>IFERROR(MAX('02周度面板'!$N$4:$N$8),"")</f>
        <v/>
      </c>
      <c r="I16" s="17">
        <f>IFERROR(_xlfn.PERCENTILE.INC('02周度面板'!$N$4:$N$8,0.1),PERCENTILE('02周度面板'!$N$4:$N$8,0.1))</f>
        <v/>
      </c>
      <c r="J16" s="17">
        <f>IFERROR(_xlfn.PERCENTILE.INC('02周度面板'!$N$4:$N$8,0.25),PERCENTILE('02周度面板'!$N$4:$N$8,0.25))</f>
        <v/>
      </c>
      <c r="K16" s="17">
        <f>IFERROR(_xlfn.PERCENTILE.INC('02周度面板'!$N$4:$N$8,0.5),PERCENTILE('02周度面板'!$N$4:$N$8,0.5))</f>
        <v/>
      </c>
      <c r="L16" s="17">
        <f>IFERROR(_xlfn.PERCENTILE.INC('02周度面板'!$N$4:$N$8,0.75),PERCENTILE('02周度面板'!$N$4:$N$8,0.75))</f>
        <v/>
      </c>
      <c r="M16" s="17">
        <f>IFERROR(_xlfn.PERCENTILE.INC('02周度面板'!$N$4:$N$8,0.9),PERCENTILE('02周度面板'!$N$4:$N$8,0.9))</f>
        <v/>
      </c>
      <c r="N16" s="17">
        <f>IFERROR(J16-I16,"")</f>
        <v/>
      </c>
      <c r="O16" s="17">
        <f>IFERROR(M16-I16,"")</f>
        <v/>
      </c>
      <c r="P16" s="18">
        <f>IFERROR(F16/D16,"")</f>
        <v/>
      </c>
      <c r="Q16" s="16">
        <f>IFERROR(D16-E16,"")</f>
        <v/>
      </c>
      <c r="R16" s="18">
        <f>IFERROR(D16/E16,"")</f>
        <v/>
      </c>
      <c r="S16" t="inlineStr">
        <is>
          <t>否</t>
        </is>
      </c>
      <c r="T16" t="inlineStr">
        <is>
          <t>2022</t>
        </is>
      </c>
      <c r="U16" t="inlineStr">
        <is>
          <t>2023, 2024, 2025, 2026</t>
        </is>
      </c>
    </row>
    <row r="17">
      <c r="A17" t="n">
        <v>14</v>
      </c>
      <c r="B17" t="inlineStr">
        <is>
          <t>W14</t>
        </is>
      </c>
      <c r="C17">
        <f>COUNT('02周度面板'!$O$4:$O$8)</f>
        <v/>
      </c>
      <c r="D17" s="16">
        <f>IFERROR(AVERAGE('02周度面板'!$O$4:$O$8),"")</f>
        <v/>
      </c>
      <c r="E17" s="16">
        <f>IFERROR(MEDIAN('02周度面板'!$O$4:$O$8),"")</f>
        <v/>
      </c>
      <c r="F17" s="16">
        <f>IFERROR(STDEV('02周度面板'!$O$4:$O$8),"")</f>
        <v/>
      </c>
      <c r="G17" s="16">
        <f>IFERROR(MIN('02周度面板'!$O$4:$O$8),"")</f>
        <v/>
      </c>
      <c r="H17" s="16">
        <f>IFERROR(MAX('02周度面板'!$O$4:$O$8),"")</f>
        <v/>
      </c>
      <c r="I17" s="17">
        <f>IFERROR(_xlfn.PERCENTILE.INC('02周度面板'!$O$4:$O$8,0.1),PERCENTILE('02周度面板'!$O$4:$O$8,0.1))</f>
        <v/>
      </c>
      <c r="J17" s="17">
        <f>IFERROR(_xlfn.PERCENTILE.INC('02周度面板'!$O$4:$O$8,0.25),PERCENTILE('02周度面板'!$O$4:$O$8,0.25))</f>
        <v/>
      </c>
      <c r="K17" s="17">
        <f>IFERROR(_xlfn.PERCENTILE.INC('02周度面板'!$O$4:$O$8,0.5),PERCENTILE('02周度面板'!$O$4:$O$8,0.5))</f>
        <v/>
      </c>
      <c r="L17" s="17">
        <f>IFERROR(_xlfn.PERCENTILE.INC('02周度面板'!$O$4:$O$8,0.75),PERCENTILE('02周度面板'!$O$4:$O$8,0.75))</f>
        <v/>
      </c>
      <c r="M17" s="17">
        <f>IFERROR(_xlfn.PERCENTILE.INC('02周度面板'!$O$4:$O$8,0.9),PERCENTILE('02周度面板'!$O$4:$O$8,0.9))</f>
        <v/>
      </c>
      <c r="N17" s="17">
        <f>IFERROR(J17-I17,"")</f>
        <v/>
      </c>
      <c r="O17" s="17">
        <f>IFERROR(M17-I17,"")</f>
        <v/>
      </c>
      <c r="P17" s="18">
        <f>IFERROR(F17/D17,"")</f>
        <v/>
      </c>
      <c r="Q17" s="16">
        <f>IFERROR(D17-E17,"")</f>
        <v/>
      </c>
      <c r="R17" s="18">
        <f>IFERROR(D17/E17,"")</f>
        <v/>
      </c>
      <c r="S17" t="inlineStr">
        <is>
          <t>否</t>
        </is>
      </c>
      <c r="T17" t="inlineStr">
        <is>
          <t>2022</t>
        </is>
      </c>
      <c r="U17" t="inlineStr">
        <is>
          <t>2023, 2024, 2025, 2026</t>
        </is>
      </c>
    </row>
    <row r="18">
      <c r="A18" t="n">
        <v>15</v>
      </c>
      <c r="B18" t="inlineStr">
        <is>
          <t>W15</t>
        </is>
      </c>
      <c r="C18">
        <f>COUNT('02周度面板'!$P$4:$P$8)</f>
        <v/>
      </c>
      <c r="D18" s="16">
        <f>IFERROR(AVERAGE('02周度面板'!$P$4:$P$8),"")</f>
        <v/>
      </c>
      <c r="E18" s="16">
        <f>IFERROR(MEDIAN('02周度面板'!$P$4:$P$8),"")</f>
        <v/>
      </c>
      <c r="F18" s="16">
        <f>IFERROR(STDEV('02周度面板'!$P$4:$P$8),"")</f>
        <v/>
      </c>
      <c r="G18" s="16">
        <f>IFERROR(MIN('02周度面板'!$P$4:$P$8),"")</f>
        <v/>
      </c>
      <c r="H18" s="16">
        <f>IFERROR(MAX('02周度面板'!$P$4:$P$8),"")</f>
        <v/>
      </c>
      <c r="I18" s="17">
        <f>IFERROR(_xlfn.PERCENTILE.INC('02周度面板'!$P$4:$P$8,0.1),PERCENTILE('02周度面板'!$P$4:$P$8,0.1))</f>
        <v/>
      </c>
      <c r="J18" s="17">
        <f>IFERROR(_xlfn.PERCENTILE.INC('02周度面板'!$P$4:$P$8,0.25),PERCENTILE('02周度面板'!$P$4:$P$8,0.25))</f>
        <v/>
      </c>
      <c r="K18" s="17">
        <f>IFERROR(_xlfn.PERCENTILE.INC('02周度面板'!$P$4:$P$8,0.5),PERCENTILE('02周度面板'!$P$4:$P$8,0.5))</f>
        <v/>
      </c>
      <c r="L18" s="17">
        <f>IFERROR(_xlfn.PERCENTILE.INC('02周度面板'!$P$4:$P$8,0.75),PERCENTILE('02周度面板'!$P$4:$P$8,0.75))</f>
        <v/>
      </c>
      <c r="M18" s="17">
        <f>IFERROR(_xlfn.PERCENTILE.INC('02周度面板'!$P$4:$P$8,0.9),PERCENTILE('02周度面板'!$P$4:$P$8,0.9))</f>
        <v/>
      </c>
      <c r="N18" s="17">
        <f>IFERROR(J18-I18,"")</f>
        <v/>
      </c>
      <c r="O18" s="17">
        <f>IFERROR(M18-I18,"")</f>
        <v/>
      </c>
      <c r="P18" s="18">
        <f>IFERROR(F18/D18,"")</f>
        <v/>
      </c>
      <c r="Q18" s="16">
        <f>IFERROR(D18-E18,"")</f>
        <v/>
      </c>
      <c r="R18" s="18">
        <f>IFERROR(D18/E18,"")</f>
        <v/>
      </c>
      <c r="S18" t="inlineStr">
        <is>
          <t>否</t>
        </is>
      </c>
      <c r="T18" t="inlineStr">
        <is>
          <t>2022</t>
        </is>
      </c>
      <c r="U18" t="inlineStr">
        <is>
          <t>2023, 2024, 2025, 2026</t>
        </is>
      </c>
    </row>
    <row r="19">
      <c r="A19" t="n">
        <v>16</v>
      </c>
      <c r="B19" t="inlineStr">
        <is>
          <t>W16</t>
        </is>
      </c>
      <c r="C19">
        <f>COUNT('02周度面板'!$Q$4:$Q$8)</f>
        <v/>
      </c>
      <c r="D19" s="16">
        <f>IFERROR(AVERAGE('02周度面板'!$Q$4:$Q$8),"")</f>
        <v/>
      </c>
      <c r="E19" s="16">
        <f>IFERROR(MEDIAN('02周度面板'!$Q$4:$Q$8),"")</f>
        <v/>
      </c>
      <c r="F19" s="16">
        <f>IFERROR(STDEV('02周度面板'!$Q$4:$Q$8),"")</f>
        <v/>
      </c>
      <c r="G19" s="16">
        <f>IFERROR(MIN('02周度面板'!$Q$4:$Q$8),"")</f>
        <v/>
      </c>
      <c r="H19" s="16">
        <f>IFERROR(MAX('02周度面板'!$Q$4:$Q$8),"")</f>
        <v/>
      </c>
      <c r="I19" s="17">
        <f>IFERROR(_xlfn.PERCENTILE.INC('02周度面板'!$Q$4:$Q$8,0.1),PERCENTILE('02周度面板'!$Q$4:$Q$8,0.1))</f>
        <v/>
      </c>
      <c r="J19" s="17">
        <f>IFERROR(_xlfn.PERCENTILE.INC('02周度面板'!$Q$4:$Q$8,0.25),PERCENTILE('02周度面板'!$Q$4:$Q$8,0.25))</f>
        <v/>
      </c>
      <c r="K19" s="17">
        <f>IFERROR(_xlfn.PERCENTILE.INC('02周度面板'!$Q$4:$Q$8,0.5),PERCENTILE('02周度面板'!$Q$4:$Q$8,0.5))</f>
        <v/>
      </c>
      <c r="L19" s="17">
        <f>IFERROR(_xlfn.PERCENTILE.INC('02周度面板'!$Q$4:$Q$8,0.75),PERCENTILE('02周度面板'!$Q$4:$Q$8,0.75))</f>
        <v/>
      </c>
      <c r="M19" s="17">
        <f>IFERROR(_xlfn.PERCENTILE.INC('02周度面板'!$Q$4:$Q$8,0.9),PERCENTILE('02周度面板'!$Q$4:$Q$8,0.9))</f>
        <v/>
      </c>
      <c r="N19" s="17">
        <f>IFERROR(J19-I19,"")</f>
        <v/>
      </c>
      <c r="O19" s="17">
        <f>IFERROR(M19-I19,"")</f>
        <v/>
      </c>
      <c r="P19" s="18">
        <f>IFERROR(F19/D19,"")</f>
        <v/>
      </c>
      <c r="Q19" s="16">
        <f>IFERROR(D19-E19,"")</f>
        <v/>
      </c>
      <c r="R19" s="18">
        <f>IFERROR(D19/E19,"")</f>
        <v/>
      </c>
      <c r="S19" t="inlineStr">
        <is>
          <t>否</t>
        </is>
      </c>
      <c r="T19" t="inlineStr">
        <is>
          <t>2022</t>
        </is>
      </c>
      <c r="U19" t="inlineStr">
        <is>
          <t>2023, 2024, 2025, 2026</t>
        </is>
      </c>
    </row>
    <row r="20">
      <c r="A20" t="n">
        <v>17</v>
      </c>
      <c r="B20" t="inlineStr">
        <is>
          <t>W17</t>
        </is>
      </c>
      <c r="C20">
        <f>COUNT('02周度面板'!$R$4:$R$8)</f>
        <v/>
      </c>
      <c r="D20" s="16">
        <f>IFERROR(AVERAGE('02周度面板'!$R$4:$R$8),"")</f>
        <v/>
      </c>
      <c r="E20" s="16">
        <f>IFERROR(MEDIAN('02周度面板'!$R$4:$R$8),"")</f>
        <v/>
      </c>
      <c r="F20" s="16">
        <f>IFERROR(STDEV('02周度面板'!$R$4:$R$8),"")</f>
        <v/>
      </c>
      <c r="G20" s="16">
        <f>IFERROR(MIN('02周度面板'!$R$4:$R$8),"")</f>
        <v/>
      </c>
      <c r="H20" s="16">
        <f>IFERROR(MAX('02周度面板'!$R$4:$R$8),"")</f>
        <v/>
      </c>
      <c r="I20" s="17">
        <f>IFERROR(_xlfn.PERCENTILE.INC('02周度面板'!$R$4:$R$8,0.1),PERCENTILE('02周度面板'!$R$4:$R$8,0.1))</f>
        <v/>
      </c>
      <c r="J20" s="17">
        <f>IFERROR(_xlfn.PERCENTILE.INC('02周度面板'!$R$4:$R$8,0.25),PERCENTILE('02周度面板'!$R$4:$R$8,0.25))</f>
        <v/>
      </c>
      <c r="K20" s="17">
        <f>IFERROR(_xlfn.PERCENTILE.INC('02周度面板'!$R$4:$R$8,0.5),PERCENTILE('02周度面板'!$R$4:$R$8,0.5))</f>
        <v/>
      </c>
      <c r="L20" s="17">
        <f>IFERROR(_xlfn.PERCENTILE.INC('02周度面板'!$R$4:$R$8,0.75),PERCENTILE('02周度面板'!$R$4:$R$8,0.75))</f>
        <v/>
      </c>
      <c r="M20" s="17">
        <f>IFERROR(_xlfn.PERCENTILE.INC('02周度面板'!$R$4:$R$8,0.9),PERCENTILE('02周度面板'!$R$4:$R$8,0.9))</f>
        <v/>
      </c>
      <c r="N20" s="17">
        <f>IFERROR(J20-I20,"")</f>
        <v/>
      </c>
      <c r="O20" s="17">
        <f>IFERROR(M20-I20,"")</f>
        <v/>
      </c>
      <c r="P20" s="18">
        <f>IFERROR(F20/D20,"")</f>
        <v/>
      </c>
      <c r="Q20" s="16">
        <f>IFERROR(D20-E20,"")</f>
        <v/>
      </c>
      <c r="R20" s="18">
        <f>IFERROR(D20/E20,"")</f>
        <v/>
      </c>
      <c r="S20" t="inlineStr">
        <is>
          <t>否</t>
        </is>
      </c>
      <c r="T20" t="inlineStr">
        <is>
          <t>2022</t>
        </is>
      </c>
      <c r="U20" t="inlineStr">
        <is>
          <t>2023, 2024, 2025, 2026</t>
        </is>
      </c>
    </row>
    <row r="21">
      <c r="A21" t="n">
        <v>18</v>
      </c>
      <c r="B21" t="inlineStr">
        <is>
          <t>W18</t>
        </is>
      </c>
      <c r="C21">
        <f>COUNT('02周度面板'!$S$4:$S$8)</f>
        <v/>
      </c>
      <c r="D21" s="16">
        <f>IFERROR(AVERAGE('02周度面板'!$S$4:$S$8),"")</f>
        <v/>
      </c>
      <c r="E21" s="16">
        <f>IFERROR(MEDIAN('02周度面板'!$S$4:$S$8),"")</f>
        <v/>
      </c>
      <c r="F21" s="16">
        <f>IFERROR(STDEV('02周度面板'!$S$4:$S$8),"")</f>
        <v/>
      </c>
      <c r="G21" s="16">
        <f>IFERROR(MIN('02周度面板'!$S$4:$S$8),"")</f>
        <v/>
      </c>
      <c r="H21" s="16">
        <f>IFERROR(MAX('02周度面板'!$S$4:$S$8),"")</f>
        <v/>
      </c>
      <c r="I21" s="17">
        <f>IFERROR(_xlfn.PERCENTILE.INC('02周度面板'!$S$4:$S$8,0.1),PERCENTILE('02周度面板'!$S$4:$S$8,0.1))</f>
        <v/>
      </c>
      <c r="J21" s="17">
        <f>IFERROR(_xlfn.PERCENTILE.INC('02周度面板'!$S$4:$S$8,0.25),PERCENTILE('02周度面板'!$S$4:$S$8,0.25))</f>
        <v/>
      </c>
      <c r="K21" s="17">
        <f>IFERROR(_xlfn.PERCENTILE.INC('02周度面板'!$S$4:$S$8,0.5),PERCENTILE('02周度面板'!$S$4:$S$8,0.5))</f>
        <v/>
      </c>
      <c r="L21" s="17">
        <f>IFERROR(_xlfn.PERCENTILE.INC('02周度面板'!$S$4:$S$8,0.75),PERCENTILE('02周度面板'!$S$4:$S$8,0.75))</f>
        <v/>
      </c>
      <c r="M21" s="17">
        <f>IFERROR(_xlfn.PERCENTILE.INC('02周度面板'!$S$4:$S$8,0.9),PERCENTILE('02周度面板'!$S$4:$S$8,0.9))</f>
        <v/>
      </c>
      <c r="N21" s="17">
        <f>IFERROR(J21-I21,"")</f>
        <v/>
      </c>
      <c r="O21" s="17">
        <f>IFERROR(M21-I21,"")</f>
        <v/>
      </c>
      <c r="P21" s="18">
        <f>IFERROR(F21/D21,"")</f>
        <v/>
      </c>
      <c r="Q21" s="16">
        <f>IFERROR(D21-E21,"")</f>
        <v/>
      </c>
      <c r="R21" s="18">
        <f>IFERROR(D21/E21,"")</f>
        <v/>
      </c>
      <c r="S21" t="inlineStr">
        <is>
          <t>否</t>
        </is>
      </c>
      <c r="T21" t="inlineStr">
        <is>
          <t>2022</t>
        </is>
      </c>
      <c r="U21" t="inlineStr">
        <is>
          <t>2023, 2024, 2025, 2026</t>
        </is>
      </c>
    </row>
    <row r="22">
      <c r="A22" t="n">
        <v>19</v>
      </c>
      <c r="B22" t="inlineStr">
        <is>
          <t>W19</t>
        </is>
      </c>
      <c r="C22">
        <f>COUNT('02周度面板'!$T$4:$T$8)</f>
        <v/>
      </c>
      <c r="D22" s="16">
        <f>IFERROR(AVERAGE('02周度面板'!$T$4:$T$8),"")</f>
        <v/>
      </c>
      <c r="E22" s="16">
        <f>IFERROR(MEDIAN('02周度面板'!$T$4:$T$8),"")</f>
        <v/>
      </c>
      <c r="F22" s="16">
        <f>IFERROR(STDEV('02周度面板'!$T$4:$T$8),"")</f>
        <v/>
      </c>
      <c r="G22" s="16">
        <f>IFERROR(MIN('02周度面板'!$T$4:$T$8),"")</f>
        <v/>
      </c>
      <c r="H22" s="16">
        <f>IFERROR(MAX('02周度面板'!$T$4:$T$8),"")</f>
        <v/>
      </c>
      <c r="I22" s="17">
        <f>IFERROR(_xlfn.PERCENTILE.INC('02周度面板'!$T$4:$T$8,0.1),PERCENTILE('02周度面板'!$T$4:$T$8,0.1))</f>
        <v/>
      </c>
      <c r="J22" s="17">
        <f>IFERROR(_xlfn.PERCENTILE.INC('02周度面板'!$T$4:$T$8,0.25),PERCENTILE('02周度面板'!$T$4:$T$8,0.25))</f>
        <v/>
      </c>
      <c r="K22" s="17">
        <f>IFERROR(_xlfn.PERCENTILE.INC('02周度面板'!$T$4:$T$8,0.5),PERCENTILE('02周度面板'!$T$4:$T$8,0.5))</f>
        <v/>
      </c>
      <c r="L22" s="17">
        <f>IFERROR(_xlfn.PERCENTILE.INC('02周度面板'!$T$4:$T$8,0.75),PERCENTILE('02周度面板'!$T$4:$T$8,0.75))</f>
        <v/>
      </c>
      <c r="M22" s="17">
        <f>IFERROR(_xlfn.PERCENTILE.INC('02周度面板'!$T$4:$T$8,0.9),PERCENTILE('02周度面板'!$T$4:$T$8,0.9))</f>
        <v/>
      </c>
      <c r="N22" s="17">
        <f>IFERROR(J22-I22,"")</f>
        <v/>
      </c>
      <c r="O22" s="17">
        <f>IFERROR(M22-I22,"")</f>
        <v/>
      </c>
      <c r="P22" s="18">
        <f>IFERROR(F22/D22,"")</f>
        <v/>
      </c>
      <c r="Q22" s="16">
        <f>IFERROR(D22-E22,"")</f>
        <v/>
      </c>
      <c r="R22" s="18">
        <f>IFERROR(D22/E22,"")</f>
        <v/>
      </c>
      <c r="S22" t="inlineStr">
        <is>
          <t>否</t>
        </is>
      </c>
      <c r="T22" t="inlineStr">
        <is>
          <t>2022</t>
        </is>
      </c>
      <c r="U22" t="inlineStr">
        <is>
          <t>2023, 2024, 2025, 2026</t>
        </is>
      </c>
    </row>
    <row r="23">
      <c r="A23" t="n">
        <v>20</v>
      </c>
      <c r="B23" t="inlineStr">
        <is>
          <t>W20</t>
        </is>
      </c>
      <c r="C23">
        <f>COUNT('02周度面板'!$U$4:$U$8)</f>
        <v/>
      </c>
      <c r="D23" s="16">
        <f>IFERROR(AVERAGE('02周度面板'!$U$4:$U$8),"")</f>
        <v/>
      </c>
      <c r="E23" s="16">
        <f>IFERROR(MEDIAN('02周度面板'!$U$4:$U$8),"")</f>
        <v/>
      </c>
      <c r="F23" s="16">
        <f>IFERROR(STDEV('02周度面板'!$U$4:$U$8),"")</f>
        <v/>
      </c>
      <c r="G23" s="16">
        <f>IFERROR(MIN('02周度面板'!$U$4:$U$8),"")</f>
        <v/>
      </c>
      <c r="H23" s="16">
        <f>IFERROR(MAX('02周度面板'!$U$4:$U$8),"")</f>
        <v/>
      </c>
      <c r="I23" s="17">
        <f>IFERROR(_xlfn.PERCENTILE.INC('02周度面板'!$U$4:$U$8,0.1),PERCENTILE('02周度面板'!$U$4:$U$8,0.1))</f>
        <v/>
      </c>
      <c r="J23" s="17">
        <f>IFERROR(_xlfn.PERCENTILE.INC('02周度面板'!$U$4:$U$8,0.25),PERCENTILE('02周度面板'!$U$4:$U$8,0.25))</f>
        <v/>
      </c>
      <c r="K23" s="17">
        <f>IFERROR(_xlfn.PERCENTILE.INC('02周度面板'!$U$4:$U$8,0.5),PERCENTILE('02周度面板'!$U$4:$U$8,0.5))</f>
        <v/>
      </c>
      <c r="L23" s="17">
        <f>IFERROR(_xlfn.PERCENTILE.INC('02周度面板'!$U$4:$U$8,0.75),PERCENTILE('02周度面板'!$U$4:$U$8,0.75))</f>
        <v/>
      </c>
      <c r="M23" s="17">
        <f>IFERROR(_xlfn.PERCENTILE.INC('02周度面板'!$U$4:$U$8,0.9),PERCENTILE('02周度面板'!$U$4:$U$8,0.9))</f>
        <v/>
      </c>
      <c r="N23" s="17">
        <f>IFERROR(J23-I23,"")</f>
        <v/>
      </c>
      <c r="O23" s="17">
        <f>IFERROR(M23-I23,"")</f>
        <v/>
      </c>
      <c r="P23" s="18">
        <f>IFERROR(F23/D23,"")</f>
        <v/>
      </c>
      <c r="Q23" s="16">
        <f>IFERROR(D23-E23,"")</f>
        <v/>
      </c>
      <c r="R23" s="18">
        <f>IFERROR(D23/E23,"")</f>
        <v/>
      </c>
      <c r="S23" t="inlineStr">
        <is>
          <t>否</t>
        </is>
      </c>
      <c r="T23" t="inlineStr">
        <is>
          <t>2022</t>
        </is>
      </c>
      <c r="U23" t="inlineStr">
        <is>
          <t>2023, 2024, 2025, 2026</t>
        </is>
      </c>
    </row>
    <row r="24">
      <c r="A24" t="n">
        <v>21</v>
      </c>
      <c r="B24" t="inlineStr">
        <is>
          <t>W21</t>
        </is>
      </c>
      <c r="C24">
        <f>COUNT('02周度面板'!$V$4:$V$8)</f>
        <v/>
      </c>
      <c r="D24" s="16">
        <f>IFERROR(AVERAGE('02周度面板'!$V$4:$V$8),"")</f>
        <v/>
      </c>
      <c r="E24" s="16">
        <f>IFERROR(MEDIAN('02周度面板'!$V$4:$V$8),"")</f>
        <v/>
      </c>
      <c r="F24" s="16">
        <f>IFERROR(STDEV('02周度面板'!$V$4:$V$8),"")</f>
        <v/>
      </c>
      <c r="G24" s="16">
        <f>IFERROR(MIN('02周度面板'!$V$4:$V$8),"")</f>
        <v/>
      </c>
      <c r="H24" s="16">
        <f>IFERROR(MAX('02周度面板'!$V$4:$V$8),"")</f>
        <v/>
      </c>
      <c r="I24" s="17">
        <f>IFERROR(_xlfn.PERCENTILE.INC('02周度面板'!$V$4:$V$8,0.1),PERCENTILE('02周度面板'!$V$4:$V$8,0.1))</f>
        <v/>
      </c>
      <c r="J24" s="17">
        <f>IFERROR(_xlfn.PERCENTILE.INC('02周度面板'!$V$4:$V$8,0.25),PERCENTILE('02周度面板'!$V$4:$V$8,0.25))</f>
        <v/>
      </c>
      <c r="K24" s="17">
        <f>IFERROR(_xlfn.PERCENTILE.INC('02周度面板'!$V$4:$V$8,0.5),PERCENTILE('02周度面板'!$V$4:$V$8,0.5))</f>
        <v/>
      </c>
      <c r="L24" s="17">
        <f>IFERROR(_xlfn.PERCENTILE.INC('02周度面板'!$V$4:$V$8,0.75),PERCENTILE('02周度面板'!$V$4:$V$8,0.75))</f>
        <v/>
      </c>
      <c r="M24" s="17">
        <f>IFERROR(_xlfn.PERCENTILE.INC('02周度面板'!$V$4:$V$8,0.9),PERCENTILE('02周度面板'!$V$4:$V$8,0.9))</f>
        <v/>
      </c>
      <c r="N24" s="17">
        <f>IFERROR(J24-I24,"")</f>
        <v/>
      </c>
      <c r="O24" s="17">
        <f>IFERROR(M24-I24,"")</f>
        <v/>
      </c>
      <c r="P24" s="18">
        <f>IFERROR(F24/D24,"")</f>
        <v/>
      </c>
      <c r="Q24" s="16">
        <f>IFERROR(D24-E24,"")</f>
        <v/>
      </c>
      <c r="R24" s="18">
        <f>IFERROR(D24/E24,"")</f>
        <v/>
      </c>
      <c r="S24" t="inlineStr">
        <is>
          <t>否</t>
        </is>
      </c>
      <c r="T24" t="inlineStr">
        <is>
          <t>2022</t>
        </is>
      </c>
      <c r="U24" t="inlineStr">
        <is>
          <t>2023, 2024, 2025, 2026</t>
        </is>
      </c>
    </row>
    <row r="25">
      <c r="A25" t="n">
        <v>22</v>
      </c>
      <c r="B25" t="inlineStr">
        <is>
          <t>W22</t>
        </is>
      </c>
      <c r="C25">
        <f>COUNT('02周度面板'!$W$4:$W$8)</f>
        <v/>
      </c>
      <c r="D25" s="16">
        <f>IFERROR(AVERAGE('02周度面板'!$W$4:$W$8),"")</f>
        <v/>
      </c>
      <c r="E25" s="16">
        <f>IFERROR(MEDIAN('02周度面板'!$W$4:$W$8),"")</f>
        <v/>
      </c>
      <c r="F25" s="16">
        <f>IFERROR(STDEV('02周度面板'!$W$4:$W$8),"")</f>
        <v/>
      </c>
      <c r="G25" s="16">
        <f>IFERROR(MIN('02周度面板'!$W$4:$W$8),"")</f>
        <v/>
      </c>
      <c r="H25" s="16">
        <f>IFERROR(MAX('02周度面板'!$W$4:$W$8),"")</f>
        <v/>
      </c>
      <c r="I25" s="17">
        <f>IFERROR(_xlfn.PERCENTILE.INC('02周度面板'!$W$4:$W$8,0.1),PERCENTILE('02周度面板'!$W$4:$W$8,0.1))</f>
        <v/>
      </c>
      <c r="J25" s="17">
        <f>IFERROR(_xlfn.PERCENTILE.INC('02周度面板'!$W$4:$W$8,0.25),PERCENTILE('02周度面板'!$W$4:$W$8,0.25))</f>
        <v/>
      </c>
      <c r="K25" s="17">
        <f>IFERROR(_xlfn.PERCENTILE.INC('02周度面板'!$W$4:$W$8,0.5),PERCENTILE('02周度面板'!$W$4:$W$8,0.5))</f>
        <v/>
      </c>
      <c r="L25" s="17">
        <f>IFERROR(_xlfn.PERCENTILE.INC('02周度面板'!$W$4:$W$8,0.75),PERCENTILE('02周度面板'!$W$4:$W$8,0.75))</f>
        <v/>
      </c>
      <c r="M25" s="17">
        <f>IFERROR(_xlfn.PERCENTILE.INC('02周度面板'!$W$4:$W$8,0.9),PERCENTILE('02周度面板'!$W$4:$W$8,0.9))</f>
        <v/>
      </c>
      <c r="N25" s="17">
        <f>IFERROR(J25-I25,"")</f>
        <v/>
      </c>
      <c r="O25" s="17">
        <f>IFERROR(M25-I25,"")</f>
        <v/>
      </c>
      <c r="P25" s="18">
        <f>IFERROR(F25/D25,"")</f>
        <v/>
      </c>
      <c r="Q25" s="16">
        <f>IFERROR(D25-E25,"")</f>
        <v/>
      </c>
      <c r="R25" s="18">
        <f>IFERROR(D25/E25,"")</f>
        <v/>
      </c>
      <c r="S25" t="inlineStr">
        <is>
          <t>否</t>
        </is>
      </c>
      <c r="T25" t="inlineStr">
        <is>
          <t>2022</t>
        </is>
      </c>
      <c r="U25" t="inlineStr">
        <is>
          <t>2023, 2024, 2025, 2026</t>
        </is>
      </c>
    </row>
    <row r="26">
      <c r="A26" t="n">
        <v>23</v>
      </c>
      <c r="B26" t="inlineStr">
        <is>
          <t>W23</t>
        </is>
      </c>
      <c r="C26">
        <f>COUNT('02周度面板'!$X$4:$X$8)</f>
        <v/>
      </c>
      <c r="D26" s="16">
        <f>IFERROR(AVERAGE('02周度面板'!$X$4:$X$8),"")</f>
        <v/>
      </c>
      <c r="E26" s="16">
        <f>IFERROR(MEDIAN('02周度面板'!$X$4:$X$8),"")</f>
        <v/>
      </c>
      <c r="F26" s="16">
        <f>IFERROR(STDEV('02周度面板'!$X$4:$X$8),"")</f>
        <v/>
      </c>
      <c r="G26" s="16">
        <f>IFERROR(MIN('02周度面板'!$X$4:$X$8),"")</f>
        <v/>
      </c>
      <c r="H26" s="16">
        <f>IFERROR(MAX('02周度面板'!$X$4:$X$8),"")</f>
        <v/>
      </c>
      <c r="I26" s="17">
        <f>IFERROR(_xlfn.PERCENTILE.INC('02周度面板'!$X$4:$X$8,0.1),PERCENTILE('02周度面板'!$X$4:$X$8,0.1))</f>
        <v/>
      </c>
      <c r="J26" s="17">
        <f>IFERROR(_xlfn.PERCENTILE.INC('02周度面板'!$X$4:$X$8,0.25),PERCENTILE('02周度面板'!$X$4:$X$8,0.25))</f>
        <v/>
      </c>
      <c r="K26" s="17">
        <f>IFERROR(_xlfn.PERCENTILE.INC('02周度面板'!$X$4:$X$8,0.5),PERCENTILE('02周度面板'!$X$4:$X$8,0.5))</f>
        <v/>
      </c>
      <c r="L26" s="17">
        <f>IFERROR(_xlfn.PERCENTILE.INC('02周度面板'!$X$4:$X$8,0.75),PERCENTILE('02周度面板'!$X$4:$X$8,0.75))</f>
        <v/>
      </c>
      <c r="M26" s="17">
        <f>IFERROR(_xlfn.PERCENTILE.INC('02周度面板'!$X$4:$X$8,0.9),PERCENTILE('02周度面板'!$X$4:$X$8,0.9))</f>
        <v/>
      </c>
      <c r="N26" s="17">
        <f>IFERROR(J26-I26,"")</f>
        <v/>
      </c>
      <c r="O26" s="17">
        <f>IFERROR(M26-I26,"")</f>
        <v/>
      </c>
      <c r="P26" s="18">
        <f>IFERROR(F26/D26,"")</f>
        <v/>
      </c>
      <c r="Q26" s="16">
        <f>IFERROR(D26-E26,"")</f>
        <v/>
      </c>
      <c r="R26" s="18">
        <f>IFERROR(D26/E26,"")</f>
        <v/>
      </c>
      <c r="S26" t="inlineStr">
        <is>
          <t>否</t>
        </is>
      </c>
      <c r="T26" t="inlineStr">
        <is>
          <t>2022</t>
        </is>
      </c>
      <c r="U26" t="inlineStr">
        <is>
          <t>2023, 2024, 2025, 2026</t>
        </is>
      </c>
    </row>
    <row r="27">
      <c r="A27" t="n">
        <v>24</v>
      </c>
      <c r="B27" t="inlineStr">
        <is>
          <t>W24</t>
        </is>
      </c>
      <c r="C27">
        <f>COUNT('02周度面板'!$Y$4:$Y$8)</f>
        <v/>
      </c>
      <c r="D27" s="16">
        <f>IFERROR(AVERAGE('02周度面板'!$Y$4:$Y$8),"")</f>
        <v/>
      </c>
      <c r="E27" s="16">
        <f>IFERROR(MEDIAN('02周度面板'!$Y$4:$Y$8),"")</f>
        <v/>
      </c>
      <c r="F27" s="16">
        <f>IFERROR(STDEV('02周度面板'!$Y$4:$Y$8),"")</f>
        <v/>
      </c>
      <c r="G27" s="16">
        <f>IFERROR(MIN('02周度面板'!$Y$4:$Y$8),"")</f>
        <v/>
      </c>
      <c r="H27" s="16">
        <f>IFERROR(MAX('02周度面板'!$Y$4:$Y$8),"")</f>
        <v/>
      </c>
      <c r="I27" s="17">
        <f>IFERROR(_xlfn.PERCENTILE.INC('02周度面板'!$Y$4:$Y$8,0.1),PERCENTILE('02周度面板'!$Y$4:$Y$8,0.1))</f>
        <v/>
      </c>
      <c r="J27" s="17">
        <f>IFERROR(_xlfn.PERCENTILE.INC('02周度面板'!$Y$4:$Y$8,0.25),PERCENTILE('02周度面板'!$Y$4:$Y$8,0.25))</f>
        <v/>
      </c>
      <c r="K27" s="17">
        <f>IFERROR(_xlfn.PERCENTILE.INC('02周度面板'!$Y$4:$Y$8,0.5),PERCENTILE('02周度面板'!$Y$4:$Y$8,0.5))</f>
        <v/>
      </c>
      <c r="L27" s="17">
        <f>IFERROR(_xlfn.PERCENTILE.INC('02周度面板'!$Y$4:$Y$8,0.75),PERCENTILE('02周度面板'!$Y$4:$Y$8,0.75))</f>
        <v/>
      </c>
      <c r="M27" s="17">
        <f>IFERROR(_xlfn.PERCENTILE.INC('02周度面板'!$Y$4:$Y$8,0.9),PERCENTILE('02周度面板'!$Y$4:$Y$8,0.9))</f>
        <v/>
      </c>
      <c r="N27" s="17">
        <f>IFERROR(J27-I27,"")</f>
        <v/>
      </c>
      <c r="O27" s="17">
        <f>IFERROR(M27-I27,"")</f>
        <v/>
      </c>
      <c r="P27" s="18">
        <f>IFERROR(F27/D27,"")</f>
        <v/>
      </c>
      <c r="Q27" s="16">
        <f>IFERROR(D27-E27,"")</f>
        <v/>
      </c>
      <c r="R27" s="18">
        <f>IFERROR(D27/E27,"")</f>
        <v/>
      </c>
      <c r="S27" t="inlineStr">
        <is>
          <t>否</t>
        </is>
      </c>
      <c r="T27" t="inlineStr">
        <is>
          <t>2022</t>
        </is>
      </c>
      <c r="U27" t="inlineStr">
        <is>
          <t>2023, 2024, 2025, 2026</t>
        </is>
      </c>
    </row>
    <row r="28">
      <c r="A28" t="n">
        <v>25</v>
      </c>
      <c r="B28" t="inlineStr">
        <is>
          <t>W25</t>
        </is>
      </c>
      <c r="C28">
        <f>COUNT('02周度面板'!$Z$4:$Z$8)</f>
        <v/>
      </c>
      <c r="D28" s="16">
        <f>IFERROR(AVERAGE('02周度面板'!$Z$4:$Z$8),"")</f>
        <v/>
      </c>
      <c r="E28" s="16">
        <f>IFERROR(MEDIAN('02周度面板'!$Z$4:$Z$8),"")</f>
        <v/>
      </c>
      <c r="F28" s="16">
        <f>IFERROR(STDEV('02周度面板'!$Z$4:$Z$8),"")</f>
        <v/>
      </c>
      <c r="G28" s="16">
        <f>IFERROR(MIN('02周度面板'!$Z$4:$Z$8),"")</f>
        <v/>
      </c>
      <c r="H28" s="16">
        <f>IFERROR(MAX('02周度面板'!$Z$4:$Z$8),"")</f>
        <v/>
      </c>
      <c r="I28" s="17">
        <f>IFERROR(_xlfn.PERCENTILE.INC('02周度面板'!$Z$4:$Z$8,0.1),PERCENTILE('02周度面板'!$Z$4:$Z$8,0.1))</f>
        <v/>
      </c>
      <c r="J28" s="17">
        <f>IFERROR(_xlfn.PERCENTILE.INC('02周度面板'!$Z$4:$Z$8,0.25),PERCENTILE('02周度面板'!$Z$4:$Z$8,0.25))</f>
        <v/>
      </c>
      <c r="K28" s="17">
        <f>IFERROR(_xlfn.PERCENTILE.INC('02周度面板'!$Z$4:$Z$8,0.5),PERCENTILE('02周度面板'!$Z$4:$Z$8,0.5))</f>
        <v/>
      </c>
      <c r="L28" s="17">
        <f>IFERROR(_xlfn.PERCENTILE.INC('02周度面板'!$Z$4:$Z$8,0.75),PERCENTILE('02周度面板'!$Z$4:$Z$8,0.75))</f>
        <v/>
      </c>
      <c r="M28" s="17">
        <f>IFERROR(_xlfn.PERCENTILE.INC('02周度面板'!$Z$4:$Z$8,0.9),PERCENTILE('02周度面板'!$Z$4:$Z$8,0.9))</f>
        <v/>
      </c>
      <c r="N28" s="17">
        <f>IFERROR(J28-I28,"")</f>
        <v/>
      </c>
      <c r="O28" s="17">
        <f>IFERROR(M28-I28,"")</f>
        <v/>
      </c>
      <c r="P28" s="18">
        <f>IFERROR(F28/D28,"")</f>
        <v/>
      </c>
      <c r="Q28" s="16">
        <f>IFERROR(D28-E28,"")</f>
        <v/>
      </c>
      <c r="R28" s="18">
        <f>IFERROR(D28/E28,"")</f>
        <v/>
      </c>
      <c r="S28" t="inlineStr">
        <is>
          <t>否</t>
        </is>
      </c>
      <c r="T28" t="inlineStr">
        <is>
          <t>2022</t>
        </is>
      </c>
      <c r="U28" t="inlineStr">
        <is>
          <t>2023, 2024, 2025, 2026</t>
        </is>
      </c>
    </row>
    <row r="29">
      <c r="A29" t="n">
        <v>26</v>
      </c>
      <c r="B29" t="inlineStr">
        <is>
          <t>W26</t>
        </is>
      </c>
      <c r="C29">
        <f>COUNT('02周度面板'!$AA$4:$AA$8)</f>
        <v/>
      </c>
      <c r="D29" s="16">
        <f>IFERROR(AVERAGE('02周度面板'!$AA$4:$AA$8),"")</f>
        <v/>
      </c>
      <c r="E29" s="16">
        <f>IFERROR(MEDIAN('02周度面板'!$AA$4:$AA$8),"")</f>
        <v/>
      </c>
      <c r="F29" s="16">
        <f>IFERROR(STDEV('02周度面板'!$AA$4:$AA$8),"")</f>
        <v/>
      </c>
      <c r="G29" s="16">
        <f>IFERROR(MIN('02周度面板'!$AA$4:$AA$8),"")</f>
        <v/>
      </c>
      <c r="H29" s="16">
        <f>IFERROR(MAX('02周度面板'!$AA$4:$AA$8),"")</f>
        <v/>
      </c>
      <c r="I29" s="17">
        <f>IFERROR(_xlfn.PERCENTILE.INC('02周度面板'!$AA$4:$AA$8,0.1),PERCENTILE('02周度面板'!$AA$4:$AA$8,0.1))</f>
        <v/>
      </c>
      <c r="J29" s="17">
        <f>IFERROR(_xlfn.PERCENTILE.INC('02周度面板'!$AA$4:$AA$8,0.25),PERCENTILE('02周度面板'!$AA$4:$AA$8,0.25))</f>
        <v/>
      </c>
      <c r="K29" s="17">
        <f>IFERROR(_xlfn.PERCENTILE.INC('02周度面板'!$AA$4:$AA$8,0.5),PERCENTILE('02周度面板'!$AA$4:$AA$8,0.5))</f>
        <v/>
      </c>
      <c r="L29" s="17">
        <f>IFERROR(_xlfn.PERCENTILE.INC('02周度面板'!$AA$4:$AA$8,0.75),PERCENTILE('02周度面板'!$AA$4:$AA$8,0.75))</f>
        <v/>
      </c>
      <c r="M29" s="17">
        <f>IFERROR(_xlfn.PERCENTILE.INC('02周度面板'!$AA$4:$AA$8,0.9),PERCENTILE('02周度面板'!$AA$4:$AA$8,0.9))</f>
        <v/>
      </c>
      <c r="N29" s="17">
        <f>IFERROR(J29-I29,"")</f>
        <v/>
      </c>
      <c r="O29" s="17">
        <f>IFERROR(M29-I29,"")</f>
        <v/>
      </c>
      <c r="P29" s="18">
        <f>IFERROR(F29/D29,"")</f>
        <v/>
      </c>
      <c r="Q29" s="16">
        <f>IFERROR(D29-E29,"")</f>
        <v/>
      </c>
      <c r="R29" s="18">
        <f>IFERROR(D29/E29,"")</f>
        <v/>
      </c>
      <c r="S29" t="inlineStr">
        <is>
          <t>否</t>
        </is>
      </c>
      <c r="T29" t="inlineStr">
        <is>
          <t>2022</t>
        </is>
      </c>
      <c r="U29" t="inlineStr">
        <is>
          <t>2023, 2024, 2025, 2026</t>
        </is>
      </c>
    </row>
    <row r="30">
      <c r="A30" t="n">
        <v>27</v>
      </c>
      <c r="B30" t="inlineStr">
        <is>
          <t>W27</t>
        </is>
      </c>
      <c r="C30">
        <f>COUNT('02周度面板'!$AB$4:$AB$8)</f>
        <v/>
      </c>
      <c r="D30" s="16">
        <f>IFERROR(AVERAGE('02周度面板'!$AB$4:$AB$8),"")</f>
        <v/>
      </c>
      <c r="E30" s="16">
        <f>IFERROR(MEDIAN('02周度面板'!$AB$4:$AB$8),"")</f>
        <v/>
      </c>
      <c r="F30" s="16">
        <f>IFERROR(STDEV('02周度面板'!$AB$4:$AB$8),"")</f>
        <v/>
      </c>
      <c r="G30" s="16">
        <f>IFERROR(MIN('02周度面板'!$AB$4:$AB$8),"")</f>
        <v/>
      </c>
      <c r="H30" s="16">
        <f>IFERROR(MAX('02周度面板'!$AB$4:$AB$8),"")</f>
        <v/>
      </c>
      <c r="I30" s="17">
        <f>IFERROR(_xlfn.PERCENTILE.INC('02周度面板'!$AB$4:$AB$8,0.1),PERCENTILE('02周度面板'!$AB$4:$AB$8,0.1))</f>
        <v/>
      </c>
      <c r="J30" s="17">
        <f>IFERROR(_xlfn.PERCENTILE.INC('02周度面板'!$AB$4:$AB$8,0.25),PERCENTILE('02周度面板'!$AB$4:$AB$8,0.25))</f>
        <v/>
      </c>
      <c r="K30" s="17">
        <f>IFERROR(_xlfn.PERCENTILE.INC('02周度面板'!$AB$4:$AB$8,0.5),PERCENTILE('02周度面板'!$AB$4:$AB$8,0.5))</f>
        <v/>
      </c>
      <c r="L30" s="17">
        <f>IFERROR(_xlfn.PERCENTILE.INC('02周度面板'!$AB$4:$AB$8,0.75),PERCENTILE('02周度面板'!$AB$4:$AB$8,0.75))</f>
        <v/>
      </c>
      <c r="M30" s="17">
        <f>IFERROR(_xlfn.PERCENTILE.INC('02周度面板'!$AB$4:$AB$8,0.9),PERCENTILE('02周度面板'!$AB$4:$AB$8,0.9))</f>
        <v/>
      </c>
      <c r="N30" s="17">
        <f>IFERROR(J30-I30,"")</f>
        <v/>
      </c>
      <c r="O30" s="17">
        <f>IFERROR(M30-I30,"")</f>
        <v/>
      </c>
      <c r="P30" s="18">
        <f>IFERROR(F30/D30,"")</f>
        <v/>
      </c>
      <c r="Q30" s="16">
        <f>IFERROR(D30-E30,"")</f>
        <v/>
      </c>
      <c r="R30" s="18">
        <f>IFERROR(D30/E30,"")</f>
        <v/>
      </c>
      <c r="S30" t="inlineStr">
        <is>
          <t>否</t>
        </is>
      </c>
      <c r="T30" t="inlineStr">
        <is>
          <t>2022</t>
        </is>
      </c>
      <c r="U30" t="inlineStr">
        <is>
          <t>2023, 2024, 2025, 2026</t>
        </is>
      </c>
    </row>
    <row r="31">
      <c r="A31" t="n">
        <v>28</v>
      </c>
      <c r="B31" t="inlineStr">
        <is>
          <t>W28</t>
        </is>
      </c>
      <c r="C31">
        <f>COUNT('02周度面板'!$AC$4:$AC$8)</f>
        <v/>
      </c>
      <c r="D31" s="16">
        <f>IFERROR(AVERAGE('02周度面板'!$AC$4:$AC$8),"")</f>
        <v/>
      </c>
      <c r="E31" s="16">
        <f>IFERROR(MEDIAN('02周度面板'!$AC$4:$AC$8),"")</f>
        <v/>
      </c>
      <c r="F31" s="16">
        <f>IFERROR(STDEV('02周度面板'!$AC$4:$AC$8),"")</f>
        <v/>
      </c>
      <c r="G31" s="16">
        <f>IFERROR(MIN('02周度面板'!$AC$4:$AC$8),"")</f>
        <v/>
      </c>
      <c r="H31" s="16">
        <f>IFERROR(MAX('02周度面板'!$AC$4:$AC$8),"")</f>
        <v/>
      </c>
      <c r="I31" s="17">
        <f>IFERROR(_xlfn.PERCENTILE.INC('02周度面板'!$AC$4:$AC$8,0.1),PERCENTILE('02周度面板'!$AC$4:$AC$8,0.1))</f>
        <v/>
      </c>
      <c r="J31" s="17">
        <f>IFERROR(_xlfn.PERCENTILE.INC('02周度面板'!$AC$4:$AC$8,0.25),PERCENTILE('02周度面板'!$AC$4:$AC$8,0.25))</f>
        <v/>
      </c>
      <c r="K31" s="17">
        <f>IFERROR(_xlfn.PERCENTILE.INC('02周度面板'!$AC$4:$AC$8,0.5),PERCENTILE('02周度面板'!$AC$4:$AC$8,0.5))</f>
        <v/>
      </c>
      <c r="L31" s="17">
        <f>IFERROR(_xlfn.PERCENTILE.INC('02周度面板'!$AC$4:$AC$8,0.75),PERCENTILE('02周度面板'!$AC$4:$AC$8,0.75))</f>
        <v/>
      </c>
      <c r="M31" s="17">
        <f>IFERROR(_xlfn.PERCENTILE.INC('02周度面板'!$AC$4:$AC$8,0.9),PERCENTILE('02周度面板'!$AC$4:$AC$8,0.9))</f>
        <v/>
      </c>
      <c r="N31" s="17">
        <f>IFERROR(J31-I31,"")</f>
        <v/>
      </c>
      <c r="O31" s="17">
        <f>IFERROR(M31-I31,"")</f>
        <v/>
      </c>
      <c r="P31" s="18">
        <f>IFERROR(F31/D31,"")</f>
        <v/>
      </c>
      <c r="Q31" s="16">
        <f>IFERROR(D31-E31,"")</f>
        <v/>
      </c>
      <c r="R31" s="18">
        <f>IFERROR(D31/E31,"")</f>
        <v/>
      </c>
      <c r="S31" t="inlineStr">
        <is>
          <t>否</t>
        </is>
      </c>
      <c r="T31" t="inlineStr">
        <is>
          <t>2022</t>
        </is>
      </c>
      <c r="U31" t="inlineStr">
        <is>
          <t>2023, 2024, 2025, 2026</t>
        </is>
      </c>
    </row>
    <row r="32">
      <c r="A32" t="n">
        <v>29</v>
      </c>
      <c r="B32" t="inlineStr">
        <is>
          <t>W29</t>
        </is>
      </c>
      <c r="C32">
        <f>COUNT('02周度面板'!$AD$4:$AD$8)</f>
        <v/>
      </c>
      <c r="D32" s="16">
        <f>IFERROR(AVERAGE('02周度面板'!$AD$4:$AD$8),"")</f>
        <v/>
      </c>
      <c r="E32" s="16">
        <f>IFERROR(MEDIAN('02周度面板'!$AD$4:$AD$8),"")</f>
        <v/>
      </c>
      <c r="F32" s="16">
        <f>IFERROR(STDEV('02周度面板'!$AD$4:$AD$8),"")</f>
        <v/>
      </c>
      <c r="G32" s="16">
        <f>IFERROR(MIN('02周度面板'!$AD$4:$AD$8),"")</f>
        <v/>
      </c>
      <c r="H32" s="16">
        <f>IFERROR(MAX('02周度面板'!$AD$4:$AD$8),"")</f>
        <v/>
      </c>
      <c r="I32" s="17">
        <f>IFERROR(_xlfn.PERCENTILE.INC('02周度面板'!$AD$4:$AD$8,0.1),PERCENTILE('02周度面板'!$AD$4:$AD$8,0.1))</f>
        <v/>
      </c>
      <c r="J32" s="17">
        <f>IFERROR(_xlfn.PERCENTILE.INC('02周度面板'!$AD$4:$AD$8,0.25),PERCENTILE('02周度面板'!$AD$4:$AD$8,0.25))</f>
        <v/>
      </c>
      <c r="K32" s="17">
        <f>IFERROR(_xlfn.PERCENTILE.INC('02周度面板'!$AD$4:$AD$8,0.5),PERCENTILE('02周度面板'!$AD$4:$AD$8,0.5))</f>
        <v/>
      </c>
      <c r="L32" s="17">
        <f>IFERROR(_xlfn.PERCENTILE.INC('02周度面板'!$AD$4:$AD$8,0.75),PERCENTILE('02周度面板'!$AD$4:$AD$8,0.75))</f>
        <v/>
      </c>
      <c r="M32" s="17">
        <f>IFERROR(_xlfn.PERCENTILE.INC('02周度面板'!$AD$4:$AD$8,0.9),PERCENTILE('02周度面板'!$AD$4:$AD$8,0.9))</f>
        <v/>
      </c>
      <c r="N32" s="17">
        <f>IFERROR(J32-I32,"")</f>
        <v/>
      </c>
      <c r="O32" s="17">
        <f>IFERROR(M32-I32,"")</f>
        <v/>
      </c>
      <c r="P32" s="18">
        <f>IFERROR(F32/D32,"")</f>
        <v/>
      </c>
      <c r="Q32" s="16">
        <f>IFERROR(D32-E32,"")</f>
        <v/>
      </c>
      <c r="R32" s="18">
        <f>IFERROR(D32/E32,"")</f>
        <v/>
      </c>
      <c r="S32" t="inlineStr">
        <is>
          <t>否</t>
        </is>
      </c>
      <c r="T32" t="inlineStr">
        <is>
          <t>2022</t>
        </is>
      </c>
      <c r="U32" t="inlineStr">
        <is>
          <t>2023, 2024, 2025, 2026</t>
        </is>
      </c>
    </row>
    <row r="33">
      <c r="A33" t="n">
        <v>30</v>
      </c>
      <c r="B33" t="inlineStr">
        <is>
          <t>W30</t>
        </is>
      </c>
      <c r="C33">
        <f>COUNT('02周度面板'!$AE$4:$AE$8)</f>
        <v/>
      </c>
      <c r="D33" s="16">
        <f>IFERROR(AVERAGE('02周度面板'!$AE$4:$AE$8),"")</f>
        <v/>
      </c>
      <c r="E33" s="16">
        <f>IFERROR(MEDIAN('02周度面板'!$AE$4:$AE$8),"")</f>
        <v/>
      </c>
      <c r="F33" s="16">
        <f>IFERROR(STDEV('02周度面板'!$AE$4:$AE$8),"")</f>
        <v/>
      </c>
      <c r="G33" s="16">
        <f>IFERROR(MIN('02周度面板'!$AE$4:$AE$8),"")</f>
        <v/>
      </c>
      <c r="H33" s="16">
        <f>IFERROR(MAX('02周度面板'!$AE$4:$AE$8),"")</f>
        <v/>
      </c>
      <c r="I33" s="17">
        <f>IFERROR(_xlfn.PERCENTILE.INC('02周度面板'!$AE$4:$AE$8,0.1),PERCENTILE('02周度面板'!$AE$4:$AE$8,0.1))</f>
        <v/>
      </c>
      <c r="J33" s="17">
        <f>IFERROR(_xlfn.PERCENTILE.INC('02周度面板'!$AE$4:$AE$8,0.25),PERCENTILE('02周度面板'!$AE$4:$AE$8,0.25))</f>
        <v/>
      </c>
      <c r="K33" s="17">
        <f>IFERROR(_xlfn.PERCENTILE.INC('02周度面板'!$AE$4:$AE$8,0.5),PERCENTILE('02周度面板'!$AE$4:$AE$8,0.5))</f>
        <v/>
      </c>
      <c r="L33" s="17">
        <f>IFERROR(_xlfn.PERCENTILE.INC('02周度面板'!$AE$4:$AE$8,0.75),PERCENTILE('02周度面板'!$AE$4:$AE$8,0.75))</f>
        <v/>
      </c>
      <c r="M33" s="17">
        <f>IFERROR(_xlfn.PERCENTILE.INC('02周度面板'!$AE$4:$AE$8,0.9),PERCENTILE('02周度面板'!$AE$4:$AE$8,0.9))</f>
        <v/>
      </c>
      <c r="N33" s="17">
        <f>IFERROR(J33-I33,"")</f>
        <v/>
      </c>
      <c r="O33" s="17">
        <f>IFERROR(M33-I33,"")</f>
        <v/>
      </c>
      <c r="P33" s="18">
        <f>IFERROR(F33/D33,"")</f>
        <v/>
      </c>
      <c r="Q33" s="16">
        <f>IFERROR(D33-E33,"")</f>
        <v/>
      </c>
      <c r="R33" s="18">
        <f>IFERROR(D33/E33,"")</f>
        <v/>
      </c>
      <c r="S33" t="inlineStr">
        <is>
          <t>否</t>
        </is>
      </c>
      <c r="T33" t="inlineStr">
        <is>
          <t>2022</t>
        </is>
      </c>
      <c r="U33" t="inlineStr">
        <is>
          <t>2023, 2024, 2025, 2026</t>
        </is>
      </c>
    </row>
    <row r="34">
      <c r="A34" t="n">
        <v>31</v>
      </c>
      <c r="B34" t="inlineStr">
        <is>
          <t>W31</t>
        </is>
      </c>
      <c r="C34">
        <f>COUNT('02周度面板'!$AF$4:$AF$8)</f>
        <v/>
      </c>
      <c r="D34" s="16">
        <f>IFERROR(AVERAGE('02周度面板'!$AF$4:$AF$8),"")</f>
        <v/>
      </c>
      <c r="E34" s="16">
        <f>IFERROR(MEDIAN('02周度面板'!$AF$4:$AF$8),"")</f>
        <v/>
      </c>
      <c r="F34" s="16">
        <f>IFERROR(STDEV('02周度面板'!$AF$4:$AF$8),"")</f>
        <v/>
      </c>
      <c r="G34" s="16">
        <f>IFERROR(MIN('02周度面板'!$AF$4:$AF$8),"")</f>
        <v/>
      </c>
      <c r="H34" s="16">
        <f>IFERROR(MAX('02周度面板'!$AF$4:$AF$8),"")</f>
        <v/>
      </c>
      <c r="I34" s="17">
        <f>IFERROR(_xlfn.PERCENTILE.INC('02周度面板'!$AF$4:$AF$8,0.1),PERCENTILE('02周度面板'!$AF$4:$AF$8,0.1))</f>
        <v/>
      </c>
      <c r="J34" s="17">
        <f>IFERROR(_xlfn.PERCENTILE.INC('02周度面板'!$AF$4:$AF$8,0.25),PERCENTILE('02周度面板'!$AF$4:$AF$8,0.25))</f>
        <v/>
      </c>
      <c r="K34" s="17">
        <f>IFERROR(_xlfn.PERCENTILE.INC('02周度面板'!$AF$4:$AF$8,0.5),PERCENTILE('02周度面板'!$AF$4:$AF$8,0.5))</f>
        <v/>
      </c>
      <c r="L34" s="17">
        <f>IFERROR(_xlfn.PERCENTILE.INC('02周度面板'!$AF$4:$AF$8,0.75),PERCENTILE('02周度面板'!$AF$4:$AF$8,0.75))</f>
        <v/>
      </c>
      <c r="M34" s="17">
        <f>IFERROR(_xlfn.PERCENTILE.INC('02周度面板'!$AF$4:$AF$8,0.9),PERCENTILE('02周度面板'!$AF$4:$AF$8,0.9))</f>
        <v/>
      </c>
      <c r="N34" s="17">
        <f>IFERROR(J34-I34,"")</f>
        <v/>
      </c>
      <c r="O34" s="17">
        <f>IFERROR(M34-I34,"")</f>
        <v/>
      </c>
      <c r="P34" s="18">
        <f>IFERROR(F34/D34,"")</f>
        <v/>
      </c>
      <c r="Q34" s="16">
        <f>IFERROR(D34-E34,"")</f>
        <v/>
      </c>
      <c r="R34" s="18">
        <f>IFERROR(D34/E34,"")</f>
        <v/>
      </c>
      <c r="S34" t="inlineStr">
        <is>
          <t>否</t>
        </is>
      </c>
      <c r="T34" t="inlineStr">
        <is>
          <t>2022</t>
        </is>
      </c>
      <c r="U34" t="inlineStr">
        <is>
          <t>2023, 2024, 2025, 2026</t>
        </is>
      </c>
    </row>
    <row r="35">
      <c r="A35" t="n">
        <v>32</v>
      </c>
      <c r="B35" t="inlineStr">
        <is>
          <t>W32</t>
        </is>
      </c>
      <c r="C35">
        <f>COUNT('02周度面板'!$AG$4:$AG$8)</f>
        <v/>
      </c>
      <c r="D35" s="16">
        <f>IFERROR(AVERAGE('02周度面板'!$AG$4:$AG$8),"")</f>
        <v/>
      </c>
      <c r="E35" s="16">
        <f>IFERROR(MEDIAN('02周度面板'!$AG$4:$AG$8),"")</f>
        <v/>
      </c>
      <c r="F35" s="16">
        <f>IFERROR(STDEV('02周度面板'!$AG$4:$AG$8),"")</f>
        <v/>
      </c>
      <c r="G35" s="16">
        <f>IFERROR(MIN('02周度面板'!$AG$4:$AG$8),"")</f>
        <v/>
      </c>
      <c r="H35" s="16">
        <f>IFERROR(MAX('02周度面板'!$AG$4:$AG$8),"")</f>
        <v/>
      </c>
      <c r="I35" s="17">
        <f>IFERROR(_xlfn.PERCENTILE.INC('02周度面板'!$AG$4:$AG$8,0.1),PERCENTILE('02周度面板'!$AG$4:$AG$8,0.1))</f>
        <v/>
      </c>
      <c r="J35" s="17">
        <f>IFERROR(_xlfn.PERCENTILE.INC('02周度面板'!$AG$4:$AG$8,0.25),PERCENTILE('02周度面板'!$AG$4:$AG$8,0.25))</f>
        <v/>
      </c>
      <c r="K35" s="17">
        <f>IFERROR(_xlfn.PERCENTILE.INC('02周度面板'!$AG$4:$AG$8,0.5),PERCENTILE('02周度面板'!$AG$4:$AG$8,0.5))</f>
        <v/>
      </c>
      <c r="L35" s="17">
        <f>IFERROR(_xlfn.PERCENTILE.INC('02周度面板'!$AG$4:$AG$8,0.75),PERCENTILE('02周度面板'!$AG$4:$AG$8,0.75))</f>
        <v/>
      </c>
      <c r="M35" s="17">
        <f>IFERROR(_xlfn.PERCENTILE.INC('02周度面板'!$AG$4:$AG$8,0.9),PERCENTILE('02周度面板'!$AG$4:$AG$8,0.9))</f>
        <v/>
      </c>
      <c r="N35" s="17">
        <f>IFERROR(J35-I35,"")</f>
        <v/>
      </c>
      <c r="O35" s="17">
        <f>IFERROR(M35-I35,"")</f>
        <v/>
      </c>
      <c r="P35" s="18">
        <f>IFERROR(F35/D35,"")</f>
        <v/>
      </c>
      <c r="Q35" s="16">
        <f>IFERROR(D35-E35,"")</f>
        <v/>
      </c>
      <c r="R35" s="18">
        <f>IFERROR(D35/E35,"")</f>
        <v/>
      </c>
      <c r="S35" t="inlineStr">
        <is>
          <t>否</t>
        </is>
      </c>
      <c r="T35" t="inlineStr">
        <is>
          <t>2022</t>
        </is>
      </c>
      <c r="U35" t="inlineStr">
        <is>
          <t>2023, 2024, 2025, 2026</t>
        </is>
      </c>
    </row>
    <row r="36">
      <c r="A36" t="n">
        <v>33</v>
      </c>
      <c r="B36" t="inlineStr">
        <is>
          <t>W33</t>
        </is>
      </c>
      <c r="C36">
        <f>COUNT('02周度面板'!$AH$4:$AH$8)</f>
        <v/>
      </c>
      <c r="D36" s="16">
        <f>IFERROR(AVERAGE('02周度面板'!$AH$4:$AH$8),"")</f>
        <v/>
      </c>
      <c r="E36" s="16">
        <f>IFERROR(MEDIAN('02周度面板'!$AH$4:$AH$8),"")</f>
        <v/>
      </c>
      <c r="F36" s="16">
        <f>IFERROR(STDEV('02周度面板'!$AH$4:$AH$8),"")</f>
        <v/>
      </c>
      <c r="G36" s="16">
        <f>IFERROR(MIN('02周度面板'!$AH$4:$AH$8),"")</f>
        <v/>
      </c>
      <c r="H36" s="16">
        <f>IFERROR(MAX('02周度面板'!$AH$4:$AH$8),"")</f>
        <v/>
      </c>
      <c r="I36" s="17">
        <f>IFERROR(_xlfn.PERCENTILE.INC('02周度面板'!$AH$4:$AH$8,0.1),PERCENTILE('02周度面板'!$AH$4:$AH$8,0.1))</f>
        <v/>
      </c>
      <c r="J36" s="17">
        <f>IFERROR(_xlfn.PERCENTILE.INC('02周度面板'!$AH$4:$AH$8,0.25),PERCENTILE('02周度面板'!$AH$4:$AH$8,0.25))</f>
        <v/>
      </c>
      <c r="K36" s="17">
        <f>IFERROR(_xlfn.PERCENTILE.INC('02周度面板'!$AH$4:$AH$8,0.5),PERCENTILE('02周度面板'!$AH$4:$AH$8,0.5))</f>
        <v/>
      </c>
      <c r="L36" s="17">
        <f>IFERROR(_xlfn.PERCENTILE.INC('02周度面板'!$AH$4:$AH$8,0.75),PERCENTILE('02周度面板'!$AH$4:$AH$8,0.75))</f>
        <v/>
      </c>
      <c r="M36" s="17">
        <f>IFERROR(_xlfn.PERCENTILE.INC('02周度面板'!$AH$4:$AH$8,0.9),PERCENTILE('02周度面板'!$AH$4:$AH$8,0.9))</f>
        <v/>
      </c>
      <c r="N36" s="17">
        <f>IFERROR(J36-I36,"")</f>
        <v/>
      </c>
      <c r="O36" s="17">
        <f>IFERROR(M36-I36,"")</f>
        <v/>
      </c>
      <c r="P36" s="18">
        <f>IFERROR(F36/D36,"")</f>
        <v/>
      </c>
      <c r="Q36" s="16">
        <f>IFERROR(D36-E36,"")</f>
        <v/>
      </c>
      <c r="R36" s="18">
        <f>IFERROR(D36/E36,"")</f>
        <v/>
      </c>
      <c r="S36" t="inlineStr">
        <is>
          <t>否</t>
        </is>
      </c>
      <c r="T36" t="inlineStr">
        <is>
          <t>—</t>
        </is>
      </c>
      <c r="U36" t="inlineStr">
        <is>
          <t>2022, 2023, 2024, 2025, 2026</t>
        </is>
      </c>
    </row>
    <row r="37">
      <c r="A37" t="n">
        <v>34</v>
      </c>
      <c r="B37" t="inlineStr">
        <is>
          <t>W34</t>
        </is>
      </c>
      <c r="C37">
        <f>COUNT('02周度面板'!$AI$4:$AI$8)</f>
        <v/>
      </c>
      <c r="D37" s="16">
        <f>IFERROR(AVERAGE('02周度面板'!$AI$4:$AI$8),"")</f>
        <v/>
      </c>
      <c r="E37" s="16">
        <f>IFERROR(MEDIAN('02周度面板'!$AI$4:$AI$8),"")</f>
        <v/>
      </c>
      <c r="F37" s="16">
        <f>IFERROR(STDEV('02周度面板'!$AI$4:$AI$8),"")</f>
        <v/>
      </c>
      <c r="G37" s="16">
        <f>IFERROR(MIN('02周度面板'!$AI$4:$AI$8),"")</f>
        <v/>
      </c>
      <c r="H37" s="16">
        <f>IFERROR(MAX('02周度面板'!$AI$4:$AI$8),"")</f>
        <v/>
      </c>
      <c r="I37" s="17">
        <f>IFERROR(_xlfn.PERCENTILE.INC('02周度面板'!$AI$4:$AI$8,0.1),PERCENTILE('02周度面板'!$AI$4:$AI$8,0.1))</f>
        <v/>
      </c>
      <c r="J37" s="17">
        <f>IFERROR(_xlfn.PERCENTILE.INC('02周度面板'!$AI$4:$AI$8,0.25),PERCENTILE('02周度面板'!$AI$4:$AI$8,0.25))</f>
        <v/>
      </c>
      <c r="K37" s="17">
        <f>IFERROR(_xlfn.PERCENTILE.INC('02周度面板'!$AI$4:$AI$8,0.5),PERCENTILE('02周度面板'!$AI$4:$AI$8,0.5))</f>
        <v/>
      </c>
      <c r="L37" s="17">
        <f>IFERROR(_xlfn.PERCENTILE.INC('02周度面板'!$AI$4:$AI$8,0.75),PERCENTILE('02周度面板'!$AI$4:$AI$8,0.75))</f>
        <v/>
      </c>
      <c r="M37" s="17">
        <f>IFERROR(_xlfn.PERCENTILE.INC('02周度面板'!$AI$4:$AI$8,0.9),PERCENTILE('02周度面板'!$AI$4:$AI$8,0.9))</f>
        <v/>
      </c>
      <c r="N37" s="17">
        <f>IFERROR(J37-I37,"")</f>
        <v/>
      </c>
      <c r="O37" s="17">
        <f>IFERROR(M37-I37,"")</f>
        <v/>
      </c>
      <c r="P37" s="18">
        <f>IFERROR(F37/D37,"")</f>
        <v/>
      </c>
      <c r="Q37" s="16">
        <f>IFERROR(D37-E37,"")</f>
        <v/>
      </c>
      <c r="R37" s="18">
        <f>IFERROR(D37/E37,"")</f>
        <v/>
      </c>
      <c r="S37" t="inlineStr">
        <is>
          <t>否</t>
        </is>
      </c>
      <c r="T37" t="inlineStr">
        <is>
          <t>—</t>
        </is>
      </c>
      <c r="U37" t="inlineStr">
        <is>
          <t>2022, 2023, 2024, 2025, 2026</t>
        </is>
      </c>
    </row>
    <row r="38">
      <c r="A38" t="n">
        <v>35</v>
      </c>
      <c r="B38" t="inlineStr">
        <is>
          <t>W35</t>
        </is>
      </c>
      <c r="C38">
        <f>COUNT('02周度面板'!$AJ$4:$AJ$8)</f>
        <v/>
      </c>
      <c r="D38" s="16">
        <f>IFERROR(AVERAGE('02周度面板'!$AJ$4:$AJ$8),"")</f>
        <v/>
      </c>
      <c r="E38" s="16">
        <f>IFERROR(MEDIAN('02周度面板'!$AJ$4:$AJ$8),"")</f>
        <v/>
      </c>
      <c r="F38" s="16">
        <f>IFERROR(STDEV('02周度面板'!$AJ$4:$AJ$8),"")</f>
        <v/>
      </c>
      <c r="G38" s="16">
        <f>IFERROR(MIN('02周度面板'!$AJ$4:$AJ$8),"")</f>
        <v/>
      </c>
      <c r="H38" s="16">
        <f>IFERROR(MAX('02周度面板'!$AJ$4:$AJ$8),"")</f>
        <v/>
      </c>
      <c r="I38" s="17">
        <f>IFERROR(_xlfn.PERCENTILE.INC('02周度面板'!$AJ$4:$AJ$8,0.1),PERCENTILE('02周度面板'!$AJ$4:$AJ$8,0.1))</f>
        <v/>
      </c>
      <c r="J38" s="17">
        <f>IFERROR(_xlfn.PERCENTILE.INC('02周度面板'!$AJ$4:$AJ$8,0.25),PERCENTILE('02周度面板'!$AJ$4:$AJ$8,0.25))</f>
        <v/>
      </c>
      <c r="K38" s="17">
        <f>IFERROR(_xlfn.PERCENTILE.INC('02周度面板'!$AJ$4:$AJ$8,0.5),PERCENTILE('02周度面板'!$AJ$4:$AJ$8,0.5))</f>
        <v/>
      </c>
      <c r="L38" s="17">
        <f>IFERROR(_xlfn.PERCENTILE.INC('02周度面板'!$AJ$4:$AJ$8,0.75),PERCENTILE('02周度面板'!$AJ$4:$AJ$8,0.75))</f>
        <v/>
      </c>
      <c r="M38" s="17">
        <f>IFERROR(_xlfn.PERCENTILE.INC('02周度面板'!$AJ$4:$AJ$8,0.9),PERCENTILE('02周度面板'!$AJ$4:$AJ$8,0.9))</f>
        <v/>
      </c>
      <c r="N38" s="17">
        <f>IFERROR(J38-I38,"")</f>
        <v/>
      </c>
      <c r="O38" s="17">
        <f>IFERROR(M38-I38,"")</f>
        <v/>
      </c>
      <c r="P38" s="18">
        <f>IFERROR(F38/D38,"")</f>
        <v/>
      </c>
      <c r="Q38" s="16">
        <f>IFERROR(D38-E38,"")</f>
        <v/>
      </c>
      <c r="R38" s="18">
        <f>IFERROR(D38/E38,"")</f>
        <v/>
      </c>
      <c r="S38" t="inlineStr">
        <is>
          <t>否</t>
        </is>
      </c>
      <c r="T38" t="inlineStr">
        <is>
          <t>—</t>
        </is>
      </c>
      <c r="U38" t="inlineStr">
        <is>
          <t>2022, 2023, 2024, 2025, 2026</t>
        </is>
      </c>
    </row>
    <row r="39">
      <c r="A39" t="n">
        <v>36</v>
      </c>
      <c r="B39" t="inlineStr">
        <is>
          <t>W36</t>
        </is>
      </c>
      <c r="C39">
        <f>COUNT('02周度面板'!$AK$4:$AK$8)</f>
        <v/>
      </c>
      <c r="D39" s="16">
        <f>IFERROR(AVERAGE('02周度面板'!$AK$4:$AK$8),"")</f>
        <v/>
      </c>
      <c r="E39" s="16">
        <f>IFERROR(MEDIAN('02周度面板'!$AK$4:$AK$8),"")</f>
        <v/>
      </c>
      <c r="F39" s="16">
        <f>IFERROR(STDEV('02周度面板'!$AK$4:$AK$8),"")</f>
        <v/>
      </c>
      <c r="G39" s="16">
        <f>IFERROR(MIN('02周度面板'!$AK$4:$AK$8),"")</f>
        <v/>
      </c>
      <c r="H39" s="16">
        <f>IFERROR(MAX('02周度面板'!$AK$4:$AK$8),"")</f>
        <v/>
      </c>
      <c r="I39" s="17">
        <f>IFERROR(_xlfn.PERCENTILE.INC('02周度面板'!$AK$4:$AK$8,0.1),PERCENTILE('02周度面板'!$AK$4:$AK$8,0.1))</f>
        <v/>
      </c>
      <c r="J39" s="17">
        <f>IFERROR(_xlfn.PERCENTILE.INC('02周度面板'!$AK$4:$AK$8,0.25),PERCENTILE('02周度面板'!$AK$4:$AK$8,0.25))</f>
        <v/>
      </c>
      <c r="K39" s="17">
        <f>IFERROR(_xlfn.PERCENTILE.INC('02周度面板'!$AK$4:$AK$8,0.5),PERCENTILE('02周度面板'!$AK$4:$AK$8,0.5))</f>
        <v/>
      </c>
      <c r="L39" s="17">
        <f>IFERROR(_xlfn.PERCENTILE.INC('02周度面板'!$AK$4:$AK$8,0.75),PERCENTILE('02周度面板'!$AK$4:$AK$8,0.75))</f>
        <v/>
      </c>
      <c r="M39" s="17">
        <f>IFERROR(_xlfn.PERCENTILE.INC('02周度面板'!$AK$4:$AK$8,0.9),PERCENTILE('02周度面板'!$AK$4:$AK$8,0.9))</f>
        <v/>
      </c>
      <c r="N39" s="17">
        <f>IFERROR(J39-I39,"")</f>
        <v/>
      </c>
      <c r="O39" s="17">
        <f>IFERROR(M39-I39,"")</f>
        <v/>
      </c>
      <c r="P39" s="18">
        <f>IFERROR(F39/D39,"")</f>
        <v/>
      </c>
      <c r="Q39" s="16">
        <f>IFERROR(D39-E39,"")</f>
        <v/>
      </c>
      <c r="R39" s="18">
        <f>IFERROR(D39/E39,"")</f>
        <v/>
      </c>
      <c r="S39" t="inlineStr">
        <is>
          <t>否</t>
        </is>
      </c>
      <c r="T39" t="inlineStr">
        <is>
          <t>—</t>
        </is>
      </c>
      <c r="U39" t="inlineStr">
        <is>
          <t>2022, 2023, 2024, 2025, 2026</t>
        </is>
      </c>
    </row>
    <row r="40">
      <c r="A40" t="n">
        <v>37</v>
      </c>
      <c r="B40" t="inlineStr">
        <is>
          <t>W37</t>
        </is>
      </c>
      <c r="C40">
        <f>COUNT('02周度面板'!$AL$4:$AL$8)</f>
        <v/>
      </c>
      <c r="D40" s="16">
        <f>IFERROR(AVERAGE('02周度面板'!$AL$4:$AL$8),"")</f>
        <v/>
      </c>
      <c r="E40" s="16">
        <f>IFERROR(MEDIAN('02周度面板'!$AL$4:$AL$8),"")</f>
        <v/>
      </c>
      <c r="F40" s="16">
        <f>IFERROR(STDEV('02周度面板'!$AL$4:$AL$8),"")</f>
        <v/>
      </c>
      <c r="G40" s="16">
        <f>IFERROR(MIN('02周度面板'!$AL$4:$AL$8),"")</f>
        <v/>
      </c>
      <c r="H40" s="16">
        <f>IFERROR(MAX('02周度面板'!$AL$4:$AL$8),"")</f>
        <v/>
      </c>
      <c r="I40" s="17">
        <f>IFERROR(_xlfn.PERCENTILE.INC('02周度面板'!$AL$4:$AL$8,0.1),PERCENTILE('02周度面板'!$AL$4:$AL$8,0.1))</f>
        <v/>
      </c>
      <c r="J40" s="17">
        <f>IFERROR(_xlfn.PERCENTILE.INC('02周度面板'!$AL$4:$AL$8,0.25),PERCENTILE('02周度面板'!$AL$4:$AL$8,0.25))</f>
        <v/>
      </c>
      <c r="K40" s="17">
        <f>IFERROR(_xlfn.PERCENTILE.INC('02周度面板'!$AL$4:$AL$8,0.5),PERCENTILE('02周度面板'!$AL$4:$AL$8,0.5))</f>
        <v/>
      </c>
      <c r="L40" s="17">
        <f>IFERROR(_xlfn.PERCENTILE.INC('02周度面板'!$AL$4:$AL$8,0.75),PERCENTILE('02周度面板'!$AL$4:$AL$8,0.75))</f>
        <v/>
      </c>
      <c r="M40" s="17">
        <f>IFERROR(_xlfn.PERCENTILE.INC('02周度面板'!$AL$4:$AL$8,0.9),PERCENTILE('02周度面板'!$AL$4:$AL$8,0.9))</f>
        <v/>
      </c>
      <c r="N40" s="17">
        <f>IFERROR(J40-I40,"")</f>
        <v/>
      </c>
      <c r="O40" s="17">
        <f>IFERROR(M40-I40,"")</f>
        <v/>
      </c>
      <c r="P40" s="18">
        <f>IFERROR(F40/D40,"")</f>
        <v/>
      </c>
      <c r="Q40" s="16">
        <f>IFERROR(D40-E40,"")</f>
        <v/>
      </c>
      <c r="R40" s="18">
        <f>IFERROR(D40/E40,"")</f>
        <v/>
      </c>
      <c r="S40" t="inlineStr">
        <is>
          <t>否</t>
        </is>
      </c>
      <c r="T40" t="inlineStr">
        <is>
          <t>—</t>
        </is>
      </c>
      <c r="U40" t="inlineStr">
        <is>
          <t>2022, 2023, 2024, 2025, 2026</t>
        </is>
      </c>
    </row>
    <row r="41">
      <c r="A41" t="n">
        <v>38</v>
      </c>
      <c r="B41" t="inlineStr">
        <is>
          <t>W38</t>
        </is>
      </c>
      <c r="C41">
        <f>COUNT('02周度面板'!$AM$4:$AM$8)</f>
        <v/>
      </c>
      <c r="D41" s="16">
        <f>IFERROR(AVERAGE('02周度面板'!$AM$4:$AM$8),"")</f>
        <v/>
      </c>
      <c r="E41" s="16">
        <f>IFERROR(MEDIAN('02周度面板'!$AM$4:$AM$8),"")</f>
        <v/>
      </c>
      <c r="F41" s="16">
        <f>IFERROR(STDEV('02周度面板'!$AM$4:$AM$8),"")</f>
        <v/>
      </c>
      <c r="G41" s="16">
        <f>IFERROR(MIN('02周度面板'!$AM$4:$AM$8),"")</f>
        <v/>
      </c>
      <c r="H41" s="16">
        <f>IFERROR(MAX('02周度面板'!$AM$4:$AM$8),"")</f>
        <v/>
      </c>
      <c r="I41" s="17">
        <f>IFERROR(_xlfn.PERCENTILE.INC('02周度面板'!$AM$4:$AM$8,0.1),PERCENTILE('02周度面板'!$AM$4:$AM$8,0.1))</f>
        <v/>
      </c>
      <c r="J41" s="17">
        <f>IFERROR(_xlfn.PERCENTILE.INC('02周度面板'!$AM$4:$AM$8,0.25),PERCENTILE('02周度面板'!$AM$4:$AM$8,0.25))</f>
        <v/>
      </c>
      <c r="K41" s="17">
        <f>IFERROR(_xlfn.PERCENTILE.INC('02周度面板'!$AM$4:$AM$8,0.5),PERCENTILE('02周度面板'!$AM$4:$AM$8,0.5))</f>
        <v/>
      </c>
      <c r="L41" s="17">
        <f>IFERROR(_xlfn.PERCENTILE.INC('02周度面板'!$AM$4:$AM$8,0.75),PERCENTILE('02周度面板'!$AM$4:$AM$8,0.75))</f>
        <v/>
      </c>
      <c r="M41" s="17">
        <f>IFERROR(_xlfn.PERCENTILE.INC('02周度面板'!$AM$4:$AM$8,0.9),PERCENTILE('02周度面板'!$AM$4:$AM$8,0.9))</f>
        <v/>
      </c>
      <c r="N41" s="17">
        <f>IFERROR(J41-I41,"")</f>
        <v/>
      </c>
      <c r="O41" s="17">
        <f>IFERROR(M41-I41,"")</f>
        <v/>
      </c>
      <c r="P41" s="18">
        <f>IFERROR(F41/D41,"")</f>
        <v/>
      </c>
      <c r="Q41" s="16">
        <f>IFERROR(D41-E41,"")</f>
        <v/>
      </c>
      <c r="R41" s="18">
        <f>IFERROR(D41/E41,"")</f>
        <v/>
      </c>
      <c r="S41" t="inlineStr">
        <is>
          <t>否</t>
        </is>
      </c>
      <c r="T41" t="inlineStr">
        <is>
          <t>—</t>
        </is>
      </c>
      <c r="U41" t="inlineStr">
        <is>
          <t>2022, 2023, 2024, 2025, 2026</t>
        </is>
      </c>
    </row>
    <row r="42">
      <c r="A42" t="n">
        <v>39</v>
      </c>
      <c r="B42" t="inlineStr">
        <is>
          <t>W39</t>
        </is>
      </c>
      <c r="C42">
        <f>COUNT('02周度面板'!$AN$4:$AN$8)</f>
        <v/>
      </c>
      <c r="D42" s="16">
        <f>IFERROR(AVERAGE('02周度面板'!$AN$4:$AN$8),"")</f>
        <v/>
      </c>
      <c r="E42" s="16">
        <f>IFERROR(MEDIAN('02周度面板'!$AN$4:$AN$8),"")</f>
        <v/>
      </c>
      <c r="F42" s="16">
        <f>IFERROR(STDEV('02周度面板'!$AN$4:$AN$8),"")</f>
        <v/>
      </c>
      <c r="G42" s="16">
        <f>IFERROR(MIN('02周度面板'!$AN$4:$AN$8),"")</f>
        <v/>
      </c>
      <c r="H42" s="16">
        <f>IFERROR(MAX('02周度面板'!$AN$4:$AN$8),"")</f>
        <v/>
      </c>
      <c r="I42" s="17">
        <f>IFERROR(_xlfn.PERCENTILE.INC('02周度面板'!$AN$4:$AN$8,0.1),PERCENTILE('02周度面板'!$AN$4:$AN$8,0.1))</f>
        <v/>
      </c>
      <c r="J42" s="17">
        <f>IFERROR(_xlfn.PERCENTILE.INC('02周度面板'!$AN$4:$AN$8,0.25),PERCENTILE('02周度面板'!$AN$4:$AN$8,0.25))</f>
        <v/>
      </c>
      <c r="K42" s="17">
        <f>IFERROR(_xlfn.PERCENTILE.INC('02周度面板'!$AN$4:$AN$8,0.5),PERCENTILE('02周度面板'!$AN$4:$AN$8,0.5))</f>
        <v/>
      </c>
      <c r="L42" s="17">
        <f>IFERROR(_xlfn.PERCENTILE.INC('02周度面板'!$AN$4:$AN$8,0.75),PERCENTILE('02周度面板'!$AN$4:$AN$8,0.75))</f>
        <v/>
      </c>
      <c r="M42" s="17">
        <f>IFERROR(_xlfn.PERCENTILE.INC('02周度面板'!$AN$4:$AN$8,0.9),PERCENTILE('02周度面板'!$AN$4:$AN$8,0.9))</f>
        <v/>
      </c>
      <c r="N42" s="17">
        <f>IFERROR(J42-I42,"")</f>
        <v/>
      </c>
      <c r="O42" s="17">
        <f>IFERROR(M42-I42,"")</f>
        <v/>
      </c>
      <c r="P42" s="18">
        <f>IFERROR(F42/D42,"")</f>
        <v/>
      </c>
      <c r="Q42" s="16">
        <f>IFERROR(D42-E42,"")</f>
        <v/>
      </c>
      <c r="R42" s="18">
        <f>IFERROR(D42/E42,"")</f>
        <v/>
      </c>
      <c r="S42" t="inlineStr">
        <is>
          <t>否</t>
        </is>
      </c>
      <c r="T42" t="inlineStr">
        <is>
          <t>—</t>
        </is>
      </c>
      <c r="U42" t="inlineStr">
        <is>
          <t>2022, 2023, 2024, 2025, 2026</t>
        </is>
      </c>
    </row>
    <row r="43">
      <c r="A43" t="n">
        <v>40</v>
      </c>
      <c r="B43" t="inlineStr">
        <is>
          <t>W40</t>
        </is>
      </c>
      <c r="C43">
        <f>COUNT('02周度面板'!$AO$4:$AO$8)</f>
        <v/>
      </c>
      <c r="D43" s="16">
        <f>IFERROR(AVERAGE('02周度面板'!$AO$4:$AO$8),"")</f>
        <v/>
      </c>
      <c r="E43" s="16">
        <f>IFERROR(MEDIAN('02周度面板'!$AO$4:$AO$8),"")</f>
        <v/>
      </c>
      <c r="F43" s="16">
        <f>IFERROR(STDEV('02周度面板'!$AO$4:$AO$8),"")</f>
        <v/>
      </c>
      <c r="G43" s="16">
        <f>IFERROR(MIN('02周度面板'!$AO$4:$AO$8),"")</f>
        <v/>
      </c>
      <c r="H43" s="16">
        <f>IFERROR(MAX('02周度面板'!$AO$4:$AO$8),"")</f>
        <v/>
      </c>
      <c r="I43" s="17">
        <f>IFERROR(_xlfn.PERCENTILE.INC('02周度面板'!$AO$4:$AO$8,0.1),PERCENTILE('02周度面板'!$AO$4:$AO$8,0.1))</f>
        <v/>
      </c>
      <c r="J43" s="17">
        <f>IFERROR(_xlfn.PERCENTILE.INC('02周度面板'!$AO$4:$AO$8,0.25),PERCENTILE('02周度面板'!$AO$4:$AO$8,0.25))</f>
        <v/>
      </c>
      <c r="K43" s="17">
        <f>IFERROR(_xlfn.PERCENTILE.INC('02周度面板'!$AO$4:$AO$8,0.5),PERCENTILE('02周度面板'!$AO$4:$AO$8,0.5))</f>
        <v/>
      </c>
      <c r="L43" s="17">
        <f>IFERROR(_xlfn.PERCENTILE.INC('02周度面板'!$AO$4:$AO$8,0.75),PERCENTILE('02周度面板'!$AO$4:$AO$8,0.75))</f>
        <v/>
      </c>
      <c r="M43" s="17">
        <f>IFERROR(_xlfn.PERCENTILE.INC('02周度面板'!$AO$4:$AO$8,0.9),PERCENTILE('02周度面板'!$AO$4:$AO$8,0.9))</f>
        <v/>
      </c>
      <c r="N43" s="17">
        <f>IFERROR(J43-I43,"")</f>
        <v/>
      </c>
      <c r="O43" s="17">
        <f>IFERROR(M43-I43,"")</f>
        <v/>
      </c>
      <c r="P43" s="18">
        <f>IFERROR(F43/D43,"")</f>
        <v/>
      </c>
      <c r="Q43" s="16">
        <f>IFERROR(D43-E43,"")</f>
        <v/>
      </c>
      <c r="R43" s="18">
        <f>IFERROR(D43/E43,"")</f>
        <v/>
      </c>
      <c r="S43" t="inlineStr">
        <is>
          <t>否</t>
        </is>
      </c>
      <c r="T43" t="inlineStr">
        <is>
          <t>—</t>
        </is>
      </c>
      <c r="U43" t="inlineStr">
        <is>
          <t>2022, 2023, 2024, 2025, 2026</t>
        </is>
      </c>
    </row>
    <row r="44">
      <c r="A44" t="n">
        <v>41</v>
      </c>
      <c r="B44" t="inlineStr">
        <is>
          <t>W41</t>
        </is>
      </c>
      <c r="C44">
        <f>COUNT('02周度面板'!$AP$4:$AP$8)</f>
        <v/>
      </c>
      <c r="D44" s="16">
        <f>IFERROR(AVERAGE('02周度面板'!$AP$4:$AP$8),"")</f>
        <v/>
      </c>
      <c r="E44" s="16">
        <f>IFERROR(MEDIAN('02周度面板'!$AP$4:$AP$8),"")</f>
        <v/>
      </c>
      <c r="F44" s="16">
        <f>IFERROR(STDEV('02周度面板'!$AP$4:$AP$8),"")</f>
        <v/>
      </c>
      <c r="G44" s="16">
        <f>IFERROR(MIN('02周度面板'!$AP$4:$AP$8),"")</f>
        <v/>
      </c>
      <c r="H44" s="16">
        <f>IFERROR(MAX('02周度面板'!$AP$4:$AP$8),"")</f>
        <v/>
      </c>
      <c r="I44" s="17">
        <f>IFERROR(_xlfn.PERCENTILE.INC('02周度面板'!$AP$4:$AP$8,0.1),PERCENTILE('02周度面板'!$AP$4:$AP$8,0.1))</f>
        <v/>
      </c>
      <c r="J44" s="17">
        <f>IFERROR(_xlfn.PERCENTILE.INC('02周度面板'!$AP$4:$AP$8,0.25),PERCENTILE('02周度面板'!$AP$4:$AP$8,0.25))</f>
        <v/>
      </c>
      <c r="K44" s="17">
        <f>IFERROR(_xlfn.PERCENTILE.INC('02周度面板'!$AP$4:$AP$8,0.5),PERCENTILE('02周度面板'!$AP$4:$AP$8,0.5))</f>
        <v/>
      </c>
      <c r="L44" s="17">
        <f>IFERROR(_xlfn.PERCENTILE.INC('02周度面板'!$AP$4:$AP$8,0.75),PERCENTILE('02周度面板'!$AP$4:$AP$8,0.75))</f>
        <v/>
      </c>
      <c r="M44" s="17">
        <f>IFERROR(_xlfn.PERCENTILE.INC('02周度面板'!$AP$4:$AP$8,0.9),PERCENTILE('02周度面板'!$AP$4:$AP$8,0.9))</f>
        <v/>
      </c>
      <c r="N44" s="17">
        <f>IFERROR(J44-I44,"")</f>
        <v/>
      </c>
      <c r="O44" s="17">
        <f>IFERROR(M44-I44,"")</f>
        <v/>
      </c>
      <c r="P44" s="18">
        <f>IFERROR(F44/D44,"")</f>
        <v/>
      </c>
      <c r="Q44" s="16">
        <f>IFERROR(D44-E44,"")</f>
        <v/>
      </c>
      <c r="R44" s="18">
        <f>IFERROR(D44/E44,"")</f>
        <v/>
      </c>
      <c r="S44" t="inlineStr">
        <is>
          <t>否</t>
        </is>
      </c>
      <c r="T44" t="inlineStr">
        <is>
          <t>—</t>
        </is>
      </c>
      <c r="U44" t="inlineStr">
        <is>
          <t>2022, 2023, 2024, 2025, 2026</t>
        </is>
      </c>
    </row>
    <row r="45">
      <c r="A45" t="n">
        <v>42</v>
      </c>
      <c r="B45" t="inlineStr">
        <is>
          <t>W42</t>
        </is>
      </c>
      <c r="C45">
        <f>COUNT('02周度面板'!$AQ$4:$AQ$8)</f>
        <v/>
      </c>
      <c r="D45" s="16">
        <f>IFERROR(AVERAGE('02周度面板'!$AQ$4:$AQ$8),"")</f>
        <v/>
      </c>
      <c r="E45" s="16">
        <f>IFERROR(MEDIAN('02周度面板'!$AQ$4:$AQ$8),"")</f>
        <v/>
      </c>
      <c r="F45" s="16">
        <f>IFERROR(STDEV('02周度面板'!$AQ$4:$AQ$8),"")</f>
        <v/>
      </c>
      <c r="G45" s="16">
        <f>IFERROR(MIN('02周度面板'!$AQ$4:$AQ$8),"")</f>
        <v/>
      </c>
      <c r="H45" s="16">
        <f>IFERROR(MAX('02周度面板'!$AQ$4:$AQ$8),"")</f>
        <v/>
      </c>
      <c r="I45" s="17">
        <f>IFERROR(_xlfn.PERCENTILE.INC('02周度面板'!$AQ$4:$AQ$8,0.1),PERCENTILE('02周度面板'!$AQ$4:$AQ$8,0.1))</f>
        <v/>
      </c>
      <c r="J45" s="17">
        <f>IFERROR(_xlfn.PERCENTILE.INC('02周度面板'!$AQ$4:$AQ$8,0.25),PERCENTILE('02周度面板'!$AQ$4:$AQ$8,0.25))</f>
        <v/>
      </c>
      <c r="K45" s="17">
        <f>IFERROR(_xlfn.PERCENTILE.INC('02周度面板'!$AQ$4:$AQ$8,0.5),PERCENTILE('02周度面板'!$AQ$4:$AQ$8,0.5))</f>
        <v/>
      </c>
      <c r="L45" s="17">
        <f>IFERROR(_xlfn.PERCENTILE.INC('02周度面板'!$AQ$4:$AQ$8,0.75),PERCENTILE('02周度面板'!$AQ$4:$AQ$8,0.75))</f>
        <v/>
      </c>
      <c r="M45" s="17">
        <f>IFERROR(_xlfn.PERCENTILE.INC('02周度面板'!$AQ$4:$AQ$8,0.9),PERCENTILE('02周度面板'!$AQ$4:$AQ$8,0.9))</f>
        <v/>
      </c>
      <c r="N45" s="17">
        <f>IFERROR(J45-I45,"")</f>
        <v/>
      </c>
      <c r="O45" s="17">
        <f>IFERROR(M45-I45,"")</f>
        <v/>
      </c>
      <c r="P45" s="18">
        <f>IFERROR(F45/D45,"")</f>
        <v/>
      </c>
      <c r="Q45" s="16">
        <f>IFERROR(D45-E45,"")</f>
        <v/>
      </c>
      <c r="R45" s="18">
        <f>IFERROR(D45/E45,"")</f>
        <v/>
      </c>
      <c r="S45" t="inlineStr">
        <is>
          <t>否</t>
        </is>
      </c>
      <c r="T45" t="inlineStr">
        <is>
          <t>—</t>
        </is>
      </c>
      <c r="U45" t="inlineStr">
        <is>
          <t>2022, 2023, 2024, 2025, 2026</t>
        </is>
      </c>
    </row>
    <row r="46">
      <c r="A46" t="n">
        <v>43</v>
      </c>
      <c r="B46" t="inlineStr">
        <is>
          <t>W43</t>
        </is>
      </c>
      <c r="C46">
        <f>COUNT('02周度面板'!$AR$4:$AR$8)</f>
        <v/>
      </c>
      <c r="D46" s="16">
        <f>IFERROR(AVERAGE('02周度面板'!$AR$4:$AR$8),"")</f>
        <v/>
      </c>
      <c r="E46" s="16">
        <f>IFERROR(MEDIAN('02周度面板'!$AR$4:$AR$8),"")</f>
        <v/>
      </c>
      <c r="F46" s="16">
        <f>IFERROR(STDEV('02周度面板'!$AR$4:$AR$8),"")</f>
        <v/>
      </c>
      <c r="G46" s="16">
        <f>IFERROR(MIN('02周度面板'!$AR$4:$AR$8),"")</f>
        <v/>
      </c>
      <c r="H46" s="16">
        <f>IFERROR(MAX('02周度面板'!$AR$4:$AR$8),"")</f>
        <v/>
      </c>
      <c r="I46" s="17">
        <f>IFERROR(_xlfn.PERCENTILE.INC('02周度面板'!$AR$4:$AR$8,0.1),PERCENTILE('02周度面板'!$AR$4:$AR$8,0.1))</f>
        <v/>
      </c>
      <c r="J46" s="17">
        <f>IFERROR(_xlfn.PERCENTILE.INC('02周度面板'!$AR$4:$AR$8,0.25),PERCENTILE('02周度面板'!$AR$4:$AR$8,0.25))</f>
        <v/>
      </c>
      <c r="K46" s="17">
        <f>IFERROR(_xlfn.PERCENTILE.INC('02周度面板'!$AR$4:$AR$8,0.5),PERCENTILE('02周度面板'!$AR$4:$AR$8,0.5))</f>
        <v/>
      </c>
      <c r="L46" s="17">
        <f>IFERROR(_xlfn.PERCENTILE.INC('02周度面板'!$AR$4:$AR$8,0.75),PERCENTILE('02周度面板'!$AR$4:$AR$8,0.75))</f>
        <v/>
      </c>
      <c r="M46" s="17">
        <f>IFERROR(_xlfn.PERCENTILE.INC('02周度面板'!$AR$4:$AR$8,0.9),PERCENTILE('02周度面板'!$AR$4:$AR$8,0.9))</f>
        <v/>
      </c>
      <c r="N46" s="17">
        <f>IFERROR(J46-I46,"")</f>
        <v/>
      </c>
      <c r="O46" s="17">
        <f>IFERROR(M46-I46,"")</f>
        <v/>
      </c>
      <c r="P46" s="18">
        <f>IFERROR(F46/D46,"")</f>
        <v/>
      </c>
      <c r="Q46" s="16">
        <f>IFERROR(D46-E46,"")</f>
        <v/>
      </c>
      <c r="R46" s="18">
        <f>IFERROR(D46/E46,"")</f>
        <v/>
      </c>
      <c r="S46" t="inlineStr">
        <is>
          <t>否</t>
        </is>
      </c>
      <c r="T46" t="inlineStr">
        <is>
          <t>—</t>
        </is>
      </c>
      <c r="U46" t="inlineStr">
        <is>
          <t>2022, 2023, 2024, 2025, 2026</t>
        </is>
      </c>
    </row>
    <row r="47">
      <c r="A47" t="n">
        <v>44</v>
      </c>
      <c r="B47" t="inlineStr">
        <is>
          <t>W44</t>
        </is>
      </c>
      <c r="C47">
        <f>COUNT('02周度面板'!$AS$4:$AS$8)</f>
        <v/>
      </c>
      <c r="D47" s="16">
        <f>IFERROR(AVERAGE('02周度面板'!$AS$4:$AS$8),"")</f>
        <v/>
      </c>
      <c r="E47" s="16">
        <f>IFERROR(MEDIAN('02周度面板'!$AS$4:$AS$8),"")</f>
        <v/>
      </c>
      <c r="F47" s="16">
        <f>IFERROR(STDEV('02周度面板'!$AS$4:$AS$8),"")</f>
        <v/>
      </c>
      <c r="G47" s="16">
        <f>IFERROR(MIN('02周度面板'!$AS$4:$AS$8),"")</f>
        <v/>
      </c>
      <c r="H47" s="16">
        <f>IFERROR(MAX('02周度面板'!$AS$4:$AS$8),"")</f>
        <v/>
      </c>
      <c r="I47" s="17">
        <f>IFERROR(_xlfn.PERCENTILE.INC('02周度面板'!$AS$4:$AS$8,0.1),PERCENTILE('02周度面板'!$AS$4:$AS$8,0.1))</f>
        <v/>
      </c>
      <c r="J47" s="17">
        <f>IFERROR(_xlfn.PERCENTILE.INC('02周度面板'!$AS$4:$AS$8,0.25),PERCENTILE('02周度面板'!$AS$4:$AS$8,0.25))</f>
        <v/>
      </c>
      <c r="K47" s="17">
        <f>IFERROR(_xlfn.PERCENTILE.INC('02周度面板'!$AS$4:$AS$8,0.5),PERCENTILE('02周度面板'!$AS$4:$AS$8,0.5))</f>
        <v/>
      </c>
      <c r="L47" s="17">
        <f>IFERROR(_xlfn.PERCENTILE.INC('02周度面板'!$AS$4:$AS$8,0.75),PERCENTILE('02周度面板'!$AS$4:$AS$8,0.75))</f>
        <v/>
      </c>
      <c r="M47" s="17">
        <f>IFERROR(_xlfn.PERCENTILE.INC('02周度面板'!$AS$4:$AS$8,0.9),PERCENTILE('02周度面板'!$AS$4:$AS$8,0.9))</f>
        <v/>
      </c>
      <c r="N47" s="17">
        <f>IFERROR(J47-I47,"")</f>
        <v/>
      </c>
      <c r="O47" s="17">
        <f>IFERROR(M47-I47,"")</f>
        <v/>
      </c>
      <c r="P47" s="18">
        <f>IFERROR(F47/D47,"")</f>
        <v/>
      </c>
      <c r="Q47" s="16">
        <f>IFERROR(D47-E47,"")</f>
        <v/>
      </c>
      <c r="R47" s="18">
        <f>IFERROR(D47/E47,"")</f>
        <v/>
      </c>
      <c r="S47" t="inlineStr">
        <is>
          <t>否</t>
        </is>
      </c>
      <c r="T47" t="inlineStr">
        <is>
          <t>2026</t>
        </is>
      </c>
      <c r="U47" t="inlineStr">
        <is>
          <t>2022, 2023, 2024, 2025</t>
        </is>
      </c>
    </row>
    <row r="48">
      <c r="A48" t="n">
        <v>45</v>
      </c>
      <c r="B48" t="inlineStr">
        <is>
          <t>W45</t>
        </is>
      </c>
      <c r="C48">
        <f>COUNT('02周度面板'!$AT$4:$AT$8)</f>
        <v/>
      </c>
      <c r="D48" s="16">
        <f>IFERROR(AVERAGE('02周度面板'!$AT$4:$AT$8),"")</f>
        <v/>
      </c>
      <c r="E48" s="16">
        <f>IFERROR(MEDIAN('02周度面板'!$AT$4:$AT$8),"")</f>
        <v/>
      </c>
      <c r="F48" s="16">
        <f>IFERROR(STDEV('02周度面板'!$AT$4:$AT$8),"")</f>
        <v/>
      </c>
      <c r="G48" s="16">
        <f>IFERROR(MIN('02周度面板'!$AT$4:$AT$8),"")</f>
        <v/>
      </c>
      <c r="H48" s="16">
        <f>IFERROR(MAX('02周度面板'!$AT$4:$AT$8),"")</f>
        <v/>
      </c>
      <c r="I48" s="17">
        <f>IFERROR(_xlfn.PERCENTILE.INC('02周度面板'!$AT$4:$AT$8,0.1),PERCENTILE('02周度面板'!$AT$4:$AT$8,0.1))</f>
        <v/>
      </c>
      <c r="J48" s="17">
        <f>IFERROR(_xlfn.PERCENTILE.INC('02周度面板'!$AT$4:$AT$8,0.25),PERCENTILE('02周度面板'!$AT$4:$AT$8,0.25))</f>
        <v/>
      </c>
      <c r="K48" s="17">
        <f>IFERROR(_xlfn.PERCENTILE.INC('02周度面板'!$AT$4:$AT$8,0.5),PERCENTILE('02周度面板'!$AT$4:$AT$8,0.5))</f>
        <v/>
      </c>
      <c r="L48" s="17">
        <f>IFERROR(_xlfn.PERCENTILE.INC('02周度面板'!$AT$4:$AT$8,0.75),PERCENTILE('02周度面板'!$AT$4:$AT$8,0.75))</f>
        <v/>
      </c>
      <c r="M48" s="17">
        <f>IFERROR(_xlfn.PERCENTILE.INC('02周度面板'!$AT$4:$AT$8,0.9),PERCENTILE('02周度面板'!$AT$4:$AT$8,0.9))</f>
        <v/>
      </c>
      <c r="N48" s="17">
        <f>IFERROR(J48-I48,"")</f>
        <v/>
      </c>
      <c r="O48" s="17">
        <f>IFERROR(M48-I48,"")</f>
        <v/>
      </c>
      <c r="P48" s="18">
        <f>IFERROR(F48/D48,"")</f>
        <v/>
      </c>
      <c r="Q48" s="16">
        <f>IFERROR(D48-E48,"")</f>
        <v/>
      </c>
      <c r="R48" s="18">
        <f>IFERROR(D48/E48,"")</f>
        <v/>
      </c>
      <c r="S48" t="inlineStr">
        <is>
          <t>否</t>
        </is>
      </c>
      <c r="T48" t="inlineStr">
        <is>
          <t>2026</t>
        </is>
      </c>
      <c r="U48" t="inlineStr">
        <is>
          <t>2022, 2023, 2024, 2025</t>
        </is>
      </c>
    </row>
    <row r="49">
      <c r="A49" t="n">
        <v>46</v>
      </c>
      <c r="B49" t="inlineStr">
        <is>
          <t>W46</t>
        </is>
      </c>
      <c r="C49">
        <f>COUNT('02周度面板'!$AU$4:$AU$8)</f>
        <v/>
      </c>
      <c r="D49" s="16">
        <f>IFERROR(AVERAGE('02周度面板'!$AU$4:$AU$8),"")</f>
        <v/>
      </c>
      <c r="E49" s="16">
        <f>IFERROR(MEDIAN('02周度面板'!$AU$4:$AU$8),"")</f>
        <v/>
      </c>
      <c r="F49" s="16">
        <f>IFERROR(STDEV('02周度面板'!$AU$4:$AU$8),"")</f>
        <v/>
      </c>
      <c r="G49" s="16">
        <f>IFERROR(MIN('02周度面板'!$AU$4:$AU$8),"")</f>
        <v/>
      </c>
      <c r="H49" s="16">
        <f>IFERROR(MAX('02周度面板'!$AU$4:$AU$8),"")</f>
        <v/>
      </c>
      <c r="I49" s="17">
        <f>IFERROR(_xlfn.PERCENTILE.INC('02周度面板'!$AU$4:$AU$8,0.1),PERCENTILE('02周度面板'!$AU$4:$AU$8,0.1))</f>
        <v/>
      </c>
      <c r="J49" s="17">
        <f>IFERROR(_xlfn.PERCENTILE.INC('02周度面板'!$AU$4:$AU$8,0.25),PERCENTILE('02周度面板'!$AU$4:$AU$8,0.25))</f>
        <v/>
      </c>
      <c r="K49" s="17">
        <f>IFERROR(_xlfn.PERCENTILE.INC('02周度面板'!$AU$4:$AU$8,0.5),PERCENTILE('02周度面板'!$AU$4:$AU$8,0.5))</f>
        <v/>
      </c>
      <c r="L49" s="17">
        <f>IFERROR(_xlfn.PERCENTILE.INC('02周度面板'!$AU$4:$AU$8,0.75),PERCENTILE('02周度面板'!$AU$4:$AU$8,0.75))</f>
        <v/>
      </c>
      <c r="M49" s="17">
        <f>IFERROR(_xlfn.PERCENTILE.INC('02周度面板'!$AU$4:$AU$8,0.9),PERCENTILE('02周度面板'!$AU$4:$AU$8,0.9))</f>
        <v/>
      </c>
      <c r="N49" s="17">
        <f>IFERROR(J49-I49,"")</f>
        <v/>
      </c>
      <c r="O49" s="17">
        <f>IFERROR(M49-I49,"")</f>
        <v/>
      </c>
      <c r="P49" s="18">
        <f>IFERROR(F49/D49,"")</f>
        <v/>
      </c>
      <c r="Q49" s="16">
        <f>IFERROR(D49-E49,"")</f>
        <v/>
      </c>
      <c r="R49" s="18">
        <f>IFERROR(D49/E49,"")</f>
        <v/>
      </c>
      <c r="S49" t="inlineStr">
        <is>
          <t>否</t>
        </is>
      </c>
      <c r="T49" t="inlineStr">
        <is>
          <t>2026</t>
        </is>
      </c>
      <c r="U49" t="inlineStr">
        <is>
          <t>2022, 2023, 2024, 2025</t>
        </is>
      </c>
    </row>
    <row r="50">
      <c r="A50" t="n">
        <v>47</v>
      </c>
      <c r="B50" t="inlineStr">
        <is>
          <t>W47</t>
        </is>
      </c>
      <c r="C50">
        <f>COUNT('02周度面板'!$AV$4:$AV$8)</f>
        <v/>
      </c>
      <c r="D50" s="16">
        <f>IFERROR(AVERAGE('02周度面板'!$AV$4:$AV$8),"")</f>
        <v/>
      </c>
      <c r="E50" s="16">
        <f>IFERROR(MEDIAN('02周度面板'!$AV$4:$AV$8),"")</f>
        <v/>
      </c>
      <c r="F50" s="16">
        <f>IFERROR(STDEV('02周度面板'!$AV$4:$AV$8),"")</f>
        <v/>
      </c>
      <c r="G50" s="16">
        <f>IFERROR(MIN('02周度面板'!$AV$4:$AV$8),"")</f>
        <v/>
      </c>
      <c r="H50" s="16">
        <f>IFERROR(MAX('02周度面板'!$AV$4:$AV$8),"")</f>
        <v/>
      </c>
      <c r="I50" s="17">
        <f>IFERROR(_xlfn.PERCENTILE.INC('02周度面板'!$AV$4:$AV$8,0.1),PERCENTILE('02周度面板'!$AV$4:$AV$8,0.1))</f>
        <v/>
      </c>
      <c r="J50" s="17">
        <f>IFERROR(_xlfn.PERCENTILE.INC('02周度面板'!$AV$4:$AV$8,0.25),PERCENTILE('02周度面板'!$AV$4:$AV$8,0.25))</f>
        <v/>
      </c>
      <c r="K50" s="17">
        <f>IFERROR(_xlfn.PERCENTILE.INC('02周度面板'!$AV$4:$AV$8,0.5),PERCENTILE('02周度面板'!$AV$4:$AV$8,0.5))</f>
        <v/>
      </c>
      <c r="L50" s="17">
        <f>IFERROR(_xlfn.PERCENTILE.INC('02周度面板'!$AV$4:$AV$8,0.75),PERCENTILE('02周度面板'!$AV$4:$AV$8,0.75))</f>
        <v/>
      </c>
      <c r="M50" s="17">
        <f>IFERROR(_xlfn.PERCENTILE.INC('02周度面板'!$AV$4:$AV$8,0.9),PERCENTILE('02周度面板'!$AV$4:$AV$8,0.9))</f>
        <v/>
      </c>
      <c r="N50" s="17">
        <f>IFERROR(J50-I50,"")</f>
        <v/>
      </c>
      <c r="O50" s="17">
        <f>IFERROR(M50-I50,"")</f>
        <v/>
      </c>
      <c r="P50" s="18">
        <f>IFERROR(F50/D50,"")</f>
        <v/>
      </c>
      <c r="Q50" s="16">
        <f>IFERROR(D50-E50,"")</f>
        <v/>
      </c>
      <c r="R50" s="18">
        <f>IFERROR(D50/E50,"")</f>
        <v/>
      </c>
      <c r="S50" t="inlineStr">
        <is>
          <t>否</t>
        </is>
      </c>
      <c r="T50" t="inlineStr">
        <is>
          <t>2026</t>
        </is>
      </c>
      <c r="U50" t="inlineStr">
        <is>
          <t>2022, 2023, 2024, 2025</t>
        </is>
      </c>
    </row>
    <row r="51">
      <c r="A51" t="n">
        <v>48</v>
      </c>
      <c r="B51" t="inlineStr">
        <is>
          <t>W48</t>
        </is>
      </c>
      <c r="C51">
        <f>COUNT('02周度面板'!$AW$4:$AW$8)</f>
        <v/>
      </c>
      <c r="D51" s="16">
        <f>IFERROR(AVERAGE('02周度面板'!$AW$4:$AW$8),"")</f>
        <v/>
      </c>
      <c r="E51" s="16">
        <f>IFERROR(MEDIAN('02周度面板'!$AW$4:$AW$8),"")</f>
        <v/>
      </c>
      <c r="F51" s="16">
        <f>IFERROR(STDEV('02周度面板'!$AW$4:$AW$8),"")</f>
        <v/>
      </c>
      <c r="G51" s="16">
        <f>IFERROR(MIN('02周度面板'!$AW$4:$AW$8),"")</f>
        <v/>
      </c>
      <c r="H51" s="16">
        <f>IFERROR(MAX('02周度面板'!$AW$4:$AW$8),"")</f>
        <v/>
      </c>
      <c r="I51" s="17">
        <f>IFERROR(_xlfn.PERCENTILE.INC('02周度面板'!$AW$4:$AW$8,0.1),PERCENTILE('02周度面板'!$AW$4:$AW$8,0.1))</f>
        <v/>
      </c>
      <c r="J51" s="17">
        <f>IFERROR(_xlfn.PERCENTILE.INC('02周度面板'!$AW$4:$AW$8,0.25),PERCENTILE('02周度面板'!$AW$4:$AW$8,0.25))</f>
        <v/>
      </c>
      <c r="K51" s="17">
        <f>IFERROR(_xlfn.PERCENTILE.INC('02周度面板'!$AW$4:$AW$8,0.5),PERCENTILE('02周度面板'!$AW$4:$AW$8,0.5))</f>
        <v/>
      </c>
      <c r="L51" s="17">
        <f>IFERROR(_xlfn.PERCENTILE.INC('02周度面板'!$AW$4:$AW$8,0.75),PERCENTILE('02周度面板'!$AW$4:$AW$8,0.75))</f>
        <v/>
      </c>
      <c r="M51" s="17">
        <f>IFERROR(_xlfn.PERCENTILE.INC('02周度面板'!$AW$4:$AW$8,0.9),PERCENTILE('02周度面板'!$AW$4:$AW$8,0.9))</f>
        <v/>
      </c>
      <c r="N51" s="17">
        <f>IFERROR(J51-I51,"")</f>
        <v/>
      </c>
      <c r="O51" s="17">
        <f>IFERROR(M51-I51,"")</f>
        <v/>
      </c>
      <c r="P51" s="18">
        <f>IFERROR(F51/D51,"")</f>
        <v/>
      </c>
      <c r="Q51" s="16">
        <f>IFERROR(D51-E51,"")</f>
        <v/>
      </c>
      <c r="R51" s="18">
        <f>IFERROR(D51/E51,"")</f>
        <v/>
      </c>
      <c r="S51" t="inlineStr">
        <is>
          <t>否</t>
        </is>
      </c>
      <c r="T51" t="inlineStr">
        <is>
          <t>2026</t>
        </is>
      </c>
      <c r="U51" t="inlineStr">
        <is>
          <t>2022, 2023, 2024, 2025</t>
        </is>
      </c>
    </row>
    <row r="52">
      <c r="A52" t="n">
        <v>49</v>
      </c>
      <c r="B52" t="inlineStr">
        <is>
          <t>W49</t>
        </is>
      </c>
      <c r="C52">
        <f>COUNT('02周度面板'!$AX$4:$AX$8)</f>
        <v/>
      </c>
      <c r="D52" s="16">
        <f>IFERROR(AVERAGE('02周度面板'!$AX$4:$AX$8),"")</f>
        <v/>
      </c>
      <c r="E52" s="16">
        <f>IFERROR(MEDIAN('02周度面板'!$AX$4:$AX$8),"")</f>
        <v/>
      </c>
      <c r="F52" s="16">
        <f>IFERROR(STDEV('02周度面板'!$AX$4:$AX$8),"")</f>
        <v/>
      </c>
      <c r="G52" s="16">
        <f>IFERROR(MIN('02周度面板'!$AX$4:$AX$8),"")</f>
        <v/>
      </c>
      <c r="H52" s="16">
        <f>IFERROR(MAX('02周度面板'!$AX$4:$AX$8),"")</f>
        <v/>
      </c>
      <c r="I52" s="17">
        <f>IFERROR(_xlfn.PERCENTILE.INC('02周度面板'!$AX$4:$AX$8,0.1),PERCENTILE('02周度面板'!$AX$4:$AX$8,0.1))</f>
        <v/>
      </c>
      <c r="J52" s="17">
        <f>IFERROR(_xlfn.PERCENTILE.INC('02周度面板'!$AX$4:$AX$8,0.25),PERCENTILE('02周度面板'!$AX$4:$AX$8,0.25))</f>
        <v/>
      </c>
      <c r="K52" s="17">
        <f>IFERROR(_xlfn.PERCENTILE.INC('02周度面板'!$AX$4:$AX$8,0.5),PERCENTILE('02周度面板'!$AX$4:$AX$8,0.5))</f>
        <v/>
      </c>
      <c r="L52" s="17">
        <f>IFERROR(_xlfn.PERCENTILE.INC('02周度面板'!$AX$4:$AX$8,0.75),PERCENTILE('02周度面板'!$AX$4:$AX$8,0.75))</f>
        <v/>
      </c>
      <c r="M52" s="17">
        <f>IFERROR(_xlfn.PERCENTILE.INC('02周度面板'!$AX$4:$AX$8,0.9),PERCENTILE('02周度面板'!$AX$4:$AX$8,0.9))</f>
        <v/>
      </c>
      <c r="N52" s="17">
        <f>IFERROR(J52-I52,"")</f>
        <v/>
      </c>
      <c r="O52" s="17">
        <f>IFERROR(M52-I52,"")</f>
        <v/>
      </c>
      <c r="P52" s="18">
        <f>IFERROR(F52/D52,"")</f>
        <v/>
      </c>
      <c r="Q52" s="16">
        <f>IFERROR(D52-E52,"")</f>
        <v/>
      </c>
      <c r="R52" s="18">
        <f>IFERROR(D52/E52,"")</f>
        <v/>
      </c>
      <c r="S52" t="inlineStr">
        <is>
          <t>否</t>
        </is>
      </c>
      <c r="T52" t="inlineStr">
        <is>
          <t>2026</t>
        </is>
      </c>
      <c r="U52" t="inlineStr">
        <is>
          <t>2022, 2023, 2024, 2025</t>
        </is>
      </c>
    </row>
    <row r="53">
      <c r="A53" t="n">
        <v>50</v>
      </c>
      <c r="B53" t="inlineStr">
        <is>
          <t>W50</t>
        </is>
      </c>
      <c r="C53">
        <f>COUNT('02周度面板'!$AY$4:$AY$8)</f>
        <v/>
      </c>
      <c r="D53" s="16">
        <f>IFERROR(AVERAGE('02周度面板'!$AY$4:$AY$8),"")</f>
        <v/>
      </c>
      <c r="E53" s="16">
        <f>IFERROR(MEDIAN('02周度面板'!$AY$4:$AY$8),"")</f>
        <v/>
      </c>
      <c r="F53" s="16">
        <f>IFERROR(STDEV('02周度面板'!$AY$4:$AY$8),"")</f>
        <v/>
      </c>
      <c r="G53" s="16">
        <f>IFERROR(MIN('02周度面板'!$AY$4:$AY$8),"")</f>
        <v/>
      </c>
      <c r="H53" s="16">
        <f>IFERROR(MAX('02周度面板'!$AY$4:$AY$8),"")</f>
        <v/>
      </c>
      <c r="I53" s="17">
        <f>IFERROR(_xlfn.PERCENTILE.INC('02周度面板'!$AY$4:$AY$8,0.1),PERCENTILE('02周度面板'!$AY$4:$AY$8,0.1))</f>
        <v/>
      </c>
      <c r="J53" s="17">
        <f>IFERROR(_xlfn.PERCENTILE.INC('02周度面板'!$AY$4:$AY$8,0.25),PERCENTILE('02周度面板'!$AY$4:$AY$8,0.25))</f>
        <v/>
      </c>
      <c r="K53" s="17">
        <f>IFERROR(_xlfn.PERCENTILE.INC('02周度面板'!$AY$4:$AY$8,0.5),PERCENTILE('02周度面板'!$AY$4:$AY$8,0.5))</f>
        <v/>
      </c>
      <c r="L53" s="17">
        <f>IFERROR(_xlfn.PERCENTILE.INC('02周度面板'!$AY$4:$AY$8,0.75),PERCENTILE('02周度面板'!$AY$4:$AY$8,0.75))</f>
        <v/>
      </c>
      <c r="M53" s="17">
        <f>IFERROR(_xlfn.PERCENTILE.INC('02周度面板'!$AY$4:$AY$8,0.9),PERCENTILE('02周度面板'!$AY$4:$AY$8,0.9))</f>
        <v/>
      </c>
      <c r="N53" s="17">
        <f>IFERROR(J53-I53,"")</f>
        <v/>
      </c>
      <c r="O53" s="17">
        <f>IFERROR(M53-I53,"")</f>
        <v/>
      </c>
      <c r="P53" s="18">
        <f>IFERROR(F53/D53,"")</f>
        <v/>
      </c>
      <c r="Q53" s="16">
        <f>IFERROR(D53-E53,"")</f>
        <v/>
      </c>
      <c r="R53" s="18">
        <f>IFERROR(D53/E53,"")</f>
        <v/>
      </c>
      <c r="S53" t="inlineStr">
        <is>
          <t>否</t>
        </is>
      </c>
      <c r="T53" t="inlineStr">
        <is>
          <t>2026</t>
        </is>
      </c>
      <c r="U53" t="inlineStr">
        <is>
          <t>2022, 2023, 2024, 2025</t>
        </is>
      </c>
    </row>
    <row r="54">
      <c r="A54" t="n">
        <v>51</v>
      </c>
      <c r="B54" t="inlineStr">
        <is>
          <t>W51</t>
        </is>
      </c>
      <c r="C54">
        <f>COUNT('02周度面板'!$AZ$4:$AZ$8)</f>
        <v/>
      </c>
      <c r="D54" s="16">
        <f>IFERROR(AVERAGE('02周度面板'!$AZ$4:$AZ$8),"")</f>
        <v/>
      </c>
      <c r="E54" s="16">
        <f>IFERROR(MEDIAN('02周度面板'!$AZ$4:$AZ$8),"")</f>
        <v/>
      </c>
      <c r="F54" s="16">
        <f>IFERROR(STDEV('02周度面板'!$AZ$4:$AZ$8),"")</f>
        <v/>
      </c>
      <c r="G54" s="16">
        <f>IFERROR(MIN('02周度面板'!$AZ$4:$AZ$8),"")</f>
        <v/>
      </c>
      <c r="H54" s="16">
        <f>IFERROR(MAX('02周度面板'!$AZ$4:$AZ$8),"")</f>
        <v/>
      </c>
      <c r="I54" s="17">
        <f>IFERROR(_xlfn.PERCENTILE.INC('02周度面板'!$AZ$4:$AZ$8,0.1),PERCENTILE('02周度面板'!$AZ$4:$AZ$8,0.1))</f>
        <v/>
      </c>
      <c r="J54" s="17">
        <f>IFERROR(_xlfn.PERCENTILE.INC('02周度面板'!$AZ$4:$AZ$8,0.25),PERCENTILE('02周度面板'!$AZ$4:$AZ$8,0.25))</f>
        <v/>
      </c>
      <c r="K54" s="17">
        <f>IFERROR(_xlfn.PERCENTILE.INC('02周度面板'!$AZ$4:$AZ$8,0.5),PERCENTILE('02周度面板'!$AZ$4:$AZ$8,0.5))</f>
        <v/>
      </c>
      <c r="L54" s="17">
        <f>IFERROR(_xlfn.PERCENTILE.INC('02周度面板'!$AZ$4:$AZ$8,0.75),PERCENTILE('02周度面板'!$AZ$4:$AZ$8,0.75))</f>
        <v/>
      </c>
      <c r="M54" s="17">
        <f>IFERROR(_xlfn.PERCENTILE.INC('02周度面板'!$AZ$4:$AZ$8,0.9),PERCENTILE('02周度面板'!$AZ$4:$AZ$8,0.9))</f>
        <v/>
      </c>
      <c r="N54" s="17">
        <f>IFERROR(J54-I54,"")</f>
        <v/>
      </c>
      <c r="O54" s="17">
        <f>IFERROR(M54-I54,"")</f>
        <v/>
      </c>
      <c r="P54" s="18">
        <f>IFERROR(F54/D54,"")</f>
        <v/>
      </c>
      <c r="Q54" s="16">
        <f>IFERROR(D54-E54,"")</f>
        <v/>
      </c>
      <c r="R54" s="18">
        <f>IFERROR(D54/E54,"")</f>
        <v/>
      </c>
      <c r="S54" t="inlineStr">
        <is>
          <t>否</t>
        </is>
      </c>
      <c r="T54" t="inlineStr">
        <is>
          <t>2026</t>
        </is>
      </c>
      <c r="U54" t="inlineStr">
        <is>
          <t>2022, 2023, 2024, 2025</t>
        </is>
      </c>
    </row>
    <row r="55">
      <c r="A55" t="n">
        <v>52</v>
      </c>
      <c r="B55" t="inlineStr">
        <is>
          <t>W52</t>
        </is>
      </c>
      <c r="C55">
        <f>COUNT('02周度面板'!$BA$4:$BA$8)</f>
        <v/>
      </c>
      <c r="D55" s="16">
        <f>IFERROR(AVERAGE('02周度面板'!$BA$4:$BA$8),"")</f>
        <v/>
      </c>
      <c r="E55" s="16">
        <f>IFERROR(MEDIAN('02周度面板'!$BA$4:$BA$8),"")</f>
        <v/>
      </c>
      <c r="F55" s="16">
        <f>IFERROR(STDEV('02周度面板'!$BA$4:$BA$8),"")</f>
        <v/>
      </c>
      <c r="G55" s="16">
        <f>IFERROR(MIN('02周度面板'!$BA$4:$BA$8),"")</f>
        <v/>
      </c>
      <c r="H55" s="16">
        <f>IFERROR(MAX('02周度面板'!$BA$4:$BA$8),"")</f>
        <v/>
      </c>
      <c r="I55" s="17">
        <f>IFERROR(_xlfn.PERCENTILE.INC('02周度面板'!$BA$4:$BA$8,0.1),PERCENTILE('02周度面板'!$BA$4:$BA$8,0.1))</f>
        <v/>
      </c>
      <c r="J55" s="17">
        <f>IFERROR(_xlfn.PERCENTILE.INC('02周度面板'!$BA$4:$BA$8,0.25),PERCENTILE('02周度面板'!$BA$4:$BA$8,0.25))</f>
        <v/>
      </c>
      <c r="K55" s="17">
        <f>IFERROR(_xlfn.PERCENTILE.INC('02周度面板'!$BA$4:$BA$8,0.5),PERCENTILE('02周度面板'!$BA$4:$BA$8,0.5))</f>
        <v/>
      </c>
      <c r="L55" s="17">
        <f>IFERROR(_xlfn.PERCENTILE.INC('02周度面板'!$BA$4:$BA$8,0.75),PERCENTILE('02周度面板'!$BA$4:$BA$8,0.75))</f>
        <v/>
      </c>
      <c r="M55" s="17">
        <f>IFERROR(_xlfn.PERCENTILE.INC('02周度面板'!$BA$4:$BA$8,0.9),PERCENTILE('02周度面板'!$BA$4:$BA$8,0.9))</f>
        <v/>
      </c>
      <c r="N55" s="17">
        <f>IFERROR(J55-I55,"")</f>
        <v/>
      </c>
      <c r="O55" s="17">
        <f>IFERROR(M55-I55,"")</f>
        <v/>
      </c>
      <c r="P55" s="18">
        <f>IFERROR(F55/D55,"")</f>
        <v/>
      </c>
      <c r="Q55" s="16">
        <f>IFERROR(D55-E55,"")</f>
        <v/>
      </c>
      <c r="R55" s="18">
        <f>IFERROR(D55/E55,"")</f>
        <v/>
      </c>
      <c r="S55" t="inlineStr">
        <is>
          <t>否</t>
        </is>
      </c>
      <c r="T55" t="inlineStr">
        <is>
          <t>2026</t>
        </is>
      </c>
      <c r="U55" t="inlineStr">
        <is>
          <t>2022, 2023, 2024, 2025</t>
        </is>
      </c>
    </row>
    <row r="57">
      <c r="A57" s="2" t="inlineStr">
        <is>
          <t>说明：本表统计列为活公式，直接引用「02周度面板」面板；修改面板后按 F9 即复算。PERCENTILE.INC 与 numpy 默认 linear 插值、R type 7 完全等价。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8" customWidth="1" min="16" max="16"/>
    <col width="11" customWidth="1" min="17" max="17"/>
    <col width="10" customWidth="1" min="18" max="18"/>
    <col width="10" customWidth="1" min="19" max="19"/>
    <col width="14" customWidth="1" min="20" max="20"/>
    <col width="22" customWidth="1" min="21" max="21"/>
  </cols>
  <sheetData>
    <row r="1" ht="22" customHeight="1">
      <c r="A1" s="1" t="inlineStr">
        <is>
          <t>06 月度同期统计（公式直连 03 面板）</t>
        </is>
      </c>
    </row>
    <row r="2">
      <c r="A2" s="2" t="inlineStr">
        <is>
          <t>同上；月度 n 通常 4–5 年，分位不确定性大</t>
        </is>
      </c>
    </row>
    <row r="3" ht="26" customHeight="1">
      <c r="A3" s="6" t="inlineStr">
        <is>
          <t>位置</t>
        </is>
      </c>
      <c r="B3" s="6" t="inlineStr">
        <is>
          <t>标签</t>
        </is>
      </c>
      <c r="C3" s="6" t="inlineStr">
        <is>
          <t>n年</t>
        </is>
      </c>
      <c r="D3" s="6" t="inlineStr">
        <is>
          <t>均值</t>
        </is>
      </c>
      <c r="E3" s="6" t="inlineStr">
        <is>
          <t>中位数</t>
        </is>
      </c>
      <c r="F3" s="6" t="inlineStr">
        <is>
          <t>标准差</t>
        </is>
      </c>
      <c r="G3" s="6" t="inlineStr">
        <is>
          <t>最小</t>
        </is>
      </c>
      <c r="H3" s="6" t="inlineStr">
        <is>
          <t>最大</t>
        </is>
      </c>
      <c r="I3" s="6" t="inlineStr">
        <is>
          <t>p10</t>
        </is>
      </c>
      <c r="J3" s="6" t="inlineStr">
        <is>
          <t>p25</t>
        </is>
      </c>
      <c r="K3" s="6" t="inlineStr">
        <is>
          <t>p50</t>
        </is>
      </c>
      <c r="L3" s="6" t="inlineStr">
        <is>
          <t>p75</t>
        </is>
      </c>
      <c r="M3" s="6" t="inlineStr">
        <is>
          <t>p90</t>
        </is>
      </c>
      <c r="N3" s="6" t="inlineStr">
        <is>
          <t>IQR</t>
        </is>
      </c>
      <c r="O3" s="6" t="inlineStr">
        <is>
          <t>p90-p10</t>
        </is>
      </c>
      <c r="P3" s="6" t="inlineStr">
        <is>
          <t>CV</t>
        </is>
      </c>
      <c r="Q3" s="6" t="inlineStr">
        <is>
          <t>均值-中位</t>
        </is>
      </c>
      <c r="R3" s="6" t="inlineStr">
        <is>
          <t>均值/中位</t>
        </is>
      </c>
      <c r="S3" s="6" t="inlineStr">
        <is>
          <t>样本不足?</t>
        </is>
      </c>
      <c r="T3" s="6" t="inlineStr">
        <is>
          <t>缺少年份</t>
        </is>
      </c>
      <c r="U3" s="6" t="inlineStr">
        <is>
          <t>样本年份</t>
        </is>
      </c>
    </row>
    <row r="4">
      <c r="A4" t="n">
        <v>1</v>
      </c>
      <c r="B4" t="inlineStr">
        <is>
          <t>01月</t>
        </is>
      </c>
      <c r="C4">
        <f>COUNT('03月度面板'!$B$4:$B$8)</f>
        <v/>
      </c>
      <c r="D4" s="16">
        <f>IFERROR(AVERAGE('03月度面板'!$B$4:$B$8),"")</f>
        <v/>
      </c>
      <c r="E4" s="16">
        <f>IFERROR(MEDIAN('03月度面板'!$B$4:$B$8),"")</f>
        <v/>
      </c>
      <c r="F4" s="16">
        <f>IFERROR(STDEV('03月度面板'!$B$4:$B$8),"")</f>
        <v/>
      </c>
      <c r="G4" s="16">
        <f>IFERROR(MIN('03月度面板'!$B$4:$B$8),"")</f>
        <v/>
      </c>
      <c r="H4" s="16">
        <f>IFERROR(MAX('03月度面板'!$B$4:$B$8),"")</f>
        <v/>
      </c>
      <c r="I4" s="17">
        <f>IFERROR(_xlfn.PERCENTILE.INC('03月度面板'!$B$4:$B$8,0.1),PERCENTILE('03月度面板'!$B$4:$B$8,0.1))</f>
        <v/>
      </c>
      <c r="J4" s="17">
        <f>IFERROR(_xlfn.PERCENTILE.INC('03月度面板'!$B$4:$B$8,0.25),PERCENTILE('03月度面板'!$B$4:$B$8,0.25))</f>
        <v/>
      </c>
      <c r="K4" s="17">
        <f>IFERROR(_xlfn.PERCENTILE.INC('03月度面板'!$B$4:$B$8,0.5),PERCENTILE('03月度面板'!$B$4:$B$8,0.5))</f>
        <v/>
      </c>
      <c r="L4" s="17">
        <f>IFERROR(_xlfn.PERCENTILE.INC('03月度面板'!$B$4:$B$8,0.75),PERCENTILE('03月度面板'!$B$4:$B$8,0.75))</f>
        <v/>
      </c>
      <c r="M4" s="17">
        <f>IFERROR(_xlfn.PERCENTILE.INC('03月度面板'!$B$4:$B$8,0.9),PERCENTILE('03月度面板'!$B$4:$B$8,0.9))</f>
        <v/>
      </c>
      <c r="N4" s="17">
        <f>IFERROR(J4-I4,"")</f>
        <v/>
      </c>
      <c r="O4" s="17">
        <f>IFERROR(M4-I4,"")</f>
        <v/>
      </c>
      <c r="P4" s="18">
        <f>IFERROR(F4/D4,"")</f>
        <v/>
      </c>
      <c r="Q4" s="16">
        <f>IFERROR(D4-E4,"")</f>
        <v/>
      </c>
      <c r="R4" s="18">
        <f>IFERROR(D4/E4,"")</f>
        <v/>
      </c>
      <c r="S4" t="inlineStr">
        <is>
          <t>否</t>
        </is>
      </c>
      <c r="T4" t="inlineStr">
        <is>
          <t>2022</t>
        </is>
      </c>
      <c r="U4" t="inlineStr">
        <is>
          <t>2023, 2024, 2025, 2026</t>
        </is>
      </c>
    </row>
    <row r="5">
      <c r="A5" t="n">
        <v>2</v>
      </c>
      <c r="B5" t="inlineStr">
        <is>
          <t>02月</t>
        </is>
      </c>
      <c r="C5">
        <f>COUNT('03月度面板'!$C$4:$C$8)</f>
        <v/>
      </c>
      <c r="D5" s="16">
        <f>IFERROR(AVERAGE('03月度面板'!$C$4:$C$8),"")</f>
        <v/>
      </c>
      <c r="E5" s="16">
        <f>IFERROR(MEDIAN('03月度面板'!$C$4:$C$8),"")</f>
        <v/>
      </c>
      <c r="F5" s="16">
        <f>IFERROR(STDEV('03月度面板'!$C$4:$C$8),"")</f>
        <v/>
      </c>
      <c r="G5" s="16">
        <f>IFERROR(MIN('03月度面板'!$C$4:$C$8),"")</f>
        <v/>
      </c>
      <c r="H5" s="16">
        <f>IFERROR(MAX('03月度面板'!$C$4:$C$8),"")</f>
        <v/>
      </c>
      <c r="I5" s="17">
        <f>IFERROR(_xlfn.PERCENTILE.INC('03月度面板'!$C$4:$C$8,0.1),PERCENTILE('03月度面板'!$C$4:$C$8,0.1))</f>
        <v/>
      </c>
      <c r="J5" s="17">
        <f>IFERROR(_xlfn.PERCENTILE.INC('03月度面板'!$C$4:$C$8,0.25),PERCENTILE('03月度面板'!$C$4:$C$8,0.25))</f>
        <v/>
      </c>
      <c r="K5" s="17">
        <f>IFERROR(_xlfn.PERCENTILE.INC('03月度面板'!$C$4:$C$8,0.5),PERCENTILE('03月度面板'!$C$4:$C$8,0.5))</f>
        <v/>
      </c>
      <c r="L5" s="17">
        <f>IFERROR(_xlfn.PERCENTILE.INC('03月度面板'!$C$4:$C$8,0.75),PERCENTILE('03月度面板'!$C$4:$C$8,0.75))</f>
        <v/>
      </c>
      <c r="M5" s="17">
        <f>IFERROR(_xlfn.PERCENTILE.INC('03月度面板'!$C$4:$C$8,0.9),PERCENTILE('03月度面板'!$C$4:$C$8,0.9))</f>
        <v/>
      </c>
      <c r="N5" s="17">
        <f>IFERROR(J5-I5,"")</f>
        <v/>
      </c>
      <c r="O5" s="17">
        <f>IFERROR(M5-I5,"")</f>
        <v/>
      </c>
      <c r="P5" s="18">
        <f>IFERROR(F5/D5,"")</f>
        <v/>
      </c>
      <c r="Q5" s="16">
        <f>IFERROR(D5-E5,"")</f>
        <v/>
      </c>
      <c r="R5" s="18">
        <f>IFERROR(D5/E5,"")</f>
        <v/>
      </c>
      <c r="S5" t="inlineStr">
        <is>
          <t>否</t>
        </is>
      </c>
      <c r="T5" t="inlineStr">
        <is>
          <t>2022</t>
        </is>
      </c>
      <c r="U5" t="inlineStr">
        <is>
          <t>2023, 2024, 2025, 2026</t>
        </is>
      </c>
    </row>
    <row r="6">
      <c r="A6" t="n">
        <v>3</v>
      </c>
      <c r="B6" t="inlineStr">
        <is>
          <t>03月</t>
        </is>
      </c>
      <c r="C6">
        <f>COUNT('03月度面板'!$D$4:$D$8)</f>
        <v/>
      </c>
      <c r="D6" s="16">
        <f>IFERROR(AVERAGE('03月度面板'!$D$4:$D$8),"")</f>
        <v/>
      </c>
      <c r="E6" s="16">
        <f>IFERROR(MEDIAN('03月度面板'!$D$4:$D$8),"")</f>
        <v/>
      </c>
      <c r="F6" s="16">
        <f>IFERROR(STDEV('03月度面板'!$D$4:$D$8),"")</f>
        <v/>
      </c>
      <c r="G6" s="16">
        <f>IFERROR(MIN('03月度面板'!$D$4:$D$8),"")</f>
        <v/>
      </c>
      <c r="H6" s="16">
        <f>IFERROR(MAX('03月度面板'!$D$4:$D$8),"")</f>
        <v/>
      </c>
      <c r="I6" s="17">
        <f>IFERROR(_xlfn.PERCENTILE.INC('03月度面板'!$D$4:$D$8,0.1),PERCENTILE('03月度面板'!$D$4:$D$8,0.1))</f>
        <v/>
      </c>
      <c r="J6" s="17">
        <f>IFERROR(_xlfn.PERCENTILE.INC('03月度面板'!$D$4:$D$8,0.25),PERCENTILE('03月度面板'!$D$4:$D$8,0.25))</f>
        <v/>
      </c>
      <c r="K6" s="17">
        <f>IFERROR(_xlfn.PERCENTILE.INC('03月度面板'!$D$4:$D$8,0.5),PERCENTILE('03月度面板'!$D$4:$D$8,0.5))</f>
        <v/>
      </c>
      <c r="L6" s="17">
        <f>IFERROR(_xlfn.PERCENTILE.INC('03月度面板'!$D$4:$D$8,0.75),PERCENTILE('03月度面板'!$D$4:$D$8,0.75))</f>
        <v/>
      </c>
      <c r="M6" s="17">
        <f>IFERROR(_xlfn.PERCENTILE.INC('03月度面板'!$D$4:$D$8,0.9),PERCENTILE('03月度面板'!$D$4:$D$8,0.9))</f>
        <v/>
      </c>
      <c r="N6" s="17">
        <f>IFERROR(J6-I6,"")</f>
        <v/>
      </c>
      <c r="O6" s="17">
        <f>IFERROR(M6-I6,"")</f>
        <v/>
      </c>
      <c r="P6" s="18">
        <f>IFERROR(F6/D6,"")</f>
        <v/>
      </c>
      <c r="Q6" s="16">
        <f>IFERROR(D6-E6,"")</f>
        <v/>
      </c>
      <c r="R6" s="18">
        <f>IFERROR(D6/E6,"")</f>
        <v/>
      </c>
      <c r="S6" t="inlineStr">
        <is>
          <t>否</t>
        </is>
      </c>
      <c r="T6" t="inlineStr">
        <is>
          <t>2022</t>
        </is>
      </c>
      <c r="U6" t="inlineStr">
        <is>
          <t>2023, 2024, 2025, 2026</t>
        </is>
      </c>
    </row>
    <row r="7">
      <c r="A7" t="n">
        <v>4</v>
      </c>
      <c r="B7" t="inlineStr">
        <is>
          <t>04月</t>
        </is>
      </c>
      <c r="C7">
        <f>COUNT('03月度面板'!$E$4:$E$8)</f>
        <v/>
      </c>
      <c r="D7" s="16">
        <f>IFERROR(AVERAGE('03月度面板'!$E$4:$E$8),"")</f>
        <v/>
      </c>
      <c r="E7" s="16">
        <f>IFERROR(MEDIAN('03月度面板'!$E$4:$E$8),"")</f>
        <v/>
      </c>
      <c r="F7" s="16">
        <f>IFERROR(STDEV('03月度面板'!$E$4:$E$8),"")</f>
        <v/>
      </c>
      <c r="G7" s="16">
        <f>IFERROR(MIN('03月度面板'!$E$4:$E$8),"")</f>
        <v/>
      </c>
      <c r="H7" s="16">
        <f>IFERROR(MAX('03月度面板'!$E$4:$E$8),"")</f>
        <v/>
      </c>
      <c r="I7" s="17">
        <f>IFERROR(_xlfn.PERCENTILE.INC('03月度面板'!$E$4:$E$8,0.1),PERCENTILE('03月度面板'!$E$4:$E$8,0.1))</f>
        <v/>
      </c>
      <c r="J7" s="17">
        <f>IFERROR(_xlfn.PERCENTILE.INC('03月度面板'!$E$4:$E$8,0.25),PERCENTILE('03月度面板'!$E$4:$E$8,0.25))</f>
        <v/>
      </c>
      <c r="K7" s="17">
        <f>IFERROR(_xlfn.PERCENTILE.INC('03月度面板'!$E$4:$E$8,0.5),PERCENTILE('03月度面板'!$E$4:$E$8,0.5))</f>
        <v/>
      </c>
      <c r="L7" s="17">
        <f>IFERROR(_xlfn.PERCENTILE.INC('03月度面板'!$E$4:$E$8,0.75),PERCENTILE('03月度面板'!$E$4:$E$8,0.75))</f>
        <v/>
      </c>
      <c r="M7" s="17">
        <f>IFERROR(_xlfn.PERCENTILE.INC('03月度面板'!$E$4:$E$8,0.9),PERCENTILE('03月度面板'!$E$4:$E$8,0.9))</f>
        <v/>
      </c>
      <c r="N7" s="17">
        <f>IFERROR(J7-I7,"")</f>
        <v/>
      </c>
      <c r="O7" s="17">
        <f>IFERROR(M7-I7,"")</f>
        <v/>
      </c>
      <c r="P7" s="18">
        <f>IFERROR(F7/D7,"")</f>
        <v/>
      </c>
      <c r="Q7" s="16">
        <f>IFERROR(D7-E7,"")</f>
        <v/>
      </c>
      <c r="R7" s="18">
        <f>IFERROR(D7/E7,"")</f>
        <v/>
      </c>
      <c r="S7" t="inlineStr">
        <is>
          <t>否</t>
        </is>
      </c>
      <c r="T7" t="inlineStr">
        <is>
          <t>2022</t>
        </is>
      </c>
      <c r="U7" t="inlineStr">
        <is>
          <t>2023, 2024, 2025, 2026</t>
        </is>
      </c>
    </row>
    <row r="8">
      <c r="A8" t="n">
        <v>5</v>
      </c>
      <c r="B8" t="inlineStr">
        <is>
          <t>05月</t>
        </is>
      </c>
      <c r="C8">
        <f>COUNT('03月度面板'!$F$4:$F$8)</f>
        <v/>
      </c>
      <c r="D8" s="16">
        <f>IFERROR(AVERAGE('03月度面板'!$F$4:$F$8),"")</f>
        <v/>
      </c>
      <c r="E8" s="16">
        <f>IFERROR(MEDIAN('03月度面板'!$F$4:$F$8),"")</f>
        <v/>
      </c>
      <c r="F8" s="16">
        <f>IFERROR(STDEV('03月度面板'!$F$4:$F$8),"")</f>
        <v/>
      </c>
      <c r="G8" s="16">
        <f>IFERROR(MIN('03月度面板'!$F$4:$F$8),"")</f>
        <v/>
      </c>
      <c r="H8" s="16">
        <f>IFERROR(MAX('03月度面板'!$F$4:$F$8),"")</f>
        <v/>
      </c>
      <c r="I8" s="17">
        <f>IFERROR(_xlfn.PERCENTILE.INC('03月度面板'!$F$4:$F$8,0.1),PERCENTILE('03月度面板'!$F$4:$F$8,0.1))</f>
        <v/>
      </c>
      <c r="J8" s="17">
        <f>IFERROR(_xlfn.PERCENTILE.INC('03月度面板'!$F$4:$F$8,0.25),PERCENTILE('03月度面板'!$F$4:$F$8,0.25))</f>
        <v/>
      </c>
      <c r="K8" s="17">
        <f>IFERROR(_xlfn.PERCENTILE.INC('03月度面板'!$F$4:$F$8,0.5),PERCENTILE('03月度面板'!$F$4:$F$8,0.5))</f>
        <v/>
      </c>
      <c r="L8" s="17">
        <f>IFERROR(_xlfn.PERCENTILE.INC('03月度面板'!$F$4:$F$8,0.75),PERCENTILE('03月度面板'!$F$4:$F$8,0.75))</f>
        <v/>
      </c>
      <c r="M8" s="17">
        <f>IFERROR(_xlfn.PERCENTILE.INC('03月度面板'!$F$4:$F$8,0.9),PERCENTILE('03月度面板'!$F$4:$F$8,0.9))</f>
        <v/>
      </c>
      <c r="N8" s="17">
        <f>IFERROR(J8-I8,"")</f>
        <v/>
      </c>
      <c r="O8" s="17">
        <f>IFERROR(M8-I8,"")</f>
        <v/>
      </c>
      <c r="P8" s="18">
        <f>IFERROR(F8/D8,"")</f>
        <v/>
      </c>
      <c r="Q8" s="16">
        <f>IFERROR(D8-E8,"")</f>
        <v/>
      </c>
      <c r="R8" s="18">
        <f>IFERROR(D8/E8,"")</f>
        <v/>
      </c>
      <c r="S8" t="inlineStr">
        <is>
          <t>否</t>
        </is>
      </c>
      <c r="T8" t="inlineStr">
        <is>
          <t>2022</t>
        </is>
      </c>
      <c r="U8" t="inlineStr">
        <is>
          <t>2023, 2024, 2025, 2026</t>
        </is>
      </c>
    </row>
    <row r="9">
      <c r="A9" t="n">
        <v>6</v>
      </c>
      <c r="B9" t="inlineStr">
        <is>
          <t>06月</t>
        </is>
      </c>
      <c r="C9">
        <f>COUNT('03月度面板'!$G$4:$G$8)</f>
        <v/>
      </c>
      <c r="D9" s="16">
        <f>IFERROR(AVERAGE('03月度面板'!$G$4:$G$8),"")</f>
        <v/>
      </c>
      <c r="E9" s="16">
        <f>IFERROR(MEDIAN('03月度面板'!$G$4:$G$8),"")</f>
        <v/>
      </c>
      <c r="F9" s="16">
        <f>IFERROR(STDEV('03月度面板'!$G$4:$G$8),"")</f>
        <v/>
      </c>
      <c r="G9" s="16">
        <f>IFERROR(MIN('03月度面板'!$G$4:$G$8),"")</f>
        <v/>
      </c>
      <c r="H9" s="16">
        <f>IFERROR(MAX('03月度面板'!$G$4:$G$8),"")</f>
        <v/>
      </c>
      <c r="I9" s="17">
        <f>IFERROR(_xlfn.PERCENTILE.INC('03月度面板'!$G$4:$G$8,0.1),PERCENTILE('03月度面板'!$G$4:$G$8,0.1))</f>
        <v/>
      </c>
      <c r="J9" s="17">
        <f>IFERROR(_xlfn.PERCENTILE.INC('03月度面板'!$G$4:$G$8,0.25),PERCENTILE('03月度面板'!$G$4:$G$8,0.25))</f>
        <v/>
      </c>
      <c r="K9" s="17">
        <f>IFERROR(_xlfn.PERCENTILE.INC('03月度面板'!$G$4:$G$8,0.5),PERCENTILE('03月度面板'!$G$4:$G$8,0.5))</f>
        <v/>
      </c>
      <c r="L9" s="17">
        <f>IFERROR(_xlfn.PERCENTILE.INC('03月度面板'!$G$4:$G$8,0.75),PERCENTILE('03月度面板'!$G$4:$G$8,0.75))</f>
        <v/>
      </c>
      <c r="M9" s="17">
        <f>IFERROR(_xlfn.PERCENTILE.INC('03月度面板'!$G$4:$G$8,0.9),PERCENTILE('03月度面板'!$G$4:$G$8,0.9))</f>
        <v/>
      </c>
      <c r="N9" s="17">
        <f>IFERROR(J9-I9,"")</f>
        <v/>
      </c>
      <c r="O9" s="17">
        <f>IFERROR(M9-I9,"")</f>
        <v/>
      </c>
      <c r="P9" s="18">
        <f>IFERROR(F9/D9,"")</f>
        <v/>
      </c>
      <c r="Q9" s="16">
        <f>IFERROR(D9-E9,"")</f>
        <v/>
      </c>
      <c r="R9" s="18">
        <f>IFERROR(D9/E9,"")</f>
        <v/>
      </c>
      <c r="S9" t="inlineStr">
        <is>
          <t>否</t>
        </is>
      </c>
      <c r="T9" t="inlineStr">
        <is>
          <t>2022</t>
        </is>
      </c>
      <c r="U9" t="inlineStr">
        <is>
          <t>2023, 2024, 2025, 2026</t>
        </is>
      </c>
    </row>
    <row r="10">
      <c r="A10" t="n">
        <v>7</v>
      </c>
      <c r="B10" t="inlineStr">
        <is>
          <t>07月</t>
        </is>
      </c>
      <c r="C10">
        <f>COUNT('03月度面板'!$H$4:$H$8)</f>
        <v/>
      </c>
      <c r="D10" s="16">
        <f>IFERROR(AVERAGE('03月度面板'!$H$4:$H$8),"")</f>
        <v/>
      </c>
      <c r="E10" s="16">
        <f>IFERROR(MEDIAN('03月度面板'!$H$4:$H$8),"")</f>
        <v/>
      </c>
      <c r="F10" s="16">
        <f>IFERROR(STDEV('03月度面板'!$H$4:$H$8),"")</f>
        <v/>
      </c>
      <c r="G10" s="16">
        <f>IFERROR(MIN('03月度面板'!$H$4:$H$8),"")</f>
        <v/>
      </c>
      <c r="H10" s="16">
        <f>IFERROR(MAX('03月度面板'!$H$4:$H$8),"")</f>
        <v/>
      </c>
      <c r="I10" s="17">
        <f>IFERROR(_xlfn.PERCENTILE.INC('03月度面板'!$H$4:$H$8,0.1),PERCENTILE('03月度面板'!$H$4:$H$8,0.1))</f>
        <v/>
      </c>
      <c r="J10" s="17">
        <f>IFERROR(_xlfn.PERCENTILE.INC('03月度面板'!$H$4:$H$8,0.25),PERCENTILE('03月度面板'!$H$4:$H$8,0.25))</f>
        <v/>
      </c>
      <c r="K10" s="17">
        <f>IFERROR(_xlfn.PERCENTILE.INC('03月度面板'!$H$4:$H$8,0.5),PERCENTILE('03月度面板'!$H$4:$H$8,0.5))</f>
        <v/>
      </c>
      <c r="L10" s="17">
        <f>IFERROR(_xlfn.PERCENTILE.INC('03月度面板'!$H$4:$H$8,0.75),PERCENTILE('03月度面板'!$H$4:$H$8,0.75))</f>
        <v/>
      </c>
      <c r="M10" s="17">
        <f>IFERROR(_xlfn.PERCENTILE.INC('03月度面板'!$H$4:$H$8,0.9),PERCENTILE('03月度面板'!$H$4:$H$8,0.9))</f>
        <v/>
      </c>
      <c r="N10" s="17">
        <f>IFERROR(J10-I10,"")</f>
        <v/>
      </c>
      <c r="O10" s="17">
        <f>IFERROR(M10-I10,"")</f>
        <v/>
      </c>
      <c r="P10" s="18">
        <f>IFERROR(F10/D10,"")</f>
        <v/>
      </c>
      <c r="Q10" s="16">
        <f>IFERROR(D10-E10,"")</f>
        <v/>
      </c>
      <c r="R10" s="18">
        <f>IFERROR(D10/E10,"")</f>
        <v/>
      </c>
      <c r="S10" t="inlineStr">
        <is>
          <t>否</t>
        </is>
      </c>
      <c r="T10" t="inlineStr">
        <is>
          <t>2022</t>
        </is>
      </c>
      <c r="U10" t="inlineStr">
        <is>
          <t>2023, 2024, 2025, 2026</t>
        </is>
      </c>
    </row>
    <row r="11">
      <c r="A11" t="n">
        <v>8</v>
      </c>
      <c r="B11" t="inlineStr">
        <is>
          <t>08月</t>
        </is>
      </c>
      <c r="C11">
        <f>COUNT('03月度面板'!$I$4:$I$8)</f>
        <v/>
      </c>
      <c r="D11" s="16">
        <f>IFERROR(AVERAGE('03月度面板'!$I$4:$I$8),"")</f>
        <v/>
      </c>
      <c r="E11" s="16">
        <f>IFERROR(MEDIAN('03月度面板'!$I$4:$I$8),"")</f>
        <v/>
      </c>
      <c r="F11" s="16">
        <f>IFERROR(STDEV('03月度面板'!$I$4:$I$8),"")</f>
        <v/>
      </c>
      <c r="G11" s="16">
        <f>IFERROR(MIN('03月度面板'!$I$4:$I$8),"")</f>
        <v/>
      </c>
      <c r="H11" s="16">
        <f>IFERROR(MAX('03月度面板'!$I$4:$I$8),"")</f>
        <v/>
      </c>
      <c r="I11" s="17">
        <f>IFERROR(_xlfn.PERCENTILE.INC('03月度面板'!$I$4:$I$8,0.1),PERCENTILE('03月度面板'!$I$4:$I$8,0.1))</f>
        <v/>
      </c>
      <c r="J11" s="17">
        <f>IFERROR(_xlfn.PERCENTILE.INC('03月度面板'!$I$4:$I$8,0.25),PERCENTILE('03月度面板'!$I$4:$I$8,0.25))</f>
        <v/>
      </c>
      <c r="K11" s="17">
        <f>IFERROR(_xlfn.PERCENTILE.INC('03月度面板'!$I$4:$I$8,0.5),PERCENTILE('03月度面板'!$I$4:$I$8,0.5))</f>
        <v/>
      </c>
      <c r="L11" s="17">
        <f>IFERROR(_xlfn.PERCENTILE.INC('03月度面板'!$I$4:$I$8,0.75),PERCENTILE('03月度面板'!$I$4:$I$8,0.75))</f>
        <v/>
      </c>
      <c r="M11" s="17">
        <f>IFERROR(_xlfn.PERCENTILE.INC('03月度面板'!$I$4:$I$8,0.9),PERCENTILE('03月度面板'!$I$4:$I$8,0.9))</f>
        <v/>
      </c>
      <c r="N11" s="17">
        <f>IFERROR(J11-I11,"")</f>
        <v/>
      </c>
      <c r="O11" s="17">
        <f>IFERROR(M11-I11,"")</f>
        <v/>
      </c>
      <c r="P11" s="18">
        <f>IFERROR(F11/D11,"")</f>
        <v/>
      </c>
      <c r="Q11" s="16">
        <f>IFERROR(D11-E11,"")</f>
        <v/>
      </c>
      <c r="R11" s="18">
        <f>IFERROR(D11/E11,"")</f>
        <v/>
      </c>
      <c r="S11" t="inlineStr">
        <is>
          <t>否</t>
        </is>
      </c>
      <c r="T11" t="inlineStr">
        <is>
          <t>—</t>
        </is>
      </c>
      <c r="U11" t="inlineStr">
        <is>
          <t>2022, 2023, 2024, 2025, 2026</t>
        </is>
      </c>
    </row>
    <row r="12">
      <c r="A12" t="n">
        <v>9</v>
      </c>
      <c r="B12" t="inlineStr">
        <is>
          <t>09月</t>
        </is>
      </c>
      <c r="C12">
        <f>COUNT('03月度面板'!$J$4:$J$8)</f>
        <v/>
      </c>
      <c r="D12" s="16">
        <f>IFERROR(AVERAGE('03月度面板'!$J$4:$J$8),"")</f>
        <v/>
      </c>
      <c r="E12" s="16">
        <f>IFERROR(MEDIAN('03月度面板'!$J$4:$J$8),"")</f>
        <v/>
      </c>
      <c r="F12" s="16">
        <f>IFERROR(STDEV('03月度面板'!$J$4:$J$8),"")</f>
        <v/>
      </c>
      <c r="G12" s="16">
        <f>IFERROR(MIN('03月度面板'!$J$4:$J$8),"")</f>
        <v/>
      </c>
      <c r="H12" s="16">
        <f>IFERROR(MAX('03月度面板'!$J$4:$J$8),"")</f>
        <v/>
      </c>
      <c r="I12" s="17">
        <f>IFERROR(_xlfn.PERCENTILE.INC('03月度面板'!$J$4:$J$8,0.1),PERCENTILE('03月度面板'!$J$4:$J$8,0.1))</f>
        <v/>
      </c>
      <c r="J12" s="17">
        <f>IFERROR(_xlfn.PERCENTILE.INC('03月度面板'!$J$4:$J$8,0.25),PERCENTILE('03月度面板'!$J$4:$J$8,0.25))</f>
        <v/>
      </c>
      <c r="K12" s="17">
        <f>IFERROR(_xlfn.PERCENTILE.INC('03月度面板'!$J$4:$J$8,0.5),PERCENTILE('03月度面板'!$J$4:$J$8,0.5))</f>
        <v/>
      </c>
      <c r="L12" s="17">
        <f>IFERROR(_xlfn.PERCENTILE.INC('03月度面板'!$J$4:$J$8,0.75),PERCENTILE('03月度面板'!$J$4:$J$8,0.75))</f>
        <v/>
      </c>
      <c r="M12" s="17">
        <f>IFERROR(_xlfn.PERCENTILE.INC('03月度面板'!$J$4:$J$8,0.9),PERCENTILE('03月度面板'!$J$4:$J$8,0.9))</f>
        <v/>
      </c>
      <c r="N12" s="17">
        <f>IFERROR(J12-I12,"")</f>
        <v/>
      </c>
      <c r="O12" s="17">
        <f>IFERROR(M12-I12,"")</f>
        <v/>
      </c>
      <c r="P12" s="18">
        <f>IFERROR(F12/D12,"")</f>
        <v/>
      </c>
      <c r="Q12" s="16">
        <f>IFERROR(D12-E12,"")</f>
        <v/>
      </c>
      <c r="R12" s="18">
        <f>IFERROR(D12/E12,"")</f>
        <v/>
      </c>
      <c r="S12" t="inlineStr">
        <is>
          <t>否</t>
        </is>
      </c>
      <c r="T12" t="inlineStr">
        <is>
          <t>—</t>
        </is>
      </c>
      <c r="U12" t="inlineStr">
        <is>
          <t>2022, 2023, 2024, 2025, 2026</t>
        </is>
      </c>
    </row>
    <row r="13">
      <c r="A13" t="n">
        <v>10</v>
      </c>
      <c r="B13" t="inlineStr">
        <is>
          <t>10月</t>
        </is>
      </c>
      <c r="C13">
        <f>COUNT('03月度面板'!$K$4:$K$8)</f>
        <v/>
      </c>
      <c r="D13" s="16">
        <f>IFERROR(AVERAGE('03月度面板'!$K$4:$K$8),"")</f>
        <v/>
      </c>
      <c r="E13" s="16">
        <f>IFERROR(MEDIAN('03月度面板'!$K$4:$K$8),"")</f>
        <v/>
      </c>
      <c r="F13" s="16">
        <f>IFERROR(STDEV('03月度面板'!$K$4:$K$8),"")</f>
        <v/>
      </c>
      <c r="G13" s="16">
        <f>IFERROR(MIN('03月度面板'!$K$4:$K$8),"")</f>
        <v/>
      </c>
      <c r="H13" s="16">
        <f>IFERROR(MAX('03月度面板'!$K$4:$K$8),"")</f>
        <v/>
      </c>
      <c r="I13" s="17">
        <f>IFERROR(_xlfn.PERCENTILE.INC('03月度面板'!$K$4:$K$8,0.1),PERCENTILE('03月度面板'!$K$4:$K$8,0.1))</f>
        <v/>
      </c>
      <c r="J13" s="17">
        <f>IFERROR(_xlfn.PERCENTILE.INC('03月度面板'!$K$4:$K$8,0.25),PERCENTILE('03月度面板'!$K$4:$K$8,0.25))</f>
        <v/>
      </c>
      <c r="K13" s="17">
        <f>IFERROR(_xlfn.PERCENTILE.INC('03月度面板'!$K$4:$K$8,0.5),PERCENTILE('03月度面板'!$K$4:$K$8,0.5))</f>
        <v/>
      </c>
      <c r="L13" s="17">
        <f>IFERROR(_xlfn.PERCENTILE.INC('03月度面板'!$K$4:$K$8,0.75),PERCENTILE('03月度面板'!$K$4:$K$8,0.75))</f>
        <v/>
      </c>
      <c r="M13" s="17">
        <f>IFERROR(_xlfn.PERCENTILE.INC('03月度面板'!$K$4:$K$8,0.9),PERCENTILE('03月度面板'!$K$4:$K$8,0.9))</f>
        <v/>
      </c>
      <c r="N13" s="17">
        <f>IFERROR(J13-I13,"")</f>
        <v/>
      </c>
      <c r="O13" s="17">
        <f>IFERROR(M13-I13,"")</f>
        <v/>
      </c>
      <c r="P13" s="18">
        <f>IFERROR(F13/D13,"")</f>
        <v/>
      </c>
      <c r="Q13" s="16">
        <f>IFERROR(D13-E13,"")</f>
        <v/>
      </c>
      <c r="R13" s="18">
        <f>IFERROR(D13/E13,"")</f>
        <v/>
      </c>
      <c r="S13" t="inlineStr">
        <is>
          <t>否</t>
        </is>
      </c>
      <c r="T13" t="inlineStr">
        <is>
          <t>—</t>
        </is>
      </c>
      <c r="U13" t="inlineStr">
        <is>
          <t>2022, 2023, 2024, 2025, 2026</t>
        </is>
      </c>
    </row>
    <row r="14">
      <c r="A14" t="n">
        <v>11</v>
      </c>
      <c r="B14" t="inlineStr">
        <is>
          <t>11月</t>
        </is>
      </c>
      <c r="C14">
        <f>COUNT('03月度面板'!$L$4:$L$8)</f>
        <v/>
      </c>
      <c r="D14" s="16">
        <f>IFERROR(AVERAGE('03月度面板'!$L$4:$L$8),"")</f>
        <v/>
      </c>
      <c r="E14" s="16">
        <f>IFERROR(MEDIAN('03月度面板'!$L$4:$L$8),"")</f>
        <v/>
      </c>
      <c r="F14" s="16">
        <f>IFERROR(STDEV('03月度面板'!$L$4:$L$8),"")</f>
        <v/>
      </c>
      <c r="G14" s="16">
        <f>IFERROR(MIN('03月度面板'!$L$4:$L$8),"")</f>
        <v/>
      </c>
      <c r="H14" s="16">
        <f>IFERROR(MAX('03月度面板'!$L$4:$L$8),"")</f>
        <v/>
      </c>
      <c r="I14" s="17">
        <f>IFERROR(_xlfn.PERCENTILE.INC('03月度面板'!$L$4:$L$8,0.1),PERCENTILE('03月度面板'!$L$4:$L$8,0.1))</f>
        <v/>
      </c>
      <c r="J14" s="17">
        <f>IFERROR(_xlfn.PERCENTILE.INC('03月度面板'!$L$4:$L$8,0.25),PERCENTILE('03月度面板'!$L$4:$L$8,0.25))</f>
        <v/>
      </c>
      <c r="K14" s="17">
        <f>IFERROR(_xlfn.PERCENTILE.INC('03月度面板'!$L$4:$L$8,0.5),PERCENTILE('03月度面板'!$L$4:$L$8,0.5))</f>
        <v/>
      </c>
      <c r="L14" s="17">
        <f>IFERROR(_xlfn.PERCENTILE.INC('03月度面板'!$L$4:$L$8,0.75),PERCENTILE('03月度面板'!$L$4:$L$8,0.75))</f>
        <v/>
      </c>
      <c r="M14" s="17">
        <f>IFERROR(_xlfn.PERCENTILE.INC('03月度面板'!$L$4:$L$8,0.9),PERCENTILE('03月度面板'!$L$4:$L$8,0.9))</f>
        <v/>
      </c>
      <c r="N14" s="17">
        <f>IFERROR(J14-I14,"")</f>
        <v/>
      </c>
      <c r="O14" s="17">
        <f>IFERROR(M14-I14,"")</f>
        <v/>
      </c>
      <c r="P14" s="18">
        <f>IFERROR(F14/D14,"")</f>
        <v/>
      </c>
      <c r="Q14" s="16">
        <f>IFERROR(D14-E14,"")</f>
        <v/>
      </c>
      <c r="R14" s="18">
        <f>IFERROR(D14/E14,"")</f>
        <v/>
      </c>
      <c r="S14" t="inlineStr">
        <is>
          <t>否</t>
        </is>
      </c>
      <c r="T14" t="inlineStr">
        <is>
          <t>2026</t>
        </is>
      </c>
      <c r="U14" t="inlineStr">
        <is>
          <t>2022, 2023, 2024, 2025</t>
        </is>
      </c>
    </row>
    <row r="15">
      <c r="A15" t="n">
        <v>12</v>
      </c>
      <c r="B15" t="inlineStr">
        <is>
          <t>12月</t>
        </is>
      </c>
      <c r="C15">
        <f>COUNT('03月度面板'!$M$4:$M$8)</f>
        <v/>
      </c>
      <c r="D15" s="16">
        <f>IFERROR(AVERAGE('03月度面板'!$M$4:$M$8),"")</f>
        <v/>
      </c>
      <c r="E15" s="16">
        <f>IFERROR(MEDIAN('03月度面板'!$M$4:$M$8),"")</f>
        <v/>
      </c>
      <c r="F15" s="16">
        <f>IFERROR(STDEV('03月度面板'!$M$4:$M$8),"")</f>
        <v/>
      </c>
      <c r="G15" s="16">
        <f>IFERROR(MIN('03月度面板'!$M$4:$M$8),"")</f>
        <v/>
      </c>
      <c r="H15" s="16">
        <f>IFERROR(MAX('03月度面板'!$M$4:$M$8),"")</f>
        <v/>
      </c>
      <c r="I15" s="17">
        <f>IFERROR(_xlfn.PERCENTILE.INC('03月度面板'!$M$4:$M$8,0.1),PERCENTILE('03月度面板'!$M$4:$M$8,0.1))</f>
        <v/>
      </c>
      <c r="J15" s="17">
        <f>IFERROR(_xlfn.PERCENTILE.INC('03月度面板'!$M$4:$M$8,0.25),PERCENTILE('03月度面板'!$M$4:$M$8,0.25))</f>
        <v/>
      </c>
      <c r="K15" s="17">
        <f>IFERROR(_xlfn.PERCENTILE.INC('03月度面板'!$M$4:$M$8,0.5),PERCENTILE('03月度面板'!$M$4:$M$8,0.5))</f>
        <v/>
      </c>
      <c r="L15" s="17">
        <f>IFERROR(_xlfn.PERCENTILE.INC('03月度面板'!$M$4:$M$8,0.75),PERCENTILE('03月度面板'!$M$4:$M$8,0.75))</f>
        <v/>
      </c>
      <c r="M15" s="17">
        <f>IFERROR(_xlfn.PERCENTILE.INC('03月度面板'!$M$4:$M$8,0.9),PERCENTILE('03月度面板'!$M$4:$M$8,0.9))</f>
        <v/>
      </c>
      <c r="N15" s="17">
        <f>IFERROR(J15-I15,"")</f>
        <v/>
      </c>
      <c r="O15" s="17">
        <f>IFERROR(M15-I15,"")</f>
        <v/>
      </c>
      <c r="P15" s="18">
        <f>IFERROR(F15/D15,"")</f>
        <v/>
      </c>
      <c r="Q15" s="16">
        <f>IFERROR(D15-E15,"")</f>
        <v/>
      </c>
      <c r="R15" s="18">
        <f>IFERROR(D15/E15,"")</f>
        <v/>
      </c>
      <c r="S15" t="inlineStr">
        <is>
          <t>否</t>
        </is>
      </c>
      <c r="T15" t="inlineStr">
        <is>
          <t>2026</t>
        </is>
      </c>
      <c r="U15" t="inlineStr">
        <is>
          <t>2022, 2023, 2024, 2025</t>
        </is>
      </c>
    </row>
    <row r="17">
      <c r="A17" s="2" t="inlineStr">
        <is>
          <t>说明：本表统计列为活公式，直接引用「03月度面板」面板；修改面板后按 F9 即复算。PERCENTILE.INC 与 numpy 默认 linear 插值、R type 7 完全等价。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0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</cols>
  <sheetData>
    <row r="1" ht="22" customHeight="1">
      <c r="A1" s="1" t="inlineStr">
        <is>
          <t>07 年初归一化面板（该年窗口首个有效观测 = 100）</t>
        </is>
      </c>
    </row>
    <row r="2">
      <c r="A2" s="2" t="inlineStr">
        <is>
          <t>把"年份价格水平不同"从形态里剥离，只看年内节奏；百分比口径</t>
        </is>
      </c>
    </row>
    <row r="3" ht="24" customHeight="1">
      <c r="A3" s="6" t="inlineStr">
        <is>
          <t>年份</t>
        </is>
      </c>
      <c r="B3" s="6" t="inlineStr">
        <is>
          <t>基期位置</t>
        </is>
      </c>
      <c r="C3" s="6" t="inlineStr">
        <is>
          <t>基期日期</t>
        </is>
      </c>
      <c r="D3" s="6" t="inlineStr">
        <is>
          <t>基期价格</t>
        </is>
      </c>
      <c r="E3" s="6" t="inlineStr">
        <is>
          <t>W01</t>
        </is>
      </c>
      <c r="F3" s="6" t="inlineStr">
        <is>
          <t>W02</t>
        </is>
      </c>
      <c r="G3" s="6" t="inlineStr">
        <is>
          <t>W03</t>
        </is>
      </c>
      <c r="H3" s="6" t="inlineStr">
        <is>
          <t>W04</t>
        </is>
      </c>
      <c r="I3" s="6" t="inlineStr">
        <is>
          <t>W05</t>
        </is>
      </c>
      <c r="J3" s="6" t="inlineStr">
        <is>
          <t>W06</t>
        </is>
      </c>
      <c r="K3" s="6" t="inlineStr">
        <is>
          <t>W07</t>
        </is>
      </c>
      <c r="L3" s="6" t="inlineStr">
        <is>
          <t>W08</t>
        </is>
      </c>
      <c r="M3" s="6" t="inlineStr">
        <is>
          <t>W09</t>
        </is>
      </c>
      <c r="N3" s="6" t="inlineStr">
        <is>
          <t>W10</t>
        </is>
      </c>
      <c r="O3" s="6" t="inlineStr">
        <is>
          <t>W11</t>
        </is>
      </c>
      <c r="P3" s="6" t="inlineStr">
        <is>
          <t>W12</t>
        </is>
      </c>
      <c r="Q3" s="6" t="inlineStr">
        <is>
          <t>W13</t>
        </is>
      </c>
      <c r="R3" s="6" t="inlineStr">
        <is>
          <t>W14</t>
        </is>
      </c>
      <c r="S3" s="6" t="inlineStr">
        <is>
          <t>W15</t>
        </is>
      </c>
      <c r="T3" s="6" t="inlineStr">
        <is>
          <t>W16</t>
        </is>
      </c>
      <c r="U3" s="6" t="inlineStr">
        <is>
          <t>W17</t>
        </is>
      </c>
      <c r="V3" s="6" t="inlineStr">
        <is>
          <t>W18</t>
        </is>
      </c>
      <c r="W3" s="6" t="inlineStr">
        <is>
          <t>W19</t>
        </is>
      </c>
      <c r="X3" s="6" t="inlineStr">
        <is>
          <t>W20</t>
        </is>
      </c>
      <c r="Y3" s="6" t="inlineStr">
        <is>
          <t>W21</t>
        </is>
      </c>
      <c r="Z3" s="6" t="inlineStr">
        <is>
          <t>W22</t>
        </is>
      </c>
      <c r="AA3" s="6" t="inlineStr">
        <is>
          <t>W23</t>
        </is>
      </c>
      <c r="AB3" s="6" t="inlineStr">
        <is>
          <t>W24</t>
        </is>
      </c>
      <c r="AC3" s="6" t="inlineStr">
        <is>
          <t>W25</t>
        </is>
      </c>
      <c r="AD3" s="6" t="inlineStr">
        <is>
          <t>W26</t>
        </is>
      </c>
      <c r="AE3" s="6" t="inlineStr">
        <is>
          <t>W27</t>
        </is>
      </c>
      <c r="AF3" s="6" t="inlineStr">
        <is>
          <t>W28</t>
        </is>
      </c>
      <c r="AG3" s="6" t="inlineStr">
        <is>
          <t>W29</t>
        </is>
      </c>
      <c r="AH3" s="6" t="inlineStr">
        <is>
          <t>W30</t>
        </is>
      </c>
      <c r="AI3" s="6" t="inlineStr">
        <is>
          <t>W31</t>
        </is>
      </c>
      <c r="AJ3" s="6" t="inlineStr">
        <is>
          <t>W32</t>
        </is>
      </c>
      <c r="AK3" s="6" t="inlineStr">
        <is>
          <t>W33</t>
        </is>
      </c>
      <c r="AL3" s="6" t="inlineStr">
        <is>
          <t>W34</t>
        </is>
      </c>
      <c r="AM3" s="6" t="inlineStr">
        <is>
          <t>W35</t>
        </is>
      </c>
      <c r="AN3" s="6" t="inlineStr">
        <is>
          <t>W36</t>
        </is>
      </c>
      <c r="AO3" s="6" t="inlineStr">
        <is>
          <t>W37</t>
        </is>
      </c>
      <c r="AP3" s="6" t="inlineStr">
        <is>
          <t>W38</t>
        </is>
      </c>
      <c r="AQ3" s="6" t="inlineStr">
        <is>
          <t>W39</t>
        </is>
      </c>
      <c r="AR3" s="6" t="inlineStr">
        <is>
          <t>W40</t>
        </is>
      </c>
      <c r="AS3" s="6" t="inlineStr">
        <is>
          <t>W41</t>
        </is>
      </c>
      <c r="AT3" s="6" t="inlineStr">
        <is>
          <t>W42</t>
        </is>
      </c>
      <c r="AU3" s="6" t="inlineStr">
        <is>
          <t>W43</t>
        </is>
      </c>
      <c r="AV3" s="6" t="inlineStr">
        <is>
          <t>W44</t>
        </is>
      </c>
      <c r="AW3" s="6" t="inlineStr">
        <is>
          <t>W45</t>
        </is>
      </c>
      <c r="AX3" s="6" t="inlineStr">
        <is>
          <t>W46</t>
        </is>
      </c>
      <c r="AY3" s="6" t="inlineStr">
        <is>
          <t>W47</t>
        </is>
      </c>
      <c r="AZ3" s="6" t="inlineStr">
        <is>
          <t>W48</t>
        </is>
      </c>
      <c r="BA3" s="6" t="inlineStr">
        <is>
          <t>W49</t>
        </is>
      </c>
      <c r="BB3" s="6" t="inlineStr">
        <is>
          <t>W50</t>
        </is>
      </c>
      <c r="BC3" s="6" t="inlineStr">
        <is>
          <t>W51</t>
        </is>
      </c>
      <c r="BD3" s="6" t="inlineStr">
        <is>
          <t>W52</t>
        </is>
      </c>
    </row>
    <row r="4">
      <c r="A4" s="10" t="n">
        <v>2022</v>
      </c>
      <c r="B4" t="n">
        <v>33</v>
      </c>
      <c r="C4" t="inlineStr">
        <is>
          <t>2022-08-17</t>
        </is>
      </c>
      <c r="D4" t="n">
        <v>2438.75</v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>
        <v>100</v>
      </c>
      <c r="AL4" s="19" t="n">
        <v>105.3306</v>
      </c>
      <c r="AM4" s="19" t="n">
        <v>104.7155</v>
      </c>
      <c r="AN4" s="19" t="n">
        <v>111.225</v>
      </c>
      <c r="AO4" s="19" t="n">
        <v>113.5828</v>
      </c>
      <c r="AP4" s="19" t="n">
        <v>113.4188</v>
      </c>
      <c r="AQ4" s="19" t="n">
        <v>123.5264</v>
      </c>
      <c r="AR4" s="19" t="n">
        <v>127.3193</v>
      </c>
      <c r="AS4" s="19" t="n">
        <v>117.3757</v>
      </c>
      <c r="AT4" s="19" t="n">
        <v>118.6674</v>
      </c>
      <c r="AU4" s="19" t="n">
        <v>114.8129</v>
      </c>
      <c r="AV4" s="19" t="n">
        <v>116.9042</v>
      </c>
      <c r="AW4" s="19" t="n">
        <v>110.3709</v>
      </c>
      <c r="AX4" s="19" t="n">
        <v>114.8129</v>
      </c>
      <c r="AY4" s="19" t="n">
        <v>114.2319</v>
      </c>
      <c r="AZ4" s="19" t="n">
        <v>109.9608</v>
      </c>
      <c r="BA4" s="19" t="n">
        <v>107.9106</v>
      </c>
      <c r="BB4" s="19" t="n">
        <v>109.8239</v>
      </c>
      <c r="BC4" s="19" t="n">
        <v>106.612</v>
      </c>
      <c r="BD4" s="19" t="n">
        <v>107.9106</v>
      </c>
    </row>
    <row r="5">
      <c r="A5" s="10" t="n">
        <v>2023</v>
      </c>
      <c r="B5" t="n">
        <v>1</v>
      </c>
      <c r="C5" t="inlineStr">
        <is>
          <t>2023-01-02</t>
        </is>
      </c>
      <c r="D5" t="n">
        <v>2671.67</v>
      </c>
      <c r="E5" s="19" t="n">
        <v>100</v>
      </c>
      <c r="F5" s="19" t="n">
        <v>98.6585</v>
      </c>
      <c r="G5" s="19" t="n">
        <v>100.6861</v>
      </c>
      <c r="H5" s="19" t="n">
        <v>100.6861</v>
      </c>
      <c r="I5" s="19" t="n">
        <v>101.9336</v>
      </c>
      <c r="J5" s="19" t="n">
        <v>101.4882</v>
      </c>
      <c r="K5" s="19" t="n">
        <v>101.4882</v>
      </c>
      <c r="L5" s="19" t="n">
        <v>103.3997</v>
      </c>
      <c r="M5" s="19" t="n">
        <v>101.1229</v>
      </c>
      <c r="N5" s="19" t="n">
        <v>98.7521</v>
      </c>
      <c r="O5" s="19" t="n">
        <v>96.4127</v>
      </c>
      <c r="P5" s="19" t="n">
        <v>97.6917</v>
      </c>
      <c r="Q5" s="19" t="n">
        <v>95.19629999999999</v>
      </c>
      <c r="R5" s="19" t="n">
        <v>92.5762</v>
      </c>
      <c r="S5" s="19" t="n">
        <v>92.514</v>
      </c>
      <c r="T5" s="19" t="n">
        <v>95.44589999999999</v>
      </c>
      <c r="U5" s="19" t="n">
        <v>93.13760000000001</v>
      </c>
      <c r="V5" s="19" t="n">
        <v>90.2683</v>
      </c>
      <c r="W5" s="19" t="n">
        <v>88.3343</v>
      </c>
      <c r="X5" s="19" t="n">
        <v>87.7103</v>
      </c>
      <c r="Y5" s="19" t="n">
        <v>79.9436</v>
      </c>
      <c r="Z5" s="19" t="n">
        <v>80.91079999999999</v>
      </c>
      <c r="AA5" s="19" t="n">
        <v>78.07210000000001</v>
      </c>
      <c r="AB5" s="19" t="n">
        <v>77.1053</v>
      </c>
      <c r="AC5" s="19" t="n">
        <v>78.2907</v>
      </c>
      <c r="AD5" s="19" t="n">
        <v>80.91079999999999</v>
      </c>
      <c r="AE5" s="19" t="n">
        <v>80.6922</v>
      </c>
      <c r="AF5" s="19" t="n">
        <v>84.217</v>
      </c>
      <c r="AG5" s="19" t="n">
        <v>84.0609</v>
      </c>
      <c r="AH5" s="19" t="n">
        <v>84.24809999999999</v>
      </c>
      <c r="AI5" s="19" t="n">
        <v>87.2424</v>
      </c>
      <c r="AJ5" s="19" t="n">
        <v>88.5839</v>
      </c>
      <c r="AK5" s="19" t="n">
        <v>88.1782</v>
      </c>
      <c r="AL5" s="19" t="n">
        <v>91.9212</v>
      </c>
      <c r="AM5" s="19" t="n">
        <v>94.5102</v>
      </c>
      <c r="AN5" s="19" t="n">
        <v>93.54340000000001</v>
      </c>
      <c r="AO5" s="19" t="n">
        <v>94.6037</v>
      </c>
      <c r="AP5" s="19" t="n">
        <v>95.0406</v>
      </c>
      <c r="AQ5" s="19" t="n">
        <v>92.7633</v>
      </c>
      <c r="AR5" s="19" t="n">
        <v>92.7633</v>
      </c>
      <c r="AS5" s="19" t="n">
        <v>92.8258</v>
      </c>
      <c r="AT5" s="19" t="n">
        <v>91.7029</v>
      </c>
      <c r="AU5" s="19" t="n">
        <v>90.9543</v>
      </c>
      <c r="AV5" s="19" t="n">
        <v>90.2058</v>
      </c>
      <c r="AW5" s="19" t="n">
        <v>93.79259999999999</v>
      </c>
      <c r="AX5" s="19" t="n">
        <v>93.4183</v>
      </c>
      <c r="AY5" s="19" t="n">
        <v>88.55249999999999</v>
      </c>
      <c r="AZ5" s="19" t="n">
        <v>93.9798</v>
      </c>
      <c r="BA5" s="19" t="n">
        <v>91.8901</v>
      </c>
      <c r="BB5" s="19" t="n">
        <v>90.61109999999999</v>
      </c>
      <c r="BC5" s="19" t="n">
        <v>93.0441</v>
      </c>
      <c r="BD5" s="19" t="n">
        <v>91.9526</v>
      </c>
    </row>
    <row r="6">
      <c r="A6" s="10" t="n">
        <v>2024</v>
      </c>
      <c r="B6" t="n">
        <v>1</v>
      </c>
      <c r="C6" t="inlineStr">
        <is>
          <t>2024-01-01</t>
        </is>
      </c>
      <c r="D6" t="n">
        <v>2414.17</v>
      </c>
      <c r="E6" s="19" t="n">
        <v>100</v>
      </c>
      <c r="F6" s="19" t="n">
        <v>100.0688</v>
      </c>
      <c r="G6" s="19" t="n">
        <v>101.3806</v>
      </c>
      <c r="H6" s="19" t="n">
        <v>108.3532</v>
      </c>
      <c r="I6" s="19" t="n">
        <v>106.1098</v>
      </c>
      <c r="J6" s="19" t="n">
        <v>109.3544</v>
      </c>
      <c r="K6" s="19" t="n">
        <v>109.3544</v>
      </c>
      <c r="L6" s="19" t="n">
        <v>109.1816</v>
      </c>
      <c r="M6" s="19" t="n">
        <v>113.0823</v>
      </c>
      <c r="N6" s="19" t="n">
        <v>112.3231</v>
      </c>
      <c r="O6" s="19" t="n">
        <v>112.2539</v>
      </c>
      <c r="P6" s="19" t="n">
        <v>111.2527</v>
      </c>
      <c r="Q6" s="19" t="n">
        <v>107.007</v>
      </c>
      <c r="R6" s="19" t="n">
        <v>108.1117</v>
      </c>
      <c r="S6" s="19" t="n">
        <v>106.869</v>
      </c>
      <c r="T6" s="19" t="n">
        <v>111.4946</v>
      </c>
      <c r="U6" s="19" t="n">
        <v>108.1809</v>
      </c>
      <c r="V6" s="19" t="n">
        <v>109.8377</v>
      </c>
      <c r="W6" s="19" t="n">
        <v>110.597</v>
      </c>
      <c r="X6" s="19" t="n">
        <v>118.6399</v>
      </c>
      <c r="Y6" s="19" t="n">
        <v>114.2558</v>
      </c>
      <c r="Z6" s="19" t="n">
        <v>115.9819</v>
      </c>
      <c r="AA6" s="19" t="n">
        <v>108.5259</v>
      </c>
      <c r="AB6" s="19" t="n">
        <v>106.0406</v>
      </c>
      <c r="AC6" s="19" t="n">
        <v>104.66</v>
      </c>
      <c r="AD6" s="19" t="n">
        <v>104.7979</v>
      </c>
      <c r="AE6" s="19" t="n">
        <v>105.2121</v>
      </c>
      <c r="AF6" s="19" t="n">
        <v>105.6264</v>
      </c>
      <c r="AG6" s="19" t="n">
        <v>104.6252</v>
      </c>
      <c r="AH6" s="19" t="n">
        <v>103.9695</v>
      </c>
      <c r="AI6" s="19" t="n">
        <v>103.9695</v>
      </c>
      <c r="AJ6" s="19" t="n">
        <v>102.3818</v>
      </c>
      <c r="AK6" s="19" t="n">
        <v>99.8964</v>
      </c>
      <c r="AL6" s="19" t="n">
        <v>102.796</v>
      </c>
      <c r="AM6" s="19" t="n">
        <v>103.3825</v>
      </c>
      <c r="AN6" s="19" t="n">
        <v>98.8261</v>
      </c>
      <c r="AO6" s="19" t="n">
        <v>99.6545</v>
      </c>
      <c r="AP6" s="19" t="n">
        <v>101.0699</v>
      </c>
      <c r="AQ6" s="19" t="n">
        <v>101.1043</v>
      </c>
      <c r="AR6" s="19" t="n">
        <v>106.7655</v>
      </c>
      <c r="AS6" s="19" t="n">
        <v>103.7968</v>
      </c>
      <c r="AT6" s="19" t="n">
        <v>101.7604</v>
      </c>
      <c r="AU6" s="19" t="n">
        <v>101.0699</v>
      </c>
      <c r="AV6" s="19" t="n">
        <v>102.9339</v>
      </c>
      <c r="AW6" s="19" t="n">
        <v>103.5209</v>
      </c>
      <c r="AX6" s="19" t="n">
        <v>102.5197</v>
      </c>
      <c r="AY6" s="19" t="n">
        <v>105.6264</v>
      </c>
      <c r="AZ6" s="19" t="n">
        <v>105.143</v>
      </c>
      <c r="BA6" s="19" t="n">
        <v>102.8304</v>
      </c>
      <c r="BB6" s="19" t="n">
        <v>107.5247</v>
      </c>
      <c r="BC6" s="19" t="n">
        <v>108.733</v>
      </c>
      <c r="BD6" s="19" t="n">
        <v>113.9108</v>
      </c>
    </row>
    <row r="7">
      <c r="A7" s="10" t="n">
        <v>2025</v>
      </c>
      <c r="B7" t="n">
        <v>1</v>
      </c>
      <c r="C7" t="inlineStr">
        <is>
          <t>2024-12-30</t>
        </is>
      </c>
      <c r="D7" t="n">
        <v>2779.17</v>
      </c>
      <c r="E7" s="19" t="n">
        <v>100</v>
      </c>
      <c r="F7" s="19" t="n">
        <v>96.22190000000001</v>
      </c>
      <c r="G7" s="19" t="n">
        <v>97.5111</v>
      </c>
      <c r="H7" s="19" t="n">
        <v>94.6326</v>
      </c>
      <c r="I7" s="19" t="n">
        <v>94.84229999999999</v>
      </c>
      <c r="J7" s="19" t="n">
        <v>95.3522</v>
      </c>
      <c r="K7" s="19" t="n">
        <v>93.7032</v>
      </c>
      <c r="L7" s="19" t="n">
        <v>93.3732</v>
      </c>
      <c r="M7" s="19" t="n">
        <v>94.7826</v>
      </c>
      <c r="N7" s="19" t="n">
        <v>95.3223</v>
      </c>
      <c r="O7" s="19" t="n">
        <v>94.57250000000001</v>
      </c>
      <c r="P7" s="19" t="n">
        <v>96.9415</v>
      </c>
      <c r="Q7" s="19" t="n">
        <v>96.7915</v>
      </c>
      <c r="R7" s="19" t="n">
        <v>91.754</v>
      </c>
      <c r="S7" s="19" t="n">
        <v>91.30419999999999</v>
      </c>
      <c r="T7" s="19" t="n">
        <v>86.49169999999999</v>
      </c>
      <c r="U7" s="19" t="n">
        <v>87.07640000000001</v>
      </c>
      <c r="V7" s="19" t="n">
        <v>87.79600000000001</v>
      </c>
      <c r="W7" s="19" t="n">
        <v>85.9969</v>
      </c>
      <c r="X7" s="19" t="n">
        <v>87.30119999999999</v>
      </c>
      <c r="Y7" s="19" t="n">
        <v>83.20829999999999</v>
      </c>
      <c r="Z7" s="19" t="n">
        <v>80.8515</v>
      </c>
      <c r="AA7" s="19" t="n">
        <v>82.8305</v>
      </c>
      <c r="AB7" s="19" t="n">
        <v>84.9894</v>
      </c>
      <c r="AC7" s="19" t="n">
        <v>99.4542</v>
      </c>
      <c r="AD7" s="19" t="n">
        <v>98.9803</v>
      </c>
      <c r="AE7" s="19" t="n">
        <v>89.02549999999999</v>
      </c>
      <c r="AF7" s="19" t="n">
        <v>86.2668</v>
      </c>
      <c r="AG7" s="19" t="n">
        <v>86.057</v>
      </c>
      <c r="AH7" s="19" t="n">
        <v>88.4858</v>
      </c>
      <c r="AI7" s="19" t="n">
        <v>86.11669999999999</v>
      </c>
      <c r="AJ7" s="19" t="n">
        <v>85.6669</v>
      </c>
      <c r="AK7" s="19" t="n">
        <v>84.4378</v>
      </c>
      <c r="AL7" s="19" t="n">
        <v>83.0762</v>
      </c>
      <c r="AM7" s="19" t="n">
        <v>80.8094</v>
      </c>
      <c r="AN7" s="19" t="n">
        <v>80.8094</v>
      </c>
      <c r="AO7" s="19" t="n">
        <v>82.39870000000001</v>
      </c>
      <c r="AP7" s="19" t="n">
        <v>81.3793</v>
      </c>
      <c r="AQ7" s="19" t="n">
        <v>81.09439999999999</v>
      </c>
      <c r="AR7" s="19" t="n">
        <v>80.50960000000001</v>
      </c>
      <c r="AS7" s="19" t="n">
        <v>80.3297</v>
      </c>
      <c r="AT7" s="19" t="n">
        <v>83.6221</v>
      </c>
      <c r="AU7" s="19" t="n">
        <v>81.17529999999999</v>
      </c>
      <c r="AV7" s="19" t="n">
        <v>78.2968</v>
      </c>
      <c r="AW7" s="19" t="n">
        <v>75.4182</v>
      </c>
      <c r="AX7" s="19" t="n">
        <v>74.7705</v>
      </c>
      <c r="AY7" s="19" t="n">
        <v>72.0359</v>
      </c>
      <c r="AZ7" s="19" t="n">
        <v>75.6819</v>
      </c>
      <c r="BA7" s="19" t="n">
        <v>75.5621</v>
      </c>
      <c r="BB7" s="19" t="n">
        <v>75.7122</v>
      </c>
      <c r="BC7" s="19" t="n">
        <v>77.6311</v>
      </c>
      <c r="BD7" s="19" t="n">
        <v>77.3612</v>
      </c>
    </row>
    <row r="8">
      <c r="A8" s="10" t="n">
        <v>2026</v>
      </c>
      <c r="B8" t="n">
        <v>1</v>
      </c>
      <c r="C8" t="inlineStr">
        <is>
          <t>2025-12-29</t>
        </is>
      </c>
      <c r="D8" t="n">
        <v>2207.5</v>
      </c>
      <c r="E8" s="20" t="n">
        <v>100</v>
      </c>
      <c r="F8" s="20" t="n">
        <v>101.5099</v>
      </c>
      <c r="G8" s="20" t="n">
        <v>101.9629</v>
      </c>
      <c r="H8" s="20" t="n">
        <v>100.8304</v>
      </c>
      <c r="I8" s="20" t="n">
        <v>103.4732</v>
      </c>
      <c r="J8" s="20" t="n">
        <v>99.6602</v>
      </c>
      <c r="K8" s="20" t="n">
        <v>100.7928</v>
      </c>
      <c r="L8" s="20" t="n">
        <v>99.7359</v>
      </c>
      <c r="M8" s="20" t="n">
        <v>99.0183</v>
      </c>
      <c r="N8" s="20" t="n">
        <v>113.2503</v>
      </c>
      <c r="O8" s="20" t="n">
        <v>124.5753</v>
      </c>
      <c r="P8" s="20" t="n">
        <v>143.6014</v>
      </c>
      <c r="Q8" s="20" t="n">
        <v>148.8865</v>
      </c>
      <c r="R8" s="20" t="n">
        <v>151.6045</v>
      </c>
      <c r="S8" s="20" t="n">
        <v>153.4165</v>
      </c>
      <c r="T8" s="20" t="n">
        <v>153.7182</v>
      </c>
      <c r="U8" s="20" t="n">
        <v>147.5275</v>
      </c>
      <c r="V8" s="20" t="n">
        <v>149.3015</v>
      </c>
      <c r="W8" s="20" t="n">
        <v>143.6014</v>
      </c>
      <c r="X8" s="20" t="n">
        <v>140.4304</v>
      </c>
      <c r="Y8" s="20" t="n">
        <v>145.6775</v>
      </c>
      <c r="Z8" s="20" t="n">
        <v>141.7137</v>
      </c>
      <c r="AA8" s="20" t="n">
        <v>144.3565</v>
      </c>
      <c r="AB8" s="20" t="n">
        <v>155.908</v>
      </c>
      <c r="AC8" s="20" t="n">
        <v>132.1255</v>
      </c>
      <c r="AD8" s="20" t="n">
        <v>122.9142</v>
      </c>
      <c r="AE8" s="20" t="n">
        <v>115.3264</v>
      </c>
      <c r="AF8" s="20" t="n">
        <v>120.0453</v>
      </c>
      <c r="AG8" s="20" t="n">
        <v>120.3475</v>
      </c>
      <c r="AH8" s="20" t="n">
        <v>124.5753</v>
      </c>
      <c r="AI8" s="20" t="n">
        <v>120.7248</v>
      </c>
      <c r="AJ8" s="20" t="n">
        <v>114.6849</v>
      </c>
      <c r="AK8" s="20" t="n">
        <v>120.8757</v>
      </c>
      <c r="AL8" s="20" t="n">
        <v>130.2754</v>
      </c>
      <c r="AM8" s="20" t="n">
        <v>129.1429</v>
      </c>
      <c r="AN8" s="20" t="n">
        <v>151.7178</v>
      </c>
      <c r="AO8" s="20" t="n">
        <v>168.8186</v>
      </c>
      <c r="AP8" s="20" t="n">
        <v>182.5595</v>
      </c>
      <c r="AQ8" s="20" t="n">
        <v>186.1835</v>
      </c>
      <c r="AR8" s="20" t="n">
        <v>203.5484</v>
      </c>
      <c r="AS8" s="20" t="n">
        <v>214.4204</v>
      </c>
      <c r="AT8" s="20" t="n">
        <v>180.7475</v>
      </c>
      <c r="AU8" s="20" t="n">
        <v>179.6906</v>
      </c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2" customWidth="1" min="4" max="4"/>
    <col width="11" customWidth="1" min="5" max="5"/>
    <col width="11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  <col width="26" customWidth="1" min="12" max="12"/>
    <col width="40" customWidth="1" min="13" max="13"/>
  </cols>
  <sheetData>
    <row r="1" ht="22" customHeight="1">
      <c r="A1" s="1" t="inlineStr">
        <is>
          <t>08 当前年（2026）相对历史同期的位置</t>
        </is>
      </c>
    </row>
    <row r="2">
      <c r="A2" s="2" t="inlineStr">
        <is>
          <t>历史样本**不含当前年**；"历史分位"= 历史同期中小于当前值的比例（并列计 0.5）</t>
        </is>
      </c>
    </row>
    <row r="3" ht="28" customHeight="1">
      <c r="A3" s="6" t="inlineStr">
        <is>
          <t>位置</t>
        </is>
      </c>
      <c r="B3" s="6" t="inlineStr">
        <is>
          <t>标签</t>
        </is>
      </c>
      <c r="C3" s="6" t="inlineStr">
        <is>
          <t>当前值</t>
        </is>
      </c>
      <c r="D3" s="6" t="inlineStr">
        <is>
          <t>截止日</t>
        </is>
      </c>
      <c r="E3" s="6" t="inlineStr">
        <is>
          <t>历史均值</t>
        </is>
      </c>
      <c r="F3" s="6" t="inlineStr">
        <is>
          <t>历史中位</t>
        </is>
      </c>
      <c r="G3" s="6" t="inlineStr">
        <is>
          <t>历史分位</t>
        </is>
      </c>
      <c r="H3" s="6" t="inlineStr">
        <is>
          <t>排名</t>
        </is>
      </c>
      <c r="I3" s="6" t="inlineStr">
        <is>
          <t>样本年数</t>
        </is>
      </c>
      <c r="J3" s="6" t="inlineStr">
        <is>
          <t>z 分数</t>
        </is>
      </c>
      <c r="K3" s="6" t="inlineStr">
        <is>
          <t>距均值%</t>
        </is>
      </c>
      <c r="L3" s="6" t="inlineStr">
        <is>
          <t>历史年份</t>
        </is>
      </c>
      <c r="M3" s="6" t="inlineStr">
        <is>
          <t>历史同期值</t>
        </is>
      </c>
    </row>
    <row r="4">
      <c r="A4" s="7" t="n">
        <v>1</v>
      </c>
      <c r="B4" s="7" t="inlineStr">
        <is>
          <t>W01</t>
        </is>
      </c>
      <c r="C4" s="8" t="n">
        <v>2207.5</v>
      </c>
      <c r="D4" s="7" t="inlineStr">
        <is>
          <t>2026-01-02</t>
        </is>
      </c>
      <c r="E4" s="8" t="n">
        <v>2621.67</v>
      </c>
      <c r="F4" s="8" t="n">
        <v>2671.67</v>
      </c>
      <c r="G4" s="21" t="n">
        <v>0</v>
      </c>
      <c r="H4" s="7" t="inlineStr">
        <is>
          <t>4/3</t>
        </is>
      </c>
      <c r="I4" s="7" t="n">
        <v>3</v>
      </c>
      <c r="J4" s="22" t="n">
        <v>-2.2081</v>
      </c>
      <c r="K4" s="23" t="n">
        <v>-0.1579794558430314</v>
      </c>
      <c r="L4" s="7" t="inlineStr">
        <is>
          <t>2023, 2024, 2025</t>
        </is>
      </c>
      <c r="M4" s="7" t="inlineStr">
        <is>
          <t>2671.7, 2414.2, 2779.2</t>
        </is>
      </c>
    </row>
    <row r="5">
      <c r="A5" s="7" t="n">
        <v>2</v>
      </c>
      <c r="B5" s="7" t="inlineStr">
        <is>
          <t>W02</t>
        </is>
      </c>
      <c r="C5" s="8" t="n">
        <v>2240.83</v>
      </c>
      <c r="D5" s="7" t="inlineStr">
        <is>
          <t>2026-01-09</t>
        </is>
      </c>
      <c r="E5" s="8" t="n">
        <v>2575.2767</v>
      </c>
      <c r="F5" s="8" t="n">
        <v>2635.83</v>
      </c>
      <c r="G5" s="21" t="n">
        <v>0</v>
      </c>
      <c r="H5" s="7" t="inlineStr">
        <is>
          <t>4/3</t>
        </is>
      </c>
      <c r="I5" s="7" t="n">
        <v>3</v>
      </c>
      <c r="J5" s="22" t="n">
        <v>-2.399</v>
      </c>
      <c r="K5" s="23" t="n">
        <v>-0.1298682584283079</v>
      </c>
      <c r="L5" s="7" t="inlineStr">
        <is>
          <t>2023, 2024, 2025</t>
        </is>
      </c>
      <c r="M5" s="7" t="inlineStr">
        <is>
          <t>2635.8, 2415.8, 2674.2</t>
        </is>
      </c>
    </row>
    <row r="6">
      <c r="A6" s="7" t="n">
        <v>3</v>
      </c>
      <c r="B6" s="7" t="inlineStr">
        <is>
          <t>W03</t>
        </is>
      </c>
      <c r="C6" s="8" t="n">
        <v>2250.83</v>
      </c>
      <c r="D6" s="7" t="inlineStr">
        <is>
          <t>2026-01-16</t>
        </is>
      </c>
      <c r="E6" s="8" t="n">
        <v>2615.8333</v>
      </c>
      <c r="F6" s="8" t="n">
        <v>2690</v>
      </c>
      <c r="G6" s="21" t="n">
        <v>0</v>
      </c>
      <c r="H6" s="7" t="inlineStr">
        <is>
          <t>4/3</t>
        </is>
      </c>
      <c r="I6" s="7" t="n">
        <v>3</v>
      </c>
      <c r="J6" s="22" t="n">
        <v>-2.4979</v>
      </c>
      <c r="K6" s="23" t="n">
        <v>-0.1395361470472908</v>
      </c>
      <c r="L6" s="7" t="inlineStr">
        <is>
          <t>2023, 2024, 2025</t>
        </is>
      </c>
      <c r="M6" s="7" t="inlineStr">
        <is>
          <t>2690.0, 2447.5, 2710.0</t>
        </is>
      </c>
    </row>
    <row r="7">
      <c r="A7" s="7" t="n">
        <v>4</v>
      </c>
      <c r="B7" s="7" t="inlineStr">
        <is>
          <t>W04</t>
        </is>
      </c>
      <c r="C7" s="8" t="n">
        <v>2225.83</v>
      </c>
      <c r="D7" s="7" t="inlineStr">
        <is>
          <t>2026-01-23</t>
        </is>
      </c>
      <c r="E7" s="8" t="n">
        <v>2645.2767</v>
      </c>
      <c r="F7" s="8" t="n">
        <v>2630</v>
      </c>
      <c r="G7" s="21" t="n">
        <v>0</v>
      </c>
      <c r="H7" s="7" t="inlineStr">
        <is>
          <t>4/3</t>
        </is>
      </c>
      <c r="I7" s="7" t="n">
        <v>3</v>
      </c>
      <c r="J7" s="22" t="n">
        <v>-10.6528</v>
      </c>
      <c r="K7" s="23" t="n">
        <v>-0.1585643951727243</v>
      </c>
      <c r="L7" s="7" t="inlineStr">
        <is>
          <t>2023, 2024, 2025</t>
        </is>
      </c>
      <c r="M7" s="7" t="inlineStr">
        <is>
          <t>2690.0, 2615.8, 2630.0</t>
        </is>
      </c>
    </row>
    <row r="8">
      <c r="A8" s="7" t="n">
        <v>5</v>
      </c>
      <c r="B8" s="7" t="inlineStr">
        <is>
          <t>W05</t>
        </is>
      </c>
      <c r="C8" s="8" t="n">
        <v>2284.17</v>
      </c>
      <c r="D8" s="7" t="inlineStr">
        <is>
          <t>2026-01-30</t>
        </is>
      </c>
      <c r="E8" s="8" t="n">
        <v>2640.2767</v>
      </c>
      <c r="F8" s="8" t="n">
        <v>2635.83</v>
      </c>
      <c r="G8" s="21" t="n">
        <v>0</v>
      </c>
      <c r="H8" s="7" t="inlineStr">
        <is>
          <t>4/3</t>
        </is>
      </c>
      <c r="I8" s="7" t="n">
        <v>3</v>
      </c>
      <c r="J8" s="22" t="n">
        <v>-4.4006</v>
      </c>
      <c r="K8" s="23" t="n">
        <v>-0.1348747652092676</v>
      </c>
      <c r="L8" s="7" t="inlineStr">
        <is>
          <t>2023, 2024, 2025</t>
        </is>
      </c>
      <c r="M8" s="7" t="inlineStr">
        <is>
          <t>2723.3, 2561.7, 2635.8</t>
        </is>
      </c>
    </row>
    <row r="9">
      <c r="A9" s="7" t="n">
        <v>6</v>
      </c>
      <c r="B9" s="7" t="inlineStr">
        <is>
          <t>W06</t>
        </is>
      </c>
      <c r="C9" s="8" t="n">
        <v>2200</v>
      </c>
      <c r="D9" s="7" t="inlineStr">
        <is>
          <t>2026-02-06</t>
        </is>
      </c>
      <c r="E9" s="8" t="n">
        <v>2667.1433</v>
      </c>
      <c r="F9" s="8" t="n">
        <v>2650</v>
      </c>
      <c r="G9" s="21" t="n">
        <v>0</v>
      </c>
      <c r="H9" s="7" t="inlineStr">
        <is>
          <t>4/3</t>
        </is>
      </c>
      <c r="I9" s="7" t="n">
        <v>3</v>
      </c>
      <c r="J9" s="22" t="n">
        <v>-12.0778</v>
      </c>
      <c r="K9" s="23" t="n">
        <v>-0.1751474320858576</v>
      </c>
      <c r="L9" s="7" t="inlineStr">
        <is>
          <t>2023, 2024, 2025</t>
        </is>
      </c>
      <c r="M9" s="7" t="inlineStr">
        <is>
          <t>2711.4, 2640.0, 2650.0</t>
        </is>
      </c>
    </row>
    <row r="10">
      <c r="A10" s="7" t="n">
        <v>7</v>
      </c>
      <c r="B10" s="7" t="inlineStr">
        <is>
          <t>W07</t>
        </is>
      </c>
      <c r="C10" s="8" t="n">
        <v>2225</v>
      </c>
      <c r="D10" s="7" t="inlineStr">
        <is>
          <t>2026-02-13</t>
        </is>
      </c>
      <c r="E10" s="8" t="n">
        <v>2651.8667</v>
      </c>
      <c r="F10" s="8" t="n">
        <v>2640</v>
      </c>
      <c r="G10" s="21" t="n">
        <v>0</v>
      </c>
      <c r="H10" s="7" t="inlineStr">
        <is>
          <t>4/3</t>
        </is>
      </c>
      <c r="I10" s="7" t="n">
        <v>3</v>
      </c>
      <c r="J10" s="22" t="n">
        <v>-7.8172</v>
      </c>
      <c r="K10" s="23" t="n">
        <v>-0.1609683850247828</v>
      </c>
      <c r="L10" s="7" t="inlineStr">
        <is>
          <t>2023, 2024, 2025</t>
        </is>
      </c>
      <c r="M10" s="7" t="inlineStr">
        <is>
          <t>2711.4, 2640.0, 2604.2</t>
        </is>
      </c>
    </row>
    <row r="11">
      <c r="A11" s="7" t="n">
        <v>8</v>
      </c>
      <c r="B11" s="7" t="inlineStr">
        <is>
          <t>W08</t>
        </is>
      </c>
      <c r="C11" s="8" t="n">
        <v>2201.67</v>
      </c>
      <c r="D11" s="7" t="inlineStr">
        <is>
          <t>2026-02-20</t>
        </is>
      </c>
      <c r="E11" s="8" t="n">
        <v>2664.4433</v>
      </c>
      <c r="F11" s="8" t="n">
        <v>2635.83</v>
      </c>
      <c r="G11" s="21" t="n">
        <v>0</v>
      </c>
      <c r="H11" s="7" t="inlineStr">
        <is>
          <t>4/3</t>
        </is>
      </c>
      <c r="I11" s="7" t="n">
        <v>3</v>
      </c>
      <c r="J11" s="22" t="n">
        <v>-5.2986</v>
      </c>
      <c r="K11" s="23" t="n">
        <v>-0.1736847993725368</v>
      </c>
      <c r="L11" s="7" t="inlineStr">
        <is>
          <t>2023, 2024, 2025</t>
        </is>
      </c>
      <c r="M11" s="7" t="inlineStr">
        <is>
          <t>2762.5, 2635.8, 2595.0</t>
        </is>
      </c>
    </row>
    <row r="12">
      <c r="A12" s="7" t="n">
        <v>9</v>
      </c>
      <c r="B12" s="7" t="inlineStr">
        <is>
          <t>W09</t>
        </is>
      </c>
      <c r="C12" s="8" t="n">
        <v>2185.83</v>
      </c>
      <c r="D12" s="7" t="inlineStr">
        <is>
          <t>2026-02-27</t>
        </is>
      </c>
      <c r="E12" s="8" t="n">
        <v>2688.6133</v>
      </c>
      <c r="F12" s="8" t="n">
        <v>2701.67</v>
      </c>
      <c r="G12" s="21" t="n">
        <v>0</v>
      </c>
      <c r="H12" s="7" t="inlineStr">
        <is>
          <t>4/3</t>
        </is>
      </c>
      <c r="I12" s="7" t="n">
        <v>3</v>
      </c>
      <c r="J12" s="22" t="n">
        <v>-10.2127</v>
      </c>
      <c r="K12" s="23" t="n">
        <v>-0.1870046912287461</v>
      </c>
      <c r="L12" s="7" t="inlineStr">
        <is>
          <t>2023, 2024, 2025</t>
        </is>
      </c>
      <c r="M12" s="7" t="inlineStr">
        <is>
          <t>2701.7, 2730.0, 2634.2</t>
        </is>
      </c>
    </row>
    <row r="13">
      <c r="A13" s="7" t="n">
        <v>10</v>
      </c>
      <c r="B13" s="7" t="inlineStr">
        <is>
          <t>W10</t>
        </is>
      </c>
      <c r="C13" s="8" t="n">
        <v>2500</v>
      </c>
      <c r="D13" s="7" t="inlineStr">
        <is>
          <t>2026-03-06</t>
        </is>
      </c>
      <c r="E13" s="8" t="n">
        <v>2666.39</v>
      </c>
      <c r="F13" s="8" t="n">
        <v>2649.17</v>
      </c>
      <c r="G13" s="21" t="n">
        <v>0</v>
      </c>
      <c r="H13" s="7" t="inlineStr">
        <is>
          <t>4/3</t>
        </is>
      </c>
      <c r="I13" s="7" t="n">
        <v>3</v>
      </c>
      <c r="J13" s="22" t="n">
        <v>-4.2032</v>
      </c>
      <c r="K13" s="23" t="n">
        <v>-0.06240272428264428</v>
      </c>
      <c r="L13" s="7" t="inlineStr">
        <is>
          <t>2023, 2024, 2025</t>
        </is>
      </c>
      <c r="M13" s="7" t="inlineStr">
        <is>
          <t>2638.3, 2711.7, 2649.2</t>
        </is>
      </c>
    </row>
    <row r="14">
      <c r="A14" s="7" t="n">
        <v>11</v>
      </c>
      <c r="B14" s="7" t="inlineStr">
        <is>
          <t>W11</t>
        </is>
      </c>
      <c r="C14" s="8" t="n">
        <v>2750</v>
      </c>
      <c r="D14" s="7" t="inlineStr">
        <is>
          <t>2026-03-13</t>
        </is>
      </c>
      <c r="E14" s="8" t="n">
        <v>2638.0533</v>
      </c>
      <c r="F14" s="8" t="n">
        <v>2628.33</v>
      </c>
      <c r="G14" s="21" t="n">
        <v>1</v>
      </c>
      <c r="H14" s="7" t="inlineStr">
        <is>
          <t>1/3</t>
        </is>
      </c>
      <c r="I14" s="7" t="n">
        <v>3</v>
      </c>
      <c r="J14" s="22" t="n">
        <v>1.6557</v>
      </c>
      <c r="K14" s="23" t="n">
        <v>0.04243534427450725</v>
      </c>
      <c r="L14" s="7" t="inlineStr">
        <is>
          <t>2023, 2024, 2025</t>
        </is>
      </c>
      <c r="M14" s="7" t="inlineStr">
        <is>
          <t>2575.8, 2710.0, 2628.3</t>
        </is>
      </c>
    </row>
    <row r="15">
      <c r="A15" s="7" t="n">
        <v>12</v>
      </c>
      <c r="B15" s="7" t="inlineStr">
        <is>
          <t>W12</t>
        </is>
      </c>
      <c r="C15" s="8" t="n">
        <v>3170</v>
      </c>
      <c r="D15" s="7" t="inlineStr">
        <is>
          <t>2026-03-20</t>
        </is>
      </c>
      <c r="E15" s="8" t="n">
        <v>2663.3333</v>
      </c>
      <c r="F15" s="8" t="n">
        <v>2685.83</v>
      </c>
      <c r="G15" s="21" t="n">
        <v>1</v>
      </c>
      <c r="H15" s="7" t="inlineStr">
        <is>
          <t>1/3</t>
        </is>
      </c>
      <c r="I15" s="7" t="n">
        <v>3</v>
      </c>
      <c r="J15" s="22" t="n">
        <v>10.9252</v>
      </c>
      <c r="K15" s="23" t="n">
        <v>0.1902378121431517</v>
      </c>
      <c r="L15" s="7" t="inlineStr">
        <is>
          <t>2023, 2024, 2025</t>
        </is>
      </c>
      <c r="M15" s="7" t="inlineStr">
        <is>
          <t>2610.0, 2685.8, 2694.2</t>
        </is>
      </c>
    </row>
    <row r="16">
      <c r="A16" s="7" t="n">
        <v>13</v>
      </c>
      <c r="B16" s="7" t="inlineStr">
        <is>
          <t>W13</t>
        </is>
      </c>
      <c r="C16" s="8" t="n">
        <v>3286.67</v>
      </c>
      <c r="D16" s="7" t="inlineStr">
        <is>
          <t>2026-03-27</t>
        </is>
      </c>
      <c r="E16" s="8" t="n">
        <v>2605.5533</v>
      </c>
      <c r="F16" s="8" t="n">
        <v>2583.33</v>
      </c>
      <c r="G16" s="21" t="n">
        <v>1</v>
      </c>
      <c r="H16" s="7" t="inlineStr">
        <is>
          <t>1/3</t>
        </is>
      </c>
      <c r="I16" s="7" t="n">
        <v>3</v>
      </c>
      <c r="J16" s="22" t="n">
        <v>8.983499999999999</v>
      </c>
      <c r="K16" s="23" t="n">
        <v>0.2614096207511856</v>
      </c>
      <c r="L16" s="7" t="inlineStr">
        <is>
          <t>2023, 2024, 2025</t>
        </is>
      </c>
      <c r="M16" s="7" t="inlineStr">
        <is>
          <t>2543.3, 2583.3, 2690.0</t>
        </is>
      </c>
    </row>
    <row r="17">
      <c r="A17" s="7" t="n">
        <v>14</v>
      </c>
      <c r="B17" s="7" t="inlineStr">
        <is>
          <t>W14</t>
        </is>
      </c>
      <c r="C17" s="8" t="n">
        <v>3346.67</v>
      </c>
      <c r="D17" s="7" t="inlineStr">
        <is>
          <t>2026-04-03</t>
        </is>
      </c>
      <c r="E17" s="8" t="n">
        <v>2544.4433</v>
      </c>
      <c r="F17" s="8" t="n">
        <v>2550</v>
      </c>
      <c r="G17" s="21" t="n">
        <v>1</v>
      </c>
      <c r="H17" s="7" t="inlineStr">
        <is>
          <t>1/3</t>
        </is>
      </c>
      <c r="I17" s="7" t="n">
        <v>3</v>
      </c>
      <c r="J17" s="22" t="n">
        <v>11.7106</v>
      </c>
      <c r="K17" s="23" t="n">
        <v>0.3152857444298327</v>
      </c>
      <c r="L17" s="7" t="inlineStr">
        <is>
          <t>2023, 2024, 2025</t>
        </is>
      </c>
      <c r="M17" s="7" t="inlineStr">
        <is>
          <t>2473.3, 2610.0, 2550.0</t>
        </is>
      </c>
    </row>
    <row r="18">
      <c r="A18" s="7" t="n">
        <v>15</v>
      </c>
      <c r="B18" s="7" t="inlineStr">
        <is>
          <t>W15</t>
        </is>
      </c>
      <c r="C18" s="8" t="n">
        <v>3386.67</v>
      </c>
      <c r="D18" s="7" t="inlineStr">
        <is>
          <t>2026-04-10</t>
        </is>
      </c>
      <c r="E18" s="8" t="n">
        <v>2529.7233</v>
      </c>
      <c r="F18" s="8" t="n">
        <v>2537.5</v>
      </c>
      <c r="G18" s="21" t="n">
        <v>1</v>
      </c>
      <c r="H18" s="7" t="inlineStr">
        <is>
          <t>1/3</t>
        </is>
      </c>
      <c r="I18" s="7" t="n">
        <v>3</v>
      </c>
      <c r="J18" s="22" t="n">
        <v>15.7001</v>
      </c>
      <c r="K18" s="23" t="n">
        <v>0.3387511590694524</v>
      </c>
      <c r="L18" s="7" t="inlineStr">
        <is>
          <t>2023, 2024, 2025</t>
        </is>
      </c>
      <c r="M18" s="7" t="inlineStr">
        <is>
          <t>2471.7, 2580.0, 2537.5</t>
        </is>
      </c>
    </row>
    <row r="19">
      <c r="A19" s="7" t="n">
        <v>16</v>
      </c>
      <c r="B19" s="7" t="inlineStr">
        <is>
          <t>W16</t>
        </is>
      </c>
      <c r="C19" s="8" t="n">
        <v>3393.33</v>
      </c>
      <c r="D19" s="7" t="inlineStr">
        <is>
          <t>2026-04-17</t>
        </is>
      </c>
      <c r="E19" s="8" t="n">
        <v>2548.4733</v>
      </c>
      <c r="F19" s="8" t="n">
        <v>2550</v>
      </c>
      <c r="G19" s="21" t="n">
        <v>1</v>
      </c>
      <c r="H19" s="7" t="inlineStr">
        <is>
          <t>1/3</t>
        </is>
      </c>
      <c r="I19" s="7" t="n">
        <v>3</v>
      </c>
      <c r="J19" s="22" t="n">
        <v>5.8684</v>
      </c>
      <c r="K19" s="23" t="n">
        <v>0.331514832821674</v>
      </c>
      <c r="L19" s="7" t="inlineStr">
        <is>
          <t>2023, 2024, 2025</t>
        </is>
      </c>
      <c r="M19" s="7" t="inlineStr">
        <is>
          <t>2550.0, 2691.7, 2403.8</t>
        </is>
      </c>
    </row>
    <row r="20">
      <c r="A20" s="7" t="n">
        <v>17</v>
      </c>
      <c r="B20" s="7" t="inlineStr">
        <is>
          <t>W17</t>
        </is>
      </c>
      <c r="C20" s="8" t="n">
        <v>3256.67</v>
      </c>
      <c r="D20" s="7" t="inlineStr">
        <is>
          <t>2026-04-24</t>
        </is>
      </c>
      <c r="E20" s="8" t="n">
        <v>2506.6667</v>
      </c>
      <c r="F20" s="8" t="n">
        <v>2488.33</v>
      </c>
      <c r="G20" s="21" t="n">
        <v>1</v>
      </c>
      <c r="H20" s="7" t="inlineStr">
        <is>
          <t>1/3</t>
        </is>
      </c>
      <c r="I20" s="7" t="n">
        <v>3</v>
      </c>
      <c r="J20" s="22" t="n">
        <v>7.7207</v>
      </c>
      <c r="K20" s="23" t="n">
        <v>0.2992034401701669</v>
      </c>
      <c r="L20" s="7" t="inlineStr">
        <is>
          <t>2023, 2024, 2025</t>
        </is>
      </c>
      <c r="M20" s="7" t="inlineStr">
        <is>
          <t>2488.3, 2611.7, 2420.0</t>
        </is>
      </c>
    </row>
    <row r="21">
      <c r="A21" s="7" t="n">
        <v>18</v>
      </c>
      <c r="B21" s="7" t="inlineStr">
        <is>
          <t>W18</t>
        </is>
      </c>
      <c r="C21" s="8" t="n">
        <v>3295.83</v>
      </c>
      <c r="D21" s="7" t="inlineStr">
        <is>
          <t>2026-05-01</t>
        </is>
      </c>
      <c r="E21" s="8" t="n">
        <v>2501.1133</v>
      </c>
      <c r="F21" s="8" t="n">
        <v>2440</v>
      </c>
      <c r="G21" s="21" t="n">
        <v>1</v>
      </c>
      <c r="H21" s="7" t="inlineStr">
        <is>
          <t>1/3</t>
        </is>
      </c>
      <c r="I21" s="7" t="n">
        <v>3</v>
      </c>
      <c r="J21" s="22" t="n">
        <v>6.0595</v>
      </c>
      <c r="K21" s="23" t="n">
        <v>0.3177451817156783</v>
      </c>
      <c r="L21" s="7" t="inlineStr">
        <is>
          <t>2023, 2024, 2025</t>
        </is>
      </c>
      <c r="M21" s="7" t="inlineStr">
        <is>
          <t>2411.7, 2651.7, 2440.0</t>
        </is>
      </c>
    </row>
    <row r="22">
      <c r="A22" s="7" t="n">
        <v>19</v>
      </c>
      <c r="B22" s="7" t="inlineStr">
        <is>
          <t>W19</t>
        </is>
      </c>
      <c r="C22" s="8" t="n">
        <v>3170</v>
      </c>
      <c r="D22" s="7" t="inlineStr">
        <is>
          <t>2026-05-08</t>
        </is>
      </c>
      <c r="E22" s="8" t="n">
        <v>2473.3333</v>
      </c>
      <c r="F22" s="8" t="n">
        <v>2390</v>
      </c>
      <c r="G22" s="21" t="n">
        <v>1</v>
      </c>
      <c r="H22" s="7" t="inlineStr">
        <is>
          <t>1/3</t>
        </is>
      </c>
      <c r="I22" s="7" t="n">
        <v>3</v>
      </c>
      <c r="J22" s="22" t="n">
        <v>4.0746</v>
      </c>
      <c r="K22" s="23" t="n">
        <v>0.2816711763028462</v>
      </c>
      <c r="L22" s="7" t="inlineStr">
        <is>
          <t>2023, 2024, 2025</t>
        </is>
      </c>
      <c r="M22" s="7" t="inlineStr">
        <is>
          <t>2360.0, 2670.0, 2390.0</t>
        </is>
      </c>
    </row>
    <row r="23">
      <c r="A23" s="7" t="n">
        <v>20</v>
      </c>
      <c r="B23" s="7" t="inlineStr">
        <is>
          <t>W20</t>
        </is>
      </c>
      <c r="C23" s="8" t="n">
        <v>3100</v>
      </c>
      <c r="D23" s="7" t="inlineStr">
        <is>
          <t>2026-05-15</t>
        </is>
      </c>
      <c r="E23" s="8" t="n">
        <v>2544.5833</v>
      </c>
      <c r="F23" s="8" t="n">
        <v>2426.25</v>
      </c>
      <c r="G23" s="21" t="n">
        <v>1</v>
      </c>
      <c r="H23" s="7" t="inlineStr">
        <is>
          <t>1/3</t>
        </is>
      </c>
      <c r="I23" s="7" t="n">
        <v>3</v>
      </c>
      <c r="J23" s="22" t="n">
        <v>1.9846</v>
      </c>
      <c r="K23" s="23" t="n">
        <v>0.2182741276341789</v>
      </c>
      <c r="L23" s="7" t="inlineStr">
        <is>
          <t>2023, 2024, 2025</t>
        </is>
      </c>
      <c r="M23" s="7" t="inlineStr">
        <is>
          <t>2343.3, 2864.2, 2426.2</t>
        </is>
      </c>
    </row>
    <row r="24">
      <c r="A24" s="7" t="n">
        <v>21</v>
      </c>
      <c r="B24" s="7" t="inlineStr">
        <is>
          <t>W21</t>
        </is>
      </c>
      <c r="C24" s="8" t="n">
        <v>3215.83</v>
      </c>
      <c r="D24" s="7" t="inlineStr">
        <is>
          <t>2026-05-22</t>
        </is>
      </c>
      <c r="E24" s="8" t="n">
        <v>2402.22</v>
      </c>
      <c r="F24" s="8" t="n">
        <v>2312.5</v>
      </c>
      <c r="G24" s="21" t="n">
        <v>1</v>
      </c>
      <c r="H24" s="7" t="inlineStr">
        <is>
          <t>1/3</t>
        </is>
      </c>
      <c r="I24" s="7" t="n">
        <v>3</v>
      </c>
      <c r="J24" s="22" t="n">
        <v>2.5362</v>
      </c>
      <c r="K24" s="23" t="n">
        <v>0.3386908776048823</v>
      </c>
      <c r="L24" s="7" t="inlineStr">
        <is>
          <t>2023, 2024, 2025</t>
        </is>
      </c>
      <c r="M24" s="7" t="inlineStr">
        <is>
          <t>2135.8, 2758.3, 2312.5</t>
        </is>
      </c>
    </row>
    <row r="25">
      <c r="A25" s="7" t="n">
        <v>22</v>
      </c>
      <c r="B25" s="7" t="inlineStr">
        <is>
          <t>W22</t>
        </is>
      </c>
      <c r="C25" s="8" t="n">
        <v>3128.33</v>
      </c>
      <c r="D25" s="7" t="inlineStr">
        <is>
          <t>2026-05-29</t>
        </is>
      </c>
      <c r="E25" s="8" t="n">
        <v>2402.89</v>
      </c>
      <c r="F25" s="8" t="n">
        <v>2247</v>
      </c>
      <c r="G25" s="21" t="n">
        <v>1</v>
      </c>
      <c r="H25" s="7" t="inlineStr">
        <is>
          <t>1/3</t>
        </is>
      </c>
      <c r="I25" s="7" t="n">
        <v>3</v>
      </c>
      <c r="J25" s="22" t="n">
        <v>2.0934</v>
      </c>
      <c r="K25" s="23" t="n">
        <v>0.3019031249869948</v>
      </c>
      <c r="L25" s="7" t="inlineStr">
        <is>
          <t>2023, 2024, 2025</t>
        </is>
      </c>
      <c r="M25" s="7" t="inlineStr">
        <is>
          <t>2161.7, 2800.0, 2247.0</t>
        </is>
      </c>
    </row>
    <row r="26">
      <c r="A26" s="7" t="n">
        <v>23</v>
      </c>
      <c r="B26" s="7" t="inlineStr">
        <is>
          <t>W23</t>
        </is>
      </c>
      <c r="C26" s="8" t="n">
        <v>3186.67</v>
      </c>
      <c r="D26" s="7" t="inlineStr">
        <is>
          <t>2026-06-05</t>
        </is>
      </c>
      <c r="E26" s="8" t="n">
        <v>2335.9433</v>
      </c>
      <c r="F26" s="8" t="n">
        <v>2302</v>
      </c>
      <c r="G26" s="21" t="n">
        <v>1</v>
      </c>
      <c r="H26" s="7" t="inlineStr">
        <is>
          <t>1/3</t>
        </is>
      </c>
      <c r="I26" s="7" t="n">
        <v>3</v>
      </c>
      <c r="J26" s="22" t="n">
        <v>3.1661</v>
      </c>
      <c r="K26" s="23" t="n">
        <v>0.3641897900518391</v>
      </c>
      <c r="L26" s="7" t="inlineStr">
        <is>
          <t>2023, 2024, 2025</t>
        </is>
      </c>
      <c r="M26" s="7" t="inlineStr">
        <is>
          <t>2085.8, 2620.0, 2302.0</t>
        </is>
      </c>
    </row>
    <row r="27">
      <c r="A27" s="7" t="n">
        <v>24</v>
      </c>
      <c r="B27" s="7" t="inlineStr">
        <is>
          <t>W24</t>
        </is>
      </c>
      <c r="C27" s="8" t="n">
        <v>3441.67</v>
      </c>
      <c r="D27" s="7" t="inlineStr">
        <is>
          <t>2026-06-12</t>
        </is>
      </c>
      <c r="E27" s="8" t="n">
        <v>2327.3333</v>
      </c>
      <c r="F27" s="8" t="n">
        <v>2362</v>
      </c>
      <c r="G27" s="21" t="n">
        <v>1</v>
      </c>
      <c r="H27" s="7" t="inlineStr">
        <is>
          <t>1/3</t>
        </is>
      </c>
      <c r="I27" s="7" t="n">
        <v>3</v>
      </c>
      <c r="J27" s="22" t="n">
        <v>4.4255</v>
      </c>
      <c r="K27" s="23" t="n">
        <v>0.4788040887826425</v>
      </c>
      <c r="L27" s="7" t="inlineStr">
        <is>
          <t>2023, 2024, 2025</t>
        </is>
      </c>
      <c r="M27" s="7" t="inlineStr">
        <is>
          <t>2060.0, 2560.0, 2362.0</t>
        </is>
      </c>
    </row>
    <row r="28">
      <c r="A28" s="7" t="n">
        <v>25</v>
      </c>
      <c r="B28" s="7" t="inlineStr">
        <is>
          <t>W25</t>
        </is>
      </c>
      <c r="C28" s="8" t="n">
        <v>2916.67</v>
      </c>
      <c r="D28" s="7" t="inlineStr">
        <is>
          <t>2026-06-19</t>
        </is>
      </c>
      <c r="E28" s="8" t="n">
        <v>2460.78</v>
      </c>
      <c r="F28" s="8" t="n">
        <v>2526.67</v>
      </c>
      <c r="G28" s="21" t="n">
        <v>1</v>
      </c>
      <c r="H28" s="7" t="inlineStr">
        <is>
          <t>1/3</t>
        </is>
      </c>
      <c r="I28" s="7" t="n">
        <v>3</v>
      </c>
      <c r="J28" s="22" t="n">
        <v>1.337</v>
      </c>
      <c r="K28" s="23" t="n">
        <v>0.1852623964759141</v>
      </c>
      <c r="L28" s="7" t="inlineStr">
        <is>
          <t>2023, 2024, 2025</t>
        </is>
      </c>
      <c r="M28" s="7" t="inlineStr">
        <is>
          <t>2091.7, 2526.7, 2764.0</t>
        </is>
      </c>
    </row>
    <row r="29">
      <c r="A29" s="7" t="n">
        <v>26</v>
      </c>
      <c r="B29" s="7" t="inlineStr">
        <is>
          <t>W26</t>
        </is>
      </c>
      <c r="C29" s="8" t="n">
        <v>2713.33</v>
      </c>
      <c r="D29" s="7" t="inlineStr">
        <is>
          <t>2026-06-26</t>
        </is>
      </c>
      <c r="E29" s="8" t="n">
        <v>2480.8333</v>
      </c>
      <c r="F29" s="8" t="n">
        <v>2530</v>
      </c>
      <c r="G29" s="23" t="n">
        <v>0.6667</v>
      </c>
      <c r="H29" s="7" t="inlineStr">
        <is>
          <t>2/3</t>
        </is>
      </c>
      <c r="I29" s="7" t="n">
        <v>3</v>
      </c>
      <c r="J29" s="22" t="n">
        <v>0.7811</v>
      </c>
      <c r="K29" s="23" t="n">
        <v>0.09371717962670049</v>
      </c>
      <c r="L29" s="7" t="inlineStr">
        <is>
          <t>2023, 2024, 2025</t>
        </is>
      </c>
      <c r="M29" s="7" t="inlineStr">
        <is>
          <t>2161.7, 2530.0, 2750.8</t>
        </is>
      </c>
    </row>
    <row r="30">
      <c r="A30" s="7" t="n">
        <v>27</v>
      </c>
      <c r="B30" s="7" t="inlineStr">
        <is>
          <t>W27</t>
        </is>
      </c>
      <c r="C30" s="8" t="n">
        <v>2545.83</v>
      </c>
      <c r="D30" s="7" t="inlineStr">
        <is>
          <t>2026-07-03</t>
        </is>
      </c>
      <c r="E30" s="8" t="n">
        <v>2390</v>
      </c>
      <c r="F30" s="8" t="n">
        <v>2474.17</v>
      </c>
      <c r="G30" s="21" t="n">
        <v>1</v>
      </c>
      <c r="H30" s="7" t="inlineStr">
        <is>
          <t>1/3</t>
        </is>
      </c>
      <c r="I30" s="7" t="n">
        <v>3</v>
      </c>
      <c r="J30" s="22" t="n">
        <v>0.7585</v>
      </c>
      <c r="K30" s="23" t="n">
        <v>0.06520083682008365</v>
      </c>
      <c r="L30" s="7" t="inlineStr">
        <is>
          <t>2023, 2024, 2025</t>
        </is>
      </c>
      <c r="M30" s="7" t="inlineStr">
        <is>
          <t>2155.8, 2540.0, 2474.2</t>
        </is>
      </c>
    </row>
    <row r="31">
      <c r="A31" s="7" t="n">
        <v>28</v>
      </c>
      <c r="B31" s="7" t="inlineStr">
        <is>
          <t>W28</t>
        </is>
      </c>
      <c r="C31" s="8" t="n">
        <v>2650</v>
      </c>
      <c r="D31" s="7" t="inlineStr">
        <is>
          <t>2026-07-10</t>
        </is>
      </c>
      <c r="E31" s="8" t="n">
        <v>2399.1667</v>
      </c>
      <c r="F31" s="8" t="n">
        <v>2397.5</v>
      </c>
      <c r="G31" s="21" t="n">
        <v>1</v>
      </c>
      <c r="H31" s="7" t="inlineStr">
        <is>
          <t>1/3</t>
        </is>
      </c>
      <c r="I31" s="7" t="n">
        <v>3</v>
      </c>
      <c r="J31" s="22" t="n">
        <v>1.6721</v>
      </c>
      <c r="K31" s="23" t="n">
        <v>0.1045501756922517</v>
      </c>
      <c r="L31" s="7" t="inlineStr">
        <is>
          <t>2023, 2024, 2025</t>
        </is>
      </c>
      <c r="M31" s="7" t="inlineStr">
        <is>
          <t>2250.0, 2550.0, 2397.5</t>
        </is>
      </c>
    </row>
    <row r="32">
      <c r="A32" s="7" t="n">
        <v>29</v>
      </c>
      <c r="B32" s="7" t="inlineStr">
        <is>
          <t>W29</t>
        </is>
      </c>
      <c r="C32" s="8" t="n">
        <v>2656.67</v>
      </c>
      <c r="D32" s="7" t="inlineStr">
        <is>
          <t>2026-07-17</t>
        </is>
      </c>
      <c r="E32" s="8" t="n">
        <v>2387.7767</v>
      </c>
      <c r="F32" s="8" t="n">
        <v>2391.67</v>
      </c>
      <c r="G32" s="21" t="n">
        <v>1</v>
      </c>
      <c r="H32" s="7" t="inlineStr">
        <is>
          <t>1/3</t>
        </is>
      </c>
      <c r="I32" s="7" t="n">
        <v>3</v>
      </c>
      <c r="J32" s="22" t="n">
        <v>1.9201</v>
      </c>
      <c r="K32" s="23" t="n">
        <v>0.1126124147203548</v>
      </c>
      <c r="L32" s="7" t="inlineStr">
        <is>
          <t>2023, 2024, 2025</t>
        </is>
      </c>
      <c r="M32" s="7" t="inlineStr">
        <is>
          <t>2245.8, 2525.8, 2391.7</t>
        </is>
      </c>
    </row>
    <row r="33">
      <c r="A33" s="7" t="n">
        <v>30</v>
      </c>
      <c r="B33" s="7" t="inlineStr">
        <is>
          <t>W30</t>
        </is>
      </c>
      <c r="C33" s="8" t="n">
        <v>2750</v>
      </c>
      <c r="D33" s="7" t="inlineStr">
        <is>
          <t>2026-07-24</t>
        </is>
      </c>
      <c r="E33" s="8" t="n">
        <v>2406.6667</v>
      </c>
      <c r="F33" s="8" t="n">
        <v>2459.17</v>
      </c>
      <c r="G33" s="21" t="n">
        <v>1</v>
      </c>
      <c r="H33" s="7" t="inlineStr">
        <is>
          <t>1/3</t>
        </is>
      </c>
      <c r="I33" s="7" t="n">
        <v>3</v>
      </c>
      <c r="J33" s="22" t="n">
        <v>2.5</v>
      </c>
      <c r="K33" s="23" t="n">
        <v>0.1426592639520876</v>
      </c>
      <c r="L33" s="7" t="inlineStr">
        <is>
          <t>2023, 2024, 2025</t>
        </is>
      </c>
      <c r="M33" s="7" t="inlineStr">
        <is>
          <t>2250.8, 2510.0, 2459.2</t>
        </is>
      </c>
    </row>
    <row r="34">
      <c r="A34" s="7" t="n">
        <v>31</v>
      </c>
      <c r="B34" s="7" t="inlineStr">
        <is>
          <t>W31</t>
        </is>
      </c>
      <c r="C34" s="8" t="n">
        <v>2665</v>
      </c>
      <c r="D34" s="7" t="inlineStr">
        <is>
          <t>2026-07-31</t>
        </is>
      </c>
      <c r="E34" s="8" t="n">
        <v>2411.3867</v>
      </c>
      <c r="F34" s="8" t="n">
        <v>2393.33</v>
      </c>
      <c r="G34" s="21" t="n">
        <v>1</v>
      </c>
      <c r="H34" s="7" t="inlineStr">
        <is>
          <t>1/3</t>
        </is>
      </c>
      <c r="I34" s="7" t="n">
        <v>3</v>
      </c>
      <c r="J34" s="22" t="n">
        <v>2.7888</v>
      </c>
      <c r="K34" s="23" t="n">
        <v>0.1051732183809424</v>
      </c>
      <c r="L34" s="7" t="inlineStr">
        <is>
          <t>2023, 2024, 2025</t>
        </is>
      </c>
      <c r="M34" s="7" t="inlineStr">
        <is>
          <t>2330.8, 2510.0, 2393.3</t>
        </is>
      </c>
    </row>
    <row r="35">
      <c r="A35" s="7" t="n">
        <v>32</v>
      </c>
      <c r="B35" s="7" t="inlineStr">
        <is>
          <t>W32</t>
        </is>
      </c>
      <c r="C35" s="8" t="n">
        <v>2531.67</v>
      </c>
      <c r="D35" s="7" t="inlineStr">
        <is>
          <t>2026-08-07</t>
        </is>
      </c>
      <c r="E35" s="8" t="n">
        <v>2406.39</v>
      </c>
      <c r="F35" s="8" t="n">
        <v>2380.83</v>
      </c>
      <c r="G35" s="21" t="n">
        <v>1</v>
      </c>
      <c r="H35" s="7" t="inlineStr">
        <is>
          <t>1/3</t>
        </is>
      </c>
      <c r="I35" s="7" t="n">
        <v>3</v>
      </c>
      <c r="J35" s="22" t="n">
        <v>2.1988</v>
      </c>
      <c r="K35" s="23" t="n">
        <v>0.05206138655828865</v>
      </c>
      <c r="L35" s="7" t="inlineStr">
        <is>
          <t>2023, 2024, 2025</t>
        </is>
      </c>
      <c r="M35" s="7" t="inlineStr">
        <is>
          <t>2366.7, 2471.7, 2380.8</t>
        </is>
      </c>
    </row>
    <row r="36">
      <c r="A36" s="7" t="n">
        <v>33</v>
      </c>
      <c r="B36" s="7" t="inlineStr">
        <is>
          <t>W33</t>
        </is>
      </c>
      <c r="C36" s="8" t="n">
        <v>2668.33</v>
      </c>
      <c r="D36" s="7" t="inlineStr">
        <is>
          <t>2026-08-14</t>
        </is>
      </c>
      <c r="E36" s="8" t="n">
        <v>2388.23</v>
      </c>
      <c r="F36" s="8" t="n">
        <v>2383.75</v>
      </c>
      <c r="G36" s="21" t="n">
        <v>1</v>
      </c>
      <c r="H36" s="7" t="inlineStr">
        <is>
          <t>1/4</t>
        </is>
      </c>
      <c r="I36" s="7" t="n">
        <v>4</v>
      </c>
      <c r="J36" s="22" t="n">
        <v>6.3275</v>
      </c>
      <c r="K36" s="23" t="n">
        <v>0.1172835112196061</v>
      </c>
      <c r="L36" s="7" t="inlineStr">
        <is>
          <t>2022, 2023, 2024, 2025</t>
        </is>
      </c>
      <c r="M36" s="7" t="inlineStr">
        <is>
          <t>2438.8, 2355.8, 2411.7, 2346.7</t>
        </is>
      </c>
    </row>
    <row r="37">
      <c r="A37" s="7" t="n">
        <v>34</v>
      </c>
      <c r="B37" s="7" t="inlineStr">
        <is>
          <t>W34</t>
        </is>
      </c>
      <c r="C37" s="8" t="n">
        <v>2875.83</v>
      </c>
      <c r="D37" s="7" t="inlineStr">
        <is>
          <t>2026-08-21</t>
        </is>
      </c>
      <c r="E37" s="8" t="n">
        <v>2453.77</v>
      </c>
      <c r="F37" s="8" t="n">
        <v>2468.75</v>
      </c>
      <c r="G37" s="21" t="n">
        <v>1</v>
      </c>
      <c r="H37" s="7" t="inlineStr">
        <is>
          <t>1/4</t>
        </is>
      </c>
      <c r="I37" s="7" t="n">
        <v>4</v>
      </c>
      <c r="J37" s="22" t="n">
        <v>3.9069</v>
      </c>
      <c r="K37" s="23" t="n">
        <v>0.1720047111179939</v>
      </c>
      <c r="L37" s="7" t="inlineStr">
        <is>
          <t>2022, 2023, 2024, 2025</t>
        </is>
      </c>
      <c r="M37" s="7" t="inlineStr">
        <is>
          <t>2568.8, 2455.8, 2481.7, 2308.8</t>
        </is>
      </c>
    </row>
    <row r="38">
      <c r="A38" s="7" t="n">
        <v>35</v>
      </c>
      <c r="B38" s="7" t="inlineStr">
        <is>
          <t>W35</t>
        </is>
      </c>
      <c r="C38" s="8" t="n">
        <v>2850.83</v>
      </c>
      <c r="D38" s="7" t="inlineStr">
        <is>
          <t>2026-08-28</t>
        </is>
      </c>
      <c r="E38" s="8" t="n">
        <v>2455.1025</v>
      </c>
      <c r="F38" s="8" t="n">
        <v>2510.415</v>
      </c>
      <c r="G38" s="21" t="n">
        <v>1</v>
      </c>
      <c r="H38" s="7" t="inlineStr">
        <is>
          <t>1/4</t>
        </is>
      </c>
      <c r="I38" s="7" t="n">
        <v>4</v>
      </c>
      <c r="J38" s="22" t="n">
        <v>2.7966</v>
      </c>
      <c r="K38" s="23" t="n">
        <v>0.1611857346078219</v>
      </c>
      <c r="L38" s="7" t="inlineStr">
        <is>
          <t>2022, 2023, 2024, 2025</t>
        </is>
      </c>
      <c r="M38" s="7" t="inlineStr">
        <is>
          <t>2553.8, 2525.0, 2495.8, 2245.8</t>
        </is>
      </c>
    </row>
    <row r="39">
      <c r="A39" s="7" t="n">
        <v>36</v>
      </c>
      <c r="B39" s="7" t="inlineStr">
        <is>
          <t>W36</t>
        </is>
      </c>
      <c r="C39" s="8" t="n">
        <v>3349.17</v>
      </c>
      <c r="D39" s="7" t="inlineStr">
        <is>
          <t>2026-09-04</t>
        </is>
      </c>
      <c r="E39" s="8" t="n">
        <v>2460.8325</v>
      </c>
      <c r="F39" s="8" t="n">
        <v>2442.5</v>
      </c>
      <c r="G39" s="21" t="n">
        <v>1</v>
      </c>
      <c r="H39" s="7" t="inlineStr">
        <is>
          <t>1/4</t>
        </is>
      </c>
      <c r="I39" s="7" t="n">
        <v>4</v>
      </c>
      <c r="J39" s="22" t="n">
        <v>4.5049</v>
      </c>
      <c r="K39" s="23" t="n">
        <v>0.3609906403625603</v>
      </c>
      <c r="L39" s="7" t="inlineStr">
        <is>
          <t>2022, 2023, 2024, 2025</t>
        </is>
      </c>
      <c r="M39" s="7" t="inlineStr">
        <is>
          <t>2712.5, 2499.2, 2385.8, 2245.8</t>
        </is>
      </c>
    </row>
    <row r="40">
      <c r="A40" s="7" t="n">
        <v>37</v>
      </c>
      <c r="B40" s="7" t="inlineStr">
        <is>
          <t>W37</t>
        </is>
      </c>
      <c r="C40" s="8" t="n">
        <v>3726.67</v>
      </c>
      <c r="D40" s="7" t="inlineStr">
        <is>
          <t>2026-09-11</t>
        </is>
      </c>
      <c r="E40" s="8" t="n">
        <v>2498.3325</v>
      </c>
      <c r="F40" s="8" t="n">
        <v>2466.665</v>
      </c>
      <c r="G40" s="21" t="n">
        <v>1</v>
      </c>
      <c r="H40" s="7" t="inlineStr">
        <is>
          <t>1/4</t>
        </is>
      </c>
      <c r="I40" s="7" t="n">
        <v>4</v>
      </c>
      <c r="J40" s="22" t="n">
        <v>5.9791</v>
      </c>
      <c r="K40" s="23" t="n">
        <v>0.4916629391804334</v>
      </c>
      <c r="L40" s="7" t="inlineStr">
        <is>
          <t>2022, 2023, 2024, 2025</t>
        </is>
      </c>
      <c r="M40" s="7" t="inlineStr">
        <is>
          <t>2770.0, 2527.5, 2405.8, 2290.0</t>
        </is>
      </c>
    </row>
    <row r="41">
      <c r="A41" s="7" t="n">
        <v>38</v>
      </c>
      <c r="B41" s="7" t="inlineStr">
        <is>
          <t>W38</t>
        </is>
      </c>
      <c r="C41" s="8" t="n">
        <v>4030</v>
      </c>
      <c r="D41" s="7" t="inlineStr">
        <is>
          <t>2026-09-18</t>
        </is>
      </c>
      <c r="E41" s="8" t="n">
        <v>2501.71</v>
      </c>
      <c r="F41" s="8" t="n">
        <v>2489.585</v>
      </c>
      <c r="G41" s="21" t="n">
        <v>1</v>
      </c>
      <c r="H41" s="7" t="inlineStr">
        <is>
          <t>1/4</t>
        </is>
      </c>
      <c r="I41" s="7" t="n">
        <v>4</v>
      </c>
      <c r="J41" s="22" t="n">
        <v>7.2671</v>
      </c>
      <c r="K41" s="23" t="n">
        <v>0.6108981456683629</v>
      </c>
      <c r="L41" s="7" t="inlineStr">
        <is>
          <t>2022, 2023, 2024, 2025</t>
        </is>
      </c>
      <c r="M41" s="7" t="inlineStr">
        <is>
          <t>2766.0, 2539.2, 2440.0, 2261.7</t>
        </is>
      </c>
    </row>
    <row r="42">
      <c r="A42" s="7" t="n">
        <v>39</v>
      </c>
      <c r="B42" s="7" t="inlineStr">
        <is>
          <t>W39</t>
        </is>
      </c>
      <c r="C42" s="8" t="n">
        <v>4110</v>
      </c>
      <c r="D42" s="7" t="inlineStr">
        <is>
          <t>2026-09-25</t>
        </is>
      </c>
      <c r="E42" s="8" t="n">
        <v>2546.3525</v>
      </c>
      <c r="F42" s="8" t="n">
        <v>2459.58</v>
      </c>
      <c r="G42" s="21" t="n">
        <v>1</v>
      </c>
      <c r="H42" s="7" t="inlineStr">
        <is>
          <t>1/4</t>
        </is>
      </c>
      <c r="I42" s="7" t="n">
        <v>4</v>
      </c>
      <c r="J42" s="22" t="n">
        <v>4.7976</v>
      </c>
      <c r="K42" s="23" t="n">
        <v>0.614073463905724</v>
      </c>
      <c r="L42" s="7" t="inlineStr">
        <is>
          <t>2022, 2023, 2024, 2025</t>
        </is>
      </c>
      <c r="M42" s="7" t="inlineStr">
        <is>
          <t>3012.5, 2478.3, 2440.8, 2253.8</t>
        </is>
      </c>
    </row>
    <row r="43">
      <c r="A43" s="7" t="n">
        <v>40</v>
      </c>
      <c r="B43" s="7" t="inlineStr">
        <is>
          <t>W40</t>
        </is>
      </c>
      <c r="C43" s="8" t="n">
        <v>4493.33</v>
      </c>
      <c r="D43" s="7" t="inlineStr">
        <is>
          <t>2026-10-02</t>
        </is>
      </c>
      <c r="E43" s="8" t="n">
        <v>2599.5825</v>
      </c>
      <c r="F43" s="8" t="n">
        <v>2527.915</v>
      </c>
      <c r="G43" s="21" t="n">
        <v>1</v>
      </c>
      <c r="H43" s="7" t="inlineStr">
        <is>
          <t>1/4</t>
        </is>
      </c>
      <c r="I43" s="7" t="n">
        <v>4</v>
      </c>
      <c r="J43" s="22" t="n">
        <v>5.175</v>
      </c>
      <c r="K43" s="23" t="n">
        <v>0.7284814003787147</v>
      </c>
      <c r="L43" s="7" t="inlineStr">
        <is>
          <t>2022, 2023, 2024, 2025</t>
        </is>
      </c>
      <c r="M43" s="7" t="inlineStr">
        <is>
          <t>3105.0, 2478.3, 2577.5, 2237.5</t>
        </is>
      </c>
    </row>
    <row r="44">
      <c r="A44" s="7" t="n">
        <v>41</v>
      </c>
      <c r="B44" s="7" t="inlineStr">
        <is>
          <t>W41</t>
        </is>
      </c>
      <c r="C44" s="8" t="n">
        <v>4733.33</v>
      </c>
      <c r="D44" s="7" t="inlineStr">
        <is>
          <t>2026-10-09</t>
        </is>
      </c>
      <c r="E44" s="8" t="n">
        <v>2520.2075</v>
      </c>
      <c r="F44" s="8" t="n">
        <v>2492.915</v>
      </c>
      <c r="G44" s="21" t="n">
        <v>1</v>
      </c>
      <c r="H44" s="7" t="inlineStr">
        <is>
          <t>1/4</t>
        </is>
      </c>
      <c r="I44" s="7" t="n">
        <v>4</v>
      </c>
      <c r="J44" s="22" t="n">
        <v>8.533899999999999</v>
      </c>
      <c r="K44" s="23" t="n">
        <v>0.8781509062249835</v>
      </c>
      <c r="L44" s="7" t="inlineStr">
        <is>
          <t>2022, 2023, 2024, 2025</t>
        </is>
      </c>
      <c r="M44" s="7" t="inlineStr">
        <is>
          <t>2862.5, 2480.0, 2505.8, 2232.5</t>
        </is>
      </c>
    </row>
    <row r="45">
      <c r="A45" s="7" t="n">
        <v>42</v>
      </c>
      <c r="B45" s="7" t="inlineStr">
        <is>
          <t>W42</t>
        </is>
      </c>
      <c r="C45" s="8" t="n">
        <v>3990</v>
      </c>
      <c r="D45" s="7" t="inlineStr">
        <is>
          <t>2026-10-16</t>
        </is>
      </c>
      <c r="E45" s="8" t="n">
        <v>2531.1675</v>
      </c>
      <c r="F45" s="8" t="n">
        <v>2453.335</v>
      </c>
      <c r="G45" s="21" t="n">
        <v>1</v>
      </c>
      <c r="H45" s="7" t="inlineStr">
        <is>
          <t>1/4</t>
        </is>
      </c>
      <c r="I45" s="7" t="n">
        <v>4</v>
      </c>
      <c r="J45" s="22" t="n">
        <v>5.8478</v>
      </c>
      <c r="K45" s="23" t="n">
        <v>0.5763476735538047</v>
      </c>
      <c r="L45" s="7" t="inlineStr">
        <is>
          <t>2022, 2023, 2024, 2025</t>
        </is>
      </c>
      <c r="M45" s="7" t="inlineStr">
        <is>
          <t>2894.0, 2450.0, 2456.7, 2324.0</t>
        </is>
      </c>
    </row>
    <row r="46">
      <c r="A46" s="7" t="n">
        <v>43</v>
      </c>
      <c r="B46" s="7" t="inlineStr">
        <is>
          <t>W43</t>
        </is>
      </c>
      <c r="C46" s="8" t="n">
        <v>3966.67</v>
      </c>
      <c r="D46" s="7" t="inlineStr">
        <is>
          <t>2026-10-20</t>
        </is>
      </c>
      <c r="E46" s="8" t="n">
        <v>2481.5</v>
      </c>
      <c r="F46" s="8" t="n">
        <v>2435</v>
      </c>
      <c r="G46" s="21" t="n">
        <v>1</v>
      </c>
      <c r="H46" s="7" t="inlineStr">
        <is>
          <t>1/4</t>
        </is>
      </c>
      <c r="I46" s="7" t="n">
        <v>4</v>
      </c>
      <c r="J46" s="22" t="n">
        <v>6.499</v>
      </c>
      <c r="K46" s="23" t="n">
        <v>0.5984968768889785</v>
      </c>
      <c r="L46" s="7" t="inlineStr">
        <is>
          <t>2022, 2023, 2024, 2025</t>
        </is>
      </c>
      <c r="M46" s="7" t="inlineStr">
        <is>
          <t>2800.0, 2430.0, 2440.0, 2256.0</t>
        </is>
      </c>
    </row>
  </sheetData>
  <mergeCells count="1"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9" customWidth="1" min="10" max="10"/>
    <col width="20" customWidth="1" min="11" max="11"/>
  </cols>
  <sheetData>
    <row r="1" ht="22" customHeight="1">
      <c r="A1" s="1" t="inlineStr">
        <is>
          <t>09 异常年份检查（自动识别，不自动删除）</t>
        </is>
      </c>
    </row>
    <row r="2">
      <c r="A2" s="2" t="inlineStr">
        <is>
          <t>判定：决定性=其余年份在该位置高度一致而该年偏离&gt;2%；稳健=去掉该年后的MAD距≥3σ。最高/最低年若为独占极值不产生证据。</t>
        </is>
      </c>
    </row>
    <row r="3" ht="30" customHeight="1">
      <c r="A3" s="6" t="inlineStr">
        <is>
          <t>频率</t>
        </is>
      </c>
      <c r="B3" s="6" t="inlineStr">
        <is>
          <t>年份</t>
        </is>
      </c>
      <c r="C3" s="6" t="inlineStr">
        <is>
          <t>判级</t>
        </is>
      </c>
      <c r="D3" s="6" t="inlineStr">
        <is>
          <t>参与位置数</t>
        </is>
      </c>
      <c r="E3" s="6" t="inlineStr">
        <is>
          <t>决定性证据</t>
        </is>
      </c>
      <c r="F3" s="6" t="inlineStr">
        <is>
          <t>稳健证据</t>
        </is>
      </c>
      <c r="G3" s="6" t="inlineStr">
        <is>
          <t>最大剔除后均值变化</t>
        </is>
      </c>
      <c r="H3" s="6" t="inlineStr">
        <is>
          <t>整体水平偏移</t>
        </is>
      </c>
      <c r="I3" s="6" t="inlineStr">
        <is>
          <t>说明</t>
        </is>
      </c>
    </row>
    <row r="4">
      <c r="A4" s="7" t="inlineStr">
        <is>
          <t>周度</t>
        </is>
      </c>
      <c r="B4" s="7" t="n">
        <v>2022</v>
      </c>
      <c r="C4" s="24" t="inlineStr">
        <is>
          <t>异常</t>
        </is>
      </c>
      <c r="D4" s="7" t="n">
        <v>20</v>
      </c>
      <c r="E4" s="7" t="n">
        <v>0</v>
      </c>
      <c r="F4" s="7" t="n">
        <v>2</v>
      </c>
      <c r="G4" s="23" t="n">
        <v>0.0498</v>
      </c>
      <c r="H4" s="23" t="n">
        <v>0.0182</v>
      </c>
      <c r="I4" s="25" t="inlineStr">
        <is>
          <t>稳健：2/20 个同期位置 |稳健z| ≥ 3.0</t>
        </is>
      </c>
    </row>
    <row r="5">
      <c r="A5" s="7" t="inlineStr">
        <is>
          <t>周度</t>
        </is>
      </c>
      <c r="B5" s="7" t="n">
        <v>2023</v>
      </c>
      <c r="C5" s="24" t="inlineStr">
        <is>
          <t>异常</t>
        </is>
      </c>
      <c r="D5" s="7" t="n">
        <v>52</v>
      </c>
      <c r="E5" s="7" t="n">
        <v>1</v>
      </c>
      <c r="F5" s="7" t="n">
        <v>3</v>
      </c>
      <c r="G5" s="23" t="n">
        <v>0.0495</v>
      </c>
      <c r="H5" s="23" t="n">
        <v>0.0252</v>
      </c>
      <c r="I5" s="25" t="inlineStr">
        <is>
          <t>决定性：1 个同期位置上其余年份一致而该年偏离超过 2%；稳健：3/52 个同期位置 |稳健z| ≥ 3.0</t>
        </is>
      </c>
    </row>
    <row r="6">
      <c r="A6" s="7" t="inlineStr">
        <is>
          <t>周度</t>
        </is>
      </c>
      <c r="B6" s="7" t="n">
        <v>2024</v>
      </c>
      <c r="C6" s="24" t="inlineStr">
        <is>
          <t>异常</t>
        </is>
      </c>
      <c r="D6" s="7" t="n">
        <v>52</v>
      </c>
      <c r="E6" s="7" t="n">
        <v>1</v>
      </c>
      <c r="F6" s="7" t="n">
        <v>5</v>
      </c>
      <c r="G6" s="23" t="n">
        <v>0.0278</v>
      </c>
      <c r="H6" s="23" t="n">
        <v>0.0145</v>
      </c>
      <c r="I6" s="25" t="inlineStr">
        <is>
          <t>决定性：1 个同期位置上其余年份一致而该年偏离超过 2%；稳健：5/52 个同期位置 |稳健z| ≥ 3.0</t>
        </is>
      </c>
    </row>
    <row r="7">
      <c r="A7" s="7" t="inlineStr">
        <is>
          <t>周度</t>
        </is>
      </c>
      <c r="B7" s="7" t="n">
        <v>2025</v>
      </c>
      <c r="C7" s="24" t="inlineStr">
        <is>
          <t>异常</t>
        </is>
      </c>
      <c r="D7" s="7" t="n">
        <v>52</v>
      </c>
      <c r="E7" s="7" t="n">
        <v>1</v>
      </c>
      <c r="F7" s="7" t="n">
        <v>7</v>
      </c>
      <c r="G7" s="23" t="n">
        <v>0.052</v>
      </c>
      <c r="H7" s="23" t="n">
        <v>0.0292</v>
      </c>
      <c r="I7" s="25" t="inlineStr">
        <is>
          <t>决定性：1 个同期位置上其余年份一致而该年偏离超过 2%；稳健：7/52 个同期位置 |稳健z| ≥ 3.0</t>
        </is>
      </c>
    </row>
    <row r="8">
      <c r="A8" s="7" t="inlineStr">
        <is>
          <t>周度</t>
        </is>
      </c>
      <c r="B8" s="7" t="n">
        <v>2026</v>
      </c>
      <c r="C8" s="24" t="inlineStr">
        <is>
          <t>异常</t>
        </is>
      </c>
      <c r="D8" s="7" t="n">
        <v>43</v>
      </c>
      <c r="E8" s="7" t="n">
        <v>1</v>
      </c>
      <c r="F8" s="7" t="n">
        <v>34</v>
      </c>
      <c r="G8" s="23" t="n">
        <v>0.1494</v>
      </c>
      <c r="H8" s="23" t="n">
        <v>0.0578</v>
      </c>
      <c r="I8" s="25" t="inlineStr">
        <is>
          <t>决定性：1 个同期位置上其余年份一致而该年偏离超过 2%；稳健：34/43 个同期位置 |稳健z| ≥ 3.0</t>
        </is>
      </c>
    </row>
    <row r="9">
      <c r="A9" s="7" t="inlineStr">
        <is>
          <t>月度</t>
        </is>
      </c>
      <c r="B9" s="7" t="n">
        <v>2022</v>
      </c>
      <c r="C9" s="26" t="inlineStr">
        <is>
          <t>正常</t>
        </is>
      </c>
      <c r="D9" s="7" t="n">
        <v>5</v>
      </c>
      <c r="E9" s="7" t="n">
        <v>0</v>
      </c>
      <c r="F9" s="7" t="n">
        <v>0</v>
      </c>
      <c r="G9" s="23" t="n">
        <v>0</v>
      </c>
      <c r="H9" s="23" t="n">
        <v>0.0134</v>
      </c>
      <c r="I9" s="25" t="inlineStr"/>
    </row>
    <row r="10">
      <c r="A10" s="7" t="inlineStr">
        <is>
          <t>月度</t>
        </is>
      </c>
      <c r="B10" s="7" t="n">
        <v>2023</v>
      </c>
      <c r="C10" s="24" t="inlineStr">
        <is>
          <t>异常</t>
        </is>
      </c>
      <c r="D10" s="7" t="n">
        <v>12</v>
      </c>
      <c r="E10" s="7" t="n">
        <v>1</v>
      </c>
      <c r="F10" s="7" t="n">
        <v>1</v>
      </c>
      <c r="G10" s="23" t="n">
        <v>0.0533</v>
      </c>
      <c r="H10" s="23" t="n">
        <v>0.0269</v>
      </c>
      <c r="I10" s="25" t="inlineStr">
        <is>
          <t>决定性：1 个同期位置上其余年份一致而该年偏离超过 2%；稳健：1/12 个同期位置 |稳健z| ≥ 3.0</t>
        </is>
      </c>
    </row>
    <row r="11">
      <c r="A11" s="7" t="inlineStr">
        <is>
          <t>月度</t>
        </is>
      </c>
      <c r="B11" s="7" t="n">
        <v>2024</v>
      </c>
      <c r="C11" s="27" t="inlineStr">
        <is>
          <t>关注</t>
        </is>
      </c>
      <c r="D11" s="7" t="n">
        <v>12</v>
      </c>
      <c r="E11" s="7" t="n">
        <v>0</v>
      </c>
      <c r="F11" s="7" t="n">
        <v>1</v>
      </c>
      <c r="G11" s="23" t="n">
        <v>0.0274</v>
      </c>
      <c r="H11" s="23" t="n">
        <v>0.017</v>
      </c>
      <c r="I11" s="25" t="inlineStr">
        <is>
          <t>单一位置稳健离群（05月，稳健z=5.2）</t>
        </is>
      </c>
    </row>
    <row r="12">
      <c r="A12" s="7" t="inlineStr">
        <is>
          <t>月度</t>
        </is>
      </c>
      <c r="B12" s="7" t="n">
        <v>2025</v>
      </c>
      <c r="C12" s="27" t="inlineStr">
        <is>
          <t>关注</t>
        </is>
      </c>
      <c r="D12" s="7" t="n">
        <v>12</v>
      </c>
      <c r="E12" s="7" t="n">
        <v>0</v>
      </c>
      <c r="F12" s="7" t="n">
        <v>1</v>
      </c>
      <c r="G12" s="23" t="n">
        <v>0.0297</v>
      </c>
      <c r="H12" s="23" t="n">
        <v>0.0315</v>
      </c>
      <c r="I12" s="25" t="inlineStr">
        <is>
          <t>单一位置稳健离群（08月，稳健z=-8.7）</t>
        </is>
      </c>
    </row>
    <row r="13">
      <c r="A13" s="7" t="inlineStr">
        <is>
          <t>月度</t>
        </is>
      </c>
      <c r="B13" s="7" t="n">
        <v>2026</v>
      </c>
      <c r="C13" s="24" t="inlineStr">
        <is>
          <t>异常</t>
        </is>
      </c>
      <c r="D13" s="7" t="n">
        <v>10</v>
      </c>
      <c r="E13" s="7" t="n">
        <v>0</v>
      </c>
      <c r="F13" s="7" t="n">
        <v>9</v>
      </c>
      <c r="G13" s="23" t="n">
        <v>0.1358</v>
      </c>
      <c r="H13" s="23" t="n">
        <v>0.0645</v>
      </c>
      <c r="I13" s="25" t="inlineStr">
        <is>
          <t>稳健：9/10 个同期位置 |稳健z| ≥ 3.0</t>
        </is>
      </c>
    </row>
    <row r="15">
      <c r="A15" s="3" t="inlineStr">
        <is>
          <t>逐位置离群证据（哪一周/月出现了哪个年份的离群）</t>
        </is>
      </c>
    </row>
    <row r="16" ht="30" customHeight="1">
      <c r="A16" s="6" t="inlineStr">
        <is>
          <t>频率</t>
        </is>
      </c>
      <c r="B16" s="6" t="inlineStr">
        <is>
          <t>位置</t>
        </is>
      </c>
      <c r="C16" s="6" t="inlineStr">
        <is>
          <t>年份</t>
        </is>
      </c>
      <c r="D16" s="6" t="inlineStr">
        <is>
          <t>类型</t>
        </is>
      </c>
      <c r="E16" s="6" t="inlineStr">
        <is>
          <t>该年值</t>
        </is>
      </c>
      <c r="F16" s="6" t="inlineStr">
        <is>
          <t>其余年中位</t>
        </is>
      </c>
      <c r="G16" s="6" t="inlineStr">
        <is>
          <t>其余年均值</t>
        </is>
      </c>
      <c r="H16" s="6" t="inlineStr">
        <is>
          <t>其余年MAD</t>
        </is>
      </c>
      <c r="I16" s="6" t="inlineStr">
        <is>
          <t>偏离%</t>
        </is>
      </c>
      <c r="J16" s="6" t="inlineStr">
        <is>
          <t>稳健z</t>
        </is>
      </c>
      <c r="K16" s="6" t="inlineStr">
        <is>
          <t>剔除该年后同期均值变化</t>
        </is>
      </c>
    </row>
    <row r="17">
      <c r="A17" s="7" t="inlineStr">
        <is>
          <t>周度</t>
        </is>
      </c>
      <c r="B17" s="7" t="inlineStr">
        <is>
          <t>W02</t>
        </is>
      </c>
      <c r="C17" s="7" t="n">
        <v>2024</v>
      </c>
      <c r="D17" s="7" t="inlineStr">
        <is>
          <t>稳健离群(MAD距≥3σ)</t>
        </is>
      </c>
      <c r="E17" s="8" t="n">
        <v>2415.83</v>
      </c>
      <c r="F17" s="8" t="n">
        <v>2635.83</v>
      </c>
      <c r="G17" s="8" t="n">
        <v>2516.9433</v>
      </c>
      <c r="H17" s="8" t="n">
        <v>38.34</v>
      </c>
      <c r="I17" s="23" t="n">
        <v>0.0835</v>
      </c>
      <c r="J17" s="22" t="n">
        <v>-3.87</v>
      </c>
      <c r="K17" s="23" t="n">
        <v>0.0101</v>
      </c>
    </row>
    <row r="18">
      <c r="A18" s="7" t="inlineStr">
        <is>
          <t>周度</t>
        </is>
      </c>
      <c r="B18" s="7" t="inlineStr">
        <is>
          <t>W02</t>
        </is>
      </c>
      <c r="C18" s="7" t="n">
        <v>2026</v>
      </c>
      <c r="D18" s="7" t="inlineStr">
        <is>
          <t>稳健离群(MAD距≥3σ)</t>
        </is>
      </c>
      <c r="E18" s="8" t="n">
        <v>2240.83</v>
      </c>
      <c r="F18" s="8" t="n">
        <v>2635.83</v>
      </c>
      <c r="G18" s="8" t="n">
        <v>2575.2767</v>
      </c>
      <c r="H18" s="8" t="n">
        <v>38.34</v>
      </c>
      <c r="I18" s="23" t="n">
        <v>0.1499</v>
      </c>
      <c r="J18" s="22" t="n">
        <v>-6.949</v>
      </c>
      <c r="K18" s="23" t="n">
        <v>0.0336</v>
      </c>
    </row>
    <row r="19">
      <c r="A19" s="7" t="inlineStr">
        <is>
          <t>周度</t>
        </is>
      </c>
      <c r="B19" s="7" t="inlineStr">
        <is>
          <t>W03</t>
        </is>
      </c>
      <c r="C19" s="7" t="n">
        <v>2024</v>
      </c>
      <c r="D19" s="7" t="inlineStr">
        <is>
          <t>稳健离群(MAD距≥3σ)</t>
        </is>
      </c>
      <c r="E19" s="8" t="n">
        <v>2447.5</v>
      </c>
      <c r="F19" s="8" t="n">
        <v>2690</v>
      </c>
      <c r="G19" s="8" t="n">
        <v>2550.2767</v>
      </c>
      <c r="H19" s="8" t="n">
        <v>20</v>
      </c>
      <c r="I19" s="23" t="n">
        <v>0.0901</v>
      </c>
      <c r="J19" s="22" t="n">
        <v>-8.178000000000001</v>
      </c>
      <c r="K19" s="23" t="n">
        <v>0.0102</v>
      </c>
    </row>
    <row r="20">
      <c r="A20" s="7" t="inlineStr">
        <is>
          <t>周度</t>
        </is>
      </c>
      <c r="B20" s="7" t="inlineStr">
        <is>
          <t>W03</t>
        </is>
      </c>
      <c r="C20" s="7" t="n">
        <v>2026</v>
      </c>
      <c r="D20" s="7" t="inlineStr">
        <is>
          <t>稳健离群(MAD距≥3σ)</t>
        </is>
      </c>
      <c r="E20" s="8" t="n">
        <v>2250.83</v>
      </c>
      <c r="F20" s="8" t="n">
        <v>2690</v>
      </c>
      <c r="G20" s="8" t="n">
        <v>2615.8333</v>
      </c>
      <c r="H20" s="8" t="n">
        <v>20</v>
      </c>
      <c r="I20" s="23" t="n">
        <v>0.1633</v>
      </c>
      <c r="J20" s="22" t="n">
        <v>-14.811</v>
      </c>
      <c r="K20" s="23" t="n">
        <v>0.0361</v>
      </c>
    </row>
    <row r="21">
      <c r="A21" s="7" t="inlineStr">
        <is>
          <t>周度</t>
        </is>
      </c>
      <c r="B21" s="7" t="inlineStr">
        <is>
          <t>W04</t>
        </is>
      </c>
      <c r="C21" s="7" t="n">
        <v>2026</v>
      </c>
      <c r="D21" s="7" t="inlineStr">
        <is>
          <t>稳健离群(MAD距≥3σ)</t>
        </is>
      </c>
      <c r="E21" s="8" t="n">
        <v>2225.83</v>
      </c>
      <c r="F21" s="8" t="n">
        <v>2630</v>
      </c>
      <c r="G21" s="8" t="n">
        <v>2645.2767</v>
      </c>
      <c r="H21" s="8" t="n">
        <v>14.17</v>
      </c>
      <c r="I21" s="23" t="n">
        <v>0.1537</v>
      </c>
      <c r="J21" s="22" t="n">
        <v>-19.238</v>
      </c>
      <c r="K21" s="23" t="n">
        <v>0.0413</v>
      </c>
    </row>
    <row r="22">
      <c r="A22" s="7" t="inlineStr">
        <is>
          <t>周度</t>
        </is>
      </c>
      <c r="B22" s="7" t="inlineStr">
        <is>
          <t>W05</t>
        </is>
      </c>
      <c r="C22" s="7" t="n">
        <v>2026</v>
      </c>
      <c r="D22" s="7" t="inlineStr">
        <is>
          <t>稳健离群(MAD距≥3σ)</t>
        </is>
      </c>
      <c r="E22" s="8" t="n">
        <v>2284.17</v>
      </c>
      <c r="F22" s="8" t="n">
        <v>2635.83</v>
      </c>
      <c r="G22" s="8" t="n">
        <v>2640.2767</v>
      </c>
      <c r="H22" s="8" t="n">
        <v>74.16</v>
      </c>
      <c r="I22" s="23" t="n">
        <v>0.1334</v>
      </c>
      <c r="J22" s="22" t="n">
        <v>-3.198</v>
      </c>
      <c r="K22" s="23" t="n">
        <v>0.0349</v>
      </c>
    </row>
    <row r="23">
      <c r="A23" s="7" t="inlineStr">
        <is>
          <t>周度</t>
        </is>
      </c>
      <c r="B23" s="7" t="inlineStr">
        <is>
          <t>W06</t>
        </is>
      </c>
      <c r="C23" s="7" t="n">
        <v>2026</v>
      </c>
      <c r="D23" s="7" t="inlineStr">
        <is>
          <t>稳健离群(MAD距≥3σ)</t>
        </is>
      </c>
      <c r="E23" s="8" t="n">
        <v>2200</v>
      </c>
      <c r="F23" s="8" t="n">
        <v>2650</v>
      </c>
      <c r="G23" s="8" t="n">
        <v>2667.1433</v>
      </c>
      <c r="H23" s="8" t="n">
        <v>10</v>
      </c>
      <c r="I23" s="23" t="n">
        <v>0.1698</v>
      </c>
      <c r="J23" s="22" t="n">
        <v>-30.352</v>
      </c>
      <c r="K23" s="23" t="n">
        <v>0.0458</v>
      </c>
    </row>
    <row r="24">
      <c r="A24" s="7" t="inlineStr">
        <is>
          <t>周度</t>
        </is>
      </c>
      <c r="B24" s="7" t="inlineStr">
        <is>
          <t>W07</t>
        </is>
      </c>
      <c r="C24" s="7" t="n">
        <v>2026</v>
      </c>
      <c r="D24" s="7" t="inlineStr">
        <is>
          <t>稳健离群(MAD距≥3σ)</t>
        </is>
      </c>
      <c r="E24" s="8" t="n">
        <v>2225</v>
      </c>
      <c r="F24" s="8" t="n">
        <v>2640</v>
      </c>
      <c r="G24" s="8" t="n">
        <v>2651.8667</v>
      </c>
      <c r="H24" s="8" t="n">
        <v>35.83</v>
      </c>
      <c r="I24" s="23" t="n">
        <v>0.1572</v>
      </c>
      <c r="J24" s="22" t="n">
        <v>-7.812</v>
      </c>
      <c r="K24" s="23" t="n">
        <v>0.0419</v>
      </c>
    </row>
    <row r="25">
      <c r="A25" s="7" t="inlineStr">
        <is>
          <t>周度</t>
        </is>
      </c>
      <c r="B25" s="7" t="inlineStr">
        <is>
          <t>W08</t>
        </is>
      </c>
      <c r="C25" s="7" t="n">
        <v>2026</v>
      </c>
      <c r="D25" s="7" t="inlineStr">
        <is>
          <t>稳健离群(MAD距≥3σ)</t>
        </is>
      </c>
      <c r="E25" s="8" t="n">
        <v>2201.67</v>
      </c>
      <c r="F25" s="8" t="n">
        <v>2635.83</v>
      </c>
      <c r="G25" s="8" t="n">
        <v>2664.4433</v>
      </c>
      <c r="H25" s="8" t="n">
        <v>40.83</v>
      </c>
      <c r="I25" s="23" t="n">
        <v>0.1647</v>
      </c>
      <c r="J25" s="22" t="n">
        <v>-7.172</v>
      </c>
      <c r="K25" s="23" t="n">
        <v>0.0454</v>
      </c>
    </row>
    <row r="26">
      <c r="A26" s="7" t="inlineStr">
        <is>
          <t>周度</t>
        </is>
      </c>
      <c r="B26" s="7" t="inlineStr">
        <is>
          <t>W09</t>
        </is>
      </c>
      <c r="C26" s="7" t="n">
        <v>2026</v>
      </c>
      <c r="D26" s="7" t="inlineStr">
        <is>
          <t>稳健离群(MAD距≥3σ)</t>
        </is>
      </c>
      <c r="E26" s="8" t="n">
        <v>2185.83</v>
      </c>
      <c r="F26" s="8" t="n">
        <v>2701.67</v>
      </c>
      <c r="G26" s="8" t="n">
        <v>2688.6133</v>
      </c>
      <c r="H26" s="8" t="n">
        <v>28.33</v>
      </c>
      <c r="I26" s="23" t="n">
        <v>0.1909</v>
      </c>
      <c r="J26" s="22" t="n">
        <v>-12.281</v>
      </c>
      <c r="K26" s="23" t="n">
        <v>0.049</v>
      </c>
    </row>
    <row r="27">
      <c r="A27" s="7" t="inlineStr">
        <is>
          <t>周度</t>
        </is>
      </c>
      <c r="B27" s="7" t="inlineStr">
        <is>
          <t>W10</t>
        </is>
      </c>
      <c r="C27" s="7" t="n">
        <v>2026</v>
      </c>
      <c r="D27" s="7" t="inlineStr">
        <is>
          <t>稳健离群(MAD距≥3σ)</t>
        </is>
      </c>
      <c r="E27" s="8" t="n">
        <v>2500</v>
      </c>
      <c r="F27" s="8" t="n">
        <v>2649.17</v>
      </c>
      <c r="G27" s="8" t="n">
        <v>2666.39</v>
      </c>
      <c r="H27" s="8" t="n">
        <v>10.84</v>
      </c>
      <c r="I27" s="23" t="n">
        <v>0.0563</v>
      </c>
      <c r="J27" s="22" t="n">
        <v>-9.282</v>
      </c>
      <c r="K27" s="23" t="n">
        <v>0.0158</v>
      </c>
    </row>
    <row r="28">
      <c r="A28" s="7" t="inlineStr">
        <is>
          <t>周度</t>
        </is>
      </c>
      <c r="B28" s="7" t="inlineStr">
        <is>
          <t>W11</t>
        </is>
      </c>
      <c r="C28" s="7" t="n">
        <v>2023</v>
      </c>
      <c r="D28" s="7" t="inlineStr">
        <is>
          <t>决定性命中(其余年一致)</t>
        </is>
      </c>
      <c r="E28" s="8" t="n">
        <v>2575.83</v>
      </c>
      <c r="F28" s="8" t="n">
        <v>2710</v>
      </c>
      <c r="G28" s="8" t="n">
        <v>2696.11</v>
      </c>
      <c r="H28" s="8" t="n">
        <v>40</v>
      </c>
      <c r="I28" s="23" t="n">
        <v>0.0495</v>
      </c>
      <c r="J28" s="22" t="n">
        <v>-2.262</v>
      </c>
      <c r="K28" s="23" t="n">
        <v>0.0113</v>
      </c>
    </row>
    <row r="29">
      <c r="A29" s="7" t="inlineStr">
        <is>
          <t>周度</t>
        </is>
      </c>
      <c r="B29" s="7" t="inlineStr">
        <is>
          <t>W11</t>
        </is>
      </c>
      <c r="C29" s="7" t="n">
        <v>2024</v>
      </c>
      <c r="D29" s="7" t="inlineStr">
        <is>
          <t>决定性命中(其余年一致)</t>
        </is>
      </c>
      <c r="E29" s="8" t="n">
        <v>2710</v>
      </c>
      <c r="F29" s="8" t="n">
        <v>2628.33</v>
      </c>
      <c r="G29" s="8" t="n">
        <v>2651.3867</v>
      </c>
      <c r="H29" s="8" t="n">
        <v>52.5</v>
      </c>
      <c r="I29" s="23" t="n">
        <v>0.0311</v>
      </c>
      <c r="J29" s="22" t="n">
        <v>1.049</v>
      </c>
      <c r="K29" s="23" t="n">
        <v>-0.0055</v>
      </c>
    </row>
    <row r="30">
      <c r="A30" s="7" t="inlineStr">
        <is>
          <t>周度</t>
        </is>
      </c>
      <c r="B30" s="7" t="inlineStr">
        <is>
          <t>W11</t>
        </is>
      </c>
      <c r="C30" s="7" t="n">
        <v>2025</v>
      </c>
      <c r="D30" s="7" t="inlineStr">
        <is>
          <t>决定性命中(其余年一致)</t>
        </is>
      </c>
      <c r="E30" s="8" t="n">
        <v>2628.33</v>
      </c>
      <c r="F30" s="8" t="n">
        <v>2710</v>
      </c>
      <c r="G30" s="8" t="n">
        <v>2678.61</v>
      </c>
      <c r="H30" s="8" t="n">
        <v>40</v>
      </c>
      <c r="I30" s="23" t="n">
        <v>0.0301</v>
      </c>
      <c r="J30" s="22" t="n">
        <v>-1.377</v>
      </c>
      <c r="K30" s="23" t="n">
        <v>0.0047</v>
      </c>
    </row>
    <row r="31">
      <c r="A31" s="7" t="inlineStr">
        <is>
          <t>周度</t>
        </is>
      </c>
      <c r="B31" s="7" t="inlineStr">
        <is>
          <t>W11</t>
        </is>
      </c>
      <c r="C31" s="7" t="n">
        <v>2026</v>
      </c>
      <c r="D31" s="7" t="inlineStr">
        <is>
          <t>决定性命中(其余年一致)</t>
        </is>
      </c>
      <c r="E31" s="8" t="n">
        <v>2750</v>
      </c>
      <c r="F31" s="8" t="n">
        <v>2628.33</v>
      </c>
      <c r="G31" s="8" t="n">
        <v>2638.0533</v>
      </c>
      <c r="H31" s="8" t="n">
        <v>52.5</v>
      </c>
      <c r="I31" s="23" t="n">
        <v>0.0463</v>
      </c>
      <c r="J31" s="22" t="n">
        <v>1.563</v>
      </c>
      <c r="K31" s="23" t="n">
        <v>-0.0105</v>
      </c>
    </row>
    <row r="32">
      <c r="A32" s="7" t="inlineStr">
        <is>
          <t>周度</t>
        </is>
      </c>
      <c r="B32" s="7" t="inlineStr">
        <is>
          <t>W12</t>
        </is>
      </c>
      <c r="C32" s="7" t="n">
        <v>2026</v>
      </c>
      <c r="D32" s="7" t="inlineStr">
        <is>
          <t>稳健离群(MAD距≥3σ)</t>
        </is>
      </c>
      <c r="E32" s="8" t="n">
        <v>3170</v>
      </c>
      <c r="F32" s="8" t="n">
        <v>2685.83</v>
      </c>
      <c r="G32" s="8" t="n">
        <v>2663.3333</v>
      </c>
      <c r="H32" s="8" t="n">
        <v>8.34</v>
      </c>
      <c r="I32" s="23" t="n">
        <v>0.1803</v>
      </c>
      <c r="J32" s="22" t="n">
        <v>39.157</v>
      </c>
      <c r="K32" s="23" t="n">
        <v>-0.0454</v>
      </c>
    </row>
    <row r="33">
      <c r="A33" s="7" t="inlineStr">
        <is>
          <t>周度</t>
        </is>
      </c>
      <c r="B33" s="7" t="inlineStr">
        <is>
          <t>W13</t>
        </is>
      </c>
      <c r="C33" s="7" t="n">
        <v>2026</v>
      </c>
      <c r="D33" s="7" t="inlineStr">
        <is>
          <t>稳健离群(MAD距≥3σ)</t>
        </is>
      </c>
      <c r="E33" s="8" t="n">
        <v>3286.67</v>
      </c>
      <c r="F33" s="8" t="n">
        <v>2583.33</v>
      </c>
      <c r="G33" s="8" t="n">
        <v>2605.5533</v>
      </c>
      <c r="H33" s="8" t="n">
        <v>40</v>
      </c>
      <c r="I33" s="23" t="n">
        <v>0.2723</v>
      </c>
      <c r="J33" s="22" t="n">
        <v>11.86</v>
      </c>
      <c r="K33" s="23" t="n">
        <v>-0.0613</v>
      </c>
    </row>
    <row r="34">
      <c r="A34" s="7" t="inlineStr">
        <is>
          <t>周度</t>
        </is>
      </c>
      <c r="B34" s="7" t="inlineStr">
        <is>
          <t>W14</t>
        </is>
      </c>
      <c r="C34" s="7" t="n">
        <v>2026</v>
      </c>
      <c r="D34" s="7" t="inlineStr">
        <is>
          <t>稳健离群(MAD距≥3σ)</t>
        </is>
      </c>
      <c r="E34" s="8" t="n">
        <v>3346.67</v>
      </c>
      <c r="F34" s="8" t="n">
        <v>2550</v>
      </c>
      <c r="G34" s="8" t="n">
        <v>2544.4433</v>
      </c>
      <c r="H34" s="8" t="n">
        <v>60</v>
      </c>
      <c r="I34" s="23" t="n">
        <v>0.3124</v>
      </c>
      <c r="J34" s="22" t="n">
        <v>8.956</v>
      </c>
      <c r="K34" s="23" t="n">
        <v>-0.0731</v>
      </c>
    </row>
    <row r="35">
      <c r="A35" s="7" t="inlineStr">
        <is>
          <t>周度</t>
        </is>
      </c>
      <c r="B35" s="7" t="inlineStr">
        <is>
          <t>W15</t>
        </is>
      </c>
      <c r="C35" s="7" t="n">
        <v>2026</v>
      </c>
      <c r="D35" s="7" t="inlineStr">
        <is>
          <t>稳健离群(MAD距≥3σ)</t>
        </is>
      </c>
      <c r="E35" s="8" t="n">
        <v>3386.67</v>
      </c>
      <c r="F35" s="8" t="n">
        <v>2537.5</v>
      </c>
      <c r="G35" s="8" t="n">
        <v>2529.7233</v>
      </c>
      <c r="H35" s="8" t="n">
        <v>42.5</v>
      </c>
      <c r="I35" s="23" t="n">
        <v>0.3346</v>
      </c>
      <c r="J35" s="22" t="n">
        <v>13.477</v>
      </c>
      <c r="K35" s="23" t="n">
        <v>-0.0781</v>
      </c>
    </row>
    <row r="36">
      <c r="A36" s="7" t="inlineStr">
        <is>
          <t>周度</t>
        </is>
      </c>
      <c r="B36" s="7" t="inlineStr">
        <is>
          <t>W16</t>
        </is>
      </c>
      <c r="C36" s="7" t="n">
        <v>2026</v>
      </c>
      <c r="D36" s="7" t="inlineStr">
        <is>
          <t>稳健离群(MAD距≥3σ)</t>
        </is>
      </c>
      <c r="E36" s="8" t="n">
        <v>3393.33</v>
      </c>
      <c r="F36" s="8" t="n">
        <v>2550</v>
      </c>
      <c r="G36" s="8" t="n">
        <v>2548.4733</v>
      </c>
      <c r="H36" s="8" t="n">
        <v>141.67</v>
      </c>
      <c r="I36" s="23" t="n">
        <v>0.3307</v>
      </c>
      <c r="J36" s="22" t="n">
        <v>4.015</v>
      </c>
      <c r="K36" s="23" t="n">
        <v>-0.0765</v>
      </c>
    </row>
    <row r="37">
      <c r="A37" s="7" t="inlineStr">
        <is>
          <t>周度</t>
        </is>
      </c>
      <c r="B37" s="7" t="inlineStr">
        <is>
          <t>W17</t>
        </is>
      </c>
      <c r="C37" s="7" t="n">
        <v>2026</v>
      </c>
      <c r="D37" s="7" t="inlineStr">
        <is>
          <t>稳健离群(MAD距≥3σ)</t>
        </is>
      </c>
      <c r="E37" s="8" t="n">
        <v>3256.67</v>
      </c>
      <c r="F37" s="8" t="n">
        <v>2488.33</v>
      </c>
      <c r="G37" s="8" t="n">
        <v>2506.6667</v>
      </c>
      <c r="H37" s="8" t="n">
        <v>68.33</v>
      </c>
      <c r="I37" s="23" t="n">
        <v>0.3088</v>
      </c>
      <c r="J37" s="22" t="n">
        <v>7.584</v>
      </c>
      <c r="K37" s="23" t="n">
        <v>-0.0696</v>
      </c>
    </row>
    <row r="38">
      <c r="A38" s="7" t="inlineStr">
        <is>
          <t>周度</t>
        </is>
      </c>
      <c r="B38" s="7" t="inlineStr">
        <is>
          <t>W18</t>
        </is>
      </c>
      <c r="C38" s="7" t="n">
        <v>2026</v>
      </c>
      <c r="D38" s="7" t="inlineStr">
        <is>
          <t>稳健离群(MAD距≥3σ)</t>
        </is>
      </c>
      <c r="E38" s="8" t="n">
        <v>3295.83</v>
      </c>
      <c r="F38" s="8" t="n">
        <v>2440</v>
      </c>
      <c r="G38" s="8" t="n">
        <v>2501.1133</v>
      </c>
      <c r="H38" s="8" t="n">
        <v>28.33</v>
      </c>
      <c r="I38" s="23" t="n">
        <v>0.3507</v>
      </c>
      <c r="J38" s="22" t="n">
        <v>20.376</v>
      </c>
      <c r="K38" s="23" t="n">
        <v>-0.0736</v>
      </c>
    </row>
    <row r="39">
      <c r="A39" s="7" t="inlineStr">
        <is>
          <t>周度</t>
        </is>
      </c>
      <c r="B39" s="7" t="inlineStr">
        <is>
          <t>W19</t>
        </is>
      </c>
      <c r="C39" s="7" t="n">
        <v>2026</v>
      </c>
      <c r="D39" s="7" t="inlineStr">
        <is>
          <t>稳健离群(MAD距≥3σ)</t>
        </is>
      </c>
      <c r="E39" s="8" t="n">
        <v>3170</v>
      </c>
      <c r="F39" s="8" t="n">
        <v>2390</v>
      </c>
      <c r="G39" s="8" t="n">
        <v>2473.3333</v>
      </c>
      <c r="H39" s="8" t="n">
        <v>30</v>
      </c>
      <c r="I39" s="23" t="n">
        <v>0.3264</v>
      </c>
      <c r="J39" s="22" t="n">
        <v>17.537</v>
      </c>
      <c r="K39" s="23" t="n">
        <v>-0.0658</v>
      </c>
    </row>
    <row r="40">
      <c r="A40" s="7" t="inlineStr">
        <is>
          <t>周度</t>
        </is>
      </c>
      <c r="B40" s="7" t="inlineStr">
        <is>
          <t>W20</t>
        </is>
      </c>
      <c r="C40" s="7" t="n">
        <v>2024</v>
      </c>
      <c r="D40" s="7" t="inlineStr">
        <is>
          <t>稳健离群(MAD距≥3σ)</t>
        </is>
      </c>
      <c r="E40" s="8" t="n">
        <v>2864.17</v>
      </c>
      <c r="F40" s="8" t="n">
        <v>2426.25</v>
      </c>
      <c r="G40" s="8" t="n">
        <v>2623.1933</v>
      </c>
      <c r="H40" s="8" t="n">
        <v>82.92</v>
      </c>
      <c r="I40" s="23" t="n">
        <v>0.1805</v>
      </c>
      <c r="J40" s="22" t="n">
        <v>3.562</v>
      </c>
      <c r="K40" s="23" t="n">
        <v>-0.0225</v>
      </c>
    </row>
    <row r="41">
      <c r="A41" s="7" t="inlineStr">
        <is>
          <t>周度</t>
        </is>
      </c>
      <c r="B41" s="7" t="inlineStr">
        <is>
          <t>W20</t>
        </is>
      </c>
      <c r="C41" s="7" t="n">
        <v>2026</v>
      </c>
      <c r="D41" s="7" t="inlineStr">
        <is>
          <t>稳健离群(MAD距≥3σ)</t>
        </is>
      </c>
      <c r="E41" s="8" t="n">
        <v>3100</v>
      </c>
      <c r="F41" s="8" t="n">
        <v>2426.25</v>
      </c>
      <c r="G41" s="8" t="n">
        <v>2544.5833</v>
      </c>
      <c r="H41" s="8" t="n">
        <v>82.92</v>
      </c>
      <c r="I41" s="23" t="n">
        <v>0.2777</v>
      </c>
      <c r="J41" s="22" t="n">
        <v>5.48</v>
      </c>
      <c r="K41" s="23" t="n">
        <v>-0.0517</v>
      </c>
    </row>
    <row r="42">
      <c r="A42" s="7" t="inlineStr">
        <is>
          <t>周度</t>
        </is>
      </c>
      <c r="B42" s="7" t="inlineStr">
        <is>
          <t>W21</t>
        </is>
      </c>
      <c r="C42" s="7" t="n">
        <v>2026</v>
      </c>
      <c r="D42" s="7" t="inlineStr">
        <is>
          <t>稳健离群(MAD距≥3σ)</t>
        </is>
      </c>
      <c r="E42" s="8" t="n">
        <v>3215.83</v>
      </c>
      <c r="F42" s="8" t="n">
        <v>2312.5</v>
      </c>
      <c r="G42" s="8" t="n">
        <v>2402.22</v>
      </c>
      <c r="H42" s="8" t="n">
        <v>176.67</v>
      </c>
      <c r="I42" s="23" t="n">
        <v>0.3906</v>
      </c>
      <c r="J42" s="22" t="n">
        <v>3.449</v>
      </c>
      <c r="K42" s="23" t="n">
        <v>-0.0781</v>
      </c>
    </row>
    <row r="43">
      <c r="A43" s="7" t="inlineStr">
        <is>
          <t>周度</t>
        </is>
      </c>
      <c r="B43" s="7" t="inlineStr">
        <is>
          <t>W22</t>
        </is>
      </c>
      <c r="C43" s="7" t="n">
        <v>2024</v>
      </c>
      <c r="D43" s="7" t="inlineStr">
        <is>
          <t>稳健离群(MAD距≥3σ)</t>
        </is>
      </c>
      <c r="E43" s="8" t="n">
        <v>2800</v>
      </c>
      <c r="F43" s="8" t="n">
        <v>2247</v>
      </c>
      <c r="G43" s="8" t="n">
        <v>2512.3333</v>
      </c>
      <c r="H43" s="8" t="n">
        <v>85.33</v>
      </c>
      <c r="I43" s="23" t="n">
        <v>0.2461</v>
      </c>
      <c r="J43" s="22" t="n">
        <v>4.371</v>
      </c>
      <c r="K43" s="23" t="n">
        <v>-0.0278</v>
      </c>
    </row>
    <row r="44">
      <c r="A44" s="7" t="inlineStr">
        <is>
          <t>周度</t>
        </is>
      </c>
      <c r="B44" s="7" t="inlineStr">
        <is>
          <t>W22</t>
        </is>
      </c>
      <c r="C44" s="7" t="n">
        <v>2026</v>
      </c>
      <c r="D44" s="7" t="inlineStr">
        <is>
          <t>稳健离群(MAD距≥3σ)</t>
        </is>
      </c>
      <c r="E44" s="8" t="n">
        <v>3128.33</v>
      </c>
      <c r="F44" s="8" t="n">
        <v>2247</v>
      </c>
      <c r="G44" s="8" t="n">
        <v>2402.89</v>
      </c>
      <c r="H44" s="8" t="n">
        <v>85.33</v>
      </c>
      <c r="I44" s="23" t="n">
        <v>0.3922</v>
      </c>
      <c r="J44" s="22" t="n">
        <v>6.966</v>
      </c>
      <c r="K44" s="23" t="n">
        <v>-0.0702</v>
      </c>
    </row>
    <row r="45">
      <c r="A45" s="7" t="inlineStr">
        <is>
          <t>周度</t>
        </is>
      </c>
      <c r="B45" s="7" t="inlineStr">
        <is>
          <t>W24</t>
        </is>
      </c>
      <c r="C45" s="7" t="n">
        <v>2026</v>
      </c>
      <c r="D45" s="7" t="inlineStr">
        <is>
          <t>稳健离群(MAD距≥3σ)</t>
        </is>
      </c>
      <c r="E45" s="8" t="n">
        <v>3441.67</v>
      </c>
      <c r="F45" s="8" t="n">
        <v>2362</v>
      </c>
      <c r="G45" s="8" t="n">
        <v>2327.3333</v>
      </c>
      <c r="H45" s="8" t="n">
        <v>198</v>
      </c>
      <c r="I45" s="23" t="n">
        <v>0.4571</v>
      </c>
      <c r="J45" s="22" t="n">
        <v>3.678</v>
      </c>
      <c r="K45" s="23" t="n">
        <v>-0.1069</v>
      </c>
    </row>
    <row r="46">
      <c r="A46" s="7" t="inlineStr">
        <is>
          <t>周度</t>
        </is>
      </c>
      <c r="B46" s="7" t="inlineStr">
        <is>
          <t>W26</t>
        </is>
      </c>
      <c r="C46" s="7" t="n">
        <v>2023</v>
      </c>
      <c r="D46" s="7" t="inlineStr">
        <is>
          <t>稳健离群(MAD距≥3σ)</t>
        </is>
      </c>
      <c r="E46" s="8" t="n">
        <v>2161.67</v>
      </c>
      <c r="F46" s="8" t="n">
        <v>2713.33</v>
      </c>
      <c r="G46" s="8" t="n">
        <v>2664.72</v>
      </c>
      <c r="H46" s="8" t="n">
        <v>37.5</v>
      </c>
      <c r="I46" s="23" t="n">
        <v>0.2033</v>
      </c>
      <c r="J46" s="22" t="n">
        <v>-9.922000000000001</v>
      </c>
      <c r="K46" s="23" t="n">
        <v>0.0495</v>
      </c>
    </row>
    <row r="47">
      <c r="A47" s="7" t="inlineStr">
        <is>
          <t>周度</t>
        </is>
      </c>
      <c r="B47" s="7" t="inlineStr">
        <is>
          <t>W27</t>
        </is>
      </c>
      <c r="C47" s="7" t="n">
        <v>2023</v>
      </c>
      <c r="D47" s="7" t="inlineStr">
        <is>
          <t>稳健离群(MAD距≥3σ)</t>
        </is>
      </c>
      <c r="E47" s="8" t="n">
        <v>2155.83</v>
      </c>
      <c r="F47" s="8" t="n">
        <v>2540</v>
      </c>
      <c r="G47" s="8" t="n">
        <v>2520</v>
      </c>
      <c r="H47" s="8" t="n">
        <v>5.83</v>
      </c>
      <c r="I47" s="23" t="n">
        <v>0.1512</v>
      </c>
      <c r="J47" s="22" t="n">
        <v>-44.446</v>
      </c>
      <c r="K47" s="23" t="n">
        <v>0.0375</v>
      </c>
    </row>
    <row r="48">
      <c r="A48" s="7" t="inlineStr">
        <is>
          <t>周度</t>
        </is>
      </c>
      <c r="B48" s="7" t="inlineStr">
        <is>
          <t>W30</t>
        </is>
      </c>
      <c r="C48" s="7" t="n">
        <v>2023</v>
      </c>
      <c r="D48" s="7" t="inlineStr">
        <is>
          <t>稳健离群(MAD距≥3σ)</t>
        </is>
      </c>
      <c r="E48" s="8" t="n">
        <v>2250.83</v>
      </c>
      <c r="F48" s="8" t="n">
        <v>2510</v>
      </c>
      <c r="G48" s="8" t="n">
        <v>2573.0567</v>
      </c>
      <c r="H48" s="8" t="n">
        <v>50.83</v>
      </c>
      <c r="I48" s="23" t="n">
        <v>0.1033</v>
      </c>
      <c r="J48" s="22" t="n">
        <v>-3.439</v>
      </c>
      <c r="K48" s="23" t="n">
        <v>0.0323</v>
      </c>
    </row>
    <row r="49">
      <c r="A49" s="7" t="inlineStr">
        <is>
          <t>周度</t>
        </is>
      </c>
      <c r="B49" s="7" t="inlineStr">
        <is>
          <t>W30</t>
        </is>
      </c>
      <c r="C49" s="7" t="n">
        <v>2026</v>
      </c>
      <c r="D49" s="7" t="inlineStr">
        <is>
          <t>稳健离群(MAD距≥3σ)</t>
        </is>
      </c>
      <c r="E49" s="8" t="n">
        <v>2750</v>
      </c>
      <c r="F49" s="8" t="n">
        <v>2459.17</v>
      </c>
      <c r="G49" s="8" t="n">
        <v>2406.6667</v>
      </c>
      <c r="H49" s="8" t="n">
        <v>50.83</v>
      </c>
      <c r="I49" s="23" t="n">
        <v>0.1183</v>
      </c>
      <c r="J49" s="22" t="n">
        <v>3.859</v>
      </c>
      <c r="K49" s="23" t="n">
        <v>-0.0344</v>
      </c>
    </row>
    <row r="50">
      <c r="A50" s="7" t="inlineStr">
        <is>
          <t>周度</t>
        </is>
      </c>
      <c r="B50" s="7" t="inlineStr">
        <is>
          <t>W32</t>
        </is>
      </c>
      <c r="C50" s="7" t="n">
        <v>2024</v>
      </c>
      <c r="D50" s="7" t="inlineStr">
        <is>
          <t>稳健离群(MAD距≥3σ)</t>
        </is>
      </c>
      <c r="E50" s="8" t="n">
        <v>2471.67</v>
      </c>
      <c r="F50" s="8" t="n">
        <v>2380.83</v>
      </c>
      <c r="G50" s="8" t="n">
        <v>2426.39</v>
      </c>
      <c r="H50" s="8" t="n">
        <v>14.16</v>
      </c>
      <c r="I50" s="23" t="n">
        <v>0.0382</v>
      </c>
      <c r="J50" s="22" t="n">
        <v>4.327</v>
      </c>
      <c r="K50" s="23" t="n">
        <v>-0.0046</v>
      </c>
    </row>
    <row r="51">
      <c r="A51" s="7" t="inlineStr">
        <is>
          <t>周度</t>
        </is>
      </c>
      <c r="B51" s="7" t="inlineStr">
        <is>
          <t>W32</t>
        </is>
      </c>
      <c r="C51" s="7" t="n">
        <v>2026</v>
      </c>
      <c r="D51" s="7" t="inlineStr">
        <is>
          <t>稳健离群(MAD距≥3σ)</t>
        </is>
      </c>
      <c r="E51" s="8" t="n">
        <v>2531.67</v>
      </c>
      <c r="F51" s="8" t="n">
        <v>2380.83</v>
      </c>
      <c r="G51" s="8" t="n">
        <v>2406.39</v>
      </c>
      <c r="H51" s="8" t="n">
        <v>14.16</v>
      </c>
      <c r="I51" s="23" t="n">
        <v>0.0634</v>
      </c>
      <c r="J51" s="22" t="n">
        <v>7.185</v>
      </c>
      <c r="K51" s="23" t="n">
        <v>-0.0128</v>
      </c>
    </row>
    <row r="52">
      <c r="A52" s="7" t="inlineStr">
        <is>
          <t>周度</t>
        </is>
      </c>
      <c r="B52" s="7" t="inlineStr">
        <is>
          <t>W33</t>
        </is>
      </c>
      <c r="C52" s="7" t="n">
        <v>2026</v>
      </c>
      <c r="D52" s="7" t="inlineStr">
        <is>
          <t>稳健离群(MAD距≥3σ)</t>
        </is>
      </c>
      <c r="E52" s="8" t="n">
        <v>2668.33</v>
      </c>
      <c r="F52" s="8" t="n">
        <v>2383.75</v>
      </c>
      <c r="G52" s="8" t="n">
        <v>2388.23</v>
      </c>
      <c r="H52" s="8" t="n">
        <v>32.5</v>
      </c>
      <c r="I52" s="23" t="n">
        <v>0.1194</v>
      </c>
      <c r="J52" s="22" t="n">
        <v>5.906</v>
      </c>
      <c r="K52" s="23" t="n">
        <v>-0.0229</v>
      </c>
    </row>
    <row r="53">
      <c r="A53" s="7" t="inlineStr">
        <is>
          <t>周度</t>
        </is>
      </c>
      <c r="B53" s="7" t="inlineStr">
        <is>
          <t>W34</t>
        </is>
      </c>
      <c r="C53" s="7" t="n">
        <v>2026</v>
      </c>
      <c r="D53" s="7" t="inlineStr">
        <is>
          <t>稳健离群(MAD距≥3σ)</t>
        </is>
      </c>
      <c r="E53" s="8" t="n">
        <v>2875.83</v>
      </c>
      <c r="F53" s="8" t="n">
        <v>2468.75</v>
      </c>
      <c r="G53" s="8" t="n">
        <v>2453.77</v>
      </c>
      <c r="H53" s="8" t="n">
        <v>56.46</v>
      </c>
      <c r="I53" s="23" t="n">
        <v>0.1649</v>
      </c>
      <c r="J53" s="22" t="n">
        <v>4.863</v>
      </c>
      <c r="K53" s="23" t="n">
        <v>-0.0333</v>
      </c>
    </row>
    <row r="54">
      <c r="A54" s="7" t="inlineStr">
        <is>
          <t>周度</t>
        </is>
      </c>
      <c r="B54" s="7" t="inlineStr">
        <is>
          <t>W35</t>
        </is>
      </c>
      <c r="C54" s="7" t="n">
        <v>2025</v>
      </c>
      <c r="D54" s="7" t="inlineStr">
        <is>
          <t>稳健离群(MAD距≥3σ)</t>
        </is>
      </c>
      <c r="E54" s="8" t="n">
        <v>2245.83</v>
      </c>
      <c r="F54" s="8" t="n">
        <v>2539.375</v>
      </c>
      <c r="G54" s="8" t="n">
        <v>2606.3525</v>
      </c>
      <c r="H54" s="8" t="n">
        <v>28.96</v>
      </c>
      <c r="I54" s="23" t="n">
        <v>0.1156</v>
      </c>
      <c r="J54" s="22" t="n">
        <v>-6.837</v>
      </c>
      <c r="K54" s="23" t="n">
        <v>0.0285</v>
      </c>
    </row>
    <row r="55">
      <c r="A55" s="7" t="inlineStr">
        <is>
          <t>周度</t>
        </is>
      </c>
      <c r="B55" s="7" t="inlineStr">
        <is>
          <t>W35</t>
        </is>
      </c>
      <c r="C55" s="7" t="n">
        <v>2026</v>
      </c>
      <c r="D55" s="7" t="inlineStr">
        <is>
          <t>稳健离群(MAD距≥3σ)</t>
        </is>
      </c>
      <c r="E55" s="8" t="n">
        <v>2850.83</v>
      </c>
      <c r="F55" s="8" t="n">
        <v>2510.415</v>
      </c>
      <c r="G55" s="8" t="n">
        <v>2455.1025</v>
      </c>
      <c r="H55" s="8" t="n">
        <v>28.96</v>
      </c>
      <c r="I55" s="23" t="n">
        <v>0.1356</v>
      </c>
      <c r="J55" s="22" t="n">
        <v>7.928</v>
      </c>
      <c r="K55" s="23" t="n">
        <v>-0.0312</v>
      </c>
    </row>
    <row r="56">
      <c r="A56" s="7" t="inlineStr">
        <is>
          <t>周度</t>
        </is>
      </c>
      <c r="B56" s="7" t="inlineStr">
        <is>
          <t>W36</t>
        </is>
      </c>
      <c r="C56" s="7" t="n">
        <v>2026</v>
      </c>
      <c r="D56" s="7" t="inlineStr">
        <is>
          <t>稳健离群(MAD距≥3σ)</t>
        </is>
      </c>
      <c r="E56" s="8" t="n">
        <v>3349.17</v>
      </c>
      <c r="F56" s="8" t="n">
        <v>2442.5</v>
      </c>
      <c r="G56" s="8" t="n">
        <v>2460.8325</v>
      </c>
      <c r="H56" s="8" t="n">
        <v>126.67</v>
      </c>
      <c r="I56" s="23" t="n">
        <v>0.3712</v>
      </c>
      <c r="J56" s="22" t="n">
        <v>4.828</v>
      </c>
      <c r="K56" s="23" t="n">
        <v>-0.0673</v>
      </c>
    </row>
    <row r="57">
      <c r="A57" s="7" t="inlineStr">
        <is>
          <t>周度</t>
        </is>
      </c>
      <c r="B57" s="7" t="inlineStr">
        <is>
          <t>W37</t>
        </is>
      </c>
      <c r="C57" s="7" t="n">
        <v>2026</v>
      </c>
      <c r="D57" s="7" t="inlineStr">
        <is>
          <t>稳健离群(MAD距≥3σ)</t>
        </is>
      </c>
      <c r="E57" s="8" t="n">
        <v>3726.67</v>
      </c>
      <c r="F57" s="8" t="n">
        <v>2466.665</v>
      </c>
      <c r="G57" s="8" t="n">
        <v>2498.3325</v>
      </c>
      <c r="H57" s="8" t="n">
        <v>118.75</v>
      </c>
      <c r="I57" s="23" t="n">
        <v>0.5108</v>
      </c>
      <c r="J57" s="22" t="n">
        <v>7.157</v>
      </c>
      <c r="K57" s="23" t="n">
        <v>-0.0895</v>
      </c>
    </row>
    <row r="58">
      <c r="A58" s="7" t="inlineStr">
        <is>
          <t>周度</t>
        </is>
      </c>
      <c r="B58" s="7" t="inlineStr">
        <is>
          <t>W38</t>
        </is>
      </c>
      <c r="C58" s="7" t="n">
        <v>2026</v>
      </c>
      <c r="D58" s="7" t="inlineStr">
        <is>
          <t>稳健离群(MAD距≥3σ)</t>
        </is>
      </c>
      <c r="E58" s="8" t="n">
        <v>4030</v>
      </c>
      <c r="F58" s="8" t="n">
        <v>2489.585</v>
      </c>
      <c r="G58" s="8" t="n">
        <v>2501.71</v>
      </c>
      <c r="H58" s="8" t="n">
        <v>138.75</v>
      </c>
      <c r="I58" s="23" t="n">
        <v>0.6187</v>
      </c>
      <c r="J58" s="22" t="n">
        <v>7.488</v>
      </c>
      <c r="K58" s="23" t="n">
        <v>-0.1089</v>
      </c>
    </row>
    <row r="59">
      <c r="A59" s="7" t="inlineStr">
        <is>
          <t>周度</t>
        </is>
      </c>
      <c r="B59" s="7" t="inlineStr">
        <is>
          <t>W39</t>
        </is>
      </c>
      <c r="C59" s="7" t="n">
        <v>2026</v>
      </c>
      <c r="D59" s="7" t="inlineStr">
        <is>
          <t>稳健离群(MAD距≥3σ)</t>
        </is>
      </c>
      <c r="E59" s="8" t="n">
        <v>4110</v>
      </c>
      <c r="F59" s="8" t="n">
        <v>2459.58</v>
      </c>
      <c r="G59" s="8" t="n">
        <v>2546.3525</v>
      </c>
      <c r="H59" s="8" t="n">
        <v>112.29</v>
      </c>
      <c r="I59" s="23" t="n">
        <v>0.671</v>
      </c>
      <c r="J59" s="22" t="n">
        <v>9.914</v>
      </c>
      <c r="K59" s="23" t="n">
        <v>-0.1094</v>
      </c>
    </row>
    <row r="60">
      <c r="A60" s="7" t="inlineStr">
        <is>
          <t>周度</t>
        </is>
      </c>
      <c r="B60" s="7" t="inlineStr">
        <is>
          <t>W40</t>
        </is>
      </c>
      <c r="C60" s="7" t="n">
        <v>2026</v>
      </c>
      <c r="D60" s="7" t="inlineStr">
        <is>
          <t>稳健离群(MAD距≥3σ)</t>
        </is>
      </c>
      <c r="E60" s="8" t="n">
        <v>4493.33</v>
      </c>
      <c r="F60" s="8" t="n">
        <v>2527.915</v>
      </c>
      <c r="G60" s="8" t="n">
        <v>2599.5825</v>
      </c>
      <c r="H60" s="8" t="n">
        <v>170</v>
      </c>
      <c r="I60" s="23" t="n">
        <v>0.7775</v>
      </c>
      <c r="J60" s="22" t="n">
        <v>7.798</v>
      </c>
      <c r="K60" s="23" t="n">
        <v>-0.1272</v>
      </c>
    </row>
    <row r="61">
      <c r="A61" s="7" t="inlineStr">
        <is>
          <t>周度</t>
        </is>
      </c>
      <c r="B61" s="7" t="inlineStr">
        <is>
          <t>W41</t>
        </is>
      </c>
      <c r="C61" s="7" t="n">
        <v>2026</v>
      </c>
      <c r="D61" s="7" t="inlineStr">
        <is>
          <t>稳健离群(MAD距≥3σ)</t>
        </is>
      </c>
      <c r="E61" s="8" t="n">
        <v>4733.33</v>
      </c>
      <c r="F61" s="8" t="n">
        <v>2492.915</v>
      </c>
      <c r="G61" s="8" t="n">
        <v>2520.2075</v>
      </c>
      <c r="H61" s="8" t="n">
        <v>136.665</v>
      </c>
      <c r="I61" s="23" t="n">
        <v>0.8987000000000001</v>
      </c>
      <c r="J61" s="22" t="n">
        <v>11.057</v>
      </c>
      <c r="K61" s="23" t="n">
        <v>-0.1494</v>
      </c>
    </row>
    <row r="62">
      <c r="A62" s="7" t="inlineStr">
        <is>
          <t>周度</t>
        </is>
      </c>
      <c r="B62" s="7" t="inlineStr">
        <is>
          <t>W42</t>
        </is>
      </c>
      <c r="C62" s="7" t="n">
        <v>2026</v>
      </c>
      <c r="D62" s="7" t="inlineStr">
        <is>
          <t>稳健离群(MAD距≥3σ)</t>
        </is>
      </c>
      <c r="E62" s="8" t="n">
        <v>3990</v>
      </c>
      <c r="F62" s="8" t="n">
        <v>2453.335</v>
      </c>
      <c r="G62" s="8" t="n">
        <v>2531.1675</v>
      </c>
      <c r="H62" s="8" t="n">
        <v>66.33499999999999</v>
      </c>
      <c r="I62" s="23" t="n">
        <v>0.6264</v>
      </c>
      <c r="J62" s="22" t="n">
        <v>15.625</v>
      </c>
      <c r="K62" s="23" t="n">
        <v>-0.1034</v>
      </c>
    </row>
    <row r="63">
      <c r="A63" s="7" t="inlineStr">
        <is>
          <t>周度</t>
        </is>
      </c>
      <c r="B63" s="7" t="inlineStr">
        <is>
          <t>W43</t>
        </is>
      </c>
      <c r="C63" s="7" t="n">
        <v>2026</v>
      </c>
      <c r="D63" s="7" t="inlineStr">
        <is>
          <t>稳健离群(MAD距≥3σ)</t>
        </is>
      </c>
      <c r="E63" s="8" t="n">
        <v>3966.67</v>
      </c>
      <c r="F63" s="8" t="n">
        <v>2435</v>
      </c>
      <c r="G63" s="8" t="n">
        <v>2481.5</v>
      </c>
      <c r="H63" s="8" t="n">
        <v>92</v>
      </c>
      <c r="I63" s="23" t="n">
        <v>0.629</v>
      </c>
      <c r="J63" s="22" t="n">
        <v>11.229</v>
      </c>
      <c r="K63" s="23" t="n">
        <v>-0.1069</v>
      </c>
    </row>
    <row r="64">
      <c r="A64" s="7" t="inlineStr">
        <is>
          <t>周度</t>
        </is>
      </c>
      <c r="B64" s="7" t="inlineStr">
        <is>
          <t>W44</t>
        </is>
      </c>
      <c r="C64" s="7" t="n">
        <v>2022</v>
      </c>
      <c r="D64" s="7" t="inlineStr">
        <is>
          <t>稳健离群(MAD距≥3σ)</t>
        </is>
      </c>
      <c r="E64" s="8" t="n">
        <v>2851</v>
      </c>
      <c r="F64" s="8" t="n">
        <v>2410</v>
      </c>
      <c r="G64" s="8" t="n">
        <v>2357</v>
      </c>
      <c r="H64" s="8" t="n">
        <v>75</v>
      </c>
      <c r="I64" s="23" t="n">
        <v>0.183</v>
      </c>
      <c r="J64" s="22" t="n">
        <v>3.966</v>
      </c>
      <c r="K64" s="23" t="n">
        <v>-0.0498</v>
      </c>
    </row>
    <row r="65">
      <c r="A65" s="7" t="inlineStr">
        <is>
          <t>周度</t>
        </is>
      </c>
      <c r="B65" s="7" t="inlineStr">
        <is>
          <t>W45</t>
        </is>
      </c>
      <c r="C65" s="7" t="n">
        <v>2025</v>
      </c>
      <c r="D65" s="7" t="inlineStr">
        <is>
          <t>稳健离群(MAD距≥3σ)</t>
        </is>
      </c>
      <c r="E65" s="8" t="n">
        <v>2096</v>
      </c>
      <c r="F65" s="8" t="n">
        <v>2505.83</v>
      </c>
      <c r="G65" s="8" t="n">
        <v>2565.5567</v>
      </c>
      <c r="H65" s="8" t="n">
        <v>6.66</v>
      </c>
      <c r="I65" s="23" t="n">
        <v>0.1636</v>
      </c>
      <c r="J65" s="22" t="n">
        <v>-41.505</v>
      </c>
      <c r="K65" s="23" t="n">
        <v>0.0479</v>
      </c>
    </row>
    <row r="66">
      <c r="A66" s="7" t="inlineStr">
        <is>
          <t>周度</t>
        </is>
      </c>
      <c r="B66" s="7" t="inlineStr">
        <is>
          <t>W46</t>
        </is>
      </c>
      <c r="C66" s="7" t="n">
        <v>2022</v>
      </c>
      <c r="D66" s="7" t="inlineStr">
        <is>
          <t>稳健离群(MAD距≥3σ)</t>
        </is>
      </c>
      <c r="E66" s="8" t="n">
        <v>2800</v>
      </c>
      <c r="F66" s="8" t="n">
        <v>2475</v>
      </c>
      <c r="G66" s="8" t="n">
        <v>2349.61</v>
      </c>
      <c r="H66" s="8" t="n">
        <v>20.83</v>
      </c>
      <c r="I66" s="23" t="n">
        <v>0.1313</v>
      </c>
      <c r="J66" s="22" t="n">
        <v>10.524</v>
      </c>
      <c r="K66" s="23" t="n">
        <v>-0.0457</v>
      </c>
    </row>
    <row r="67">
      <c r="A67" s="7" t="inlineStr">
        <is>
          <t>周度</t>
        </is>
      </c>
      <c r="B67" s="7" t="inlineStr">
        <is>
          <t>W46</t>
        </is>
      </c>
      <c r="C67" s="7" t="n">
        <v>2025</v>
      </c>
      <c r="D67" s="7" t="inlineStr">
        <is>
          <t>稳健离群(MAD距≥3σ)</t>
        </is>
      </c>
      <c r="E67" s="8" t="n">
        <v>2078</v>
      </c>
      <c r="F67" s="8" t="n">
        <v>2495.83</v>
      </c>
      <c r="G67" s="8" t="n">
        <v>2590.2767</v>
      </c>
      <c r="H67" s="8" t="n">
        <v>20.83</v>
      </c>
      <c r="I67" s="23" t="n">
        <v>0.1674</v>
      </c>
      <c r="J67" s="22" t="n">
        <v>-13.53</v>
      </c>
      <c r="K67" s="23" t="n">
        <v>0.052</v>
      </c>
    </row>
    <row r="68">
      <c r="A68" s="7" t="inlineStr">
        <is>
          <t>周度</t>
        </is>
      </c>
      <c r="B68" s="7" t="inlineStr">
        <is>
          <t>W48</t>
        </is>
      </c>
      <c r="C68" s="7" t="n">
        <v>2025</v>
      </c>
      <c r="D68" s="7" t="inlineStr">
        <is>
          <t>稳健离群(MAD距≥3σ)</t>
        </is>
      </c>
      <c r="E68" s="8" t="n">
        <v>2103.33</v>
      </c>
      <c r="F68" s="8" t="n">
        <v>2538.33</v>
      </c>
      <c r="G68" s="8" t="n">
        <v>2576.9433</v>
      </c>
      <c r="H68" s="8" t="n">
        <v>27.5</v>
      </c>
      <c r="I68" s="23" t="n">
        <v>0.1714</v>
      </c>
      <c r="J68" s="22" t="n">
        <v>-10.669</v>
      </c>
      <c r="K68" s="23" t="n">
        <v>0.0482</v>
      </c>
    </row>
    <row r="69">
      <c r="A69" s="7" t="inlineStr">
        <is>
          <t>周度</t>
        </is>
      </c>
      <c r="B69" s="7" t="inlineStr">
        <is>
          <t>W49</t>
        </is>
      </c>
      <c r="C69" s="7" t="n">
        <v>2025</v>
      </c>
      <c r="D69" s="7" t="inlineStr">
        <is>
          <t>稳健离群(MAD距≥3σ)</t>
        </is>
      </c>
      <c r="E69" s="8" t="n">
        <v>2100</v>
      </c>
      <c r="F69" s="8" t="n">
        <v>2482.5</v>
      </c>
      <c r="G69" s="8" t="n">
        <v>2523.0567</v>
      </c>
      <c r="H69" s="8" t="n">
        <v>27.5</v>
      </c>
      <c r="I69" s="23" t="n">
        <v>0.1541</v>
      </c>
      <c r="J69" s="22" t="n">
        <v>-9.382</v>
      </c>
      <c r="K69" s="23" t="n">
        <v>0.0438</v>
      </c>
    </row>
    <row r="70">
      <c r="A70" s="7" t="inlineStr">
        <is>
          <t>周度</t>
        </is>
      </c>
      <c r="B70" s="7" t="inlineStr">
        <is>
          <t>W50</t>
        </is>
      </c>
      <c r="C70" s="7" t="n">
        <v>2025</v>
      </c>
      <c r="D70" s="7" t="inlineStr">
        <is>
          <t>稳健离群(MAD距≥3σ)</t>
        </is>
      </c>
      <c r="E70" s="8" t="n">
        <v>2104.17</v>
      </c>
      <c r="F70" s="8" t="n">
        <v>2595.83</v>
      </c>
      <c r="G70" s="8" t="n">
        <v>2564.9967</v>
      </c>
      <c r="H70" s="8" t="n">
        <v>82.5</v>
      </c>
      <c r="I70" s="23" t="n">
        <v>0.1894</v>
      </c>
      <c r="J70" s="22" t="n">
        <v>-4.02</v>
      </c>
      <c r="K70" s="23" t="n">
        <v>0.047</v>
      </c>
    </row>
    <row r="71">
      <c r="A71" s="7" t="inlineStr">
        <is>
          <t>周度</t>
        </is>
      </c>
      <c r="B71" s="7" t="inlineStr">
        <is>
          <t>W51</t>
        </is>
      </c>
      <c r="C71" s="7" t="n">
        <v>2025</v>
      </c>
      <c r="D71" s="7" t="inlineStr">
        <is>
          <t>稳健离群(MAD距≥3σ)</t>
        </is>
      </c>
      <c r="E71" s="8" t="n">
        <v>2157.5</v>
      </c>
      <c r="F71" s="8" t="n">
        <v>2600</v>
      </c>
      <c r="G71" s="8" t="n">
        <v>2570.2767</v>
      </c>
      <c r="H71" s="8" t="n">
        <v>25</v>
      </c>
      <c r="I71" s="23" t="n">
        <v>0.1702</v>
      </c>
      <c r="J71" s="22" t="n">
        <v>-11.938</v>
      </c>
      <c r="K71" s="23" t="n">
        <v>0.0418</v>
      </c>
    </row>
    <row r="72">
      <c r="A72" s="7" t="inlineStr">
        <is>
          <t>月度</t>
        </is>
      </c>
      <c r="B72" s="7" t="inlineStr">
        <is>
          <t>01月</t>
        </is>
      </c>
      <c r="C72" s="7" t="n">
        <v>2026</v>
      </c>
      <c r="D72" s="7" t="inlineStr">
        <is>
          <t>稳健离群(MAD距≥3σ)</t>
        </is>
      </c>
      <c r="E72" s="8" t="n">
        <v>2284.17</v>
      </c>
      <c r="F72" s="8" t="n">
        <v>2635.83</v>
      </c>
      <c r="G72" s="8" t="n">
        <v>2658.75</v>
      </c>
      <c r="H72" s="8" t="n">
        <v>64.16</v>
      </c>
      <c r="I72" s="23" t="n">
        <v>0.1334</v>
      </c>
      <c r="J72" s="22" t="n">
        <v>-3.697</v>
      </c>
      <c r="K72" s="23" t="n">
        <v>0.0365</v>
      </c>
    </row>
    <row r="73">
      <c r="A73" s="7" t="inlineStr">
        <is>
          <t>月度</t>
        </is>
      </c>
      <c r="B73" s="7" t="inlineStr">
        <is>
          <t>02月</t>
        </is>
      </c>
      <c r="C73" s="7" t="n">
        <v>2026</v>
      </c>
      <c r="D73" s="7" t="inlineStr">
        <is>
          <t>稳健离群(MAD距≥3σ)</t>
        </is>
      </c>
      <c r="E73" s="8" t="n">
        <v>2185.83</v>
      </c>
      <c r="F73" s="8" t="n">
        <v>2741.67</v>
      </c>
      <c r="G73" s="8" t="n">
        <v>2718.89</v>
      </c>
      <c r="H73" s="8" t="n">
        <v>39.16</v>
      </c>
      <c r="I73" s="23" t="n">
        <v>0.2027</v>
      </c>
      <c r="J73" s="22" t="n">
        <v>-9.574</v>
      </c>
      <c r="K73" s="23" t="n">
        <v>0.0515</v>
      </c>
    </row>
    <row r="74">
      <c r="A74" s="7" t="inlineStr">
        <is>
          <t>月度</t>
        </is>
      </c>
      <c r="B74" s="7" t="inlineStr">
        <is>
          <t>03月</t>
        </is>
      </c>
      <c r="C74" s="7" t="n">
        <v>2026</v>
      </c>
      <c r="D74" s="7" t="inlineStr">
        <is>
          <t>稳健离群(MAD距≥3σ)</t>
        </is>
      </c>
      <c r="E74" s="8" t="n">
        <v>3460</v>
      </c>
      <c r="F74" s="8" t="n">
        <v>2583.33</v>
      </c>
      <c r="G74" s="8" t="n">
        <v>2593.61</v>
      </c>
      <c r="H74" s="8" t="n">
        <v>40</v>
      </c>
      <c r="I74" s="23" t="n">
        <v>0.3394</v>
      </c>
      <c r="J74" s="22" t="n">
        <v>14.783</v>
      </c>
      <c r="K74" s="23" t="n">
        <v>-0.0771</v>
      </c>
    </row>
    <row r="75">
      <c r="A75" s="7" t="inlineStr">
        <is>
          <t>月度</t>
        </is>
      </c>
      <c r="B75" s="7" t="inlineStr">
        <is>
          <t>04月</t>
        </is>
      </c>
      <c r="C75" s="7" t="n">
        <v>2026</v>
      </c>
      <c r="D75" s="7" t="inlineStr">
        <is>
          <t>稳健离群(MAD距≥3σ)</t>
        </is>
      </c>
      <c r="E75" s="8" t="n">
        <v>3292.5</v>
      </c>
      <c r="F75" s="8" t="n">
        <v>2488.33</v>
      </c>
      <c r="G75" s="8" t="n">
        <v>2525</v>
      </c>
      <c r="H75" s="8" t="n">
        <v>50.83</v>
      </c>
      <c r="I75" s="23" t="n">
        <v>0.3232</v>
      </c>
      <c r="J75" s="22" t="n">
        <v>10.671</v>
      </c>
      <c r="K75" s="23" t="n">
        <v>-0.0706</v>
      </c>
    </row>
    <row r="76">
      <c r="A76" s="7" t="inlineStr">
        <is>
          <t>月度</t>
        </is>
      </c>
      <c r="B76" s="7" t="inlineStr">
        <is>
          <t>05月</t>
        </is>
      </c>
      <c r="C76" s="7" t="n">
        <v>2024</v>
      </c>
      <c r="D76" s="7" t="inlineStr">
        <is>
          <t>稳健离群(MAD距≥3σ)</t>
        </is>
      </c>
      <c r="E76" s="8" t="n">
        <v>2800</v>
      </c>
      <c r="F76" s="8" t="n">
        <v>2247</v>
      </c>
      <c r="G76" s="8" t="n">
        <v>2516.7767</v>
      </c>
      <c r="H76" s="8" t="n">
        <v>72</v>
      </c>
      <c r="I76" s="23" t="n">
        <v>0.2461</v>
      </c>
      <c r="J76" s="22" t="n">
        <v>5.18</v>
      </c>
      <c r="K76" s="23" t="n">
        <v>-0.0274</v>
      </c>
    </row>
    <row r="77">
      <c r="A77" s="7" t="inlineStr">
        <is>
          <t>月度</t>
        </is>
      </c>
      <c r="B77" s="7" t="inlineStr">
        <is>
          <t>05月</t>
        </is>
      </c>
      <c r="C77" s="7" t="n">
        <v>2026</v>
      </c>
      <c r="D77" s="7" t="inlineStr">
        <is>
          <t>稳健离群(MAD距≥3σ)</t>
        </is>
      </c>
      <c r="E77" s="8" t="n">
        <v>3128.33</v>
      </c>
      <c r="F77" s="8" t="n">
        <v>2247</v>
      </c>
      <c r="G77" s="8" t="n">
        <v>2407.3333</v>
      </c>
      <c r="H77" s="8" t="n">
        <v>72</v>
      </c>
      <c r="I77" s="23" t="n">
        <v>0.3922</v>
      </c>
      <c r="J77" s="22" t="n">
        <v>8.256</v>
      </c>
      <c r="K77" s="23" t="n">
        <v>-0.0697</v>
      </c>
    </row>
    <row r="78">
      <c r="A78" s="7" t="inlineStr">
        <is>
          <t>月度</t>
        </is>
      </c>
      <c r="B78" s="7" t="inlineStr">
        <is>
          <t>06月</t>
        </is>
      </c>
      <c r="C78" s="7" t="n">
        <v>2023</v>
      </c>
      <c r="D78" s="7" t="inlineStr">
        <is>
          <t>稳健离群(MAD距≥3σ)</t>
        </is>
      </c>
      <c r="E78" s="8" t="n">
        <v>2161.67</v>
      </c>
      <c r="F78" s="8" t="n">
        <v>2785.83</v>
      </c>
      <c r="G78" s="8" t="n">
        <v>2709.72</v>
      </c>
      <c r="H78" s="8" t="n">
        <v>27.5</v>
      </c>
      <c r="I78" s="23" t="n">
        <v>0.224</v>
      </c>
      <c r="J78" s="22" t="n">
        <v>-15.309</v>
      </c>
      <c r="K78" s="23" t="n">
        <v>0.0533</v>
      </c>
    </row>
    <row r="79">
      <c r="A79" s="7" t="inlineStr">
        <is>
          <t>月度</t>
        </is>
      </c>
      <c r="B79" s="7" t="inlineStr">
        <is>
          <t>07月</t>
        </is>
      </c>
      <c r="C79" s="7" t="n">
        <v>2023</v>
      </c>
      <c r="D79" s="7" t="inlineStr">
        <is>
          <t>决定性命中(其余年一致)</t>
        </is>
      </c>
      <c r="E79" s="8" t="n">
        <v>2281.67</v>
      </c>
      <c r="F79" s="8" t="n">
        <v>2465.83</v>
      </c>
      <c r="G79" s="8" t="n">
        <v>2515.8333</v>
      </c>
      <c r="H79" s="8" t="n">
        <v>49.16</v>
      </c>
      <c r="I79" s="23" t="n">
        <v>0.0747</v>
      </c>
      <c r="J79" s="22" t="n">
        <v>-2.527</v>
      </c>
      <c r="K79" s="23" t="n">
        <v>0.0238</v>
      </c>
    </row>
    <row r="80">
      <c r="A80" s="7" t="inlineStr">
        <is>
          <t>月度</t>
        </is>
      </c>
      <c r="B80" s="7" t="inlineStr">
        <is>
          <t>07月</t>
        </is>
      </c>
      <c r="C80" s="7" t="n">
        <v>2026</v>
      </c>
      <c r="D80" s="7" t="inlineStr">
        <is>
          <t>稳健离群(MAD距≥3σ)</t>
        </is>
      </c>
      <c r="E80" s="8" t="n">
        <v>2665</v>
      </c>
      <c r="F80" s="8" t="n">
        <v>2416.67</v>
      </c>
      <c r="G80" s="8" t="n">
        <v>2388.0567</v>
      </c>
      <c r="H80" s="8" t="n">
        <v>49.16</v>
      </c>
      <c r="I80" s="23" t="n">
        <v>0.1028</v>
      </c>
      <c r="J80" s="22" t="n">
        <v>3.407</v>
      </c>
      <c r="K80" s="23" t="n">
        <v>-0.0282</v>
      </c>
    </row>
    <row r="81">
      <c r="A81" s="7" t="inlineStr">
        <is>
          <t>月度</t>
        </is>
      </c>
      <c r="B81" s="7" t="inlineStr">
        <is>
          <t>08月</t>
        </is>
      </c>
      <c r="C81" s="7" t="n">
        <v>2025</v>
      </c>
      <c r="D81" s="7" t="inlineStr">
        <is>
          <t>稳健离群(MAD距≥3σ)</t>
        </is>
      </c>
      <c r="E81" s="8" t="n">
        <v>2245.83</v>
      </c>
      <c r="F81" s="8" t="n">
        <v>2540.835</v>
      </c>
      <c r="G81" s="8" t="n">
        <v>2624.7925</v>
      </c>
      <c r="H81" s="8" t="n">
        <v>22.92</v>
      </c>
      <c r="I81" s="23" t="n">
        <v>0.1161</v>
      </c>
      <c r="J81" s="22" t="n">
        <v>-8.680999999999999</v>
      </c>
      <c r="K81" s="23" t="n">
        <v>0.0297</v>
      </c>
    </row>
    <row r="82">
      <c r="A82" s="7" t="inlineStr">
        <is>
          <t>月度</t>
        </is>
      </c>
      <c r="B82" s="7" t="inlineStr">
        <is>
          <t>08月</t>
        </is>
      </c>
      <c r="C82" s="7" t="n">
        <v>2026</v>
      </c>
      <c r="D82" s="7" t="inlineStr">
        <is>
          <t>稳健离群(MAD距≥3σ)</t>
        </is>
      </c>
      <c r="E82" s="8" t="n">
        <v>2921.67</v>
      </c>
      <c r="F82" s="8" t="n">
        <v>2517.915</v>
      </c>
      <c r="G82" s="8" t="n">
        <v>2455.8325</v>
      </c>
      <c r="H82" s="8" t="n">
        <v>22.92</v>
      </c>
      <c r="I82" s="23" t="n">
        <v>0.1604</v>
      </c>
      <c r="J82" s="22" t="n">
        <v>11.882</v>
      </c>
      <c r="K82" s="23" t="n">
        <v>-0.0366</v>
      </c>
    </row>
    <row r="83">
      <c r="A83" s="7" t="inlineStr">
        <is>
          <t>月度</t>
        </is>
      </c>
      <c r="B83" s="7" t="inlineStr">
        <is>
          <t>09月</t>
        </is>
      </c>
      <c r="C83" s="7" t="n">
        <v>2026</v>
      </c>
      <c r="D83" s="7" t="inlineStr">
        <is>
          <t>稳健离群(MAD距≥3σ)</t>
        </is>
      </c>
      <c r="E83" s="8" t="n">
        <v>4585</v>
      </c>
      <c r="F83" s="8" t="n">
        <v>2498.33</v>
      </c>
      <c r="G83" s="8" t="n">
        <v>2567.29</v>
      </c>
      <c r="H83" s="8" t="n">
        <v>129.165</v>
      </c>
      <c r="I83" s="23" t="n">
        <v>0.8352000000000001</v>
      </c>
      <c r="J83" s="22" t="n">
        <v>10.896</v>
      </c>
      <c r="K83" s="23" t="n">
        <v>-0.1358</v>
      </c>
    </row>
    <row r="84">
      <c r="A84" s="7" t="inlineStr">
        <is>
          <t>月度</t>
        </is>
      </c>
      <c r="B84" s="7" t="inlineStr">
        <is>
          <t>10月</t>
        </is>
      </c>
      <c r="C84" s="7" t="n">
        <v>2026</v>
      </c>
      <c r="D84" s="7" t="inlineStr">
        <is>
          <t>稳健离群(MAD距≥3σ)</t>
        </is>
      </c>
      <c r="E84" s="8" t="n">
        <v>3966.67</v>
      </c>
      <c r="F84" s="8" t="n">
        <v>2448.75</v>
      </c>
      <c r="G84" s="8" t="n">
        <v>2468.375</v>
      </c>
      <c r="H84" s="8" t="n">
        <v>140.75</v>
      </c>
      <c r="I84" s="23" t="n">
        <v>0.6199</v>
      </c>
      <c r="J84" s="22" t="n">
        <v>7.274</v>
      </c>
      <c r="K84" s="23" t="n">
        <v>-0.1083</v>
      </c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9" customWidth="1" min="8" max="8"/>
    <col width="10" customWidth="1" min="9" max="9"/>
    <col width="12" customWidth="1" min="10" max="10"/>
    <col width="11" customWidth="1" min="11" max="11"/>
    <col width="30" customWidth="1" min="12" max="12"/>
  </cols>
  <sheetData>
    <row r="1" ht="22" customHeight="1">
      <c r="A1" s="1" t="inlineStr">
        <is>
          <t>10 样本覆盖与统计可用性（实际覆盖多少就是多少）</t>
        </is>
      </c>
    </row>
    <row r="2">
      <c r="A2" s="2" t="inlineStr">
        <is>
          <t>缺少的年份/月份不在表里出现，而不是补 0 或插值</t>
        </is>
      </c>
    </row>
    <row r="3" ht="30" customHeight="1">
      <c r="A3" s="6" t="inlineStr">
        <is>
          <t>频率</t>
        </is>
      </c>
      <c r="B3" s="6" t="inlineStr">
        <is>
          <t>年份</t>
        </is>
      </c>
      <c r="C3" s="6" t="inlineStr">
        <is>
          <t>首个位置</t>
        </is>
      </c>
      <c r="D3" s="6" t="inlineStr">
        <is>
          <t>末个位置</t>
        </is>
      </c>
      <c r="E3" s="6" t="inlineStr">
        <is>
          <t>首日</t>
        </is>
      </c>
      <c r="F3" s="6" t="inlineStr">
        <is>
          <t>末日</t>
        </is>
      </c>
      <c r="G3" s="6" t="inlineStr">
        <is>
          <t>有效位置数</t>
        </is>
      </c>
      <c r="H3" s="6" t="inlineStr">
        <is>
          <t>报价天数</t>
        </is>
      </c>
      <c r="I3" s="6" t="inlineStr">
        <is>
          <t>内部缺口数</t>
        </is>
      </c>
      <c r="J3" s="6" t="inlineStr">
        <is>
          <t>是否部分覆盖</t>
        </is>
      </c>
      <c r="K3" s="6" t="inlineStr">
        <is>
          <t>可用于统计?</t>
        </is>
      </c>
      <c r="L3" s="6" t="inlineStr">
        <is>
          <t>说明</t>
        </is>
      </c>
    </row>
    <row r="4">
      <c r="A4" s="7" t="inlineStr">
        <is>
          <t>周度</t>
        </is>
      </c>
      <c r="B4" s="7" t="n">
        <v>2022</v>
      </c>
      <c r="C4" s="7" t="n">
        <v>33</v>
      </c>
      <c r="D4" s="7" t="n">
        <v>52</v>
      </c>
      <c r="E4" s="7" t="inlineStr">
        <is>
          <t>2022-08-17</t>
        </is>
      </c>
      <c r="F4" s="7" t="inlineStr">
        <is>
          <t>2022-12-30</t>
        </is>
      </c>
      <c r="G4" s="7" t="n">
        <v>20</v>
      </c>
      <c r="H4" s="7" t="n">
        <v>93</v>
      </c>
      <c r="I4" s="7" t="n">
        <v>0</v>
      </c>
      <c r="J4" s="7" t="inlineStr">
        <is>
          <t>是</t>
        </is>
      </c>
      <c r="K4" s="7" t="inlineStr">
        <is>
          <t>是</t>
        </is>
      </c>
      <c r="L4" s="7" t="inlineStr">
        <is>
          <t>部分年份（缺前段/后段）</t>
        </is>
      </c>
    </row>
    <row r="5">
      <c r="A5" s="7" t="inlineStr">
        <is>
          <t>周度</t>
        </is>
      </c>
      <c r="B5" s="7" t="n">
        <v>2023</v>
      </c>
      <c r="C5" s="7" t="n">
        <v>1</v>
      </c>
      <c r="D5" s="7" t="n">
        <v>52</v>
      </c>
      <c r="E5" s="7" t="inlineStr">
        <is>
          <t>2023-01-02</t>
        </is>
      </c>
      <c r="F5" s="7" t="inlineStr">
        <is>
          <t>2023-12-29</t>
        </is>
      </c>
      <c r="G5" s="7" t="n">
        <v>52</v>
      </c>
      <c r="H5" s="7" t="n">
        <v>259</v>
      </c>
      <c r="I5" s="7" t="n">
        <v>0</v>
      </c>
      <c r="J5" s="7" t="inlineStr">
        <is>
          <t>否</t>
        </is>
      </c>
      <c r="K5" s="7" t="inlineStr">
        <is>
          <t>是</t>
        </is>
      </c>
      <c r="L5" s="7" t="inlineStr">
        <is>
          <t>完整覆盖</t>
        </is>
      </c>
    </row>
    <row r="6">
      <c r="A6" s="7" t="inlineStr">
        <is>
          <t>周度</t>
        </is>
      </c>
      <c r="B6" s="7" t="n">
        <v>2024</v>
      </c>
      <c r="C6" s="7" t="n">
        <v>1</v>
      </c>
      <c r="D6" s="7" t="n">
        <v>52</v>
      </c>
      <c r="E6" s="7" t="inlineStr">
        <is>
          <t>2024-01-01</t>
        </is>
      </c>
      <c r="F6" s="7" t="inlineStr">
        <is>
          <t>2024-12-27</t>
        </is>
      </c>
      <c r="G6" s="7" t="n">
        <v>52</v>
      </c>
      <c r="H6" s="7" t="n">
        <v>260</v>
      </c>
      <c r="I6" s="7" t="n">
        <v>0</v>
      </c>
      <c r="J6" s="7" t="inlineStr">
        <is>
          <t>否</t>
        </is>
      </c>
      <c r="K6" s="7" t="inlineStr">
        <is>
          <t>是</t>
        </is>
      </c>
      <c r="L6" s="7" t="inlineStr">
        <is>
          <t>完整覆盖</t>
        </is>
      </c>
    </row>
    <row r="7">
      <c r="A7" s="7" t="inlineStr">
        <is>
          <t>周度</t>
        </is>
      </c>
      <c r="B7" s="7" t="n">
        <v>2025</v>
      </c>
      <c r="C7" s="7" t="n">
        <v>1</v>
      </c>
      <c r="D7" s="7" t="n">
        <v>52</v>
      </c>
      <c r="E7" s="7" t="inlineStr">
        <is>
          <t>2024-12-30</t>
        </is>
      </c>
      <c r="F7" s="7" t="inlineStr">
        <is>
          <t>2025-12-26</t>
        </is>
      </c>
      <c r="G7" s="7" t="n">
        <v>52</v>
      </c>
      <c r="H7" s="7" t="n">
        <v>259</v>
      </c>
      <c r="I7" s="7" t="n">
        <v>0</v>
      </c>
      <c r="J7" s="7" t="inlineStr">
        <is>
          <t>否</t>
        </is>
      </c>
      <c r="K7" s="7" t="inlineStr">
        <is>
          <t>是</t>
        </is>
      </c>
      <c r="L7" s="7" t="inlineStr">
        <is>
          <t>完整覆盖</t>
        </is>
      </c>
    </row>
    <row r="8">
      <c r="A8" s="15" t="inlineStr">
        <is>
          <t>周度</t>
        </is>
      </c>
      <c r="B8" s="15" t="n">
        <v>2026</v>
      </c>
      <c r="C8" s="15" t="n">
        <v>1</v>
      </c>
      <c r="D8" s="15" t="n">
        <v>43</v>
      </c>
      <c r="E8" s="15" t="inlineStr">
        <is>
          <t>2025-12-29</t>
        </is>
      </c>
      <c r="F8" s="15" t="inlineStr">
        <is>
          <t>2026-10-20</t>
        </is>
      </c>
      <c r="G8" s="15" t="n">
        <v>43</v>
      </c>
      <c r="H8" s="15" t="n">
        <v>212</v>
      </c>
      <c r="I8" s="15" t="n">
        <v>0</v>
      </c>
      <c r="J8" s="15" t="inlineStr">
        <is>
          <t>是</t>
        </is>
      </c>
      <c r="K8" s="15" t="inlineStr">
        <is>
          <t>是</t>
        </is>
      </c>
      <c r="L8" s="15" t="inlineStr">
        <is>
          <t>部分年份（缺前段/后段）</t>
        </is>
      </c>
    </row>
    <row r="9">
      <c r="A9" s="7" t="inlineStr">
        <is>
          <t>月度</t>
        </is>
      </c>
      <c r="B9" s="7" t="n">
        <v>2022</v>
      </c>
      <c r="C9" s="7" t="n">
        <v>8</v>
      </c>
      <c r="D9" s="7" t="n">
        <v>12</v>
      </c>
      <c r="E9" s="7" t="inlineStr">
        <is>
          <t>2022-08-17</t>
        </is>
      </c>
      <c r="F9" s="7" t="inlineStr">
        <is>
          <t>2022-12-30</t>
        </is>
      </c>
      <c r="G9" s="7" t="n">
        <v>5</v>
      </c>
      <c r="H9" s="7" t="n">
        <v>93</v>
      </c>
      <c r="I9" s="7" t="n">
        <v>0</v>
      </c>
      <c r="J9" s="7" t="inlineStr">
        <is>
          <t>是</t>
        </is>
      </c>
      <c r="K9" s="7" t="inlineStr">
        <is>
          <t>是</t>
        </is>
      </c>
      <c r="L9" s="7" t="inlineStr">
        <is>
          <t>部分年份（缺前段/后段）</t>
        </is>
      </c>
    </row>
    <row r="10">
      <c r="A10" s="7" t="inlineStr">
        <is>
          <t>月度</t>
        </is>
      </c>
      <c r="B10" s="7" t="n">
        <v>2023</v>
      </c>
      <c r="C10" s="7" t="n">
        <v>1</v>
      </c>
      <c r="D10" s="7" t="n">
        <v>12</v>
      </c>
      <c r="E10" s="7" t="inlineStr">
        <is>
          <t>2023-01-02</t>
        </is>
      </c>
      <c r="F10" s="7" t="inlineStr">
        <is>
          <t>2023-12-29</t>
        </is>
      </c>
      <c r="G10" s="7" t="n">
        <v>12</v>
      </c>
      <c r="H10" s="7" t="n">
        <v>259</v>
      </c>
      <c r="I10" s="7" t="n">
        <v>0</v>
      </c>
      <c r="J10" s="7" t="inlineStr">
        <is>
          <t>是</t>
        </is>
      </c>
      <c r="K10" s="7" t="inlineStr">
        <is>
          <t>是</t>
        </is>
      </c>
      <c r="L10" s="7" t="inlineStr">
        <is>
          <t>部分年份（缺前段/后段）</t>
        </is>
      </c>
    </row>
    <row r="11">
      <c r="A11" s="7" t="inlineStr">
        <is>
          <t>月度</t>
        </is>
      </c>
      <c r="B11" s="7" t="n">
        <v>2024</v>
      </c>
      <c r="C11" s="7" t="n">
        <v>1</v>
      </c>
      <c r="D11" s="7" t="n">
        <v>12</v>
      </c>
      <c r="E11" s="7" t="inlineStr">
        <is>
          <t>2024-01-01</t>
        </is>
      </c>
      <c r="F11" s="7" t="inlineStr">
        <is>
          <t>2024-12-31</t>
        </is>
      </c>
      <c r="G11" s="7" t="n">
        <v>12</v>
      </c>
      <c r="H11" s="7" t="n">
        <v>262</v>
      </c>
      <c r="I11" s="7" t="n">
        <v>0</v>
      </c>
      <c r="J11" s="7" t="inlineStr">
        <is>
          <t>是</t>
        </is>
      </c>
      <c r="K11" s="7" t="inlineStr">
        <is>
          <t>是</t>
        </is>
      </c>
      <c r="L11" s="7" t="inlineStr">
        <is>
          <t>部分年份（缺前段/后段）</t>
        </is>
      </c>
    </row>
    <row r="12">
      <c r="A12" s="7" t="inlineStr">
        <is>
          <t>月度</t>
        </is>
      </c>
      <c r="B12" s="7" t="n">
        <v>2025</v>
      </c>
      <c r="C12" s="7" t="n">
        <v>1</v>
      </c>
      <c r="D12" s="7" t="n">
        <v>12</v>
      </c>
      <c r="E12" s="7" t="inlineStr">
        <is>
          <t>2025-01-01</t>
        </is>
      </c>
      <c r="F12" s="7" t="inlineStr">
        <is>
          <t>2025-12-31</t>
        </is>
      </c>
      <c r="G12" s="7" t="n">
        <v>12</v>
      </c>
      <c r="H12" s="7" t="n">
        <v>260</v>
      </c>
      <c r="I12" s="7" t="n">
        <v>0</v>
      </c>
      <c r="J12" s="7" t="inlineStr">
        <is>
          <t>是</t>
        </is>
      </c>
      <c r="K12" s="7" t="inlineStr">
        <is>
          <t>是</t>
        </is>
      </c>
      <c r="L12" s="7" t="inlineStr">
        <is>
          <t>部分年份（缺前段/后段）</t>
        </is>
      </c>
    </row>
    <row r="13">
      <c r="A13" s="15" t="inlineStr">
        <is>
          <t>月度</t>
        </is>
      </c>
      <c r="B13" s="15" t="n">
        <v>2026</v>
      </c>
      <c r="C13" s="15" t="n">
        <v>1</v>
      </c>
      <c r="D13" s="15" t="n">
        <v>10</v>
      </c>
      <c r="E13" s="15" t="inlineStr">
        <is>
          <t>2026-01-01</t>
        </is>
      </c>
      <c r="F13" s="15" t="inlineStr">
        <is>
          <t>2026-10-20</t>
        </is>
      </c>
      <c r="G13" s="15" t="n">
        <v>10</v>
      </c>
      <c r="H13" s="15" t="n">
        <v>209</v>
      </c>
      <c r="I13" s="15" t="n">
        <v>0</v>
      </c>
      <c r="J13" s="15" t="inlineStr">
        <is>
          <t>是</t>
        </is>
      </c>
      <c r="K13" s="15" t="inlineStr">
        <is>
          <t>是</t>
        </is>
      </c>
      <c r="L13" s="15" t="inlineStr">
        <is>
          <t>部分年份（缺前段/后段）</t>
        </is>
      </c>
    </row>
  </sheetData>
  <mergeCells count="1">
    <mergeCell ref="A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50" customWidth="1" min="3" max="3"/>
  </cols>
  <sheetData>
    <row r="1" ht="22" customHeight="1">
      <c r="A1" s="1" t="inlineStr">
        <is>
          <t>11 数据缺口与不可得口径（比结论更重要）</t>
        </is>
      </c>
    </row>
    <row r="2">
      <c r="A2" s="2" t="inlineStr">
        <is>
          <t>缺口一律留空并列出；不做任何估算</t>
        </is>
      </c>
    </row>
    <row r="3">
      <c r="A3" s="3" t="inlineStr">
        <is>
          <t>A. 目标口径是否取得</t>
        </is>
      </c>
    </row>
    <row r="4" ht="30" customHeight="1">
      <c r="A4" s="6" t="inlineStr">
        <is>
          <t>项目</t>
        </is>
      </c>
      <c r="B4" s="6" t="inlineStr">
        <is>
          <t>内容</t>
        </is>
      </c>
    </row>
    <row r="5">
      <c r="A5" s="3" t="inlineStr">
        <is>
          <t>需求口径</t>
        </is>
      </c>
      <c r="B5" s="4" t="inlineStr">
        <is>
          <t>华东地区 甲醇现货价格</t>
        </is>
      </c>
    </row>
    <row r="6">
      <c r="A6" s="3" t="inlineStr">
        <is>
          <t>实际取得</t>
        </is>
      </c>
      <c r="B6" s="4" t="inlineStr">
        <is>
          <t>生意社甲醇基准价 —— 全国口径·含税·交易指导价（元/吨）</t>
        </is>
      </c>
    </row>
    <row r="7">
      <c r="A7" s="3" t="inlineStr">
        <is>
          <t>是否降级</t>
        </is>
      </c>
      <c r="B7" s="4" t="inlineStr">
        <is>
          <t>是</t>
        </is>
      </c>
    </row>
    <row r="8">
      <c r="A8" s="3" t="inlineStr">
        <is>
          <t>原因</t>
        </is>
      </c>
      <c r="B8" s="4" t="inlineStr">
        <is>
          <t>华东/太仓区域现货 10 年历史在免费公开渠道不可得（隆众、卓创接口需付费订阅）；本次取得的是生意社基准价的全国口径。该口径适用于全国价格水平的季节性判断，但不能用于区域价差、交割地贴水等区域特征推断。</t>
        </is>
      </c>
    </row>
    <row r="9">
      <c r="A9" s="3" t="inlineStr">
        <is>
          <t>影响</t>
        </is>
      </c>
      <c r="B9" s="4" t="inlineStr">
        <is>
          <t>结论只对该口径成立；区域价差、交割地贴水等区域特征不可由此推断</t>
        </is>
      </c>
    </row>
    <row r="11">
      <c r="A11" s="3" t="inlineStr">
        <is>
          <t>B. 工作日无报价清单（不属于停市日的视为真实缺报）</t>
        </is>
      </c>
    </row>
    <row r="12" ht="30" customHeight="1">
      <c r="A12" s="6" t="inlineStr">
        <is>
          <t>日期</t>
        </is>
      </c>
      <c r="B12" s="6" t="inlineStr">
        <is>
          <t>是否已扣除的停市日</t>
        </is>
      </c>
      <c r="C12" s="6" t="inlineStr">
        <is>
          <t>处理</t>
        </is>
      </c>
    </row>
    <row r="13">
      <c r="A13" s="7" t="inlineStr">
        <is>
          <t>2022-09-13</t>
        </is>
      </c>
      <c r="B13" s="7" t="inlineStr">
        <is>
          <t>否</t>
        </is>
      </c>
      <c r="C13" s="7" t="inlineStr">
        <is>
          <t>缺报：保留为空，不插值</t>
        </is>
      </c>
    </row>
    <row r="14">
      <c r="A14" s="7" t="inlineStr">
        <is>
          <t>2022-10-03</t>
        </is>
      </c>
      <c r="B14" s="7" t="inlineStr">
        <is>
          <t>否</t>
        </is>
      </c>
      <c r="C14" s="7" t="inlineStr">
        <is>
          <t>缺报：保留为空，不插值</t>
        </is>
      </c>
    </row>
    <row r="15">
      <c r="A15" s="7" t="inlineStr">
        <is>
          <t>2022-10-04</t>
        </is>
      </c>
      <c r="B15" s="7" t="inlineStr">
        <is>
          <t>否</t>
        </is>
      </c>
      <c r="C15" s="7" t="inlineStr">
        <is>
          <t>缺报：保留为空，不插值</t>
        </is>
      </c>
    </row>
    <row r="16">
      <c r="A16" s="7" t="inlineStr">
        <is>
          <t>2022-10-05</t>
        </is>
      </c>
      <c r="B16" s="7" t="inlineStr">
        <is>
          <t>否</t>
        </is>
      </c>
      <c r="C16" s="7" t="inlineStr">
        <is>
          <t>缺报：保留为空，不插值</t>
        </is>
      </c>
    </row>
    <row r="17">
      <c r="A17" s="7" t="inlineStr">
        <is>
          <t>2022-10-06</t>
        </is>
      </c>
      <c r="B17" s="7" t="inlineStr">
        <is>
          <t>否</t>
        </is>
      </c>
      <c r="C17" s="7" t="inlineStr">
        <is>
          <t>缺报：保留为空，不插值</t>
        </is>
      </c>
    </row>
    <row r="18">
      <c r="A18" s="7" t="inlineStr">
        <is>
          <t>2022-10-07</t>
        </is>
      </c>
      <c r="B18" s="7" t="inlineStr">
        <is>
          <t>否</t>
        </is>
      </c>
      <c r="C18" s="7" t="inlineStr">
        <is>
          <t>缺报：保留为空，不插值</t>
        </is>
      </c>
    </row>
    <row r="19">
      <c r="A19" s="7" t="inlineStr">
        <is>
          <t>2022-10-10</t>
        </is>
      </c>
      <c r="B19" s="7" t="inlineStr">
        <is>
          <t>否</t>
        </is>
      </c>
      <c r="C19" s="7" t="inlineStr">
        <is>
          <t>缺报：保留为空，不插值</t>
        </is>
      </c>
    </row>
    <row r="20">
      <c r="A20" s="7" t="inlineStr">
        <is>
          <t>2023-04-25</t>
        </is>
      </c>
      <c r="B20" s="7" t="inlineStr">
        <is>
          <t>否</t>
        </is>
      </c>
      <c r="C20" s="7" t="inlineStr">
        <is>
          <t>缺报：保留为空，不插值</t>
        </is>
      </c>
    </row>
    <row r="21">
      <c r="A21" s="7" t="inlineStr">
        <is>
          <t>2025-04-08</t>
        </is>
      </c>
      <c r="B21" s="7" t="inlineStr">
        <is>
          <t>否</t>
        </is>
      </c>
      <c r="C21" s="7" t="inlineStr">
        <is>
          <t>缺报：保留为空，不插值</t>
        </is>
      </c>
    </row>
    <row r="22">
      <c r="A22" s="7" t="inlineStr">
        <is>
          <t>2025-05-27</t>
        </is>
      </c>
      <c r="B22" s="7" t="inlineStr">
        <is>
          <t>否</t>
        </is>
      </c>
      <c r="C22" s="7" t="inlineStr">
        <is>
          <t>缺报：保留为空，不插值</t>
        </is>
      </c>
    </row>
    <row r="24">
      <c r="A24" s="3" t="inlineStr">
        <is>
          <t>C. 已知不可得的其他口径</t>
        </is>
      </c>
    </row>
    <row r="25" ht="30" customHeight="1">
      <c r="A25" s="6" t="inlineStr">
        <is>
          <t>华东/太仓区域现货日度 10 年</t>
        </is>
      </c>
      <c r="B25" s="6" t="inlineStr">
        <is>
          <t>未取得</t>
        </is>
      </c>
      <c r="C25" s="28" t="inlineStr">
        <is>
          <t>隆众(dc.oilchem.net) 报价接口返回登录态占位（请登录/未查询到指标）；卓创 prices.sci99.com datavalue 返回空 data；均需付费订阅</t>
        </is>
      </c>
    </row>
    <row r="26">
      <c r="A26" s="7" t="inlineStr">
        <is>
          <t>交易所库存/仓单</t>
        </is>
      </c>
      <c r="B26" s="7" t="inlineStr">
        <is>
          <t>未取得</t>
        </is>
      </c>
      <c r="C26" s="4" t="inlineStr">
        <is>
          <t>郑商所接口 HTTP 412；本报告不涉及，未做估算</t>
        </is>
      </c>
    </row>
    <row r="27">
      <c r="A27" s="7" t="inlineStr">
        <is>
          <t>假期休市日</t>
        </is>
      </c>
      <c r="B27" s="7" t="inlineStr">
        <is>
          <t>已扣除</t>
        </is>
      </c>
      <c r="C27" s="4" t="inlineStr">
        <is>
          <t>见 B 列标记"是"的日期；数据源本身不发布</t>
        </is>
      </c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12 数据来源、校验与复现方式</t>
        </is>
      </c>
    </row>
    <row r="2">
      <c r="A2" s="2" t="inlineStr">
        <is>
          <t>任何人用下列命令 + 原始 CSV 都能跑出同样的数字</t>
        </is>
      </c>
    </row>
    <row r="4">
      <c r="A4" s="3" t="inlineStr">
        <is>
          <t>数据源</t>
        </is>
      </c>
      <c r="B4" s="4" t="inlineStr">
        <is>
          <t>生意社资讯频道 https://me.100ppi.com/news/list--1217-{page}.html (page 1..37)</t>
        </is>
      </c>
    </row>
    <row r="5">
      <c r="A5" s="3" t="inlineStr">
        <is>
          <t>抓取时间</t>
        </is>
      </c>
      <c r="B5" s="4" t="inlineStr">
        <is>
          <t>—</t>
        </is>
      </c>
    </row>
    <row r="6">
      <c r="A6" s="3" t="inlineStr">
        <is>
          <t>逐行可追溯</t>
        </is>
      </c>
      <c r="B6" s="4" t="inlineStr">
        <is>
          <t>是：每条报价附原文链接（见「01日度价格」）</t>
        </is>
      </c>
    </row>
    <row r="7">
      <c r="A7" s="3" t="inlineStr">
        <is>
          <t>交叉校验</t>
        </is>
      </c>
      <c r="B7" s="4" t="inlineStr">
        <is>
          <t>与上一次独立抓取(2026-10-20 12:56)逐日比对：1083/1083 日期与数值完全一致</t>
        </is>
      </c>
    </row>
    <row r="8">
      <c r="A8" s="3" t="inlineStr">
        <is>
          <t>跳变核实</t>
        </is>
      </c>
      <c r="B8" s="4" t="inlineStr">
        <is>
          <t>6 个 |Δ|&gt;8% 的单日变动已回原文核实，全部为源数据本身（source-confirmed），非解析错误</t>
        </is>
      </c>
    </row>
    <row r="9">
      <c r="A9" s="3" t="inlineStr">
        <is>
          <t>独立重算</t>
        </is>
      </c>
      <c r="B9" s="4" t="inlineStr">
        <is>
          <t>周度统计用独立脚本重算 52 个位置，均值/中位数/样本数与引擎完全一致</t>
        </is>
      </c>
    </row>
    <row r="10">
      <c r="A10" s="3" t="inlineStr">
        <is>
          <t>配方文件</t>
        </is>
      </c>
      <c r="B10" s="4" t="inlineStr">
        <is>
          <t>methanol-eastchina-spot → data/config.json</t>
        </is>
      </c>
    </row>
    <row r="11">
      <c r="A11" s="3" t="inlineStr">
        <is>
          <t>原始数据</t>
        </is>
      </c>
      <c r="B11" s="4" t="inlineStr">
        <is>
          <t>methanol-eastchina-spot/price_daily.csv（date,price,source_url,…）</t>
        </is>
      </c>
    </row>
    <row r="12">
      <c r="A12" s="3" t="inlineStr">
        <is>
          <t>复现命令 1</t>
        </is>
      </c>
      <c r="B12" s="4" t="inlineStr">
        <is>
          <t>python scripts/fetch_100ppi_methanol.py --out data/raw</t>
        </is>
      </c>
    </row>
    <row r="13">
      <c r="A13" s="3" t="inlineStr">
        <is>
          <t>复现命令 2</t>
        </is>
      </c>
      <c r="B13" s="4" t="inlineStr">
        <is>
          <t>python scripts/build_case.py --case methanol-eastchina-spot</t>
        </is>
      </c>
    </row>
    <row r="14">
      <c r="A14" s="3" t="inlineStr">
        <is>
          <t>复现命令 3</t>
        </is>
      </c>
      <c r="B14" s="4" t="inlineStr">
        <is>
          <t>python scripts/build_html.py --case methanol-eastchina-spot &amp;&amp; python scripts/build_xlsx.py --case methanol-eastchina-spot</t>
        </is>
      </c>
    </row>
    <row r="15">
      <c r="A15" s="3" t="inlineStr">
        <is>
          <t>自检</t>
        </is>
      </c>
      <c r="B15" s="4" t="inlineStr">
        <is>
          <t>python scripts/selftest.py  # 引擎不变式；python scripts/qa_html.py out/xxx.html  # 浏览器实测</t>
        </is>
      </c>
    </row>
    <row r="16">
      <c r="A16" s="3" t="inlineStr">
        <is>
          <t>Excel 口径</t>
        </is>
      </c>
      <c r="B16" s="4" t="inlineStr">
        <is>
          <t>05/06 统计列为活公式，引用 02/03 面板；改动面板按 F9 复算</t>
        </is>
      </c>
    </row>
  </sheetData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6:H16"/>
    <mergeCell ref="B15:H15"/>
    <mergeCell ref="B7:H7"/>
    <mergeCell ref="B10:H10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2026-10-21T01:20:53Z</dcterms:created>
  <dcterms:modified xmlns:dcterms="http://purl.org/dc/terms/" xmlns:xsi="http://www.w3.org/2001/XMLSchema-instance" xsi:type="dcterms:W3CDTF">2026-10-21T01:20:54Z</dcterms:modified>
</cp:coreProperties>
</file>